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rinterSettings/printerSettings1.bin" ContentType="application/vnd.openxmlformats-officedocument.spreadsheetml.printerSettings"/>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cuments\Practice Data\"/>
    </mc:Choice>
  </mc:AlternateContent>
  <xr:revisionPtr revIDLastSave="0" documentId="13_ncr:1_{6C1E4ABD-DE34-4ADA-A4F4-76720347C7B1}" xr6:coauthVersionLast="47" xr6:coauthVersionMax="47" xr10:uidLastSave="{00000000-0000-0000-0000-000000000000}"/>
  <bookViews>
    <workbookView xWindow="-120" yWindow="-120" windowWidth="20730" windowHeight="11160" activeTab="4" xr2:uid="{2DA3B098-17DD-4482-8D30-3B4FC429CA3F}"/>
  </bookViews>
  <sheets>
    <sheet name="Data_Quality_Log" sheetId="3" r:id="rId1"/>
    <sheet name="Raw_Data" sheetId="1" r:id="rId2"/>
    <sheet name="Clean_Data" sheetId="5" r:id="rId3"/>
    <sheet name="Pivot_Table" sheetId="6" r:id="rId4"/>
    <sheet name="Dashboard" sheetId="7" r:id="rId5"/>
    <sheet name="Written Summary" sheetId="8" r:id="rId6"/>
  </sheets>
  <definedNames>
    <definedName name="ExternalData_2" localSheetId="2" hidden="1">Clean_Data!$A$1:$P$3361</definedName>
    <definedName name="Slicer_Locat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8" i="5" l="1" a="1"/>
  <c r="S18" i="5" s="1"/>
  <c r="V18" i="5" s="1"/>
  <c r="S10" i="5" a="1"/>
  <c r="S10" i="5" s="1"/>
  <c r="V10" i="5" s="1"/>
  <c r="U6" i="5"/>
  <c r="T6" i="5"/>
  <c r="S6" i="5"/>
  <c r="U10" i="5" l="1"/>
  <c r="U11" i="5"/>
  <c r="V12" i="5"/>
  <c r="U19" i="5"/>
  <c r="T11" i="5"/>
  <c r="T20" i="5"/>
  <c r="U13" i="5"/>
  <c r="V14" i="5"/>
  <c r="U18" i="5"/>
  <c r="V20" i="5"/>
  <c r="T14" i="5"/>
  <c r="T10" i="5"/>
  <c r="T19" i="5"/>
  <c r="U12" i="5"/>
  <c r="V13" i="5"/>
  <c r="U20" i="5"/>
  <c r="V19" i="5"/>
  <c r="T13" i="5"/>
  <c r="T12" i="5"/>
  <c r="T18" i="5"/>
  <c r="U14" i="5"/>
  <c r="V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486A43-E0B7-4C8F-A1CA-A366BA8BFFD1}"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<sst xmlns="http://schemas.openxmlformats.org/spreadsheetml/2006/main" count="96522" uniqueCount="9831">
  <si>
    <t>employee_id</t>
  </si>
  <si>
    <t>employee_name</t>
  </si>
  <si>
    <t>gender</t>
  </si>
  <si>
    <t>department</t>
  </si>
  <si>
    <t>employment_type</t>
  </si>
  <si>
    <t>job_level</t>
  </si>
  <si>
    <t>location</t>
  </si>
  <si>
    <t>age_group</t>
  </si>
  <si>
    <t>education_level</t>
  </si>
  <si>
    <t>hire_date</t>
  </si>
  <si>
    <t>exit_date</t>
  </si>
  <si>
    <t>years_of_service</t>
  </si>
  <si>
    <t>monthly_salary_ngn</t>
  </si>
  <si>
    <t>performance_score</t>
  </si>
  <si>
    <t>absenteeism_days</t>
  </si>
  <si>
    <t>turnover_status</t>
  </si>
  <si>
    <t>MFS-94245</t>
  </si>
  <si>
    <t>Bello Yakubu</t>
  </si>
  <si>
    <t>Male</t>
  </si>
  <si>
    <t>Information Technology</t>
  </si>
  <si>
    <t>Full-time</t>
  </si>
  <si>
    <t>Manager</t>
  </si>
  <si>
    <t>Lagos</t>
  </si>
  <si>
    <t>31-40</t>
  </si>
  <si>
    <t>BSc</t>
  </si>
  <si>
    <t>12/04/2022</t>
  </si>
  <si>
    <t>Active</t>
  </si>
  <si>
    <t>MFS-86798</t>
  </si>
  <si>
    <t>Nkechi Shehu</t>
  </si>
  <si>
    <t>Female</t>
  </si>
  <si>
    <t>Sales</t>
  </si>
  <si>
    <t>Part-time</t>
  </si>
  <si>
    <t>Mid-level</t>
  </si>
  <si>
    <t>Port Harcourt</t>
  </si>
  <si>
    <t>22-30</t>
  </si>
  <si>
    <t>HND</t>
  </si>
  <si>
    <t>30/07/2019</t>
  </si>
  <si>
    <t>MFS-58435</t>
  </si>
  <si>
    <t>Rotimi Bello</t>
  </si>
  <si>
    <t>Junior</t>
  </si>
  <si>
    <t>27/06/2021</t>
  </si>
  <si>
    <t>MFS-71824</t>
  </si>
  <si>
    <t>Tunde Nnamdi</t>
  </si>
  <si>
    <t>Human Resources</t>
  </si>
  <si>
    <t>Contract</t>
  </si>
  <si>
    <t>Director</t>
  </si>
  <si>
    <t>41-50</t>
  </si>
  <si>
    <t>25/03/2022</t>
  </si>
  <si>
    <t>MFS-76870</t>
  </si>
  <si>
    <t>Chinedu Nwachukwu</t>
  </si>
  <si>
    <t>Operations</t>
  </si>
  <si>
    <t>28/04/2020</t>
  </si>
  <si>
    <t>28/07/2022</t>
  </si>
  <si>
    <t>Resigned</t>
  </si>
  <si>
    <t>MFS-55114</t>
  </si>
  <si>
    <t>Shade Nwosu</t>
  </si>
  <si>
    <t>FEMALE</t>
  </si>
  <si>
    <t>MSc</t>
  </si>
  <si>
    <t>01/06/2022</t>
  </si>
  <si>
    <t>MFS-67938</t>
  </si>
  <si>
    <t>Chukwuemeka Adesanya</t>
  </si>
  <si>
    <t>information technology</t>
  </si>
  <si>
    <t>51-60</t>
  </si>
  <si>
    <t>15/09/2019</t>
  </si>
  <si>
    <t>MFS-74007</t>
  </si>
  <si>
    <t>Garba Onwudiwe</t>
  </si>
  <si>
    <t>24/02/2023</t>
  </si>
  <si>
    <t>MFS-53381</t>
  </si>
  <si>
    <t>Wale Danladi</t>
  </si>
  <si>
    <t>Kano</t>
  </si>
  <si>
    <t>27/04/2023</t>
  </si>
  <si>
    <t>19/10/2024</t>
  </si>
  <si>
    <t>Terminated</t>
  </si>
  <si>
    <t>MFS-95190</t>
  </si>
  <si>
    <t>Chinyere Nduka</t>
  </si>
  <si>
    <t>OND</t>
  </si>
  <si>
    <t>29/12/2023</t>
  </si>
  <si>
    <t>MFS-78712</t>
  </si>
  <si>
    <t>Yemi Obi</t>
  </si>
  <si>
    <t>Risk and Compliance</t>
  </si>
  <si>
    <t>Abuja</t>
  </si>
  <si>
    <t>08/02/2019</t>
  </si>
  <si>
    <t>MFS-68882</t>
  </si>
  <si>
    <t>Adaeze Omotayo</t>
  </si>
  <si>
    <t>28/02/2023</t>
  </si>
  <si>
    <t>MFS-77275</t>
  </si>
  <si>
    <t>Adeola Buhari</t>
  </si>
  <si>
    <t>16/04/2022</t>
  </si>
  <si>
    <t>MFS-63887</t>
  </si>
  <si>
    <t>Chukwuemeka Shehu</t>
  </si>
  <si>
    <t>01/10/2020</t>
  </si>
  <si>
    <t>01/07/2024</t>
  </si>
  <si>
    <t>MFS-36130</t>
  </si>
  <si>
    <t>Yemi Okeke</t>
  </si>
  <si>
    <t>01/07/2021</t>
  </si>
  <si>
    <t>05/09/2022</t>
  </si>
  <si>
    <t>MFS-61879</t>
  </si>
  <si>
    <t>Eze Aliyu</t>
  </si>
  <si>
    <t>09/01/2019</t>
  </si>
  <si>
    <t>28/01/2023</t>
  </si>
  <si>
    <t>MFS-10734</t>
  </si>
  <si>
    <t>Wale Eze</t>
  </si>
  <si>
    <t>18/12/2020</t>
  </si>
  <si>
    <t>30/12/2022</t>
  </si>
  <si>
    <t>MFS-97127</t>
  </si>
  <si>
    <t>Emeka Nwosu</t>
  </si>
  <si>
    <t>11/01/2023</t>
  </si>
  <si>
    <t>MFS-32719</t>
  </si>
  <si>
    <t>Haruna Amadi</t>
  </si>
  <si>
    <t>28/01/2021</t>
  </si>
  <si>
    <t>MFS-21728</t>
  </si>
  <si>
    <t>Ikenna Afolabi</t>
  </si>
  <si>
    <t>07/12/2022</t>
  </si>
  <si>
    <t>26/03/2025</t>
  </si>
  <si>
    <t>Retired</t>
  </si>
  <si>
    <t>MFS-25403</t>
  </si>
  <si>
    <t>Ifeanyi Shehu</t>
  </si>
  <si>
    <t>11/05/2021</t>
  </si>
  <si>
    <t>21/07/2024</t>
  </si>
  <si>
    <t>MFS-42512</t>
  </si>
  <si>
    <t>Obinna Fagbemi</t>
  </si>
  <si>
    <t>19/11/2022</t>
  </si>
  <si>
    <t>MFS-78768</t>
  </si>
  <si>
    <t>Hadiza Adebayo</t>
  </si>
  <si>
    <t>20/08/2023</t>
  </si>
  <si>
    <t>21/08/2024</t>
  </si>
  <si>
    <t>MFS-46170</t>
  </si>
  <si>
    <t>Adaeze Fagbemi</t>
  </si>
  <si>
    <t>Senior</t>
  </si>
  <si>
    <t>27/12/2023</t>
  </si>
  <si>
    <t>MFS-50725</t>
  </si>
  <si>
    <t>Ronke Aliyu</t>
  </si>
  <si>
    <t>21/08/2022</t>
  </si>
  <si>
    <t>MFS-76472</t>
  </si>
  <si>
    <t>Chibuike Okafor</t>
  </si>
  <si>
    <t>10/01/2021</t>
  </si>
  <si>
    <t>03/11/2022</t>
  </si>
  <si>
    <t>MFS-87347</t>
  </si>
  <si>
    <t>Hafsat Haruna</t>
  </si>
  <si>
    <t>07/05/2020</t>
  </si>
  <si>
    <t>10/02/2022</t>
  </si>
  <si>
    <t>304,000.0</t>
  </si>
  <si>
    <t>MFS-68187</t>
  </si>
  <si>
    <t>Bimpe Okafor</t>
  </si>
  <si>
    <t>26/07/2021</t>
  </si>
  <si>
    <t>27/09/2023</t>
  </si>
  <si>
    <t>MFS-46903</t>
  </si>
  <si>
    <t>Laraba Garba</t>
  </si>
  <si>
    <t>18/09/2019</t>
  </si>
  <si>
    <t>11/10/2022</t>
  </si>
  <si>
    <t>MFS-69446</t>
  </si>
  <si>
    <t>Nnamdi Okeke</t>
  </si>
  <si>
    <t>27/03/2021</t>
  </si>
  <si>
    <t>MFS-54210</t>
  </si>
  <si>
    <t>Adaeze Coker</t>
  </si>
  <si>
    <t>02/03/2022</t>
  </si>
  <si>
    <t>MFS-38110</t>
  </si>
  <si>
    <t>Kemi Adeyemi</t>
  </si>
  <si>
    <t>25/06/2022</t>
  </si>
  <si>
    <t>08/10/2023</t>
  </si>
  <si>
    <t>MFS-57357</t>
  </si>
  <si>
    <t>Yakubu Adebayo</t>
  </si>
  <si>
    <t>14/10/2019</t>
  </si>
  <si>
    <t>MFS-37450</t>
  </si>
  <si>
    <t>Zainab Musa</t>
  </si>
  <si>
    <t>11/07/2023</t>
  </si>
  <si>
    <t>MFS-54262</t>
  </si>
  <si>
    <t>Eze Musa</t>
  </si>
  <si>
    <t>26/08/2023</t>
  </si>
  <si>
    <t>MFS-67850</t>
  </si>
  <si>
    <t>Oghenekaro Ihejirika</t>
  </si>
  <si>
    <t>PhD</t>
  </si>
  <si>
    <t>14/12/2020</t>
  </si>
  <si>
    <t>MFS-34651</t>
  </si>
  <si>
    <t>Bello Oyelaran</t>
  </si>
  <si>
    <t>02/06/2019</t>
  </si>
  <si>
    <t>MFS-92982</t>
  </si>
  <si>
    <t>Femi Shehu</t>
  </si>
  <si>
    <t>07/02/2023</t>
  </si>
  <si>
    <t>24/10/2024</t>
  </si>
  <si>
    <t>MFS-24502</t>
  </si>
  <si>
    <t>Adebayo Buhari</t>
  </si>
  <si>
    <t>29/08/2023</t>
  </si>
  <si>
    <t>MFS-80893</t>
  </si>
  <si>
    <t>Bimpe Ogundipe</t>
  </si>
  <si>
    <t>human resources</t>
  </si>
  <si>
    <t>19/01/2019</t>
  </si>
  <si>
    <t>MFS-19624</t>
  </si>
  <si>
    <t>Ogechi Suleiman</t>
  </si>
  <si>
    <t>23/11/2023</t>
  </si>
  <si>
    <t>MFS-44393</t>
  </si>
  <si>
    <t>Ebuka Onwudiwe</t>
  </si>
  <si>
    <t>24/01/2023</t>
  </si>
  <si>
    <t>16/01/2025</t>
  </si>
  <si>
    <t>MFS-46480</t>
  </si>
  <si>
    <t>Kabiru Okafor</t>
  </si>
  <si>
    <t>11/11/2022</t>
  </si>
  <si>
    <t>MFS-31135</t>
  </si>
  <si>
    <t>Oluwaseun Onwudiwe</t>
  </si>
  <si>
    <t>05/12/2020</t>
  </si>
  <si>
    <t>MFS-82718</t>
  </si>
  <si>
    <t>Abubakar Adebayo</t>
  </si>
  <si>
    <t>23/08/2023</t>
  </si>
  <si>
    <t>23/03/2024</t>
  </si>
  <si>
    <t>MFS-44542</t>
  </si>
  <si>
    <t>09/05/2021</t>
  </si>
  <si>
    <t>MFS-45011</t>
  </si>
  <si>
    <t>Jummai Amadi</t>
  </si>
  <si>
    <t>07/03/2020</t>
  </si>
  <si>
    <t>MFS-99016</t>
  </si>
  <si>
    <t>Hadiza Coker</t>
  </si>
  <si>
    <t>19/09/2022</t>
  </si>
  <si>
    <t>MFS-56779</t>
  </si>
  <si>
    <t>08/06/2020</t>
  </si>
  <si>
    <t>MFS-61180</t>
  </si>
  <si>
    <t>Nneka Nnamdi</t>
  </si>
  <si>
    <t>07/11/2020</t>
  </si>
  <si>
    <t>MFS-21594</t>
  </si>
  <si>
    <t>Kabiru Omotayo</t>
  </si>
  <si>
    <t>25/11/2022</t>
  </si>
  <si>
    <t>05/03/2025</t>
  </si>
  <si>
    <t>MFS-42939</t>
  </si>
  <si>
    <t>Ezinne Adebayo</t>
  </si>
  <si>
    <t>08/11/2023</t>
  </si>
  <si>
    <t>22/02/2025</t>
  </si>
  <si>
    <t>MFS-43218</t>
  </si>
  <si>
    <t>Ebuka Adewale</t>
  </si>
  <si>
    <t>14/09/2020</t>
  </si>
  <si>
    <t>01/01/2025</t>
  </si>
  <si>
    <t>MFS-87656</t>
  </si>
  <si>
    <t>Tunde Obaseki</t>
  </si>
  <si>
    <t>06/09/2019</t>
  </si>
  <si>
    <t>16/09/2021</t>
  </si>
  <si>
    <t>MFS-40615</t>
  </si>
  <si>
    <t>Folake Abdullahi</t>
  </si>
  <si>
    <t>02/06/2022</t>
  </si>
  <si>
    <t>MFS-47104</t>
  </si>
  <si>
    <t>Usman Adewale</t>
  </si>
  <si>
    <t>19/02/2023</t>
  </si>
  <si>
    <t>18/03/2025</t>
  </si>
  <si>
    <t>MFS-25704</t>
  </si>
  <si>
    <t>Ogechi Adeyemi</t>
  </si>
  <si>
    <t>21/11/2020</t>
  </si>
  <si>
    <t>MFS-41589</t>
  </si>
  <si>
    <t>Adeola Nwachukwu</t>
  </si>
  <si>
    <t>06/12/2022</t>
  </si>
  <si>
    <t>04/02/2024</t>
  </si>
  <si>
    <t>MFS-35915</t>
  </si>
  <si>
    <t>Nnamdi Nnamdi</t>
  </si>
  <si>
    <t>29/11/2019</t>
  </si>
  <si>
    <t>MFS-78338</t>
  </si>
  <si>
    <t>Ebuka Afolabi</t>
  </si>
  <si>
    <t>male</t>
  </si>
  <si>
    <t>13/10/2021</t>
  </si>
  <si>
    <t>MFS-47338</t>
  </si>
  <si>
    <t>Bukola Nduka</t>
  </si>
  <si>
    <t>12/12/2020</t>
  </si>
  <si>
    <t>11/11/2024</t>
  </si>
  <si>
    <t>MFS-49924</t>
  </si>
  <si>
    <t>Ezinne Okonkwo</t>
  </si>
  <si>
    <t>MFS-19464</t>
  </si>
  <si>
    <t>Ronke Adeyemi</t>
  </si>
  <si>
    <t>03/02/2019</t>
  </si>
  <si>
    <t>02/05/2020</t>
  </si>
  <si>
    <t>MFS-43492</t>
  </si>
  <si>
    <t>Chukwudi Suleiman</t>
  </si>
  <si>
    <t>06/05/2021</t>
  </si>
  <si>
    <t>MFS-10069</t>
  </si>
  <si>
    <t>Rotimi Ihejirika</t>
  </si>
  <si>
    <t>08/06/2022</t>
  </si>
  <si>
    <t>MFS-85082</t>
  </si>
  <si>
    <t>Ramatu Okafor</t>
  </si>
  <si>
    <t>03/06/2021</t>
  </si>
  <si>
    <t>MFS-20927</t>
  </si>
  <si>
    <t>Jummai Ogbonna</t>
  </si>
  <si>
    <t>06/06/2019</t>
  </si>
  <si>
    <t>07/12/2023</t>
  </si>
  <si>
    <t>MFS-91292</t>
  </si>
  <si>
    <t>Sola Okonkwo</t>
  </si>
  <si>
    <t>03/05/2022</t>
  </si>
  <si>
    <t>MFS-42941</t>
  </si>
  <si>
    <t>Amaka Ogundipe</t>
  </si>
  <si>
    <t>09/06/2023</t>
  </si>
  <si>
    <t>MFS-12275</t>
  </si>
  <si>
    <t>Rotimi Lawal</t>
  </si>
  <si>
    <t>18/09/2020</t>
  </si>
  <si>
    <t>23/10/2022</t>
  </si>
  <si>
    <t>MFS-74443</t>
  </si>
  <si>
    <t>Yakubu Suleiman</t>
  </si>
  <si>
    <t>24/03/2020</t>
  </si>
  <si>
    <t>MFS-59122</t>
  </si>
  <si>
    <t>Aisha Taiwo</t>
  </si>
  <si>
    <t>23/07/2022</t>
  </si>
  <si>
    <t>MFS-53770</t>
  </si>
  <si>
    <t>Wale Adesanya</t>
  </si>
  <si>
    <t>22/12/2021</t>
  </si>
  <si>
    <t>MFS-78883</t>
  </si>
  <si>
    <t>Ugochi Obi</t>
  </si>
  <si>
    <t>23/12/2021</t>
  </si>
  <si>
    <t>20/02/2024</t>
  </si>
  <si>
    <t>MFS-67667</t>
  </si>
  <si>
    <t>Babatunde Chukwu</t>
  </si>
  <si>
    <t>10/05/2022</t>
  </si>
  <si>
    <t>MFS-77027</t>
  </si>
  <si>
    <t>Chukwudi Yakubu</t>
  </si>
  <si>
    <t>22/09/2022</t>
  </si>
  <si>
    <t>23/09/2023</t>
  </si>
  <si>
    <t>MFS-15655</t>
  </si>
  <si>
    <t>Nneka Onwudiwe</t>
  </si>
  <si>
    <t>02/09/2019</t>
  </si>
  <si>
    <t>MFS-80046</t>
  </si>
  <si>
    <t>Chinyere Adeyemi</t>
  </si>
  <si>
    <t>17/05/2020</t>
  </si>
  <si>
    <t>24/09/2021</t>
  </si>
  <si>
    <t>MFS-60446</t>
  </si>
  <si>
    <t>Yetunde Aliyu</t>
  </si>
  <si>
    <t>03/07/2022</t>
  </si>
  <si>
    <t>05/03/2024</t>
  </si>
  <si>
    <t>MFS-10364</t>
  </si>
  <si>
    <t>Ikenna Okonkwo</t>
  </si>
  <si>
    <t>30/05/2019</t>
  </si>
  <si>
    <t>06/12/2020</t>
  </si>
  <si>
    <t>MFS-79165</t>
  </si>
  <si>
    <t>Danladi Suleiman</t>
  </si>
  <si>
    <t>12/09/2023</t>
  </si>
  <si>
    <t>MFS-68940</t>
  </si>
  <si>
    <t>Yetunde Adewale</t>
  </si>
  <si>
    <t>28/06/2021</t>
  </si>
  <si>
    <t>27/10/2023</t>
  </si>
  <si>
    <t>MFS-80235</t>
  </si>
  <si>
    <t>Chinedu Amadi</t>
  </si>
  <si>
    <t>31/12/2019</t>
  </si>
  <si>
    <t>MFS-18296</t>
  </si>
  <si>
    <t>Ibrahim Uba</t>
  </si>
  <si>
    <t>14/07/2019</t>
  </si>
  <si>
    <t>17/12/2020</t>
  </si>
  <si>
    <t>MFS-96122</t>
  </si>
  <si>
    <t>Lola Okafor</t>
  </si>
  <si>
    <t>01/12/2020</t>
  </si>
  <si>
    <t>18/12/2022</t>
  </si>
  <si>
    <t>MFS-75825</t>
  </si>
  <si>
    <t>Aliyu Oyelaran</t>
  </si>
  <si>
    <t>20/06/2021</t>
  </si>
  <si>
    <t>MFS-45257</t>
  </si>
  <si>
    <t>Titi Buhari</t>
  </si>
  <si>
    <t>14/01/2019</t>
  </si>
  <si>
    <t>MFS-20450</t>
  </si>
  <si>
    <t>Abubakar Nduka</t>
  </si>
  <si>
    <t>27/04/2020</t>
  </si>
  <si>
    <t>MFS-67036</t>
  </si>
  <si>
    <t>Chioma Adesanya</t>
  </si>
  <si>
    <t>20/10/2019</t>
  </si>
  <si>
    <t>MFS-96154</t>
  </si>
  <si>
    <t>Hafsat Adesanya</t>
  </si>
  <si>
    <t>07/11/2023</t>
  </si>
  <si>
    <t>MFS-28220</t>
  </si>
  <si>
    <t>Abubakar Amadi</t>
  </si>
  <si>
    <t>19/03/2019</t>
  </si>
  <si>
    <t>MFS-18489</t>
  </si>
  <si>
    <t>Babatunde Okeke</t>
  </si>
  <si>
    <t>01/10/2023</t>
  </si>
  <si>
    <t>MFS-34778</t>
  </si>
  <si>
    <t>Garba Nwosu</t>
  </si>
  <si>
    <t>05/12/2021</t>
  </si>
  <si>
    <t>MFS-93575</t>
  </si>
  <si>
    <t>Biodun Eze</t>
  </si>
  <si>
    <t>30/11/2022</t>
  </si>
  <si>
    <t>MFS-48057</t>
  </si>
  <si>
    <t>Titi Abdullahi</t>
  </si>
  <si>
    <t>21/06/2019</t>
  </si>
  <si>
    <t>MFS-52526</t>
  </si>
  <si>
    <t>Biodun Uba</t>
  </si>
  <si>
    <t>15/07/2021</t>
  </si>
  <si>
    <t>MFS-56103</t>
  </si>
  <si>
    <t>Ogechi Afolabi</t>
  </si>
  <si>
    <t>18/03/2022</t>
  </si>
  <si>
    <t>MFS-87113</t>
  </si>
  <si>
    <t>Bello Adewale</t>
  </si>
  <si>
    <t>20/08/2019</t>
  </si>
  <si>
    <t>MFS-29919</t>
  </si>
  <si>
    <t>Nneka Okafor</t>
  </si>
  <si>
    <t>30/10/2023</t>
  </si>
  <si>
    <t>27/12/2024</t>
  </si>
  <si>
    <t>MFS-60470</t>
  </si>
  <si>
    <t>Femi Haruna</t>
  </si>
  <si>
    <t>29/06/2022</t>
  </si>
  <si>
    <t>MFS-92620</t>
  </si>
  <si>
    <t>13/06/2020</t>
  </si>
  <si>
    <t>MFS-24089</t>
  </si>
  <si>
    <t>Lanre Fagbemi</t>
  </si>
  <si>
    <t>07/02/2022</t>
  </si>
  <si>
    <t>02/07/2024</t>
  </si>
  <si>
    <t>MFS-52906</t>
  </si>
  <si>
    <t>Femi Adesanya</t>
  </si>
  <si>
    <t>09/02/2019</t>
  </si>
  <si>
    <t>MFS-50845</t>
  </si>
  <si>
    <t>Fatima Adewale</t>
  </si>
  <si>
    <t>24/02/2021</t>
  </si>
  <si>
    <t>MFS-45365</t>
  </si>
  <si>
    <t>Biodun Haruna</t>
  </si>
  <si>
    <t>21/12/2020</t>
  </si>
  <si>
    <t>06/05/2023</t>
  </si>
  <si>
    <t>MFS-23870</t>
  </si>
  <si>
    <t>Bilkisu Buhari</t>
  </si>
  <si>
    <t>19/12/2019</t>
  </si>
  <si>
    <t>05/02/2021</t>
  </si>
  <si>
    <t>MFS-41657</t>
  </si>
  <si>
    <t>Adaeze Nduka</t>
  </si>
  <si>
    <t>25/03/2021</t>
  </si>
  <si>
    <t>MFS-84382</t>
  </si>
  <si>
    <t>Maryam Lawal</t>
  </si>
  <si>
    <t>24/02/2022</t>
  </si>
  <si>
    <t>03/12/2024</t>
  </si>
  <si>
    <t>MFS-55779</t>
  </si>
  <si>
    <t>Nana Obi</t>
  </si>
  <si>
    <t>23/07/2021</t>
  </si>
  <si>
    <t>19/08/2023</t>
  </si>
  <si>
    <t>MFS-23704</t>
  </si>
  <si>
    <t>Garba Eze</t>
  </si>
  <si>
    <t>18/01/2019</t>
  </si>
  <si>
    <t>MFS-64161</t>
  </si>
  <si>
    <t>Haruna Adesanya</t>
  </si>
  <si>
    <t>21/09/2021</t>
  </si>
  <si>
    <t>MFS-63263</t>
  </si>
  <si>
    <t>Bimpe Afolabi</t>
  </si>
  <si>
    <t>28/10/2023</t>
  </si>
  <si>
    <t>MFS-39847</t>
  </si>
  <si>
    <t>Ngozi Danladi</t>
  </si>
  <si>
    <t>08/03/2022</t>
  </si>
  <si>
    <t>18/12/2024</t>
  </si>
  <si>
    <t>MFS-96569</t>
  </si>
  <si>
    <t>Fatima Okeke</t>
  </si>
  <si>
    <t>08/05/2019</t>
  </si>
  <si>
    <t>MFS-39488</t>
  </si>
  <si>
    <t>Chinwe Okafor</t>
  </si>
  <si>
    <t>19/10/2019</t>
  </si>
  <si>
    <t>MFS-73852</t>
  </si>
  <si>
    <t>Lola Taiwo</t>
  </si>
  <si>
    <t>19/05/2019</t>
  </si>
  <si>
    <t>MFS-65300</t>
  </si>
  <si>
    <t>Eze Adesanya</t>
  </si>
  <si>
    <t>15/06/2022</t>
  </si>
  <si>
    <t>04/09/2023</t>
  </si>
  <si>
    <t>MFS-81141</t>
  </si>
  <si>
    <t>Falmata Obi</t>
  </si>
  <si>
    <t>08/08/2023</t>
  </si>
  <si>
    <t>MFS-30958</t>
  </si>
  <si>
    <t>Tobi Garba</t>
  </si>
  <si>
    <t>25/04/2023</t>
  </si>
  <si>
    <t>12/08/2024</t>
  </si>
  <si>
    <t>MFS-83967</t>
  </si>
  <si>
    <t>Titi Yakubu</t>
  </si>
  <si>
    <t>22/07/2021</t>
  </si>
  <si>
    <t>23/08/2024</t>
  </si>
  <si>
    <t>MFS-60347</t>
  </si>
  <si>
    <t>Obiora Okeke</t>
  </si>
  <si>
    <t>26/09/2019</t>
  </si>
  <si>
    <t>MFS-82371</t>
  </si>
  <si>
    <t>Ikenna Nwachukwu</t>
  </si>
  <si>
    <t>16/07/2019</t>
  </si>
  <si>
    <t>MFS-85712</t>
  </si>
  <si>
    <t>Ugochi Eze</t>
  </si>
  <si>
    <t>03/06/2022</t>
  </si>
  <si>
    <t>MFS-63366</t>
  </si>
  <si>
    <t>MFS-48489</t>
  </si>
  <si>
    <t>Titi Aliyu</t>
  </si>
  <si>
    <t>02/08/2021</t>
  </si>
  <si>
    <t>MFS-79546</t>
  </si>
  <si>
    <t>Funmilayo Nwachukwu</t>
  </si>
  <si>
    <t>12/06/2020</t>
  </si>
  <si>
    <t>MFS-94610</t>
  </si>
  <si>
    <t>Wale Obi</t>
  </si>
  <si>
    <t>13/12/2019</t>
  </si>
  <si>
    <t>MFS-84612</t>
  </si>
  <si>
    <t>Adaora Adesanya</t>
  </si>
  <si>
    <t>24/05/2020</t>
  </si>
  <si>
    <t>MFS-66414</t>
  </si>
  <si>
    <t>Falmata Lawal</t>
  </si>
  <si>
    <t>17/12/2023</t>
  </si>
  <si>
    <t>MFS-21423</t>
  </si>
  <si>
    <t>Tunde Eze</t>
  </si>
  <si>
    <t>18/10/2020</t>
  </si>
  <si>
    <t>MFS-57297</t>
  </si>
  <si>
    <t>Obiora Musa</t>
  </si>
  <si>
    <t>07/01/2021</t>
  </si>
  <si>
    <t>MFS-48939</t>
  </si>
  <si>
    <t>Adebayo Nwachukwu</t>
  </si>
  <si>
    <t>15/05/2023</t>
  </si>
  <si>
    <t>MFS-64568</t>
  </si>
  <si>
    <t>Tobi Buhari</t>
  </si>
  <si>
    <t>29/04/2019</t>
  </si>
  <si>
    <t>MFS-36561</t>
  </si>
  <si>
    <t>Dele Danladi</t>
  </si>
  <si>
    <t>31/07/2023</t>
  </si>
  <si>
    <t>MFS-48942</t>
  </si>
  <si>
    <t>Titi Garba</t>
  </si>
  <si>
    <t>13/05/2023</t>
  </si>
  <si>
    <t>18/02/2024</t>
  </si>
  <si>
    <t>MFS-46721</t>
  </si>
  <si>
    <t>Oghenekaro Chukwu</t>
  </si>
  <si>
    <t>20/09/2019</t>
  </si>
  <si>
    <t>MFS-57805</t>
  </si>
  <si>
    <t>Rukayya Danladi</t>
  </si>
  <si>
    <t>21/04/2020</t>
  </si>
  <si>
    <t>06/05/2022</t>
  </si>
  <si>
    <t>MFS-37467</t>
  </si>
  <si>
    <t>Nasiru Garba</t>
  </si>
  <si>
    <t>03/08/2020</t>
  </si>
  <si>
    <t>MFS-49953</t>
  </si>
  <si>
    <t>Shade Fagbemi</t>
  </si>
  <si>
    <t>13/02/2023</t>
  </si>
  <si>
    <t>16/11/2024</t>
  </si>
  <si>
    <t>MFS-73682</t>
  </si>
  <si>
    <t>Ifeanyi Chukwu</t>
  </si>
  <si>
    <t>10/01/2019</t>
  </si>
  <si>
    <t>MFS-19880</t>
  </si>
  <si>
    <t>Chukwuemeka Chukwu</t>
  </si>
  <si>
    <t>12/04/2021</t>
  </si>
  <si>
    <t>MFS-50218</t>
  </si>
  <si>
    <t>Ngozi Nwosu</t>
  </si>
  <si>
    <t>26/05/2023</t>
  </si>
  <si>
    <t>MFS-58344</t>
  </si>
  <si>
    <t>Lanre Obi</t>
  </si>
  <si>
    <t>16/10/2020</t>
  </si>
  <si>
    <t>MFS-11233</t>
  </si>
  <si>
    <t>Chukwuemeka Adebayo</t>
  </si>
  <si>
    <t>15/04/2021</t>
  </si>
  <si>
    <t>17/04/2024</t>
  </si>
  <si>
    <t>MFS-92688</t>
  </si>
  <si>
    <t>Ibrahim Amadi</t>
  </si>
  <si>
    <t>27/02/2023</t>
  </si>
  <si>
    <t>MFS-57492</t>
  </si>
  <si>
    <t>Ezinne Amadi</t>
  </si>
  <si>
    <t>13/02/2022</t>
  </si>
  <si>
    <t>MFS-12360</t>
  </si>
  <si>
    <t>Nasiru Nwosu</t>
  </si>
  <si>
    <t>23/08/2021</t>
  </si>
  <si>
    <t>MFS-95194</t>
  </si>
  <si>
    <t>Dele Ihejirika</t>
  </si>
  <si>
    <t>30/06/2022</t>
  </si>
  <si>
    <t>MFS-91794</t>
  </si>
  <si>
    <t>Bilkisu Amadi</t>
  </si>
  <si>
    <t>09/08/2024</t>
  </si>
  <si>
    <t>MFS-21362</t>
  </si>
  <si>
    <t>Seun Okeke</t>
  </si>
  <si>
    <t>19/07/2020</t>
  </si>
  <si>
    <t>01/05/2021</t>
  </si>
  <si>
    <t>MFS-14005</t>
  </si>
  <si>
    <t>Obinna Okafor</t>
  </si>
  <si>
    <t>06/08/2020</t>
  </si>
  <si>
    <t>01/05/2022</t>
  </si>
  <si>
    <t>MFS-11136</t>
  </si>
  <si>
    <t>Danladi Coker</t>
  </si>
  <si>
    <t>03/12/2019</t>
  </si>
  <si>
    <t>02/08/2022</t>
  </si>
  <si>
    <t>MFS-95064</t>
  </si>
  <si>
    <t>Chukwudi Taiwo</t>
  </si>
  <si>
    <t>24/09/2023</t>
  </si>
  <si>
    <t>MFS-91795</t>
  </si>
  <si>
    <t>Asabe Afolabi</t>
  </si>
  <si>
    <t>03/07/2023</t>
  </si>
  <si>
    <t>29/06/2024</t>
  </si>
  <si>
    <t>MFS-46047</t>
  </si>
  <si>
    <t>Tunde Coker</t>
  </si>
  <si>
    <t>16/02/2019</t>
  </si>
  <si>
    <t>28/09/2024</t>
  </si>
  <si>
    <t>MFS-35506</t>
  </si>
  <si>
    <t>Nneka Lawal</t>
  </si>
  <si>
    <t>13/03/2020</t>
  </si>
  <si>
    <t>12/01/2025</t>
  </si>
  <si>
    <t>MFS-58958</t>
  </si>
  <si>
    <t>Zainab Ogbonna</t>
  </si>
  <si>
    <t>27/09/2020</t>
  </si>
  <si>
    <t>MFS-29399</t>
  </si>
  <si>
    <t>Hafsat Okafor</t>
  </si>
  <si>
    <t>10/07/2023</t>
  </si>
  <si>
    <t>11/02/2024</t>
  </si>
  <si>
    <t>MFS-55406</t>
  </si>
  <si>
    <t>Nkechi Adebayo</t>
  </si>
  <si>
    <t>25/02/2020</t>
  </si>
  <si>
    <t>10/06/2021</t>
  </si>
  <si>
    <t>MFS-30762</t>
  </si>
  <si>
    <t>Garba Okafor</t>
  </si>
  <si>
    <t>12/02/2021</t>
  </si>
  <si>
    <t>MFS-30750</t>
  </si>
  <si>
    <t>Kabiru Afolabi</t>
  </si>
  <si>
    <t>MFS-68860</t>
  </si>
  <si>
    <t>Nneka Ogundipe</t>
  </si>
  <si>
    <t>MFS-22843</t>
  </si>
  <si>
    <t>Gbenga Fagbemi</t>
  </si>
  <si>
    <t>18/10/2022</t>
  </si>
  <si>
    <t>04/12/2024</t>
  </si>
  <si>
    <t>MFS-24847</t>
  </si>
  <si>
    <t>Ezinne Adesanya</t>
  </si>
  <si>
    <t>30/08/2022</t>
  </si>
  <si>
    <t>MFS-59785</t>
  </si>
  <si>
    <t>Gbenga Adewale</t>
  </si>
  <si>
    <t>30/11/2023</t>
  </si>
  <si>
    <t>MFS-33639</t>
  </si>
  <si>
    <t>Bimpe Coker</t>
  </si>
  <si>
    <t>15/04/2023</t>
  </si>
  <si>
    <t>MFS-25745</t>
  </si>
  <si>
    <t>Chiamaka Shehu</t>
  </si>
  <si>
    <t>22/05/2023</t>
  </si>
  <si>
    <t>MFS-98629</t>
  </si>
  <si>
    <t>Titi Bello</t>
  </si>
  <si>
    <t>14/11/2021</t>
  </si>
  <si>
    <t>MFS-88638</t>
  </si>
  <si>
    <t>Jummai Obaseki</t>
  </si>
  <si>
    <t>20/11/2020</t>
  </si>
  <si>
    <t>19/04/2023</t>
  </si>
  <si>
    <t>MFS-69795</t>
  </si>
  <si>
    <t>Tobi Danladi</t>
  </si>
  <si>
    <t>03/03/2022</t>
  </si>
  <si>
    <t>MFS-89443</t>
  </si>
  <si>
    <t>Uloma Suleiman</t>
  </si>
  <si>
    <t>11/06/2020</t>
  </si>
  <si>
    <t>MFS-20152</t>
  </si>
  <si>
    <t>Bimpe Musa</t>
  </si>
  <si>
    <t>MFS-76132</t>
  </si>
  <si>
    <t>Nnamdi Omotayo</t>
  </si>
  <si>
    <t>07/05/2023</t>
  </si>
  <si>
    <t>01/06/2024</t>
  </si>
  <si>
    <t>MFS-38030</t>
  </si>
  <si>
    <t>Rotimi Haruna</t>
  </si>
  <si>
    <t>28/06/2019</t>
  </si>
  <si>
    <t>MFS-36545</t>
  </si>
  <si>
    <t>Falmata Shehu</t>
  </si>
  <si>
    <t>11/03/2023</t>
  </si>
  <si>
    <t>MFS-56036</t>
  </si>
  <si>
    <t>23/07/2020</t>
  </si>
  <si>
    <t>25/02/2024</t>
  </si>
  <si>
    <t>MFS-54603</t>
  </si>
  <si>
    <t>Laraba Yakubu</t>
  </si>
  <si>
    <t>18/10/2019</t>
  </si>
  <si>
    <t>MFS-57273</t>
  </si>
  <si>
    <t>Danladi Nduka</t>
  </si>
  <si>
    <t>11/04/2021</t>
  </si>
  <si>
    <t>22/12/2024</t>
  </si>
  <si>
    <t>MFS-62165</t>
  </si>
  <si>
    <t>Hafsat Nnamdi</t>
  </si>
  <si>
    <t>30/11/2021</t>
  </si>
  <si>
    <t>MFS-60504</t>
  </si>
  <si>
    <t>MFS-67559</t>
  </si>
  <si>
    <t>Yemi Ihejirika</t>
  </si>
  <si>
    <t>22/08/2023</t>
  </si>
  <si>
    <t>MFS-86216</t>
  </si>
  <si>
    <t>Nana Okafor</t>
  </si>
  <si>
    <t>08/06/2019</t>
  </si>
  <si>
    <t>MFS-81891</t>
  </si>
  <si>
    <t>Chinwe Ogundipe</t>
  </si>
  <si>
    <t>28/04/2022</t>
  </si>
  <si>
    <t>MFS-12025</t>
  </si>
  <si>
    <t>Shade Nwachukwu</t>
  </si>
  <si>
    <t>06/08/2022</t>
  </si>
  <si>
    <t>12/12/2023</t>
  </si>
  <si>
    <t>MFS-98857</t>
  </si>
  <si>
    <t>Nasiru Ogbonna</t>
  </si>
  <si>
    <t>15/07/2019</t>
  </si>
  <si>
    <t>MFS-32705</t>
  </si>
  <si>
    <t>Zainab Danladi</t>
  </si>
  <si>
    <t>24/08/2022</t>
  </si>
  <si>
    <t>MFS-15174</t>
  </si>
  <si>
    <t>Ezinne Ihejirika</t>
  </si>
  <si>
    <t>29/03/2022</t>
  </si>
  <si>
    <t>MFS-25722</t>
  </si>
  <si>
    <t>Dele Coker</t>
  </si>
  <si>
    <t>14/04/2020</t>
  </si>
  <si>
    <t>MFS-20305</t>
  </si>
  <si>
    <t>Lola Adeyemi</t>
  </si>
  <si>
    <t>15/07/2020</t>
  </si>
  <si>
    <t>MFS-15379</t>
  </si>
  <si>
    <t>Ramatu Ogbonna</t>
  </si>
  <si>
    <t>03/12/2020</t>
  </si>
  <si>
    <t>MFS-88821</t>
  </si>
  <si>
    <t>Ifeanyi Suleiman</t>
  </si>
  <si>
    <t>02/11/2019</t>
  </si>
  <si>
    <t>MFS-67771</t>
  </si>
  <si>
    <t>Yemi Adebayo</t>
  </si>
  <si>
    <t>09/04/2021</t>
  </si>
  <si>
    <t>MFS-83940</t>
  </si>
  <si>
    <t>Haruna Nduka</t>
  </si>
  <si>
    <t>12/09/2021</t>
  </si>
  <si>
    <t>MFS-74117</t>
  </si>
  <si>
    <t>Hafsat Onwudiwe</t>
  </si>
  <si>
    <t>19/06/2020</t>
  </si>
  <si>
    <t>MFS-86814</t>
  </si>
  <si>
    <t>Ifeoma Coker</t>
  </si>
  <si>
    <t>29/03/2019</t>
  </si>
  <si>
    <t>MFS-55977</t>
  </si>
  <si>
    <t>Garba Ogundipe</t>
  </si>
  <si>
    <t>27/04/2019</t>
  </si>
  <si>
    <t>MFS-90798</t>
  </si>
  <si>
    <t>27/11/2023</t>
  </si>
  <si>
    <t>MFS-43852</t>
  </si>
  <si>
    <t>Chibuike Okonkwo</t>
  </si>
  <si>
    <t>12/09/2020</t>
  </si>
  <si>
    <t>12/02/2025</t>
  </si>
  <si>
    <t>MFS-45568</t>
  </si>
  <si>
    <t>Adeola Omotayo</t>
  </si>
  <si>
    <t>05/11/2022</t>
  </si>
  <si>
    <t>MFS-52725</t>
  </si>
  <si>
    <t>Eze Obi</t>
  </si>
  <si>
    <t>08/02/2021</t>
  </si>
  <si>
    <t>MFS-59902</t>
  </si>
  <si>
    <t>Nana Eze</t>
  </si>
  <si>
    <t>08/08/2020</t>
  </si>
  <si>
    <t>MFS-28352</t>
  </si>
  <si>
    <t>Wale Coker</t>
  </si>
  <si>
    <t>22/07/2022</t>
  </si>
  <si>
    <t>29/12/2024</t>
  </si>
  <si>
    <t>MFS-83179</t>
  </si>
  <si>
    <t>Nneka Yakubu</t>
  </si>
  <si>
    <t>02/02/2023</t>
  </si>
  <si>
    <t>MFS-16620</t>
  </si>
  <si>
    <t>Adaora Abdullahi</t>
  </si>
  <si>
    <t>06/11/2019</t>
  </si>
  <si>
    <t>MFS-83717</t>
  </si>
  <si>
    <t>Obinna Garba</t>
  </si>
  <si>
    <t>31/08/2019</t>
  </si>
  <si>
    <t>MFS-23169</t>
  </si>
  <si>
    <t>Yakubu Ihejirika</t>
  </si>
  <si>
    <t>20/09/2021</t>
  </si>
  <si>
    <t>08/06/2024</t>
  </si>
  <si>
    <t>MFS-32121</t>
  </si>
  <si>
    <t>Ronke Afolabi</t>
  </si>
  <si>
    <t>17/09/2024</t>
  </si>
  <si>
    <t>MFS-15390</t>
  </si>
  <si>
    <t>Aisha Oyelaran</t>
  </si>
  <si>
    <t>19/12/2024</t>
  </si>
  <si>
    <t>MFS-49669</t>
  </si>
  <si>
    <t>Abubakar Afolabi</t>
  </si>
  <si>
    <t>23/08/2022</t>
  </si>
  <si>
    <t>MFS-84800</t>
  </si>
  <si>
    <t>Adeola Eze</t>
  </si>
  <si>
    <t>15/06/2020</t>
  </si>
  <si>
    <t>MFS-99665</t>
  </si>
  <si>
    <t>Adaora Obaseki</t>
  </si>
  <si>
    <t>07/01/2022</t>
  </si>
  <si>
    <t>MFS-65158</t>
  </si>
  <si>
    <t>Ngozi Ogbonna</t>
  </si>
  <si>
    <t>02/02/2022</t>
  </si>
  <si>
    <t>MFS-23604</t>
  </si>
  <si>
    <t>Asabe Musa</t>
  </si>
  <si>
    <t>28/02/2022</t>
  </si>
  <si>
    <t>17/06/2024</t>
  </si>
  <si>
    <t>MFS-14001</t>
  </si>
  <si>
    <t>Wale Ogbonna</t>
  </si>
  <si>
    <t>03/09/2020</t>
  </si>
  <si>
    <t>17/01/2023</t>
  </si>
  <si>
    <t>MFS-31804</t>
  </si>
  <si>
    <t>Lola Suleiman</t>
  </si>
  <si>
    <t>17/09/2019</t>
  </si>
  <si>
    <t>MFS-97962</t>
  </si>
  <si>
    <t>Chinyere Amadi</t>
  </si>
  <si>
    <t>01/07/2022</t>
  </si>
  <si>
    <t>MFS-66595</t>
  </si>
  <si>
    <t>Ezinne Aliyu</t>
  </si>
  <si>
    <t>12/02/2023</t>
  </si>
  <si>
    <t>MFS-10861</t>
  </si>
  <si>
    <t>Chiamaka Adesanya</t>
  </si>
  <si>
    <t>21/12/2023</t>
  </si>
  <si>
    <t>MFS-10766</t>
  </si>
  <si>
    <t>Zainab Onwudiwe</t>
  </si>
  <si>
    <t>30/08/2019</t>
  </si>
  <si>
    <t>MFS-30059</t>
  </si>
  <si>
    <t>Rotimi Obi</t>
  </si>
  <si>
    <t>MFS-48198</t>
  </si>
  <si>
    <t>Bello Danladi</t>
  </si>
  <si>
    <t>20/07/2021</t>
  </si>
  <si>
    <t>24/02/2025</t>
  </si>
  <si>
    <t>MFS-84228</t>
  </si>
  <si>
    <t>Dele Nnamdi</t>
  </si>
  <si>
    <t>05/07/2021</t>
  </si>
  <si>
    <t>MFS-32577</t>
  </si>
  <si>
    <t>Suleiman Fagbemi</t>
  </si>
  <si>
    <t>10/11/2022</t>
  </si>
  <si>
    <t>MFS-52346</t>
  </si>
  <si>
    <t>Emeka Yakubu</t>
  </si>
  <si>
    <t>24/09/2019</t>
  </si>
  <si>
    <t>24/09/2024</t>
  </si>
  <si>
    <t>MFS-72026</t>
  </si>
  <si>
    <t>Ugochi Garba</t>
  </si>
  <si>
    <t>23/07/2023</t>
  </si>
  <si>
    <t>05/09/2024</t>
  </si>
  <si>
    <t>MFS-27639</t>
  </si>
  <si>
    <t>Adebayo Adebayo</t>
  </si>
  <si>
    <t>17/01/2021</t>
  </si>
  <si>
    <t>31/03/2024</t>
  </si>
  <si>
    <t>MFS-15836</t>
  </si>
  <si>
    <t>Ifeanyi Uba</t>
  </si>
  <si>
    <t>29/10/2019</t>
  </si>
  <si>
    <t>MFS-98923</t>
  </si>
  <si>
    <t>Garba Ogbonna</t>
  </si>
  <si>
    <t>01/09/2022</t>
  </si>
  <si>
    <t>MFS-78814</t>
  </si>
  <si>
    <t>Gbenga Garba</t>
  </si>
  <si>
    <t>13/12/2022</t>
  </si>
  <si>
    <t>MFS-70079</t>
  </si>
  <si>
    <t>Kemi Haruna</t>
  </si>
  <si>
    <t>21/04/2019</t>
  </si>
  <si>
    <t>MFS-12188</t>
  </si>
  <si>
    <t>Ogechi Danladi</t>
  </si>
  <si>
    <t>26/08/2021</t>
  </si>
  <si>
    <t>MFS-41774</t>
  </si>
  <si>
    <t>Rotimi Aliyu</t>
  </si>
  <si>
    <t>20/06/2020</t>
  </si>
  <si>
    <t>06/12/2021</t>
  </si>
  <si>
    <t>MFS-93099</t>
  </si>
  <si>
    <t>Yakubu Amadi</t>
  </si>
  <si>
    <t>full time</t>
  </si>
  <si>
    <t>13/04/2020</t>
  </si>
  <si>
    <t>28/08/2024</t>
  </si>
  <si>
    <t>MFS-83075</t>
  </si>
  <si>
    <t>Bimpe Nduka</t>
  </si>
  <si>
    <t>28/09/2023</t>
  </si>
  <si>
    <t>MFS-71393</t>
  </si>
  <si>
    <t>Chinedu Bello</t>
  </si>
  <si>
    <t>13/06/2022</t>
  </si>
  <si>
    <t>MFS-19712</t>
  </si>
  <si>
    <t>Rabiu Adewale</t>
  </si>
  <si>
    <t>MFS-84022</t>
  </si>
  <si>
    <t>Adeola Shehu</t>
  </si>
  <si>
    <t>06/04/2023</t>
  </si>
  <si>
    <t>14/01/2024</t>
  </si>
  <si>
    <t>MFS-26826</t>
  </si>
  <si>
    <t>Kunle Haruna</t>
  </si>
  <si>
    <t>11/09/2020</t>
  </si>
  <si>
    <t>MFS-87421</t>
  </si>
  <si>
    <t>Adeola Obi</t>
  </si>
  <si>
    <t>16/01/2020</t>
  </si>
  <si>
    <t>19/03/2025</t>
  </si>
  <si>
    <t>MFS-61292</t>
  </si>
  <si>
    <t>Ebuka Abdullahi</t>
  </si>
  <si>
    <t>07/01/2023</t>
  </si>
  <si>
    <t>MFS-80064</t>
  </si>
  <si>
    <t>Oghenekaro Afolabi</t>
  </si>
  <si>
    <t>09/10/2023</t>
  </si>
  <si>
    <t>23/01/2025</t>
  </si>
  <si>
    <t>173,000.0</t>
  </si>
  <si>
    <t>MFS-28894</t>
  </si>
  <si>
    <t>11/10/2023</t>
  </si>
  <si>
    <t>MFS-61705</t>
  </si>
  <si>
    <t>Biodun Adesanya</t>
  </si>
  <si>
    <t>24/08/2020</t>
  </si>
  <si>
    <t>MFS-99671</t>
  </si>
  <si>
    <t>Dele Garba</t>
  </si>
  <si>
    <t>26/12/2022</t>
  </si>
  <si>
    <t>MFS-40623</t>
  </si>
  <si>
    <t>Usman Danladi</t>
  </si>
  <si>
    <t>03/01/2023</t>
  </si>
  <si>
    <t>08/05/2024</t>
  </si>
  <si>
    <t>MFS-76083</t>
  </si>
  <si>
    <t>Ngozi Abdullahi</t>
  </si>
  <si>
    <t>17/03/2019</t>
  </si>
  <si>
    <t>27/04/2021</t>
  </si>
  <si>
    <t>MFS-90777</t>
  </si>
  <si>
    <t>Shehu Shehu</t>
  </si>
  <si>
    <t>01/11/2022</t>
  </si>
  <si>
    <t>16/12/2023</t>
  </si>
  <si>
    <t>MFS-29405</t>
  </si>
  <si>
    <t>Shehu Okafor</t>
  </si>
  <si>
    <t>sales</t>
  </si>
  <si>
    <t>10/03/2020</t>
  </si>
  <si>
    <t>MFS-69058</t>
  </si>
  <si>
    <t>Oluwaseun Danladi</t>
  </si>
  <si>
    <t>04/11/2022</t>
  </si>
  <si>
    <t>06/11/2023</t>
  </si>
  <si>
    <t>MFS-52777</t>
  </si>
  <si>
    <t>Suleiman Nduka</t>
  </si>
  <si>
    <t>MFS-97955</t>
  </si>
  <si>
    <t>Uloma Yakubu</t>
  </si>
  <si>
    <t>13/06/2021</t>
  </si>
  <si>
    <t>MFS-34193</t>
  </si>
  <si>
    <t>Uche Buhari</t>
  </si>
  <si>
    <t>15/09/2021</t>
  </si>
  <si>
    <t>MFS-73956</t>
  </si>
  <si>
    <t>Uloma Adebayo</t>
  </si>
  <si>
    <t>07/04/2023</t>
  </si>
  <si>
    <t>MFS-15610</t>
  </si>
  <si>
    <t>Haruna Afolabi</t>
  </si>
  <si>
    <t>11/02/2022</t>
  </si>
  <si>
    <t>21/10/2024</t>
  </si>
  <si>
    <t>MFS-82929</t>
  </si>
  <si>
    <t>Sola Nduka</t>
  </si>
  <si>
    <t>MFS-18933</t>
  </si>
  <si>
    <t>Gbenga Nduka</t>
  </si>
  <si>
    <t>07/12/2020</t>
  </si>
  <si>
    <t>29/05/2022</t>
  </si>
  <si>
    <t>MFS-32119</t>
  </si>
  <si>
    <t>Yetunde Bello</t>
  </si>
  <si>
    <t>06/03/2021</t>
  </si>
  <si>
    <t>MFS-47435</t>
  </si>
  <si>
    <t>Adaora Adeyemi</t>
  </si>
  <si>
    <t>29/11/2021</t>
  </si>
  <si>
    <t>12/03/2025</t>
  </si>
  <si>
    <t>MFS-96772</t>
  </si>
  <si>
    <t>Bello Lawal</t>
  </si>
  <si>
    <t>09/11/2022</t>
  </si>
  <si>
    <t>MFS-97385</t>
  </si>
  <si>
    <t>Chukwuemeka Okonkwo</t>
  </si>
  <si>
    <t>28/03/2019</t>
  </si>
  <si>
    <t>MFS-29924</t>
  </si>
  <si>
    <t>Fatima Oyelaran</t>
  </si>
  <si>
    <t>14/04/2021</t>
  </si>
  <si>
    <t>16/01/2024</t>
  </si>
  <si>
    <t>MFS-94914</t>
  </si>
  <si>
    <t>Ogechi Taiwo</t>
  </si>
  <si>
    <t>21/01/2023</t>
  </si>
  <si>
    <t>MFS-74867</t>
  </si>
  <si>
    <t>Kunle Aliyu</t>
  </si>
  <si>
    <t>08/03/2023</t>
  </si>
  <si>
    <t>MFS-10932</t>
  </si>
  <si>
    <t>Chiamaka Nduka</t>
  </si>
  <si>
    <t>25/09/2022</t>
  </si>
  <si>
    <t>MFS-72793</t>
  </si>
  <si>
    <t>Chukwuemeka Aliyu</t>
  </si>
  <si>
    <t>14/04/2019</t>
  </si>
  <si>
    <t>MFS-89058</t>
  </si>
  <si>
    <t>Nneka Okonkwo</t>
  </si>
  <si>
    <t>05/08/2020</t>
  </si>
  <si>
    <t>30/07/2023</t>
  </si>
  <si>
    <t>MFS-49440</t>
  </si>
  <si>
    <t>Bimpe Adeyemi</t>
  </si>
  <si>
    <t>MFS-62949</t>
  </si>
  <si>
    <t>Chioma Onwudiwe</t>
  </si>
  <si>
    <t>02/11/2021</t>
  </si>
  <si>
    <t>MFS-96565</t>
  </si>
  <si>
    <t>Lanre Bello</t>
  </si>
  <si>
    <t>09/01/2022</t>
  </si>
  <si>
    <t>MFS-72209</t>
  </si>
  <si>
    <t>Adaeze Danladi</t>
  </si>
  <si>
    <t>21/12/2021</t>
  </si>
  <si>
    <t>MFS-49229</t>
  </si>
  <si>
    <t>Rotimi Obaseki</t>
  </si>
  <si>
    <t>05/11/2020</t>
  </si>
  <si>
    <t>MFS-73059</t>
  </si>
  <si>
    <t>Chibuike Haruna</t>
  </si>
  <si>
    <t>MFS-19103</t>
  </si>
  <si>
    <t>Tobi Nduka</t>
  </si>
  <si>
    <t>14/01/2023</t>
  </si>
  <si>
    <t>MFS-57858</t>
  </si>
  <si>
    <t>Chidi Obaseki</t>
  </si>
  <si>
    <t>27/11/2019</t>
  </si>
  <si>
    <t>MFS-87070</t>
  </si>
  <si>
    <t>Tunde Okeke</t>
  </si>
  <si>
    <t>07/06/2019</t>
  </si>
  <si>
    <t>MFS-85743</t>
  </si>
  <si>
    <t>Nneka Omotayo</t>
  </si>
  <si>
    <t>28/08/2021</t>
  </si>
  <si>
    <t>MFS-41266</t>
  </si>
  <si>
    <t>Babatunde Nduka</t>
  </si>
  <si>
    <t>29/12/2021</t>
  </si>
  <si>
    <t>MFS-56101</t>
  </si>
  <si>
    <t>Kunle Omotayo</t>
  </si>
  <si>
    <t>MFS-73036</t>
  </si>
  <si>
    <t>01/02/2020</t>
  </si>
  <si>
    <t>08/04/2021</t>
  </si>
  <si>
    <t>MFS-13794</t>
  </si>
  <si>
    <t>Kunle Chukwu</t>
  </si>
  <si>
    <t>25/12/2019</t>
  </si>
  <si>
    <t>MFS-97005</t>
  </si>
  <si>
    <t>Wale Garba</t>
  </si>
  <si>
    <t>17/09/2021</t>
  </si>
  <si>
    <t>31/05/2024</t>
  </si>
  <si>
    <t>MFS-66387</t>
  </si>
  <si>
    <t>Gbenga Obi</t>
  </si>
  <si>
    <t>19/05/2023</t>
  </si>
  <si>
    <t>MFS-49080</t>
  </si>
  <si>
    <t>Falmata Adewale</t>
  </si>
  <si>
    <t>14/11/2023</t>
  </si>
  <si>
    <t>02/08/2024</t>
  </si>
  <si>
    <t>MFS-96733</t>
  </si>
  <si>
    <t>Fatima Coker</t>
  </si>
  <si>
    <t>13/08/2023</t>
  </si>
  <si>
    <t>11/10/2024</t>
  </si>
  <si>
    <t>MFS-69839</t>
  </si>
  <si>
    <t>Nasiru Bello</t>
  </si>
  <si>
    <t>26/09/2023</t>
  </si>
  <si>
    <t>MFS-52102</t>
  </si>
  <si>
    <t>Chinedu Abdullahi</t>
  </si>
  <si>
    <t>10/10/2020</t>
  </si>
  <si>
    <t>MFS-36377</t>
  </si>
  <si>
    <t>Nnamdi Danladi</t>
  </si>
  <si>
    <t>23/11/2020</t>
  </si>
  <si>
    <t>MFS-52110</t>
  </si>
  <si>
    <t>Wale Afolabi</t>
  </si>
  <si>
    <t>17/08/2020</t>
  </si>
  <si>
    <t>MFS-47287</t>
  </si>
  <si>
    <t>Laraba Aliyu</t>
  </si>
  <si>
    <t>25/12/2023</t>
  </si>
  <si>
    <t>MFS-73442</t>
  </si>
  <si>
    <t>Asabe Fagbemi</t>
  </si>
  <si>
    <t>16/12/2021</t>
  </si>
  <si>
    <t>MFS-33148</t>
  </si>
  <si>
    <t>Dele Ogbonna</t>
  </si>
  <si>
    <t>26/12/2019</t>
  </si>
  <si>
    <t>11/02/2023</t>
  </si>
  <si>
    <t>MFS-77677</t>
  </si>
  <si>
    <t>Gbenga Amadi</t>
  </si>
  <si>
    <t>10/01/2022</t>
  </si>
  <si>
    <t>MFS-72415</t>
  </si>
  <si>
    <t>Ugochi Okafor</t>
  </si>
  <si>
    <t>13/03/2022</t>
  </si>
  <si>
    <t>MFS-10235</t>
  </si>
  <si>
    <t>Rukayya Nnamdi</t>
  </si>
  <si>
    <t>MFS-38462</t>
  </si>
  <si>
    <t>Funmilayo Ihejirika</t>
  </si>
  <si>
    <t>06/06/2020</t>
  </si>
  <si>
    <t>MFS-66815</t>
  </si>
  <si>
    <t>Oghenekaro Adewale</t>
  </si>
  <si>
    <t>MFS-70868</t>
  </si>
  <si>
    <t>29/03/2021</t>
  </si>
  <si>
    <t>MFS-35854</t>
  </si>
  <si>
    <t>Biodun Yakubu</t>
  </si>
  <si>
    <t>17/11/2023</t>
  </si>
  <si>
    <t>MFS-41157</t>
  </si>
  <si>
    <t>Ibrahim Obaseki</t>
  </si>
  <si>
    <t>14/01/2025</t>
  </si>
  <si>
    <t>MFS-24033</t>
  </si>
  <si>
    <t>Rotimi Danladi</t>
  </si>
  <si>
    <t>22/08/2020</t>
  </si>
  <si>
    <t>21/01/2024</t>
  </si>
  <si>
    <t>MFS-48785</t>
  </si>
  <si>
    <t>Ugochi Obaseki</t>
  </si>
  <si>
    <t>06/10/2020</t>
  </si>
  <si>
    <t>MFS-85760</t>
  </si>
  <si>
    <t>Funmilayo Danladi</t>
  </si>
  <si>
    <t>24/04/2021</t>
  </si>
  <si>
    <t>08/01/2022</t>
  </si>
  <si>
    <t>MFS-62435</t>
  </si>
  <si>
    <t>Kabiru Amadi</t>
  </si>
  <si>
    <t>MFS-58389</t>
  </si>
  <si>
    <t>Rukayya Obaseki</t>
  </si>
  <si>
    <t>06/06/2022</t>
  </si>
  <si>
    <t>MFS-74166</t>
  </si>
  <si>
    <t>Chioma Okonkwo</t>
  </si>
  <si>
    <t>24/05/2021</t>
  </si>
  <si>
    <t>14/01/2022</t>
  </si>
  <si>
    <t>MFS-27563</t>
  </si>
  <si>
    <t>Adaeze Haruna</t>
  </si>
  <si>
    <t>02/07/2020</t>
  </si>
  <si>
    <t>MFS-60916</t>
  </si>
  <si>
    <t>Wale Ihejirika</t>
  </si>
  <si>
    <t>14/03/2019</t>
  </si>
  <si>
    <t>MFS-71066</t>
  </si>
  <si>
    <t>08/05/2023</t>
  </si>
  <si>
    <t>MFS-53263</t>
  </si>
  <si>
    <t>Nnamdi Taiwo</t>
  </si>
  <si>
    <t>MFS-13413</t>
  </si>
  <si>
    <t>Chinyere Okeke</t>
  </si>
  <si>
    <t>19/02/2020</t>
  </si>
  <si>
    <t>MFS-98931</t>
  </si>
  <si>
    <t>Seun Abdullahi</t>
  </si>
  <si>
    <t>04/12/2020</t>
  </si>
  <si>
    <t>MFS-23742</t>
  </si>
  <si>
    <t>04/05/2020</t>
  </si>
  <si>
    <t>MFS-16257</t>
  </si>
  <si>
    <t>Obinna Aliyu</t>
  </si>
  <si>
    <t>20/09/2022</t>
  </si>
  <si>
    <t>MFS-25943</t>
  </si>
  <si>
    <t>Gbenga Nnamdi</t>
  </si>
  <si>
    <t>11/01/2022</t>
  </si>
  <si>
    <t>MFS-72553</t>
  </si>
  <si>
    <t>Fatima Uba</t>
  </si>
  <si>
    <t>23/03/2021</t>
  </si>
  <si>
    <t>MFS-32241</t>
  </si>
  <si>
    <t>Nkechi Nnamdi</t>
  </si>
  <si>
    <t>MFS-46765</t>
  </si>
  <si>
    <t>Hadiza Aliyu</t>
  </si>
  <si>
    <t>11/03/2019</t>
  </si>
  <si>
    <t>MFS-55382</t>
  </si>
  <si>
    <t>Falmata Onwudiwe</t>
  </si>
  <si>
    <t>31/10/2023</t>
  </si>
  <si>
    <t>30/08/2024</t>
  </si>
  <si>
    <t>MFS-25963</t>
  </si>
  <si>
    <t>Bilkisu Haruna</t>
  </si>
  <si>
    <t>02/12/2023</t>
  </si>
  <si>
    <t>MFS-67266</t>
  </si>
  <si>
    <t>Titi Adewale</t>
  </si>
  <si>
    <t>MFS-66039</t>
  </si>
  <si>
    <t>Chiamaka Ogundipe</t>
  </si>
  <si>
    <t>07/08/2021</t>
  </si>
  <si>
    <t>MFS-84961</t>
  </si>
  <si>
    <t>Ebuka Eze</t>
  </si>
  <si>
    <t>29/12/2019</t>
  </si>
  <si>
    <t>03/08/2021</t>
  </si>
  <si>
    <t>MFS-41398</t>
  </si>
  <si>
    <t>Fatima Fagbemi</t>
  </si>
  <si>
    <t>MFS-66924</t>
  </si>
  <si>
    <t>Asabe Coker</t>
  </si>
  <si>
    <t>03/02/2022</t>
  </si>
  <si>
    <t>26/07/2024</t>
  </si>
  <si>
    <t>MFS-62797</t>
  </si>
  <si>
    <t>Eze Lawal</t>
  </si>
  <si>
    <t>16/07/2020</t>
  </si>
  <si>
    <t>MFS-36930</t>
  </si>
  <si>
    <t>03/03/2021</t>
  </si>
  <si>
    <t>19/09/2021</t>
  </si>
  <si>
    <t>MFS-41149</t>
  </si>
  <si>
    <t>Babatunde Okafor</t>
  </si>
  <si>
    <t>20/07/2019</t>
  </si>
  <si>
    <t>29/09/2022</t>
  </si>
  <si>
    <t>MFS-98409</t>
  </si>
  <si>
    <t>Biodun Chukwu</t>
  </si>
  <si>
    <t>04/02/2019</t>
  </si>
  <si>
    <t>03/01/2021</t>
  </si>
  <si>
    <t>MFS-32428</t>
  </si>
  <si>
    <t>Tunde Adesanya</t>
  </si>
  <si>
    <t>30/12/2021</t>
  </si>
  <si>
    <t>MFS-88694</t>
  </si>
  <si>
    <t>Damilola Adesanya</t>
  </si>
  <si>
    <t>22/10/2022</t>
  </si>
  <si>
    <t>MFS-22126</t>
  </si>
  <si>
    <t>Ibrahim Adesanya</t>
  </si>
  <si>
    <t>21/12/2022</t>
  </si>
  <si>
    <t>MFS-50222</t>
  </si>
  <si>
    <t>Sola Haruna</t>
  </si>
  <si>
    <t>08/04/2020</t>
  </si>
  <si>
    <t>01/04/2024</t>
  </si>
  <si>
    <t>MFS-36038</t>
  </si>
  <si>
    <t>Chinyere Musa</t>
  </si>
  <si>
    <t>MFS-59009</t>
  </si>
  <si>
    <t>05/05/2020</t>
  </si>
  <si>
    <t>MFS-28786</t>
  </si>
  <si>
    <t>Shehu Adesanya</t>
  </si>
  <si>
    <t>31/10/2020</t>
  </si>
  <si>
    <t>MFS-17160</t>
  </si>
  <si>
    <t>Wale Ogundipe</t>
  </si>
  <si>
    <t>27/02/2020</t>
  </si>
  <si>
    <t>MFS-93107</t>
  </si>
  <si>
    <t>13/11/2021</t>
  </si>
  <si>
    <t>MFS-26411</t>
  </si>
  <si>
    <t>Chukwuemeka Coker</t>
  </si>
  <si>
    <t>16/04/2020</t>
  </si>
  <si>
    <t>20/01/2021</t>
  </si>
  <si>
    <t>MFS-46634</t>
  </si>
  <si>
    <t>Wale Obaseki</t>
  </si>
  <si>
    <t>30/01/2021</t>
  </si>
  <si>
    <t>MFS-75016</t>
  </si>
  <si>
    <t>Obinna Nduka</t>
  </si>
  <si>
    <t>29/06/2019</t>
  </si>
  <si>
    <t>21/01/2022</t>
  </si>
  <si>
    <t>MFS-38064</t>
  </si>
  <si>
    <t>Nasiru Okafor</t>
  </si>
  <si>
    <t>05/02/2023</t>
  </si>
  <si>
    <t>28/12/2023</t>
  </si>
  <si>
    <t>MFS-93776</t>
  </si>
  <si>
    <t>Rotimi Onwudiwe</t>
  </si>
  <si>
    <t>MFS-40983</t>
  </si>
  <si>
    <t>Bello Uba</t>
  </si>
  <si>
    <t>21/05/2021</t>
  </si>
  <si>
    <t>MFS-37318</t>
  </si>
  <si>
    <t>Oluwaseun Adeyemi</t>
  </si>
  <si>
    <t>10/10/2021</t>
  </si>
  <si>
    <t>MFS-95078</t>
  </si>
  <si>
    <t>Ugochi Haruna</t>
  </si>
  <si>
    <t>MFS-12550</t>
  </si>
  <si>
    <t>03/12/2022</t>
  </si>
  <si>
    <t>MFS-89451</t>
  </si>
  <si>
    <t>Yetunde Haruna</t>
  </si>
  <si>
    <t>23/03/2019</t>
  </si>
  <si>
    <t>MFS-45202</t>
  </si>
  <si>
    <t>Ifeanyi Okafor</t>
  </si>
  <si>
    <t>04/07/2024</t>
  </si>
  <si>
    <t>MFS-16326</t>
  </si>
  <si>
    <t>Chiamaka Okafor</t>
  </si>
  <si>
    <t>19/12/2021</t>
  </si>
  <si>
    <t>MFS-70978</t>
  </si>
  <si>
    <t>08/07/2023</t>
  </si>
  <si>
    <t>MFS-21946</t>
  </si>
  <si>
    <t>Oluwaseun Chukwu</t>
  </si>
  <si>
    <t>25/10/2020</t>
  </si>
  <si>
    <t>MFS-81246</t>
  </si>
  <si>
    <t>Babatunde Ogbonna</t>
  </si>
  <si>
    <t>01/03/2020</t>
  </si>
  <si>
    <t>17/09/2020</t>
  </si>
  <si>
    <t>MFS-80822</t>
  </si>
  <si>
    <t>03/10/2020</t>
  </si>
  <si>
    <t>12/05/2024</t>
  </si>
  <si>
    <t>MFS-63778</t>
  </si>
  <si>
    <t>Oghenekaro Haruna</t>
  </si>
  <si>
    <t>22/09/2021</t>
  </si>
  <si>
    <t>MFS-17473</t>
  </si>
  <si>
    <t>25/08/2023</t>
  </si>
  <si>
    <t>MFS-97739</t>
  </si>
  <si>
    <t>Nkechi Nduka</t>
  </si>
  <si>
    <t>22/04/2021</t>
  </si>
  <si>
    <t>09/03/2024</t>
  </si>
  <si>
    <t>MFS-76772</t>
  </si>
  <si>
    <t>Kemi Suleiman</t>
  </si>
  <si>
    <t>MFS-78342</t>
  </si>
  <si>
    <t>Lola Uba</t>
  </si>
  <si>
    <t>10/07/2021</t>
  </si>
  <si>
    <t>26/03/2022</t>
  </si>
  <si>
    <t>MFS-86906</t>
  </si>
  <si>
    <t>Rukayya Nwachukwu</t>
  </si>
  <si>
    <t>13/04/2023</t>
  </si>
  <si>
    <t>MFS-62546</t>
  </si>
  <si>
    <t>11/02/2025</t>
  </si>
  <si>
    <t>MFS-24058</t>
  </si>
  <si>
    <t>Ugochi Coker</t>
  </si>
  <si>
    <t>23/11/2019</t>
  </si>
  <si>
    <t>23/10/2020</t>
  </si>
  <si>
    <t>MFS-86831</t>
  </si>
  <si>
    <t>Musa Fagbemi</t>
  </si>
  <si>
    <t>MFS-46167</t>
  </si>
  <si>
    <t>Bukola Omotayo</t>
  </si>
  <si>
    <t>MFS-17995</t>
  </si>
  <si>
    <t>Kemi Obaseki</t>
  </si>
  <si>
    <t>22/10/2023</t>
  </si>
  <si>
    <t>MFS-10103</t>
  </si>
  <si>
    <t>Lola Fagbemi</t>
  </si>
  <si>
    <t>21/09/2019</t>
  </si>
  <si>
    <t>MFS-79377</t>
  </si>
  <si>
    <t>Ifeoma Okafor</t>
  </si>
  <si>
    <t>31/05/2022</t>
  </si>
  <si>
    <t>19/01/2024</t>
  </si>
  <si>
    <t>MFS-57216</t>
  </si>
  <si>
    <t>Emeka Obi</t>
  </si>
  <si>
    <t>16/12/2022</t>
  </si>
  <si>
    <t>07/03/2024</t>
  </si>
  <si>
    <t>MFS-36189</t>
  </si>
  <si>
    <t>Biodun Onwudiwe</t>
  </si>
  <si>
    <t>03/01/2020</t>
  </si>
  <si>
    <t>27/12/2020</t>
  </si>
  <si>
    <t>MFS-21361</t>
  </si>
  <si>
    <t>Seun Ogundipe</t>
  </si>
  <si>
    <t>22/05/2020</t>
  </si>
  <si>
    <t>MFS-99881</t>
  </si>
  <si>
    <t>Sola Abdullahi</t>
  </si>
  <si>
    <t>12/01/2023</t>
  </si>
  <si>
    <t>MFS-91766</t>
  </si>
  <si>
    <t>Uloma Uba</t>
  </si>
  <si>
    <t>18/06/2021</t>
  </si>
  <si>
    <t>MFS-58303</t>
  </si>
  <si>
    <t>Amaka Buhari</t>
  </si>
  <si>
    <t>22/07/2023</t>
  </si>
  <si>
    <t>MFS-21825</t>
  </si>
  <si>
    <t>Ezinne Nnamdi</t>
  </si>
  <si>
    <t>19/08/2022</t>
  </si>
  <si>
    <t>MFS-69895</t>
  </si>
  <si>
    <t>Ifeanyi Okeke</t>
  </si>
  <si>
    <t>17/06/2023</t>
  </si>
  <si>
    <t>MFS-56070</t>
  </si>
  <si>
    <t>Obinna Nnamdi</t>
  </si>
  <si>
    <t>MFS-85978</t>
  </si>
  <si>
    <t>Chukwuemeka Okafor</t>
  </si>
  <si>
    <t>08/12/2021</t>
  </si>
  <si>
    <t>MFS-35598</t>
  </si>
  <si>
    <t>Ugochi Amadi</t>
  </si>
  <si>
    <t>12/03/2021</t>
  </si>
  <si>
    <t>MFS-14081</t>
  </si>
  <si>
    <t>Nkechi Okafor</t>
  </si>
  <si>
    <t>28/01/2020</t>
  </si>
  <si>
    <t>MFS-22739</t>
  </si>
  <si>
    <t>Bimpe Okeke</t>
  </si>
  <si>
    <t>22/10/2020</t>
  </si>
  <si>
    <t>MFS-16218</t>
  </si>
  <si>
    <t>Ugochi Nwosu</t>
  </si>
  <si>
    <t>25/01/2023</t>
  </si>
  <si>
    <t>MFS-15545</t>
  </si>
  <si>
    <t>Suleiman Adewale</t>
  </si>
  <si>
    <t>25/04/2021</t>
  </si>
  <si>
    <t>MFS-51773</t>
  </si>
  <si>
    <t>Hauwa Coker</t>
  </si>
  <si>
    <t>16/05/2024</t>
  </si>
  <si>
    <t>MFS-94248</t>
  </si>
  <si>
    <t>Folake Coker</t>
  </si>
  <si>
    <t>06/02/2021</t>
  </si>
  <si>
    <t>MFS-29462</t>
  </si>
  <si>
    <t>Haruna Coker</t>
  </si>
  <si>
    <t>30/04/2022</t>
  </si>
  <si>
    <t>29/05/2023</t>
  </si>
  <si>
    <t>MFS-13053</t>
  </si>
  <si>
    <t>Ugochi Adeyemi</t>
  </si>
  <si>
    <t>MFS-17938</t>
  </si>
  <si>
    <t>Funmilayo Lawal</t>
  </si>
  <si>
    <t>18/06/2020</t>
  </si>
  <si>
    <t>25/05/2021</t>
  </si>
  <si>
    <t>MFS-95916</t>
  </si>
  <si>
    <t>Aisha Ihejirika</t>
  </si>
  <si>
    <t>29/03/2023</t>
  </si>
  <si>
    <t>MFS-43463</t>
  </si>
  <si>
    <t>Ebuka Okeke</t>
  </si>
  <si>
    <t>25/05/2023</t>
  </si>
  <si>
    <t>MFS-96136</t>
  </si>
  <si>
    <t>Adebayo Okafor</t>
  </si>
  <si>
    <t>MFS-82157</t>
  </si>
  <si>
    <t>Chukwuemeka Nnamdi</t>
  </si>
  <si>
    <t>MFS-59592</t>
  </si>
  <si>
    <t>Emeka Taiwo</t>
  </si>
  <si>
    <t>MFS-49302</t>
  </si>
  <si>
    <t>Laraba Nwachukwu</t>
  </si>
  <si>
    <t>19/07/2023</t>
  </si>
  <si>
    <t>30/03/2025</t>
  </si>
  <si>
    <t>MFS-67478</t>
  </si>
  <si>
    <t>Laraba Eze</t>
  </si>
  <si>
    <t>MFS-52006</t>
  </si>
  <si>
    <t>Haruna Danladi</t>
  </si>
  <si>
    <t>18/02/2021</t>
  </si>
  <si>
    <t>MFS-94256</t>
  </si>
  <si>
    <t>Garba Adewale</t>
  </si>
  <si>
    <t>22/07/2019</t>
  </si>
  <si>
    <t>MFS-61802</t>
  </si>
  <si>
    <t>Zainab Okafor</t>
  </si>
  <si>
    <t>21/05/2023</t>
  </si>
  <si>
    <t>MFS-22289</t>
  </si>
  <si>
    <t>Seun Afolabi</t>
  </si>
  <si>
    <t>29/09/2021</t>
  </si>
  <si>
    <t>15/12/2024</t>
  </si>
  <si>
    <t>MFS-57788</t>
  </si>
  <si>
    <t>Kemi Obi</t>
  </si>
  <si>
    <t>03/05/2023</t>
  </si>
  <si>
    <t>05/02/2024</t>
  </si>
  <si>
    <t>MFS-68459</t>
  </si>
  <si>
    <t>Folake Okafor</t>
  </si>
  <si>
    <t>26/07/2020</t>
  </si>
  <si>
    <t>05/08/2024</t>
  </si>
  <si>
    <t>MFS-70643</t>
  </si>
  <si>
    <t>Lola Aliyu</t>
  </si>
  <si>
    <t>12/03/2022</t>
  </si>
  <si>
    <t>MFS-47029</t>
  </si>
  <si>
    <t>Ngozi Okafor</t>
  </si>
  <si>
    <t>MFS-65603</t>
  </si>
  <si>
    <t>Abubakar Adewale</t>
  </si>
  <si>
    <t>17/11/2022</t>
  </si>
  <si>
    <t>05/04/2024</t>
  </si>
  <si>
    <t>MFS-65686</t>
  </si>
  <si>
    <t>Shade Garba</t>
  </si>
  <si>
    <t>10/04/2023</t>
  </si>
  <si>
    <t>MFS-21829</t>
  </si>
  <si>
    <t>Chukwuemeka Oyelaran</t>
  </si>
  <si>
    <t>22/03/2020</t>
  </si>
  <si>
    <t>MFS-36801</t>
  </si>
  <si>
    <t>Hadiza Shehu</t>
  </si>
  <si>
    <t>18/05/2022</t>
  </si>
  <si>
    <t>MFS-90533</t>
  </si>
  <si>
    <t>Ngozi Afolabi</t>
  </si>
  <si>
    <t>09/03/2023</t>
  </si>
  <si>
    <t>MFS-74740</t>
  </si>
  <si>
    <t>Yakubu Adeyemi</t>
  </si>
  <si>
    <t>MFS-30517</t>
  </si>
  <si>
    <t>Chinedu Eze</t>
  </si>
  <si>
    <t>08/11/2022</t>
  </si>
  <si>
    <t>MFS-88675</t>
  </si>
  <si>
    <t>Bello Shehu</t>
  </si>
  <si>
    <t>09/08/2020</t>
  </si>
  <si>
    <t>MFS-14087</t>
  </si>
  <si>
    <t>Shehu Garba</t>
  </si>
  <si>
    <t>30/08/2021</t>
  </si>
  <si>
    <t>MFS-46980</t>
  </si>
  <si>
    <t>Adeola Chukwu</t>
  </si>
  <si>
    <t>18/04/2021</t>
  </si>
  <si>
    <t>MFS-54050</t>
  </si>
  <si>
    <t>Folake Haruna</t>
  </si>
  <si>
    <t>02/05/2022</t>
  </si>
  <si>
    <t>28/06/2023</t>
  </si>
  <si>
    <t>MFS-15814</t>
  </si>
  <si>
    <t>Ugochi Shehu</t>
  </si>
  <si>
    <t>13/02/2020</t>
  </si>
  <si>
    <t>MFS-82109</t>
  </si>
  <si>
    <t>Lola Garba</t>
  </si>
  <si>
    <t>26/08/2019</t>
  </si>
  <si>
    <t>MFS-50151</t>
  </si>
  <si>
    <t>Chiamaka Oyelaran</t>
  </si>
  <si>
    <t>20/10/2023</t>
  </si>
  <si>
    <t>MFS-47599</t>
  </si>
  <si>
    <t>Nkechi Afolabi</t>
  </si>
  <si>
    <t>07/06/2020</t>
  </si>
  <si>
    <t>MFS-28746</t>
  </si>
  <si>
    <t>Ezinne Okeke</t>
  </si>
  <si>
    <t>30/07/2022</t>
  </si>
  <si>
    <t>MFS-73258</t>
  </si>
  <si>
    <t>Adeola Okafor</t>
  </si>
  <si>
    <t>29/07/2021</t>
  </si>
  <si>
    <t>MFS-76477</t>
  </si>
  <si>
    <t>Ogechi Abdullahi</t>
  </si>
  <si>
    <t>21/02/2020</t>
  </si>
  <si>
    <t>15/08/2023</t>
  </si>
  <si>
    <t>MFS-92684</t>
  </si>
  <si>
    <t>Musa Okafor</t>
  </si>
  <si>
    <t>08/11/2019</t>
  </si>
  <si>
    <t>MFS-49110</t>
  </si>
  <si>
    <t>Adeola Abdullahi</t>
  </si>
  <si>
    <t>16/08/2021</t>
  </si>
  <si>
    <t>MFS-51383</t>
  </si>
  <si>
    <t>Chibuike Eze</t>
  </si>
  <si>
    <t>09/02/2022</t>
  </si>
  <si>
    <t>MFS-69139</t>
  </si>
  <si>
    <t>Oghenekaro Eze</t>
  </si>
  <si>
    <t>25/10/2021</t>
  </si>
  <si>
    <t>31/07/2022</t>
  </si>
  <si>
    <t>MFS-32037</t>
  </si>
  <si>
    <t>28/06/2024</t>
  </si>
  <si>
    <t>MFS-93591</t>
  </si>
  <si>
    <t>Yakubu Nwosu</t>
  </si>
  <si>
    <t>14/02/2019</t>
  </si>
  <si>
    <t>22/03/2022</t>
  </si>
  <si>
    <t>MFS-80852</t>
  </si>
  <si>
    <t>Tunde Adebayo</t>
  </si>
  <si>
    <t>14/06/2021</t>
  </si>
  <si>
    <t>MFS-44340</t>
  </si>
  <si>
    <t>Yetunde Suleiman</t>
  </si>
  <si>
    <t>15/02/2021</t>
  </si>
  <si>
    <t>MFS-97485</t>
  </si>
  <si>
    <t>27/08/2021</t>
  </si>
  <si>
    <t>MFS-72586</t>
  </si>
  <si>
    <t>Biodun Obi</t>
  </si>
  <si>
    <t>MFS-98125</t>
  </si>
  <si>
    <t>Rukayya Adesanya</t>
  </si>
  <si>
    <t>MFS-64129</t>
  </si>
  <si>
    <t>Yakubu Uba</t>
  </si>
  <si>
    <t>03/02/2023</t>
  </si>
  <si>
    <t>MFS-39125</t>
  </si>
  <si>
    <t>Titi Fagbemi</t>
  </si>
  <si>
    <t>MFS-40480</t>
  </si>
  <si>
    <t>Emeka Suleiman</t>
  </si>
  <si>
    <t>22/02/2020</t>
  </si>
  <si>
    <t>MFS-39075</t>
  </si>
  <si>
    <t>Nnamdi Nwachukwu</t>
  </si>
  <si>
    <t>06/08/2019</t>
  </si>
  <si>
    <t>MFS-12948</t>
  </si>
  <si>
    <t>19/12/2020</t>
  </si>
  <si>
    <t>MFS-57012</t>
  </si>
  <si>
    <t>Asabe Taiwo</t>
  </si>
  <si>
    <t>10/08/2022</t>
  </si>
  <si>
    <t>MFS-35446</t>
  </si>
  <si>
    <t>Rabiu Nwachukwu</t>
  </si>
  <si>
    <t>29/09/2023</t>
  </si>
  <si>
    <t>MFS-81646</t>
  </si>
  <si>
    <t>Chiamaka Omotayo</t>
  </si>
  <si>
    <t>13/10/2022</t>
  </si>
  <si>
    <t>MFS-57013</t>
  </si>
  <si>
    <t>07/06/2024</t>
  </si>
  <si>
    <t>MFS-87323</t>
  </si>
  <si>
    <t>Eze Onwudiwe</t>
  </si>
  <si>
    <t>MFS-67364</t>
  </si>
  <si>
    <t>Chioma Okeke</t>
  </si>
  <si>
    <t>13/06/2023</t>
  </si>
  <si>
    <t>MFS-62960</t>
  </si>
  <si>
    <t>Bilkisu Nnamdi</t>
  </si>
  <si>
    <t>MFS-17948</t>
  </si>
  <si>
    <t>Biodun Musa</t>
  </si>
  <si>
    <t>MFS-96452</t>
  </si>
  <si>
    <t>05/10/2020</t>
  </si>
  <si>
    <t>MFS-48102</t>
  </si>
  <si>
    <t>Amaka Obi</t>
  </si>
  <si>
    <t>15/06/2023</t>
  </si>
  <si>
    <t>MFS-53472</t>
  </si>
  <si>
    <t>Yetunde Onwudiwe</t>
  </si>
  <si>
    <t>07/11/2021</t>
  </si>
  <si>
    <t>MFS-90405</t>
  </si>
  <si>
    <t>MFS-59091</t>
  </si>
  <si>
    <t>Eze Adebayo</t>
  </si>
  <si>
    <t>09/06/2021</t>
  </si>
  <si>
    <t>27/11/2024</t>
  </si>
  <si>
    <t>MFS-60412</t>
  </si>
  <si>
    <t>Hadiza Ogundipe</t>
  </si>
  <si>
    <t>01/06/2019</t>
  </si>
  <si>
    <t>MFS-16031</t>
  </si>
  <si>
    <t>29/01/2019</t>
  </si>
  <si>
    <t>MFS-43671</t>
  </si>
  <si>
    <t>Uloma Ihejirika</t>
  </si>
  <si>
    <t>13/08/2022</t>
  </si>
  <si>
    <t>01/05/2024</t>
  </si>
  <si>
    <t>MFS-42070</t>
  </si>
  <si>
    <t>Rotimi Ogbonna</t>
  </si>
  <si>
    <t>MFS-14492</t>
  </si>
  <si>
    <t>Rabiu Taiwo</t>
  </si>
  <si>
    <t>MFS-62988</t>
  </si>
  <si>
    <t>18/06/2023</t>
  </si>
  <si>
    <t>MFS-72202</t>
  </si>
  <si>
    <t>Chinedu Okafor</t>
  </si>
  <si>
    <t>19/05/2020</t>
  </si>
  <si>
    <t>MFS-62198</t>
  </si>
  <si>
    <t>Chinwe Fagbemi</t>
  </si>
  <si>
    <t>22/08/2019</t>
  </si>
  <si>
    <t>MFS-64672</t>
  </si>
  <si>
    <t>01/04/2022</t>
  </si>
  <si>
    <t>23/02/2024</t>
  </si>
  <si>
    <t>MFS-18383</t>
  </si>
  <si>
    <t>Musa Coker</t>
  </si>
  <si>
    <t>02/05/2023</t>
  </si>
  <si>
    <t>MFS-83306</t>
  </si>
  <si>
    <t>Bukola Afolabi</t>
  </si>
  <si>
    <t>MFS-49927</t>
  </si>
  <si>
    <t>Nnamdi Obi</t>
  </si>
  <si>
    <t>31/01/2023</t>
  </si>
  <si>
    <t>MFS-99841</t>
  </si>
  <si>
    <t>Hauwa Garba</t>
  </si>
  <si>
    <t>17/02/2025</t>
  </si>
  <si>
    <t>MFS-62095</t>
  </si>
  <si>
    <t>Eze Buhari</t>
  </si>
  <si>
    <t>14/03/2022</t>
  </si>
  <si>
    <t>MFS-50817</t>
  </si>
  <si>
    <t>Adeola Taiwo</t>
  </si>
  <si>
    <t>01/08/2023</t>
  </si>
  <si>
    <t>13/02/2025</t>
  </si>
  <si>
    <t>MFS-93220</t>
  </si>
  <si>
    <t>Chibuike Nnamdi</t>
  </si>
  <si>
    <t>MFS-68653</t>
  </si>
  <si>
    <t>Tosin Okeke</t>
  </si>
  <si>
    <t>10/10/2022</t>
  </si>
  <si>
    <t>24/04/2023</t>
  </si>
  <si>
    <t>MFS-67392</t>
  </si>
  <si>
    <t>Fatima Ihejirika</t>
  </si>
  <si>
    <t>19/02/2022</t>
  </si>
  <si>
    <t>MFS-10197</t>
  </si>
  <si>
    <t>Nkechi Abdullahi</t>
  </si>
  <si>
    <t>18/09/2023</t>
  </si>
  <si>
    <t>MFS-88027</t>
  </si>
  <si>
    <t>Nneka Chukwu</t>
  </si>
  <si>
    <t>08/09/2020</t>
  </si>
  <si>
    <t>MFS-52154</t>
  </si>
  <si>
    <t>Rotimi Okeke</t>
  </si>
  <si>
    <t>06/08/2021</t>
  </si>
  <si>
    <t>MFS-52462</t>
  </si>
  <si>
    <t>Tosin Okonkwo</t>
  </si>
  <si>
    <t>28/02/2020</t>
  </si>
  <si>
    <t>MFS-46806</t>
  </si>
  <si>
    <t>Rotimi Adesanya</t>
  </si>
  <si>
    <t>14/10/2022</t>
  </si>
  <si>
    <t>MFS-18950</t>
  </si>
  <si>
    <t>Nasiru Ogundipe</t>
  </si>
  <si>
    <t>14/06/2020</t>
  </si>
  <si>
    <t>10/09/2021</t>
  </si>
  <si>
    <t>MFS-56661</t>
  </si>
  <si>
    <t>Haruna Abdullahi</t>
  </si>
  <si>
    <t>10/02/2021</t>
  </si>
  <si>
    <t>MFS-12658</t>
  </si>
  <si>
    <t>Ezinne Adewale</t>
  </si>
  <si>
    <t>15/03/2021</t>
  </si>
  <si>
    <t>MFS-92475</t>
  </si>
  <si>
    <t>24/01/2020</t>
  </si>
  <si>
    <t>MFS-63112</t>
  </si>
  <si>
    <t>Garba Aliyu</t>
  </si>
  <si>
    <t>11/06/2021</t>
  </si>
  <si>
    <t>09/07/2023</t>
  </si>
  <si>
    <t>MFS-86796</t>
  </si>
  <si>
    <t>Gbenga Danladi</t>
  </si>
  <si>
    <t>MFS-93752</t>
  </si>
  <si>
    <t>Ibrahim Okafor</t>
  </si>
  <si>
    <t>MFS-48877</t>
  </si>
  <si>
    <t>Ikenna Fagbemi</t>
  </si>
  <si>
    <t>16/10/2021</t>
  </si>
  <si>
    <t>MFS-44701</t>
  </si>
  <si>
    <t>Oluwaseun Buhari</t>
  </si>
  <si>
    <t>19/06/2022</t>
  </si>
  <si>
    <t>MFS-38394</t>
  </si>
  <si>
    <t>16/03/2022</t>
  </si>
  <si>
    <t>25/10/2023</t>
  </si>
  <si>
    <t>MFS-23162</t>
  </si>
  <si>
    <t>Oghenekaro Omotayo</t>
  </si>
  <si>
    <t>17/01/2022</t>
  </si>
  <si>
    <t>27/02/2025</t>
  </si>
  <si>
    <t>MFS-67098</t>
  </si>
  <si>
    <t>Adaeze Bello</t>
  </si>
  <si>
    <t>06/07/2021</t>
  </si>
  <si>
    <t>MFS-49382</t>
  </si>
  <si>
    <t>Nasiru Afolabi</t>
  </si>
  <si>
    <t>04/08/2021</t>
  </si>
  <si>
    <t>10/10/2024</t>
  </si>
  <si>
    <t>MFS-86791</t>
  </si>
  <si>
    <t>Chioma Musa</t>
  </si>
  <si>
    <t>MFS-52156</t>
  </si>
  <si>
    <t>Suleiman Coker</t>
  </si>
  <si>
    <t>03/07/2021</t>
  </si>
  <si>
    <t>MFS-18292</t>
  </si>
  <si>
    <t>Seun Bello</t>
  </si>
  <si>
    <t>MFS-71112</t>
  </si>
  <si>
    <t>30/06/2021</t>
  </si>
  <si>
    <t>MFS-14331</t>
  </si>
  <si>
    <t>Oghenekaro Aliyu</t>
  </si>
  <si>
    <t>13/03/2023</t>
  </si>
  <si>
    <t>MFS-19218</t>
  </si>
  <si>
    <t>Amaka Shehu</t>
  </si>
  <si>
    <t>19/01/2020</t>
  </si>
  <si>
    <t>23/04/2022</t>
  </si>
  <si>
    <t>MFS-97410</t>
  </si>
  <si>
    <t>28/08/2019</t>
  </si>
  <si>
    <t>MFS-73499</t>
  </si>
  <si>
    <t>Ngozi Yakubu</t>
  </si>
  <si>
    <t>15/01/2023</t>
  </si>
  <si>
    <t>MFS-82794</t>
  </si>
  <si>
    <t>Seun Haruna</t>
  </si>
  <si>
    <t>14/02/2020</t>
  </si>
  <si>
    <t>MFS-71213</t>
  </si>
  <si>
    <t>Sola Aliyu</t>
  </si>
  <si>
    <t>MFS-87340</t>
  </si>
  <si>
    <t>Lola Lawal</t>
  </si>
  <si>
    <t>05/06/2020</t>
  </si>
  <si>
    <t>MFS-47429</t>
  </si>
  <si>
    <t>Ibrahim Adewale</t>
  </si>
  <si>
    <t>07/04/2024</t>
  </si>
  <si>
    <t>MFS-22093</t>
  </si>
  <si>
    <t>11/12/2020</t>
  </si>
  <si>
    <t>03/12/2023</t>
  </si>
  <si>
    <t>MFS-71764</t>
  </si>
  <si>
    <t>Aliyu Obi</t>
  </si>
  <si>
    <t>18/01/2020</t>
  </si>
  <si>
    <t>MFS-70425</t>
  </si>
  <si>
    <t>Adebayo Bello</t>
  </si>
  <si>
    <t>MFS-65480</t>
  </si>
  <si>
    <t>Falmata Eze</t>
  </si>
  <si>
    <t>23/05/2022</t>
  </si>
  <si>
    <t>24/10/2023</t>
  </si>
  <si>
    <t>MFS-23894</t>
  </si>
  <si>
    <t>Damilola Okonkwo</t>
  </si>
  <si>
    <t>11/03/2022</t>
  </si>
  <si>
    <t>12/10/2024</t>
  </si>
  <si>
    <t>MFS-35199</t>
  </si>
  <si>
    <t>Bukola Coker</t>
  </si>
  <si>
    <t>MFS-27049</t>
  </si>
  <si>
    <t>16/06/2022</t>
  </si>
  <si>
    <t>MFS-25819</t>
  </si>
  <si>
    <t>Kabiru Nwosu</t>
  </si>
  <si>
    <t>07/09/2019</t>
  </si>
  <si>
    <t>MFS-17688</t>
  </si>
  <si>
    <t>Tunde Ogbonna</t>
  </si>
  <si>
    <t>24/05/2023</t>
  </si>
  <si>
    <t>MFS-30548</t>
  </si>
  <si>
    <t>Sola Lawal</t>
  </si>
  <si>
    <t>02/03/2023</t>
  </si>
  <si>
    <t>MFS-20797</t>
  </si>
  <si>
    <t>Zainab Okonkwo</t>
  </si>
  <si>
    <t>28/12/2019</t>
  </si>
  <si>
    <t>MFS-29547</t>
  </si>
  <si>
    <t>Ibrahim Bello</t>
  </si>
  <si>
    <t>29/06/2021</t>
  </si>
  <si>
    <t>28/01/2022</t>
  </si>
  <si>
    <t>MFS-53803</t>
  </si>
  <si>
    <t>Titi Afolabi</t>
  </si>
  <si>
    <t>01/11/2020</t>
  </si>
  <si>
    <t>MFS-78614</t>
  </si>
  <si>
    <t>Hauwa Musa</t>
  </si>
  <si>
    <t>25/07/2022</t>
  </si>
  <si>
    <t>09/01/2024</t>
  </si>
  <si>
    <t>MFS-62266</t>
  </si>
  <si>
    <t>Lanre Taiwo</t>
  </si>
  <si>
    <t>MFS-50965</t>
  </si>
  <si>
    <t>Usman Bello</t>
  </si>
  <si>
    <t>07/01/2019</t>
  </si>
  <si>
    <t>MFS-23033</t>
  </si>
  <si>
    <t>Adebayo Lawal</t>
  </si>
  <si>
    <t>MFS-27521</t>
  </si>
  <si>
    <t>12/05/2021</t>
  </si>
  <si>
    <t>MFS-33603</t>
  </si>
  <si>
    <t>11/10/2020</t>
  </si>
  <si>
    <t>09/10/2024</t>
  </si>
  <si>
    <t>MFS-74173</t>
  </si>
  <si>
    <t>20/02/2019</t>
  </si>
  <si>
    <t>27/05/2022</t>
  </si>
  <si>
    <t>MFS-60793</t>
  </si>
  <si>
    <t>Hafsat Eze</t>
  </si>
  <si>
    <t>24/03/2019</t>
  </si>
  <si>
    <t>MFS-50746</t>
  </si>
  <si>
    <t>Ifeoma Yakubu</t>
  </si>
  <si>
    <t>MFS-42921</t>
  </si>
  <si>
    <t>Sola Uba</t>
  </si>
  <si>
    <t>24/08/2021</t>
  </si>
  <si>
    <t>MFS-64840</t>
  </si>
  <si>
    <t>05/12/2019</t>
  </si>
  <si>
    <t>MFS-85511</t>
  </si>
  <si>
    <t>Funmilayo Amadi</t>
  </si>
  <si>
    <t>23/12/2022</t>
  </si>
  <si>
    <t>MFS-40681</t>
  </si>
  <si>
    <t>Chinwe Adebayo</t>
  </si>
  <si>
    <t>28/10/2019</t>
  </si>
  <si>
    <t>MFS-26758</t>
  </si>
  <si>
    <t>Tunde Musa</t>
  </si>
  <si>
    <t>25/04/2020</t>
  </si>
  <si>
    <t>MFS-57381</t>
  </si>
  <si>
    <t>Ebuka Buhari</t>
  </si>
  <si>
    <t>04/07/2023</t>
  </si>
  <si>
    <t>MFS-81294</t>
  </si>
  <si>
    <t>Uloma Omotayo</t>
  </si>
  <si>
    <t>21/07/2019</t>
  </si>
  <si>
    <t>30/06/2020</t>
  </si>
  <si>
    <t>MFS-13113</t>
  </si>
  <si>
    <t>Adaeze Lawal</t>
  </si>
  <si>
    <t>MFS-71949</t>
  </si>
  <si>
    <t>Ifeanyi Fagbemi</t>
  </si>
  <si>
    <t>21/07/2023</t>
  </si>
  <si>
    <t>26/10/2024</t>
  </si>
  <si>
    <t>MFS-57485</t>
  </si>
  <si>
    <t>13/11/2020</t>
  </si>
  <si>
    <t>MFS-10624</t>
  </si>
  <si>
    <t>Titi Onwudiwe</t>
  </si>
  <si>
    <t>06/08/2023</t>
  </si>
  <si>
    <t>18/04/2024</t>
  </si>
  <si>
    <t>MFS-78730</t>
  </si>
  <si>
    <t>Chukwuemeka Ogbonna</t>
  </si>
  <si>
    <t>26/06/2023</t>
  </si>
  <si>
    <t>MFS-36365</t>
  </si>
  <si>
    <t>Maryam Ogbonna</t>
  </si>
  <si>
    <t>30/01/2020</t>
  </si>
  <si>
    <t>MFS-17026</t>
  </si>
  <si>
    <t>Ogechi Nwachukwu</t>
  </si>
  <si>
    <t>MFS-96577</t>
  </si>
  <si>
    <t>Damilola Garba</t>
  </si>
  <si>
    <t>MFS-42616</t>
  </si>
  <si>
    <t>Yakubu Musa</t>
  </si>
  <si>
    <t>24/05/2019</t>
  </si>
  <si>
    <t>MFS-17749</t>
  </si>
  <si>
    <t>Bello Onwudiwe</t>
  </si>
  <si>
    <t>MFS-95650</t>
  </si>
  <si>
    <t>Aliyu Bello</t>
  </si>
  <si>
    <t>28/04/2019</t>
  </si>
  <si>
    <t>31/03/2020</t>
  </si>
  <si>
    <t>MFS-66076</t>
  </si>
  <si>
    <t>Bimpe Adesanya</t>
  </si>
  <si>
    <t>20/09/2023</t>
  </si>
  <si>
    <t>21/12/2024</t>
  </si>
  <si>
    <t>MFS-42952</t>
  </si>
  <si>
    <t>Rukayya Omotayo</t>
  </si>
  <si>
    <t>04/08/2023</t>
  </si>
  <si>
    <t>MFS-58544</t>
  </si>
  <si>
    <t>Kabiru Obi</t>
  </si>
  <si>
    <t>04/07/2022</t>
  </si>
  <si>
    <t>MFS-38727</t>
  </si>
  <si>
    <t>Chioma Nnamdi</t>
  </si>
  <si>
    <t>MFS-30732</t>
  </si>
  <si>
    <t>Eze Oyelaran</t>
  </si>
  <si>
    <t>MFS-62891</t>
  </si>
  <si>
    <t>Ifeanyi Nwachukwu</t>
  </si>
  <si>
    <t>MFS-54987</t>
  </si>
  <si>
    <t>MFS-21652</t>
  </si>
  <si>
    <t>Musa Garba</t>
  </si>
  <si>
    <t>07/03/2023</t>
  </si>
  <si>
    <t>MFS-20036</t>
  </si>
  <si>
    <t>Rabiu Garba</t>
  </si>
  <si>
    <t>23/02/2020</t>
  </si>
  <si>
    <t>MFS-31991</t>
  </si>
  <si>
    <t>Garba Uba</t>
  </si>
  <si>
    <t>17/03/2025</t>
  </si>
  <si>
    <t>MFS-24714</t>
  </si>
  <si>
    <t>Tobi Musa</t>
  </si>
  <si>
    <t>24/09/2022</t>
  </si>
  <si>
    <t>MFS-61173</t>
  </si>
  <si>
    <t>Ibrahim Afolabi</t>
  </si>
  <si>
    <t>MFS-19429</t>
  </si>
  <si>
    <t>Folake Nduka</t>
  </si>
  <si>
    <t>13/12/2023</t>
  </si>
  <si>
    <t>01/02/2025</t>
  </si>
  <si>
    <t>MFS-27025</t>
  </si>
  <si>
    <t>Jummai Yakubu</t>
  </si>
  <si>
    <t>07/10/2020</t>
  </si>
  <si>
    <t>04/12/2021</t>
  </si>
  <si>
    <t>MFS-67146</t>
  </si>
  <si>
    <t>Chidi Coker</t>
  </si>
  <si>
    <t>03/04/2021</t>
  </si>
  <si>
    <t>MFS-12255</t>
  </si>
  <si>
    <t>Maryam Adeyemi</t>
  </si>
  <si>
    <t>04/09/2022</t>
  </si>
  <si>
    <t>MFS-21685</t>
  </si>
  <si>
    <t>Eze Taiwo</t>
  </si>
  <si>
    <t>MFS-62399</t>
  </si>
  <si>
    <t>Titi Nwosu</t>
  </si>
  <si>
    <t>23/05/2019</t>
  </si>
  <si>
    <t>30/10/2020</t>
  </si>
  <si>
    <t>MFS-76949</t>
  </si>
  <si>
    <t>Rotimi Nnamdi</t>
  </si>
  <si>
    <t>26/02/2023</t>
  </si>
  <si>
    <t>MFS-45044</t>
  </si>
  <si>
    <t>Obinna Suleiman</t>
  </si>
  <si>
    <t>MFS-40263</t>
  </si>
  <si>
    <t>Ikenna Omotayo</t>
  </si>
  <si>
    <t>01/11/2021</t>
  </si>
  <si>
    <t>MFS-80461</t>
  </si>
  <si>
    <t>Aisha Eze</t>
  </si>
  <si>
    <t>29/07/2022</t>
  </si>
  <si>
    <t>MFS-33853</t>
  </si>
  <si>
    <t>Gbenga Ihejirika</t>
  </si>
  <si>
    <t>22/01/2019</t>
  </si>
  <si>
    <t>MFS-31263</t>
  </si>
  <si>
    <t>Ngozi Aliyu</t>
  </si>
  <si>
    <t>MFS-47857</t>
  </si>
  <si>
    <t>Maryam Adewale</t>
  </si>
  <si>
    <t>25/02/2019</t>
  </si>
  <si>
    <t>MFS-49295</t>
  </si>
  <si>
    <t>05/11/2023</t>
  </si>
  <si>
    <t>18/06/2024</t>
  </si>
  <si>
    <t>MFS-80571</t>
  </si>
  <si>
    <t>Aliyu Ogbonna</t>
  </si>
  <si>
    <t>05/04/2021</t>
  </si>
  <si>
    <t>MFS-78445</t>
  </si>
  <si>
    <t>Chukwudi Chukwu</t>
  </si>
  <si>
    <t>19/04/2020</t>
  </si>
  <si>
    <t>MFS-88085</t>
  </si>
  <si>
    <t>Tobi Okeke</t>
  </si>
  <si>
    <t>MFS-17339</t>
  </si>
  <si>
    <t>Nnamdi Yakubu</t>
  </si>
  <si>
    <t>MFS-75632</t>
  </si>
  <si>
    <t>Emeka Aliyu</t>
  </si>
  <si>
    <t>27/02/2022</t>
  </si>
  <si>
    <t>MFS-13273</t>
  </si>
  <si>
    <t>Garba Taiwo</t>
  </si>
  <si>
    <t>02/12/2019</t>
  </si>
  <si>
    <t>MFS-78253</t>
  </si>
  <si>
    <t>Obiora Fagbemi</t>
  </si>
  <si>
    <t>MFS-87023</t>
  </si>
  <si>
    <t>Musa Afolabi</t>
  </si>
  <si>
    <t>17/07/2019</t>
  </si>
  <si>
    <t>24/04/2024</t>
  </si>
  <si>
    <t>MFS-28722</t>
  </si>
  <si>
    <t>Shade Adewale</t>
  </si>
  <si>
    <t>28/07/2020</t>
  </si>
  <si>
    <t>MFS-92992</t>
  </si>
  <si>
    <t>Aliyu Amadi</t>
  </si>
  <si>
    <t>07/07/2022</t>
  </si>
  <si>
    <t>10/06/2024</t>
  </si>
  <si>
    <t>MFS-81736</t>
  </si>
  <si>
    <t>Abubakar Okonkwo</t>
  </si>
  <si>
    <t>24/11/2019</t>
  </si>
  <si>
    <t>MFS-65505</t>
  </si>
  <si>
    <t>Hauwa Bello</t>
  </si>
  <si>
    <t>01/07/2020</t>
  </si>
  <si>
    <t>MFS-97031</t>
  </si>
  <si>
    <t>MFS-60828</t>
  </si>
  <si>
    <t>Musa Nnamdi</t>
  </si>
  <si>
    <t>29/07/2024</t>
  </si>
  <si>
    <t>MFS-95962</t>
  </si>
  <si>
    <t>MFS-93991</t>
  </si>
  <si>
    <t>Chiamaka Taiwo</t>
  </si>
  <si>
    <t>MFS-68930</t>
  </si>
  <si>
    <t>Yetunde Okafor</t>
  </si>
  <si>
    <t>05/10/2021</t>
  </si>
  <si>
    <t>MFS-12110</t>
  </si>
  <si>
    <t>Funmilayo Okafor</t>
  </si>
  <si>
    <t>04/11/2020</t>
  </si>
  <si>
    <t>25/05/2022</t>
  </si>
  <si>
    <t>MFS-28143</t>
  </si>
  <si>
    <t>Femi Obaseki</t>
  </si>
  <si>
    <t>28/08/2023</t>
  </si>
  <si>
    <t>MFS-47101</t>
  </si>
  <si>
    <t>Abubakar Onwudiwe</t>
  </si>
  <si>
    <t>MFS-71252</t>
  </si>
  <si>
    <t>Jummai Adeyemi</t>
  </si>
  <si>
    <t>27/07/2019</t>
  </si>
  <si>
    <t>MFS-74478</t>
  </si>
  <si>
    <t>Nneka Obi</t>
  </si>
  <si>
    <t>23/04/2021</t>
  </si>
  <si>
    <t>MFS-56771</t>
  </si>
  <si>
    <t>Laraba Ogundipe</t>
  </si>
  <si>
    <t>MFS-73700</t>
  </si>
  <si>
    <t>20/03/2021</t>
  </si>
  <si>
    <t>MFS-47597</t>
  </si>
  <si>
    <t>Ramatu Okonkwo</t>
  </si>
  <si>
    <t>13/07/2023</t>
  </si>
  <si>
    <t>MFS-43683</t>
  </si>
  <si>
    <t>Sola Nwachukwu</t>
  </si>
  <si>
    <t>01/12/2022</t>
  </si>
  <si>
    <t>MFS-33315</t>
  </si>
  <si>
    <t>25/03/2020</t>
  </si>
  <si>
    <t>MFS-52220</t>
  </si>
  <si>
    <t>Chinedu Haruna</t>
  </si>
  <si>
    <t>07/09/2020</t>
  </si>
  <si>
    <t>MFS-23096</t>
  </si>
  <si>
    <t>Folake Obaseki</t>
  </si>
  <si>
    <t>15/03/2020</t>
  </si>
  <si>
    <t>MFS-15971</t>
  </si>
  <si>
    <t>Titi Oyelaran</t>
  </si>
  <si>
    <t>MFS-31413</t>
  </si>
  <si>
    <t>16/02/2020</t>
  </si>
  <si>
    <t>MFS-35487</t>
  </si>
  <si>
    <t>MFS-62765</t>
  </si>
  <si>
    <t>Yakubu Shehu</t>
  </si>
  <si>
    <t>MFS-70797</t>
  </si>
  <si>
    <t>29/08/2021</t>
  </si>
  <si>
    <t>MFS-70994</t>
  </si>
  <si>
    <t>Biodun Adebayo</t>
  </si>
  <si>
    <t>MFS-79395</t>
  </si>
  <si>
    <t>Eze Nnamdi</t>
  </si>
  <si>
    <t>22/11/2019</t>
  </si>
  <si>
    <t>10/12/2020</t>
  </si>
  <si>
    <t>MFS-74752</t>
  </si>
  <si>
    <t>Seun Obaseki</t>
  </si>
  <si>
    <t>16/03/2023</t>
  </si>
  <si>
    <t>MFS-25423</t>
  </si>
  <si>
    <t>Obinna Coker</t>
  </si>
  <si>
    <t>MFS-78319</t>
  </si>
  <si>
    <t>Bilkisu Aliyu</t>
  </si>
  <si>
    <t>25/04/2019</t>
  </si>
  <si>
    <t>MFS-38067</t>
  </si>
  <si>
    <t>Ugochi Nnamdi</t>
  </si>
  <si>
    <t>16/02/2023</t>
  </si>
  <si>
    <t>03/07/2024</t>
  </si>
  <si>
    <t>MFS-67186</t>
  </si>
  <si>
    <t>Folake Uba</t>
  </si>
  <si>
    <t>18/05/2021</t>
  </si>
  <si>
    <t>MFS-27144</t>
  </si>
  <si>
    <t>Ifeanyi Adesanya</t>
  </si>
  <si>
    <t>08/02/2022</t>
  </si>
  <si>
    <t>16/03/2024</t>
  </si>
  <si>
    <t>MFS-43708</t>
  </si>
  <si>
    <t>Eze Chukwu</t>
  </si>
  <si>
    <t>01/05/2019</t>
  </si>
  <si>
    <t>MFS-68057</t>
  </si>
  <si>
    <t>Nneka Adeyemi</t>
  </si>
  <si>
    <t>17/04/2020</t>
  </si>
  <si>
    <t>09/04/2024</t>
  </si>
  <si>
    <t>MFS-74021</t>
  </si>
  <si>
    <t>MFS-89225</t>
  </si>
  <si>
    <t>Adaeze Adeyemi</t>
  </si>
  <si>
    <t>08/01/2023</t>
  </si>
  <si>
    <t>MFS-37550</t>
  </si>
  <si>
    <t>Obiora Uba</t>
  </si>
  <si>
    <t>30/04/2021</t>
  </si>
  <si>
    <t>MFS-10140</t>
  </si>
  <si>
    <t>Chibuike Ogundipe</t>
  </si>
  <si>
    <t>MFS-14921</t>
  </si>
  <si>
    <t>Chinedu Adebayo</t>
  </si>
  <si>
    <t>09/03/2019</t>
  </si>
  <si>
    <t>MFS-78547</t>
  </si>
  <si>
    <t>Rukayya Uba</t>
  </si>
  <si>
    <t>MFS-56535</t>
  </si>
  <si>
    <t>Biodun Okafor</t>
  </si>
  <si>
    <t>28/08/2022</t>
  </si>
  <si>
    <t>MFS-81527</t>
  </si>
  <si>
    <t>Chinedu Nnamdi</t>
  </si>
  <si>
    <t>31/01/2019</t>
  </si>
  <si>
    <t>MFS-50085</t>
  </si>
  <si>
    <t>MFS-36623</t>
  </si>
  <si>
    <t>Nana Chukwu</t>
  </si>
  <si>
    <t>MFS-26976</t>
  </si>
  <si>
    <t>Hadiza Uba</t>
  </si>
  <si>
    <t>03/09/2021</t>
  </si>
  <si>
    <t>MFS-45935</t>
  </si>
  <si>
    <t>Chukwuemeka Omotayo</t>
  </si>
  <si>
    <t>09/10/2021</t>
  </si>
  <si>
    <t>MFS-22271</t>
  </si>
  <si>
    <t>Titi Nwachukwu</t>
  </si>
  <si>
    <t>18/04/2023</t>
  </si>
  <si>
    <t>08/08/2024</t>
  </si>
  <si>
    <t>MFS-10566</t>
  </si>
  <si>
    <t>Titi Adebayo</t>
  </si>
  <si>
    <t>23/03/2023</t>
  </si>
  <si>
    <t>MFS-10034</t>
  </si>
  <si>
    <t>MFS-53384</t>
  </si>
  <si>
    <t>Danladi Adeyemi</t>
  </si>
  <si>
    <t>25/02/2021</t>
  </si>
  <si>
    <t>MFS-99582</t>
  </si>
  <si>
    <t>27/02/2024</t>
  </si>
  <si>
    <t>MFS-12841</t>
  </si>
  <si>
    <t>Chukwudi Ogundipe</t>
  </si>
  <si>
    <t>14/11/2020</t>
  </si>
  <si>
    <t>MFS-29542</t>
  </si>
  <si>
    <t>Ugochi Okonkwo</t>
  </si>
  <si>
    <t>MFS-86412</t>
  </si>
  <si>
    <t>Hauwa Eze</t>
  </si>
  <si>
    <t>03/05/2019</t>
  </si>
  <si>
    <t>MFS-48881</t>
  </si>
  <si>
    <t>Shehu Abdullahi</t>
  </si>
  <si>
    <t>26/05/2021</t>
  </si>
  <si>
    <t>MFS-74628</t>
  </si>
  <si>
    <t>11/08/2023</t>
  </si>
  <si>
    <t>MFS-59323</t>
  </si>
  <si>
    <t>Haruna Adebayo</t>
  </si>
  <si>
    <t>28/10/2020</t>
  </si>
  <si>
    <t>07/12/2024</t>
  </si>
  <si>
    <t>MFS-29917</t>
  </si>
  <si>
    <t>Jummai Nnamdi</t>
  </si>
  <si>
    <t>13/09/2021</t>
  </si>
  <si>
    <t>22/01/2023</t>
  </si>
  <si>
    <t>MFS-60209</t>
  </si>
  <si>
    <t>Adeola Afolabi</t>
  </si>
  <si>
    <t>21/05/2019</t>
  </si>
  <si>
    <t>MFS-72861</t>
  </si>
  <si>
    <t>Femi Abdullahi</t>
  </si>
  <si>
    <t>10/03/2019</t>
  </si>
  <si>
    <t>MFS-74553</t>
  </si>
  <si>
    <t>Yemi Adewale</t>
  </si>
  <si>
    <t>MFS-69523</t>
  </si>
  <si>
    <t>Wale Taiwo</t>
  </si>
  <si>
    <t>MFS-61021</t>
  </si>
  <si>
    <t>Ibrahim Omotayo</t>
  </si>
  <si>
    <t>17/11/2024</t>
  </si>
  <si>
    <t>MFS-23229</t>
  </si>
  <si>
    <t>Laraba Fagbemi</t>
  </si>
  <si>
    <t>11/12/2019</t>
  </si>
  <si>
    <t>MFS-33348</t>
  </si>
  <si>
    <t>Chinedu Chukwu</t>
  </si>
  <si>
    <t>06/12/2019</t>
  </si>
  <si>
    <t>MFS-72419</t>
  </si>
  <si>
    <t>Usman Uba</t>
  </si>
  <si>
    <t>MFS-43557</t>
  </si>
  <si>
    <t>Ngozi Ogundipe</t>
  </si>
  <si>
    <t>02/01/2022</t>
  </si>
  <si>
    <t>MFS-56936</t>
  </si>
  <si>
    <t>Kunle Fagbemi</t>
  </si>
  <si>
    <t>MFS-19753</t>
  </si>
  <si>
    <t>Chibuike Ogbonna</t>
  </si>
  <si>
    <t>25/05/2019</t>
  </si>
  <si>
    <t>28/09/2021</t>
  </si>
  <si>
    <t>MFS-74486</t>
  </si>
  <si>
    <t>Biodun Lawal</t>
  </si>
  <si>
    <t>24/10/2022</t>
  </si>
  <si>
    <t>MFS-74758</t>
  </si>
  <si>
    <t>Bilkisu Nwachukwu</t>
  </si>
  <si>
    <t>27/07/2020</t>
  </si>
  <si>
    <t>MFS-34926</t>
  </si>
  <si>
    <t>12/05/2020</t>
  </si>
  <si>
    <t>MFS-41860</t>
  </si>
  <si>
    <t>10/04/2020</t>
  </si>
  <si>
    <t>MFS-69464</t>
  </si>
  <si>
    <t>Aliyu Nwosu</t>
  </si>
  <si>
    <t>04/06/2023</t>
  </si>
  <si>
    <t>MFS-79533</t>
  </si>
  <si>
    <t>Babatunde Okonkwo</t>
  </si>
  <si>
    <t>MFS-44548</t>
  </si>
  <si>
    <t>Biodun Danladi</t>
  </si>
  <si>
    <t>MFS-37591</t>
  </si>
  <si>
    <t>06/12/2023</t>
  </si>
  <si>
    <t>MFS-55615</t>
  </si>
  <si>
    <t>Eze Okonkwo</t>
  </si>
  <si>
    <t>28/04/2023</t>
  </si>
  <si>
    <t>MFS-16822</t>
  </si>
  <si>
    <t>Kabiru Taiwo</t>
  </si>
  <si>
    <t>MFS-85636</t>
  </si>
  <si>
    <t>Bilkisu Uba</t>
  </si>
  <si>
    <t>MFS-67361</t>
  </si>
  <si>
    <t>Ifeoma Adewale</t>
  </si>
  <si>
    <t>03/01/2022</t>
  </si>
  <si>
    <t>04/09/2024</t>
  </si>
  <si>
    <t>MFS-50100</t>
  </si>
  <si>
    <t>Musa Eze</t>
  </si>
  <si>
    <t>MFS-22079</t>
  </si>
  <si>
    <t>Seun Nwosu</t>
  </si>
  <si>
    <t>MFS-14561</t>
  </si>
  <si>
    <t>Oghenekaro Fagbemi</t>
  </si>
  <si>
    <t>31/01/2021</t>
  </si>
  <si>
    <t>MFS-44416</t>
  </si>
  <si>
    <t>Folake Fagbemi</t>
  </si>
  <si>
    <t>19/10/2023</t>
  </si>
  <si>
    <t>MFS-75796</t>
  </si>
  <si>
    <t>Shade Buhari</t>
  </si>
  <si>
    <t>21/04/2023</t>
  </si>
  <si>
    <t>MFS-16572</t>
  </si>
  <si>
    <t>Bilkisu Eze</t>
  </si>
  <si>
    <t>MFS-58241</t>
  </si>
  <si>
    <t>Ebuka Nduka</t>
  </si>
  <si>
    <t>MFS-96836</t>
  </si>
  <si>
    <t>Adebayo Coker</t>
  </si>
  <si>
    <t>15/01/2021</t>
  </si>
  <si>
    <t>MFS-72945</t>
  </si>
  <si>
    <t>Funmilayo Omotayo</t>
  </si>
  <si>
    <t>28/11/2023</t>
  </si>
  <si>
    <t>26/12/2024</t>
  </si>
  <si>
    <t>MFS-76711</t>
  </si>
  <si>
    <t>Chioma Obaseki</t>
  </si>
  <si>
    <t>19/06/2024</t>
  </si>
  <si>
    <t>MFS-81042</t>
  </si>
  <si>
    <t>Adeola Adebayo</t>
  </si>
  <si>
    <t>MFS-39639</t>
  </si>
  <si>
    <t>Obiora Nwosu</t>
  </si>
  <si>
    <t>05/08/2021</t>
  </si>
  <si>
    <t>MFS-23955</t>
  </si>
  <si>
    <t>02/11/2023</t>
  </si>
  <si>
    <t>MFS-24021</t>
  </si>
  <si>
    <t>Ifeanyi Haruna</t>
  </si>
  <si>
    <t>06/10/2019</t>
  </si>
  <si>
    <t>MFS-96895</t>
  </si>
  <si>
    <t>Bimpe Ihejirika</t>
  </si>
  <si>
    <t>26/10/2022</t>
  </si>
  <si>
    <t>MFS-40433</t>
  </si>
  <si>
    <t>23/06/2021</t>
  </si>
  <si>
    <t>MFS-95519</t>
  </si>
  <si>
    <t>Kemi Aliyu</t>
  </si>
  <si>
    <t>MFS-36546</t>
  </si>
  <si>
    <t>Suleiman Okafor</t>
  </si>
  <si>
    <t>23/06/2023</t>
  </si>
  <si>
    <t>22/03/2024</t>
  </si>
  <si>
    <t>MFS-64244</t>
  </si>
  <si>
    <t>Sola Suleiman</t>
  </si>
  <si>
    <t>05/07/2022</t>
  </si>
  <si>
    <t>24/07/2024</t>
  </si>
  <si>
    <t>MFS-35387</t>
  </si>
  <si>
    <t>Nkechi Oyelaran</t>
  </si>
  <si>
    <t>MFS-14872</t>
  </si>
  <si>
    <t>Ebuka Taiwo</t>
  </si>
  <si>
    <t>MFS-49131</t>
  </si>
  <si>
    <t>MFS-39182</t>
  </si>
  <si>
    <t>Gbenga Lawal</t>
  </si>
  <si>
    <t>11/05/2019</t>
  </si>
  <si>
    <t>05/02/2025</t>
  </si>
  <si>
    <t>MFS-46264</t>
  </si>
  <si>
    <t>Jummai Okonkwo</t>
  </si>
  <si>
    <t>87,000.0</t>
  </si>
  <si>
    <t>MFS-23849</t>
  </si>
  <si>
    <t>Asabe Eze</t>
  </si>
  <si>
    <t>26/11/2019</t>
  </si>
  <si>
    <t>MFS-24201</t>
  </si>
  <si>
    <t>Uloma Nwachukwu</t>
  </si>
  <si>
    <t>02/11/2020</t>
  </si>
  <si>
    <t>MFS-44079</t>
  </si>
  <si>
    <t>Bello Chukwu</t>
  </si>
  <si>
    <t>28/12/2022</t>
  </si>
  <si>
    <t>MFS-91820</t>
  </si>
  <si>
    <t>Chukwudi Buhari</t>
  </si>
  <si>
    <t>22/12/2023</t>
  </si>
  <si>
    <t>MFS-81197</t>
  </si>
  <si>
    <t>Chukwuemeka Uba</t>
  </si>
  <si>
    <t>29/04/2023</t>
  </si>
  <si>
    <t>30/01/2024</t>
  </si>
  <si>
    <t>MFS-65013</t>
  </si>
  <si>
    <t>Ifeanyi Danladi</t>
  </si>
  <si>
    <t>10/12/2023</t>
  </si>
  <si>
    <t>MFS-92883</t>
  </si>
  <si>
    <t>Jummai Obi</t>
  </si>
  <si>
    <t>27/05/2019</t>
  </si>
  <si>
    <t>MFS-67616</t>
  </si>
  <si>
    <t>Nneka Haruna</t>
  </si>
  <si>
    <t>01/04/2020</t>
  </si>
  <si>
    <t>MFS-79132</t>
  </si>
  <si>
    <t>Ugochi Danladi</t>
  </si>
  <si>
    <t>30/03/2021</t>
  </si>
  <si>
    <t>MFS-61266</t>
  </si>
  <si>
    <t>Femi Nwosu</t>
  </si>
  <si>
    <t>30/08/2023</t>
  </si>
  <si>
    <t>18/11/2024</t>
  </si>
  <si>
    <t>MFS-18121</t>
  </si>
  <si>
    <t>MFS-82235</t>
  </si>
  <si>
    <t>Adaora Lawal</t>
  </si>
  <si>
    <t>16/11/2022</t>
  </si>
  <si>
    <t>MFS-73318</t>
  </si>
  <si>
    <t>Nnamdi Adewale</t>
  </si>
  <si>
    <t>MFS-89900</t>
  </si>
  <si>
    <t>MFS-74204</t>
  </si>
  <si>
    <t>26/04/2023</t>
  </si>
  <si>
    <t>MFS-19754</t>
  </si>
  <si>
    <t>Nana Garba</t>
  </si>
  <si>
    <t>MFS-66979</t>
  </si>
  <si>
    <t>Abubakar Nwachukwu</t>
  </si>
  <si>
    <t>MFS-97431</t>
  </si>
  <si>
    <t>17/07/2023</t>
  </si>
  <si>
    <t>MFS-98113</t>
  </si>
  <si>
    <t>Wale Oyelaran</t>
  </si>
  <si>
    <t>MFS-88436</t>
  </si>
  <si>
    <t>Obinna Afolabi</t>
  </si>
  <si>
    <t>MFS-78719</t>
  </si>
  <si>
    <t>MFS-81057</t>
  </si>
  <si>
    <t>Ifeanyi Ihejirika</t>
  </si>
  <si>
    <t>19/02/2019</t>
  </si>
  <si>
    <t>MFS-73805</t>
  </si>
  <si>
    <t>Ngozi Adewale</t>
  </si>
  <si>
    <t>02/12/2022</t>
  </si>
  <si>
    <t>MFS-29968</t>
  </si>
  <si>
    <t>Adeola Okeke</t>
  </si>
  <si>
    <t>MFS-87620</t>
  </si>
  <si>
    <t>07/05/2019</t>
  </si>
  <si>
    <t>MFS-11267</t>
  </si>
  <si>
    <t>27/03/2019</t>
  </si>
  <si>
    <t>MFS-53327</t>
  </si>
  <si>
    <t>25/02/2023</t>
  </si>
  <si>
    <t>MFS-31912</t>
  </si>
  <si>
    <t>Maryam Adebayo</t>
  </si>
  <si>
    <t>30/04/2024</t>
  </si>
  <si>
    <t>MFS-45307</t>
  </si>
  <si>
    <t>Aliyu Shehu</t>
  </si>
  <si>
    <t>23/04/2020</t>
  </si>
  <si>
    <t>MFS-96511</t>
  </si>
  <si>
    <t>Suleiman Danladi</t>
  </si>
  <si>
    <t>26/02/2019</t>
  </si>
  <si>
    <t>MFS-14346</t>
  </si>
  <si>
    <t>Haruna Haruna</t>
  </si>
  <si>
    <t>04/07/2021</t>
  </si>
  <si>
    <t>MFS-26827</t>
  </si>
  <si>
    <t>Nasiru Aliyu</t>
  </si>
  <si>
    <t>14/07/2020</t>
  </si>
  <si>
    <t>MFS-30284</t>
  </si>
  <si>
    <t>Laraba Buhari</t>
  </si>
  <si>
    <t>MFS-26094</t>
  </si>
  <si>
    <t>Chiamaka Adeyemi</t>
  </si>
  <si>
    <t>MFS-90716</t>
  </si>
  <si>
    <t>Nasiru Ihejirika</t>
  </si>
  <si>
    <t>29/08/2022</t>
  </si>
  <si>
    <t>MFS-74515</t>
  </si>
  <si>
    <t>Aliyu Adewale</t>
  </si>
  <si>
    <t>24/08/2023</t>
  </si>
  <si>
    <t>MFS-41003</t>
  </si>
  <si>
    <t>Dele Okafor</t>
  </si>
  <si>
    <t>12/11/2023</t>
  </si>
  <si>
    <t>MFS-70541</t>
  </si>
  <si>
    <t>Ifeanyi Omotayo</t>
  </si>
  <si>
    <t>21/08/2020</t>
  </si>
  <si>
    <t>24/06/2021</t>
  </si>
  <si>
    <t>MFS-42810</t>
  </si>
  <si>
    <t>Ngozi Coker</t>
  </si>
  <si>
    <t>14/02/2023</t>
  </si>
  <si>
    <t>MFS-19870</t>
  </si>
  <si>
    <t>MFS-64803</t>
  </si>
  <si>
    <t>18/08/2021</t>
  </si>
  <si>
    <t>26/04/2022</t>
  </si>
  <si>
    <t>MFS-62990</t>
  </si>
  <si>
    <t>Nnamdi Nwosu</t>
  </si>
  <si>
    <t>09/07/2019</t>
  </si>
  <si>
    <t>04/02/2020</t>
  </si>
  <si>
    <t>MFS-93060</t>
  </si>
  <si>
    <t>Aliyu Afolabi</t>
  </si>
  <si>
    <t>12/06/2023</t>
  </si>
  <si>
    <t>MFS-72163</t>
  </si>
  <si>
    <t>Danladi Omotayo</t>
  </si>
  <si>
    <t>MFS-85191</t>
  </si>
  <si>
    <t>23/06/2019</t>
  </si>
  <si>
    <t>MFS-51388</t>
  </si>
  <si>
    <t>Femi Onwudiwe</t>
  </si>
  <si>
    <t>MFS-90751</t>
  </si>
  <si>
    <t>Danladi Oyelaran</t>
  </si>
  <si>
    <t>MFS-87553</t>
  </si>
  <si>
    <t>08/07/2021</t>
  </si>
  <si>
    <t>14/02/2022</t>
  </si>
  <si>
    <t>MFS-42224</t>
  </si>
  <si>
    <t>22/12/2022</t>
  </si>
  <si>
    <t>MFS-82387</t>
  </si>
  <si>
    <t>Musa Nwosu</t>
  </si>
  <si>
    <t>16/11/2023</t>
  </si>
  <si>
    <t>15/08/2024</t>
  </si>
  <si>
    <t>MFS-16245</t>
  </si>
  <si>
    <t>09/01/2020</t>
  </si>
  <si>
    <t>MFS-84772</t>
  </si>
  <si>
    <t>Kunle Eze</t>
  </si>
  <si>
    <t>MFS-56784</t>
  </si>
  <si>
    <t>30/05/2020</t>
  </si>
  <si>
    <t>04/12/2022</t>
  </si>
  <si>
    <t>MFS-57602</t>
  </si>
  <si>
    <t>Lola Yakubu</t>
  </si>
  <si>
    <t>MFS-61838</t>
  </si>
  <si>
    <t>Babatunde Musa</t>
  </si>
  <si>
    <t>31/01/2020</t>
  </si>
  <si>
    <t>26/01/2021</t>
  </si>
  <si>
    <t>MFS-47207</t>
  </si>
  <si>
    <t>Ngozi Adesanya</t>
  </si>
  <si>
    <t>05/05/2022</t>
  </si>
  <si>
    <t>MFS-81614</t>
  </si>
  <si>
    <t>Zainab Obi</t>
  </si>
  <si>
    <t>23/11/2022</t>
  </si>
  <si>
    <t>MFS-88024</t>
  </si>
  <si>
    <t>Hadiza Lawal</t>
  </si>
  <si>
    <t>16/09/2019</t>
  </si>
  <si>
    <t>MFS-70511</t>
  </si>
  <si>
    <t>MFS-11356</t>
  </si>
  <si>
    <t>Yetunde Ogbonna</t>
  </si>
  <si>
    <t>01/06/2020</t>
  </si>
  <si>
    <t>MFS-95955</t>
  </si>
  <si>
    <t>Kunle Okafor</t>
  </si>
  <si>
    <t>MFS-50039</t>
  </si>
  <si>
    <t>Nasiru Chukwu</t>
  </si>
  <si>
    <t>MFS-94981</t>
  </si>
  <si>
    <t>Shade Nnamdi</t>
  </si>
  <si>
    <t>MFS-73055</t>
  </si>
  <si>
    <t>Maryam Chukwu</t>
  </si>
  <si>
    <t>15/09/2022</t>
  </si>
  <si>
    <t>MFS-87780</t>
  </si>
  <si>
    <t>Rabiu Adeyemi</t>
  </si>
  <si>
    <t>06/01/2023</t>
  </si>
  <si>
    <t>MFS-52465</t>
  </si>
  <si>
    <t>01/02/2022</t>
  </si>
  <si>
    <t>MFS-15400</t>
  </si>
  <si>
    <t>14/12/2019</t>
  </si>
  <si>
    <t>MFS-21614</t>
  </si>
  <si>
    <t>01/08/2019</t>
  </si>
  <si>
    <t>26/05/2024</t>
  </si>
  <si>
    <t>MFS-56488</t>
  </si>
  <si>
    <t>Nneka Danladi</t>
  </si>
  <si>
    <t>18/01/2022</t>
  </si>
  <si>
    <t>MFS-98983</t>
  </si>
  <si>
    <t>Aliyu Haruna</t>
  </si>
  <si>
    <t>23/05/2021</t>
  </si>
  <si>
    <t>MFS-91889</t>
  </si>
  <si>
    <t>MFS-35500</t>
  </si>
  <si>
    <t>10/07/2024</t>
  </si>
  <si>
    <t>MFS-39480</t>
  </si>
  <si>
    <t>26/05/2019</t>
  </si>
  <si>
    <t>18/02/2020</t>
  </si>
  <si>
    <t>MFS-41450</t>
  </si>
  <si>
    <t>Kabiru Aliyu</t>
  </si>
  <si>
    <t>03/08/2023</t>
  </si>
  <si>
    <t>MFS-56365</t>
  </si>
  <si>
    <t>Chukwudi Aliyu</t>
  </si>
  <si>
    <t>03/09/2023</t>
  </si>
  <si>
    <t>MFS-95013</t>
  </si>
  <si>
    <t>28/09/2020</t>
  </si>
  <si>
    <t>MFS-55214</t>
  </si>
  <si>
    <t>Kunle Nwachukwu</t>
  </si>
  <si>
    <t>14/07/2023</t>
  </si>
  <si>
    <t>MFS-22209</t>
  </si>
  <si>
    <t>20/08/2022</t>
  </si>
  <si>
    <t>MFS-36579</t>
  </si>
  <si>
    <t>Haruna Lawal</t>
  </si>
  <si>
    <t>MFS-12026</t>
  </si>
  <si>
    <t>Ezinne Coker</t>
  </si>
  <si>
    <t>06/06/2023</t>
  </si>
  <si>
    <t>MFS-57968</t>
  </si>
  <si>
    <t>Hafsat Adeyemi</t>
  </si>
  <si>
    <t>26/08/2020</t>
  </si>
  <si>
    <t>23/02/2025</t>
  </si>
  <si>
    <t>MFS-65695</t>
  </si>
  <si>
    <t>Suleiman Adesanya</t>
  </si>
  <si>
    <t>13/05/2020</t>
  </si>
  <si>
    <t>05/04/2022</t>
  </si>
  <si>
    <t>MFS-87410</t>
  </si>
  <si>
    <t>Tobi Haruna</t>
  </si>
  <si>
    <t>MFS-50724</t>
  </si>
  <si>
    <t>Titi Eze</t>
  </si>
  <si>
    <t>25/12/2020</t>
  </si>
  <si>
    <t>MFS-47321</t>
  </si>
  <si>
    <t>Fatima Eze</t>
  </si>
  <si>
    <t>MFS-15824</t>
  </si>
  <si>
    <t>Aliyu Uba</t>
  </si>
  <si>
    <t>27/06/2020</t>
  </si>
  <si>
    <t>MFS-29231</t>
  </si>
  <si>
    <t>Nkechi Coker</t>
  </si>
  <si>
    <t>24/03/2025</t>
  </si>
  <si>
    <t>MFS-84480</t>
  </si>
  <si>
    <t>Funmilayo Nnamdi</t>
  </si>
  <si>
    <t>MFS-51701</t>
  </si>
  <si>
    <t>Adaora Adewale</t>
  </si>
  <si>
    <t>MFS-54906</t>
  </si>
  <si>
    <t>Aliyu Ogundipe</t>
  </si>
  <si>
    <t>25/07/2019</t>
  </si>
  <si>
    <t>MFS-80723</t>
  </si>
  <si>
    <t>Suleiman Adeyemi</t>
  </si>
  <si>
    <t>03/06/2023</t>
  </si>
  <si>
    <t>MFS-25413</t>
  </si>
  <si>
    <t>Damilola Nwachukwu</t>
  </si>
  <si>
    <t>05/12/2023</t>
  </si>
  <si>
    <t>MFS-36975</t>
  </si>
  <si>
    <t>Oluwaseun Nwachukwu</t>
  </si>
  <si>
    <t>01/11/2023</t>
  </si>
  <si>
    <t>MFS-26505</t>
  </si>
  <si>
    <t>Tosin Haruna</t>
  </si>
  <si>
    <t>06/01/2019</t>
  </si>
  <si>
    <t>MFS-69119</t>
  </si>
  <si>
    <t>Aisha Adesanya</t>
  </si>
  <si>
    <t>15/03/2022</t>
  </si>
  <si>
    <t>MFS-14394</t>
  </si>
  <si>
    <t>16/08/2022</t>
  </si>
  <si>
    <t>MFS-42229</t>
  </si>
  <si>
    <t>Maryam Bello</t>
  </si>
  <si>
    <t>MFS-64124</t>
  </si>
  <si>
    <t>Eze Haruna</t>
  </si>
  <si>
    <t>12/04/2023</t>
  </si>
  <si>
    <t>MFS-26739</t>
  </si>
  <si>
    <t>23/03/2022</t>
  </si>
  <si>
    <t>MFS-61314</t>
  </si>
  <si>
    <t>Eze Danladi</t>
  </si>
  <si>
    <t>02/08/2019</t>
  </si>
  <si>
    <t>MFS-79603</t>
  </si>
  <si>
    <t>Laraba Nnamdi</t>
  </si>
  <si>
    <t>26/01/2019</t>
  </si>
  <si>
    <t>MFS-27350</t>
  </si>
  <si>
    <t>Adeola Uba</t>
  </si>
  <si>
    <t>MFS-37808</t>
  </si>
  <si>
    <t>Suleiman Nnamdi</t>
  </si>
  <si>
    <t>04/03/2019</t>
  </si>
  <si>
    <t>MFS-78575</t>
  </si>
  <si>
    <t>Kemi Adewale</t>
  </si>
  <si>
    <t>02/08/2020</t>
  </si>
  <si>
    <t>MFS-68080</t>
  </si>
  <si>
    <t>Amaka Okafor</t>
  </si>
  <si>
    <t>16/05/2021</t>
  </si>
  <si>
    <t>MFS-85905</t>
  </si>
  <si>
    <t>Bilkisu Adewale</t>
  </si>
  <si>
    <t>28/02/2019</t>
  </si>
  <si>
    <t>11/01/2020</t>
  </si>
  <si>
    <t>MFS-96861</t>
  </si>
  <si>
    <t>Hauwa Omotayo</t>
  </si>
  <si>
    <t>25/09/2024</t>
  </si>
  <si>
    <t>MFS-64443</t>
  </si>
  <si>
    <t>MFS-82120</t>
  </si>
  <si>
    <t>Bilkisu Adeyemi</t>
  </si>
  <si>
    <t>26/11/2021</t>
  </si>
  <si>
    <t>MFS-10723</t>
  </si>
  <si>
    <t>Babatunde Coker</t>
  </si>
  <si>
    <t>08/08/2021</t>
  </si>
  <si>
    <t>MFS-51647</t>
  </si>
  <si>
    <t>MFS-28993</t>
  </si>
  <si>
    <t>Nneka Coker</t>
  </si>
  <si>
    <t>MFS-28506</t>
  </si>
  <si>
    <t>Seun Ogbonna</t>
  </si>
  <si>
    <t>24/12/2021</t>
  </si>
  <si>
    <t>MFS-88774</t>
  </si>
  <si>
    <t>Aisha Haruna</t>
  </si>
  <si>
    <t>09/11/2021</t>
  </si>
  <si>
    <t>10/09/2023</t>
  </si>
  <si>
    <t>MFS-35965</t>
  </si>
  <si>
    <t>MFS-87577</t>
  </si>
  <si>
    <t>Aisha Nwachukwu</t>
  </si>
  <si>
    <t>20/02/2020</t>
  </si>
  <si>
    <t>MFS-38644</t>
  </si>
  <si>
    <t>Uloma Okonkwo</t>
  </si>
  <si>
    <t>11/06/2023</t>
  </si>
  <si>
    <t>MFS-73803</t>
  </si>
  <si>
    <t>Funmilayo Adebayo</t>
  </si>
  <si>
    <t>MFS-61502</t>
  </si>
  <si>
    <t>Kabiru Garba</t>
  </si>
  <si>
    <t>MFS-43858</t>
  </si>
  <si>
    <t>Chukwudi Eze</t>
  </si>
  <si>
    <t>01/09/2023</t>
  </si>
  <si>
    <t>MFS-86703</t>
  </si>
  <si>
    <t>Babatunde Buhari</t>
  </si>
  <si>
    <t>14/03/2023</t>
  </si>
  <si>
    <t>MFS-80013</t>
  </si>
  <si>
    <t>Bukola Fagbemi</t>
  </si>
  <si>
    <t>MFS-36763</t>
  </si>
  <si>
    <t>Chinwe Oyelaran</t>
  </si>
  <si>
    <t>19/11/2020</t>
  </si>
  <si>
    <t>MFS-16708</t>
  </si>
  <si>
    <t>Bello Obaseki</t>
  </si>
  <si>
    <t>10/03/2025</t>
  </si>
  <si>
    <t>MFS-57089</t>
  </si>
  <si>
    <t>Chukwuemeka Nwachukwu</t>
  </si>
  <si>
    <t>07/03/2021</t>
  </si>
  <si>
    <t>06/10/2021</t>
  </si>
  <si>
    <t>MFS-37605</t>
  </si>
  <si>
    <t>Wale Nwachukwu</t>
  </si>
  <si>
    <t>21/03/2022</t>
  </si>
  <si>
    <t>MFS-17043</t>
  </si>
  <si>
    <t>Yakubu Nduka</t>
  </si>
  <si>
    <t>MFS-91103</t>
  </si>
  <si>
    <t>Danladi Uba</t>
  </si>
  <si>
    <t>15/12/2023</t>
  </si>
  <si>
    <t>04/02/2025</t>
  </si>
  <si>
    <t>MFS-79046</t>
  </si>
  <si>
    <t>Lola Haruna</t>
  </si>
  <si>
    <t>16/05/2019</t>
  </si>
  <si>
    <t>MFS-10822</t>
  </si>
  <si>
    <t>MFS-73919</t>
  </si>
  <si>
    <t>Bilkisu Okeke</t>
  </si>
  <si>
    <t>07/11/2022</t>
  </si>
  <si>
    <t>MFS-48889</t>
  </si>
  <si>
    <t>Ogechi Okafor</t>
  </si>
  <si>
    <t>15/05/2021</t>
  </si>
  <si>
    <t>02/01/2025</t>
  </si>
  <si>
    <t>MFS-64690</t>
  </si>
  <si>
    <t>MFS-83042</t>
  </si>
  <si>
    <t>Asabe Buhari</t>
  </si>
  <si>
    <t>MFS-75676</t>
  </si>
  <si>
    <t>19/01/2023</t>
  </si>
  <si>
    <t>13/10/2024</t>
  </si>
  <si>
    <t>MFS-86983</t>
  </si>
  <si>
    <t>Kemi Fagbemi</t>
  </si>
  <si>
    <t>20/03/2020</t>
  </si>
  <si>
    <t>08/10/2022</t>
  </si>
  <si>
    <t>MFS-66075</t>
  </si>
  <si>
    <t>Ugochi Omotayo</t>
  </si>
  <si>
    <t>25/10/2022</t>
  </si>
  <si>
    <t>MFS-87910</t>
  </si>
  <si>
    <t>19/07/2024</t>
  </si>
  <si>
    <t>MFS-17287</t>
  </si>
  <si>
    <t>MFS-66322</t>
  </si>
  <si>
    <t>Shade Okafor</t>
  </si>
  <si>
    <t>04/10/2023</t>
  </si>
  <si>
    <t>MFS-30845</t>
  </si>
  <si>
    <t>13/11/2019</t>
  </si>
  <si>
    <t>MFS-98508</t>
  </si>
  <si>
    <t>Bimpe Onwudiwe</t>
  </si>
  <si>
    <t>14/11/2022</t>
  </si>
  <si>
    <t>MFS-57897</t>
  </si>
  <si>
    <t>22/05/2021</t>
  </si>
  <si>
    <t>MFS-74517</t>
  </si>
  <si>
    <t>Tobi Nnamdi</t>
  </si>
  <si>
    <t>01/01/2019</t>
  </si>
  <si>
    <t>03/06/2020</t>
  </si>
  <si>
    <t>MFS-42550</t>
  </si>
  <si>
    <t>MFS-45087</t>
  </si>
  <si>
    <t>Garba Fagbemi</t>
  </si>
  <si>
    <t>MFS-61786</t>
  </si>
  <si>
    <t>Chinedu Coker</t>
  </si>
  <si>
    <t>13/09/2020</t>
  </si>
  <si>
    <t>28/11/2021</t>
  </si>
  <si>
    <t>MFS-54766</t>
  </si>
  <si>
    <t>16/09/2023</t>
  </si>
  <si>
    <t>MFS-99686</t>
  </si>
  <si>
    <t>Yakubu Taiwo</t>
  </si>
  <si>
    <t>14/10/2021</t>
  </si>
  <si>
    <t>02/03/2024</t>
  </si>
  <si>
    <t>MFS-18817</t>
  </si>
  <si>
    <t>27/10/2020</t>
  </si>
  <si>
    <t>03/03/2023</t>
  </si>
  <si>
    <t>MFS-45683</t>
  </si>
  <si>
    <t>Femi Nnamdi</t>
  </si>
  <si>
    <t>12/10/2022</t>
  </si>
  <si>
    <t>MFS-43980</t>
  </si>
  <si>
    <t>Ifeanyi Obaseki</t>
  </si>
  <si>
    <t>MFS-67281</t>
  </si>
  <si>
    <t>11/09/2023</t>
  </si>
  <si>
    <t>MFS-95648</t>
  </si>
  <si>
    <t>MFS-12483</t>
  </si>
  <si>
    <t>02/04/2019</t>
  </si>
  <si>
    <t>26/11/2023</t>
  </si>
  <si>
    <t>MFS-38020</t>
  </si>
  <si>
    <t>Shehu Obaseki</t>
  </si>
  <si>
    <t>MFS-37498</t>
  </si>
  <si>
    <t>Nneka Okeke</t>
  </si>
  <si>
    <t>MFS-23814</t>
  </si>
  <si>
    <t>Seun Suleiman</t>
  </si>
  <si>
    <t>05/03/2020</t>
  </si>
  <si>
    <t>04/01/2023</t>
  </si>
  <si>
    <t>MFS-25187</t>
  </si>
  <si>
    <t>Uloma Okafor</t>
  </si>
  <si>
    <t>14/04/2022</t>
  </si>
  <si>
    <t>MFS-63729</t>
  </si>
  <si>
    <t>Falmata Obaseki</t>
  </si>
  <si>
    <t>11/04/2022</t>
  </si>
  <si>
    <t>MFS-43834</t>
  </si>
  <si>
    <t>Hafsat Coker</t>
  </si>
  <si>
    <t>MFS-84907</t>
  </si>
  <si>
    <t>Yetunde Taiwo</t>
  </si>
  <si>
    <t>24/06/2022</t>
  </si>
  <si>
    <t>22/06/2023</t>
  </si>
  <si>
    <t>MFS-61841</t>
  </si>
  <si>
    <t>05/10/2023</t>
  </si>
  <si>
    <t>MFS-67919</t>
  </si>
  <si>
    <t>Bello Okafor</t>
  </si>
  <si>
    <t>MFS-76680</t>
  </si>
  <si>
    <t>Chidi Eze</t>
  </si>
  <si>
    <t>08/06/2021</t>
  </si>
  <si>
    <t>MFS-34069</t>
  </si>
  <si>
    <t>Lola Danladi</t>
  </si>
  <si>
    <t>12/09/2022</t>
  </si>
  <si>
    <t>MFS-74452</t>
  </si>
  <si>
    <t>MFS-75037</t>
  </si>
  <si>
    <t>Fatima Adeyemi</t>
  </si>
  <si>
    <t>17/03/2023</t>
  </si>
  <si>
    <t>MFS-59487</t>
  </si>
  <si>
    <t>Chidi Lawal</t>
  </si>
  <si>
    <t>MFS-76948</t>
  </si>
  <si>
    <t>Oghenekaro Nduka</t>
  </si>
  <si>
    <t>09/07/2022</t>
  </si>
  <si>
    <t>MFS-86172</t>
  </si>
  <si>
    <t>Adebayo Musa</t>
  </si>
  <si>
    <t>MFS-14421</t>
  </si>
  <si>
    <t>27/01/2020</t>
  </si>
  <si>
    <t>MFS-16119</t>
  </si>
  <si>
    <t>Bello Abdullahi</t>
  </si>
  <si>
    <t>MFS-59823</t>
  </si>
  <si>
    <t>Kabiru Eze</t>
  </si>
  <si>
    <t>MFS-93254</t>
  </si>
  <si>
    <t>30/09/2023</t>
  </si>
  <si>
    <t>MFS-23517</t>
  </si>
  <si>
    <t>Obiora Lawal</t>
  </si>
  <si>
    <t>MFS-32925</t>
  </si>
  <si>
    <t>Abubakar Shehu</t>
  </si>
  <si>
    <t>08/09/2024</t>
  </si>
  <si>
    <t>MFS-72052</t>
  </si>
  <si>
    <t>12/06/2021</t>
  </si>
  <si>
    <t>17/07/2022</t>
  </si>
  <si>
    <t>MFS-89300</t>
  </si>
  <si>
    <t>Adaeze Ihejirika</t>
  </si>
  <si>
    <t>09/09/2020</t>
  </si>
  <si>
    <t>MFS-92753</t>
  </si>
  <si>
    <t>Tunde Buhari</t>
  </si>
  <si>
    <t>16/10/2024</t>
  </si>
  <si>
    <t>MFS-34118</t>
  </si>
  <si>
    <t>Ebuka Coker</t>
  </si>
  <si>
    <t>MFS-55715</t>
  </si>
  <si>
    <t>Ramatu Obaseki</t>
  </si>
  <si>
    <t>14/02/2021</t>
  </si>
  <si>
    <t>MFS-13584</t>
  </si>
  <si>
    <t>Nkechi Onwudiwe</t>
  </si>
  <si>
    <t>10/11/2024</t>
  </si>
  <si>
    <t>MFS-93518</t>
  </si>
  <si>
    <t>Obiora Obaseki</t>
  </si>
  <si>
    <t>29/06/2023</t>
  </si>
  <si>
    <t>MFS-27149</t>
  </si>
  <si>
    <t>Titi Ihejirika</t>
  </si>
  <si>
    <t>18/12/2023</t>
  </si>
  <si>
    <t>MFS-58616</t>
  </si>
  <si>
    <t>Nneka Bello</t>
  </si>
  <si>
    <t>20/05/2021</t>
  </si>
  <si>
    <t>MFS-52945</t>
  </si>
  <si>
    <t>13/12/2021</t>
  </si>
  <si>
    <t>MFS-75496</t>
  </si>
  <si>
    <t>Garba Obaseki</t>
  </si>
  <si>
    <t>20/06/2023</t>
  </si>
  <si>
    <t>MFS-33996</t>
  </si>
  <si>
    <t>Chidi Ogundipe</t>
  </si>
  <si>
    <t>02/07/2021</t>
  </si>
  <si>
    <t>MFS-74865</t>
  </si>
  <si>
    <t>Nnamdi Suleiman</t>
  </si>
  <si>
    <t>MFS-34224</t>
  </si>
  <si>
    <t>Dele Abdullahi</t>
  </si>
  <si>
    <t>09/12/2022</t>
  </si>
  <si>
    <t>MFS-92594</t>
  </si>
  <si>
    <t>MFS-57347</t>
  </si>
  <si>
    <t>Jummai Ihejirika</t>
  </si>
  <si>
    <t>MFS-79422</t>
  </si>
  <si>
    <t>21/12/2019</t>
  </si>
  <si>
    <t>MFS-21622</t>
  </si>
  <si>
    <t>Yetunde Adesanya</t>
  </si>
  <si>
    <t>28/12/2020</t>
  </si>
  <si>
    <t>MFS-73106</t>
  </si>
  <si>
    <t>Aisha Afolabi</t>
  </si>
  <si>
    <t>25/02/2022</t>
  </si>
  <si>
    <t>MFS-18639</t>
  </si>
  <si>
    <t>Adebayo Ogbonna</t>
  </si>
  <si>
    <t>MFS-28251</t>
  </si>
  <si>
    <t>Adeola Nwosu</t>
  </si>
  <si>
    <t>04/04/2022</t>
  </si>
  <si>
    <t>MFS-33382</t>
  </si>
  <si>
    <t>Yakubu Eze</t>
  </si>
  <si>
    <t>29/04/2022</t>
  </si>
  <si>
    <t>MFS-75691</t>
  </si>
  <si>
    <t>Shehu Ogundipe</t>
  </si>
  <si>
    <t>03/10/2023</t>
  </si>
  <si>
    <t>MFS-50569</t>
  </si>
  <si>
    <t>Nneka Abdullahi</t>
  </si>
  <si>
    <t>21/07/2021</t>
  </si>
  <si>
    <t>MFS-23581</t>
  </si>
  <si>
    <t>Abubakar Danladi</t>
  </si>
  <si>
    <t>10/02/2019</t>
  </si>
  <si>
    <t>MFS-18943</t>
  </si>
  <si>
    <t>Babatunde Haruna</t>
  </si>
  <si>
    <t>MFS-44646</t>
  </si>
  <si>
    <t>Oghenekaro Adebayo</t>
  </si>
  <si>
    <t>09/06/2022</t>
  </si>
  <si>
    <t>MFS-56444</t>
  </si>
  <si>
    <t>24/12/2022</t>
  </si>
  <si>
    <t>MFS-35736</t>
  </si>
  <si>
    <t>Shehu Okonkwo</t>
  </si>
  <si>
    <t>26/03/2023</t>
  </si>
  <si>
    <t>MFS-17915</t>
  </si>
  <si>
    <t>Kabiru Ogbonna</t>
  </si>
  <si>
    <t>07/10/2021</t>
  </si>
  <si>
    <t>04/02/2023</t>
  </si>
  <si>
    <t>MFS-43478</t>
  </si>
  <si>
    <t>Chioma Yakubu</t>
  </si>
  <si>
    <t>MFS-89231</t>
  </si>
  <si>
    <t>Amaka Oyelaran</t>
  </si>
  <si>
    <t>MFS-77013</t>
  </si>
  <si>
    <t>Suleiman Abdullahi</t>
  </si>
  <si>
    <t>30/10/2021</t>
  </si>
  <si>
    <t>MFS-26803</t>
  </si>
  <si>
    <t>Yakubu Obi</t>
  </si>
  <si>
    <t>1,180,000.0</t>
  </si>
  <si>
    <t>MFS-62166</t>
  </si>
  <si>
    <t>Bello Okeke</t>
  </si>
  <si>
    <t>29/10/2024</t>
  </si>
  <si>
    <t>MFS-82505</t>
  </si>
  <si>
    <t>Yemi Fagbemi</t>
  </si>
  <si>
    <t>03/11/2020</t>
  </si>
  <si>
    <t>30/05/2021</t>
  </si>
  <si>
    <t>MFS-62150</t>
  </si>
  <si>
    <t>Obiora Garba</t>
  </si>
  <si>
    <t>25/07/2021</t>
  </si>
  <si>
    <t>MFS-31753</t>
  </si>
  <si>
    <t>30/06/2023</t>
  </si>
  <si>
    <t>MFS-11373</t>
  </si>
  <si>
    <t>Wale Adeyemi</t>
  </si>
  <si>
    <t>MFS-66952</t>
  </si>
  <si>
    <t>Musa Adebayo</t>
  </si>
  <si>
    <t>04/10/2020</t>
  </si>
  <si>
    <t>MFS-44653</t>
  </si>
  <si>
    <t>Chukwudi Nwachukwu</t>
  </si>
  <si>
    <t>07/04/2021</t>
  </si>
  <si>
    <t>19/04/2022</t>
  </si>
  <si>
    <t>MFS-78084</t>
  </si>
  <si>
    <t>Adaora Haruna</t>
  </si>
  <si>
    <t>MFS-96003</t>
  </si>
  <si>
    <t>Yemi Yakubu</t>
  </si>
  <si>
    <t>19/01/2022</t>
  </si>
  <si>
    <t>27/03/2023</t>
  </si>
  <si>
    <t>MFS-82885</t>
  </si>
  <si>
    <t>Maryam Nduka</t>
  </si>
  <si>
    <t>14/01/2021</t>
  </si>
  <si>
    <t>MFS-64274</t>
  </si>
  <si>
    <t>Chukwuemeka Buhari</t>
  </si>
  <si>
    <t>MFS-42989</t>
  </si>
  <si>
    <t>Abubakar Haruna</t>
  </si>
  <si>
    <t>MFS-76506</t>
  </si>
  <si>
    <t>Kemi Eze</t>
  </si>
  <si>
    <t>10/03/2024</t>
  </si>
  <si>
    <t>MFS-65452</t>
  </si>
  <si>
    <t>21/02/2023</t>
  </si>
  <si>
    <t>MFS-66628</t>
  </si>
  <si>
    <t>Rotimi Uba</t>
  </si>
  <si>
    <t>31/05/2021</t>
  </si>
  <si>
    <t>MFS-10468</t>
  </si>
  <si>
    <t>Adebayo Taiwo</t>
  </si>
  <si>
    <t>27/05/2023</t>
  </si>
  <si>
    <t>MFS-62799</t>
  </si>
  <si>
    <t>Adaeze Suleiman</t>
  </si>
  <si>
    <t>12/11/2021</t>
  </si>
  <si>
    <t>MFS-96746</t>
  </si>
  <si>
    <t>04/05/2019</t>
  </si>
  <si>
    <t>28/03/2023</t>
  </si>
  <si>
    <t>MFS-32295</t>
  </si>
  <si>
    <t>13/07/2020</t>
  </si>
  <si>
    <t>MFS-23938</t>
  </si>
  <si>
    <t>Wale Lawal</t>
  </si>
  <si>
    <t>10/11/2020</t>
  </si>
  <si>
    <t>MFS-60015</t>
  </si>
  <si>
    <t>Jummai Fagbemi</t>
  </si>
  <si>
    <t>12/08/2019</t>
  </si>
  <si>
    <t>MFS-97407</t>
  </si>
  <si>
    <t>Nana Obaseki</t>
  </si>
  <si>
    <t>08/10/2021</t>
  </si>
  <si>
    <t>MFS-54606</t>
  </si>
  <si>
    <t>Bilkisu Adebayo</t>
  </si>
  <si>
    <t>17/12/2022</t>
  </si>
  <si>
    <t>MFS-76483</t>
  </si>
  <si>
    <t>MFS-58864</t>
  </si>
  <si>
    <t>Chinedu Taiwo</t>
  </si>
  <si>
    <t>04/05/2023</t>
  </si>
  <si>
    <t>MFS-64887</t>
  </si>
  <si>
    <t>Hauwa Nnamdi</t>
  </si>
  <si>
    <t>05/09/2021</t>
  </si>
  <si>
    <t>MFS-76993</t>
  </si>
  <si>
    <t>10/04/2024</t>
  </si>
  <si>
    <t>MFS-96978</t>
  </si>
  <si>
    <t>Shade Abdullahi</t>
  </si>
  <si>
    <t>21/10/2021</t>
  </si>
  <si>
    <t>MFS-80316</t>
  </si>
  <si>
    <t>Hafsat Suleiman</t>
  </si>
  <si>
    <t>MFS-80994</t>
  </si>
  <si>
    <t>Usman Abdullahi</t>
  </si>
  <si>
    <t>18/06/2022</t>
  </si>
  <si>
    <t>21/11/2023</t>
  </si>
  <si>
    <t>MFS-62342</t>
  </si>
  <si>
    <t>Rabiu Chukwu</t>
  </si>
  <si>
    <t>MFS-47040</t>
  </si>
  <si>
    <t>05/06/2022</t>
  </si>
  <si>
    <t>MFS-81351</t>
  </si>
  <si>
    <t>Abubakar Adeyemi</t>
  </si>
  <si>
    <t>20/06/2019</t>
  </si>
  <si>
    <t>29/08/2020</t>
  </si>
  <si>
    <t>MFS-30735</t>
  </si>
  <si>
    <t>Adebayo Nduka</t>
  </si>
  <si>
    <t>MFS-44165</t>
  </si>
  <si>
    <t>Ezinne Fagbemi</t>
  </si>
  <si>
    <t>15/10/2023</t>
  </si>
  <si>
    <t>MFS-24548</t>
  </si>
  <si>
    <t>Danladi Ihejirika</t>
  </si>
  <si>
    <t>MFS-31505</t>
  </si>
  <si>
    <t>MFS-68854</t>
  </si>
  <si>
    <t>16/07/2022</t>
  </si>
  <si>
    <t>MFS-97251</t>
  </si>
  <si>
    <t>Bimpe Okonkwo</t>
  </si>
  <si>
    <t>14/03/2025</t>
  </si>
  <si>
    <t>MFS-79606</t>
  </si>
  <si>
    <t>Dele Adewale</t>
  </si>
  <si>
    <t>13/03/2024</t>
  </si>
  <si>
    <t>MFS-20476</t>
  </si>
  <si>
    <t>Nasiru Adewale</t>
  </si>
  <si>
    <t>12/02/2019</t>
  </si>
  <si>
    <t>MFS-68538</t>
  </si>
  <si>
    <t>12/11/2020</t>
  </si>
  <si>
    <t>MFS-72245</t>
  </si>
  <si>
    <t>Ikenna Obi</t>
  </si>
  <si>
    <t>15/11/2021</t>
  </si>
  <si>
    <t>MFS-70160</t>
  </si>
  <si>
    <t>Abubakar Obaseki</t>
  </si>
  <si>
    <t>MFS-43169</t>
  </si>
  <si>
    <t>Damilola Eze</t>
  </si>
  <si>
    <t>28/04/2021</t>
  </si>
  <si>
    <t>MFS-99825</t>
  </si>
  <si>
    <t>Abubakar Eze</t>
  </si>
  <si>
    <t>09/01/2021</t>
  </si>
  <si>
    <t>31/01/2024</t>
  </si>
  <si>
    <t>MFS-15419</t>
  </si>
  <si>
    <t>Nneka Shehu</t>
  </si>
  <si>
    <t>12/02/2022</t>
  </si>
  <si>
    <t>MFS-72051</t>
  </si>
  <si>
    <t>Kemi Nwosu</t>
  </si>
  <si>
    <t>02/09/2020</t>
  </si>
  <si>
    <t>MFS-87867</t>
  </si>
  <si>
    <t>27/05/2021</t>
  </si>
  <si>
    <t>MFS-81364</t>
  </si>
  <si>
    <t>Bukola Adewale</t>
  </si>
  <si>
    <t>07/08/2022</t>
  </si>
  <si>
    <t>MFS-10598</t>
  </si>
  <si>
    <t>MFS-88143</t>
  </si>
  <si>
    <t>Zainab Oyelaran</t>
  </si>
  <si>
    <t>MFS-16895</t>
  </si>
  <si>
    <t>Chinyere Shehu</t>
  </si>
  <si>
    <t>31/03/2022</t>
  </si>
  <si>
    <t>MFS-78076</t>
  </si>
  <si>
    <t>Bimpe Shehu</t>
  </si>
  <si>
    <t>MFS-31153</t>
  </si>
  <si>
    <t>Falmata Coker</t>
  </si>
  <si>
    <t>risk and compliance</t>
  </si>
  <si>
    <t>12/11/2019</t>
  </si>
  <si>
    <t>MFS-12891</t>
  </si>
  <si>
    <t>Falmata Chukwu</t>
  </si>
  <si>
    <t>26/05/2020</t>
  </si>
  <si>
    <t>MFS-89705</t>
  </si>
  <si>
    <t>Rukayya Okonkwo</t>
  </si>
  <si>
    <t>MFS-63396</t>
  </si>
  <si>
    <t>Obinna Onwudiwe</t>
  </si>
  <si>
    <t>MFS-13420</t>
  </si>
  <si>
    <t>Folake Onwudiwe</t>
  </si>
  <si>
    <t>MFS-24853</t>
  </si>
  <si>
    <t>Ebuka Lawal</t>
  </si>
  <si>
    <t>02/05/2021</t>
  </si>
  <si>
    <t>MFS-23611</t>
  </si>
  <si>
    <t>16/01/2022</t>
  </si>
  <si>
    <t>MFS-79678</t>
  </si>
  <si>
    <t>21/04/2022</t>
  </si>
  <si>
    <t>MFS-45674</t>
  </si>
  <si>
    <t>Rabiu Ogundipe</t>
  </si>
  <si>
    <t>30/01/2019</t>
  </si>
  <si>
    <t>MFS-87743</t>
  </si>
  <si>
    <t>Chioma Adewale</t>
  </si>
  <si>
    <t>MFS-70004</t>
  </si>
  <si>
    <t>Chinwe Adeyemi</t>
  </si>
  <si>
    <t>13/07/2024</t>
  </si>
  <si>
    <t>MFS-69871</t>
  </si>
  <si>
    <t>02/06/2023</t>
  </si>
  <si>
    <t>20/09/2024</t>
  </si>
  <si>
    <t>MFS-75421</t>
  </si>
  <si>
    <t>Aliyu Lawal</t>
  </si>
  <si>
    <t>18/03/2020</t>
  </si>
  <si>
    <t>MFS-45153</t>
  </si>
  <si>
    <t>Chinwe Nduka</t>
  </si>
  <si>
    <t>05/06/2019</t>
  </si>
  <si>
    <t>MFS-29579</t>
  </si>
  <si>
    <t>Ugochi Yakubu</t>
  </si>
  <si>
    <t>28/07/2019</t>
  </si>
  <si>
    <t>MFS-71718</t>
  </si>
  <si>
    <t>Ugochi Oyelaran</t>
  </si>
  <si>
    <t>09/04/2022</t>
  </si>
  <si>
    <t>MFS-83394</t>
  </si>
  <si>
    <t>Ebuka Nwosu</t>
  </si>
  <si>
    <t>MFS-20237</t>
  </si>
  <si>
    <t>Bello Nduka</t>
  </si>
  <si>
    <t>15/10/2019</t>
  </si>
  <si>
    <t>MFS-94076</t>
  </si>
  <si>
    <t>Ramatu Taiwo</t>
  </si>
  <si>
    <t>MFS-25919</t>
  </si>
  <si>
    <t>07/04/2022</t>
  </si>
  <si>
    <t>01/01/2024</t>
  </si>
  <si>
    <t>MFS-14374</t>
  </si>
  <si>
    <t>09/12/2023</t>
  </si>
  <si>
    <t>MFS-92102</t>
  </si>
  <si>
    <t>Falmata Suleiman</t>
  </si>
  <si>
    <t>11/05/2023</t>
  </si>
  <si>
    <t>MFS-75714</t>
  </si>
  <si>
    <t>MFS-64256</t>
  </si>
  <si>
    <t>Ramatu Ogundipe</t>
  </si>
  <si>
    <t>MFS-41600</t>
  </si>
  <si>
    <t>Falmata Buhari</t>
  </si>
  <si>
    <t>17/05/2022</t>
  </si>
  <si>
    <t>MFS-46075</t>
  </si>
  <si>
    <t>Funmilayo Garba</t>
  </si>
  <si>
    <t>MFS-22866</t>
  </si>
  <si>
    <t>MFS-53676</t>
  </si>
  <si>
    <t>MFS-17818</t>
  </si>
  <si>
    <t>Hauwa Obaseki</t>
  </si>
  <si>
    <t>21/10/2020</t>
  </si>
  <si>
    <t>MFS-83743</t>
  </si>
  <si>
    <t>Obinna Bello</t>
  </si>
  <si>
    <t>30/04/2023</t>
  </si>
  <si>
    <t>MFS-97988</t>
  </si>
  <si>
    <t>Aliyu Musa</t>
  </si>
  <si>
    <t>04/09/2019</t>
  </si>
  <si>
    <t>MFS-49885</t>
  </si>
  <si>
    <t>Damilola Omotayo</t>
  </si>
  <si>
    <t>MFS-26750</t>
  </si>
  <si>
    <t>12/01/2021</t>
  </si>
  <si>
    <t>MFS-14360</t>
  </si>
  <si>
    <t>Usman Obi</t>
  </si>
  <si>
    <t>14/06/2019</t>
  </si>
  <si>
    <t>MFS-28724</t>
  </si>
  <si>
    <t>MFS-31333</t>
  </si>
  <si>
    <t>27/05/2020</t>
  </si>
  <si>
    <t>10/05/2023</t>
  </si>
  <si>
    <t>MFS-68142</t>
  </si>
  <si>
    <t>Nasiru Lawal</t>
  </si>
  <si>
    <t>04/02/2022</t>
  </si>
  <si>
    <t>02/01/2023</t>
  </si>
  <si>
    <t>MFS-27886</t>
  </si>
  <si>
    <t>Babatunde Oyelaran</t>
  </si>
  <si>
    <t>MFS-12147</t>
  </si>
  <si>
    <t>Oghenekaro Amadi</t>
  </si>
  <si>
    <t>MFS-63423</t>
  </si>
  <si>
    <t>Rabiu Nwosu</t>
  </si>
  <si>
    <t>25/03/2019</t>
  </si>
  <si>
    <t>14/05/2020</t>
  </si>
  <si>
    <t>MFS-72448</t>
  </si>
  <si>
    <t>Ngozi Omotayo</t>
  </si>
  <si>
    <t>MFS-74874</t>
  </si>
  <si>
    <t>Ikenna Nnamdi</t>
  </si>
  <si>
    <t>MFS-96449</t>
  </si>
  <si>
    <t>Gbenga Shehu</t>
  </si>
  <si>
    <t>26/08/2022</t>
  </si>
  <si>
    <t>MFS-17774</t>
  </si>
  <si>
    <t>Gbenga Onwudiwe</t>
  </si>
  <si>
    <t>MFS-31410</t>
  </si>
  <si>
    <t>Adebayo Adeyemi</t>
  </si>
  <si>
    <t>05/01/2025</t>
  </si>
  <si>
    <t>MFS-84136</t>
  </si>
  <si>
    <t>29/07/2019</t>
  </si>
  <si>
    <t>MFS-99347</t>
  </si>
  <si>
    <t>Rabiu Buhari</t>
  </si>
  <si>
    <t>13/12/2024</t>
  </si>
  <si>
    <t>MFS-66834</t>
  </si>
  <si>
    <t>MFS-49129</t>
  </si>
  <si>
    <t>Babatunde Ihejirika</t>
  </si>
  <si>
    <t>MFS-63149</t>
  </si>
  <si>
    <t>Yetunde Nduka</t>
  </si>
  <si>
    <t>24/03/2021</t>
  </si>
  <si>
    <t>17/03/2024</t>
  </si>
  <si>
    <t>MFS-68936</t>
  </si>
  <si>
    <t>29/05/2019</t>
  </si>
  <si>
    <t>MFS-34849</t>
  </si>
  <si>
    <t>Haruna Ogbonna</t>
  </si>
  <si>
    <t>25/04/2022</t>
  </si>
  <si>
    <t>MFS-25165</t>
  </si>
  <si>
    <t>Asabe Ogundipe</t>
  </si>
  <si>
    <t>25/08/2020</t>
  </si>
  <si>
    <t>MFS-35278</t>
  </si>
  <si>
    <t>Tobi Bello</t>
  </si>
  <si>
    <t>21/06/2022</t>
  </si>
  <si>
    <t>MFS-99142</t>
  </si>
  <si>
    <t>28/11/2020</t>
  </si>
  <si>
    <t>MFS-54679</t>
  </si>
  <si>
    <t>Uche Nwosu</t>
  </si>
  <si>
    <t>15/04/2019</t>
  </si>
  <si>
    <t>24/01/2022</t>
  </si>
  <si>
    <t>MFS-49666</t>
  </si>
  <si>
    <t>Musa Obi</t>
  </si>
  <si>
    <t>MFS-75213</t>
  </si>
  <si>
    <t>Musa Abdullahi</t>
  </si>
  <si>
    <t>MFS-63818</t>
  </si>
  <si>
    <t>Kunle Oyelaran</t>
  </si>
  <si>
    <t>MFS-28030</t>
  </si>
  <si>
    <t>Shehu Danladi</t>
  </si>
  <si>
    <t>MFS-10478</t>
  </si>
  <si>
    <t>Emeka Danladi</t>
  </si>
  <si>
    <t>01/03/2023</t>
  </si>
  <si>
    <t>MFS-58929</t>
  </si>
  <si>
    <t>MFS-68379</t>
  </si>
  <si>
    <t>Yetunde Lawal</t>
  </si>
  <si>
    <t>MFS-28528</t>
  </si>
  <si>
    <t>Falmata Nduka</t>
  </si>
  <si>
    <t>20/10/2022</t>
  </si>
  <si>
    <t>MFS-55135</t>
  </si>
  <si>
    <t>Rotimi Afolabi</t>
  </si>
  <si>
    <t>19/07/2019</t>
  </si>
  <si>
    <t>08/02/2025</t>
  </si>
  <si>
    <t>MFS-95697</t>
  </si>
  <si>
    <t>Chidi Adewale</t>
  </si>
  <si>
    <t>11/04/2024</t>
  </si>
  <si>
    <t>MFS-15810</t>
  </si>
  <si>
    <t>Emeka Obaseki</t>
  </si>
  <si>
    <t>MFS-59969</t>
  </si>
  <si>
    <t>27/04/2024</t>
  </si>
  <si>
    <t>MFS-33207</t>
  </si>
  <si>
    <t>Falmata Ihejirika</t>
  </si>
  <si>
    <t>MFS-17089</t>
  </si>
  <si>
    <t>Shehu Ogbonna</t>
  </si>
  <si>
    <t>15/02/2023</t>
  </si>
  <si>
    <t>MFS-16233</t>
  </si>
  <si>
    <t>Ifeanyi Garba</t>
  </si>
  <si>
    <t>31/05/2020</t>
  </si>
  <si>
    <t>MFS-61496</t>
  </si>
  <si>
    <t>Uche Haruna</t>
  </si>
  <si>
    <t>12/08/2020</t>
  </si>
  <si>
    <t>17/12/2024</t>
  </si>
  <si>
    <t>MFS-91965</t>
  </si>
  <si>
    <t>Zainab Omotayo</t>
  </si>
  <si>
    <t>25/10/2024</t>
  </si>
  <si>
    <t>MFS-92912</t>
  </si>
  <si>
    <t>25/09/2019</t>
  </si>
  <si>
    <t>MFS-15990</t>
  </si>
  <si>
    <t>Obiora Coker</t>
  </si>
  <si>
    <t>10/05/2024</t>
  </si>
  <si>
    <t>MFS-69559</t>
  </si>
  <si>
    <t>Rabiu Ihejirika</t>
  </si>
  <si>
    <t>MFS-79349</t>
  </si>
  <si>
    <t>Chibuike Obi</t>
  </si>
  <si>
    <t>MFS-99545</t>
  </si>
  <si>
    <t>Tosin Nduka</t>
  </si>
  <si>
    <t>MFS-14504</t>
  </si>
  <si>
    <t>Rabiu Amadi</t>
  </si>
  <si>
    <t>10/09/2020</t>
  </si>
  <si>
    <t>MFS-69301</t>
  </si>
  <si>
    <t>Nkechi Fagbemi</t>
  </si>
  <si>
    <t>10/11/2021</t>
  </si>
  <si>
    <t>MFS-91289</t>
  </si>
  <si>
    <t>Ikenna Ihejirika</t>
  </si>
  <si>
    <t>06/07/2023</t>
  </si>
  <si>
    <t>06/12/2024</t>
  </si>
  <si>
    <t>MFS-86863</t>
  </si>
  <si>
    <t>MFS-65348</t>
  </si>
  <si>
    <t>Hadiza Obaseki</t>
  </si>
  <si>
    <t>29/06/2020</t>
  </si>
  <si>
    <t>MFS-59280</t>
  </si>
  <si>
    <t>Chidi Haruna</t>
  </si>
  <si>
    <t>12/06/2022</t>
  </si>
  <si>
    <t>MFS-27175</t>
  </si>
  <si>
    <t>31/03/2025</t>
  </si>
  <si>
    <t>MFS-39334</t>
  </si>
  <si>
    <t>MFS-67126</t>
  </si>
  <si>
    <t>Usman Okeke</t>
  </si>
  <si>
    <t>02/09/2022</t>
  </si>
  <si>
    <t>MFS-92017</t>
  </si>
  <si>
    <t>07/01/2025</t>
  </si>
  <si>
    <t>MFS-17121</t>
  </si>
  <si>
    <t>10/08/2024</t>
  </si>
  <si>
    <t>MFS-47688</t>
  </si>
  <si>
    <t>04/03/2022</t>
  </si>
  <si>
    <t>MFS-39529</t>
  </si>
  <si>
    <t>Abubakar Fagbemi</t>
  </si>
  <si>
    <t>17/10/2021</t>
  </si>
  <si>
    <t>MFS-31273</t>
  </si>
  <si>
    <t>Tunde Okafor</t>
  </si>
  <si>
    <t>MFS-91797</t>
  </si>
  <si>
    <t>Ebuka Adebayo</t>
  </si>
  <si>
    <t>30/03/2019</t>
  </si>
  <si>
    <t>MFS-21856</t>
  </si>
  <si>
    <t>Folake Ogbonna</t>
  </si>
  <si>
    <t>02/10/2020</t>
  </si>
  <si>
    <t>MFS-10495</t>
  </si>
  <si>
    <t>MFS-72097</t>
  </si>
  <si>
    <t>Kabiru Adeyemi</t>
  </si>
  <si>
    <t>MFS-35712</t>
  </si>
  <si>
    <t>Nasiru Suleiman</t>
  </si>
  <si>
    <t>19/12/2023</t>
  </si>
  <si>
    <t>MFS-12125</t>
  </si>
  <si>
    <t>MFS-31588</t>
  </si>
  <si>
    <t>10/08/2019</t>
  </si>
  <si>
    <t>MFS-49601</t>
  </si>
  <si>
    <t>Nasiru Adesanya</t>
  </si>
  <si>
    <t>MFS-84727</t>
  </si>
  <si>
    <t>Adaeze Abdullahi</t>
  </si>
  <si>
    <t>MFS-66606</t>
  </si>
  <si>
    <t>Dele Suleiman</t>
  </si>
  <si>
    <t>08/09/2021</t>
  </si>
  <si>
    <t>23/01/2023</t>
  </si>
  <si>
    <t>MFS-10863</t>
  </si>
  <si>
    <t>26/09/2021</t>
  </si>
  <si>
    <t>MFS-84366</t>
  </si>
  <si>
    <t>Chinyere Afolabi</t>
  </si>
  <si>
    <t>17/02/2020</t>
  </si>
  <si>
    <t>MFS-34294</t>
  </si>
  <si>
    <t>MFS-75976</t>
  </si>
  <si>
    <t>Hauwa Okafor</t>
  </si>
  <si>
    <t>MFS-30674</t>
  </si>
  <si>
    <t>Chukwuemeka Onwudiwe</t>
  </si>
  <si>
    <t>11/08/2024</t>
  </si>
  <si>
    <t>MFS-74868</t>
  </si>
  <si>
    <t>Adebayo Danladi</t>
  </si>
  <si>
    <t>15/04/2020</t>
  </si>
  <si>
    <t>MFS-51059</t>
  </si>
  <si>
    <t>Aliyu Adeyemi</t>
  </si>
  <si>
    <t>20/04/2023</t>
  </si>
  <si>
    <t>02/11/2024</t>
  </si>
  <si>
    <t>MFS-86506</t>
  </si>
  <si>
    <t>MFS-42566</t>
  </si>
  <si>
    <t>Danladi Eze</t>
  </si>
  <si>
    <t>03/04/2023</t>
  </si>
  <si>
    <t>10/12/2024</t>
  </si>
  <si>
    <t>MFS-40361</t>
  </si>
  <si>
    <t>Uloma Fagbemi</t>
  </si>
  <si>
    <t>04/11/2019</t>
  </si>
  <si>
    <t>MFS-50525</t>
  </si>
  <si>
    <t>Femi Amadi</t>
  </si>
  <si>
    <t>MFS-13082</t>
  </si>
  <si>
    <t>Hauwa Okonkwo</t>
  </si>
  <si>
    <t>27/12/2022</t>
  </si>
  <si>
    <t>MFS-22160</t>
  </si>
  <si>
    <t>06/10/2023</t>
  </si>
  <si>
    <t>MFS-35834</t>
  </si>
  <si>
    <t>09/05/2023</t>
  </si>
  <si>
    <t>MFS-74918</t>
  </si>
  <si>
    <t>MFS-11467</t>
  </si>
  <si>
    <t>Shade Omotayo</t>
  </si>
  <si>
    <t>05/08/2022</t>
  </si>
  <si>
    <t>MFS-94902</t>
  </si>
  <si>
    <t>Shehu Onwudiwe</t>
  </si>
  <si>
    <t>11/08/2021</t>
  </si>
  <si>
    <t>MFS-85150</t>
  </si>
  <si>
    <t>14/11/2019</t>
  </si>
  <si>
    <t>MFS-60757</t>
  </si>
  <si>
    <t>Haruna Aliyu</t>
  </si>
  <si>
    <t>17/07/2020</t>
  </si>
  <si>
    <t>MFS-58425</t>
  </si>
  <si>
    <t>Chioma Eze</t>
  </si>
  <si>
    <t>17/04/2019</t>
  </si>
  <si>
    <t>MFS-33525</t>
  </si>
  <si>
    <t>Aliyu Fagbemi</t>
  </si>
  <si>
    <t>06/07/2019</t>
  </si>
  <si>
    <t>02/03/2021</t>
  </si>
  <si>
    <t>MFS-93512</t>
  </si>
  <si>
    <t>Chukwuemeka Afolabi</t>
  </si>
  <si>
    <t>01/09/2019</t>
  </si>
  <si>
    <t>MFS-35860</t>
  </si>
  <si>
    <t>Abubakar Garba</t>
  </si>
  <si>
    <t>02/12/2020</t>
  </si>
  <si>
    <t>25/09/2021</t>
  </si>
  <si>
    <t>MFS-72043</t>
  </si>
  <si>
    <t>16/08/2020</t>
  </si>
  <si>
    <t>MFS-20097</t>
  </si>
  <si>
    <t>Chinyere Obi</t>
  </si>
  <si>
    <t>28/02/2021</t>
  </si>
  <si>
    <t>02/07/2022</t>
  </si>
  <si>
    <t>MFS-86888</t>
  </si>
  <si>
    <t>Falmata Yakubu</t>
  </si>
  <si>
    <t>15/04/2022</t>
  </si>
  <si>
    <t>02/01/2024</t>
  </si>
  <si>
    <t>MFS-69229</t>
  </si>
  <si>
    <t>03/11/2019</t>
  </si>
  <si>
    <t>MFS-78411</t>
  </si>
  <si>
    <t>Laraba Adeyemi</t>
  </si>
  <si>
    <t>23/09/2022</t>
  </si>
  <si>
    <t>MFS-42185</t>
  </si>
  <si>
    <t>Fatima Taiwo</t>
  </si>
  <si>
    <t>02/02/2021</t>
  </si>
  <si>
    <t>MFS-74400</t>
  </si>
  <si>
    <t>Sola Oyelaran</t>
  </si>
  <si>
    <t>MFS-38603</t>
  </si>
  <si>
    <t>04/07/2020</t>
  </si>
  <si>
    <t>MFS-70844</t>
  </si>
  <si>
    <t>Lanre Abdullahi</t>
  </si>
  <si>
    <t>25/11/2023</t>
  </si>
  <si>
    <t>MFS-45241</t>
  </si>
  <si>
    <t>Emeka Abdullahi</t>
  </si>
  <si>
    <t>17/10/2023</t>
  </si>
  <si>
    <t>MFS-36263</t>
  </si>
  <si>
    <t>Laraba Danladi</t>
  </si>
  <si>
    <t>MFS-75324</t>
  </si>
  <si>
    <t>Ronke Bello</t>
  </si>
  <si>
    <t>MFS-88699</t>
  </si>
  <si>
    <t>Bukola Abdullahi</t>
  </si>
  <si>
    <t>MFS-14908</t>
  </si>
  <si>
    <t>Adeola Ogundipe</t>
  </si>
  <si>
    <t>30/09/2020</t>
  </si>
  <si>
    <t>MFS-74948</t>
  </si>
  <si>
    <t>MFS-83309</t>
  </si>
  <si>
    <t>Ezinne Haruna</t>
  </si>
  <si>
    <t>MFS-81234</t>
  </si>
  <si>
    <t>03/03/2020</t>
  </si>
  <si>
    <t>MFS-22780</t>
  </si>
  <si>
    <t>Shade Obi</t>
  </si>
  <si>
    <t>MFS-66124</t>
  </si>
  <si>
    <t>Femi Adebayo</t>
  </si>
  <si>
    <t>01/05/2023</t>
  </si>
  <si>
    <t>15/07/2024</t>
  </si>
  <si>
    <t>MFS-17857</t>
  </si>
  <si>
    <t>Maryam Okonkwo</t>
  </si>
  <si>
    <t>17/07/2021</t>
  </si>
  <si>
    <t>MFS-56638</t>
  </si>
  <si>
    <t>Ramatu Omotayo</t>
  </si>
  <si>
    <t>MFS-13040</t>
  </si>
  <si>
    <t>Ifeoma Okonkwo</t>
  </si>
  <si>
    <t>MFS-67411</t>
  </si>
  <si>
    <t>Chioma Coker</t>
  </si>
  <si>
    <t>26/11/2020</t>
  </si>
  <si>
    <t>MFS-24838</t>
  </si>
  <si>
    <t>Asabe Nnamdi</t>
  </si>
  <si>
    <t>MFS-28832</t>
  </si>
  <si>
    <t>MFS-10352</t>
  </si>
  <si>
    <t>Garba Nwachukwu</t>
  </si>
  <si>
    <t>MFS-15443</t>
  </si>
  <si>
    <t>Kabiru Oyelaran</t>
  </si>
  <si>
    <t>28/06/2020</t>
  </si>
  <si>
    <t>MFS-24664</t>
  </si>
  <si>
    <t>MFS-34854</t>
  </si>
  <si>
    <t>22/01/2021</t>
  </si>
  <si>
    <t>MFS-43371</t>
  </si>
  <si>
    <t>27/01/2021</t>
  </si>
  <si>
    <t>MFS-47419</t>
  </si>
  <si>
    <t>Tunde Shehu</t>
  </si>
  <si>
    <t>30/09/2024</t>
  </si>
  <si>
    <t>MFS-32458</t>
  </si>
  <si>
    <t>Ikenna Eze</t>
  </si>
  <si>
    <t>24/11/2024</t>
  </si>
  <si>
    <t>MFS-84488</t>
  </si>
  <si>
    <t>Ebuka Fagbemi</t>
  </si>
  <si>
    <t>02/07/2023</t>
  </si>
  <si>
    <t>MFS-22599</t>
  </si>
  <si>
    <t>Nana Oyelaran</t>
  </si>
  <si>
    <t>MFS-62049</t>
  </si>
  <si>
    <t>Ngozi Eze</t>
  </si>
  <si>
    <t>MFS-52736</t>
  </si>
  <si>
    <t>Eze Eze</t>
  </si>
  <si>
    <t>07/02/2019</t>
  </si>
  <si>
    <t>21/02/2025</t>
  </si>
  <si>
    <t>MFS-24371</t>
  </si>
  <si>
    <t>Obinna Omotayo</t>
  </si>
  <si>
    <t>29/10/2023</t>
  </si>
  <si>
    <t>20/03/2025</t>
  </si>
  <si>
    <t>340,000.0</t>
  </si>
  <si>
    <t>MFS-93172</t>
  </si>
  <si>
    <t>Tosin Coker</t>
  </si>
  <si>
    <t>15/08/2020</t>
  </si>
  <si>
    <t>MFS-39684</t>
  </si>
  <si>
    <t>Amaka Amadi</t>
  </si>
  <si>
    <t>MFS-11018</t>
  </si>
  <si>
    <t>Fatima Adebayo</t>
  </si>
  <si>
    <t>MFS-75103</t>
  </si>
  <si>
    <t>Ugochi Adesanya</t>
  </si>
  <si>
    <t>26/06/2019</t>
  </si>
  <si>
    <t>MFS-83726</t>
  </si>
  <si>
    <t>Ngozi Bello</t>
  </si>
  <si>
    <t>23/12/2019</t>
  </si>
  <si>
    <t>MFS-67625</t>
  </si>
  <si>
    <t>MFS-87490</t>
  </si>
  <si>
    <t>Ibrahim Musa</t>
  </si>
  <si>
    <t>MFS-60600</t>
  </si>
  <si>
    <t>Haruna Buhari</t>
  </si>
  <si>
    <t>MFS-85331</t>
  </si>
  <si>
    <t>Obinna Yakubu</t>
  </si>
  <si>
    <t>22/05/2019</t>
  </si>
  <si>
    <t>MFS-69383</t>
  </si>
  <si>
    <t>Ikenna Okafor</t>
  </si>
  <si>
    <t>MFS-11776</t>
  </si>
  <si>
    <t>Chinwe Nnamdi</t>
  </si>
  <si>
    <t>MFS-85020</t>
  </si>
  <si>
    <t>MFS-54336</t>
  </si>
  <si>
    <t>Garba Oyelaran</t>
  </si>
  <si>
    <t>18/01/2023</t>
  </si>
  <si>
    <t>MFS-90387</t>
  </si>
  <si>
    <t>Laraba Okafor</t>
  </si>
  <si>
    <t>MFS-53829</t>
  </si>
  <si>
    <t>Usman Okonkwo</t>
  </si>
  <si>
    <t>MFS-70672</t>
  </si>
  <si>
    <t>Folake Chukwu</t>
  </si>
  <si>
    <t>15/07/2023</t>
  </si>
  <si>
    <t>MFS-58499</t>
  </si>
  <si>
    <t>Bello Amadi</t>
  </si>
  <si>
    <t>17/04/2021</t>
  </si>
  <si>
    <t>MFS-38362</t>
  </si>
  <si>
    <t>01/03/2019</t>
  </si>
  <si>
    <t>01/04/2021</t>
  </si>
  <si>
    <t>MFS-95139</t>
  </si>
  <si>
    <t>MFS-15551</t>
  </si>
  <si>
    <t>MFS-18032</t>
  </si>
  <si>
    <t>Tobi Oyelaran</t>
  </si>
  <si>
    <t>18/08/2020</t>
  </si>
  <si>
    <t>MFS-57771</t>
  </si>
  <si>
    <t>13/10/2023</t>
  </si>
  <si>
    <t>MFS-65790</t>
  </si>
  <si>
    <t>Femi Ihejirika</t>
  </si>
  <si>
    <t>MFS-61024</t>
  </si>
  <si>
    <t>14/08/2023</t>
  </si>
  <si>
    <t>MFS-50645</t>
  </si>
  <si>
    <t>Seun Omotayo</t>
  </si>
  <si>
    <t>MFS-43315</t>
  </si>
  <si>
    <t>20/05/2024</t>
  </si>
  <si>
    <t>MFS-73355</t>
  </si>
  <si>
    <t>MFS-54849</t>
  </si>
  <si>
    <t>09/12/2020</t>
  </si>
  <si>
    <t>MFS-83176</t>
  </si>
  <si>
    <t>Ronke Eze</t>
  </si>
  <si>
    <t>21/03/2024</t>
  </si>
  <si>
    <t>MFS-56841</t>
  </si>
  <si>
    <t>Ifeoma Ihejirika</t>
  </si>
  <si>
    <t>MFS-78404</t>
  </si>
  <si>
    <t>Nkechi Haruna</t>
  </si>
  <si>
    <t>08/08/2022</t>
  </si>
  <si>
    <t>MFS-13266</t>
  </si>
  <si>
    <t>Musa Danladi</t>
  </si>
  <si>
    <t>18/08/2022</t>
  </si>
  <si>
    <t>23/09/2024</t>
  </si>
  <si>
    <t>MFS-47766</t>
  </si>
  <si>
    <t>Seun Chukwu</t>
  </si>
  <si>
    <t>MFS-90790</t>
  </si>
  <si>
    <t>Emeka Onwudiwe</t>
  </si>
  <si>
    <t>MFS-99025</t>
  </si>
  <si>
    <t>Obinna Adeyemi</t>
  </si>
  <si>
    <t>21/07/2022</t>
  </si>
  <si>
    <t>MFS-71250</t>
  </si>
  <si>
    <t>22/03/2019</t>
  </si>
  <si>
    <t>MFS-62048</t>
  </si>
  <si>
    <t>Rotimi Abdullahi</t>
  </si>
  <si>
    <t>MFS-37574</t>
  </si>
  <si>
    <t>15/01/2019</t>
  </si>
  <si>
    <t>MFS-40308</t>
  </si>
  <si>
    <t>Rukayya Okafor</t>
  </si>
  <si>
    <t>24/04/2022</t>
  </si>
  <si>
    <t>MFS-24450</t>
  </si>
  <si>
    <t>Ibrahim Buhari</t>
  </si>
  <si>
    <t>31/01/2022</t>
  </si>
  <si>
    <t>MFS-20656</t>
  </si>
  <si>
    <t>Biodun Obaseki</t>
  </si>
  <si>
    <t>28/12/2021</t>
  </si>
  <si>
    <t>MFS-78666</t>
  </si>
  <si>
    <t>Nasiru Uba</t>
  </si>
  <si>
    <t>03/11/2021</t>
  </si>
  <si>
    <t>MFS-44536</t>
  </si>
  <si>
    <t>01/02/2023</t>
  </si>
  <si>
    <t>MFS-93305</t>
  </si>
  <si>
    <t>MFS-12934</t>
  </si>
  <si>
    <t>Babatunde Ogundipe</t>
  </si>
  <si>
    <t>11/10/2021</t>
  </si>
  <si>
    <t>MFS-47740</t>
  </si>
  <si>
    <t>Chibuike Okeke</t>
  </si>
  <si>
    <t>13/02/2019</t>
  </si>
  <si>
    <t>MFS-66042</t>
  </si>
  <si>
    <t>Hafsat Okeke</t>
  </si>
  <si>
    <t>13/06/2024</t>
  </si>
  <si>
    <t>MFS-65778</t>
  </si>
  <si>
    <t>Adeola Nnamdi</t>
  </si>
  <si>
    <t>01/07/2023</t>
  </si>
  <si>
    <t>MFS-46529</t>
  </si>
  <si>
    <t>Maryam Abdullahi</t>
  </si>
  <si>
    <t>MFS-56728</t>
  </si>
  <si>
    <t>Ogechi Ogbonna</t>
  </si>
  <si>
    <t>11/05/2020</t>
  </si>
  <si>
    <t>MFS-89582</t>
  </si>
  <si>
    <t>Babatunde Adesanya</t>
  </si>
  <si>
    <t>29/03/2020</t>
  </si>
  <si>
    <t>MFS-88872</t>
  </si>
  <si>
    <t>Uloma Ogbonna</t>
  </si>
  <si>
    <t>30/05/2023</t>
  </si>
  <si>
    <t>MFS-86081</t>
  </si>
  <si>
    <t>MFS-91943</t>
  </si>
  <si>
    <t>Nana Suleiman</t>
  </si>
  <si>
    <t>MFS-94173</t>
  </si>
  <si>
    <t>Shade Ihejirika</t>
  </si>
  <si>
    <t>13/04/2019</t>
  </si>
  <si>
    <t>20/08/2020</t>
  </si>
  <si>
    <t>MFS-57179</t>
  </si>
  <si>
    <t>Sola Bello</t>
  </si>
  <si>
    <t>MFS-76654</t>
  </si>
  <si>
    <t>Femi Danladi</t>
  </si>
  <si>
    <t>29/07/2023</t>
  </si>
  <si>
    <t>MFS-64578</t>
  </si>
  <si>
    <t>Ronke Okafor</t>
  </si>
  <si>
    <t>MFS-71363</t>
  </si>
  <si>
    <t>MFS-60641</t>
  </si>
  <si>
    <t>Chinwe Garba</t>
  </si>
  <si>
    <t>13/11/2022</t>
  </si>
  <si>
    <t>MFS-90858</t>
  </si>
  <si>
    <t>Yetunde Ihejirika</t>
  </si>
  <si>
    <t>MFS-31494</t>
  </si>
  <si>
    <t>21/10/2023</t>
  </si>
  <si>
    <t>MFS-56050</t>
  </si>
  <si>
    <t>Ifeoma Onwudiwe</t>
  </si>
  <si>
    <t>MFS-53416</t>
  </si>
  <si>
    <t>Hauwa Ihejirika</t>
  </si>
  <si>
    <t>MFS-15964</t>
  </si>
  <si>
    <t>Musa Obaseki</t>
  </si>
  <si>
    <t>07/11/2024</t>
  </si>
  <si>
    <t>MFS-21807</t>
  </si>
  <si>
    <t>Bilkisu Obi</t>
  </si>
  <si>
    <t>07/06/2021</t>
  </si>
  <si>
    <t>MFS-48500</t>
  </si>
  <si>
    <t>Chioma Adebayo</t>
  </si>
  <si>
    <t>MFS-22851</t>
  </si>
  <si>
    <t>Yetunde Obaseki</t>
  </si>
  <si>
    <t>28/03/2020</t>
  </si>
  <si>
    <t>MFS-64275</t>
  </si>
  <si>
    <t>Rabiu Aliyu</t>
  </si>
  <si>
    <t>21/08/2021</t>
  </si>
  <si>
    <t>MFS-32312</t>
  </si>
  <si>
    <t>11/07/2019</t>
  </si>
  <si>
    <t>MFS-91726</t>
  </si>
  <si>
    <t>MFS-36778</t>
  </si>
  <si>
    <t>18/06/2019</t>
  </si>
  <si>
    <t>MFS-35034</t>
  </si>
  <si>
    <t>MFS-72669</t>
  </si>
  <si>
    <t>Chidi Adebayo</t>
  </si>
  <si>
    <t>06/02/2025</t>
  </si>
  <si>
    <t>MFS-25615</t>
  </si>
  <si>
    <t>Emeka Musa</t>
  </si>
  <si>
    <t>MFS-16985</t>
  </si>
  <si>
    <t>Adaeze Adebayo</t>
  </si>
  <si>
    <t>MFS-21421</t>
  </si>
  <si>
    <t>Abubakar Omotayo</t>
  </si>
  <si>
    <t>MFS-28812</t>
  </si>
  <si>
    <t>Danladi Taiwo</t>
  </si>
  <si>
    <t>23/04/2024</t>
  </si>
  <si>
    <t>MFS-50647</t>
  </si>
  <si>
    <t>Ebuka Adesanya</t>
  </si>
  <si>
    <t>13/01/2023</t>
  </si>
  <si>
    <t>MFS-96149</t>
  </si>
  <si>
    <t>Lola Abdullahi</t>
  </si>
  <si>
    <t>MFS-70068</t>
  </si>
  <si>
    <t>Damilola Aliyu</t>
  </si>
  <si>
    <t>MFS-23449</t>
  </si>
  <si>
    <t>Seun Amadi</t>
  </si>
  <si>
    <t>05/07/2023</t>
  </si>
  <si>
    <t>MFS-73950</t>
  </si>
  <si>
    <t>Abubakar Nwosu</t>
  </si>
  <si>
    <t>MFS-43880</t>
  </si>
  <si>
    <t>Oghenekaro Danladi</t>
  </si>
  <si>
    <t>MFS-39507</t>
  </si>
  <si>
    <t>Asabe Okonkwo</t>
  </si>
  <si>
    <t>01/01/2022</t>
  </si>
  <si>
    <t>MFS-53266</t>
  </si>
  <si>
    <t>Uche Danladi</t>
  </si>
  <si>
    <t>MFS-56683</t>
  </si>
  <si>
    <t>Ramatu Obi</t>
  </si>
  <si>
    <t>MFS-86444</t>
  </si>
  <si>
    <t>Chinedu Uba</t>
  </si>
  <si>
    <t>07/09/2022</t>
  </si>
  <si>
    <t>MFS-70756</t>
  </si>
  <si>
    <t>Jummai Eze</t>
  </si>
  <si>
    <t>26/09/2024</t>
  </si>
  <si>
    <t>MFS-30775</t>
  </si>
  <si>
    <t>Chioma Adeyemi</t>
  </si>
  <si>
    <t>15/11/2022</t>
  </si>
  <si>
    <t>MFS-97691</t>
  </si>
  <si>
    <t>MFS-74942</t>
  </si>
  <si>
    <t>Obiora Abdullahi</t>
  </si>
  <si>
    <t>17/08/2023</t>
  </si>
  <si>
    <t>MFS-79903</t>
  </si>
  <si>
    <t>Abubakar Coker</t>
  </si>
  <si>
    <t>MFS-61388</t>
  </si>
  <si>
    <t>Ifeanyi Onwudiwe</t>
  </si>
  <si>
    <t>MFS-89388</t>
  </si>
  <si>
    <t>Eze Okafor</t>
  </si>
  <si>
    <t>MFS-50574</t>
  </si>
  <si>
    <t>Garba Chukwu</t>
  </si>
  <si>
    <t>MFS-56595</t>
  </si>
  <si>
    <t>MFS-94656</t>
  </si>
  <si>
    <t>MFS-33586</t>
  </si>
  <si>
    <t>12/01/2020</t>
  </si>
  <si>
    <t>MFS-25228</t>
  </si>
  <si>
    <t>Adeola Amadi</t>
  </si>
  <si>
    <t>MFS-45036</t>
  </si>
  <si>
    <t>MFS-72135</t>
  </si>
  <si>
    <t>Asabe Yakubu</t>
  </si>
  <si>
    <t>MFS-22878</t>
  </si>
  <si>
    <t>Aisha Nwosu</t>
  </si>
  <si>
    <t>MFS-44863</t>
  </si>
  <si>
    <t>07/04/2019</t>
  </si>
  <si>
    <t>MFS-79224</t>
  </si>
  <si>
    <t>MFS-53223</t>
  </si>
  <si>
    <t>MFS-40870</t>
  </si>
  <si>
    <t>Adaora Okonkwo</t>
  </si>
  <si>
    <t>MFS-36213</t>
  </si>
  <si>
    <t>MFS-89069</t>
  </si>
  <si>
    <t>Wale Aliyu</t>
  </si>
  <si>
    <t>30/12/2024</t>
  </si>
  <si>
    <t>MFS-74660</t>
  </si>
  <si>
    <t>26/09/2020</t>
  </si>
  <si>
    <t>MFS-70852</t>
  </si>
  <si>
    <t>Abubakar Obi</t>
  </si>
  <si>
    <t>24/07/2019</t>
  </si>
  <si>
    <t>MFS-11597</t>
  </si>
  <si>
    <t>Tosin Omotayo</t>
  </si>
  <si>
    <t>MFS-97333</t>
  </si>
  <si>
    <t>Ugochi Nduka</t>
  </si>
  <si>
    <t>MFS-43467</t>
  </si>
  <si>
    <t>14/09/2024</t>
  </si>
  <si>
    <t>MFS-90123</t>
  </si>
  <si>
    <t>Nneka Nduka</t>
  </si>
  <si>
    <t>19/10/2020</t>
  </si>
  <si>
    <t>MFS-19907</t>
  </si>
  <si>
    <t>Ramatu Coker</t>
  </si>
  <si>
    <t>MFS-33331</t>
  </si>
  <si>
    <t>Zainab Eze</t>
  </si>
  <si>
    <t>01/07/2019</t>
  </si>
  <si>
    <t>MFS-75435</t>
  </si>
  <si>
    <t>10/04/2022</t>
  </si>
  <si>
    <t>06/03/2025</t>
  </si>
  <si>
    <t>MFS-76616</t>
  </si>
  <si>
    <t>05/04/2023</t>
  </si>
  <si>
    <t>MFS-69793</t>
  </si>
  <si>
    <t>01/10/2021</t>
  </si>
  <si>
    <t>MFS-56105</t>
  </si>
  <si>
    <t>Gbenga Ogbonna</t>
  </si>
  <si>
    <t>05/12/2024</t>
  </si>
  <si>
    <t>MFS-64160</t>
  </si>
  <si>
    <t>Emeka Okafor</t>
  </si>
  <si>
    <t>MFS-39665</t>
  </si>
  <si>
    <t>Zainab Adesanya</t>
  </si>
  <si>
    <t>10/06/2019</t>
  </si>
  <si>
    <t>MFS-58202</t>
  </si>
  <si>
    <t>29/04/2021</t>
  </si>
  <si>
    <t>MFS-73271</t>
  </si>
  <si>
    <t>13/03/2025</t>
  </si>
  <si>
    <t>MFS-38551</t>
  </si>
  <si>
    <t>Damilola Haruna</t>
  </si>
  <si>
    <t>05/12/2022</t>
  </si>
  <si>
    <t>MFS-12070</t>
  </si>
  <si>
    <t>14/07/2021</t>
  </si>
  <si>
    <t>MFS-24904</t>
  </si>
  <si>
    <t>30/03/2022</t>
  </si>
  <si>
    <t>MFS-61140</t>
  </si>
  <si>
    <t>MFS-50799</t>
  </si>
  <si>
    <t>Kabiru Uba</t>
  </si>
  <si>
    <t>31/08/2023</t>
  </si>
  <si>
    <t>MFS-30653</t>
  </si>
  <si>
    <t>Laraba Okeke</t>
  </si>
  <si>
    <t>MFS-87371</t>
  </si>
  <si>
    <t>Femi Buhari</t>
  </si>
  <si>
    <t>MFS-78321</t>
  </si>
  <si>
    <t>12/10/2021</t>
  </si>
  <si>
    <t>22/01/2024</t>
  </si>
  <si>
    <t>MFS-30605</t>
  </si>
  <si>
    <t>Hadiza Musa</t>
  </si>
  <si>
    <t>10/08/2021</t>
  </si>
  <si>
    <t>MFS-81816</t>
  </si>
  <si>
    <t>Ogechi Ogundipe</t>
  </si>
  <si>
    <t>MFS-68205</t>
  </si>
  <si>
    <t>Chinedu Danladi</t>
  </si>
  <si>
    <t>25/03/2023</t>
  </si>
  <si>
    <t>MFS-95524</t>
  </si>
  <si>
    <t>Falmata Adesanya</t>
  </si>
  <si>
    <t>22/09/2019</t>
  </si>
  <si>
    <t>MFS-67246</t>
  </si>
  <si>
    <t>Oghenekaro Ogundipe</t>
  </si>
  <si>
    <t>13/09/2023</t>
  </si>
  <si>
    <t>MFS-50944</t>
  </si>
  <si>
    <t>MFS-73072</t>
  </si>
  <si>
    <t>Chukwudi Nduka</t>
  </si>
  <si>
    <t>07/01/2020</t>
  </si>
  <si>
    <t>MFS-46697</t>
  </si>
  <si>
    <t>Biodun Nwosu</t>
  </si>
  <si>
    <t>27/07/2022</t>
  </si>
  <si>
    <t>MFS-73564</t>
  </si>
  <si>
    <t>Bello Ogundipe</t>
  </si>
  <si>
    <t>MFS-19168</t>
  </si>
  <si>
    <t>Rabiu Oyelaran</t>
  </si>
  <si>
    <t>MFS-28467</t>
  </si>
  <si>
    <t>MFS-10436</t>
  </si>
  <si>
    <t>Ifeoma Nwosu</t>
  </si>
  <si>
    <t>15/06/2024</t>
  </si>
  <si>
    <t>MFS-56671</t>
  </si>
  <si>
    <t>Nneka Uba</t>
  </si>
  <si>
    <t>02/01/2020</t>
  </si>
  <si>
    <t>MFS-49849</t>
  </si>
  <si>
    <t>Hadiza Afolabi</t>
  </si>
  <si>
    <t>08/12/2019</t>
  </si>
  <si>
    <t>MFS-15478</t>
  </si>
  <si>
    <t>Yakubu Nnamdi</t>
  </si>
  <si>
    <t>MFS-56907</t>
  </si>
  <si>
    <t>Hauwa Nwosu</t>
  </si>
  <si>
    <t>MFS-44640</t>
  </si>
  <si>
    <t>Bukola Adesanya</t>
  </si>
  <si>
    <t>MFS-38788</t>
  </si>
  <si>
    <t>Jummai Okeke</t>
  </si>
  <si>
    <t>12/06/2019</t>
  </si>
  <si>
    <t>MFS-60889</t>
  </si>
  <si>
    <t>Nasiru Amadi</t>
  </si>
  <si>
    <t>07/02/2020</t>
  </si>
  <si>
    <t>MFS-86276</t>
  </si>
  <si>
    <t>Chukwudi Haruna</t>
  </si>
  <si>
    <t>MFS-27543</t>
  </si>
  <si>
    <t>MFS-23470</t>
  </si>
  <si>
    <t>Uche Nnamdi</t>
  </si>
  <si>
    <t>05/04/2020</t>
  </si>
  <si>
    <t>17/04/2023</t>
  </si>
  <si>
    <t>MFS-32658</t>
  </si>
  <si>
    <t>Nana Okonkwo</t>
  </si>
  <si>
    <t>MFS-48136</t>
  </si>
  <si>
    <t>Chinwe Ihejirika</t>
  </si>
  <si>
    <t>16/09/2022</t>
  </si>
  <si>
    <t>18/11/2023</t>
  </si>
  <si>
    <t>MFS-40574</t>
  </si>
  <si>
    <t>Yetunde Buhari</t>
  </si>
  <si>
    <t>16/04/2024</t>
  </si>
  <si>
    <t>MFS-42873</t>
  </si>
  <si>
    <t>Damilola Nnamdi</t>
  </si>
  <si>
    <t>29/11/2020</t>
  </si>
  <si>
    <t>MFS-58172</t>
  </si>
  <si>
    <t>Bilkisu Musa</t>
  </si>
  <si>
    <t>MFS-70099</t>
  </si>
  <si>
    <t>21/06/2023</t>
  </si>
  <si>
    <t>MFS-28927</t>
  </si>
  <si>
    <t>04/04/2023</t>
  </si>
  <si>
    <t>31/07/2024</t>
  </si>
  <si>
    <t>MFS-94490</t>
  </si>
  <si>
    <t>Adeola Lawal</t>
  </si>
  <si>
    <t>31/03/2023</t>
  </si>
  <si>
    <t>22/09/2024</t>
  </si>
  <si>
    <t>MFS-28160</t>
  </si>
  <si>
    <t>Adeola Bello</t>
  </si>
  <si>
    <t>02/04/2021</t>
  </si>
  <si>
    <t>MFS-99970</t>
  </si>
  <si>
    <t>Nnamdi Haruna</t>
  </si>
  <si>
    <t>01/06/2023</t>
  </si>
  <si>
    <t>05/11/2024</t>
  </si>
  <si>
    <t>MFS-75198</t>
  </si>
  <si>
    <t>MFS-80846</t>
  </si>
  <si>
    <t>Oluwaseun Yakubu</t>
  </si>
  <si>
    <t>MFS-73105</t>
  </si>
  <si>
    <t>28/10/2024</t>
  </si>
  <si>
    <t>MFS-95102</t>
  </si>
  <si>
    <t>Aisha Obaseki</t>
  </si>
  <si>
    <t>MFS-15916</t>
  </si>
  <si>
    <t>Tunde Obi</t>
  </si>
  <si>
    <t>MFS-64941</t>
  </si>
  <si>
    <t>24/07/2023</t>
  </si>
  <si>
    <t>12/04/2024</t>
  </si>
  <si>
    <t>MFS-64474</t>
  </si>
  <si>
    <t>Hadiza Haruna</t>
  </si>
  <si>
    <t>06/05/2020</t>
  </si>
  <si>
    <t>MFS-99866</t>
  </si>
  <si>
    <t>Oluwaseun Suleiman</t>
  </si>
  <si>
    <t>12/11/2022</t>
  </si>
  <si>
    <t>MFS-48331</t>
  </si>
  <si>
    <t>MFS-34393</t>
  </si>
  <si>
    <t>10/04/2019</t>
  </si>
  <si>
    <t>MFS-22253</t>
  </si>
  <si>
    <t>Hadiza Garba</t>
  </si>
  <si>
    <t>09/03/2020</t>
  </si>
  <si>
    <t>MFS-74597</t>
  </si>
  <si>
    <t>MFS-46751</t>
  </si>
  <si>
    <t>MFS-14240</t>
  </si>
  <si>
    <t>MFS-53976</t>
  </si>
  <si>
    <t>Obinna Okeke</t>
  </si>
  <si>
    <t>20/10/2021</t>
  </si>
  <si>
    <t>MFS-12900</t>
  </si>
  <si>
    <t>Ebuka Okonkwo</t>
  </si>
  <si>
    <t>MFS-52868</t>
  </si>
  <si>
    <t>Chinwe Adewale</t>
  </si>
  <si>
    <t>14/01/2020</t>
  </si>
  <si>
    <t>MFS-52676</t>
  </si>
  <si>
    <t>08/12/2023</t>
  </si>
  <si>
    <t>MFS-11800</t>
  </si>
  <si>
    <t>Suleiman Shehu</t>
  </si>
  <si>
    <t>MFS-18580</t>
  </si>
  <si>
    <t>Abubakar Okafor</t>
  </si>
  <si>
    <t>MFS-13059</t>
  </si>
  <si>
    <t>20/10/2020</t>
  </si>
  <si>
    <t>MFS-83437</t>
  </si>
  <si>
    <t>Kabiru Onwudiwe</t>
  </si>
  <si>
    <t>MFS-41118</t>
  </si>
  <si>
    <t>MFS-84995</t>
  </si>
  <si>
    <t>Kunle Musa</t>
  </si>
  <si>
    <t>17/06/2021</t>
  </si>
  <si>
    <t>07/06/2022</t>
  </si>
  <si>
    <t>MFS-99254</t>
  </si>
  <si>
    <t>MFS-49283</t>
  </si>
  <si>
    <t>16/03/2021</t>
  </si>
  <si>
    <t>MFS-94222</t>
  </si>
  <si>
    <t>Bimpe Oyelaran</t>
  </si>
  <si>
    <t>05/10/2019</t>
  </si>
  <si>
    <t>MFS-55523</t>
  </si>
  <si>
    <t>Fatima Nduka</t>
  </si>
  <si>
    <t>18/02/2022</t>
  </si>
  <si>
    <t>MFS-51444</t>
  </si>
  <si>
    <t>MFS-74415</t>
  </si>
  <si>
    <t>MFS-51035</t>
  </si>
  <si>
    <t>MFS-45503</t>
  </si>
  <si>
    <t>Obiora Adesanya</t>
  </si>
  <si>
    <t>19/03/2020</t>
  </si>
  <si>
    <t>MFS-64099</t>
  </si>
  <si>
    <t>Hafsat Adewale</t>
  </si>
  <si>
    <t>06/04/2024</t>
  </si>
  <si>
    <t>MFS-30922</t>
  </si>
  <si>
    <t>Musa Adeyemi</t>
  </si>
  <si>
    <t>14/05/2021</t>
  </si>
  <si>
    <t>MFS-47367</t>
  </si>
  <si>
    <t>Aliyu Chukwu</t>
  </si>
  <si>
    <t>27/10/2019</t>
  </si>
  <si>
    <t>MFS-67670</t>
  </si>
  <si>
    <t>MFS-58080</t>
  </si>
  <si>
    <t>Wale Okonkwo</t>
  </si>
  <si>
    <t>22/09/2023</t>
  </si>
  <si>
    <t>MFS-51680</t>
  </si>
  <si>
    <t>Chinwe Adesanya</t>
  </si>
  <si>
    <t>MFS-57583</t>
  </si>
  <si>
    <t>Ramatu Adewale</t>
  </si>
  <si>
    <t>MFS-69878</t>
  </si>
  <si>
    <t>Laraba Taiwo</t>
  </si>
  <si>
    <t>29/02/2020</t>
  </si>
  <si>
    <t>MFS-60000</t>
  </si>
  <si>
    <t>Ogechi Nnamdi</t>
  </si>
  <si>
    <t>06/01/2022</t>
  </si>
  <si>
    <t>MFS-74727</t>
  </si>
  <si>
    <t>15/06/2021</t>
  </si>
  <si>
    <t>MFS-32288</t>
  </si>
  <si>
    <t>Eze Garba</t>
  </si>
  <si>
    <t>MFS-83602</t>
  </si>
  <si>
    <t>Folake Lawal</t>
  </si>
  <si>
    <t>09/08/2021</t>
  </si>
  <si>
    <t>MFS-73529</t>
  </si>
  <si>
    <t>Ugochi Taiwo</t>
  </si>
  <si>
    <t>09/05/2022</t>
  </si>
  <si>
    <t>MFS-78175</t>
  </si>
  <si>
    <t>Hauwa Buhari</t>
  </si>
  <si>
    <t>03/10/2022</t>
  </si>
  <si>
    <t>19/03/2024</t>
  </si>
  <si>
    <t>MFS-24803</t>
  </si>
  <si>
    <t>Ronke Okonkwo</t>
  </si>
  <si>
    <t>05/03/2019</t>
  </si>
  <si>
    <t>MFS-32950</t>
  </si>
  <si>
    <t>Ikenna Onwudiwe</t>
  </si>
  <si>
    <t>MFS-64645</t>
  </si>
  <si>
    <t>Kemi Coker</t>
  </si>
  <si>
    <t>MFS-46921</t>
  </si>
  <si>
    <t>MFS-73998</t>
  </si>
  <si>
    <t>17/11/2021</t>
  </si>
  <si>
    <t>MFS-45203</t>
  </si>
  <si>
    <t>Sola Nnamdi</t>
  </si>
  <si>
    <t>03/10/2019</t>
  </si>
  <si>
    <t>MFS-95247</t>
  </si>
  <si>
    <t>MFS-51755</t>
  </si>
  <si>
    <t>MFS-51430</t>
  </si>
  <si>
    <t>12/01/2022</t>
  </si>
  <si>
    <t>MFS-10356</t>
  </si>
  <si>
    <t>19/06/2023</t>
  </si>
  <si>
    <t>MFS-93290</t>
  </si>
  <si>
    <t>Aisha Coker</t>
  </si>
  <si>
    <t>18/02/2019</t>
  </si>
  <si>
    <t>03/09/2019</t>
  </si>
  <si>
    <t>MFS-13455</t>
  </si>
  <si>
    <t>Ugochi Lawal</t>
  </si>
  <si>
    <t>MFS-86200</t>
  </si>
  <si>
    <t>Yetunde Danladi</t>
  </si>
  <si>
    <t>MFS-74797</t>
  </si>
  <si>
    <t>Garba Nnamdi</t>
  </si>
  <si>
    <t>MFS-37744</t>
  </si>
  <si>
    <t>Tosin Abdullahi</t>
  </si>
  <si>
    <t>MFS-27073</t>
  </si>
  <si>
    <t>Chidi Shehu</t>
  </si>
  <si>
    <t>MFS-54364</t>
  </si>
  <si>
    <t>Ifeanyi Yakubu</t>
  </si>
  <si>
    <t>MFS-43071</t>
  </si>
  <si>
    <t>Yakubu Obaseki</t>
  </si>
  <si>
    <t>MFS-28662</t>
  </si>
  <si>
    <t>Folake Oyelaran</t>
  </si>
  <si>
    <t>MFS-12263</t>
  </si>
  <si>
    <t>11/04/2023</t>
  </si>
  <si>
    <t>05/07/2024</t>
  </si>
  <si>
    <t>MFS-99972</t>
  </si>
  <si>
    <t>Kabiru Nwachukwu</t>
  </si>
  <si>
    <t>MFS-76846</t>
  </si>
  <si>
    <t>MFS-94594</t>
  </si>
  <si>
    <t>Garba Coker</t>
  </si>
  <si>
    <t>24/11/2021</t>
  </si>
  <si>
    <t>MFS-91735</t>
  </si>
  <si>
    <t>09/11/2023</t>
  </si>
  <si>
    <t>18/02/2025</t>
  </si>
  <si>
    <t>MFS-62026</t>
  </si>
  <si>
    <t>Ifeanyi Obi</t>
  </si>
  <si>
    <t>MFS-94578</t>
  </si>
  <si>
    <t>11/12/2022</t>
  </si>
  <si>
    <t>MFS-30304</t>
  </si>
  <si>
    <t>MFS-39202</t>
  </si>
  <si>
    <t>Aisha Nduka</t>
  </si>
  <si>
    <t>MFS-96330</t>
  </si>
  <si>
    <t>Ifeanyi Nwosu</t>
  </si>
  <si>
    <t>MFS-79715</t>
  </si>
  <si>
    <t>Emeka Shehu</t>
  </si>
  <si>
    <t>01/06/2021</t>
  </si>
  <si>
    <t>MFS-67959</t>
  </si>
  <si>
    <t>22/07/2020</t>
  </si>
  <si>
    <t>MFS-69241</t>
  </si>
  <si>
    <t>Ezinne Okafor</t>
  </si>
  <si>
    <t>MFS-10125</t>
  </si>
  <si>
    <t>02/12/2021</t>
  </si>
  <si>
    <t>MFS-38584</t>
  </si>
  <si>
    <t>Sola Buhari</t>
  </si>
  <si>
    <t>MFS-33582</t>
  </si>
  <si>
    <t>MFS-32934</t>
  </si>
  <si>
    <t>27/11/2022</t>
  </si>
  <si>
    <t>MFS-50927</t>
  </si>
  <si>
    <t>Haruna Okafor</t>
  </si>
  <si>
    <t>06/03/2023</t>
  </si>
  <si>
    <t>MFS-70531</t>
  </si>
  <si>
    <t>MFS-96237</t>
  </si>
  <si>
    <t>MFS-40845</t>
  </si>
  <si>
    <t>Ifeanyi Amadi</t>
  </si>
  <si>
    <t>MFS-41849</t>
  </si>
  <si>
    <t>03/09/2022</t>
  </si>
  <si>
    <t>MFS-82378</t>
  </si>
  <si>
    <t>MFS-20385</t>
  </si>
  <si>
    <t>Seun Danladi</t>
  </si>
  <si>
    <t>10/06/2022</t>
  </si>
  <si>
    <t>MFS-99212</t>
  </si>
  <si>
    <t>Laraba Bello</t>
  </si>
  <si>
    <t>MFS-38114</t>
  </si>
  <si>
    <t>24/05/2024</t>
  </si>
  <si>
    <t>MFS-33983</t>
  </si>
  <si>
    <t>01/08/2020</t>
  </si>
  <si>
    <t>MFS-24075</t>
  </si>
  <si>
    <t>MFS-28648</t>
  </si>
  <si>
    <t>Nasiru Obi</t>
  </si>
  <si>
    <t>04/08/2019</t>
  </si>
  <si>
    <t>MFS-17429</t>
  </si>
  <si>
    <t>Uche Taiwo</t>
  </si>
  <si>
    <t>20/01/2019</t>
  </si>
  <si>
    <t>MFS-41881</t>
  </si>
  <si>
    <t>Funmilayo Afolabi</t>
  </si>
  <si>
    <t>03/05/2024</t>
  </si>
  <si>
    <t>MFS-85223</t>
  </si>
  <si>
    <t>Femi Afolabi</t>
  </si>
  <si>
    <t>03/03/2024</t>
  </si>
  <si>
    <t>MFS-83249</t>
  </si>
  <si>
    <t>MFS-75699</t>
  </si>
  <si>
    <t>MFS-55891</t>
  </si>
  <si>
    <t>Usman Buhari</t>
  </si>
  <si>
    <t>11/11/2023</t>
  </si>
  <si>
    <t>MFS-15573</t>
  </si>
  <si>
    <t>Obiora Chukwu</t>
  </si>
  <si>
    <t>16/11/2019</t>
  </si>
  <si>
    <t>MFS-29086</t>
  </si>
  <si>
    <t>Haruna Fagbemi</t>
  </si>
  <si>
    <t>MFS-95523</t>
  </si>
  <si>
    <t>MFS-28394</t>
  </si>
  <si>
    <t>MFS-90748</t>
  </si>
  <si>
    <t>Aisha Abdullahi</t>
  </si>
  <si>
    <t>23/01/2022</t>
  </si>
  <si>
    <t>MFS-46677</t>
  </si>
  <si>
    <t>Femi Okafor</t>
  </si>
  <si>
    <t>MFS-80585</t>
  </si>
  <si>
    <t>02/09/2024</t>
  </si>
  <si>
    <t>MFS-65377</t>
  </si>
  <si>
    <t>Haruna Yakubu</t>
  </si>
  <si>
    <t>MFS-34485</t>
  </si>
  <si>
    <t>Zainab Aliyu</t>
  </si>
  <si>
    <t>21/05/2022</t>
  </si>
  <si>
    <t>MFS-47716</t>
  </si>
  <si>
    <t>MFS-99399</t>
  </si>
  <si>
    <t>27/06/2023</t>
  </si>
  <si>
    <t>27/01/2025</t>
  </si>
  <si>
    <t>MFS-73485</t>
  </si>
  <si>
    <t>MFS-45280</t>
  </si>
  <si>
    <t>Chidi Okonkwo</t>
  </si>
  <si>
    <t>31/12/2020</t>
  </si>
  <si>
    <t>MFS-65490</t>
  </si>
  <si>
    <t>MFS-95409</t>
  </si>
  <si>
    <t>Ifeoma Buhari</t>
  </si>
  <si>
    <t>01/04/2023</t>
  </si>
  <si>
    <t>MFS-27143</t>
  </si>
  <si>
    <t>MFS-88130</t>
  </si>
  <si>
    <t>Yemi Haruna</t>
  </si>
  <si>
    <t>MFS-55964</t>
  </si>
  <si>
    <t>02/10/2021</t>
  </si>
  <si>
    <t>MFS-92938</t>
  </si>
  <si>
    <t>Haruna Musa</t>
  </si>
  <si>
    <t>10/06/2020</t>
  </si>
  <si>
    <t>MFS-16220</t>
  </si>
  <si>
    <t>Hauwa Suleiman</t>
  </si>
  <si>
    <t>MFS-63347</t>
  </si>
  <si>
    <t>05/09/2019</t>
  </si>
  <si>
    <t>MFS-26342</t>
  </si>
  <si>
    <t>Rabiu Omotayo</t>
  </si>
  <si>
    <t>18/07/2022</t>
  </si>
  <si>
    <t>20/10/2024</t>
  </si>
  <si>
    <t>MFS-69403</t>
  </si>
  <si>
    <t>Kemi Uba</t>
  </si>
  <si>
    <t>24/03/2022</t>
  </si>
  <si>
    <t>MFS-11620</t>
  </si>
  <si>
    <t>Sola Adebayo</t>
  </si>
  <si>
    <t>26/02/2022</t>
  </si>
  <si>
    <t>MFS-20481</t>
  </si>
  <si>
    <t>20/08/2021</t>
  </si>
  <si>
    <t>MFS-13437</t>
  </si>
  <si>
    <t>MFS-37475</t>
  </si>
  <si>
    <t>Nkechi Lawal</t>
  </si>
  <si>
    <t>23/09/2019</t>
  </si>
  <si>
    <t>MFS-97236</t>
  </si>
  <si>
    <t>MFS-33371</t>
  </si>
  <si>
    <t>Tobi Ogbonna</t>
  </si>
  <si>
    <t>MFS-36488</t>
  </si>
  <si>
    <t>MFS-49713</t>
  </si>
  <si>
    <t>Ramatu Adesanya</t>
  </si>
  <si>
    <t>08/09/2022</t>
  </si>
  <si>
    <t>MFS-91087</t>
  </si>
  <si>
    <t>MFS-34781</t>
  </si>
  <si>
    <t>Yemi Ogundipe</t>
  </si>
  <si>
    <t>22/10/2021</t>
  </si>
  <si>
    <t>MFS-68239</t>
  </si>
  <si>
    <t>Bimpe Adewale</t>
  </si>
  <si>
    <t>27/07/2023</t>
  </si>
  <si>
    <t>MFS-93005</t>
  </si>
  <si>
    <t>05/05/2024</t>
  </si>
  <si>
    <t>MFS-21123</t>
  </si>
  <si>
    <t>Adeola Adesanya</t>
  </si>
  <si>
    <t>26/10/2020</t>
  </si>
  <si>
    <t>MFS-99928</t>
  </si>
  <si>
    <t>MFS-80356</t>
  </si>
  <si>
    <t>Adeola Yakubu</t>
  </si>
  <si>
    <t>17/12/2021</t>
  </si>
  <si>
    <t>MFS-43491</t>
  </si>
  <si>
    <t>Chinwe Haruna</t>
  </si>
  <si>
    <t>MFS-93953</t>
  </si>
  <si>
    <t>Ronke Abdullahi</t>
  </si>
  <si>
    <t>23/05/2020</t>
  </si>
  <si>
    <t>MFS-51077</t>
  </si>
  <si>
    <t>Ibrahim Nwachukwu</t>
  </si>
  <si>
    <t>10/07/2022</t>
  </si>
  <si>
    <t>MFS-68336</t>
  </si>
  <si>
    <t>Jummai Coker</t>
  </si>
  <si>
    <t>16/06/2024</t>
  </si>
  <si>
    <t>MFS-84403</t>
  </si>
  <si>
    <t>MFS-33306</t>
  </si>
  <si>
    <t>Shehu Amadi</t>
  </si>
  <si>
    <t>MFS-65588</t>
  </si>
  <si>
    <t>Ifeoma Taiwo</t>
  </si>
  <si>
    <t>22/04/2020</t>
  </si>
  <si>
    <t>MFS-45602</t>
  </si>
  <si>
    <t>MFS-91772</t>
  </si>
  <si>
    <t>Yemi Okonkwo</t>
  </si>
  <si>
    <t>MFS-81466</t>
  </si>
  <si>
    <t>Musa Ogbonna</t>
  </si>
  <si>
    <t>15/02/2022</t>
  </si>
  <si>
    <t>MFS-48169</t>
  </si>
  <si>
    <t>15/01/2020</t>
  </si>
  <si>
    <t>27/10/2022</t>
  </si>
  <si>
    <t>MFS-41446</t>
  </si>
  <si>
    <t>MFS-94213</t>
  </si>
  <si>
    <t>Rukayya Okeke</t>
  </si>
  <si>
    <t>MFS-69989</t>
  </si>
  <si>
    <t>Nkechi Danladi</t>
  </si>
  <si>
    <t>MFS-52071</t>
  </si>
  <si>
    <t>Ezinne Danladi</t>
  </si>
  <si>
    <t>MFS-29090</t>
  </si>
  <si>
    <t>Uche Garba</t>
  </si>
  <si>
    <t>MFS-96335</t>
  </si>
  <si>
    <t>Ramatu Nwosu</t>
  </si>
  <si>
    <t>MFS-47630</t>
  </si>
  <si>
    <t>Fatima Nwachukwu</t>
  </si>
  <si>
    <t>MFS-95583</t>
  </si>
  <si>
    <t>12/08/2023</t>
  </si>
  <si>
    <t>MFS-59434</t>
  </si>
  <si>
    <t>Hadiza Nwachukwu</t>
  </si>
  <si>
    <t>MFS-69363</t>
  </si>
  <si>
    <t>Adebayo Onwudiwe</t>
  </si>
  <si>
    <t>MFS-45077</t>
  </si>
  <si>
    <t>Abubakar Aliyu</t>
  </si>
  <si>
    <t>20/07/2020</t>
  </si>
  <si>
    <t>MFS-73065</t>
  </si>
  <si>
    <t>11/03/2020</t>
  </si>
  <si>
    <t>MFS-31573</t>
  </si>
  <si>
    <t>Bello Adesanya</t>
  </si>
  <si>
    <t>MFS-80152</t>
  </si>
  <si>
    <t>Yakubu Onwudiwe</t>
  </si>
  <si>
    <t>06/01/2020</t>
  </si>
  <si>
    <t>MFS-43591</t>
  </si>
  <si>
    <t>16/11/2021</t>
  </si>
  <si>
    <t>MFS-57707</t>
  </si>
  <si>
    <t>MFS-88297</t>
  </si>
  <si>
    <t>Oluwaseun Okeke</t>
  </si>
  <si>
    <t>29/11/2022</t>
  </si>
  <si>
    <t>MFS-62227</t>
  </si>
  <si>
    <t>Bilkisu Okafor</t>
  </si>
  <si>
    <t>20/06/2024</t>
  </si>
  <si>
    <t>MFS-47144</t>
  </si>
  <si>
    <t>MFS-62941</t>
  </si>
  <si>
    <t>07/03/2022</t>
  </si>
  <si>
    <t>MFS-16279</t>
  </si>
  <si>
    <t>MFS-39229</t>
  </si>
  <si>
    <t>Ronke Haruna</t>
  </si>
  <si>
    <t>MFS-18871</t>
  </si>
  <si>
    <t>MFS-17105</t>
  </si>
  <si>
    <t>Ezinne Eze</t>
  </si>
  <si>
    <t>MFS-35713</t>
  </si>
  <si>
    <t>Kabiru Danladi</t>
  </si>
  <si>
    <t>MFS-39003</t>
  </si>
  <si>
    <t>Rabiu Coker</t>
  </si>
  <si>
    <t>20/02/2022</t>
  </si>
  <si>
    <t>03/02/2025</t>
  </si>
  <si>
    <t>MFS-20988</t>
  </si>
  <si>
    <t>02/05/2019</t>
  </si>
  <si>
    <t>MFS-61480</t>
  </si>
  <si>
    <t>Shehu Fagbemi</t>
  </si>
  <si>
    <t>28/07/2024</t>
  </si>
  <si>
    <t>MFS-18614</t>
  </si>
  <si>
    <t>Gbenga Bello</t>
  </si>
  <si>
    <t>MFS-49435</t>
  </si>
  <si>
    <t>Bello Musa</t>
  </si>
  <si>
    <t>25/08/2022</t>
  </si>
  <si>
    <t>MFS-11971</t>
  </si>
  <si>
    <t>Lanre Shehu</t>
  </si>
  <si>
    <t>MFS-31500</t>
  </si>
  <si>
    <t>Rotimi Suleiman</t>
  </si>
  <si>
    <t>16/01/2019</t>
  </si>
  <si>
    <t>MFS-80182</t>
  </si>
  <si>
    <t>Suleiman Nwosu</t>
  </si>
  <si>
    <t>21/02/2022</t>
  </si>
  <si>
    <t>MFS-65202</t>
  </si>
  <si>
    <t>Chinyere Aliyu</t>
  </si>
  <si>
    <t>24/09/2020</t>
  </si>
  <si>
    <t>MFS-43472</t>
  </si>
  <si>
    <t>Ifeoma Ogundipe</t>
  </si>
  <si>
    <t>MFS-99873</t>
  </si>
  <si>
    <t>Rabiu Bello</t>
  </si>
  <si>
    <t>04/08/2022</t>
  </si>
  <si>
    <t>MFS-92854</t>
  </si>
  <si>
    <t>Emeka Lawal</t>
  </si>
  <si>
    <t>18/04/2020</t>
  </si>
  <si>
    <t>24/05/2022</t>
  </si>
  <si>
    <t>MFS-20388</t>
  </si>
  <si>
    <t>MFS-79977</t>
  </si>
  <si>
    <t>Jummai Taiwo</t>
  </si>
  <si>
    <t>MFS-78809</t>
  </si>
  <si>
    <t>Chidi Nwosu</t>
  </si>
  <si>
    <t>05/07/2020</t>
  </si>
  <si>
    <t>MFS-57739</t>
  </si>
  <si>
    <t>Musa Lawal</t>
  </si>
  <si>
    <t>27/09/2022</t>
  </si>
  <si>
    <t>MFS-34146</t>
  </si>
  <si>
    <t>Kabiru Buhari</t>
  </si>
  <si>
    <t>21/02/2021</t>
  </si>
  <si>
    <t>21/06/2024</t>
  </si>
  <si>
    <t>MFS-79309</t>
  </si>
  <si>
    <t>MFS-88094</t>
  </si>
  <si>
    <t>Nneka Ogbonna</t>
  </si>
  <si>
    <t>16/12/2020</t>
  </si>
  <si>
    <t>MFS-34534</t>
  </si>
  <si>
    <t>Emeka Garba</t>
  </si>
  <si>
    <t>21/10/2022</t>
  </si>
  <si>
    <t>MFS-51624</t>
  </si>
  <si>
    <t>MFS-78853</t>
  </si>
  <si>
    <t>Hafsat Aliyu</t>
  </si>
  <si>
    <t>MFS-12728</t>
  </si>
  <si>
    <t>Titi Adesanya</t>
  </si>
  <si>
    <t>19/03/2022</t>
  </si>
  <si>
    <t>MFS-12443</t>
  </si>
  <si>
    <t>Danladi Afolabi</t>
  </si>
  <si>
    <t>03/07/2020</t>
  </si>
  <si>
    <t>MFS-95467</t>
  </si>
  <si>
    <t>Titi Shehu</t>
  </si>
  <si>
    <t>MFS-46807</t>
  </si>
  <si>
    <t>Ebuka Aliyu</t>
  </si>
  <si>
    <t>22/12/2019</t>
  </si>
  <si>
    <t>MFS-18701</t>
  </si>
  <si>
    <t>Adeola Onwudiwe</t>
  </si>
  <si>
    <t>MFS-45039</t>
  </si>
  <si>
    <t>06/02/2020</t>
  </si>
  <si>
    <t>MFS-58213</t>
  </si>
  <si>
    <t>Bimpe Obi</t>
  </si>
  <si>
    <t>04/10/2024</t>
  </si>
  <si>
    <t>MFS-16047</t>
  </si>
  <si>
    <t>MFS-31888</t>
  </si>
  <si>
    <t>Uche Okafor</t>
  </si>
  <si>
    <t>MFS-71942</t>
  </si>
  <si>
    <t>Kunle Yakubu</t>
  </si>
  <si>
    <t>23/09/2020</t>
  </si>
  <si>
    <t>MFS-77818</t>
  </si>
  <si>
    <t>03/10/2021</t>
  </si>
  <si>
    <t>MFS-24043</t>
  </si>
  <si>
    <t>MFS-49921</t>
  </si>
  <si>
    <t>MFS-41113</t>
  </si>
  <si>
    <t>17/10/2019</t>
  </si>
  <si>
    <t>MFS-76059</t>
  </si>
  <si>
    <t>Tobi Adeyemi</t>
  </si>
  <si>
    <t>17/11/2020</t>
  </si>
  <si>
    <t>MFS-72801</t>
  </si>
  <si>
    <t>Chukwuemeka Obaseki</t>
  </si>
  <si>
    <t>25/06/2023</t>
  </si>
  <si>
    <t>MFS-87789</t>
  </si>
  <si>
    <t>Wale Nwosu</t>
  </si>
  <si>
    <t>MFS-35799</t>
  </si>
  <si>
    <t>Chibuike Adebayo</t>
  </si>
  <si>
    <t>MFS-28871</t>
  </si>
  <si>
    <t>Shehu Lawal</t>
  </si>
  <si>
    <t>MFS-92148</t>
  </si>
  <si>
    <t>Ebuka Nwachukwu</t>
  </si>
  <si>
    <t>30/12/2023</t>
  </si>
  <si>
    <t>MFS-22808</t>
  </si>
  <si>
    <t>MFS-86833</t>
  </si>
  <si>
    <t>28/06/2022</t>
  </si>
  <si>
    <t>MFS-23465</t>
  </si>
  <si>
    <t>Rabiu Uba</t>
  </si>
  <si>
    <t>MFS-88365</t>
  </si>
  <si>
    <t>Ikenna Yakubu</t>
  </si>
  <si>
    <t>02/03/2020</t>
  </si>
  <si>
    <t>MFS-92317</t>
  </si>
  <si>
    <t>16/05/2023</t>
  </si>
  <si>
    <t>MFS-50412</t>
  </si>
  <si>
    <t>Lanre Okafor</t>
  </si>
  <si>
    <t>02/02/2019</t>
  </si>
  <si>
    <t>MFS-53449</t>
  </si>
  <si>
    <t>MFS-27788</t>
  </si>
  <si>
    <t>MFS-29920</t>
  </si>
  <si>
    <t>Lanre Nwosu</t>
  </si>
  <si>
    <t>MFS-87022</t>
  </si>
  <si>
    <t>22/07/2024</t>
  </si>
  <si>
    <t>MFS-77863</t>
  </si>
  <si>
    <t>08/03/2019</t>
  </si>
  <si>
    <t>MFS-67254</t>
  </si>
  <si>
    <t>MFS-30146</t>
  </si>
  <si>
    <t>02/06/2021</t>
  </si>
  <si>
    <t>MFS-59457</t>
  </si>
  <si>
    <t>Danladi Okafor</t>
  </si>
  <si>
    <t>MFS-15371</t>
  </si>
  <si>
    <t>Nkechi Okeke</t>
  </si>
  <si>
    <t>21/09/2024</t>
  </si>
  <si>
    <t>MFS-73452</t>
  </si>
  <si>
    <t>02/07/2019</t>
  </si>
  <si>
    <t>MFS-80471</t>
  </si>
  <si>
    <t>MFS-52649</t>
  </si>
  <si>
    <t>Laraba Ihejirika</t>
  </si>
  <si>
    <t>28/05/2019</t>
  </si>
  <si>
    <t>MFS-69346</t>
  </si>
  <si>
    <t>Hadiza Adeyemi</t>
  </si>
  <si>
    <t>MFS-52385</t>
  </si>
  <si>
    <t>31/10/2022</t>
  </si>
  <si>
    <t>MFS-42794</t>
  </si>
  <si>
    <t>Chinyere Adesanya</t>
  </si>
  <si>
    <t>MFS-14362</t>
  </si>
  <si>
    <t>Uche Suleiman</t>
  </si>
  <si>
    <t>20/11/2019</t>
  </si>
  <si>
    <t>MFS-50797</t>
  </si>
  <si>
    <t>Hafsat Ogbonna</t>
  </si>
  <si>
    <t>24/07/2021</t>
  </si>
  <si>
    <t>MFS-36033</t>
  </si>
  <si>
    <t>Oluwaseun Amadi</t>
  </si>
  <si>
    <t>28/12/2024</t>
  </si>
  <si>
    <t>MFS-79164</t>
  </si>
  <si>
    <t>Aliyu Onwudiwe</t>
  </si>
  <si>
    <t>12/04/2019</t>
  </si>
  <si>
    <t>MFS-81604</t>
  </si>
  <si>
    <t>24/02/2019</t>
  </si>
  <si>
    <t>MFS-25144</t>
  </si>
  <si>
    <t>MFS-84051</t>
  </si>
  <si>
    <t>Nnamdi Lawal</t>
  </si>
  <si>
    <t>MFS-34377</t>
  </si>
  <si>
    <t>MFS-67012</t>
  </si>
  <si>
    <t>Kemi Nnamdi</t>
  </si>
  <si>
    <t>22/11/2024</t>
  </si>
  <si>
    <t>MFS-80624</t>
  </si>
  <si>
    <t>Rabiu Suleiman</t>
  </si>
  <si>
    <t>30/11/2024</t>
  </si>
  <si>
    <t>MFS-12013</t>
  </si>
  <si>
    <t>29/05/2021</t>
  </si>
  <si>
    <t>MFS-40111</t>
  </si>
  <si>
    <t>Tunde Garba</t>
  </si>
  <si>
    <t>07/08/2023</t>
  </si>
  <si>
    <t>MFS-35157</t>
  </si>
  <si>
    <t>Adebayo Nwosu</t>
  </si>
  <si>
    <t>MFS-54149</t>
  </si>
  <si>
    <t>MFS-24436</t>
  </si>
  <si>
    <t>Chinedu Shehu</t>
  </si>
  <si>
    <t>MFS-81717</t>
  </si>
  <si>
    <t>Dele Taiwo</t>
  </si>
  <si>
    <t>03/11/2023</t>
  </si>
  <si>
    <t>MFS-24520</t>
  </si>
  <si>
    <t>Chidi Oyelaran</t>
  </si>
  <si>
    <t>10/10/2023</t>
  </si>
  <si>
    <t>MFS-13898</t>
  </si>
  <si>
    <t>Rabiu Okonkwo</t>
  </si>
  <si>
    <t>MFS-51879</t>
  </si>
  <si>
    <t>Obinna Adewale</t>
  </si>
  <si>
    <t>MFS-51687</t>
  </si>
  <si>
    <t>Chibuike Danladi</t>
  </si>
  <si>
    <t>MFS-56881</t>
  </si>
  <si>
    <t>Kabiru Yakubu</t>
  </si>
  <si>
    <t>MFS-52630</t>
  </si>
  <si>
    <t>30/06/2019</t>
  </si>
  <si>
    <t>29/11/2023</t>
  </si>
  <si>
    <t>MFS-77920</t>
  </si>
  <si>
    <t>04/01/2025</t>
  </si>
  <si>
    <t>MFS-21157</t>
  </si>
  <si>
    <t>MFS-78271</t>
  </si>
  <si>
    <t>Nana Omotayo</t>
  </si>
  <si>
    <t>MFS-27673</t>
  </si>
  <si>
    <t>Maryam Uba</t>
  </si>
  <si>
    <t>MFS-94024</t>
  </si>
  <si>
    <t>Adeola Aliyu</t>
  </si>
  <si>
    <t>MFS-64263</t>
  </si>
  <si>
    <t>Biodun Nwachukwu</t>
  </si>
  <si>
    <t>25/03/2024</t>
  </si>
  <si>
    <t>MFS-39265</t>
  </si>
  <si>
    <t>MFS-46017</t>
  </si>
  <si>
    <t>20/04/2024</t>
  </si>
  <si>
    <t>MFS-29365</t>
  </si>
  <si>
    <t>Ogechi Adebayo</t>
  </si>
  <si>
    <t>21/03/2020</t>
  </si>
  <si>
    <t>MFS-51210</t>
  </si>
  <si>
    <t>Obinna Ihejirika</t>
  </si>
  <si>
    <t>MFS-16213</t>
  </si>
  <si>
    <t>MFS-46527</t>
  </si>
  <si>
    <t>Tunde Ihejirika</t>
  </si>
  <si>
    <t>MFS-44641</t>
  </si>
  <si>
    <t>Chinyere Nwosu</t>
  </si>
  <si>
    <t>MFS-26023</t>
  </si>
  <si>
    <t>Titi Musa</t>
  </si>
  <si>
    <t>21/08/2019</t>
  </si>
  <si>
    <t>MFS-93385</t>
  </si>
  <si>
    <t>Funmilayo Chukwu</t>
  </si>
  <si>
    <t>MFS-75799</t>
  </si>
  <si>
    <t>Chibuike Afolabi</t>
  </si>
  <si>
    <t>09/10/2019</t>
  </si>
  <si>
    <t>MFS-69868</t>
  </si>
  <si>
    <t>MFS-12873</t>
  </si>
  <si>
    <t>08/03/2020</t>
  </si>
  <si>
    <t>MFS-52341</t>
  </si>
  <si>
    <t>Seun Adeyemi</t>
  </si>
  <si>
    <t>MFS-30906</t>
  </si>
  <si>
    <t>Nasiru Oyelaran</t>
  </si>
  <si>
    <t>MFS-30587</t>
  </si>
  <si>
    <t>Adebayo Abdullahi</t>
  </si>
  <si>
    <t>25/08/2021</t>
  </si>
  <si>
    <t>26/01/2025</t>
  </si>
  <si>
    <t>MFS-97257</t>
  </si>
  <si>
    <t>MFS-44583</t>
  </si>
  <si>
    <t>Nana Ogundipe</t>
  </si>
  <si>
    <t>12/10/2023</t>
  </si>
  <si>
    <t>MFS-12116</t>
  </si>
  <si>
    <t>MFS-20749</t>
  </si>
  <si>
    <t>20/02/2023</t>
  </si>
  <si>
    <t>MFS-75515</t>
  </si>
  <si>
    <t>Nana Musa</t>
  </si>
  <si>
    <t>09/11/2019</t>
  </si>
  <si>
    <t>MFS-90240</t>
  </si>
  <si>
    <t>05/04/2019</t>
  </si>
  <si>
    <t>14/07/2022</t>
  </si>
  <si>
    <t>MFS-52538</t>
  </si>
  <si>
    <t>24/08/2019</t>
  </si>
  <si>
    <t>25/01/2024</t>
  </si>
  <si>
    <t>MFS-33570</t>
  </si>
  <si>
    <t>Bimpe Abdullahi</t>
  </si>
  <si>
    <t>MFS-69591</t>
  </si>
  <si>
    <t>Adaeze Okafor</t>
  </si>
  <si>
    <t>19/11/2024</t>
  </si>
  <si>
    <t>MFS-84852</t>
  </si>
  <si>
    <t>Bimpe Adebayo</t>
  </si>
  <si>
    <t>09/05/2019</t>
  </si>
  <si>
    <t>MFS-29089</t>
  </si>
  <si>
    <t>Tunde Okonkwo</t>
  </si>
  <si>
    <t>MFS-53376</t>
  </si>
  <si>
    <t>MFS-59760</t>
  </si>
  <si>
    <t>Adeola Obaseki</t>
  </si>
  <si>
    <t>MFS-84588</t>
  </si>
  <si>
    <t>04/05/2022</t>
  </si>
  <si>
    <t>MFS-13661</t>
  </si>
  <si>
    <t>Fatima Aliyu</t>
  </si>
  <si>
    <t>MFS-64999</t>
  </si>
  <si>
    <t>Suleiman Onwudiwe</t>
  </si>
  <si>
    <t>MFS-27968</t>
  </si>
  <si>
    <t>23/10/2023</t>
  </si>
  <si>
    <t>MFS-93545</t>
  </si>
  <si>
    <t>Oluwaseun Obi</t>
  </si>
  <si>
    <t>MFS-11469</t>
  </si>
  <si>
    <t>MFS-15487</t>
  </si>
  <si>
    <t>Yemi Shehu</t>
  </si>
  <si>
    <t>04/04/2024</t>
  </si>
  <si>
    <t>MFS-21673</t>
  </si>
  <si>
    <t>Jummai Nwachukwu</t>
  </si>
  <si>
    <t>MFS-96162</t>
  </si>
  <si>
    <t>MFS-21081</t>
  </si>
  <si>
    <t>Ifeoma Chukwu</t>
  </si>
  <si>
    <t>MFS-24417</t>
  </si>
  <si>
    <t>Uche Aliyu</t>
  </si>
  <si>
    <t>MFS-65068</t>
  </si>
  <si>
    <t>16/04/2021</t>
  </si>
  <si>
    <t>MFS-69863</t>
  </si>
  <si>
    <t>24/12/2023</t>
  </si>
  <si>
    <t>MFS-41534</t>
  </si>
  <si>
    <t>25/06/2021</t>
  </si>
  <si>
    <t>MFS-85803</t>
  </si>
  <si>
    <t>Rotimi Yakubu</t>
  </si>
  <si>
    <t>06/06/2024</t>
  </si>
  <si>
    <t>MFS-61552</t>
  </si>
  <si>
    <t>Femi Lawal</t>
  </si>
  <si>
    <t>MFS-37194</t>
  </si>
  <si>
    <t>MFS-54683</t>
  </si>
  <si>
    <t>MFS-75681</t>
  </si>
  <si>
    <t>16/04/2023</t>
  </si>
  <si>
    <t>MFS-48431</t>
  </si>
  <si>
    <t>MFS-85183</t>
  </si>
  <si>
    <t>03/04/2024</t>
  </si>
  <si>
    <t>MFS-99620</t>
  </si>
  <si>
    <t>Kunle Danladi</t>
  </si>
  <si>
    <t>MFS-28269</t>
  </si>
  <si>
    <t>10/05/2019</t>
  </si>
  <si>
    <t>MFS-12008</t>
  </si>
  <si>
    <t>MFS-26965</t>
  </si>
  <si>
    <t>MFS-70172</t>
  </si>
  <si>
    <t>Adebayo Eze</t>
  </si>
  <si>
    <t>22/01/2020</t>
  </si>
  <si>
    <t>MFS-74305</t>
  </si>
  <si>
    <t>MFS-72012</t>
  </si>
  <si>
    <t>Nnamdi Coker</t>
  </si>
  <si>
    <t>13/12/2020</t>
  </si>
  <si>
    <t>MFS-26564</t>
  </si>
  <si>
    <t>Rukayya Nduka</t>
  </si>
  <si>
    <t>MFS-52460</t>
  </si>
  <si>
    <t>Tosin Okafor</t>
  </si>
  <si>
    <t>MFS-51261</t>
  </si>
  <si>
    <t>11/04/2019</t>
  </si>
  <si>
    <t>MFS-13905</t>
  </si>
  <si>
    <t>Kabiru Adesanya</t>
  </si>
  <si>
    <t>MFS-31939</t>
  </si>
  <si>
    <t>Haruna Adewale</t>
  </si>
  <si>
    <t>13/04/2022</t>
  </si>
  <si>
    <t>MFS-32515</t>
  </si>
  <si>
    <t>Fatima Afolabi</t>
  </si>
  <si>
    <t>MFS-10085</t>
  </si>
  <si>
    <t>Folake Okonkwo</t>
  </si>
  <si>
    <t>MFS-11337</t>
  </si>
  <si>
    <t>Laraba Afolabi</t>
  </si>
  <si>
    <t>MFS-36971</t>
  </si>
  <si>
    <t>Obiora Yakubu</t>
  </si>
  <si>
    <t>06/11/2022</t>
  </si>
  <si>
    <t>MFS-71382</t>
  </si>
  <si>
    <t>09/08/2022</t>
  </si>
  <si>
    <t>18/07/2023</t>
  </si>
  <si>
    <t>MFS-64336</t>
  </si>
  <si>
    <t>MFS-25869</t>
  </si>
  <si>
    <t>Rotimi Taiwo</t>
  </si>
  <si>
    <t>02/12/2024</t>
  </si>
  <si>
    <t>MFS-30333</t>
  </si>
  <si>
    <t>Femi Bello</t>
  </si>
  <si>
    <t>09/04/2020</t>
  </si>
  <si>
    <t>21/11/2021</t>
  </si>
  <si>
    <t>MFS-34421</t>
  </si>
  <si>
    <t>Garba Ihejirika</t>
  </si>
  <si>
    <t>MFS-16248</t>
  </si>
  <si>
    <t>MFS-89605</t>
  </si>
  <si>
    <t>MFS-60984</t>
  </si>
  <si>
    <t>13/10/2019</t>
  </si>
  <si>
    <t>MFS-55624</t>
  </si>
  <si>
    <t>Asabe Omotayo</t>
  </si>
  <si>
    <t>MFS-52109</t>
  </si>
  <si>
    <t>Dele Uba</t>
  </si>
  <si>
    <t>MFS-26682</t>
  </si>
  <si>
    <t>Ezinne Shehu</t>
  </si>
  <si>
    <t>31/07/2021</t>
  </si>
  <si>
    <t>MFS-65373</t>
  </si>
  <si>
    <t>Seun Oyelaran</t>
  </si>
  <si>
    <t>MFS-10453</t>
  </si>
  <si>
    <t>Ifeanyi Adeyemi</t>
  </si>
  <si>
    <t>05/02/2022</t>
  </si>
  <si>
    <t>MFS-94897</t>
  </si>
  <si>
    <t>17/02/2022</t>
  </si>
  <si>
    <t>MFS-20115</t>
  </si>
  <si>
    <t>MFS-24688</t>
  </si>
  <si>
    <t>Chinedu Adesanya</t>
  </si>
  <si>
    <t>09/12/2019</t>
  </si>
  <si>
    <t>20/08/2024</t>
  </si>
  <si>
    <t>MFS-49492</t>
  </si>
  <si>
    <t>20/03/2023</t>
  </si>
  <si>
    <t>MFS-95217</t>
  </si>
  <si>
    <t>Hauwa Taiwo</t>
  </si>
  <si>
    <t>28/03/2022</t>
  </si>
  <si>
    <t>MFS-29087</t>
  </si>
  <si>
    <t>Tunde Aliyu</t>
  </si>
  <si>
    <t>04/11/2021</t>
  </si>
  <si>
    <t>MFS-34247</t>
  </si>
  <si>
    <t>12/07/2022</t>
  </si>
  <si>
    <t>MFS-85243</t>
  </si>
  <si>
    <t>26/11/2022</t>
  </si>
  <si>
    <t>MFS-27419</t>
  </si>
  <si>
    <t>Shade Okonkwo</t>
  </si>
  <si>
    <t>MFS-19899</t>
  </si>
  <si>
    <t>Ebuka Garba</t>
  </si>
  <si>
    <t>MFS-12785</t>
  </si>
  <si>
    <t>Danladi Nwosu</t>
  </si>
  <si>
    <t>19/06/2019</t>
  </si>
  <si>
    <t>MFS-13204</t>
  </si>
  <si>
    <t>MFS-63285</t>
  </si>
  <si>
    <t>Ngozi Onwudiwe</t>
  </si>
  <si>
    <t>MFS-82321</t>
  </si>
  <si>
    <t>Ngozi Obaseki</t>
  </si>
  <si>
    <t>06/03/2020</t>
  </si>
  <si>
    <t>MFS-41278</t>
  </si>
  <si>
    <t>Kunle Nwosu</t>
  </si>
  <si>
    <t>MFS-87990</t>
  </si>
  <si>
    <t>MFS-91834</t>
  </si>
  <si>
    <t>MFS-13092</t>
  </si>
  <si>
    <t>MFS-67760</t>
  </si>
  <si>
    <t>23/02/2019</t>
  </si>
  <si>
    <t>11/02/2021</t>
  </si>
  <si>
    <t>MFS-40147</t>
  </si>
  <si>
    <t>Chioma Okafor</t>
  </si>
  <si>
    <t>MFS-97161</t>
  </si>
  <si>
    <t>Folake Nnamdi</t>
  </si>
  <si>
    <t>15/08/2021</t>
  </si>
  <si>
    <t>MFS-42375</t>
  </si>
  <si>
    <t>Fatima Obi</t>
  </si>
  <si>
    <t>04/03/2024</t>
  </si>
  <si>
    <t>MFS-65177</t>
  </si>
  <si>
    <t>MFS-20625</t>
  </si>
  <si>
    <t>14/05/2019</t>
  </si>
  <si>
    <t>MFS-92920</t>
  </si>
  <si>
    <t>10/12/2022</t>
  </si>
  <si>
    <t>27/07/2024</t>
  </si>
  <si>
    <t>MFS-82689</t>
  </si>
  <si>
    <t>Garba Shehu</t>
  </si>
  <si>
    <t>MFS-74770</t>
  </si>
  <si>
    <t>02/09/2023</t>
  </si>
  <si>
    <t>22/04/2024</t>
  </si>
  <si>
    <t>MFS-51078</t>
  </si>
  <si>
    <t>Nkechi Ogbonna</t>
  </si>
  <si>
    <t>MFS-71063</t>
  </si>
  <si>
    <t>Obiora Oyelaran</t>
  </si>
  <si>
    <t>MFS-35122</t>
  </si>
  <si>
    <t>Tosin Suleiman</t>
  </si>
  <si>
    <t>09/12/2021</t>
  </si>
  <si>
    <t>MFS-64246</t>
  </si>
  <si>
    <t>Falmata Ogundipe</t>
  </si>
  <si>
    <t>MFS-73774</t>
  </si>
  <si>
    <t>Rotimi Nwosu</t>
  </si>
  <si>
    <t>MFS-95233</t>
  </si>
  <si>
    <t>29/09/2020</t>
  </si>
  <si>
    <t>MFS-23595</t>
  </si>
  <si>
    <t>13/02/2021</t>
  </si>
  <si>
    <t>MFS-40968</t>
  </si>
  <si>
    <t>17/10/2020</t>
  </si>
  <si>
    <t>19/11/2023</t>
  </si>
  <si>
    <t>MFS-47821</t>
  </si>
  <si>
    <t>Gbenga Okonkwo</t>
  </si>
  <si>
    <t>09/10/2020</t>
  </si>
  <si>
    <t>MFS-82669</t>
  </si>
  <si>
    <t>Kemi Shehu</t>
  </si>
  <si>
    <t>21/09/2022</t>
  </si>
  <si>
    <t>MFS-57227</t>
  </si>
  <si>
    <t>MFS-51765</t>
  </si>
  <si>
    <t>MFS-26078</t>
  </si>
  <si>
    <t>Nasiru Okonkwo</t>
  </si>
  <si>
    <t>MFS-14355</t>
  </si>
  <si>
    <t>MFS-82912</t>
  </si>
  <si>
    <t>MFS-65838</t>
  </si>
  <si>
    <t>Rabiu Afolabi</t>
  </si>
  <si>
    <t>25/08/2019</t>
  </si>
  <si>
    <t>06/03/2022</t>
  </si>
  <si>
    <t>MFS-59146</t>
  </si>
  <si>
    <t>MFS-57087</t>
  </si>
  <si>
    <t>Titi Adeyemi</t>
  </si>
  <si>
    <t>22/04/2022</t>
  </si>
  <si>
    <t>MFS-54194</t>
  </si>
  <si>
    <t>Tobi Abdullahi</t>
  </si>
  <si>
    <t>MFS-81536</t>
  </si>
  <si>
    <t>Danladi Bello</t>
  </si>
  <si>
    <t>01/08/2022</t>
  </si>
  <si>
    <t>MFS-15961</t>
  </si>
  <si>
    <t>Tobi Suleiman</t>
  </si>
  <si>
    <t>MFS-61813</t>
  </si>
  <si>
    <t>Amaka Danladi</t>
  </si>
  <si>
    <t>24/07/2022</t>
  </si>
  <si>
    <t>MFS-42275</t>
  </si>
  <si>
    <t>26/01/2020</t>
  </si>
  <si>
    <t>MFS-93023</t>
  </si>
  <si>
    <t>Ikenna Suleiman</t>
  </si>
  <si>
    <t>16/04/2019</t>
  </si>
  <si>
    <t>MFS-55117</t>
  </si>
  <si>
    <t>Ramatu Fagbemi</t>
  </si>
  <si>
    <t>MFS-84910</t>
  </si>
  <si>
    <t>Ronke Taiwo</t>
  </si>
  <si>
    <t>MFS-91397</t>
  </si>
  <si>
    <t>01/01/2023</t>
  </si>
  <si>
    <t>MFS-51175</t>
  </si>
  <si>
    <t>Suleiman Nwachukwu</t>
  </si>
  <si>
    <t>MFS-39070</t>
  </si>
  <si>
    <t>Ugochi Ihejirika</t>
  </si>
  <si>
    <t>26/02/2025</t>
  </si>
  <si>
    <t>MFS-95254</t>
  </si>
  <si>
    <t>Babatunde Yakubu</t>
  </si>
  <si>
    <t>MFS-62931</t>
  </si>
  <si>
    <t>Suleiman Lawal</t>
  </si>
  <si>
    <t>MFS-50543</t>
  </si>
  <si>
    <t>Ikenna Taiwo</t>
  </si>
  <si>
    <t>14/08/2019</t>
  </si>
  <si>
    <t>MFS-92176</t>
  </si>
  <si>
    <t>Chiamaka Suleiman</t>
  </si>
  <si>
    <t>MFS-64978</t>
  </si>
  <si>
    <t>Aliyu Aliyu</t>
  </si>
  <si>
    <t>MFS-11223</t>
  </si>
  <si>
    <t>Obinna Musa</t>
  </si>
  <si>
    <t>MFS-65987</t>
  </si>
  <si>
    <t>Yakubu Okeke</t>
  </si>
  <si>
    <t>MFS-18597</t>
  </si>
  <si>
    <t>Uche Lawal</t>
  </si>
  <si>
    <t>MFS-83570</t>
  </si>
  <si>
    <t>Chinedu Onwudiwe</t>
  </si>
  <si>
    <t>MFS-87610</t>
  </si>
  <si>
    <t>Rabiu Nduka</t>
  </si>
  <si>
    <t>27/01/2023</t>
  </si>
  <si>
    <t>MFS-49761</t>
  </si>
  <si>
    <t>19/03/2021</t>
  </si>
  <si>
    <t>MFS-13159</t>
  </si>
  <si>
    <t>Haruna Onwudiwe</t>
  </si>
  <si>
    <t>MFS-28838</t>
  </si>
  <si>
    <t>Emeka Okonkwo</t>
  </si>
  <si>
    <t>MFS-65315</t>
  </si>
  <si>
    <t>Lanre Garba</t>
  </si>
  <si>
    <t>14/09/2019</t>
  </si>
  <si>
    <t>MFS-28204</t>
  </si>
  <si>
    <t>Babatunde Onwudiwe</t>
  </si>
  <si>
    <t>MFS-36503</t>
  </si>
  <si>
    <t>MFS-49230</t>
  </si>
  <si>
    <t>Femi Nduka</t>
  </si>
  <si>
    <t>MFS-80084</t>
  </si>
  <si>
    <t>Uche Ogbonna</t>
  </si>
  <si>
    <t>18/07/2019</t>
  </si>
  <si>
    <t>MFS-59416</t>
  </si>
  <si>
    <t>MFS-97129</t>
  </si>
  <si>
    <t>Eze Nwachukwu</t>
  </si>
  <si>
    <t>MFS-53058</t>
  </si>
  <si>
    <t>31/12/2022</t>
  </si>
  <si>
    <t>MFS-10365</t>
  </si>
  <si>
    <t>Shehu Adebayo</t>
  </si>
  <si>
    <t>MFS-41230</t>
  </si>
  <si>
    <t>MFS-74097</t>
  </si>
  <si>
    <t>MFS-35406</t>
  </si>
  <si>
    <t>Kunle Nduka</t>
  </si>
  <si>
    <t>MFS-28255</t>
  </si>
  <si>
    <t>Bilkisu Taiwo</t>
  </si>
  <si>
    <t>03/01/2019</t>
  </si>
  <si>
    <t>MFS-32004</t>
  </si>
  <si>
    <t>MFS-96120</t>
  </si>
  <si>
    <t>Haruna Adeyemi</t>
  </si>
  <si>
    <t>26/12/2020</t>
  </si>
  <si>
    <t>MFS-70248</t>
  </si>
  <si>
    <t>Nnamdi Afolabi</t>
  </si>
  <si>
    <t>26/03/2021</t>
  </si>
  <si>
    <t>MFS-73728</t>
  </si>
  <si>
    <t>15/03/2019</t>
  </si>
  <si>
    <t>24/10/2019</t>
  </si>
  <si>
    <t>MFS-92656</t>
  </si>
  <si>
    <t>Chiamaka Danladi</t>
  </si>
  <si>
    <t>MFS-54801</t>
  </si>
  <si>
    <t>MFS-20417</t>
  </si>
  <si>
    <t>Fatima Adesanya</t>
  </si>
  <si>
    <t>MFS-98348</t>
  </si>
  <si>
    <t>21/11/2022</t>
  </si>
  <si>
    <t>MFS-59478</t>
  </si>
  <si>
    <t>Oghenekaro Buhari</t>
  </si>
  <si>
    <t>07/10/2023</t>
  </si>
  <si>
    <t>MFS-64270</t>
  </si>
  <si>
    <t>Aliyu Abdullahi</t>
  </si>
  <si>
    <t>28/01/2019</t>
  </si>
  <si>
    <t>MFS-18772</t>
  </si>
  <si>
    <t>Hadiza Bello</t>
  </si>
  <si>
    <t>MFS-23088</t>
  </si>
  <si>
    <t>MFS-90528</t>
  </si>
  <si>
    <t>Chukwuemeka Yakubu</t>
  </si>
  <si>
    <t>MFS-27658</t>
  </si>
  <si>
    <t>05/10/2024</t>
  </si>
  <si>
    <t>MFS-69589</t>
  </si>
  <si>
    <t>Gbenga Nwachukwu</t>
  </si>
  <si>
    <t>MFS-91088</t>
  </si>
  <si>
    <t>Bukola Uba</t>
  </si>
  <si>
    <t>18/07/2020</t>
  </si>
  <si>
    <t>MFS-59398</t>
  </si>
  <si>
    <t>22/05/2022</t>
  </si>
  <si>
    <t>MFS-47194</t>
  </si>
  <si>
    <t>Bilkisu Adesanya</t>
  </si>
  <si>
    <t>13/03/2021</t>
  </si>
  <si>
    <t>MFS-98646</t>
  </si>
  <si>
    <t>03/04/2022</t>
  </si>
  <si>
    <t>MFS-34931</t>
  </si>
  <si>
    <t>Femi Adewale</t>
  </si>
  <si>
    <t>MFS-71122</t>
  </si>
  <si>
    <t>MFS-76623</t>
  </si>
  <si>
    <t>MFS-34616</t>
  </si>
  <si>
    <t>Obiora Okafor</t>
  </si>
  <si>
    <t>MFS-18104</t>
  </si>
  <si>
    <t>Zainab Taiwo</t>
  </si>
  <si>
    <t>MFS-91350</t>
  </si>
  <si>
    <t>15/02/2020</t>
  </si>
  <si>
    <t>MFS-33451</t>
  </si>
  <si>
    <t>Babatunde Abdullahi</t>
  </si>
  <si>
    <t>MFS-34891</t>
  </si>
  <si>
    <t>Seun Adesanya</t>
  </si>
  <si>
    <t>07/04/2020</t>
  </si>
  <si>
    <t>MFS-10481</t>
  </si>
  <si>
    <t>Seun Buhari</t>
  </si>
  <si>
    <t>28/10/2021</t>
  </si>
  <si>
    <t>MFS-16378</t>
  </si>
  <si>
    <t>Hadiza Abdullahi</t>
  </si>
  <si>
    <t>MFS-60393</t>
  </si>
  <si>
    <t>MFS-73049</t>
  </si>
  <si>
    <t>21/06/2020</t>
  </si>
  <si>
    <t>MFS-66485</t>
  </si>
  <si>
    <t>Biodun Garba</t>
  </si>
  <si>
    <t>MFS-88576</t>
  </si>
  <si>
    <t>MFS-86624</t>
  </si>
  <si>
    <t>Nneka Afolabi</t>
  </si>
  <si>
    <t>12/05/2022</t>
  </si>
  <si>
    <t>MFS-87861</t>
  </si>
  <si>
    <t>03/03/2019</t>
  </si>
  <si>
    <t>MFS-70640</t>
  </si>
  <si>
    <t>MFS-56849</t>
  </si>
  <si>
    <t>Uche Oyelaran</t>
  </si>
  <si>
    <t>MFS-61832</t>
  </si>
  <si>
    <t>Ngozi Nwachukwu</t>
  </si>
  <si>
    <t>MFS-56166</t>
  </si>
  <si>
    <t>MFS-63983</t>
  </si>
  <si>
    <t>Asabe Ihejirika</t>
  </si>
  <si>
    <t>MFS-48963</t>
  </si>
  <si>
    <t>Chukwudi Coker</t>
  </si>
  <si>
    <t>25/01/2021</t>
  </si>
  <si>
    <t>MFS-31680</t>
  </si>
  <si>
    <t>Ramatu Eze</t>
  </si>
  <si>
    <t>MFS-22054</t>
  </si>
  <si>
    <t>Lanre Ihejirika</t>
  </si>
  <si>
    <t>MFS-41030</t>
  </si>
  <si>
    <t>Haruna Shehu</t>
  </si>
  <si>
    <t>MFS-28672</t>
  </si>
  <si>
    <t>Danladi Aliyu</t>
  </si>
  <si>
    <t>MFS-25958</t>
  </si>
  <si>
    <t>Rotimi Buhari</t>
  </si>
  <si>
    <t>24/01/2025</t>
  </si>
  <si>
    <t>MFS-96497</t>
  </si>
  <si>
    <t>Chibuike Ihejirika</t>
  </si>
  <si>
    <t>MFS-24208</t>
  </si>
  <si>
    <t>23/01/2019</t>
  </si>
  <si>
    <t>MFS-84738</t>
  </si>
  <si>
    <t>Nana Nnamdi</t>
  </si>
  <si>
    <t>MFS-43706</t>
  </si>
  <si>
    <t>MFS-46244</t>
  </si>
  <si>
    <t>10/08/2023</t>
  </si>
  <si>
    <t>12/06/2024</t>
  </si>
  <si>
    <t>MFS-83333</t>
  </si>
  <si>
    <t>MFS-92470</t>
  </si>
  <si>
    <t>Ugochi Adebayo</t>
  </si>
  <si>
    <t>MFS-70457</t>
  </si>
  <si>
    <t>Bukola Ihejirika</t>
  </si>
  <si>
    <t>MFS-21801</t>
  </si>
  <si>
    <t>16/08/2023</t>
  </si>
  <si>
    <t>MFS-80202</t>
  </si>
  <si>
    <t>20/09/2020</t>
  </si>
  <si>
    <t>19/12/2022</t>
  </si>
  <si>
    <t>MFS-93200</t>
  </si>
  <si>
    <t>Tosin Aliyu</t>
  </si>
  <si>
    <t>19/07/2022</t>
  </si>
  <si>
    <t>MFS-60777</t>
  </si>
  <si>
    <t>MFS-95884</t>
  </si>
  <si>
    <t>Adaora Ogundipe</t>
  </si>
  <si>
    <t>25/07/2023</t>
  </si>
  <si>
    <t>MFS-24481</t>
  </si>
  <si>
    <t>25/04/2024</t>
  </si>
  <si>
    <t>MFS-47555</t>
  </si>
  <si>
    <t>Maryam Afolabi</t>
  </si>
  <si>
    <t>MFS-83847</t>
  </si>
  <si>
    <t>13/01/2024</t>
  </si>
  <si>
    <t>MFS-53108</t>
  </si>
  <si>
    <t>MFS-16599</t>
  </si>
  <si>
    <t>Usman Suleiman</t>
  </si>
  <si>
    <t>MFS-98788</t>
  </si>
  <si>
    <t>MFS-29840</t>
  </si>
  <si>
    <t>Ugochi Okeke</t>
  </si>
  <si>
    <t>MFS-22445</t>
  </si>
  <si>
    <t>Gbenga Ogundipe</t>
  </si>
  <si>
    <t>MFS-45411</t>
  </si>
  <si>
    <t>Lanre Omotayo</t>
  </si>
  <si>
    <t>MFS-35362</t>
  </si>
  <si>
    <t>MFS-11165</t>
  </si>
  <si>
    <t>23/01/2021</t>
  </si>
  <si>
    <t>08/03/2025</t>
  </si>
  <si>
    <t>MFS-27950</t>
  </si>
  <si>
    <t>Dele Obi</t>
  </si>
  <si>
    <t>12/12/2024</t>
  </si>
  <si>
    <t>MFS-93568</t>
  </si>
  <si>
    <t>Chinedu Yakubu</t>
  </si>
  <si>
    <t>02/09/2021</t>
  </si>
  <si>
    <t>MFS-63667</t>
  </si>
  <si>
    <t>Yakubu Ogundipe</t>
  </si>
  <si>
    <t>MFS-42011</t>
  </si>
  <si>
    <t>29/10/2020</t>
  </si>
  <si>
    <t>MFS-43819</t>
  </si>
  <si>
    <t>02/10/2019</t>
  </si>
  <si>
    <t>MFS-64600</t>
  </si>
  <si>
    <t>Chinyere Nnamdi</t>
  </si>
  <si>
    <t>MFS-63896</t>
  </si>
  <si>
    <t>Yakubu Danladi</t>
  </si>
  <si>
    <t>09/03/2021</t>
  </si>
  <si>
    <t>MFS-73298</t>
  </si>
  <si>
    <t>Babatunde Danladi</t>
  </si>
  <si>
    <t>MFS-14368</t>
  </si>
  <si>
    <t>Ifeoma Shehu</t>
  </si>
  <si>
    <t>MFS-36220</t>
  </si>
  <si>
    <t>24/12/2024</t>
  </si>
  <si>
    <t>MFS-14173</t>
  </si>
  <si>
    <t>Ifeanyi Musa</t>
  </si>
  <si>
    <t>23/02/2023</t>
  </si>
  <si>
    <t>MFS-42038</t>
  </si>
  <si>
    <t>22/04/2019</t>
  </si>
  <si>
    <t>MFS-56577</t>
  </si>
  <si>
    <t>Sola Onwudiwe</t>
  </si>
  <si>
    <t>MFS-65004</t>
  </si>
  <si>
    <t>Maryam Nnamdi</t>
  </si>
  <si>
    <t>30/11/2019</t>
  </si>
  <si>
    <t>MFS-72969</t>
  </si>
  <si>
    <t>MFS-27856</t>
  </si>
  <si>
    <t>Laraba Lawal</t>
  </si>
  <si>
    <t>MFS-11330</t>
  </si>
  <si>
    <t>Ibrahim Nduka</t>
  </si>
  <si>
    <t>MFS-37548</t>
  </si>
  <si>
    <t>30/12/2020</t>
  </si>
  <si>
    <t>MFS-66031</t>
  </si>
  <si>
    <t>MFS-62140</t>
  </si>
  <si>
    <t>20/01/2023</t>
  </si>
  <si>
    <t>MFS-67354</t>
  </si>
  <si>
    <t>Femi Adeyemi</t>
  </si>
  <si>
    <t>MFS-19876</t>
  </si>
  <si>
    <t>Yakubu Ogbonna</t>
  </si>
  <si>
    <t>MFS-59054</t>
  </si>
  <si>
    <t>Uche Afolabi</t>
  </si>
  <si>
    <t>MFS-39145</t>
  </si>
  <si>
    <t>Falmata Omotayo</t>
  </si>
  <si>
    <t>MFS-25789</t>
  </si>
  <si>
    <t>Chiamaka Musa</t>
  </si>
  <si>
    <t>MFS-31586</t>
  </si>
  <si>
    <t>Falmata Aliyu</t>
  </si>
  <si>
    <t>08/07/2022</t>
  </si>
  <si>
    <t>MFS-25341</t>
  </si>
  <si>
    <t>Yetunde Eze</t>
  </si>
  <si>
    <t>03/04/2020</t>
  </si>
  <si>
    <t>MFS-76537</t>
  </si>
  <si>
    <t>MFS-43526</t>
  </si>
  <si>
    <t>Yemi Amadi</t>
  </si>
  <si>
    <t>MFS-99509</t>
  </si>
  <si>
    <t>Titi Nduka</t>
  </si>
  <si>
    <t>MFS-58570</t>
  </si>
  <si>
    <t>MFS-90779</t>
  </si>
  <si>
    <t>Chukwuemeka Amadi</t>
  </si>
  <si>
    <t>MFS-22762</t>
  </si>
  <si>
    <t>Zainab Lawal</t>
  </si>
  <si>
    <t>MFS-67084</t>
  </si>
  <si>
    <t>Bimpe Buhari</t>
  </si>
  <si>
    <t>operations</t>
  </si>
  <si>
    <t>MFS-80782</t>
  </si>
  <si>
    <t>Maryam Musa</t>
  </si>
  <si>
    <t>MFS-44894</t>
  </si>
  <si>
    <t>Nnamdi Adesanya</t>
  </si>
  <si>
    <t>MFS-28350</t>
  </si>
  <si>
    <t>Tobi Shehu</t>
  </si>
  <si>
    <t>MFS-43289</t>
  </si>
  <si>
    <t>27/10/2024</t>
  </si>
  <si>
    <t>MFS-31011</t>
  </si>
  <si>
    <t>MFS-43686</t>
  </si>
  <si>
    <t>Uche Okonkwo</t>
  </si>
  <si>
    <t>MFS-31774</t>
  </si>
  <si>
    <t>Yemi Musa</t>
  </si>
  <si>
    <t>MFS-25966</t>
  </si>
  <si>
    <t>Oghenekaro Ogbonna</t>
  </si>
  <si>
    <t>10/09/2019</t>
  </si>
  <si>
    <t>13/07/2021</t>
  </si>
  <si>
    <t>MFS-98317</t>
  </si>
  <si>
    <t>Yemi Eze</t>
  </si>
  <si>
    <t>MFS-57586</t>
  </si>
  <si>
    <t>MFS-77426</t>
  </si>
  <si>
    <t>Sola Taiwo</t>
  </si>
  <si>
    <t>MFS-21573</t>
  </si>
  <si>
    <t>Lola Okeke</t>
  </si>
  <si>
    <t>MFS-50406</t>
  </si>
  <si>
    <t>Ibrahim Chukwu</t>
  </si>
  <si>
    <t>MFS-96322</t>
  </si>
  <si>
    <t>MFS-85120</t>
  </si>
  <si>
    <t>Ifeanyi Oyelaran</t>
  </si>
  <si>
    <t>MFS-79716</t>
  </si>
  <si>
    <t>Usman Nwachukwu</t>
  </si>
  <si>
    <t>02/10/2022</t>
  </si>
  <si>
    <t>MFS-99856</t>
  </si>
  <si>
    <t>Chukwudi Nnamdi</t>
  </si>
  <si>
    <t>MFS-74784</t>
  </si>
  <si>
    <t>Titi Omotayo</t>
  </si>
  <si>
    <t>MFS-20567</t>
  </si>
  <si>
    <t>Rukayya Taiwo</t>
  </si>
  <si>
    <t>MFS-61382</t>
  </si>
  <si>
    <t>25/11/2020</t>
  </si>
  <si>
    <t>MFS-61491</t>
  </si>
  <si>
    <t>MFS-69503</t>
  </si>
  <si>
    <t>10/03/2021</t>
  </si>
  <si>
    <t>MFS-23446</t>
  </si>
  <si>
    <t>30/03/2020</t>
  </si>
  <si>
    <t>MFS-56787</t>
  </si>
  <si>
    <t>Ngozi Shehu</t>
  </si>
  <si>
    <t>23/06/2024</t>
  </si>
  <si>
    <t>MFS-67946</t>
  </si>
  <si>
    <t>Rabiu Yakubu</t>
  </si>
  <si>
    <t>17/03/2022</t>
  </si>
  <si>
    <t>MFS-13493</t>
  </si>
  <si>
    <t>28/11/2019</t>
  </si>
  <si>
    <t>MFS-57603</t>
  </si>
  <si>
    <t>23/04/2019</t>
  </si>
  <si>
    <t>MFS-37169</t>
  </si>
  <si>
    <t>Ebuka Amadi</t>
  </si>
  <si>
    <t>MFS-52698</t>
  </si>
  <si>
    <t>Eze Bello</t>
  </si>
  <si>
    <t>26/06/2021</t>
  </si>
  <si>
    <t>MFS-59901</t>
  </si>
  <si>
    <t>Biodun Aliyu</t>
  </si>
  <si>
    <t>07/08/2024</t>
  </si>
  <si>
    <t>MFS-76964</t>
  </si>
  <si>
    <t>MFS-48305</t>
  </si>
  <si>
    <t>Nana Taiwo</t>
  </si>
  <si>
    <t>10/05/2021</t>
  </si>
  <si>
    <t>MFS-76913</t>
  </si>
  <si>
    <t>Babatunde Nnamdi</t>
  </si>
  <si>
    <t>16/07/2021</t>
  </si>
  <si>
    <t>MFS-14285</t>
  </si>
  <si>
    <t>Rotimi Coker</t>
  </si>
  <si>
    <t>MFS-31088</t>
  </si>
  <si>
    <t>Emeka Haruna</t>
  </si>
  <si>
    <t>09/07/2021</t>
  </si>
  <si>
    <t>MFS-65492</t>
  </si>
  <si>
    <t>Gbenga Okafor</t>
  </si>
  <si>
    <t>05/03/2021</t>
  </si>
  <si>
    <t>MFS-95322</t>
  </si>
  <si>
    <t>Oghenekaro Coker</t>
  </si>
  <si>
    <t>23/12/2023</t>
  </si>
  <si>
    <t>MFS-26577</t>
  </si>
  <si>
    <t>MFS-16271</t>
  </si>
  <si>
    <t>04/05/2024</t>
  </si>
  <si>
    <t>MFS-21732</t>
  </si>
  <si>
    <t>07/10/2019</t>
  </si>
  <si>
    <t>MFS-42009</t>
  </si>
  <si>
    <t>Chibuike Adesanya</t>
  </si>
  <si>
    <t>14/10/2023</t>
  </si>
  <si>
    <t>MFS-92353</t>
  </si>
  <si>
    <t>MFS-76425</t>
  </si>
  <si>
    <t>Chinedu Obaseki</t>
  </si>
  <si>
    <t>20/06/2022</t>
  </si>
  <si>
    <t>MFS-11138</t>
  </si>
  <si>
    <t>Babatunde Adebayo</t>
  </si>
  <si>
    <t>13/01/2019</t>
  </si>
  <si>
    <t>MFS-70222</t>
  </si>
  <si>
    <t>Tunde Adewale</t>
  </si>
  <si>
    <t>11/11/2019</t>
  </si>
  <si>
    <t>MFS-50924</t>
  </si>
  <si>
    <t>Kemi Okafor</t>
  </si>
  <si>
    <t>MFS-18119</t>
  </si>
  <si>
    <t>Damilola Adeyemi</t>
  </si>
  <si>
    <t>MFS-30952</t>
  </si>
  <si>
    <t>MFS-81358</t>
  </si>
  <si>
    <t>MFS-27951</t>
  </si>
  <si>
    <t>Adeola Nduka</t>
  </si>
  <si>
    <t>05/05/2019</t>
  </si>
  <si>
    <t>MFS-12040</t>
  </si>
  <si>
    <t>Ramatu Buhari</t>
  </si>
  <si>
    <t>10/09/2024</t>
  </si>
  <si>
    <t>MFS-12487</t>
  </si>
  <si>
    <t>MFS-76278</t>
  </si>
  <si>
    <t>MFS-30308</t>
  </si>
  <si>
    <t>25/02/2025</t>
  </si>
  <si>
    <t>MFS-95426</t>
  </si>
  <si>
    <t>MFS-72190</t>
  </si>
  <si>
    <t>Haruna Obaseki</t>
  </si>
  <si>
    <t>MFS-12640</t>
  </si>
  <si>
    <t>Falmata Afolabi</t>
  </si>
  <si>
    <t>MFS-27204</t>
  </si>
  <si>
    <t>Maryam Shehu</t>
  </si>
  <si>
    <t>MFS-13702</t>
  </si>
  <si>
    <t>Chinyere Ihejirika</t>
  </si>
  <si>
    <t>23/10/2021</t>
  </si>
  <si>
    <t>MFS-19706</t>
  </si>
  <si>
    <t>MFS-24697</t>
  </si>
  <si>
    <t>Adaeze Taiwo</t>
  </si>
  <si>
    <t>02/10/2023</t>
  </si>
  <si>
    <t>MFS-21215</t>
  </si>
  <si>
    <t>Obinna Obaseki</t>
  </si>
  <si>
    <t>MFS-98374</t>
  </si>
  <si>
    <t>Asabe Ogbonna</t>
  </si>
  <si>
    <t>22/06/2021</t>
  </si>
  <si>
    <t>MFS-18542</t>
  </si>
  <si>
    <t>MFS-38533</t>
  </si>
  <si>
    <t>08/12/2020</t>
  </si>
  <si>
    <t>MFS-42570</t>
  </si>
  <si>
    <t>Chiamaka Coker</t>
  </si>
  <si>
    <t>16/07/2023</t>
  </si>
  <si>
    <t>MFS-46749</t>
  </si>
  <si>
    <t>Chinwe Eze</t>
  </si>
  <si>
    <t>04/09/2020</t>
  </si>
  <si>
    <t>MFS-88534</t>
  </si>
  <si>
    <t>Ifeoma Uba</t>
  </si>
  <si>
    <t>MFS-85483</t>
  </si>
  <si>
    <t>Chinyere Okafor</t>
  </si>
  <si>
    <t>19/02/2021</t>
  </si>
  <si>
    <t>MFS-31513</t>
  </si>
  <si>
    <t>Jummai Shehu</t>
  </si>
  <si>
    <t>MFS-95082</t>
  </si>
  <si>
    <t>MFS-77053</t>
  </si>
  <si>
    <t>MFS-68053</t>
  </si>
  <si>
    <t>MFS-54185</t>
  </si>
  <si>
    <t>27/06/2019</t>
  </si>
  <si>
    <t>MFS-43324</t>
  </si>
  <si>
    <t>Rukayya Shehu</t>
  </si>
  <si>
    <t>MFS-81380</t>
  </si>
  <si>
    <t>07/07/2024</t>
  </si>
  <si>
    <t>MFS-10826</t>
  </si>
  <si>
    <t>MFS-38101</t>
  </si>
  <si>
    <t>Gbenga Obaseki</t>
  </si>
  <si>
    <t>17/04/2022</t>
  </si>
  <si>
    <t>MFS-27722</t>
  </si>
  <si>
    <t>MFS-90314</t>
  </si>
  <si>
    <t>MFS-33502</t>
  </si>
  <si>
    <t>Chinwe Chukwu</t>
  </si>
  <si>
    <t>02/01/2021</t>
  </si>
  <si>
    <t>MFS-29794</t>
  </si>
  <si>
    <t>Chibuike Uba</t>
  </si>
  <si>
    <t>12/01/2019</t>
  </si>
  <si>
    <t>MFS-79181</t>
  </si>
  <si>
    <t>Aisha Suleiman</t>
  </si>
  <si>
    <t>MFS-69513</t>
  </si>
  <si>
    <t>Maryam Suleiman</t>
  </si>
  <si>
    <t>MFS-42965</t>
  </si>
  <si>
    <t>Uche Coker</t>
  </si>
  <si>
    <t>21/04/2024</t>
  </si>
  <si>
    <t>MFS-47319</t>
  </si>
  <si>
    <t>Haruna Ihejirika</t>
  </si>
  <si>
    <t>MFS-68693</t>
  </si>
  <si>
    <t>Tobi Fagbemi</t>
  </si>
  <si>
    <t>06/02/2019</t>
  </si>
  <si>
    <t>MFS-46004</t>
  </si>
  <si>
    <t>Yakubu Buhari</t>
  </si>
  <si>
    <t>31/08/2024</t>
  </si>
  <si>
    <t>MFS-74624</t>
  </si>
  <si>
    <t>Chiamaka Eze</t>
  </si>
  <si>
    <t>MFS-91490</t>
  </si>
  <si>
    <t>MFS-75990</t>
  </si>
  <si>
    <t>Tobi Obi</t>
  </si>
  <si>
    <t>MFS-20751</t>
  </si>
  <si>
    <t>MFS-57590</t>
  </si>
  <si>
    <t>25/06/2020</t>
  </si>
  <si>
    <t>MFS-19344</t>
  </si>
  <si>
    <t>MFS-90573</t>
  </si>
  <si>
    <t>15/10/2020</t>
  </si>
  <si>
    <t>MFS-16112</t>
  </si>
  <si>
    <t>MFS-78876</t>
  </si>
  <si>
    <t>24/06/2019</t>
  </si>
  <si>
    <t>MFS-12590</t>
  </si>
  <si>
    <t>Kemi Chukwu</t>
  </si>
  <si>
    <t>MFS-27807</t>
  </si>
  <si>
    <t>Asabe Danladi</t>
  </si>
  <si>
    <t>18/04/2022</t>
  </si>
  <si>
    <t>MFS-55702</t>
  </si>
  <si>
    <t>Femi Ogbonna</t>
  </si>
  <si>
    <t>13/03/2019</t>
  </si>
  <si>
    <t>MFS-26366</t>
  </si>
  <si>
    <t>Oluwaseun Uba</t>
  </si>
  <si>
    <t>MFS-11847</t>
  </si>
  <si>
    <t>Tunde Oyelaran</t>
  </si>
  <si>
    <t>MFS-57177</t>
  </si>
  <si>
    <t>Suleiman Uba</t>
  </si>
  <si>
    <t>MFS-79778</t>
  </si>
  <si>
    <t>Hafsat Afolabi</t>
  </si>
  <si>
    <t>MFS-90258</t>
  </si>
  <si>
    <t>Bello Adebayo</t>
  </si>
  <si>
    <t>16/07/2024</t>
  </si>
  <si>
    <t>MFS-69629</t>
  </si>
  <si>
    <t>MFS-79281</t>
  </si>
  <si>
    <t>MFS-91263</t>
  </si>
  <si>
    <t>Femi Yakubu</t>
  </si>
  <si>
    <t>MFS-77254</t>
  </si>
  <si>
    <t>Obiora Adebayo</t>
  </si>
  <si>
    <t>30/09/2019</t>
  </si>
  <si>
    <t>MFS-46287</t>
  </si>
  <si>
    <t>MFS-20208</t>
  </si>
  <si>
    <t>Ramatu Lawal</t>
  </si>
  <si>
    <t>20/12/2021</t>
  </si>
  <si>
    <t>MFS-10896</t>
  </si>
  <si>
    <t>MFS-61889</t>
  </si>
  <si>
    <t>Yemi Okafor</t>
  </si>
  <si>
    <t>MFS-63631</t>
  </si>
  <si>
    <t>Adebayo Adesanya</t>
  </si>
  <si>
    <t>06/09/2022</t>
  </si>
  <si>
    <t>MFS-74356</t>
  </si>
  <si>
    <t>Nana Bello</t>
  </si>
  <si>
    <t>17/05/2019</t>
  </si>
  <si>
    <t>MFS-75214</t>
  </si>
  <si>
    <t>Shade Coker</t>
  </si>
  <si>
    <t>22/02/2019</t>
  </si>
  <si>
    <t>MFS-12401</t>
  </si>
  <si>
    <t>Jummai Adebayo</t>
  </si>
  <si>
    <t>MFS-35589</t>
  </si>
  <si>
    <t>Usman Garba</t>
  </si>
  <si>
    <t>MFS-34776</t>
  </si>
  <si>
    <t>Ibrahim Obi</t>
  </si>
  <si>
    <t>MFS-68104</t>
  </si>
  <si>
    <t>09/02/2023</t>
  </si>
  <si>
    <t>MFS-77157</t>
  </si>
  <si>
    <t>Chiamaka Ogbonna</t>
  </si>
  <si>
    <t>26/07/2019</t>
  </si>
  <si>
    <t>MFS-88119</t>
  </si>
  <si>
    <t>20/11/2021</t>
  </si>
  <si>
    <t>MFS-65294</t>
  </si>
  <si>
    <t>MFS-23879</t>
  </si>
  <si>
    <t>MFS-36289</t>
  </si>
  <si>
    <t>10/02/2025</t>
  </si>
  <si>
    <t>MFS-10294</t>
  </si>
  <si>
    <t>MFS-21818</t>
  </si>
  <si>
    <t>Kunle Ihejirika</t>
  </si>
  <si>
    <t>MFS-52584</t>
  </si>
  <si>
    <t>Lola Onwudiwe</t>
  </si>
  <si>
    <t>MFS-85260</t>
  </si>
  <si>
    <t>Rotimi Omotayo</t>
  </si>
  <si>
    <t>MFS-14406</t>
  </si>
  <si>
    <t>Adebayo Amadi</t>
  </si>
  <si>
    <t>MFS-45971</t>
  </si>
  <si>
    <t>MFS-12549</t>
  </si>
  <si>
    <t>Ifeoma Garba</t>
  </si>
  <si>
    <t>MFS-28120</t>
  </si>
  <si>
    <t>Emeka Ogundipe</t>
  </si>
  <si>
    <t>MFS-17432</t>
  </si>
  <si>
    <t>20/11/2023</t>
  </si>
  <si>
    <t>MFS-81136</t>
  </si>
  <si>
    <t>Wale Okafor</t>
  </si>
  <si>
    <t>MFS-25725</t>
  </si>
  <si>
    <t>Chinwe Suleiman</t>
  </si>
  <si>
    <t>13/08/2024</t>
  </si>
  <si>
    <t>MFS-34445</t>
  </si>
  <si>
    <t>Chibuike Obaseki</t>
  </si>
  <si>
    <t>MFS-57173</t>
  </si>
  <si>
    <t>MFS-68869</t>
  </si>
  <si>
    <t>Ronke Nduka</t>
  </si>
  <si>
    <t>MFS-95699</t>
  </si>
  <si>
    <t>MFS-40127</t>
  </si>
  <si>
    <t>11/09/2024</t>
  </si>
  <si>
    <t>MFS-60334</t>
  </si>
  <si>
    <t>Aliyu Obaseki</t>
  </si>
  <si>
    <t>MFS-54293</t>
  </si>
  <si>
    <t>Uloma Adewale</t>
  </si>
  <si>
    <t>MFS-84201</t>
  </si>
  <si>
    <t>Ibrahim Adebayo</t>
  </si>
  <si>
    <t>14/05/2022</t>
  </si>
  <si>
    <t>MFS-73261</t>
  </si>
  <si>
    <t>30/09/2021</t>
  </si>
  <si>
    <t>MFS-51190</t>
  </si>
  <si>
    <t>MFS-56220</t>
  </si>
  <si>
    <t>Garba Garba</t>
  </si>
  <si>
    <t>MFS-66861</t>
  </si>
  <si>
    <t>Shade Uba</t>
  </si>
  <si>
    <t>MFS-58317</t>
  </si>
  <si>
    <t>MFS-22957</t>
  </si>
  <si>
    <t>Dele Eze</t>
  </si>
  <si>
    <t>04/03/2025</t>
  </si>
  <si>
    <t>MFS-37720</t>
  </si>
  <si>
    <t>MFS-98039</t>
  </si>
  <si>
    <t>27/03/2020</t>
  </si>
  <si>
    <t>MFS-82100</t>
  </si>
  <si>
    <t>Rukayya Yakubu</t>
  </si>
  <si>
    <t>01/01/2021</t>
  </si>
  <si>
    <t>MFS-40762</t>
  </si>
  <si>
    <t>MFS-85289</t>
  </si>
  <si>
    <t>Laraba Omotayo</t>
  </si>
  <si>
    <t>24/03/2024</t>
  </si>
  <si>
    <t>MFS-87717</t>
  </si>
  <si>
    <t>Bimpe Lawal</t>
  </si>
  <si>
    <t>27/08/2023</t>
  </si>
  <si>
    <t>04/11/2024</t>
  </si>
  <si>
    <t>MFS-65821</t>
  </si>
  <si>
    <t>Kunle Abdullahi</t>
  </si>
  <si>
    <t>MFS-82823</t>
  </si>
  <si>
    <t>MFS-91928</t>
  </si>
  <si>
    <t>17/06/2019</t>
  </si>
  <si>
    <t>MFS-85439</t>
  </si>
  <si>
    <t>Garba Adebayo</t>
  </si>
  <si>
    <t>27/06/2022</t>
  </si>
  <si>
    <t>MFS-75511</t>
  </si>
  <si>
    <t>MFS-27290</t>
  </si>
  <si>
    <t>MFS-45056</t>
  </si>
  <si>
    <t>Ibrahim Taiwo</t>
  </si>
  <si>
    <t>11/10/2019</t>
  </si>
  <si>
    <t>MFS-68428</t>
  </si>
  <si>
    <t>23/09/2021</t>
  </si>
  <si>
    <t>MFS-37313</t>
  </si>
  <si>
    <t>Kunle Bello</t>
  </si>
  <si>
    <t>27/10/2021</t>
  </si>
  <si>
    <t>MFS-92827</t>
  </si>
  <si>
    <t>MFS-27136</t>
  </si>
  <si>
    <t>Obinna Danladi</t>
  </si>
  <si>
    <t>24/03/2023</t>
  </si>
  <si>
    <t>MFS-24162</t>
  </si>
  <si>
    <t>Chidi Nnamdi</t>
  </si>
  <si>
    <t>MFS-29651</t>
  </si>
  <si>
    <t>MFS-60674</t>
  </si>
  <si>
    <t>MFS-26541</t>
  </si>
  <si>
    <t>Ramatu Okeke</t>
  </si>
  <si>
    <t>MFS-57611</t>
  </si>
  <si>
    <t>Chibuike Yakubu</t>
  </si>
  <si>
    <t>MFS-14582</t>
  </si>
  <si>
    <t>Asabe Lawal</t>
  </si>
  <si>
    <t>MFS-63639</t>
  </si>
  <si>
    <t>Aisha Obi</t>
  </si>
  <si>
    <t>08/02/2020</t>
  </si>
  <si>
    <t>MFS-32980</t>
  </si>
  <si>
    <t>Hadiza Nduka</t>
  </si>
  <si>
    <t>22/02/2021</t>
  </si>
  <si>
    <t>MFS-55763</t>
  </si>
  <si>
    <t>Aisha Shehu</t>
  </si>
  <si>
    <t>MFS-93112</t>
  </si>
  <si>
    <t>Rukayya Adewale</t>
  </si>
  <si>
    <t>MFS-91945</t>
  </si>
  <si>
    <t>MFS-54509</t>
  </si>
  <si>
    <t>MFS-20995</t>
  </si>
  <si>
    <t>Obinna Amadi</t>
  </si>
  <si>
    <t>MFS-52267</t>
  </si>
  <si>
    <t>27/04/2022</t>
  </si>
  <si>
    <t>MFS-92516</t>
  </si>
  <si>
    <t>15/05/2019</t>
  </si>
  <si>
    <t>MFS-98338</t>
  </si>
  <si>
    <t>Ikenna Oyelaran</t>
  </si>
  <si>
    <t>16/08/2019</t>
  </si>
  <si>
    <t>MFS-97056</t>
  </si>
  <si>
    <t>MFS-90089</t>
  </si>
  <si>
    <t>Bimpe Yakubu</t>
  </si>
  <si>
    <t>03/07/2019</t>
  </si>
  <si>
    <t>MFS-56856</t>
  </si>
  <si>
    <t>Femi Oyelaran</t>
  </si>
  <si>
    <t>20/12/2019</t>
  </si>
  <si>
    <t>MFS-82448</t>
  </si>
  <si>
    <t>Shade Taiwo</t>
  </si>
  <si>
    <t>27/06/2024</t>
  </si>
  <si>
    <t>MFS-37788</t>
  </si>
  <si>
    <t>MFS-17937</t>
  </si>
  <si>
    <t>MFS-44018</t>
  </si>
  <si>
    <t>Eze Okeke</t>
  </si>
  <si>
    <t>MFS-45435</t>
  </si>
  <si>
    <t>Maryam Nwosu</t>
  </si>
  <si>
    <t>MFS-56173</t>
  </si>
  <si>
    <t>Tosin Obi</t>
  </si>
  <si>
    <t>MFS-77652</t>
  </si>
  <si>
    <t>Hadiza Chukwu</t>
  </si>
  <si>
    <t>12/08/2022</t>
  </si>
  <si>
    <t>MFS-26292</t>
  </si>
  <si>
    <t>Tunde Abdullahi</t>
  </si>
  <si>
    <t>MFS-86149</t>
  </si>
  <si>
    <t>Nasiru Omotayo</t>
  </si>
  <si>
    <t>MFS-21239</t>
  </si>
  <si>
    <t>Danladi Garba</t>
  </si>
  <si>
    <t>MFS-72573</t>
  </si>
  <si>
    <t>MFS-21847</t>
  </si>
  <si>
    <t>Hadiza Buhari</t>
  </si>
  <si>
    <t>MFS-52172</t>
  </si>
  <si>
    <t>MFS-35928</t>
  </si>
  <si>
    <t>MFS-23387</t>
  </si>
  <si>
    <t>Oghenekaro Garba</t>
  </si>
  <si>
    <t>MFS-54345</t>
  </si>
  <si>
    <t>Ifeanyi Lawal</t>
  </si>
  <si>
    <t>09/11/2020</t>
  </si>
  <si>
    <t>MFS-65524</t>
  </si>
  <si>
    <t>Uloma Chukwu</t>
  </si>
  <si>
    <t>10/07/2020</t>
  </si>
  <si>
    <t>MFS-70646</t>
  </si>
  <si>
    <t>02/11/2022</t>
  </si>
  <si>
    <t>MFS-50625</t>
  </si>
  <si>
    <t>MFS-47618</t>
  </si>
  <si>
    <t>03/12/2021</t>
  </si>
  <si>
    <t>MFS-10363</t>
  </si>
  <si>
    <t>07/07/2021</t>
  </si>
  <si>
    <t>MFS-52655</t>
  </si>
  <si>
    <t>MFS-18402</t>
  </si>
  <si>
    <t>MFS-41604</t>
  </si>
  <si>
    <t>MFS-38650</t>
  </si>
  <si>
    <t>Tobi Yakubu</t>
  </si>
  <si>
    <t>19/10/2022</t>
  </si>
  <si>
    <t>MFS-46198</t>
  </si>
  <si>
    <t>Falmata Fagbemi</t>
  </si>
  <si>
    <t>MFS-19438</t>
  </si>
  <si>
    <t>MFS-34665</t>
  </si>
  <si>
    <t>29/01/2020</t>
  </si>
  <si>
    <t>MFS-89726</t>
  </si>
  <si>
    <t>Sola Garba</t>
  </si>
  <si>
    <t>MFS-52838</t>
  </si>
  <si>
    <t>MFS-50441</t>
  </si>
  <si>
    <t>Uche Nwachukwu</t>
  </si>
  <si>
    <t>08/05/2022</t>
  </si>
  <si>
    <t>MFS-19162</t>
  </si>
  <si>
    <t>Folake Buhari</t>
  </si>
  <si>
    <t>27/02/2019</t>
  </si>
  <si>
    <t>02/04/2022</t>
  </si>
  <si>
    <t>MFS-33518</t>
  </si>
  <si>
    <t>Shehu Coker</t>
  </si>
  <si>
    <t>MFS-81001</t>
  </si>
  <si>
    <t>MFS-86356</t>
  </si>
  <si>
    <t>10/11/2023</t>
  </si>
  <si>
    <t>838,000.0</t>
  </si>
  <si>
    <t>MFS-37231</t>
  </si>
  <si>
    <t>Tobi Aliyu</t>
  </si>
  <si>
    <t>MFS-98671</t>
  </si>
  <si>
    <t>Kemi Garba</t>
  </si>
  <si>
    <t>MFS-61661</t>
  </si>
  <si>
    <t>Babatunde Nwachukwu</t>
  </si>
  <si>
    <t>MFS-16528</t>
  </si>
  <si>
    <t>Folake Adebayo</t>
  </si>
  <si>
    <t>MFS-66800</t>
  </si>
  <si>
    <t>Zainab Shehu</t>
  </si>
  <si>
    <t>27/01/2019</t>
  </si>
  <si>
    <t>MFS-24579</t>
  </si>
  <si>
    <t>Kemi Abdullahi</t>
  </si>
  <si>
    <t>MFS-88230</t>
  </si>
  <si>
    <t>Obinna Eze</t>
  </si>
  <si>
    <t>MFS-20544</t>
  </si>
  <si>
    <t>MFS-73632</t>
  </si>
  <si>
    <t>MFS-32564</t>
  </si>
  <si>
    <t>Danladi Obaseki</t>
  </si>
  <si>
    <t>MFS-37032</t>
  </si>
  <si>
    <t>Chinedu Fagbemi</t>
  </si>
  <si>
    <t>MFS-51311</t>
  </si>
  <si>
    <t>Hadiza Ihejirika</t>
  </si>
  <si>
    <t>MFS-53061</t>
  </si>
  <si>
    <t>Chinwe Ogbonna</t>
  </si>
  <si>
    <t>29/01/2021</t>
  </si>
  <si>
    <t>MFS-51469</t>
  </si>
  <si>
    <t>MFS-24507</t>
  </si>
  <si>
    <t>Chibuike Suleiman</t>
  </si>
  <si>
    <t>MFS-30721</t>
  </si>
  <si>
    <t>26/10/2021</t>
  </si>
  <si>
    <t>MFS-66735</t>
  </si>
  <si>
    <t>MFS-42632</t>
  </si>
  <si>
    <t>Wale Bello</t>
  </si>
  <si>
    <t>MFS-89928</t>
  </si>
  <si>
    <t>MFS-73323</t>
  </si>
  <si>
    <t>MFS-42348</t>
  </si>
  <si>
    <t>MFS-45195</t>
  </si>
  <si>
    <t>Bukola Okafor</t>
  </si>
  <si>
    <t>MFS-59354</t>
  </si>
  <si>
    <t>MFS-99957</t>
  </si>
  <si>
    <t>Folake Adeyemi</t>
  </si>
  <si>
    <t>12/02/2024</t>
  </si>
  <si>
    <t>MFS-40091</t>
  </si>
  <si>
    <t>11/11/2021</t>
  </si>
  <si>
    <t>MFS-98777</t>
  </si>
  <si>
    <t>MFS-94399</t>
  </si>
  <si>
    <t>06/10/2022</t>
  </si>
  <si>
    <t>MFS-97187</t>
  </si>
  <si>
    <t>Rabiu Okafor</t>
  </si>
  <si>
    <t>28/05/2024</t>
  </si>
  <si>
    <t>MFS-94039</t>
  </si>
  <si>
    <t>MFS-23994</t>
  </si>
  <si>
    <t>Ifeoma Haruna</t>
  </si>
  <si>
    <t>MFS-34600</t>
  </si>
  <si>
    <t>Uche Chukwu</t>
  </si>
  <si>
    <t>MFS-94111</t>
  </si>
  <si>
    <t>Yetunde Uba</t>
  </si>
  <si>
    <t>28/08/2020</t>
  </si>
  <si>
    <t>MFS-22690</t>
  </si>
  <si>
    <t>Nana Ihejirika</t>
  </si>
  <si>
    <t>MFS-97878</t>
  </si>
  <si>
    <t>MFS-83851</t>
  </si>
  <si>
    <t>31/08/2022</t>
  </si>
  <si>
    <t>MFS-55865</t>
  </si>
  <si>
    <t>Emeka Oyelaran</t>
  </si>
  <si>
    <t>20/04/2021</t>
  </si>
  <si>
    <t>MFS-31785</t>
  </si>
  <si>
    <t>MFS-45212</t>
  </si>
  <si>
    <t>MFS-87513</t>
  </si>
  <si>
    <t>MFS-98756</t>
  </si>
  <si>
    <t>MFS-69960</t>
  </si>
  <si>
    <t>MFS-79365</t>
  </si>
  <si>
    <t>Adebayo Oyelaran</t>
  </si>
  <si>
    <t>16/11/2020</t>
  </si>
  <si>
    <t>MFS-50877</t>
  </si>
  <si>
    <t>Ebuka Ihejirika</t>
  </si>
  <si>
    <t>MFS-47877</t>
  </si>
  <si>
    <t>MFS-83601</t>
  </si>
  <si>
    <t>MFS-69515</t>
  </si>
  <si>
    <t>06/11/2020</t>
  </si>
  <si>
    <t>MFS-87311</t>
  </si>
  <si>
    <t>Sola Obaseki</t>
  </si>
  <si>
    <t>12/05/2019</t>
  </si>
  <si>
    <t>MFS-92040</t>
  </si>
  <si>
    <t>Bukola Nwachukwu</t>
  </si>
  <si>
    <t>19/04/2021</t>
  </si>
  <si>
    <t>MFS-31324</t>
  </si>
  <si>
    <t>MFS-21398</t>
  </si>
  <si>
    <t>MFS-94216</t>
  </si>
  <si>
    <t>MFS-91342</t>
  </si>
  <si>
    <t>Yakubu Oyelaran</t>
  </si>
  <si>
    <t>MFS-80596</t>
  </si>
  <si>
    <t>07/05/2021</t>
  </si>
  <si>
    <t>MFS-85307</t>
  </si>
  <si>
    <t>MFS-95053</t>
  </si>
  <si>
    <t>MFS-32832</t>
  </si>
  <si>
    <t>04/06/2022</t>
  </si>
  <si>
    <t>MFS-41324</t>
  </si>
  <si>
    <t>18/09/2022</t>
  </si>
  <si>
    <t>MFS-71654</t>
  </si>
  <si>
    <t>Ronke Amadi</t>
  </si>
  <si>
    <t>MFS-64798</t>
  </si>
  <si>
    <t>Nnamdi Obaseki</t>
  </si>
  <si>
    <t>MFS-13242</t>
  </si>
  <si>
    <t>21/01/2019</t>
  </si>
  <si>
    <t>MFS-51229</t>
  </si>
  <si>
    <t>27/02/2021</t>
  </si>
  <si>
    <t>MFS-78363</t>
  </si>
  <si>
    <t>Lanre Musa</t>
  </si>
  <si>
    <t>MFS-56106</t>
  </si>
  <si>
    <t>MFS-64017</t>
  </si>
  <si>
    <t>Oghenekaro Adeyemi</t>
  </si>
  <si>
    <t>22/11/2022</t>
  </si>
  <si>
    <t>MFS-62780</t>
  </si>
  <si>
    <t>MFS-36769</t>
  </si>
  <si>
    <t>MFS-96945</t>
  </si>
  <si>
    <t>11/01/2021</t>
  </si>
  <si>
    <t>MFS-48604</t>
  </si>
  <si>
    <t>Oluwaseun Fagbemi</t>
  </si>
  <si>
    <t>MFS-27353</t>
  </si>
  <si>
    <t>Uloma Obi</t>
  </si>
  <si>
    <t>MFS-12813</t>
  </si>
  <si>
    <t>Tobi Adewale</t>
  </si>
  <si>
    <t>21/09/2020</t>
  </si>
  <si>
    <t>MFS-23944</t>
  </si>
  <si>
    <t>Chinedu Buhari</t>
  </si>
  <si>
    <t>MFS-57244</t>
  </si>
  <si>
    <t>MFS-91248</t>
  </si>
  <si>
    <t>Dele Yakubu</t>
  </si>
  <si>
    <t>MFS-41949</t>
  </si>
  <si>
    <t>Shade Obaseki</t>
  </si>
  <si>
    <t>24/10/2021</t>
  </si>
  <si>
    <t>MFS-80975</t>
  </si>
  <si>
    <t>MFS-50484</t>
  </si>
  <si>
    <t>06/04/2021</t>
  </si>
  <si>
    <t>MFS-97718</t>
  </si>
  <si>
    <t>Chukwudi Shehu</t>
  </si>
  <si>
    <t>MFS-30700</t>
  </si>
  <si>
    <t>MFS-32764</t>
  </si>
  <si>
    <t>MFS-66602</t>
  </si>
  <si>
    <t>Dele Haruna</t>
  </si>
  <si>
    <t>MFS-61053</t>
  </si>
  <si>
    <t>MFS-70007</t>
  </si>
  <si>
    <t>Maryam Okeke</t>
  </si>
  <si>
    <t>MFS-66557</t>
  </si>
  <si>
    <t>Nneka Eze</t>
  </si>
  <si>
    <t>04/10/2021</t>
  </si>
  <si>
    <t>MFS-80486</t>
  </si>
  <si>
    <t>24/07/2020</t>
  </si>
  <si>
    <t>MFS-20053</t>
  </si>
  <si>
    <t>Ibrahim Ogbonna</t>
  </si>
  <si>
    <t>MFS-87328</t>
  </si>
  <si>
    <t>27/09/2021</t>
  </si>
  <si>
    <t>MFS-45359</t>
  </si>
  <si>
    <t>MFS-75296</t>
  </si>
  <si>
    <t>Nana Abdullahi</t>
  </si>
  <si>
    <t>17/06/2022</t>
  </si>
  <si>
    <t>MFS-76254</t>
  </si>
  <si>
    <t>MFS-83076</t>
  </si>
  <si>
    <t>Ibrahim Nnamdi</t>
  </si>
  <si>
    <t>MFS-35516</t>
  </si>
  <si>
    <t>MFS-14562</t>
  </si>
  <si>
    <t>MFS-90786</t>
  </si>
  <si>
    <t>10/02/2023</t>
  </si>
  <si>
    <t>MFS-79607</t>
  </si>
  <si>
    <t>MFS-77611</t>
  </si>
  <si>
    <t>24/12/2020</t>
  </si>
  <si>
    <t>MFS-72056</t>
  </si>
  <si>
    <t>MFS-98300</t>
  </si>
  <si>
    <t>Nasiru Nnamdi</t>
  </si>
  <si>
    <t>02/04/2024</t>
  </si>
  <si>
    <t>MFS-54231</t>
  </si>
  <si>
    <t>MFS-57214</t>
  </si>
  <si>
    <t>MFS-27184</t>
  </si>
  <si>
    <t>MFS-66678</t>
  </si>
  <si>
    <t>Adebayo Okonkwo</t>
  </si>
  <si>
    <t>MFS-34458</t>
  </si>
  <si>
    <t>Yakubu Chukwu</t>
  </si>
  <si>
    <t>MFS-56720</t>
  </si>
  <si>
    <t>MFS-28463</t>
  </si>
  <si>
    <t>20/11/2024</t>
  </si>
  <si>
    <t>MFS-42305</t>
  </si>
  <si>
    <t>Ronke Garba</t>
  </si>
  <si>
    <t>03/05/2021</t>
  </si>
  <si>
    <t>MFS-18427</t>
  </si>
  <si>
    <t>03/01/2024</t>
  </si>
  <si>
    <t>MFS-11861</t>
  </si>
  <si>
    <t>Musa Musa</t>
  </si>
  <si>
    <t>MFS-70271</t>
  </si>
  <si>
    <t>Musa Oyelaran</t>
  </si>
  <si>
    <t>MFS-85044</t>
  </si>
  <si>
    <t>17/08/2024</t>
  </si>
  <si>
    <t>MFS-72211</t>
  </si>
  <si>
    <t>Aliyu Buhari</t>
  </si>
  <si>
    <t>MFS-15224</t>
  </si>
  <si>
    <t>Ezinne Afolabi</t>
  </si>
  <si>
    <t>MFS-32768</t>
  </si>
  <si>
    <t>Lola Musa</t>
  </si>
  <si>
    <t>MFS-13021</t>
  </si>
  <si>
    <t>MFS-37314</t>
  </si>
  <si>
    <t>Chinedu Okeke</t>
  </si>
  <si>
    <t>MFS-44987</t>
  </si>
  <si>
    <t>Ngozi Lawal</t>
  </si>
  <si>
    <t>MFS-34266</t>
  </si>
  <si>
    <t>Folake Eze</t>
  </si>
  <si>
    <t>13/07/2022</t>
  </si>
  <si>
    <t>MFS-12733</t>
  </si>
  <si>
    <t>MFS-52910</t>
  </si>
  <si>
    <t>MFS-34047</t>
  </si>
  <si>
    <t>Seun Adebayo</t>
  </si>
  <si>
    <t>19/05/2024</t>
  </si>
  <si>
    <t>MFS-81037</t>
  </si>
  <si>
    <t>Ebuka Ogundipe</t>
  </si>
  <si>
    <t>MFS-74999</t>
  </si>
  <si>
    <t>Ramatu Nnamdi</t>
  </si>
  <si>
    <t>24/01/2021</t>
  </si>
  <si>
    <t>09/03/2022</t>
  </si>
  <si>
    <t>MFS-64639</t>
  </si>
  <si>
    <t>12/02/2020</t>
  </si>
  <si>
    <t>MFS-88462</t>
  </si>
  <si>
    <t>Ugochi Bello</t>
  </si>
  <si>
    <t>17/08/2019</t>
  </si>
  <si>
    <t>MFS-43187</t>
  </si>
  <si>
    <t>Ifeoma Oyelaran</t>
  </si>
  <si>
    <t>13/08/2019</t>
  </si>
  <si>
    <t>MFS-26161</t>
  </si>
  <si>
    <t>21/03/2023</t>
  </si>
  <si>
    <t>MFS-88258</t>
  </si>
  <si>
    <t>Nneka Musa</t>
  </si>
  <si>
    <t>MFS-87826</t>
  </si>
  <si>
    <t>21/01/2020</t>
  </si>
  <si>
    <t>MFS-17412</t>
  </si>
  <si>
    <t>MFS-74178</t>
  </si>
  <si>
    <t>MFS-35546</t>
  </si>
  <si>
    <t>Ezinne Omotayo</t>
  </si>
  <si>
    <t>MFS-65514</t>
  </si>
  <si>
    <t>12/09/2019</t>
  </si>
  <si>
    <t>MFS-81258</t>
  </si>
  <si>
    <t>MFS-62042</t>
  </si>
  <si>
    <t>MFS-30566</t>
  </si>
  <si>
    <t>MFS-81707</t>
  </si>
  <si>
    <t>Nnamdi Ogbonna</t>
  </si>
  <si>
    <t>31/12/2024</t>
  </si>
  <si>
    <t>MFS-98153</t>
  </si>
  <si>
    <t>Chukwuemeka Haruna</t>
  </si>
  <si>
    <t>MFS-23555</t>
  </si>
  <si>
    <t>MFS-57346</t>
  </si>
  <si>
    <t>18/01/2025</t>
  </si>
  <si>
    <t>MFS-48662</t>
  </si>
  <si>
    <t>Obiora Nwachukwu</t>
  </si>
  <si>
    <t>MFS-35662</t>
  </si>
  <si>
    <t>Laraba Onwudiwe</t>
  </si>
  <si>
    <t>MFS-95634</t>
  </si>
  <si>
    <t>MFS-95592</t>
  </si>
  <si>
    <t>MFS-85189</t>
  </si>
  <si>
    <t>Chibuike Fagbemi</t>
  </si>
  <si>
    <t>MFS-98336</t>
  </si>
  <si>
    <t>MFS-81137</t>
  </si>
  <si>
    <t>MFS-67063</t>
  </si>
  <si>
    <t>Chiamaka Afolabi</t>
  </si>
  <si>
    <t>MFS-82349</t>
  </si>
  <si>
    <t>MFS-71950</t>
  </si>
  <si>
    <t>Titi Okonkwo</t>
  </si>
  <si>
    <t>10/01/2023</t>
  </si>
  <si>
    <t>MFS-20701</t>
  </si>
  <si>
    <t>MFS-46604</t>
  </si>
  <si>
    <t>Ikenna Ogbonna</t>
  </si>
  <si>
    <t>MFS-73173</t>
  </si>
  <si>
    <t>MFS-69401</t>
  </si>
  <si>
    <t>Yemi Taiwo</t>
  </si>
  <si>
    <t>18/04/2019</t>
  </si>
  <si>
    <t>MFS-53481</t>
  </si>
  <si>
    <t>12/12/2019</t>
  </si>
  <si>
    <t>MFS-24105</t>
  </si>
  <si>
    <t>MFS-23041</t>
  </si>
  <si>
    <t>MFS-73227</t>
  </si>
  <si>
    <t>Obiora Nnamdi</t>
  </si>
  <si>
    <t>MFS-34917</t>
  </si>
  <si>
    <t>06/04/2020</t>
  </si>
  <si>
    <t>MFS-21701</t>
  </si>
  <si>
    <t>Oghenekaro Shehu</t>
  </si>
  <si>
    <t>MFS-47232</t>
  </si>
  <si>
    <t>Ugochi Fagbemi</t>
  </si>
  <si>
    <t>MFS-91286</t>
  </si>
  <si>
    <t>Amaka Coker</t>
  </si>
  <si>
    <t>09/09/2019</t>
  </si>
  <si>
    <t>MFS-24733</t>
  </si>
  <si>
    <t>Ebuka Okafor</t>
  </si>
  <si>
    <t>MFS-42234</t>
  </si>
  <si>
    <t>Ifeoma Afolabi</t>
  </si>
  <si>
    <t>MFS-65323</t>
  </si>
  <si>
    <t>09/09/2023</t>
  </si>
  <si>
    <t>MFS-51197</t>
  </si>
  <si>
    <t>MFS-21349</t>
  </si>
  <si>
    <t>Shade Aliyu</t>
  </si>
  <si>
    <t>05/01/2023</t>
  </si>
  <si>
    <t>MFS-51838</t>
  </si>
  <si>
    <t>Musa Shehu</t>
  </si>
  <si>
    <t>20/01/2020</t>
  </si>
  <si>
    <t>14/07/2024</t>
  </si>
  <si>
    <t>MFS-59161</t>
  </si>
  <si>
    <t>MFS-63299</t>
  </si>
  <si>
    <t>Hadiza Nnamdi</t>
  </si>
  <si>
    <t>19/09/2023</t>
  </si>
  <si>
    <t>MFS-91915</t>
  </si>
  <si>
    <t>MFS-54222</t>
  </si>
  <si>
    <t>25/12/2022</t>
  </si>
  <si>
    <t>MFS-75171</t>
  </si>
  <si>
    <t>Ikenna Ogundipe</t>
  </si>
  <si>
    <t>MFS-12635</t>
  </si>
  <si>
    <t>Nnamdi Nduka</t>
  </si>
  <si>
    <t>MFS-46479</t>
  </si>
  <si>
    <t>Rabiu Eze</t>
  </si>
  <si>
    <t>MFS-18332</t>
  </si>
  <si>
    <t>Yetunde Adeyemi</t>
  </si>
  <si>
    <t>MFS-23913</t>
  </si>
  <si>
    <t>Uche Musa</t>
  </si>
  <si>
    <t>27/03/2022</t>
  </si>
  <si>
    <t>MFS-18748</t>
  </si>
  <si>
    <t>Damilola Adebayo</t>
  </si>
  <si>
    <t>MFS-75866</t>
  </si>
  <si>
    <t>Lola Nnamdi</t>
  </si>
  <si>
    <t>01/10/2019</t>
  </si>
  <si>
    <t>MFS-41077</t>
  </si>
  <si>
    <t>Ramatu Danladi</t>
  </si>
  <si>
    <t>MFS-87874</t>
  </si>
  <si>
    <t>MFS-62090</t>
  </si>
  <si>
    <t>MFS-35333</t>
  </si>
  <si>
    <t>MFS-32454</t>
  </si>
  <si>
    <t>18/05/2019</t>
  </si>
  <si>
    <t>MFS-57523</t>
  </si>
  <si>
    <t>MFS-83887</t>
  </si>
  <si>
    <t>16/02/2022</t>
  </si>
  <si>
    <t>MFS-71153</t>
  </si>
  <si>
    <t>Adaora Coker</t>
  </si>
  <si>
    <t>MFS-42075</t>
  </si>
  <si>
    <t>MFS-48097</t>
  </si>
  <si>
    <t>18/03/2023</t>
  </si>
  <si>
    <t>MFS-64859</t>
  </si>
  <si>
    <t>28/05/2022</t>
  </si>
  <si>
    <t>MFS-54651</t>
  </si>
  <si>
    <t>MFS-33039</t>
  </si>
  <si>
    <t>26/12/2021</t>
  </si>
  <si>
    <t>MFS-45357</t>
  </si>
  <si>
    <t>29/01/2022</t>
  </si>
  <si>
    <t>MFS-19280</t>
  </si>
  <si>
    <t>Nana Amadi</t>
  </si>
  <si>
    <t>11/12/2021</t>
  </si>
  <si>
    <t>MFS-59201</t>
  </si>
  <si>
    <t>MFS-25002</t>
  </si>
  <si>
    <t>16/05/2020</t>
  </si>
  <si>
    <t>MFS-53526</t>
  </si>
  <si>
    <t>MFS-91189</t>
  </si>
  <si>
    <t>MFS-69279</t>
  </si>
  <si>
    <t>MFS-18878</t>
  </si>
  <si>
    <t>MFS-62609</t>
  </si>
  <si>
    <t>MFS-90449</t>
  </si>
  <si>
    <t>Damilola Okafor</t>
  </si>
  <si>
    <t>MFS-25580</t>
  </si>
  <si>
    <t>Eze Adeyemi</t>
  </si>
  <si>
    <t>MFS-30876</t>
  </si>
  <si>
    <t>Gbenga Afolabi</t>
  </si>
  <si>
    <t>MFS-66828</t>
  </si>
  <si>
    <t>Chukwuemeka Eze</t>
  </si>
  <si>
    <t>25/12/2021</t>
  </si>
  <si>
    <t>MFS-74092</t>
  </si>
  <si>
    <t>Kabiru Abdullahi</t>
  </si>
  <si>
    <t>MFS-38341</t>
  </si>
  <si>
    <t>MFS-63248</t>
  </si>
  <si>
    <t>Ronke Nwosu</t>
  </si>
  <si>
    <t>MFS-87144</t>
  </si>
  <si>
    <t>MFS-42501</t>
  </si>
  <si>
    <t>MFS-70889</t>
  </si>
  <si>
    <t>Usman Onwudiwe</t>
  </si>
  <si>
    <t>MFS-40718</t>
  </si>
  <si>
    <t>MFS-52577</t>
  </si>
  <si>
    <t>Maryam Okafor</t>
  </si>
  <si>
    <t>MFS-42094</t>
  </si>
  <si>
    <t>Aisha Onwudiwe</t>
  </si>
  <si>
    <t>MFS-43906</t>
  </si>
  <si>
    <t>Femi Okonkwo</t>
  </si>
  <si>
    <t>MFS-14529</t>
  </si>
  <si>
    <t>11/08/2020</t>
  </si>
  <si>
    <t>MFS-86380</t>
  </si>
  <si>
    <t>Lanre Lawal</t>
  </si>
  <si>
    <t>18/03/2021</t>
  </si>
  <si>
    <t>MFS-57145</t>
  </si>
  <si>
    <t>MFS-21953</t>
  </si>
  <si>
    <t>MFS-54505</t>
  </si>
  <si>
    <t>MFS-58580</t>
  </si>
  <si>
    <t>MFS-15798</t>
  </si>
  <si>
    <t>MFS-89393</t>
  </si>
  <si>
    <t>17/12/2019</t>
  </si>
  <si>
    <t>MFS-45093</t>
  </si>
  <si>
    <t>MFS-68520</t>
  </si>
  <si>
    <t>Ifeanyi Nduka</t>
  </si>
  <si>
    <t>31/10/2019</t>
  </si>
  <si>
    <t>12/11/2024</t>
  </si>
  <si>
    <t>MFS-35787</t>
  </si>
  <si>
    <t>Ronke Omotayo</t>
  </si>
  <si>
    <t>17/06/2020</t>
  </si>
  <si>
    <t>MFS-62077</t>
  </si>
  <si>
    <t>Bukola Eze</t>
  </si>
  <si>
    <t>MFS-73899</t>
  </si>
  <si>
    <t>Tobi Uba</t>
  </si>
  <si>
    <t>MFS-15741</t>
  </si>
  <si>
    <t>Bilkisu Ihejirika</t>
  </si>
  <si>
    <t>MFS-39968</t>
  </si>
  <si>
    <t>MFS-47734</t>
  </si>
  <si>
    <t>Kunle Obaseki</t>
  </si>
  <si>
    <t>10/11/2019</t>
  </si>
  <si>
    <t>MFS-59362</t>
  </si>
  <si>
    <t>MFS-81825</t>
  </si>
  <si>
    <t>25/10/2019</t>
  </si>
  <si>
    <t>MFS-86607</t>
  </si>
  <si>
    <t>Funmilayo Onwudiwe</t>
  </si>
  <si>
    <t>MFS-91148</t>
  </si>
  <si>
    <t>MFS-45053</t>
  </si>
  <si>
    <t>Fatima Okafor</t>
  </si>
  <si>
    <t>MFS-83652</t>
  </si>
  <si>
    <t>MFS-82038</t>
  </si>
  <si>
    <t>Obinna Uba</t>
  </si>
  <si>
    <t>MFS-40872</t>
  </si>
  <si>
    <t>Ogechi Buhari</t>
  </si>
  <si>
    <t>MFS-63188</t>
  </si>
  <si>
    <t>MFS-69956</t>
  </si>
  <si>
    <t>MFS-90003</t>
  </si>
  <si>
    <t>29/03/2024</t>
  </si>
  <si>
    <t>MFS-15725</t>
  </si>
  <si>
    <t>11/12/2023</t>
  </si>
  <si>
    <t>MFS-21243</t>
  </si>
  <si>
    <t>16/10/2022</t>
  </si>
  <si>
    <t>MFS-65180</t>
  </si>
  <si>
    <t>19/07/2021</t>
  </si>
  <si>
    <t>MFS-78247</t>
  </si>
  <si>
    <t>MFS-99037</t>
  </si>
  <si>
    <t>Amaka Afolabi</t>
  </si>
  <si>
    <t>MFS-43266</t>
  </si>
  <si>
    <t>Chinyere Oyelaran</t>
  </si>
  <si>
    <t>09/05/2020</t>
  </si>
  <si>
    <t>MFS-71785</t>
  </si>
  <si>
    <t>21/04/2021</t>
  </si>
  <si>
    <t>MFS-50948</t>
  </si>
  <si>
    <t>MFS-60752</t>
  </si>
  <si>
    <t>MFS-74688</t>
  </si>
  <si>
    <t>MFS-97611</t>
  </si>
  <si>
    <t>19/04/2019</t>
  </si>
  <si>
    <t>MFS-31545</t>
  </si>
  <si>
    <t>MFS-32506</t>
  </si>
  <si>
    <t>Adaora Onwudiwe</t>
  </si>
  <si>
    <t>15/10/2021</t>
  </si>
  <si>
    <t>MFS-74447</t>
  </si>
  <si>
    <t>14/11/2024</t>
  </si>
  <si>
    <t>MFS-92848</t>
  </si>
  <si>
    <t>MFS-90090</t>
  </si>
  <si>
    <t>Lanre Haruna</t>
  </si>
  <si>
    <t>08/11/2021</t>
  </si>
  <si>
    <t>MFS-91738</t>
  </si>
  <si>
    <t>MFS-62200</t>
  </si>
  <si>
    <t>Sola Shehu</t>
  </si>
  <si>
    <t>23/11/2024</t>
  </si>
  <si>
    <t>MFS-65586</t>
  </si>
  <si>
    <t>Ifeoma Adeyemi</t>
  </si>
  <si>
    <t>31/03/2021</t>
  </si>
  <si>
    <t>MFS-48522</t>
  </si>
  <si>
    <t>Suleiman Eze</t>
  </si>
  <si>
    <t>23/07/2024</t>
  </si>
  <si>
    <t>MFS-19198</t>
  </si>
  <si>
    <t>Seun Eze</t>
  </si>
  <si>
    <t>MFS-48457</t>
  </si>
  <si>
    <t>MFS-17270</t>
  </si>
  <si>
    <t>Ronke Adesanya</t>
  </si>
  <si>
    <t>MFS-84475</t>
  </si>
  <si>
    <t>Yemi Coker</t>
  </si>
  <si>
    <t>MFS-17370</t>
  </si>
  <si>
    <t>01/01/2020</t>
  </si>
  <si>
    <t>MFS-99413</t>
  </si>
  <si>
    <t>25/01/2019</t>
  </si>
  <si>
    <t>MFS-17517</t>
  </si>
  <si>
    <t>Biodun Shehu</t>
  </si>
  <si>
    <t>MFS-52090</t>
  </si>
  <si>
    <t>MFS-93858</t>
  </si>
  <si>
    <t>Shade Danladi</t>
  </si>
  <si>
    <t>12/12/2022</t>
  </si>
  <si>
    <t>MFS-43853</t>
  </si>
  <si>
    <t>MFS-26899</t>
  </si>
  <si>
    <t>Zainab Chukwu</t>
  </si>
  <si>
    <t>MFS-28628</t>
  </si>
  <si>
    <t>19/08/2024</t>
  </si>
  <si>
    <t>MFS-62017</t>
  </si>
  <si>
    <t>Oluwaseun Shehu</t>
  </si>
  <si>
    <t>MFS-57628</t>
  </si>
  <si>
    <t>MFS-78674</t>
  </si>
  <si>
    <t>MFS-36572</t>
  </si>
  <si>
    <t>09/07/2020</t>
  </si>
  <si>
    <t>MFS-10750</t>
  </si>
  <si>
    <t>14/08/2020</t>
  </si>
  <si>
    <t>MFS-36682</t>
  </si>
  <si>
    <t>Kabiru Nnamdi</t>
  </si>
  <si>
    <t>MFS-48909</t>
  </si>
  <si>
    <t>MFS-94107</t>
  </si>
  <si>
    <t>Shade Ogbonna</t>
  </si>
  <si>
    <t>MFS-96174</t>
  </si>
  <si>
    <t>15/01/2022</t>
  </si>
  <si>
    <t>MFS-78136</t>
  </si>
  <si>
    <t>MFS-47778</t>
  </si>
  <si>
    <t>Ngozi Adebayo</t>
  </si>
  <si>
    <t>MFS-43879</t>
  </si>
  <si>
    <t>Suleiman Aliyu</t>
  </si>
  <si>
    <t>MFS-87483</t>
  </si>
  <si>
    <t>Yetunde Amadi</t>
  </si>
  <si>
    <t>23/02/2021</t>
  </si>
  <si>
    <t>MFS-45442</t>
  </si>
  <si>
    <t>Chukwuemeka Ihejirika</t>
  </si>
  <si>
    <t>26/03/2019</t>
  </si>
  <si>
    <t>MFS-83198</t>
  </si>
  <si>
    <t>Tunde Danladi</t>
  </si>
  <si>
    <t>MFS-65235</t>
  </si>
  <si>
    <t>26/01/2022</t>
  </si>
  <si>
    <t>08/10/2024</t>
  </si>
  <si>
    <t>MFS-58891</t>
  </si>
  <si>
    <t>MFS-42097</t>
  </si>
  <si>
    <t>MFS-28447</t>
  </si>
  <si>
    <t>Chidi Yakubu</t>
  </si>
  <si>
    <t>15/12/2021</t>
  </si>
  <si>
    <t>MFS-98999</t>
  </si>
  <si>
    <t>MFS-59185</t>
  </si>
  <si>
    <t>Laraba Nwosu</t>
  </si>
  <si>
    <t>MFS-82600</t>
  </si>
  <si>
    <t>Chiamaka Obi</t>
  </si>
  <si>
    <t>14/08/2021</t>
  </si>
  <si>
    <t>MFS-31116</t>
  </si>
  <si>
    <t>Ikenna Adesanya</t>
  </si>
  <si>
    <t>11/06/2022</t>
  </si>
  <si>
    <t>MFS-42503</t>
  </si>
  <si>
    <t>Biodun Adeyemi</t>
  </si>
  <si>
    <t>02/08/2023</t>
  </si>
  <si>
    <t>MFS-14455</t>
  </si>
  <si>
    <t>Lola Coker</t>
  </si>
  <si>
    <t>MFS-89783</t>
  </si>
  <si>
    <t>10/01/2024</t>
  </si>
  <si>
    <t>MFS-92545</t>
  </si>
  <si>
    <t>Nasiru Coker</t>
  </si>
  <si>
    <t>MFS-66973</t>
  </si>
  <si>
    <t>MFS-10875</t>
  </si>
  <si>
    <t>MFS-20247</t>
  </si>
  <si>
    <t>21/10/2019</t>
  </si>
  <si>
    <t>MFS-46101</t>
  </si>
  <si>
    <t>MFS-13215</t>
  </si>
  <si>
    <t>Fatima Bello</t>
  </si>
  <si>
    <t>MFS-96748</t>
  </si>
  <si>
    <t>MFS-29988</t>
  </si>
  <si>
    <t>MFS-86997</t>
  </si>
  <si>
    <t>Ramatu Haruna</t>
  </si>
  <si>
    <t>MFS-97136</t>
  </si>
  <si>
    <t>MFS-49418</t>
  </si>
  <si>
    <t>26/01/2023</t>
  </si>
  <si>
    <t>MFS-29795</t>
  </si>
  <si>
    <t>Jummai Omotayo</t>
  </si>
  <si>
    <t>04/11/2023</t>
  </si>
  <si>
    <t>09/02/2025</t>
  </si>
  <si>
    <t>MFS-38320</t>
  </si>
  <si>
    <t>Chioma Taiwo</t>
  </si>
  <si>
    <t>MFS-74039</t>
  </si>
  <si>
    <t>MFS-75009</t>
  </si>
  <si>
    <t>Danladi Ogundipe</t>
  </si>
  <si>
    <t>MFS-49686</t>
  </si>
  <si>
    <t>Musa Buhari</t>
  </si>
  <si>
    <t>12/05/2023</t>
  </si>
  <si>
    <t>25/05/2024</t>
  </si>
  <si>
    <t>MFS-86312</t>
  </si>
  <si>
    <t>MFS-70452</t>
  </si>
  <si>
    <t>MFS-84984</t>
  </si>
  <si>
    <t>Chinedu Ogbonna</t>
  </si>
  <si>
    <t>22/06/2020</t>
  </si>
  <si>
    <t>MFS-48754</t>
  </si>
  <si>
    <t>MFS-46666</t>
  </si>
  <si>
    <t>Chukwudi Abdullahi</t>
  </si>
  <si>
    <t>MFS-56260</t>
  </si>
  <si>
    <t>Chibuike Onwudiwe</t>
  </si>
  <si>
    <t>MFS-55950</t>
  </si>
  <si>
    <t>MFS-74454</t>
  </si>
  <si>
    <t>MFS-95330</t>
  </si>
  <si>
    <t>MFS-83362</t>
  </si>
  <si>
    <t>Chioma Ogundipe</t>
  </si>
  <si>
    <t>MFS-42254</t>
  </si>
  <si>
    <t>MFS-67414</t>
  </si>
  <si>
    <t>Bello Okonkwo</t>
  </si>
  <si>
    <t>20/05/2019</t>
  </si>
  <si>
    <t>MFS-17746</t>
  </si>
  <si>
    <t>Chibuike Garba</t>
  </si>
  <si>
    <t>MFS-66261</t>
  </si>
  <si>
    <t>29/03/2025</t>
  </si>
  <si>
    <t>MFS-38568</t>
  </si>
  <si>
    <t>Bilkisu Yakubu</t>
  </si>
  <si>
    <t>05/09/2020</t>
  </si>
  <si>
    <t>MFS-92344</t>
  </si>
  <si>
    <t>Usman Nwosu</t>
  </si>
  <si>
    <t>MFS-88976</t>
  </si>
  <si>
    <t>MFS-40464</t>
  </si>
  <si>
    <t>11/03/2021</t>
  </si>
  <si>
    <t>MFS-23685</t>
  </si>
  <si>
    <t>Shade Adesanya</t>
  </si>
  <si>
    <t>MFS-75647</t>
  </si>
  <si>
    <t>Chiamaka Garba</t>
  </si>
  <si>
    <t>04/01/2022</t>
  </si>
  <si>
    <t>MFS-78068</t>
  </si>
  <si>
    <t>Damilola Oyelaran</t>
  </si>
  <si>
    <t>13/01/2025</t>
  </si>
  <si>
    <t>MFS-85429</t>
  </si>
  <si>
    <t>Eze Amadi</t>
  </si>
  <si>
    <t>MFS-46002</t>
  </si>
  <si>
    <t>MFS-46608</t>
  </si>
  <si>
    <t>Uloma Musa</t>
  </si>
  <si>
    <t>09/01/2023</t>
  </si>
  <si>
    <t>09/07/2024</t>
  </si>
  <si>
    <t>MFS-57376</t>
  </si>
  <si>
    <t>MFS-37136</t>
  </si>
  <si>
    <t>18/05/2020</t>
  </si>
  <si>
    <t>MFS-73011</t>
  </si>
  <si>
    <t>MFS-50051</t>
  </si>
  <si>
    <t>MFS-35518</t>
  </si>
  <si>
    <t>MFS-85531</t>
  </si>
  <si>
    <t>MFS-80169</t>
  </si>
  <si>
    <t>Chiamaka Adewale</t>
  </si>
  <si>
    <t>MFS-12182</t>
  </si>
  <si>
    <t>Kunle Adewale</t>
  </si>
  <si>
    <t>MFS-85464</t>
  </si>
  <si>
    <t>Chukwuemeka Okeke</t>
  </si>
  <si>
    <t>15/03/2025</t>
  </si>
  <si>
    <t>MFS-24916</t>
  </si>
  <si>
    <t>MFS-85395</t>
  </si>
  <si>
    <t>MFS-81810</t>
  </si>
  <si>
    <t>MFS-94993</t>
  </si>
  <si>
    <t>MFS-43154</t>
  </si>
  <si>
    <t>Kunle Adebayo</t>
  </si>
  <si>
    <t>02/04/2023</t>
  </si>
  <si>
    <t>MFS-48111</t>
  </si>
  <si>
    <t>MFS-41546</t>
  </si>
  <si>
    <t>Aliyu Okafor</t>
  </si>
  <si>
    <t>MFS-74314</t>
  </si>
  <si>
    <t>06/07/2022</t>
  </si>
  <si>
    <t>MFS-91776</t>
  </si>
  <si>
    <t>Chidi Bello</t>
  </si>
  <si>
    <t>28/09/2019</t>
  </si>
  <si>
    <t>MFS-28595</t>
  </si>
  <si>
    <t>MFS-75517</t>
  </si>
  <si>
    <t>Lola Adewale</t>
  </si>
  <si>
    <t>13/11/2023</t>
  </si>
  <si>
    <t>MFS-59828</t>
  </si>
  <si>
    <t>05/11/2021</t>
  </si>
  <si>
    <t>MFS-19317</t>
  </si>
  <si>
    <t>05/01/2021</t>
  </si>
  <si>
    <t>MFS-38695</t>
  </si>
  <si>
    <t>Rotimi Garba</t>
  </si>
  <si>
    <t>22/10/2024</t>
  </si>
  <si>
    <t>MFS-92067</t>
  </si>
  <si>
    <t>MFS-63856</t>
  </si>
  <si>
    <t>21/03/2019</t>
  </si>
  <si>
    <t>MFS-39976</t>
  </si>
  <si>
    <t>26/04/2021</t>
  </si>
  <si>
    <t>MFS-52880</t>
  </si>
  <si>
    <t>Musa Chukwu</t>
  </si>
  <si>
    <t>MFS-78269</t>
  </si>
  <si>
    <t>MFS-99487</t>
  </si>
  <si>
    <t>Bello Coker</t>
  </si>
  <si>
    <t>MFS-76902</t>
  </si>
  <si>
    <t>MFS-83872</t>
  </si>
  <si>
    <t>Usman Okafor</t>
  </si>
  <si>
    <t>MFS-31765</t>
  </si>
  <si>
    <t>Jummai Okafor</t>
  </si>
  <si>
    <t>MFS-15510</t>
  </si>
  <si>
    <t>MFS-26036</t>
  </si>
  <si>
    <t>MFS-82036</t>
  </si>
  <si>
    <t>01/05/2020</t>
  </si>
  <si>
    <t>MFS-27001</t>
  </si>
  <si>
    <t>Uche Obaseki</t>
  </si>
  <si>
    <t>MFS-85121</t>
  </si>
  <si>
    <t>08/04/2023</t>
  </si>
  <si>
    <t>MFS-35299</t>
  </si>
  <si>
    <t>17/10/2024</t>
  </si>
  <si>
    <t>MFS-43611</t>
  </si>
  <si>
    <t>Bukola Musa</t>
  </si>
  <si>
    <t>15/12/2020</t>
  </si>
  <si>
    <t>MFS-11784</t>
  </si>
  <si>
    <t>MFS-52206</t>
  </si>
  <si>
    <t>MFS-81791</t>
  </si>
  <si>
    <t>MFS-57486</t>
  </si>
  <si>
    <t>MFS-25191</t>
  </si>
  <si>
    <t>MFS-51152</t>
  </si>
  <si>
    <t>Haruna Bello</t>
  </si>
  <si>
    <t>11/09/2021</t>
  </si>
  <si>
    <t>MFS-96997</t>
  </si>
  <si>
    <t>Funmilayo Adesanya</t>
  </si>
  <si>
    <t>18/07/2021</t>
  </si>
  <si>
    <t>MFS-90944</t>
  </si>
  <si>
    <t>Abubakar Musa</t>
  </si>
  <si>
    <t>MFS-15318</t>
  </si>
  <si>
    <t>Chidi Okafor</t>
  </si>
  <si>
    <t>10/08/2020</t>
  </si>
  <si>
    <t>MFS-22782</t>
  </si>
  <si>
    <t>MFS-78987</t>
  </si>
  <si>
    <t>MFS-48712</t>
  </si>
  <si>
    <t>MFS-40083</t>
  </si>
  <si>
    <t>MFS-35499</t>
  </si>
  <si>
    <t>Dele Buhari</t>
  </si>
  <si>
    <t>MFS-16476</t>
  </si>
  <si>
    <t>Yemi Obaseki</t>
  </si>
  <si>
    <t>05/01/2019</t>
  </si>
  <si>
    <t>MFS-86680</t>
  </si>
  <si>
    <t>MFS-28212</t>
  </si>
  <si>
    <t>Nana Coker</t>
  </si>
  <si>
    <t>MFS-85681</t>
  </si>
  <si>
    <t>Tosin Yakubu</t>
  </si>
  <si>
    <t>07/07/2023</t>
  </si>
  <si>
    <t>MFS-36667</t>
  </si>
  <si>
    <t>MFS-54383</t>
  </si>
  <si>
    <t>MFS-75841</t>
  </si>
  <si>
    <t>Chioma Obi</t>
  </si>
  <si>
    <t>MFS-22339</t>
  </si>
  <si>
    <t>MFS-79355</t>
  </si>
  <si>
    <t>MFS-42778</t>
  </si>
  <si>
    <t>MFS-74525</t>
  </si>
  <si>
    <t>Chukwudi Adeyemi</t>
  </si>
  <si>
    <t>MFS-68857</t>
  </si>
  <si>
    <t>Shade Afolabi</t>
  </si>
  <si>
    <t>MFS-89922</t>
  </si>
  <si>
    <t>Seun Yakubu</t>
  </si>
  <si>
    <t>MFS-93864</t>
  </si>
  <si>
    <t>MFS-46862</t>
  </si>
  <si>
    <t>07/08/2020</t>
  </si>
  <si>
    <t>MFS-77391</t>
  </si>
  <si>
    <t>MFS-98580</t>
  </si>
  <si>
    <t>Amaka Nwachukwu</t>
  </si>
  <si>
    <t>MFS-44669</t>
  </si>
  <si>
    <t>Uche Nduka</t>
  </si>
  <si>
    <t>08/11/2020</t>
  </si>
  <si>
    <t>MFS-72636</t>
  </si>
  <si>
    <t>Nneka Buhari</t>
  </si>
  <si>
    <t>MFS-13046</t>
  </si>
  <si>
    <t>MFS-86519</t>
  </si>
  <si>
    <t>MFS-63964</t>
  </si>
  <si>
    <t>MFS-41752</t>
  </si>
  <si>
    <t>Wale Chukwu</t>
  </si>
  <si>
    <t>MFS-54848</t>
  </si>
  <si>
    <t>MFS-87552</t>
  </si>
  <si>
    <t>Femi Nwachukwu</t>
  </si>
  <si>
    <t>MFS-82015</t>
  </si>
  <si>
    <t>MFS-34060</t>
  </si>
  <si>
    <t>26/06/2020</t>
  </si>
  <si>
    <t>MFS-41293</t>
  </si>
  <si>
    <t>Adaeze Okeke</t>
  </si>
  <si>
    <t>MFS-56942</t>
  </si>
  <si>
    <t>Yakubu Okafor</t>
  </si>
  <si>
    <t>MFS-33114</t>
  </si>
  <si>
    <t>Hadiza Omotayo</t>
  </si>
  <si>
    <t>20/05/2020</t>
  </si>
  <si>
    <t>MFS-18308</t>
  </si>
  <si>
    <t>Hafsat Adebayo</t>
  </si>
  <si>
    <t>MFS-67210</t>
  </si>
  <si>
    <t>MFS-67799</t>
  </si>
  <si>
    <t>Hauwa Oyelaran</t>
  </si>
  <si>
    <t>03/05/2020</t>
  </si>
  <si>
    <t>MFS-85555</t>
  </si>
  <si>
    <t>MFS-81187</t>
  </si>
  <si>
    <t>MFS-18472</t>
  </si>
  <si>
    <t>MFS-88928</t>
  </si>
  <si>
    <t>14/12/2023</t>
  </si>
  <si>
    <t>MFS-49677</t>
  </si>
  <si>
    <t>Titi Chukwu</t>
  </si>
  <si>
    <t>MFS-51904</t>
  </si>
  <si>
    <t>12/08/2021</t>
  </si>
  <si>
    <t>20/03/2022</t>
  </si>
  <si>
    <t>MFS-37153</t>
  </si>
  <si>
    <t>19/09/2024</t>
  </si>
  <si>
    <t>MFS-90871</t>
  </si>
  <si>
    <t>18/08/2023</t>
  </si>
  <si>
    <t>MFS-90699</t>
  </si>
  <si>
    <t>17/01/2020</t>
  </si>
  <si>
    <t>MFS-63941</t>
  </si>
  <si>
    <t>Nasiru Taiwo</t>
  </si>
  <si>
    <t>25/01/2020</t>
  </si>
  <si>
    <t>MFS-70702</t>
  </si>
  <si>
    <t>Aisha Bello</t>
  </si>
  <si>
    <t>07/03/2019</t>
  </si>
  <si>
    <t>MFS-59822</t>
  </si>
  <si>
    <t>Fatima Nnamdi</t>
  </si>
  <si>
    <t>MFS-15109</t>
  </si>
  <si>
    <t>Ronke Fagbemi</t>
  </si>
  <si>
    <t>MFS-72545</t>
  </si>
  <si>
    <t>Dele Oyelaran</t>
  </si>
  <si>
    <t>08/03/2021</t>
  </si>
  <si>
    <t>MFS-38850</t>
  </si>
  <si>
    <t>MFS-23725</t>
  </si>
  <si>
    <t>Adaeze Adewale</t>
  </si>
  <si>
    <t>19/03/2023</t>
  </si>
  <si>
    <t>MFS-60791</t>
  </si>
  <si>
    <t>Rukayya Ogundipe</t>
  </si>
  <si>
    <t>MFS-86764</t>
  </si>
  <si>
    <t>MFS-42846</t>
  </si>
  <si>
    <t>Tosin Danladi</t>
  </si>
  <si>
    <t>MFS-83290</t>
  </si>
  <si>
    <t>Chioma Afolabi</t>
  </si>
  <si>
    <t>MFS-51371</t>
  </si>
  <si>
    <t>Tobi Ihejirika</t>
  </si>
  <si>
    <t>17/07/2024</t>
  </si>
  <si>
    <t>MFS-31005</t>
  </si>
  <si>
    <t>Lanre Coker</t>
  </si>
  <si>
    <t>15/06/2019</t>
  </si>
  <si>
    <t>MFS-94825</t>
  </si>
  <si>
    <t>Ibrahim Suleiman</t>
  </si>
  <si>
    <t>25/09/2020</t>
  </si>
  <si>
    <t>MFS-72259</t>
  </si>
  <si>
    <t>Babatunde Eze</t>
  </si>
  <si>
    <t>MFS-33897</t>
  </si>
  <si>
    <t>19/11/2019</t>
  </si>
  <si>
    <t>MFS-99230</t>
  </si>
  <si>
    <t>Tosin Chukwu</t>
  </si>
  <si>
    <t>MFS-48737</t>
  </si>
  <si>
    <t>04/04/2019</t>
  </si>
  <si>
    <t>MFS-16648</t>
  </si>
  <si>
    <t>MFS-56410</t>
  </si>
  <si>
    <t>Chinedu Lawal</t>
  </si>
  <si>
    <t>MFS-17213</t>
  </si>
  <si>
    <t>MFS-59981</t>
  </si>
  <si>
    <t>21/06/2021</t>
  </si>
  <si>
    <t>MFS-58605</t>
  </si>
  <si>
    <t>14/04/2024</t>
  </si>
  <si>
    <t>MFS-73426</t>
  </si>
  <si>
    <t>Tobi Okonkwo</t>
  </si>
  <si>
    <t>MFS-13574</t>
  </si>
  <si>
    <t>29/12/2020</t>
  </si>
  <si>
    <t>MFS-12287</t>
  </si>
  <si>
    <t>MFS-42319</t>
  </si>
  <si>
    <t>MFS-92777</t>
  </si>
  <si>
    <t>MFS-29915</t>
  </si>
  <si>
    <t>18/01/2024</t>
  </si>
  <si>
    <t>MFS-56240</t>
  </si>
  <si>
    <t>Nnamdi Garba</t>
  </si>
  <si>
    <t>MFS-78757</t>
  </si>
  <si>
    <t>MFS-64557</t>
  </si>
  <si>
    <t>18/08/2019</t>
  </si>
  <si>
    <t>MFS-98130</t>
  </si>
  <si>
    <t>Ikenna Obaseki</t>
  </si>
  <si>
    <t>16/06/2023</t>
  </si>
  <si>
    <t>MFS-27118</t>
  </si>
  <si>
    <t>MFS-50315</t>
  </si>
  <si>
    <t>MFS-84855</t>
  </si>
  <si>
    <t>Asabe Adewale</t>
  </si>
  <si>
    <t>MFS-61374</t>
  </si>
  <si>
    <t>Oghenekaro Nwosu</t>
  </si>
  <si>
    <t>28/01/2025</t>
  </si>
  <si>
    <t>MFS-52026</t>
  </si>
  <si>
    <t>MFS-74639</t>
  </si>
  <si>
    <t>MFS-65625</t>
  </si>
  <si>
    <t>MFS-72123</t>
  </si>
  <si>
    <t>Nkechi Taiwo</t>
  </si>
  <si>
    <t>MFS-69009</t>
  </si>
  <si>
    <t>91,000.0</t>
  </si>
  <si>
    <t>MFS-40059</t>
  </si>
  <si>
    <t>Babatunde Shehu</t>
  </si>
  <si>
    <t>MFS-61435</t>
  </si>
  <si>
    <t>Chioma Shehu</t>
  </si>
  <si>
    <t>MFS-52253</t>
  </si>
  <si>
    <t>Aisha Ogundipe</t>
  </si>
  <si>
    <t>26/04/2020</t>
  </si>
  <si>
    <t>MFS-12540</t>
  </si>
  <si>
    <t>Tobi Chukwu</t>
  </si>
  <si>
    <t>MFS-10648</t>
  </si>
  <si>
    <t>Chinedu Aliyu</t>
  </si>
  <si>
    <t>MFS-34181</t>
  </si>
  <si>
    <t>MFS-51872</t>
  </si>
  <si>
    <t>08/01/2019</t>
  </si>
  <si>
    <t>MFS-82334</t>
  </si>
  <si>
    <t>Oluwaseun Ogbonna</t>
  </si>
  <si>
    <t>MFS-33713</t>
  </si>
  <si>
    <t>Nnamdi Onwudiwe</t>
  </si>
  <si>
    <t>MFS-57174</t>
  </si>
  <si>
    <t>MFS-13054</t>
  </si>
  <si>
    <t>MFS-64019</t>
  </si>
  <si>
    <t>Haruna Nwosu</t>
  </si>
  <si>
    <t>MFS-18648</t>
  </si>
  <si>
    <t>20/04/2020</t>
  </si>
  <si>
    <t>MFS-80882</t>
  </si>
  <si>
    <t>MFS-39269</t>
  </si>
  <si>
    <t>Funmilayo Aliyu</t>
  </si>
  <si>
    <t>MFS-70528</t>
  </si>
  <si>
    <t>28/05/2023</t>
  </si>
  <si>
    <t>MFS-93886</t>
  </si>
  <si>
    <t>Chinwe Obaseki</t>
  </si>
  <si>
    <t>MFS-42547</t>
  </si>
  <si>
    <t>MFS-33995</t>
  </si>
  <si>
    <t>Ifeoma Fagbemi</t>
  </si>
  <si>
    <t>MFS-18117</t>
  </si>
  <si>
    <t>Obiora Omotayo</t>
  </si>
  <si>
    <t>MFS-78843</t>
  </si>
  <si>
    <t>28/04/2024</t>
  </si>
  <si>
    <t>MFS-94735</t>
  </si>
  <si>
    <t>MFS-70228</t>
  </si>
  <si>
    <t>MFS-68953</t>
  </si>
  <si>
    <t>13/01/2022</t>
  </si>
  <si>
    <t>MFS-99692</t>
  </si>
  <si>
    <t>13/10/2020</t>
  </si>
  <si>
    <t>MFS-87217</t>
  </si>
  <si>
    <t>MFS-54531</t>
  </si>
  <si>
    <t>Oluwaseun Eze</t>
  </si>
  <si>
    <t>27/01/2022</t>
  </si>
  <si>
    <t>MFS-98408</t>
  </si>
  <si>
    <t>Uche Omotayo</t>
  </si>
  <si>
    <t>04/03/2023</t>
  </si>
  <si>
    <t>MFS-44123</t>
  </si>
  <si>
    <t>MFS-50577</t>
  </si>
  <si>
    <t>Funmilayo Eze</t>
  </si>
  <si>
    <t>696,000.0</t>
  </si>
  <si>
    <t>MFS-98356</t>
  </si>
  <si>
    <t>Abubakar Ogbonna</t>
  </si>
  <si>
    <t>MFS-50762</t>
  </si>
  <si>
    <t>MFS-53292</t>
  </si>
  <si>
    <t>Rabiu Ogbonna</t>
  </si>
  <si>
    <t>MFS-32915</t>
  </si>
  <si>
    <t>MFS-89969</t>
  </si>
  <si>
    <t>MFS-22199</t>
  </si>
  <si>
    <t>MFS-39170</t>
  </si>
  <si>
    <t>Fatima Onwudiwe</t>
  </si>
  <si>
    <t>MFS-70911</t>
  </si>
  <si>
    <t>30/12/2019</t>
  </si>
  <si>
    <t>MFS-60309</t>
  </si>
  <si>
    <t>Obiora Shehu</t>
  </si>
  <si>
    <t>MFS-26806</t>
  </si>
  <si>
    <t>Usman Shehu</t>
  </si>
  <si>
    <t>MFS-41005</t>
  </si>
  <si>
    <t>MFS-39150</t>
  </si>
  <si>
    <t>22/05/2024</t>
  </si>
  <si>
    <t>MFS-89320</t>
  </si>
  <si>
    <t>MFS-14078</t>
  </si>
  <si>
    <t>02/02/2025</t>
  </si>
  <si>
    <t>MFS-97826</t>
  </si>
  <si>
    <t>MFS-65310</t>
  </si>
  <si>
    <t>MFS-26268</t>
  </si>
  <si>
    <t>Laraba Uba</t>
  </si>
  <si>
    <t>26/12/2023</t>
  </si>
  <si>
    <t>MFS-63483</t>
  </si>
  <si>
    <t>Eze Uba</t>
  </si>
  <si>
    <t>02/05/2024</t>
  </si>
  <si>
    <t>MFS-86729</t>
  </si>
  <si>
    <t>MFS-20855</t>
  </si>
  <si>
    <t>Bimpe Chukwu</t>
  </si>
  <si>
    <t>02/02/2020</t>
  </si>
  <si>
    <t>MFS-89593</t>
  </si>
  <si>
    <t>MFS-25262</t>
  </si>
  <si>
    <t>Aisha Okafor</t>
  </si>
  <si>
    <t>MFS-22225</t>
  </si>
  <si>
    <t>07/10/2022</t>
  </si>
  <si>
    <t>MFS-50290</t>
  </si>
  <si>
    <t>MFS-95676</t>
  </si>
  <si>
    <t>MFS-14159</t>
  </si>
  <si>
    <t>MFS-31544</t>
  </si>
  <si>
    <t>Rotimi Okafor</t>
  </si>
  <si>
    <t>MFS-52620</t>
  </si>
  <si>
    <t>Chukwudi Nwosu</t>
  </si>
  <si>
    <t>MFS-38204</t>
  </si>
  <si>
    <t>MFS-46789</t>
  </si>
  <si>
    <t>MFS-52947</t>
  </si>
  <si>
    <t>MFS-12416</t>
  </si>
  <si>
    <t>Yemi Lawal</t>
  </si>
  <si>
    <t>11/07/2020</t>
  </si>
  <si>
    <t>MFS-72345</t>
  </si>
  <si>
    <t>16/05/2022</t>
  </si>
  <si>
    <t>MFS-15902</t>
  </si>
  <si>
    <t>Kemi Nduka</t>
  </si>
  <si>
    <t>MFS-15707</t>
  </si>
  <si>
    <t>Kunle Buhari</t>
  </si>
  <si>
    <t>MFS-56076</t>
  </si>
  <si>
    <t>Bello Aliyu</t>
  </si>
  <si>
    <t>31/10/2021</t>
  </si>
  <si>
    <t>MFS-19091</t>
  </si>
  <si>
    <t>Wale Suleiman</t>
  </si>
  <si>
    <t>26/10/2019</t>
  </si>
  <si>
    <t>30/08/2020</t>
  </si>
  <si>
    <t>MFS-28608</t>
  </si>
  <si>
    <t>Laraba Adesanya</t>
  </si>
  <si>
    <t>MFS-84163</t>
  </si>
  <si>
    <t>Rotimi Adebayo</t>
  </si>
  <si>
    <t>MFS-94351</t>
  </si>
  <si>
    <t>Ebuka Uba</t>
  </si>
  <si>
    <t>MFS-77700</t>
  </si>
  <si>
    <t>Musa Ihejirika</t>
  </si>
  <si>
    <t>MFS-36344</t>
  </si>
  <si>
    <t>Jummai Buhari</t>
  </si>
  <si>
    <t>15/04/2024</t>
  </si>
  <si>
    <t>MFS-51688</t>
  </si>
  <si>
    <t>MFS-84860</t>
  </si>
  <si>
    <t>MFS-13581</t>
  </si>
  <si>
    <t>MFS-90906</t>
  </si>
  <si>
    <t>Ngozi Fagbemi</t>
  </si>
  <si>
    <t>MFS-84899</t>
  </si>
  <si>
    <t>10/02/2020</t>
  </si>
  <si>
    <t>MFS-28830</t>
  </si>
  <si>
    <t>MFS-91631</t>
  </si>
  <si>
    <t>MFS-57107</t>
  </si>
  <si>
    <t>MFS-31214</t>
  </si>
  <si>
    <t>MFS-96432</t>
  </si>
  <si>
    <t>Obiora Taiwo</t>
  </si>
  <si>
    <t>MFS-72878</t>
  </si>
  <si>
    <t>22/11/2021</t>
  </si>
  <si>
    <t>MFS-77178</t>
  </si>
  <si>
    <t>MFS-92784</t>
  </si>
  <si>
    <t>MFS-52000</t>
  </si>
  <si>
    <t>Jummai Abdullahi</t>
  </si>
  <si>
    <t>MFS-34149</t>
  </si>
  <si>
    <t>Asabe Okafor</t>
  </si>
  <si>
    <t>MFS-58281</t>
  </si>
  <si>
    <t>Oghenekaro Suleiman</t>
  </si>
  <si>
    <t>MFS-90542</t>
  </si>
  <si>
    <t>10/03/2023</t>
  </si>
  <si>
    <t>MFS-41366</t>
  </si>
  <si>
    <t>16/02/2021</t>
  </si>
  <si>
    <t>MFS-68759</t>
  </si>
  <si>
    <t>MFS-75382</t>
  </si>
  <si>
    <t>Zainab Suleiman</t>
  </si>
  <si>
    <t>MFS-83705</t>
  </si>
  <si>
    <t>Rabiu Nnamdi</t>
  </si>
  <si>
    <t>MFS-54448</t>
  </si>
  <si>
    <t>07/07/2020</t>
  </si>
  <si>
    <t>29/10/2021</t>
  </si>
  <si>
    <t>MFS-14130</t>
  </si>
  <si>
    <t>MFS-32930</t>
  </si>
  <si>
    <t>Hafsat Amadi</t>
  </si>
  <si>
    <t>MFS-69597</t>
  </si>
  <si>
    <t>MFS-61038</t>
  </si>
  <si>
    <t>27/12/2021</t>
  </si>
  <si>
    <t>MFS-84068</t>
  </si>
  <si>
    <t>03/06/2019</t>
  </si>
  <si>
    <t>MFS-97723</t>
  </si>
  <si>
    <t>22/11/2023</t>
  </si>
  <si>
    <t>MFS-44177</t>
  </si>
  <si>
    <t>Oluwaseun Nnamdi</t>
  </si>
  <si>
    <t>MFS-88008</t>
  </si>
  <si>
    <t>12/07/2021</t>
  </si>
  <si>
    <t>05/03/2023</t>
  </si>
  <si>
    <t>MFS-82463</t>
  </si>
  <si>
    <t>Amaka Lawal</t>
  </si>
  <si>
    <t>17/08/2021</t>
  </si>
  <si>
    <t>MFS-54150</t>
  </si>
  <si>
    <t>MFS-54355</t>
  </si>
  <si>
    <t>10/09/2022</t>
  </si>
  <si>
    <t>MFS-88993</t>
  </si>
  <si>
    <t>Chinwe Danladi</t>
  </si>
  <si>
    <t>MFS-91075</t>
  </si>
  <si>
    <t>Shehu Ihejirika</t>
  </si>
  <si>
    <t>22/08/2021</t>
  </si>
  <si>
    <t>MFS-42814</t>
  </si>
  <si>
    <t>MFS-52208</t>
  </si>
  <si>
    <t>MFS-50593</t>
  </si>
  <si>
    <t>Zainab Buhari</t>
  </si>
  <si>
    <t>09/04/2023</t>
  </si>
  <si>
    <t>MFS-15753</t>
  </si>
  <si>
    <t>MFS-14243</t>
  </si>
  <si>
    <t>Abubakar Adesanya</t>
  </si>
  <si>
    <t>MFS-92779</t>
  </si>
  <si>
    <t>Amaka Haruna</t>
  </si>
  <si>
    <t>12/07/2024</t>
  </si>
  <si>
    <t>MFS-12126</t>
  </si>
  <si>
    <t>MFS-75949</t>
  </si>
  <si>
    <t>Ogechi Uba</t>
  </si>
  <si>
    <t>MFS-52778</t>
  </si>
  <si>
    <t>MFS-37084</t>
  </si>
  <si>
    <t>Seun Nduka</t>
  </si>
  <si>
    <t>MFS-71735</t>
  </si>
  <si>
    <t>MFS-66859</t>
  </si>
  <si>
    <t>01/03/2022</t>
  </si>
  <si>
    <t>22/08/2024</t>
  </si>
  <si>
    <t>MFS-29385</t>
  </si>
  <si>
    <t>Biodun Okonkwo</t>
  </si>
  <si>
    <t>MFS-94566</t>
  </si>
  <si>
    <t>Tobi Lawal</t>
  </si>
  <si>
    <t>MFS-54521</t>
  </si>
  <si>
    <t>Bilkisu Afolabi</t>
  </si>
  <si>
    <t>MFS-18527</t>
  </si>
  <si>
    <t>Gbenga Abdullahi</t>
  </si>
  <si>
    <t>MFS-72956</t>
  </si>
  <si>
    <t>Yetunde Oyelaran</t>
  </si>
  <si>
    <t>MFS-50568</t>
  </si>
  <si>
    <t>Laraba Musa</t>
  </si>
  <si>
    <t>01/03/2021</t>
  </si>
  <si>
    <t>MFS-55786</t>
  </si>
  <si>
    <t>Chibuike Amadi</t>
  </si>
  <si>
    <t>30/05/2022</t>
  </si>
  <si>
    <t>MFS-89964</t>
  </si>
  <si>
    <t>Oluwaseun Lawal</t>
  </si>
  <si>
    <t>MFS-87060</t>
  </si>
  <si>
    <t>MFS-32022</t>
  </si>
  <si>
    <t>MFS-30926</t>
  </si>
  <si>
    <t>MFS-85820</t>
  </si>
  <si>
    <t>MFS-37860</t>
  </si>
  <si>
    <t>Chinyere Uba</t>
  </si>
  <si>
    <t>10/12/2021</t>
  </si>
  <si>
    <t>MFS-15210</t>
  </si>
  <si>
    <t>MFS-34275</t>
  </si>
  <si>
    <t>18/10/2023</t>
  </si>
  <si>
    <t>MFS-67264</t>
  </si>
  <si>
    <t>Hafsat Uba</t>
  </si>
  <si>
    <t>22/08/2022</t>
  </si>
  <si>
    <t>MFS-31984</t>
  </si>
  <si>
    <t>Yemi Chukwu</t>
  </si>
  <si>
    <t>MFS-65939</t>
  </si>
  <si>
    <t>Femi Coker</t>
  </si>
  <si>
    <t>MFS-17680</t>
  </si>
  <si>
    <t>16/06/2019</t>
  </si>
  <si>
    <t>MFS-48777</t>
  </si>
  <si>
    <t>Bello Ihejirika</t>
  </si>
  <si>
    <t>MFS-87857</t>
  </si>
  <si>
    <t>07/09/2023</t>
  </si>
  <si>
    <t>MFS-45198</t>
  </si>
  <si>
    <t>Chiamaka Lawal</t>
  </si>
  <si>
    <t>MFS-33616</t>
  </si>
  <si>
    <t>11/06/2024</t>
  </si>
  <si>
    <t>MFS-51293</t>
  </si>
  <si>
    <t>Rukayya Garba</t>
  </si>
  <si>
    <t>MFS-77576</t>
  </si>
  <si>
    <t>Kunle Ogbonna</t>
  </si>
  <si>
    <t>09/06/2020</t>
  </si>
  <si>
    <t>MFS-24851</t>
  </si>
  <si>
    <t>MFS-93775</t>
  </si>
  <si>
    <t>Adeola Oyelaran</t>
  </si>
  <si>
    <t>MFS-49305</t>
  </si>
  <si>
    <t>MFS-59085</t>
  </si>
  <si>
    <t>MFS-85060</t>
  </si>
  <si>
    <t>MFS-61514</t>
  </si>
  <si>
    <t>MFS-23135</t>
  </si>
  <si>
    <t>Jummai Suleiman</t>
  </si>
  <si>
    <t>MFS-85598</t>
  </si>
  <si>
    <t>Adeola Garba</t>
  </si>
  <si>
    <t>12/04/2020</t>
  </si>
  <si>
    <t>MFS-11069</t>
  </si>
  <si>
    <t>24/10/2020</t>
  </si>
  <si>
    <t>MFS-67971</t>
  </si>
  <si>
    <t>Shade Suleiman</t>
  </si>
  <si>
    <t>MFS-35803</t>
  </si>
  <si>
    <t>MFS-56818</t>
  </si>
  <si>
    <t>10/05/2020</t>
  </si>
  <si>
    <t>MFS-72343</t>
  </si>
  <si>
    <t>20/11/2022</t>
  </si>
  <si>
    <t>MFS-32840</t>
  </si>
  <si>
    <t>MFS-89891</t>
  </si>
  <si>
    <t>Shehu Chukwu</t>
  </si>
  <si>
    <t>MFS-35660</t>
  </si>
  <si>
    <t>Obinna Haruna</t>
  </si>
  <si>
    <t>MFS-25815</t>
  </si>
  <si>
    <t>Ronke Ogbonna</t>
  </si>
  <si>
    <t>MFS-30390</t>
  </si>
  <si>
    <t>Chidi Nduka</t>
  </si>
  <si>
    <t>21/01/2025</t>
  </si>
  <si>
    <t>MFS-73068</t>
  </si>
  <si>
    <t>Tobi Adesanya</t>
  </si>
  <si>
    <t>MFS-73882</t>
  </si>
  <si>
    <t>MFS-17822</t>
  </si>
  <si>
    <t>MFS-87576</t>
  </si>
  <si>
    <t>Chidi Abdullahi</t>
  </si>
  <si>
    <t>MFS-68065</t>
  </si>
  <si>
    <t>MFS-70563</t>
  </si>
  <si>
    <t>Lola Nwachukwu</t>
  </si>
  <si>
    <t>MFS-64876</t>
  </si>
  <si>
    <t>MFS-51007</t>
  </si>
  <si>
    <t>MFS-84624</t>
  </si>
  <si>
    <t>MFS-87709</t>
  </si>
  <si>
    <t>Suleiman Garba</t>
  </si>
  <si>
    <t>10/04/2021</t>
  </si>
  <si>
    <t>MFS-66068</t>
  </si>
  <si>
    <t>Nnamdi Okafor</t>
  </si>
  <si>
    <t>MFS-35391</t>
  </si>
  <si>
    <t>MFS-51524</t>
  </si>
  <si>
    <t>Femi Okeke</t>
  </si>
  <si>
    <t>MFS-53778</t>
  </si>
  <si>
    <t>Yemi Garba</t>
  </si>
  <si>
    <t>MFS-46943</t>
  </si>
  <si>
    <t>MFS-89901</t>
  </si>
  <si>
    <t>24/04/2020</t>
  </si>
  <si>
    <t>MFS-27051</t>
  </si>
  <si>
    <t>21/08/2023</t>
  </si>
  <si>
    <t>MFS-28679</t>
  </si>
  <si>
    <t>15/05/2022</t>
  </si>
  <si>
    <t>MFS-37745</t>
  </si>
  <si>
    <t>Ikenna Musa</t>
  </si>
  <si>
    <t>MFS-36589</t>
  </si>
  <si>
    <t>Ronke Suleiman</t>
  </si>
  <si>
    <t>26/07/2022</t>
  </si>
  <si>
    <t>MFS-12718</t>
  </si>
  <si>
    <t>MFS-25036</t>
  </si>
  <si>
    <t>Amaka Uba</t>
  </si>
  <si>
    <t>MFS-65587</t>
  </si>
  <si>
    <t>Bimpe Nwosu</t>
  </si>
  <si>
    <t>MFS-87244</t>
  </si>
  <si>
    <t>MFS-35254</t>
  </si>
  <si>
    <t>Ogechi Adewale</t>
  </si>
  <si>
    <t>MFS-64154</t>
  </si>
  <si>
    <t>Fatima Suleiman</t>
  </si>
  <si>
    <t>MFS-88629</t>
  </si>
  <si>
    <t>MFS-68349</t>
  </si>
  <si>
    <t>Ikenna Shehu</t>
  </si>
  <si>
    <t>MFS-79045</t>
  </si>
  <si>
    <t>Kabiru Musa</t>
  </si>
  <si>
    <t>MFS-87754</t>
  </si>
  <si>
    <t>Yetunde Nwachukwu</t>
  </si>
  <si>
    <t>25/01/2025</t>
  </si>
  <si>
    <t>MFS-88781</t>
  </si>
  <si>
    <t>Ibrahim Okeke</t>
  </si>
  <si>
    <t>MFS-63810</t>
  </si>
  <si>
    <t>Gbenga Chukwu</t>
  </si>
  <si>
    <t>16/09/2024</t>
  </si>
  <si>
    <t>MFS-70916</t>
  </si>
  <si>
    <t>Titi Obi</t>
  </si>
  <si>
    <t>MFS-76575</t>
  </si>
  <si>
    <t>Hafsat Okonkwo</t>
  </si>
  <si>
    <t>08/12/2022</t>
  </si>
  <si>
    <t>MFS-90426</t>
  </si>
  <si>
    <t>Tunde Amadi</t>
  </si>
  <si>
    <t>MFS-77035</t>
  </si>
  <si>
    <t>Laraba Ogbonna</t>
  </si>
  <si>
    <t>MFS-31960</t>
  </si>
  <si>
    <t>MFS-17687</t>
  </si>
  <si>
    <t>Ikenna Adebayo</t>
  </si>
  <si>
    <t>13/05/2022</t>
  </si>
  <si>
    <t>MFS-96390</t>
  </si>
  <si>
    <t>MFS-96540</t>
  </si>
  <si>
    <t>MFS-76014</t>
  </si>
  <si>
    <t>MFS-98701</t>
  </si>
  <si>
    <t>Uche Bello</t>
  </si>
  <si>
    <t>MFS-70941</t>
  </si>
  <si>
    <t>Danladi Nnamdi</t>
  </si>
  <si>
    <t>MFS-23931</t>
  </si>
  <si>
    <t>Kabiru Okeke</t>
  </si>
  <si>
    <t>MFS-47824</t>
  </si>
  <si>
    <t>Chinwe Nwachukwu</t>
  </si>
  <si>
    <t>MFS-13002</t>
  </si>
  <si>
    <t>MFS-73681</t>
  </si>
  <si>
    <t>MFS-19971</t>
  </si>
  <si>
    <t>MFS-28896</t>
  </si>
  <si>
    <t>MFS-49095</t>
  </si>
  <si>
    <t>Ifeoma Abdullahi</t>
  </si>
  <si>
    <t>MFS-65785</t>
  </si>
  <si>
    <t>Funmilayo Ogbonna</t>
  </si>
  <si>
    <t>MFS-40637</t>
  </si>
  <si>
    <t>MFS-93789</t>
  </si>
  <si>
    <t>MFS-42028</t>
  </si>
  <si>
    <t>MFS-51549</t>
  </si>
  <si>
    <t>21/02/2019</t>
  </si>
  <si>
    <t>MFS-53998</t>
  </si>
  <si>
    <t>03/08/2022</t>
  </si>
  <si>
    <t>MFS-78610</t>
  </si>
  <si>
    <t>Ogechi Ihejirika</t>
  </si>
  <si>
    <t>15/11/2019</t>
  </si>
  <si>
    <t>MFS-39863</t>
  </si>
  <si>
    <t>30/10/2022</t>
  </si>
  <si>
    <t>09/12/2024</t>
  </si>
  <si>
    <t>MFS-46659</t>
  </si>
  <si>
    <t>MFS-11573</t>
  </si>
  <si>
    <t>MFS-73871</t>
  </si>
  <si>
    <t>Falmata Nwachukwu</t>
  </si>
  <si>
    <t>MFS-48326</t>
  </si>
  <si>
    <t>Nkechi Uba</t>
  </si>
  <si>
    <t>MFS-39539</t>
  </si>
  <si>
    <t>10/10/2019</t>
  </si>
  <si>
    <t>MFS-17458</t>
  </si>
  <si>
    <t>MFS-86582</t>
  </si>
  <si>
    <t>MFS-88817</t>
  </si>
  <si>
    <t>Ibrahim Garba</t>
  </si>
  <si>
    <t>MFS-69929</t>
  </si>
  <si>
    <t>MFS-78349</t>
  </si>
  <si>
    <t>Kabiru Obaseki</t>
  </si>
  <si>
    <t>MFS-41224</t>
  </si>
  <si>
    <t>Chibuike Coker</t>
  </si>
  <si>
    <t>MFS-26654</t>
  </si>
  <si>
    <t>19/05/2022</t>
  </si>
  <si>
    <t>18/03/2024</t>
  </si>
  <si>
    <t>MFS-78113</t>
  </si>
  <si>
    <t>07/05/2022</t>
  </si>
  <si>
    <t>MFS-58502</t>
  </si>
  <si>
    <t>06/01/2021</t>
  </si>
  <si>
    <t>MFS-53538</t>
  </si>
  <si>
    <t>Maryam Nwachukwu</t>
  </si>
  <si>
    <t>MFS-46497</t>
  </si>
  <si>
    <t>11/08/2022</t>
  </si>
  <si>
    <t>MFS-63095</t>
  </si>
  <si>
    <t>05/01/2020</t>
  </si>
  <si>
    <t>MFS-34032</t>
  </si>
  <si>
    <t>MFS-89318</t>
  </si>
  <si>
    <t>MFS-15108</t>
  </si>
  <si>
    <t>Danladi Adebayo</t>
  </si>
  <si>
    <t>24/02/2024</t>
  </si>
  <si>
    <t>MFS-24191</t>
  </si>
  <si>
    <t>Ifeoma Danladi</t>
  </si>
  <si>
    <t>22/02/2023</t>
  </si>
  <si>
    <t>MFS-23824</t>
  </si>
  <si>
    <t>Obinna Adesanya</t>
  </si>
  <si>
    <t>05/10/2022</t>
  </si>
  <si>
    <t>08/03/2024</t>
  </si>
  <si>
    <t>MFS-24279</t>
  </si>
  <si>
    <t>Tobi Obaseki</t>
  </si>
  <si>
    <t>MFS-55700</t>
  </si>
  <si>
    <t>Ramatu Nduka</t>
  </si>
  <si>
    <t>MFS-27763</t>
  </si>
  <si>
    <t>MFS-68370</t>
  </si>
  <si>
    <t>04/10/2019</t>
  </si>
  <si>
    <t>MFS-16973</t>
  </si>
  <si>
    <t>Oghenekaro Okonkwo</t>
  </si>
  <si>
    <t>MFS-85514</t>
  </si>
  <si>
    <t>07/06/2023</t>
  </si>
  <si>
    <t>MFS-58099</t>
  </si>
  <si>
    <t>MFS-31411</t>
  </si>
  <si>
    <t>14/05/2023</t>
  </si>
  <si>
    <t>MFS-33015</t>
  </si>
  <si>
    <t>Oluwaseun Okafor</t>
  </si>
  <si>
    <t>MFS-79115</t>
  </si>
  <si>
    <t>Usman Coker</t>
  </si>
  <si>
    <t>08/01/2024</t>
  </si>
  <si>
    <t>MFS-44606</t>
  </si>
  <si>
    <t>MFS-17113</t>
  </si>
  <si>
    <t>MFS-71924</t>
  </si>
  <si>
    <t>Zainab Adewale</t>
  </si>
  <si>
    <t>MFS-81673</t>
  </si>
  <si>
    <t>MFS-97817</t>
  </si>
  <si>
    <t>MFS-38698</t>
  </si>
  <si>
    <t>Chinwe Amadi</t>
  </si>
  <si>
    <t>11/07/2024</t>
  </si>
  <si>
    <t>MFS-83748</t>
  </si>
  <si>
    <t>MFS-92953</t>
  </si>
  <si>
    <t>MFS-17920</t>
  </si>
  <si>
    <t>Obinna Oyelaran</t>
  </si>
  <si>
    <t>MFS-71631</t>
  </si>
  <si>
    <t>MFS-27675</t>
  </si>
  <si>
    <t>MFS-41632</t>
  </si>
  <si>
    <t>Tosin Musa</t>
  </si>
  <si>
    <t>MFS-45830</t>
  </si>
  <si>
    <t>Garba Adeyemi</t>
  </si>
  <si>
    <t>MFS-67631</t>
  </si>
  <si>
    <t>MFS-88138</t>
  </si>
  <si>
    <t>Oluwaseun Coker</t>
  </si>
  <si>
    <t>MFS-83024</t>
  </si>
  <si>
    <t>07/10/2024</t>
  </si>
  <si>
    <t>MFS-62319</t>
  </si>
  <si>
    <t>MFS-14263</t>
  </si>
  <si>
    <t>Falmata Garba</t>
  </si>
  <si>
    <t>27/08/2024</t>
  </si>
  <si>
    <t>MFS-35203</t>
  </si>
  <si>
    <t>Ugochi Suleiman</t>
  </si>
  <si>
    <t>16/10/2023</t>
  </si>
  <si>
    <t>MFS-69134</t>
  </si>
  <si>
    <t>MFS-92110</t>
  </si>
  <si>
    <t>Ibrahim Ogundipe</t>
  </si>
  <si>
    <t>12/07/2023</t>
  </si>
  <si>
    <t>MFS-84331</t>
  </si>
  <si>
    <t>MFS-76723</t>
  </si>
  <si>
    <t>Garba Danladi</t>
  </si>
  <si>
    <t>MFS-83218</t>
  </si>
  <si>
    <t>20/03/2024</t>
  </si>
  <si>
    <t>MFS-94784</t>
  </si>
  <si>
    <t>18/05/2023</t>
  </si>
  <si>
    <t>MFS-57280</t>
  </si>
  <si>
    <t>Chidi Ihejirika</t>
  </si>
  <si>
    <t>16/09/2020</t>
  </si>
  <si>
    <t>MFS-74513</t>
  </si>
  <si>
    <t>Kabiru Ogundipe</t>
  </si>
  <si>
    <t>19/10/2021</t>
  </si>
  <si>
    <t>MFS-71220</t>
  </si>
  <si>
    <t>Adaeze Musa</t>
  </si>
  <si>
    <t>MFS-80998</t>
  </si>
  <si>
    <t>MFS-57752</t>
  </si>
  <si>
    <t>31/07/2019</t>
  </si>
  <si>
    <t>MFS-96422</t>
  </si>
  <si>
    <t>Obiora Ogundipe</t>
  </si>
  <si>
    <t>MFS-90272</t>
  </si>
  <si>
    <t>MFS-99805</t>
  </si>
  <si>
    <t>Sola Okeke</t>
  </si>
  <si>
    <t>MFS-58983</t>
  </si>
  <si>
    <t>MFS-97977</t>
  </si>
  <si>
    <t>Adeola Fagbemi</t>
  </si>
  <si>
    <t>MFS-19141</t>
  </si>
  <si>
    <t>MFS-38215</t>
  </si>
  <si>
    <t>MFS-75054</t>
  </si>
  <si>
    <t>Abubakar Okeke</t>
  </si>
  <si>
    <t>MFS-57560</t>
  </si>
  <si>
    <t>Nneka Adewale</t>
  </si>
  <si>
    <t>MFS-60475</t>
  </si>
  <si>
    <t>04/04/2021</t>
  </si>
  <si>
    <t>MFS-74036</t>
  </si>
  <si>
    <t>Shehu Nwosu</t>
  </si>
  <si>
    <t>MFS-99891</t>
  </si>
  <si>
    <t>MFS-66421</t>
  </si>
  <si>
    <t>Damilola Nduka</t>
  </si>
  <si>
    <t>MFS-24010</t>
  </si>
  <si>
    <t>MFS-50975</t>
  </si>
  <si>
    <t>MFS-73139</t>
  </si>
  <si>
    <t>MFS-97155</t>
  </si>
  <si>
    <t>MFS-37740</t>
  </si>
  <si>
    <t>Danladi Danladi</t>
  </si>
  <si>
    <t>MFS-67124</t>
  </si>
  <si>
    <t>Nnamdi Uba</t>
  </si>
  <si>
    <t>MFS-42278</t>
  </si>
  <si>
    <t>MFS-11820</t>
  </si>
  <si>
    <t>Ezinne Obi</t>
  </si>
  <si>
    <t>MFS-41938</t>
  </si>
  <si>
    <t>MFS-34424</t>
  </si>
  <si>
    <t>MFS-48098</t>
  </si>
  <si>
    <t>Wale Uba</t>
  </si>
  <si>
    <t>MFS-44083</t>
  </si>
  <si>
    <t>Jummai Haruna</t>
  </si>
  <si>
    <t>MFS-17848</t>
  </si>
  <si>
    <t>MFS-26630</t>
  </si>
  <si>
    <t>Lanre Onwudiwe</t>
  </si>
  <si>
    <t>MFS-91105</t>
  </si>
  <si>
    <t>25/06/2019</t>
  </si>
  <si>
    <t>25/08/2024</t>
  </si>
  <si>
    <t>MFS-47403</t>
  </si>
  <si>
    <t>Bukola Okonkwo</t>
  </si>
  <si>
    <t>MFS-12253</t>
  </si>
  <si>
    <t>MFS-21578</t>
  </si>
  <si>
    <t>Oluwaseun Nwosu</t>
  </si>
  <si>
    <t>16/06/2020</t>
  </si>
  <si>
    <t>MFS-33453</t>
  </si>
  <si>
    <t>26/05/2022</t>
  </si>
  <si>
    <t>MFS-99526</t>
  </si>
  <si>
    <t>Hafsat Nwachukwu</t>
  </si>
  <si>
    <t>MFS-37944</t>
  </si>
  <si>
    <t>27/11/2020</t>
  </si>
  <si>
    <t>MFS-34119</t>
  </si>
  <si>
    <t>Ugochi Musa</t>
  </si>
  <si>
    <t>MFS-48764</t>
  </si>
  <si>
    <t>MFS-41976</t>
  </si>
  <si>
    <t>Funmilayo Okeke</t>
  </si>
  <si>
    <t>MFS-56545</t>
  </si>
  <si>
    <t>MFS-75097</t>
  </si>
  <si>
    <t>06/11/2021</t>
  </si>
  <si>
    <t>MFS-30139</t>
  </si>
  <si>
    <t>MFS-42258</t>
  </si>
  <si>
    <t>Shade Ogundipe</t>
  </si>
  <si>
    <t>05/05/2021</t>
  </si>
  <si>
    <t>MFS-49662</t>
  </si>
  <si>
    <t>Bilkisu Ogbonna</t>
  </si>
  <si>
    <t>04/06/2021</t>
  </si>
  <si>
    <t>MFS-29464</t>
  </si>
  <si>
    <t>Ugochi Uba</t>
  </si>
  <si>
    <t>MFS-78738</t>
  </si>
  <si>
    <t>Funmilayo Suleiman</t>
  </si>
  <si>
    <t>MFS-86124</t>
  </si>
  <si>
    <t>Tosin Oyelaran</t>
  </si>
  <si>
    <t>MFS-26867</t>
  </si>
  <si>
    <t>Suleiman Ogundipe</t>
  </si>
  <si>
    <t>MFS-76347</t>
  </si>
  <si>
    <t>Bello Eze</t>
  </si>
  <si>
    <t>02/02/2024</t>
  </si>
  <si>
    <t>MFS-54127</t>
  </si>
  <si>
    <t>MFS-40388</t>
  </si>
  <si>
    <t>MFS-19573</t>
  </si>
  <si>
    <t>24/01/2019</t>
  </si>
  <si>
    <t>MFS-85403</t>
  </si>
  <si>
    <t>Rukayya Obi</t>
  </si>
  <si>
    <t>MFS-57344</t>
  </si>
  <si>
    <t>MFS-80817</t>
  </si>
  <si>
    <t>Jummai Aliyu</t>
  </si>
  <si>
    <t>02/06/2020</t>
  </si>
  <si>
    <t>MFS-27695</t>
  </si>
  <si>
    <t>MFS-69930</t>
  </si>
  <si>
    <t>Funmilayo Musa</t>
  </si>
  <si>
    <t>20/02/2021</t>
  </si>
  <si>
    <t>MFS-87015</t>
  </si>
  <si>
    <t>09/08/2019</t>
  </si>
  <si>
    <t>MFS-71694</t>
  </si>
  <si>
    <t>Tosin Eze</t>
  </si>
  <si>
    <t>MFS-63097</t>
  </si>
  <si>
    <t>MFS-72414</t>
  </si>
  <si>
    <t>MFS-91609</t>
  </si>
  <si>
    <t>MFS-32283</t>
  </si>
  <si>
    <t>Adaora Okafor</t>
  </si>
  <si>
    <t>MFS-44600</t>
  </si>
  <si>
    <t>MFS-95020</t>
  </si>
  <si>
    <t>MFS-98534</t>
  </si>
  <si>
    <t>MFS-22731</t>
  </si>
  <si>
    <t>MFS-98566</t>
  </si>
  <si>
    <t>Chinedu Nduka</t>
  </si>
  <si>
    <t>MFS-67610</t>
  </si>
  <si>
    <t>MFS-63580</t>
  </si>
  <si>
    <t>Obinna Taiwo</t>
  </si>
  <si>
    <t>MFS-36828</t>
  </si>
  <si>
    <t>31/12/2023</t>
  </si>
  <si>
    <t>MFS-42936</t>
  </si>
  <si>
    <t>MFS-61949</t>
  </si>
  <si>
    <t>MFS-34022</t>
  </si>
  <si>
    <t>Wale Musa</t>
  </si>
  <si>
    <t>08/04/2019</t>
  </si>
  <si>
    <t>MFS-10167</t>
  </si>
  <si>
    <t>Chioma Oyelaran</t>
  </si>
  <si>
    <t>MFS-24638</t>
  </si>
  <si>
    <t>Nasiru Onwudiwe</t>
  </si>
  <si>
    <t>MFS-50906</t>
  </si>
  <si>
    <t>Garba Haruna</t>
  </si>
  <si>
    <t>MFS-90731</t>
  </si>
  <si>
    <t>Ibrahim Coker</t>
  </si>
  <si>
    <t>MFS-73304</t>
  </si>
  <si>
    <t>08/10/2020</t>
  </si>
  <si>
    <t>MFS-37481</t>
  </si>
  <si>
    <t>MFS-78306</t>
  </si>
  <si>
    <t>Hafsat Shehu</t>
  </si>
  <si>
    <t>08/09/2019</t>
  </si>
  <si>
    <t>MFS-79503</t>
  </si>
  <si>
    <t>Ramatu Ihejirika</t>
  </si>
  <si>
    <t>26/11/2024</t>
  </si>
  <si>
    <t>MFS-54614</t>
  </si>
  <si>
    <t>Uche Uba</t>
  </si>
  <si>
    <t>21/07/2020</t>
  </si>
  <si>
    <t>MFS-73346</t>
  </si>
  <si>
    <t>Lola Obi</t>
  </si>
  <si>
    <t>MFS-36516</t>
  </si>
  <si>
    <t>Fatima Yakubu</t>
  </si>
  <si>
    <t>11/01/2024</t>
  </si>
  <si>
    <t>MFS-27169</t>
  </si>
  <si>
    <t>Ifeoma Nduka</t>
  </si>
  <si>
    <t>18/01/2021</t>
  </si>
  <si>
    <t>MFS-33163</t>
  </si>
  <si>
    <t>MFS-76883</t>
  </si>
  <si>
    <t>MFS-85460</t>
  </si>
  <si>
    <t>Laraba Adewale</t>
  </si>
  <si>
    <t>12/07/2019</t>
  </si>
  <si>
    <t>MFS-71876</t>
  </si>
  <si>
    <t>Ebuka Adeyemi</t>
  </si>
  <si>
    <t>MFS-81245</t>
  </si>
  <si>
    <t>Bello Nwosu</t>
  </si>
  <si>
    <t>MFS-65839</t>
  </si>
  <si>
    <t>Asabe Uba</t>
  </si>
  <si>
    <t>MFS-56485</t>
  </si>
  <si>
    <t>MFS-68947</t>
  </si>
  <si>
    <t>MFS-91633</t>
  </si>
  <si>
    <t>Tobi Taiwo</t>
  </si>
  <si>
    <t>MFS-96902</t>
  </si>
  <si>
    <t>MFS-82964</t>
  </si>
  <si>
    <t>Femi Suleiman</t>
  </si>
  <si>
    <t>MFS-95601</t>
  </si>
  <si>
    <t>01/08/2024</t>
  </si>
  <si>
    <t>MFS-50336</t>
  </si>
  <si>
    <t>MFS-58853</t>
  </si>
  <si>
    <t>Danladi Yakubu</t>
  </si>
  <si>
    <t>MFS-25854</t>
  </si>
  <si>
    <t>MFS-67389</t>
  </si>
  <si>
    <t>MFS-40991</t>
  </si>
  <si>
    <t>MFS-11617</t>
  </si>
  <si>
    <t>Chinedu Musa</t>
  </si>
  <si>
    <t>04/01/2021</t>
  </si>
  <si>
    <t>MFS-61332</t>
  </si>
  <si>
    <t>Shade Adeyemi</t>
  </si>
  <si>
    <t>MFS-99589</t>
  </si>
  <si>
    <t>Jummai Onwudiwe</t>
  </si>
  <si>
    <t>MFS-31016</t>
  </si>
  <si>
    <t>Chukwudi Oyelaran</t>
  </si>
  <si>
    <t>MFS-97154</t>
  </si>
  <si>
    <t>05/06/2021</t>
  </si>
  <si>
    <t>MFS-15149</t>
  </si>
  <si>
    <t>MFS-70120</t>
  </si>
  <si>
    <t>01/12/2021</t>
  </si>
  <si>
    <t>MFS-84965</t>
  </si>
  <si>
    <t>23/01/2020</t>
  </si>
  <si>
    <t>MFS-49801</t>
  </si>
  <si>
    <t>29/08/2024</t>
  </si>
  <si>
    <t>MFS-82373</t>
  </si>
  <si>
    <t>MFS-73532</t>
  </si>
  <si>
    <t>Yetunde Fagbemi</t>
  </si>
  <si>
    <t>MFS-38026</t>
  </si>
  <si>
    <t>Ibrahim Shehu</t>
  </si>
  <si>
    <t>MFS-90976</t>
  </si>
  <si>
    <t>05/05/2023</t>
  </si>
  <si>
    <t>MFS-53345</t>
  </si>
  <si>
    <t>Oghenekaro Okafor</t>
  </si>
  <si>
    <t>MFS-38023</t>
  </si>
  <si>
    <t>Emeka Bello</t>
  </si>
  <si>
    <t>29/05/2024</t>
  </si>
  <si>
    <t>MFS-89751</t>
  </si>
  <si>
    <t>MFS-82577</t>
  </si>
  <si>
    <t>MFS-18512</t>
  </si>
  <si>
    <t>MFS-26433</t>
  </si>
  <si>
    <t>15/03/2023</t>
  </si>
  <si>
    <t>MFS-92463</t>
  </si>
  <si>
    <t>MFS-65027</t>
  </si>
  <si>
    <t>MFS-21368</t>
  </si>
  <si>
    <t>02/01/2019</t>
  </si>
  <si>
    <t>MFS-46831</t>
  </si>
  <si>
    <t>04/12/2019</t>
  </si>
  <si>
    <t>MFS-11507</t>
  </si>
  <si>
    <t>29/04/2024</t>
  </si>
  <si>
    <t>MFS-83884</t>
  </si>
  <si>
    <t>Ugochi Chukwu</t>
  </si>
  <si>
    <t>MFS-34015</t>
  </si>
  <si>
    <t>Zainab Adebayo</t>
  </si>
  <si>
    <t>MFS-71476</t>
  </si>
  <si>
    <t>Nkechi Chukwu</t>
  </si>
  <si>
    <t>23/04/2023</t>
  </si>
  <si>
    <t>MFS-25269</t>
  </si>
  <si>
    <t>Asabe Onwudiwe</t>
  </si>
  <si>
    <t>MFS-13457</t>
  </si>
  <si>
    <t>Yemi Nwosu</t>
  </si>
  <si>
    <t>MFS-15687</t>
  </si>
  <si>
    <t>Asabe Oyelaran</t>
  </si>
  <si>
    <t>07/07/2019</t>
  </si>
  <si>
    <t>MFS-52183</t>
  </si>
  <si>
    <t>Maryam Adesanya</t>
  </si>
  <si>
    <t>MFS-14943</t>
  </si>
  <si>
    <t>Nkechi Ogundipe</t>
  </si>
  <si>
    <t>MFS-91842</t>
  </si>
  <si>
    <t>MFS-91045</t>
  </si>
  <si>
    <t>14/09/2021</t>
  </si>
  <si>
    <t>MFS-91194</t>
  </si>
  <si>
    <t>Ugochi Nwachukwu</t>
  </si>
  <si>
    <t>MFS-11301</t>
  </si>
  <si>
    <t>Amaka Okonkwo</t>
  </si>
  <si>
    <t>05/11/2019</t>
  </si>
  <si>
    <t>MFS-32668</t>
  </si>
  <si>
    <t>MFS-36805</t>
  </si>
  <si>
    <t>MFS-79756</t>
  </si>
  <si>
    <t>Chukwudi Danladi</t>
  </si>
  <si>
    <t>MFS-21162</t>
  </si>
  <si>
    <t>Yemi Adeyemi</t>
  </si>
  <si>
    <t>08/02/2023</t>
  </si>
  <si>
    <t>MFS-24147</t>
  </si>
  <si>
    <t>20/12/2023</t>
  </si>
  <si>
    <t>MFS-22109</t>
  </si>
  <si>
    <t>MFS-47249</t>
  </si>
  <si>
    <t>MFS-29007</t>
  </si>
  <si>
    <t>MFS-43031</t>
  </si>
  <si>
    <t>Seun Shehu</t>
  </si>
  <si>
    <t>MFS-73201</t>
  </si>
  <si>
    <t>18/05/2024</t>
  </si>
  <si>
    <t>MFS-24963</t>
  </si>
  <si>
    <t>Babatunde Obaseki</t>
  </si>
  <si>
    <t>MFS-60243</t>
  </si>
  <si>
    <t>Abubakar Uba</t>
  </si>
  <si>
    <t>MFS-24239</t>
  </si>
  <si>
    <t>Nasiru Haruna</t>
  </si>
  <si>
    <t>MFS-98304</t>
  </si>
  <si>
    <t>Nana Lawal</t>
  </si>
  <si>
    <t>MFS-43301</t>
  </si>
  <si>
    <t>Bimpe Nwachukwu</t>
  </si>
  <si>
    <t>06/09/2023</t>
  </si>
  <si>
    <t>MFS-12399</t>
  </si>
  <si>
    <t>MFS-33716</t>
  </si>
  <si>
    <t>MFS-35289</t>
  </si>
  <si>
    <t>Zainab Amadi</t>
  </si>
  <si>
    <t>MFS-68733</t>
  </si>
  <si>
    <t>14/09/2023</t>
  </si>
  <si>
    <t>MFS-91590</t>
  </si>
  <si>
    <t>MFS-59968</t>
  </si>
  <si>
    <t>MFS-99664</t>
  </si>
  <si>
    <t>MFS-38642</t>
  </si>
  <si>
    <t>Ngozi Chukwu</t>
  </si>
  <si>
    <t>MFS-70604</t>
  </si>
  <si>
    <t>Uloma Okeke</t>
  </si>
  <si>
    <t>MFS-88779</t>
  </si>
  <si>
    <t>MFS-34513</t>
  </si>
  <si>
    <t>MFS-93160</t>
  </si>
  <si>
    <t>Lanre Oyelaran</t>
  </si>
  <si>
    <t>MFS-92860</t>
  </si>
  <si>
    <t>MFS-15337</t>
  </si>
  <si>
    <t>MFS-61967</t>
  </si>
  <si>
    <t>Oluwaseun Bello</t>
  </si>
  <si>
    <t>MFS-18951</t>
  </si>
  <si>
    <t>MFS-20868</t>
  </si>
  <si>
    <t>Abubakar Buhari</t>
  </si>
  <si>
    <t>MFS-66734</t>
  </si>
  <si>
    <t>MFS-78244</t>
  </si>
  <si>
    <t>MFS-11276</t>
  </si>
  <si>
    <t>MFS-26768</t>
  </si>
  <si>
    <t>Aliyu Danladi</t>
  </si>
  <si>
    <t>01/11/2024</t>
  </si>
  <si>
    <t>MFS-20998</t>
  </si>
  <si>
    <t>MFS-43608</t>
  </si>
  <si>
    <t>MFS-23432</t>
  </si>
  <si>
    <t>Nasiru Danladi</t>
  </si>
  <si>
    <t>MFS-93228</t>
  </si>
  <si>
    <t>11/07/2021</t>
  </si>
  <si>
    <t>15/01/2025</t>
  </si>
  <si>
    <t>MFS-33638</t>
  </si>
  <si>
    <t>MFS-25988</t>
  </si>
  <si>
    <t>Ronke Oyelaran</t>
  </si>
  <si>
    <t>MFS-70536</t>
  </si>
  <si>
    <t>Ebuka Obaseki</t>
  </si>
  <si>
    <t>MFS-90705</t>
  </si>
  <si>
    <t>MFS-39988</t>
  </si>
  <si>
    <t>Nasiru Eze</t>
  </si>
  <si>
    <t>MFS-66721</t>
  </si>
  <si>
    <t>17/01/2024</t>
  </si>
  <si>
    <t>MFS-99728</t>
  </si>
  <si>
    <t>MFS-44520</t>
  </si>
  <si>
    <t>MFS-94853</t>
  </si>
  <si>
    <t>Abubakar Suleiman</t>
  </si>
  <si>
    <t>MFS-73747</t>
  </si>
  <si>
    <t>MFS-68140</t>
  </si>
  <si>
    <t>MFS-59209</t>
  </si>
  <si>
    <t>MFS-12749</t>
  </si>
  <si>
    <t>MFS-88342</t>
  </si>
  <si>
    <t>MFS-63303</t>
  </si>
  <si>
    <t>05/08/2023</t>
  </si>
  <si>
    <t>MFS-27083</t>
  </si>
  <si>
    <t>Hadiza Suleiman</t>
  </si>
  <si>
    <t>23/06/2020</t>
  </si>
  <si>
    <t>MFS-57319</t>
  </si>
  <si>
    <t>MFS-85892</t>
  </si>
  <si>
    <t>Obiora Ihejirika</t>
  </si>
  <si>
    <t>24/11/2022</t>
  </si>
  <si>
    <t>MFS-98575</t>
  </si>
  <si>
    <t>Zainab Uba</t>
  </si>
  <si>
    <t>MFS-69021</t>
  </si>
  <si>
    <t>MFS-48512</t>
  </si>
  <si>
    <t>MFS-36767</t>
  </si>
  <si>
    <t>Falmata Haruna</t>
  </si>
  <si>
    <t>MFS-86704</t>
  </si>
  <si>
    <t>MFS-33863</t>
  </si>
  <si>
    <t>01/02/2021</t>
  </si>
  <si>
    <t>MFS-78679</t>
  </si>
  <si>
    <t>Amaka Okeke</t>
  </si>
  <si>
    <t>MFS-43801</t>
  </si>
  <si>
    <t>MFS-46715</t>
  </si>
  <si>
    <t>09/06/2019</t>
  </si>
  <si>
    <t>MFS-52224</t>
  </si>
  <si>
    <t>MFS-31906</t>
  </si>
  <si>
    <t>Uche Obi</t>
  </si>
  <si>
    <t>04/03/2021</t>
  </si>
  <si>
    <t>MFS-70976</t>
  </si>
  <si>
    <t>20/01/2025</t>
  </si>
  <si>
    <t>MFS-97662</t>
  </si>
  <si>
    <t>Tunde Onwudiwe</t>
  </si>
  <si>
    <t>MFS-24611</t>
  </si>
  <si>
    <t>11/02/2020</t>
  </si>
  <si>
    <t>MFS-66807</t>
  </si>
  <si>
    <t>MFS-48663</t>
  </si>
  <si>
    <t>01/03/2025</t>
  </si>
  <si>
    <t>MFS-74449</t>
  </si>
  <si>
    <t>MFS-42719</t>
  </si>
  <si>
    <t>Chukwudi Okeke</t>
  </si>
  <si>
    <t>MFS-38469</t>
  </si>
  <si>
    <t>MFS-69048</t>
  </si>
  <si>
    <t>MFS-76750</t>
  </si>
  <si>
    <t>Tunde Nduka</t>
  </si>
  <si>
    <t>MFS-83727</t>
  </si>
  <si>
    <t>MFS-11580</t>
  </si>
  <si>
    <t>MFS-29934</t>
  </si>
  <si>
    <t>Babatunde Taiwo</t>
  </si>
  <si>
    <t>MFS-29151</t>
  </si>
  <si>
    <t>Bimpe Aliyu</t>
  </si>
  <si>
    <t>MFS-63319</t>
  </si>
  <si>
    <t>MFS-55046</t>
  </si>
  <si>
    <t>Ikenna Chukwu</t>
  </si>
  <si>
    <t>MFS-51954</t>
  </si>
  <si>
    <t>MFS-18566</t>
  </si>
  <si>
    <t>MFS-92279</t>
  </si>
  <si>
    <t>MFS-22424</t>
  </si>
  <si>
    <t>MFS-51089</t>
  </si>
  <si>
    <t>MFS-27778</t>
  </si>
  <si>
    <t>Ibrahim Fagbemi</t>
  </si>
  <si>
    <t>MFS-69781</t>
  </si>
  <si>
    <t>MFS-67080</t>
  </si>
  <si>
    <t>MFS-78402</t>
  </si>
  <si>
    <t>MFS-65931</t>
  </si>
  <si>
    <t>Bukola Shehu</t>
  </si>
  <si>
    <t>04/12/2023</t>
  </si>
  <si>
    <t>MFS-35266</t>
  </si>
  <si>
    <t>MFS-68083</t>
  </si>
  <si>
    <t>MFS-50102</t>
  </si>
  <si>
    <t>Adebayo Chukwu</t>
  </si>
  <si>
    <t>MFS-94839</t>
  </si>
  <si>
    <t>Kabiru Nduka</t>
  </si>
  <si>
    <t>MFS-95422</t>
  </si>
  <si>
    <t>MFS-39288</t>
  </si>
  <si>
    <t>Tunde Ogundipe</t>
  </si>
  <si>
    <t>MFS-98892</t>
  </si>
  <si>
    <t>MFS-34342</t>
  </si>
  <si>
    <t>Uloma Adeyemi</t>
  </si>
  <si>
    <t>MFS-96428</t>
  </si>
  <si>
    <t>MFS-17012</t>
  </si>
  <si>
    <t>MFS-26186</t>
  </si>
  <si>
    <t>MFS-21748</t>
  </si>
  <si>
    <t>MFS-75099</t>
  </si>
  <si>
    <t>Aisha Okonkwo</t>
  </si>
  <si>
    <t>MFS-69432</t>
  </si>
  <si>
    <t>MFS-91159</t>
  </si>
  <si>
    <t>MFS-51809</t>
  </si>
  <si>
    <t>MFS-77869</t>
  </si>
  <si>
    <t>12/12/2021</t>
  </si>
  <si>
    <t>MFS-20070</t>
  </si>
  <si>
    <t>MFS-72423</t>
  </si>
  <si>
    <t>MFS-65532</t>
  </si>
  <si>
    <t>MFS-99558</t>
  </si>
  <si>
    <t>MFS-32913</t>
  </si>
  <si>
    <t>MFS-31182</t>
  </si>
  <si>
    <t>Titi Okafor</t>
  </si>
  <si>
    <t>MFS-19597</t>
  </si>
  <si>
    <t>Ifeanyi Buhari</t>
  </si>
  <si>
    <t>MFS-16758</t>
  </si>
  <si>
    <t>Biodun Suleiman</t>
  </si>
  <si>
    <t>MFS-49935</t>
  </si>
  <si>
    <t>MFS-84145</t>
  </si>
  <si>
    <t>Chioma Uba</t>
  </si>
  <si>
    <t>MFS-25880</t>
  </si>
  <si>
    <t>MFS-52863</t>
  </si>
  <si>
    <t>24/06/2020</t>
  </si>
  <si>
    <t>MFS-10462</t>
  </si>
  <si>
    <t>Adeola Adeyemi</t>
  </si>
  <si>
    <t>04/07/2019</t>
  </si>
  <si>
    <t>MFS-94460</t>
  </si>
  <si>
    <t>MFS-19435</t>
  </si>
  <si>
    <t>MFS-39419</t>
  </si>
  <si>
    <t>Damilola Fagbemi</t>
  </si>
  <si>
    <t>MFS-29521</t>
  </si>
  <si>
    <t>MFS-37215</t>
  </si>
  <si>
    <t>Emeka Coker</t>
  </si>
  <si>
    <t>MFS-62449</t>
  </si>
  <si>
    <t>MFS-14251</t>
  </si>
  <si>
    <t>Aisha Nnamdi</t>
  </si>
  <si>
    <t>MFS-19732</t>
  </si>
  <si>
    <t>04/09/2021</t>
  </si>
  <si>
    <t>MFS-84914</t>
  </si>
  <si>
    <t>MFS-42633</t>
  </si>
  <si>
    <t>MFS-74133</t>
  </si>
  <si>
    <t>Asabe Aliyu</t>
  </si>
  <si>
    <t>MFS-17480</t>
  </si>
  <si>
    <t>Kabiru Adewale</t>
  </si>
  <si>
    <t>MFS-23531</t>
  </si>
  <si>
    <t>MFS-88814</t>
  </si>
  <si>
    <t>Yakubu Okonkwo</t>
  </si>
  <si>
    <t>24/06/2024</t>
  </si>
  <si>
    <t>MFS-14013</t>
  </si>
  <si>
    <t>Aisha Omotayo</t>
  </si>
  <si>
    <t>MFS-49470</t>
  </si>
  <si>
    <t>Bello Adeyemi</t>
  </si>
  <si>
    <t>MFS-39994</t>
  </si>
  <si>
    <t>MFS-65441</t>
  </si>
  <si>
    <t>MFS-86610</t>
  </si>
  <si>
    <t>Jummai Adesanya</t>
  </si>
  <si>
    <t>23/11/2021</t>
  </si>
  <si>
    <t>MFS-94916</t>
  </si>
  <si>
    <t>MFS-18430</t>
  </si>
  <si>
    <t>Chukwuemeka Bello</t>
  </si>
  <si>
    <t>MFS-38669</t>
  </si>
  <si>
    <t>Uloma Bello</t>
  </si>
  <si>
    <t>MFS-68184</t>
  </si>
  <si>
    <t>Adebayo Adewale</t>
  </si>
  <si>
    <t>MFS-73444</t>
  </si>
  <si>
    <t>Ikenna Haruna</t>
  </si>
  <si>
    <t>MFS-12256</t>
  </si>
  <si>
    <t>MFS-53361</t>
  </si>
  <si>
    <t>Ugochi Ogbonna</t>
  </si>
  <si>
    <t>MFS-94307</t>
  </si>
  <si>
    <t>Folake Taiwo</t>
  </si>
  <si>
    <t>MFS-84959</t>
  </si>
  <si>
    <t>Ezinne Chukwu</t>
  </si>
  <si>
    <t>MFS-41585</t>
  </si>
  <si>
    <t>Kemi Lawal</t>
  </si>
  <si>
    <t>MFS-99735</t>
  </si>
  <si>
    <t>MFS-85170</t>
  </si>
  <si>
    <t>MFS-73080</t>
  </si>
  <si>
    <t>Tosin Ogundipe</t>
  </si>
  <si>
    <t>MFS-32871</t>
  </si>
  <si>
    <t>MFS-10189</t>
  </si>
  <si>
    <t>Oghenekaro Abdullahi</t>
  </si>
  <si>
    <t>MFS-78451</t>
  </si>
  <si>
    <t>MFS-71720</t>
  </si>
  <si>
    <t>Usman Nnamdi</t>
  </si>
  <si>
    <t>MFS-93692</t>
  </si>
  <si>
    <t>MFS-18789</t>
  </si>
  <si>
    <t>Bello Nnamdi</t>
  </si>
  <si>
    <t>MFS-54283</t>
  </si>
  <si>
    <t>MFS-59572</t>
  </si>
  <si>
    <t>Ebuka Bello</t>
  </si>
  <si>
    <t>06/02/2023</t>
  </si>
  <si>
    <t>MFS-75698</t>
  </si>
  <si>
    <t>MFS-67509</t>
  </si>
  <si>
    <t>MFS-15686</t>
  </si>
  <si>
    <t>Hauwa Nduka</t>
  </si>
  <si>
    <t>MFS-87843</t>
  </si>
  <si>
    <t>MFS-74413</t>
  </si>
  <si>
    <t>Rukayya Eze</t>
  </si>
  <si>
    <t>MFS-53082</t>
  </si>
  <si>
    <t>MFS-30870</t>
  </si>
  <si>
    <t>Kemi Taiwo</t>
  </si>
  <si>
    <t>MFS-65936</t>
  </si>
  <si>
    <t>MFS-53466</t>
  </si>
  <si>
    <t>Obiora Buhari</t>
  </si>
  <si>
    <t>02/04/2020</t>
  </si>
  <si>
    <t>MFS-69185</t>
  </si>
  <si>
    <t>14/12/2022</t>
  </si>
  <si>
    <t>MFS-91062</t>
  </si>
  <si>
    <t>Fatima Chukwu</t>
  </si>
  <si>
    <t>MFS-98635</t>
  </si>
  <si>
    <t>MFS-32660</t>
  </si>
  <si>
    <t>MFS-65108</t>
  </si>
  <si>
    <t>MFS-80865</t>
  </si>
  <si>
    <t>MFS-50092</t>
  </si>
  <si>
    <t>18/11/2022</t>
  </si>
  <si>
    <t>MFS-36750</t>
  </si>
  <si>
    <t>MFS-75779</t>
  </si>
  <si>
    <t>09/06/2024</t>
  </si>
  <si>
    <t>MFS-15397</t>
  </si>
  <si>
    <t>Lola Obaseki</t>
  </si>
  <si>
    <t>MFS-84725</t>
  </si>
  <si>
    <t>Lanre Suleiman</t>
  </si>
  <si>
    <t>27/11/2021</t>
  </si>
  <si>
    <t>MFS-57750</t>
  </si>
  <si>
    <t>MFS-80609</t>
  </si>
  <si>
    <t>Rukayya Aliyu</t>
  </si>
  <si>
    <t>MFS-32197</t>
  </si>
  <si>
    <t>Obiora Danladi</t>
  </si>
  <si>
    <t>MFS-55150</t>
  </si>
  <si>
    <t>MFS-30155</t>
  </si>
  <si>
    <t>MFS-58554</t>
  </si>
  <si>
    <t>Ikenna Amadi</t>
  </si>
  <si>
    <t>MFS-83459</t>
  </si>
  <si>
    <t>MFS-99137</t>
  </si>
  <si>
    <t>Usman Oyelaran</t>
  </si>
  <si>
    <t>07/12/2019</t>
  </si>
  <si>
    <t>MFS-13878</t>
  </si>
  <si>
    <t>MFS-54503</t>
  </si>
  <si>
    <t>Femi Omotayo</t>
  </si>
  <si>
    <t>MFS-34548</t>
  </si>
  <si>
    <t>MFS-20705</t>
  </si>
  <si>
    <t>Adaeze Chukwu</t>
  </si>
  <si>
    <t>MFS-97727</t>
  </si>
  <si>
    <t>MFS-82199</t>
  </si>
  <si>
    <t>Tobi Nwachukwu</t>
  </si>
  <si>
    <t>11/03/2024</t>
  </si>
  <si>
    <t>MFS-43453</t>
  </si>
  <si>
    <t>MFS-50644</t>
  </si>
  <si>
    <t>MFS-97634</t>
  </si>
  <si>
    <t>MFS-96806</t>
  </si>
  <si>
    <t>MFS-36581</t>
  </si>
  <si>
    <t>Ronke Nwachukwu</t>
  </si>
  <si>
    <t>24/11/2020</t>
  </si>
  <si>
    <t>06/06/2021</t>
  </si>
  <si>
    <t>MFS-10983</t>
  </si>
  <si>
    <t>MFS-72402</t>
  </si>
  <si>
    <t>01/04/2019</t>
  </si>
  <si>
    <t>MFS-22989</t>
  </si>
  <si>
    <t>MFS-40251</t>
  </si>
  <si>
    <t>MFS-19096</t>
  </si>
  <si>
    <t>Biodun Ogbonna</t>
  </si>
  <si>
    <t>MFS-70281</t>
  </si>
  <si>
    <t>MFS-33425</t>
  </si>
  <si>
    <t>MFS-78038</t>
  </si>
  <si>
    <t>MFS-82983</t>
  </si>
  <si>
    <t>Nnamdi Eze</t>
  </si>
  <si>
    <t>MFS-66982</t>
  </si>
  <si>
    <t>MFS-35984</t>
  </si>
  <si>
    <t>Ifeoma Obaseki</t>
  </si>
  <si>
    <t>MFS-55815</t>
  </si>
  <si>
    <t>28/10/2022</t>
  </si>
  <si>
    <t>MFS-94813</t>
  </si>
  <si>
    <t>MFS-16816</t>
  </si>
  <si>
    <t>Chukwudi Onwudiwe</t>
  </si>
  <si>
    <t>10/01/2020</t>
  </si>
  <si>
    <t>MFS-59203</t>
  </si>
  <si>
    <t>Shehu Nduka</t>
  </si>
  <si>
    <t>MFS-34397</t>
  </si>
  <si>
    <t>MFS-86649</t>
  </si>
  <si>
    <t>Ngozi Nnamdi</t>
  </si>
  <si>
    <t>11/06/2019</t>
  </si>
  <si>
    <t>MFS-96636</t>
  </si>
  <si>
    <t>MFS-63040</t>
  </si>
  <si>
    <t>Zainab Obaseki</t>
  </si>
  <si>
    <t>MFS-30983</t>
  </si>
  <si>
    <t>Damilola Uba</t>
  </si>
  <si>
    <t>MFS-75911</t>
  </si>
  <si>
    <t>Adaora Shehu</t>
  </si>
  <si>
    <t>04/08/2020</t>
  </si>
  <si>
    <t>MFS-10972</t>
  </si>
  <si>
    <t>Suleiman Oyelaran</t>
  </si>
  <si>
    <t>MFS-75367</t>
  </si>
  <si>
    <t>MFS-66474</t>
  </si>
  <si>
    <t>MFS-48915</t>
  </si>
  <si>
    <t>MFS-77117</t>
  </si>
  <si>
    <t>MFS-97929</t>
  </si>
  <si>
    <t>MFS-34895</t>
  </si>
  <si>
    <t>MFS-78128</t>
  </si>
  <si>
    <t>MFS-83413</t>
  </si>
  <si>
    <t>MFS-34876</t>
  </si>
  <si>
    <t>Uloma Danladi</t>
  </si>
  <si>
    <t>MFS-67956</t>
  </si>
  <si>
    <t>MFS-15105</t>
  </si>
  <si>
    <t>Ebuka Shehu</t>
  </si>
  <si>
    <t>MFS-43424</t>
  </si>
  <si>
    <t>Dele Obaseki</t>
  </si>
  <si>
    <t>MFS-92733</t>
  </si>
  <si>
    <t>Lola Okonkwo</t>
  </si>
  <si>
    <t>MFS-72999</t>
  </si>
  <si>
    <t>Babatunde Nwosu</t>
  </si>
  <si>
    <t>MFS-34009</t>
  </si>
  <si>
    <t>MFS-66094</t>
  </si>
  <si>
    <t>MFS-86709</t>
  </si>
  <si>
    <t>Ibrahim Eze</t>
  </si>
  <si>
    <t>MFS-54069</t>
  </si>
  <si>
    <t>Haruna Ogundipe</t>
  </si>
  <si>
    <t>MFS-79886</t>
  </si>
  <si>
    <t>MFS-37941</t>
  </si>
  <si>
    <t>MFS-61268</t>
  </si>
  <si>
    <t>MFS-96304</t>
  </si>
  <si>
    <t>MFS-43888</t>
  </si>
  <si>
    <t>Dele Lawal</t>
  </si>
  <si>
    <t>MFS-71580</t>
  </si>
  <si>
    <t>MFS-94682</t>
  </si>
  <si>
    <t>MFS-39651</t>
  </si>
  <si>
    <t>Ramatu Nwachukwu</t>
  </si>
  <si>
    <t>MFS-88697</t>
  </si>
  <si>
    <t>MFS-95463</t>
  </si>
  <si>
    <t>MFS-88159</t>
  </si>
  <si>
    <t>Wale Amadi</t>
  </si>
  <si>
    <t>MFS-83804</t>
  </si>
  <si>
    <t>Chinyere Chukwu</t>
  </si>
  <si>
    <t>25/11/2019</t>
  </si>
  <si>
    <t>MFS-75043</t>
  </si>
  <si>
    <t>MFS-79367</t>
  </si>
  <si>
    <t>Emeka Afolabi</t>
  </si>
  <si>
    <t>MFS-78762</t>
  </si>
  <si>
    <t>Adaeze Okonkwo</t>
  </si>
  <si>
    <t>27/12/2019</t>
  </si>
  <si>
    <t>MFS-15828</t>
  </si>
  <si>
    <t>MFS-96132</t>
  </si>
  <si>
    <t>Nana Shehu</t>
  </si>
  <si>
    <t>13/05/2021</t>
  </si>
  <si>
    <t>MFS-38085</t>
  </si>
  <si>
    <t>MFS-25726</t>
  </si>
  <si>
    <t>MFS-53321</t>
  </si>
  <si>
    <t>Ezinne Ogundipe</t>
  </si>
  <si>
    <t>MFS-45308</t>
  </si>
  <si>
    <t>22/09/2020</t>
  </si>
  <si>
    <t>MFS-95235</t>
  </si>
  <si>
    <t>Rukayya Suleiman</t>
  </si>
  <si>
    <t>MFS-74334</t>
  </si>
  <si>
    <t>MFS-90951</t>
  </si>
  <si>
    <t>08/07/2019</t>
  </si>
  <si>
    <t>MFS-86225</t>
  </si>
  <si>
    <t>MFS-20270</t>
  </si>
  <si>
    <t>08/10/2019</t>
  </si>
  <si>
    <t>MFS-71463</t>
  </si>
  <si>
    <t>MFS-19879</t>
  </si>
  <si>
    <t>Maryam Onwudiwe</t>
  </si>
  <si>
    <t>MFS-32388</t>
  </si>
  <si>
    <t>Amaka Nduka</t>
  </si>
  <si>
    <t>MFS-88855</t>
  </si>
  <si>
    <t>MFS-34715</t>
  </si>
  <si>
    <t>Uloma Oyelaran</t>
  </si>
  <si>
    <t>MFS-28844</t>
  </si>
  <si>
    <t>MFS-78722</t>
  </si>
  <si>
    <t>MFS-18347</t>
  </si>
  <si>
    <t>30/10/2024</t>
  </si>
  <si>
    <t>MFS-20348</t>
  </si>
  <si>
    <t>Tobi Nwosu</t>
  </si>
  <si>
    <t>MFS-70094</t>
  </si>
  <si>
    <t>Obinna Nwosu</t>
  </si>
  <si>
    <t>MFS-89482</t>
  </si>
  <si>
    <t>28/05/2020</t>
  </si>
  <si>
    <t>MFS-10633</t>
  </si>
  <si>
    <t>Garba Amadi</t>
  </si>
  <si>
    <t>MFS-80971</t>
  </si>
  <si>
    <t>MFS-94327</t>
  </si>
  <si>
    <t>18/10/2021</t>
  </si>
  <si>
    <t>MFS-45597</t>
  </si>
  <si>
    <t>MFS-96269</t>
  </si>
  <si>
    <t>MFS-83716</t>
  </si>
  <si>
    <t>MFS-94211</t>
  </si>
  <si>
    <t>Ibrahim Danladi</t>
  </si>
  <si>
    <t>MFS-16733</t>
  </si>
  <si>
    <t>Uloma Nduka</t>
  </si>
  <si>
    <t>MFS-42181</t>
  </si>
  <si>
    <t>11/09/2022</t>
  </si>
  <si>
    <t>MFS-52068</t>
  </si>
  <si>
    <t>MFS-70925</t>
  </si>
  <si>
    <t>MFS-50557</t>
  </si>
  <si>
    <t>Ogechi Nduka</t>
  </si>
  <si>
    <t>MFS-29225</t>
  </si>
  <si>
    <t>MFS-74215</t>
  </si>
  <si>
    <t>MFS-83968</t>
  </si>
  <si>
    <t>Folake Ogundipe</t>
  </si>
  <si>
    <t>MFS-98301</t>
  </si>
  <si>
    <t>MFS-66503</t>
  </si>
  <si>
    <t>Adebayo Ogundipe</t>
  </si>
  <si>
    <t>MFS-57903</t>
  </si>
  <si>
    <t>MFS-36102</t>
  </si>
  <si>
    <t>MFS-85162</t>
  </si>
  <si>
    <t>MFS-44217</t>
  </si>
  <si>
    <t>MFS-38240</t>
  </si>
  <si>
    <t>MFS-72976</t>
  </si>
  <si>
    <t>MFS-39793</t>
  </si>
  <si>
    <t>Chidi Musa</t>
  </si>
  <si>
    <t>MFS-84148</t>
  </si>
  <si>
    <t>05/01/2024</t>
  </si>
  <si>
    <t>MFS-60167</t>
  </si>
  <si>
    <t>06/01/2024</t>
  </si>
  <si>
    <t>MFS-84760</t>
  </si>
  <si>
    <t>Damilola Bello</t>
  </si>
  <si>
    <t>MFS-66921</t>
  </si>
  <si>
    <t>MFS-90525</t>
  </si>
  <si>
    <t>Bello Fagbemi</t>
  </si>
  <si>
    <t>22/03/2025</t>
  </si>
  <si>
    <t>MFS-66789</t>
  </si>
  <si>
    <t>Ngozi Oyelaran</t>
  </si>
  <si>
    <t>MFS-35816</t>
  </si>
  <si>
    <t>12/09/2024</t>
  </si>
  <si>
    <t>MFS-55123</t>
  </si>
  <si>
    <t>Hafsat Bello</t>
  </si>
  <si>
    <t>MFS-35295</t>
  </si>
  <si>
    <t>MFS-32006</t>
  </si>
  <si>
    <t>Sola Ogbonna</t>
  </si>
  <si>
    <t>MFS-79072</t>
  </si>
  <si>
    <t>MFS-35638</t>
  </si>
  <si>
    <t>MFS-35242</t>
  </si>
  <si>
    <t>Bukola Adebayo</t>
  </si>
  <si>
    <t>MFS-35384</t>
  </si>
  <si>
    <t>MFS-78425</t>
  </si>
  <si>
    <t>MFS-19673</t>
  </si>
  <si>
    <t>Chioma Ogbonna</t>
  </si>
  <si>
    <t>MFS-90446</t>
  </si>
  <si>
    <t>MFS-47561</t>
  </si>
  <si>
    <t>MFS-58614</t>
  </si>
  <si>
    <t>MFS-12453</t>
  </si>
  <si>
    <t>Ronke Shehu</t>
  </si>
  <si>
    <t>MFS-68476</t>
  </si>
  <si>
    <t>Hauwa Afolabi</t>
  </si>
  <si>
    <t>MFS-23385</t>
  </si>
  <si>
    <t>Ifeoma Lawal</t>
  </si>
  <si>
    <t>MFS-69843</t>
  </si>
  <si>
    <t>Usman Omotayo</t>
  </si>
  <si>
    <t>MFS-33072</t>
  </si>
  <si>
    <t>MFS-96297</t>
  </si>
  <si>
    <t>20/01/2022</t>
  </si>
  <si>
    <t>MFS-71585</t>
  </si>
  <si>
    <t>MFS-61508</t>
  </si>
  <si>
    <t>21/03/2025</t>
  </si>
  <si>
    <t>MFS-21404</t>
  </si>
  <si>
    <t>MFS-70365</t>
  </si>
  <si>
    <t>Adaeze Obaseki</t>
  </si>
  <si>
    <t>16/12/2019</t>
  </si>
  <si>
    <t>MFS-53920</t>
  </si>
  <si>
    <t>28/05/2021</t>
  </si>
  <si>
    <t>MFS-84195</t>
  </si>
  <si>
    <t>Yetunde Musa</t>
  </si>
  <si>
    <t>MFS-74505</t>
  </si>
  <si>
    <t>MFS-13537</t>
  </si>
  <si>
    <t>Adebayo Fagbemi</t>
  </si>
  <si>
    <t>MFS-61283</t>
  </si>
  <si>
    <t>MFS-14100</t>
  </si>
  <si>
    <t>Nkechi Nwachukwu</t>
  </si>
  <si>
    <t>MFS-74877</t>
  </si>
  <si>
    <t>MFS-32756</t>
  </si>
  <si>
    <t>MFS-88309</t>
  </si>
  <si>
    <t>MFS-93360</t>
  </si>
  <si>
    <t>Funmilayo Bello</t>
  </si>
  <si>
    <t>MFS-15720</t>
  </si>
  <si>
    <t>MFS-98925</t>
  </si>
  <si>
    <t>Hadiza Oyelaran</t>
  </si>
  <si>
    <t>MFS-22922</t>
  </si>
  <si>
    <t>MFS-42045</t>
  </si>
  <si>
    <t>MFS-85456</t>
  </si>
  <si>
    <t>Suleiman Haruna</t>
  </si>
  <si>
    <t>MFS-71113</t>
  </si>
  <si>
    <t>MFS-11363</t>
  </si>
  <si>
    <t>Hafsat Taiwo</t>
  </si>
  <si>
    <t>08/07/2024</t>
  </si>
  <si>
    <t>MFS-62522</t>
  </si>
  <si>
    <t>Obinna Ogbonna</t>
  </si>
  <si>
    <t>MFS-46236</t>
  </si>
  <si>
    <t>Nneka Aliyu</t>
  </si>
  <si>
    <t>18/11/2019</t>
  </si>
  <si>
    <t>MFS-49581</t>
  </si>
  <si>
    <t>MFS-58469</t>
  </si>
  <si>
    <t>Hauwa Okeke</t>
  </si>
  <si>
    <t>MFS-85455</t>
  </si>
  <si>
    <t>MFS-96414</t>
  </si>
  <si>
    <t>MFS-73706</t>
  </si>
  <si>
    <t>08/04/2022</t>
  </si>
  <si>
    <t>MFS-59199</t>
  </si>
  <si>
    <t>MFS-55504</t>
  </si>
  <si>
    <t>MFS-13522</t>
  </si>
  <si>
    <t>MFS-13653</t>
  </si>
  <si>
    <t>Chukwuemeka Danladi</t>
  </si>
  <si>
    <t>MFS-77792</t>
  </si>
  <si>
    <t>MFS-81689</t>
  </si>
  <si>
    <t>26/02/2021</t>
  </si>
  <si>
    <t>MFS-11639</t>
  </si>
  <si>
    <t>MFS-43837</t>
  </si>
  <si>
    <t>MFS-49348</t>
  </si>
  <si>
    <t>Damilola Shehu</t>
  </si>
  <si>
    <t>MFS-97158</t>
  </si>
  <si>
    <t>06/03/2019</t>
  </si>
  <si>
    <t>MFS-20426</t>
  </si>
  <si>
    <t>MFS-80126</t>
  </si>
  <si>
    <t>20/12/2022</t>
  </si>
  <si>
    <t>MFS-65159</t>
  </si>
  <si>
    <t>MFS-47750</t>
  </si>
  <si>
    <t>MFS-75887</t>
  </si>
  <si>
    <t>Folake Danladi</t>
  </si>
  <si>
    <t>MFS-94332</t>
  </si>
  <si>
    <t>MFS-28877</t>
  </si>
  <si>
    <t>MFS-88145</t>
  </si>
  <si>
    <t>MFS-49813</t>
  </si>
  <si>
    <t>MFS-87038</t>
  </si>
  <si>
    <t>Jummai Lawal</t>
  </si>
  <si>
    <t>MFS-59336</t>
  </si>
  <si>
    <t>Chinyere Adewale</t>
  </si>
  <si>
    <t>08/12/2024</t>
  </si>
  <si>
    <t>MFS-52564</t>
  </si>
  <si>
    <t>MFS-75201</t>
  </si>
  <si>
    <t>Chidi Suleiman</t>
  </si>
  <si>
    <t>15/08/2022</t>
  </si>
  <si>
    <t>MFS-40774</t>
  </si>
  <si>
    <t>Bukola Aliyu</t>
  </si>
  <si>
    <t>MFS-20531</t>
  </si>
  <si>
    <t>Shehu Uba</t>
  </si>
  <si>
    <t>MFS-41326</t>
  </si>
  <si>
    <t>Falmata Musa</t>
  </si>
  <si>
    <t>MFS-32032</t>
  </si>
  <si>
    <t>Ronke Adebayo</t>
  </si>
  <si>
    <t>MFS-24770</t>
  </si>
  <si>
    <t>MFS-19349</t>
  </si>
  <si>
    <t>MFS-83642</t>
  </si>
  <si>
    <t>Dele Okonkwo</t>
  </si>
  <si>
    <t>MFS-10319</t>
  </si>
  <si>
    <t>MFS-23087</t>
  </si>
  <si>
    <t>Garba Okonkwo</t>
  </si>
  <si>
    <t>MFS-19924</t>
  </si>
  <si>
    <t>Bimpe Eze</t>
  </si>
  <si>
    <t>MFS-11284</t>
  </si>
  <si>
    <t>MFS-85252</t>
  </si>
  <si>
    <t>MFS-14694</t>
  </si>
  <si>
    <t>MFS-76315</t>
  </si>
  <si>
    <t>MFS-67112</t>
  </si>
  <si>
    <t>Adaora Chukwu</t>
  </si>
  <si>
    <t>MFS-90432</t>
  </si>
  <si>
    <t>Chibuike Adeyemi</t>
  </si>
  <si>
    <t>MFS-85065</t>
  </si>
  <si>
    <t>Musa Nduka</t>
  </si>
  <si>
    <t>MFS-97097</t>
  </si>
  <si>
    <t>MFS-85949</t>
  </si>
  <si>
    <t>MFS-71306</t>
  </si>
  <si>
    <t>MFS-82608</t>
  </si>
  <si>
    <t>MFS-47474</t>
  </si>
  <si>
    <t>Nana Danladi</t>
  </si>
  <si>
    <t>MFS-47467</t>
  </si>
  <si>
    <t>Hauwa Nwachukwu</t>
  </si>
  <si>
    <t>MFS-23928</t>
  </si>
  <si>
    <t>MFS-65694</t>
  </si>
  <si>
    <t>Babatunde Aliyu</t>
  </si>
  <si>
    <t>MFS-99204</t>
  </si>
  <si>
    <t>Garba Bello</t>
  </si>
  <si>
    <t>MFS-68243</t>
  </si>
  <si>
    <t>MFS-11577</t>
  </si>
  <si>
    <t>MFS-45194</t>
  </si>
  <si>
    <t>24/11/2023</t>
  </si>
  <si>
    <t>MFS-22246</t>
  </si>
  <si>
    <t>Rotimi Adeyemi</t>
  </si>
  <si>
    <t>MFS-25665</t>
  </si>
  <si>
    <t>MFS-40568</t>
  </si>
  <si>
    <t>Kunle Coker</t>
  </si>
  <si>
    <t>MFS-93152</t>
  </si>
  <si>
    <t>01/09/2020</t>
  </si>
  <si>
    <t>MFS-85740</t>
  </si>
  <si>
    <t>Ramatu Chukwu</t>
  </si>
  <si>
    <t>MFS-90572</t>
  </si>
  <si>
    <t>09/02/2024</t>
  </si>
  <si>
    <t>MFS-75689</t>
  </si>
  <si>
    <t>MFS-91690</t>
  </si>
  <si>
    <t>Yakubu Nwachukwu</t>
  </si>
  <si>
    <t>MFS-85412</t>
  </si>
  <si>
    <t>MFS-95660</t>
  </si>
  <si>
    <t>MFS-45650</t>
  </si>
  <si>
    <t>MFS-17554</t>
  </si>
  <si>
    <t>MFS-77159</t>
  </si>
  <si>
    <t>MFS-75570</t>
  </si>
  <si>
    <t>Damilola Onwudiwe</t>
  </si>
  <si>
    <t>MFS-30887</t>
  </si>
  <si>
    <t>Ibrahim Adeyemi</t>
  </si>
  <si>
    <t>24/04/2019</t>
  </si>
  <si>
    <t>MFS-38740</t>
  </si>
  <si>
    <t>MFS-41210</t>
  </si>
  <si>
    <t>31/07/2020</t>
  </si>
  <si>
    <t>MFS-61492</t>
  </si>
  <si>
    <t>MFS-67343</t>
  </si>
  <si>
    <t>Bukola Adeyemi</t>
  </si>
  <si>
    <t>MFS-61873</t>
  </si>
  <si>
    <t>Damilola Ogundipe</t>
  </si>
  <si>
    <t>MFS-73827</t>
  </si>
  <si>
    <t>27/01/2024</t>
  </si>
  <si>
    <t>MFS-12469</t>
  </si>
  <si>
    <t>Chukwudi Bello</t>
  </si>
  <si>
    <t>04/01/2020</t>
  </si>
  <si>
    <t>MFS-40451</t>
  </si>
  <si>
    <t>21/09/2023</t>
  </si>
  <si>
    <t>14/06/2024</t>
  </si>
  <si>
    <t>MFS-85011</t>
  </si>
  <si>
    <t>Ezinne Yakubu</t>
  </si>
  <si>
    <t>MFS-98770</t>
  </si>
  <si>
    <t>MFS-36663</t>
  </si>
  <si>
    <t>30/07/2024</t>
  </si>
  <si>
    <t>MFS-30305</t>
  </si>
  <si>
    <t>MFS-97914</t>
  </si>
  <si>
    <t>Titi Coker</t>
  </si>
  <si>
    <t>MFS-87460</t>
  </si>
  <si>
    <t>Gbenga Adesanya</t>
  </si>
  <si>
    <t>MFS-38448</t>
  </si>
  <si>
    <t>MFS-28720</t>
  </si>
  <si>
    <t>Funmilayo Oyelaran</t>
  </si>
  <si>
    <t>MFS-60104</t>
  </si>
  <si>
    <t>MFS-72014</t>
  </si>
  <si>
    <t>MFS-75987</t>
  </si>
  <si>
    <t>Chibuike Abdullahi</t>
  </si>
  <si>
    <t>MFS-70496</t>
  </si>
  <si>
    <t>MFS-26670</t>
  </si>
  <si>
    <t>MFS-86294</t>
  </si>
  <si>
    <t>MFS-55660</t>
  </si>
  <si>
    <t>Uche Eze</t>
  </si>
  <si>
    <t>MFS-37502</t>
  </si>
  <si>
    <t>Tosin Garba</t>
  </si>
  <si>
    <t>MFS-19038</t>
  </si>
  <si>
    <t>MFS-54602</t>
  </si>
  <si>
    <t>MFS-90541</t>
  </si>
  <si>
    <t>MFS-72061</t>
  </si>
  <si>
    <t>14/02/2024</t>
  </si>
  <si>
    <t>MFS-83534</t>
  </si>
  <si>
    <t>Zainab Adeyemi</t>
  </si>
  <si>
    <t>MFS-76944</t>
  </si>
  <si>
    <t>MFS-78491</t>
  </si>
  <si>
    <t>MFS-74293</t>
  </si>
  <si>
    <t>MFS-68503</t>
  </si>
  <si>
    <t>Aisha Ogbonna</t>
  </si>
  <si>
    <t>MFS-14203</t>
  </si>
  <si>
    <t>MFS-93128</t>
  </si>
  <si>
    <t>Danladi Amadi</t>
  </si>
  <si>
    <t>MFS-45256</t>
  </si>
  <si>
    <t>Falmata Uba</t>
  </si>
  <si>
    <t>MFS-52516</t>
  </si>
  <si>
    <t>MFS-57772</t>
  </si>
  <si>
    <t>Ifeoma Nnamdi</t>
  </si>
  <si>
    <t>MFS-21425</t>
  </si>
  <si>
    <t>18/09/2024</t>
  </si>
  <si>
    <t>MFS-44035</t>
  </si>
  <si>
    <t>Folake Okeke</t>
  </si>
  <si>
    <t>MFS-48665</t>
  </si>
  <si>
    <t>Gbenga Yakubu</t>
  </si>
  <si>
    <t>09/04/2019</t>
  </si>
  <si>
    <t>MFS-18026</t>
  </si>
  <si>
    <t>MFS-46498</t>
  </si>
  <si>
    <t>Nasiru Buhari</t>
  </si>
  <si>
    <t>MFS-50630</t>
  </si>
  <si>
    <t>MFS-63032</t>
  </si>
  <si>
    <t>MFS-99020</t>
  </si>
  <si>
    <t>Bukola Lawal</t>
  </si>
  <si>
    <t>MFS-31729</t>
  </si>
  <si>
    <t>MFS-96681</t>
  </si>
  <si>
    <t>MFS-68000</t>
  </si>
  <si>
    <t>Adaeze Shehu</t>
  </si>
  <si>
    <t>MFS-13221</t>
  </si>
  <si>
    <t>MFS-17756</t>
  </si>
  <si>
    <t>MFS-50149</t>
  </si>
  <si>
    <t>Gbenga Uba</t>
  </si>
  <si>
    <t>MFS-87835</t>
  </si>
  <si>
    <t>MFS-93608</t>
  </si>
  <si>
    <t>MFS-73745</t>
  </si>
  <si>
    <t>15/09/2023</t>
  </si>
  <si>
    <t>MFS-82102</t>
  </si>
  <si>
    <t>MFS-64389</t>
  </si>
  <si>
    <t>29/09/2019</t>
  </si>
  <si>
    <t>MFS-56811</t>
  </si>
  <si>
    <t>MFS-52602</t>
  </si>
  <si>
    <t>Ibrahim Lawal</t>
  </si>
  <si>
    <t>MFS-76127</t>
  </si>
  <si>
    <t>Obiora Obi</t>
  </si>
  <si>
    <t>MFS-60087</t>
  </si>
  <si>
    <t>MFS-38730</t>
  </si>
  <si>
    <t>22/06/2024</t>
  </si>
  <si>
    <t>MFS-96088</t>
  </si>
  <si>
    <t>MFS-10556</t>
  </si>
  <si>
    <t>26/04/2019</t>
  </si>
  <si>
    <t>25/11/2021</t>
  </si>
  <si>
    <t>MFS-52988</t>
  </si>
  <si>
    <t>MFS-60977</t>
  </si>
  <si>
    <t>30/01/2023</t>
  </si>
  <si>
    <t>MFS-66413</t>
  </si>
  <si>
    <t>MFS-99185</t>
  </si>
  <si>
    <t>Chinyere Ogundipe</t>
  </si>
  <si>
    <t>20/07/2023</t>
  </si>
  <si>
    <t>MFS-81674</t>
  </si>
  <si>
    <t>Chiamaka Buhari</t>
  </si>
  <si>
    <t>MFS-27131</t>
  </si>
  <si>
    <t>Chinwe Bello</t>
  </si>
  <si>
    <t>MFS-56109</t>
  </si>
  <si>
    <t>MFS-54588</t>
  </si>
  <si>
    <t>MFS-36181</t>
  </si>
  <si>
    <t>MFS-10583</t>
  </si>
  <si>
    <t>25/11/2024</t>
  </si>
  <si>
    <t>MFS-94264</t>
  </si>
  <si>
    <t>MFS-77226</t>
  </si>
  <si>
    <t>MFS-30380</t>
  </si>
  <si>
    <t>MFS-12610</t>
  </si>
  <si>
    <t>MFS-80651</t>
  </si>
  <si>
    <t>MFS-87372</t>
  </si>
  <si>
    <t>Chinedu Omotayo</t>
  </si>
  <si>
    <t>MFS-19895</t>
  </si>
  <si>
    <t>MFS-85748</t>
  </si>
  <si>
    <t>MFS-86397</t>
  </si>
  <si>
    <t>MFS-68633</t>
  </si>
  <si>
    <t>Folake Adesanya</t>
  </si>
  <si>
    <t>MFS-99474</t>
  </si>
  <si>
    <t>Tobi Okafor</t>
  </si>
  <si>
    <t>MFS-66648</t>
  </si>
  <si>
    <t>Biodun Abdullahi</t>
  </si>
  <si>
    <t>MFS-28700</t>
  </si>
  <si>
    <t>Usman Amadi</t>
  </si>
  <si>
    <t>MFS-90203</t>
  </si>
  <si>
    <t>Rabiu Haruna</t>
  </si>
  <si>
    <t>MFS-80429</t>
  </si>
  <si>
    <t>Chiamaka Chukwu</t>
  </si>
  <si>
    <t>MFS-95459</t>
  </si>
  <si>
    <t>Ezinne Adeyemi</t>
  </si>
  <si>
    <t>MFS-63589</t>
  </si>
  <si>
    <t>Oghenekaro Yakubu</t>
  </si>
  <si>
    <t>MFS-92507</t>
  </si>
  <si>
    <t>MFS-76897</t>
  </si>
  <si>
    <t>MFS-28450</t>
  </si>
  <si>
    <t>MFS-56952</t>
  </si>
  <si>
    <t>MFS-58719</t>
  </si>
  <si>
    <t>MFS-48287</t>
  </si>
  <si>
    <t>MFS-61710</t>
  </si>
  <si>
    <t>Rotimi Okonkwo</t>
  </si>
  <si>
    <t>18/12/2019</t>
  </si>
  <si>
    <t>MFS-79152</t>
  </si>
  <si>
    <t>23/12/2020</t>
  </si>
  <si>
    <t>MFS-66169</t>
  </si>
  <si>
    <t>MFS-64225</t>
  </si>
  <si>
    <t>20/12/2024</t>
  </si>
  <si>
    <t>MFS-43689</t>
  </si>
  <si>
    <t>Ezinne Nwosu</t>
  </si>
  <si>
    <t>MFS-72655</t>
  </si>
  <si>
    <t>MFS-56986</t>
  </si>
  <si>
    <t>Emeka Adebayo</t>
  </si>
  <si>
    <t>MFS-52875</t>
  </si>
  <si>
    <t>28/02/2024</t>
  </si>
  <si>
    <t>MFS-94935</t>
  </si>
  <si>
    <t>Gbenga Nwosu</t>
  </si>
  <si>
    <t>MFS-97642</t>
  </si>
  <si>
    <t>29/10/2022</t>
  </si>
  <si>
    <t>MFS-30629</t>
  </si>
  <si>
    <t>Maryam Coker</t>
  </si>
  <si>
    <t>MFS-12890</t>
  </si>
  <si>
    <t>MFS-57555</t>
  </si>
  <si>
    <t>MFS-53963</t>
  </si>
  <si>
    <t>Laraba Obi</t>
  </si>
  <si>
    <t>MFS-90750</t>
  </si>
  <si>
    <t>Nana Ogbonna</t>
  </si>
  <si>
    <t>MFS-74723</t>
  </si>
  <si>
    <t>Babatunde Adewale</t>
  </si>
  <si>
    <t>MFS-70769</t>
  </si>
  <si>
    <t>MFS-27795</t>
  </si>
  <si>
    <t>Musa Taiwo</t>
  </si>
  <si>
    <t>03/02/2024</t>
  </si>
  <si>
    <t>MFS-28492</t>
  </si>
  <si>
    <t>Laraba Nduka</t>
  </si>
  <si>
    <t>MFS-46125</t>
  </si>
  <si>
    <t>Nana Nwachukwu</t>
  </si>
  <si>
    <t>MFS-10490</t>
  </si>
  <si>
    <t>MFS-83183</t>
  </si>
  <si>
    <t>MFS-87976</t>
  </si>
  <si>
    <t>MFS-45041</t>
  </si>
  <si>
    <t>MFS-96284</t>
  </si>
  <si>
    <t>MFS-48185</t>
  </si>
  <si>
    <t>05/07/2019</t>
  </si>
  <si>
    <t>MFS-33957</t>
  </si>
  <si>
    <t>Titi Nnamdi</t>
  </si>
  <si>
    <t>MFS-22243</t>
  </si>
  <si>
    <t>Yakubu Adesanya</t>
  </si>
  <si>
    <t>MFS-36398</t>
  </si>
  <si>
    <t>MFS-38153</t>
  </si>
  <si>
    <t>MFS-88312</t>
  </si>
  <si>
    <t>Zainab Nwosu</t>
  </si>
  <si>
    <t>25/09/2023</t>
  </si>
  <si>
    <t>MFS-53458</t>
  </si>
  <si>
    <t>MFS-61635</t>
  </si>
  <si>
    <t>Musa Adesanya</t>
  </si>
  <si>
    <t>MFS-53681</t>
  </si>
  <si>
    <t>MFS-36793</t>
  </si>
  <si>
    <t>Musa Amadi</t>
  </si>
  <si>
    <t>MFS-95814</t>
  </si>
  <si>
    <t>MFS-50086</t>
  </si>
  <si>
    <t>Obinna Nwachukwu</t>
  </si>
  <si>
    <t>MFS-72804</t>
  </si>
  <si>
    <t>MFS-30124</t>
  </si>
  <si>
    <t>Asabe Obaseki</t>
  </si>
  <si>
    <t>09/02/2020</t>
  </si>
  <si>
    <t>MFS-26118</t>
  </si>
  <si>
    <t>MFS-70142</t>
  </si>
  <si>
    <t>Adaora Yakubu</t>
  </si>
  <si>
    <t>MFS-67767</t>
  </si>
  <si>
    <t>MFS-89338</t>
  </si>
  <si>
    <t>Chinwe Omotayo</t>
  </si>
  <si>
    <t>MFS-33061</t>
  </si>
  <si>
    <t>Gbenga Eze</t>
  </si>
  <si>
    <t>09/11/2024</t>
  </si>
  <si>
    <t>MFS-63357</t>
  </si>
  <si>
    <t>Babatunde Suleiman</t>
  </si>
  <si>
    <t>MFS-55463</t>
  </si>
  <si>
    <t>MFS-21089</t>
  </si>
  <si>
    <t>MFS-25369</t>
  </si>
  <si>
    <t>MFS-75055</t>
  </si>
  <si>
    <t>29/01/2023</t>
  </si>
  <si>
    <t>MFS-23267</t>
  </si>
  <si>
    <t>24/06/2023</t>
  </si>
  <si>
    <t>MFS-15496</t>
  </si>
  <si>
    <t>MFS-61679</t>
  </si>
  <si>
    <t>MFS-56689</t>
  </si>
  <si>
    <t>19/02/2025</t>
  </si>
  <si>
    <t>MFS-60535</t>
  </si>
  <si>
    <t>MFS-93967</t>
  </si>
  <si>
    <t>Rabiu Danladi</t>
  </si>
  <si>
    <t>30/11/2020</t>
  </si>
  <si>
    <t>MFS-40763</t>
  </si>
  <si>
    <t>MFS-24805</t>
  </si>
  <si>
    <t>MFS-38673</t>
  </si>
  <si>
    <t>MFS-76748</t>
  </si>
  <si>
    <t>Hauwa Adewale</t>
  </si>
  <si>
    <t>MFS-87004</t>
  </si>
  <si>
    <t>MFS-73238</t>
  </si>
  <si>
    <t>MFS-70909</t>
  </si>
  <si>
    <t>MFS-88571</t>
  </si>
  <si>
    <t>MFS-53307</t>
  </si>
  <si>
    <t>MFS-34875</t>
  </si>
  <si>
    <t>MFS-15241</t>
  </si>
  <si>
    <t>22/01/2022</t>
  </si>
  <si>
    <t>MFS-22397</t>
  </si>
  <si>
    <t>MFS-49165</t>
  </si>
  <si>
    <t>MFS-99790</t>
  </si>
  <si>
    <t>15/12/2022</t>
  </si>
  <si>
    <t>MFS-51187</t>
  </si>
  <si>
    <t>MFS-16674</t>
  </si>
  <si>
    <t>Aliyu Taiwo</t>
  </si>
  <si>
    <t>MFS-37809</t>
  </si>
  <si>
    <t>11/08/2019</t>
  </si>
  <si>
    <t>MFS-47580</t>
  </si>
  <si>
    <t>31/10/2024</t>
  </si>
  <si>
    <t>MFS-26302</t>
  </si>
  <si>
    <t>MFS-38903</t>
  </si>
  <si>
    <t>MFS-92322</t>
  </si>
  <si>
    <t>Amaka Obaseki</t>
  </si>
  <si>
    <t>MFS-20008</t>
  </si>
  <si>
    <t>MFS-44850</t>
  </si>
  <si>
    <t>06/09/2021</t>
  </si>
  <si>
    <t>MFS-77773</t>
  </si>
  <si>
    <t>25/06/2024</t>
  </si>
  <si>
    <t>MFS-13501</t>
  </si>
  <si>
    <t>Adebayo Ihejirika</t>
  </si>
  <si>
    <t>23/08/2019</t>
  </si>
  <si>
    <t>MFS-73470</t>
  </si>
  <si>
    <t>Ramatu Musa</t>
  </si>
  <si>
    <t>MFS-96876</t>
  </si>
  <si>
    <t>Uloma Buhari</t>
  </si>
  <si>
    <t>MFS-69800</t>
  </si>
  <si>
    <t>MFS-45632</t>
  </si>
  <si>
    <t>06/04/2022</t>
  </si>
  <si>
    <t>MFS-39819</t>
  </si>
  <si>
    <t>09/10/2022</t>
  </si>
  <si>
    <t>MFS-46059</t>
  </si>
  <si>
    <t>Bimpe Omotayo</t>
  </si>
  <si>
    <t>MFS-85248</t>
  </si>
  <si>
    <t>Chinwe Abdullahi</t>
  </si>
  <si>
    <t>MFS-63799</t>
  </si>
  <si>
    <t>MFS-36804</t>
  </si>
  <si>
    <t>Seun Okafor</t>
  </si>
  <si>
    <t>11/09/2019</t>
  </si>
  <si>
    <t>MFS-39667</t>
  </si>
  <si>
    <t>MFS-29499</t>
  </si>
  <si>
    <t>MFS-68255</t>
  </si>
  <si>
    <t>28/03/2021</t>
  </si>
  <si>
    <t>MFS-26372</t>
  </si>
  <si>
    <t>Gbenga Okeke</t>
  </si>
  <si>
    <t>MFS-69087</t>
  </si>
  <si>
    <t>Biodun Okeke</t>
  </si>
  <si>
    <t>MFS-85365</t>
  </si>
  <si>
    <t>MFS-61852</t>
  </si>
  <si>
    <t>MFS-30024</t>
  </si>
  <si>
    <t>Dele Amadi</t>
  </si>
  <si>
    <t>08/04/2024</t>
  </si>
  <si>
    <t>MFS-97045</t>
  </si>
  <si>
    <t>Nana Buhari</t>
  </si>
  <si>
    <t>05/09/2023</t>
  </si>
  <si>
    <t>MFS-40708</t>
  </si>
  <si>
    <t>MFS-21674</t>
  </si>
  <si>
    <t>Hafsat Nduka</t>
  </si>
  <si>
    <t>MFS-99198</t>
  </si>
  <si>
    <t>MFS-32989</t>
  </si>
  <si>
    <t>MFS-92744</t>
  </si>
  <si>
    <t>Adeola Ihejirika</t>
  </si>
  <si>
    <t>MFS-12559</t>
  </si>
  <si>
    <t>MFS-51212</t>
  </si>
  <si>
    <t>MFS-54436</t>
  </si>
  <si>
    <t>Tobi Afolabi</t>
  </si>
  <si>
    <t>MFS-11398</t>
  </si>
  <si>
    <t>Musa Okonkwo</t>
  </si>
  <si>
    <t>MFS-36216</t>
  </si>
  <si>
    <t>MFS-97963</t>
  </si>
  <si>
    <t>Chidi Buhari</t>
  </si>
  <si>
    <t>13/09/2019</t>
  </si>
  <si>
    <t>MFS-87159</t>
  </si>
  <si>
    <t>Eze Nduka</t>
  </si>
  <si>
    <t>MFS-84667</t>
  </si>
  <si>
    <t>MFS-83658</t>
  </si>
  <si>
    <t>Kemi Buhari</t>
  </si>
  <si>
    <t>MFS-56153</t>
  </si>
  <si>
    <t>MFS-95193</t>
  </si>
  <si>
    <t>MFS-74282</t>
  </si>
  <si>
    <t>Adeola Danladi</t>
  </si>
  <si>
    <t>MFS-17700</t>
  </si>
  <si>
    <t>Oluwaseun Okonkwo</t>
  </si>
  <si>
    <t>MFS-15553</t>
  </si>
  <si>
    <t>MFS-45471</t>
  </si>
  <si>
    <t>Sola Okafor</t>
  </si>
  <si>
    <t>01/12/2019</t>
  </si>
  <si>
    <t>MFS-72739</t>
  </si>
  <si>
    <t>Rabiu Shehu</t>
  </si>
  <si>
    <t>MFS-95971</t>
  </si>
  <si>
    <t>MFS-15043</t>
  </si>
  <si>
    <t>MFS-79391</t>
  </si>
  <si>
    <t>Shade Adebayo</t>
  </si>
  <si>
    <t>MFS-72752</t>
  </si>
  <si>
    <t>MFS-11762</t>
  </si>
  <si>
    <t>MFS-84736</t>
  </si>
  <si>
    <t>17/02/2019</t>
  </si>
  <si>
    <t>MFS-64664</t>
  </si>
  <si>
    <t>Chukwuemeka Garba</t>
  </si>
  <si>
    <t>22/06/2019</t>
  </si>
  <si>
    <t>MFS-32091</t>
  </si>
  <si>
    <t>MFS-41891</t>
  </si>
  <si>
    <t>MFS-20022</t>
  </si>
  <si>
    <t>MFS-66049</t>
  </si>
  <si>
    <t>28/07/2021</t>
  </si>
  <si>
    <t>MFS-45476</t>
  </si>
  <si>
    <t>MFS-59411</t>
  </si>
  <si>
    <t>Seun Nnamdi</t>
  </si>
  <si>
    <t>MFS-47374</t>
  </si>
  <si>
    <t>MFS-59341</t>
  </si>
  <si>
    <t>MFS-78296</t>
  </si>
  <si>
    <t>MFS-22700</t>
  </si>
  <si>
    <t>MFS-71459</t>
  </si>
  <si>
    <t>Eze Shehu</t>
  </si>
  <si>
    <t>MFS-92659</t>
  </si>
  <si>
    <t>Ngozi Adeyemi</t>
  </si>
  <si>
    <t>MFS-35509</t>
  </si>
  <si>
    <t>15/11/2020</t>
  </si>
  <si>
    <t>MFS-61610</t>
  </si>
  <si>
    <t>04/01/2019</t>
  </si>
  <si>
    <t>MFS-93704</t>
  </si>
  <si>
    <t>Hafsat Yakubu</t>
  </si>
  <si>
    <t>MFS-49182</t>
  </si>
  <si>
    <t>MFS-49529</t>
  </si>
  <si>
    <t>MFS-28906</t>
  </si>
  <si>
    <t>15/10/2024</t>
  </si>
  <si>
    <t>MFS-35623</t>
  </si>
  <si>
    <t>MFS-10217</t>
  </si>
  <si>
    <t>MFS-14115</t>
  </si>
  <si>
    <t>MFS-23867</t>
  </si>
  <si>
    <t>MFS-59424</t>
  </si>
  <si>
    <t>27/08/2019</t>
  </si>
  <si>
    <t>MFS-49324</t>
  </si>
  <si>
    <t>MFS-53907</t>
  </si>
  <si>
    <t>MFS-16752</t>
  </si>
  <si>
    <t>MFS-49695</t>
  </si>
  <si>
    <t>MFS-62530</t>
  </si>
  <si>
    <t>MFS-70746</t>
  </si>
  <si>
    <t>Tunde Taiwo</t>
  </si>
  <si>
    <t>MFS-34039</t>
  </si>
  <si>
    <t>MFS-83913</t>
  </si>
  <si>
    <t>MFS-95263</t>
  </si>
  <si>
    <t>MFS-53891</t>
  </si>
  <si>
    <t>MFS-49084</t>
  </si>
  <si>
    <t>Eze Adewale</t>
  </si>
  <si>
    <t>MFS-18094</t>
  </si>
  <si>
    <t>MFS-17338</t>
  </si>
  <si>
    <t>Shade Shehu</t>
  </si>
  <si>
    <t>MFS-79827</t>
  </si>
  <si>
    <t>Falmata Nwosu</t>
  </si>
  <si>
    <t>MFS-15567</t>
  </si>
  <si>
    <t>Eze Ogbonna</t>
  </si>
  <si>
    <t>MFS-93067</t>
  </si>
  <si>
    <t>MFS-44321</t>
  </si>
  <si>
    <t>Chinwe Nwosu</t>
  </si>
  <si>
    <t>MFS-40700</t>
  </si>
  <si>
    <t>20/12/2020</t>
  </si>
  <si>
    <t>MFS-97552</t>
  </si>
  <si>
    <t>MFS-70339</t>
  </si>
  <si>
    <t>MFS-33910</t>
  </si>
  <si>
    <t>Chukwuemeka Obi</t>
  </si>
  <si>
    <t>MFS-49888</t>
  </si>
  <si>
    <t>MFS-56371</t>
  </si>
  <si>
    <t>MFS-75947</t>
  </si>
  <si>
    <t>MFS-30216</t>
  </si>
  <si>
    <t>Asabe Suleiman</t>
  </si>
  <si>
    <t>MFS-64262</t>
  </si>
  <si>
    <t>Chukwudi Adewale</t>
  </si>
  <si>
    <t>MFS-27537</t>
  </si>
  <si>
    <t>Bukola Obaseki</t>
  </si>
  <si>
    <t>17/03/2021</t>
  </si>
  <si>
    <t>MFS-10713</t>
  </si>
  <si>
    <t>Kabiru Bello</t>
  </si>
  <si>
    <t>MFS-25012</t>
  </si>
  <si>
    <t>MFS-45299</t>
  </si>
  <si>
    <t>MFS-98166</t>
  </si>
  <si>
    <t>MFS-75392</t>
  </si>
  <si>
    <t>MFS-86928</t>
  </si>
  <si>
    <t>MFS-33848</t>
  </si>
  <si>
    <t>MFS-85041</t>
  </si>
  <si>
    <t>Dele Ogundipe</t>
  </si>
  <si>
    <t>MFS-90276</t>
  </si>
  <si>
    <t>MFS-70178</t>
  </si>
  <si>
    <t>Nnamdi Adebayo</t>
  </si>
  <si>
    <t>MFS-76209</t>
  </si>
  <si>
    <t>Uche Adewale</t>
  </si>
  <si>
    <t>22/03/2023</t>
  </si>
  <si>
    <t>MFS-37568</t>
  </si>
  <si>
    <t>MFS-22675</t>
  </si>
  <si>
    <t>MFS-90922</t>
  </si>
  <si>
    <t>MFS-59112</t>
  </si>
  <si>
    <t>MFS-48116</t>
  </si>
  <si>
    <t>Seun Ihejirika</t>
  </si>
  <si>
    <t>MFS-21836</t>
  </si>
  <si>
    <t>MFS-52425</t>
  </si>
  <si>
    <t>Chiamaka Ihejirika</t>
  </si>
  <si>
    <t>MFS-92782</t>
  </si>
  <si>
    <t>MFS-27907</t>
  </si>
  <si>
    <t>15/02/2019</t>
  </si>
  <si>
    <t>MFS-36109</t>
  </si>
  <si>
    <t>MFS-35935</t>
  </si>
  <si>
    <t>MFS-42005</t>
  </si>
  <si>
    <t>MFS-50524</t>
  </si>
  <si>
    <t>MFS-58969</t>
  </si>
  <si>
    <t>MFS-85276</t>
  </si>
  <si>
    <t>MFS-19211</t>
  </si>
  <si>
    <t>MFS-46316</t>
  </si>
  <si>
    <t>MFS-75491</t>
  </si>
  <si>
    <t>15/05/2024</t>
  </si>
  <si>
    <t>MFS-68207</t>
  </si>
  <si>
    <t>MFS-54393</t>
  </si>
  <si>
    <t>Maryam Eze</t>
  </si>
  <si>
    <t>MFS-55838</t>
  </si>
  <si>
    <t>18/07/2024</t>
  </si>
  <si>
    <t>MFS-89785</t>
  </si>
  <si>
    <t>MFS-79133</t>
  </si>
  <si>
    <t>Tosin Bello</t>
  </si>
  <si>
    <t>MFS-74364</t>
  </si>
  <si>
    <t>MFS-79109</t>
  </si>
  <si>
    <t>MFS-93810</t>
  </si>
  <si>
    <t>17/05/2024</t>
  </si>
  <si>
    <t>MFS-74248</t>
  </si>
  <si>
    <t>Adaeze Ogbonna</t>
  </si>
  <si>
    <t>MFS-98460</t>
  </si>
  <si>
    <t>Wale Buhari</t>
  </si>
  <si>
    <t>MFS-54297</t>
  </si>
  <si>
    <t>Bukola Haruna</t>
  </si>
  <si>
    <t>MFS-85113</t>
  </si>
  <si>
    <t>MFS-89879</t>
  </si>
  <si>
    <t>Adeola Musa</t>
  </si>
  <si>
    <t>MFS-11512</t>
  </si>
  <si>
    <t>MFS-68003</t>
  </si>
  <si>
    <t>Femi Chukwu</t>
  </si>
  <si>
    <t>MFS-73620</t>
  </si>
  <si>
    <t>MFS-56089</t>
  </si>
  <si>
    <t>MFS-54193</t>
  </si>
  <si>
    <t>Hafsat Danladi</t>
  </si>
  <si>
    <t>MFS-83376</t>
  </si>
  <si>
    <t>MFS-20958</t>
  </si>
  <si>
    <t>MFS-70775</t>
  </si>
  <si>
    <t>Garba Afolabi</t>
  </si>
  <si>
    <t>03/06/2024</t>
  </si>
  <si>
    <t>MFS-20172</t>
  </si>
  <si>
    <t>Emeka Chukwu</t>
  </si>
  <si>
    <t>MFS-71491</t>
  </si>
  <si>
    <t>Emeka Adewale</t>
  </si>
  <si>
    <t>MFS-13380</t>
  </si>
  <si>
    <t>Ogechi Fagbemi</t>
  </si>
  <si>
    <t>MFS-99114</t>
  </si>
  <si>
    <t>Tosin Nwachukwu</t>
  </si>
  <si>
    <t>06/09/2020</t>
  </si>
  <si>
    <t>MFS-24336</t>
  </si>
  <si>
    <t>Folake Yakubu</t>
  </si>
  <si>
    <t>MFS-87812</t>
  </si>
  <si>
    <t>Chinedu Adeyemi</t>
  </si>
  <si>
    <t>MFS-45123</t>
  </si>
  <si>
    <t>MFS-80532</t>
  </si>
  <si>
    <t>Nasiru Obaseki</t>
  </si>
  <si>
    <t>MFS-10188</t>
  </si>
  <si>
    <t>Chinedu Okonkwo</t>
  </si>
  <si>
    <t>MFS-15347</t>
  </si>
  <si>
    <t>Chiamaka Okonkwo</t>
  </si>
  <si>
    <t>MFS-51269</t>
  </si>
  <si>
    <t>Funmilayo Coker</t>
  </si>
  <si>
    <t>MFS-56697</t>
  </si>
  <si>
    <t>Asabe Nduka</t>
  </si>
  <si>
    <t>30/03/2023</t>
  </si>
  <si>
    <t>MFS-41476</t>
  </si>
  <si>
    <t>23/10/2019</t>
  </si>
  <si>
    <t>MFS-36054</t>
  </si>
  <si>
    <t>MFS-17779</t>
  </si>
  <si>
    <t>MFS-12667</t>
  </si>
  <si>
    <t>MFS-18962</t>
  </si>
  <si>
    <t>MFS-69276</t>
  </si>
  <si>
    <t>MFS-32120</t>
  </si>
  <si>
    <t>MFS-69484</t>
  </si>
  <si>
    <t>Seun Lawal</t>
  </si>
  <si>
    <t>03/01/2025</t>
  </si>
  <si>
    <t>MFS-78442</t>
  </si>
  <si>
    <t>MFS-39619</t>
  </si>
  <si>
    <t>Ezinne Buhari</t>
  </si>
  <si>
    <t>MFS-78369</t>
  </si>
  <si>
    <t>Bello Ogbonna</t>
  </si>
  <si>
    <t>MFS-14552</t>
  </si>
  <si>
    <t>MFS-77770</t>
  </si>
  <si>
    <t>MFS-87999</t>
  </si>
  <si>
    <t>MFS-82017</t>
  </si>
  <si>
    <t>Chinedu Adewale</t>
  </si>
  <si>
    <t>MFS-28461</t>
  </si>
  <si>
    <t>MFS-23254</t>
  </si>
  <si>
    <t>MFS-19287</t>
  </si>
  <si>
    <t>MFS-41265</t>
  </si>
  <si>
    <t>Gbenga Omotayo</t>
  </si>
  <si>
    <t>MFS-92497</t>
  </si>
  <si>
    <t>Oluwaseun Nduka</t>
  </si>
  <si>
    <t>22/06/2022</t>
  </si>
  <si>
    <t>MFS-23687</t>
  </si>
  <si>
    <t>MFS-11118</t>
  </si>
  <si>
    <t>MFS-57278</t>
  </si>
  <si>
    <t>MFS-98256</t>
  </si>
  <si>
    <t>MFS-10396</t>
  </si>
  <si>
    <t>MFS-13724</t>
  </si>
  <si>
    <t>Shehu Musa</t>
  </si>
  <si>
    <t>MFS-64830</t>
  </si>
  <si>
    <t>MFS-60989</t>
  </si>
  <si>
    <t>MFS-20128</t>
  </si>
  <si>
    <t>Obiora Amadi</t>
  </si>
  <si>
    <t>MFS-28429</t>
  </si>
  <si>
    <t>MFS-45725</t>
  </si>
  <si>
    <t>Chiamaka Onwudiwe</t>
  </si>
  <si>
    <t>07/08/2019</t>
  </si>
  <si>
    <t>MFS-45320</t>
  </si>
  <si>
    <t>Nasiru Adeyemi</t>
  </si>
  <si>
    <t>06/02/2024</t>
  </si>
  <si>
    <t>MFS-62889</t>
  </si>
  <si>
    <t>Abubakar Bello</t>
  </si>
  <si>
    <t>MFS-98571</t>
  </si>
  <si>
    <t>MFS-90684</t>
  </si>
  <si>
    <t>MFS-19355</t>
  </si>
  <si>
    <t>Folake Shehu</t>
  </si>
  <si>
    <t>MFS-42072</t>
  </si>
  <si>
    <t>Eze Fagbemi</t>
  </si>
  <si>
    <t>MFS-48251</t>
  </si>
  <si>
    <t>MFS-37813</t>
  </si>
  <si>
    <t>MFS-87694</t>
  </si>
  <si>
    <t>Shehu Afolabi</t>
  </si>
  <si>
    <t>MFS-26232</t>
  </si>
  <si>
    <t>MFS-48626</t>
  </si>
  <si>
    <t>MFS-89932</t>
  </si>
  <si>
    <t>MFS-27058</t>
  </si>
  <si>
    <t>MFS-42624</t>
  </si>
  <si>
    <t>MFS-47026</t>
  </si>
  <si>
    <t>MFS-85749</t>
  </si>
  <si>
    <t>Bello Bello</t>
  </si>
  <si>
    <t>MFS-48568</t>
  </si>
  <si>
    <t>MFS-11178</t>
  </si>
  <si>
    <t>MFS-43330</t>
  </si>
  <si>
    <t>MFS-69396</t>
  </si>
  <si>
    <t>MFS-39532</t>
  </si>
  <si>
    <t>Chukwudi Okafor</t>
  </si>
  <si>
    <t>MFS-91385</t>
  </si>
  <si>
    <t>10/03/2022</t>
  </si>
  <si>
    <t>MFS-70664</t>
  </si>
  <si>
    <t>Bilkisu Okonkwo</t>
  </si>
  <si>
    <t>11/07/2022</t>
  </si>
  <si>
    <t>MFS-20374</t>
  </si>
  <si>
    <t>MFS-95302</t>
  </si>
  <si>
    <t>MFS-77414</t>
  </si>
  <si>
    <t>05/02/2019</t>
  </si>
  <si>
    <t>MFS-78313</t>
  </si>
  <si>
    <t>MFS-84714</t>
  </si>
  <si>
    <t>Ezinne Oyelaran</t>
  </si>
  <si>
    <t>MFS-30223</t>
  </si>
  <si>
    <t>MFS-94772</t>
  </si>
  <si>
    <t>Tosin Ihejirika</t>
  </si>
  <si>
    <t>MFS-53629</t>
  </si>
  <si>
    <t>Lola Nduka</t>
  </si>
  <si>
    <t>16/01/2023</t>
  </si>
  <si>
    <t>MFS-42079</t>
  </si>
  <si>
    <t>MFS-92336</t>
  </si>
  <si>
    <t>Shade Onwudiwe</t>
  </si>
  <si>
    <t>MFS-61007</t>
  </si>
  <si>
    <t>Haruna Okonkwo</t>
  </si>
  <si>
    <t>MFS-78315</t>
  </si>
  <si>
    <t>MFS-62506</t>
  </si>
  <si>
    <t>MFS-74303</t>
  </si>
  <si>
    <t>MFS-43166</t>
  </si>
  <si>
    <t>MFS-34619</t>
  </si>
  <si>
    <t>Oghenekaro Onwudiwe</t>
  </si>
  <si>
    <t>MFS-55205</t>
  </si>
  <si>
    <t>MFS-29908</t>
  </si>
  <si>
    <t>26/09/2022</t>
  </si>
  <si>
    <t>MFS-54990</t>
  </si>
  <si>
    <t>Titi Okeke</t>
  </si>
  <si>
    <t>MFS-44656</t>
  </si>
  <si>
    <t>12/03/2019</t>
  </si>
  <si>
    <t>MFS-95290</t>
  </si>
  <si>
    <t>MFS-25821</t>
  </si>
  <si>
    <t>MFS-11459</t>
  </si>
  <si>
    <t>Adeola Haruna</t>
  </si>
  <si>
    <t>MFS-16857</t>
  </si>
  <si>
    <t>Kemi Afolabi</t>
  </si>
  <si>
    <t>30/10/2019</t>
  </si>
  <si>
    <t>MFS-27400</t>
  </si>
  <si>
    <t>MFS-33631</t>
  </si>
  <si>
    <t>15/07/2022</t>
  </si>
  <si>
    <t>MFS-27443</t>
  </si>
  <si>
    <t>MFS-17255</t>
  </si>
  <si>
    <t>Bimpe Nnamdi</t>
  </si>
  <si>
    <t>14/09/2022</t>
  </si>
  <si>
    <t>MFS-54755</t>
  </si>
  <si>
    <t>11/04/2020</t>
  </si>
  <si>
    <t>MFS-43362</t>
  </si>
  <si>
    <t>MFS-31393</t>
  </si>
  <si>
    <t>MFS-42412</t>
  </si>
  <si>
    <t>MFS-85067</t>
  </si>
  <si>
    <t>Ogechi Obi</t>
  </si>
  <si>
    <t>MFS-65725</t>
  </si>
  <si>
    <t>MFS-54951</t>
  </si>
  <si>
    <t>MFS-18081</t>
  </si>
  <si>
    <t>MFS-69083</t>
  </si>
  <si>
    <t>MFS-79579</t>
  </si>
  <si>
    <t>Yemi Oyelaran</t>
  </si>
  <si>
    <t>MFS-46359</t>
  </si>
  <si>
    <t>MFS-67016</t>
  </si>
  <si>
    <t>Falmata Abdullahi</t>
  </si>
  <si>
    <t>MFS-40427</t>
  </si>
  <si>
    <t>Aliyu Nwachukwu</t>
  </si>
  <si>
    <t>MFS-41504</t>
  </si>
  <si>
    <t>MFS-42427</t>
  </si>
  <si>
    <t>MFS-61662</t>
  </si>
  <si>
    <t>Chinyere Buhari</t>
  </si>
  <si>
    <t>MFS-25379</t>
  </si>
  <si>
    <t>Funmilayo Ogundipe</t>
  </si>
  <si>
    <t>MFS-59505</t>
  </si>
  <si>
    <t>MFS-38632</t>
  </si>
  <si>
    <t>MFS-59428</t>
  </si>
  <si>
    <t>MFS-34398</t>
  </si>
  <si>
    <t>Rotimi Amadi</t>
  </si>
  <si>
    <t>MFS-41445</t>
  </si>
  <si>
    <t>Oluwaseun Oyelaran</t>
  </si>
  <si>
    <t>MFS-42654</t>
  </si>
  <si>
    <t>Nasiru Musa</t>
  </si>
  <si>
    <t>MFS-54224</t>
  </si>
  <si>
    <t>MFS-42533</t>
  </si>
  <si>
    <t>08/05/2020</t>
  </si>
  <si>
    <t>MFS-99453</t>
  </si>
  <si>
    <t>Hadiza Fagbemi</t>
  </si>
  <si>
    <t>MFS-13197</t>
  </si>
  <si>
    <t>MFS-19583</t>
  </si>
  <si>
    <t>MFS-49390</t>
  </si>
  <si>
    <t>MFS-33898</t>
  </si>
  <si>
    <t>MFS-37508</t>
  </si>
  <si>
    <t>MFS-21058</t>
  </si>
  <si>
    <t>Hadiza Taiwo</t>
  </si>
  <si>
    <t>MFS-96137</t>
  </si>
  <si>
    <t>Bimpe Garba</t>
  </si>
  <si>
    <t>MFS-74694</t>
  </si>
  <si>
    <t>MFS-24210</t>
  </si>
  <si>
    <t>13/11/2024</t>
  </si>
  <si>
    <t>MFS-42298</t>
  </si>
  <si>
    <t>Sola Danladi</t>
  </si>
  <si>
    <t>MFS-68477</t>
  </si>
  <si>
    <t>MFS-88910</t>
  </si>
  <si>
    <t>MFS-76719</t>
  </si>
  <si>
    <t>MFS-99196</t>
  </si>
  <si>
    <t>MFS-97460</t>
  </si>
  <si>
    <t>Adaeze Eze</t>
  </si>
  <si>
    <t>MFS-88412</t>
  </si>
  <si>
    <t>MFS-91885</t>
  </si>
  <si>
    <t>MFS-62671</t>
  </si>
  <si>
    <t>MFS-46178</t>
  </si>
  <si>
    <t>MFS-37931</t>
  </si>
  <si>
    <t>MFS-45510</t>
  </si>
  <si>
    <t>Ogechi Onwudiwe</t>
  </si>
  <si>
    <t>MFS-74673</t>
  </si>
  <si>
    <t>21/11/2019</t>
  </si>
  <si>
    <t>MFS-41276</t>
  </si>
  <si>
    <t>19/09/2019</t>
  </si>
  <si>
    <t>MFS-20479</t>
  </si>
  <si>
    <t>MFS-46758</t>
  </si>
  <si>
    <t>MFS-10746</t>
  </si>
  <si>
    <t>MFS-84363</t>
  </si>
  <si>
    <t>MFS-54113</t>
  </si>
  <si>
    <t>03/10/2024</t>
  </si>
  <si>
    <t>MFS-93587</t>
  </si>
  <si>
    <t>MFS-27200</t>
  </si>
  <si>
    <t>Bello Nwachukwu</t>
  </si>
  <si>
    <t>MFS-98462</t>
  </si>
  <si>
    <t>MFS-78083</t>
  </si>
  <si>
    <t>Yemi Bello</t>
  </si>
  <si>
    <t>MFS-25930</t>
  </si>
  <si>
    <t>Abubakar Lawal</t>
  </si>
  <si>
    <t>MFS-53257</t>
  </si>
  <si>
    <t>MFS-23665</t>
  </si>
  <si>
    <t>Uche Yakubu</t>
  </si>
  <si>
    <t>MFS-53221</t>
  </si>
  <si>
    <t>MFS-51408</t>
  </si>
  <si>
    <t>MFS-46620</t>
  </si>
  <si>
    <t>MFS-82842</t>
  </si>
  <si>
    <t>Suleiman Buhari</t>
  </si>
  <si>
    <t>MFS-38105</t>
  </si>
  <si>
    <t>Usman Ihejirika</t>
  </si>
  <si>
    <t>MFS-10540</t>
  </si>
  <si>
    <t>MFS-70712</t>
  </si>
  <si>
    <t>MFS-96116</t>
  </si>
  <si>
    <t>MFS-35798</t>
  </si>
  <si>
    <t>Rabiu Okeke</t>
  </si>
  <si>
    <t>MFS-26384</t>
  </si>
  <si>
    <t>Abubakar Ihejirika</t>
  </si>
  <si>
    <t>16/01/2021</t>
  </si>
  <si>
    <t>MFS-85377</t>
  </si>
  <si>
    <t>MFS-37955</t>
  </si>
  <si>
    <t>30/06/2024</t>
  </si>
  <si>
    <t>MFS-56005</t>
  </si>
  <si>
    <t>MFS-23379</t>
  </si>
  <si>
    <t>MFS-22395</t>
  </si>
  <si>
    <t>Titi Lawal</t>
  </si>
  <si>
    <t>MFS-36958</t>
  </si>
  <si>
    <t>MFS-54925</t>
  </si>
  <si>
    <t>MFS-70642</t>
  </si>
  <si>
    <t>MFS-39694</t>
  </si>
  <si>
    <t>MFS-23786</t>
  </si>
  <si>
    <t>Nkechi Nwosu</t>
  </si>
  <si>
    <t>MFS-42475</t>
  </si>
  <si>
    <t>MFS-98765</t>
  </si>
  <si>
    <t>Bilkisu Suleiman</t>
  </si>
  <si>
    <t>MFS-69049</t>
  </si>
  <si>
    <t>Sola Adewale</t>
  </si>
  <si>
    <t>MFS-67796</t>
  </si>
  <si>
    <t>MFS-73190</t>
  </si>
  <si>
    <t>MFS-37983</t>
  </si>
  <si>
    <t>Rukayya Adebayo</t>
  </si>
  <si>
    <t>MFS-12714</t>
  </si>
  <si>
    <t>MFS-69050</t>
  </si>
  <si>
    <t>MFS-17206</t>
  </si>
  <si>
    <t>MFS-39627</t>
  </si>
  <si>
    <t>Ngozi Obi</t>
  </si>
  <si>
    <t>MFS-60747</t>
  </si>
  <si>
    <t>MFS-93942</t>
  </si>
  <si>
    <t>MFS-16079</t>
  </si>
  <si>
    <t>MFS-54671</t>
  </si>
  <si>
    <t>Ngozi Musa</t>
  </si>
  <si>
    <t>01/09/2021</t>
  </si>
  <si>
    <t>MFS-65306</t>
  </si>
  <si>
    <t>Bilkisu Lawal</t>
  </si>
  <si>
    <t>MFS-60398</t>
  </si>
  <si>
    <t>MFS-10947</t>
  </si>
  <si>
    <t>Chioma Nwachukwu</t>
  </si>
  <si>
    <t>MFS-19178</t>
  </si>
  <si>
    <t>MFS-74223</t>
  </si>
  <si>
    <t>Yetunde Adebayo</t>
  </si>
  <si>
    <t>MFS-26380</t>
  </si>
  <si>
    <t>Chukwudi Lawal</t>
  </si>
  <si>
    <t>MFS-93964</t>
  </si>
  <si>
    <t>MFS-65985</t>
  </si>
  <si>
    <t>MFS-73622</t>
  </si>
  <si>
    <t>14/06/2023</t>
  </si>
  <si>
    <t>MFS-60242</t>
  </si>
  <si>
    <t>Asabe Bello</t>
  </si>
  <si>
    <t>MFS-23491</t>
  </si>
  <si>
    <t>MFS-70372</t>
  </si>
  <si>
    <t>Damilola Abdullahi</t>
  </si>
  <si>
    <t>MFS-82919</t>
  </si>
  <si>
    <t>30/04/2019</t>
  </si>
  <si>
    <t>MFS-22169</t>
  </si>
  <si>
    <t>MFS-32567</t>
  </si>
  <si>
    <t>Chiamaka Obaseki</t>
  </si>
  <si>
    <t>MFS-99127</t>
  </si>
  <si>
    <t>Abubakar Oyelaran</t>
  </si>
  <si>
    <t>MFS-68971</t>
  </si>
  <si>
    <t>MFS-87098</t>
  </si>
  <si>
    <t>01/12/2024</t>
  </si>
  <si>
    <t>MFS-38246</t>
  </si>
  <si>
    <t>MFS-57369</t>
  </si>
  <si>
    <t>Oluwaseun Abdullahi</t>
  </si>
  <si>
    <t>MFS-30027</t>
  </si>
  <si>
    <t>Ifeoma Suleiman</t>
  </si>
  <si>
    <t>20/07/2024</t>
  </si>
  <si>
    <t>MFS-65993</t>
  </si>
  <si>
    <t>MFS-40107</t>
  </si>
  <si>
    <t>MFS-38893</t>
  </si>
  <si>
    <t>MFS-25046</t>
  </si>
  <si>
    <t>MFS-56578</t>
  </si>
  <si>
    <t>Chibuike Oyelaran</t>
  </si>
  <si>
    <t>MFS-71814</t>
  </si>
  <si>
    <t>Aisha Uba</t>
  </si>
  <si>
    <t>MFS-50721</t>
  </si>
  <si>
    <t>MFS-85655</t>
  </si>
  <si>
    <t>Chukwuemeka Adeyemi</t>
  </si>
  <si>
    <t>MFS-88840</t>
  </si>
  <si>
    <t>MFS-31878</t>
  </si>
  <si>
    <t>MFS-11718</t>
  </si>
  <si>
    <t>MFS-18834</t>
  </si>
  <si>
    <t>MFS-14137</t>
  </si>
  <si>
    <t>Shehu Omotayo</t>
  </si>
  <si>
    <t>20/05/2023</t>
  </si>
  <si>
    <t>MFS-38471</t>
  </si>
  <si>
    <t>MFS-79471</t>
  </si>
  <si>
    <t>MFS-39450</t>
  </si>
  <si>
    <t>MFS-86966</t>
  </si>
  <si>
    <t>MFS-13778</t>
  </si>
  <si>
    <t>MFS-53790</t>
  </si>
  <si>
    <t>Laraba Suleiman</t>
  </si>
  <si>
    <t>MFS-39921</t>
  </si>
  <si>
    <t>MFS-24617</t>
  </si>
  <si>
    <t>Adaeze Amadi</t>
  </si>
  <si>
    <t>MFS-44472</t>
  </si>
  <si>
    <t>MFS-72703</t>
  </si>
  <si>
    <t>Chukwudi Garba</t>
  </si>
  <si>
    <t>MFS-51771</t>
  </si>
  <si>
    <t>Nasiru Abdullahi</t>
  </si>
  <si>
    <t>23/01/2024</t>
  </si>
  <si>
    <t>MFS-62022</t>
  </si>
  <si>
    <t>Femi Musa</t>
  </si>
  <si>
    <t>MFS-21548</t>
  </si>
  <si>
    <t>MFS-54051</t>
  </si>
  <si>
    <t>MFS-95140</t>
  </si>
  <si>
    <t>MFS-64461</t>
  </si>
  <si>
    <t>Damilola Lawal</t>
  </si>
  <si>
    <t>MFS-37555</t>
  </si>
  <si>
    <t>MFS-39919</t>
  </si>
  <si>
    <t>Chinedu Garba</t>
  </si>
  <si>
    <t>MFS-72939</t>
  </si>
  <si>
    <t>17/09/2023</t>
  </si>
  <si>
    <t>MFS-83819</t>
  </si>
  <si>
    <t>MFS-70266</t>
  </si>
  <si>
    <t>MFS-20828</t>
  </si>
  <si>
    <t>Falmata Taiwo</t>
  </si>
  <si>
    <t>19/09/2020</t>
  </si>
  <si>
    <t>MFS-93783</t>
  </si>
  <si>
    <t>Ifeanyi Okonkwo</t>
  </si>
  <si>
    <t>MFS-67430</t>
  </si>
  <si>
    <t>MFS-41821</t>
  </si>
  <si>
    <t>MFS-65572</t>
  </si>
  <si>
    <t>MFS-86067</t>
  </si>
  <si>
    <t>MFS-42516</t>
  </si>
  <si>
    <t>MFS-14324</t>
  </si>
  <si>
    <t>Babatunde Obi</t>
  </si>
  <si>
    <t>MFS-89580</t>
  </si>
  <si>
    <t>MFS-36432</t>
  </si>
  <si>
    <t>Suleiman Okonkwo</t>
  </si>
  <si>
    <t>MFS-10409</t>
  </si>
  <si>
    <t>Ibrahim Ihejirika</t>
  </si>
  <si>
    <t>MFS-85579</t>
  </si>
  <si>
    <t>MFS-16025</t>
  </si>
  <si>
    <t>Musa Yakubu</t>
  </si>
  <si>
    <t>MFS-16285</t>
  </si>
  <si>
    <t>Ifeanyi Abdullahi</t>
  </si>
  <si>
    <t>MFS-94603</t>
  </si>
  <si>
    <t>MFS-27106</t>
  </si>
  <si>
    <t>Chibuike Aliyu</t>
  </si>
  <si>
    <t>MFS-22527</t>
  </si>
  <si>
    <t>MFS-93584</t>
  </si>
  <si>
    <t>MFS-33209</t>
  </si>
  <si>
    <t>MFS-56617</t>
  </si>
  <si>
    <t>Bilkisu Oyelaran</t>
  </si>
  <si>
    <t>MFS-23261</t>
  </si>
  <si>
    <t>Jummai Uba</t>
  </si>
  <si>
    <t>MFS-40116</t>
  </si>
  <si>
    <t>MFS-74070</t>
  </si>
  <si>
    <t>MFS-31802</t>
  </si>
  <si>
    <t>MFS-30278</t>
  </si>
  <si>
    <t>MFS-81390</t>
  </si>
  <si>
    <t>MFS-82019</t>
  </si>
  <si>
    <t>Emeka Uba</t>
  </si>
  <si>
    <t>MFS-69182</t>
  </si>
  <si>
    <t>MFS-59438</t>
  </si>
  <si>
    <t>MFS-79446</t>
  </si>
  <si>
    <t>Yetunde Obi</t>
  </si>
  <si>
    <t>MFS-61894</t>
  </si>
  <si>
    <t>MFS-13966</t>
  </si>
  <si>
    <t>MFS-81939</t>
  </si>
  <si>
    <t>MFS-78650</t>
  </si>
  <si>
    <t>MFS-23521</t>
  </si>
  <si>
    <t>MFS-12144</t>
  </si>
  <si>
    <t>MFS-84864</t>
  </si>
  <si>
    <t>MFS-34799</t>
  </si>
  <si>
    <t>MFS-87499</t>
  </si>
  <si>
    <t>Yemi Omotayo</t>
  </si>
  <si>
    <t>MFS-48219</t>
  </si>
  <si>
    <t>Ronke Ogundipe</t>
  </si>
  <si>
    <t>MFS-83352</t>
  </si>
  <si>
    <t>MFS-49625</t>
  </si>
  <si>
    <t>MFS-79378</t>
  </si>
  <si>
    <t>20/05/2022</t>
  </si>
  <si>
    <t>MFS-85781</t>
  </si>
  <si>
    <t>MFS-70357</t>
  </si>
  <si>
    <t>MFS-83781</t>
  </si>
  <si>
    <t>MFS-96203</t>
  </si>
  <si>
    <t>MFS-46136</t>
  </si>
  <si>
    <t>Tobi Ogundipe</t>
  </si>
  <si>
    <t>MFS-86247</t>
  </si>
  <si>
    <t>MFS-19545</t>
  </si>
  <si>
    <t>MFS-21147</t>
  </si>
  <si>
    <t>MFS-52872</t>
  </si>
  <si>
    <t>MFS-13680</t>
  </si>
  <si>
    <t>Abubakar Taiwo</t>
  </si>
  <si>
    <t>MFS-87174</t>
  </si>
  <si>
    <t>MFS-84948</t>
  </si>
  <si>
    <t>MFS-58188</t>
  </si>
  <si>
    <t>Biodun Afolabi</t>
  </si>
  <si>
    <t>MFS-82542</t>
  </si>
  <si>
    <t>MFS-62076</t>
  </si>
  <si>
    <t>Shehu Adeyemi</t>
  </si>
  <si>
    <t>MFS-52361</t>
  </si>
  <si>
    <t>Maryam Ogundipe</t>
  </si>
  <si>
    <t>MFS-37962</t>
  </si>
  <si>
    <t>Bukola Ogbonna</t>
  </si>
  <si>
    <t>MFS-37268</t>
  </si>
  <si>
    <t>Adaora Amadi</t>
  </si>
  <si>
    <t>MFS-83229</t>
  </si>
  <si>
    <t>MFS-21428</t>
  </si>
  <si>
    <t>MFS-92441</t>
  </si>
  <si>
    <t>Nnamdi Ihejirika</t>
  </si>
  <si>
    <t>25/03/2025</t>
  </si>
  <si>
    <t>MFS-12318</t>
  </si>
  <si>
    <t>Ifeoma Adebayo</t>
  </si>
  <si>
    <t>MFS-83997</t>
  </si>
  <si>
    <t>Bilkisu Nduka</t>
  </si>
  <si>
    <t>MFS-88091</t>
  </si>
  <si>
    <t>MFS-49227</t>
  </si>
  <si>
    <t>MFS-30290</t>
  </si>
  <si>
    <t>Yakubu Omotayo</t>
  </si>
  <si>
    <t>MFS-48697</t>
  </si>
  <si>
    <t>Hadiza Okafor</t>
  </si>
  <si>
    <t>MFS-91825</t>
  </si>
  <si>
    <t>MFS-90260</t>
  </si>
  <si>
    <t>27/03/2024</t>
  </si>
  <si>
    <t>MFS-98736</t>
  </si>
  <si>
    <t>MFS-30807</t>
  </si>
  <si>
    <t>MFS-11403</t>
  </si>
  <si>
    <t>03/03/2025</t>
  </si>
  <si>
    <t>MFS-42214</t>
  </si>
  <si>
    <t>MFS-33303</t>
  </si>
  <si>
    <t>MFS-26728</t>
  </si>
  <si>
    <t>Ifeoma Aliyu</t>
  </si>
  <si>
    <t>MFS-68498</t>
  </si>
  <si>
    <t>Ramatu Suleiman</t>
  </si>
  <si>
    <t>MFS-30415</t>
  </si>
  <si>
    <t>Biodun Adewale</t>
  </si>
  <si>
    <t>MFS-16743</t>
  </si>
  <si>
    <t>MFS-78057</t>
  </si>
  <si>
    <t>MFS-70406</t>
  </si>
  <si>
    <t>MFS-20752</t>
  </si>
  <si>
    <t>Nana Uba</t>
  </si>
  <si>
    <t>MFS-96451</t>
  </si>
  <si>
    <t>MFS-51796</t>
  </si>
  <si>
    <t>Sola Ogundipe</t>
  </si>
  <si>
    <t>MFS-33132</t>
  </si>
  <si>
    <t>MFS-93634</t>
  </si>
  <si>
    <t>MFS-30332</t>
  </si>
  <si>
    <t>MFS-71040</t>
  </si>
  <si>
    <t>MFS-21060</t>
  </si>
  <si>
    <t>MFS-74144</t>
  </si>
  <si>
    <t>Lanre Ogbonna</t>
  </si>
  <si>
    <t>MFS-82116</t>
  </si>
  <si>
    <t>Hafsat Lawal</t>
  </si>
  <si>
    <t>MFS-15781</t>
  </si>
  <si>
    <t>MFS-40402</t>
  </si>
  <si>
    <t>Obiora Aliyu</t>
  </si>
  <si>
    <t>23/07/2019</t>
  </si>
  <si>
    <t>MFS-76500</t>
  </si>
  <si>
    <t>MFS-29879</t>
  </si>
  <si>
    <t>MFS-52431</t>
  </si>
  <si>
    <t>Damilola Amadi</t>
  </si>
  <si>
    <t>MFS-96543</t>
  </si>
  <si>
    <t>Uloma Shehu</t>
  </si>
  <si>
    <t>MFS-27132</t>
  </si>
  <si>
    <t>Emeka Nnamdi</t>
  </si>
  <si>
    <t>MFS-10256</t>
  </si>
  <si>
    <t>Chioma Nwosu</t>
  </si>
  <si>
    <t>MFS-46941</t>
  </si>
  <si>
    <t>Yemi Nduka</t>
  </si>
  <si>
    <t>MFS-36501</t>
  </si>
  <si>
    <t>Asabe Amadi</t>
  </si>
  <si>
    <t>MFS-79914</t>
  </si>
  <si>
    <t>MFS-89292</t>
  </si>
  <si>
    <t>MFS-80307</t>
  </si>
  <si>
    <t>MFS-10572</t>
  </si>
  <si>
    <t>Titi Danladi</t>
  </si>
  <si>
    <t>MFS-28435</t>
  </si>
  <si>
    <t>Kunle Garba</t>
  </si>
  <si>
    <t>MFS-66836</t>
  </si>
  <si>
    <t>13/01/2021</t>
  </si>
  <si>
    <t>MFS-66369</t>
  </si>
  <si>
    <t>12/10/2020</t>
  </si>
  <si>
    <t>MFS-41372</t>
  </si>
  <si>
    <t>MFS-48871</t>
  </si>
  <si>
    <t>MFS-86442</t>
  </si>
  <si>
    <t>MFS-90813</t>
  </si>
  <si>
    <t>MFS-48290</t>
  </si>
  <si>
    <t>Chinyere Danladi</t>
  </si>
  <si>
    <t>13/01/2020</t>
  </si>
  <si>
    <t>MFS-16265</t>
  </si>
  <si>
    <t>MFS-87735</t>
  </si>
  <si>
    <t>MFS-68001</t>
  </si>
  <si>
    <t>22/10/2019</t>
  </si>
  <si>
    <t>MFS-58444</t>
  </si>
  <si>
    <t>MFS-80969</t>
  </si>
  <si>
    <t>MFS-11303</t>
  </si>
  <si>
    <t>Chinwe Musa</t>
  </si>
  <si>
    <t>17/01/2025</t>
  </si>
  <si>
    <t>MFS-63270</t>
  </si>
  <si>
    <t>11/02/2019</t>
  </si>
  <si>
    <t>MFS-28110</t>
  </si>
  <si>
    <t>MFS-69822</t>
  </si>
  <si>
    <t>MFS-87560</t>
  </si>
  <si>
    <t>Jummai Danladi</t>
  </si>
  <si>
    <t>MFS-42688</t>
  </si>
  <si>
    <t>MFS-14180</t>
  </si>
  <si>
    <t>MFS-94355</t>
  </si>
  <si>
    <t>Ngozi Garba</t>
  </si>
  <si>
    <t>MFS-74876</t>
  </si>
  <si>
    <t>29/05/2020</t>
  </si>
  <si>
    <t>MFS-31775</t>
  </si>
  <si>
    <t>MFS-12837</t>
  </si>
  <si>
    <t>17/05/2023</t>
  </si>
  <si>
    <t>MFS-92044</t>
  </si>
  <si>
    <t>MFS-94525</t>
  </si>
  <si>
    <t>Ikenna Adewale</t>
  </si>
  <si>
    <t>MFS-37398</t>
  </si>
  <si>
    <t>MFS-96900</t>
  </si>
  <si>
    <t>MFS-58751</t>
  </si>
  <si>
    <t>MFS-85263</t>
  </si>
  <si>
    <t>MFS-17987</t>
  </si>
  <si>
    <t>MFS-28541</t>
  </si>
  <si>
    <t>Bukola Garba</t>
  </si>
  <si>
    <t>MFS-36980</t>
  </si>
  <si>
    <t>21/02/2024</t>
  </si>
  <si>
    <t>MFS-44012</t>
  </si>
  <si>
    <t>MFS-17019</t>
  </si>
  <si>
    <t>MFS-85392</t>
  </si>
  <si>
    <t>MFS-82727</t>
  </si>
  <si>
    <t>Dele Bello</t>
  </si>
  <si>
    <t>MFS-90353</t>
  </si>
  <si>
    <t>MFS-89407</t>
  </si>
  <si>
    <t>Rotimi Eze</t>
  </si>
  <si>
    <t>MFS-92649</t>
  </si>
  <si>
    <t>Maryam Fagbemi</t>
  </si>
  <si>
    <t>MFS-45896</t>
  </si>
  <si>
    <t>MFS-66464</t>
  </si>
  <si>
    <t>MFS-42706</t>
  </si>
  <si>
    <t>MFS-46952</t>
  </si>
  <si>
    <t>01/12/2023</t>
  </si>
  <si>
    <t>MFS-82337</t>
  </si>
  <si>
    <t>MFS-24756</t>
  </si>
  <si>
    <t>MFS-35580</t>
  </si>
  <si>
    <t>MFS-30070</t>
  </si>
  <si>
    <t>MFS-94319</t>
  </si>
  <si>
    <t>MFS-85486</t>
  </si>
  <si>
    <t>Tosin Shehu</t>
  </si>
  <si>
    <t>MFS-89254</t>
  </si>
  <si>
    <t>Shehu Oyelaran</t>
  </si>
  <si>
    <t>MFS-48304</t>
  </si>
  <si>
    <t>17/03/2020</t>
  </si>
  <si>
    <t>MFS-82918</t>
  </si>
  <si>
    <t>MFS-26066</t>
  </si>
  <si>
    <t>MFS-14470</t>
  </si>
  <si>
    <t>MFS-69906</t>
  </si>
  <si>
    <t>MFS-20311</t>
  </si>
  <si>
    <t>MFS-40278</t>
  </si>
  <si>
    <t>MFS-35167</t>
  </si>
  <si>
    <t>Ibrahim Nwosu</t>
  </si>
  <si>
    <t>MFS-84461</t>
  </si>
  <si>
    <t>MFS-53773</t>
  </si>
  <si>
    <t>MFS-86072</t>
  </si>
  <si>
    <t>MFS-49627</t>
  </si>
  <si>
    <t>Obiora Eze</t>
  </si>
  <si>
    <t>MFS-86630</t>
  </si>
  <si>
    <t>MFS-93032</t>
  </si>
  <si>
    <t>Nnamdi Shehu</t>
  </si>
  <si>
    <t>MFS-42576</t>
  </si>
  <si>
    <t>Nnamdi Adeyemi</t>
  </si>
  <si>
    <t>MFS-43592</t>
  </si>
  <si>
    <t>Adeola Coker</t>
  </si>
  <si>
    <t>MFS-72629</t>
  </si>
  <si>
    <t>15/11/2023</t>
  </si>
  <si>
    <t>MFS-78995</t>
  </si>
  <si>
    <t>MFS-87809</t>
  </si>
  <si>
    <t>MFS-92038</t>
  </si>
  <si>
    <t>Kabiru Lawal</t>
  </si>
  <si>
    <t>MFS-51713</t>
  </si>
  <si>
    <t>Kabiru Adebayo</t>
  </si>
  <si>
    <t>MFS-61096</t>
  </si>
  <si>
    <t>19/11/2021</t>
  </si>
  <si>
    <t>MFS-68840</t>
  </si>
  <si>
    <t>Eze Nwosu</t>
  </si>
  <si>
    <t>MFS-45162</t>
  </si>
  <si>
    <t>Ifeanyi Adewale</t>
  </si>
  <si>
    <t>MFS-61611</t>
  </si>
  <si>
    <t>Bilkisu Nwosu</t>
  </si>
  <si>
    <t>MFS-28451</t>
  </si>
  <si>
    <t>MFS-27644</t>
  </si>
  <si>
    <t>MFS-44172</t>
  </si>
  <si>
    <t>Laraba Okonkwo</t>
  </si>
  <si>
    <t>MFS-51697</t>
  </si>
  <si>
    <t>MFS-88997</t>
  </si>
  <si>
    <t>MFS-46625</t>
  </si>
  <si>
    <t>MFS-50010</t>
  </si>
  <si>
    <t>MFS-45438</t>
  </si>
  <si>
    <t>Maryam Taiwo</t>
  </si>
  <si>
    <t>MFS-64511</t>
  </si>
  <si>
    <t>MFS-31447</t>
  </si>
  <si>
    <t>MFS-85255</t>
  </si>
  <si>
    <t>MFS-81158</t>
  </si>
  <si>
    <t>MFS-96328</t>
  </si>
  <si>
    <t>MFS-74777</t>
  </si>
  <si>
    <t>MFS-39729</t>
  </si>
  <si>
    <t>MFS-14325</t>
  </si>
  <si>
    <t>MFS-94048</t>
  </si>
  <si>
    <t>Ibrahim Onwudiwe</t>
  </si>
  <si>
    <t>MFS-60616</t>
  </si>
  <si>
    <t>Kemi Adebayo</t>
  </si>
  <si>
    <t>18/11/2021</t>
  </si>
  <si>
    <t>MFS-69877</t>
  </si>
  <si>
    <t>MFS-35085</t>
  </si>
  <si>
    <t>MFS-75176</t>
  </si>
  <si>
    <t>MFS-76352</t>
  </si>
  <si>
    <t>Funmilayo Adewale</t>
  </si>
  <si>
    <t>MFS-83800</t>
  </si>
  <si>
    <t>Ikenna Nwosu</t>
  </si>
  <si>
    <t>MFS-97483</t>
  </si>
  <si>
    <t>MFS-71917</t>
  </si>
  <si>
    <t>MFS-31880</t>
  </si>
  <si>
    <t>MFS-14378</t>
  </si>
  <si>
    <t>Ngozi Nduka</t>
  </si>
  <si>
    <t>MFS-69946</t>
  </si>
  <si>
    <t>MFS-32865</t>
  </si>
  <si>
    <t>Falmata Oyelaran</t>
  </si>
  <si>
    <t>21/03/2021</t>
  </si>
  <si>
    <t>MFS-35311</t>
  </si>
  <si>
    <t>Asabe Chukwu</t>
  </si>
  <si>
    <t>MFS-96198</t>
  </si>
  <si>
    <t>MFS-62052</t>
  </si>
  <si>
    <t>Chukwuemeka Taiwo</t>
  </si>
  <si>
    <t>MFS-63616</t>
  </si>
  <si>
    <t>MFS-39740</t>
  </si>
  <si>
    <t>Aliyu Omotayo</t>
  </si>
  <si>
    <t>MFS-78287</t>
  </si>
  <si>
    <t>MFS-41268</t>
  </si>
  <si>
    <t>MFS-63636</t>
  </si>
  <si>
    <t>MFS-87354</t>
  </si>
  <si>
    <t>MFS-13666</t>
  </si>
  <si>
    <t>Oghenekaro Musa</t>
  </si>
  <si>
    <t>MFS-23711</t>
  </si>
  <si>
    <t>MFS-65277</t>
  </si>
  <si>
    <t>MFS-93974</t>
  </si>
  <si>
    <t>MFS-83681</t>
  </si>
  <si>
    <t>MFS-15695</t>
  </si>
  <si>
    <t>MFS-11540</t>
  </si>
  <si>
    <t>Lanre Okonkwo</t>
  </si>
  <si>
    <t>MFS-56770</t>
  </si>
  <si>
    <t>MFS-62127</t>
  </si>
  <si>
    <t>Amaka Adebayo</t>
  </si>
  <si>
    <t>MFS-94685</t>
  </si>
  <si>
    <t>MFS-93118</t>
  </si>
  <si>
    <t>Ronke Chukwu</t>
  </si>
  <si>
    <t>MFS-42141</t>
  </si>
  <si>
    <t>Abubakar Chukwu</t>
  </si>
  <si>
    <t>MFS-95287</t>
  </si>
  <si>
    <t>MFS-40992</t>
  </si>
  <si>
    <t>MFS-47061</t>
  </si>
  <si>
    <t>MFS-52870</t>
  </si>
  <si>
    <t>MFS-14155</t>
  </si>
  <si>
    <t>MFS-72574</t>
  </si>
  <si>
    <t>MFS-50040</t>
  </si>
  <si>
    <t>Babatunde Afolabi</t>
  </si>
  <si>
    <t>MFS-34355</t>
  </si>
  <si>
    <t>MFS-47051</t>
  </si>
  <si>
    <t>MFS-96382</t>
  </si>
  <si>
    <t>MFS-55989</t>
  </si>
  <si>
    <t>MFS-20671</t>
  </si>
  <si>
    <t>28/03/2025</t>
  </si>
  <si>
    <t>MFS-97343</t>
  </si>
  <si>
    <t>Adaora Aliyu</t>
  </si>
  <si>
    <t>MFS-12871</t>
  </si>
  <si>
    <t>Hafsat Oyelaran</t>
  </si>
  <si>
    <t>MFS-74219</t>
  </si>
  <si>
    <t>MFS-92163</t>
  </si>
  <si>
    <t>MFS-59842</t>
  </si>
  <si>
    <t>MFS-87459</t>
  </si>
  <si>
    <t>MFS-81447</t>
  </si>
  <si>
    <t>Yakubu Lawal</t>
  </si>
  <si>
    <t>MFS-43717</t>
  </si>
  <si>
    <t>MFS-39556</t>
  </si>
  <si>
    <t>04/06/2020</t>
  </si>
  <si>
    <t>MFS-83200</t>
  </si>
  <si>
    <t>Bukola Danladi</t>
  </si>
  <si>
    <t>MFS-73691</t>
  </si>
  <si>
    <t>MFS-90478</t>
  </si>
  <si>
    <t>MFS-90526</t>
  </si>
  <si>
    <t>MFS-54642</t>
  </si>
  <si>
    <t>MFS-90008</t>
  </si>
  <si>
    <t>Yetunde Chukwu</t>
  </si>
  <si>
    <t>MFS-69714</t>
  </si>
  <si>
    <t>24/02/2020</t>
  </si>
  <si>
    <t>MFS-29857</t>
  </si>
  <si>
    <t>Uloma Onwudiwe</t>
  </si>
  <si>
    <t>MFS-89818</t>
  </si>
  <si>
    <t>Asabe Haruna</t>
  </si>
  <si>
    <t>MFS-42755</t>
  </si>
  <si>
    <t>MFS-20202</t>
  </si>
  <si>
    <t>MFS-52163</t>
  </si>
  <si>
    <t>Usman Taiwo</t>
  </si>
  <si>
    <t>MFS-67917</t>
  </si>
  <si>
    <t>MFS-14845</t>
  </si>
  <si>
    <t>MFS-56803</t>
  </si>
  <si>
    <t>Obiora Afolabi</t>
  </si>
  <si>
    <t>MFS-98188</t>
  </si>
  <si>
    <t>Folake Nwosu</t>
  </si>
  <si>
    <t>MFS-74998</t>
  </si>
  <si>
    <t>Uche Abdullahi</t>
  </si>
  <si>
    <t>MFS-21409</t>
  </si>
  <si>
    <t>MFS-87037</t>
  </si>
  <si>
    <t>15/03/2024</t>
  </si>
  <si>
    <t>MFS-91183</t>
  </si>
  <si>
    <t>MFS-95411</t>
  </si>
  <si>
    <t>MFS-62633</t>
  </si>
  <si>
    <t>MFS-35830</t>
  </si>
  <si>
    <t>MFS-73945</t>
  </si>
  <si>
    <t>MFS-87264</t>
  </si>
  <si>
    <t>MFS-14602</t>
  </si>
  <si>
    <t>MFS-47615</t>
  </si>
  <si>
    <t>MFS-73600</t>
  </si>
  <si>
    <t>MFS-59658</t>
  </si>
  <si>
    <t>MFS-52073</t>
  </si>
  <si>
    <t>Chukwuemeka Nduka</t>
  </si>
  <si>
    <t>MFS-65511</t>
  </si>
  <si>
    <t>Tunde Lawal</t>
  </si>
  <si>
    <t>MFS-90221</t>
  </si>
  <si>
    <t>MFS-21328</t>
  </si>
  <si>
    <t>Aliyu Garba</t>
  </si>
  <si>
    <t>17/10/2022</t>
  </si>
  <si>
    <t>MFS-26884</t>
  </si>
  <si>
    <t>MFS-68753</t>
  </si>
  <si>
    <t>Adaeze Uba</t>
  </si>
  <si>
    <t>MFS-62629</t>
  </si>
  <si>
    <t>MFS-30614</t>
  </si>
  <si>
    <t>MFS-36139</t>
  </si>
  <si>
    <t>MFS-32497</t>
  </si>
  <si>
    <t>04/02/2021</t>
  </si>
  <si>
    <t>MFS-54599</t>
  </si>
  <si>
    <t>Nasiru Okeke</t>
  </si>
  <si>
    <t>MFS-49480</t>
  </si>
  <si>
    <t>MFS-16260</t>
  </si>
  <si>
    <t>MFS-68079</t>
  </si>
  <si>
    <t>MFS-55739</t>
  </si>
  <si>
    <t>MFS-27511</t>
  </si>
  <si>
    <t>MFS-67310</t>
  </si>
  <si>
    <t>Falmata Okafor</t>
  </si>
  <si>
    <t>MFS-33624</t>
  </si>
  <si>
    <t>MFS-78971</t>
  </si>
  <si>
    <t>MFS-46318</t>
  </si>
  <si>
    <t>MFS-67951</t>
  </si>
  <si>
    <t>MFS-22279</t>
  </si>
  <si>
    <t>MFS-88647</t>
  </si>
  <si>
    <t>17/02/2023</t>
  </si>
  <si>
    <t>MFS-98850</t>
  </si>
  <si>
    <t>Chioma Danladi</t>
  </si>
  <si>
    <t>MFS-80745</t>
  </si>
  <si>
    <t>14/03/2020</t>
  </si>
  <si>
    <t>MFS-93556</t>
  </si>
  <si>
    <t>MFS-57096</t>
  </si>
  <si>
    <t>MFS-32439</t>
  </si>
  <si>
    <t>Maryam Omotayo</t>
  </si>
  <si>
    <t>MFS-18398</t>
  </si>
  <si>
    <t>MFS-15718</t>
  </si>
  <si>
    <t>Eze Abdullahi</t>
  </si>
  <si>
    <t>MFS-48487</t>
  </si>
  <si>
    <t>MFS-89377</t>
  </si>
  <si>
    <t>MFS-62069</t>
  </si>
  <si>
    <t>MFS-28021</t>
  </si>
  <si>
    <t>Falmata Ogbonna</t>
  </si>
  <si>
    <t>MFS-74795</t>
  </si>
  <si>
    <t>Hadiza Eze</t>
  </si>
  <si>
    <t>MFS-23659</t>
  </si>
  <si>
    <t>08/01/2021</t>
  </si>
  <si>
    <t>MFS-14808</t>
  </si>
  <si>
    <t>MFS-20282</t>
  </si>
  <si>
    <t>Shade Yakubu</t>
  </si>
  <si>
    <t>MFS-93124</t>
  </si>
  <si>
    <t>MFS-23991</t>
  </si>
  <si>
    <t>MFS-57118</t>
  </si>
  <si>
    <t>MFS-78104</t>
  </si>
  <si>
    <t>Chibuike Shehu</t>
  </si>
  <si>
    <t>MFS-66980</t>
  </si>
  <si>
    <t>MFS-62336</t>
  </si>
  <si>
    <t>Rukayya Afolabi</t>
  </si>
  <si>
    <t>MFS-26891</t>
  </si>
  <si>
    <t>Danladi Obi</t>
  </si>
  <si>
    <t>15/05/2020</t>
  </si>
  <si>
    <t>MFS-35907</t>
  </si>
  <si>
    <t>Bukola Bello</t>
  </si>
  <si>
    <t>MFS-89738</t>
  </si>
  <si>
    <t>MFS-93616</t>
  </si>
  <si>
    <t>MFS-72549</t>
  </si>
  <si>
    <t>MFS-44120</t>
  </si>
  <si>
    <t>Rabiu Fagbemi</t>
  </si>
  <si>
    <t>20/02/2025</t>
  </si>
  <si>
    <t>MFS-79575</t>
  </si>
  <si>
    <t>MFS-99120</t>
  </si>
  <si>
    <t>05/06/2023</t>
  </si>
  <si>
    <t>MFS-74737</t>
  </si>
  <si>
    <t>Asabe Garba</t>
  </si>
  <si>
    <t>MFS-96794</t>
  </si>
  <si>
    <t>Wale Okeke</t>
  </si>
  <si>
    <t>MFS-45325</t>
  </si>
  <si>
    <t>MFS-13764</t>
  </si>
  <si>
    <t>MFS-41508</t>
  </si>
  <si>
    <t>MFS-96933</t>
  </si>
  <si>
    <t>MFS-68311</t>
  </si>
  <si>
    <t>Danladi Okonkwo</t>
  </si>
  <si>
    <t>MFS-98278</t>
  </si>
  <si>
    <t>MFS-98198</t>
  </si>
  <si>
    <t>MFS-54252</t>
  </si>
  <si>
    <t>MFS-57407</t>
  </si>
  <si>
    <t>Bimpe Fagbemi</t>
  </si>
  <si>
    <t>MFS-89660</t>
  </si>
  <si>
    <t>Lanre Adeyemi</t>
  </si>
  <si>
    <t>MFS-71487</t>
  </si>
  <si>
    <t>MFS-35735</t>
  </si>
  <si>
    <t>MFS-75614</t>
  </si>
  <si>
    <t>MFS-17049</t>
  </si>
  <si>
    <t>Rabiu Adebayo</t>
  </si>
  <si>
    <t>MFS-78993</t>
  </si>
  <si>
    <t>MFS-25991</t>
  </si>
  <si>
    <t>MFS-21226</t>
  </si>
  <si>
    <t>MFS-78412</t>
  </si>
  <si>
    <t>MFS-41041</t>
  </si>
  <si>
    <t>Ramatu Aliyu</t>
  </si>
  <si>
    <t>MFS-17194</t>
  </si>
  <si>
    <t>MFS-44718</t>
  </si>
  <si>
    <t>MFS-95517</t>
  </si>
  <si>
    <t>MFS-50295</t>
  </si>
  <si>
    <t>MFS-94562</t>
  </si>
  <si>
    <t>Lanre Adesanya</t>
  </si>
  <si>
    <t>MFS-14032</t>
  </si>
  <si>
    <t>27/07/2021</t>
  </si>
  <si>
    <t>MFS-28708</t>
  </si>
  <si>
    <t>Rabiu Obi</t>
  </si>
  <si>
    <t>MFS-40435</t>
  </si>
  <si>
    <t>MFS-44107</t>
  </si>
  <si>
    <t>MFS-63587</t>
  </si>
  <si>
    <t>Adebayo Omotayo</t>
  </si>
  <si>
    <t>MFS-94392</t>
  </si>
  <si>
    <t>MFS-86923</t>
  </si>
  <si>
    <t>MFS-57472</t>
  </si>
  <si>
    <t>MFS-61214</t>
  </si>
  <si>
    <t>MFS-80161</t>
  </si>
  <si>
    <t>MFS-70937</t>
  </si>
  <si>
    <t>Ogechi Chukwu</t>
  </si>
  <si>
    <t>MFS-24969</t>
  </si>
  <si>
    <t>MFS-81033</t>
  </si>
  <si>
    <t>MFS-84796</t>
  </si>
  <si>
    <t>11/05/2024</t>
  </si>
  <si>
    <t>MFS-46026</t>
  </si>
  <si>
    <t>MFS-51542</t>
  </si>
  <si>
    <t>Hauwa Adebayo</t>
  </si>
  <si>
    <t>05/03/2022</t>
  </si>
  <si>
    <t>MFS-45488</t>
  </si>
  <si>
    <t>MFS-48971</t>
  </si>
  <si>
    <t>MFS-52964</t>
  </si>
  <si>
    <t>Kunle Adeyemi</t>
  </si>
  <si>
    <t>MFS-57417</t>
  </si>
  <si>
    <t>Kabiru Chukwu</t>
  </si>
  <si>
    <t>MFS-25264</t>
  </si>
  <si>
    <t>Ezinne Abdullahi</t>
  </si>
  <si>
    <t>MFS-38198</t>
  </si>
  <si>
    <t>MFS-50769</t>
  </si>
  <si>
    <t>MFS-31702</t>
  </si>
  <si>
    <t>MFS-52380</t>
  </si>
  <si>
    <t>Chukwudi Ogbonna</t>
  </si>
  <si>
    <t>MFS-46158</t>
  </si>
  <si>
    <t>MFS-68859</t>
  </si>
  <si>
    <t>MFS-79963</t>
  </si>
  <si>
    <t>Wale Nnamdi</t>
  </si>
  <si>
    <t>MFS-74871</t>
  </si>
  <si>
    <t>Rabiu Adesanya</t>
  </si>
  <si>
    <t>MFS-83774</t>
  </si>
  <si>
    <t>19/06/2021</t>
  </si>
  <si>
    <t>MFS-64232</t>
  </si>
  <si>
    <t>MFS-75945</t>
  </si>
  <si>
    <t>03/09/2024</t>
  </si>
  <si>
    <t>MFS-13997</t>
  </si>
  <si>
    <t>MFS-11075</t>
  </si>
  <si>
    <t>MFS-21569</t>
  </si>
  <si>
    <t>Oluwaseun Musa</t>
  </si>
  <si>
    <t>MFS-90691</t>
  </si>
  <si>
    <t>MFS-30953</t>
  </si>
  <si>
    <t>MFS-24820</t>
  </si>
  <si>
    <t>Tobi Eze</t>
  </si>
  <si>
    <t>MFS-45829</t>
  </si>
  <si>
    <t>MFS-18596</t>
  </si>
  <si>
    <t>MFS-91522</t>
  </si>
  <si>
    <t>MFS-17170</t>
  </si>
  <si>
    <t>MFS-50541</t>
  </si>
  <si>
    <t>MFS-27997</t>
  </si>
  <si>
    <t>Titi Uba</t>
  </si>
  <si>
    <t>MFS-63237</t>
  </si>
  <si>
    <t>08/02/2024</t>
  </si>
  <si>
    <t>MFS-23114</t>
  </si>
  <si>
    <t>MFS-23899</t>
  </si>
  <si>
    <t>Uche Adebayo</t>
  </si>
  <si>
    <t>MFS-89731</t>
  </si>
  <si>
    <t>MFS-66207</t>
  </si>
  <si>
    <t>Bukola Chukwu</t>
  </si>
  <si>
    <t>25/12/2024</t>
  </si>
  <si>
    <t>MFS-54655</t>
  </si>
  <si>
    <t>MFS-99463</t>
  </si>
  <si>
    <t>Seun Taiwo</t>
  </si>
  <si>
    <t>MFS-35301</t>
  </si>
  <si>
    <t>Amaka Suleiman</t>
  </si>
  <si>
    <t>23/08/2020</t>
  </si>
  <si>
    <t>MFS-72582</t>
  </si>
  <si>
    <t>27/08/2022</t>
  </si>
  <si>
    <t>MFS-94615</t>
  </si>
  <si>
    <t>MFS-88829</t>
  </si>
  <si>
    <t>MFS-78771</t>
  </si>
  <si>
    <t>MFS-93420</t>
  </si>
  <si>
    <t>MFS-10592</t>
  </si>
  <si>
    <t>Haruna Oyelaran</t>
  </si>
  <si>
    <t>MFS-89444</t>
  </si>
  <si>
    <t>26/03/2020</t>
  </si>
  <si>
    <t>MFS-91200</t>
  </si>
  <si>
    <t>MFS-90291</t>
  </si>
  <si>
    <t>Nkechi Eze</t>
  </si>
  <si>
    <t>MFS-22190</t>
  </si>
  <si>
    <t>MFS-49441</t>
  </si>
  <si>
    <t>MFS-97734</t>
  </si>
  <si>
    <t>MFS-13793</t>
  </si>
  <si>
    <t>Sola Omotayo</t>
  </si>
  <si>
    <t>MFS-40993</t>
  </si>
  <si>
    <t>MFS-11909</t>
  </si>
  <si>
    <t>Emeka Nduka</t>
  </si>
  <si>
    <t>MFS-92709</t>
  </si>
  <si>
    <t>Chiamaka Nwachukwu</t>
  </si>
  <si>
    <t>MFS-15585</t>
  </si>
  <si>
    <t>MFS-57294</t>
  </si>
  <si>
    <t>Haruna Taiwo</t>
  </si>
  <si>
    <t>MFS-88172</t>
  </si>
  <si>
    <t>MFS-90653</t>
  </si>
  <si>
    <t>02/03/2025</t>
  </si>
  <si>
    <t>MFS-79204</t>
  </si>
  <si>
    <t>Chinedu Oyelaran</t>
  </si>
  <si>
    <t>MFS-34287</t>
  </si>
  <si>
    <t>08/05/2021</t>
  </si>
  <si>
    <t>MFS-79397</t>
  </si>
  <si>
    <t>Rukayya Chukwu</t>
  </si>
  <si>
    <t>13/09/2022</t>
  </si>
  <si>
    <t>MFS-72439</t>
  </si>
  <si>
    <t>MFS-10694</t>
  </si>
  <si>
    <t>MFS-22764</t>
  </si>
  <si>
    <t>MFS-48435</t>
  </si>
  <si>
    <t>04/10/2022</t>
  </si>
  <si>
    <t>MFS-77889</t>
  </si>
  <si>
    <t>Gbenga Aliyu</t>
  </si>
  <si>
    <t>MFS-85172</t>
  </si>
  <si>
    <t>MFS-34657</t>
  </si>
  <si>
    <t>MFS-91316</t>
  </si>
  <si>
    <t>MFS-55902</t>
  </si>
  <si>
    <t>Folake Afolabi</t>
  </si>
  <si>
    <t>MFS-64457</t>
  </si>
  <si>
    <t>MFS-33216</t>
  </si>
  <si>
    <t>MFS-18017</t>
  </si>
  <si>
    <t>MFS-17008</t>
  </si>
  <si>
    <t>MFS-10676</t>
  </si>
  <si>
    <t>MFS-75648</t>
  </si>
  <si>
    <t>MFS-35385</t>
  </si>
  <si>
    <t>MFS-81949</t>
  </si>
  <si>
    <t>Tunde Haruna</t>
  </si>
  <si>
    <t>MFS-22879</t>
  </si>
  <si>
    <t>MFS-27576</t>
  </si>
  <si>
    <t>Adaora Nwosu</t>
  </si>
  <si>
    <t>MFS-20582</t>
  </si>
  <si>
    <t>MFS-51096</t>
  </si>
  <si>
    <t>MFS-90892</t>
  </si>
  <si>
    <t>MFS-66469</t>
  </si>
  <si>
    <t>MFS-98095</t>
  </si>
  <si>
    <t>MFS-71712</t>
  </si>
  <si>
    <t>MFS-65259</t>
  </si>
  <si>
    <t>MFS-72718</t>
  </si>
  <si>
    <t>Maryam Amadi</t>
  </si>
  <si>
    <t>MFS-16041</t>
  </si>
  <si>
    <t>MFS-23805</t>
  </si>
  <si>
    <t>MFS-48041</t>
  </si>
  <si>
    <t>Rukayya Onwudiwe</t>
  </si>
  <si>
    <t>MFS-84411</t>
  </si>
  <si>
    <t>MFS-42912</t>
  </si>
  <si>
    <t>172,000.0</t>
  </si>
  <si>
    <t>MFS-11150</t>
  </si>
  <si>
    <t>MFS-41996</t>
  </si>
  <si>
    <t>Ronke Onwudiwe</t>
  </si>
  <si>
    <t>MFS-18471</t>
  </si>
  <si>
    <t>MFS-39648</t>
  </si>
  <si>
    <t>MFS-50470</t>
  </si>
  <si>
    <t>08/01/2020</t>
  </si>
  <si>
    <t>MFS-37263</t>
  </si>
  <si>
    <t>MFS-35431</t>
  </si>
  <si>
    <t>Ifeoma Nwachukwu</t>
  </si>
  <si>
    <t>MFS-42900</t>
  </si>
  <si>
    <t>MFS-15167</t>
  </si>
  <si>
    <t>Kunle Obi</t>
  </si>
  <si>
    <t>MFS-87109</t>
  </si>
  <si>
    <t>Chidi Amadi</t>
  </si>
  <si>
    <t>MFS-47086</t>
  </si>
  <si>
    <t>Oluwaseun Obaseki</t>
  </si>
  <si>
    <t>MFS-58009</t>
  </si>
  <si>
    <t>MFS-47433</t>
  </si>
  <si>
    <t>MFS-32063</t>
  </si>
  <si>
    <t>26/08/2024</t>
  </si>
  <si>
    <t>MFS-12674</t>
  </si>
  <si>
    <t>MFS-31578</t>
  </si>
  <si>
    <t>MFS-79140</t>
  </si>
  <si>
    <t>Seun Aliyu</t>
  </si>
  <si>
    <t>MFS-95062</t>
  </si>
  <si>
    <t>MFS-44017</t>
  </si>
  <si>
    <t>MFS-27140</t>
  </si>
  <si>
    <t>MFS-34029</t>
  </si>
  <si>
    <t>MFS-52048</t>
  </si>
  <si>
    <t>MFS-88193</t>
  </si>
  <si>
    <t>07/01/2024</t>
  </si>
  <si>
    <t>MFS-35733</t>
  </si>
  <si>
    <t>MFS-89603</t>
  </si>
  <si>
    <t>MFS-72953</t>
  </si>
  <si>
    <t>09/09/2024</t>
  </si>
  <si>
    <t>MFS-79942</t>
  </si>
  <si>
    <t>MFS-17652</t>
  </si>
  <si>
    <t>MFS-48036</t>
  </si>
  <si>
    <t>MFS-17799</t>
  </si>
  <si>
    <t>MFS-28218</t>
  </si>
  <si>
    <t>MFS-46265</t>
  </si>
  <si>
    <t>06/08/2024</t>
  </si>
  <si>
    <t>MFS-50463</t>
  </si>
  <si>
    <t>MFS-68599</t>
  </si>
  <si>
    <t>MFS-65908</t>
  </si>
  <si>
    <t>Uche Okeke</t>
  </si>
  <si>
    <t>MFS-92502</t>
  </si>
  <si>
    <t>MFS-75677</t>
  </si>
  <si>
    <t>14/03/2024</t>
  </si>
  <si>
    <t>MFS-69841</t>
  </si>
  <si>
    <t>MFS-52171</t>
  </si>
  <si>
    <t>MFS-57878</t>
  </si>
  <si>
    <t>MFS-66904</t>
  </si>
  <si>
    <t>MFS-96668</t>
  </si>
  <si>
    <t>MFS-69898</t>
  </si>
  <si>
    <t>MFS-95717</t>
  </si>
  <si>
    <t>MFS-95149</t>
  </si>
  <si>
    <t>Chidi Garba</t>
  </si>
  <si>
    <t>MFS-62045</t>
  </si>
  <si>
    <t>Ronke Yakubu</t>
  </si>
  <si>
    <t>31/12/2021</t>
  </si>
  <si>
    <t>MFS-13888</t>
  </si>
  <si>
    <t>MFS-23809</t>
  </si>
  <si>
    <t>MFS-76782</t>
  </si>
  <si>
    <t>Chukwudi Okonkwo</t>
  </si>
  <si>
    <t>MFS-25718</t>
  </si>
  <si>
    <t>MFS-51452</t>
  </si>
  <si>
    <t>MFS-47136</t>
  </si>
  <si>
    <t>Chioma Suleiman</t>
  </si>
  <si>
    <t>MFS-72618</t>
  </si>
  <si>
    <t>MFS-18504</t>
  </si>
  <si>
    <t>Ibrahim Abdullahi</t>
  </si>
  <si>
    <t>31/05/2023</t>
  </si>
  <si>
    <t>MFS-54587</t>
  </si>
  <si>
    <t>MFS-87092</t>
  </si>
  <si>
    <t>MFS-97632</t>
  </si>
  <si>
    <t>MFS-18286</t>
  </si>
  <si>
    <t>MFS-14682</t>
  </si>
  <si>
    <t>MFS-62907</t>
  </si>
  <si>
    <t>MFS-93913</t>
  </si>
  <si>
    <t>MFS-37366</t>
  </si>
  <si>
    <t>Chukwudi Afolabi</t>
  </si>
  <si>
    <t>14/12/2024</t>
  </si>
  <si>
    <t>MFS-60237</t>
  </si>
  <si>
    <t>Ibrahim Okonkwo</t>
  </si>
  <si>
    <t>MFS-21482</t>
  </si>
  <si>
    <t>MFS-19345</t>
  </si>
  <si>
    <t>MFS-24898</t>
  </si>
  <si>
    <t>MFS-48450</t>
  </si>
  <si>
    <t>MFS-49298</t>
  </si>
  <si>
    <t>MFS-36900</t>
  </si>
  <si>
    <t>MFS-31860</t>
  </si>
  <si>
    <t>Nana Nduka</t>
  </si>
  <si>
    <t>14/03/2021</t>
  </si>
  <si>
    <t>MFS-41762</t>
  </si>
  <si>
    <t>MFS-11673</t>
  </si>
  <si>
    <t>Uche Ihejirika</t>
  </si>
  <si>
    <t>MFS-17849</t>
  </si>
  <si>
    <t>MFS-96303</t>
  </si>
  <si>
    <t>Yakubu Abdullahi</t>
  </si>
  <si>
    <t>MFS-11442</t>
  </si>
  <si>
    <t>MFS-90335</t>
  </si>
  <si>
    <t>MFS-58395</t>
  </si>
  <si>
    <t>Chinyere Fagbemi</t>
  </si>
  <si>
    <t>MFS-30692</t>
  </si>
  <si>
    <t>MFS-87134</t>
  </si>
  <si>
    <t>MFS-61608</t>
  </si>
  <si>
    <t>MFS-64139</t>
  </si>
  <si>
    <t>Ezinne Garba</t>
  </si>
  <si>
    <t>MFS-77596</t>
  </si>
  <si>
    <t>MFS-71598</t>
  </si>
  <si>
    <t>MFS-32383</t>
  </si>
  <si>
    <t>MFS-81547</t>
  </si>
  <si>
    <t>MFS-80526</t>
  </si>
  <si>
    <t>MFS-41839</t>
  </si>
  <si>
    <t>MFS-73538</t>
  </si>
  <si>
    <t>MFS-11978</t>
  </si>
  <si>
    <t>MFS-60821</t>
  </si>
  <si>
    <t>Folake Omotayo</t>
  </si>
  <si>
    <t>MFS-28142</t>
  </si>
  <si>
    <t>MFS-94559</t>
  </si>
  <si>
    <t>Chidi Nwachukwu</t>
  </si>
  <si>
    <t>MFS-18609</t>
  </si>
  <si>
    <t>Tosin Ogbonna</t>
  </si>
  <si>
    <t>MFS-29305</t>
  </si>
  <si>
    <t>Garba Nduka</t>
  </si>
  <si>
    <t>MFS-59496</t>
  </si>
  <si>
    <t>MFS-78325</t>
  </si>
  <si>
    <t>Oluwaseun Taiwo</t>
  </si>
  <si>
    <t>MFS-28245</t>
  </si>
  <si>
    <t>MFS-43292</t>
  </si>
  <si>
    <t>MFS-47082</t>
  </si>
  <si>
    <t>Nneka Oyelaran</t>
  </si>
  <si>
    <t>MFS-42325</t>
  </si>
  <si>
    <t>MFS-45231</t>
  </si>
  <si>
    <t>MFS-20645</t>
  </si>
  <si>
    <t>MFS-74370</t>
  </si>
  <si>
    <t>09/08/2023</t>
  </si>
  <si>
    <t>MFS-84923</t>
  </si>
  <si>
    <t>MFS-84240</t>
  </si>
  <si>
    <t>06/09/2024</t>
  </si>
  <si>
    <t>MFS-35904</t>
  </si>
  <si>
    <t>Yakubu Garba</t>
  </si>
  <si>
    <t>MFS-71736</t>
  </si>
  <si>
    <t>MFS-62114</t>
  </si>
  <si>
    <t>MFS-12173</t>
  </si>
  <si>
    <t>Ugochi Abdullahi</t>
  </si>
  <si>
    <t>MFS-94215</t>
  </si>
  <si>
    <t>10/06/2023</t>
  </si>
  <si>
    <t>MFS-41744</t>
  </si>
  <si>
    <t>Chukwuemeka Suleiman</t>
  </si>
  <si>
    <t>MFS-23344</t>
  </si>
  <si>
    <t>21/05/2024</t>
  </si>
  <si>
    <t>MFS-45842</t>
  </si>
  <si>
    <t>MFS-87872</t>
  </si>
  <si>
    <t>MFS-67031</t>
  </si>
  <si>
    <t>MFS-29839</t>
  </si>
  <si>
    <t>MFS-41937</t>
  </si>
  <si>
    <t>MFS-22250</t>
  </si>
  <si>
    <t>MFS-27919</t>
  </si>
  <si>
    <t>Nneka Nwachukwu</t>
  </si>
  <si>
    <t>MFS-73421</t>
  </si>
  <si>
    <t>MFS-26059</t>
  </si>
  <si>
    <t>Wale Onwudiwe</t>
  </si>
  <si>
    <t>MFS-29369</t>
  </si>
  <si>
    <t>MFS-79784</t>
  </si>
  <si>
    <t>MFS-86756</t>
  </si>
  <si>
    <t>MFS-69267</t>
  </si>
  <si>
    <t>Ikenna Garba</t>
  </si>
  <si>
    <t>MFS-24482</t>
  </si>
  <si>
    <t>MFS-31694</t>
  </si>
  <si>
    <t>MFS-12826</t>
  </si>
  <si>
    <t>MFS-27441</t>
  </si>
  <si>
    <t>Shehu Obi</t>
  </si>
  <si>
    <t>MFS-90788</t>
  </si>
  <si>
    <t>Amaka Aliyu</t>
  </si>
  <si>
    <t>MFS-84133</t>
  </si>
  <si>
    <t>Ngozi Amadi</t>
  </si>
  <si>
    <t>MFS-40778</t>
  </si>
  <si>
    <t>MFS-78386</t>
  </si>
  <si>
    <t>MFS-91741</t>
  </si>
  <si>
    <t>MFS-47017</t>
  </si>
  <si>
    <t>MFS-19222</t>
  </si>
  <si>
    <t>MFS-45406</t>
  </si>
  <si>
    <t>MFS-18097</t>
  </si>
  <si>
    <t>Kemi Bello</t>
  </si>
  <si>
    <t>MFS-60125</t>
  </si>
  <si>
    <t>Lanre Nduka</t>
  </si>
  <si>
    <t>12/07/2020</t>
  </si>
  <si>
    <t>MFS-37479</t>
  </si>
  <si>
    <t>MFS-47052</t>
  </si>
  <si>
    <t>MFS-73624</t>
  </si>
  <si>
    <t>29/04/2020</t>
  </si>
  <si>
    <t>MFS-86414</t>
  </si>
  <si>
    <t>MFS-14814</t>
  </si>
  <si>
    <t>MFS-57796</t>
  </si>
  <si>
    <t>MFS-49936</t>
  </si>
  <si>
    <t>MFS-92026</t>
  </si>
  <si>
    <t>MFS-45922</t>
  </si>
  <si>
    <t>MFS-88507</t>
  </si>
  <si>
    <t>Musa Bello</t>
  </si>
  <si>
    <t>MFS-30914</t>
  </si>
  <si>
    <t>Hadiza Okonkwo</t>
  </si>
  <si>
    <t>MFS-10264</t>
  </si>
  <si>
    <t>MFS-78461</t>
  </si>
  <si>
    <t>04/03/2020</t>
  </si>
  <si>
    <t>MFS-62031</t>
  </si>
  <si>
    <t>MFS-10193</t>
  </si>
  <si>
    <t>MFS-46482</t>
  </si>
  <si>
    <t>MFS-20680</t>
  </si>
  <si>
    <t>MFS-86278</t>
  </si>
  <si>
    <t>MFS-23407</t>
  </si>
  <si>
    <t>MFS-43970</t>
  </si>
  <si>
    <t>MFS-62410</t>
  </si>
  <si>
    <t>Damilola Nwosu</t>
  </si>
  <si>
    <t>MFS-44504</t>
  </si>
  <si>
    <t>MFS-69159</t>
  </si>
  <si>
    <t>07/02/2021</t>
  </si>
  <si>
    <t>MFS-11803</t>
  </si>
  <si>
    <t>MFS-23651</t>
  </si>
  <si>
    <t>31/08/2020</t>
  </si>
  <si>
    <t>MFS-39617</t>
  </si>
  <si>
    <t>MFS-19269</t>
  </si>
  <si>
    <t>MFS-14200</t>
  </si>
  <si>
    <t>14/08/2024</t>
  </si>
  <si>
    <t>MFS-20878</t>
  </si>
  <si>
    <t>MFS-90883</t>
  </si>
  <si>
    <t>MFS-83609</t>
  </si>
  <si>
    <t>01/09/2024</t>
  </si>
  <si>
    <t>MFS-82816</t>
  </si>
  <si>
    <t>Ngozi Uba</t>
  </si>
  <si>
    <t>MFS-59891</t>
  </si>
  <si>
    <t>MFS-67123</t>
  </si>
  <si>
    <t>MFS-96182</t>
  </si>
  <si>
    <t>Ogechi Yakubu</t>
  </si>
  <si>
    <t>MFS-42644</t>
  </si>
  <si>
    <t>Maryam Buhari</t>
  </si>
  <si>
    <t>MFS-82083</t>
  </si>
  <si>
    <t>MFS-13604</t>
  </si>
  <si>
    <t>Tosin Adeyemi</t>
  </si>
  <si>
    <t>MFS-65050</t>
  </si>
  <si>
    <t>MFS-17425</t>
  </si>
  <si>
    <t>Usman Yakubu</t>
  </si>
  <si>
    <t>07/09/2021</t>
  </si>
  <si>
    <t>MFS-45659</t>
  </si>
  <si>
    <t>MFS-60471</t>
  </si>
  <si>
    <t>Chiamaka Aliyu</t>
  </si>
  <si>
    <t>MFS-45084</t>
  </si>
  <si>
    <t>MFS-64930</t>
  </si>
  <si>
    <t>Haruna Chukwu</t>
  </si>
  <si>
    <t>MFS-25050</t>
  </si>
  <si>
    <t>MFS-96191</t>
  </si>
  <si>
    <t>Musa Onwudiwe</t>
  </si>
  <si>
    <t>MFS-78323</t>
  </si>
  <si>
    <t>MFS-67086</t>
  </si>
  <si>
    <t>Chinwe Aliyu</t>
  </si>
  <si>
    <t>MFS-43079</t>
  </si>
  <si>
    <t>MFS-98819</t>
  </si>
  <si>
    <t>MFS-77914</t>
  </si>
  <si>
    <t>MFS-81947</t>
  </si>
  <si>
    <t>Obiora Haruna</t>
  </si>
  <si>
    <t>MFS-80340</t>
  </si>
  <si>
    <t>30/07/2020</t>
  </si>
  <si>
    <t>MFS-64554</t>
  </si>
  <si>
    <t>Funmilayo Fagbemi</t>
  </si>
  <si>
    <t>MFS-55972</t>
  </si>
  <si>
    <t>MFS-68686</t>
  </si>
  <si>
    <t>Haruna Obi</t>
  </si>
  <si>
    <t>MFS-25765</t>
  </si>
  <si>
    <t>MFS-15333</t>
  </si>
  <si>
    <t>Oghenekaro Nwachukwu</t>
  </si>
  <si>
    <t>MFS-63370</t>
  </si>
  <si>
    <t>MFS-82440</t>
  </si>
  <si>
    <t>17/02/2024</t>
  </si>
  <si>
    <t>MFS-37997</t>
  </si>
  <si>
    <t>Lola Bello</t>
  </si>
  <si>
    <t>MFS-19528</t>
  </si>
  <si>
    <t>Obinna Chukwu</t>
  </si>
  <si>
    <t>MFS-49354</t>
  </si>
  <si>
    <t>MFS-95538</t>
  </si>
  <si>
    <t>Shehu Okeke</t>
  </si>
  <si>
    <t>MFS-93901</t>
  </si>
  <si>
    <t>MFS-44773</t>
  </si>
  <si>
    <t>MFS-61851</t>
  </si>
  <si>
    <t>Lola Chukwu</t>
  </si>
  <si>
    <t>MFS-87802</t>
  </si>
  <si>
    <t>MFS-19071</t>
  </si>
  <si>
    <t>MFS-67357</t>
  </si>
  <si>
    <t>24/08/2024</t>
  </si>
  <si>
    <t>MFS-63163</t>
  </si>
  <si>
    <t>MFS-18280</t>
  </si>
  <si>
    <t>Seun Onwudiwe</t>
  </si>
  <si>
    <t>MFS-15110</t>
  </si>
  <si>
    <t>MFS-70128</t>
  </si>
  <si>
    <t>MFS-49641</t>
  </si>
  <si>
    <t>MFS-74748</t>
  </si>
  <si>
    <t>Damilola Buhari</t>
  </si>
  <si>
    <t>14/12/2021</t>
  </si>
  <si>
    <t>MFS-89576</t>
  </si>
  <si>
    <t>MFS-97453</t>
  </si>
  <si>
    <t>MFS-57938</t>
  </si>
  <si>
    <t>MFS-73133</t>
  </si>
  <si>
    <t>MFS-59663</t>
  </si>
  <si>
    <t>MFS-37842</t>
  </si>
  <si>
    <t>Chinyere Abdullahi</t>
  </si>
  <si>
    <t>MFS-35835</t>
  </si>
  <si>
    <t>MFS-61973</t>
  </si>
  <si>
    <t>Chukwuemeka Ogundipe</t>
  </si>
  <si>
    <t>MFS-91966</t>
  </si>
  <si>
    <t>MFS-74561</t>
  </si>
  <si>
    <t>MFS-31363</t>
  </si>
  <si>
    <t>MFS-88784</t>
  </si>
  <si>
    <t>MFS-44711</t>
  </si>
  <si>
    <t>MFS-52965</t>
  </si>
  <si>
    <t>Kunle Onwudiwe</t>
  </si>
  <si>
    <t>MFS-83729</t>
  </si>
  <si>
    <t>Falmata Amadi</t>
  </si>
  <si>
    <t>MFS-16660</t>
  </si>
  <si>
    <t>MFS-54064</t>
  </si>
  <si>
    <t>MFS-57364</t>
  </si>
  <si>
    <t>MFS-60573</t>
  </si>
  <si>
    <t>MFS-76825</t>
  </si>
  <si>
    <t>Nnamdi Fagbemi</t>
  </si>
  <si>
    <t>MFS-85231</t>
  </si>
  <si>
    <t>Nnamdi Bello</t>
  </si>
  <si>
    <t>MFS-99034</t>
  </si>
  <si>
    <t>MFS-67712</t>
  </si>
  <si>
    <t>Chinyere Adebayo</t>
  </si>
  <si>
    <t>MFS-12128</t>
  </si>
  <si>
    <t>01/03/2024</t>
  </si>
  <si>
    <t>MFS-69925</t>
  </si>
  <si>
    <t>MFS-58271</t>
  </si>
  <si>
    <t>MFS-72747</t>
  </si>
  <si>
    <t>MFS-14451</t>
  </si>
  <si>
    <t>MFS-10171</t>
  </si>
  <si>
    <t>Tosin Amadi</t>
  </si>
  <si>
    <t>MFS-83071</t>
  </si>
  <si>
    <t>Kemi Oyelaran</t>
  </si>
  <si>
    <t>MFS-23138</t>
  </si>
  <si>
    <t>MFS-41683</t>
  </si>
  <si>
    <t>MFS-85079</t>
  </si>
  <si>
    <t>MFS-26849</t>
  </si>
  <si>
    <t>MFS-86935</t>
  </si>
  <si>
    <t>Bilkisu Ogundipe</t>
  </si>
  <si>
    <t>03/04/2019</t>
  </si>
  <si>
    <t>MFS-94893</t>
  </si>
  <si>
    <t>MFS-47949</t>
  </si>
  <si>
    <t>MFS-78114</t>
  </si>
  <si>
    <t>MFS-53807</t>
  </si>
  <si>
    <t>MFS-21506</t>
  </si>
  <si>
    <t>MFS-14187</t>
  </si>
  <si>
    <t>MFS-59375</t>
  </si>
  <si>
    <t>MFS-14840</t>
  </si>
  <si>
    <t>MFS-12000</t>
  </si>
  <si>
    <t>MFS-65666</t>
  </si>
  <si>
    <t>Chinwe Okeke</t>
  </si>
  <si>
    <t>MFS-50289</t>
  </si>
  <si>
    <t>MFS-58636</t>
  </si>
  <si>
    <t>Obiora Bello</t>
  </si>
  <si>
    <t>MFS-21020</t>
  </si>
  <si>
    <t>MFS-28116</t>
  </si>
  <si>
    <t>Ramatu Uba</t>
  </si>
  <si>
    <t>MFS-32087</t>
  </si>
  <si>
    <t>MFS-19305</t>
  </si>
  <si>
    <t>MFS-51742</t>
  </si>
  <si>
    <t>MFS-58123</t>
  </si>
  <si>
    <t>MFS-14512</t>
  </si>
  <si>
    <t>MFS-87110</t>
  </si>
  <si>
    <t>MFS-30632</t>
  </si>
  <si>
    <t>MFS-30258</t>
  </si>
  <si>
    <t>Chibuike Adewale</t>
  </si>
  <si>
    <t>17/02/2021</t>
  </si>
  <si>
    <t>MFS-83125</t>
  </si>
  <si>
    <t>MFS-84044</t>
  </si>
  <si>
    <t>MFS-28902</t>
  </si>
  <si>
    <t>MFS-24938</t>
  </si>
  <si>
    <t>MFS-77036</t>
  </si>
  <si>
    <t>MFS-37789</t>
  </si>
  <si>
    <t>MFS-62908</t>
  </si>
  <si>
    <t>MFS-26278</t>
  </si>
  <si>
    <t>Ifeanyi Coker</t>
  </si>
  <si>
    <t>MFS-24299</t>
  </si>
  <si>
    <t>MFS-72121</t>
  </si>
  <si>
    <t>MFS-61764</t>
  </si>
  <si>
    <t>MFS-47469</t>
  </si>
  <si>
    <t>MFS-50064</t>
  </si>
  <si>
    <t>MFS-82080</t>
  </si>
  <si>
    <t>MFS-48113</t>
  </si>
  <si>
    <t>MFS-53246</t>
  </si>
  <si>
    <t>25/01/2022</t>
  </si>
  <si>
    <t>MFS-71918</t>
  </si>
  <si>
    <t>MFS-83291</t>
  </si>
  <si>
    <t>MFS-37688</t>
  </si>
  <si>
    <t>MFS-57397</t>
  </si>
  <si>
    <t>Uche Ogundipe</t>
  </si>
  <si>
    <t>MFS-17044</t>
  </si>
  <si>
    <t>Abubakar Ogundipe</t>
  </si>
  <si>
    <t>MFS-32825</t>
  </si>
  <si>
    <t>MFS-71290</t>
  </si>
  <si>
    <t>Chibuike Nwosu</t>
  </si>
  <si>
    <t>MFS-16423</t>
  </si>
  <si>
    <t>MFS-65629</t>
  </si>
  <si>
    <t>Aliyu Suleiman</t>
  </si>
  <si>
    <t>MFS-23829</t>
  </si>
  <si>
    <t>MFS-59260</t>
  </si>
  <si>
    <t>Nneka Suleiman</t>
  </si>
  <si>
    <t>MFS-91979</t>
  </si>
  <si>
    <t>MFS-91922</t>
  </si>
  <si>
    <t>MFS-91108</t>
  </si>
  <si>
    <t>MFS-48309</t>
  </si>
  <si>
    <t>MFS-99133</t>
  </si>
  <si>
    <t>Adaora Obi</t>
  </si>
  <si>
    <t>MFS-71892</t>
  </si>
  <si>
    <t>MFS-10675</t>
  </si>
  <si>
    <t>Tobi Amadi</t>
  </si>
  <si>
    <t>MFS-11846</t>
  </si>
  <si>
    <t>MFS-90842</t>
  </si>
  <si>
    <t>MFS-68591</t>
  </si>
  <si>
    <t>MFS-33030</t>
  </si>
  <si>
    <t>MFS-25865</t>
  </si>
  <si>
    <t>Lanre Eze</t>
  </si>
  <si>
    <t>MFS-47834</t>
  </si>
  <si>
    <t>MFS-93344</t>
  </si>
  <si>
    <t>MFS-45940</t>
  </si>
  <si>
    <t>MFS-42207</t>
  </si>
  <si>
    <t>Nneka Taiwo</t>
  </si>
  <si>
    <t>MFS-79188</t>
  </si>
  <si>
    <t>MFS-74344</t>
  </si>
  <si>
    <t>MFS-85643</t>
  </si>
  <si>
    <t>Nnamdi Abdullahi</t>
  </si>
  <si>
    <t>MFS-35358</t>
  </si>
  <si>
    <t>MFS-61485</t>
  </si>
  <si>
    <t>MFS-22384</t>
  </si>
  <si>
    <t>Shehu Buhari</t>
  </si>
  <si>
    <t>MFS-31921</t>
  </si>
  <si>
    <t>Aisha Okeke</t>
  </si>
  <si>
    <t>MFS-20580</t>
  </si>
  <si>
    <t>Usman Obaseki</t>
  </si>
  <si>
    <t>MFS-96538</t>
  </si>
  <si>
    <t>MFS-75772</t>
  </si>
  <si>
    <t>MFS-73556</t>
  </si>
  <si>
    <t>29/12/2022</t>
  </si>
  <si>
    <t>MFS-86446</t>
  </si>
  <si>
    <t>MFS-98582</t>
  </si>
  <si>
    <t>MFS-10640</t>
  </si>
  <si>
    <t>MFS-86958</t>
  </si>
  <si>
    <t>Oluwaseun Omotayo</t>
  </si>
  <si>
    <t>MFS-46890</t>
  </si>
  <si>
    <t>Tosin Adesanya</t>
  </si>
  <si>
    <t>22/02/2022</t>
  </si>
  <si>
    <t>MFS-31567</t>
  </si>
  <si>
    <t>29/09/2024</t>
  </si>
  <si>
    <t>MFS-44232</t>
  </si>
  <si>
    <t>MFS-52760</t>
  </si>
  <si>
    <t>Aliyu Adesanya</t>
  </si>
  <si>
    <t>MFS-55928</t>
  </si>
  <si>
    <t>MFS-61304</t>
  </si>
  <si>
    <t>MFS-19137</t>
  </si>
  <si>
    <t>MFS-79341</t>
  </si>
  <si>
    <t>MFS-86183</t>
  </si>
  <si>
    <t>MFS-12951</t>
  </si>
  <si>
    <t>MFS-89864</t>
  </si>
  <si>
    <t>MFS-75845</t>
  </si>
  <si>
    <t>30/04/2020</t>
  </si>
  <si>
    <t>MFS-60895</t>
  </si>
  <si>
    <t>MFS-96317</t>
  </si>
  <si>
    <t>MFS-24553</t>
  </si>
  <si>
    <t>MFS-36563</t>
  </si>
  <si>
    <t>MFS-78490</t>
  </si>
  <si>
    <t>MFS-13852</t>
  </si>
  <si>
    <t>MFS-61515</t>
  </si>
  <si>
    <t>MFS-91209</t>
  </si>
  <si>
    <t>MFS-39996</t>
  </si>
  <si>
    <t>MFS-65130</t>
  </si>
  <si>
    <t>MFS-99375</t>
  </si>
  <si>
    <t>MFS-44505</t>
  </si>
  <si>
    <t>23/05/2023</t>
  </si>
  <si>
    <t>MFS-73205</t>
  </si>
  <si>
    <t>MFS-82294</t>
  </si>
  <si>
    <t>Ifeoma Adesanya</t>
  </si>
  <si>
    <t>MFS-84393</t>
  </si>
  <si>
    <t>Bilkisu Coker</t>
  </si>
  <si>
    <t>MFS-87807</t>
  </si>
  <si>
    <t>Ogechi Omotayo</t>
  </si>
  <si>
    <t>MFS-70765</t>
  </si>
  <si>
    <t>MFS-80247</t>
  </si>
  <si>
    <t>MFS-52084</t>
  </si>
  <si>
    <t>MFS-78899</t>
  </si>
  <si>
    <t>MFS-95192</t>
  </si>
  <si>
    <t>MFS-95799</t>
  </si>
  <si>
    <t>MFS-89075</t>
  </si>
  <si>
    <t>MFS-81737</t>
  </si>
  <si>
    <t>MFS-82613</t>
  </si>
  <si>
    <t>16/03/2020</t>
  </si>
  <si>
    <t>MFS-53358</t>
  </si>
  <si>
    <t>Ogechi Haruna</t>
  </si>
  <si>
    <t>MFS-14080</t>
  </si>
  <si>
    <t>MFS-20191</t>
  </si>
  <si>
    <t>MFS-61364</t>
  </si>
  <si>
    <t>Ebuka Yakubu</t>
  </si>
  <si>
    <t>MFS-75867</t>
  </si>
  <si>
    <t>MFS-13839</t>
  </si>
  <si>
    <t>Wale Adewale</t>
  </si>
  <si>
    <t>MFS-52193</t>
  </si>
  <si>
    <t>MFS-87379</t>
  </si>
  <si>
    <t>07/02/2024</t>
  </si>
  <si>
    <t>MFS-94331</t>
  </si>
  <si>
    <t>MFS-70912</t>
  </si>
  <si>
    <t>Kunle Nnamdi</t>
  </si>
  <si>
    <t>MFS-58374</t>
  </si>
  <si>
    <t>MFS-82130</t>
  </si>
  <si>
    <t>Aisha Danladi</t>
  </si>
  <si>
    <t>MFS-26880</t>
  </si>
  <si>
    <t>MFS-27733</t>
  </si>
  <si>
    <t>MFS-63276</t>
  </si>
  <si>
    <t>MFS-75035</t>
  </si>
  <si>
    <t>MFS-13842</t>
  </si>
  <si>
    <t>Jummai Oyelaran</t>
  </si>
  <si>
    <t>MFS-74497</t>
  </si>
  <si>
    <t>Seun Uba</t>
  </si>
  <si>
    <t>MFS-49112</t>
  </si>
  <si>
    <t>MFS-37463</t>
  </si>
  <si>
    <t>MFS-34746</t>
  </si>
  <si>
    <t>MFS-50371</t>
  </si>
  <si>
    <t>MFS-40159</t>
  </si>
  <si>
    <t>MFS-33480</t>
  </si>
  <si>
    <t>MFS-55220</t>
  </si>
  <si>
    <t>Nneka Adesanya</t>
  </si>
  <si>
    <t>MFS-36685</t>
  </si>
  <si>
    <t>MFS-92392</t>
  </si>
  <si>
    <t>MFS-31705</t>
  </si>
  <si>
    <t>Shehu Taiwo</t>
  </si>
  <si>
    <t>MFS-95113</t>
  </si>
  <si>
    <t>Asabe Abdullahi</t>
  </si>
  <si>
    <t>MFS-38367</t>
  </si>
  <si>
    <t>Bilkisu Chukwu</t>
  </si>
  <si>
    <t>MFS-40612</t>
  </si>
  <si>
    <t>Falmata Adebayo</t>
  </si>
  <si>
    <t>MFS-34370</t>
  </si>
  <si>
    <t>MFS-51825</t>
  </si>
  <si>
    <t>MFS-58702</t>
  </si>
  <si>
    <t>Chiamaka Fagbemi</t>
  </si>
  <si>
    <t>MFS-66837</t>
  </si>
  <si>
    <t>MFS-26696</t>
  </si>
  <si>
    <t>MFS-15704</t>
  </si>
  <si>
    <t>MFS-48616</t>
  </si>
  <si>
    <t>MFS-35705</t>
  </si>
  <si>
    <t>MFS-65888</t>
  </si>
  <si>
    <t>Ogechi Lawal</t>
  </si>
  <si>
    <t>MFS-68627</t>
  </si>
  <si>
    <t>MFS-90672</t>
  </si>
  <si>
    <t>MFS-95244</t>
  </si>
  <si>
    <t>MFS-55584</t>
  </si>
  <si>
    <t>Ikenna Buhari</t>
  </si>
  <si>
    <t>MFS-71378</t>
  </si>
  <si>
    <t>MFS-45180</t>
  </si>
  <si>
    <t>MFS-13903</t>
  </si>
  <si>
    <t>MFS-33715</t>
  </si>
  <si>
    <t>MFS-71371</t>
  </si>
  <si>
    <t>Tobi Onwudiwe</t>
  </si>
  <si>
    <t>MFS-33596</t>
  </si>
  <si>
    <t>Ifeanyi Adebayo</t>
  </si>
  <si>
    <t>MFS-16362</t>
  </si>
  <si>
    <t>MFS-32534</t>
  </si>
  <si>
    <t>MFS-27009</t>
  </si>
  <si>
    <t>MFS-64594</t>
  </si>
  <si>
    <t>Chukwudi Amadi</t>
  </si>
  <si>
    <t>MFS-64545</t>
  </si>
  <si>
    <t>Adaora Eze</t>
  </si>
  <si>
    <t>MFS-32480</t>
  </si>
  <si>
    <t>Chidi Aliyu</t>
  </si>
  <si>
    <t>MFS-60934</t>
  </si>
  <si>
    <t>MFS-37927</t>
  </si>
  <si>
    <t>MFS-89073</t>
  </si>
  <si>
    <t>MFS-23607</t>
  </si>
  <si>
    <t>Fatima Nwosu</t>
  </si>
  <si>
    <t>MFS-51076</t>
  </si>
  <si>
    <t>MFS-98730</t>
  </si>
  <si>
    <t>MFS-64958</t>
  </si>
  <si>
    <t>MFS-41741</t>
  </si>
  <si>
    <t>MFS-73393</t>
  </si>
  <si>
    <t>MFS-71370</t>
  </si>
  <si>
    <t>MFS-13548</t>
  </si>
  <si>
    <t>MFS-89544</t>
  </si>
  <si>
    <t>MFS-24277</t>
  </si>
  <si>
    <t>MFS-65340</t>
  </si>
  <si>
    <t>MFS-61484</t>
  </si>
  <si>
    <t>MFS-37103</t>
  </si>
  <si>
    <t>MFS-73858</t>
  </si>
  <si>
    <t>MFS-19749</t>
  </si>
  <si>
    <t>MFS-32333</t>
  </si>
  <si>
    <t>MFS-92955</t>
  </si>
  <si>
    <t>MFS-71591</t>
  </si>
  <si>
    <t>29/01/2024</t>
  </si>
  <si>
    <t>MFS-62584</t>
  </si>
  <si>
    <t>Folake Aliyu</t>
  </si>
  <si>
    <t>MFS-85603</t>
  </si>
  <si>
    <t>MFS-95989</t>
  </si>
  <si>
    <t>MFS-78134</t>
  </si>
  <si>
    <t>MFS-99971</t>
  </si>
  <si>
    <t>MFS-16900</t>
  </si>
  <si>
    <t>Adaora Musa</t>
  </si>
  <si>
    <t>MFS-19761</t>
  </si>
  <si>
    <t>Yakubu Aliyu</t>
  </si>
  <si>
    <t>MFS-13973</t>
  </si>
  <si>
    <t>MFS-20741</t>
  </si>
  <si>
    <t>MFS-96643</t>
  </si>
  <si>
    <t>MFS-20050</t>
  </si>
  <si>
    <t>MFS-61265</t>
  </si>
  <si>
    <t>MFS-83115</t>
  </si>
  <si>
    <t>MFS-98381</t>
  </si>
  <si>
    <t>Danladi Lawal</t>
  </si>
  <si>
    <t>MFS-42709</t>
  </si>
  <si>
    <t>MFS-65372</t>
  </si>
  <si>
    <t>MFS-59456</t>
  </si>
  <si>
    <t>Bukola Buhari</t>
  </si>
  <si>
    <t>MFS-45880</t>
  </si>
  <si>
    <t>MFS-18969</t>
  </si>
  <si>
    <t>Adaora Taiwo</t>
  </si>
  <si>
    <t>MFS-84900</t>
  </si>
  <si>
    <t>MFS-83663</t>
  </si>
  <si>
    <t>MFS-34267</t>
  </si>
  <si>
    <t>MFS-33311</t>
  </si>
  <si>
    <t>Dele Omotayo</t>
  </si>
  <si>
    <t>MFS-31994</t>
  </si>
  <si>
    <t>Adaora Ihejirika</t>
  </si>
  <si>
    <t>MFS-80213</t>
  </si>
  <si>
    <t>Oghenekaro Oyelaran</t>
  </si>
  <si>
    <t>MFS-98014</t>
  </si>
  <si>
    <t>MFS-14855</t>
  </si>
  <si>
    <t>MFS-28590</t>
  </si>
  <si>
    <t>MFS-42858</t>
  </si>
  <si>
    <t>20/07/2022</t>
  </si>
  <si>
    <t>MFS-56543</t>
  </si>
  <si>
    <t>Hadiza Obi</t>
  </si>
  <si>
    <t>MFS-99706</t>
  </si>
  <si>
    <t>Ikenna Danladi</t>
  </si>
  <si>
    <t>MFS-57830</t>
  </si>
  <si>
    <t>Bello Omotayo</t>
  </si>
  <si>
    <t>23/03/2020</t>
  </si>
  <si>
    <t>MFS-45690</t>
  </si>
  <si>
    <t>MFS-78775</t>
  </si>
  <si>
    <t>MFS-94978</t>
  </si>
  <si>
    <t>MFS-85777</t>
  </si>
  <si>
    <t>MFS-75743</t>
  </si>
  <si>
    <t>MFS-96135</t>
  </si>
  <si>
    <t>Bilkisu Onwudiwe</t>
  </si>
  <si>
    <t>MFS-72440</t>
  </si>
  <si>
    <t>Suleiman Obaseki</t>
  </si>
  <si>
    <t>MFS-38335</t>
  </si>
  <si>
    <t>MFS-43728</t>
  </si>
  <si>
    <t>MFS-64627</t>
  </si>
  <si>
    <t>MFS-31592</t>
  </si>
  <si>
    <t>MFS-70930</t>
  </si>
  <si>
    <t>Lola Amadi</t>
  </si>
  <si>
    <t>MFS-77184</t>
  </si>
  <si>
    <t>MFS-61458</t>
  </si>
  <si>
    <t>MFS-74771</t>
  </si>
  <si>
    <t>Kunle Amadi</t>
  </si>
  <si>
    <t>MFS-98446</t>
  </si>
  <si>
    <t>MFS-73555</t>
  </si>
  <si>
    <t>MFS-66539</t>
  </si>
  <si>
    <t>MFS-41225</t>
  </si>
  <si>
    <t>Uloma Haruna</t>
  </si>
  <si>
    <t>MFS-62391</t>
  </si>
  <si>
    <t>MFS-53634</t>
  </si>
  <si>
    <t>MFS-10191</t>
  </si>
  <si>
    <t>MFS-99423</t>
  </si>
  <si>
    <t>MFS-61766</t>
  </si>
  <si>
    <t>Dele Adeyemi</t>
  </si>
  <si>
    <t>MFS-35553</t>
  </si>
  <si>
    <t>Eze Omotayo</t>
  </si>
  <si>
    <t>MFS-33179</t>
  </si>
  <si>
    <t>MFS-93705</t>
  </si>
  <si>
    <t>26/07/2023</t>
  </si>
  <si>
    <t>MFS-58147</t>
  </si>
  <si>
    <t>MFS-36752</t>
  </si>
  <si>
    <t>MFS-23768</t>
  </si>
  <si>
    <t>Rotimi Musa</t>
  </si>
  <si>
    <t>MFS-39856</t>
  </si>
  <si>
    <t>MFS-23975</t>
  </si>
  <si>
    <t>MFS-45797</t>
  </si>
  <si>
    <t>Nana Adeyemi</t>
  </si>
  <si>
    <t>MFS-44531</t>
  </si>
  <si>
    <t>MFS-88300</t>
  </si>
  <si>
    <t>MFS-73833</t>
  </si>
  <si>
    <t>MFS-23853</t>
  </si>
  <si>
    <t>Nana Adebayo</t>
  </si>
  <si>
    <t>MFS-77496</t>
  </si>
  <si>
    <t>MFS-49724</t>
  </si>
  <si>
    <t>MFS-71666</t>
  </si>
  <si>
    <t>Ngozi Buhari</t>
  </si>
  <si>
    <t>MFS-76361</t>
  </si>
  <si>
    <t>MFS-27799</t>
  </si>
  <si>
    <t>MFS-70546</t>
  </si>
  <si>
    <t>MFS-88494</t>
  </si>
  <si>
    <t>MFS-29552</t>
  </si>
  <si>
    <t>Chidi Fagbemi</t>
  </si>
  <si>
    <t>MFS-18087</t>
  </si>
  <si>
    <t>Nana Onwudiwe</t>
  </si>
  <si>
    <t>MFS-34897</t>
  </si>
  <si>
    <t>MFS-41529</t>
  </si>
  <si>
    <t>MFS-90180</t>
  </si>
  <si>
    <t>Ezinne Lawal</t>
  </si>
  <si>
    <t>MFS-76432</t>
  </si>
  <si>
    <t>MFS-61945</t>
  </si>
  <si>
    <t>Adebayo Yakubu</t>
  </si>
  <si>
    <t>MFS-33369</t>
  </si>
  <si>
    <t>MFS-48260</t>
  </si>
  <si>
    <t>MFS-83892</t>
  </si>
  <si>
    <t>17/08/2022</t>
  </si>
  <si>
    <t>MFS-77070</t>
  </si>
  <si>
    <t>MFS-57714</t>
  </si>
  <si>
    <t>MFS-98208</t>
  </si>
  <si>
    <t>MFS-17925</t>
  </si>
  <si>
    <t>13/04/2021</t>
  </si>
  <si>
    <t>MFS-26361</t>
  </si>
  <si>
    <t>Garba Yakubu</t>
  </si>
  <si>
    <t>01/08/2021</t>
  </si>
  <si>
    <t>MFS-72600</t>
  </si>
  <si>
    <t>MFS-32035</t>
  </si>
  <si>
    <t>Yemi Nwachukwu</t>
  </si>
  <si>
    <t>MFS-11095</t>
  </si>
  <si>
    <t>Obinna Obi</t>
  </si>
  <si>
    <t>MFS-43556</t>
  </si>
  <si>
    <t>MFS-68040</t>
  </si>
  <si>
    <t>MFS-87997</t>
  </si>
  <si>
    <t>Nnamdi Aliyu</t>
  </si>
  <si>
    <t>MFS-33481</t>
  </si>
  <si>
    <t>Gbenga Suleiman</t>
  </si>
  <si>
    <t>MFS-98489</t>
  </si>
  <si>
    <t>MFS-79434</t>
  </si>
  <si>
    <t>MFS-50416</t>
  </si>
  <si>
    <t>MFS-58180</t>
  </si>
  <si>
    <t>MFS-47165</t>
  </si>
  <si>
    <t>MFS-40530</t>
  </si>
  <si>
    <t>MFS-69904</t>
  </si>
  <si>
    <t>MFS-10732</t>
  </si>
  <si>
    <t>27/09/2019</t>
  </si>
  <si>
    <t>MFS-42092</t>
  </si>
  <si>
    <t>MFS-79329</t>
  </si>
  <si>
    <t>MFS-74101</t>
  </si>
  <si>
    <t>MFS-45478</t>
  </si>
  <si>
    <t>MFS-91271</t>
  </si>
  <si>
    <t>Chukwudi Ihejirika</t>
  </si>
  <si>
    <t>MFS-82154</t>
  </si>
  <si>
    <t>Chinyere Onwudiwe</t>
  </si>
  <si>
    <t>MFS-74631</t>
  </si>
  <si>
    <t>MFS-65905</t>
  </si>
  <si>
    <t>MFS-52917</t>
  </si>
  <si>
    <t>Uloma Adesanya</t>
  </si>
  <si>
    <t>MFS-39661</t>
  </si>
  <si>
    <t>13/05/2024</t>
  </si>
  <si>
    <t>MFS-54546</t>
  </si>
  <si>
    <t>MFS-20636</t>
  </si>
  <si>
    <t>MFS-99871</t>
  </si>
  <si>
    <t>MFS-14442</t>
  </si>
  <si>
    <t>MFS-35405</t>
  </si>
  <si>
    <t>MFS-14931</t>
  </si>
  <si>
    <t>MFS-40166</t>
  </si>
  <si>
    <t>MFS-70645</t>
  </si>
  <si>
    <t>MFS-25515</t>
  </si>
  <si>
    <t>Chiamaka Amadi</t>
  </si>
  <si>
    <t>MFS-82893</t>
  </si>
  <si>
    <t>Funmilayo Abdullahi</t>
  </si>
  <si>
    <t>MFS-30257</t>
  </si>
  <si>
    <t>MFS-64747</t>
  </si>
  <si>
    <t>22/03/2021</t>
  </si>
  <si>
    <t>MFS-21326</t>
  </si>
  <si>
    <t>MFS-98197</t>
  </si>
  <si>
    <t>MFS-93457</t>
  </si>
  <si>
    <t>MFS-10461</t>
  </si>
  <si>
    <t>MFS-98844</t>
  </si>
  <si>
    <t>MFS-71039</t>
  </si>
  <si>
    <t>MFS-12222</t>
  </si>
  <si>
    <t>MFS-43422</t>
  </si>
  <si>
    <t>MFS-99696</t>
  </si>
  <si>
    <t>MFS-78327</t>
  </si>
  <si>
    <t>09/02/2021</t>
  </si>
  <si>
    <t>MFS-49708</t>
  </si>
  <si>
    <t>MFS-29637</t>
  </si>
  <si>
    <t>MFS-12682</t>
  </si>
  <si>
    <t>Amaka Abdullahi</t>
  </si>
  <si>
    <t>MFS-93395</t>
  </si>
  <si>
    <t>MFS-82456</t>
  </si>
  <si>
    <t>Tunde Nwachukwu</t>
  </si>
  <si>
    <t>19/08/2020</t>
  </si>
  <si>
    <t>MFS-66782</t>
  </si>
  <si>
    <t>MFS-35127</t>
  </si>
  <si>
    <t>MFS-95237</t>
  </si>
  <si>
    <t>MFS-99208</t>
  </si>
  <si>
    <t>MFS-26566</t>
  </si>
  <si>
    <t>MFS-86459</t>
  </si>
  <si>
    <t>Ogechi Shehu</t>
  </si>
  <si>
    <t>MFS-44446</t>
  </si>
  <si>
    <t>Seun Musa</t>
  </si>
  <si>
    <t>MFS-10662</t>
  </si>
  <si>
    <t>MFS-53715</t>
  </si>
  <si>
    <t>Ezinne Musa</t>
  </si>
  <si>
    <t>MFS-84645</t>
  </si>
  <si>
    <t>Chinyere Eze</t>
  </si>
  <si>
    <t>MFS-47496</t>
  </si>
  <si>
    <t>MFS-29368</t>
  </si>
  <si>
    <t>MFS-41828</t>
  </si>
  <si>
    <t>12/10/2019</t>
  </si>
  <si>
    <t>MFS-39880</t>
  </si>
  <si>
    <t>MFS-90505</t>
  </si>
  <si>
    <t>MFS-67579</t>
  </si>
  <si>
    <t>MFS-77183</t>
  </si>
  <si>
    <t>MFS-21438</t>
  </si>
  <si>
    <t>Danladi Abdullahi</t>
  </si>
  <si>
    <t>MFS-72473</t>
  </si>
  <si>
    <t>Eze Afolabi</t>
  </si>
  <si>
    <t>MFS-28294</t>
  </si>
  <si>
    <t>Danladi Buhari</t>
  </si>
  <si>
    <t>MFS-82740</t>
  </si>
  <si>
    <t>Aliyu Eze</t>
  </si>
  <si>
    <t>MFS-72006</t>
  </si>
  <si>
    <t>MFS-76757</t>
  </si>
  <si>
    <t>Emeka Amadi</t>
  </si>
  <si>
    <t>12/01/2024</t>
  </si>
  <si>
    <t>MFS-68138</t>
  </si>
  <si>
    <t>MFS-41488</t>
  </si>
  <si>
    <t>MFS-80798</t>
  </si>
  <si>
    <t>MFS-80696</t>
  </si>
  <si>
    <t>MFS-94851</t>
  </si>
  <si>
    <t>MFS-32806</t>
  </si>
  <si>
    <t>MFS-19849</t>
  </si>
  <si>
    <t>MFS-32419</t>
  </si>
  <si>
    <t>Laraba Shehu</t>
  </si>
  <si>
    <t>MFS-62355</t>
  </si>
  <si>
    <t>MFS-72711</t>
  </si>
  <si>
    <t>MFS-56850</t>
  </si>
  <si>
    <t>MFS-90389</t>
  </si>
  <si>
    <t>MFS-82330</t>
  </si>
  <si>
    <t>MFS-68303</t>
  </si>
  <si>
    <t>MFS-80635</t>
  </si>
  <si>
    <t>MFS-62883</t>
  </si>
  <si>
    <t>MFS-51927</t>
  </si>
  <si>
    <t>Usman Adesanya</t>
  </si>
  <si>
    <t>1. The Gender Column ( Column C) has inconsistent casing. The use of Sentence, Capital and Lower letters were used interchangeably.</t>
  </si>
  <si>
    <t xml:space="preserve">2. Column C, D, E, F, H, I, K, M, N, and O contains blanks </t>
  </si>
  <si>
    <t xml:space="preserve">3. The Employee_ID (Primary Key) contains duplicates </t>
  </si>
  <si>
    <t>Employee_ID</t>
  </si>
  <si>
    <t>Employee_Name</t>
  </si>
  <si>
    <t>Gender</t>
  </si>
  <si>
    <t>Department</t>
  </si>
  <si>
    <t>Employment_type</t>
  </si>
  <si>
    <t>Job_level</t>
  </si>
  <si>
    <t>Location</t>
  </si>
  <si>
    <t>Age_Group</t>
  </si>
  <si>
    <t>Education_level</t>
  </si>
  <si>
    <t>Hire_Date</t>
  </si>
  <si>
    <t>Exit_Date</t>
  </si>
  <si>
    <t>Years_of_Service</t>
  </si>
  <si>
    <t>Monthly_Salary_NGN</t>
  </si>
  <si>
    <t>Performance_Score</t>
  </si>
  <si>
    <t>Absenteeism_Days</t>
  </si>
  <si>
    <t>Turnover_status</t>
  </si>
  <si>
    <t>4. Years_of_Service (Column L) contains irregular formats. I had to round up to the nearest year to get an appropriate format</t>
  </si>
  <si>
    <t xml:space="preserve">Average Salary </t>
  </si>
  <si>
    <t>Average Performance Score</t>
  </si>
  <si>
    <t>Average Absenteeism rate</t>
  </si>
  <si>
    <t>Average Salary</t>
  </si>
  <si>
    <t>Employment Type</t>
  </si>
  <si>
    <t>Average Performance_Score</t>
  </si>
  <si>
    <t>Average Absenteeism_Days</t>
  </si>
  <si>
    <t>Grand Total</t>
  </si>
  <si>
    <t>Employment type</t>
  </si>
  <si>
    <t>Count of Employee_ID</t>
  </si>
  <si>
    <t>Education level</t>
  </si>
  <si>
    <t>Turnover Service</t>
  </si>
  <si>
    <t>Departments</t>
  </si>
  <si>
    <t>SUMMARY FROM HR ANALYSIS</t>
  </si>
  <si>
    <t>This Analysis focuses majorly on how the organization compensates different cartegories of employees across department, employment type and Locations.</t>
  </si>
  <si>
    <t xml:space="preserve">1. I observed that across the three locations where the businesses exist, the employees were be compensated different across departments and employment type </t>
  </si>
  <si>
    <t>and these had different effects to the performance of employees in the business.</t>
  </si>
  <si>
    <t>2. The sales department has the lowest salary average despite having the largest workforce.</t>
  </si>
  <si>
    <t>Number of Employess</t>
  </si>
  <si>
    <t>Also, Part-time employees consistently receive lower compensation across all departments.</t>
  </si>
  <si>
    <t>3. Contract employees in Abuja, and across other locations earn nearly the same average salary as full-time employees, suggesting increased reliance on outsourced expertise.</t>
  </si>
  <si>
    <t>4. Employees in Lagos, Abuja, and Port Harcourt receive significantly higher salaries across most departments compared to Kano location.</t>
  </si>
  <si>
    <t>This might be due to the Cost of living, Talent scarcity, Operational priorities, Regional salary competitiveness around those locations.</t>
  </si>
  <si>
    <t>5. Kano, Lagos, and PortHarcourt rely heavily on Part-time employees as compared to Abuja which rely heavily on Full-time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</si>
</sst>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46A]* #,##0.00_-;\-[$₦-46A]* #,##0.00_-;_-[$₦-46A]* &quot;-&quot;??_-;_-@_-"/>
    <numFmt numFmtId="165" formatCode="0.0"/>
  </numFmts>
  <fonts count="4"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Verdana"/>
      <family val="2"/>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43" fontId="0" fillId="0" borderId="0" xfId="1" applyFont="1"/>
    <xf numFmtId="0" fontId="0" fillId="0" borderId="0" xfId="0" applyNumberFormat="1"/>
    <xf numFmtId="164" fontId="0" fillId="0" borderId="0" xfId="0" applyNumberFormat="1"/>
    <xf numFmtId="165" fontId="0" fillId="0" borderId="0" xfId="0" applyNumberFormat="1"/>
    <xf numFmtId="164" fontId="0" fillId="0" borderId="1" xfId="0" applyNumberFormat="1" applyBorder="1"/>
    <xf numFmtId="165" fontId="0" fillId="0" borderId="1" xfId="0" applyNumberFormat="1" applyBorder="1"/>
    <xf numFmtId="0" fontId="0" fillId="0" borderId="1" xfId="0" applyBorder="1"/>
    <xf numFmtId="0" fontId="2" fillId="2" borderId="1" xfId="0" applyFont="1" applyFill="1" applyBorder="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3" fillId="0" borderId="0" xfId="0" applyFont="1"/>
    <xf numFmtId="0" fontId="0" fillId="0" borderId="0" xfId="0" applyAlignment="1"/>
    <xf numFmtId="1" fontId="0" fillId="0" borderId="0" xfId="0" applyNumberFormat="1"/>
  </cellXfs>
  <cellStyles count="2">
    <cellStyle name="Comma" xfId="1" builtinId="3"/>
    <cellStyle name="Normal" xfId="0" builtinId="0"/>
  </cellStyles>
  <dxfs count="26">
    <dxf>
      <numFmt numFmtId="165" formatCode="0.0"/>
    </dxf>
    <dxf>
      <numFmt numFmtId="164" formatCode="_-[$₦-46A]* #,##0.00_-;\-[$₦-46A]* #,##0.00_-;_-[$₦-46A]* &quot;-&quot;??_-;_-@_-"/>
    </dxf>
    <dxf>
      <numFmt numFmtId="164" formatCode="_-[$₦-46A]* #,##0.00_-;\-[$₦-46A]* #,##0.00_-;_-[$₦-46A]* &quot;-&quot;??_-;_-@_-"/>
    </dxf>
    <dxf>
      <numFmt numFmtId="14" formatCode="0.00%"/>
    </dxf>
    <dxf>
      <numFmt numFmtId="14" formatCode="0.00%"/>
    </dxf>
    <dxf>
      <numFmt numFmtId="14" formatCode="0.00%"/>
    </dxf>
    <dxf>
      <numFmt numFmtId="165" formatCode="0.0"/>
    </dxf>
    <dxf>
      <numFmt numFmtId="165" formatCode="0.0"/>
    </dxf>
    <dxf>
      <numFmt numFmtId="165" formatCode="0.0"/>
    </dxf>
    <dxf>
      <numFmt numFmtId="2" formatCode="0.00"/>
    </dxf>
    <dxf>
      <numFmt numFmtId="165" formatCode="0.0"/>
    </dxf>
    <dxf>
      <numFmt numFmtId="1" formatCode="0"/>
    </dxf>
    <dxf>
      <numFmt numFmtId="165" formatCode="0.0"/>
    </dxf>
    <dxf>
      <numFmt numFmtId="164" formatCode="_-[$₦-46A]* #,##0.00_-;\-[$₦-46A]* #,##0.00_-;_-[$₦-46A]*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[Meridian_HR_Assignment.xlsx]Pivot_Table!PivotTable4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Verdana" panose="020B0604030504040204" pitchFamily="34" charset="0"/>
                <a:ea typeface="Verdana" panose="020B0604030504040204" pitchFamily="34" charset="0"/>
              </a:rPr>
              <a:t>Average</a:t>
            </a:r>
            <a:r>
              <a:rPr lang="en-US" b="1" baseline="0">
                <a:latin typeface="Verdana" panose="020B0604030504040204" pitchFamily="34" charset="0"/>
                <a:ea typeface="Verdana" panose="020B0604030504040204" pitchFamily="34" charset="0"/>
              </a:rPr>
              <a:t> Salary by Department</a:t>
            </a:r>
          </a:p>
          <a:p>
            <a:pPr>
              <a:defRPr/>
            </a:pPr>
            <a:endParaRPr lang="en-US"/>
          </a:p>
        </c:rich>
      </c:tx>
      <c:layout>
        <c:manualLayout>
          <c:xMode val="edge"/>
          <c:yMode val="edge"/>
          <c:x val="0.16489566929133859"/>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Pivot_Table!$A$8:$A$13</c:f>
              <c:strCache>
                <c:ptCount val="5"/>
                <c:pt idx="0">
                  <c:v>Human Resources</c:v>
                </c:pt>
                <c:pt idx="1">
                  <c:v>Information Technology</c:v>
                </c:pt>
                <c:pt idx="2">
                  <c:v>Operations</c:v>
                </c:pt>
                <c:pt idx="3">
                  <c:v>Risk and Compliance</c:v>
                </c:pt>
                <c:pt idx="4">
                  <c:v>Sales</c:v>
                </c:pt>
              </c:strCache>
            </c:strRef>
          </c:cat>
          <c:val>
            <c:numRef>
              <c:f>Pivot_Table!$B$8:$B$13</c:f>
              <c:numCache>
                <c:formatCode>_-[$₦-46A]* #,##0.00_-;\-[$₦-46A]* #,##0.00_-;_-[$₦-46A]* "-"??_-;_-@_-</c:formatCode>
                <c:ptCount val="5"/>
                <c:pt idx="0">
                  <c:v>365829.1746641075</c:v>
                </c:pt>
                <c:pt idx="1">
                  <c:v>408604.37375745527</c:v>
                </c:pt>
                <c:pt idx="2">
                  <c:v>320652.43902439025</c:v>
                </c:pt>
                <c:pt idx="3">
                  <c:v>441211.81556195964</c:v>
                </c:pt>
                <c:pt idx="4">
                  <c:v>313554.74452554743</c:v>
                </c:pt>
              </c:numCache>
            </c:numRef>
          </c:val>
          <c:extLst>
            <c:ext xmlns:c16="http://schemas.microsoft.com/office/drawing/2014/chart" uri="{C3380CC4-5D6E-409C-BE32-E72D297353CC}">
              <c16:uniqueId val="{00000000-A44F-4DE2-9AA2-B79F32B410C1}"/>
            </c:ext>
          </c:extLst>
        </c:ser>
        <c:dLbls>
          <c:dLblPos val="outEnd"/>
          <c:showLegendKey val="0"/>
          <c:showVal val="1"/>
          <c:showCatName val="0"/>
          <c:showSerName val="0"/>
          <c:showPercent val="0"/>
          <c:showBubbleSize val="0"/>
        </c:dLbls>
        <c:gapWidth val="219"/>
        <c:overlap val="-27"/>
        <c:axId val="480368640"/>
        <c:axId val="480371968"/>
      </c:barChart>
      <c:catAx>
        <c:axId val="4803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71968"/>
        <c:crosses val="autoZero"/>
        <c:auto val="1"/>
        <c:lblAlgn val="ctr"/>
        <c:lblOffset val="100"/>
        <c:noMultiLvlLbl val="0"/>
      </c:catAx>
      <c:valAx>
        <c:axId val="480371968"/>
        <c:scaling>
          <c:orientation val="minMax"/>
        </c:scaling>
        <c:delete val="1"/>
        <c:axPos val="l"/>
        <c:numFmt formatCode="_-[$₦-46A]* #,##0.00_-;\-[$₦-46A]* #,##0.00_-;_-[$₦-46A]* &quot;-&quot;??_-;_-@_-" sourceLinked="1"/>
        <c:majorTickMark val="none"/>
        <c:minorTickMark val="none"/>
        <c:tickLblPos val="nextTo"/>
        <c:crossAx val="4803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[Meridian_HR_Assignment.xlsx]Pivot_Table!PivotTable6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Employment Type</a:t>
            </a:r>
          </a:p>
        </c:rich>
      </c:tx>
      <c:layout>
        <c:manualLayout>
          <c:xMode val="edge"/>
          <c:yMode val="edge"/>
          <c:x val="0.27618044619422571"/>
          <c:y val="0.1378681831437736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Pivot_Table!$A$17:$A$20</c:f>
              <c:strCache>
                <c:ptCount val="3"/>
                <c:pt idx="0">
                  <c:v>Contract</c:v>
                </c:pt>
                <c:pt idx="1">
                  <c:v>Full-time</c:v>
                </c:pt>
                <c:pt idx="2">
                  <c:v>Part-time</c:v>
                </c:pt>
              </c:strCache>
            </c:strRef>
          </c:cat>
          <c:val>
            <c:numRef>
              <c:f>Pivot_Table!$B$17:$B$20</c:f>
              <c:numCache>
                <c:formatCode>_-[$₦-46A]* #,##0.00_-;\-[$₦-46A]* #,##0.00_-;_-[$₦-46A]* "-"??_-;_-@_-</c:formatCode>
                <c:ptCount val="3"/>
                <c:pt idx="0">
                  <c:v>353365.38461538462</c:v>
                </c:pt>
                <c:pt idx="1">
                  <c:v>362307.20145852322</c:v>
                </c:pt>
                <c:pt idx="2">
                  <c:v>386175.51020408166</c:v>
                </c:pt>
              </c:numCache>
            </c:numRef>
          </c:val>
          <c:extLst>
            <c:ext xmlns:c16="http://schemas.microsoft.com/office/drawing/2014/chart" uri="{C3380CC4-5D6E-409C-BE32-E72D297353CC}">
              <c16:uniqueId val="{00000000-2E52-4649-9FF7-016F25ECA8E1}"/>
            </c:ext>
          </c:extLst>
        </c:ser>
        <c:dLbls>
          <c:showLegendKey val="0"/>
          <c:showVal val="1"/>
          <c:showCatName val="0"/>
          <c:showSerName val="0"/>
          <c:showPercent val="0"/>
          <c:showBubbleSize val="0"/>
        </c:dLbls>
        <c:gapWidth val="150"/>
        <c:shape val="box"/>
        <c:axId val="1212751776"/>
        <c:axId val="1212741376"/>
        <c:axId val="0"/>
      </c:bar3DChart>
      <c:catAx>
        <c:axId val="1212751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41376"/>
        <c:crosses val="autoZero"/>
        <c:auto val="1"/>
        <c:lblAlgn val="ctr"/>
        <c:lblOffset val="100"/>
        <c:noMultiLvlLbl val="0"/>
      </c:catAx>
      <c:valAx>
        <c:axId val="1212741376"/>
        <c:scaling>
          <c:orientation val="minMax"/>
        </c:scaling>
        <c:delete val="1"/>
        <c:axPos val="b"/>
        <c:numFmt formatCode="_-[$₦-46A]* #,##0.00_-;\-[$₦-46A]* #,##0.00_-;_-[$₦-46A]* &quot;-&quot;??_-;_-@_-" sourceLinked="1"/>
        <c:majorTickMark val="none"/>
        <c:minorTickMark val="none"/>
        <c:tickLblPos val="nextTo"/>
        <c:crossAx val="121275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[Meridian_HR_Assignment.xlsx]Pivot_Table!PivotTable8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lumMod val="85000"/>
                    <a:lumOff val="15000"/>
                  </a:schemeClr>
                </a:solidFill>
              </a:rPr>
              <a:t>Average Performance rate by Education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Pivot_Table!$A$24:$A$29</c:f>
              <c:strCache>
                <c:ptCount val="5"/>
                <c:pt idx="0">
                  <c:v>OND</c:v>
                </c:pt>
                <c:pt idx="1">
                  <c:v>BSc</c:v>
                </c:pt>
                <c:pt idx="2">
                  <c:v>HND</c:v>
                </c:pt>
                <c:pt idx="3">
                  <c:v>MSc</c:v>
                </c:pt>
                <c:pt idx="4">
                  <c:v>PhD</c:v>
                </c:pt>
              </c:strCache>
            </c:strRef>
          </c:cat>
          <c:val>
            <c:numRef>
              <c:f>Pivot_Table!$B$24:$B$29</c:f>
              <c:numCache>
                <c:formatCode>0.00%</c:formatCode>
                <c:ptCount val="5"/>
                <c:pt idx="0">
                  <c:v>0.99285560749195634</c:v>
                </c:pt>
                <c:pt idx="1">
                  <c:v>1.0022243858349094</c:v>
                </c:pt>
                <c:pt idx="2">
                  <c:v>0.99490633539206264</c:v>
                </c:pt>
                <c:pt idx="3">
                  <c:v>1.002204768506523</c:v>
                </c:pt>
                <c:pt idx="4">
                  <c:v>1.0049678171843277</c:v>
                </c:pt>
              </c:numCache>
            </c:numRef>
          </c:val>
          <c:extLst>
            <c:ext xmlns:c16="http://schemas.microsoft.com/office/drawing/2014/chart" uri="{C3380CC4-5D6E-409C-BE32-E72D297353CC}">
              <c16:uniqueId val="{00000000-FAD4-4982-BC0E-9A93E5B0233E}"/>
            </c:ext>
          </c:extLst>
        </c:ser>
        <c:dLbls>
          <c:dLblPos val="outEnd"/>
          <c:showLegendKey val="0"/>
          <c:showVal val="1"/>
          <c:showCatName val="0"/>
          <c:showSerName val="0"/>
          <c:showPercent val="0"/>
          <c:showBubbleSize val="0"/>
        </c:dLbls>
        <c:gapWidth val="100"/>
        <c:axId val="154502047"/>
        <c:axId val="154507455"/>
      </c:barChart>
      <c:catAx>
        <c:axId val="154502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507455"/>
        <c:crosses val="autoZero"/>
        <c:auto val="1"/>
        <c:lblAlgn val="ctr"/>
        <c:lblOffset val="100"/>
        <c:noMultiLvlLbl val="0"/>
      </c:catAx>
      <c:valAx>
        <c:axId val="154507455"/>
        <c:scaling>
          <c:orientation val="minMax"/>
        </c:scaling>
        <c:delete val="1"/>
        <c:axPos val="b"/>
        <c:numFmt formatCode="0.00%" sourceLinked="1"/>
        <c:majorTickMark val="none"/>
        <c:minorTickMark val="none"/>
        <c:tickLblPos val="nextTo"/>
        <c:crossAx val="15450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[Meridian_HR_Assignment.xlsx]Pivot_Table!PivotTable10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Verdana" panose="020B0604030504040204" pitchFamily="34" charset="0"/>
                <a:ea typeface="Verdana" panose="020B0604030504040204" pitchFamily="34" charset="0"/>
              </a:rPr>
              <a:t>Average Perfprmance</a:t>
            </a:r>
            <a:r>
              <a:rPr lang="en-US" b="1" baseline="0">
                <a:latin typeface="Verdana" panose="020B0604030504040204" pitchFamily="34" charset="0"/>
                <a:ea typeface="Verdana" panose="020B0604030504040204" pitchFamily="34" charset="0"/>
              </a:rPr>
              <a:t> by Gender</a:t>
            </a:r>
            <a:endParaRPr lang="en-US" b="1">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DA-446C-8B2E-051A72A3AC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DA-446C-8B2E-051A72A3AC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Pivot_Table!$A$41:$A$43</c:f>
              <c:strCache>
                <c:ptCount val="2"/>
                <c:pt idx="0">
                  <c:v>Female</c:v>
                </c:pt>
                <c:pt idx="1">
                  <c:v>Male</c:v>
                </c:pt>
              </c:strCache>
            </c:strRef>
          </c:cat>
          <c:val>
            <c:numRef>
              <c:f>Pivot_Table!$B$41:$B$43</c:f>
              <c:numCache>
                <c:formatCode>0.00%</c:formatCode>
                <c:ptCount val="2"/>
                <c:pt idx="0">
                  <c:v>0.99122247038151334</c:v>
                </c:pt>
                <c:pt idx="1">
                  <c:v>1.0074182416709825</c:v>
                </c:pt>
              </c:numCache>
            </c:numRef>
          </c:val>
          <c:extLst>
            <c:ext xmlns:c16="http://schemas.microsoft.com/office/drawing/2014/chart" uri="{C3380CC4-5D6E-409C-BE32-E72D297353CC}">
              <c16:uniqueId val="{00000000-87A2-4DBB-9650-2163B20FA64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[Meridian_HR_Assignment.xlsx]Pivot_Table!PivotTable12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Verdana" panose="020B0604030504040204" pitchFamily="34" charset="0"/>
                <a:ea typeface="Verdana" panose="020B0604030504040204" pitchFamily="34" charset="0"/>
              </a:rPr>
              <a:t>Number</a:t>
            </a:r>
            <a:r>
              <a:rPr lang="en-US" sz="1200" b="1" baseline="0">
                <a:latin typeface="Verdana" panose="020B0604030504040204" pitchFamily="34" charset="0"/>
                <a:ea typeface="Verdana" panose="020B0604030504040204" pitchFamily="34" charset="0"/>
              </a:rPr>
              <a:t> of Employees by Departments</a:t>
            </a:r>
          </a:p>
        </c:rich>
      </c:tx>
      <c:layout>
        <c:manualLayout>
          <c:xMode val="edge"/>
          <c:yMode val="edge"/>
          <c:x val="0.5126388888888888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Pivot_Table!$G$36:$G$41</c:f>
              <c:strCache>
                <c:ptCount val="5"/>
                <c:pt idx="0">
                  <c:v>Human Resources</c:v>
                </c:pt>
                <c:pt idx="1">
                  <c:v>Information Technology</c:v>
                </c:pt>
                <c:pt idx="2">
                  <c:v>Operations</c:v>
                </c:pt>
                <c:pt idx="3">
                  <c:v>Risk and Compliance</c:v>
                </c:pt>
                <c:pt idx="4">
                  <c:v>Sales</c:v>
                </c:pt>
              </c:strCache>
            </c:strRef>
          </c:cat>
          <c:val>
            <c:numRef>
              <c:f>Pivot_Table!$H$36:$H$41</c:f>
              <c:numCache>
                <c:formatCode>General</c:formatCode>
                <c:ptCount val="5"/>
                <c:pt idx="0">
                  <c:v>521</c:v>
                </c:pt>
                <c:pt idx="1">
                  <c:v>503</c:v>
                </c:pt>
                <c:pt idx="2">
                  <c:v>820</c:v>
                </c:pt>
                <c:pt idx="3">
                  <c:v>694</c:v>
                </c:pt>
                <c:pt idx="4">
                  <c:v>822</c:v>
                </c:pt>
              </c:numCache>
            </c:numRef>
          </c:val>
          <c:extLst>
            <c:ext xmlns:c16="http://schemas.microsoft.com/office/drawing/2014/chart" uri="{C3380CC4-5D6E-409C-BE32-E72D297353CC}">
              <c16:uniqueId val="{00000000-9C9E-46DC-8E67-495EDE1F5B65}"/>
            </c:ext>
          </c:extLst>
        </c:ser>
        <c:dLbls>
          <c:dLblPos val="outEnd"/>
          <c:showLegendKey val="0"/>
          <c:showVal val="1"/>
          <c:showCatName val="0"/>
          <c:showSerName val="0"/>
          <c:showPercent val="0"/>
          <c:showBubbleSize val="0"/>
        </c:dLbls>
        <c:gapWidth val="182"/>
        <c:axId val="944397983"/>
        <c:axId val="944398399"/>
      </c:barChart>
      <c:catAx>
        <c:axId val="94439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398399"/>
        <c:crosses val="autoZero"/>
        <c:auto val="1"/>
        <c:lblAlgn val="ctr"/>
        <c:lblOffset val="100"/>
        <c:noMultiLvlLbl val="0"/>
      </c:catAx>
      <c:valAx>
        <c:axId val="944398399"/>
        <c:scaling>
          <c:orientation val="minMax"/>
        </c:scaling>
        <c:delete val="1"/>
        <c:axPos val="b"/>
        <c:numFmt formatCode="General" sourceLinked="1"/>
        <c:majorTickMark val="none"/>
        <c:minorTickMark val="none"/>
        <c:tickLblPos val="nextTo"/>
        <c:crossAx val="94439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[Meridian_HR_Assignment.xlsx]Pivot_Table!PivotTable6</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Average Salary by Employment Type</a:t>
            </a:r>
          </a:p>
        </c:rich>
      </c:tx>
      <c:layout>
        <c:manualLayout>
          <c:xMode val="edge"/>
          <c:yMode val="edge"/>
          <c:x val="0.24228212998798879"/>
          <c:y val="4.7690946880670951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Pivot_Table!$A$17:$A$20</c:f>
              <c:strCache>
                <c:ptCount val="3"/>
                <c:pt idx="0">
                  <c:v>Contract</c:v>
                </c:pt>
                <c:pt idx="1">
                  <c:v>Full-time</c:v>
                </c:pt>
                <c:pt idx="2">
                  <c:v>Part-time</c:v>
                </c:pt>
              </c:strCache>
            </c:strRef>
          </c:cat>
          <c:val>
            <c:numRef>
              <c:f>Pivot_Table!$B$17:$B$20</c:f>
              <c:numCache>
                <c:formatCode>_-[$₦-46A]* #,##0.00_-;\-[$₦-46A]* #,##0.00_-;_-[$₦-46A]* "-"??_-;_-@_-</c:formatCode>
                <c:ptCount val="3"/>
                <c:pt idx="0">
                  <c:v>353365.38461538462</c:v>
                </c:pt>
                <c:pt idx="1">
                  <c:v>362307.20145852322</c:v>
                </c:pt>
                <c:pt idx="2">
                  <c:v>386175.51020408166</c:v>
                </c:pt>
              </c:numCache>
            </c:numRef>
          </c:val>
          <c:extLst>
            <c:ext xmlns:c16="http://schemas.microsoft.com/office/drawing/2014/chart" uri="{C3380CC4-5D6E-409C-BE32-E72D297353CC}">
              <c16:uniqueId val="{00000000-B3D3-4ECB-A5BF-3F3FED3B0194}"/>
            </c:ext>
          </c:extLst>
        </c:ser>
        <c:dLbls>
          <c:showLegendKey val="0"/>
          <c:showVal val="1"/>
          <c:showCatName val="0"/>
          <c:showSerName val="0"/>
          <c:showPercent val="0"/>
          <c:showBubbleSize val="0"/>
        </c:dLbls>
        <c:gapWidth val="150"/>
        <c:shape val="box"/>
        <c:axId val="1212751776"/>
        <c:axId val="1212741376"/>
        <c:axId val="0"/>
      </c:bar3DChart>
      <c:catAx>
        <c:axId val="1212751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41376"/>
        <c:crosses val="autoZero"/>
        <c:auto val="1"/>
        <c:lblAlgn val="ctr"/>
        <c:lblOffset val="100"/>
        <c:noMultiLvlLbl val="0"/>
      </c:catAx>
      <c:valAx>
        <c:axId val="1212741376"/>
        <c:scaling>
          <c:orientation val="minMax"/>
        </c:scaling>
        <c:delete val="1"/>
        <c:axPos val="b"/>
        <c:numFmt formatCode="_-[$₦-46A]* #,##0.00_-;\-[$₦-46A]* #,##0.00_-;_-[$₦-46A]* &quot;-&quot;??_-;_-@_-" sourceLinked="1"/>
        <c:majorTickMark val="none"/>
        <c:minorTickMark val="none"/>
        <c:tickLblPos val="nextTo"/>
        <c:crossAx val="121275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[Meridian_HR_Assignment.xlsx]Pivot_Table!PivotTable4</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Verdana" panose="020B0604030504040204" pitchFamily="34" charset="0"/>
                <a:ea typeface="Verdana" panose="020B0604030504040204" pitchFamily="34" charset="0"/>
              </a:rPr>
              <a:t>Average</a:t>
            </a:r>
            <a:r>
              <a:rPr lang="en-US" b="1" baseline="0">
                <a:solidFill>
                  <a:srgbClr val="002060"/>
                </a:solidFill>
                <a:latin typeface="Verdana" panose="020B0604030504040204" pitchFamily="34" charset="0"/>
                <a:ea typeface="Verdana" panose="020B0604030504040204" pitchFamily="34" charset="0"/>
              </a:rPr>
              <a:t> Salary by Department</a:t>
            </a:r>
          </a:p>
        </c:rich>
      </c:tx>
      <c:layout>
        <c:manualLayout>
          <c:xMode val="edge"/>
          <c:yMode val="edge"/>
          <c:x val="0.23419571684287793"/>
          <c:y val="5.4880691780747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Pivot_Table!$A$8:$A$13</c:f>
              <c:strCache>
                <c:ptCount val="5"/>
                <c:pt idx="0">
                  <c:v>Human Resources</c:v>
                </c:pt>
                <c:pt idx="1">
                  <c:v>Information Technology</c:v>
                </c:pt>
                <c:pt idx="2">
                  <c:v>Operations</c:v>
                </c:pt>
                <c:pt idx="3">
                  <c:v>Risk and Compliance</c:v>
                </c:pt>
                <c:pt idx="4">
                  <c:v>Sales</c:v>
                </c:pt>
              </c:strCache>
            </c:strRef>
          </c:cat>
          <c:val>
            <c:numRef>
              <c:f>Pivot_Table!$B$8:$B$13</c:f>
              <c:numCache>
                <c:formatCode>_-[$₦-46A]* #,##0.00_-;\-[$₦-46A]* #,##0.00_-;_-[$₦-46A]* "-"??_-;_-@_-</c:formatCode>
                <c:ptCount val="5"/>
                <c:pt idx="0">
                  <c:v>365829.1746641075</c:v>
                </c:pt>
                <c:pt idx="1">
                  <c:v>408604.37375745527</c:v>
                </c:pt>
                <c:pt idx="2">
                  <c:v>320652.43902439025</c:v>
                </c:pt>
                <c:pt idx="3">
                  <c:v>441211.81556195964</c:v>
                </c:pt>
                <c:pt idx="4">
                  <c:v>313554.74452554743</c:v>
                </c:pt>
              </c:numCache>
            </c:numRef>
          </c:val>
          <c:extLst>
            <c:ext xmlns:c16="http://schemas.microsoft.com/office/drawing/2014/chart" uri="{C3380CC4-5D6E-409C-BE32-E72D297353CC}">
              <c16:uniqueId val="{00000000-5AFB-4088-B08E-F99512CC229F}"/>
            </c:ext>
          </c:extLst>
        </c:ser>
        <c:dLbls>
          <c:dLblPos val="outEnd"/>
          <c:showLegendKey val="0"/>
          <c:showVal val="1"/>
          <c:showCatName val="0"/>
          <c:showSerName val="0"/>
          <c:showPercent val="0"/>
          <c:showBubbleSize val="0"/>
        </c:dLbls>
        <c:gapWidth val="219"/>
        <c:overlap val="-27"/>
        <c:axId val="480368640"/>
        <c:axId val="480371968"/>
      </c:barChart>
      <c:catAx>
        <c:axId val="4803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71968"/>
        <c:crosses val="autoZero"/>
        <c:auto val="1"/>
        <c:lblAlgn val="ctr"/>
        <c:lblOffset val="100"/>
        <c:noMultiLvlLbl val="0"/>
      </c:catAx>
      <c:valAx>
        <c:axId val="480371968"/>
        <c:scaling>
          <c:orientation val="minMax"/>
        </c:scaling>
        <c:delete val="1"/>
        <c:axPos val="l"/>
        <c:numFmt formatCode="_-[$₦-46A]* #,##0.00_-;\-[$₦-46A]* #,##0.00_-;_-[$₦-46A]* &quot;-&quot;??_-;_-@_-" sourceLinked="1"/>
        <c:majorTickMark val="none"/>
        <c:minorTickMark val="none"/>
        <c:tickLblPos val="nextTo"/>
        <c:crossAx val="4803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104775</xdr:colOff>
      <xdr:row>0</xdr:row>
      <xdr:rowOff>147637</xdr:rowOff>
    </xdr:from>
    <xdr:to>
      <xdr:col>13</xdr:col>
      <xdr:colOff>409575</xdr:colOff>
      <xdr:row>15</xdr:row>
      <xdr:rowOff>33337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15</xdr:row>
      <xdr:rowOff>71437</xdr:rowOff>
    </xdr:from>
    <xdr:to>
      <xdr:col>13</xdr:col>
      <xdr:colOff>390525</xdr:colOff>
      <xdr:row>29</xdr:row>
      <xdr:rowOff>147637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619125</xdr:colOff>
      <xdr:row>20</xdr:row>
      <xdr:rowOff>100012</xdr:rowOff>
    </xdr:from>
    <xdr:to>
      <xdr:col>5</xdr:col>
      <xdr:colOff>142875</xdr:colOff>
      <xdr:row>34</xdr:row>
      <xdr:rowOff>176212</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35</xdr:row>
      <xdr:rowOff>119062</xdr:rowOff>
    </xdr:from>
    <xdr:to>
      <xdr:col>5</xdr:col>
      <xdr:colOff>114300</xdr:colOff>
      <xdr:row>50</xdr:row>
      <xdr:rowOff>4762</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333375</xdr:colOff>
      <xdr:row>43</xdr:row>
      <xdr:rowOff>14287</xdr:rowOff>
    </xdr:from>
    <xdr:to>
      <xdr:col>8</xdr:col>
      <xdr:colOff>276225</xdr:colOff>
      <xdr:row>57</xdr:row>
      <xdr:rowOff>90487</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95250</xdr:rowOff>
    </xdr:from>
    <xdr:to>
      <xdr:col>2</xdr:col>
      <xdr:colOff>266700</xdr:colOff>
      <xdr:row>34</xdr:row>
      <xdr:rowOff>57150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42875" y="95250"/>
          <a:ext cx="1343025" cy="64389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3</xdr:row>
      <xdr:rowOff>161925</xdr:rowOff>
    </xdr:from>
    <xdr:to>
      <xdr:col>2</xdr:col>
      <xdr:colOff>390525</xdr:colOff>
      <xdr:row>8</xdr:row>
      <xdr:rowOff>171450</xdr:rowOff>
    </xdr:to>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123825" y="733425"/>
          <a:ext cx="1485900" cy="962025"/>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200024</xdr:colOff>
      <xdr:row>1</xdr:row>
      <xdr:rowOff>104775</xdr:rowOff>
    </xdr:from>
    <xdr:ext cx="2771775" cy="536494"/>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2028824" y="295275"/>
          <a:ext cx="2771775" cy="53649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002060"/>
              </a:solidFill>
              <a:latin typeface="Verdana" panose="020B0604030504040204" pitchFamily="34" charset="0"/>
              <a:ea typeface="Verdana" panose="020B0604030504040204" pitchFamily="34" charset="0"/>
            </a:rPr>
            <a:t>HR DASHBOARD</a:t>
          </a:r>
        </a:p>
        <a:p>
          <a:r>
            <a:rPr lang="en-US" sz="1050" b="0">
              <a:solidFill>
                <a:srgbClr val="002060"/>
              </a:solidFill>
              <a:latin typeface="Verdana" panose="020B0604030504040204" pitchFamily="34" charset="0"/>
              <a:ea typeface="Verdana" panose="020B0604030504040204" pitchFamily="34" charset="0"/>
            </a:rPr>
            <a:t>Meridian</a:t>
          </a:r>
          <a:r>
            <a:rPr lang="en-US" sz="1050" b="0" baseline="0">
              <a:solidFill>
                <a:srgbClr val="002060"/>
              </a:solidFill>
              <a:latin typeface="Verdana" panose="020B0604030504040204" pitchFamily="34" charset="0"/>
              <a:ea typeface="Verdana" panose="020B0604030504040204" pitchFamily="34" charset="0"/>
            </a:rPr>
            <a:t> Citadel Consult</a:t>
          </a:r>
          <a:endParaRPr lang="en-US" sz="1000" b="0">
            <a:solidFill>
              <a:srgbClr val="002060"/>
            </a:solidFill>
            <a:latin typeface="Verdana" panose="020B0604030504040204" pitchFamily="34" charset="0"/>
            <a:ea typeface="Verdana" panose="020B0604030504040204" pitchFamily="34" charset="0"/>
          </a:endParaRPr>
        </a:p>
      </xdr:txBody>
    </xdr:sp>
    <xdr:clientData/>
  </xdr:oneCellAnchor>
  <xdr:twoCellAnchor>
    <xdr:from>
      <xdr:col>0</xdr:col>
      <xdr:colOff>295275</xdr:colOff>
      <xdr:row>7</xdr:row>
      <xdr:rowOff>95250</xdr:rowOff>
    </xdr:from>
    <xdr:to>
      <xdr:col>2</xdr:col>
      <xdr:colOff>200025</xdr:colOff>
      <xdr:row>8</xdr:row>
      <xdr:rowOff>152400</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295275" y="1428750"/>
          <a:ext cx="1123950" cy="24765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Verdana" panose="020B0604030504040204" pitchFamily="34" charset="0"/>
              <a:ea typeface="Verdana" panose="020B0604030504040204" pitchFamily="34" charset="0"/>
            </a:rPr>
            <a:t>DASHBOARD</a:t>
          </a:r>
        </a:p>
      </xdr:txBody>
    </xdr:sp>
    <xdr:clientData/>
  </xdr:twoCellAnchor>
  <xdr:twoCellAnchor>
    <xdr:from>
      <xdr:col>2</xdr:col>
      <xdr:colOff>552450</xdr:colOff>
      <xdr:row>4</xdr:row>
      <xdr:rowOff>85725</xdr:rowOff>
    </xdr:from>
    <xdr:to>
      <xdr:col>20</xdr:col>
      <xdr:colOff>104775</xdr:colOff>
      <xdr:row>4</xdr:row>
      <xdr:rowOff>104777</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flipV="1">
          <a:off x="1771650" y="847725"/>
          <a:ext cx="10525125" cy="19052"/>
        </a:xfrm>
        <a:prstGeom prst="line">
          <a:avLst/>
        </a:prstGeom>
        <a:ln w="57150">
          <a:solidFill>
            <a:schemeClr val="dk1">
              <a:alpha val="18000"/>
            </a:schemeClr>
          </a:solidFill>
        </a:ln>
        <a:effectLst>
          <a:outerShdw blurRad="152400" dist="317500" dir="5400000" sx="90000" sy="-19000" rotWithShape="0">
            <a:prstClr val="black">
              <a:alpha val="15000"/>
            </a:prstClr>
          </a:outerShdw>
          <a:softEdge rad="12700"/>
        </a:effectLst>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533400</xdr:colOff>
      <xdr:row>5</xdr:row>
      <xdr:rowOff>104775</xdr:rowOff>
    </xdr:from>
    <xdr:to>
      <xdr:col>5</xdr:col>
      <xdr:colOff>209550</xdr:colOff>
      <xdr:row>8</xdr:row>
      <xdr:rowOff>171450</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1752600" y="1057275"/>
          <a:ext cx="1504950" cy="6381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Arial Black" panose="020B0A04020102020204" pitchFamily="34" charset="0"/>
              <a:ea typeface="+mn-ea"/>
              <a:cs typeface="+mn-cs"/>
            </a:rPr>
            <a:t>Average Salary</a:t>
          </a:r>
          <a:r>
            <a:rPr lang="en-US" sz="1200" b="1">
              <a:latin typeface="Arial Black" panose="020B0A04020102020204" pitchFamily="34" charset="0"/>
            </a:rPr>
            <a:t> </a:t>
          </a:r>
          <a:r>
            <a:rPr lang="en-US" sz="1200" b="1" i="0" u="none" strike="noStrike">
              <a:solidFill>
                <a:schemeClr val="lt1"/>
              </a:solidFill>
              <a:effectLst/>
              <a:latin typeface="Arial Black" panose="020B0A04020102020204" pitchFamily="34" charset="0"/>
              <a:ea typeface="+mn-ea"/>
              <a:cs typeface="+mn-cs"/>
            </a:rPr>
            <a:t> </a:t>
          </a:r>
        </a:p>
        <a:p>
          <a:pPr algn="ctr"/>
          <a:r>
            <a:rPr lang="en-US" sz="1200" b="1" i="0" u="none" strike="noStrike">
              <a:solidFill>
                <a:schemeClr val="lt1"/>
              </a:solidFill>
              <a:effectLst/>
              <a:latin typeface="Arial Black" panose="020B0A04020102020204" pitchFamily="34" charset="0"/>
              <a:ea typeface="+mn-ea"/>
              <a:cs typeface="+mn-cs"/>
            </a:rPr>
            <a:t>₦  363,988.99 </a:t>
          </a:r>
          <a:endParaRPr lang="en-US" sz="1200" b="1">
            <a:latin typeface="Arial Black" panose="020B0A04020102020204" pitchFamily="34" charset="0"/>
          </a:endParaRPr>
        </a:p>
      </xdr:txBody>
    </xdr:sp>
    <xdr:clientData/>
  </xdr:twoCellAnchor>
  <xdr:twoCellAnchor>
    <xdr:from>
      <xdr:col>5</xdr:col>
      <xdr:colOff>219075</xdr:colOff>
      <xdr:row>5</xdr:row>
      <xdr:rowOff>104775</xdr:rowOff>
    </xdr:from>
    <xdr:to>
      <xdr:col>7</xdr:col>
      <xdr:colOff>504825</xdr:colOff>
      <xdr:row>9</xdr:row>
      <xdr:rowOff>9525</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a:xfrm>
          <a:off x="3267075" y="1057275"/>
          <a:ext cx="1504950" cy="6667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a:solidFill>
                <a:schemeClr val="lt1"/>
              </a:solidFill>
              <a:effectLst/>
              <a:latin typeface="Arial Black" panose="020B0A04020102020204" pitchFamily="34" charset="0"/>
              <a:ea typeface="+mn-ea"/>
              <a:cs typeface="+mn-cs"/>
            </a:rPr>
            <a:t>Average Absenteeism</a:t>
          </a:r>
          <a:r>
            <a:rPr lang="en-US" sz="1000" b="0" i="0" u="none" strike="noStrike" baseline="0">
              <a:solidFill>
                <a:schemeClr val="lt1"/>
              </a:solidFill>
              <a:effectLst/>
              <a:latin typeface="Arial Black" panose="020B0A04020102020204" pitchFamily="34" charset="0"/>
              <a:ea typeface="+mn-ea"/>
              <a:cs typeface="+mn-cs"/>
            </a:rPr>
            <a:t> </a:t>
          </a:r>
          <a:r>
            <a:rPr lang="en-US" sz="1000" b="0" i="0" u="none" strike="noStrike">
              <a:solidFill>
                <a:schemeClr val="lt1"/>
              </a:solidFill>
              <a:effectLst/>
              <a:latin typeface="Arial Black" panose="020B0A04020102020204" pitchFamily="34" charset="0"/>
              <a:ea typeface="+mn-ea"/>
              <a:cs typeface="+mn-cs"/>
            </a:rPr>
            <a:t>Days</a:t>
          </a:r>
          <a:r>
            <a:rPr lang="en-US" sz="1000" b="0">
              <a:latin typeface="Arial Black" panose="020B0A04020102020204" pitchFamily="34" charset="0"/>
            </a:rPr>
            <a:t> </a:t>
          </a:r>
          <a:r>
            <a:rPr lang="en-US" sz="1100" b="0" i="0" u="none" strike="noStrike">
              <a:solidFill>
                <a:schemeClr val="lt1"/>
              </a:solidFill>
              <a:effectLst/>
              <a:latin typeface="Arial Black" panose="020B0A04020102020204" pitchFamily="34" charset="0"/>
              <a:ea typeface="+mn-ea"/>
              <a:cs typeface="+mn-cs"/>
            </a:rPr>
            <a:t>10</a:t>
          </a:r>
          <a:endParaRPr lang="en-US" sz="1000" b="0">
            <a:latin typeface="Arial Black" panose="020B0A04020102020204" pitchFamily="34" charset="0"/>
          </a:endParaRPr>
        </a:p>
      </xdr:txBody>
    </xdr:sp>
    <xdr:clientData/>
  </xdr:twoCellAnchor>
  <xdr:twoCellAnchor>
    <xdr:from>
      <xdr:col>7</xdr:col>
      <xdr:colOff>514350</xdr:colOff>
      <xdr:row>5</xdr:row>
      <xdr:rowOff>104775</xdr:rowOff>
    </xdr:from>
    <xdr:to>
      <xdr:col>10</xdr:col>
      <xdr:colOff>190500</xdr:colOff>
      <xdr:row>8</xdr:row>
      <xdr:rowOff>171450</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a:xfrm>
          <a:off x="4781550" y="1057275"/>
          <a:ext cx="1504950" cy="63817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0" i="0" u="none" strike="noStrike">
              <a:solidFill>
                <a:schemeClr val="lt1"/>
              </a:solidFill>
              <a:effectLst/>
              <a:latin typeface="Arial Black" panose="020B0A04020102020204" pitchFamily="34" charset="0"/>
              <a:ea typeface="+mn-ea"/>
              <a:cs typeface="+mn-cs"/>
            </a:rPr>
            <a:t>Average Performance</a:t>
          </a:r>
          <a:r>
            <a:rPr lang="en-US" sz="900" b="0" i="0" u="none" strike="noStrike" baseline="0">
              <a:solidFill>
                <a:schemeClr val="lt1"/>
              </a:solidFill>
              <a:effectLst/>
              <a:latin typeface="Arial Black" panose="020B0A04020102020204" pitchFamily="34" charset="0"/>
              <a:ea typeface="+mn-ea"/>
              <a:cs typeface="+mn-cs"/>
            </a:rPr>
            <a:t> </a:t>
          </a:r>
          <a:r>
            <a:rPr lang="en-US" sz="900" b="0" i="0" u="none" strike="noStrike">
              <a:solidFill>
                <a:schemeClr val="lt1"/>
              </a:solidFill>
              <a:effectLst/>
              <a:latin typeface="Arial Black" panose="020B0A04020102020204" pitchFamily="34" charset="0"/>
              <a:ea typeface="+mn-ea"/>
              <a:cs typeface="+mn-cs"/>
            </a:rPr>
            <a:t>Score</a:t>
          </a:r>
          <a:r>
            <a:rPr lang="en-US" sz="900" b="0">
              <a:latin typeface="Arial Black" panose="020B0A04020102020204" pitchFamily="34" charset="0"/>
            </a:rPr>
            <a:t> </a:t>
          </a:r>
        </a:p>
        <a:p>
          <a:pPr algn="ctr"/>
          <a:r>
            <a:rPr lang="en-US" sz="1200" b="1" i="0" u="none" strike="noStrike">
              <a:solidFill>
                <a:schemeClr val="lt1"/>
              </a:solidFill>
              <a:effectLst/>
              <a:latin typeface="Arial Black" panose="020B0A04020102020204" pitchFamily="34" charset="0"/>
              <a:ea typeface="+mn-ea"/>
              <a:cs typeface="+mn-cs"/>
            </a:rPr>
            <a:t>3.4</a:t>
          </a:r>
          <a:r>
            <a:rPr lang="en-US" sz="1200" b="1">
              <a:latin typeface="Arial Black" panose="020B0A04020102020204" pitchFamily="34" charset="0"/>
            </a:rPr>
            <a:t> </a:t>
          </a:r>
        </a:p>
      </xdr:txBody>
    </xdr:sp>
    <xdr:clientData/>
  </xdr:twoCellAnchor>
  <mc:AlternateContent xmlns:mc="http://schemas.openxmlformats.org/markup-compatibility/2006">
    <mc:Choice xmlns:a14="http://schemas.microsoft.com/office/drawing/2010/main" Requires="a14">
      <xdr:twoCellAnchor editAs="oneCell">
        <xdr:from>
          <xdr:col>0</xdr:col>
          <xdr:colOff>257175</xdr:colOff>
          <xdr:row>4</xdr:row>
          <xdr:rowOff>133350</xdr:rowOff>
        </xdr:from>
        <xdr:to>
          <xdr:col>2</xdr:col>
          <xdr:colOff>209550</xdr:colOff>
          <xdr:row>7</xdr:row>
          <xdr:rowOff>123825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solidFill>
              <a:srgbClr val="C55A11"/>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533400</xdr:colOff>
      <xdr:row>8</xdr:row>
      <xdr:rowOff>180975</xdr:rowOff>
    </xdr:from>
    <xdr:to>
      <xdr:col>10</xdr:col>
      <xdr:colOff>190500</xdr:colOff>
      <xdr:row>21</xdr:row>
      <xdr:rowOff>28575</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a:off x="1752600" y="1704975"/>
          <a:ext cx="4533900" cy="23241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10</xdr:row>
      <xdr:rowOff>104775</xdr:rowOff>
    </xdr:from>
    <xdr:to>
      <xdr:col>10</xdr:col>
      <xdr:colOff>180975</xdr:colOff>
      <xdr:row>10</xdr:row>
      <xdr:rowOff>114300</xdr:rowOff>
    </xdr:to>
    <xdr:cxnSp macro="">
      <xdr:nvCxnSpPr>
        <xdr:cNvPr id="15" name="Straight Connector 14">
          <a:extLst>
            <a:ext uri="{FF2B5EF4-FFF2-40B4-BE49-F238E27FC236}">
              <a16:creationId xmlns:a16="http://schemas.microsoft.com/office/drawing/2014/main" id="{00000000-0008-0000-0400-00000F000000}"/>
            </a:ext>
          </a:extLst>
        </xdr:cNvPr>
        <xdr:cNvCxnSpPr/>
      </xdr:nvCxnSpPr>
      <xdr:spPr>
        <a:xfrm>
          <a:off x="1752600" y="2009775"/>
          <a:ext cx="4524375" cy="95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257175</xdr:colOff>
      <xdr:row>0</xdr:row>
      <xdr:rowOff>66675</xdr:rowOff>
    </xdr:from>
    <xdr:to>
      <xdr:col>20</xdr:col>
      <xdr:colOff>219075</xdr:colOff>
      <xdr:row>3</xdr:row>
      <xdr:rowOff>28575</xdr:rowOff>
    </xdr:to>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9401175" y="66675"/>
          <a:ext cx="30099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2060"/>
              </a:solidFill>
              <a:latin typeface="Verdana" panose="020B0604030504040204" pitchFamily="34" charset="0"/>
              <a:ea typeface="Verdana" panose="020B0604030504040204" pitchFamily="34" charset="0"/>
            </a:rPr>
            <a:t>Showing data for:</a:t>
          </a:r>
          <a:r>
            <a:rPr lang="en-US" sz="1100" baseline="0">
              <a:solidFill>
                <a:srgbClr val="002060"/>
              </a:solidFill>
              <a:latin typeface="Verdana" panose="020B0604030504040204" pitchFamily="34" charset="0"/>
              <a:ea typeface="Verdana" panose="020B0604030504040204" pitchFamily="34" charset="0"/>
            </a:rPr>
            <a:t>   </a:t>
          </a:r>
          <a:r>
            <a:rPr lang="en-US" sz="1100">
              <a:solidFill>
                <a:srgbClr val="002060"/>
              </a:solidFill>
              <a:latin typeface="Verdana" panose="020B0604030504040204" pitchFamily="34" charset="0"/>
              <a:ea typeface="Verdana" panose="020B0604030504040204" pitchFamily="34" charset="0"/>
            </a:rPr>
            <a:t>All Business Unit</a:t>
          </a:r>
          <a:r>
            <a:rPr lang="en-US" sz="1100" baseline="0">
              <a:solidFill>
                <a:srgbClr val="002060"/>
              </a:solidFill>
              <a:latin typeface="Verdana" panose="020B0604030504040204" pitchFamily="34" charset="0"/>
              <a:ea typeface="Verdana" panose="020B0604030504040204" pitchFamily="34" charset="0"/>
            </a:rPr>
            <a:t> </a:t>
          </a:r>
          <a:endParaRPr lang="en-US" sz="1100">
            <a:solidFill>
              <a:srgbClr val="002060"/>
            </a:solidFill>
            <a:latin typeface="Verdana" panose="020B0604030504040204" pitchFamily="34" charset="0"/>
            <a:ea typeface="Verdana" panose="020B0604030504040204" pitchFamily="34" charset="0"/>
          </a:endParaRPr>
        </a:p>
      </xdr:txBody>
    </xdr:sp>
    <xdr:clientData/>
  </xdr:twoCellAnchor>
  <xdr:twoCellAnchor editAs="oneCell">
    <xdr:from>
      <xdr:col>13</xdr:col>
      <xdr:colOff>0</xdr:colOff>
      <xdr:row>7</xdr:row>
      <xdr:rowOff>0</xdr:rowOff>
    </xdr:from>
    <xdr:to>
      <xdr:col>13</xdr:col>
      <xdr:colOff>304800</xdr:colOff>
      <xdr:row>8</xdr:row>
      <xdr:rowOff>114300</xdr:rowOff>
    </xdr:to>
    <xdr:sp macro="" textlink="">
      <xdr:nvSpPr>
        <xdr:cNvPr id="5124" name="AutoShape 4" descr="Download Calendar Icon Logo 2025 Date Time for free">
          <a:extLst>
            <a:ext uri="{FF2B5EF4-FFF2-40B4-BE49-F238E27FC236}">
              <a16:creationId xmlns:a16="http://schemas.microsoft.com/office/drawing/2014/main" id="{00000000-0008-0000-0400-000004140000}"/>
            </a:ext>
          </a:extLst>
        </xdr:cNvPr>
        <xdr:cNvSpPr>
          <a:spLocks noChangeAspect="1" noChangeArrowheads="1"/>
        </xdr:cNvSpPr>
      </xdr:nvSpPr>
      <xdr:spPr bwMode="auto">
        <a:xfrm>
          <a:off x="7924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428625</xdr:colOff>
      <xdr:row>1</xdr:row>
      <xdr:rowOff>123825</xdr:rowOff>
    </xdr:from>
    <xdr:to>
      <xdr:col>16</xdr:col>
      <xdr:colOff>209550</xdr:colOff>
      <xdr:row>3</xdr:row>
      <xdr:rowOff>95250</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
        <a:stretch>
          <a:fillRect/>
        </a:stretch>
      </xdr:blipFill>
      <xdr:spPr>
        <a:xfrm>
          <a:off x="9572625" y="314325"/>
          <a:ext cx="390525" cy="352425"/>
        </a:xfrm>
        <a:prstGeom prst="rect">
          <a:avLst/>
        </a:prstGeom>
      </xdr:spPr>
    </xdr:pic>
    <xdr:clientData/>
  </xdr:twoCellAnchor>
  <xdr:oneCellAnchor>
    <xdr:from>
      <xdr:col>16</xdr:col>
      <xdr:colOff>495300</xdr:colOff>
      <xdr:row>1</xdr:row>
      <xdr:rowOff>161925</xdr:rowOff>
    </xdr:from>
    <xdr:ext cx="2486025" cy="248209"/>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0248900" y="352425"/>
          <a:ext cx="2486025" cy="2482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rgbClr val="002060"/>
              </a:solidFill>
              <a:latin typeface="Verdana" panose="020B0604030504040204" pitchFamily="34" charset="0"/>
              <a:ea typeface="Verdana" panose="020B0604030504040204" pitchFamily="34" charset="0"/>
            </a:rPr>
            <a:t>01/01/2019  - 31/12/2024</a:t>
          </a:r>
        </a:p>
      </xdr:txBody>
    </xdr:sp>
    <xdr:clientData/>
  </xdr:oneCellAnchor>
  <xdr:twoCellAnchor>
    <xdr:from>
      <xdr:col>2</xdr:col>
      <xdr:colOff>552450</xdr:colOff>
      <xdr:row>10</xdr:row>
      <xdr:rowOff>123825</xdr:rowOff>
    </xdr:from>
    <xdr:to>
      <xdr:col>10</xdr:col>
      <xdr:colOff>171450</xdr:colOff>
      <xdr:row>21</xdr:row>
      <xdr:rowOff>28574</xdr:rowOff>
    </xdr:to>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295274</xdr:colOff>
      <xdr:row>5</xdr:row>
      <xdr:rowOff>104775</xdr:rowOff>
    </xdr:from>
    <xdr:to>
      <xdr:col>17</xdr:col>
      <xdr:colOff>590550</xdr:colOff>
      <xdr:row>8</xdr:row>
      <xdr:rowOff>171450</xdr:rowOff>
    </xdr:to>
    <xdr:sp macro="" textlink="">
      <xdr:nvSpPr>
        <xdr:cNvPr id="24" name="Rectangle 23">
          <a:extLst>
            <a:ext uri="{FF2B5EF4-FFF2-40B4-BE49-F238E27FC236}">
              <a16:creationId xmlns:a16="http://schemas.microsoft.com/office/drawing/2014/main" id="{00000000-0008-0000-0400-000018000000}"/>
            </a:ext>
          </a:extLst>
        </xdr:cNvPr>
        <xdr:cNvSpPr/>
      </xdr:nvSpPr>
      <xdr:spPr>
        <a:xfrm>
          <a:off x="6391274" y="1057275"/>
          <a:ext cx="4562476" cy="638175"/>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latin typeface="Verdana" panose="020B0604030504040204" pitchFamily="34" charset="0"/>
              <a:ea typeface="Verdana" panose="020B0604030504040204" pitchFamily="34" charset="0"/>
            </a:rPr>
            <a:t>   </a:t>
          </a:r>
          <a:r>
            <a:rPr lang="en-US" sz="1400" b="1">
              <a:solidFill>
                <a:schemeClr val="bg1"/>
              </a:solidFill>
              <a:latin typeface="Verdana" panose="020B0604030504040204" pitchFamily="34" charset="0"/>
              <a:ea typeface="Verdana" panose="020B0604030504040204" pitchFamily="34" charset="0"/>
            </a:rPr>
            <a:t>Active Employees</a:t>
          </a:r>
        </a:p>
        <a:p>
          <a:pPr algn="l"/>
          <a:r>
            <a:rPr lang="en-US" sz="1400" b="1" i="0" u="none" strike="noStrike" baseline="0">
              <a:solidFill>
                <a:schemeClr val="bg1"/>
              </a:solidFill>
              <a:effectLst/>
              <a:latin typeface="Verdana" panose="020B0604030504040204" pitchFamily="34" charset="0"/>
              <a:ea typeface="Verdana" panose="020B0604030504040204" pitchFamily="34" charset="0"/>
              <a:cs typeface="+mn-cs"/>
            </a:rPr>
            <a:t>          </a:t>
          </a:r>
          <a:r>
            <a:rPr lang="en-US" sz="1400" b="1" i="0" u="none" strike="noStrike">
              <a:solidFill>
                <a:schemeClr val="lt1"/>
              </a:solidFill>
              <a:effectLst/>
              <a:latin typeface="Verdana" panose="020B0604030504040204" pitchFamily="34" charset="0"/>
              <a:ea typeface="Verdana" panose="020B0604030504040204" pitchFamily="34" charset="0"/>
              <a:cs typeface="+mn-cs"/>
            </a:rPr>
            <a:t>63.90%</a:t>
          </a:r>
          <a:r>
            <a:rPr lang="en-US" sz="1400" b="1">
              <a:latin typeface="Verdana" panose="020B0604030504040204" pitchFamily="34" charset="0"/>
              <a:ea typeface="Verdana" panose="020B0604030504040204" pitchFamily="34" charset="0"/>
            </a:rPr>
            <a:t> </a:t>
          </a:r>
          <a:endParaRPr lang="en-US" sz="1400" b="1">
            <a:solidFill>
              <a:schemeClr val="bg1"/>
            </a:solidFill>
            <a:latin typeface="Verdana" panose="020B0604030504040204" pitchFamily="34" charset="0"/>
            <a:ea typeface="Verdana" panose="020B0604030504040204" pitchFamily="34" charset="0"/>
          </a:endParaRPr>
        </a:p>
      </xdr:txBody>
    </xdr:sp>
    <xdr:clientData/>
  </xdr:twoCellAnchor>
  <xdr:twoCellAnchor>
    <xdr:from>
      <xdr:col>10</xdr:col>
      <xdr:colOff>295274</xdr:colOff>
      <xdr:row>8</xdr:row>
      <xdr:rowOff>161925</xdr:rowOff>
    </xdr:from>
    <xdr:to>
      <xdr:col>17</xdr:col>
      <xdr:colOff>590550</xdr:colOff>
      <xdr:row>21</xdr:row>
      <xdr:rowOff>19050</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a:xfrm>
          <a:off x="6391274" y="1685925"/>
          <a:ext cx="4562476" cy="2333625"/>
        </a:xfrm>
        <a:prstGeom prst="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285748</xdr:colOff>
      <xdr:row>8</xdr:row>
      <xdr:rowOff>180974</xdr:rowOff>
    </xdr:from>
    <xdr:to>
      <xdr:col>17</xdr:col>
      <xdr:colOff>600075</xdr:colOff>
      <xdr:row>20</xdr:row>
      <xdr:rowOff>190499</xdr:rowOff>
    </xdr:to>
    <xdr:graphicFrame macro="">
      <xdr:nvGraphicFramePr>
        <xdr:cNvPr id="33" name="Chart 32">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523875</xdr:colOff>
      <xdr:row>5</xdr:row>
      <xdr:rowOff>104776</xdr:rowOff>
    </xdr:from>
    <xdr:to>
      <xdr:col>17</xdr:col>
      <xdr:colOff>600075</xdr:colOff>
      <xdr:row>8</xdr:row>
      <xdr:rowOff>161926</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a:xfrm>
          <a:off x="8448675" y="1057276"/>
          <a:ext cx="2514600" cy="62865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Verdana" panose="020B0604030504040204" pitchFamily="34" charset="0"/>
              <a:ea typeface="Verdana" panose="020B0604030504040204" pitchFamily="34" charset="0"/>
            </a:rPr>
            <a:t>Performance</a:t>
          </a:r>
          <a:r>
            <a:rPr lang="en-US" sz="1100" b="1" baseline="0">
              <a:latin typeface="Verdana" panose="020B0604030504040204" pitchFamily="34" charset="0"/>
              <a:ea typeface="Verdana" panose="020B0604030504040204" pitchFamily="34" charset="0"/>
            </a:rPr>
            <a:t> by Gender</a:t>
          </a:r>
          <a:r>
            <a:rPr lang="en-US" sz="1100"/>
            <a:t>		</a:t>
          </a:r>
        </a:p>
        <a:p>
          <a:pPr algn="l"/>
          <a:r>
            <a:rPr lang="en-US" sz="1100" b="0" i="0" u="none" strike="noStrike" baseline="0">
              <a:solidFill>
                <a:schemeClr val="lt1"/>
              </a:solidFill>
              <a:effectLst/>
              <a:latin typeface="Verdana" panose="020B0604030504040204" pitchFamily="34" charset="0"/>
              <a:ea typeface="Verdana" panose="020B0604030504040204" pitchFamily="34" charset="0"/>
              <a:cs typeface="+mn-cs"/>
            </a:rPr>
            <a:t>       </a:t>
          </a:r>
          <a:r>
            <a:rPr lang="en-US" sz="1100" b="1" i="0" u="none" strike="noStrike" baseline="0">
              <a:solidFill>
                <a:schemeClr val="lt1"/>
              </a:solidFill>
              <a:effectLst/>
              <a:latin typeface="Verdana" panose="020B0604030504040204" pitchFamily="34" charset="0"/>
              <a:ea typeface="Verdana" panose="020B0604030504040204" pitchFamily="34" charset="0"/>
              <a:cs typeface="+mn-cs"/>
            </a:rPr>
            <a:t>100 %	</a:t>
          </a:r>
          <a:r>
            <a:rPr lang="en-US" sz="1100" b="0" i="0" u="none" strike="noStrike" baseline="0">
              <a:solidFill>
                <a:schemeClr val="lt1"/>
              </a:solidFill>
              <a:effectLst/>
              <a:latin typeface="Verdana" panose="020B0604030504040204" pitchFamily="34" charset="0"/>
              <a:ea typeface="Verdana" panose="020B0604030504040204" pitchFamily="34" charset="0"/>
              <a:cs typeface="+mn-cs"/>
            </a:rPr>
            <a:t>       </a:t>
          </a:r>
          <a:r>
            <a:rPr lang="en-US" sz="1100" b="1" i="0" u="none" strike="noStrike" baseline="0">
              <a:solidFill>
                <a:schemeClr val="lt1"/>
              </a:solidFill>
              <a:effectLst/>
              <a:latin typeface="Verdana" panose="020B0604030504040204" pitchFamily="34" charset="0"/>
              <a:ea typeface="Verdana" panose="020B0604030504040204" pitchFamily="34" charset="0"/>
              <a:cs typeface="+mn-cs"/>
            </a:rPr>
            <a:t>           99 %</a:t>
          </a:r>
          <a:endParaRPr lang="en-US" sz="1100" b="1">
            <a:latin typeface="Verdana" panose="020B0604030504040204" pitchFamily="34" charset="0"/>
            <a:ea typeface="Verdana" panose="020B060403050404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16</xdr:col>
          <xdr:colOff>304800</xdr:colOff>
          <xdr:row>6</xdr:row>
          <xdr:rowOff>142875</xdr:rowOff>
        </xdr:from>
        <xdr:to>
          <xdr:col>16</xdr:col>
          <xdr:colOff>523875</xdr:colOff>
          <xdr:row>8</xdr:row>
          <xdr:rowOff>123825</xdr:rowOff>
        </xdr:to>
        <xdr:sp macro="" textlink="">
          <xdr:nvSpPr>
            <xdr:cNvPr id="5125" name="Object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600075</xdr:colOff>
          <xdr:row>6</xdr:row>
          <xdr:rowOff>142875</xdr:rowOff>
        </xdr:from>
        <xdr:to>
          <xdr:col>14</xdr:col>
          <xdr:colOff>228600</xdr:colOff>
          <xdr:row>8</xdr:row>
          <xdr:rowOff>123825</xdr:rowOff>
        </xdr:to>
        <xdr:sp macro="" textlink="">
          <xdr:nvSpPr>
            <xdr:cNvPr id="5126" name="Object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18</xdr:col>
      <xdr:colOff>47625</xdr:colOff>
      <xdr:row>5</xdr:row>
      <xdr:rowOff>114299</xdr:rowOff>
    </xdr:from>
    <xdr:to>
      <xdr:col>20</xdr:col>
      <xdr:colOff>323850</xdr:colOff>
      <xdr:row>21</xdr:row>
      <xdr:rowOff>85724</xdr:rowOff>
    </xdr:to>
    <mc:AlternateContent xmlns:mc="http://schemas.openxmlformats.org/markup-compatibility/2006" xmlns:a14="http://schemas.microsoft.com/office/drawing/2010/main">
      <mc:Choice Requires="a14">
        <xdr:graphicFrame macro="">
          <xdr:nvGraphicFramePr>
            <xdr:cNvPr id="44" name="Location">
              <a:extLst>
                <a:ext uri="{FF2B5EF4-FFF2-40B4-BE49-F238E27FC236}">
                  <a16:creationId xmlns:a16="http://schemas.microsoft.com/office/drawing/2014/main" id="{00000000-0008-0000-0400-00002C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020425" y="1066799"/>
              <a:ext cx="1495425" cy="3019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12</xdr:row>
      <xdr:rowOff>9525</xdr:rowOff>
    </xdr:from>
    <xdr:to>
      <xdr:col>2</xdr:col>
      <xdr:colOff>333375</xdr:colOff>
      <xdr:row>17</xdr:row>
      <xdr:rowOff>123825</xdr:rowOff>
    </xdr:to>
    <xdr:sp macro="" textlink="">
      <xdr:nvSpPr>
        <xdr:cNvPr id="45" name="Rectangle: Top Corners Rounded 44">
          <a:extLst>
            <a:ext uri="{FF2B5EF4-FFF2-40B4-BE49-F238E27FC236}">
              <a16:creationId xmlns:a16="http://schemas.microsoft.com/office/drawing/2014/main" id="{00000000-0008-0000-0400-00002D000000}"/>
            </a:ext>
          </a:extLst>
        </xdr:cNvPr>
        <xdr:cNvSpPr/>
      </xdr:nvSpPr>
      <xdr:spPr>
        <a:xfrm>
          <a:off x="114300" y="2295525"/>
          <a:ext cx="1438275" cy="1066800"/>
        </a:xfrm>
        <a:prstGeom prst="round2Same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latin typeface="Arial" panose="020B0604020202020204" pitchFamily="34" charset="0"/>
              <a:cs typeface="Arial" panose="020B0604020202020204" pitchFamily="34" charset="0"/>
            </a:rPr>
            <a:t>Largest Workforce by</a:t>
          </a:r>
          <a:r>
            <a:rPr lang="en-US" sz="1000" b="1" baseline="0">
              <a:latin typeface="Arial" panose="020B0604020202020204" pitchFamily="34" charset="0"/>
              <a:cs typeface="Arial" panose="020B0604020202020204" pitchFamily="34" charset="0"/>
            </a:rPr>
            <a:t> Department</a:t>
          </a:r>
          <a:endParaRPr lang="en-US" sz="1000" b="1">
            <a:latin typeface="Arial" panose="020B0604020202020204" pitchFamily="34" charset="0"/>
            <a:cs typeface="Arial" panose="020B0604020202020204" pitchFamily="34" charset="0"/>
          </a:endParaRPr>
        </a:p>
        <a:p>
          <a:pPr algn="ctr"/>
          <a:endParaRPr lang="en-US" sz="1000" b="1">
            <a:latin typeface="Arial" panose="020B0604020202020204" pitchFamily="34" charset="0"/>
            <a:cs typeface="Arial" panose="020B0604020202020204" pitchFamily="34" charset="0"/>
          </a:endParaRPr>
        </a:p>
        <a:p>
          <a:pPr algn="ctr"/>
          <a:r>
            <a:rPr lang="en-US" sz="1200" b="1">
              <a:latin typeface="Verdana" panose="020B0604030504040204" pitchFamily="34" charset="0"/>
              <a:ea typeface="Verdana" panose="020B0604030504040204" pitchFamily="34" charset="0"/>
              <a:cs typeface="Arial" panose="020B0604020202020204" pitchFamily="34" charset="0"/>
            </a:rPr>
            <a:t>SALES - </a:t>
          </a:r>
          <a:r>
            <a:rPr lang="en-US" sz="1100" b="1" i="0" u="none" strike="noStrike">
              <a:solidFill>
                <a:schemeClr val="lt1"/>
              </a:solidFill>
              <a:effectLst/>
              <a:latin typeface="Verdana" panose="020B0604030504040204" pitchFamily="34" charset="0"/>
              <a:ea typeface="Verdana" panose="020B0604030504040204" pitchFamily="34" charset="0"/>
              <a:cs typeface="+mn-cs"/>
            </a:rPr>
            <a:t>822 Employees</a:t>
          </a:r>
        </a:p>
        <a:p>
          <a:pPr algn="ctr"/>
          <a:r>
            <a:rPr lang="en-US" sz="1200"/>
            <a:t> </a:t>
          </a:r>
          <a:endParaRPr lang="en-US" sz="1200" b="1">
            <a:latin typeface="Verdana" panose="020B0604030504040204" pitchFamily="34" charset="0"/>
            <a:ea typeface="Verdana" panose="020B060403050404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449988888889" createdVersion="7" refreshedVersion="7" minRefreshableVersion="3" recordCount="3360" xr:uid="{DDE5143A-42CC-4E9C-92A4-44C1C2A1C862}">
  <cacheSource type="worksheet">
    <worksheetSource name="Meridian_HR"/>
  </cacheSource>
  <cacheFields count="16">
    <cacheField name="Employee_ID" numFmtId="0">
      <sharedItems/>
    </cacheField>
    <cacheField name="Employee_Name" numFmtId="0">
      <sharedItems/>
    </cacheField>
    <cacheField name="Gender" numFmtId="0">
      <sharedItems count="2">
        <s v="Male"/>
        <s v="Female"/>
      </sharedItems>
    </cacheField>
    <cacheField name="Department" numFmtId="0">
      <sharedItems count="5">
        <s v="Information Technology"/>
        <s v="Human Resources"/>
        <s v="Operations"/>
        <s v="Risk and Compliance"/>
        <s v="Sales"/>
      </sharedItems>
    </cacheField>
    <cacheField name="Employment_type" numFmtId="0">
      <sharedItems count="3">
        <s v="Full-time"/>
        <s v="Part-time"/>
        <s v="Contract"/>
      </sharedItems>
    </cacheField>
    <cacheField name="Job_level" numFmtId="0">
      <sharedItems/>
    </cacheField>
    <cacheField name="Location" numFmtId="0">
      <sharedItems count="4">
        <s v="Lagos"/>
        <s v="Port Harcourt"/>
        <s v="Abuja"/>
        <s v="Kano"/>
      </sharedItems>
    </cacheField>
    <cacheField name="Age_Group" numFmtId="0">
      <sharedItems/>
    </cacheField>
    <cacheField name="Education_level" numFmtId="0">
      <sharedItems count="5">
        <s v="BSc"/>
        <s v="HND"/>
        <s v="MSc"/>
        <s v="OND"/>
        <s v="PhD"/>
      </sharedItems>
    </cacheField>
    <cacheField name="Hire_Date" numFmtId="0">
      <sharedItems/>
    </cacheField>
    <cacheField name="Exit_Date" numFmtId="0">
      <sharedItems containsBlank="1"/>
    </cacheField>
    <cacheField name="Years_of_Service" numFmtId="0">
      <sharedItems containsSemiMixedTypes="0" containsString="0" containsNumber="1" containsInteger="1" minValue="2" maxValue="27"/>
    </cacheField>
    <cacheField name="Monthly_Salary_NGN" numFmtId="43">
      <sharedItems containsSemiMixedTypes="0" containsString="0" containsNumber="1" containsInteger="1" minValue="85000" maxValue="2200000"/>
    </cacheField>
    <cacheField name="Performance_Score" numFmtId="0">
      <sharedItems containsSemiMixedTypes="0" containsString="0" containsNumber="1" minValue="1.5" maxValue="5"/>
    </cacheField>
    <cacheField name="Absenteeism_Days" numFmtId="0">
      <sharedItems containsSemiMixedTypes="0" containsString="0" containsNumber="1" containsInteger="1" minValue="0" maxValue="40"/>
    </cacheField>
    <cacheField name="Turnover_status" numFmtId="0">
      <sharedItems count="4">
        <s v="Active"/>
        <s v="Resigned"/>
        <s v="Terminated"/>
        <s v="Retired"/>
      </sharedItems>
    </cacheField>
  </cacheFields>
  <extLst>
    <ext xmlns:x14="http://schemas.microsoft.com/office/spreadsheetml/2009/9/main" uri="{725AE2AE-9491-48be-B2B4-4EB974FC3084}">
      <x14:pivotCacheDefinition pivotCacheId="1949343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s v="MFS-94245"/>
    <s v="Bello Yakubu"/>
    <x v="0"/>
    <x v="0"/>
    <x v="0"/>
    <s v="Manager"/>
    <x v="0"/>
    <s v="31-40"/>
    <x v="0"/>
    <s v="12/04/2022"/>
    <s v="28/07/2022"/>
    <n v="3"/>
    <n v="748000"/>
    <n v="4.3"/>
    <n v="5"/>
    <x v="0"/>
  </r>
  <r>
    <s v="MFS-58435"/>
    <s v="Rotimi Bello"/>
    <x v="0"/>
    <x v="0"/>
    <x v="1"/>
    <s v="Junior"/>
    <x v="1"/>
    <s v="22-30"/>
    <x v="0"/>
    <s v="27/06/2021"/>
    <s v="28/07/2022"/>
    <n v="4"/>
    <n v="162000"/>
    <n v="2.2999999999999998"/>
    <n v="13"/>
    <x v="0"/>
  </r>
  <r>
    <s v="MFS-71824"/>
    <s v="Tunde Nnamdi"/>
    <x v="0"/>
    <x v="1"/>
    <x v="2"/>
    <s v="Director"/>
    <x v="0"/>
    <s v="41-50"/>
    <x v="1"/>
    <s v="25/03/2022"/>
    <s v="28/07/2022"/>
    <n v="3"/>
    <n v="1710000"/>
    <n v="3.7"/>
    <n v="13"/>
    <x v="0"/>
  </r>
  <r>
    <s v="MFS-76870"/>
    <s v="Chinedu Nwachukwu"/>
    <x v="0"/>
    <x v="2"/>
    <x v="2"/>
    <s v="Director"/>
    <x v="1"/>
    <s v="31-40"/>
    <x v="0"/>
    <s v="28/04/2020"/>
    <s v="28/07/2022"/>
    <n v="5"/>
    <n v="985000"/>
    <n v="4.5999999999999996"/>
    <n v="9"/>
    <x v="1"/>
  </r>
  <r>
    <s v="MFS-55114"/>
    <s v="Shade Nwosu"/>
    <x v="1"/>
    <x v="2"/>
    <x v="0"/>
    <s v="Mid-level"/>
    <x v="0"/>
    <s v="22-30"/>
    <x v="2"/>
    <s v="01/06/2022"/>
    <s v="01/07/2024"/>
    <n v="3"/>
    <n v="181000"/>
    <n v="2.7"/>
    <n v="10"/>
    <x v="0"/>
  </r>
  <r>
    <s v="MFS-67938"/>
    <s v="Chukwuemeka Adesanya"/>
    <x v="0"/>
    <x v="0"/>
    <x v="0"/>
    <s v="Manager"/>
    <x v="0"/>
    <s v="51-60"/>
    <x v="2"/>
    <s v="15/09/2019"/>
    <s v="01/07/2024"/>
    <n v="6"/>
    <n v="1006000"/>
    <n v="4.5999999999999996"/>
    <n v="12"/>
    <x v="0"/>
  </r>
  <r>
    <s v="MFS-78712"/>
    <s v="Yemi Obi"/>
    <x v="1"/>
    <x v="3"/>
    <x v="0"/>
    <s v="Manager"/>
    <x v="2"/>
    <s v="22-30"/>
    <x v="2"/>
    <s v="08/02/2019"/>
    <s v="01/07/2024"/>
    <n v="7"/>
    <n v="754000"/>
    <n v="3.8"/>
    <n v="3"/>
    <x v="0"/>
  </r>
  <r>
    <s v="MFS-63887"/>
    <s v="Chukwuemeka Shehu"/>
    <x v="0"/>
    <x v="4"/>
    <x v="0"/>
    <s v="Junior"/>
    <x v="0"/>
    <s v="31-40"/>
    <x v="3"/>
    <s v="01/10/2020"/>
    <s v="01/07/2024"/>
    <n v="5"/>
    <n v="97000"/>
    <n v="1.7"/>
    <n v="5"/>
    <x v="1"/>
  </r>
  <r>
    <s v="MFS-36130"/>
    <s v="Yemi Okeke"/>
    <x v="1"/>
    <x v="1"/>
    <x v="0"/>
    <s v="Manager"/>
    <x v="0"/>
    <s v="31-40"/>
    <x v="0"/>
    <s v="01/07/2021"/>
    <s v="05/09/2022"/>
    <n v="4"/>
    <n v="689000"/>
    <n v="4.5999999999999996"/>
    <n v="5"/>
    <x v="2"/>
  </r>
  <r>
    <s v="MFS-61879"/>
    <s v="Eze Aliyu"/>
    <x v="0"/>
    <x v="2"/>
    <x v="0"/>
    <s v="Junior"/>
    <x v="1"/>
    <s v="22-30"/>
    <x v="2"/>
    <s v="09/01/2019"/>
    <s v="28/01/2023"/>
    <n v="7"/>
    <n v="171000"/>
    <n v="3.2"/>
    <n v="19"/>
    <x v="1"/>
  </r>
  <r>
    <s v="MFS-97127"/>
    <s v="Emeka Nwosu"/>
    <x v="0"/>
    <x v="4"/>
    <x v="2"/>
    <s v="Mid-level"/>
    <x v="0"/>
    <s v="41-50"/>
    <x v="0"/>
    <s v="11/01/2023"/>
    <s v="26/03/2025"/>
    <n v="3"/>
    <n v="235000"/>
    <n v="2.2000000000000002"/>
    <n v="8"/>
    <x v="0"/>
  </r>
  <r>
    <s v="MFS-21728"/>
    <s v="Ikenna Afolabi"/>
    <x v="0"/>
    <x v="2"/>
    <x v="0"/>
    <s v="Mid-level"/>
    <x v="3"/>
    <s v="41-50"/>
    <x v="3"/>
    <s v="07/12/2022"/>
    <s v="26/03/2025"/>
    <n v="3"/>
    <n v="271000"/>
    <n v="2.2999999999999998"/>
    <n v="5"/>
    <x v="3"/>
  </r>
  <r>
    <s v="MFS-25403"/>
    <s v="Ifeanyi Shehu"/>
    <x v="0"/>
    <x v="3"/>
    <x v="0"/>
    <s v="Manager"/>
    <x v="0"/>
    <s v="51-60"/>
    <x v="0"/>
    <s v="11/05/2021"/>
    <s v="21/07/2024"/>
    <n v="4"/>
    <n v="730000"/>
    <n v="3.1"/>
    <n v="3"/>
    <x v="2"/>
  </r>
  <r>
    <s v="MFS-42512"/>
    <s v="Obinna Fagbemi"/>
    <x v="0"/>
    <x v="2"/>
    <x v="0"/>
    <s v="Mid-level"/>
    <x v="0"/>
    <s v="31-40"/>
    <x v="0"/>
    <s v="19/11/2022"/>
    <s v="21/08/2024"/>
    <n v="3"/>
    <n v="220000"/>
    <n v="4"/>
    <n v="2"/>
    <x v="0"/>
  </r>
  <r>
    <s v="MFS-78768"/>
    <s v="Hadiza Adebayo"/>
    <x v="1"/>
    <x v="4"/>
    <x v="0"/>
    <s v="Mid-level"/>
    <x v="3"/>
    <s v="41-50"/>
    <x v="2"/>
    <s v="20/08/2023"/>
    <s v="21/08/2024"/>
    <n v="2"/>
    <n v="301000"/>
    <n v="3.7"/>
    <n v="14"/>
    <x v="2"/>
  </r>
  <r>
    <s v="MFS-50725"/>
    <s v="Ronke Aliyu"/>
    <x v="1"/>
    <x v="1"/>
    <x v="0"/>
    <s v="Junior"/>
    <x v="3"/>
    <s v="31-40"/>
    <x v="0"/>
    <s v="21/08/2022"/>
    <s v="11/10/2022"/>
    <n v="3"/>
    <n v="137000"/>
    <n v="3.9"/>
    <n v="0"/>
    <x v="0"/>
  </r>
  <r>
    <s v="MFS-46903"/>
    <s v="Laraba Garba"/>
    <x v="1"/>
    <x v="0"/>
    <x v="1"/>
    <s v="Mid-level"/>
    <x v="0"/>
    <s v="31-40"/>
    <x v="1"/>
    <s v="18/09/2019"/>
    <s v="11/10/2022"/>
    <n v="6"/>
    <n v="382000"/>
    <n v="4.3"/>
    <n v="9"/>
    <x v="1"/>
  </r>
  <r>
    <s v="MFS-69446"/>
    <s v="Nnamdi Okeke"/>
    <x v="0"/>
    <x v="4"/>
    <x v="0"/>
    <s v="Mid-level"/>
    <x v="0"/>
    <s v="31-40"/>
    <x v="0"/>
    <s v="27/03/2021"/>
    <s v="08/10/2023"/>
    <n v="4"/>
    <n v="202000"/>
    <n v="2.2000000000000002"/>
    <n v="5"/>
    <x v="0"/>
  </r>
  <r>
    <s v="MFS-54210"/>
    <s v="Adaeze Coker"/>
    <x v="1"/>
    <x v="0"/>
    <x v="1"/>
    <s v="Junior"/>
    <x v="0"/>
    <s v="31-40"/>
    <x v="3"/>
    <s v="02/03/2022"/>
    <s v="08/10/2023"/>
    <n v="4"/>
    <n v="128000"/>
    <n v="2.8"/>
    <n v="2"/>
    <x v="0"/>
  </r>
  <r>
    <s v="MFS-38110"/>
    <s v="Kemi Adeyemi"/>
    <x v="1"/>
    <x v="2"/>
    <x v="0"/>
    <s v="Senior"/>
    <x v="0"/>
    <s v="31-40"/>
    <x v="2"/>
    <s v="25/06/2022"/>
    <s v="08/10/2023"/>
    <n v="3"/>
    <n v="416000"/>
    <n v="4.5"/>
    <n v="10"/>
    <x v="1"/>
  </r>
  <r>
    <s v="MFS-37450"/>
    <s v="Zainab Musa"/>
    <x v="1"/>
    <x v="0"/>
    <x v="0"/>
    <s v="Mid-level"/>
    <x v="2"/>
    <s v="22-30"/>
    <x v="2"/>
    <s v="11/07/2023"/>
    <s v="24/10/2024"/>
    <n v="2"/>
    <n v="222000"/>
    <n v="3.9"/>
    <n v="22"/>
    <x v="0"/>
  </r>
  <r>
    <s v="MFS-54262"/>
    <s v="Eze Musa"/>
    <x v="0"/>
    <x v="4"/>
    <x v="1"/>
    <s v="Manager"/>
    <x v="1"/>
    <s v="22-30"/>
    <x v="0"/>
    <s v="26/08/2023"/>
    <s v="24/10/2024"/>
    <n v="2"/>
    <n v="728000"/>
    <n v="3"/>
    <n v="3"/>
    <x v="0"/>
  </r>
  <r>
    <s v="MFS-67850"/>
    <s v="Oghenekaro Ihejirika"/>
    <x v="0"/>
    <x v="0"/>
    <x v="2"/>
    <s v="Junior"/>
    <x v="1"/>
    <s v="22-30"/>
    <x v="4"/>
    <s v="14/12/2020"/>
    <s v="24/10/2024"/>
    <n v="5"/>
    <n v="186000"/>
    <n v="4.5999999999999996"/>
    <n v="40"/>
    <x v="0"/>
  </r>
  <r>
    <s v="MFS-34651"/>
    <s v="Bello Oyelaran"/>
    <x v="0"/>
    <x v="0"/>
    <x v="0"/>
    <s v="Junior"/>
    <x v="2"/>
    <s v="31-40"/>
    <x v="1"/>
    <s v="02/06/2019"/>
    <s v="24/10/2024"/>
    <n v="6"/>
    <n v="156000"/>
    <n v="3.9"/>
    <n v="7"/>
    <x v="0"/>
  </r>
  <r>
    <s v="MFS-92982"/>
    <s v="Femi Shehu"/>
    <x v="0"/>
    <x v="2"/>
    <x v="0"/>
    <s v="Junior"/>
    <x v="3"/>
    <s v="31-40"/>
    <x v="1"/>
    <s v="07/02/2023"/>
    <s v="24/10/2024"/>
    <n v="3"/>
    <n v="176000"/>
    <n v="3"/>
    <n v="21"/>
    <x v="1"/>
  </r>
  <r>
    <s v="MFS-19624"/>
    <s v="Ogechi Suleiman"/>
    <x v="1"/>
    <x v="3"/>
    <x v="0"/>
    <s v="Senior"/>
    <x v="0"/>
    <s v="41-50"/>
    <x v="2"/>
    <s v="23/11/2023"/>
    <s v="23/03/2024"/>
    <n v="2"/>
    <n v="452000"/>
    <n v="2.7"/>
    <n v="9"/>
    <x v="0"/>
  </r>
  <r>
    <s v="MFS-82718"/>
    <s v="Abubakar Adebayo"/>
    <x v="0"/>
    <x v="4"/>
    <x v="0"/>
    <s v="Manager"/>
    <x v="0"/>
    <s v="22-30"/>
    <x v="0"/>
    <s v="23/08/2023"/>
    <s v="23/03/2024"/>
    <n v="2"/>
    <n v="629000"/>
    <n v="4"/>
    <n v="38"/>
    <x v="1"/>
  </r>
  <r>
    <s v="MFS-44542"/>
    <s v="Ebuka Onwudiwe"/>
    <x v="0"/>
    <x v="4"/>
    <x v="0"/>
    <s v="Manager"/>
    <x v="3"/>
    <s v="31-40"/>
    <x v="2"/>
    <s v="09/05/2021"/>
    <s v="16/09/2021"/>
    <n v="4"/>
    <n v="770000"/>
    <n v="5"/>
    <n v="40"/>
    <x v="0"/>
  </r>
  <r>
    <s v="MFS-56779"/>
    <s v="Yakubu Adebayo"/>
    <x v="0"/>
    <x v="1"/>
    <x v="0"/>
    <s v="Mid-level"/>
    <x v="0"/>
    <s v="31-40"/>
    <x v="1"/>
    <s v="08/06/2020"/>
    <s v="16/09/2021"/>
    <n v="5"/>
    <n v="233000"/>
    <n v="2.5"/>
    <n v="4"/>
    <x v="0"/>
  </r>
  <r>
    <s v="MFS-61180"/>
    <s v="Nneka Nnamdi"/>
    <x v="1"/>
    <x v="2"/>
    <x v="2"/>
    <s v="Junior"/>
    <x v="0"/>
    <s v="41-50"/>
    <x v="3"/>
    <s v="07/11/2020"/>
    <s v="16/09/2021"/>
    <n v="5"/>
    <n v="104000"/>
    <n v="2.2999999999999998"/>
    <n v="8"/>
    <x v="0"/>
  </r>
  <r>
    <s v="MFS-87656"/>
    <s v="Tunde Obaseki"/>
    <x v="0"/>
    <x v="4"/>
    <x v="0"/>
    <s v="Junior"/>
    <x v="2"/>
    <s v="31-40"/>
    <x v="2"/>
    <s v="06/09/2019"/>
    <s v="16/09/2021"/>
    <n v="6"/>
    <n v="140000"/>
    <n v="2.2999999999999998"/>
    <n v="39"/>
    <x v="2"/>
  </r>
  <r>
    <s v="MFS-47104"/>
    <s v="Usman Adewale"/>
    <x v="0"/>
    <x v="4"/>
    <x v="0"/>
    <s v="Manager"/>
    <x v="0"/>
    <s v="22-30"/>
    <x v="4"/>
    <s v="19/02/2023"/>
    <s v="18/03/2025"/>
    <n v="3"/>
    <n v="903000"/>
    <n v="4.9000000000000004"/>
    <n v="13"/>
    <x v="1"/>
  </r>
  <r>
    <s v="MFS-25704"/>
    <s v="Ogechi Adeyemi"/>
    <x v="1"/>
    <x v="1"/>
    <x v="0"/>
    <s v="Mid-level"/>
    <x v="2"/>
    <s v="41-50"/>
    <x v="2"/>
    <s v="21/11/2020"/>
    <s v="04/02/2024"/>
    <n v="5"/>
    <n v="238000"/>
    <n v="2.2000000000000002"/>
    <n v="12"/>
    <x v="0"/>
  </r>
  <r>
    <s v="MFS-41589"/>
    <s v="Adeola Nwachukwu"/>
    <x v="0"/>
    <x v="3"/>
    <x v="1"/>
    <s v="Mid-level"/>
    <x v="2"/>
    <s v="22-30"/>
    <x v="0"/>
    <s v="06/12/2022"/>
    <s v="04/02/2024"/>
    <n v="3"/>
    <n v="224000"/>
    <n v="2"/>
    <n v="14"/>
    <x v="1"/>
  </r>
  <r>
    <s v="MFS-78338"/>
    <s v="Ebuka Afolabi"/>
    <x v="0"/>
    <x v="4"/>
    <x v="0"/>
    <s v="Manager"/>
    <x v="0"/>
    <s v="22-30"/>
    <x v="0"/>
    <s v="13/10/2021"/>
    <s v="11/11/2024"/>
    <n v="4"/>
    <n v="621000"/>
    <n v="4.2"/>
    <n v="3"/>
    <x v="0"/>
  </r>
  <r>
    <s v="MFS-47338"/>
    <s v="Bukola Nduka"/>
    <x v="1"/>
    <x v="4"/>
    <x v="0"/>
    <s v="Junior"/>
    <x v="0"/>
    <s v="41-50"/>
    <x v="2"/>
    <s v="12/12/2020"/>
    <s v="11/11/2024"/>
    <n v="5"/>
    <n v="141000"/>
    <n v="2.7"/>
    <n v="2"/>
    <x v="1"/>
  </r>
  <r>
    <s v="MFS-49924"/>
    <s v="Ezinne Okonkwo"/>
    <x v="1"/>
    <x v="2"/>
    <x v="0"/>
    <s v="Mid-level"/>
    <x v="2"/>
    <s v="41-50"/>
    <x v="1"/>
    <s v="23/08/2023"/>
    <s v="23/10/2022"/>
    <n v="2"/>
    <n v="240000"/>
    <n v="4.0999999999999996"/>
    <n v="12"/>
    <x v="0"/>
  </r>
  <r>
    <s v="MFS-43492"/>
    <s v="Chukwudi Suleiman"/>
    <x v="0"/>
    <x v="1"/>
    <x v="0"/>
    <s v="Junior"/>
    <x v="0"/>
    <s v="31-40"/>
    <x v="2"/>
    <s v="06/05/2021"/>
    <s v="23/10/2022"/>
    <n v="4"/>
    <n v="118000"/>
    <n v="4.0999999999999996"/>
    <n v="8"/>
    <x v="0"/>
  </r>
  <r>
    <s v="MFS-85082"/>
    <s v="Ramatu Okafor"/>
    <x v="1"/>
    <x v="0"/>
    <x v="0"/>
    <s v="Junior"/>
    <x v="3"/>
    <s v="22-30"/>
    <x v="0"/>
    <s v="03/06/2021"/>
    <s v="23/10/2022"/>
    <n v="4"/>
    <n v="198000"/>
    <n v="2.1"/>
    <n v="1"/>
    <x v="0"/>
  </r>
  <r>
    <s v="MFS-91292"/>
    <s v="Sola Okonkwo"/>
    <x v="1"/>
    <x v="2"/>
    <x v="1"/>
    <s v="Manager"/>
    <x v="2"/>
    <s v="31-40"/>
    <x v="1"/>
    <s v="03/05/2022"/>
    <s v="23/10/2022"/>
    <n v="3"/>
    <n v="850000"/>
    <n v="4.2"/>
    <n v="14"/>
    <x v="0"/>
  </r>
  <r>
    <s v="MFS-42941"/>
    <s v="Amaka Ogundipe"/>
    <x v="1"/>
    <x v="4"/>
    <x v="0"/>
    <s v="Junior"/>
    <x v="1"/>
    <s v="22-30"/>
    <x v="2"/>
    <s v="09/06/2023"/>
    <s v="23/10/2022"/>
    <n v="2"/>
    <n v="95000"/>
    <n v="1.9"/>
    <n v="0"/>
    <x v="0"/>
  </r>
  <r>
    <s v="MFS-12275"/>
    <s v="Rotimi Lawal"/>
    <x v="0"/>
    <x v="1"/>
    <x v="0"/>
    <s v="Mid-level"/>
    <x v="0"/>
    <s v="22-30"/>
    <x v="0"/>
    <s v="18/09/2020"/>
    <s v="23/10/2022"/>
    <n v="5"/>
    <n v="286000"/>
    <n v="2.5"/>
    <n v="14"/>
    <x v="3"/>
  </r>
  <r>
    <s v="MFS-74443"/>
    <s v="Yakubu Suleiman"/>
    <x v="0"/>
    <x v="1"/>
    <x v="0"/>
    <s v="Senior"/>
    <x v="0"/>
    <s v="22-30"/>
    <x v="1"/>
    <s v="24/03/2020"/>
    <s v="20/02/2024"/>
    <n v="5"/>
    <n v="479000"/>
    <n v="4.9000000000000004"/>
    <n v="21"/>
    <x v="0"/>
  </r>
  <r>
    <s v="MFS-59122"/>
    <s v="Aisha Taiwo"/>
    <x v="1"/>
    <x v="0"/>
    <x v="0"/>
    <s v="Junior"/>
    <x v="0"/>
    <s v="41-50"/>
    <x v="2"/>
    <s v="23/07/2022"/>
    <s v="20/02/2024"/>
    <n v="3"/>
    <n v="104000"/>
    <n v="2.9"/>
    <n v="3"/>
    <x v="0"/>
  </r>
  <r>
    <s v="MFS-53770"/>
    <s v="Wale Adesanya"/>
    <x v="0"/>
    <x v="2"/>
    <x v="1"/>
    <s v="Mid-level"/>
    <x v="0"/>
    <s v="31-40"/>
    <x v="0"/>
    <s v="22/12/2021"/>
    <s v="20/02/2024"/>
    <n v="4"/>
    <n v="261000"/>
    <n v="3.8"/>
    <n v="5"/>
    <x v="0"/>
  </r>
  <r>
    <s v="MFS-78883"/>
    <s v="Ugochi Obi"/>
    <x v="1"/>
    <x v="4"/>
    <x v="2"/>
    <s v="Junior"/>
    <x v="2"/>
    <s v="31-40"/>
    <x v="3"/>
    <s v="23/12/2021"/>
    <s v="20/02/2024"/>
    <n v="4"/>
    <n v="107000"/>
    <n v="3.2"/>
    <n v="8"/>
    <x v="1"/>
  </r>
  <r>
    <s v="MFS-67667"/>
    <s v="Babatunde Chukwu"/>
    <x v="0"/>
    <x v="2"/>
    <x v="0"/>
    <s v="Manager"/>
    <x v="2"/>
    <s v="22-30"/>
    <x v="3"/>
    <s v="10/05/2022"/>
    <s v="23/09/2023"/>
    <n v="3"/>
    <n v="631000"/>
    <n v="4.4000000000000004"/>
    <n v="11"/>
    <x v="0"/>
  </r>
  <r>
    <s v="MFS-77027"/>
    <s v="Chukwudi Yakubu"/>
    <x v="0"/>
    <x v="4"/>
    <x v="0"/>
    <s v="Junior"/>
    <x v="0"/>
    <s v="22-30"/>
    <x v="0"/>
    <s v="22/09/2022"/>
    <s v="23/09/2023"/>
    <n v="3"/>
    <n v="163000"/>
    <n v="1.8"/>
    <n v="10"/>
    <x v="2"/>
  </r>
  <r>
    <s v="MFS-15655"/>
    <s v="Nneka Onwudiwe"/>
    <x v="1"/>
    <x v="2"/>
    <x v="0"/>
    <s v="Senior"/>
    <x v="0"/>
    <s v="22-30"/>
    <x v="0"/>
    <s v="02/09/2019"/>
    <s v="05/03/2024"/>
    <n v="6"/>
    <n v="524000"/>
    <n v="2.2999999999999998"/>
    <n v="3"/>
    <x v="0"/>
  </r>
  <r>
    <s v="MFS-60446"/>
    <s v="Yetunde Aliyu"/>
    <x v="1"/>
    <x v="4"/>
    <x v="0"/>
    <s v="Mid-level"/>
    <x v="0"/>
    <s v="22-30"/>
    <x v="1"/>
    <s v="03/07/2022"/>
    <s v="05/03/2024"/>
    <n v="3"/>
    <n v="200000"/>
    <n v="1.6"/>
    <n v="2"/>
    <x v="3"/>
  </r>
  <r>
    <s v="MFS-79165"/>
    <s v="Danladi Suleiman"/>
    <x v="0"/>
    <x v="4"/>
    <x v="1"/>
    <s v="Senior"/>
    <x v="0"/>
    <s v="51-60"/>
    <x v="0"/>
    <s v="12/09/2023"/>
    <s v="17/12/2020"/>
    <n v="2"/>
    <n v="470000"/>
    <n v="2.8"/>
    <n v="2"/>
    <x v="0"/>
  </r>
  <r>
    <s v="MFS-80235"/>
    <s v="Chinedu Amadi"/>
    <x v="0"/>
    <x v="3"/>
    <x v="1"/>
    <s v="Senior"/>
    <x v="0"/>
    <s v="22-30"/>
    <x v="2"/>
    <s v="31/12/2019"/>
    <s v="17/12/2020"/>
    <n v="6"/>
    <n v="350000"/>
    <n v="4.9000000000000004"/>
    <n v="11"/>
    <x v="0"/>
  </r>
  <r>
    <s v="MFS-18296"/>
    <s v="Ibrahim Uba"/>
    <x v="0"/>
    <x v="2"/>
    <x v="1"/>
    <s v="Manager"/>
    <x v="1"/>
    <s v="31-40"/>
    <x v="2"/>
    <s v="14/07/2019"/>
    <s v="17/12/2020"/>
    <n v="6"/>
    <n v="828000"/>
    <n v="3.8"/>
    <n v="5"/>
    <x v="1"/>
  </r>
  <r>
    <s v="MFS-96122"/>
    <s v="Lola Okafor"/>
    <x v="1"/>
    <x v="4"/>
    <x v="2"/>
    <s v="Senior"/>
    <x v="0"/>
    <s v="41-50"/>
    <x v="0"/>
    <s v="01/12/2020"/>
    <s v="18/12/2022"/>
    <n v="5"/>
    <n v="568000"/>
    <n v="2.9"/>
    <n v="2"/>
    <x v="2"/>
  </r>
  <r>
    <s v="MFS-75825"/>
    <s v="Aliyu Oyelaran"/>
    <x v="0"/>
    <x v="2"/>
    <x v="0"/>
    <s v="Mid-level"/>
    <x v="0"/>
    <s v="22-30"/>
    <x v="0"/>
    <s v="20/06/2021"/>
    <s v="02/07/2024"/>
    <n v="4"/>
    <n v="187000"/>
    <n v="4.0999999999999996"/>
    <n v="29"/>
    <x v="0"/>
  </r>
  <r>
    <s v="MFS-20450"/>
    <s v="Abubakar Nduka"/>
    <x v="0"/>
    <x v="3"/>
    <x v="0"/>
    <s v="Senior"/>
    <x v="2"/>
    <s v="51-60"/>
    <x v="4"/>
    <s v="27/04/2020"/>
    <s v="02/07/2024"/>
    <n v="5"/>
    <n v="540000"/>
    <n v="3.9"/>
    <n v="7"/>
    <x v="0"/>
  </r>
  <r>
    <s v="MFS-67036"/>
    <s v="Chioma Adesanya"/>
    <x v="1"/>
    <x v="4"/>
    <x v="0"/>
    <s v="Mid-level"/>
    <x v="0"/>
    <s v="41-50"/>
    <x v="3"/>
    <s v="20/10/2019"/>
    <s v="02/07/2024"/>
    <n v="6"/>
    <n v="310000"/>
    <n v="3.2"/>
    <n v="4"/>
    <x v="0"/>
  </r>
  <r>
    <s v="MFS-28220"/>
    <s v="Abubakar Amadi"/>
    <x v="0"/>
    <x v="1"/>
    <x v="0"/>
    <s v="Junior"/>
    <x v="3"/>
    <s v="41-50"/>
    <x v="1"/>
    <s v="19/03/2019"/>
    <s v="02/07/2024"/>
    <n v="6"/>
    <n v="138000"/>
    <n v="3.8"/>
    <n v="8"/>
    <x v="0"/>
  </r>
  <r>
    <s v="MFS-18489"/>
    <s v="Babatunde Okeke"/>
    <x v="0"/>
    <x v="2"/>
    <x v="0"/>
    <s v="Senior"/>
    <x v="3"/>
    <s v="31-40"/>
    <x v="2"/>
    <s v="01/10/2023"/>
    <s v="02/07/2024"/>
    <n v="2"/>
    <n v="375000"/>
    <n v="2.2999999999999998"/>
    <n v="17"/>
    <x v="0"/>
  </r>
  <r>
    <s v="MFS-34778"/>
    <s v="Garba Nwosu"/>
    <x v="0"/>
    <x v="0"/>
    <x v="1"/>
    <s v="Junior"/>
    <x v="1"/>
    <s v="22-30"/>
    <x v="0"/>
    <s v="05/12/2021"/>
    <s v="02/07/2024"/>
    <n v="4"/>
    <n v="163000"/>
    <n v="2"/>
    <n v="1"/>
    <x v="0"/>
  </r>
  <r>
    <s v="MFS-93575"/>
    <s v="Biodun Eze"/>
    <x v="0"/>
    <x v="2"/>
    <x v="0"/>
    <s v="Junior"/>
    <x v="0"/>
    <s v="51-60"/>
    <x v="4"/>
    <s v="30/11/2022"/>
    <s v="02/07/2024"/>
    <n v="3"/>
    <n v="100000"/>
    <n v="2.2000000000000002"/>
    <n v="18"/>
    <x v="0"/>
  </r>
  <r>
    <s v="MFS-48057"/>
    <s v="Titi Abdullahi"/>
    <x v="1"/>
    <x v="4"/>
    <x v="0"/>
    <s v="Junior"/>
    <x v="0"/>
    <s v="22-30"/>
    <x v="0"/>
    <s v="21/06/2019"/>
    <s v="02/07/2024"/>
    <n v="6"/>
    <n v="179000"/>
    <n v="1.6"/>
    <n v="13"/>
    <x v="0"/>
  </r>
  <r>
    <s v="MFS-52526"/>
    <s v="Biodun Uba"/>
    <x v="0"/>
    <x v="1"/>
    <x v="0"/>
    <s v="Mid-level"/>
    <x v="0"/>
    <s v="51-60"/>
    <x v="2"/>
    <s v="15/07/2021"/>
    <s v="02/07/2024"/>
    <n v="4"/>
    <n v="301000"/>
    <n v="2.2999999999999998"/>
    <n v="6"/>
    <x v="0"/>
  </r>
  <r>
    <s v="MFS-60470"/>
    <s v="Femi Haruna"/>
    <x v="0"/>
    <x v="0"/>
    <x v="0"/>
    <s v="Senior"/>
    <x v="1"/>
    <s v="51-60"/>
    <x v="0"/>
    <s v="29/06/2022"/>
    <s v="02/07/2024"/>
    <n v="3"/>
    <n v="603000"/>
    <n v="2.5"/>
    <n v="17"/>
    <x v="0"/>
  </r>
  <r>
    <s v="MFS-92620"/>
    <s v="Folake Abdullahi"/>
    <x v="1"/>
    <x v="0"/>
    <x v="2"/>
    <s v="Junior"/>
    <x v="0"/>
    <s v="41-50"/>
    <x v="4"/>
    <s v="13/06/2020"/>
    <s v="02/07/2024"/>
    <n v="5"/>
    <n v="113000"/>
    <n v="4.5"/>
    <n v="13"/>
    <x v="0"/>
  </r>
  <r>
    <s v="MFS-24089"/>
    <s v="Lanre Fagbemi"/>
    <x v="0"/>
    <x v="0"/>
    <x v="1"/>
    <s v="Senior"/>
    <x v="0"/>
    <s v="31-40"/>
    <x v="0"/>
    <s v="07/02/2022"/>
    <s v="02/07/2024"/>
    <n v="4"/>
    <n v="489000"/>
    <n v="3.4"/>
    <n v="13"/>
    <x v="3"/>
  </r>
  <r>
    <s v="MFS-50845"/>
    <s v="Fatima Adewale"/>
    <x v="1"/>
    <x v="4"/>
    <x v="1"/>
    <s v="Mid-level"/>
    <x v="0"/>
    <s v="31-40"/>
    <x v="1"/>
    <s v="24/02/2021"/>
    <s v="06/05/2023"/>
    <n v="5"/>
    <n v="273000"/>
    <n v="4.9000000000000004"/>
    <n v="9"/>
    <x v="0"/>
  </r>
  <r>
    <s v="MFS-45365"/>
    <s v="Biodun Haruna"/>
    <x v="0"/>
    <x v="3"/>
    <x v="1"/>
    <s v="Mid-level"/>
    <x v="2"/>
    <s v="22-30"/>
    <x v="2"/>
    <s v="21/12/2020"/>
    <s v="06/05/2023"/>
    <n v="5"/>
    <n v="235000"/>
    <n v="3.1"/>
    <n v="10"/>
    <x v="2"/>
  </r>
  <r>
    <s v="MFS-23870"/>
    <s v="Bilkisu Buhari"/>
    <x v="1"/>
    <x v="4"/>
    <x v="0"/>
    <s v="Mid-level"/>
    <x v="0"/>
    <s v="51-60"/>
    <x v="2"/>
    <s v="19/12/2019"/>
    <s v="05/02/2021"/>
    <n v="6"/>
    <n v="281000"/>
    <n v="4.5"/>
    <n v="5"/>
    <x v="2"/>
  </r>
  <r>
    <s v="MFS-41657"/>
    <s v="Adaeze Nduka"/>
    <x v="1"/>
    <x v="4"/>
    <x v="0"/>
    <s v="Senior"/>
    <x v="2"/>
    <s v="31-40"/>
    <x v="0"/>
    <s v="25/03/2021"/>
    <s v="19/08/2023"/>
    <n v="4"/>
    <n v="366000"/>
    <n v="2.4"/>
    <n v="3"/>
    <x v="0"/>
  </r>
  <r>
    <s v="MFS-55779"/>
    <s v="Nana Obi"/>
    <x v="1"/>
    <x v="4"/>
    <x v="0"/>
    <s v="Mid-level"/>
    <x v="2"/>
    <s v="22-30"/>
    <x v="0"/>
    <s v="23/07/2021"/>
    <s v="19/08/2023"/>
    <n v="4"/>
    <n v="287000"/>
    <n v="3.7"/>
    <n v="6"/>
    <x v="1"/>
  </r>
  <r>
    <s v="MFS-23704"/>
    <s v="Garba Eze"/>
    <x v="0"/>
    <x v="4"/>
    <x v="2"/>
    <s v="Director"/>
    <x v="2"/>
    <s v="31-40"/>
    <x v="0"/>
    <s v="18/01/2019"/>
    <s v="18/12/2024"/>
    <n v="7"/>
    <n v="1234000"/>
    <n v="4.7"/>
    <n v="10"/>
    <x v="0"/>
  </r>
  <r>
    <s v="MFS-63263"/>
    <s v="Bimpe Afolabi"/>
    <x v="1"/>
    <x v="2"/>
    <x v="0"/>
    <s v="Senior"/>
    <x v="0"/>
    <s v="41-50"/>
    <x v="2"/>
    <s v="28/10/2023"/>
    <s v="18/12/2024"/>
    <n v="2"/>
    <n v="559000"/>
    <n v="3.6"/>
    <n v="10"/>
    <x v="0"/>
  </r>
  <r>
    <s v="MFS-39847"/>
    <s v="Ngozi Danladi"/>
    <x v="1"/>
    <x v="1"/>
    <x v="0"/>
    <s v="Senior"/>
    <x v="1"/>
    <s v="51-60"/>
    <x v="4"/>
    <s v="08/03/2022"/>
    <s v="18/12/2024"/>
    <n v="4"/>
    <n v="358000"/>
    <n v="4.8"/>
    <n v="8"/>
    <x v="1"/>
  </r>
  <r>
    <s v="MFS-39488"/>
    <s v="Chinwe Okafor"/>
    <x v="1"/>
    <x v="4"/>
    <x v="0"/>
    <s v="Senior"/>
    <x v="0"/>
    <s v="31-40"/>
    <x v="0"/>
    <s v="19/10/2019"/>
    <s v="04/09/2023"/>
    <n v="6"/>
    <n v="353000"/>
    <n v="4.7"/>
    <n v="10"/>
    <x v="0"/>
  </r>
  <r>
    <s v="MFS-73852"/>
    <s v="Lola Taiwo"/>
    <x v="1"/>
    <x v="1"/>
    <x v="1"/>
    <s v="Manager"/>
    <x v="0"/>
    <s v="41-50"/>
    <x v="2"/>
    <s v="19/05/2019"/>
    <s v="04/09/2023"/>
    <n v="6"/>
    <n v="760000"/>
    <n v="4.7"/>
    <n v="6"/>
    <x v="0"/>
  </r>
  <r>
    <s v="MFS-65300"/>
    <s v="Eze Adesanya"/>
    <x v="0"/>
    <x v="4"/>
    <x v="0"/>
    <s v="Junior"/>
    <x v="3"/>
    <s v="22-30"/>
    <x v="4"/>
    <s v="15/06/2022"/>
    <s v="04/09/2023"/>
    <n v="3"/>
    <n v="111000"/>
    <n v="2.4"/>
    <n v="25"/>
    <x v="3"/>
  </r>
  <r>
    <s v="MFS-81141"/>
    <s v="Falmata Obi"/>
    <x v="1"/>
    <x v="4"/>
    <x v="0"/>
    <s v="Manager"/>
    <x v="0"/>
    <s v="31-40"/>
    <x v="1"/>
    <s v="08/08/2023"/>
    <s v="12/08/2024"/>
    <n v="2"/>
    <n v="618000"/>
    <n v="4.5999999999999996"/>
    <n v="1"/>
    <x v="0"/>
  </r>
  <r>
    <s v="MFS-30958"/>
    <s v="Tobi Garba"/>
    <x v="0"/>
    <x v="2"/>
    <x v="2"/>
    <s v="Senior"/>
    <x v="2"/>
    <s v="41-50"/>
    <x v="1"/>
    <s v="25/04/2023"/>
    <s v="12/08/2024"/>
    <n v="2"/>
    <n v="528000"/>
    <n v="3.3"/>
    <n v="12"/>
    <x v="2"/>
  </r>
  <r>
    <s v="MFS-83967"/>
    <s v="Titi Yakubu"/>
    <x v="1"/>
    <x v="1"/>
    <x v="0"/>
    <s v="Mid-level"/>
    <x v="2"/>
    <s v="22-30"/>
    <x v="0"/>
    <s v="22/07/2021"/>
    <s v="23/08/2024"/>
    <n v="4"/>
    <n v="180000"/>
    <n v="3.3"/>
    <n v="6"/>
    <x v="2"/>
  </r>
  <r>
    <s v="MFS-60347"/>
    <s v="Obiora Okeke"/>
    <x v="0"/>
    <x v="2"/>
    <x v="0"/>
    <s v="Junior"/>
    <x v="2"/>
    <s v="22-30"/>
    <x v="2"/>
    <s v="26/09/2019"/>
    <s v="16/11/2024"/>
    <n v="6"/>
    <n v="152000"/>
    <n v="3.8"/>
    <n v="8"/>
    <x v="0"/>
  </r>
  <r>
    <s v="MFS-82371"/>
    <s v="Ikenna Nwachukwu"/>
    <x v="0"/>
    <x v="3"/>
    <x v="0"/>
    <s v="Junior"/>
    <x v="1"/>
    <s v="51-60"/>
    <x v="0"/>
    <s v="16/07/2019"/>
    <s v="16/11/2024"/>
    <n v="6"/>
    <n v="141000"/>
    <n v="5"/>
    <n v="13"/>
    <x v="0"/>
  </r>
  <r>
    <s v="MFS-85712"/>
    <s v="Ugochi Eze"/>
    <x v="1"/>
    <x v="2"/>
    <x v="0"/>
    <s v="Senior"/>
    <x v="2"/>
    <s v="41-50"/>
    <x v="1"/>
    <s v="03/06/2022"/>
    <s v="16/11/2024"/>
    <n v="3"/>
    <n v="525000"/>
    <n v="4.5999999999999996"/>
    <n v="14"/>
    <x v="0"/>
  </r>
  <r>
    <s v="MFS-63366"/>
    <s v="Yetunde Adewale"/>
    <x v="1"/>
    <x v="0"/>
    <x v="0"/>
    <s v="Mid-level"/>
    <x v="2"/>
    <s v="22-30"/>
    <x v="2"/>
    <s v="28/01/2023"/>
    <s v="16/11/2024"/>
    <n v="3"/>
    <n v="250000"/>
    <n v="2"/>
    <n v="0"/>
    <x v="0"/>
  </r>
  <r>
    <s v="MFS-48489"/>
    <s v="Titi Aliyu"/>
    <x v="1"/>
    <x v="1"/>
    <x v="2"/>
    <s v="Mid-level"/>
    <x v="1"/>
    <s v="41-50"/>
    <x v="0"/>
    <s v="02/08/2021"/>
    <s v="16/11/2024"/>
    <n v="4"/>
    <n v="180000"/>
    <n v="2.2000000000000002"/>
    <n v="1"/>
    <x v="0"/>
  </r>
  <r>
    <s v="MFS-79546"/>
    <s v="Funmilayo Nwachukwu"/>
    <x v="1"/>
    <x v="4"/>
    <x v="1"/>
    <s v="Junior"/>
    <x v="1"/>
    <s v="22-30"/>
    <x v="3"/>
    <s v="12/06/2020"/>
    <s v="16/11/2024"/>
    <n v="5"/>
    <n v="145000"/>
    <n v="1.6"/>
    <n v="5"/>
    <x v="0"/>
  </r>
  <r>
    <s v="MFS-94610"/>
    <s v="Wale Obi"/>
    <x v="0"/>
    <x v="3"/>
    <x v="0"/>
    <s v="Mid-level"/>
    <x v="1"/>
    <s v="41-50"/>
    <x v="2"/>
    <s v="13/12/2019"/>
    <s v="16/11/2024"/>
    <n v="6"/>
    <n v="229000"/>
    <n v="2.1"/>
    <n v="0"/>
    <x v="0"/>
  </r>
  <r>
    <s v="MFS-84612"/>
    <s v="Adaora Adesanya"/>
    <x v="1"/>
    <x v="2"/>
    <x v="2"/>
    <s v="Senior"/>
    <x v="0"/>
    <s v="31-40"/>
    <x v="0"/>
    <s v="24/05/2020"/>
    <s v="16/11/2024"/>
    <n v="5"/>
    <n v="378000"/>
    <n v="2.1"/>
    <n v="8"/>
    <x v="0"/>
  </r>
  <r>
    <s v="MFS-66414"/>
    <s v="Falmata Lawal"/>
    <x v="1"/>
    <x v="4"/>
    <x v="2"/>
    <s v="Mid-level"/>
    <x v="0"/>
    <s v="22-30"/>
    <x v="1"/>
    <s v="17/12/2023"/>
    <s v="16/11/2024"/>
    <n v="2"/>
    <n v="300000"/>
    <n v="3.5"/>
    <n v="37"/>
    <x v="0"/>
  </r>
  <r>
    <s v="MFS-21423"/>
    <s v="Tunde Eze"/>
    <x v="0"/>
    <x v="2"/>
    <x v="0"/>
    <s v="Junior"/>
    <x v="1"/>
    <s v="31-40"/>
    <x v="1"/>
    <s v="18/10/2020"/>
    <s v="16/11/2024"/>
    <n v="5"/>
    <n v="106000"/>
    <n v="2.6"/>
    <n v="4"/>
    <x v="0"/>
  </r>
  <r>
    <s v="MFS-64568"/>
    <s v="Tobi Buhari"/>
    <x v="0"/>
    <x v="2"/>
    <x v="0"/>
    <s v="Junior"/>
    <x v="0"/>
    <s v="22-30"/>
    <x v="2"/>
    <s v="29/04/2019"/>
    <s v="16/11/2024"/>
    <n v="6"/>
    <n v="138000"/>
    <n v="4.9000000000000004"/>
    <n v="2"/>
    <x v="0"/>
  </r>
  <r>
    <s v="MFS-36561"/>
    <s v="Dele Danladi"/>
    <x v="0"/>
    <x v="0"/>
    <x v="0"/>
    <s v="Senior"/>
    <x v="1"/>
    <s v="22-30"/>
    <x v="3"/>
    <s v="31/07/2023"/>
    <s v="16/11/2024"/>
    <n v="2"/>
    <n v="565000"/>
    <n v="3"/>
    <n v="10"/>
    <x v="0"/>
  </r>
  <r>
    <s v="MFS-49953"/>
    <s v="Shade Fagbemi"/>
    <x v="1"/>
    <x v="4"/>
    <x v="0"/>
    <s v="Senior"/>
    <x v="1"/>
    <s v="31-40"/>
    <x v="0"/>
    <s v="13/02/2023"/>
    <s v="16/11/2024"/>
    <n v="3"/>
    <n v="437000"/>
    <n v="3.3"/>
    <n v="3"/>
    <x v="2"/>
  </r>
  <r>
    <s v="MFS-19880"/>
    <s v="Chukwuemeka Chukwu"/>
    <x v="0"/>
    <x v="0"/>
    <x v="0"/>
    <s v="Mid-level"/>
    <x v="3"/>
    <s v="41-50"/>
    <x v="4"/>
    <s v="12/04/2021"/>
    <s v="03/12/2024"/>
    <n v="4"/>
    <n v="298000"/>
    <n v="3.2"/>
    <n v="27"/>
    <x v="0"/>
  </r>
  <r>
    <s v="MFS-50218"/>
    <s v="Ngozi Nwosu"/>
    <x v="1"/>
    <x v="2"/>
    <x v="0"/>
    <s v="Junior"/>
    <x v="3"/>
    <s v="31-40"/>
    <x v="0"/>
    <s v="26/05/2023"/>
    <s v="03/12/2024"/>
    <n v="2"/>
    <n v="116000"/>
    <n v="3.8"/>
    <n v="3"/>
    <x v="0"/>
  </r>
  <r>
    <s v="MFS-58344"/>
    <s v="Lanre Obi"/>
    <x v="0"/>
    <x v="0"/>
    <x v="0"/>
    <s v="Mid-level"/>
    <x v="0"/>
    <s v="41-50"/>
    <x v="2"/>
    <s v="16/10/2020"/>
    <s v="03/12/2024"/>
    <n v="5"/>
    <n v="343000"/>
    <n v="2.2000000000000002"/>
    <n v="4"/>
    <x v="0"/>
  </r>
  <r>
    <s v="MFS-95194"/>
    <s v="Dele Ihejirika"/>
    <x v="0"/>
    <x v="1"/>
    <x v="2"/>
    <s v="Senior"/>
    <x v="0"/>
    <s v="41-50"/>
    <x v="3"/>
    <s v="30/06/2022"/>
    <s v="03/12/2024"/>
    <n v="3"/>
    <n v="360000"/>
    <n v="4.7"/>
    <n v="8"/>
    <x v="1"/>
  </r>
  <r>
    <s v="MFS-91794"/>
    <s v="Bilkisu Amadi"/>
    <x v="1"/>
    <x v="2"/>
    <x v="0"/>
    <s v="Mid-level"/>
    <x v="1"/>
    <s v="22-30"/>
    <x v="4"/>
    <s v="27/02/2023"/>
    <s v="09/08/2024"/>
    <n v="3"/>
    <n v="217000"/>
    <n v="4.5999999999999996"/>
    <n v="5"/>
    <x v="1"/>
  </r>
  <r>
    <s v="MFS-95064"/>
    <s v="Chukwudi Taiwo"/>
    <x v="0"/>
    <x v="0"/>
    <x v="0"/>
    <s v="Mid-level"/>
    <x v="0"/>
    <s v="41-50"/>
    <x v="2"/>
    <s v="24/09/2023"/>
    <s v="12/01/2025"/>
    <n v="2"/>
    <n v="217000"/>
    <n v="2.2000000000000002"/>
    <n v="9"/>
    <x v="0"/>
  </r>
  <r>
    <s v="MFS-35506"/>
    <s v="Nneka Lawal"/>
    <x v="1"/>
    <x v="1"/>
    <x v="0"/>
    <s v="Senior"/>
    <x v="2"/>
    <s v="41-50"/>
    <x v="2"/>
    <s v="13/03/2020"/>
    <s v="12/01/2025"/>
    <n v="5"/>
    <n v="402000"/>
    <n v="3.6"/>
    <n v="14"/>
    <x v="1"/>
  </r>
  <r>
    <s v="MFS-58958"/>
    <s v="Zainab Ogbonna"/>
    <x v="1"/>
    <x v="4"/>
    <x v="0"/>
    <s v="Mid-level"/>
    <x v="2"/>
    <s v="51-60"/>
    <x v="2"/>
    <s v="19/03/2019"/>
    <s v="27/09/2020"/>
    <n v="6"/>
    <n v="308000"/>
    <n v="4"/>
    <n v="6"/>
    <x v="1"/>
  </r>
  <r>
    <s v="MFS-29399"/>
    <s v="Hafsat Okafor"/>
    <x v="1"/>
    <x v="3"/>
    <x v="0"/>
    <s v="Junior"/>
    <x v="0"/>
    <s v="41-50"/>
    <x v="4"/>
    <s v="10/07/2023"/>
    <s v="11/02/2024"/>
    <n v="2"/>
    <n v="132000"/>
    <n v="2.6"/>
    <n v="5"/>
    <x v="1"/>
  </r>
  <r>
    <s v="MFS-55406"/>
    <s v="Nkechi Adebayo"/>
    <x v="1"/>
    <x v="3"/>
    <x v="0"/>
    <s v="Junior"/>
    <x v="1"/>
    <s v="31-40"/>
    <x v="2"/>
    <s v="25/02/2020"/>
    <s v="10/06/2021"/>
    <n v="6"/>
    <n v="135000"/>
    <n v="2.7"/>
    <n v="0"/>
    <x v="3"/>
  </r>
  <r>
    <s v="MFS-30762"/>
    <s v="Garba Okafor"/>
    <x v="0"/>
    <x v="2"/>
    <x v="0"/>
    <s v="Senior"/>
    <x v="0"/>
    <s v="51-60"/>
    <x v="1"/>
    <s v="12/02/2021"/>
    <s v="19/04/2023"/>
    <n v="5"/>
    <n v="552000"/>
    <n v="2.8"/>
    <n v="10"/>
    <x v="0"/>
  </r>
  <r>
    <s v="MFS-68860"/>
    <s v="Nneka Ogundipe"/>
    <x v="1"/>
    <x v="2"/>
    <x v="0"/>
    <s v="Mid-level"/>
    <x v="3"/>
    <s v="41-50"/>
    <x v="0"/>
    <s v="01/05/2022"/>
    <s v="19/04/2023"/>
    <n v="3"/>
    <n v="288000"/>
    <n v="2.2999999999999998"/>
    <n v="10"/>
    <x v="0"/>
  </r>
  <r>
    <s v="MFS-24847"/>
    <s v="Ezinne Adesanya"/>
    <x v="1"/>
    <x v="2"/>
    <x v="1"/>
    <s v="Mid-level"/>
    <x v="3"/>
    <s v="31-40"/>
    <x v="3"/>
    <s v="30/08/2022"/>
    <s v="19/04/2023"/>
    <n v="3"/>
    <n v="253000"/>
    <n v="4"/>
    <n v="13"/>
    <x v="0"/>
  </r>
  <r>
    <s v="MFS-59785"/>
    <s v="Gbenga Adewale"/>
    <x v="0"/>
    <x v="1"/>
    <x v="1"/>
    <s v="Senior"/>
    <x v="2"/>
    <s v="22-30"/>
    <x v="2"/>
    <s v="30/11/2023"/>
    <s v="19/04/2023"/>
    <n v="2"/>
    <n v="499000"/>
    <n v="4.7"/>
    <n v="32"/>
    <x v="0"/>
  </r>
  <r>
    <s v="MFS-33639"/>
    <s v="Bimpe Coker"/>
    <x v="1"/>
    <x v="2"/>
    <x v="0"/>
    <s v="Mid-level"/>
    <x v="2"/>
    <s v="22-30"/>
    <x v="1"/>
    <s v="15/04/2023"/>
    <s v="19/04/2023"/>
    <n v="2"/>
    <n v="207000"/>
    <n v="4.4000000000000004"/>
    <n v="2"/>
    <x v="0"/>
  </r>
  <r>
    <s v="MFS-88638"/>
    <s v="Jummai Obaseki"/>
    <x v="1"/>
    <x v="4"/>
    <x v="0"/>
    <s v="Mid-level"/>
    <x v="2"/>
    <s v="41-50"/>
    <x v="2"/>
    <s v="20/11/2020"/>
    <s v="19/04/2023"/>
    <n v="5"/>
    <n v="314000"/>
    <n v="3.6"/>
    <n v="12"/>
    <x v="1"/>
  </r>
  <r>
    <s v="MFS-89443"/>
    <s v="Uloma Suleiman"/>
    <x v="1"/>
    <x v="3"/>
    <x v="0"/>
    <s v="Mid-level"/>
    <x v="2"/>
    <s v="22-30"/>
    <x v="1"/>
    <s v="11/06/2020"/>
    <s v="01/06/2024"/>
    <n v="5"/>
    <n v="206000"/>
    <n v="4.2"/>
    <n v="11"/>
    <x v="0"/>
  </r>
  <r>
    <s v="MFS-20152"/>
    <s v="Bimpe Musa"/>
    <x v="1"/>
    <x v="3"/>
    <x v="0"/>
    <s v="Director"/>
    <x v="0"/>
    <s v="51-60"/>
    <x v="2"/>
    <s v="24/02/2022"/>
    <s v="01/06/2024"/>
    <n v="4"/>
    <n v="1162000"/>
    <n v="3.8"/>
    <n v="7"/>
    <x v="0"/>
  </r>
  <r>
    <s v="MFS-76132"/>
    <s v="Nnamdi Omotayo"/>
    <x v="0"/>
    <x v="0"/>
    <x v="0"/>
    <s v="Mid-level"/>
    <x v="0"/>
    <s v="31-40"/>
    <x v="0"/>
    <s v="07/05/2023"/>
    <s v="01/06/2024"/>
    <n v="2"/>
    <n v="385000"/>
    <n v="4"/>
    <n v="5"/>
    <x v="1"/>
  </r>
  <r>
    <s v="MFS-36545"/>
    <s v="Falmata Shehu"/>
    <x v="1"/>
    <x v="0"/>
    <x v="1"/>
    <s v="Director"/>
    <x v="3"/>
    <s v="31-40"/>
    <x v="0"/>
    <s v="11/03/2023"/>
    <s v="25/02/2024"/>
    <n v="3"/>
    <n v="2012000"/>
    <n v="4.4000000000000004"/>
    <n v="14"/>
    <x v="0"/>
  </r>
  <r>
    <s v="MFS-56036"/>
    <s v="Oghenekaro Chukwu"/>
    <x v="0"/>
    <x v="4"/>
    <x v="0"/>
    <s v="Mid-level"/>
    <x v="2"/>
    <s v="41-50"/>
    <x v="4"/>
    <s v="23/07/2020"/>
    <s v="25/02/2024"/>
    <n v="5"/>
    <n v="316000"/>
    <n v="2.9"/>
    <n v="33"/>
    <x v="1"/>
  </r>
  <r>
    <s v="MFS-54603"/>
    <s v="Laraba Yakubu"/>
    <x v="1"/>
    <x v="2"/>
    <x v="0"/>
    <s v="Mid-level"/>
    <x v="0"/>
    <s v="51-60"/>
    <x v="0"/>
    <s v="18/10/2019"/>
    <s v="12/12/2023"/>
    <n v="6"/>
    <n v="310000"/>
    <n v="3.5"/>
    <n v="7"/>
    <x v="0"/>
  </r>
  <r>
    <s v="MFS-62165"/>
    <s v="Hafsat Nnamdi"/>
    <x v="1"/>
    <x v="2"/>
    <x v="2"/>
    <s v="Mid-level"/>
    <x v="2"/>
    <s v="22-30"/>
    <x v="1"/>
    <s v="30/11/2021"/>
    <s v="12/12/2023"/>
    <n v="4"/>
    <n v="283000"/>
    <n v="3"/>
    <n v="14"/>
    <x v="0"/>
  </r>
  <r>
    <s v="MFS-60504"/>
    <s v="Femi Haruna"/>
    <x v="0"/>
    <x v="2"/>
    <x v="0"/>
    <s v="Mid-level"/>
    <x v="2"/>
    <s v="31-40"/>
    <x v="3"/>
    <s v="13/12/2019"/>
    <s v="12/12/2023"/>
    <n v="6"/>
    <n v="329000"/>
    <n v="2.6"/>
    <n v="5"/>
    <x v="0"/>
  </r>
  <r>
    <s v="MFS-67559"/>
    <s v="Yemi Ihejirika"/>
    <x v="1"/>
    <x v="0"/>
    <x v="0"/>
    <s v="Mid-level"/>
    <x v="3"/>
    <s v="41-50"/>
    <x v="2"/>
    <s v="22/08/2023"/>
    <s v="12/12/2023"/>
    <n v="2"/>
    <n v="249000"/>
    <n v="3.6"/>
    <n v="13"/>
    <x v="0"/>
  </r>
  <r>
    <s v="MFS-86216"/>
    <s v="Nana Okafor"/>
    <x v="1"/>
    <x v="0"/>
    <x v="0"/>
    <s v="Mid-level"/>
    <x v="2"/>
    <s v="22-30"/>
    <x v="2"/>
    <s v="08/06/2019"/>
    <s v="12/12/2023"/>
    <n v="6"/>
    <n v="385000"/>
    <n v="3.7"/>
    <n v="10"/>
    <x v="0"/>
  </r>
  <r>
    <s v="MFS-12025"/>
    <s v="Shade Nwachukwu"/>
    <x v="1"/>
    <x v="4"/>
    <x v="2"/>
    <s v="Manager"/>
    <x v="0"/>
    <s v="31-40"/>
    <x v="3"/>
    <s v="06/08/2022"/>
    <s v="12/12/2023"/>
    <n v="3"/>
    <n v="896000"/>
    <n v="3.1"/>
    <n v="4"/>
    <x v="1"/>
  </r>
  <r>
    <s v="MFS-98857"/>
    <s v="Nasiru Ogbonna"/>
    <x v="0"/>
    <x v="1"/>
    <x v="0"/>
    <s v="Senior"/>
    <x v="3"/>
    <s v="41-50"/>
    <x v="0"/>
    <s v="15/07/2019"/>
    <s v="02/06/2022"/>
    <n v="6"/>
    <n v="423000"/>
    <n v="3.4"/>
    <n v="10"/>
    <x v="0"/>
  </r>
  <r>
    <s v="MFS-25722"/>
    <s v="Dele Coker"/>
    <x v="0"/>
    <x v="1"/>
    <x v="2"/>
    <s v="Senior"/>
    <x v="0"/>
    <s v="41-50"/>
    <x v="0"/>
    <s v="14/04/2020"/>
    <s v="02/06/2022"/>
    <n v="5"/>
    <n v="475000"/>
    <n v="3.7"/>
    <n v="6"/>
    <x v="0"/>
  </r>
  <r>
    <s v="MFS-20305"/>
    <s v="Lola Adeyemi"/>
    <x v="1"/>
    <x v="1"/>
    <x v="0"/>
    <s v="Junior"/>
    <x v="1"/>
    <s v="41-50"/>
    <x v="0"/>
    <s v="15/07/2020"/>
    <s v="02/06/2022"/>
    <n v="5"/>
    <n v="138000"/>
    <n v="3.7"/>
    <n v="9"/>
    <x v="0"/>
  </r>
  <r>
    <s v="MFS-88821"/>
    <s v="Ifeanyi Suleiman"/>
    <x v="0"/>
    <x v="1"/>
    <x v="0"/>
    <s v="Senior"/>
    <x v="1"/>
    <s v="22-30"/>
    <x v="2"/>
    <s v="02/11/2019"/>
    <s v="02/06/2022"/>
    <n v="6"/>
    <n v="432000"/>
    <n v="4"/>
    <n v="6"/>
    <x v="0"/>
  </r>
  <r>
    <s v="MFS-67771"/>
    <s v="Yemi Adebayo"/>
    <x v="1"/>
    <x v="1"/>
    <x v="0"/>
    <s v="Junior"/>
    <x v="0"/>
    <s v="22-30"/>
    <x v="3"/>
    <s v="09/04/2021"/>
    <s v="02/06/2022"/>
    <n v="4"/>
    <n v="143000"/>
    <n v="4.4000000000000004"/>
    <n v="2"/>
    <x v="0"/>
  </r>
  <r>
    <s v="MFS-74117"/>
    <s v="Hafsat Onwudiwe"/>
    <x v="1"/>
    <x v="3"/>
    <x v="0"/>
    <s v="Junior"/>
    <x v="0"/>
    <s v="41-50"/>
    <x v="0"/>
    <s v="19/06/2020"/>
    <s v="02/06/2022"/>
    <n v="5"/>
    <n v="149000"/>
    <n v="3.2"/>
    <n v="6"/>
    <x v="0"/>
  </r>
  <r>
    <s v="MFS-55977"/>
    <s v="Garba Ogundipe"/>
    <x v="0"/>
    <x v="2"/>
    <x v="0"/>
    <s v="Senior"/>
    <x v="0"/>
    <s v="22-30"/>
    <x v="2"/>
    <s v="27/04/2019"/>
    <s v="02/06/2022"/>
    <n v="6"/>
    <n v="549000"/>
    <n v="4.5999999999999996"/>
    <n v="4"/>
    <x v="2"/>
  </r>
  <r>
    <s v="MFS-45568"/>
    <s v="Adeola Omotayo"/>
    <x v="0"/>
    <x v="3"/>
    <x v="0"/>
    <s v="Junior"/>
    <x v="2"/>
    <s v="31-40"/>
    <x v="1"/>
    <s v="05/11/2022"/>
    <s v="29/12/2024"/>
    <n v="3"/>
    <n v="147000"/>
    <n v="4.8"/>
    <n v="14"/>
    <x v="0"/>
  </r>
  <r>
    <s v="MFS-59902"/>
    <s v="Nana Eze"/>
    <x v="1"/>
    <x v="1"/>
    <x v="0"/>
    <s v="Senior"/>
    <x v="1"/>
    <s v="22-30"/>
    <x v="2"/>
    <s v="08/08/2020"/>
    <s v="29/12/2024"/>
    <n v="5"/>
    <n v="350000"/>
    <n v="2.4"/>
    <n v="10"/>
    <x v="0"/>
  </r>
  <r>
    <s v="MFS-28352"/>
    <s v="Wale Coker"/>
    <x v="0"/>
    <x v="2"/>
    <x v="0"/>
    <s v="Junior"/>
    <x v="0"/>
    <s v="22-30"/>
    <x v="2"/>
    <s v="22/07/2022"/>
    <s v="29/12/2024"/>
    <n v="3"/>
    <n v="114000"/>
    <n v="4.0999999999999996"/>
    <n v="2"/>
    <x v="1"/>
  </r>
  <r>
    <s v="MFS-83179"/>
    <s v="Nneka Yakubu"/>
    <x v="1"/>
    <x v="3"/>
    <x v="0"/>
    <s v="Junior"/>
    <x v="2"/>
    <s v="51-60"/>
    <x v="1"/>
    <s v="02/02/2023"/>
    <s v="08/06/2024"/>
    <n v="3"/>
    <n v="160000"/>
    <n v="4.5999999999999996"/>
    <n v="2"/>
    <x v="0"/>
  </r>
  <r>
    <s v="MFS-16620"/>
    <s v="Adaora Abdullahi"/>
    <x v="1"/>
    <x v="1"/>
    <x v="2"/>
    <s v="Senior"/>
    <x v="2"/>
    <s v="22-30"/>
    <x v="0"/>
    <s v="06/11/2019"/>
    <s v="08/06/2024"/>
    <n v="6"/>
    <n v="361000"/>
    <n v="4.5999999999999996"/>
    <n v="5"/>
    <x v="0"/>
  </r>
  <r>
    <s v="MFS-83717"/>
    <s v="Obinna Garba"/>
    <x v="0"/>
    <x v="0"/>
    <x v="2"/>
    <s v="Senior"/>
    <x v="1"/>
    <s v="31-40"/>
    <x v="1"/>
    <s v="31/08/2019"/>
    <s v="08/06/2024"/>
    <n v="6"/>
    <n v="414000"/>
    <n v="2.7"/>
    <n v="1"/>
    <x v="0"/>
  </r>
  <r>
    <s v="MFS-23169"/>
    <s v="Yakubu Ihejirika"/>
    <x v="0"/>
    <x v="4"/>
    <x v="0"/>
    <s v="Mid-level"/>
    <x v="2"/>
    <s v="31-40"/>
    <x v="1"/>
    <s v="20/09/2021"/>
    <s v="08/06/2024"/>
    <n v="4"/>
    <n v="274000"/>
    <n v="4.7"/>
    <n v="1"/>
    <x v="1"/>
  </r>
  <r>
    <s v="MFS-32121"/>
    <s v="Ronke Afolabi"/>
    <x v="1"/>
    <x v="3"/>
    <x v="1"/>
    <s v="Mid-level"/>
    <x v="0"/>
    <s v="31-40"/>
    <x v="2"/>
    <s v="21/11/2020"/>
    <s v="17/09/2024"/>
    <n v="5"/>
    <n v="242000"/>
    <n v="4.5"/>
    <n v="12"/>
    <x v="3"/>
  </r>
  <r>
    <s v="MFS-15390"/>
    <s v="Aisha Oyelaran"/>
    <x v="1"/>
    <x v="2"/>
    <x v="2"/>
    <s v="Mid-level"/>
    <x v="1"/>
    <s v="22-30"/>
    <x v="0"/>
    <s v="18/10/2019"/>
    <s v="19/12/2024"/>
    <n v="6"/>
    <n v="224000"/>
    <n v="2.9"/>
    <n v="7"/>
    <x v="1"/>
  </r>
  <r>
    <s v="MFS-49669"/>
    <s v="Abubakar Afolabi"/>
    <x v="0"/>
    <x v="4"/>
    <x v="2"/>
    <s v="Junior"/>
    <x v="2"/>
    <s v="22-30"/>
    <x v="3"/>
    <s v="23/08/2022"/>
    <s v="18/10/2022"/>
    <n v="3"/>
    <n v="108000"/>
    <n v="3.2"/>
    <n v="8"/>
    <x v="0"/>
  </r>
  <r>
    <s v="MFS-84800"/>
    <s v="Adeola Eze"/>
    <x v="0"/>
    <x v="0"/>
    <x v="0"/>
    <s v="Junior"/>
    <x v="1"/>
    <s v="22-30"/>
    <x v="1"/>
    <s v="15/06/2020"/>
    <s v="18/10/2022"/>
    <n v="5"/>
    <n v="176000"/>
    <n v="4.2"/>
    <n v="20"/>
    <x v="0"/>
  </r>
  <r>
    <s v="MFS-99665"/>
    <s v="Adaora Obaseki"/>
    <x v="1"/>
    <x v="4"/>
    <x v="1"/>
    <s v="Senior"/>
    <x v="2"/>
    <s v="22-30"/>
    <x v="3"/>
    <s v="07/01/2022"/>
    <s v="18/10/2022"/>
    <n v="4"/>
    <n v="574000"/>
    <n v="4.3"/>
    <n v="6"/>
    <x v="0"/>
  </r>
  <r>
    <s v="MFS-65158"/>
    <s v="Ngozi Ogbonna"/>
    <x v="1"/>
    <x v="1"/>
    <x v="1"/>
    <s v="Senior"/>
    <x v="0"/>
    <s v="51-60"/>
    <x v="0"/>
    <s v="02/02/2022"/>
    <s v="18/10/2022"/>
    <n v="4"/>
    <n v="474000"/>
    <n v="4"/>
    <n v="14"/>
    <x v="1"/>
  </r>
  <r>
    <s v="MFS-14001"/>
    <s v="Wale Ogbonna"/>
    <x v="0"/>
    <x v="2"/>
    <x v="0"/>
    <s v="Senior"/>
    <x v="3"/>
    <s v="31-40"/>
    <x v="3"/>
    <s v="03/09/2020"/>
    <s v="17/01/2023"/>
    <n v="5"/>
    <n v="398000"/>
    <n v="3.2"/>
    <n v="3"/>
    <x v="1"/>
  </r>
  <r>
    <s v="MFS-31804"/>
    <s v="Lola Suleiman"/>
    <x v="1"/>
    <x v="4"/>
    <x v="2"/>
    <s v="Mid-level"/>
    <x v="0"/>
    <s v="41-50"/>
    <x v="3"/>
    <s v="17/09/2019"/>
    <s v="01/07/2022"/>
    <n v="6"/>
    <n v="326000"/>
    <n v="3.6"/>
    <n v="1"/>
    <x v="0"/>
  </r>
  <r>
    <s v="MFS-97962"/>
    <s v="Chinyere Amadi"/>
    <x v="1"/>
    <x v="2"/>
    <x v="0"/>
    <s v="Mid-level"/>
    <x v="0"/>
    <s v="22-30"/>
    <x v="0"/>
    <s v="13/10/2021"/>
    <s v="01/07/2022"/>
    <n v="4"/>
    <n v="233000"/>
    <n v="2.6"/>
    <n v="13"/>
    <x v="1"/>
  </r>
  <r>
    <s v="MFS-66595"/>
    <s v="Ezinne Aliyu"/>
    <x v="1"/>
    <x v="3"/>
    <x v="0"/>
    <s v="Mid-level"/>
    <x v="1"/>
    <s v="22-30"/>
    <x v="0"/>
    <s v="12/02/2023"/>
    <s v="26/08/2023"/>
    <n v="3"/>
    <n v="294000"/>
    <n v="4.3"/>
    <n v="10"/>
    <x v="0"/>
  </r>
  <r>
    <s v="MFS-10861"/>
    <s v="Chiamaka Adesanya"/>
    <x v="1"/>
    <x v="3"/>
    <x v="0"/>
    <s v="Senior"/>
    <x v="0"/>
    <s v="41-50"/>
    <x v="0"/>
    <s v="21/12/2023"/>
    <s v="26/08/2023"/>
    <n v="2"/>
    <n v="409000"/>
    <n v="4.5999999999999996"/>
    <n v="6"/>
    <x v="0"/>
  </r>
  <r>
    <s v="MFS-10766"/>
    <s v="Zainab Onwudiwe"/>
    <x v="1"/>
    <x v="0"/>
    <x v="2"/>
    <s v="Mid-level"/>
    <x v="3"/>
    <s v="41-50"/>
    <x v="0"/>
    <s v="30/08/2019"/>
    <s v="26/08/2023"/>
    <n v="6"/>
    <n v="301000"/>
    <n v="4.0999999999999996"/>
    <n v="2"/>
    <x v="0"/>
  </r>
  <r>
    <s v="MFS-30059"/>
    <s v="Rotimi Obi"/>
    <x v="0"/>
    <x v="3"/>
    <x v="0"/>
    <s v="Mid-level"/>
    <x v="0"/>
    <s v="22-30"/>
    <x v="0"/>
    <s v="19/07/2020"/>
    <s v="26/08/2023"/>
    <n v="5"/>
    <n v="198000"/>
    <n v="4.7"/>
    <n v="0"/>
    <x v="0"/>
  </r>
  <r>
    <s v="MFS-84228"/>
    <s v="Dele Nnamdi"/>
    <x v="0"/>
    <x v="3"/>
    <x v="0"/>
    <s v="Mid-level"/>
    <x v="0"/>
    <s v="51-60"/>
    <x v="2"/>
    <s v="05/07/2021"/>
    <s v="26/08/2023"/>
    <n v="4"/>
    <n v="306000"/>
    <n v="2.5"/>
    <n v="6"/>
    <x v="0"/>
  </r>
  <r>
    <s v="MFS-32577"/>
    <s v="Suleiman Fagbemi"/>
    <x v="0"/>
    <x v="2"/>
    <x v="0"/>
    <s v="Mid-level"/>
    <x v="0"/>
    <s v="22-30"/>
    <x v="0"/>
    <s v="10/11/2022"/>
    <s v="26/08/2023"/>
    <n v="3"/>
    <n v="191000"/>
    <n v="3.8"/>
    <n v="11"/>
    <x v="1"/>
  </r>
  <r>
    <s v="MFS-52346"/>
    <s v="Emeka Yakubu"/>
    <x v="0"/>
    <x v="0"/>
    <x v="0"/>
    <s v="Manager"/>
    <x v="0"/>
    <s v="31-40"/>
    <x v="0"/>
    <s v="24/09/2019"/>
    <s v="24/09/2024"/>
    <n v="6"/>
    <n v="1020000"/>
    <n v="4.5"/>
    <n v="10"/>
    <x v="1"/>
  </r>
  <r>
    <s v="MFS-72026"/>
    <s v="Ugochi Garba"/>
    <x v="1"/>
    <x v="2"/>
    <x v="0"/>
    <s v="Mid-level"/>
    <x v="0"/>
    <s v="41-50"/>
    <x v="2"/>
    <s v="23/07/2023"/>
    <s v="05/09/2024"/>
    <n v="2"/>
    <n v="265000"/>
    <n v="4"/>
    <n v="11"/>
    <x v="1"/>
  </r>
  <r>
    <s v="MFS-27639"/>
    <s v="Adebayo Adebayo"/>
    <x v="0"/>
    <x v="4"/>
    <x v="0"/>
    <s v="Mid-level"/>
    <x v="2"/>
    <s v="22-30"/>
    <x v="0"/>
    <s v="17/01/2021"/>
    <s v="31/03/2024"/>
    <n v="5"/>
    <n v="188000"/>
    <n v="1.7"/>
    <n v="9"/>
    <x v="3"/>
  </r>
  <r>
    <s v="MFS-98923"/>
    <s v="Garba Ogbonna"/>
    <x v="0"/>
    <x v="3"/>
    <x v="0"/>
    <s v="Senior"/>
    <x v="0"/>
    <s v="22-30"/>
    <x v="2"/>
    <s v="01/09/2022"/>
    <s v="28/08/2024"/>
    <n v="3"/>
    <n v="531000"/>
    <n v="4.3"/>
    <n v="13"/>
    <x v="0"/>
  </r>
  <r>
    <s v="MFS-78814"/>
    <s v="Gbenga Garba"/>
    <x v="0"/>
    <x v="1"/>
    <x v="0"/>
    <s v="Director"/>
    <x v="2"/>
    <s v="31-40"/>
    <x v="0"/>
    <s v="13/12/2022"/>
    <s v="28/08/2024"/>
    <n v="3"/>
    <n v="1029000"/>
    <n v="3.4"/>
    <n v="9"/>
    <x v="0"/>
  </r>
  <r>
    <s v="MFS-12188"/>
    <s v="Ogechi Danladi"/>
    <x v="1"/>
    <x v="2"/>
    <x v="1"/>
    <s v="Mid-level"/>
    <x v="1"/>
    <s v="51-60"/>
    <x v="2"/>
    <s v="26/08/2021"/>
    <s v="28/08/2024"/>
    <n v="4"/>
    <n v="319000"/>
    <n v="4.7"/>
    <n v="3"/>
    <x v="0"/>
  </r>
  <r>
    <s v="MFS-93099"/>
    <s v="Yakubu Amadi"/>
    <x v="0"/>
    <x v="1"/>
    <x v="0"/>
    <s v="Junior"/>
    <x v="0"/>
    <s v="31-40"/>
    <x v="1"/>
    <s v="13/04/2020"/>
    <s v="28/08/2024"/>
    <n v="5"/>
    <n v="93000"/>
    <n v="4.7"/>
    <n v="40"/>
    <x v="2"/>
  </r>
  <r>
    <s v="MFS-83075"/>
    <s v="Bimpe Nduka"/>
    <x v="1"/>
    <x v="4"/>
    <x v="0"/>
    <s v="Junior"/>
    <x v="1"/>
    <s v="22-30"/>
    <x v="2"/>
    <s v="28/09/2023"/>
    <s v="13/06/2022"/>
    <n v="2"/>
    <n v="174000"/>
    <n v="3.3"/>
    <n v="3"/>
    <x v="0"/>
  </r>
  <r>
    <s v="MFS-71393"/>
    <s v="Chinedu Bello"/>
    <x v="0"/>
    <x v="2"/>
    <x v="0"/>
    <s v="Manager"/>
    <x v="0"/>
    <s v="22-30"/>
    <x v="2"/>
    <s v="18/10/2020"/>
    <s v="13/06/2022"/>
    <n v="5"/>
    <n v="718000"/>
    <n v="4.5999999999999996"/>
    <n v="36"/>
    <x v="1"/>
  </r>
  <r>
    <s v="MFS-19712"/>
    <s v="Rabiu Adewale"/>
    <x v="0"/>
    <x v="1"/>
    <x v="0"/>
    <s v="Junior"/>
    <x v="1"/>
    <s v="22-30"/>
    <x v="0"/>
    <s v="01/10/2020"/>
    <s v="19/03/2025"/>
    <n v="5"/>
    <n v="153000"/>
    <n v="3.4"/>
    <n v="36"/>
    <x v="0"/>
  </r>
  <r>
    <s v="MFS-87421"/>
    <s v="Adeola Obi"/>
    <x v="1"/>
    <x v="4"/>
    <x v="2"/>
    <s v="Mid-level"/>
    <x v="0"/>
    <s v="31-40"/>
    <x v="2"/>
    <s v="16/01/2020"/>
    <s v="19/03/2025"/>
    <n v="6"/>
    <n v="321000"/>
    <n v="2.9"/>
    <n v="13"/>
    <x v="1"/>
  </r>
  <r>
    <s v="MFS-61292"/>
    <s v="Ebuka Abdullahi"/>
    <x v="0"/>
    <x v="0"/>
    <x v="0"/>
    <s v="Senior"/>
    <x v="0"/>
    <s v="31-40"/>
    <x v="4"/>
    <s v="07/01/2023"/>
    <s v="23/01/2025"/>
    <n v="3"/>
    <n v="627000"/>
    <n v="2.9"/>
    <n v="4"/>
    <x v="0"/>
  </r>
  <r>
    <s v="MFS-28894"/>
    <s v="Kabiru Okafor"/>
    <x v="0"/>
    <x v="3"/>
    <x v="0"/>
    <s v="Junior"/>
    <x v="3"/>
    <s v="31-40"/>
    <x v="0"/>
    <s v="11/10/2023"/>
    <s v="23/01/2025"/>
    <n v="2"/>
    <n v="116000"/>
    <n v="4"/>
    <n v="5"/>
    <x v="0"/>
  </r>
  <r>
    <s v="MFS-61705"/>
    <s v="Biodun Adesanya"/>
    <x v="0"/>
    <x v="0"/>
    <x v="2"/>
    <s v="Senior"/>
    <x v="2"/>
    <s v="31-40"/>
    <x v="2"/>
    <s v="24/08/2020"/>
    <s v="23/01/2025"/>
    <n v="5"/>
    <n v="648000"/>
    <n v="3.2"/>
    <n v="7"/>
    <x v="0"/>
  </r>
  <r>
    <s v="MFS-99671"/>
    <s v="Dele Garba"/>
    <x v="0"/>
    <x v="2"/>
    <x v="0"/>
    <s v="Junior"/>
    <x v="0"/>
    <s v="22-30"/>
    <x v="3"/>
    <s v="26/12/2022"/>
    <s v="23/01/2025"/>
    <n v="3"/>
    <n v="104000"/>
    <n v="2.4"/>
    <n v="10"/>
    <x v="2"/>
  </r>
  <r>
    <s v="MFS-40623"/>
    <s v="Usman Danladi"/>
    <x v="0"/>
    <x v="0"/>
    <x v="0"/>
    <s v="Junior"/>
    <x v="0"/>
    <s v="41-50"/>
    <x v="2"/>
    <s v="03/01/2023"/>
    <s v="08/05/2024"/>
    <n v="3"/>
    <n v="132000"/>
    <n v="2.6"/>
    <n v="36"/>
    <x v="2"/>
  </r>
  <r>
    <s v="MFS-90777"/>
    <s v="Shehu Shehu"/>
    <x v="0"/>
    <x v="1"/>
    <x v="0"/>
    <s v="Junior"/>
    <x v="2"/>
    <s v="31-40"/>
    <x v="4"/>
    <s v="01/11/2022"/>
    <s v="16/12/2023"/>
    <n v="3"/>
    <n v="130000"/>
    <n v="4.9000000000000004"/>
    <n v="14"/>
    <x v="1"/>
  </r>
  <r>
    <s v="MFS-69058"/>
    <s v="Oluwaseun Danladi"/>
    <x v="0"/>
    <x v="0"/>
    <x v="0"/>
    <s v="Junior"/>
    <x v="3"/>
    <s v="31-40"/>
    <x v="1"/>
    <s v="04/11/2022"/>
    <s v="06/11/2023"/>
    <n v="3"/>
    <n v="95000"/>
    <n v="3.7"/>
    <n v="6"/>
    <x v="1"/>
  </r>
  <r>
    <s v="MFS-97955"/>
    <s v="Uloma Yakubu"/>
    <x v="1"/>
    <x v="1"/>
    <x v="0"/>
    <s v="Senior"/>
    <x v="1"/>
    <s v="51-60"/>
    <x v="2"/>
    <s v="13/06/2021"/>
    <s v="29/05/2022"/>
    <n v="4"/>
    <n v="477000"/>
    <n v="3.8"/>
    <n v="13"/>
    <x v="0"/>
  </r>
  <r>
    <s v="MFS-73956"/>
    <s v="Uloma Adebayo"/>
    <x v="1"/>
    <x v="4"/>
    <x v="0"/>
    <s v="Junior"/>
    <x v="3"/>
    <s v="51-60"/>
    <x v="2"/>
    <s v="07/04/2023"/>
    <s v="29/05/2022"/>
    <n v="2"/>
    <n v="145000"/>
    <n v="3.2"/>
    <n v="11"/>
    <x v="0"/>
  </r>
  <r>
    <s v="MFS-18933"/>
    <s v="Gbenga Nduka"/>
    <x v="0"/>
    <x v="0"/>
    <x v="0"/>
    <s v="Junior"/>
    <x v="1"/>
    <s v="41-50"/>
    <x v="2"/>
    <s v="07/12/2020"/>
    <s v="29/05/2022"/>
    <n v="5"/>
    <n v="171000"/>
    <n v="2.6"/>
    <n v="0"/>
    <x v="1"/>
  </r>
  <r>
    <s v="MFS-32119"/>
    <s v="Yetunde Bello"/>
    <x v="1"/>
    <x v="0"/>
    <x v="1"/>
    <s v="Junior"/>
    <x v="1"/>
    <s v="22-30"/>
    <x v="0"/>
    <s v="06/03/2021"/>
    <s v="12/03/2025"/>
    <n v="5"/>
    <n v="150000"/>
    <n v="4.0999999999999996"/>
    <n v="2"/>
    <x v="0"/>
  </r>
  <r>
    <s v="MFS-47435"/>
    <s v="Adaora Adeyemi"/>
    <x v="1"/>
    <x v="1"/>
    <x v="0"/>
    <s v="Manager"/>
    <x v="1"/>
    <s v="31-40"/>
    <x v="0"/>
    <s v="29/11/2021"/>
    <s v="12/03/2025"/>
    <n v="4"/>
    <n v="740000"/>
    <n v="4.4000000000000004"/>
    <n v="1"/>
    <x v="2"/>
  </r>
  <r>
    <s v="MFS-97385"/>
    <s v="Chukwuemeka Okonkwo"/>
    <x v="0"/>
    <x v="4"/>
    <x v="0"/>
    <s v="Mid-level"/>
    <x v="0"/>
    <s v="22-30"/>
    <x v="1"/>
    <s v="28/03/2019"/>
    <s v="16/01/2024"/>
    <n v="6"/>
    <n v="279000"/>
    <n v="4.0999999999999996"/>
    <n v="2"/>
    <x v="0"/>
  </r>
  <r>
    <s v="MFS-29924"/>
    <s v="Fatima Oyelaran"/>
    <x v="1"/>
    <x v="4"/>
    <x v="0"/>
    <s v="Mid-level"/>
    <x v="3"/>
    <s v="31-40"/>
    <x v="3"/>
    <s v="14/04/2021"/>
    <s v="16/01/2024"/>
    <n v="4"/>
    <n v="336000"/>
    <n v="3.8"/>
    <n v="40"/>
    <x v="2"/>
  </r>
  <r>
    <s v="MFS-72793"/>
    <s v="Chukwuemeka Aliyu"/>
    <x v="0"/>
    <x v="1"/>
    <x v="0"/>
    <s v="Mid-level"/>
    <x v="0"/>
    <s v="22-30"/>
    <x v="2"/>
    <s v="14/04/2019"/>
    <s v="30/07/2023"/>
    <n v="6"/>
    <n v="266000"/>
    <n v="3.9"/>
    <n v="28"/>
    <x v="0"/>
  </r>
  <r>
    <s v="MFS-89058"/>
    <s v="Nneka Okonkwo"/>
    <x v="1"/>
    <x v="0"/>
    <x v="0"/>
    <s v="Manager"/>
    <x v="0"/>
    <s v="41-50"/>
    <x v="0"/>
    <s v="05/08/2020"/>
    <s v="30/07/2023"/>
    <n v="5"/>
    <n v="826000"/>
    <n v="3.9"/>
    <n v="3"/>
    <x v="1"/>
  </r>
  <r>
    <s v="MFS-72209"/>
    <s v="Adaeze Danladi"/>
    <x v="1"/>
    <x v="2"/>
    <x v="0"/>
    <s v="Junior"/>
    <x v="3"/>
    <s v="31-40"/>
    <x v="1"/>
    <s v="21/12/2021"/>
    <s v="02/07/2024"/>
    <n v="4"/>
    <n v="146000"/>
    <n v="4"/>
    <n v="7"/>
    <x v="0"/>
  </r>
  <r>
    <s v="MFS-49229"/>
    <s v="Rotimi Obaseki"/>
    <x v="0"/>
    <x v="0"/>
    <x v="1"/>
    <s v="Senior"/>
    <x v="1"/>
    <s v="22-30"/>
    <x v="0"/>
    <s v="05/11/2020"/>
    <s v="02/07/2024"/>
    <n v="5"/>
    <n v="568000"/>
    <n v="4.0999999999999996"/>
    <n v="1"/>
    <x v="0"/>
  </r>
  <r>
    <s v="MFS-19103"/>
    <s v="Tobi Nduka"/>
    <x v="0"/>
    <x v="3"/>
    <x v="2"/>
    <s v="Manager"/>
    <x v="0"/>
    <s v="41-50"/>
    <x v="2"/>
    <s v="14/01/2023"/>
    <s v="02/07/2024"/>
    <n v="3"/>
    <n v="933000"/>
    <n v="3.9"/>
    <n v="4"/>
    <x v="1"/>
  </r>
  <r>
    <s v="MFS-57858"/>
    <s v="Chidi Obaseki"/>
    <x v="0"/>
    <x v="3"/>
    <x v="0"/>
    <s v="Senior"/>
    <x v="0"/>
    <s v="22-30"/>
    <x v="2"/>
    <s v="27/11/2019"/>
    <s v="06/12/2022"/>
    <n v="6"/>
    <n v="476000"/>
    <n v="4.5"/>
    <n v="38"/>
    <x v="0"/>
  </r>
  <r>
    <s v="MFS-87070"/>
    <s v="Tunde Okeke"/>
    <x v="0"/>
    <x v="4"/>
    <x v="1"/>
    <s v="Senior"/>
    <x v="1"/>
    <s v="22-30"/>
    <x v="0"/>
    <s v="07/06/2019"/>
    <s v="06/12/2022"/>
    <n v="6"/>
    <n v="478000"/>
    <n v="2.2000000000000002"/>
    <n v="8"/>
    <x v="0"/>
  </r>
  <r>
    <s v="MFS-85743"/>
    <s v="Nneka Omotayo"/>
    <x v="1"/>
    <x v="1"/>
    <x v="0"/>
    <s v="Junior"/>
    <x v="0"/>
    <s v="22-30"/>
    <x v="2"/>
    <s v="28/08/2021"/>
    <s v="06/12/2022"/>
    <n v="4"/>
    <n v="166000"/>
    <n v="2.2000000000000002"/>
    <n v="13"/>
    <x v="1"/>
  </r>
  <r>
    <s v="MFS-73036"/>
    <s v="Chinwe Okafor"/>
    <x v="1"/>
    <x v="1"/>
    <x v="2"/>
    <s v="Senior"/>
    <x v="0"/>
    <s v="41-50"/>
    <x v="0"/>
    <s v="01/02/2020"/>
    <s v="08/04/2021"/>
    <n v="6"/>
    <n v="365000"/>
    <n v="2.7"/>
    <n v="2"/>
    <x v="1"/>
  </r>
  <r>
    <s v="MFS-13794"/>
    <s v="Kunle Chukwu"/>
    <x v="0"/>
    <x v="1"/>
    <x v="0"/>
    <s v="Mid-level"/>
    <x v="0"/>
    <s v="31-40"/>
    <x v="0"/>
    <s v="25/12/2019"/>
    <s v="31/05/2024"/>
    <n v="6"/>
    <n v="181000"/>
    <n v="3.9"/>
    <n v="14"/>
    <x v="0"/>
  </r>
  <r>
    <s v="MFS-97005"/>
    <s v="Wale Garba"/>
    <x v="0"/>
    <x v="4"/>
    <x v="2"/>
    <s v="Junior"/>
    <x v="2"/>
    <s v="31-40"/>
    <x v="1"/>
    <s v="17/09/2021"/>
    <s v="31/05/2024"/>
    <n v="4"/>
    <n v="166000"/>
    <n v="3.3"/>
    <n v="11"/>
    <x v="1"/>
  </r>
  <r>
    <s v="MFS-66387"/>
    <s v="Gbenga Obi"/>
    <x v="0"/>
    <x v="3"/>
    <x v="2"/>
    <s v="Manager"/>
    <x v="2"/>
    <s v="51-60"/>
    <x v="2"/>
    <s v="19/05/2023"/>
    <s v="02/08/2024"/>
    <n v="2"/>
    <n v="932000"/>
    <n v="3.6"/>
    <n v="9"/>
    <x v="0"/>
  </r>
  <r>
    <s v="MFS-49080"/>
    <s v="Falmata Adewale"/>
    <x v="1"/>
    <x v="4"/>
    <x v="0"/>
    <s v="Junior"/>
    <x v="0"/>
    <s v="22-30"/>
    <x v="0"/>
    <s v="14/11/2023"/>
    <s v="02/08/2024"/>
    <n v="2"/>
    <n v="96000"/>
    <n v="2.7"/>
    <n v="7"/>
    <x v="1"/>
  </r>
  <r>
    <s v="MFS-96733"/>
    <s v="Fatima Coker"/>
    <x v="1"/>
    <x v="1"/>
    <x v="0"/>
    <s v="Mid-level"/>
    <x v="0"/>
    <s v="22-30"/>
    <x v="4"/>
    <s v="13/08/2023"/>
    <s v="11/10/2024"/>
    <n v="2"/>
    <n v="265000"/>
    <n v="4.5999999999999996"/>
    <n v="35"/>
    <x v="2"/>
  </r>
  <r>
    <s v="MFS-69839"/>
    <s v="Nasiru Bello"/>
    <x v="0"/>
    <x v="2"/>
    <x v="1"/>
    <s v="Senior"/>
    <x v="2"/>
    <s v="41-50"/>
    <x v="1"/>
    <s v="26/09/2023"/>
    <s v="11/02/2023"/>
    <n v="2"/>
    <n v="390000"/>
    <n v="3.2"/>
    <n v="12"/>
    <x v="0"/>
  </r>
  <r>
    <s v="MFS-52102"/>
    <s v="Chinedu Abdullahi"/>
    <x v="0"/>
    <x v="1"/>
    <x v="0"/>
    <s v="Mid-level"/>
    <x v="0"/>
    <s v="22-30"/>
    <x v="1"/>
    <s v="10/10/2020"/>
    <s v="11/02/2023"/>
    <n v="5"/>
    <n v="286000"/>
    <n v="3"/>
    <n v="22"/>
    <x v="0"/>
  </r>
  <r>
    <s v="MFS-36377"/>
    <s v="Nnamdi Danladi"/>
    <x v="0"/>
    <x v="0"/>
    <x v="0"/>
    <s v="Manager"/>
    <x v="0"/>
    <s v="41-50"/>
    <x v="1"/>
    <s v="23/11/2020"/>
    <s v="11/02/2023"/>
    <n v="5"/>
    <n v="762000"/>
    <n v="3.3"/>
    <n v="22"/>
    <x v="0"/>
  </r>
  <r>
    <s v="MFS-52110"/>
    <s v="Wale Afolabi"/>
    <x v="0"/>
    <x v="2"/>
    <x v="2"/>
    <s v="Senior"/>
    <x v="0"/>
    <s v="31-40"/>
    <x v="0"/>
    <s v="17/08/2020"/>
    <s v="11/02/2023"/>
    <n v="5"/>
    <n v="513000"/>
    <n v="2.2000000000000002"/>
    <n v="4"/>
    <x v="0"/>
  </r>
  <r>
    <s v="MFS-73442"/>
    <s v="Asabe Fagbemi"/>
    <x v="1"/>
    <x v="2"/>
    <x v="2"/>
    <s v="Mid-level"/>
    <x v="0"/>
    <s v="41-50"/>
    <x v="2"/>
    <s v="16/12/2021"/>
    <s v="11/02/2023"/>
    <n v="4"/>
    <n v="340000"/>
    <n v="3.5"/>
    <n v="32"/>
    <x v="0"/>
  </r>
  <r>
    <s v="MFS-33148"/>
    <s v="Dele Ogbonna"/>
    <x v="0"/>
    <x v="4"/>
    <x v="0"/>
    <s v="Junior"/>
    <x v="2"/>
    <s v="41-50"/>
    <x v="2"/>
    <s v="26/12/2019"/>
    <s v="11/02/2023"/>
    <n v="6"/>
    <n v="88000"/>
    <n v="1.5"/>
    <n v="9"/>
    <x v="2"/>
  </r>
  <r>
    <s v="MFS-77677"/>
    <s v="Gbenga Amadi"/>
    <x v="0"/>
    <x v="3"/>
    <x v="0"/>
    <s v="Mid-level"/>
    <x v="2"/>
    <s v="31-40"/>
    <x v="1"/>
    <s v="10/01/2022"/>
    <s v="21/01/2024"/>
    <n v="4"/>
    <n v="180000"/>
    <n v="4.8"/>
    <n v="11"/>
    <x v="0"/>
  </r>
  <r>
    <s v="MFS-72415"/>
    <s v="Ugochi Okafor"/>
    <x v="1"/>
    <x v="1"/>
    <x v="0"/>
    <s v="Manager"/>
    <x v="2"/>
    <s v="41-50"/>
    <x v="3"/>
    <s v="13/03/2022"/>
    <s v="21/01/2024"/>
    <n v="3"/>
    <n v="821000"/>
    <n v="3.2"/>
    <n v="14"/>
    <x v="0"/>
  </r>
  <r>
    <s v="MFS-38462"/>
    <s v="Funmilayo Ihejirika"/>
    <x v="1"/>
    <x v="4"/>
    <x v="1"/>
    <s v="Junior"/>
    <x v="1"/>
    <s v="51-60"/>
    <x v="2"/>
    <s v="06/06/2020"/>
    <s v="21/01/2024"/>
    <n v="5"/>
    <n v="156000"/>
    <n v="3.1"/>
    <n v="14"/>
    <x v="0"/>
  </r>
  <r>
    <s v="MFS-66815"/>
    <s v="Oghenekaro Adewale"/>
    <x v="0"/>
    <x v="2"/>
    <x v="0"/>
    <s v="Mid-level"/>
    <x v="3"/>
    <s v="22-30"/>
    <x v="0"/>
    <s v="03/12/2019"/>
    <s v="21/01/2024"/>
    <n v="6"/>
    <n v="322000"/>
    <n v="4.2"/>
    <n v="28"/>
    <x v="0"/>
  </r>
  <r>
    <s v="MFS-35854"/>
    <s v="Biodun Yakubu"/>
    <x v="0"/>
    <x v="2"/>
    <x v="2"/>
    <s v="Mid-level"/>
    <x v="0"/>
    <s v="22-30"/>
    <x v="0"/>
    <s v="17/11/2023"/>
    <s v="21/01/2024"/>
    <n v="2"/>
    <n v="210000"/>
    <n v="4.5"/>
    <n v="8"/>
    <x v="0"/>
  </r>
  <r>
    <s v="MFS-24033"/>
    <s v="Rotimi Danladi"/>
    <x v="0"/>
    <x v="4"/>
    <x v="0"/>
    <s v="Junior"/>
    <x v="0"/>
    <s v="22-30"/>
    <x v="0"/>
    <s v="22/08/2020"/>
    <s v="21/01/2024"/>
    <n v="5"/>
    <n v="141000"/>
    <n v="3"/>
    <n v="3"/>
    <x v="2"/>
  </r>
  <r>
    <s v="MFS-62435"/>
    <s v="Kabiru Amadi"/>
    <x v="0"/>
    <x v="3"/>
    <x v="0"/>
    <s v="Mid-level"/>
    <x v="0"/>
    <s v="51-60"/>
    <x v="0"/>
    <s v="06/05/2021"/>
    <s v="14/01/2022"/>
    <n v="4"/>
    <n v="250000"/>
    <n v="3.9"/>
    <n v="2"/>
    <x v="0"/>
  </r>
  <r>
    <s v="MFS-58389"/>
    <s v="Rukayya Obaseki"/>
    <x v="1"/>
    <x v="4"/>
    <x v="0"/>
    <s v="Junior"/>
    <x v="2"/>
    <s v="51-60"/>
    <x v="1"/>
    <s v="06/06/2022"/>
    <s v="14/01/2022"/>
    <n v="27"/>
    <n v="155000"/>
    <n v="3.4"/>
    <n v="3"/>
    <x v="0"/>
  </r>
  <r>
    <s v="MFS-74166"/>
    <s v="Chioma Okonkwo"/>
    <x v="1"/>
    <x v="4"/>
    <x v="0"/>
    <s v="Mid-level"/>
    <x v="0"/>
    <s v="31-40"/>
    <x v="2"/>
    <s v="24/05/2021"/>
    <s v="14/01/2022"/>
    <n v="4"/>
    <n v="298000"/>
    <n v="4.8"/>
    <n v="8"/>
    <x v="1"/>
  </r>
  <r>
    <s v="MFS-27563"/>
    <s v="Adaeze Haruna"/>
    <x v="1"/>
    <x v="4"/>
    <x v="0"/>
    <s v="Junior"/>
    <x v="1"/>
    <s v="31-40"/>
    <x v="0"/>
    <s v="02/07/2020"/>
    <s v="11/01/2022"/>
    <n v="5"/>
    <n v="162000"/>
    <n v="3.1"/>
    <n v="9"/>
    <x v="0"/>
  </r>
  <r>
    <s v="MFS-60916"/>
    <s v="Wale Ihejirika"/>
    <x v="0"/>
    <x v="0"/>
    <x v="1"/>
    <s v="Junior"/>
    <x v="0"/>
    <s v="22-30"/>
    <x v="0"/>
    <s v="14/03/2019"/>
    <s v="11/01/2022"/>
    <n v="6"/>
    <n v="198000"/>
    <n v="4.8"/>
    <n v="14"/>
    <x v="0"/>
  </r>
  <r>
    <s v="MFS-71066"/>
    <s v="Garba Onwudiwe"/>
    <x v="0"/>
    <x v="1"/>
    <x v="0"/>
    <s v="Mid-level"/>
    <x v="3"/>
    <s v="51-60"/>
    <x v="0"/>
    <s v="08/05/2023"/>
    <s v="11/01/2022"/>
    <n v="2"/>
    <n v="293000"/>
    <n v="2.5"/>
    <n v="7"/>
    <x v="0"/>
  </r>
  <r>
    <s v="MFS-13413"/>
    <s v="Chinyere Okeke"/>
    <x v="1"/>
    <x v="1"/>
    <x v="0"/>
    <s v="Junior"/>
    <x v="3"/>
    <s v="31-40"/>
    <x v="0"/>
    <s v="19/02/2020"/>
    <s v="11/01/2022"/>
    <n v="6"/>
    <n v="150000"/>
    <n v="3.3"/>
    <n v="11"/>
    <x v="0"/>
  </r>
  <r>
    <s v="MFS-25943"/>
    <s v="Gbenga Nnamdi"/>
    <x v="0"/>
    <x v="0"/>
    <x v="0"/>
    <s v="Senior"/>
    <x v="3"/>
    <s v="31-40"/>
    <x v="2"/>
    <s v="06/11/2019"/>
    <s v="11/01/2022"/>
    <n v="6"/>
    <n v="450000"/>
    <n v="2.2999999999999998"/>
    <n v="7"/>
    <x v="1"/>
  </r>
  <r>
    <s v="MFS-72553"/>
    <s v="Fatima Uba"/>
    <x v="1"/>
    <x v="3"/>
    <x v="0"/>
    <s v="Mid-level"/>
    <x v="0"/>
    <s v="22-30"/>
    <x v="0"/>
    <s v="23/03/2021"/>
    <s v="30/08/2024"/>
    <n v="4"/>
    <n v="339000"/>
    <n v="4.4000000000000004"/>
    <n v="11"/>
    <x v="0"/>
  </r>
  <r>
    <s v="MFS-55382"/>
    <s v="Falmata Onwudiwe"/>
    <x v="1"/>
    <x v="3"/>
    <x v="0"/>
    <s v="Mid-level"/>
    <x v="3"/>
    <s v="51-60"/>
    <x v="3"/>
    <s v="31/10/2023"/>
    <s v="30/08/2024"/>
    <n v="2"/>
    <n v="266000"/>
    <n v="2.2999999999999998"/>
    <n v="12"/>
    <x v="1"/>
  </r>
  <r>
    <s v="MFS-25963"/>
    <s v="Bilkisu Haruna"/>
    <x v="1"/>
    <x v="1"/>
    <x v="0"/>
    <s v="Mid-level"/>
    <x v="1"/>
    <s v="31-40"/>
    <x v="1"/>
    <s v="02/12/2023"/>
    <s v="26/07/2024"/>
    <n v="2"/>
    <n v="210000"/>
    <n v="4.5"/>
    <n v="10"/>
    <x v="0"/>
  </r>
  <r>
    <s v="MFS-67266"/>
    <s v="Titi Adewale"/>
    <x v="1"/>
    <x v="3"/>
    <x v="2"/>
    <s v="Junior"/>
    <x v="2"/>
    <s v="31-40"/>
    <x v="3"/>
    <s v="12/09/2020"/>
    <s v="26/07/2024"/>
    <n v="5"/>
    <n v="120000"/>
    <n v="4.7"/>
    <n v="2"/>
    <x v="0"/>
  </r>
  <r>
    <s v="MFS-66924"/>
    <s v="Asabe Coker"/>
    <x v="1"/>
    <x v="3"/>
    <x v="0"/>
    <s v="Mid-level"/>
    <x v="2"/>
    <s v="41-50"/>
    <x v="0"/>
    <s v="03/02/2022"/>
    <s v="26/07/2024"/>
    <n v="4"/>
    <n v="331000"/>
    <n v="4.2"/>
    <n v="3"/>
    <x v="1"/>
  </r>
  <r>
    <s v="MFS-62797"/>
    <s v="Eze Lawal"/>
    <x v="0"/>
    <x v="3"/>
    <x v="0"/>
    <s v="Senior"/>
    <x v="0"/>
    <s v="31-40"/>
    <x v="2"/>
    <s v="16/07/2020"/>
    <s v="19/09/2021"/>
    <n v="5"/>
    <n v="429000"/>
    <n v="3"/>
    <n v="39"/>
    <x v="0"/>
  </r>
  <r>
    <s v="MFS-36930"/>
    <s v="Babatunde Chukwu"/>
    <x v="0"/>
    <x v="0"/>
    <x v="0"/>
    <s v="Junior"/>
    <x v="2"/>
    <s v="31-40"/>
    <x v="0"/>
    <s v="03/03/2021"/>
    <s v="19/09/2021"/>
    <n v="5"/>
    <n v="175000"/>
    <n v="3.6"/>
    <n v="11"/>
    <x v="1"/>
  </r>
  <r>
    <s v="MFS-41149"/>
    <s v="Babatunde Okafor"/>
    <x v="0"/>
    <x v="2"/>
    <x v="0"/>
    <s v="Manager"/>
    <x v="0"/>
    <s v="51-60"/>
    <x v="2"/>
    <s v="20/07/2019"/>
    <s v="29/09/2022"/>
    <n v="6"/>
    <n v="880000"/>
    <n v="4.7"/>
    <n v="0"/>
    <x v="2"/>
  </r>
  <r>
    <s v="MFS-98409"/>
    <s v="Biodun Chukwu"/>
    <x v="0"/>
    <x v="3"/>
    <x v="2"/>
    <s v="Senior"/>
    <x v="0"/>
    <s v="41-50"/>
    <x v="2"/>
    <s v="04/02/2019"/>
    <s v="03/01/2021"/>
    <n v="7"/>
    <n v="402000"/>
    <n v="3.3"/>
    <n v="6"/>
    <x v="3"/>
  </r>
  <r>
    <s v="MFS-32428"/>
    <s v="Tunde Adesanya"/>
    <x v="0"/>
    <x v="3"/>
    <x v="0"/>
    <s v="Mid-level"/>
    <x v="1"/>
    <s v="22-30"/>
    <x v="2"/>
    <s v="30/12/2021"/>
    <s v="07/01/2023"/>
    <n v="4"/>
    <n v="334000"/>
    <n v="3"/>
    <n v="14"/>
    <x v="2"/>
  </r>
  <r>
    <s v="MFS-50222"/>
    <s v="Sola Haruna"/>
    <x v="1"/>
    <x v="0"/>
    <x v="0"/>
    <s v="Mid-level"/>
    <x v="3"/>
    <s v="22-30"/>
    <x v="1"/>
    <s v="08/04/2020"/>
    <s v="01/04/2024"/>
    <n v="5"/>
    <n v="271000"/>
    <n v="2.2999999999999998"/>
    <n v="40"/>
    <x v="2"/>
  </r>
  <r>
    <s v="MFS-36038"/>
    <s v="Chinyere Musa"/>
    <x v="1"/>
    <x v="3"/>
    <x v="0"/>
    <s v="Mid-level"/>
    <x v="0"/>
    <s v="31-40"/>
    <x v="0"/>
    <s v="07/02/2023"/>
    <s v="20/01/2021"/>
    <n v="3"/>
    <n v="304000"/>
    <n v="4.7"/>
    <n v="5"/>
    <x v="0"/>
  </r>
  <r>
    <s v="MFS-59009"/>
    <s v="Nneka Lawal"/>
    <x v="1"/>
    <x v="3"/>
    <x v="0"/>
    <s v="Senior"/>
    <x v="0"/>
    <s v="31-40"/>
    <x v="3"/>
    <s v="05/05/2020"/>
    <s v="20/01/2021"/>
    <n v="5"/>
    <n v="364000"/>
    <n v="4.5999999999999996"/>
    <n v="1"/>
    <x v="0"/>
  </r>
  <r>
    <s v="MFS-28786"/>
    <s v="Shehu Adesanya"/>
    <x v="0"/>
    <x v="0"/>
    <x v="2"/>
    <s v="Mid-level"/>
    <x v="0"/>
    <s v="31-40"/>
    <x v="0"/>
    <s v="31/10/2020"/>
    <s v="20/01/2021"/>
    <n v="5"/>
    <n v="280000"/>
    <n v="2.7"/>
    <n v="12"/>
    <x v="0"/>
  </r>
  <r>
    <s v="MFS-17160"/>
    <s v="Wale Ogundipe"/>
    <x v="0"/>
    <x v="1"/>
    <x v="2"/>
    <s v="Mid-level"/>
    <x v="0"/>
    <s v="31-40"/>
    <x v="0"/>
    <s v="27/02/2020"/>
    <s v="20/01/2021"/>
    <n v="6"/>
    <n v="270000"/>
    <n v="4.9000000000000004"/>
    <n v="2"/>
    <x v="0"/>
  </r>
  <r>
    <s v="MFS-93107"/>
    <s v="Chukwuemeka Adebayo"/>
    <x v="0"/>
    <x v="3"/>
    <x v="0"/>
    <s v="Mid-level"/>
    <x v="3"/>
    <s v="51-60"/>
    <x v="1"/>
    <s v="13/11/2021"/>
    <s v="20/01/2021"/>
    <n v="4"/>
    <n v="282000"/>
    <n v="2.5"/>
    <n v="14"/>
    <x v="0"/>
  </r>
  <r>
    <s v="MFS-26411"/>
    <s v="Chukwuemeka Coker"/>
    <x v="0"/>
    <x v="1"/>
    <x v="0"/>
    <s v="Junior"/>
    <x v="0"/>
    <s v="31-40"/>
    <x v="4"/>
    <s v="16/04/2020"/>
    <s v="20/01/2021"/>
    <n v="5"/>
    <n v="100000"/>
    <n v="4"/>
    <n v="13"/>
    <x v="2"/>
  </r>
  <r>
    <s v="MFS-38064"/>
    <s v="Nasiru Okafor"/>
    <x v="0"/>
    <x v="2"/>
    <x v="2"/>
    <s v="Manager"/>
    <x v="0"/>
    <s v="31-40"/>
    <x v="2"/>
    <s v="05/02/2023"/>
    <s v="28/12/2023"/>
    <n v="3"/>
    <n v="878000"/>
    <n v="4.5"/>
    <n v="9"/>
    <x v="1"/>
  </r>
  <r>
    <s v="MFS-95078"/>
    <s v="Ugochi Haruna"/>
    <x v="1"/>
    <x v="3"/>
    <x v="2"/>
    <s v="Manager"/>
    <x v="0"/>
    <s v="22-30"/>
    <x v="4"/>
    <s v="03/01/2021"/>
    <s v="12/05/2024"/>
    <n v="5"/>
    <n v="735000"/>
    <n v="4.7"/>
    <n v="0"/>
    <x v="0"/>
  </r>
  <r>
    <s v="MFS-12550"/>
    <s v="Bimpe Coker"/>
    <x v="1"/>
    <x v="4"/>
    <x v="1"/>
    <s v="Senior"/>
    <x v="1"/>
    <s v="51-60"/>
    <x v="2"/>
    <s v="03/12/2022"/>
    <s v="12/05/2024"/>
    <n v="3"/>
    <n v="583000"/>
    <n v="2.2000000000000002"/>
    <n v="0"/>
    <x v="0"/>
  </r>
  <r>
    <s v="MFS-16326"/>
    <s v="Chiamaka Okafor"/>
    <x v="1"/>
    <x v="4"/>
    <x v="2"/>
    <s v="Senior"/>
    <x v="0"/>
    <s v="31-40"/>
    <x v="0"/>
    <s v="19/12/2021"/>
    <s v="12/05/2024"/>
    <n v="4"/>
    <n v="513000"/>
    <n v="2.7"/>
    <n v="13"/>
    <x v="0"/>
  </r>
  <r>
    <s v="MFS-21946"/>
    <s v="Oluwaseun Chukwu"/>
    <x v="0"/>
    <x v="1"/>
    <x v="0"/>
    <s v="Senior"/>
    <x v="0"/>
    <s v="31-40"/>
    <x v="3"/>
    <s v="25/10/2020"/>
    <s v="12/05/2024"/>
    <n v="5"/>
    <n v="442000"/>
    <n v="3.1"/>
    <n v="7"/>
    <x v="0"/>
  </r>
  <r>
    <s v="MFS-80822"/>
    <s v="Tunde Adesanya"/>
    <x v="0"/>
    <x v="2"/>
    <x v="1"/>
    <s v="Junior"/>
    <x v="2"/>
    <s v="22-30"/>
    <x v="0"/>
    <s v="03/10/2020"/>
    <s v="12/05/2024"/>
    <n v="5"/>
    <n v="105000"/>
    <n v="4.0999999999999996"/>
    <n v="11"/>
    <x v="2"/>
  </r>
  <r>
    <s v="MFS-97739"/>
    <s v="Nkechi Nduka"/>
    <x v="1"/>
    <x v="4"/>
    <x v="0"/>
    <s v="Mid-level"/>
    <x v="1"/>
    <s v="31-40"/>
    <x v="0"/>
    <s v="22/04/2021"/>
    <s v="09/03/2024"/>
    <n v="4"/>
    <n v="240000"/>
    <n v="3.3"/>
    <n v="36"/>
    <x v="1"/>
  </r>
  <r>
    <s v="MFS-76772"/>
    <s v="Kemi Suleiman"/>
    <x v="1"/>
    <x v="4"/>
    <x v="0"/>
    <s v="Mid-level"/>
    <x v="0"/>
    <s v="22-30"/>
    <x v="3"/>
    <s v="19/05/2019"/>
    <s v="26/03/2022"/>
    <n v="6"/>
    <n v="265000"/>
    <n v="2.9"/>
    <n v="0"/>
    <x v="0"/>
  </r>
  <r>
    <s v="MFS-78342"/>
    <s v="Lola Uba"/>
    <x v="1"/>
    <x v="4"/>
    <x v="2"/>
    <s v="Mid-level"/>
    <x v="1"/>
    <s v="41-50"/>
    <x v="2"/>
    <s v="10/07/2021"/>
    <s v="26/03/2022"/>
    <n v="4"/>
    <n v="223000"/>
    <n v="2.5"/>
    <n v="6"/>
    <x v="3"/>
  </r>
  <r>
    <s v="MFS-86906"/>
    <s v="Rukayya Nwachukwu"/>
    <x v="1"/>
    <x v="1"/>
    <x v="0"/>
    <s v="Senior"/>
    <x v="1"/>
    <s v="51-60"/>
    <x v="1"/>
    <s v="13/04/2023"/>
    <s v="23/10/2020"/>
    <n v="2"/>
    <n v="425000"/>
    <n v="2.7"/>
    <n v="2"/>
    <x v="0"/>
  </r>
  <r>
    <s v="MFS-24058"/>
    <s v="Ugochi Coker"/>
    <x v="1"/>
    <x v="0"/>
    <x v="2"/>
    <s v="Mid-level"/>
    <x v="3"/>
    <s v="51-60"/>
    <x v="0"/>
    <s v="23/11/2019"/>
    <s v="23/10/2020"/>
    <n v="6"/>
    <n v="228000"/>
    <n v="3.9"/>
    <n v="11"/>
    <x v="1"/>
  </r>
  <r>
    <s v="MFS-86831"/>
    <s v="Musa Fagbemi"/>
    <x v="0"/>
    <x v="0"/>
    <x v="2"/>
    <s v="Junior"/>
    <x v="0"/>
    <s v="31-40"/>
    <x v="0"/>
    <s v="22/04/2021"/>
    <s v="12/02/2025"/>
    <n v="4"/>
    <n v="175000"/>
    <n v="2.5"/>
    <n v="5"/>
    <x v="0"/>
  </r>
  <r>
    <s v="MFS-17995"/>
    <s v="Kemi Obaseki"/>
    <x v="1"/>
    <x v="4"/>
    <x v="0"/>
    <s v="Junior"/>
    <x v="0"/>
    <s v="41-50"/>
    <x v="4"/>
    <s v="22/10/2023"/>
    <s v="12/02/2025"/>
    <n v="2"/>
    <n v="162000"/>
    <n v="2.1"/>
    <n v="7"/>
    <x v="1"/>
  </r>
  <r>
    <s v="MFS-57216"/>
    <s v="Emeka Obi"/>
    <x v="0"/>
    <x v="4"/>
    <x v="0"/>
    <s v="Junior"/>
    <x v="0"/>
    <s v="41-50"/>
    <x v="0"/>
    <s v="16/12/2022"/>
    <s v="07/03/2024"/>
    <n v="3"/>
    <n v="142000"/>
    <n v="1.8"/>
    <n v="11"/>
    <x v="1"/>
  </r>
  <r>
    <s v="MFS-36189"/>
    <s v="Biodun Onwudiwe"/>
    <x v="0"/>
    <x v="2"/>
    <x v="0"/>
    <s v="Junior"/>
    <x v="0"/>
    <s v="31-40"/>
    <x v="1"/>
    <s v="03/01/2020"/>
    <s v="27/12/2020"/>
    <n v="6"/>
    <n v="170000"/>
    <n v="3"/>
    <n v="1"/>
    <x v="3"/>
  </r>
  <r>
    <s v="MFS-99881"/>
    <s v="Sola Abdullahi"/>
    <x v="1"/>
    <x v="2"/>
    <x v="1"/>
    <s v="Mid-level"/>
    <x v="0"/>
    <s v="31-40"/>
    <x v="1"/>
    <s v="12/01/2023"/>
    <s v="14/01/2024"/>
    <n v="3"/>
    <n v="285000"/>
    <n v="2.8"/>
    <n v="7"/>
    <x v="0"/>
  </r>
  <r>
    <s v="MFS-91766"/>
    <s v="Uloma Uba"/>
    <x v="1"/>
    <x v="2"/>
    <x v="0"/>
    <s v="Junior"/>
    <x v="1"/>
    <s v="41-50"/>
    <x v="2"/>
    <s v="18/06/2021"/>
    <s v="14/01/2024"/>
    <n v="4"/>
    <n v="126000"/>
    <n v="4.9000000000000004"/>
    <n v="0"/>
    <x v="0"/>
  </r>
  <r>
    <s v="MFS-58303"/>
    <s v="Amaka Buhari"/>
    <x v="1"/>
    <x v="2"/>
    <x v="0"/>
    <s v="Junior"/>
    <x v="1"/>
    <s v="41-50"/>
    <x v="2"/>
    <s v="22/07/2023"/>
    <s v="14/01/2024"/>
    <n v="2"/>
    <n v="116000"/>
    <n v="3.1"/>
    <n v="3"/>
    <x v="0"/>
  </r>
  <r>
    <s v="MFS-21825"/>
    <s v="Ezinne Nnamdi"/>
    <x v="1"/>
    <x v="1"/>
    <x v="0"/>
    <s v="Senior"/>
    <x v="0"/>
    <s v="22-30"/>
    <x v="0"/>
    <s v="19/08/2022"/>
    <s v="14/01/2024"/>
    <n v="3"/>
    <n v="452000"/>
    <n v="3.5"/>
    <n v="8"/>
    <x v="0"/>
  </r>
  <r>
    <s v="MFS-69895"/>
    <s v="Ifeanyi Okeke"/>
    <x v="0"/>
    <x v="0"/>
    <x v="2"/>
    <s v="Manager"/>
    <x v="1"/>
    <s v="22-30"/>
    <x v="4"/>
    <s v="17/06/2023"/>
    <s v="14/01/2024"/>
    <n v="2"/>
    <n v="799000"/>
    <n v="3.6"/>
    <n v="4"/>
    <x v="1"/>
  </r>
  <r>
    <s v="MFS-15545"/>
    <s v="Suleiman Adewale"/>
    <x v="0"/>
    <x v="4"/>
    <x v="0"/>
    <s v="Junior"/>
    <x v="0"/>
    <s v="41-50"/>
    <x v="0"/>
    <s v="25/04/2021"/>
    <s v="01/05/2022"/>
    <n v="4"/>
    <n v="132000"/>
    <n v="2"/>
    <n v="19"/>
    <x v="1"/>
  </r>
  <r>
    <s v="MFS-51773"/>
    <s v="Hauwa Coker"/>
    <x v="1"/>
    <x v="2"/>
    <x v="0"/>
    <s v="Senior"/>
    <x v="2"/>
    <s v="41-50"/>
    <x v="0"/>
    <s v="17/01/2021"/>
    <s v="16/05/2024"/>
    <n v="5"/>
    <n v="528000"/>
    <n v="3.5"/>
    <n v="1"/>
    <x v="1"/>
  </r>
  <r>
    <s v="MFS-94248"/>
    <s v="Folake Coker"/>
    <x v="1"/>
    <x v="2"/>
    <x v="2"/>
    <s v="Mid-level"/>
    <x v="0"/>
    <s v="22-30"/>
    <x v="3"/>
    <s v="06/02/2021"/>
    <s v="29/05/2023"/>
    <n v="5"/>
    <n v="345000"/>
    <n v="4.5999999999999996"/>
    <n v="5"/>
    <x v="0"/>
  </r>
  <r>
    <s v="MFS-29462"/>
    <s v="Haruna Coker"/>
    <x v="0"/>
    <x v="2"/>
    <x v="0"/>
    <s v="Mid-level"/>
    <x v="0"/>
    <s v="31-40"/>
    <x v="0"/>
    <s v="30/04/2022"/>
    <s v="29/05/2023"/>
    <n v="3"/>
    <n v="347000"/>
    <n v="2.2000000000000002"/>
    <n v="13"/>
    <x v="1"/>
  </r>
  <r>
    <s v="MFS-13053"/>
    <s v="Ugochi Adeyemi"/>
    <x v="1"/>
    <x v="0"/>
    <x v="0"/>
    <s v="Junior"/>
    <x v="1"/>
    <s v="51-60"/>
    <x v="2"/>
    <s v="08/12/2021"/>
    <s v="25/05/2021"/>
    <n v="4"/>
    <n v="105000"/>
    <n v="2.4"/>
    <n v="6"/>
    <x v="0"/>
  </r>
  <r>
    <s v="MFS-17938"/>
    <s v="Funmilayo Lawal"/>
    <x v="1"/>
    <x v="4"/>
    <x v="0"/>
    <s v="Senior"/>
    <x v="1"/>
    <s v="31-40"/>
    <x v="2"/>
    <s v="18/06/2020"/>
    <s v="25/05/2021"/>
    <n v="5"/>
    <n v="401000"/>
    <n v="2.9"/>
    <n v="35"/>
    <x v="1"/>
  </r>
  <r>
    <s v="MFS-43463"/>
    <s v="Ebuka Okeke"/>
    <x v="0"/>
    <x v="1"/>
    <x v="2"/>
    <s v="Junior"/>
    <x v="0"/>
    <s v="51-60"/>
    <x v="0"/>
    <s v="25/05/2023"/>
    <s v="30/03/2025"/>
    <n v="2"/>
    <n v="109000"/>
    <n v="4.3"/>
    <n v="13"/>
    <x v="0"/>
  </r>
  <r>
    <s v="MFS-96136"/>
    <s v="Adebayo Okafor"/>
    <x v="0"/>
    <x v="0"/>
    <x v="0"/>
    <s v="Manager"/>
    <x v="0"/>
    <s v="22-30"/>
    <x v="2"/>
    <s v="05/08/2020"/>
    <s v="30/03/2025"/>
    <n v="5"/>
    <n v="941000"/>
    <n v="3.7"/>
    <n v="9"/>
    <x v="0"/>
  </r>
  <r>
    <s v="MFS-59592"/>
    <s v="Emeka Taiwo"/>
    <x v="0"/>
    <x v="4"/>
    <x v="0"/>
    <s v="Mid-level"/>
    <x v="1"/>
    <s v="31-40"/>
    <x v="0"/>
    <s v="21/08/2022"/>
    <s v="30/03/2025"/>
    <n v="3"/>
    <n v="306000"/>
    <n v="4.4000000000000004"/>
    <n v="13"/>
    <x v="0"/>
  </r>
  <r>
    <s v="MFS-49302"/>
    <s v="Laraba Nwachukwu"/>
    <x v="1"/>
    <x v="3"/>
    <x v="2"/>
    <s v="Mid-level"/>
    <x v="1"/>
    <s v="22-30"/>
    <x v="0"/>
    <s v="19/07/2023"/>
    <s v="30/03/2025"/>
    <n v="2"/>
    <n v="256000"/>
    <n v="2.1"/>
    <n v="9"/>
    <x v="1"/>
  </r>
  <r>
    <s v="MFS-67478"/>
    <s v="Laraba Eze"/>
    <x v="1"/>
    <x v="3"/>
    <x v="0"/>
    <s v="Senior"/>
    <x v="0"/>
    <s v="22-30"/>
    <x v="0"/>
    <s v="22/05/2023"/>
    <s v="05/02/2024"/>
    <n v="2"/>
    <n v="382000"/>
    <n v="4.8"/>
    <n v="4"/>
    <x v="0"/>
  </r>
  <r>
    <s v="MFS-52006"/>
    <s v="Haruna Danladi"/>
    <x v="0"/>
    <x v="3"/>
    <x v="0"/>
    <s v="Junior"/>
    <x v="1"/>
    <s v="31-40"/>
    <x v="2"/>
    <s v="18/02/2021"/>
    <s v="05/02/2024"/>
    <n v="5"/>
    <n v="94000"/>
    <n v="3"/>
    <n v="5"/>
    <x v="0"/>
  </r>
  <r>
    <s v="MFS-94256"/>
    <s v="Garba Adewale"/>
    <x v="0"/>
    <x v="3"/>
    <x v="1"/>
    <s v="Senior"/>
    <x v="0"/>
    <s v="31-40"/>
    <x v="0"/>
    <s v="22/07/2019"/>
    <s v="05/02/2024"/>
    <n v="6"/>
    <n v="562000"/>
    <n v="3.3"/>
    <n v="6"/>
    <x v="0"/>
  </r>
  <r>
    <s v="MFS-61802"/>
    <s v="Zainab Okafor"/>
    <x v="1"/>
    <x v="0"/>
    <x v="0"/>
    <s v="Mid-level"/>
    <x v="0"/>
    <s v="41-50"/>
    <x v="1"/>
    <s v="21/05/2023"/>
    <s v="05/02/2024"/>
    <n v="2"/>
    <n v="385000"/>
    <n v="3.8"/>
    <n v="36"/>
    <x v="0"/>
  </r>
  <r>
    <s v="MFS-57788"/>
    <s v="Kemi Obi"/>
    <x v="1"/>
    <x v="2"/>
    <x v="0"/>
    <s v="Senior"/>
    <x v="3"/>
    <s v="22-30"/>
    <x v="0"/>
    <s v="03/05/2023"/>
    <s v="05/02/2024"/>
    <n v="2"/>
    <n v="522000"/>
    <n v="2.1"/>
    <n v="14"/>
    <x v="2"/>
  </r>
  <r>
    <s v="MFS-68459"/>
    <s v="Folake Okafor"/>
    <x v="1"/>
    <x v="4"/>
    <x v="0"/>
    <s v="Mid-level"/>
    <x v="0"/>
    <s v="31-40"/>
    <x v="0"/>
    <s v="26/07/2020"/>
    <s v="05/08/2024"/>
    <n v="5"/>
    <n v="245000"/>
    <n v="2.2999999999999998"/>
    <n v="12"/>
    <x v="1"/>
  </r>
  <r>
    <s v="MFS-70643"/>
    <s v="Lola Aliyu"/>
    <x v="1"/>
    <x v="1"/>
    <x v="0"/>
    <s v="Manager"/>
    <x v="3"/>
    <s v="22-30"/>
    <x v="2"/>
    <s v="12/03/2022"/>
    <s v="05/04/2024"/>
    <n v="4"/>
    <n v="600000"/>
    <n v="4.2"/>
    <n v="9"/>
    <x v="0"/>
  </r>
  <r>
    <s v="MFS-47029"/>
    <s v="Ngozi Okafor"/>
    <x v="1"/>
    <x v="4"/>
    <x v="0"/>
    <s v="Senior"/>
    <x v="0"/>
    <s v="31-40"/>
    <x v="0"/>
    <s v="03/01/2020"/>
    <s v="05/04/2024"/>
    <n v="6"/>
    <n v="453000"/>
    <n v="3.2"/>
    <n v="0"/>
    <x v="0"/>
  </r>
  <r>
    <s v="MFS-65603"/>
    <s v="Abubakar Adewale"/>
    <x v="0"/>
    <x v="3"/>
    <x v="2"/>
    <s v="Mid-level"/>
    <x v="2"/>
    <s v="51-60"/>
    <x v="0"/>
    <s v="17/11/2022"/>
    <s v="05/04/2024"/>
    <n v="3"/>
    <n v="293000"/>
    <n v="4.4000000000000004"/>
    <n v="0"/>
    <x v="2"/>
  </r>
  <r>
    <s v="MFS-65686"/>
    <s v="Shade Garba"/>
    <x v="1"/>
    <x v="4"/>
    <x v="0"/>
    <s v="Junior"/>
    <x v="0"/>
    <s v="22-30"/>
    <x v="0"/>
    <s v="10/04/2023"/>
    <s v="16/05/2024"/>
    <n v="2"/>
    <n v="118000"/>
    <n v="2.6"/>
    <n v="23"/>
    <x v="0"/>
  </r>
  <r>
    <s v="MFS-36801"/>
    <s v="Hadiza Shehu"/>
    <x v="1"/>
    <x v="4"/>
    <x v="0"/>
    <s v="Mid-level"/>
    <x v="1"/>
    <s v="31-40"/>
    <x v="0"/>
    <s v="18/05/2022"/>
    <s v="16/05/2024"/>
    <n v="3"/>
    <n v="297000"/>
    <n v="3.7"/>
    <n v="4"/>
    <x v="3"/>
  </r>
  <r>
    <s v="MFS-30517"/>
    <s v="Chinedu Eze"/>
    <x v="0"/>
    <x v="2"/>
    <x v="0"/>
    <s v="Mid-level"/>
    <x v="0"/>
    <s v="41-50"/>
    <x v="2"/>
    <s v="08/11/2022"/>
    <s v="28/06/2023"/>
    <n v="3"/>
    <n v="220000"/>
    <n v="2.8"/>
    <n v="9"/>
    <x v="0"/>
  </r>
  <r>
    <s v="MFS-88675"/>
    <s v="Bello Shehu"/>
    <x v="0"/>
    <x v="4"/>
    <x v="0"/>
    <s v="Junior"/>
    <x v="0"/>
    <s v="31-40"/>
    <x v="4"/>
    <s v="09/08/2020"/>
    <s v="28/06/2023"/>
    <n v="5"/>
    <n v="153000"/>
    <n v="2.7"/>
    <n v="13"/>
    <x v="0"/>
  </r>
  <r>
    <s v="MFS-54050"/>
    <s v="Folake Haruna"/>
    <x v="1"/>
    <x v="2"/>
    <x v="0"/>
    <s v="Senior"/>
    <x v="2"/>
    <s v="22-30"/>
    <x v="1"/>
    <s v="02/05/2022"/>
    <s v="28/06/2023"/>
    <n v="3"/>
    <n v="512000"/>
    <n v="3.5"/>
    <n v="33"/>
    <x v="2"/>
  </r>
  <r>
    <s v="MFS-82109"/>
    <s v="Lola Garba"/>
    <x v="1"/>
    <x v="2"/>
    <x v="0"/>
    <s v="Manager"/>
    <x v="3"/>
    <s v="22-30"/>
    <x v="0"/>
    <s v="26/08/2019"/>
    <s v="22/10/2023"/>
    <n v="6"/>
    <n v="678000"/>
    <n v="4.5999999999999996"/>
    <n v="8"/>
    <x v="1"/>
  </r>
  <r>
    <s v="MFS-47599"/>
    <s v="Nkechi Afolabi"/>
    <x v="1"/>
    <x v="4"/>
    <x v="2"/>
    <s v="Manager"/>
    <x v="1"/>
    <s v="31-40"/>
    <x v="3"/>
    <s v="29/03/2019"/>
    <s v="07/06/2020"/>
    <n v="6"/>
    <n v="761000"/>
    <n v="4.4000000000000004"/>
    <n v="3"/>
    <x v="3"/>
  </r>
  <r>
    <s v="MFS-49110"/>
    <s v="Adeola Abdullahi"/>
    <x v="1"/>
    <x v="4"/>
    <x v="0"/>
    <s v="Senior"/>
    <x v="3"/>
    <s v="31-40"/>
    <x v="0"/>
    <s v="16/08/2021"/>
    <s v="31/07/2022"/>
    <n v="4"/>
    <n v="397000"/>
    <n v="4.5999999999999996"/>
    <n v="11"/>
    <x v="0"/>
  </r>
  <r>
    <s v="MFS-69139"/>
    <s v="Oghenekaro Eze"/>
    <x v="0"/>
    <x v="2"/>
    <x v="0"/>
    <s v="Junior"/>
    <x v="1"/>
    <s v="41-50"/>
    <x v="2"/>
    <s v="25/10/2021"/>
    <s v="31/07/2022"/>
    <n v="4"/>
    <n v="102000"/>
    <n v="2.8"/>
    <n v="12"/>
    <x v="2"/>
  </r>
  <r>
    <s v="MFS-32037"/>
    <s v="Kabiru Afolabi"/>
    <x v="0"/>
    <x v="3"/>
    <x v="0"/>
    <s v="Senior"/>
    <x v="1"/>
    <s v="31-40"/>
    <x v="4"/>
    <s v="28/04/2020"/>
    <s v="28/06/2024"/>
    <n v="5"/>
    <n v="376000"/>
    <n v="2.8"/>
    <n v="2"/>
    <x v="1"/>
  </r>
  <r>
    <s v="MFS-93591"/>
    <s v="Yakubu Nwosu"/>
    <x v="0"/>
    <x v="1"/>
    <x v="2"/>
    <s v="Senior"/>
    <x v="0"/>
    <s v="31-40"/>
    <x v="1"/>
    <s v="14/02/2019"/>
    <s v="22/03/2022"/>
    <n v="7"/>
    <n v="350000"/>
    <n v="3.5"/>
    <n v="2"/>
    <x v="2"/>
  </r>
  <r>
    <s v="MFS-80852"/>
    <s v="Tunde Adebayo"/>
    <x v="0"/>
    <x v="1"/>
    <x v="2"/>
    <s v="Junior"/>
    <x v="1"/>
    <s v="31-40"/>
    <x v="4"/>
    <s v="14/06/2021"/>
    <s v="27/11/2024"/>
    <n v="4"/>
    <n v="92000"/>
    <n v="3.8"/>
    <n v="9"/>
    <x v="0"/>
  </r>
  <r>
    <s v="MFS-44340"/>
    <s v="Yetunde Suleiman"/>
    <x v="1"/>
    <x v="2"/>
    <x v="0"/>
    <s v="Mid-level"/>
    <x v="0"/>
    <s v="41-50"/>
    <x v="2"/>
    <s v="15/02/2021"/>
    <s v="27/11/2024"/>
    <n v="5"/>
    <n v="291000"/>
    <n v="4.7"/>
    <n v="3"/>
    <x v="0"/>
  </r>
  <r>
    <s v="MFS-97485"/>
    <s v="Adebayo Buhari"/>
    <x v="0"/>
    <x v="4"/>
    <x v="0"/>
    <s v="Mid-level"/>
    <x v="0"/>
    <s v="22-30"/>
    <x v="3"/>
    <s v="27/08/2021"/>
    <s v="27/11/2024"/>
    <n v="4"/>
    <n v="289000"/>
    <n v="2"/>
    <n v="8"/>
    <x v="0"/>
  </r>
  <r>
    <s v="MFS-72586"/>
    <s v="Biodun Obi"/>
    <x v="0"/>
    <x v="1"/>
    <x v="2"/>
    <s v="Manager"/>
    <x v="2"/>
    <s v="41-50"/>
    <x v="1"/>
    <s v="13/03/2022"/>
    <s v="27/11/2024"/>
    <n v="3"/>
    <n v="790000"/>
    <n v="4.4000000000000004"/>
    <n v="13"/>
    <x v="0"/>
  </r>
  <r>
    <s v="MFS-64129"/>
    <s v="Yakubu Uba"/>
    <x v="0"/>
    <x v="2"/>
    <x v="0"/>
    <s v="Junior"/>
    <x v="2"/>
    <s v="31-40"/>
    <x v="2"/>
    <s v="03/02/2023"/>
    <s v="27/11/2024"/>
    <n v="3"/>
    <n v="89000"/>
    <n v="4.0999999999999996"/>
    <n v="0"/>
    <x v="0"/>
  </r>
  <r>
    <s v="MFS-39125"/>
    <s v="Titi Fagbemi"/>
    <x v="1"/>
    <x v="2"/>
    <x v="0"/>
    <s v="Junior"/>
    <x v="1"/>
    <s v="31-40"/>
    <x v="2"/>
    <s v="13/12/2022"/>
    <s v="27/11/2024"/>
    <n v="3"/>
    <n v="143000"/>
    <n v="3.2"/>
    <n v="11"/>
    <x v="0"/>
  </r>
  <r>
    <s v="MFS-39075"/>
    <s v="Nnamdi Nwachukwu"/>
    <x v="0"/>
    <x v="1"/>
    <x v="0"/>
    <s v="Mid-level"/>
    <x v="0"/>
    <s v="22-30"/>
    <x v="2"/>
    <s v="06/08/2019"/>
    <s v="27/11/2024"/>
    <n v="6"/>
    <n v="236000"/>
    <n v="3.2"/>
    <n v="29"/>
    <x v="0"/>
  </r>
  <r>
    <s v="MFS-12948"/>
    <s v="Suleiman Nduka"/>
    <x v="0"/>
    <x v="2"/>
    <x v="0"/>
    <s v="Senior"/>
    <x v="2"/>
    <s v="31-40"/>
    <x v="1"/>
    <s v="19/12/2020"/>
    <s v="27/11/2024"/>
    <n v="5"/>
    <n v="393000"/>
    <n v="3.2"/>
    <n v="14"/>
    <x v="0"/>
  </r>
  <r>
    <s v="MFS-87323"/>
    <s v="Eze Onwudiwe"/>
    <x v="0"/>
    <x v="4"/>
    <x v="0"/>
    <s v="Mid-level"/>
    <x v="0"/>
    <s v="31-40"/>
    <x v="1"/>
    <s v="23/10/2022"/>
    <s v="27/11/2024"/>
    <n v="3"/>
    <n v="198000"/>
    <n v="2.6"/>
    <n v="8"/>
    <x v="0"/>
  </r>
  <r>
    <s v="MFS-62960"/>
    <s v="Bilkisu Nnamdi"/>
    <x v="1"/>
    <x v="3"/>
    <x v="2"/>
    <s v="Senior"/>
    <x v="0"/>
    <s v="22-30"/>
    <x v="2"/>
    <s v="23/10/2022"/>
    <s v="27/11/2024"/>
    <n v="3"/>
    <n v="576000"/>
    <n v="2.5"/>
    <n v="7"/>
    <x v="0"/>
  </r>
  <r>
    <s v="MFS-17948"/>
    <s v="Biodun Musa"/>
    <x v="0"/>
    <x v="2"/>
    <x v="0"/>
    <s v="Junior"/>
    <x v="0"/>
    <s v="31-40"/>
    <x v="0"/>
    <s v="07/11/2020"/>
    <s v="27/11/2024"/>
    <n v="5"/>
    <n v="156000"/>
    <n v="2.9"/>
    <n v="40"/>
    <x v="0"/>
  </r>
  <r>
    <s v="MFS-48102"/>
    <s v="Amaka Obi"/>
    <x v="1"/>
    <x v="2"/>
    <x v="0"/>
    <s v="Mid-level"/>
    <x v="0"/>
    <s v="41-50"/>
    <x v="2"/>
    <s v="15/06/2023"/>
    <s v="27/11/2024"/>
    <n v="2"/>
    <n v="331000"/>
    <n v="4.3"/>
    <n v="0"/>
    <x v="0"/>
  </r>
  <r>
    <s v="MFS-53472"/>
    <s v="Yetunde Onwudiwe"/>
    <x v="1"/>
    <x v="4"/>
    <x v="0"/>
    <s v="Mid-level"/>
    <x v="1"/>
    <s v="41-50"/>
    <x v="0"/>
    <s v="07/11/2021"/>
    <s v="27/11/2024"/>
    <n v="4"/>
    <n v="346000"/>
    <n v="4.4000000000000004"/>
    <n v="29"/>
    <x v="0"/>
  </r>
  <r>
    <s v="MFS-90405"/>
    <s v="Ogechi Afolabi"/>
    <x v="1"/>
    <x v="2"/>
    <x v="2"/>
    <s v="Senior"/>
    <x v="0"/>
    <s v="31-40"/>
    <x v="2"/>
    <s v="13/11/2021"/>
    <s v="27/11/2024"/>
    <n v="4"/>
    <n v="582000"/>
    <n v="4.4000000000000004"/>
    <n v="7"/>
    <x v="0"/>
  </r>
  <r>
    <s v="MFS-59091"/>
    <s v="Eze Adebayo"/>
    <x v="0"/>
    <x v="4"/>
    <x v="0"/>
    <s v="Senior"/>
    <x v="0"/>
    <s v="22-30"/>
    <x v="3"/>
    <s v="09/06/2021"/>
    <s v="27/11/2024"/>
    <n v="4"/>
    <n v="407000"/>
    <n v="4.4000000000000004"/>
    <n v="8"/>
    <x v="1"/>
  </r>
  <r>
    <s v="MFS-60412"/>
    <s v="Hadiza Ogundipe"/>
    <x v="1"/>
    <x v="3"/>
    <x v="0"/>
    <s v="Junior"/>
    <x v="1"/>
    <s v="22-30"/>
    <x v="0"/>
    <s v="01/06/2019"/>
    <s v="01/07/2024"/>
    <n v="6"/>
    <n v="95000"/>
    <n v="3.9"/>
    <n v="7"/>
    <x v="0"/>
  </r>
  <r>
    <s v="MFS-16031"/>
    <s v="Kunle Chukwu"/>
    <x v="0"/>
    <x v="4"/>
    <x v="0"/>
    <s v="Mid-level"/>
    <x v="0"/>
    <s v="51-60"/>
    <x v="3"/>
    <s v="29/01/2019"/>
    <s v="01/07/2024"/>
    <n v="7"/>
    <n v="184000"/>
    <n v="3.3"/>
    <n v="6"/>
    <x v="0"/>
  </r>
  <r>
    <s v="MFS-42070"/>
    <s v="Rotimi Ogbonna"/>
    <x v="0"/>
    <x v="4"/>
    <x v="2"/>
    <s v="Senior"/>
    <x v="1"/>
    <s v="31-40"/>
    <x v="4"/>
    <s v="17/12/2023"/>
    <s v="01/07/2024"/>
    <n v="2"/>
    <n v="532000"/>
    <n v="5"/>
    <n v="12"/>
    <x v="1"/>
  </r>
  <r>
    <s v="MFS-14492"/>
    <s v="Rabiu Taiwo"/>
    <x v="0"/>
    <x v="0"/>
    <x v="0"/>
    <s v="Senior"/>
    <x v="0"/>
    <s v="31-40"/>
    <x v="0"/>
    <s v="05/07/2021"/>
    <s v="28/02/2023"/>
    <n v="4"/>
    <n v="439000"/>
    <n v="2.6"/>
    <n v="0"/>
    <x v="0"/>
  </r>
  <r>
    <s v="MFS-72202"/>
    <s v="Chinedu Okafor"/>
    <x v="0"/>
    <x v="4"/>
    <x v="0"/>
    <s v="Junior"/>
    <x v="2"/>
    <s v="41-50"/>
    <x v="2"/>
    <s v="19/05/2020"/>
    <s v="28/02/2023"/>
    <n v="5"/>
    <n v="106000"/>
    <n v="2.8"/>
    <n v="11"/>
    <x v="1"/>
  </r>
  <r>
    <s v="MFS-62198"/>
    <s v="Chinwe Fagbemi"/>
    <x v="1"/>
    <x v="2"/>
    <x v="0"/>
    <s v="Mid-level"/>
    <x v="2"/>
    <s v="22-30"/>
    <x v="0"/>
    <s v="22/08/2019"/>
    <s v="23/02/2024"/>
    <n v="6"/>
    <n v="338000"/>
    <n v="2.6"/>
    <n v="2"/>
    <x v="0"/>
  </r>
  <r>
    <s v="MFS-64672"/>
    <s v="Tunde Coker"/>
    <x v="0"/>
    <x v="4"/>
    <x v="0"/>
    <s v="Junior"/>
    <x v="2"/>
    <s v="31-40"/>
    <x v="2"/>
    <s v="01/04/2022"/>
    <s v="23/02/2024"/>
    <n v="3"/>
    <n v="133000"/>
    <n v="2.4"/>
    <n v="15"/>
    <x v="2"/>
  </r>
  <r>
    <s v="MFS-83306"/>
    <s v="Bukola Afolabi"/>
    <x v="1"/>
    <x v="3"/>
    <x v="0"/>
    <s v="Junior"/>
    <x v="0"/>
    <s v="41-50"/>
    <x v="3"/>
    <s v="18/06/2021"/>
    <s v="13/02/2025"/>
    <n v="4"/>
    <n v="137000"/>
    <n v="3.1"/>
    <n v="12"/>
    <x v="0"/>
  </r>
  <r>
    <s v="MFS-49927"/>
    <s v="Nnamdi Obi"/>
    <x v="0"/>
    <x v="3"/>
    <x v="0"/>
    <s v="Director"/>
    <x v="0"/>
    <s v="41-50"/>
    <x v="1"/>
    <s v="31/01/2023"/>
    <s v="13/02/2025"/>
    <n v="3"/>
    <n v="1447000"/>
    <n v="4.3"/>
    <n v="2"/>
    <x v="0"/>
  </r>
  <r>
    <s v="MFS-62095"/>
    <s v="Eze Buhari"/>
    <x v="0"/>
    <x v="2"/>
    <x v="0"/>
    <s v="Junior"/>
    <x v="0"/>
    <s v="22-30"/>
    <x v="0"/>
    <s v="14/03/2022"/>
    <s v="13/02/2025"/>
    <n v="3"/>
    <n v="122000"/>
    <n v="2.7"/>
    <n v="2"/>
    <x v="0"/>
  </r>
  <r>
    <s v="MFS-50817"/>
    <s v="Adeola Taiwo"/>
    <x v="0"/>
    <x v="1"/>
    <x v="0"/>
    <s v="Senior"/>
    <x v="2"/>
    <s v="41-50"/>
    <x v="2"/>
    <s v="01/08/2023"/>
    <s v="13/02/2025"/>
    <n v="2"/>
    <n v="499000"/>
    <n v="2.1"/>
    <n v="5"/>
    <x v="1"/>
  </r>
  <r>
    <s v="MFS-93220"/>
    <s v="Chibuike Nnamdi"/>
    <x v="0"/>
    <x v="4"/>
    <x v="0"/>
    <s v="Manager"/>
    <x v="1"/>
    <s v="51-60"/>
    <x v="1"/>
    <s v="07/12/2022"/>
    <s v="05/11/2022"/>
    <n v="3"/>
    <n v="658000"/>
    <n v="4.9000000000000004"/>
    <n v="14"/>
    <x v="0"/>
  </r>
  <r>
    <s v="MFS-67392"/>
    <s v="Fatima Ihejirika"/>
    <x v="1"/>
    <x v="2"/>
    <x v="0"/>
    <s v="Junior"/>
    <x v="1"/>
    <s v="31-40"/>
    <x v="0"/>
    <s v="19/02/2022"/>
    <s v="05/11/2022"/>
    <n v="4"/>
    <n v="118000"/>
    <n v="3.9"/>
    <n v="6"/>
    <x v="0"/>
  </r>
  <r>
    <s v="MFS-52154"/>
    <s v="Rotimi Okeke"/>
    <x v="0"/>
    <x v="1"/>
    <x v="0"/>
    <s v="Senior"/>
    <x v="0"/>
    <s v="31-40"/>
    <x v="2"/>
    <s v="06/08/2021"/>
    <s v="05/11/2022"/>
    <n v="4"/>
    <n v="545000"/>
    <n v="5"/>
    <n v="29"/>
    <x v="2"/>
  </r>
  <r>
    <s v="MFS-52462"/>
    <s v="Tosin Okonkwo"/>
    <x v="1"/>
    <x v="0"/>
    <x v="2"/>
    <s v="Manager"/>
    <x v="2"/>
    <s v="31-40"/>
    <x v="4"/>
    <s v="28/02/2020"/>
    <s v="10/09/2021"/>
    <n v="6"/>
    <n v="898000"/>
    <n v="3.3"/>
    <n v="10"/>
    <x v="0"/>
  </r>
  <r>
    <s v="MFS-46806"/>
    <s v="Rotimi Adesanya"/>
    <x v="0"/>
    <x v="4"/>
    <x v="1"/>
    <s v="Junior"/>
    <x v="0"/>
    <s v="22-30"/>
    <x v="2"/>
    <s v="14/10/2022"/>
    <s v="10/09/2021"/>
    <n v="3"/>
    <n v="130000"/>
    <n v="1.9"/>
    <n v="13"/>
    <x v="0"/>
  </r>
  <r>
    <s v="MFS-18950"/>
    <s v="Nasiru Ogundipe"/>
    <x v="0"/>
    <x v="4"/>
    <x v="2"/>
    <s v="Junior"/>
    <x v="0"/>
    <s v="41-50"/>
    <x v="0"/>
    <s v="14/06/2020"/>
    <s v="10/09/2021"/>
    <n v="5"/>
    <n v="115000"/>
    <n v="2.1"/>
    <n v="12"/>
    <x v="1"/>
  </r>
  <r>
    <s v="MFS-12658"/>
    <s v="Ezinne Adewale"/>
    <x v="1"/>
    <x v="0"/>
    <x v="0"/>
    <s v="Mid-level"/>
    <x v="2"/>
    <s v="41-50"/>
    <x v="1"/>
    <s v="15/03/2021"/>
    <s v="09/07/2023"/>
    <n v="4"/>
    <n v="250000"/>
    <n v="2.7"/>
    <n v="4"/>
    <x v="0"/>
  </r>
  <r>
    <s v="MFS-92475"/>
    <s v="Uloma Adebayo"/>
    <x v="1"/>
    <x v="4"/>
    <x v="0"/>
    <s v="Mid-level"/>
    <x v="0"/>
    <s v="41-50"/>
    <x v="1"/>
    <s v="24/01/2020"/>
    <s v="09/07/2023"/>
    <n v="6"/>
    <n v="237000"/>
    <n v="3.1"/>
    <n v="13"/>
    <x v="0"/>
  </r>
  <r>
    <s v="MFS-63112"/>
    <s v="Garba Aliyu"/>
    <x v="0"/>
    <x v="2"/>
    <x v="0"/>
    <s v="Junior"/>
    <x v="3"/>
    <s v="31-40"/>
    <x v="0"/>
    <s v="11/06/2021"/>
    <s v="09/07/2023"/>
    <n v="4"/>
    <n v="126000"/>
    <n v="3.5"/>
    <n v="3"/>
    <x v="3"/>
  </r>
  <r>
    <s v="MFS-86796"/>
    <s v="Gbenga Danladi"/>
    <x v="0"/>
    <x v="3"/>
    <x v="0"/>
    <s v="Junior"/>
    <x v="2"/>
    <s v="22-30"/>
    <x v="3"/>
    <s v="05/09/2022"/>
    <s v="25/10/2023"/>
    <n v="3"/>
    <n v="94000"/>
    <n v="2.4"/>
    <n v="5"/>
    <x v="0"/>
  </r>
  <r>
    <s v="MFS-44701"/>
    <s v="Oluwaseun Buhari"/>
    <x v="0"/>
    <x v="1"/>
    <x v="0"/>
    <s v="Mid-level"/>
    <x v="0"/>
    <s v="51-60"/>
    <x v="0"/>
    <s v="19/06/2022"/>
    <s v="25/10/2023"/>
    <n v="3"/>
    <n v="277000"/>
    <n v="2"/>
    <n v="4"/>
    <x v="0"/>
  </r>
  <r>
    <s v="MFS-38394"/>
    <s v="Garba Onwudiwe"/>
    <x v="0"/>
    <x v="2"/>
    <x v="1"/>
    <s v="Mid-level"/>
    <x v="2"/>
    <s v="22-30"/>
    <x v="1"/>
    <s v="16/03/2022"/>
    <s v="25/10/2023"/>
    <n v="3"/>
    <n v="237000"/>
    <n v="4.8"/>
    <n v="21"/>
    <x v="1"/>
  </r>
  <r>
    <s v="MFS-67098"/>
    <s v="Adaeze Bello"/>
    <x v="1"/>
    <x v="3"/>
    <x v="0"/>
    <s v="Senior"/>
    <x v="0"/>
    <s v="41-50"/>
    <x v="2"/>
    <s v="06/07/2021"/>
    <s v="15/06/2022"/>
    <n v="4"/>
    <n v="412000"/>
    <n v="4.2"/>
    <n v="4"/>
    <x v="0"/>
  </r>
  <r>
    <s v="MFS-52156"/>
    <s v="Suleiman Coker"/>
    <x v="0"/>
    <x v="0"/>
    <x v="0"/>
    <s v="Mid-level"/>
    <x v="1"/>
    <s v="31-40"/>
    <x v="0"/>
    <s v="03/07/2021"/>
    <s v="15/06/2022"/>
    <n v="4"/>
    <n v="270000"/>
    <n v="3.4"/>
    <n v="6"/>
    <x v="1"/>
  </r>
  <r>
    <s v="MFS-71112"/>
    <s v="Nkechi Shehu"/>
    <x v="1"/>
    <x v="3"/>
    <x v="0"/>
    <s v="Junior"/>
    <x v="2"/>
    <s v="22-30"/>
    <x v="4"/>
    <s v="30/06/2021"/>
    <s v="23/04/2022"/>
    <n v="4"/>
    <n v="110000"/>
    <n v="2.2999999999999998"/>
    <n v="6"/>
    <x v="0"/>
  </r>
  <r>
    <s v="MFS-14331"/>
    <s v="Oghenekaro Aliyu"/>
    <x v="0"/>
    <x v="4"/>
    <x v="1"/>
    <s v="Junior"/>
    <x v="0"/>
    <s v="31-40"/>
    <x v="0"/>
    <s v="13/03/2023"/>
    <s v="23/04/2022"/>
    <n v="3"/>
    <n v="157000"/>
    <n v="3.1"/>
    <n v="10"/>
    <x v="0"/>
  </r>
  <r>
    <s v="MFS-19218"/>
    <s v="Amaka Shehu"/>
    <x v="1"/>
    <x v="1"/>
    <x v="0"/>
    <s v="Senior"/>
    <x v="0"/>
    <s v="51-60"/>
    <x v="2"/>
    <s v="19/01/2020"/>
    <s v="23/04/2022"/>
    <n v="6"/>
    <n v="405000"/>
    <n v="4.2"/>
    <n v="0"/>
    <x v="1"/>
  </r>
  <r>
    <s v="MFS-97410"/>
    <s v="Adeola Omotayo"/>
    <x v="0"/>
    <x v="3"/>
    <x v="0"/>
    <s v="Manager"/>
    <x v="2"/>
    <s v="41-50"/>
    <x v="2"/>
    <s v="28/08/2019"/>
    <s v="07/04/2024"/>
    <n v="6"/>
    <n v="708000"/>
    <n v="3.8"/>
    <n v="7"/>
    <x v="0"/>
  </r>
  <r>
    <s v="MFS-73499"/>
    <s v="Ngozi Yakubu"/>
    <x v="1"/>
    <x v="3"/>
    <x v="2"/>
    <s v="Senior"/>
    <x v="0"/>
    <s v="51-60"/>
    <x v="0"/>
    <s v="15/01/2023"/>
    <s v="07/04/2024"/>
    <n v="3"/>
    <n v="385000"/>
    <n v="3.1"/>
    <n v="4"/>
    <x v="0"/>
  </r>
  <r>
    <s v="MFS-82794"/>
    <s v="Seun Haruna"/>
    <x v="0"/>
    <x v="2"/>
    <x v="0"/>
    <s v="Junior"/>
    <x v="3"/>
    <s v="22-30"/>
    <x v="2"/>
    <s v="14/02/2020"/>
    <s v="07/04/2024"/>
    <n v="6"/>
    <n v="103000"/>
    <n v="3.3"/>
    <n v="12"/>
    <x v="0"/>
  </r>
  <r>
    <s v="MFS-87340"/>
    <s v="Lola Lawal"/>
    <x v="1"/>
    <x v="0"/>
    <x v="0"/>
    <s v="Senior"/>
    <x v="1"/>
    <s v="31-40"/>
    <x v="1"/>
    <s v="05/06/2020"/>
    <s v="07/04/2024"/>
    <n v="5"/>
    <n v="481000"/>
    <n v="2.8"/>
    <n v="13"/>
    <x v="0"/>
  </r>
  <r>
    <s v="MFS-47429"/>
    <s v="Ibrahim Adewale"/>
    <x v="0"/>
    <x v="2"/>
    <x v="0"/>
    <s v="Junior"/>
    <x v="0"/>
    <s v="31-40"/>
    <x v="0"/>
    <s v="11/11/2022"/>
    <s v="07/04/2024"/>
    <n v="3"/>
    <n v="176000"/>
    <n v="2.7"/>
    <n v="8"/>
    <x v="2"/>
  </r>
  <r>
    <s v="MFS-22093"/>
    <s v="Rotimi Aliyu"/>
    <x v="0"/>
    <x v="1"/>
    <x v="0"/>
    <s v="Mid-level"/>
    <x v="0"/>
    <s v="31-40"/>
    <x v="2"/>
    <s v="11/12/2020"/>
    <s v="03/12/2023"/>
    <n v="5"/>
    <n v="273000"/>
    <n v="4.8"/>
    <n v="5"/>
    <x v="3"/>
  </r>
  <r>
    <s v="MFS-71764"/>
    <s v="Aliyu Obi"/>
    <x v="0"/>
    <x v="4"/>
    <x v="0"/>
    <s v="Senior"/>
    <x v="0"/>
    <s v="41-50"/>
    <x v="1"/>
    <s v="18/01/2020"/>
    <s v="28/01/2022"/>
    <n v="6"/>
    <n v="360000"/>
    <n v="4.7"/>
    <n v="3"/>
    <x v="0"/>
  </r>
  <r>
    <s v="MFS-70425"/>
    <s v="Adebayo Bello"/>
    <x v="0"/>
    <x v="0"/>
    <x v="2"/>
    <s v="Manager"/>
    <x v="2"/>
    <s v="51-60"/>
    <x v="0"/>
    <s v="08/11/2023"/>
    <s v="28/01/2022"/>
    <n v="2"/>
    <n v="730000"/>
    <n v="4.0999999999999996"/>
    <n v="8"/>
    <x v="0"/>
  </r>
  <r>
    <s v="MFS-35199"/>
    <s v="Bukola Coker"/>
    <x v="1"/>
    <x v="1"/>
    <x v="0"/>
    <s v="Mid-level"/>
    <x v="0"/>
    <s v="41-50"/>
    <x v="0"/>
    <s v="20/07/2021"/>
    <s v="28/01/2022"/>
    <n v="4"/>
    <n v="193000"/>
    <n v="3.6"/>
    <n v="5"/>
    <x v="0"/>
  </r>
  <r>
    <s v="MFS-20797"/>
    <s v="Zainab Okonkwo"/>
    <x v="1"/>
    <x v="4"/>
    <x v="1"/>
    <s v="Senior"/>
    <x v="2"/>
    <s v="22-30"/>
    <x v="0"/>
    <s v="28/12/2019"/>
    <s v="28/01/2022"/>
    <n v="6"/>
    <n v="459000"/>
    <n v="4.3"/>
    <n v="11"/>
    <x v="0"/>
  </r>
  <r>
    <s v="MFS-29547"/>
    <s v="Ibrahim Bello"/>
    <x v="0"/>
    <x v="0"/>
    <x v="0"/>
    <s v="Manager"/>
    <x v="2"/>
    <s v="31-40"/>
    <x v="0"/>
    <s v="29/06/2021"/>
    <s v="28/01/2022"/>
    <n v="4"/>
    <n v="814000"/>
    <n v="4.3"/>
    <n v="32"/>
    <x v="2"/>
  </r>
  <r>
    <s v="MFS-53803"/>
    <s v="Titi Afolabi"/>
    <x v="1"/>
    <x v="2"/>
    <x v="1"/>
    <s v="Mid-level"/>
    <x v="0"/>
    <s v="31-40"/>
    <x v="2"/>
    <s v="01/11/2020"/>
    <s v="23/08/2023"/>
    <n v="5"/>
    <n v="256000"/>
    <n v="4.4000000000000004"/>
    <n v="10"/>
    <x v="2"/>
  </r>
  <r>
    <s v="MFS-78614"/>
    <s v="Hauwa Musa"/>
    <x v="1"/>
    <x v="4"/>
    <x v="0"/>
    <s v="Mid-level"/>
    <x v="3"/>
    <s v="31-40"/>
    <x v="0"/>
    <s v="25/07/2022"/>
    <s v="09/01/2024"/>
    <n v="3"/>
    <n v="246000"/>
    <n v="2.2000000000000002"/>
    <n v="5"/>
    <x v="1"/>
  </r>
  <r>
    <s v="MFS-62266"/>
    <s v="Lanre Taiwo"/>
    <x v="0"/>
    <x v="2"/>
    <x v="0"/>
    <s v="Junior"/>
    <x v="1"/>
    <s v="31-40"/>
    <x v="2"/>
    <s v="15/05/2023"/>
    <s v="14/01/2024"/>
    <n v="2"/>
    <n v="110000"/>
    <n v="2.1"/>
    <n v="2"/>
    <x v="0"/>
  </r>
  <r>
    <s v="MFS-23033"/>
    <s v="Adebayo Lawal"/>
    <x v="0"/>
    <x v="3"/>
    <x v="0"/>
    <s v="Mid-level"/>
    <x v="3"/>
    <s v="31-40"/>
    <x v="0"/>
    <s v="23/11/2023"/>
    <s v="14/01/2024"/>
    <n v="2"/>
    <n v="208000"/>
    <n v="2.8"/>
    <n v="7"/>
    <x v="0"/>
  </r>
  <r>
    <s v="MFS-50746"/>
    <s v="Ifeoma Yakubu"/>
    <x v="1"/>
    <x v="3"/>
    <x v="2"/>
    <s v="Senior"/>
    <x v="1"/>
    <s v="22-30"/>
    <x v="0"/>
    <s v="25/11/2022"/>
    <s v="14/01/2024"/>
    <n v="3"/>
    <n v="526000"/>
    <n v="2.4"/>
    <n v="7"/>
    <x v="0"/>
  </r>
  <r>
    <s v="MFS-64840"/>
    <s v="Asabe Afolabi"/>
    <x v="1"/>
    <x v="2"/>
    <x v="1"/>
    <s v="Junior"/>
    <x v="3"/>
    <s v="22-30"/>
    <x v="3"/>
    <s v="05/12/2019"/>
    <s v="14/01/2024"/>
    <n v="6"/>
    <n v="172000"/>
    <n v="4.9000000000000004"/>
    <n v="8"/>
    <x v="0"/>
  </r>
  <r>
    <s v="MFS-85511"/>
    <s v="Funmilayo Amadi"/>
    <x v="1"/>
    <x v="2"/>
    <x v="0"/>
    <s v="Mid-level"/>
    <x v="2"/>
    <s v="41-50"/>
    <x v="0"/>
    <s v="23/12/2022"/>
    <s v="14/01/2024"/>
    <n v="3"/>
    <n v="224000"/>
    <n v="4.0999999999999996"/>
    <n v="11"/>
    <x v="0"/>
  </r>
  <r>
    <s v="MFS-40681"/>
    <s v="Chinwe Adebayo"/>
    <x v="1"/>
    <x v="4"/>
    <x v="1"/>
    <s v="Mid-level"/>
    <x v="0"/>
    <s v="31-40"/>
    <x v="2"/>
    <s v="28/10/2019"/>
    <s v="14/01/2024"/>
    <n v="6"/>
    <n v="287000"/>
    <n v="3.1"/>
    <n v="9"/>
    <x v="2"/>
  </r>
  <r>
    <s v="MFS-26758"/>
    <s v="Tunde Musa"/>
    <x v="0"/>
    <x v="0"/>
    <x v="2"/>
    <s v="Mid-level"/>
    <x v="0"/>
    <s v="31-40"/>
    <x v="1"/>
    <s v="25/04/2020"/>
    <s v="30/06/2020"/>
    <n v="5"/>
    <n v="318000"/>
    <n v="4"/>
    <n v="13"/>
    <x v="0"/>
  </r>
  <r>
    <s v="MFS-57381"/>
    <s v="Ebuka Buhari"/>
    <x v="0"/>
    <x v="4"/>
    <x v="0"/>
    <s v="Junior"/>
    <x v="1"/>
    <s v="22-30"/>
    <x v="0"/>
    <s v="04/07/2023"/>
    <s v="30/06/2020"/>
    <n v="2"/>
    <n v="178000"/>
    <n v="1.8"/>
    <n v="1"/>
    <x v="0"/>
  </r>
  <r>
    <s v="MFS-81294"/>
    <s v="Uloma Omotayo"/>
    <x v="1"/>
    <x v="2"/>
    <x v="0"/>
    <s v="Junior"/>
    <x v="2"/>
    <s v="41-50"/>
    <x v="0"/>
    <s v="21/07/2019"/>
    <s v="30/06/2020"/>
    <n v="6"/>
    <n v="140000"/>
    <n v="3.9"/>
    <n v="9"/>
    <x v="1"/>
  </r>
  <r>
    <s v="MFS-31135"/>
    <s v="Oluwaseun Onwudiwe"/>
    <x v="0"/>
    <x v="4"/>
    <x v="0"/>
    <s v="Junior"/>
    <x v="0"/>
    <s v="22-30"/>
    <x v="0"/>
    <s v="05/12/2020"/>
    <s v="29/12/2023"/>
    <n v="5"/>
    <n v="99000"/>
    <n v="2.4"/>
    <n v="8"/>
    <x v="0"/>
  </r>
  <r>
    <s v="MFS-13113"/>
    <s v="Adaeze Lawal"/>
    <x v="1"/>
    <x v="4"/>
    <x v="0"/>
    <s v="Junior"/>
    <x v="0"/>
    <s v="22-30"/>
    <x v="2"/>
    <s v="06/06/2022"/>
    <s v="29/12/2023"/>
    <n v="3"/>
    <n v="88000"/>
    <n v="2.4"/>
    <n v="2"/>
    <x v="2"/>
  </r>
  <r>
    <s v="MFS-71949"/>
    <s v="Ifeanyi Fagbemi"/>
    <x v="0"/>
    <x v="0"/>
    <x v="0"/>
    <s v="Senior"/>
    <x v="3"/>
    <s v="22-30"/>
    <x v="3"/>
    <s v="21/07/2023"/>
    <s v="26/10/2024"/>
    <n v="2"/>
    <n v="482000"/>
    <n v="4.2"/>
    <n v="9"/>
    <x v="2"/>
  </r>
  <r>
    <s v="MFS-10624"/>
    <s v="Titi Onwudiwe"/>
    <x v="1"/>
    <x v="4"/>
    <x v="0"/>
    <s v="Senior"/>
    <x v="2"/>
    <s v="22-30"/>
    <x v="0"/>
    <s v="06/08/2023"/>
    <s v="18/04/2024"/>
    <n v="2"/>
    <n v="474000"/>
    <n v="3.4"/>
    <n v="2"/>
    <x v="1"/>
  </r>
  <r>
    <s v="MFS-36365"/>
    <s v="Maryam Ogbonna"/>
    <x v="1"/>
    <x v="3"/>
    <x v="0"/>
    <s v="Senior"/>
    <x v="0"/>
    <s v="22-30"/>
    <x v="0"/>
    <s v="30/01/2020"/>
    <s v="18/06/2023"/>
    <n v="6"/>
    <n v="558000"/>
    <n v="2.1"/>
    <n v="6"/>
    <x v="0"/>
  </r>
  <r>
    <s v="MFS-17026"/>
    <s v="Ogechi Nwachukwu"/>
    <x v="1"/>
    <x v="0"/>
    <x v="0"/>
    <s v="Mid-level"/>
    <x v="0"/>
    <s v="31-40"/>
    <x v="0"/>
    <s v="01/05/2021"/>
    <s v="18/06/2023"/>
    <n v="4"/>
    <n v="351000"/>
    <n v="2.5"/>
    <n v="12"/>
    <x v="1"/>
  </r>
  <r>
    <s v="MFS-96577"/>
    <s v="Damilola Garba"/>
    <x v="1"/>
    <x v="4"/>
    <x v="0"/>
    <s v="Mid-level"/>
    <x v="0"/>
    <s v="22-30"/>
    <x v="3"/>
    <s v="03/11/2022"/>
    <s v="31/03/2020"/>
    <n v="3"/>
    <n v="257000"/>
    <n v="4.2"/>
    <n v="14"/>
    <x v="0"/>
  </r>
  <r>
    <s v="MFS-42616"/>
    <s v="Yakubu Musa"/>
    <x v="0"/>
    <x v="3"/>
    <x v="2"/>
    <s v="Director"/>
    <x v="3"/>
    <s v="22-30"/>
    <x v="1"/>
    <s v="24/05/2019"/>
    <s v="31/03/2020"/>
    <n v="6"/>
    <n v="1991000"/>
    <n v="4.4000000000000004"/>
    <n v="14"/>
    <x v="0"/>
  </r>
  <r>
    <s v="MFS-17749"/>
    <s v="Bello Onwudiwe"/>
    <x v="0"/>
    <x v="3"/>
    <x v="0"/>
    <s v="Mid-level"/>
    <x v="1"/>
    <s v="22-30"/>
    <x v="2"/>
    <s v="13/08/2023"/>
    <s v="31/03/2020"/>
    <n v="2"/>
    <n v="205000"/>
    <n v="2.2000000000000002"/>
    <n v="7"/>
    <x v="0"/>
  </r>
  <r>
    <s v="MFS-95650"/>
    <s v="Aliyu Bello"/>
    <x v="0"/>
    <x v="4"/>
    <x v="0"/>
    <s v="Junior"/>
    <x v="0"/>
    <s v="22-30"/>
    <x v="1"/>
    <s v="28/04/2019"/>
    <s v="31/03/2020"/>
    <n v="6"/>
    <n v="136000"/>
    <n v="2.2999999999999998"/>
    <n v="8"/>
    <x v="3"/>
  </r>
  <r>
    <s v="MFS-66076"/>
    <s v="Bimpe Adesanya"/>
    <x v="1"/>
    <x v="0"/>
    <x v="1"/>
    <s v="Mid-level"/>
    <x v="2"/>
    <s v="22-30"/>
    <x v="0"/>
    <s v="20/09/2023"/>
    <s v="21/12/2024"/>
    <n v="2"/>
    <n v="385000"/>
    <n v="3.2"/>
    <n v="4"/>
    <x v="3"/>
  </r>
  <r>
    <s v="MFS-42952"/>
    <s v="Rukayya Omotayo"/>
    <x v="1"/>
    <x v="4"/>
    <x v="2"/>
    <s v="Mid-level"/>
    <x v="2"/>
    <s v="31-40"/>
    <x v="2"/>
    <s v="04/08/2023"/>
    <s v="17/03/2025"/>
    <n v="2"/>
    <n v="208000"/>
    <n v="1.8"/>
    <n v="13"/>
    <x v="0"/>
  </r>
  <r>
    <s v="MFS-58544"/>
    <s v="Kabiru Obi"/>
    <x v="0"/>
    <x v="0"/>
    <x v="1"/>
    <s v="Mid-level"/>
    <x v="0"/>
    <s v="41-50"/>
    <x v="2"/>
    <s v="04/07/2022"/>
    <s v="17/03/2025"/>
    <n v="3"/>
    <n v="361000"/>
    <n v="3.9"/>
    <n v="10"/>
    <x v="0"/>
  </r>
  <r>
    <s v="MFS-38727"/>
    <s v="Chioma Nnamdi"/>
    <x v="1"/>
    <x v="2"/>
    <x v="0"/>
    <s v="Manager"/>
    <x v="0"/>
    <s v="31-40"/>
    <x v="0"/>
    <s v="03/12/2022"/>
    <s v="17/03/2025"/>
    <n v="3"/>
    <n v="801000"/>
    <n v="4.7"/>
    <n v="3"/>
    <x v="0"/>
  </r>
  <r>
    <s v="MFS-30732"/>
    <s v="Eze Oyelaran"/>
    <x v="0"/>
    <x v="3"/>
    <x v="2"/>
    <s v="Manager"/>
    <x v="2"/>
    <s v="51-60"/>
    <x v="2"/>
    <s v="19/08/2023"/>
    <s v="17/03/2025"/>
    <n v="2"/>
    <n v="854000"/>
    <n v="4.2"/>
    <n v="3"/>
    <x v="0"/>
  </r>
  <r>
    <s v="MFS-62891"/>
    <s v="Ifeanyi Nwachukwu"/>
    <x v="0"/>
    <x v="3"/>
    <x v="0"/>
    <s v="Mid-level"/>
    <x v="3"/>
    <s v="31-40"/>
    <x v="3"/>
    <s v="17/09/2021"/>
    <s v="17/03/2025"/>
    <n v="4"/>
    <n v="219000"/>
    <n v="4.4000000000000004"/>
    <n v="2"/>
    <x v="0"/>
  </r>
  <r>
    <s v="MFS-54987"/>
    <s v="Suleiman Nduka"/>
    <x v="0"/>
    <x v="3"/>
    <x v="0"/>
    <s v="Mid-level"/>
    <x v="0"/>
    <s v="41-50"/>
    <x v="0"/>
    <s v="29/12/2019"/>
    <s v="17/03/2025"/>
    <n v="6"/>
    <n v="189000"/>
    <n v="4.9000000000000004"/>
    <n v="8"/>
    <x v="0"/>
  </r>
  <r>
    <s v="MFS-21652"/>
    <s v="Musa Garba"/>
    <x v="0"/>
    <x v="4"/>
    <x v="2"/>
    <s v="Junior"/>
    <x v="2"/>
    <s v="51-60"/>
    <x v="0"/>
    <s v="07/03/2023"/>
    <s v="17/03/2025"/>
    <n v="3"/>
    <n v="86000"/>
    <n v="3.4"/>
    <n v="6"/>
    <x v="0"/>
  </r>
  <r>
    <s v="MFS-31991"/>
    <s v="Garba Uba"/>
    <x v="0"/>
    <x v="4"/>
    <x v="0"/>
    <s v="Junior"/>
    <x v="0"/>
    <s v="22-30"/>
    <x v="3"/>
    <s v="02/08/2021"/>
    <s v="17/03/2025"/>
    <n v="4"/>
    <n v="126000"/>
    <n v="1.7"/>
    <n v="8"/>
    <x v="1"/>
  </r>
  <r>
    <s v="MFS-61173"/>
    <s v="Ibrahim Afolabi"/>
    <x v="0"/>
    <x v="1"/>
    <x v="0"/>
    <s v="Mid-level"/>
    <x v="3"/>
    <s v="51-60"/>
    <x v="0"/>
    <s v="24/01/2020"/>
    <s v="04/12/2021"/>
    <n v="6"/>
    <n v="218000"/>
    <n v="3.7"/>
    <n v="11"/>
    <x v="0"/>
  </r>
  <r>
    <s v="MFS-27025"/>
    <s v="Jummai Yakubu"/>
    <x v="1"/>
    <x v="2"/>
    <x v="1"/>
    <s v="Senior"/>
    <x v="0"/>
    <s v="41-50"/>
    <x v="4"/>
    <s v="07/10/2020"/>
    <s v="04/12/2021"/>
    <n v="5"/>
    <n v="399000"/>
    <n v="3.4"/>
    <n v="10"/>
    <x v="1"/>
  </r>
  <r>
    <s v="MFS-67146"/>
    <s v="Chidi Coker"/>
    <x v="0"/>
    <x v="3"/>
    <x v="0"/>
    <s v="Director"/>
    <x v="1"/>
    <s v="22-30"/>
    <x v="1"/>
    <s v="03/04/2021"/>
    <s v="12/04/2022"/>
    <n v="4"/>
    <n v="1795000"/>
    <n v="4.2"/>
    <n v="11"/>
    <x v="1"/>
  </r>
  <r>
    <s v="MFS-21685"/>
    <s v="Eze Taiwo"/>
    <x v="0"/>
    <x v="2"/>
    <x v="0"/>
    <s v="Senior"/>
    <x v="0"/>
    <s v="22-30"/>
    <x v="3"/>
    <s v="20/09/2023"/>
    <s v="05/09/2024"/>
    <n v="2"/>
    <n v="583000"/>
    <n v="4.0999999999999996"/>
    <n v="4"/>
    <x v="1"/>
  </r>
  <r>
    <s v="MFS-62399"/>
    <s v="Titi Nwosu"/>
    <x v="1"/>
    <x v="3"/>
    <x v="2"/>
    <s v="Senior"/>
    <x v="0"/>
    <s v="31-40"/>
    <x v="2"/>
    <s v="23/05/2019"/>
    <s v="30/10/2020"/>
    <n v="6"/>
    <n v="372000"/>
    <n v="2.5"/>
    <n v="2"/>
    <x v="1"/>
  </r>
  <r>
    <s v="MFS-76949"/>
    <s v="Rotimi Nnamdi"/>
    <x v="0"/>
    <x v="2"/>
    <x v="0"/>
    <s v="Mid-level"/>
    <x v="0"/>
    <s v="22-30"/>
    <x v="0"/>
    <s v="26/02/2023"/>
    <s v="17/06/2024"/>
    <n v="3"/>
    <n v="267000"/>
    <n v="2.1"/>
    <n v="3"/>
    <x v="0"/>
  </r>
  <r>
    <s v="MFS-45044"/>
    <s v="Obinna Suleiman"/>
    <x v="0"/>
    <x v="3"/>
    <x v="0"/>
    <s v="Senior"/>
    <x v="2"/>
    <s v="51-60"/>
    <x v="0"/>
    <s v="13/04/2020"/>
    <s v="17/06/2024"/>
    <n v="5"/>
    <n v="437000"/>
    <n v="3.9"/>
    <n v="0"/>
    <x v="0"/>
  </r>
  <r>
    <s v="MFS-40263"/>
    <s v="Ikenna Omotayo"/>
    <x v="0"/>
    <x v="1"/>
    <x v="0"/>
    <s v="Junior"/>
    <x v="1"/>
    <s v="41-50"/>
    <x v="0"/>
    <s v="01/11/2021"/>
    <s v="17/06/2024"/>
    <n v="4"/>
    <n v="85000"/>
    <n v="3.5"/>
    <n v="12"/>
    <x v="0"/>
  </r>
  <r>
    <s v="MFS-80461"/>
    <s v="Aisha Eze"/>
    <x v="1"/>
    <x v="2"/>
    <x v="0"/>
    <s v="Senior"/>
    <x v="2"/>
    <s v="22-30"/>
    <x v="2"/>
    <s v="29/07/2022"/>
    <s v="17/06/2024"/>
    <n v="3"/>
    <n v="577000"/>
    <n v="2.2999999999999998"/>
    <n v="0"/>
    <x v="0"/>
  </r>
  <r>
    <s v="MFS-33853"/>
    <s v="Gbenga Ihejirika"/>
    <x v="0"/>
    <x v="0"/>
    <x v="0"/>
    <s v="Junior"/>
    <x v="1"/>
    <s v="22-30"/>
    <x v="1"/>
    <s v="22/01/2019"/>
    <s v="17/06/2024"/>
    <n v="7"/>
    <n v="173000"/>
    <n v="4.8"/>
    <n v="4"/>
    <x v="0"/>
  </r>
  <r>
    <s v="MFS-31263"/>
    <s v="Ngozi Aliyu"/>
    <x v="1"/>
    <x v="4"/>
    <x v="0"/>
    <s v="Junior"/>
    <x v="2"/>
    <s v="22-30"/>
    <x v="0"/>
    <s v="08/08/2023"/>
    <s v="17/06/2024"/>
    <n v="2"/>
    <n v="87000"/>
    <n v="1.7"/>
    <n v="12"/>
    <x v="2"/>
  </r>
  <r>
    <s v="MFS-47857"/>
    <s v="Maryam Adewale"/>
    <x v="1"/>
    <x v="3"/>
    <x v="0"/>
    <s v="Senior"/>
    <x v="0"/>
    <s v="41-50"/>
    <x v="1"/>
    <s v="25/02/2019"/>
    <s v="09/10/2023"/>
    <n v="7"/>
    <n v="427000"/>
    <n v="2.2999999999999998"/>
    <n v="8"/>
    <x v="0"/>
  </r>
  <r>
    <s v="MFS-80571"/>
    <s v="Aliyu Ogbonna"/>
    <x v="0"/>
    <x v="0"/>
    <x v="0"/>
    <s v="Senior"/>
    <x v="0"/>
    <s v="22-30"/>
    <x v="0"/>
    <s v="05/04/2021"/>
    <s v="09/10/2023"/>
    <n v="4"/>
    <n v="457000"/>
    <n v="3.4"/>
    <n v="14"/>
    <x v="1"/>
  </r>
  <r>
    <s v="MFS-17339"/>
    <s v="Nnamdi Yakubu"/>
    <x v="0"/>
    <x v="4"/>
    <x v="0"/>
    <s v="Mid-level"/>
    <x v="1"/>
    <s v="41-50"/>
    <x v="0"/>
    <s v="22/08/2023"/>
    <s v="27/06/2021"/>
    <n v="2"/>
    <n v="245000"/>
    <n v="1.6"/>
    <n v="6"/>
    <x v="0"/>
  </r>
  <r>
    <s v="MFS-75632"/>
    <s v="Emeka Aliyu"/>
    <x v="0"/>
    <x v="3"/>
    <x v="0"/>
    <s v="Manager"/>
    <x v="0"/>
    <s v="22-30"/>
    <x v="1"/>
    <s v="27/02/2022"/>
    <s v="27/06/2021"/>
    <n v="4"/>
    <n v="769000"/>
    <n v="4.8"/>
    <n v="3"/>
    <x v="0"/>
  </r>
  <r>
    <s v="MFS-13273"/>
    <s v="Garba Taiwo"/>
    <x v="0"/>
    <x v="0"/>
    <x v="2"/>
    <s v="Junior"/>
    <x v="2"/>
    <s v="22-30"/>
    <x v="0"/>
    <s v="02/12/2019"/>
    <s v="27/06/2021"/>
    <n v="6"/>
    <n v="198000"/>
    <n v="4.5999999999999996"/>
    <n v="14"/>
    <x v="0"/>
  </r>
  <r>
    <s v="MFS-78253"/>
    <s v="Obiora Fagbemi"/>
    <x v="0"/>
    <x v="0"/>
    <x v="0"/>
    <s v="Mid-level"/>
    <x v="0"/>
    <s v="41-50"/>
    <x v="0"/>
    <s v="21/07/2019"/>
    <s v="27/06/2021"/>
    <n v="6"/>
    <n v="354000"/>
    <n v="4.8"/>
    <n v="16"/>
    <x v="0"/>
  </r>
  <r>
    <s v="MFS-65505"/>
    <s v="Hauwa Bello"/>
    <x v="1"/>
    <x v="3"/>
    <x v="1"/>
    <s v="Mid-level"/>
    <x v="2"/>
    <s v="51-60"/>
    <x v="2"/>
    <s v="01/07/2020"/>
    <s v="27/06/2021"/>
    <n v="5"/>
    <n v="187000"/>
    <n v="3.1"/>
    <n v="4"/>
    <x v="2"/>
  </r>
  <r>
    <s v="MFS-95962"/>
    <s v="Ezinne Okonkwo"/>
    <x v="1"/>
    <x v="1"/>
    <x v="0"/>
    <s v="Junior"/>
    <x v="0"/>
    <s v="22-30"/>
    <x v="2"/>
    <s v="20/09/2019"/>
    <s v="22/03/2022"/>
    <n v="6"/>
    <n v="85000"/>
    <n v="3.7"/>
    <n v="0"/>
    <x v="0"/>
  </r>
  <r>
    <s v="MFS-93991"/>
    <s v="Chiamaka Taiwo"/>
    <x v="1"/>
    <x v="2"/>
    <x v="0"/>
    <s v="Director"/>
    <x v="2"/>
    <s v="51-60"/>
    <x v="4"/>
    <s v="11/12/2020"/>
    <s v="22/03/2022"/>
    <n v="5"/>
    <n v="1058000"/>
    <n v="4.5999999999999996"/>
    <n v="2"/>
    <x v="3"/>
  </r>
  <r>
    <s v="MFS-68930"/>
    <s v="Yetunde Okafor"/>
    <x v="1"/>
    <x v="1"/>
    <x v="0"/>
    <s v="Mid-level"/>
    <x v="0"/>
    <s v="22-30"/>
    <x v="2"/>
    <s v="05/10/2021"/>
    <s v="06/08/2022"/>
    <n v="4"/>
    <n v="272000"/>
    <n v="3.8"/>
    <n v="14"/>
    <x v="1"/>
  </r>
  <r>
    <s v="MFS-12110"/>
    <s v="Funmilayo Okafor"/>
    <x v="1"/>
    <x v="0"/>
    <x v="0"/>
    <s v="Junior"/>
    <x v="0"/>
    <s v="22-30"/>
    <x v="1"/>
    <s v="04/11/2020"/>
    <s v="25/05/2022"/>
    <n v="5"/>
    <n v="169000"/>
    <n v="3.7"/>
    <n v="3"/>
    <x v="1"/>
  </r>
  <r>
    <s v="MFS-28143"/>
    <s v="Femi Obaseki"/>
    <x v="0"/>
    <x v="2"/>
    <x v="0"/>
    <s v="Junior"/>
    <x v="0"/>
    <s v="31-40"/>
    <x v="3"/>
    <s v="28/08/2023"/>
    <s v="27/12/2023"/>
    <n v="2"/>
    <n v="145000"/>
    <n v="2.2000000000000002"/>
    <n v="25"/>
    <x v="0"/>
  </r>
  <r>
    <s v="MFS-47101"/>
    <s v="Abubakar Onwudiwe"/>
    <x v="0"/>
    <x v="3"/>
    <x v="0"/>
    <s v="Mid-level"/>
    <x v="2"/>
    <s v="31-40"/>
    <x v="3"/>
    <s v="21/02/2020"/>
    <s v="27/12/2023"/>
    <n v="6"/>
    <n v="243000"/>
    <n v="3.2"/>
    <n v="3"/>
    <x v="0"/>
  </r>
  <r>
    <s v="MFS-71252"/>
    <s v="Jummai Adeyemi"/>
    <x v="1"/>
    <x v="1"/>
    <x v="2"/>
    <s v="Junior"/>
    <x v="1"/>
    <s v="22-30"/>
    <x v="0"/>
    <s v="27/07/2019"/>
    <s v="27/12/2023"/>
    <n v="6"/>
    <n v="134000"/>
    <n v="3.3"/>
    <n v="40"/>
    <x v="0"/>
  </r>
  <r>
    <s v="MFS-74478"/>
    <s v="Nneka Obi"/>
    <x v="1"/>
    <x v="2"/>
    <x v="0"/>
    <s v="Junior"/>
    <x v="0"/>
    <s v="22-30"/>
    <x v="3"/>
    <s v="23/04/2021"/>
    <s v="27/12/2023"/>
    <n v="4"/>
    <n v="169000"/>
    <n v="3.3"/>
    <n v="11"/>
    <x v="1"/>
  </r>
  <r>
    <s v="MFS-73700"/>
    <s v="Seun Ogundipe"/>
    <x v="0"/>
    <x v="0"/>
    <x v="0"/>
    <s v="Mid-level"/>
    <x v="2"/>
    <s v="31-40"/>
    <x v="2"/>
    <s v="20/03/2021"/>
    <s v="13/07/2023"/>
    <n v="4"/>
    <n v="301000"/>
    <n v="4.9000000000000004"/>
    <n v="2"/>
    <x v="0"/>
  </r>
  <r>
    <s v="MFS-47597"/>
    <s v="Ramatu Okonkwo"/>
    <x v="1"/>
    <x v="2"/>
    <x v="0"/>
    <s v="Junior"/>
    <x v="2"/>
    <s v="41-50"/>
    <x v="2"/>
    <s v="31/05/2022"/>
    <s v="13/07/2023"/>
    <n v="3"/>
    <n v="137000"/>
    <n v="3.5"/>
    <n v="1"/>
    <x v="1"/>
  </r>
  <r>
    <s v="MFS-33315"/>
    <s v="Nasiru Garba"/>
    <x v="0"/>
    <x v="1"/>
    <x v="2"/>
    <s v="Senior"/>
    <x v="1"/>
    <s v="22-30"/>
    <x v="0"/>
    <s v="25/03/2020"/>
    <s v="28/06/2024"/>
    <n v="5"/>
    <n v="421000"/>
    <n v="3.7"/>
    <n v="8"/>
    <x v="0"/>
  </r>
  <r>
    <s v="MFS-52220"/>
    <s v="Chinedu Haruna"/>
    <x v="0"/>
    <x v="4"/>
    <x v="0"/>
    <s v="Manager"/>
    <x v="0"/>
    <s v="22-30"/>
    <x v="0"/>
    <s v="07/09/2020"/>
    <s v="28/06/2024"/>
    <n v="5"/>
    <n v="907000"/>
    <n v="3.8"/>
    <n v="9"/>
    <x v="1"/>
  </r>
  <r>
    <s v="MFS-23096"/>
    <s v="Folake Obaseki"/>
    <x v="1"/>
    <x v="2"/>
    <x v="1"/>
    <s v="Director"/>
    <x v="1"/>
    <s v="22-30"/>
    <x v="2"/>
    <s v="15/03/2020"/>
    <s v="10/12/2020"/>
    <n v="5"/>
    <n v="1429000"/>
    <n v="3.8"/>
    <n v="25"/>
    <x v="0"/>
  </r>
  <r>
    <s v="MFS-35487"/>
    <s v="Uloma Yakubu"/>
    <x v="1"/>
    <x v="0"/>
    <x v="2"/>
    <s v="Junior"/>
    <x v="1"/>
    <s v="22-30"/>
    <x v="2"/>
    <s v="28/02/2022"/>
    <s v="10/12/2020"/>
    <n v="4"/>
    <n v="171000"/>
    <n v="3.2"/>
    <n v="8"/>
    <x v="0"/>
  </r>
  <r>
    <s v="MFS-79395"/>
    <s v="Eze Nnamdi"/>
    <x v="0"/>
    <x v="3"/>
    <x v="1"/>
    <s v="Mid-level"/>
    <x v="2"/>
    <s v="41-50"/>
    <x v="1"/>
    <s v="22/11/2019"/>
    <s v="10/12/2020"/>
    <n v="6"/>
    <n v="341000"/>
    <n v="3.6"/>
    <n v="12"/>
    <x v="1"/>
  </r>
  <r>
    <s v="MFS-25423"/>
    <s v="Obinna Coker"/>
    <x v="0"/>
    <x v="2"/>
    <x v="0"/>
    <s v="Mid-level"/>
    <x v="2"/>
    <s v="31-40"/>
    <x v="0"/>
    <s v="11/10/2022"/>
    <s v="27/09/2023"/>
    <n v="3"/>
    <n v="279000"/>
    <n v="3.9"/>
    <n v="10"/>
    <x v="0"/>
  </r>
  <r>
    <s v="MFS-78319"/>
    <s v="Bilkisu Aliyu"/>
    <x v="1"/>
    <x v="3"/>
    <x v="0"/>
    <s v="Senior"/>
    <x v="0"/>
    <s v="22-30"/>
    <x v="0"/>
    <s v="25/04/2019"/>
    <s v="27/09/2023"/>
    <n v="6"/>
    <n v="488000"/>
    <n v="3.6"/>
    <n v="0"/>
    <x v="3"/>
  </r>
  <r>
    <s v="MFS-43708"/>
    <s v="Eze Chukwu"/>
    <x v="0"/>
    <x v="0"/>
    <x v="0"/>
    <s v="Mid-level"/>
    <x v="0"/>
    <s v="41-50"/>
    <x v="1"/>
    <s v="01/05/2019"/>
    <s v="09/04/2024"/>
    <n v="6"/>
    <n v="326000"/>
    <n v="2.1"/>
    <n v="27"/>
    <x v="0"/>
  </r>
  <r>
    <s v="MFS-68057"/>
    <s v="Nneka Adeyemi"/>
    <x v="1"/>
    <x v="1"/>
    <x v="0"/>
    <s v="Mid-level"/>
    <x v="3"/>
    <s v="41-50"/>
    <x v="0"/>
    <s v="17/04/2020"/>
    <s v="09/04/2024"/>
    <n v="5"/>
    <n v="273000"/>
    <n v="2.1"/>
    <n v="4"/>
    <x v="2"/>
  </r>
  <r>
    <s v="MFS-74021"/>
    <s v="Chinedu Haruna"/>
    <x v="0"/>
    <x v="1"/>
    <x v="0"/>
    <s v="Senior"/>
    <x v="0"/>
    <s v="22-30"/>
    <x v="0"/>
    <s v="28/02/2022"/>
    <s v="13/02/2025"/>
    <n v="4"/>
    <n v="350000"/>
    <n v="3.2"/>
    <n v="12"/>
    <x v="0"/>
  </r>
  <r>
    <s v="MFS-89225"/>
    <s v="Adaeze Adeyemi"/>
    <x v="1"/>
    <x v="4"/>
    <x v="0"/>
    <s v="Junior"/>
    <x v="2"/>
    <s v="22-30"/>
    <x v="2"/>
    <s v="08/01/2023"/>
    <s v="13/02/2025"/>
    <n v="3"/>
    <n v="156000"/>
    <n v="2.4"/>
    <n v="1"/>
    <x v="1"/>
  </r>
  <r>
    <s v="MFS-37550"/>
    <s v="Obiora Uba"/>
    <x v="0"/>
    <x v="4"/>
    <x v="0"/>
    <s v="Junior"/>
    <x v="2"/>
    <s v="31-40"/>
    <x v="0"/>
    <s v="30/04/2021"/>
    <s v="10/08/2022"/>
    <n v="4"/>
    <n v="139000"/>
    <n v="2.8"/>
    <n v="13"/>
    <x v="0"/>
  </r>
  <r>
    <s v="MFS-10140"/>
    <s v="Chibuike Ogundipe"/>
    <x v="0"/>
    <x v="2"/>
    <x v="0"/>
    <s v="Mid-level"/>
    <x v="3"/>
    <s v="22-30"/>
    <x v="2"/>
    <s v="30/11/2021"/>
    <s v="10/08/2022"/>
    <n v="4"/>
    <n v="223000"/>
    <n v="4"/>
    <n v="27"/>
    <x v="0"/>
  </r>
  <r>
    <s v="MFS-14921"/>
    <s v="Chinedu Adebayo"/>
    <x v="0"/>
    <x v="2"/>
    <x v="0"/>
    <s v="Manager"/>
    <x v="1"/>
    <s v="22-30"/>
    <x v="4"/>
    <s v="09/03/2019"/>
    <s v="10/08/2022"/>
    <n v="7"/>
    <n v="690000"/>
    <n v="4.4000000000000004"/>
    <n v="14"/>
    <x v="0"/>
  </r>
  <r>
    <s v="MFS-78547"/>
    <s v="Rukayya Uba"/>
    <x v="1"/>
    <x v="3"/>
    <x v="2"/>
    <s v="Senior"/>
    <x v="2"/>
    <s v="22-30"/>
    <x v="0"/>
    <s v="30/01/2020"/>
    <s v="10/08/2022"/>
    <n v="6"/>
    <n v="556000"/>
    <n v="2.9"/>
    <n v="33"/>
    <x v="0"/>
  </r>
  <r>
    <s v="MFS-81527"/>
    <s v="Chinedu Nnamdi"/>
    <x v="0"/>
    <x v="4"/>
    <x v="1"/>
    <s v="Junior"/>
    <x v="0"/>
    <s v="51-60"/>
    <x v="0"/>
    <s v="31/01/2019"/>
    <s v="10/08/2022"/>
    <n v="7"/>
    <n v="155000"/>
    <n v="3.5"/>
    <n v="8"/>
    <x v="0"/>
  </r>
  <r>
    <s v="MFS-50085"/>
    <s v="Ifeoma Coker"/>
    <x v="1"/>
    <x v="2"/>
    <x v="1"/>
    <s v="Junior"/>
    <x v="0"/>
    <s v="31-40"/>
    <x v="0"/>
    <s v="06/09/2019"/>
    <s v="10/08/2022"/>
    <n v="6"/>
    <n v="109000"/>
    <n v="2.2000000000000002"/>
    <n v="39"/>
    <x v="0"/>
  </r>
  <r>
    <s v="MFS-36623"/>
    <s v="Nana Chukwu"/>
    <x v="1"/>
    <x v="4"/>
    <x v="0"/>
    <s v="Senior"/>
    <x v="3"/>
    <s v="22-30"/>
    <x v="3"/>
    <s v="22/09/2022"/>
    <s v="10/08/2022"/>
    <n v="3"/>
    <n v="595000"/>
    <n v="3.5"/>
    <n v="35"/>
    <x v="0"/>
  </r>
  <r>
    <s v="MFS-26976"/>
    <s v="Hadiza Uba"/>
    <x v="1"/>
    <x v="4"/>
    <x v="1"/>
    <s v="Mid-level"/>
    <x v="0"/>
    <s v="41-50"/>
    <x v="1"/>
    <s v="03/09/2021"/>
    <s v="10/08/2022"/>
    <n v="4"/>
    <n v="280000"/>
    <n v="4.5999999999999996"/>
    <n v="2"/>
    <x v="1"/>
  </r>
  <r>
    <s v="MFS-45935"/>
    <s v="Chukwuemeka Omotayo"/>
    <x v="0"/>
    <x v="4"/>
    <x v="0"/>
    <s v="Director"/>
    <x v="1"/>
    <s v="31-40"/>
    <x v="2"/>
    <s v="09/10/2021"/>
    <s v="29/07/2022"/>
    <n v="4"/>
    <n v="1533000"/>
    <n v="3.1"/>
    <n v="4"/>
    <x v="1"/>
  </r>
  <r>
    <s v="MFS-10566"/>
    <s v="Titi Adebayo"/>
    <x v="1"/>
    <x v="4"/>
    <x v="0"/>
    <s v="Junior"/>
    <x v="1"/>
    <s v="22-30"/>
    <x v="0"/>
    <s v="23/03/2023"/>
    <s v="27/02/2024"/>
    <n v="2"/>
    <n v="143000"/>
    <n v="2.6"/>
    <n v="6"/>
    <x v="0"/>
  </r>
  <r>
    <s v="MFS-53384"/>
    <s v="Danladi Adeyemi"/>
    <x v="0"/>
    <x v="0"/>
    <x v="0"/>
    <s v="Mid-level"/>
    <x v="2"/>
    <s v="31-40"/>
    <x v="1"/>
    <s v="25/02/2021"/>
    <s v="27/02/2024"/>
    <n v="5"/>
    <n v="247000"/>
    <n v="4.4000000000000004"/>
    <n v="23"/>
    <x v="0"/>
  </r>
  <r>
    <s v="MFS-99582"/>
    <s v="Eze Adesanya"/>
    <x v="0"/>
    <x v="4"/>
    <x v="0"/>
    <s v="Mid-level"/>
    <x v="2"/>
    <s v="31-40"/>
    <x v="0"/>
    <s v="05/02/2023"/>
    <s v="27/02/2024"/>
    <n v="3"/>
    <n v="315000"/>
    <n v="2.4"/>
    <n v="5"/>
    <x v="1"/>
  </r>
  <r>
    <s v="MFS-12841"/>
    <s v="Chukwudi Ogundipe"/>
    <x v="0"/>
    <x v="3"/>
    <x v="2"/>
    <s v="Mid-level"/>
    <x v="2"/>
    <s v="51-60"/>
    <x v="0"/>
    <s v="14/11/2020"/>
    <s v="22/10/2022"/>
    <n v="5"/>
    <n v="326000"/>
    <n v="2.4"/>
    <n v="13"/>
    <x v="0"/>
  </r>
  <r>
    <s v="MFS-29542"/>
    <s v="Ugochi Okonkwo"/>
    <x v="1"/>
    <x v="3"/>
    <x v="1"/>
    <s v="Senior"/>
    <x v="1"/>
    <s v="31-40"/>
    <x v="0"/>
    <s v="24/08/2020"/>
    <s v="22/10/2022"/>
    <n v="5"/>
    <n v="363000"/>
    <n v="3.7"/>
    <n v="4"/>
    <x v="0"/>
  </r>
  <r>
    <s v="MFS-86412"/>
    <s v="Hauwa Eze"/>
    <x v="1"/>
    <x v="4"/>
    <x v="1"/>
    <s v="Mid-level"/>
    <x v="2"/>
    <s v="31-40"/>
    <x v="1"/>
    <s v="03/05/2019"/>
    <s v="22/10/2022"/>
    <n v="6"/>
    <n v="224000"/>
    <n v="2.7"/>
    <n v="10"/>
    <x v="0"/>
  </r>
  <r>
    <s v="MFS-48881"/>
    <s v="Shehu Abdullahi"/>
    <x v="0"/>
    <x v="2"/>
    <x v="0"/>
    <s v="Mid-level"/>
    <x v="2"/>
    <s v="22-30"/>
    <x v="0"/>
    <s v="26/05/2021"/>
    <s v="22/10/2022"/>
    <n v="4"/>
    <n v="319000"/>
    <n v="2.8"/>
    <n v="8"/>
    <x v="1"/>
  </r>
  <r>
    <s v="MFS-74628"/>
    <s v="Kunle Haruna"/>
    <x v="0"/>
    <x v="4"/>
    <x v="1"/>
    <s v="Senior"/>
    <x v="2"/>
    <s v="22-30"/>
    <x v="2"/>
    <s v="11/08/2023"/>
    <s v="07/12/2024"/>
    <n v="2"/>
    <n v="495000"/>
    <n v="4.0999999999999996"/>
    <n v="1"/>
    <x v="0"/>
  </r>
  <r>
    <s v="MFS-59323"/>
    <s v="Haruna Adebayo"/>
    <x v="0"/>
    <x v="4"/>
    <x v="1"/>
    <s v="Mid-level"/>
    <x v="2"/>
    <s v="22-30"/>
    <x v="2"/>
    <s v="28/10/2020"/>
    <s v="07/12/2024"/>
    <n v="5"/>
    <n v="336000"/>
    <n v="3.8"/>
    <n v="9"/>
    <x v="1"/>
  </r>
  <r>
    <s v="MFS-29917"/>
    <s v="Jummai Nnamdi"/>
    <x v="1"/>
    <x v="4"/>
    <x v="2"/>
    <s v="Junior"/>
    <x v="0"/>
    <s v="41-50"/>
    <x v="2"/>
    <s v="13/09/2021"/>
    <s v="22/01/2023"/>
    <n v="4"/>
    <n v="146000"/>
    <n v="2.2000000000000002"/>
    <n v="9"/>
    <x v="1"/>
  </r>
  <r>
    <s v="MFS-60209"/>
    <s v="Adeola Afolabi"/>
    <x v="0"/>
    <x v="1"/>
    <x v="0"/>
    <s v="Junior"/>
    <x v="0"/>
    <s v="31-40"/>
    <x v="2"/>
    <s v="21/05/2019"/>
    <s v="28/12/2023"/>
    <n v="6"/>
    <n v="115000"/>
    <n v="4"/>
    <n v="11"/>
    <x v="0"/>
  </r>
  <r>
    <s v="MFS-72861"/>
    <s v="Femi Abdullahi"/>
    <x v="0"/>
    <x v="3"/>
    <x v="0"/>
    <s v="Senior"/>
    <x v="0"/>
    <s v="41-50"/>
    <x v="3"/>
    <s v="10/03/2019"/>
    <s v="28/12/2023"/>
    <n v="7"/>
    <n v="419000"/>
    <n v="4.4000000000000004"/>
    <n v="4"/>
    <x v="0"/>
  </r>
  <r>
    <s v="MFS-74553"/>
    <s v="Yemi Adewale"/>
    <x v="1"/>
    <x v="0"/>
    <x v="0"/>
    <s v="Junior"/>
    <x v="0"/>
    <s v="22-30"/>
    <x v="0"/>
    <s v="26/06/2023"/>
    <s v="28/12/2023"/>
    <n v="2"/>
    <n v="166000"/>
    <n v="2.1"/>
    <n v="12"/>
    <x v="1"/>
  </r>
  <r>
    <s v="MFS-23229"/>
    <s v="Laraba Fagbemi"/>
    <x v="1"/>
    <x v="2"/>
    <x v="2"/>
    <s v="Mid-level"/>
    <x v="0"/>
    <s v="41-50"/>
    <x v="2"/>
    <s v="11/12/2019"/>
    <s v="06/04/2023"/>
    <n v="6"/>
    <n v="217000"/>
    <n v="3.1"/>
    <n v="7"/>
    <x v="0"/>
  </r>
  <r>
    <s v="MFS-33348"/>
    <s v="Chinedu Chukwu"/>
    <x v="0"/>
    <x v="2"/>
    <x v="0"/>
    <s v="Junior"/>
    <x v="0"/>
    <s v="41-50"/>
    <x v="2"/>
    <s v="06/12/2019"/>
    <s v="06/04/2023"/>
    <n v="6"/>
    <n v="99000"/>
    <n v="3.4"/>
    <n v="9"/>
    <x v="1"/>
  </r>
  <r>
    <s v="MFS-43557"/>
    <s v="Ngozi Ogundipe"/>
    <x v="1"/>
    <x v="2"/>
    <x v="2"/>
    <s v="Mid-level"/>
    <x v="0"/>
    <s v="31-40"/>
    <x v="2"/>
    <s v="02/01/2022"/>
    <s v="19/12/2024"/>
    <n v="4"/>
    <n v="324000"/>
    <n v="3"/>
    <n v="12"/>
    <x v="1"/>
  </r>
  <r>
    <s v="MFS-19753"/>
    <s v="Chibuike Ogbonna"/>
    <x v="0"/>
    <x v="4"/>
    <x v="0"/>
    <s v="Mid-level"/>
    <x v="0"/>
    <s v="22-30"/>
    <x v="2"/>
    <s v="25/05/2019"/>
    <s v="28/09/2021"/>
    <n v="6"/>
    <n v="207000"/>
    <n v="2.8"/>
    <n v="7"/>
    <x v="1"/>
  </r>
  <r>
    <s v="MFS-34926"/>
    <s v="Babatunde Ogbonna"/>
    <x v="0"/>
    <x v="1"/>
    <x v="2"/>
    <s v="Senior"/>
    <x v="2"/>
    <s v="22-30"/>
    <x v="2"/>
    <s v="12/05/2020"/>
    <s v="27/12/2024"/>
    <n v="5"/>
    <n v="440000"/>
    <n v="3.3"/>
    <n v="12"/>
    <x v="0"/>
  </r>
  <r>
    <s v="MFS-41860"/>
    <s v="Wale Adesanya"/>
    <x v="0"/>
    <x v="4"/>
    <x v="0"/>
    <s v="Director"/>
    <x v="2"/>
    <s v="31-40"/>
    <x v="2"/>
    <s v="10/04/2020"/>
    <s v="27/12/2024"/>
    <n v="5"/>
    <n v="1067000"/>
    <n v="4.5"/>
    <n v="6"/>
    <x v="0"/>
  </r>
  <r>
    <s v="MFS-69464"/>
    <s v="Aliyu Nwosu"/>
    <x v="0"/>
    <x v="2"/>
    <x v="2"/>
    <s v="Mid-level"/>
    <x v="0"/>
    <s v="51-60"/>
    <x v="2"/>
    <s v="04/06/2023"/>
    <s v="27/12/2024"/>
    <n v="2"/>
    <n v="198000"/>
    <n v="3.2"/>
    <n v="4"/>
    <x v="1"/>
  </r>
  <r>
    <s v="MFS-79533"/>
    <s v="Babatunde Okonkwo"/>
    <x v="0"/>
    <x v="3"/>
    <x v="0"/>
    <s v="Senior"/>
    <x v="0"/>
    <s v="22-30"/>
    <x v="0"/>
    <s v="10/05/2022"/>
    <s v="17/06/2024"/>
    <n v="3"/>
    <n v="586000"/>
    <n v="4"/>
    <n v="5"/>
    <x v="0"/>
  </r>
  <r>
    <s v="MFS-44548"/>
    <s v="Biodun Danladi"/>
    <x v="0"/>
    <x v="0"/>
    <x v="1"/>
    <s v="Mid-level"/>
    <x v="0"/>
    <s v="51-60"/>
    <x v="0"/>
    <s v="16/02/2019"/>
    <s v="17/06/2024"/>
    <n v="7"/>
    <n v="385000"/>
    <n v="4"/>
    <n v="10"/>
    <x v="0"/>
  </r>
  <r>
    <s v="MFS-37591"/>
    <s v="Tunde Adebayo"/>
    <x v="0"/>
    <x v="0"/>
    <x v="0"/>
    <s v="Mid-level"/>
    <x v="2"/>
    <s v="22-30"/>
    <x v="0"/>
    <s v="06/12/2023"/>
    <s v="17/06/2024"/>
    <n v="2"/>
    <n v="300000"/>
    <n v="2.8"/>
    <n v="12"/>
    <x v="0"/>
  </r>
  <r>
    <s v="MFS-16822"/>
    <s v="Kabiru Taiwo"/>
    <x v="0"/>
    <x v="1"/>
    <x v="0"/>
    <s v="Senior"/>
    <x v="1"/>
    <s v="31-40"/>
    <x v="0"/>
    <s v="05/10/2021"/>
    <s v="17/06/2024"/>
    <n v="4"/>
    <n v="393000"/>
    <n v="4.7"/>
    <n v="8"/>
    <x v="0"/>
  </r>
  <r>
    <s v="MFS-85636"/>
    <s v="Bilkisu Uba"/>
    <x v="1"/>
    <x v="2"/>
    <x v="2"/>
    <s v="Junior"/>
    <x v="1"/>
    <s v="41-50"/>
    <x v="2"/>
    <s v="14/09/2020"/>
    <s v="17/06/2024"/>
    <n v="5"/>
    <n v="114000"/>
    <n v="4.9000000000000004"/>
    <n v="1"/>
    <x v="1"/>
  </r>
  <r>
    <s v="MFS-67361"/>
    <s v="Ifeoma Adewale"/>
    <x v="1"/>
    <x v="4"/>
    <x v="1"/>
    <s v="Mid-level"/>
    <x v="0"/>
    <s v="31-40"/>
    <x v="0"/>
    <s v="03/01/2022"/>
    <s v="04/09/2024"/>
    <n v="4"/>
    <n v="182000"/>
    <n v="1.9"/>
    <n v="10"/>
    <x v="1"/>
  </r>
  <r>
    <s v="MFS-14561"/>
    <s v="Oghenekaro Fagbemi"/>
    <x v="0"/>
    <x v="4"/>
    <x v="0"/>
    <s v="Mid-level"/>
    <x v="3"/>
    <s v="22-30"/>
    <x v="1"/>
    <s v="31/01/2021"/>
    <s v="22/03/2024"/>
    <n v="5"/>
    <n v="255000"/>
    <n v="2.2000000000000002"/>
    <n v="26"/>
    <x v="0"/>
  </r>
  <r>
    <s v="MFS-44416"/>
    <s v="Folake Fagbemi"/>
    <x v="1"/>
    <x v="0"/>
    <x v="0"/>
    <s v="Mid-level"/>
    <x v="2"/>
    <s v="51-60"/>
    <x v="3"/>
    <s v="19/10/2023"/>
    <s v="22/03/2024"/>
    <n v="2"/>
    <n v="204000"/>
    <n v="3.1"/>
    <n v="0"/>
    <x v="0"/>
  </r>
  <r>
    <s v="MFS-96836"/>
    <s v="Adebayo Coker"/>
    <x v="0"/>
    <x v="3"/>
    <x v="2"/>
    <s v="Senior"/>
    <x v="0"/>
    <s v="51-60"/>
    <x v="2"/>
    <s v="15/01/2021"/>
    <s v="22/03/2024"/>
    <n v="5"/>
    <n v="440000"/>
    <n v="4.5"/>
    <n v="7"/>
    <x v="0"/>
  </r>
  <r>
    <s v="MFS-39639"/>
    <s v="Obiora Nwosu"/>
    <x v="0"/>
    <x v="1"/>
    <x v="2"/>
    <s v="Mid-level"/>
    <x v="0"/>
    <s v="31-40"/>
    <x v="0"/>
    <s v="05/08/2021"/>
    <s v="22/03/2024"/>
    <n v="4"/>
    <n v="198000"/>
    <n v="3.9"/>
    <n v="0"/>
    <x v="0"/>
  </r>
  <r>
    <s v="MFS-24021"/>
    <s v="Ifeanyi Haruna"/>
    <x v="0"/>
    <x v="4"/>
    <x v="2"/>
    <s v="Junior"/>
    <x v="0"/>
    <s v="41-50"/>
    <x v="0"/>
    <s v="06/10/2019"/>
    <s v="22/03/2024"/>
    <n v="6"/>
    <n v="114000"/>
    <n v="2.7"/>
    <n v="7"/>
    <x v="0"/>
  </r>
  <r>
    <s v="MFS-96895"/>
    <s v="Bimpe Ihejirika"/>
    <x v="1"/>
    <x v="4"/>
    <x v="0"/>
    <s v="Junior"/>
    <x v="1"/>
    <s v="22-30"/>
    <x v="0"/>
    <s v="26/10/2022"/>
    <s v="22/03/2024"/>
    <n v="3"/>
    <n v="153000"/>
    <n v="2.9"/>
    <n v="4"/>
    <x v="0"/>
  </r>
  <r>
    <s v="MFS-40433"/>
    <s v="Wale Eze"/>
    <x v="0"/>
    <x v="2"/>
    <x v="0"/>
    <s v="Junior"/>
    <x v="1"/>
    <s v="51-60"/>
    <x v="0"/>
    <s v="23/06/2021"/>
    <s v="22/03/2024"/>
    <n v="4"/>
    <n v="175000"/>
    <n v="5"/>
    <n v="6"/>
    <x v="0"/>
  </r>
  <r>
    <s v="MFS-95519"/>
    <s v="Kemi Aliyu"/>
    <x v="1"/>
    <x v="3"/>
    <x v="0"/>
    <s v="Senior"/>
    <x v="2"/>
    <s v="22-30"/>
    <x v="0"/>
    <s v="23/08/2022"/>
    <s v="22/03/2024"/>
    <n v="3"/>
    <n v="390000"/>
    <n v="4.8"/>
    <n v="7"/>
    <x v="0"/>
  </r>
  <r>
    <s v="MFS-36546"/>
    <s v="Suleiman Okafor"/>
    <x v="0"/>
    <x v="4"/>
    <x v="2"/>
    <s v="Mid-level"/>
    <x v="2"/>
    <s v="22-30"/>
    <x v="4"/>
    <s v="23/06/2023"/>
    <s v="22/03/2024"/>
    <n v="2"/>
    <n v="190000"/>
    <n v="2.6"/>
    <n v="4"/>
    <x v="1"/>
  </r>
  <r>
    <s v="MFS-35387"/>
    <s v="Nkechi Oyelaran"/>
    <x v="1"/>
    <x v="0"/>
    <x v="2"/>
    <s v="Senior"/>
    <x v="3"/>
    <s v="41-50"/>
    <x v="2"/>
    <s v="01/10/2023"/>
    <s v="05/02/2025"/>
    <n v="2"/>
    <n v="549000"/>
    <n v="3.3"/>
    <n v="10"/>
    <x v="0"/>
  </r>
  <r>
    <s v="MFS-14872"/>
    <s v="Ebuka Taiwo"/>
    <x v="0"/>
    <x v="3"/>
    <x v="0"/>
    <s v="Manager"/>
    <x v="2"/>
    <s v="41-50"/>
    <x v="1"/>
    <s v="25/04/2020"/>
    <s v="05/02/2025"/>
    <n v="5"/>
    <n v="824000"/>
    <n v="4"/>
    <n v="4"/>
    <x v="0"/>
  </r>
  <r>
    <s v="MFS-49131"/>
    <s v="Ebuka Abdullahi"/>
    <x v="0"/>
    <x v="2"/>
    <x v="0"/>
    <s v="Senior"/>
    <x v="2"/>
    <s v="22-30"/>
    <x v="0"/>
    <s v="14/02/2020"/>
    <s v="05/02/2025"/>
    <n v="6"/>
    <n v="472000"/>
    <n v="4.7"/>
    <n v="9"/>
    <x v="0"/>
  </r>
  <r>
    <s v="MFS-39182"/>
    <s v="Gbenga Lawal"/>
    <x v="0"/>
    <x v="1"/>
    <x v="0"/>
    <s v="Mid-level"/>
    <x v="0"/>
    <s v="31-40"/>
    <x v="1"/>
    <s v="11/05/2019"/>
    <s v="05/02/2025"/>
    <n v="6"/>
    <n v="208000"/>
    <n v="2.2000000000000002"/>
    <n v="1"/>
    <x v="1"/>
  </r>
  <r>
    <s v="MFS-46264"/>
    <s v="Jummai Okonkwo"/>
    <x v="1"/>
    <x v="4"/>
    <x v="2"/>
    <s v="Junior"/>
    <x v="0"/>
    <s v="31-40"/>
    <x v="0"/>
    <s v="13/06/2022"/>
    <s v="26/09/2023"/>
    <n v="3"/>
    <n v="87000"/>
    <n v="1.7"/>
    <n v="1"/>
    <x v="1"/>
  </r>
  <r>
    <s v="MFS-24201"/>
    <s v="Uloma Nwachukwu"/>
    <x v="1"/>
    <x v="2"/>
    <x v="2"/>
    <s v="Senior"/>
    <x v="2"/>
    <s v="22-30"/>
    <x v="3"/>
    <s v="02/11/2020"/>
    <s v="30/01/2024"/>
    <n v="5"/>
    <n v="483000"/>
    <n v="2"/>
    <n v="11"/>
    <x v="0"/>
  </r>
  <r>
    <s v="MFS-91820"/>
    <s v="Chukwudi Buhari"/>
    <x v="0"/>
    <x v="4"/>
    <x v="0"/>
    <s v="Mid-level"/>
    <x v="3"/>
    <s v="31-40"/>
    <x v="1"/>
    <s v="22/12/2023"/>
    <s v="30/01/2024"/>
    <n v="2"/>
    <n v="294000"/>
    <n v="4.8"/>
    <n v="14"/>
    <x v="0"/>
  </r>
  <r>
    <s v="MFS-81197"/>
    <s v="Chukwuemeka Uba"/>
    <x v="0"/>
    <x v="4"/>
    <x v="2"/>
    <s v="Senior"/>
    <x v="1"/>
    <s v="22-30"/>
    <x v="2"/>
    <s v="29/04/2023"/>
    <s v="30/01/2024"/>
    <n v="2"/>
    <n v="594000"/>
    <n v="2.7"/>
    <n v="3"/>
    <x v="1"/>
  </r>
  <r>
    <s v="MFS-92883"/>
    <s v="Jummai Obi"/>
    <x v="1"/>
    <x v="1"/>
    <x v="0"/>
    <s v="Senior"/>
    <x v="2"/>
    <s v="51-60"/>
    <x v="2"/>
    <s v="27/05/2019"/>
    <s v="18/11/2024"/>
    <n v="6"/>
    <n v="377000"/>
    <n v="2.7"/>
    <n v="6"/>
    <x v="0"/>
  </r>
  <r>
    <s v="MFS-67616"/>
    <s v="Nneka Haruna"/>
    <x v="1"/>
    <x v="2"/>
    <x v="2"/>
    <s v="Junior"/>
    <x v="0"/>
    <s v="22-30"/>
    <x v="2"/>
    <s v="01/04/2020"/>
    <s v="18/11/2024"/>
    <n v="5"/>
    <n v="142000"/>
    <n v="3"/>
    <n v="22"/>
    <x v="0"/>
  </r>
  <r>
    <s v="MFS-79132"/>
    <s v="Ugochi Danladi"/>
    <x v="1"/>
    <x v="2"/>
    <x v="0"/>
    <s v="Mid-level"/>
    <x v="3"/>
    <s v="31-40"/>
    <x v="0"/>
    <s v="30/03/2021"/>
    <s v="18/11/2024"/>
    <n v="4"/>
    <n v="309000"/>
    <n v="3.6"/>
    <n v="7"/>
    <x v="0"/>
  </r>
  <r>
    <s v="MFS-61266"/>
    <s v="Femi Nwosu"/>
    <x v="0"/>
    <x v="3"/>
    <x v="0"/>
    <s v="Senior"/>
    <x v="3"/>
    <s v="31-40"/>
    <x v="1"/>
    <s v="30/08/2023"/>
    <s v="18/11/2024"/>
    <n v="2"/>
    <n v="585000"/>
    <n v="2.4"/>
    <n v="7"/>
    <x v="1"/>
  </r>
  <r>
    <s v="MFS-73318"/>
    <s v="Nnamdi Adewale"/>
    <x v="0"/>
    <x v="3"/>
    <x v="0"/>
    <s v="Manager"/>
    <x v="0"/>
    <s v="22-30"/>
    <x v="3"/>
    <s v="01/02/2020"/>
    <s v="26/04/2023"/>
    <n v="6"/>
    <n v="693000"/>
    <n v="3.4"/>
    <n v="13"/>
    <x v="0"/>
  </r>
  <r>
    <s v="MFS-89900"/>
    <s v="Wale Obi"/>
    <x v="0"/>
    <x v="1"/>
    <x v="1"/>
    <s v="Mid-level"/>
    <x v="0"/>
    <s v="22-30"/>
    <x v="0"/>
    <s v="24/05/2020"/>
    <s v="26/04/2023"/>
    <n v="5"/>
    <n v="322000"/>
    <n v="5"/>
    <n v="0"/>
    <x v="0"/>
  </r>
  <r>
    <s v="MFS-74204"/>
    <s v="Hadiza Adebayo"/>
    <x v="1"/>
    <x v="0"/>
    <x v="0"/>
    <s v="Mid-level"/>
    <x v="0"/>
    <s v="41-50"/>
    <x v="0"/>
    <s v="26/10/2022"/>
    <s v="26/04/2023"/>
    <n v="3"/>
    <n v="293000"/>
    <n v="3.7"/>
    <n v="0"/>
    <x v="2"/>
  </r>
  <r>
    <s v="MFS-66979"/>
    <s v="Abubakar Nwachukwu"/>
    <x v="0"/>
    <x v="4"/>
    <x v="0"/>
    <s v="Junior"/>
    <x v="0"/>
    <s v="22-30"/>
    <x v="0"/>
    <s v="20/06/2021"/>
    <s v="30/04/2024"/>
    <n v="4"/>
    <n v="174000"/>
    <n v="2.1"/>
    <n v="9"/>
    <x v="0"/>
  </r>
  <r>
    <s v="MFS-97431"/>
    <s v="Nana Okafor"/>
    <x v="1"/>
    <x v="2"/>
    <x v="0"/>
    <s v="Mid-level"/>
    <x v="0"/>
    <s v="31-40"/>
    <x v="0"/>
    <s v="17/07/2023"/>
    <s v="30/04/2024"/>
    <n v="2"/>
    <n v="236000"/>
    <n v="3.8"/>
    <n v="7"/>
    <x v="0"/>
  </r>
  <r>
    <s v="MFS-98113"/>
    <s v="Wale Oyelaran"/>
    <x v="0"/>
    <x v="3"/>
    <x v="1"/>
    <s v="Junior"/>
    <x v="2"/>
    <s v="22-30"/>
    <x v="2"/>
    <s v="01/08/2023"/>
    <s v="30/04/2024"/>
    <n v="2"/>
    <n v="123000"/>
    <n v="2.7"/>
    <n v="12"/>
    <x v="0"/>
  </r>
  <r>
    <s v="MFS-88436"/>
    <s v="Obinna Afolabi"/>
    <x v="0"/>
    <x v="1"/>
    <x v="0"/>
    <s v="Senior"/>
    <x v="0"/>
    <s v="31-40"/>
    <x v="1"/>
    <s v="09/10/2021"/>
    <s v="30/04/2024"/>
    <n v="4"/>
    <n v="460000"/>
    <n v="5"/>
    <n v="1"/>
    <x v="0"/>
  </r>
  <r>
    <s v="MFS-78719"/>
    <s v="Nneka Obi"/>
    <x v="1"/>
    <x v="4"/>
    <x v="2"/>
    <s v="Junior"/>
    <x v="1"/>
    <s v="22-30"/>
    <x v="0"/>
    <s v="15/07/2020"/>
    <s v="30/04/2024"/>
    <n v="5"/>
    <n v="120000"/>
    <n v="2.4"/>
    <n v="14"/>
    <x v="0"/>
  </r>
  <r>
    <s v="MFS-81057"/>
    <s v="Ifeanyi Ihejirika"/>
    <x v="0"/>
    <x v="4"/>
    <x v="0"/>
    <s v="Manager"/>
    <x v="0"/>
    <s v="51-60"/>
    <x v="1"/>
    <s v="19/02/2019"/>
    <s v="30/04/2024"/>
    <n v="7"/>
    <n v="812000"/>
    <n v="4"/>
    <n v="7"/>
    <x v="0"/>
  </r>
  <r>
    <s v="MFS-11267"/>
    <s v="Ifeanyi Suleiman"/>
    <x v="0"/>
    <x v="0"/>
    <x v="0"/>
    <s v="Senior"/>
    <x v="0"/>
    <s v="31-40"/>
    <x v="0"/>
    <s v="27/03/2019"/>
    <s v="30/04/2024"/>
    <n v="6"/>
    <n v="527000"/>
    <n v="4.4000000000000004"/>
    <n v="14"/>
    <x v="0"/>
  </r>
  <r>
    <s v="MFS-31912"/>
    <s v="Maryam Adebayo"/>
    <x v="1"/>
    <x v="2"/>
    <x v="2"/>
    <s v="Senior"/>
    <x v="0"/>
    <s v="31-40"/>
    <x v="2"/>
    <s v="11/05/2021"/>
    <s v="30/04/2024"/>
    <n v="4"/>
    <n v="429000"/>
    <n v="4.9000000000000004"/>
    <n v="14"/>
    <x v="2"/>
  </r>
  <r>
    <s v="MFS-45307"/>
    <s v="Aliyu Shehu"/>
    <x v="0"/>
    <x v="2"/>
    <x v="0"/>
    <s v="Mid-level"/>
    <x v="0"/>
    <s v="31-40"/>
    <x v="2"/>
    <s v="23/04/2020"/>
    <s v="09/06/2023"/>
    <n v="5"/>
    <n v="249000"/>
    <n v="4.0999999999999996"/>
    <n v="0"/>
    <x v="0"/>
  </r>
  <r>
    <s v="MFS-96511"/>
    <s v="Suleiman Danladi"/>
    <x v="0"/>
    <x v="2"/>
    <x v="2"/>
    <s v="Senior"/>
    <x v="0"/>
    <s v="31-40"/>
    <x v="0"/>
    <s v="26/02/2019"/>
    <s v="09/06/2023"/>
    <n v="7"/>
    <n v="379000"/>
    <n v="4.9000000000000004"/>
    <n v="4"/>
    <x v="0"/>
  </r>
  <r>
    <s v="MFS-14346"/>
    <s v="Haruna Haruna"/>
    <x v="0"/>
    <x v="2"/>
    <x v="0"/>
    <s v="Junior"/>
    <x v="1"/>
    <s v="51-60"/>
    <x v="2"/>
    <s v="04/07/2021"/>
    <s v="09/06/2023"/>
    <n v="4"/>
    <n v="116000"/>
    <n v="4.4000000000000004"/>
    <n v="6"/>
    <x v="0"/>
  </r>
  <r>
    <s v="MFS-26827"/>
    <s v="Nasiru Aliyu"/>
    <x v="0"/>
    <x v="3"/>
    <x v="0"/>
    <s v="Senior"/>
    <x v="1"/>
    <s v="31-40"/>
    <x v="0"/>
    <s v="14/07/2020"/>
    <s v="09/06/2023"/>
    <n v="5"/>
    <n v="449000"/>
    <n v="3"/>
    <n v="12"/>
    <x v="0"/>
  </r>
  <r>
    <s v="MFS-30284"/>
    <s v="Laraba Buhari"/>
    <x v="1"/>
    <x v="2"/>
    <x v="2"/>
    <s v="Junior"/>
    <x v="0"/>
    <s v="22-30"/>
    <x v="4"/>
    <s v="27/03/2021"/>
    <s v="09/06/2023"/>
    <n v="4"/>
    <n v="99000"/>
    <n v="3.9"/>
    <n v="1"/>
    <x v="2"/>
  </r>
  <r>
    <s v="MFS-26094"/>
    <s v="Chiamaka Adeyemi"/>
    <x v="1"/>
    <x v="2"/>
    <x v="0"/>
    <s v="Senior"/>
    <x v="1"/>
    <s v="22-30"/>
    <x v="0"/>
    <s v="31/07/2022"/>
    <s v="27/11/2024"/>
    <n v="3"/>
    <n v="595000"/>
    <n v="3"/>
    <n v="2"/>
    <x v="0"/>
  </r>
  <r>
    <s v="MFS-90716"/>
    <s v="Nasiru Ihejirika"/>
    <x v="0"/>
    <x v="2"/>
    <x v="0"/>
    <s v="Junior"/>
    <x v="1"/>
    <s v="41-50"/>
    <x v="0"/>
    <s v="29/08/2022"/>
    <s v="27/11/2024"/>
    <n v="3"/>
    <n v="108000"/>
    <n v="2.9"/>
    <n v="7"/>
    <x v="0"/>
  </r>
  <r>
    <s v="MFS-41003"/>
    <s v="Dele Okafor"/>
    <x v="0"/>
    <x v="3"/>
    <x v="2"/>
    <s v="Junior"/>
    <x v="0"/>
    <s v="31-40"/>
    <x v="1"/>
    <s v="12/11/2023"/>
    <s v="27/11/2024"/>
    <n v="2"/>
    <n v="157000"/>
    <n v="3.7"/>
    <n v="34"/>
    <x v="1"/>
  </r>
  <r>
    <s v="MFS-70541"/>
    <s v="Ifeanyi Omotayo"/>
    <x v="0"/>
    <x v="4"/>
    <x v="0"/>
    <s v="Senior"/>
    <x v="1"/>
    <s v="31-40"/>
    <x v="3"/>
    <s v="21/08/2020"/>
    <s v="24/06/2021"/>
    <n v="5"/>
    <n v="437000"/>
    <n v="3.9"/>
    <n v="4"/>
    <x v="2"/>
  </r>
  <r>
    <s v="MFS-42810"/>
    <s v="Ngozi Coker"/>
    <x v="1"/>
    <x v="3"/>
    <x v="0"/>
    <s v="Senior"/>
    <x v="0"/>
    <s v="22-30"/>
    <x v="2"/>
    <s v="14/02/2023"/>
    <s v="17/03/2025"/>
    <n v="3"/>
    <n v="570000"/>
    <n v="2"/>
    <n v="9"/>
    <x v="2"/>
  </r>
  <r>
    <s v="MFS-19870"/>
    <s v="Adaeze Adeyemi"/>
    <x v="1"/>
    <x v="4"/>
    <x v="2"/>
    <s v="Senior"/>
    <x v="0"/>
    <s v="31-40"/>
    <x v="2"/>
    <s v="03/07/2022"/>
    <s v="05/03/2025"/>
    <n v="3"/>
    <n v="402000"/>
    <n v="3.2"/>
    <n v="2"/>
    <x v="3"/>
  </r>
  <r>
    <s v="MFS-64803"/>
    <s v="Danladi Coker"/>
    <x v="0"/>
    <x v="1"/>
    <x v="0"/>
    <s v="Mid-level"/>
    <x v="0"/>
    <s v="31-40"/>
    <x v="1"/>
    <s v="18/08/2021"/>
    <s v="26/04/2022"/>
    <n v="4"/>
    <n v="180000"/>
    <n v="4.7"/>
    <n v="1"/>
    <x v="1"/>
  </r>
  <r>
    <s v="MFS-93060"/>
    <s v="Aliyu Afolabi"/>
    <x v="0"/>
    <x v="3"/>
    <x v="0"/>
    <s v="Mid-level"/>
    <x v="0"/>
    <s v="41-50"/>
    <x v="3"/>
    <s v="12/06/2023"/>
    <s v="14/02/2022"/>
    <n v="2"/>
    <n v="211000"/>
    <n v="3.3"/>
    <n v="1"/>
    <x v="0"/>
  </r>
  <r>
    <s v="MFS-72163"/>
    <s v="Danladi Omotayo"/>
    <x v="0"/>
    <x v="1"/>
    <x v="0"/>
    <s v="Junior"/>
    <x v="1"/>
    <s v="41-50"/>
    <x v="0"/>
    <s v="24/02/2022"/>
    <s v="14/02/2022"/>
    <n v="4"/>
    <n v="100000"/>
    <n v="3.1"/>
    <n v="12"/>
    <x v="0"/>
  </r>
  <r>
    <s v="MFS-85191"/>
    <s v="Ugochi Nnamdi"/>
    <x v="1"/>
    <x v="0"/>
    <x v="0"/>
    <s v="Junior"/>
    <x v="0"/>
    <s v="22-30"/>
    <x v="0"/>
    <s v="23/06/2019"/>
    <s v="14/02/2022"/>
    <n v="6"/>
    <n v="114000"/>
    <n v="3.7"/>
    <n v="21"/>
    <x v="0"/>
  </r>
  <r>
    <s v="MFS-51388"/>
    <s v="Femi Onwudiwe"/>
    <x v="0"/>
    <x v="2"/>
    <x v="0"/>
    <s v="Mid-level"/>
    <x v="0"/>
    <s v="22-30"/>
    <x v="0"/>
    <s v="17/09/2020"/>
    <s v="14/02/2022"/>
    <n v="5"/>
    <n v="182000"/>
    <n v="4.5"/>
    <n v="2"/>
    <x v="0"/>
  </r>
  <r>
    <s v="MFS-90751"/>
    <s v="Danladi Oyelaran"/>
    <x v="0"/>
    <x v="0"/>
    <x v="0"/>
    <s v="Junior"/>
    <x v="3"/>
    <s v="41-50"/>
    <x v="0"/>
    <s v="05/07/2021"/>
    <s v="14/02/2022"/>
    <n v="4"/>
    <n v="127000"/>
    <n v="4"/>
    <n v="10"/>
    <x v="0"/>
  </r>
  <r>
    <s v="MFS-87553"/>
    <s v="Maryam Adewale"/>
    <x v="1"/>
    <x v="0"/>
    <x v="2"/>
    <s v="Senior"/>
    <x v="0"/>
    <s v="51-60"/>
    <x v="0"/>
    <s v="08/07/2021"/>
    <s v="14/02/2022"/>
    <n v="4"/>
    <n v="424000"/>
    <n v="4.5999999999999996"/>
    <n v="4"/>
    <x v="1"/>
  </r>
  <r>
    <s v="MFS-82387"/>
    <s v="Musa Nwosu"/>
    <x v="0"/>
    <x v="2"/>
    <x v="0"/>
    <s v="Mid-level"/>
    <x v="0"/>
    <s v="22-30"/>
    <x v="4"/>
    <s v="16/11/2023"/>
    <s v="15/08/2024"/>
    <n v="2"/>
    <n v="240000"/>
    <n v="2.7"/>
    <n v="12"/>
    <x v="1"/>
  </r>
  <r>
    <s v="MFS-57602"/>
    <s v="Lola Yakubu"/>
    <x v="1"/>
    <x v="3"/>
    <x v="0"/>
    <s v="Senior"/>
    <x v="2"/>
    <s v="31-40"/>
    <x v="0"/>
    <s v="10/10/2021"/>
    <s v="06/04/2023"/>
    <n v="4"/>
    <n v="539000"/>
    <n v="2.9"/>
    <n v="2"/>
    <x v="2"/>
  </r>
  <r>
    <s v="MFS-61838"/>
    <s v="Babatunde Musa"/>
    <x v="0"/>
    <x v="0"/>
    <x v="0"/>
    <s v="Senior"/>
    <x v="0"/>
    <s v="41-50"/>
    <x v="0"/>
    <s v="31/01/2020"/>
    <s v="26/01/2021"/>
    <n v="6"/>
    <n v="631000"/>
    <n v="4.7"/>
    <n v="6"/>
    <x v="2"/>
  </r>
  <r>
    <s v="MFS-81614"/>
    <s v="Zainab Obi"/>
    <x v="1"/>
    <x v="4"/>
    <x v="2"/>
    <s v="Junior"/>
    <x v="2"/>
    <s v="31-40"/>
    <x v="1"/>
    <s v="23/11/2022"/>
    <s v="15/09/2022"/>
    <n v="3"/>
    <n v="129000"/>
    <n v="1.6"/>
    <n v="40"/>
    <x v="0"/>
  </r>
  <r>
    <s v="MFS-95955"/>
    <s v="Kunle Okafor"/>
    <x v="0"/>
    <x v="2"/>
    <x v="0"/>
    <s v="Mid-level"/>
    <x v="1"/>
    <s v="31-40"/>
    <x v="0"/>
    <s v="06/08/2022"/>
    <s v="15/09/2022"/>
    <n v="3"/>
    <n v="267000"/>
    <n v="3.7"/>
    <n v="0"/>
    <x v="0"/>
  </r>
  <r>
    <s v="MFS-50039"/>
    <s v="Nasiru Chukwu"/>
    <x v="0"/>
    <x v="2"/>
    <x v="0"/>
    <s v="Mid-level"/>
    <x v="2"/>
    <s v="22-30"/>
    <x v="0"/>
    <s v="25/04/2019"/>
    <s v="15/09/2022"/>
    <n v="6"/>
    <n v="339000"/>
    <n v="2.5"/>
    <n v="34"/>
    <x v="0"/>
  </r>
  <r>
    <s v="MFS-73055"/>
    <s v="Maryam Chukwu"/>
    <x v="1"/>
    <x v="3"/>
    <x v="2"/>
    <s v="Junior"/>
    <x v="0"/>
    <s v="41-50"/>
    <x v="2"/>
    <s v="27/04/2021"/>
    <s v="15/09/2022"/>
    <n v="4"/>
    <n v="100000"/>
    <n v="4.5"/>
    <n v="9"/>
    <x v="1"/>
  </r>
  <r>
    <s v="MFS-87780"/>
    <s v="Rabiu Adeyemi"/>
    <x v="0"/>
    <x v="0"/>
    <x v="0"/>
    <s v="Mid-level"/>
    <x v="0"/>
    <s v="41-50"/>
    <x v="1"/>
    <s v="06/01/2023"/>
    <s v="31/05/2024"/>
    <n v="3"/>
    <n v="359000"/>
    <n v="3.2"/>
    <n v="13"/>
    <x v="0"/>
  </r>
  <r>
    <s v="MFS-15400"/>
    <s v="Kunle Fagbemi"/>
    <x v="0"/>
    <x v="4"/>
    <x v="0"/>
    <s v="Junior"/>
    <x v="2"/>
    <s v="41-50"/>
    <x v="3"/>
    <s v="14/12/2019"/>
    <s v="31/05/2024"/>
    <n v="6"/>
    <n v="117000"/>
    <n v="3.3"/>
    <n v="10"/>
    <x v="0"/>
  </r>
  <r>
    <s v="MFS-56488"/>
    <s v="Nneka Danladi"/>
    <x v="1"/>
    <x v="2"/>
    <x v="2"/>
    <s v="Junior"/>
    <x v="0"/>
    <s v="41-50"/>
    <x v="2"/>
    <s v="18/01/2022"/>
    <s v="31/05/2024"/>
    <n v="4"/>
    <n v="150000"/>
    <n v="2.9"/>
    <n v="14"/>
    <x v="1"/>
  </r>
  <r>
    <s v="MFS-91889"/>
    <s v="Nnamdi Nnamdi"/>
    <x v="0"/>
    <x v="1"/>
    <x v="0"/>
    <s v="Mid-level"/>
    <x v="0"/>
    <s v="41-50"/>
    <x v="0"/>
    <s v="20/06/2021"/>
    <s v="10/07/2024"/>
    <n v="4"/>
    <n v="301000"/>
    <n v="4.5999999999999996"/>
    <n v="9"/>
    <x v="0"/>
  </r>
  <r>
    <s v="MFS-35500"/>
    <s v="Gbenga Nduka"/>
    <x v="0"/>
    <x v="2"/>
    <x v="0"/>
    <s v="Junior"/>
    <x v="2"/>
    <s v="41-50"/>
    <x v="4"/>
    <s v="01/07/2020"/>
    <s v="10/07/2024"/>
    <n v="5"/>
    <n v="107000"/>
    <n v="4.4000000000000004"/>
    <n v="20"/>
    <x v="2"/>
  </r>
  <r>
    <s v="MFS-39480"/>
    <s v="Biodun Adesanya"/>
    <x v="0"/>
    <x v="2"/>
    <x v="2"/>
    <s v="Junior"/>
    <x v="0"/>
    <s v="22-30"/>
    <x v="0"/>
    <s v="26/05/2019"/>
    <s v="18/02/2020"/>
    <n v="6"/>
    <n v="118000"/>
    <n v="4.7"/>
    <n v="3"/>
    <x v="1"/>
  </r>
  <r>
    <s v="MFS-41450"/>
    <s v="Kabiru Aliyu"/>
    <x v="0"/>
    <x v="3"/>
    <x v="0"/>
    <s v="Senior"/>
    <x v="2"/>
    <s v="51-60"/>
    <x v="0"/>
    <s v="03/08/2023"/>
    <s v="14/07/2023"/>
    <n v="2"/>
    <n v="398000"/>
    <n v="2.5"/>
    <n v="10"/>
    <x v="0"/>
  </r>
  <r>
    <s v="MFS-56365"/>
    <s v="Chukwudi Aliyu"/>
    <x v="0"/>
    <x v="2"/>
    <x v="0"/>
    <s v="Senior"/>
    <x v="3"/>
    <s v="22-30"/>
    <x v="0"/>
    <s v="03/09/2023"/>
    <s v="14/07/2023"/>
    <n v="2"/>
    <n v="574000"/>
    <n v="4.4000000000000004"/>
    <n v="12"/>
    <x v="0"/>
  </r>
  <r>
    <s v="MFS-55214"/>
    <s v="Kunle Nwachukwu"/>
    <x v="0"/>
    <x v="2"/>
    <x v="1"/>
    <s v="Mid-level"/>
    <x v="2"/>
    <s v="31-40"/>
    <x v="3"/>
    <s v="22/07/2022"/>
    <s v="14/07/2023"/>
    <n v="3"/>
    <n v="192000"/>
    <n v="2.5"/>
    <n v="1"/>
    <x v="1"/>
  </r>
  <r>
    <s v="MFS-22209"/>
    <s v="Eze Lawal"/>
    <x v="0"/>
    <x v="4"/>
    <x v="0"/>
    <s v="Mid-level"/>
    <x v="2"/>
    <s v="51-60"/>
    <x v="4"/>
    <s v="29/03/2019"/>
    <s v="20/08/2022"/>
    <n v="6"/>
    <n v="256000"/>
    <n v="2.1"/>
    <n v="35"/>
    <x v="1"/>
  </r>
  <r>
    <s v="MFS-12026"/>
    <s v="Ezinne Coker"/>
    <x v="1"/>
    <x v="0"/>
    <x v="0"/>
    <s v="Junior"/>
    <x v="3"/>
    <s v="22-30"/>
    <x v="0"/>
    <s v="06/06/2023"/>
    <s v="15/12/2024"/>
    <n v="2"/>
    <n v="164000"/>
    <n v="3.6"/>
    <n v="9"/>
    <x v="1"/>
  </r>
  <r>
    <s v="MFS-65695"/>
    <s v="Suleiman Adesanya"/>
    <x v="0"/>
    <x v="4"/>
    <x v="2"/>
    <s v="Mid-level"/>
    <x v="2"/>
    <s v="22-30"/>
    <x v="2"/>
    <s v="13/05/2020"/>
    <s v="05/04/2022"/>
    <n v="5"/>
    <n v="195000"/>
    <n v="1.9"/>
    <n v="17"/>
    <x v="2"/>
  </r>
  <r>
    <s v="MFS-87410"/>
    <s v="Tobi Haruna"/>
    <x v="0"/>
    <x v="2"/>
    <x v="0"/>
    <s v="Junior"/>
    <x v="2"/>
    <s v="51-60"/>
    <x v="0"/>
    <s v="17/07/2019"/>
    <s v="08/11/2022"/>
    <n v="6"/>
    <n v="102000"/>
    <n v="4.7"/>
    <n v="14"/>
    <x v="1"/>
  </r>
  <r>
    <s v="MFS-50724"/>
    <s v="Titi Eze"/>
    <x v="1"/>
    <x v="4"/>
    <x v="1"/>
    <s v="Junior"/>
    <x v="2"/>
    <s v="31-40"/>
    <x v="2"/>
    <s v="25/12/2020"/>
    <s v="24/03/2025"/>
    <n v="5"/>
    <n v="108000"/>
    <n v="2"/>
    <n v="1"/>
    <x v="0"/>
  </r>
  <r>
    <s v="MFS-15824"/>
    <s v="Aliyu Uba"/>
    <x v="0"/>
    <x v="2"/>
    <x v="0"/>
    <s v="Manager"/>
    <x v="0"/>
    <s v="31-40"/>
    <x v="1"/>
    <s v="27/06/2020"/>
    <s v="24/03/2025"/>
    <n v="5"/>
    <n v="801000"/>
    <n v="4"/>
    <n v="7"/>
    <x v="0"/>
  </r>
  <r>
    <s v="MFS-29231"/>
    <s v="Nkechi Coker"/>
    <x v="1"/>
    <x v="2"/>
    <x v="0"/>
    <s v="Junior"/>
    <x v="0"/>
    <s v="22-30"/>
    <x v="2"/>
    <s v="15/06/2023"/>
    <s v="24/03/2025"/>
    <n v="2"/>
    <n v="172000"/>
    <n v="2.9"/>
    <n v="6"/>
    <x v="1"/>
  </r>
  <r>
    <s v="MFS-84480"/>
    <s v="Funmilayo Nnamdi"/>
    <x v="1"/>
    <x v="3"/>
    <x v="0"/>
    <s v="Mid-level"/>
    <x v="0"/>
    <s v="31-40"/>
    <x v="2"/>
    <s v="16/12/2021"/>
    <s v="03/06/2023"/>
    <n v="4"/>
    <n v="237000"/>
    <n v="2.9"/>
    <n v="6"/>
    <x v="0"/>
  </r>
  <r>
    <s v="MFS-51701"/>
    <s v="Adaora Adewale"/>
    <x v="1"/>
    <x v="4"/>
    <x v="0"/>
    <s v="Junior"/>
    <x v="0"/>
    <s v="22-30"/>
    <x v="0"/>
    <s v="04/05/2020"/>
    <s v="03/06/2023"/>
    <n v="5"/>
    <n v="132000"/>
    <n v="2.4"/>
    <n v="0"/>
    <x v="0"/>
  </r>
  <r>
    <s v="MFS-80723"/>
    <s v="Suleiman Adeyemi"/>
    <x v="0"/>
    <x v="4"/>
    <x v="0"/>
    <s v="Senior"/>
    <x v="1"/>
    <s v="31-40"/>
    <x v="1"/>
    <s v="26/10/2022"/>
    <s v="03/06/2023"/>
    <n v="3"/>
    <n v="402000"/>
    <n v="3.1"/>
    <n v="12"/>
    <x v="2"/>
  </r>
  <r>
    <s v="MFS-25413"/>
    <s v="Damilola Nwachukwu"/>
    <x v="1"/>
    <x v="4"/>
    <x v="0"/>
    <s v="Junior"/>
    <x v="0"/>
    <s v="41-50"/>
    <x v="2"/>
    <s v="05/12/2023"/>
    <s v="09/01/2024"/>
    <n v="2"/>
    <n v="88000"/>
    <n v="1.6"/>
    <n v="13"/>
    <x v="0"/>
  </r>
  <r>
    <s v="MFS-36975"/>
    <s v="Oluwaseun Nwachukwu"/>
    <x v="0"/>
    <x v="1"/>
    <x v="0"/>
    <s v="Manager"/>
    <x v="1"/>
    <s v="31-40"/>
    <x v="0"/>
    <s v="01/11/2023"/>
    <s v="09/01/2024"/>
    <n v="2"/>
    <n v="819000"/>
    <n v="3.4"/>
    <n v="31"/>
    <x v="0"/>
  </r>
  <r>
    <s v="MFS-14394"/>
    <s v="Nkechi Coker"/>
    <x v="1"/>
    <x v="2"/>
    <x v="2"/>
    <s v="Junior"/>
    <x v="3"/>
    <s v="51-60"/>
    <x v="1"/>
    <s v="16/08/2022"/>
    <s v="09/01/2024"/>
    <n v="3"/>
    <n v="114000"/>
    <n v="4"/>
    <n v="14"/>
    <x v="0"/>
  </r>
  <r>
    <s v="MFS-42229"/>
    <s v="Maryam Bello"/>
    <x v="1"/>
    <x v="0"/>
    <x v="0"/>
    <s v="Mid-level"/>
    <x v="2"/>
    <s v="41-50"/>
    <x v="1"/>
    <s v="10/01/2021"/>
    <s v="09/01/2024"/>
    <n v="5"/>
    <n v="257000"/>
    <n v="3.7"/>
    <n v="14"/>
    <x v="0"/>
  </r>
  <r>
    <s v="MFS-64124"/>
    <s v="Eze Haruna"/>
    <x v="0"/>
    <x v="3"/>
    <x v="0"/>
    <s v="Senior"/>
    <x v="1"/>
    <s v="51-60"/>
    <x v="0"/>
    <s v="12/04/2023"/>
    <s v="09/01/2024"/>
    <n v="2"/>
    <n v="474000"/>
    <n v="4"/>
    <n v="12"/>
    <x v="1"/>
  </r>
  <r>
    <s v="MFS-26739"/>
    <s v="Biodun Adebayo"/>
    <x v="0"/>
    <x v="3"/>
    <x v="0"/>
    <s v="Mid-level"/>
    <x v="2"/>
    <s v="22-30"/>
    <x v="2"/>
    <s v="23/03/2022"/>
    <s v="11/01/2020"/>
    <n v="3"/>
    <n v="240000"/>
    <n v="4.8"/>
    <n v="8"/>
    <x v="0"/>
  </r>
  <r>
    <s v="MFS-61314"/>
    <s v="Eze Danladi"/>
    <x v="0"/>
    <x v="3"/>
    <x v="0"/>
    <s v="Mid-level"/>
    <x v="1"/>
    <s v="41-50"/>
    <x v="2"/>
    <s v="02/08/2019"/>
    <s v="11/01/2020"/>
    <n v="6"/>
    <n v="232000"/>
    <n v="4.0999999999999996"/>
    <n v="6"/>
    <x v="0"/>
  </r>
  <r>
    <s v="MFS-27350"/>
    <s v="Adeola Uba"/>
    <x v="1"/>
    <x v="4"/>
    <x v="0"/>
    <s v="Mid-level"/>
    <x v="2"/>
    <s v="51-60"/>
    <x v="3"/>
    <s v="20/09/2022"/>
    <s v="11/01/2020"/>
    <n v="3"/>
    <n v="342000"/>
    <n v="2.8"/>
    <n v="14"/>
    <x v="0"/>
  </r>
  <r>
    <s v="MFS-37808"/>
    <s v="Suleiman Nnamdi"/>
    <x v="0"/>
    <x v="2"/>
    <x v="1"/>
    <s v="Junior"/>
    <x v="0"/>
    <s v="22-30"/>
    <x v="0"/>
    <s v="04/03/2019"/>
    <s v="11/01/2020"/>
    <n v="7"/>
    <n v="178000"/>
    <n v="4.3"/>
    <n v="1"/>
    <x v="0"/>
  </r>
  <r>
    <s v="MFS-68080"/>
    <s v="Amaka Okafor"/>
    <x v="1"/>
    <x v="0"/>
    <x v="0"/>
    <s v="Mid-level"/>
    <x v="1"/>
    <s v="22-30"/>
    <x v="1"/>
    <s v="16/05/2021"/>
    <s v="11/01/2020"/>
    <n v="4"/>
    <n v="273000"/>
    <n v="4.7"/>
    <n v="1"/>
    <x v="0"/>
  </r>
  <r>
    <s v="MFS-85905"/>
    <s v="Bilkisu Adewale"/>
    <x v="1"/>
    <x v="1"/>
    <x v="2"/>
    <s v="Manager"/>
    <x v="0"/>
    <s v="31-40"/>
    <x v="1"/>
    <s v="28/02/2019"/>
    <s v="11/01/2020"/>
    <n v="7"/>
    <n v="827000"/>
    <n v="3.5"/>
    <n v="9"/>
    <x v="1"/>
  </r>
  <r>
    <s v="MFS-96861"/>
    <s v="Hauwa Omotayo"/>
    <x v="1"/>
    <x v="4"/>
    <x v="0"/>
    <s v="Senior"/>
    <x v="1"/>
    <s v="41-50"/>
    <x v="0"/>
    <s v="06/11/2023"/>
    <s v="25/09/2024"/>
    <n v="2"/>
    <n v="375000"/>
    <n v="3.8"/>
    <n v="13"/>
    <x v="1"/>
  </r>
  <r>
    <s v="MFS-64443"/>
    <s v="Garba Okafor"/>
    <x v="0"/>
    <x v="4"/>
    <x v="0"/>
    <s v="Mid-level"/>
    <x v="0"/>
    <s v="22-30"/>
    <x v="0"/>
    <s v="24/09/2022"/>
    <s v="30/04/2024"/>
    <n v="3"/>
    <n v="258000"/>
    <n v="4.4000000000000004"/>
    <n v="7"/>
    <x v="0"/>
  </r>
  <r>
    <s v="MFS-10723"/>
    <s v="Babatunde Coker"/>
    <x v="0"/>
    <x v="1"/>
    <x v="0"/>
    <s v="Mid-level"/>
    <x v="1"/>
    <s v="22-30"/>
    <x v="0"/>
    <s v="08/08/2021"/>
    <s v="30/04/2024"/>
    <n v="4"/>
    <n v="220000"/>
    <n v="3.6"/>
    <n v="1"/>
    <x v="2"/>
  </r>
  <r>
    <s v="MFS-51647"/>
    <s v="Kabiru Amadi"/>
    <x v="0"/>
    <x v="3"/>
    <x v="0"/>
    <s v="Senior"/>
    <x v="0"/>
    <s v="41-50"/>
    <x v="2"/>
    <s v="19/12/2019"/>
    <s v="24/10/2023"/>
    <n v="6"/>
    <n v="557000"/>
    <n v="4.2"/>
    <n v="2"/>
    <x v="0"/>
  </r>
  <r>
    <s v="MFS-28506"/>
    <s v="Seun Ogbonna"/>
    <x v="0"/>
    <x v="2"/>
    <x v="0"/>
    <s v="Mid-level"/>
    <x v="1"/>
    <s v="31-40"/>
    <x v="0"/>
    <s v="24/12/2021"/>
    <s v="24/10/2023"/>
    <n v="4"/>
    <n v="246000"/>
    <n v="5"/>
    <n v="3"/>
    <x v="0"/>
  </r>
  <r>
    <s v="MFS-35965"/>
    <s v="Sola Suleiman"/>
    <x v="1"/>
    <x v="0"/>
    <x v="0"/>
    <s v="Junior"/>
    <x v="0"/>
    <s v="31-40"/>
    <x v="2"/>
    <s v="16/11/2023"/>
    <s v="24/10/2023"/>
    <n v="2"/>
    <n v="102000"/>
    <n v="4.0999999999999996"/>
    <n v="2"/>
    <x v="0"/>
  </r>
  <r>
    <s v="MFS-87577"/>
    <s v="Aisha Nwachukwu"/>
    <x v="1"/>
    <x v="3"/>
    <x v="0"/>
    <s v="Senior"/>
    <x v="2"/>
    <s v="31-40"/>
    <x v="2"/>
    <s v="20/02/2020"/>
    <s v="24/10/2023"/>
    <n v="6"/>
    <n v="557000"/>
    <n v="4.0999999999999996"/>
    <n v="2"/>
    <x v="1"/>
  </r>
  <r>
    <s v="MFS-38644"/>
    <s v="Uloma Okonkwo"/>
    <x v="1"/>
    <x v="3"/>
    <x v="0"/>
    <s v="Director"/>
    <x v="0"/>
    <s v="31-40"/>
    <x v="4"/>
    <s v="11/06/2023"/>
    <s v="01/09/2023"/>
    <n v="2"/>
    <n v="1702000"/>
    <n v="3.7"/>
    <n v="0"/>
    <x v="0"/>
  </r>
  <r>
    <s v="MFS-61502"/>
    <s v="Kabiru Garba"/>
    <x v="0"/>
    <x v="4"/>
    <x v="0"/>
    <s v="Mid-level"/>
    <x v="0"/>
    <s v="51-60"/>
    <x v="1"/>
    <s v="30/11/2022"/>
    <s v="01/09/2023"/>
    <n v="3"/>
    <n v="216000"/>
    <n v="2"/>
    <n v="14"/>
    <x v="0"/>
  </r>
  <r>
    <s v="MFS-43858"/>
    <s v="Chukwudi Eze"/>
    <x v="0"/>
    <x v="2"/>
    <x v="0"/>
    <s v="Mid-level"/>
    <x v="0"/>
    <s v="22-30"/>
    <x v="2"/>
    <s v="03/09/2021"/>
    <s v="01/09/2023"/>
    <n v="4"/>
    <n v="181000"/>
    <n v="4.0999999999999996"/>
    <n v="36"/>
    <x v="1"/>
  </r>
  <r>
    <s v="MFS-86703"/>
    <s v="Babatunde Buhari"/>
    <x v="0"/>
    <x v="1"/>
    <x v="0"/>
    <s v="Mid-level"/>
    <x v="2"/>
    <s v="41-50"/>
    <x v="0"/>
    <s v="14/03/2023"/>
    <s v="10/03/2025"/>
    <n v="2"/>
    <n v="180000"/>
    <n v="3"/>
    <n v="27"/>
    <x v="0"/>
  </r>
  <r>
    <s v="MFS-80013"/>
    <s v="Bukola Fagbemi"/>
    <x v="1"/>
    <x v="1"/>
    <x v="0"/>
    <s v="Mid-level"/>
    <x v="0"/>
    <s v="22-30"/>
    <x v="2"/>
    <s v="03/02/2023"/>
    <s v="10/03/2025"/>
    <n v="3"/>
    <n v="235000"/>
    <n v="4.8"/>
    <n v="2"/>
    <x v="0"/>
  </r>
  <r>
    <s v="MFS-36763"/>
    <s v="Chinwe Oyelaran"/>
    <x v="1"/>
    <x v="2"/>
    <x v="0"/>
    <s v="Manager"/>
    <x v="0"/>
    <s v="31-40"/>
    <x v="1"/>
    <s v="19/11/2020"/>
    <s v="10/03/2025"/>
    <n v="5"/>
    <n v="833000"/>
    <n v="3.1"/>
    <n v="7"/>
    <x v="0"/>
  </r>
  <r>
    <s v="MFS-16708"/>
    <s v="Bello Obaseki"/>
    <x v="0"/>
    <x v="1"/>
    <x v="0"/>
    <s v="Mid-level"/>
    <x v="2"/>
    <s v="51-60"/>
    <x v="0"/>
    <s v="29/12/2023"/>
    <s v="10/03/2025"/>
    <n v="2"/>
    <n v="194000"/>
    <n v="4.0999999999999996"/>
    <n v="1"/>
    <x v="2"/>
  </r>
  <r>
    <s v="MFS-17043"/>
    <s v="Yakubu Nduka"/>
    <x v="0"/>
    <x v="2"/>
    <x v="0"/>
    <s v="Mid-level"/>
    <x v="0"/>
    <s v="22-30"/>
    <x v="0"/>
    <s v="22/04/2021"/>
    <s v="04/02/2025"/>
    <n v="4"/>
    <n v="263000"/>
    <n v="2.5"/>
    <n v="13"/>
    <x v="0"/>
  </r>
  <r>
    <s v="MFS-91103"/>
    <s v="Danladi Uba"/>
    <x v="0"/>
    <x v="4"/>
    <x v="0"/>
    <s v="Mid-level"/>
    <x v="0"/>
    <s v="22-30"/>
    <x v="2"/>
    <s v="15/12/2023"/>
    <s v="04/02/2025"/>
    <n v="2"/>
    <n v="321000"/>
    <n v="2.9"/>
    <n v="9"/>
    <x v="2"/>
  </r>
  <r>
    <s v="MFS-48889"/>
    <s v="Ogechi Okafor"/>
    <x v="1"/>
    <x v="4"/>
    <x v="2"/>
    <s v="Senior"/>
    <x v="2"/>
    <s v="31-40"/>
    <x v="1"/>
    <s v="15/05/2021"/>
    <s v="02/01/2025"/>
    <n v="4"/>
    <n v="410000"/>
    <n v="4.2"/>
    <n v="2"/>
    <x v="1"/>
  </r>
  <r>
    <s v="MFS-64690"/>
    <s v="Bilkisu Adeyemi"/>
    <x v="1"/>
    <x v="0"/>
    <x v="0"/>
    <s v="Mid-level"/>
    <x v="3"/>
    <s v="51-60"/>
    <x v="1"/>
    <s v="06/06/2023"/>
    <s v="01/04/2024"/>
    <n v="2"/>
    <n v="243000"/>
    <n v="4.7"/>
    <n v="7"/>
    <x v="1"/>
  </r>
  <r>
    <s v="MFS-83042"/>
    <s v="Asabe Buhari"/>
    <x v="1"/>
    <x v="3"/>
    <x v="1"/>
    <s v="Mid-level"/>
    <x v="1"/>
    <s v="41-50"/>
    <x v="3"/>
    <s v="26/11/2019"/>
    <s v="13/10/2024"/>
    <n v="6"/>
    <n v="221000"/>
    <n v="4.3"/>
    <n v="9"/>
    <x v="0"/>
  </r>
  <r>
    <s v="MFS-75676"/>
    <s v="Ngozi Afolabi"/>
    <x v="1"/>
    <x v="4"/>
    <x v="0"/>
    <s v="Junior"/>
    <x v="0"/>
    <s v="31-40"/>
    <x v="0"/>
    <s v="19/01/2023"/>
    <s v="13/10/2024"/>
    <n v="3"/>
    <n v="90000"/>
    <n v="1.5"/>
    <n v="11"/>
    <x v="1"/>
  </r>
  <r>
    <s v="MFS-86983"/>
    <s v="Kemi Fagbemi"/>
    <x v="1"/>
    <x v="4"/>
    <x v="0"/>
    <s v="Mid-level"/>
    <x v="2"/>
    <s v="31-40"/>
    <x v="4"/>
    <s v="20/03/2020"/>
    <s v="08/10/2022"/>
    <n v="5"/>
    <n v="255000"/>
    <n v="4.9000000000000004"/>
    <n v="1"/>
    <x v="3"/>
  </r>
  <r>
    <s v="MFS-66075"/>
    <s v="Ugochi Omotayo"/>
    <x v="1"/>
    <x v="0"/>
    <x v="2"/>
    <s v="Junior"/>
    <x v="0"/>
    <s v="31-40"/>
    <x v="0"/>
    <s v="16/03/2022"/>
    <s v="25/10/2022"/>
    <n v="3"/>
    <n v="198000"/>
    <n v="3.3"/>
    <n v="13"/>
    <x v="1"/>
  </r>
  <r>
    <s v="MFS-17287"/>
    <s v="Lola Lawal"/>
    <x v="1"/>
    <x v="0"/>
    <x v="0"/>
    <s v="Mid-level"/>
    <x v="3"/>
    <s v="22-30"/>
    <x v="0"/>
    <s v="31/01/2023"/>
    <s v="22/07/2022"/>
    <n v="3"/>
    <n v="300000"/>
    <n v="3.2"/>
    <n v="13"/>
    <x v="0"/>
  </r>
  <r>
    <s v="MFS-66322"/>
    <s v="Shade Okafor"/>
    <x v="1"/>
    <x v="2"/>
    <x v="0"/>
    <s v="Junior"/>
    <x v="2"/>
    <s v="31-40"/>
    <x v="3"/>
    <s v="04/10/2023"/>
    <s v="22/07/2022"/>
    <n v="2"/>
    <n v="123000"/>
    <n v="4.9000000000000004"/>
    <n v="5"/>
    <x v="0"/>
  </r>
  <r>
    <s v="MFS-30845"/>
    <s v="Kunle Eze"/>
    <x v="0"/>
    <x v="4"/>
    <x v="0"/>
    <s v="Junior"/>
    <x v="0"/>
    <s v="31-40"/>
    <x v="0"/>
    <s v="13/11/2019"/>
    <s v="22/07/2022"/>
    <n v="6"/>
    <n v="166000"/>
    <n v="1.5"/>
    <n v="5"/>
    <x v="0"/>
  </r>
  <r>
    <s v="MFS-57897"/>
    <s v="Chiamaka Okafor"/>
    <x v="1"/>
    <x v="2"/>
    <x v="0"/>
    <s v="Senior"/>
    <x v="3"/>
    <s v="22-30"/>
    <x v="0"/>
    <s v="22/05/2021"/>
    <s v="22/07/2022"/>
    <n v="4"/>
    <n v="390000"/>
    <n v="2.8"/>
    <n v="4"/>
    <x v="1"/>
  </r>
  <r>
    <s v="MFS-74517"/>
    <s v="Tobi Nnamdi"/>
    <x v="0"/>
    <x v="1"/>
    <x v="0"/>
    <s v="Mid-level"/>
    <x v="0"/>
    <s v="31-40"/>
    <x v="4"/>
    <s v="01/01/2019"/>
    <s v="03/06/2020"/>
    <n v="7"/>
    <n v="213000"/>
    <n v="4.2"/>
    <n v="2"/>
    <x v="1"/>
  </r>
  <r>
    <s v="MFS-42550"/>
    <s v="Damilola Nwachukwu"/>
    <x v="1"/>
    <x v="3"/>
    <x v="2"/>
    <s v="Mid-level"/>
    <x v="2"/>
    <s v="22-30"/>
    <x v="0"/>
    <s v="24/05/2019"/>
    <s v="28/11/2021"/>
    <n v="6"/>
    <n v="342000"/>
    <n v="2.2000000000000002"/>
    <n v="3"/>
    <x v="0"/>
  </r>
  <r>
    <s v="MFS-45087"/>
    <s v="Garba Fagbemi"/>
    <x v="0"/>
    <x v="3"/>
    <x v="1"/>
    <s v="Manager"/>
    <x v="1"/>
    <s v="31-40"/>
    <x v="1"/>
    <s v="20/02/2020"/>
    <s v="28/11/2021"/>
    <n v="6"/>
    <n v="682000"/>
    <n v="4"/>
    <n v="3"/>
    <x v="0"/>
  </r>
  <r>
    <s v="MFS-61786"/>
    <s v="Chinedu Coker"/>
    <x v="0"/>
    <x v="4"/>
    <x v="0"/>
    <s v="Junior"/>
    <x v="0"/>
    <s v="31-40"/>
    <x v="4"/>
    <s v="13/09/2020"/>
    <s v="28/11/2021"/>
    <n v="5"/>
    <n v="98000"/>
    <n v="2.9"/>
    <n v="2"/>
    <x v="1"/>
  </r>
  <r>
    <s v="MFS-54766"/>
    <s v="Aisha Oyelaran"/>
    <x v="1"/>
    <x v="4"/>
    <x v="0"/>
    <s v="Junior"/>
    <x v="1"/>
    <s v="51-60"/>
    <x v="0"/>
    <s v="06/10/2019"/>
    <s v="16/09/2023"/>
    <n v="6"/>
    <n v="86000"/>
    <n v="3"/>
    <n v="9"/>
    <x v="1"/>
  </r>
  <r>
    <s v="MFS-99686"/>
    <s v="Yakubu Taiwo"/>
    <x v="0"/>
    <x v="0"/>
    <x v="1"/>
    <s v="Mid-level"/>
    <x v="0"/>
    <s v="22-30"/>
    <x v="0"/>
    <s v="14/10/2021"/>
    <s v="02/03/2024"/>
    <n v="4"/>
    <n v="310000"/>
    <n v="4.5"/>
    <n v="1"/>
    <x v="1"/>
  </r>
  <r>
    <s v="MFS-45683"/>
    <s v="Femi Nnamdi"/>
    <x v="0"/>
    <x v="2"/>
    <x v="0"/>
    <s v="Junior"/>
    <x v="0"/>
    <s v="31-40"/>
    <x v="1"/>
    <s v="12/10/2022"/>
    <s v="14/04/2022"/>
    <n v="3"/>
    <n v="164000"/>
    <n v="3.7"/>
    <n v="12"/>
    <x v="0"/>
  </r>
  <r>
    <s v="MFS-67281"/>
    <s v="Ikenna Okonkwo"/>
    <x v="0"/>
    <x v="1"/>
    <x v="0"/>
    <s v="Mid-level"/>
    <x v="1"/>
    <s v="31-40"/>
    <x v="0"/>
    <s v="11/09/2023"/>
    <s v="14/04/2022"/>
    <n v="2"/>
    <n v="196000"/>
    <n v="3.2"/>
    <n v="0"/>
    <x v="0"/>
  </r>
  <r>
    <s v="MFS-38020"/>
    <s v="Shehu Obaseki"/>
    <x v="0"/>
    <x v="2"/>
    <x v="1"/>
    <s v="Junior"/>
    <x v="0"/>
    <s v="22-30"/>
    <x v="1"/>
    <s v="24/08/2022"/>
    <s v="14/04/2022"/>
    <n v="3"/>
    <n v="144000"/>
    <n v="2.1"/>
    <n v="6"/>
    <x v="0"/>
  </r>
  <r>
    <s v="MFS-25187"/>
    <s v="Uloma Okafor"/>
    <x v="1"/>
    <x v="0"/>
    <x v="1"/>
    <s v="Mid-level"/>
    <x v="0"/>
    <s v="41-50"/>
    <x v="3"/>
    <s v="04/11/2020"/>
    <s v="14/04/2022"/>
    <n v="5"/>
    <n v="360000"/>
    <n v="2.1"/>
    <n v="38"/>
    <x v="1"/>
  </r>
  <r>
    <s v="MFS-84907"/>
    <s v="Yetunde Taiwo"/>
    <x v="1"/>
    <x v="2"/>
    <x v="2"/>
    <s v="Junior"/>
    <x v="0"/>
    <s v="22-30"/>
    <x v="0"/>
    <s v="24/06/2022"/>
    <s v="22/06/2023"/>
    <n v="3"/>
    <n v="119000"/>
    <n v="4.8"/>
    <n v="7"/>
    <x v="2"/>
  </r>
  <r>
    <s v="MFS-61841"/>
    <s v="Biodun Lawal"/>
    <x v="0"/>
    <x v="4"/>
    <x v="2"/>
    <s v="Manager"/>
    <x v="2"/>
    <s v="51-60"/>
    <x v="0"/>
    <s v="05/10/2023"/>
    <s v="30/09/2023"/>
    <n v="2"/>
    <n v="614000"/>
    <n v="3.9"/>
    <n v="11"/>
    <x v="0"/>
  </r>
  <r>
    <s v="MFS-34069"/>
    <s v="Lola Danladi"/>
    <x v="1"/>
    <x v="2"/>
    <x v="0"/>
    <s v="Mid-level"/>
    <x v="2"/>
    <s v="31-40"/>
    <x v="2"/>
    <s v="12/09/2022"/>
    <s v="30/09/2023"/>
    <n v="3"/>
    <n v="239000"/>
    <n v="2.2999999999999998"/>
    <n v="7"/>
    <x v="0"/>
  </r>
  <r>
    <s v="MFS-74452"/>
    <s v="Seun Nwosu"/>
    <x v="0"/>
    <x v="4"/>
    <x v="0"/>
    <s v="Junior"/>
    <x v="0"/>
    <s v="31-40"/>
    <x v="4"/>
    <s v="29/08/2023"/>
    <s v="30/09/2023"/>
    <n v="2"/>
    <n v="163000"/>
    <n v="3.4"/>
    <n v="1"/>
    <x v="0"/>
  </r>
  <r>
    <s v="MFS-75037"/>
    <s v="Fatima Adeyemi"/>
    <x v="1"/>
    <x v="4"/>
    <x v="2"/>
    <s v="Junior"/>
    <x v="1"/>
    <s v="22-30"/>
    <x v="4"/>
    <s v="17/03/2023"/>
    <s v="30/09/2023"/>
    <n v="2"/>
    <n v="150000"/>
    <n v="2.2999999999999998"/>
    <n v="6"/>
    <x v="0"/>
  </r>
  <r>
    <s v="MFS-76948"/>
    <s v="Oghenekaro Nduka"/>
    <x v="0"/>
    <x v="4"/>
    <x v="0"/>
    <s v="Senior"/>
    <x v="0"/>
    <s v="31-40"/>
    <x v="0"/>
    <s v="09/07/2022"/>
    <s v="30/09/2023"/>
    <n v="3"/>
    <n v="474000"/>
    <n v="3.5"/>
    <n v="13"/>
    <x v="0"/>
  </r>
  <r>
    <s v="MFS-16119"/>
    <s v="Bello Abdullahi"/>
    <x v="0"/>
    <x v="1"/>
    <x v="0"/>
    <s v="Mid-level"/>
    <x v="2"/>
    <s v="22-30"/>
    <x v="0"/>
    <s v="29/03/2023"/>
    <s v="30/09/2023"/>
    <n v="2"/>
    <n v="233000"/>
    <n v="4.2"/>
    <n v="10"/>
    <x v="0"/>
  </r>
  <r>
    <s v="MFS-59823"/>
    <s v="Kabiru Eze"/>
    <x v="0"/>
    <x v="3"/>
    <x v="0"/>
    <s v="Mid-level"/>
    <x v="0"/>
    <s v="22-30"/>
    <x v="2"/>
    <s v="01/06/2022"/>
    <s v="30/09/2023"/>
    <n v="3"/>
    <n v="288000"/>
    <n v="3.6"/>
    <n v="7"/>
    <x v="0"/>
  </r>
  <r>
    <s v="MFS-93254"/>
    <s v="Tunde Musa"/>
    <x v="0"/>
    <x v="2"/>
    <x v="0"/>
    <s v="Junior"/>
    <x v="0"/>
    <s v="51-60"/>
    <x v="0"/>
    <s v="24/08/2020"/>
    <s v="30/09/2023"/>
    <n v="5"/>
    <n v="96000"/>
    <n v="4.7"/>
    <n v="6"/>
    <x v="1"/>
  </r>
  <r>
    <s v="MFS-23517"/>
    <s v="Obiora Lawal"/>
    <x v="0"/>
    <x v="1"/>
    <x v="0"/>
    <s v="Manager"/>
    <x v="1"/>
    <s v="22-30"/>
    <x v="1"/>
    <s v="31/05/2022"/>
    <s v="17/07/2022"/>
    <n v="3"/>
    <n v="600000"/>
    <n v="3.6"/>
    <n v="7"/>
    <x v="0"/>
  </r>
  <r>
    <s v="MFS-72052"/>
    <s v="Musa Afolabi"/>
    <x v="0"/>
    <x v="0"/>
    <x v="0"/>
    <s v="Senior"/>
    <x v="2"/>
    <s v="31-40"/>
    <x v="1"/>
    <s v="12/06/2021"/>
    <s v="17/07/2022"/>
    <n v="4"/>
    <n v="592000"/>
    <n v="2.2000000000000002"/>
    <n v="37"/>
    <x v="3"/>
  </r>
  <r>
    <s v="MFS-89300"/>
    <s v="Adaeze Ihejirika"/>
    <x v="1"/>
    <x v="3"/>
    <x v="0"/>
    <s v="Manager"/>
    <x v="0"/>
    <s v="22-30"/>
    <x v="0"/>
    <s v="09/09/2020"/>
    <s v="17/09/2024"/>
    <n v="5"/>
    <n v="839000"/>
    <n v="3.6"/>
    <n v="12"/>
    <x v="2"/>
  </r>
  <r>
    <s v="MFS-34118"/>
    <s v="Ebuka Coker"/>
    <x v="0"/>
    <x v="2"/>
    <x v="2"/>
    <s v="Junior"/>
    <x v="0"/>
    <s v="22-30"/>
    <x v="0"/>
    <s v="01/09/2023"/>
    <s v="10/11/2024"/>
    <n v="2"/>
    <n v="116000"/>
    <n v="4.5999999999999996"/>
    <n v="36"/>
    <x v="0"/>
  </r>
  <r>
    <s v="MFS-13584"/>
    <s v="Nkechi Onwudiwe"/>
    <x v="1"/>
    <x v="3"/>
    <x v="0"/>
    <s v="Junior"/>
    <x v="2"/>
    <s v="22-30"/>
    <x v="1"/>
    <s v="25/03/2022"/>
    <s v="10/11/2024"/>
    <n v="3"/>
    <n v="93000"/>
    <n v="2.5"/>
    <n v="12"/>
    <x v="1"/>
  </r>
  <r>
    <s v="MFS-93518"/>
    <s v="Obiora Obaseki"/>
    <x v="0"/>
    <x v="2"/>
    <x v="0"/>
    <s v="Senior"/>
    <x v="0"/>
    <s v="31-40"/>
    <x v="1"/>
    <s v="29/06/2023"/>
    <s v="09/06/2022"/>
    <n v="2"/>
    <n v="421000"/>
    <n v="4.5"/>
    <n v="1"/>
    <x v="0"/>
  </r>
  <r>
    <s v="MFS-52945"/>
    <s v="Chinyere Amadi"/>
    <x v="1"/>
    <x v="4"/>
    <x v="2"/>
    <s v="Mid-level"/>
    <x v="0"/>
    <s v="22-30"/>
    <x v="3"/>
    <s v="13/12/2021"/>
    <s v="09/06/2022"/>
    <n v="4"/>
    <n v="302000"/>
    <n v="3.8"/>
    <n v="5"/>
    <x v="0"/>
  </r>
  <r>
    <s v="MFS-74865"/>
    <s v="Nnamdi Suleiman"/>
    <x v="0"/>
    <x v="4"/>
    <x v="0"/>
    <s v="Mid-level"/>
    <x v="1"/>
    <s v="22-30"/>
    <x v="0"/>
    <s v="03/03/2021"/>
    <s v="09/06/2022"/>
    <n v="5"/>
    <n v="326000"/>
    <n v="3.7"/>
    <n v="10"/>
    <x v="0"/>
  </r>
  <r>
    <s v="MFS-92594"/>
    <s v="Ngozi Nwosu"/>
    <x v="1"/>
    <x v="1"/>
    <x v="2"/>
    <s v="Senior"/>
    <x v="1"/>
    <s v="22-30"/>
    <x v="1"/>
    <s v="10/07/2023"/>
    <s v="09/06/2022"/>
    <n v="2"/>
    <n v="494000"/>
    <n v="3.7"/>
    <n v="1"/>
    <x v="0"/>
  </r>
  <r>
    <s v="MFS-57347"/>
    <s v="Jummai Ihejirika"/>
    <x v="1"/>
    <x v="2"/>
    <x v="0"/>
    <s v="Manager"/>
    <x v="2"/>
    <s v="31-40"/>
    <x v="0"/>
    <s v="06/06/2020"/>
    <s v="09/06/2022"/>
    <n v="5"/>
    <n v="811000"/>
    <n v="4.9000000000000004"/>
    <n v="35"/>
    <x v="0"/>
  </r>
  <r>
    <s v="MFS-79422"/>
    <s v="Bilkisu Adewale"/>
    <x v="1"/>
    <x v="4"/>
    <x v="0"/>
    <s v="Junior"/>
    <x v="0"/>
    <s v="31-40"/>
    <x v="1"/>
    <s v="21/12/2019"/>
    <s v="09/06/2022"/>
    <n v="6"/>
    <n v="98000"/>
    <n v="2.4"/>
    <n v="12"/>
    <x v="0"/>
  </r>
  <r>
    <s v="MFS-21622"/>
    <s v="Yetunde Adesanya"/>
    <x v="1"/>
    <x v="4"/>
    <x v="0"/>
    <s v="Junior"/>
    <x v="2"/>
    <s v="31-40"/>
    <x v="1"/>
    <s v="28/12/2020"/>
    <s v="09/06/2022"/>
    <n v="5"/>
    <n v="140000"/>
    <n v="2"/>
    <n v="5"/>
    <x v="0"/>
  </r>
  <r>
    <s v="MFS-28251"/>
    <s v="Adeola Nwosu"/>
    <x v="0"/>
    <x v="0"/>
    <x v="0"/>
    <s v="Manager"/>
    <x v="3"/>
    <s v="41-50"/>
    <x v="0"/>
    <s v="04/04/2022"/>
    <s v="09/06/2022"/>
    <n v="3"/>
    <n v="1007000"/>
    <n v="4.7"/>
    <n v="8"/>
    <x v="0"/>
  </r>
  <r>
    <s v="MFS-75691"/>
    <s v="Shehu Ogundipe"/>
    <x v="0"/>
    <x v="0"/>
    <x v="0"/>
    <s v="Junior"/>
    <x v="2"/>
    <s v="31-40"/>
    <x v="3"/>
    <s v="03/10/2023"/>
    <s v="09/06/2022"/>
    <n v="2"/>
    <n v="131000"/>
    <n v="2.1"/>
    <n v="11"/>
    <x v="0"/>
  </r>
  <r>
    <s v="MFS-50569"/>
    <s v="Nneka Abdullahi"/>
    <x v="1"/>
    <x v="4"/>
    <x v="0"/>
    <s v="Junior"/>
    <x v="2"/>
    <s v="41-50"/>
    <x v="1"/>
    <s v="21/07/2021"/>
    <s v="09/06/2022"/>
    <n v="4"/>
    <n v="91000"/>
    <n v="2.9"/>
    <n v="5"/>
    <x v="0"/>
  </r>
  <r>
    <s v="MFS-23581"/>
    <s v="Abubakar Danladi"/>
    <x v="0"/>
    <x v="2"/>
    <x v="1"/>
    <s v="Junior"/>
    <x v="0"/>
    <s v="31-40"/>
    <x v="3"/>
    <s v="10/02/2019"/>
    <s v="09/06/2022"/>
    <n v="7"/>
    <n v="155000"/>
    <n v="3.5"/>
    <n v="3"/>
    <x v="0"/>
  </r>
  <r>
    <s v="MFS-18943"/>
    <s v="Babatunde Haruna"/>
    <x v="0"/>
    <x v="3"/>
    <x v="0"/>
    <s v="Senior"/>
    <x v="2"/>
    <s v="22-30"/>
    <x v="1"/>
    <s v="25/07/2019"/>
    <s v="09/06/2022"/>
    <n v="6"/>
    <n v="394000"/>
    <n v="2.4"/>
    <n v="2"/>
    <x v="0"/>
  </r>
  <r>
    <s v="MFS-44646"/>
    <s v="Oghenekaro Adebayo"/>
    <x v="0"/>
    <x v="1"/>
    <x v="0"/>
    <s v="Senior"/>
    <x v="0"/>
    <s v="22-30"/>
    <x v="0"/>
    <s v="22/07/2021"/>
    <s v="09/06/2022"/>
    <n v="4"/>
    <n v="477000"/>
    <n v="2.8"/>
    <n v="1"/>
    <x v="2"/>
  </r>
  <r>
    <s v="MFS-17915"/>
    <s v="Kabiru Ogbonna"/>
    <x v="0"/>
    <x v="0"/>
    <x v="0"/>
    <s v="Junior"/>
    <x v="1"/>
    <s v="22-30"/>
    <x v="0"/>
    <s v="07/10/2021"/>
    <s v="04/02/2023"/>
    <n v="4"/>
    <n v="114000"/>
    <n v="3.4"/>
    <n v="13"/>
    <x v="2"/>
  </r>
  <r>
    <s v="MFS-43478"/>
    <s v="Chioma Yakubu"/>
    <x v="1"/>
    <x v="2"/>
    <x v="1"/>
    <s v="Junior"/>
    <x v="2"/>
    <s v="31-40"/>
    <x v="2"/>
    <s v="20/02/2019"/>
    <s v="30/10/2023"/>
    <n v="7"/>
    <n v="157000"/>
    <n v="3"/>
    <n v="7"/>
    <x v="0"/>
  </r>
  <r>
    <s v="MFS-89231"/>
    <s v="Amaka Oyelaran"/>
    <x v="1"/>
    <x v="1"/>
    <x v="0"/>
    <s v="Senior"/>
    <x v="1"/>
    <s v="51-60"/>
    <x v="1"/>
    <s v="30/10/2020"/>
    <s v="30/10/2023"/>
    <n v="5"/>
    <n v="526000"/>
    <n v="5"/>
    <n v="8"/>
    <x v="1"/>
  </r>
  <r>
    <s v="MFS-82505"/>
    <s v="Yemi Fagbemi"/>
    <x v="1"/>
    <x v="3"/>
    <x v="0"/>
    <s v="Senior"/>
    <x v="1"/>
    <s v="41-50"/>
    <x v="1"/>
    <s v="03/11/2020"/>
    <s v="30/05/2021"/>
    <n v="5"/>
    <n v="515000"/>
    <n v="4.8"/>
    <n v="5"/>
    <x v="1"/>
  </r>
  <r>
    <s v="MFS-62150"/>
    <s v="Obiora Garba"/>
    <x v="0"/>
    <x v="3"/>
    <x v="1"/>
    <s v="Junior"/>
    <x v="2"/>
    <s v="31-40"/>
    <x v="0"/>
    <s v="25/07/2021"/>
    <s v="10/03/2024"/>
    <n v="4"/>
    <n v="178000"/>
    <n v="4.0999999999999996"/>
    <n v="11"/>
    <x v="0"/>
  </r>
  <r>
    <s v="MFS-66952"/>
    <s v="Musa Adebayo"/>
    <x v="0"/>
    <x v="1"/>
    <x v="2"/>
    <s v="Senior"/>
    <x v="0"/>
    <s v="22-30"/>
    <x v="0"/>
    <s v="04/10/2020"/>
    <s v="10/03/2024"/>
    <n v="5"/>
    <n v="485000"/>
    <n v="4.9000000000000004"/>
    <n v="3"/>
    <x v="0"/>
  </r>
  <r>
    <s v="MFS-78084"/>
    <s v="Adaora Haruna"/>
    <x v="1"/>
    <x v="2"/>
    <x v="0"/>
    <s v="Mid-level"/>
    <x v="2"/>
    <s v="31-40"/>
    <x v="2"/>
    <s v="07/01/2022"/>
    <s v="10/03/2024"/>
    <n v="4"/>
    <n v="267000"/>
    <n v="4.0999999999999996"/>
    <n v="0"/>
    <x v="0"/>
  </r>
  <r>
    <s v="MFS-82885"/>
    <s v="Maryam Nduka"/>
    <x v="1"/>
    <x v="2"/>
    <x v="0"/>
    <s v="Director"/>
    <x v="2"/>
    <s v="31-40"/>
    <x v="0"/>
    <s v="14/01/2021"/>
    <s v="10/03/2024"/>
    <n v="5"/>
    <n v="1640000"/>
    <n v="3.1"/>
    <n v="1"/>
    <x v="0"/>
  </r>
  <r>
    <s v="MFS-64274"/>
    <s v="Chukwuemeka Buhari"/>
    <x v="0"/>
    <x v="2"/>
    <x v="2"/>
    <s v="Junior"/>
    <x v="2"/>
    <s v="22-30"/>
    <x v="3"/>
    <s v="28/08/2023"/>
    <s v="10/03/2024"/>
    <n v="2"/>
    <n v="117000"/>
    <n v="4.7"/>
    <n v="8"/>
    <x v="0"/>
  </r>
  <r>
    <s v="MFS-76506"/>
    <s v="Kemi Eze"/>
    <x v="1"/>
    <x v="4"/>
    <x v="2"/>
    <s v="Senior"/>
    <x v="2"/>
    <s v="22-30"/>
    <x v="0"/>
    <s v="29/03/2023"/>
    <s v="10/03/2024"/>
    <n v="2"/>
    <n v="426000"/>
    <n v="2.2999999999999998"/>
    <n v="14"/>
    <x v="2"/>
  </r>
  <r>
    <s v="MFS-66628"/>
    <s v="Rotimi Uba"/>
    <x v="0"/>
    <x v="0"/>
    <x v="0"/>
    <s v="Mid-level"/>
    <x v="0"/>
    <s v="22-30"/>
    <x v="0"/>
    <s v="21/08/2020"/>
    <s v="31/05/2021"/>
    <n v="5"/>
    <n v="385000"/>
    <n v="4.0999999999999996"/>
    <n v="1"/>
    <x v="1"/>
  </r>
  <r>
    <s v="MFS-10468"/>
    <s v="Adebayo Taiwo"/>
    <x v="0"/>
    <x v="2"/>
    <x v="0"/>
    <s v="Mid-level"/>
    <x v="3"/>
    <s v="22-30"/>
    <x v="2"/>
    <s v="27/05/2023"/>
    <s v="12/11/2021"/>
    <n v="2"/>
    <n v="268000"/>
    <n v="2.1"/>
    <n v="0"/>
    <x v="0"/>
  </r>
  <r>
    <s v="MFS-62799"/>
    <s v="Adaeze Suleiman"/>
    <x v="1"/>
    <x v="0"/>
    <x v="0"/>
    <s v="Junior"/>
    <x v="0"/>
    <s v="22-30"/>
    <x v="0"/>
    <s v="22/01/2019"/>
    <s v="12/11/2021"/>
    <n v="7"/>
    <n v="157000"/>
    <n v="4"/>
    <n v="17"/>
    <x v="1"/>
  </r>
  <r>
    <s v="MFS-32295"/>
    <s v="Bilkisu Adewale"/>
    <x v="1"/>
    <x v="3"/>
    <x v="0"/>
    <s v="Mid-level"/>
    <x v="0"/>
    <s v="41-50"/>
    <x v="1"/>
    <s v="13/07/2020"/>
    <s v="21/11/2023"/>
    <n v="5"/>
    <n v="249000"/>
    <n v="4.0999999999999996"/>
    <n v="4"/>
    <x v="0"/>
  </r>
  <r>
    <s v="MFS-60015"/>
    <s v="Jummai Fagbemi"/>
    <x v="1"/>
    <x v="0"/>
    <x v="2"/>
    <s v="Mid-level"/>
    <x v="3"/>
    <s v="31-40"/>
    <x v="3"/>
    <s v="12/08/2019"/>
    <s v="21/11/2023"/>
    <n v="6"/>
    <n v="381000"/>
    <n v="2.2999999999999998"/>
    <n v="7"/>
    <x v="0"/>
  </r>
  <r>
    <s v="MFS-97407"/>
    <s v="Nana Obaseki"/>
    <x v="1"/>
    <x v="4"/>
    <x v="1"/>
    <s v="Mid-level"/>
    <x v="1"/>
    <s v="51-60"/>
    <x v="0"/>
    <s v="08/10/2021"/>
    <s v="21/11/2023"/>
    <n v="4"/>
    <n v="247000"/>
    <n v="1.7"/>
    <n v="6"/>
    <x v="0"/>
  </r>
  <r>
    <s v="MFS-54606"/>
    <s v="Bilkisu Adebayo"/>
    <x v="1"/>
    <x v="1"/>
    <x v="0"/>
    <s v="Senior"/>
    <x v="1"/>
    <s v="41-50"/>
    <x v="2"/>
    <s v="17/12/2022"/>
    <s v="21/11/2023"/>
    <n v="3"/>
    <n v="350000"/>
    <n v="4.4000000000000004"/>
    <n v="12"/>
    <x v="0"/>
  </r>
  <r>
    <s v="MFS-76483"/>
    <s v="Kemi Haruna"/>
    <x v="1"/>
    <x v="1"/>
    <x v="0"/>
    <s v="Senior"/>
    <x v="2"/>
    <s v="51-60"/>
    <x v="0"/>
    <s v="11/12/2019"/>
    <s v="21/11/2023"/>
    <n v="6"/>
    <n v="350000"/>
    <n v="2.4"/>
    <n v="1"/>
    <x v="0"/>
  </r>
  <r>
    <s v="MFS-58864"/>
    <s v="Chinedu Taiwo"/>
    <x v="0"/>
    <x v="3"/>
    <x v="0"/>
    <s v="Junior"/>
    <x v="2"/>
    <s v="22-30"/>
    <x v="0"/>
    <s v="04/05/2023"/>
    <s v="21/11/2023"/>
    <n v="2"/>
    <n v="165000"/>
    <n v="3"/>
    <n v="0"/>
    <x v="0"/>
  </r>
  <r>
    <s v="MFS-80316"/>
    <s v="Hafsat Suleiman"/>
    <x v="1"/>
    <x v="4"/>
    <x v="0"/>
    <s v="Senior"/>
    <x v="0"/>
    <s v="22-30"/>
    <x v="1"/>
    <s v="03/07/2021"/>
    <s v="21/11/2023"/>
    <n v="4"/>
    <n v="393000"/>
    <n v="2.1"/>
    <n v="1"/>
    <x v="0"/>
  </r>
  <r>
    <s v="MFS-80994"/>
    <s v="Usman Abdullahi"/>
    <x v="0"/>
    <x v="0"/>
    <x v="0"/>
    <s v="Mid-level"/>
    <x v="0"/>
    <s v="41-50"/>
    <x v="3"/>
    <s v="18/06/2022"/>
    <s v="21/11/2023"/>
    <n v="3"/>
    <n v="261000"/>
    <n v="4.7"/>
    <n v="24"/>
    <x v="1"/>
  </r>
  <r>
    <s v="MFS-62342"/>
    <s v="Rabiu Chukwu"/>
    <x v="0"/>
    <x v="3"/>
    <x v="1"/>
    <s v="Junior"/>
    <x v="0"/>
    <s v="51-60"/>
    <x v="2"/>
    <s v="28/10/2019"/>
    <s v="29/08/2020"/>
    <n v="6"/>
    <n v="87000"/>
    <n v="2.7"/>
    <n v="10"/>
    <x v="0"/>
  </r>
  <r>
    <s v="MFS-81351"/>
    <s v="Abubakar Adeyemi"/>
    <x v="0"/>
    <x v="3"/>
    <x v="0"/>
    <s v="Mid-level"/>
    <x v="0"/>
    <s v="41-50"/>
    <x v="2"/>
    <s v="20/06/2019"/>
    <s v="29/08/2020"/>
    <n v="6"/>
    <n v="274000"/>
    <n v="2.4"/>
    <n v="7"/>
    <x v="1"/>
  </r>
  <r>
    <s v="MFS-44165"/>
    <s v="Ezinne Fagbemi"/>
    <x v="1"/>
    <x v="2"/>
    <x v="2"/>
    <s v="Junior"/>
    <x v="0"/>
    <s v="22-30"/>
    <x v="1"/>
    <s v="09/02/2019"/>
    <s v="15/10/2023"/>
    <n v="7"/>
    <n v="110000"/>
    <n v="2.4"/>
    <n v="4"/>
    <x v="1"/>
  </r>
  <r>
    <s v="MFS-24548"/>
    <s v="Danladi Ihejirika"/>
    <x v="0"/>
    <x v="0"/>
    <x v="2"/>
    <s v="Manager"/>
    <x v="0"/>
    <s v="41-50"/>
    <x v="0"/>
    <s v="20/06/2021"/>
    <s v="14/03/2025"/>
    <n v="4"/>
    <n v="980000"/>
    <n v="3.1"/>
    <n v="13"/>
    <x v="0"/>
  </r>
  <r>
    <s v="MFS-31505"/>
    <s v="Yetunde Onwudiwe"/>
    <x v="1"/>
    <x v="3"/>
    <x v="0"/>
    <s v="Junior"/>
    <x v="1"/>
    <s v="31-40"/>
    <x v="2"/>
    <s v="23/07/2020"/>
    <s v="14/03/2025"/>
    <n v="5"/>
    <n v="165000"/>
    <n v="4"/>
    <n v="6"/>
    <x v="0"/>
  </r>
  <r>
    <s v="MFS-68854"/>
    <s v="Ifeanyi Danladi"/>
    <x v="0"/>
    <x v="0"/>
    <x v="0"/>
    <s v="Junior"/>
    <x v="2"/>
    <s v="31-40"/>
    <x v="0"/>
    <s v="16/07/2022"/>
    <s v="14/03/2025"/>
    <n v="3"/>
    <n v="120000"/>
    <n v="4"/>
    <n v="4"/>
    <x v="0"/>
  </r>
  <r>
    <s v="MFS-97251"/>
    <s v="Bimpe Okonkwo"/>
    <x v="1"/>
    <x v="2"/>
    <x v="1"/>
    <s v="Mid-level"/>
    <x v="0"/>
    <s v="31-40"/>
    <x v="4"/>
    <s v="28/08/2019"/>
    <s v="14/03/2025"/>
    <n v="6"/>
    <n v="311000"/>
    <n v="3.9"/>
    <n v="6"/>
    <x v="1"/>
  </r>
  <r>
    <s v="MFS-68538"/>
    <s v="Haruna Danladi"/>
    <x v="0"/>
    <x v="4"/>
    <x v="1"/>
    <s v="Senior"/>
    <x v="3"/>
    <s v="22-30"/>
    <x v="0"/>
    <s v="12/11/2020"/>
    <s v="31/01/2024"/>
    <n v="5"/>
    <n v="523000"/>
    <n v="3.4"/>
    <n v="7"/>
    <x v="0"/>
  </r>
  <r>
    <s v="MFS-72245"/>
    <s v="Ikenna Obi"/>
    <x v="0"/>
    <x v="1"/>
    <x v="1"/>
    <s v="Junior"/>
    <x v="2"/>
    <s v="31-40"/>
    <x v="1"/>
    <s v="15/11/2021"/>
    <s v="31/01/2024"/>
    <n v="4"/>
    <n v="153000"/>
    <n v="4.9000000000000004"/>
    <n v="2"/>
    <x v="0"/>
  </r>
  <r>
    <s v="MFS-99825"/>
    <s v="Abubakar Eze"/>
    <x v="0"/>
    <x v="4"/>
    <x v="0"/>
    <s v="Junior"/>
    <x v="0"/>
    <s v="31-40"/>
    <x v="0"/>
    <s v="09/01/2021"/>
    <s v="31/01/2024"/>
    <n v="5"/>
    <n v="109000"/>
    <n v="2"/>
    <n v="9"/>
    <x v="1"/>
  </r>
  <r>
    <s v="MFS-15419"/>
    <s v="Nneka Shehu"/>
    <x v="1"/>
    <x v="0"/>
    <x v="0"/>
    <s v="Senior"/>
    <x v="2"/>
    <s v="51-60"/>
    <x v="0"/>
    <s v="12/02/2022"/>
    <s v="16/11/2024"/>
    <n v="4"/>
    <n v="491000"/>
    <n v="3.3"/>
    <n v="6"/>
    <x v="0"/>
  </r>
  <r>
    <s v="MFS-72051"/>
    <s v="Kemi Nwosu"/>
    <x v="1"/>
    <x v="4"/>
    <x v="0"/>
    <s v="Mid-level"/>
    <x v="1"/>
    <s v="22-30"/>
    <x v="0"/>
    <s v="02/09/2020"/>
    <s v="16/11/2024"/>
    <n v="5"/>
    <n v="273000"/>
    <n v="3.1"/>
    <n v="14"/>
    <x v="0"/>
  </r>
  <r>
    <s v="MFS-87867"/>
    <s v="Ibrahim Afolabi"/>
    <x v="0"/>
    <x v="2"/>
    <x v="1"/>
    <s v="Junior"/>
    <x v="2"/>
    <s v="31-40"/>
    <x v="2"/>
    <s v="27/05/2021"/>
    <s v="16/11/2024"/>
    <n v="4"/>
    <n v="138000"/>
    <n v="2.5"/>
    <n v="12"/>
    <x v="0"/>
  </r>
  <r>
    <s v="MFS-81364"/>
    <s v="Bukola Adewale"/>
    <x v="1"/>
    <x v="3"/>
    <x v="0"/>
    <s v="Junior"/>
    <x v="3"/>
    <s v="51-60"/>
    <x v="2"/>
    <s v="07/08/2022"/>
    <s v="16/11/2024"/>
    <n v="3"/>
    <n v="146000"/>
    <n v="4.9000000000000004"/>
    <n v="25"/>
    <x v="0"/>
  </r>
  <r>
    <s v="MFS-88143"/>
    <s v="Zainab Oyelaran"/>
    <x v="1"/>
    <x v="1"/>
    <x v="0"/>
    <s v="Mid-level"/>
    <x v="0"/>
    <s v="22-30"/>
    <x v="0"/>
    <s v="02/11/2021"/>
    <s v="16/11/2024"/>
    <n v="4"/>
    <n v="242000"/>
    <n v="3.3"/>
    <n v="40"/>
    <x v="0"/>
  </r>
  <r>
    <s v="MFS-16895"/>
    <s v="Chinyere Shehu"/>
    <x v="1"/>
    <x v="2"/>
    <x v="1"/>
    <s v="Junior"/>
    <x v="0"/>
    <s v="41-50"/>
    <x v="2"/>
    <s v="31/03/2022"/>
    <s v="16/11/2024"/>
    <n v="3"/>
    <n v="86000"/>
    <n v="5"/>
    <n v="14"/>
    <x v="0"/>
  </r>
  <r>
    <s v="MFS-78076"/>
    <s v="Bimpe Shehu"/>
    <x v="1"/>
    <x v="2"/>
    <x v="0"/>
    <s v="Junior"/>
    <x v="1"/>
    <s v="51-60"/>
    <x v="2"/>
    <s v="04/01/2023"/>
    <s v="16/11/2024"/>
    <n v="3"/>
    <n v="164000"/>
    <n v="2"/>
    <n v="2"/>
    <x v="0"/>
  </r>
  <r>
    <s v="MFS-31153"/>
    <s v="Falmata Coker"/>
    <x v="1"/>
    <x v="3"/>
    <x v="1"/>
    <s v="Senior"/>
    <x v="0"/>
    <s v="51-60"/>
    <x v="0"/>
    <s v="12/11/2019"/>
    <s v="16/11/2024"/>
    <n v="6"/>
    <n v="529000"/>
    <n v="4"/>
    <n v="13"/>
    <x v="0"/>
  </r>
  <r>
    <s v="MFS-12891"/>
    <s v="Falmata Chukwu"/>
    <x v="1"/>
    <x v="1"/>
    <x v="0"/>
    <s v="Junior"/>
    <x v="1"/>
    <s v="22-30"/>
    <x v="1"/>
    <s v="26/05/2020"/>
    <s v="16/11/2024"/>
    <n v="5"/>
    <n v="105000"/>
    <n v="2.6"/>
    <n v="14"/>
    <x v="0"/>
  </r>
  <r>
    <s v="MFS-63396"/>
    <s v="Obinna Onwudiwe"/>
    <x v="0"/>
    <x v="4"/>
    <x v="2"/>
    <s v="Mid-level"/>
    <x v="0"/>
    <s v="51-60"/>
    <x v="3"/>
    <s v="13/02/2022"/>
    <s v="16/11/2024"/>
    <n v="4"/>
    <n v="267000"/>
    <n v="3.2"/>
    <n v="11"/>
    <x v="0"/>
  </r>
  <r>
    <s v="MFS-13420"/>
    <s v="Folake Onwudiwe"/>
    <x v="1"/>
    <x v="3"/>
    <x v="0"/>
    <s v="Director"/>
    <x v="0"/>
    <s v="41-50"/>
    <x v="2"/>
    <s v="28/04/2023"/>
    <s v="16/11/2024"/>
    <n v="2"/>
    <n v="1883000"/>
    <n v="4.5"/>
    <n v="0"/>
    <x v="2"/>
  </r>
  <r>
    <s v="MFS-23611"/>
    <s v="Adeola Shehu"/>
    <x v="0"/>
    <x v="2"/>
    <x v="2"/>
    <s v="Mid-level"/>
    <x v="2"/>
    <s v="31-40"/>
    <x v="2"/>
    <s v="16/01/2022"/>
    <s v="10/12/2020"/>
    <n v="4"/>
    <n v="318000"/>
    <n v="2.7"/>
    <n v="6"/>
    <x v="0"/>
  </r>
  <r>
    <s v="MFS-45674"/>
    <s v="Rabiu Ogundipe"/>
    <x v="0"/>
    <x v="2"/>
    <x v="0"/>
    <s v="Mid-level"/>
    <x v="0"/>
    <s v="51-60"/>
    <x v="1"/>
    <s v="30/01/2019"/>
    <s v="10/12/2020"/>
    <n v="7"/>
    <n v="189000"/>
    <n v="4.4000000000000004"/>
    <n v="8"/>
    <x v="2"/>
  </r>
  <r>
    <s v="MFS-87743"/>
    <s v="Chioma Adewale"/>
    <x v="1"/>
    <x v="2"/>
    <x v="0"/>
    <s v="Mid-level"/>
    <x v="1"/>
    <s v="31-40"/>
    <x v="2"/>
    <s v="23/05/2019"/>
    <s v="13/07/2024"/>
    <n v="6"/>
    <n v="195000"/>
    <n v="2.5"/>
    <n v="37"/>
    <x v="0"/>
  </r>
  <r>
    <s v="MFS-70004"/>
    <s v="Chinwe Adeyemi"/>
    <x v="1"/>
    <x v="2"/>
    <x v="0"/>
    <s v="Mid-level"/>
    <x v="0"/>
    <s v="31-40"/>
    <x v="0"/>
    <s v="10/09/2023"/>
    <s v="13/07/2024"/>
    <n v="2"/>
    <n v="309000"/>
    <n v="2.1"/>
    <n v="12"/>
    <x v="1"/>
  </r>
  <r>
    <s v="MFS-69871"/>
    <s v="Ogechi Danladi"/>
    <x v="1"/>
    <x v="2"/>
    <x v="0"/>
    <s v="Manager"/>
    <x v="1"/>
    <s v="41-50"/>
    <x v="1"/>
    <s v="02/06/2023"/>
    <s v="20/09/2024"/>
    <n v="2"/>
    <n v="778000"/>
    <n v="4.5999999999999996"/>
    <n v="4"/>
    <x v="1"/>
  </r>
  <r>
    <s v="MFS-75421"/>
    <s v="Aliyu Lawal"/>
    <x v="0"/>
    <x v="4"/>
    <x v="0"/>
    <s v="Senior"/>
    <x v="2"/>
    <s v="41-50"/>
    <x v="0"/>
    <s v="18/03/2020"/>
    <s v="22/12/2022"/>
    <n v="5"/>
    <n v="484000"/>
    <n v="3.1"/>
    <n v="9"/>
    <x v="0"/>
  </r>
  <r>
    <s v="MFS-45153"/>
    <s v="Chinwe Nduka"/>
    <x v="1"/>
    <x v="3"/>
    <x v="0"/>
    <s v="Manager"/>
    <x v="3"/>
    <s v="22-30"/>
    <x v="1"/>
    <s v="05/06/2019"/>
    <s v="22/12/2022"/>
    <n v="6"/>
    <n v="846000"/>
    <n v="3.2"/>
    <n v="11"/>
    <x v="0"/>
  </r>
  <r>
    <s v="MFS-71718"/>
    <s v="Ugochi Oyelaran"/>
    <x v="1"/>
    <x v="0"/>
    <x v="1"/>
    <s v="Senior"/>
    <x v="0"/>
    <s v="31-40"/>
    <x v="2"/>
    <s v="09/04/2022"/>
    <s v="22/12/2022"/>
    <n v="3"/>
    <n v="459000"/>
    <n v="4"/>
    <n v="12"/>
    <x v="1"/>
  </r>
  <r>
    <s v="MFS-83394"/>
    <s v="Ebuka Nwosu"/>
    <x v="0"/>
    <x v="1"/>
    <x v="0"/>
    <s v="Manager"/>
    <x v="2"/>
    <s v="41-50"/>
    <x v="2"/>
    <s v="27/04/2020"/>
    <s v="11/05/2023"/>
    <n v="5"/>
    <n v="600000"/>
    <n v="4.4000000000000004"/>
    <n v="9"/>
    <x v="0"/>
  </r>
  <r>
    <s v="MFS-94076"/>
    <s v="Ramatu Taiwo"/>
    <x v="1"/>
    <x v="2"/>
    <x v="0"/>
    <s v="Junior"/>
    <x v="2"/>
    <s v="22-30"/>
    <x v="2"/>
    <s v="07/08/2022"/>
    <s v="11/05/2023"/>
    <n v="3"/>
    <n v="176000"/>
    <n v="3.4"/>
    <n v="10"/>
    <x v="0"/>
  </r>
  <r>
    <s v="MFS-14374"/>
    <s v="Adeola Nwosu"/>
    <x v="0"/>
    <x v="2"/>
    <x v="0"/>
    <s v="Mid-level"/>
    <x v="1"/>
    <s v="41-50"/>
    <x v="0"/>
    <s v="09/12/2023"/>
    <s v="11/05/2023"/>
    <n v="2"/>
    <n v="302000"/>
    <n v="3.2"/>
    <n v="6"/>
    <x v="0"/>
  </r>
  <r>
    <s v="MFS-92102"/>
    <s v="Falmata Suleiman"/>
    <x v="1"/>
    <x v="4"/>
    <x v="2"/>
    <s v="Mid-level"/>
    <x v="0"/>
    <s v="22-30"/>
    <x v="0"/>
    <s v="19/12/2020"/>
    <s v="11/05/2023"/>
    <n v="5"/>
    <n v="295000"/>
    <n v="2.4"/>
    <n v="9"/>
    <x v="1"/>
  </r>
  <r>
    <s v="MFS-64256"/>
    <s v="Ramatu Ogundipe"/>
    <x v="1"/>
    <x v="3"/>
    <x v="2"/>
    <s v="Junior"/>
    <x v="3"/>
    <s v="31-40"/>
    <x v="0"/>
    <s v="05/10/2021"/>
    <s v="17/03/2025"/>
    <n v="4"/>
    <n v="136000"/>
    <n v="4.5"/>
    <n v="9"/>
    <x v="1"/>
  </r>
  <r>
    <s v="MFS-41600"/>
    <s v="Falmata Buhari"/>
    <x v="1"/>
    <x v="0"/>
    <x v="1"/>
    <s v="Mid-level"/>
    <x v="2"/>
    <s v="41-50"/>
    <x v="0"/>
    <s v="17/05/2022"/>
    <s v="22/07/2023"/>
    <n v="3"/>
    <n v="245000"/>
    <n v="3.4"/>
    <n v="8"/>
    <x v="1"/>
  </r>
  <r>
    <s v="MFS-46075"/>
    <s v="Funmilayo Garba"/>
    <x v="1"/>
    <x v="4"/>
    <x v="0"/>
    <s v="Senior"/>
    <x v="3"/>
    <s v="41-50"/>
    <x v="4"/>
    <s v="01/08/2019"/>
    <s v="21/10/2020"/>
    <n v="6"/>
    <n v="558000"/>
    <n v="4.4000000000000004"/>
    <n v="7"/>
    <x v="0"/>
  </r>
  <r>
    <s v="MFS-22866"/>
    <s v="Aliyu Shehu"/>
    <x v="0"/>
    <x v="4"/>
    <x v="2"/>
    <s v="Junior"/>
    <x v="0"/>
    <s v="22-30"/>
    <x v="2"/>
    <s v="22/08/2019"/>
    <s v="21/10/2020"/>
    <n v="6"/>
    <n v="124000"/>
    <n v="2.5"/>
    <n v="11"/>
    <x v="0"/>
  </r>
  <r>
    <s v="MFS-17818"/>
    <s v="Hauwa Obaseki"/>
    <x v="1"/>
    <x v="2"/>
    <x v="0"/>
    <s v="Mid-level"/>
    <x v="0"/>
    <s v="22-30"/>
    <x v="4"/>
    <s v="23/06/2019"/>
    <s v="21/10/2020"/>
    <n v="6"/>
    <n v="349000"/>
    <n v="4.3"/>
    <n v="28"/>
    <x v="1"/>
  </r>
  <r>
    <s v="MFS-83743"/>
    <s v="Obinna Bello"/>
    <x v="0"/>
    <x v="4"/>
    <x v="1"/>
    <s v="Senior"/>
    <x v="2"/>
    <s v="22-30"/>
    <x v="0"/>
    <s v="30/04/2023"/>
    <s v="26/10/2024"/>
    <n v="2"/>
    <n v="495000"/>
    <n v="3.2"/>
    <n v="13"/>
    <x v="0"/>
  </r>
  <r>
    <s v="MFS-97988"/>
    <s v="Aliyu Musa"/>
    <x v="0"/>
    <x v="3"/>
    <x v="0"/>
    <s v="Mid-level"/>
    <x v="0"/>
    <s v="31-40"/>
    <x v="2"/>
    <s v="04/09/2019"/>
    <s v="26/10/2024"/>
    <n v="6"/>
    <n v="268000"/>
    <n v="4.9000000000000004"/>
    <n v="1"/>
    <x v="0"/>
  </r>
  <r>
    <s v="MFS-49885"/>
    <s v="Damilola Omotayo"/>
    <x v="1"/>
    <x v="0"/>
    <x v="0"/>
    <s v="Junior"/>
    <x v="0"/>
    <s v="41-50"/>
    <x v="2"/>
    <s v="11/12/2020"/>
    <s v="26/10/2024"/>
    <n v="5"/>
    <n v="165000"/>
    <n v="2.7"/>
    <n v="6"/>
    <x v="0"/>
  </r>
  <r>
    <s v="MFS-26750"/>
    <s v="Nneka Adeyemi"/>
    <x v="1"/>
    <x v="1"/>
    <x v="1"/>
    <s v="Senior"/>
    <x v="2"/>
    <s v="31-40"/>
    <x v="0"/>
    <s v="12/01/2021"/>
    <s v="26/10/2024"/>
    <n v="5"/>
    <n v="404000"/>
    <n v="3"/>
    <n v="3"/>
    <x v="0"/>
  </r>
  <r>
    <s v="MFS-28724"/>
    <s v="Bello Okafor"/>
    <x v="0"/>
    <x v="1"/>
    <x v="0"/>
    <s v="Director"/>
    <x v="1"/>
    <s v="41-50"/>
    <x v="2"/>
    <s v="19/05/2019"/>
    <s v="26/10/2024"/>
    <n v="6"/>
    <n v="1200000"/>
    <n v="4.0999999999999996"/>
    <n v="10"/>
    <x v="0"/>
  </r>
  <r>
    <s v="MFS-27886"/>
    <s v="Babatunde Oyelaran"/>
    <x v="0"/>
    <x v="1"/>
    <x v="0"/>
    <s v="Junior"/>
    <x v="2"/>
    <s v="41-50"/>
    <x v="1"/>
    <s v="21/12/2023"/>
    <s v="26/10/2024"/>
    <n v="2"/>
    <n v="85000"/>
    <n v="2.5"/>
    <n v="0"/>
    <x v="0"/>
  </r>
  <r>
    <s v="MFS-12147"/>
    <s v="Oghenekaro Amadi"/>
    <x v="0"/>
    <x v="1"/>
    <x v="1"/>
    <s v="Manager"/>
    <x v="0"/>
    <s v="22-30"/>
    <x v="0"/>
    <s v="30/08/2023"/>
    <s v="26/10/2024"/>
    <n v="2"/>
    <n v="648000"/>
    <n v="3.9"/>
    <n v="1"/>
    <x v="1"/>
  </r>
  <r>
    <s v="MFS-63423"/>
    <s v="Rabiu Nwosu"/>
    <x v="0"/>
    <x v="3"/>
    <x v="1"/>
    <s v="Manager"/>
    <x v="0"/>
    <s v="31-40"/>
    <x v="0"/>
    <s v="25/03/2019"/>
    <s v="14/05/2020"/>
    <n v="6"/>
    <n v="730000"/>
    <n v="3.6"/>
    <n v="8"/>
    <x v="1"/>
  </r>
  <r>
    <s v="MFS-74874"/>
    <s v="Ikenna Nnamdi"/>
    <x v="0"/>
    <x v="2"/>
    <x v="2"/>
    <s v="Mid-level"/>
    <x v="3"/>
    <s v="22-30"/>
    <x v="3"/>
    <s v="11/01/2022"/>
    <s v="05/01/2025"/>
    <n v="4"/>
    <n v="247000"/>
    <n v="3.4"/>
    <n v="7"/>
    <x v="0"/>
  </r>
  <r>
    <s v="MFS-96449"/>
    <s v="Gbenga Shehu"/>
    <x v="0"/>
    <x v="1"/>
    <x v="0"/>
    <s v="Mid-level"/>
    <x v="0"/>
    <s v="22-30"/>
    <x v="0"/>
    <s v="26/08/2022"/>
    <s v="05/01/2025"/>
    <n v="3"/>
    <n v="270000"/>
    <n v="4.9000000000000004"/>
    <n v="33"/>
    <x v="0"/>
  </r>
  <r>
    <s v="MFS-17774"/>
    <s v="Gbenga Onwudiwe"/>
    <x v="0"/>
    <x v="3"/>
    <x v="0"/>
    <s v="Mid-level"/>
    <x v="3"/>
    <s v="22-30"/>
    <x v="1"/>
    <s v="07/05/2023"/>
    <s v="05/01/2025"/>
    <n v="2"/>
    <n v="305000"/>
    <n v="4.5"/>
    <n v="9"/>
    <x v="0"/>
  </r>
  <r>
    <s v="MFS-31410"/>
    <s v="Adebayo Adeyemi"/>
    <x v="0"/>
    <x v="4"/>
    <x v="0"/>
    <s v="Manager"/>
    <x v="0"/>
    <s v="31-40"/>
    <x v="2"/>
    <s v="21/08/2020"/>
    <s v="05/01/2025"/>
    <n v="5"/>
    <n v="645000"/>
    <n v="3.2"/>
    <n v="2"/>
    <x v="1"/>
  </r>
  <r>
    <s v="MFS-99347"/>
    <s v="Rabiu Buhari"/>
    <x v="0"/>
    <x v="3"/>
    <x v="2"/>
    <s v="Senior"/>
    <x v="1"/>
    <s v="31-40"/>
    <x v="0"/>
    <s v="27/04/2023"/>
    <s v="13/12/2024"/>
    <n v="2"/>
    <n v="361000"/>
    <n v="2.4"/>
    <n v="7"/>
    <x v="2"/>
  </r>
  <r>
    <s v="MFS-49129"/>
    <s v="Babatunde Ihejirika"/>
    <x v="0"/>
    <x v="3"/>
    <x v="0"/>
    <s v="Manager"/>
    <x v="1"/>
    <s v="31-40"/>
    <x v="1"/>
    <s v="22/05/2020"/>
    <s v="17/03/2024"/>
    <n v="5"/>
    <n v="895000"/>
    <n v="4.5"/>
    <n v="1"/>
    <x v="0"/>
  </r>
  <r>
    <s v="MFS-63149"/>
    <s v="Yetunde Nduka"/>
    <x v="1"/>
    <x v="3"/>
    <x v="2"/>
    <s v="Director"/>
    <x v="0"/>
    <s v="41-50"/>
    <x v="0"/>
    <s v="24/03/2021"/>
    <s v="17/03/2024"/>
    <n v="4"/>
    <n v="1494000"/>
    <n v="4.7"/>
    <n v="9"/>
    <x v="1"/>
  </r>
  <r>
    <s v="MFS-68936"/>
    <s v="Danladi Nduka"/>
    <x v="0"/>
    <x v="3"/>
    <x v="2"/>
    <s v="Junior"/>
    <x v="0"/>
    <s v="31-40"/>
    <x v="1"/>
    <s v="29/05/2019"/>
    <s v="10/05/2023"/>
    <n v="6"/>
    <n v="143000"/>
    <n v="3.6"/>
    <n v="32"/>
    <x v="0"/>
  </r>
  <r>
    <s v="MFS-34849"/>
    <s v="Haruna Ogbonna"/>
    <x v="0"/>
    <x v="1"/>
    <x v="0"/>
    <s v="Senior"/>
    <x v="0"/>
    <s v="31-40"/>
    <x v="0"/>
    <s v="25/04/2022"/>
    <s v="10/05/2023"/>
    <n v="3"/>
    <n v="350000"/>
    <n v="3.3"/>
    <n v="22"/>
    <x v="0"/>
  </r>
  <r>
    <s v="MFS-25165"/>
    <s v="Asabe Ogundipe"/>
    <x v="1"/>
    <x v="0"/>
    <x v="2"/>
    <s v="Senior"/>
    <x v="0"/>
    <s v="41-50"/>
    <x v="1"/>
    <s v="25/08/2020"/>
    <s v="10/05/2023"/>
    <n v="5"/>
    <n v="415000"/>
    <n v="3.4"/>
    <n v="16"/>
    <x v="0"/>
  </r>
  <r>
    <s v="MFS-99142"/>
    <s v="Ezinne Ihejirika"/>
    <x v="1"/>
    <x v="1"/>
    <x v="2"/>
    <s v="Senior"/>
    <x v="0"/>
    <s v="41-50"/>
    <x v="0"/>
    <s v="28/11/2020"/>
    <s v="10/05/2023"/>
    <n v="5"/>
    <n v="409000"/>
    <n v="2.7"/>
    <n v="8"/>
    <x v="2"/>
  </r>
  <r>
    <s v="MFS-63818"/>
    <s v="Kunle Oyelaran"/>
    <x v="0"/>
    <x v="0"/>
    <x v="1"/>
    <s v="Manager"/>
    <x v="1"/>
    <s v="22-30"/>
    <x v="0"/>
    <s v="24/08/2022"/>
    <s v="11/04/2024"/>
    <n v="3"/>
    <n v="822000"/>
    <n v="4.8"/>
    <n v="11"/>
    <x v="0"/>
  </r>
  <r>
    <s v="MFS-28030"/>
    <s v="Shehu Danladi"/>
    <x v="0"/>
    <x v="2"/>
    <x v="0"/>
    <s v="Senior"/>
    <x v="2"/>
    <s v="41-50"/>
    <x v="0"/>
    <s v="30/11/2023"/>
    <s v="11/04/2024"/>
    <n v="2"/>
    <n v="542000"/>
    <n v="2.4"/>
    <n v="2"/>
    <x v="0"/>
  </r>
  <r>
    <s v="MFS-10478"/>
    <s v="Emeka Danladi"/>
    <x v="0"/>
    <x v="1"/>
    <x v="2"/>
    <s v="Junior"/>
    <x v="0"/>
    <s v="22-30"/>
    <x v="0"/>
    <s v="01/03/2023"/>
    <s v="11/04/2024"/>
    <n v="3"/>
    <n v="126000"/>
    <n v="2.2000000000000002"/>
    <n v="37"/>
    <x v="0"/>
  </r>
  <r>
    <s v="MFS-95697"/>
    <s v="Chidi Adewale"/>
    <x v="0"/>
    <x v="3"/>
    <x v="2"/>
    <s v="Mid-level"/>
    <x v="0"/>
    <s v="22-30"/>
    <x v="4"/>
    <s v="20/09/2023"/>
    <s v="11/04/2024"/>
    <n v="2"/>
    <n v="234000"/>
    <n v="2.5"/>
    <n v="12"/>
    <x v="1"/>
  </r>
  <r>
    <s v="MFS-15810"/>
    <s v="Emeka Obaseki"/>
    <x v="0"/>
    <x v="3"/>
    <x v="0"/>
    <s v="Mid-level"/>
    <x v="2"/>
    <s v="31-40"/>
    <x v="1"/>
    <s v="09/06/2022"/>
    <s v="27/04/2024"/>
    <n v="3"/>
    <n v="301000"/>
    <n v="2.2000000000000002"/>
    <n v="1"/>
    <x v="0"/>
  </r>
  <r>
    <s v="MFS-59969"/>
    <s v="Dele Okafor"/>
    <x v="0"/>
    <x v="1"/>
    <x v="2"/>
    <s v="Manager"/>
    <x v="2"/>
    <s v="31-40"/>
    <x v="1"/>
    <s v="03/08/2020"/>
    <s v="27/04/2024"/>
    <n v="5"/>
    <n v="732000"/>
    <n v="3.5"/>
    <n v="38"/>
    <x v="1"/>
  </r>
  <r>
    <s v="MFS-16233"/>
    <s v="Ifeanyi Garba"/>
    <x v="0"/>
    <x v="4"/>
    <x v="0"/>
    <s v="Mid-level"/>
    <x v="0"/>
    <s v="22-30"/>
    <x v="0"/>
    <s v="31/05/2020"/>
    <s v="25/09/2024"/>
    <n v="5"/>
    <n v="341000"/>
    <n v="3.1"/>
    <n v="1"/>
    <x v="1"/>
  </r>
  <r>
    <s v="MFS-61496"/>
    <s v="Uche Haruna"/>
    <x v="0"/>
    <x v="1"/>
    <x v="0"/>
    <s v="Manager"/>
    <x v="0"/>
    <s v="41-50"/>
    <x v="0"/>
    <s v="12/08/2020"/>
    <s v="17/12/2024"/>
    <n v="5"/>
    <n v="737000"/>
    <n v="4"/>
    <n v="7"/>
    <x v="1"/>
  </r>
  <r>
    <s v="MFS-91965"/>
    <s v="Zainab Omotayo"/>
    <x v="1"/>
    <x v="1"/>
    <x v="0"/>
    <s v="Manager"/>
    <x v="3"/>
    <s v="31-40"/>
    <x v="0"/>
    <s v="09/11/2022"/>
    <s v="25/10/2024"/>
    <n v="3"/>
    <n v="720000"/>
    <n v="4.0999999999999996"/>
    <n v="0"/>
    <x v="2"/>
  </r>
  <r>
    <s v="MFS-92912"/>
    <s v="Falmata Ihejirika"/>
    <x v="1"/>
    <x v="2"/>
    <x v="1"/>
    <s v="Junior"/>
    <x v="0"/>
    <s v="41-50"/>
    <x v="0"/>
    <s v="25/09/2019"/>
    <s v="10/05/2024"/>
    <n v="6"/>
    <n v="157000"/>
    <n v="3.1"/>
    <n v="4"/>
    <x v="0"/>
  </r>
  <r>
    <s v="MFS-15990"/>
    <s v="Obiora Coker"/>
    <x v="0"/>
    <x v="4"/>
    <x v="2"/>
    <s v="Junior"/>
    <x v="2"/>
    <s v="31-40"/>
    <x v="0"/>
    <s v="27/05/2021"/>
    <s v="10/05/2024"/>
    <n v="4"/>
    <n v="175000"/>
    <n v="3.3"/>
    <n v="1"/>
    <x v="1"/>
  </r>
  <r>
    <s v="MFS-69559"/>
    <s v="Rabiu Ihejirika"/>
    <x v="0"/>
    <x v="4"/>
    <x v="0"/>
    <s v="Senior"/>
    <x v="0"/>
    <s v="22-30"/>
    <x v="0"/>
    <s v="25/04/2022"/>
    <s v="27/02/2023"/>
    <n v="3"/>
    <n v="570000"/>
    <n v="3.1"/>
    <n v="14"/>
    <x v="0"/>
  </r>
  <r>
    <s v="MFS-79349"/>
    <s v="Chibuike Obi"/>
    <x v="0"/>
    <x v="2"/>
    <x v="0"/>
    <s v="Mid-level"/>
    <x v="2"/>
    <s v="51-60"/>
    <x v="3"/>
    <s v="31/01/2019"/>
    <s v="27/02/2023"/>
    <n v="7"/>
    <n v="345000"/>
    <n v="3.5"/>
    <n v="11"/>
    <x v="0"/>
  </r>
  <r>
    <s v="MFS-99545"/>
    <s v="Tosin Nduka"/>
    <x v="1"/>
    <x v="3"/>
    <x v="2"/>
    <s v="Senior"/>
    <x v="1"/>
    <s v="41-50"/>
    <x v="1"/>
    <s v="04/03/2019"/>
    <s v="27/02/2023"/>
    <n v="7"/>
    <n v="506000"/>
    <n v="4.8"/>
    <n v="12"/>
    <x v="2"/>
  </r>
  <r>
    <s v="MFS-14504"/>
    <s v="Rabiu Amadi"/>
    <x v="0"/>
    <x v="3"/>
    <x v="0"/>
    <s v="Senior"/>
    <x v="2"/>
    <s v="41-50"/>
    <x v="0"/>
    <s v="10/09/2020"/>
    <s v="06/12/2024"/>
    <n v="5"/>
    <n v="552000"/>
    <n v="2.5"/>
    <n v="33"/>
    <x v="0"/>
  </r>
  <r>
    <s v="MFS-91289"/>
    <s v="Ikenna Ihejirika"/>
    <x v="0"/>
    <x v="4"/>
    <x v="2"/>
    <s v="Junior"/>
    <x v="1"/>
    <s v="41-50"/>
    <x v="0"/>
    <s v="06/07/2023"/>
    <s v="06/12/2024"/>
    <n v="2"/>
    <n v="119000"/>
    <n v="2.9"/>
    <n v="0"/>
    <x v="1"/>
  </r>
  <r>
    <s v="MFS-86863"/>
    <s v="Lola Fagbemi"/>
    <x v="1"/>
    <x v="0"/>
    <x v="0"/>
    <s v="Junior"/>
    <x v="2"/>
    <s v="41-50"/>
    <x v="1"/>
    <s v="26/08/2020"/>
    <s v="07/01/2025"/>
    <n v="5"/>
    <n v="131000"/>
    <n v="3.5"/>
    <n v="13"/>
    <x v="0"/>
  </r>
  <r>
    <s v="MFS-65348"/>
    <s v="Hadiza Obaseki"/>
    <x v="1"/>
    <x v="4"/>
    <x v="2"/>
    <s v="Mid-level"/>
    <x v="0"/>
    <s v="31-40"/>
    <x v="2"/>
    <s v="29/06/2020"/>
    <s v="07/01/2025"/>
    <n v="5"/>
    <n v="259000"/>
    <n v="4.9000000000000004"/>
    <n v="2"/>
    <x v="0"/>
  </r>
  <r>
    <s v="MFS-39334"/>
    <s v="Ugochi Omotayo"/>
    <x v="1"/>
    <x v="1"/>
    <x v="0"/>
    <s v="Senior"/>
    <x v="0"/>
    <s v="41-50"/>
    <x v="2"/>
    <s v="20/10/2023"/>
    <s v="07/01/2025"/>
    <n v="2"/>
    <n v="401000"/>
    <n v="2.8"/>
    <n v="1"/>
    <x v="0"/>
  </r>
  <r>
    <s v="MFS-67126"/>
    <s v="Usman Okeke"/>
    <x v="0"/>
    <x v="3"/>
    <x v="0"/>
    <s v="Senior"/>
    <x v="2"/>
    <s v="41-50"/>
    <x v="0"/>
    <s v="02/09/2022"/>
    <s v="07/01/2025"/>
    <n v="3"/>
    <n v="568000"/>
    <n v="3.4"/>
    <n v="12"/>
    <x v="0"/>
  </r>
  <r>
    <s v="MFS-92017"/>
    <s v="Kabiru Omotayo"/>
    <x v="0"/>
    <x v="1"/>
    <x v="0"/>
    <s v="Manager"/>
    <x v="1"/>
    <s v="22-30"/>
    <x v="3"/>
    <s v="29/07/2019"/>
    <s v="07/01/2025"/>
    <n v="6"/>
    <n v="600000"/>
    <n v="5"/>
    <n v="1"/>
    <x v="2"/>
  </r>
  <r>
    <s v="MFS-31273"/>
    <s v="Tunde Okafor"/>
    <x v="0"/>
    <x v="0"/>
    <x v="0"/>
    <s v="Mid-level"/>
    <x v="0"/>
    <s v="51-60"/>
    <x v="2"/>
    <s v="30/06/2021"/>
    <s v="19/12/2023"/>
    <n v="4"/>
    <n v="215000"/>
    <n v="4.8"/>
    <n v="37"/>
    <x v="0"/>
  </r>
  <r>
    <s v="MFS-21856"/>
    <s v="Folake Ogbonna"/>
    <x v="1"/>
    <x v="4"/>
    <x v="2"/>
    <s v="Mid-level"/>
    <x v="1"/>
    <s v="41-50"/>
    <x v="0"/>
    <s v="02/10/2020"/>
    <s v="19/12/2023"/>
    <n v="5"/>
    <n v="326000"/>
    <n v="4.2"/>
    <n v="13"/>
    <x v="0"/>
  </r>
  <r>
    <s v="MFS-10495"/>
    <s v="Asabe Afolabi"/>
    <x v="1"/>
    <x v="2"/>
    <x v="0"/>
    <s v="Junior"/>
    <x v="2"/>
    <s v="22-30"/>
    <x v="2"/>
    <s v="20/09/2019"/>
    <s v="19/12/2023"/>
    <n v="6"/>
    <n v="132000"/>
    <n v="3.4"/>
    <n v="1"/>
    <x v="0"/>
  </r>
  <r>
    <s v="MFS-35712"/>
    <s v="Nasiru Suleiman"/>
    <x v="0"/>
    <x v="0"/>
    <x v="1"/>
    <s v="Senior"/>
    <x v="2"/>
    <s v="22-30"/>
    <x v="2"/>
    <s v="30/05/2021"/>
    <s v="19/12/2023"/>
    <n v="4"/>
    <n v="621000"/>
    <n v="2.2999999999999998"/>
    <n v="34"/>
    <x v="3"/>
  </r>
  <r>
    <s v="MFS-12125"/>
    <s v="Chukwuemeka Nwachukwu"/>
    <x v="0"/>
    <x v="0"/>
    <x v="0"/>
    <s v="Mid-level"/>
    <x v="0"/>
    <s v="31-40"/>
    <x v="0"/>
    <s v="01/02/2022"/>
    <s v="19/01/2023"/>
    <n v="4"/>
    <n v="350000"/>
    <n v="2.8"/>
    <n v="11"/>
    <x v="0"/>
  </r>
  <r>
    <s v="MFS-84727"/>
    <s v="Adaeze Abdullahi"/>
    <x v="1"/>
    <x v="4"/>
    <x v="0"/>
    <s v="Senior"/>
    <x v="2"/>
    <s v="41-50"/>
    <x v="3"/>
    <s v="26/01/2021"/>
    <s v="19/01/2023"/>
    <n v="5"/>
    <n v="556000"/>
    <n v="4.9000000000000004"/>
    <n v="0"/>
    <x v="1"/>
  </r>
  <r>
    <s v="MFS-84366"/>
    <s v="Chinyere Afolabi"/>
    <x v="1"/>
    <x v="2"/>
    <x v="0"/>
    <s v="Senior"/>
    <x v="3"/>
    <s v="41-50"/>
    <x v="2"/>
    <s v="17/02/2020"/>
    <s v="26/09/2021"/>
    <n v="6"/>
    <n v="371000"/>
    <n v="3.2"/>
    <n v="0"/>
    <x v="0"/>
  </r>
  <r>
    <s v="MFS-34294"/>
    <s v="Eze Haruna"/>
    <x v="0"/>
    <x v="2"/>
    <x v="1"/>
    <s v="Junior"/>
    <x v="1"/>
    <s v="22-30"/>
    <x v="2"/>
    <s v="08/08/2020"/>
    <s v="26/09/2021"/>
    <n v="5"/>
    <n v="154000"/>
    <n v="3.1"/>
    <n v="36"/>
    <x v="1"/>
  </r>
  <r>
    <s v="MFS-30674"/>
    <s v="Chukwuemeka Onwudiwe"/>
    <x v="0"/>
    <x v="1"/>
    <x v="1"/>
    <s v="Mid-level"/>
    <x v="2"/>
    <s v="51-60"/>
    <x v="3"/>
    <s v="11/09/2020"/>
    <s v="11/08/2024"/>
    <n v="5"/>
    <n v="271000"/>
    <n v="4.0999999999999996"/>
    <n v="26"/>
    <x v="1"/>
  </r>
  <r>
    <s v="MFS-86506"/>
    <s v="Aisha Afolabi"/>
    <x v="1"/>
    <x v="4"/>
    <x v="0"/>
    <s v="Mid-level"/>
    <x v="2"/>
    <s v="31-40"/>
    <x v="0"/>
    <s v="12/02/2021"/>
    <s v="29/08/2022"/>
    <n v="5"/>
    <n v="204000"/>
    <n v="2.5"/>
    <n v="1"/>
    <x v="2"/>
  </r>
  <r>
    <s v="MFS-40361"/>
    <s v="Uloma Fagbemi"/>
    <x v="1"/>
    <x v="0"/>
    <x v="0"/>
    <s v="Senior"/>
    <x v="3"/>
    <s v="22-30"/>
    <x v="2"/>
    <s v="04/11/2019"/>
    <s v="25/06/2022"/>
    <n v="6"/>
    <n v="518000"/>
    <n v="2.2999999999999998"/>
    <n v="13"/>
    <x v="2"/>
  </r>
  <r>
    <s v="MFS-13082"/>
    <s v="Hauwa Okonkwo"/>
    <x v="1"/>
    <x v="2"/>
    <x v="2"/>
    <s v="Mid-level"/>
    <x v="2"/>
    <s v="31-40"/>
    <x v="2"/>
    <s v="27/12/2022"/>
    <s v="06/10/2023"/>
    <n v="3"/>
    <n v="188000"/>
    <n v="2.4"/>
    <n v="7"/>
    <x v="0"/>
  </r>
  <r>
    <s v="MFS-22160"/>
    <s v="Oghenekaro Aliyu"/>
    <x v="0"/>
    <x v="3"/>
    <x v="2"/>
    <s v="Senior"/>
    <x v="0"/>
    <s v="31-40"/>
    <x v="1"/>
    <s v="19/12/2019"/>
    <s v="06/10/2023"/>
    <n v="6"/>
    <n v="514000"/>
    <n v="3.1"/>
    <n v="7"/>
    <x v="1"/>
  </r>
  <r>
    <s v="MFS-74918"/>
    <s v="Haruna Coker"/>
    <x v="0"/>
    <x v="4"/>
    <x v="0"/>
    <s v="Mid-level"/>
    <x v="0"/>
    <s v="22-30"/>
    <x v="2"/>
    <s v="07/01/2022"/>
    <s v="02/03/2021"/>
    <n v="4"/>
    <n v="253000"/>
    <n v="3.6"/>
    <n v="6"/>
    <x v="0"/>
  </r>
  <r>
    <s v="MFS-11467"/>
    <s v="Shade Omotayo"/>
    <x v="1"/>
    <x v="3"/>
    <x v="0"/>
    <s v="Mid-level"/>
    <x v="3"/>
    <s v="51-60"/>
    <x v="0"/>
    <s v="05/08/2022"/>
    <s v="02/03/2021"/>
    <n v="3"/>
    <n v="282000"/>
    <n v="4.7"/>
    <n v="9"/>
    <x v="0"/>
  </r>
  <r>
    <s v="MFS-60757"/>
    <s v="Haruna Aliyu"/>
    <x v="0"/>
    <x v="2"/>
    <x v="0"/>
    <s v="Mid-level"/>
    <x v="0"/>
    <s v="22-30"/>
    <x v="0"/>
    <s v="17/07/2020"/>
    <s v="02/03/2021"/>
    <n v="5"/>
    <n v="325000"/>
    <n v="4.7"/>
    <n v="10"/>
    <x v="0"/>
  </r>
  <r>
    <s v="MFS-33525"/>
    <s v="Aliyu Fagbemi"/>
    <x v="0"/>
    <x v="2"/>
    <x v="0"/>
    <s v="Junior"/>
    <x v="2"/>
    <s v="41-50"/>
    <x v="0"/>
    <s v="06/07/2019"/>
    <s v="02/03/2021"/>
    <n v="6"/>
    <n v="123000"/>
    <n v="2.4"/>
    <n v="7"/>
    <x v="3"/>
  </r>
  <r>
    <s v="MFS-69229"/>
    <s v="Chinyere Obi"/>
    <x v="1"/>
    <x v="4"/>
    <x v="0"/>
    <s v="Mid-level"/>
    <x v="0"/>
    <s v="51-60"/>
    <x v="2"/>
    <s v="03/11/2019"/>
    <s v="07/12/2022"/>
    <n v="6"/>
    <n v="347000"/>
    <n v="2.5"/>
    <n v="37"/>
    <x v="3"/>
  </r>
  <r>
    <s v="MFS-78411"/>
    <s v="Laraba Adeyemi"/>
    <x v="1"/>
    <x v="2"/>
    <x v="0"/>
    <s v="Senior"/>
    <x v="3"/>
    <s v="51-60"/>
    <x v="0"/>
    <s v="23/09/2022"/>
    <s v="17/10/2023"/>
    <n v="3"/>
    <n v="555000"/>
    <n v="3"/>
    <n v="4"/>
    <x v="0"/>
  </r>
  <r>
    <s v="MFS-74400"/>
    <s v="Sola Oyelaran"/>
    <x v="1"/>
    <x v="2"/>
    <x v="0"/>
    <s v="Mid-level"/>
    <x v="2"/>
    <s v="41-50"/>
    <x v="2"/>
    <s v="11/11/2022"/>
    <s v="17/10/2023"/>
    <n v="3"/>
    <n v="280000"/>
    <n v="4.5999999999999996"/>
    <n v="10"/>
    <x v="0"/>
  </r>
  <r>
    <s v="MFS-38603"/>
    <s v="Suleiman Adeyemi"/>
    <x v="0"/>
    <x v="0"/>
    <x v="0"/>
    <s v="Manager"/>
    <x v="0"/>
    <s v="31-40"/>
    <x v="2"/>
    <s v="04/07/2020"/>
    <s v="17/10/2023"/>
    <n v="5"/>
    <n v="940000"/>
    <n v="4.5"/>
    <n v="4"/>
    <x v="0"/>
  </r>
  <r>
    <s v="MFS-70844"/>
    <s v="Lanre Abdullahi"/>
    <x v="0"/>
    <x v="4"/>
    <x v="1"/>
    <s v="Junior"/>
    <x v="2"/>
    <s v="41-50"/>
    <x v="0"/>
    <s v="25/11/2023"/>
    <s v="17/10/2023"/>
    <n v="2"/>
    <n v="114000"/>
    <n v="1.5"/>
    <n v="16"/>
    <x v="0"/>
  </r>
  <r>
    <s v="MFS-45241"/>
    <s v="Emeka Abdullahi"/>
    <x v="0"/>
    <x v="0"/>
    <x v="1"/>
    <s v="Manager"/>
    <x v="0"/>
    <s v="22-30"/>
    <x v="2"/>
    <s v="05/05/2022"/>
    <s v="17/10/2023"/>
    <n v="3"/>
    <n v="1042000"/>
    <n v="3.8"/>
    <n v="6"/>
    <x v="1"/>
  </r>
  <r>
    <s v="MFS-75324"/>
    <s v="Ronke Bello"/>
    <x v="1"/>
    <x v="2"/>
    <x v="0"/>
    <s v="Junior"/>
    <x v="0"/>
    <s v="51-60"/>
    <x v="2"/>
    <s v="26/08/2019"/>
    <s v="21/09/2021"/>
    <n v="6"/>
    <n v="149000"/>
    <n v="2.5"/>
    <n v="31"/>
    <x v="3"/>
  </r>
  <r>
    <s v="MFS-88699"/>
    <s v="Bukola Abdullahi"/>
    <x v="1"/>
    <x v="4"/>
    <x v="0"/>
    <s v="Junior"/>
    <x v="0"/>
    <s v="31-40"/>
    <x v="1"/>
    <s v="18/01/2020"/>
    <s v="18/03/2025"/>
    <n v="6"/>
    <n v="137000"/>
    <n v="3.4"/>
    <n v="4"/>
    <x v="1"/>
  </r>
  <r>
    <s v="MFS-14908"/>
    <s v="Adeola Ogundipe"/>
    <x v="0"/>
    <x v="2"/>
    <x v="2"/>
    <s v="Senior"/>
    <x v="1"/>
    <s v="22-30"/>
    <x v="4"/>
    <s v="30/09/2020"/>
    <s v="15/07/2024"/>
    <n v="5"/>
    <n v="553000"/>
    <n v="4.4000000000000004"/>
    <n v="7"/>
    <x v="0"/>
  </r>
  <r>
    <s v="MFS-83309"/>
    <s v="Ezinne Haruna"/>
    <x v="1"/>
    <x v="2"/>
    <x v="2"/>
    <s v="Mid-level"/>
    <x v="0"/>
    <s v="41-50"/>
    <x v="2"/>
    <s v="31/01/2023"/>
    <s v="15/07/2024"/>
    <n v="3"/>
    <n v="322000"/>
    <n v="3.1"/>
    <n v="12"/>
    <x v="0"/>
  </r>
  <r>
    <s v="MFS-22780"/>
    <s v="Shade Obi"/>
    <x v="1"/>
    <x v="3"/>
    <x v="0"/>
    <s v="Senior"/>
    <x v="1"/>
    <s v="22-30"/>
    <x v="3"/>
    <s v="22/08/2023"/>
    <s v="15/07/2024"/>
    <n v="2"/>
    <n v="402000"/>
    <n v="2.4"/>
    <n v="10"/>
    <x v="0"/>
  </r>
  <r>
    <s v="MFS-66124"/>
    <s v="Femi Adebayo"/>
    <x v="0"/>
    <x v="2"/>
    <x v="0"/>
    <s v="Senior"/>
    <x v="1"/>
    <s v="31-40"/>
    <x v="1"/>
    <s v="01/05/2023"/>
    <s v="15/07/2024"/>
    <n v="2"/>
    <n v="536000"/>
    <n v="4.2"/>
    <n v="4"/>
    <x v="1"/>
  </r>
  <r>
    <s v="MFS-17857"/>
    <s v="Maryam Okonkwo"/>
    <x v="1"/>
    <x v="2"/>
    <x v="0"/>
    <s v="Mid-level"/>
    <x v="1"/>
    <s v="51-60"/>
    <x v="0"/>
    <s v="17/07/2021"/>
    <s v="09/04/2024"/>
    <n v="4"/>
    <n v="238000"/>
    <n v="2.7"/>
    <n v="9"/>
    <x v="0"/>
  </r>
  <r>
    <s v="MFS-13040"/>
    <s v="Ifeoma Okonkwo"/>
    <x v="1"/>
    <x v="3"/>
    <x v="0"/>
    <s v="Mid-level"/>
    <x v="0"/>
    <s v="51-60"/>
    <x v="1"/>
    <s v="28/04/2020"/>
    <s v="09/04/2024"/>
    <n v="5"/>
    <n v="184000"/>
    <n v="2"/>
    <n v="4"/>
    <x v="0"/>
  </r>
  <r>
    <s v="MFS-24838"/>
    <s v="Asabe Nnamdi"/>
    <x v="1"/>
    <x v="3"/>
    <x v="0"/>
    <s v="Mid-level"/>
    <x v="0"/>
    <s v="31-40"/>
    <x v="1"/>
    <s v="28/03/2023"/>
    <s v="09/04/2024"/>
    <n v="2"/>
    <n v="315000"/>
    <n v="4.3"/>
    <n v="3"/>
    <x v="0"/>
  </r>
  <r>
    <s v="MFS-28832"/>
    <s v="Bello Uba"/>
    <x v="0"/>
    <x v="2"/>
    <x v="0"/>
    <s v="Junior"/>
    <x v="1"/>
    <s v="31-40"/>
    <x v="0"/>
    <s v="08/11/2019"/>
    <s v="09/04/2024"/>
    <n v="6"/>
    <n v="100000"/>
    <n v="3.7"/>
    <n v="18"/>
    <x v="0"/>
  </r>
  <r>
    <s v="MFS-15443"/>
    <s v="Kabiru Oyelaran"/>
    <x v="0"/>
    <x v="4"/>
    <x v="0"/>
    <s v="Senior"/>
    <x v="0"/>
    <s v="31-40"/>
    <x v="0"/>
    <s v="28/06/2020"/>
    <s v="09/04/2024"/>
    <n v="5"/>
    <n v="559000"/>
    <n v="3.9"/>
    <n v="0"/>
    <x v="2"/>
  </r>
  <r>
    <s v="MFS-43371"/>
    <s v="Damilola Nwachukwu"/>
    <x v="1"/>
    <x v="2"/>
    <x v="0"/>
    <s v="Junior"/>
    <x v="0"/>
    <s v="31-40"/>
    <x v="1"/>
    <s v="27/01/2021"/>
    <s v="24/11/2024"/>
    <n v="5"/>
    <n v="110000"/>
    <n v="2.1"/>
    <n v="7"/>
    <x v="0"/>
  </r>
  <r>
    <s v="MFS-32458"/>
    <s v="Ikenna Eze"/>
    <x v="0"/>
    <x v="2"/>
    <x v="2"/>
    <s v="Mid-level"/>
    <x v="2"/>
    <s v="41-50"/>
    <x v="3"/>
    <s v="12/01/2023"/>
    <s v="24/11/2024"/>
    <n v="3"/>
    <n v="227000"/>
    <n v="2.8"/>
    <n v="0"/>
    <x v="1"/>
  </r>
  <r>
    <s v="MFS-84488"/>
    <s v="Ebuka Fagbemi"/>
    <x v="0"/>
    <x v="3"/>
    <x v="0"/>
    <s v="Junior"/>
    <x v="0"/>
    <s v="51-60"/>
    <x v="0"/>
    <s v="02/07/2023"/>
    <s v="11/10/2024"/>
    <n v="2"/>
    <n v="105000"/>
    <n v="3.4"/>
    <n v="14"/>
    <x v="1"/>
  </r>
  <r>
    <s v="MFS-22599"/>
    <s v="Nana Oyelaran"/>
    <x v="1"/>
    <x v="4"/>
    <x v="2"/>
    <s v="Director"/>
    <x v="0"/>
    <s v="22-30"/>
    <x v="0"/>
    <s v="02/03/2023"/>
    <s v="30/04/2023"/>
    <n v="3"/>
    <n v="1879000"/>
    <n v="3.5"/>
    <n v="36"/>
    <x v="0"/>
  </r>
  <r>
    <s v="MFS-62049"/>
    <s v="Ngozi Eze"/>
    <x v="1"/>
    <x v="4"/>
    <x v="2"/>
    <s v="Junior"/>
    <x v="2"/>
    <s v="22-30"/>
    <x v="4"/>
    <s v="10/05/2022"/>
    <s v="30/04/2023"/>
    <n v="3"/>
    <n v="109000"/>
    <n v="3.3"/>
    <n v="12"/>
    <x v="1"/>
  </r>
  <r>
    <s v="MFS-24371"/>
    <s v="Obinna Omotayo"/>
    <x v="0"/>
    <x v="4"/>
    <x v="0"/>
    <s v="Mid-level"/>
    <x v="0"/>
    <s v="31-40"/>
    <x v="0"/>
    <s v="29/10/2023"/>
    <s v="20/03/2025"/>
    <n v="2"/>
    <n v="340000"/>
    <n v="4"/>
    <n v="32"/>
    <x v="1"/>
  </r>
  <r>
    <s v="MFS-93172"/>
    <s v="Tosin Coker"/>
    <x v="1"/>
    <x v="1"/>
    <x v="0"/>
    <s v="Mid-level"/>
    <x v="1"/>
    <s v="41-50"/>
    <x v="0"/>
    <s v="15/08/2020"/>
    <s v="16/08/2022"/>
    <n v="5"/>
    <n v="206000"/>
    <n v="4.4000000000000004"/>
    <n v="7"/>
    <x v="0"/>
  </r>
  <r>
    <s v="MFS-11018"/>
    <s v="Fatima Adebayo"/>
    <x v="1"/>
    <x v="0"/>
    <x v="0"/>
    <s v="Junior"/>
    <x v="1"/>
    <s v="22-30"/>
    <x v="2"/>
    <s v="09/02/2019"/>
    <s v="16/08/2022"/>
    <n v="7"/>
    <n v="177000"/>
    <n v="2.5"/>
    <n v="11"/>
    <x v="3"/>
  </r>
  <r>
    <s v="MFS-75103"/>
    <s v="Ugochi Adesanya"/>
    <x v="1"/>
    <x v="3"/>
    <x v="0"/>
    <s v="Senior"/>
    <x v="3"/>
    <s v="22-30"/>
    <x v="0"/>
    <s v="26/06/2019"/>
    <s v="20/09/2023"/>
    <n v="6"/>
    <n v="394000"/>
    <n v="4"/>
    <n v="1"/>
    <x v="0"/>
  </r>
  <r>
    <s v="MFS-83726"/>
    <s v="Ngozi Bello"/>
    <x v="1"/>
    <x v="1"/>
    <x v="0"/>
    <s v="Mid-level"/>
    <x v="2"/>
    <s v="41-50"/>
    <x v="0"/>
    <s v="23/12/2019"/>
    <s v="20/09/2023"/>
    <n v="6"/>
    <n v="239000"/>
    <n v="3.7"/>
    <n v="14"/>
    <x v="0"/>
  </r>
  <r>
    <s v="MFS-87490"/>
    <s v="Ibrahim Musa"/>
    <x v="0"/>
    <x v="1"/>
    <x v="0"/>
    <s v="Manager"/>
    <x v="0"/>
    <s v="22-30"/>
    <x v="2"/>
    <s v="17/12/2022"/>
    <s v="20/09/2023"/>
    <n v="3"/>
    <n v="600000"/>
    <n v="4.3"/>
    <n v="3"/>
    <x v="1"/>
  </r>
  <r>
    <s v="MFS-60600"/>
    <s v="Haruna Buhari"/>
    <x v="0"/>
    <x v="3"/>
    <x v="1"/>
    <s v="Mid-level"/>
    <x v="2"/>
    <s v="31-40"/>
    <x v="0"/>
    <s v="08/09/2021"/>
    <s v="29/06/2023"/>
    <n v="4"/>
    <n v="336000"/>
    <n v="2.5"/>
    <n v="5"/>
    <x v="0"/>
  </r>
  <r>
    <s v="MFS-85331"/>
    <s v="Obinna Yakubu"/>
    <x v="0"/>
    <x v="2"/>
    <x v="0"/>
    <s v="Senior"/>
    <x v="0"/>
    <s v="31-40"/>
    <x v="0"/>
    <s v="22/05/2019"/>
    <s v="29/06/2023"/>
    <n v="6"/>
    <n v="352000"/>
    <n v="4.2"/>
    <n v="9"/>
    <x v="0"/>
  </r>
  <r>
    <s v="MFS-69383"/>
    <s v="Ikenna Okafor"/>
    <x v="0"/>
    <x v="4"/>
    <x v="0"/>
    <s v="Mid-level"/>
    <x v="0"/>
    <s v="31-40"/>
    <x v="1"/>
    <s v="06/04/2023"/>
    <s v="29/06/2023"/>
    <n v="2"/>
    <n v="221000"/>
    <n v="2.8"/>
    <n v="8"/>
    <x v="0"/>
  </r>
  <r>
    <s v="MFS-11776"/>
    <s v="Chinwe Nnamdi"/>
    <x v="1"/>
    <x v="4"/>
    <x v="0"/>
    <s v="Senior"/>
    <x v="2"/>
    <s v="31-40"/>
    <x v="1"/>
    <s v="15/03/2022"/>
    <s v="29/06/2023"/>
    <n v="3"/>
    <n v="557000"/>
    <n v="3.4"/>
    <n v="1"/>
    <x v="0"/>
  </r>
  <r>
    <s v="MFS-85020"/>
    <s v="Obinna Fagbemi"/>
    <x v="0"/>
    <x v="2"/>
    <x v="0"/>
    <s v="Senior"/>
    <x v="1"/>
    <s v="31-40"/>
    <x v="1"/>
    <s v="20/10/2022"/>
    <s v="29/06/2023"/>
    <n v="3"/>
    <n v="516000"/>
    <n v="3.7"/>
    <n v="2"/>
    <x v="1"/>
  </r>
  <r>
    <s v="MFS-90387"/>
    <s v="Laraba Okafor"/>
    <x v="1"/>
    <x v="0"/>
    <x v="0"/>
    <s v="Mid-level"/>
    <x v="1"/>
    <s v="31-40"/>
    <x v="2"/>
    <s v="08/04/2020"/>
    <s v="03/05/2023"/>
    <n v="5"/>
    <n v="233000"/>
    <n v="3.5"/>
    <n v="10"/>
    <x v="2"/>
  </r>
  <r>
    <s v="MFS-58499"/>
    <s v="Bello Amadi"/>
    <x v="0"/>
    <x v="4"/>
    <x v="0"/>
    <s v="Junior"/>
    <x v="0"/>
    <s v="31-40"/>
    <x v="3"/>
    <s v="17/04/2021"/>
    <s v="27/12/2023"/>
    <n v="4"/>
    <n v="95000"/>
    <n v="2.6"/>
    <n v="7"/>
    <x v="0"/>
  </r>
  <r>
    <s v="MFS-15551"/>
    <s v="Falmata Yakubu"/>
    <x v="1"/>
    <x v="0"/>
    <x v="0"/>
    <s v="Mid-level"/>
    <x v="2"/>
    <s v="41-50"/>
    <x v="3"/>
    <s v="14/01/2021"/>
    <s v="27/12/2023"/>
    <n v="5"/>
    <n v="324000"/>
    <n v="2.5"/>
    <n v="34"/>
    <x v="1"/>
  </r>
  <r>
    <s v="MFS-61024"/>
    <s v="Bello Danladi"/>
    <x v="0"/>
    <x v="4"/>
    <x v="1"/>
    <s v="Senior"/>
    <x v="2"/>
    <s v="22-30"/>
    <x v="0"/>
    <s v="14/08/2023"/>
    <s v="20/05/2024"/>
    <n v="2"/>
    <n v="592000"/>
    <n v="4.5999999999999996"/>
    <n v="17"/>
    <x v="0"/>
  </r>
  <r>
    <s v="MFS-50645"/>
    <s v="Seun Omotayo"/>
    <x v="0"/>
    <x v="2"/>
    <x v="0"/>
    <s v="Senior"/>
    <x v="0"/>
    <s v="31-40"/>
    <x v="3"/>
    <s v="19/10/2023"/>
    <s v="20/05/2024"/>
    <n v="2"/>
    <n v="593000"/>
    <n v="2"/>
    <n v="2"/>
    <x v="0"/>
  </r>
  <r>
    <s v="MFS-43315"/>
    <s v="Nana Obi"/>
    <x v="1"/>
    <x v="0"/>
    <x v="0"/>
    <s v="Junior"/>
    <x v="2"/>
    <s v="22-30"/>
    <x v="0"/>
    <s v="03/01/2023"/>
    <s v="20/05/2024"/>
    <n v="3"/>
    <n v="144000"/>
    <n v="4.5"/>
    <n v="6"/>
    <x v="1"/>
  </r>
  <r>
    <s v="MFS-73355"/>
    <s v="Shade Fagbemi"/>
    <x v="1"/>
    <x v="0"/>
    <x v="1"/>
    <s v="Senior"/>
    <x v="2"/>
    <s v="31-40"/>
    <x v="2"/>
    <s v="28/04/2021"/>
    <s v="09/11/2021"/>
    <n v="4"/>
    <n v="612000"/>
    <n v="2.8"/>
    <n v="8"/>
    <x v="0"/>
  </r>
  <r>
    <s v="MFS-54849"/>
    <s v="Nnamdi Adewale"/>
    <x v="0"/>
    <x v="0"/>
    <x v="2"/>
    <s v="Junior"/>
    <x v="0"/>
    <s v="31-40"/>
    <x v="0"/>
    <s v="09/12/2020"/>
    <s v="09/11/2021"/>
    <n v="5"/>
    <n v="198000"/>
    <n v="4"/>
    <n v="5"/>
    <x v="1"/>
  </r>
  <r>
    <s v="MFS-83176"/>
    <s v="Ronke Eze"/>
    <x v="1"/>
    <x v="3"/>
    <x v="2"/>
    <s v="Senior"/>
    <x v="0"/>
    <s v="51-60"/>
    <x v="0"/>
    <s v="21/04/2023"/>
    <s v="21/03/2024"/>
    <n v="2"/>
    <n v="521000"/>
    <n v="4.5"/>
    <n v="14"/>
    <x v="1"/>
  </r>
  <r>
    <s v="MFS-78404"/>
    <s v="Nkechi Haruna"/>
    <x v="1"/>
    <x v="2"/>
    <x v="2"/>
    <s v="Mid-level"/>
    <x v="0"/>
    <s v="22-30"/>
    <x v="2"/>
    <s v="08/08/2022"/>
    <s v="23/09/2024"/>
    <n v="3"/>
    <n v="321000"/>
    <n v="4.4000000000000004"/>
    <n v="10"/>
    <x v="0"/>
  </r>
  <r>
    <s v="MFS-13266"/>
    <s v="Musa Danladi"/>
    <x v="0"/>
    <x v="2"/>
    <x v="0"/>
    <s v="Junior"/>
    <x v="0"/>
    <s v="22-30"/>
    <x v="2"/>
    <s v="18/08/2022"/>
    <s v="23/09/2024"/>
    <n v="3"/>
    <n v="152000"/>
    <n v="3.4"/>
    <n v="12"/>
    <x v="3"/>
  </r>
  <r>
    <s v="MFS-47766"/>
    <s v="Seun Chukwu"/>
    <x v="0"/>
    <x v="2"/>
    <x v="0"/>
    <s v="Junior"/>
    <x v="1"/>
    <s v="31-40"/>
    <x v="3"/>
    <s v="27/12/2020"/>
    <s v="01/05/2024"/>
    <n v="5"/>
    <n v="169000"/>
    <n v="2.4"/>
    <n v="22"/>
    <x v="0"/>
  </r>
  <r>
    <s v="MFS-90790"/>
    <s v="Emeka Onwudiwe"/>
    <x v="0"/>
    <x v="3"/>
    <x v="0"/>
    <s v="Mid-level"/>
    <x v="3"/>
    <s v="51-60"/>
    <x v="4"/>
    <s v="28/03/2023"/>
    <s v="01/05/2024"/>
    <n v="2"/>
    <n v="249000"/>
    <n v="3.9"/>
    <n v="0"/>
    <x v="3"/>
  </r>
  <r>
    <s v="MFS-71250"/>
    <s v="Nasiru Afolabi"/>
    <x v="0"/>
    <x v="2"/>
    <x v="0"/>
    <s v="Mid-level"/>
    <x v="2"/>
    <s v="51-60"/>
    <x v="2"/>
    <s v="22/03/2019"/>
    <s v="24/04/2022"/>
    <n v="6"/>
    <n v="223000"/>
    <n v="3.2"/>
    <n v="6"/>
    <x v="0"/>
  </r>
  <r>
    <s v="MFS-62048"/>
    <s v="Rotimi Abdullahi"/>
    <x v="0"/>
    <x v="4"/>
    <x v="0"/>
    <s v="Manager"/>
    <x v="0"/>
    <s v="31-40"/>
    <x v="2"/>
    <s v="11/07/2023"/>
    <s v="24/04/2022"/>
    <n v="2"/>
    <n v="655000"/>
    <n v="4.7"/>
    <n v="1"/>
    <x v="0"/>
  </r>
  <r>
    <s v="MFS-37574"/>
    <s v="Yetunde Okafor"/>
    <x v="1"/>
    <x v="0"/>
    <x v="0"/>
    <s v="Junior"/>
    <x v="0"/>
    <s v="31-40"/>
    <x v="0"/>
    <s v="15/01/2019"/>
    <s v="24/04/2022"/>
    <n v="7"/>
    <n v="107000"/>
    <n v="4.4000000000000004"/>
    <n v="9"/>
    <x v="0"/>
  </r>
  <r>
    <s v="MFS-40308"/>
    <s v="Rukayya Okafor"/>
    <x v="1"/>
    <x v="2"/>
    <x v="0"/>
    <s v="Mid-level"/>
    <x v="0"/>
    <s v="22-30"/>
    <x v="1"/>
    <s v="21/10/2021"/>
    <s v="24/04/2022"/>
    <n v="4"/>
    <n v="234000"/>
    <n v="2.2999999999999998"/>
    <n v="11"/>
    <x v="1"/>
  </r>
  <r>
    <s v="MFS-24450"/>
    <s v="Ibrahim Buhari"/>
    <x v="0"/>
    <x v="0"/>
    <x v="2"/>
    <s v="Senior"/>
    <x v="0"/>
    <s v="41-50"/>
    <x v="1"/>
    <s v="31/01/2022"/>
    <s v="21/12/2023"/>
    <n v="4"/>
    <n v="660000"/>
    <n v="4.5999999999999996"/>
    <n v="11"/>
    <x v="0"/>
  </r>
  <r>
    <s v="MFS-20656"/>
    <s v="Biodun Obaseki"/>
    <x v="0"/>
    <x v="4"/>
    <x v="0"/>
    <s v="Manager"/>
    <x v="3"/>
    <s v="31-40"/>
    <x v="0"/>
    <s v="28/12/2021"/>
    <s v="21/12/2023"/>
    <n v="4"/>
    <n v="878000"/>
    <n v="3.6"/>
    <n v="8"/>
    <x v="1"/>
  </r>
  <r>
    <s v="MFS-44536"/>
    <s v="Femi Abdullahi"/>
    <x v="0"/>
    <x v="1"/>
    <x v="0"/>
    <s v="Senior"/>
    <x v="0"/>
    <s v="41-50"/>
    <x v="3"/>
    <s v="01/02/2023"/>
    <s v="14/09/2020"/>
    <n v="3"/>
    <n v="438000"/>
    <n v="3.2"/>
    <n v="3"/>
    <x v="0"/>
  </r>
  <r>
    <s v="MFS-93305"/>
    <s v="Bilkisu Uba"/>
    <x v="1"/>
    <x v="4"/>
    <x v="0"/>
    <s v="Junior"/>
    <x v="0"/>
    <s v="22-30"/>
    <x v="2"/>
    <s v="18/09/2020"/>
    <s v="14/09/2020"/>
    <n v="5"/>
    <n v="118000"/>
    <n v="2.4"/>
    <n v="3"/>
    <x v="0"/>
  </r>
  <r>
    <s v="MFS-12934"/>
    <s v="Babatunde Ogundipe"/>
    <x v="0"/>
    <x v="0"/>
    <x v="0"/>
    <s v="Junior"/>
    <x v="2"/>
    <s v="31-40"/>
    <x v="1"/>
    <s v="11/10/2021"/>
    <s v="14/09/2020"/>
    <n v="4"/>
    <n v="186000"/>
    <n v="2.9"/>
    <n v="13"/>
    <x v="0"/>
  </r>
  <r>
    <s v="MFS-47740"/>
    <s v="Chibuike Okeke"/>
    <x v="0"/>
    <x v="4"/>
    <x v="2"/>
    <s v="Junior"/>
    <x v="3"/>
    <s v="31-40"/>
    <x v="0"/>
    <s v="13/02/2019"/>
    <s v="14/09/2020"/>
    <n v="7"/>
    <n v="160000"/>
    <n v="1.8"/>
    <n v="2"/>
    <x v="1"/>
  </r>
  <r>
    <s v="MFS-65778"/>
    <s v="Adeola Nnamdi"/>
    <x v="0"/>
    <x v="3"/>
    <x v="0"/>
    <s v="Manager"/>
    <x v="0"/>
    <s v="41-50"/>
    <x v="1"/>
    <s v="01/07/2023"/>
    <s v="21/10/2023"/>
    <n v="2"/>
    <n v="796000"/>
    <n v="4.7"/>
    <n v="6"/>
    <x v="0"/>
  </r>
  <r>
    <s v="MFS-88872"/>
    <s v="Uloma Ogbonna"/>
    <x v="1"/>
    <x v="2"/>
    <x v="1"/>
    <s v="Manager"/>
    <x v="2"/>
    <s v="41-50"/>
    <x v="0"/>
    <s v="30/05/2023"/>
    <s v="21/10/2023"/>
    <n v="2"/>
    <n v="800000"/>
    <n v="3"/>
    <n v="8"/>
    <x v="0"/>
  </r>
  <r>
    <s v="MFS-86081"/>
    <s v="Ronke Bello"/>
    <x v="1"/>
    <x v="1"/>
    <x v="2"/>
    <s v="Mid-level"/>
    <x v="0"/>
    <s v="22-30"/>
    <x v="0"/>
    <s v="28/06/2021"/>
    <s v="21/10/2023"/>
    <n v="4"/>
    <n v="223000"/>
    <n v="4"/>
    <n v="25"/>
    <x v="0"/>
  </r>
  <r>
    <s v="MFS-91943"/>
    <s v="Nana Suleiman"/>
    <x v="1"/>
    <x v="2"/>
    <x v="0"/>
    <s v="Senior"/>
    <x v="1"/>
    <s v="22-30"/>
    <x v="1"/>
    <s v="11/07/2023"/>
    <s v="21/10/2023"/>
    <n v="2"/>
    <n v="458000"/>
    <n v="4.5999999999999996"/>
    <n v="13"/>
    <x v="0"/>
  </r>
  <r>
    <s v="MFS-57179"/>
    <s v="Sola Bello"/>
    <x v="1"/>
    <x v="4"/>
    <x v="0"/>
    <s v="Manager"/>
    <x v="2"/>
    <s v="31-40"/>
    <x v="0"/>
    <s v="02/10/2020"/>
    <s v="21/10/2023"/>
    <n v="5"/>
    <n v="688000"/>
    <n v="4.7"/>
    <n v="5"/>
    <x v="0"/>
  </r>
  <r>
    <s v="MFS-76654"/>
    <s v="Femi Danladi"/>
    <x v="0"/>
    <x v="0"/>
    <x v="0"/>
    <s v="Junior"/>
    <x v="2"/>
    <s v="51-60"/>
    <x v="1"/>
    <s v="29/07/2023"/>
    <s v="21/10/2023"/>
    <n v="2"/>
    <n v="160000"/>
    <n v="4.0999999999999996"/>
    <n v="14"/>
    <x v="0"/>
  </r>
  <r>
    <s v="MFS-71363"/>
    <s v="Tunde Okafor"/>
    <x v="0"/>
    <x v="4"/>
    <x v="1"/>
    <s v="Senior"/>
    <x v="0"/>
    <s v="31-40"/>
    <x v="3"/>
    <s v="29/08/2023"/>
    <s v="21/10/2023"/>
    <n v="2"/>
    <n v="355000"/>
    <n v="3.7"/>
    <n v="40"/>
    <x v="0"/>
  </r>
  <r>
    <s v="MFS-90858"/>
    <s v="Yetunde Ihejirika"/>
    <x v="1"/>
    <x v="1"/>
    <x v="0"/>
    <s v="Director"/>
    <x v="0"/>
    <s v="31-40"/>
    <x v="0"/>
    <s v="09/06/2022"/>
    <s v="21/10/2023"/>
    <n v="3"/>
    <n v="1761000"/>
    <n v="4"/>
    <n v="5"/>
    <x v="0"/>
  </r>
  <r>
    <s v="MFS-31494"/>
    <s v="Ngozi Afolabi"/>
    <x v="1"/>
    <x v="4"/>
    <x v="2"/>
    <s v="Mid-level"/>
    <x v="0"/>
    <s v="31-40"/>
    <x v="1"/>
    <s v="29/06/2022"/>
    <s v="21/10/2023"/>
    <n v="3"/>
    <n v="301000"/>
    <n v="4.0999999999999996"/>
    <n v="0"/>
    <x v="1"/>
  </r>
  <r>
    <s v="MFS-53416"/>
    <s v="Hauwa Ihejirika"/>
    <x v="1"/>
    <x v="0"/>
    <x v="1"/>
    <s v="Mid-level"/>
    <x v="1"/>
    <s v="41-50"/>
    <x v="3"/>
    <s v="04/09/2022"/>
    <s v="07/11/2024"/>
    <n v="3"/>
    <n v="381000"/>
    <n v="3.7"/>
    <n v="9"/>
    <x v="0"/>
  </r>
  <r>
    <s v="MFS-15964"/>
    <s v="Musa Obaseki"/>
    <x v="0"/>
    <x v="4"/>
    <x v="2"/>
    <s v="Senior"/>
    <x v="1"/>
    <s v="41-50"/>
    <x v="3"/>
    <s v="09/04/2022"/>
    <s v="07/11/2024"/>
    <n v="3"/>
    <n v="558000"/>
    <n v="2.4"/>
    <n v="0"/>
    <x v="1"/>
  </r>
  <r>
    <s v="MFS-22851"/>
    <s v="Yetunde Obaseki"/>
    <x v="1"/>
    <x v="4"/>
    <x v="2"/>
    <s v="Junior"/>
    <x v="2"/>
    <s v="31-40"/>
    <x v="0"/>
    <s v="28/03/2020"/>
    <s v="17/12/2023"/>
    <n v="5"/>
    <n v="91000"/>
    <n v="2.1"/>
    <n v="11"/>
    <x v="0"/>
  </r>
  <r>
    <s v="MFS-91726"/>
    <s v="Obinna Adeyemi"/>
    <x v="0"/>
    <x v="3"/>
    <x v="0"/>
    <s v="Senior"/>
    <x v="3"/>
    <s v="22-30"/>
    <x v="4"/>
    <s v="04/11/2022"/>
    <s v="17/12/2023"/>
    <n v="3"/>
    <n v="466000"/>
    <n v="3.4"/>
    <n v="10"/>
    <x v="0"/>
  </r>
  <r>
    <s v="MFS-36778"/>
    <s v="Damilola Garba"/>
    <x v="1"/>
    <x v="3"/>
    <x v="1"/>
    <s v="Senior"/>
    <x v="2"/>
    <s v="31-40"/>
    <x v="1"/>
    <s v="18/06/2019"/>
    <s v="17/12/2023"/>
    <n v="6"/>
    <n v="586000"/>
    <n v="4.7"/>
    <n v="12"/>
    <x v="2"/>
  </r>
  <r>
    <s v="MFS-35034"/>
    <s v="Uloma Uba"/>
    <x v="1"/>
    <x v="4"/>
    <x v="0"/>
    <s v="Junior"/>
    <x v="0"/>
    <s v="22-30"/>
    <x v="1"/>
    <s v="21/06/2019"/>
    <s v="23/04/2024"/>
    <n v="6"/>
    <n v="164000"/>
    <n v="2.2999999999999998"/>
    <n v="1"/>
    <x v="0"/>
  </r>
  <r>
    <s v="MFS-21421"/>
    <s v="Abubakar Omotayo"/>
    <x v="0"/>
    <x v="2"/>
    <x v="0"/>
    <s v="Mid-level"/>
    <x v="3"/>
    <s v="22-30"/>
    <x v="0"/>
    <s v="04/05/2019"/>
    <s v="23/04/2024"/>
    <n v="6"/>
    <n v="283000"/>
    <n v="4.5"/>
    <n v="0"/>
    <x v="0"/>
  </r>
  <r>
    <s v="MFS-28812"/>
    <s v="Danladi Taiwo"/>
    <x v="0"/>
    <x v="0"/>
    <x v="0"/>
    <s v="Mid-level"/>
    <x v="0"/>
    <s v="31-40"/>
    <x v="2"/>
    <s v="03/11/2022"/>
    <s v="23/04/2024"/>
    <n v="3"/>
    <n v="384000"/>
    <n v="3.3"/>
    <n v="10"/>
    <x v="1"/>
  </r>
  <r>
    <s v="MFS-96149"/>
    <s v="Lola Abdullahi"/>
    <x v="1"/>
    <x v="3"/>
    <x v="0"/>
    <s v="Manager"/>
    <x v="0"/>
    <s v="41-50"/>
    <x v="1"/>
    <s v="27/07/2019"/>
    <s v="05/07/2023"/>
    <n v="6"/>
    <n v="881000"/>
    <n v="3.9"/>
    <n v="11"/>
    <x v="0"/>
  </r>
  <r>
    <s v="MFS-23449"/>
    <s v="Seun Amadi"/>
    <x v="0"/>
    <x v="4"/>
    <x v="1"/>
    <s v="Mid-level"/>
    <x v="2"/>
    <s v="22-30"/>
    <x v="1"/>
    <s v="12/08/2020"/>
    <s v="05/07/2023"/>
    <n v="5"/>
    <n v="276000"/>
    <n v="2.2000000000000002"/>
    <n v="21"/>
    <x v="2"/>
  </r>
  <r>
    <s v="MFS-73950"/>
    <s v="Abubakar Nwosu"/>
    <x v="0"/>
    <x v="4"/>
    <x v="0"/>
    <s v="Junior"/>
    <x v="2"/>
    <s v="22-30"/>
    <x v="0"/>
    <s v="10/10/2021"/>
    <s v="10/05/2024"/>
    <n v="4"/>
    <n v="144000"/>
    <n v="2.8"/>
    <n v="6"/>
    <x v="0"/>
  </r>
  <r>
    <s v="MFS-43880"/>
    <s v="Oghenekaro Danladi"/>
    <x v="0"/>
    <x v="1"/>
    <x v="2"/>
    <s v="Junior"/>
    <x v="2"/>
    <s v="31-40"/>
    <x v="2"/>
    <s v="30/10/2020"/>
    <s v="10/05/2024"/>
    <n v="5"/>
    <n v="141000"/>
    <n v="4.5"/>
    <n v="4"/>
    <x v="1"/>
  </r>
  <r>
    <s v="MFS-39507"/>
    <s v="Asabe Okonkwo"/>
    <x v="1"/>
    <x v="0"/>
    <x v="2"/>
    <s v="Mid-level"/>
    <x v="1"/>
    <s v="41-50"/>
    <x v="1"/>
    <s v="01/01/2022"/>
    <s v="03/02/2022"/>
    <n v="4"/>
    <n v="385000"/>
    <n v="3.3"/>
    <n v="1"/>
    <x v="0"/>
  </r>
  <r>
    <s v="MFS-56683"/>
    <s v="Ramatu Obi"/>
    <x v="1"/>
    <x v="2"/>
    <x v="0"/>
    <s v="Junior"/>
    <x v="0"/>
    <s v="51-60"/>
    <x v="0"/>
    <s v="15/08/2023"/>
    <s v="03/02/2022"/>
    <n v="2"/>
    <n v="162000"/>
    <n v="2.6"/>
    <n v="9"/>
    <x v="0"/>
  </r>
  <r>
    <s v="MFS-97691"/>
    <s v="Obiora Garba"/>
    <x v="0"/>
    <x v="1"/>
    <x v="1"/>
    <s v="Manager"/>
    <x v="0"/>
    <s v="31-40"/>
    <x v="2"/>
    <s v="06/06/2023"/>
    <s v="03/02/2022"/>
    <n v="2"/>
    <n v="826000"/>
    <n v="4.4000000000000004"/>
    <n v="35"/>
    <x v="0"/>
  </r>
  <r>
    <s v="MFS-74942"/>
    <s v="Obiora Abdullahi"/>
    <x v="0"/>
    <x v="0"/>
    <x v="0"/>
    <s v="Senior"/>
    <x v="2"/>
    <s v="31-40"/>
    <x v="0"/>
    <s v="17/08/2023"/>
    <s v="03/02/2022"/>
    <n v="2"/>
    <n v="660000"/>
    <n v="3.6"/>
    <n v="3"/>
    <x v="0"/>
  </r>
  <r>
    <s v="MFS-79903"/>
    <s v="Abubakar Coker"/>
    <x v="0"/>
    <x v="0"/>
    <x v="0"/>
    <s v="Mid-level"/>
    <x v="3"/>
    <s v="22-30"/>
    <x v="2"/>
    <s v="22/07/2022"/>
    <s v="03/02/2022"/>
    <n v="3"/>
    <n v="306000"/>
    <n v="5"/>
    <n v="0"/>
    <x v="0"/>
  </r>
  <r>
    <s v="MFS-61388"/>
    <s v="Ifeanyi Onwudiwe"/>
    <x v="0"/>
    <x v="1"/>
    <x v="0"/>
    <s v="Junior"/>
    <x v="3"/>
    <s v="41-50"/>
    <x v="3"/>
    <s v="04/02/2022"/>
    <s v="03/02/2022"/>
    <n v="4"/>
    <n v="88000"/>
    <n v="2.2999999999999998"/>
    <n v="7"/>
    <x v="0"/>
  </r>
  <r>
    <s v="MFS-89388"/>
    <s v="Eze Okafor"/>
    <x v="0"/>
    <x v="3"/>
    <x v="1"/>
    <s v="Manager"/>
    <x v="1"/>
    <s v="31-40"/>
    <x v="3"/>
    <s v="14/10/2021"/>
    <s v="03/02/2022"/>
    <n v="4"/>
    <n v="907000"/>
    <n v="3.7"/>
    <n v="4"/>
    <x v="0"/>
  </r>
  <r>
    <s v="MFS-56595"/>
    <s v="Garba Okafor"/>
    <x v="0"/>
    <x v="0"/>
    <x v="1"/>
    <s v="Mid-level"/>
    <x v="3"/>
    <s v="41-50"/>
    <x v="1"/>
    <s v="27/05/2019"/>
    <s v="03/02/2022"/>
    <n v="6"/>
    <n v="215000"/>
    <n v="3.4"/>
    <n v="1"/>
    <x v="0"/>
  </r>
  <r>
    <s v="MFS-94656"/>
    <s v="Tobi Garba"/>
    <x v="0"/>
    <x v="3"/>
    <x v="1"/>
    <s v="Junior"/>
    <x v="0"/>
    <s v="41-50"/>
    <x v="2"/>
    <s v="06/12/2023"/>
    <s v="03/02/2022"/>
    <n v="2"/>
    <n v="90000"/>
    <n v="2.8"/>
    <n v="13"/>
    <x v="0"/>
  </r>
  <r>
    <s v="MFS-45036"/>
    <s v="Aliyu Oyelaran"/>
    <x v="0"/>
    <x v="0"/>
    <x v="2"/>
    <s v="Mid-level"/>
    <x v="0"/>
    <s v="22-30"/>
    <x v="2"/>
    <s v="12/02/2019"/>
    <s v="03/02/2022"/>
    <n v="7"/>
    <n v="368000"/>
    <n v="3.4"/>
    <n v="12"/>
    <x v="0"/>
  </r>
  <r>
    <s v="MFS-72135"/>
    <s v="Asabe Yakubu"/>
    <x v="1"/>
    <x v="3"/>
    <x v="0"/>
    <s v="Senior"/>
    <x v="1"/>
    <s v="22-30"/>
    <x v="1"/>
    <s v="08/06/2020"/>
    <s v="03/02/2022"/>
    <n v="5"/>
    <n v="420000"/>
    <n v="2.7"/>
    <n v="20"/>
    <x v="0"/>
  </r>
  <r>
    <s v="MFS-44863"/>
    <s v="Kabiru Garba"/>
    <x v="0"/>
    <x v="3"/>
    <x v="2"/>
    <s v="Mid-level"/>
    <x v="0"/>
    <s v="31-40"/>
    <x v="4"/>
    <s v="07/04/2019"/>
    <s v="03/02/2022"/>
    <n v="6"/>
    <n v="283000"/>
    <n v="4.9000000000000004"/>
    <n v="10"/>
    <x v="0"/>
  </r>
  <r>
    <s v="MFS-74660"/>
    <s v="Ogechi Suleiman"/>
    <x v="1"/>
    <x v="4"/>
    <x v="0"/>
    <s v="Mid-level"/>
    <x v="0"/>
    <s v="41-50"/>
    <x v="1"/>
    <s v="26/09/2020"/>
    <s v="03/02/2022"/>
    <n v="5"/>
    <n v="272000"/>
    <n v="2.1"/>
    <n v="29"/>
    <x v="2"/>
  </r>
  <r>
    <s v="MFS-11597"/>
    <s v="Tosin Omotayo"/>
    <x v="1"/>
    <x v="0"/>
    <x v="2"/>
    <s v="Senior"/>
    <x v="0"/>
    <s v="41-50"/>
    <x v="2"/>
    <s v="28/08/2023"/>
    <s v="15/12/2024"/>
    <n v="2"/>
    <n v="451000"/>
    <n v="4.8"/>
    <n v="9"/>
    <x v="2"/>
  </r>
  <r>
    <s v="MFS-97333"/>
    <s v="Ugochi Nduka"/>
    <x v="1"/>
    <x v="2"/>
    <x v="0"/>
    <s v="Director"/>
    <x v="0"/>
    <s v="22-30"/>
    <x v="3"/>
    <s v="07/03/2020"/>
    <s v="14/09/2024"/>
    <n v="6"/>
    <n v="1307000"/>
    <n v="4.9000000000000004"/>
    <n v="31"/>
    <x v="0"/>
  </r>
  <r>
    <s v="MFS-43467"/>
    <s v="Aisha Nwachukwu"/>
    <x v="1"/>
    <x v="4"/>
    <x v="2"/>
    <s v="Mid-level"/>
    <x v="1"/>
    <s v="31-40"/>
    <x v="0"/>
    <s v="10/10/2021"/>
    <s v="14/09/2024"/>
    <n v="4"/>
    <n v="293000"/>
    <n v="2.5"/>
    <n v="3"/>
    <x v="1"/>
  </r>
  <r>
    <s v="MFS-90123"/>
    <s v="Nneka Nduka"/>
    <x v="1"/>
    <x v="3"/>
    <x v="2"/>
    <s v="Junior"/>
    <x v="1"/>
    <s v="41-50"/>
    <x v="0"/>
    <s v="19/10/2020"/>
    <s v="06/01/2023"/>
    <n v="5"/>
    <n v="105000"/>
    <n v="2.9"/>
    <n v="10"/>
    <x v="0"/>
  </r>
  <r>
    <s v="MFS-19907"/>
    <s v="Ramatu Coker"/>
    <x v="1"/>
    <x v="4"/>
    <x v="0"/>
    <s v="Mid-level"/>
    <x v="1"/>
    <s v="41-50"/>
    <x v="2"/>
    <s v="01/02/2022"/>
    <s v="06/01/2023"/>
    <n v="4"/>
    <n v="346000"/>
    <n v="4"/>
    <n v="1"/>
    <x v="1"/>
  </r>
  <r>
    <s v="MFS-33331"/>
    <s v="Zainab Eze"/>
    <x v="1"/>
    <x v="1"/>
    <x v="0"/>
    <s v="Junior"/>
    <x v="2"/>
    <s v="22-30"/>
    <x v="2"/>
    <s v="01/07/2019"/>
    <s v="06/03/2025"/>
    <n v="6"/>
    <n v="131000"/>
    <n v="3.6"/>
    <n v="9"/>
    <x v="0"/>
  </r>
  <r>
    <s v="MFS-75435"/>
    <s v="Danladi Oyelaran"/>
    <x v="0"/>
    <x v="0"/>
    <x v="0"/>
    <s v="Mid-level"/>
    <x v="0"/>
    <s v="31-40"/>
    <x v="1"/>
    <s v="10/04/2022"/>
    <s v="06/03/2025"/>
    <n v="3"/>
    <n v="281000"/>
    <n v="5"/>
    <n v="1"/>
    <x v="1"/>
  </r>
  <r>
    <s v="MFS-76616"/>
    <s v="Hadiza Shehu"/>
    <x v="1"/>
    <x v="2"/>
    <x v="2"/>
    <s v="Mid-level"/>
    <x v="0"/>
    <s v="31-40"/>
    <x v="1"/>
    <s v="05/04/2023"/>
    <s v="05/12/2024"/>
    <n v="2"/>
    <n v="213000"/>
    <n v="4.0999999999999996"/>
    <n v="11"/>
    <x v="0"/>
  </r>
  <r>
    <s v="MFS-56105"/>
    <s v="Gbenga Ogbonna"/>
    <x v="0"/>
    <x v="0"/>
    <x v="1"/>
    <s v="Senior"/>
    <x v="0"/>
    <s v="22-30"/>
    <x v="2"/>
    <s v="20/06/2019"/>
    <s v="05/12/2024"/>
    <n v="6"/>
    <n v="514000"/>
    <n v="3.6"/>
    <n v="9"/>
    <x v="2"/>
  </r>
  <r>
    <s v="MFS-64160"/>
    <s v="Emeka Okafor"/>
    <x v="0"/>
    <x v="3"/>
    <x v="2"/>
    <s v="Manager"/>
    <x v="1"/>
    <s v="22-30"/>
    <x v="2"/>
    <s v="30/04/2023"/>
    <s v="18/02/2024"/>
    <n v="2"/>
    <n v="878000"/>
    <n v="4.9000000000000004"/>
    <n v="11"/>
    <x v="0"/>
  </r>
  <r>
    <s v="MFS-39665"/>
    <s v="Zainab Adesanya"/>
    <x v="1"/>
    <x v="4"/>
    <x v="0"/>
    <s v="Junior"/>
    <x v="0"/>
    <s v="31-40"/>
    <x v="2"/>
    <s v="10/06/2019"/>
    <s v="18/02/2024"/>
    <n v="6"/>
    <n v="111000"/>
    <n v="2"/>
    <n v="2"/>
    <x v="0"/>
  </r>
  <r>
    <s v="MFS-38551"/>
    <s v="Damilola Haruna"/>
    <x v="1"/>
    <x v="4"/>
    <x v="1"/>
    <s v="Manager"/>
    <x v="1"/>
    <s v="22-30"/>
    <x v="2"/>
    <s v="05/12/2022"/>
    <s v="18/02/2024"/>
    <n v="3"/>
    <n v="859000"/>
    <n v="3.6"/>
    <n v="1"/>
    <x v="1"/>
  </r>
  <r>
    <s v="MFS-50799"/>
    <s v="Kabiru Uba"/>
    <x v="0"/>
    <x v="4"/>
    <x v="2"/>
    <s v="Manager"/>
    <x v="0"/>
    <s v="31-40"/>
    <x v="2"/>
    <s v="30/05/2020"/>
    <s v="31/08/2023"/>
    <n v="5"/>
    <n v="812000"/>
    <n v="3.2"/>
    <n v="3"/>
    <x v="3"/>
  </r>
  <r>
    <s v="MFS-30653"/>
    <s v="Laraba Okeke"/>
    <x v="1"/>
    <x v="4"/>
    <x v="0"/>
    <s v="Junior"/>
    <x v="0"/>
    <s v="51-60"/>
    <x v="0"/>
    <s v="09/03/2019"/>
    <s v="13/09/2023"/>
    <n v="7"/>
    <n v="148000"/>
    <n v="1.9"/>
    <n v="3"/>
    <x v="0"/>
  </r>
  <r>
    <s v="MFS-87371"/>
    <s v="Femi Buhari"/>
    <x v="0"/>
    <x v="2"/>
    <x v="0"/>
    <s v="Mid-level"/>
    <x v="3"/>
    <s v="22-30"/>
    <x v="0"/>
    <s v="29/06/2023"/>
    <s v="13/09/2023"/>
    <n v="2"/>
    <n v="289000"/>
    <n v="3.1"/>
    <n v="14"/>
    <x v="0"/>
  </r>
  <r>
    <s v="MFS-81816"/>
    <s v="Ogechi Ogundipe"/>
    <x v="1"/>
    <x v="0"/>
    <x v="0"/>
    <s v="Junior"/>
    <x v="0"/>
    <s v="41-50"/>
    <x v="0"/>
    <s v="07/06/2020"/>
    <s v="13/09/2023"/>
    <n v="5"/>
    <n v="196000"/>
    <n v="2.2000000000000002"/>
    <n v="2"/>
    <x v="0"/>
  </r>
  <r>
    <s v="MFS-68205"/>
    <s v="Chinedu Danladi"/>
    <x v="0"/>
    <x v="4"/>
    <x v="0"/>
    <s v="Manager"/>
    <x v="2"/>
    <s v="51-60"/>
    <x v="2"/>
    <s v="25/03/2023"/>
    <s v="13/09/2023"/>
    <n v="2"/>
    <n v="907000"/>
    <n v="4.0999999999999996"/>
    <n v="8"/>
    <x v="0"/>
  </r>
  <r>
    <s v="MFS-67246"/>
    <s v="Oghenekaro Ogundipe"/>
    <x v="0"/>
    <x v="4"/>
    <x v="2"/>
    <s v="Mid-level"/>
    <x v="2"/>
    <s v="31-40"/>
    <x v="0"/>
    <s v="05/06/2022"/>
    <s v="13/09/2023"/>
    <n v="3"/>
    <n v="332000"/>
    <n v="2.6"/>
    <n v="1"/>
    <x v="3"/>
  </r>
  <r>
    <s v="MFS-73072"/>
    <s v="Chukwudi Nduka"/>
    <x v="0"/>
    <x v="3"/>
    <x v="0"/>
    <s v="Junior"/>
    <x v="3"/>
    <s v="31-40"/>
    <x v="0"/>
    <s v="07/01/2020"/>
    <s v="11/10/2024"/>
    <n v="6"/>
    <n v="178000"/>
    <n v="3.8"/>
    <n v="0"/>
    <x v="1"/>
  </r>
  <r>
    <s v="MFS-46697"/>
    <s v="Biodun Nwosu"/>
    <x v="0"/>
    <x v="4"/>
    <x v="2"/>
    <s v="Senior"/>
    <x v="0"/>
    <s v="22-30"/>
    <x v="2"/>
    <s v="27/07/2022"/>
    <s v="05/12/2020"/>
    <n v="3"/>
    <n v="536000"/>
    <n v="4"/>
    <n v="30"/>
    <x v="0"/>
  </r>
  <r>
    <s v="MFS-73564"/>
    <s v="Bello Ogundipe"/>
    <x v="0"/>
    <x v="0"/>
    <x v="0"/>
    <s v="Manager"/>
    <x v="0"/>
    <s v="41-50"/>
    <x v="1"/>
    <s v="13/05/2020"/>
    <s v="05/12/2020"/>
    <n v="5"/>
    <n v="722000"/>
    <n v="5"/>
    <n v="8"/>
    <x v="2"/>
  </r>
  <r>
    <s v="MFS-19168"/>
    <s v="Rabiu Oyelaran"/>
    <x v="0"/>
    <x v="2"/>
    <x v="1"/>
    <s v="Manager"/>
    <x v="0"/>
    <s v="41-50"/>
    <x v="1"/>
    <s v="15/03/2021"/>
    <s v="30/04/2023"/>
    <n v="4"/>
    <n v="819000"/>
    <n v="3.6"/>
    <n v="10"/>
    <x v="1"/>
  </r>
  <r>
    <s v="MFS-10436"/>
    <s v="Ifeoma Nwosu"/>
    <x v="1"/>
    <x v="4"/>
    <x v="1"/>
    <s v="Senior"/>
    <x v="0"/>
    <s v="22-30"/>
    <x v="2"/>
    <s v="21/10/2021"/>
    <s v="15/06/2024"/>
    <n v="4"/>
    <n v="541000"/>
    <n v="4.3"/>
    <n v="1"/>
    <x v="0"/>
  </r>
  <r>
    <s v="MFS-56671"/>
    <s v="Nneka Uba"/>
    <x v="1"/>
    <x v="3"/>
    <x v="0"/>
    <s v="Mid-level"/>
    <x v="2"/>
    <s v="51-60"/>
    <x v="0"/>
    <s v="02/01/2020"/>
    <s v="18/11/2023"/>
    <n v="6"/>
    <n v="257000"/>
    <n v="4.3"/>
    <n v="13"/>
    <x v="0"/>
  </r>
  <r>
    <s v="MFS-49849"/>
    <s v="Hadiza Afolabi"/>
    <x v="1"/>
    <x v="3"/>
    <x v="0"/>
    <s v="Senior"/>
    <x v="0"/>
    <s v="22-30"/>
    <x v="1"/>
    <s v="08/12/2019"/>
    <s v="18/11/2023"/>
    <n v="6"/>
    <n v="445000"/>
    <n v="4.5999999999999996"/>
    <n v="7"/>
    <x v="0"/>
  </r>
  <r>
    <s v="MFS-56907"/>
    <s v="Hauwa Nwosu"/>
    <x v="1"/>
    <x v="1"/>
    <x v="0"/>
    <s v="Manager"/>
    <x v="0"/>
    <s v="41-50"/>
    <x v="0"/>
    <s v="23/08/2022"/>
    <s v="18/11/2023"/>
    <n v="3"/>
    <n v="730000"/>
    <n v="4.4000000000000004"/>
    <n v="4"/>
    <x v="0"/>
  </r>
  <r>
    <s v="MFS-44640"/>
    <s v="Bukola Adesanya"/>
    <x v="1"/>
    <x v="3"/>
    <x v="0"/>
    <s v="Manager"/>
    <x v="1"/>
    <s v="22-30"/>
    <x v="0"/>
    <s v="27/04/2019"/>
    <s v="18/11/2023"/>
    <n v="6"/>
    <n v="608000"/>
    <n v="3.5"/>
    <n v="7"/>
    <x v="0"/>
  </r>
  <r>
    <s v="MFS-86276"/>
    <s v="Chukwudi Haruna"/>
    <x v="0"/>
    <x v="0"/>
    <x v="2"/>
    <s v="Senior"/>
    <x v="0"/>
    <s v="22-30"/>
    <x v="3"/>
    <s v="01/06/2019"/>
    <s v="18/11/2023"/>
    <n v="6"/>
    <n v="521000"/>
    <n v="3.6"/>
    <n v="8"/>
    <x v="0"/>
  </r>
  <r>
    <s v="MFS-48136"/>
    <s v="Chinwe Ihejirika"/>
    <x v="1"/>
    <x v="1"/>
    <x v="0"/>
    <s v="Mid-level"/>
    <x v="0"/>
    <s v="22-30"/>
    <x v="2"/>
    <s v="16/09/2022"/>
    <s v="18/11/2023"/>
    <n v="3"/>
    <n v="286000"/>
    <n v="3.7"/>
    <n v="10"/>
    <x v="1"/>
  </r>
  <r>
    <s v="MFS-40574"/>
    <s v="Yetunde Buhari"/>
    <x v="1"/>
    <x v="2"/>
    <x v="2"/>
    <s v="Mid-level"/>
    <x v="0"/>
    <s v="31-40"/>
    <x v="0"/>
    <s v="27/01/2020"/>
    <s v="16/04/2024"/>
    <n v="6"/>
    <n v="324000"/>
    <n v="2.5"/>
    <n v="9"/>
    <x v="1"/>
  </r>
  <r>
    <s v="MFS-70099"/>
    <s v="Eze Buhari"/>
    <x v="0"/>
    <x v="1"/>
    <x v="1"/>
    <s v="Manager"/>
    <x v="0"/>
    <s v="31-40"/>
    <x v="1"/>
    <s v="25/03/2021"/>
    <s v="21/06/2023"/>
    <n v="4"/>
    <n v="606000"/>
    <n v="4.7"/>
    <n v="2"/>
    <x v="1"/>
  </r>
  <r>
    <s v="MFS-28927"/>
    <s v="Hauwa Omotayo"/>
    <x v="1"/>
    <x v="2"/>
    <x v="1"/>
    <s v="Mid-level"/>
    <x v="0"/>
    <s v="22-30"/>
    <x v="2"/>
    <s v="04/04/2023"/>
    <s v="31/07/2024"/>
    <n v="2"/>
    <n v="196000"/>
    <n v="2.2000000000000002"/>
    <n v="8"/>
    <x v="1"/>
  </r>
  <r>
    <s v="MFS-94490"/>
    <s v="Adeola Lawal"/>
    <x v="1"/>
    <x v="0"/>
    <x v="2"/>
    <s v="Senior"/>
    <x v="2"/>
    <s v="31-40"/>
    <x v="0"/>
    <s v="31/03/2023"/>
    <s v="22/09/2024"/>
    <n v="2"/>
    <n v="379000"/>
    <n v="3.6"/>
    <n v="14"/>
    <x v="1"/>
  </r>
  <r>
    <s v="MFS-99970"/>
    <s v="Nnamdi Haruna"/>
    <x v="0"/>
    <x v="2"/>
    <x v="0"/>
    <s v="Junior"/>
    <x v="0"/>
    <s v="22-30"/>
    <x v="1"/>
    <s v="01/06/2023"/>
    <s v="05/11/2024"/>
    <n v="2"/>
    <n v="129000"/>
    <n v="4.2"/>
    <n v="17"/>
    <x v="2"/>
  </r>
  <r>
    <s v="MFS-75198"/>
    <s v="Emeka Taiwo"/>
    <x v="0"/>
    <x v="2"/>
    <x v="0"/>
    <s v="Junior"/>
    <x v="1"/>
    <s v="41-50"/>
    <x v="4"/>
    <s v="12/01/2023"/>
    <s v="19/01/2024"/>
    <n v="3"/>
    <n v="131000"/>
    <n v="4.4000000000000004"/>
    <n v="23"/>
    <x v="3"/>
  </r>
  <r>
    <s v="MFS-80846"/>
    <s v="Oluwaseun Yakubu"/>
    <x v="0"/>
    <x v="2"/>
    <x v="0"/>
    <s v="Junior"/>
    <x v="0"/>
    <s v="31-40"/>
    <x v="2"/>
    <s v="11/05/2020"/>
    <s v="28/10/2024"/>
    <n v="5"/>
    <n v="97000"/>
    <n v="3.5"/>
    <n v="12"/>
    <x v="0"/>
  </r>
  <r>
    <s v="MFS-73105"/>
    <s v="Adeola Eze"/>
    <x v="0"/>
    <x v="4"/>
    <x v="0"/>
    <s v="Junior"/>
    <x v="0"/>
    <s v="31-40"/>
    <x v="0"/>
    <s v="23/05/2022"/>
    <s v="28/10/2024"/>
    <n v="3"/>
    <n v="163000"/>
    <n v="2.1"/>
    <n v="9"/>
    <x v="1"/>
  </r>
  <r>
    <s v="MFS-95102"/>
    <s v="Aisha Obaseki"/>
    <x v="1"/>
    <x v="2"/>
    <x v="0"/>
    <s v="Mid-level"/>
    <x v="0"/>
    <s v="22-30"/>
    <x v="2"/>
    <s v="04/01/2023"/>
    <s v="12/04/2024"/>
    <n v="3"/>
    <n v="336000"/>
    <n v="2.8"/>
    <n v="18"/>
    <x v="0"/>
  </r>
  <r>
    <s v="MFS-15916"/>
    <s v="Tunde Obi"/>
    <x v="0"/>
    <x v="2"/>
    <x v="0"/>
    <s v="Mid-level"/>
    <x v="3"/>
    <s v="22-30"/>
    <x v="2"/>
    <s v="08/04/2020"/>
    <s v="12/04/2024"/>
    <n v="5"/>
    <n v="295000"/>
    <n v="3.6"/>
    <n v="8"/>
    <x v="0"/>
  </r>
  <r>
    <s v="MFS-64941"/>
    <s v="Sola Uba"/>
    <x v="1"/>
    <x v="1"/>
    <x v="0"/>
    <s v="Mid-level"/>
    <x v="0"/>
    <s v="22-30"/>
    <x v="3"/>
    <s v="24/07/2023"/>
    <s v="12/04/2024"/>
    <n v="2"/>
    <n v="273000"/>
    <n v="3.8"/>
    <n v="6"/>
    <x v="2"/>
  </r>
  <r>
    <s v="MFS-48331"/>
    <s v="Bimpe Adesanya"/>
    <x v="1"/>
    <x v="3"/>
    <x v="0"/>
    <s v="Senior"/>
    <x v="1"/>
    <s v="31-40"/>
    <x v="0"/>
    <s v="30/10/2020"/>
    <s v="07/12/2023"/>
    <n v="5"/>
    <n v="451000"/>
    <n v="2.8"/>
    <n v="14"/>
    <x v="0"/>
  </r>
  <r>
    <s v="MFS-34393"/>
    <s v="Folake Uba"/>
    <x v="1"/>
    <x v="3"/>
    <x v="0"/>
    <s v="Senior"/>
    <x v="0"/>
    <s v="31-40"/>
    <x v="1"/>
    <s v="10/04/2019"/>
    <s v="07/12/2023"/>
    <n v="6"/>
    <n v="444000"/>
    <n v="4.5999999999999996"/>
    <n v="18"/>
    <x v="0"/>
  </r>
  <r>
    <s v="MFS-74597"/>
    <s v="Maryam Abdullahi"/>
    <x v="1"/>
    <x v="1"/>
    <x v="0"/>
    <s v="Junior"/>
    <x v="1"/>
    <s v="31-40"/>
    <x v="2"/>
    <s v="08/10/2021"/>
    <s v="07/12/2023"/>
    <n v="4"/>
    <n v="88000"/>
    <n v="4.2"/>
    <n v="9"/>
    <x v="0"/>
  </r>
  <r>
    <s v="MFS-14240"/>
    <s v="Femi Adesanya"/>
    <x v="0"/>
    <x v="4"/>
    <x v="0"/>
    <s v="Junior"/>
    <x v="3"/>
    <s v="22-30"/>
    <x v="1"/>
    <s v="18/12/2022"/>
    <s v="07/12/2023"/>
    <n v="3"/>
    <n v="109000"/>
    <n v="1.7"/>
    <n v="5"/>
    <x v="0"/>
  </r>
  <r>
    <s v="MFS-52676"/>
    <s v="Ifeoma Okonkwo"/>
    <x v="1"/>
    <x v="2"/>
    <x v="0"/>
    <s v="Mid-level"/>
    <x v="2"/>
    <s v="31-40"/>
    <x v="2"/>
    <s v="08/12/2023"/>
    <s v="07/12/2023"/>
    <n v="2"/>
    <n v="209000"/>
    <n v="2.4"/>
    <n v="12"/>
    <x v="0"/>
  </r>
  <r>
    <s v="MFS-11800"/>
    <s v="Suleiman Shehu"/>
    <x v="0"/>
    <x v="1"/>
    <x v="0"/>
    <s v="Mid-level"/>
    <x v="0"/>
    <s v="41-50"/>
    <x v="1"/>
    <s v="17/03/2023"/>
    <s v="07/12/2023"/>
    <n v="2"/>
    <n v="201000"/>
    <n v="4.2"/>
    <n v="37"/>
    <x v="0"/>
  </r>
  <r>
    <s v="MFS-18580"/>
    <s v="Abubakar Okafor"/>
    <x v="0"/>
    <x v="2"/>
    <x v="2"/>
    <s v="Junior"/>
    <x v="0"/>
    <s v="31-40"/>
    <x v="0"/>
    <s v="22/07/2019"/>
    <s v="07/12/2023"/>
    <n v="6"/>
    <n v="166000"/>
    <n v="2.2999999999999998"/>
    <n v="14"/>
    <x v="0"/>
  </r>
  <r>
    <s v="MFS-13059"/>
    <s v="Asabe Nnamdi"/>
    <x v="1"/>
    <x v="4"/>
    <x v="0"/>
    <s v="Junior"/>
    <x v="0"/>
    <s v="31-40"/>
    <x v="2"/>
    <s v="20/10/2020"/>
    <s v="07/12/2023"/>
    <n v="5"/>
    <n v="124000"/>
    <n v="2"/>
    <n v="4"/>
    <x v="1"/>
  </r>
  <r>
    <s v="MFS-83437"/>
    <s v="Kabiru Onwudiwe"/>
    <x v="0"/>
    <x v="4"/>
    <x v="0"/>
    <s v="Mid-level"/>
    <x v="0"/>
    <s v="41-50"/>
    <x v="0"/>
    <s v="26/11/2020"/>
    <s v="13/12/2021"/>
    <n v="5"/>
    <n v="212000"/>
    <n v="2.1"/>
    <n v="9"/>
    <x v="1"/>
  </r>
  <r>
    <s v="MFS-41118"/>
    <s v="Titi Garba"/>
    <x v="1"/>
    <x v="2"/>
    <x v="2"/>
    <s v="Junior"/>
    <x v="0"/>
    <s v="31-40"/>
    <x v="0"/>
    <s v="01/07/2019"/>
    <s v="07/06/2022"/>
    <n v="6"/>
    <n v="92000"/>
    <n v="3.1"/>
    <n v="1"/>
    <x v="0"/>
  </r>
  <r>
    <s v="MFS-84995"/>
    <s v="Kunle Musa"/>
    <x v="0"/>
    <x v="3"/>
    <x v="1"/>
    <s v="Mid-level"/>
    <x v="2"/>
    <s v="41-50"/>
    <x v="1"/>
    <s v="17/06/2021"/>
    <s v="07/06/2022"/>
    <n v="4"/>
    <n v="208000"/>
    <n v="2.9"/>
    <n v="1"/>
    <x v="1"/>
  </r>
  <r>
    <s v="MFS-49283"/>
    <s v="Chibuike Ogbonna"/>
    <x v="0"/>
    <x v="4"/>
    <x v="0"/>
    <s v="Junior"/>
    <x v="2"/>
    <s v="41-50"/>
    <x v="2"/>
    <s v="16/03/2021"/>
    <s v="27/11/2024"/>
    <n v="4"/>
    <n v="118000"/>
    <n v="2.1"/>
    <n v="3"/>
    <x v="0"/>
  </r>
  <r>
    <s v="MFS-94222"/>
    <s v="Bimpe Oyelaran"/>
    <x v="1"/>
    <x v="0"/>
    <x v="0"/>
    <s v="Mid-level"/>
    <x v="3"/>
    <s v="31-40"/>
    <x v="0"/>
    <s v="05/10/2019"/>
    <s v="27/11/2024"/>
    <n v="6"/>
    <n v="299000"/>
    <n v="3"/>
    <n v="4"/>
    <x v="1"/>
  </r>
  <r>
    <s v="MFS-55523"/>
    <s v="Fatima Nduka"/>
    <x v="1"/>
    <x v="2"/>
    <x v="1"/>
    <s v="Junior"/>
    <x v="0"/>
    <s v="22-30"/>
    <x v="2"/>
    <s v="18/02/2022"/>
    <s v="06/04/2024"/>
    <n v="4"/>
    <n v="113000"/>
    <n v="4.0999999999999996"/>
    <n v="2"/>
    <x v="0"/>
  </r>
  <r>
    <s v="MFS-51444"/>
    <s v="Bilkisu Okeke"/>
    <x v="1"/>
    <x v="3"/>
    <x v="0"/>
    <s v="Senior"/>
    <x v="0"/>
    <s v="31-40"/>
    <x v="3"/>
    <s v="04/02/2020"/>
    <s v="06/04/2024"/>
    <n v="6"/>
    <n v="361000"/>
    <n v="3.2"/>
    <n v="4"/>
    <x v="0"/>
  </r>
  <r>
    <s v="MFS-74415"/>
    <s v="Gbenga Amadi"/>
    <x v="0"/>
    <x v="2"/>
    <x v="1"/>
    <s v="Mid-level"/>
    <x v="0"/>
    <s v="31-40"/>
    <x v="4"/>
    <s v="18/12/2023"/>
    <s v="06/04/2024"/>
    <n v="2"/>
    <n v="187000"/>
    <n v="4.8"/>
    <n v="9"/>
    <x v="0"/>
  </r>
  <r>
    <s v="MFS-51035"/>
    <s v="Ogechi Ogundipe"/>
    <x v="1"/>
    <x v="0"/>
    <x v="0"/>
    <s v="Junior"/>
    <x v="1"/>
    <s v="31-40"/>
    <x v="0"/>
    <s v="04/05/2019"/>
    <s v="06/04/2024"/>
    <n v="6"/>
    <n v="96000"/>
    <n v="2"/>
    <n v="6"/>
    <x v="0"/>
  </r>
  <r>
    <s v="MFS-64099"/>
    <s v="Hafsat Adewale"/>
    <x v="1"/>
    <x v="0"/>
    <x v="2"/>
    <s v="Mid-level"/>
    <x v="2"/>
    <s v="31-40"/>
    <x v="2"/>
    <s v="16/02/2020"/>
    <s v="06/04/2024"/>
    <n v="6"/>
    <n v="261000"/>
    <n v="4.0999999999999996"/>
    <n v="2"/>
    <x v="3"/>
  </r>
  <r>
    <s v="MFS-30922"/>
    <s v="Musa Adeyemi"/>
    <x v="0"/>
    <x v="4"/>
    <x v="0"/>
    <s v="Mid-level"/>
    <x v="0"/>
    <s v="41-50"/>
    <x v="0"/>
    <s v="14/05/2021"/>
    <s v="29/02/2020"/>
    <n v="4"/>
    <n v="273000"/>
    <n v="2.2000000000000002"/>
    <n v="2"/>
    <x v="0"/>
  </r>
  <r>
    <s v="MFS-58080"/>
    <s v="Wale Okonkwo"/>
    <x v="0"/>
    <x v="2"/>
    <x v="0"/>
    <s v="Mid-level"/>
    <x v="3"/>
    <s v="41-50"/>
    <x v="0"/>
    <s v="22/09/2023"/>
    <s v="29/02/2020"/>
    <n v="2"/>
    <n v="187000"/>
    <n v="4.0999999999999996"/>
    <n v="8"/>
    <x v="0"/>
  </r>
  <r>
    <s v="MFS-51680"/>
    <s v="Chinwe Adesanya"/>
    <x v="1"/>
    <x v="2"/>
    <x v="1"/>
    <s v="Junior"/>
    <x v="3"/>
    <s v="31-40"/>
    <x v="0"/>
    <s v="28/04/2022"/>
    <s v="29/02/2020"/>
    <n v="3"/>
    <n v="97000"/>
    <n v="2"/>
    <n v="2"/>
    <x v="0"/>
  </r>
  <r>
    <s v="MFS-69878"/>
    <s v="Laraba Taiwo"/>
    <x v="1"/>
    <x v="4"/>
    <x v="0"/>
    <s v="Junior"/>
    <x v="0"/>
    <s v="31-40"/>
    <x v="0"/>
    <s v="14/02/2019"/>
    <s v="29/02/2020"/>
    <n v="7"/>
    <n v="178000"/>
    <n v="2.8"/>
    <n v="9"/>
    <x v="2"/>
  </r>
  <r>
    <s v="MFS-60000"/>
    <s v="Ogechi Nnamdi"/>
    <x v="1"/>
    <x v="1"/>
    <x v="0"/>
    <s v="Senior"/>
    <x v="0"/>
    <s v="31-40"/>
    <x v="0"/>
    <s v="06/05/2020"/>
    <s v="06/01/2022"/>
    <n v="5"/>
    <n v="406000"/>
    <n v="3.3"/>
    <n v="19"/>
    <x v="1"/>
  </r>
  <r>
    <s v="MFS-74727"/>
    <s v="Tunde Adesanya"/>
    <x v="0"/>
    <x v="0"/>
    <x v="0"/>
    <s v="Mid-level"/>
    <x v="0"/>
    <s v="22-30"/>
    <x v="0"/>
    <s v="15/06/2021"/>
    <s v="09/05/2022"/>
    <n v="4"/>
    <n v="319000"/>
    <n v="3"/>
    <n v="9"/>
    <x v="0"/>
  </r>
  <r>
    <s v="MFS-32288"/>
    <s v="Eze Garba"/>
    <x v="0"/>
    <x v="1"/>
    <x v="1"/>
    <s v="Senior"/>
    <x v="1"/>
    <s v="22-30"/>
    <x v="4"/>
    <s v="07/12/2020"/>
    <s v="09/05/2022"/>
    <n v="5"/>
    <n v="543000"/>
    <n v="4.0999999999999996"/>
    <n v="28"/>
    <x v="0"/>
  </r>
  <r>
    <s v="MFS-83602"/>
    <s v="Folake Lawal"/>
    <x v="1"/>
    <x v="3"/>
    <x v="2"/>
    <s v="Manager"/>
    <x v="0"/>
    <s v="41-50"/>
    <x v="0"/>
    <s v="09/08/2021"/>
    <s v="09/05/2022"/>
    <n v="4"/>
    <n v="769000"/>
    <n v="3.1"/>
    <n v="11"/>
    <x v="0"/>
  </r>
  <r>
    <s v="MFS-73529"/>
    <s v="Ugochi Taiwo"/>
    <x v="1"/>
    <x v="4"/>
    <x v="1"/>
    <s v="Junior"/>
    <x v="2"/>
    <s v="31-40"/>
    <x v="0"/>
    <s v="25/04/2019"/>
    <s v="09/05/2022"/>
    <n v="6"/>
    <n v="170000"/>
    <n v="2.6"/>
    <n v="13"/>
    <x v="1"/>
  </r>
  <r>
    <s v="MFS-78175"/>
    <s v="Hauwa Buhari"/>
    <x v="1"/>
    <x v="4"/>
    <x v="0"/>
    <s v="Junior"/>
    <x v="0"/>
    <s v="31-40"/>
    <x v="2"/>
    <s v="03/10/2022"/>
    <s v="19/03/2024"/>
    <n v="3"/>
    <n v="138000"/>
    <n v="2.1"/>
    <n v="7"/>
    <x v="1"/>
  </r>
  <r>
    <s v="MFS-64645"/>
    <s v="Kemi Coker"/>
    <x v="1"/>
    <x v="1"/>
    <x v="2"/>
    <s v="Mid-level"/>
    <x v="2"/>
    <s v="22-30"/>
    <x v="0"/>
    <s v="27/12/2023"/>
    <s v="01/02/2025"/>
    <n v="2"/>
    <n v="289000"/>
    <n v="3.5"/>
    <n v="10"/>
    <x v="1"/>
  </r>
  <r>
    <s v="MFS-73998"/>
    <s v="Musa Danladi"/>
    <x v="0"/>
    <x v="1"/>
    <x v="0"/>
    <s v="Manager"/>
    <x v="0"/>
    <s v="41-50"/>
    <x v="0"/>
    <s v="17/11/2021"/>
    <s v="03/09/2019"/>
    <n v="4"/>
    <n v="646000"/>
    <n v="3.9"/>
    <n v="4"/>
    <x v="0"/>
  </r>
  <r>
    <s v="MFS-45203"/>
    <s v="Sola Nnamdi"/>
    <x v="1"/>
    <x v="4"/>
    <x v="0"/>
    <s v="Senior"/>
    <x v="0"/>
    <s v="31-40"/>
    <x v="0"/>
    <s v="03/10/2019"/>
    <s v="03/09/2019"/>
    <n v="6"/>
    <n v="425000"/>
    <n v="4.2"/>
    <n v="5"/>
    <x v="0"/>
  </r>
  <r>
    <s v="MFS-51755"/>
    <s v="Falmata Buhari"/>
    <x v="1"/>
    <x v="4"/>
    <x v="0"/>
    <s v="Junior"/>
    <x v="0"/>
    <s v="31-40"/>
    <x v="3"/>
    <s v="12/09/2022"/>
    <s v="03/09/2019"/>
    <n v="3"/>
    <n v="93000"/>
    <n v="2.6"/>
    <n v="34"/>
    <x v="0"/>
  </r>
  <r>
    <s v="MFS-51430"/>
    <s v="Maryam Nduka"/>
    <x v="1"/>
    <x v="2"/>
    <x v="1"/>
    <s v="Junior"/>
    <x v="0"/>
    <s v="22-30"/>
    <x v="1"/>
    <s v="12/01/2022"/>
    <s v="03/09/2019"/>
    <n v="4"/>
    <n v="173000"/>
    <n v="3.3"/>
    <n v="5"/>
    <x v="0"/>
  </r>
  <r>
    <s v="MFS-10356"/>
    <s v="Dele Nnamdi"/>
    <x v="0"/>
    <x v="3"/>
    <x v="1"/>
    <s v="Senior"/>
    <x v="1"/>
    <s v="41-50"/>
    <x v="1"/>
    <s v="19/06/2023"/>
    <s v="03/09/2019"/>
    <n v="2"/>
    <n v="468000"/>
    <n v="3"/>
    <n v="2"/>
    <x v="0"/>
  </r>
  <r>
    <s v="MFS-93290"/>
    <s v="Aisha Coker"/>
    <x v="1"/>
    <x v="2"/>
    <x v="0"/>
    <s v="Mid-level"/>
    <x v="0"/>
    <s v="22-30"/>
    <x v="0"/>
    <s v="18/02/2019"/>
    <s v="03/09/2019"/>
    <n v="7"/>
    <n v="207000"/>
    <n v="3.4"/>
    <n v="1"/>
    <x v="3"/>
  </r>
  <r>
    <s v="MFS-86200"/>
    <s v="Yetunde Danladi"/>
    <x v="1"/>
    <x v="2"/>
    <x v="0"/>
    <s v="Manager"/>
    <x v="0"/>
    <s v="31-40"/>
    <x v="4"/>
    <s v="25/10/2020"/>
    <s v="08/03/2023"/>
    <n v="5"/>
    <n v="914000"/>
    <n v="3.5"/>
    <n v="2"/>
    <x v="0"/>
  </r>
  <r>
    <s v="MFS-74797"/>
    <s v="Garba Nnamdi"/>
    <x v="0"/>
    <x v="4"/>
    <x v="2"/>
    <s v="Mid-level"/>
    <x v="0"/>
    <s v="22-30"/>
    <x v="0"/>
    <s v="13/06/2022"/>
    <s v="08/03/2023"/>
    <n v="3"/>
    <n v="209000"/>
    <n v="1.6"/>
    <n v="0"/>
    <x v="3"/>
  </r>
  <r>
    <s v="MFS-37744"/>
    <s v="Tosin Abdullahi"/>
    <x v="1"/>
    <x v="4"/>
    <x v="0"/>
    <s v="Mid-level"/>
    <x v="0"/>
    <s v="31-40"/>
    <x v="0"/>
    <s v="22/05/2020"/>
    <s v="05/07/2024"/>
    <n v="5"/>
    <n v="312000"/>
    <n v="4.0999999999999996"/>
    <n v="19"/>
    <x v="0"/>
  </r>
  <r>
    <s v="MFS-27073"/>
    <s v="Chidi Shehu"/>
    <x v="0"/>
    <x v="4"/>
    <x v="0"/>
    <s v="Mid-level"/>
    <x v="1"/>
    <s v="41-50"/>
    <x v="0"/>
    <s v="17/12/2023"/>
    <s v="05/07/2024"/>
    <n v="2"/>
    <n v="208000"/>
    <n v="2.5"/>
    <n v="0"/>
    <x v="0"/>
  </r>
  <r>
    <s v="MFS-12263"/>
    <s v="Adeola Eze"/>
    <x v="0"/>
    <x v="0"/>
    <x v="0"/>
    <s v="Junior"/>
    <x v="0"/>
    <s v="31-40"/>
    <x v="1"/>
    <s v="11/04/2023"/>
    <s v="05/07/2024"/>
    <n v="2"/>
    <n v="122000"/>
    <n v="2.5"/>
    <n v="33"/>
    <x v="2"/>
  </r>
  <r>
    <s v="MFS-99972"/>
    <s v="Kabiru Nwachukwu"/>
    <x v="0"/>
    <x v="4"/>
    <x v="0"/>
    <s v="Director"/>
    <x v="2"/>
    <s v="31-40"/>
    <x v="0"/>
    <s v="28/11/2021"/>
    <s v="16/11/2023"/>
    <n v="4"/>
    <n v="1226000"/>
    <n v="3.8"/>
    <n v="5"/>
    <x v="0"/>
  </r>
  <r>
    <s v="MFS-76846"/>
    <s v="Garba Nnamdi"/>
    <x v="0"/>
    <x v="2"/>
    <x v="0"/>
    <s v="Junior"/>
    <x v="0"/>
    <s v="41-50"/>
    <x v="1"/>
    <s v="01/05/2023"/>
    <s v="16/11/2023"/>
    <n v="2"/>
    <n v="149000"/>
    <n v="2.1"/>
    <n v="4"/>
    <x v="0"/>
  </r>
  <r>
    <s v="MFS-94594"/>
    <s v="Garba Coker"/>
    <x v="0"/>
    <x v="0"/>
    <x v="2"/>
    <s v="Mid-level"/>
    <x v="2"/>
    <s v="31-40"/>
    <x v="2"/>
    <s v="24/11/2021"/>
    <s v="16/11/2023"/>
    <n v="4"/>
    <n v="356000"/>
    <n v="3.2"/>
    <n v="13"/>
    <x v="0"/>
  </r>
  <r>
    <s v="MFS-62026"/>
    <s v="Ifeanyi Obi"/>
    <x v="0"/>
    <x v="3"/>
    <x v="0"/>
    <s v="Junior"/>
    <x v="0"/>
    <s v="31-40"/>
    <x v="2"/>
    <s v="25/08/2020"/>
    <s v="16/11/2023"/>
    <n v="5"/>
    <n v="103000"/>
    <n v="2.5"/>
    <n v="9"/>
    <x v="0"/>
  </r>
  <r>
    <s v="MFS-30304"/>
    <s v="Chiamaka Adeyemi"/>
    <x v="1"/>
    <x v="2"/>
    <x v="0"/>
    <s v="Junior"/>
    <x v="1"/>
    <s v="22-30"/>
    <x v="4"/>
    <s v="24/11/2019"/>
    <s v="16/11/2023"/>
    <n v="6"/>
    <n v="121000"/>
    <n v="3"/>
    <n v="2"/>
    <x v="0"/>
  </r>
  <r>
    <s v="MFS-96330"/>
    <s v="Ifeanyi Nwosu"/>
    <x v="0"/>
    <x v="1"/>
    <x v="2"/>
    <s v="Senior"/>
    <x v="0"/>
    <s v="31-40"/>
    <x v="2"/>
    <s v="20/10/2022"/>
    <s v="16/11/2023"/>
    <n v="3"/>
    <n v="452000"/>
    <n v="2.2999999999999998"/>
    <n v="9"/>
    <x v="0"/>
  </r>
  <r>
    <s v="MFS-79715"/>
    <s v="Emeka Shehu"/>
    <x v="0"/>
    <x v="2"/>
    <x v="0"/>
    <s v="Junior"/>
    <x v="0"/>
    <s v="31-40"/>
    <x v="0"/>
    <s v="01/06/2021"/>
    <s v="16/11/2023"/>
    <n v="4"/>
    <n v="155000"/>
    <n v="4.8"/>
    <n v="6"/>
    <x v="0"/>
  </r>
  <r>
    <s v="MFS-10125"/>
    <s v="Chukwuemeka Onwudiwe"/>
    <x v="0"/>
    <x v="2"/>
    <x v="0"/>
    <s v="Mid-level"/>
    <x v="3"/>
    <s v="31-40"/>
    <x v="0"/>
    <s v="02/12/2021"/>
    <s v="16/11/2023"/>
    <n v="4"/>
    <n v="236000"/>
    <n v="4.2"/>
    <n v="6"/>
    <x v="0"/>
  </r>
  <r>
    <s v="MFS-38584"/>
    <s v="Sola Buhari"/>
    <x v="1"/>
    <x v="3"/>
    <x v="2"/>
    <s v="Mid-level"/>
    <x v="0"/>
    <s v="51-60"/>
    <x v="0"/>
    <s v="11/08/2021"/>
    <s v="16/11/2023"/>
    <n v="4"/>
    <n v="343000"/>
    <n v="2.2999999999999998"/>
    <n v="10"/>
    <x v="1"/>
  </r>
  <r>
    <s v="MFS-33582"/>
    <s v="Ikenna Nnamdi"/>
    <x v="0"/>
    <x v="4"/>
    <x v="0"/>
    <s v="Junior"/>
    <x v="0"/>
    <s v="31-40"/>
    <x v="0"/>
    <s v="25/01/2023"/>
    <s v="27/11/2019"/>
    <n v="3"/>
    <n v="112000"/>
    <n v="1.9"/>
    <n v="17"/>
    <x v="0"/>
  </r>
  <r>
    <s v="MFS-50927"/>
    <s v="Haruna Okafor"/>
    <x v="0"/>
    <x v="1"/>
    <x v="2"/>
    <s v="Director"/>
    <x v="0"/>
    <s v="22-30"/>
    <x v="2"/>
    <s v="06/03/2023"/>
    <s v="27/11/2019"/>
    <n v="3"/>
    <n v="1472000"/>
    <n v="4.8"/>
    <n v="13"/>
    <x v="0"/>
  </r>
  <r>
    <s v="MFS-70531"/>
    <s v="Seun Bello"/>
    <x v="0"/>
    <x v="1"/>
    <x v="2"/>
    <s v="Mid-level"/>
    <x v="0"/>
    <s v="31-40"/>
    <x v="0"/>
    <s v="17/05/2022"/>
    <s v="27/11/2019"/>
    <n v="3"/>
    <n v="292000"/>
    <n v="4.3"/>
    <n v="0"/>
    <x v="0"/>
  </r>
  <r>
    <s v="MFS-96237"/>
    <s v="Kabiru Nwachukwu"/>
    <x v="0"/>
    <x v="0"/>
    <x v="2"/>
    <s v="Mid-level"/>
    <x v="1"/>
    <s v="22-30"/>
    <x v="2"/>
    <s v="10/04/2019"/>
    <s v="27/11/2019"/>
    <n v="6"/>
    <n v="225000"/>
    <n v="4.9000000000000004"/>
    <n v="14"/>
    <x v="1"/>
  </r>
  <r>
    <s v="MFS-41849"/>
    <s v="Garba Chukwu"/>
    <x v="0"/>
    <x v="4"/>
    <x v="1"/>
    <s v="Manager"/>
    <x v="1"/>
    <s v="31-40"/>
    <x v="0"/>
    <s v="03/09/2022"/>
    <s v="22/12/2024"/>
    <n v="3"/>
    <n v="948000"/>
    <n v="3.1"/>
    <n v="3"/>
    <x v="0"/>
  </r>
  <r>
    <s v="MFS-82378"/>
    <s v="Laraba Nnamdi"/>
    <x v="1"/>
    <x v="4"/>
    <x v="0"/>
    <s v="Mid-level"/>
    <x v="0"/>
    <s v="41-50"/>
    <x v="0"/>
    <s v="02/11/2020"/>
    <s v="22/12/2024"/>
    <n v="5"/>
    <n v="341000"/>
    <n v="2.5"/>
    <n v="3"/>
    <x v="1"/>
  </r>
  <r>
    <s v="MFS-20385"/>
    <s v="Seun Danladi"/>
    <x v="0"/>
    <x v="3"/>
    <x v="0"/>
    <s v="Mid-level"/>
    <x v="1"/>
    <s v="51-60"/>
    <x v="2"/>
    <s v="10/06/2022"/>
    <s v="24/05/2024"/>
    <n v="3"/>
    <n v="205000"/>
    <n v="2.8"/>
    <n v="6"/>
    <x v="0"/>
  </r>
  <r>
    <s v="MFS-99212"/>
    <s v="Laraba Bello"/>
    <x v="1"/>
    <x v="0"/>
    <x v="1"/>
    <s v="Manager"/>
    <x v="0"/>
    <s v="31-40"/>
    <x v="2"/>
    <s v="08/03/2022"/>
    <s v="24/05/2024"/>
    <n v="4"/>
    <n v="964000"/>
    <n v="3.1"/>
    <n v="7"/>
    <x v="0"/>
  </r>
  <r>
    <s v="MFS-38114"/>
    <s v="Ramatu Okafor"/>
    <x v="1"/>
    <x v="2"/>
    <x v="1"/>
    <s v="Mid-level"/>
    <x v="0"/>
    <s v="41-50"/>
    <x v="0"/>
    <s v="14/11/2023"/>
    <s v="24/05/2024"/>
    <n v="2"/>
    <n v="305000"/>
    <n v="4.8"/>
    <n v="3"/>
    <x v="1"/>
  </r>
  <r>
    <s v="MFS-33983"/>
    <s v="Kabiru Onwudiwe"/>
    <x v="0"/>
    <x v="1"/>
    <x v="0"/>
    <s v="Junior"/>
    <x v="0"/>
    <s v="41-50"/>
    <x v="0"/>
    <s v="01/08/2020"/>
    <s v="03/05/2024"/>
    <n v="5"/>
    <n v="150000"/>
    <n v="2.2999999999999998"/>
    <n v="11"/>
    <x v="0"/>
  </r>
  <r>
    <s v="MFS-24075"/>
    <s v="Femi Amadi"/>
    <x v="0"/>
    <x v="3"/>
    <x v="2"/>
    <s v="Mid-level"/>
    <x v="1"/>
    <s v="31-40"/>
    <x v="1"/>
    <s v="30/12/2022"/>
    <s v="03/05/2024"/>
    <n v="3"/>
    <n v="256000"/>
    <n v="2.5"/>
    <n v="13"/>
    <x v="0"/>
  </r>
  <r>
    <s v="MFS-28648"/>
    <s v="Nasiru Obi"/>
    <x v="0"/>
    <x v="1"/>
    <x v="0"/>
    <s v="Manager"/>
    <x v="3"/>
    <s v="22-30"/>
    <x v="3"/>
    <s v="04/08/2019"/>
    <s v="03/05/2024"/>
    <n v="6"/>
    <n v="731000"/>
    <n v="4.2"/>
    <n v="0"/>
    <x v="0"/>
  </r>
  <r>
    <s v="MFS-17429"/>
    <s v="Uche Taiwo"/>
    <x v="0"/>
    <x v="1"/>
    <x v="0"/>
    <s v="Senior"/>
    <x v="1"/>
    <s v="22-30"/>
    <x v="1"/>
    <s v="20/01/2019"/>
    <s v="03/05/2024"/>
    <n v="7"/>
    <n v="463000"/>
    <n v="2.6"/>
    <n v="3"/>
    <x v="0"/>
  </r>
  <r>
    <s v="MFS-41881"/>
    <s v="Funmilayo Afolabi"/>
    <x v="1"/>
    <x v="4"/>
    <x v="0"/>
    <s v="Junior"/>
    <x v="0"/>
    <s v="22-30"/>
    <x v="3"/>
    <s v="11/01/2022"/>
    <s v="03/05/2024"/>
    <n v="4"/>
    <n v="126000"/>
    <n v="3.3"/>
    <n v="12"/>
    <x v="1"/>
  </r>
  <r>
    <s v="MFS-85223"/>
    <s v="Femi Afolabi"/>
    <x v="0"/>
    <x v="3"/>
    <x v="0"/>
    <s v="Mid-level"/>
    <x v="0"/>
    <s v="22-30"/>
    <x v="3"/>
    <s v="17/01/2022"/>
    <s v="03/03/2024"/>
    <n v="4"/>
    <n v="222000"/>
    <n v="2.2999999999999998"/>
    <n v="8"/>
    <x v="2"/>
  </r>
  <r>
    <s v="MFS-83249"/>
    <s v="Rotimi Adesanya"/>
    <x v="0"/>
    <x v="4"/>
    <x v="0"/>
    <s v="Manager"/>
    <x v="3"/>
    <s v="22-30"/>
    <x v="1"/>
    <s v="11/05/2020"/>
    <s v="14/03/2025"/>
    <n v="5"/>
    <n v="843000"/>
    <n v="4.4000000000000004"/>
    <n v="3"/>
    <x v="1"/>
  </r>
  <r>
    <s v="MFS-75699"/>
    <s v="Shehu Okonkwo"/>
    <x v="0"/>
    <x v="3"/>
    <x v="0"/>
    <s v="Manager"/>
    <x v="0"/>
    <s v="31-40"/>
    <x v="2"/>
    <s v="21/05/2019"/>
    <s v="17/06/2023"/>
    <n v="6"/>
    <n v="727000"/>
    <n v="3.6"/>
    <n v="6"/>
    <x v="0"/>
  </r>
  <r>
    <s v="MFS-95523"/>
    <s v="Obinna Bello"/>
    <x v="0"/>
    <x v="2"/>
    <x v="0"/>
    <s v="Senior"/>
    <x v="1"/>
    <s v="31-40"/>
    <x v="0"/>
    <s v="13/12/2019"/>
    <s v="17/06/2023"/>
    <n v="6"/>
    <n v="425000"/>
    <n v="3.8"/>
    <n v="1"/>
    <x v="1"/>
  </r>
  <r>
    <s v="MFS-28394"/>
    <s v="Haruna Fagbemi"/>
    <x v="0"/>
    <x v="3"/>
    <x v="2"/>
    <s v="Director"/>
    <x v="1"/>
    <s v="31-40"/>
    <x v="2"/>
    <s v="27/12/2022"/>
    <s v="27/06/2023"/>
    <n v="3"/>
    <n v="1310000"/>
    <n v="4.2"/>
    <n v="1"/>
    <x v="0"/>
  </r>
  <r>
    <s v="MFS-90748"/>
    <s v="Aisha Abdullahi"/>
    <x v="1"/>
    <x v="4"/>
    <x v="1"/>
    <s v="Junior"/>
    <x v="0"/>
    <s v="31-40"/>
    <x v="4"/>
    <s v="23/01/2022"/>
    <s v="27/06/2023"/>
    <n v="4"/>
    <n v="118000"/>
    <n v="2.9"/>
    <n v="0"/>
    <x v="0"/>
  </r>
  <r>
    <s v="MFS-46677"/>
    <s v="Femi Okafor"/>
    <x v="0"/>
    <x v="0"/>
    <x v="0"/>
    <s v="Manager"/>
    <x v="1"/>
    <s v="31-40"/>
    <x v="4"/>
    <s v="15/07/2019"/>
    <s v="27/06/2023"/>
    <n v="6"/>
    <n v="929000"/>
    <n v="3.8"/>
    <n v="0"/>
    <x v="0"/>
  </r>
  <r>
    <s v="MFS-47716"/>
    <s v="Adeola Adebayo"/>
    <x v="0"/>
    <x v="4"/>
    <x v="0"/>
    <s v="Junior"/>
    <x v="2"/>
    <s v="31-40"/>
    <x v="3"/>
    <s v="14/08/2023"/>
    <s v="27/06/2023"/>
    <n v="2"/>
    <n v="98000"/>
    <n v="1.5"/>
    <n v="10"/>
    <x v="0"/>
  </r>
  <r>
    <s v="MFS-73485"/>
    <s v="Laraba Adeyemi"/>
    <x v="1"/>
    <x v="4"/>
    <x v="0"/>
    <s v="Mid-level"/>
    <x v="1"/>
    <s v="22-30"/>
    <x v="0"/>
    <s v="14/02/2022"/>
    <s v="27/06/2023"/>
    <n v="4"/>
    <n v="247000"/>
    <n v="1.5"/>
    <n v="9"/>
    <x v="0"/>
  </r>
  <r>
    <s v="MFS-45280"/>
    <s v="Chidi Okonkwo"/>
    <x v="0"/>
    <x v="3"/>
    <x v="2"/>
    <s v="Junior"/>
    <x v="2"/>
    <s v="22-30"/>
    <x v="3"/>
    <s v="31/12/2020"/>
    <s v="27/06/2023"/>
    <n v="5"/>
    <n v="156000"/>
    <n v="4.9000000000000004"/>
    <n v="5"/>
    <x v="1"/>
  </r>
  <r>
    <s v="MFS-65490"/>
    <s v="Adeola Okafor"/>
    <x v="0"/>
    <x v="4"/>
    <x v="0"/>
    <s v="Mid-level"/>
    <x v="0"/>
    <s v="41-50"/>
    <x v="0"/>
    <s v="28/02/2021"/>
    <s v="21/08/2024"/>
    <n v="5"/>
    <n v="330000"/>
    <n v="3.1"/>
    <n v="2"/>
    <x v="0"/>
  </r>
  <r>
    <s v="MFS-27143"/>
    <s v="Hauwa Nnamdi"/>
    <x v="1"/>
    <x v="3"/>
    <x v="1"/>
    <s v="Senior"/>
    <x v="0"/>
    <s v="31-40"/>
    <x v="2"/>
    <s v="13/08/2023"/>
    <s v="21/08/2024"/>
    <n v="2"/>
    <n v="446000"/>
    <n v="3.2"/>
    <n v="4"/>
    <x v="3"/>
  </r>
  <r>
    <s v="MFS-92938"/>
    <s v="Haruna Musa"/>
    <x v="0"/>
    <x v="1"/>
    <x v="0"/>
    <s v="Senior"/>
    <x v="2"/>
    <s v="41-50"/>
    <x v="0"/>
    <s v="10/06/2020"/>
    <s v="01/07/2022"/>
    <n v="5"/>
    <n v="493000"/>
    <n v="5"/>
    <n v="9"/>
    <x v="0"/>
  </r>
  <r>
    <s v="MFS-16220"/>
    <s v="Hauwa Suleiman"/>
    <x v="1"/>
    <x v="4"/>
    <x v="0"/>
    <s v="Mid-level"/>
    <x v="0"/>
    <s v="31-40"/>
    <x v="4"/>
    <s v="07/11/2020"/>
    <s v="01/07/2022"/>
    <n v="5"/>
    <n v="320000"/>
    <n v="2.2999999999999998"/>
    <n v="8"/>
    <x v="2"/>
  </r>
  <r>
    <s v="MFS-63347"/>
    <s v="Maryam Abdullahi"/>
    <x v="1"/>
    <x v="3"/>
    <x v="0"/>
    <s v="Manager"/>
    <x v="1"/>
    <s v="41-50"/>
    <x v="1"/>
    <s v="05/09/2019"/>
    <s v="20/10/2024"/>
    <n v="6"/>
    <n v="783000"/>
    <n v="4.7"/>
    <n v="14"/>
    <x v="0"/>
  </r>
  <r>
    <s v="MFS-26342"/>
    <s v="Rabiu Omotayo"/>
    <x v="0"/>
    <x v="4"/>
    <x v="2"/>
    <s v="Mid-level"/>
    <x v="3"/>
    <s v="22-30"/>
    <x v="4"/>
    <s v="18/07/2022"/>
    <s v="20/10/2024"/>
    <n v="3"/>
    <n v="344000"/>
    <n v="4.0999999999999996"/>
    <n v="7"/>
    <x v="1"/>
  </r>
  <r>
    <s v="MFS-69403"/>
    <s v="Kemi Uba"/>
    <x v="1"/>
    <x v="4"/>
    <x v="0"/>
    <s v="Senior"/>
    <x v="2"/>
    <s v="51-60"/>
    <x v="0"/>
    <s v="24/03/2022"/>
    <s v="30/11/2023"/>
    <n v="3"/>
    <n v="362000"/>
    <n v="3.7"/>
    <n v="5"/>
    <x v="1"/>
  </r>
  <r>
    <s v="MFS-11620"/>
    <s v="Sola Adebayo"/>
    <x v="1"/>
    <x v="3"/>
    <x v="0"/>
    <s v="Senior"/>
    <x v="0"/>
    <s v="22-30"/>
    <x v="0"/>
    <s v="26/02/2022"/>
    <s v="21/07/2024"/>
    <n v="4"/>
    <n v="545000"/>
    <n v="4.4000000000000004"/>
    <n v="14"/>
    <x v="0"/>
  </r>
  <r>
    <s v="MFS-20481"/>
    <s v="Wale Obaseki"/>
    <x v="0"/>
    <x v="3"/>
    <x v="2"/>
    <s v="Junior"/>
    <x v="1"/>
    <s v="51-60"/>
    <x v="0"/>
    <s v="20/08/2021"/>
    <s v="21/07/2024"/>
    <n v="4"/>
    <n v="90000"/>
    <n v="3.4"/>
    <n v="18"/>
    <x v="0"/>
  </r>
  <r>
    <s v="MFS-37475"/>
    <s v="Nkechi Lawal"/>
    <x v="1"/>
    <x v="0"/>
    <x v="0"/>
    <s v="Junior"/>
    <x v="2"/>
    <s v="22-30"/>
    <x v="2"/>
    <s v="23/09/2019"/>
    <s v="21/07/2024"/>
    <n v="6"/>
    <n v="110000"/>
    <n v="2.2000000000000002"/>
    <n v="15"/>
    <x v="0"/>
  </r>
  <r>
    <s v="MFS-33371"/>
    <s v="Tobi Ogbonna"/>
    <x v="0"/>
    <x v="2"/>
    <x v="0"/>
    <s v="Senior"/>
    <x v="1"/>
    <s v="41-50"/>
    <x v="3"/>
    <s v="24/06/2021"/>
    <s v="21/07/2024"/>
    <n v="4"/>
    <n v="368000"/>
    <n v="4.2"/>
    <n v="11"/>
    <x v="1"/>
  </r>
  <r>
    <s v="MFS-36488"/>
    <s v="Chinwe Oyelaran"/>
    <x v="1"/>
    <x v="0"/>
    <x v="0"/>
    <s v="Mid-level"/>
    <x v="0"/>
    <s v="51-60"/>
    <x v="2"/>
    <s v="07/03/2023"/>
    <s v="05/05/2024"/>
    <n v="3"/>
    <n v="211000"/>
    <n v="4.5999999999999996"/>
    <n v="30"/>
    <x v="0"/>
  </r>
  <r>
    <s v="MFS-49713"/>
    <s v="Ramatu Adesanya"/>
    <x v="1"/>
    <x v="2"/>
    <x v="0"/>
    <s v="Senior"/>
    <x v="1"/>
    <s v="22-30"/>
    <x v="2"/>
    <s v="08/09/2022"/>
    <s v="05/05/2024"/>
    <n v="3"/>
    <n v="473000"/>
    <n v="3"/>
    <n v="9"/>
    <x v="0"/>
  </r>
  <r>
    <s v="MFS-91087"/>
    <s v="Rabiu Oyelaran"/>
    <x v="0"/>
    <x v="4"/>
    <x v="0"/>
    <s v="Manager"/>
    <x v="2"/>
    <s v="41-50"/>
    <x v="1"/>
    <s v="12/11/2019"/>
    <s v="05/05/2024"/>
    <n v="6"/>
    <n v="841000"/>
    <n v="4.7"/>
    <n v="6"/>
    <x v="0"/>
  </r>
  <r>
    <s v="MFS-34781"/>
    <s v="Yemi Ogundipe"/>
    <x v="1"/>
    <x v="3"/>
    <x v="1"/>
    <s v="Senior"/>
    <x v="3"/>
    <s v="22-30"/>
    <x v="2"/>
    <s v="22/10/2021"/>
    <s v="05/05/2024"/>
    <n v="4"/>
    <n v="407000"/>
    <n v="3.7"/>
    <n v="5"/>
    <x v="0"/>
  </r>
  <r>
    <s v="MFS-93005"/>
    <s v="Chioma Okonkwo"/>
    <x v="1"/>
    <x v="4"/>
    <x v="0"/>
    <s v="Mid-level"/>
    <x v="0"/>
    <s v="22-30"/>
    <x v="0"/>
    <s v="07/04/2022"/>
    <s v="05/05/2024"/>
    <n v="3"/>
    <n v="290000"/>
    <n v="4.0999999999999996"/>
    <n v="1"/>
    <x v="2"/>
  </r>
  <r>
    <s v="MFS-21123"/>
    <s v="Adeola Adesanya"/>
    <x v="1"/>
    <x v="4"/>
    <x v="1"/>
    <s v="Junior"/>
    <x v="0"/>
    <s v="22-30"/>
    <x v="0"/>
    <s v="26/10/2020"/>
    <s v="02/06/2023"/>
    <n v="5"/>
    <n v="177000"/>
    <n v="2.4"/>
    <n v="6"/>
    <x v="0"/>
  </r>
  <r>
    <s v="MFS-99928"/>
    <s v="Garba Ogundipe"/>
    <x v="0"/>
    <x v="0"/>
    <x v="0"/>
    <s v="Junior"/>
    <x v="0"/>
    <s v="31-40"/>
    <x v="0"/>
    <s v="30/08/2022"/>
    <s v="02/06/2023"/>
    <n v="3"/>
    <n v="134000"/>
    <n v="2.9"/>
    <n v="4"/>
    <x v="0"/>
  </r>
  <r>
    <s v="MFS-80356"/>
    <s v="Adeola Yakubu"/>
    <x v="0"/>
    <x v="2"/>
    <x v="0"/>
    <s v="Junior"/>
    <x v="2"/>
    <s v="22-30"/>
    <x v="0"/>
    <s v="17/12/2021"/>
    <s v="02/06/2023"/>
    <n v="4"/>
    <n v="107000"/>
    <n v="2.9"/>
    <n v="9"/>
    <x v="1"/>
  </r>
  <r>
    <s v="MFS-43491"/>
    <s v="Chinwe Haruna"/>
    <x v="1"/>
    <x v="3"/>
    <x v="0"/>
    <s v="Manager"/>
    <x v="1"/>
    <s v="41-50"/>
    <x v="2"/>
    <s v="19/12/2021"/>
    <s v="10/07/2022"/>
    <n v="4"/>
    <n v="946000"/>
    <n v="4.3"/>
    <n v="3"/>
    <x v="0"/>
  </r>
  <r>
    <s v="MFS-93953"/>
    <s v="Ronke Abdullahi"/>
    <x v="1"/>
    <x v="1"/>
    <x v="2"/>
    <s v="Director"/>
    <x v="2"/>
    <s v="41-50"/>
    <x v="0"/>
    <s v="23/05/2020"/>
    <s v="10/07/2022"/>
    <n v="5"/>
    <n v="1085000"/>
    <n v="3.3"/>
    <n v="3"/>
    <x v="0"/>
  </r>
  <r>
    <s v="MFS-51077"/>
    <s v="Ibrahim Nwachukwu"/>
    <x v="0"/>
    <x v="1"/>
    <x v="2"/>
    <s v="Junior"/>
    <x v="0"/>
    <s v="41-50"/>
    <x v="3"/>
    <s v="16/04/2020"/>
    <s v="10/07/2022"/>
    <n v="5"/>
    <n v="152000"/>
    <n v="2.5"/>
    <n v="14"/>
    <x v="1"/>
  </r>
  <r>
    <s v="MFS-33306"/>
    <s v="Shehu Amadi"/>
    <x v="0"/>
    <x v="3"/>
    <x v="0"/>
    <s v="Mid-level"/>
    <x v="0"/>
    <s v="31-40"/>
    <x v="0"/>
    <s v="12/10/2022"/>
    <s v="18/11/2024"/>
    <n v="3"/>
    <n v="307000"/>
    <n v="4.5"/>
    <n v="13"/>
    <x v="0"/>
  </r>
  <r>
    <s v="MFS-45602"/>
    <s v="Tunde Buhari"/>
    <x v="0"/>
    <x v="3"/>
    <x v="2"/>
    <s v="Mid-level"/>
    <x v="0"/>
    <s v="41-50"/>
    <x v="3"/>
    <s v="23/06/2023"/>
    <s v="18/11/2024"/>
    <n v="2"/>
    <n v="260000"/>
    <n v="4.3"/>
    <n v="12"/>
    <x v="1"/>
  </r>
  <r>
    <s v="MFS-91772"/>
    <s v="Yemi Okonkwo"/>
    <x v="1"/>
    <x v="4"/>
    <x v="0"/>
    <s v="Junior"/>
    <x v="0"/>
    <s v="31-40"/>
    <x v="2"/>
    <s v="24/04/2022"/>
    <s v="27/10/2022"/>
    <n v="3"/>
    <n v="153000"/>
    <n v="3.3"/>
    <n v="7"/>
    <x v="0"/>
  </r>
  <r>
    <s v="MFS-48169"/>
    <s v="Babatunde Oyelaran"/>
    <x v="0"/>
    <x v="4"/>
    <x v="1"/>
    <s v="Senior"/>
    <x v="2"/>
    <s v="51-60"/>
    <x v="2"/>
    <s v="15/01/2020"/>
    <s v="27/10/2022"/>
    <n v="6"/>
    <n v="487000"/>
    <n v="4.3"/>
    <n v="38"/>
    <x v="1"/>
  </r>
  <r>
    <s v="MFS-41446"/>
    <s v="Haruna Abdullahi"/>
    <x v="0"/>
    <x v="4"/>
    <x v="0"/>
    <s v="Senior"/>
    <x v="2"/>
    <s v="31-40"/>
    <x v="0"/>
    <s v="07/05/2023"/>
    <s v="10/03/2025"/>
    <n v="2"/>
    <n v="391000"/>
    <n v="3.2"/>
    <n v="3"/>
    <x v="0"/>
  </r>
  <r>
    <s v="MFS-94213"/>
    <s v="Rukayya Okeke"/>
    <x v="1"/>
    <x v="3"/>
    <x v="0"/>
    <s v="Senior"/>
    <x v="1"/>
    <s v="31-40"/>
    <x v="2"/>
    <s v="10/08/2021"/>
    <s v="10/03/2025"/>
    <n v="4"/>
    <n v="525000"/>
    <n v="3.4"/>
    <n v="34"/>
    <x v="0"/>
  </r>
  <r>
    <s v="MFS-52071"/>
    <s v="Ezinne Danladi"/>
    <x v="1"/>
    <x v="1"/>
    <x v="1"/>
    <s v="Senior"/>
    <x v="2"/>
    <s v="41-50"/>
    <x v="0"/>
    <s v="27/11/2023"/>
    <s v="10/03/2025"/>
    <n v="2"/>
    <n v="371000"/>
    <n v="4.7"/>
    <n v="6"/>
    <x v="0"/>
  </r>
  <r>
    <s v="MFS-29090"/>
    <s v="Uche Garba"/>
    <x v="0"/>
    <x v="2"/>
    <x v="1"/>
    <s v="Senior"/>
    <x v="0"/>
    <s v="41-50"/>
    <x v="3"/>
    <s v="06/08/2022"/>
    <s v="10/03/2025"/>
    <n v="3"/>
    <n v="412000"/>
    <n v="3.2"/>
    <n v="2"/>
    <x v="1"/>
  </r>
  <r>
    <s v="MFS-96335"/>
    <s v="Ramatu Nwosu"/>
    <x v="1"/>
    <x v="1"/>
    <x v="1"/>
    <s v="Senior"/>
    <x v="2"/>
    <s v="41-50"/>
    <x v="3"/>
    <s v="28/04/2021"/>
    <s v="06/05/2022"/>
    <n v="4"/>
    <n v="438000"/>
    <n v="2"/>
    <n v="10"/>
    <x v="0"/>
  </r>
  <r>
    <s v="MFS-47630"/>
    <s v="Fatima Nwachukwu"/>
    <x v="1"/>
    <x v="2"/>
    <x v="2"/>
    <s v="Senior"/>
    <x v="2"/>
    <s v="31-40"/>
    <x v="2"/>
    <s v="17/01/2023"/>
    <s v="06/05/2022"/>
    <n v="3"/>
    <n v="457000"/>
    <n v="4.2"/>
    <n v="2"/>
    <x v="0"/>
  </r>
  <r>
    <s v="MFS-95583"/>
    <s v="Yemi Okonkwo"/>
    <x v="1"/>
    <x v="1"/>
    <x v="1"/>
    <s v="Mid-level"/>
    <x v="3"/>
    <s v="41-50"/>
    <x v="0"/>
    <s v="12/08/2023"/>
    <s v="06/05/2022"/>
    <n v="2"/>
    <n v="194000"/>
    <n v="2.6"/>
    <n v="15"/>
    <x v="0"/>
  </r>
  <r>
    <s v="MFS-59434"/>
    <s v="Hadiza Nwachukwu"/>
    <x v="1"/>
    <x v="4"/>
    <x v="1"/>
    <s v="Senior"/>
    <x v="0"/>
    <s v="31-40"/>
    <x v="2"/>
    <s v="15/07/2019"/>
    <s v="06/05/2022"/>
    <n v="6"/>
    <n v="362000"/>
    <n v="4.4000000000000004"/>
    <n v="8"/>
    <x v="0"/>
  </r>
  <r>
    <s v="MFS-45077"/>
    <s v="Abubakar Aliyu"/>
    <x v="0"/>
    <x v="4"/>
    <x v="2"/>
    <s v="Senior"/>
    <x v="0"/>
    <s v="41-50"/>
    <x v="0"/>
    <s v="20/07/2020"/>
    <s v="06/05/2022"/>
    <n v="5"/>
    <n v="515000"/>
    <n v="3.7"/>
    <n v="2"/>
    <x v="1"/>
  </r>
  <r>
    <s v="MFS-31573"/>
    <s v="Bello Adesanya"/>
    <x v="0"/>
    <x v="2"/>
    <x v="0"/>
    <s v="Junior"/>
    <x v="0"/>
    <s v="22-30"/>
    <x v="0"/>
    <s v="06/11/2023"/>
    <s v="20/06/2024"/>
    <n v="2"/>
    <n v="171000"/>
    <n v="3.7"/>
    <n v="1"/>
    <x v="0"/>
  </r>
  <r>
    <s v="MFS-80152"/>
    <s v="Yakubu Onwudiwe"/>
    <x v="0"/>
    <x v="2"/>
    <x v="1"/>
    <s v="Manager"/>
    <x v="3"/>
    <s v="22-30"/>
    <x v="0"/>
    <s v="06/01/2020"/>
    <s v="20/06/2024"/>
    <n v="6"/>
    <n v="719000"/>
    <n v="3.5"/>
    <n v="4"/>
    <x v="0"/>
  </r>
  <r>
    <s v="MFS-88297"/>
    <s v="Oluwaseun Okeke"/>
    <x v="0"/>
    <x v="4"/>
    <x v="2"/>
    <s v="Manager"/>
    <x v="0"/>
    <s v="22-30"/>
    <x v="0"/>
    <s v="29/11/2022"/>
    <s v="20/06/2024"/>
    <n v="3"/>
    <n v="766000"/>
    <n v="4.5"/>
    <n v="29"/>
    <x v="0"/>
  </r>
  <r>
    <s v="MFS-62227"/>
    <s v="Bilkisu Okafor"/>
    <x v="1"/>
    <x v="0"/>
    <x v="0"/>
    <s v="Mid-level"/>
    <x v="1"/>
    <s v="22-30"/>
    <x v="0"/>
    <s v="03/09/2023"/>
    <s v="20/06/2024"/>
    <n v="2"/>
    <n v="385000"/>
    <n v="4.3"/>
    <n v="9"/>
    <x v="1"/>
  </r>
  <r>
    <s v="MFS-47144"/>
    <s v="Rotimi Obaseki"/>
    <x v="0"/>
    <x v="3"/>
    <x v="1"/>
    <s v="Manager"/>
    <x v="2"/>
    <s v="31-40"/>
    <x v="4"/>
    <s v="03/10/2023"/>
    <s v="03/02/2025"/>
    <n v="2"/>
    <n v="847000"/>
    <n v="4"/>
    <n v="7"/>
    <x v="0"/>
  </r>
  <r>
    <s v="MFS-16279"/>
    <s v="Ifeanyi Shehu"/>
    <x v="0"/>
    <x v="2"/>
    <x v="0"/>
    <s v="Mid-level"/>
    <x v="2"/>
    <s v="51-60"/>
    <x v="2"/>
    <s v="18/12/2020"/>
    <s v="03/02/2025"/>
    <n v="5"/>
    <n v="309000"/>
    <n v="2.8"/>
    <n v="9"/>
    <x v="0"/>
  </r>
  <r>
    <s v="MFS-18871"/>
    <s v="Adeola Shehu"/>
    <x v="0"/>
    <x v="1"/>
    <x v="0"/>
    <s v="Senior"/>
    <x v="3"/>
    <s v="31-40"/>
    <x v="3"/>
    <s v="28/12/2022"/>
    <s v="03/02/2025"/>
    <n v="3"/>
    <n v="350000"/>
    <n v="3.1"/>
    <n v="3"/>
    <x v="0"/>
  </r>
  <r>
    <s v="MFS-17105"/>
    <s v="Ezinne Eze"/>
    <x v="1"/>
    <x v="3"/>
    <x v="0"/>
    <s v="Senior"/>
    <x v="0"/>
    <s v="22-30"/>
    <x v="0"/>
    <s v="09/07/2022"/>
    <s v="03/02/2025"/>
    <n v="3"/>
    <n v="566000"/>
    <n v="4.8"/>
    <n v="1"/>
    <x v="0"/>
  </r>
  <r>
    <s v="MFS-39003"/>
    <s v="Rabiu Coker"/>
    <x v="0"/>
    <x v="4"/>
    <x v="0"/>
    <s v="Junior"/>
    <x v="1"/>
    <s v="31-40"/>
    <x v="0"/>
    <s v="20/02/2022"/>
    <s v="03/02/2025"/>
    <n v="4"/>
    <n v="103000"/>
    <n v="3.4"/>
    <n v="7"/>
    <x v="1"/>
  </r>
  <r>
    <s v="MFS-20988"/>
    <s v="Uloma Nwachukwu"/>
    <x v="1"/>
    <x v="2"/>
    <x v="2"/>
    <s v="Junior"/>
    <x v="3"/>
    <s v="31-40"/>
    <x v="2"/>
    <s v="02/05/2019"/>
    <s v="07/11/2022"/>
    <n v="6"/>
    <n v="115000"/>
    <n v="2.1"/>
    <n v="9"/>
    <x v="1"/>
  </r>
  <r>
    <s v="MFS-61480"/>
    <s v="Shehu Fagbemi"/>
    <x v="0"/>
    <x v="1"/>
    <x v="0"/>
    <s v="Mid-level"/>
    <x v="1"/>
    <s v="31-40"/>
    <x v="4"/>
    <s v="19/10/2023"/>
    <s v="28/07/2024"/>
    <n v="2"/>
    <n v="229000"/>
    <n v="3.3"/>
    <n v="3"/>
    <x v="1"/>
  </r>
  <r>
    <s v="MFS-18614"/>
    <s v="Gbenga Bello"/>
    <x v="0"/>
    <x v="1"/>
    <x v="0"/>
    <s v="Manager"/>
    <x v="0"/>
    <s v="41-50"/>
    <x v="0"/>
    <s v="14/05/2021"/>
    <s v="28/10/2023"/>
    <n v="4"/>
    <n v="646000"/>
    <n v="3.7"/>
    <n v="13"/>
    <x v="0"/>
  </r>
  <r>
    <s v="MFS-11971"/>
    <s v="Lanre Shehu"/>
    <x v="0"/>
    <x v="1"/>
    <x v="1"/>
    <s v="Mid-level"/>
    <x v="0"/>
    <s v="22-30"/>
    <x v="0"/>
    <s v="20/08/2022"/>
    <s v="28/10/2023"/>
    <n v="3"/>
    <n v="283000"/>
    <n v="2"/>
    <n v="6"/>
    <x v="1"/>
  </r>
  <r>
    <s v="MFS-31500"/>
    <s v="Rotimi Suleiman"/>
    <x v="0"/>
    <x v="2"/>
    <x v="1"/>
    <s v="Junior"/>
    <x v="0"/>
    <s v="31-40"/>
    <x v="0"/>
    <s v="16/01/2019"/>
    <s v="13/10/2022"/>
    <n v="7"/>
    <n v="173000"/>
    <n v="2.7"/>
    <n v="5"/>
    <x v="0"/>
  </r>
  <r>
    <s v="MFS-80182"/>
    <s v="Suleiman Nwosu"/>
    <x v="0"/>
    <x v="4"/>
    <x v="1"/>
    <s v="Mid-level"/>
    <x v="0"/>
    <s v="22-30"/>
    <x v="2"/>
    <s v="21/02/2022"/>
    <s v="13/10/2022"/>
    <n v="4"/>
    <n v="261000"/>
    <n v="4.7"/>
    <n v="11"/>
    <x v="1"/>
  </r>
  <r>
    <s v="MFS-65202"/>
    <s v="Chinyere Aliyu"/>
    <x v="1"/>
    <x v="4"/>
    <x v="1"/>
    <s v="Junior"/>
    <x v="1"/>
    <s v="41-50"/>
    <x v="2"/>
    <s v="24/09/2020"/>
    <s v="24/05/2022"/>
    <n v="5"/>
    <n v="164000"/>
    <n v="3"/>
    <n v="2"/>
    <x v="0"/>
  </r>
  <r>
    <s v="MFS-43472"/>
    <s v="Ifeoma Ogundipe"/>
    <x v="1"/>
    <x v="0"/>
    <x v="0"/>
    <s v="Mid-level"/>
    <x v="0"/>
    <s v="31-40"/>
    <x v="0"/>
    <s v="21/06/2019"/>
    <s v="24/05/2022"/>
    <n v="6"/>
    <n v="312000"/>
    <n v="3.9"/>
    <n v="8"/>
    <x v="0"/>
  </r>
  <r>
    <s v="MFS-92854"/>
    <s v="Emeka Lawal"/>
    <x v="0"/>
    <x v="4"/>
    <x v="0"/>
    <s v="Junior"/>
    <x v="0"/>
    <s v="31-40"/>
    <x v="1"/>
    <s v="18/04/2020"/>
    <s v="24/05/2022"/>
    <n v="5"/>
    <n v="127000"/>
    <n v="3.2"/>
    <n v="6"/>
    <x v="3"/>
  </r>
  <r>
    <s v="MFS-20388"/>
    <s v="Eze Lawal"/>
    <x v="0"/>
    <x v="2"/>
    <x v="0"/>
    <s v="Junior"/>
    <x v="0"/>
    <s v="41-50"/>
    <x v="1"/>
    <s v="08/12/2019"/>
    <s v="01/06/2024"/>
    <n v="6"/>
    <n v="134000"/>
    <n v="2.7"/>
    <n v="16"/>
    <x v="0"/>
  </r>
  <r>
    <s v="MFS-79977"/>
    <s v="Jummai Taiwo"/>
    <x v="1"/>
    <x v="1"/>
    <x v="2"/>
    <s v="Mid-level"/>
    <x v="0"/>
    <s v="22-30"/>
    <x v="0"/>
    <s v="23/03/2022"/>
    <s v="01/06/2024"/>
    <n v="3"/>
    <n v="189000"/>
    <n v="4.0999999999999996"/>
    <n v="2"/>
    <x v="1"/>
  </r>
  <r>
    <s v="MFS-78809"/>
    <s v="Chidi Nwosu"/>
    <x v="0"/>
    <x v="3"/>
    <x v="0"/>
    <s v="Mid-level"/>
    <x v="2"/>
    <s v="31-40"/>
    <x v="0"/>
    <s v="05/07/2020"/>
    <s v="17/04/2024"/>
    <n v="5"/>
    <n v="242000"/>
    <n v="4.8"/>
    <n v="3"/>
    <x v="0"/>
  </r>
  <r>
    <s v="MFS-57739"/>
    <s v="Musa Lawal"/>
    <x v="0"/>
    <x v="0"/>
    <x v="0"/>
    <s v="Manager"/>
    <x v="2"/>
    <s v="22-30"/>
    <x v="2"/>
    <s v="27/09/2022"/>
    <s v="17/04/2024"/>
    <n v="3"/>
    <n v="862000"/>
    <n v="3.6"/>
    <n v="28"/>
    <x v="1"/>
  </r>
  <r>
    <s v="MFS-34146"/>
    <s v="Kabiru Buhari"/>
    <x v="0"/>
    <x v="4"/>
    <x v="0"/>
    <s v="Mid-level"/>
    <x v="2"/>
    <s v="31-40"/>
    <x v="0"/>
    <s v="21/02/2021"/>
    <s v="21/06/2024"/>
    <n v="5"/>
    <n v="272000"/>
    <n v="4.5"/>
    <n v="8"/>
    <x v="1"/>
  </r>
  <r>
    <s v="MFS-88094"/>
    <s v="Nneka Ogbonna"/>
    <x v="1"/>
    <x v="0"/>
    <x v="2"/>
    <s v="Junior"/>
    <x v="1"/>
    <s v="51-60"/>
    <x v="0"/>
    <s v="16/12/2020"/>
    <s v="01/07/2023"/>
    <n v="5"/>
    <n v="198000"/>
    <n v="3.3"/>
    <n v="12"/>
    <x v="0"/>
  </r>
  <r>
    <s v="MFS-34534"/>
    <s v="Emeka Garba"/>
    <x v="0"/>
    <x v="4"/>
    <x v="2"/>
    <s v="Mid-level"/>
    <x v="2"/>
    <s v="31-40"/>
    <x v="3"/>
    <s v="21/10/2022"/>
    <s v="01/07/2023"/>
    <n v="3"/>
    <n v="248000"/>
    <n v="2.5"/>
    <n v="28"/>
    <x v="1"/>
  </r>
  <r>
    <s v="MFS-78853"/>
    <s v="Hafsat Aliyu"/>
    <x v="1"/>
    <x v="4"/>
    <x v="2"/>
    <s v="Mid-level"/>
    <x v="3"/>
    <s v="31-40"/>
    <x v="2"/>
    <s v="22/02/2020"/>
    <s v="10/04/2023"/>
    <n v="6"/>
    <n v="268000"/>
    <n v="4.3"/>
    <n v="0"/>
    <x v="0"/>
  </r>
  <r>
    <s v="MFS-12728"/>
    <s v="Titi Adesanya"/>
    <x v="1"/>
    <x v="0"/>
    <x v="1"/>
    <s v="Mid-level"/>
    <x v="0"/>
    <s v="31-40"/>
    <x v="2"/>
    <s v="19/03/2022"/>
    <s v="10/04/2023"/>
    <n v="3"/>
    <n v="340000"/>
    <n v="2.2999999999999998"/>
    <n v="7"/>
    <x v="0"/>
  </r>
  <r>
    <s v="MFS-12443"/>
    <s v="Danladi Afolabi"/>
    <x v="0"/>
    <x v="3"/>
    <x v="0"/>
    <s v="Mid-level"/>
    <x v="2"/>
    <s v="51-60"/>
    <x v="0"/>
    <s v="03/07/2020"/>
    <s v="10/04/2023"/>
    <n v="5"/>
    <n v="327000"/>
    <n v="2.9"/>
    <n v="25"/>
    <x v="1"/>
  </r>
  <r>
    <s v="MFS-95467"/>
    <s v="Titi Shehu"/>
    <x v="1"/>
    <x v="0"/>
    <x v="1"/>
    <s v="Manager"/>
    <x v="2"/>
    <s v="22-30"/>
    <x v="1"/>
    <s v="21/07/2023"/>
    <s v="04/10/2024"/>
    <n v="2"/>
    <n v="920000"/>
    <n v="4.8"/>
    <n v="7"/>
    <x v="0"/>
  </r>
  <r>
    <s v="MFS-46807"/>
    <s v="Ebuka Aliyu"/>
    <x v="0"/>
    <x v="4"/>
    <x v="0"/>
    <s v="Junior"/>
    <x v="0"/>
    <s v="31-40"/>
    <x v="0"/>
    <s v="22/12/2019"/>
    <s v="04/10/2024"/>
    <n v="6"/>
    <n v="88000"/>
    <n v="2.6"/>
    <n v="11"/>
    <x v="0"/>
  </r>
  <r>
    <s v="MFS-18701"/>
    <s v="Adeola Onwudiwe"/>
    <x v="1"/>
    <x v="3"/>
    <x v="0"/>
    <s v="Senior"/>
    <x v="3"/>
    <s v="31-40"/>
    <x v="0"/>
    <s v="27/01/2020"/>
    <s v="04/10/2024"/>
    <n v="6"/>
    <n v="571000"/>
    <n v="3"/>
    <n v="0"/>
    <x v="0"/>
  </r>
  <r>
    <s v="MFS-45039"/>
    <s v="Emeka Abdullahi"/>
    <x v="0"/>
    <x v="4"/>
    <x v="0"/>
    <s v="Mid-level"/>
    <x v="2"/>
    <s v="31-40"/>
    <x v="0"/>
    <s v="06/02/2020"/>
    <s v="04/10/2024"/>
    <n v="6"/>
    <n v="317000"/>
    <n v="2.7"/>
    <n v="12"/>
    <x v="0"/>
  </r>
  <r>
    <s v="MFS-58213"/>
    <s v="Bimpe Obi"/>
    <x v="1"/>
    <x v="3"/>
    <x v="1"/>
    <s v="Mid-level"/>
    <x v="1"/>
    <s v="31-40"/>
    <x v="0"/>
    <s v="29/06/2023"/>
    <s v="04/10/2024"/>
    <n v="2"/>
    <n v="283000"/>
    <n v="4.5999999999999996"/>
    <n v="30"/>
    <x v="2"/>
  </r>
  <r>
    <s v="MFS-16047"/>
    <s v="Lanre Obi"/>
    <x v="0"/>
    <x v="1"/>
    <x v="0"/>
    <s v="Senior"/>
    <x v="1"/>
    <s v="31-40"/>
    <x v="1"/>
    <s v="09/08/2020"/>
    <s v="17/11/2020"/>
    <n v="5"/>
    <n v="370000"/>
    <n v="3.3"/>
    <n v="19"/>
    <x v="0"/>
  </r>
  <r>
    <s v="MFS-71942"/>
    <s v="Kunle Yakubu"/>
    <x v="0"/>
    <x v="3"/>
    <x v="0"/>
    <s v="Manager"/>
    <x v="0"/>
    <s v="31-40"/>
    <x v="2"/>
    <s v="23/09/2020"/>
    <s v="17/11/2020"/>
    <n v="5"/>
    <n v="823000"/>
    <n v="3.2"/>
    <n v="1"/>
    <x v="0"/>
  </r>
  <r>
    <s v="MFS-24043"/>
    <s v="Femi Adebayo"/>
    <x v="0"/>
    <x v="3"/>
    <x v="0"/>
    <s v="Mid-level"/>
    <x v="3"/>
    <s v="22-30"/>
    <x v="1"/>
    <s v="05/08/2021"/>
    <s v="17/11/2020"/>
    <n v="4"/>
    <n v="312000"/>
    <n v="4.8"/>
    <n v="36"/>
    <x v="0"/>
  </r>
  <r>
    <s v="MFS-49921"/>
    <s v="Emeka Okafor"/>
    <x v="0"/>
    <x v="2"/>
    <x v="0"/>
    <s v="Senior"/>
    <x v="1"/>
    <s v="31-40"/>
    <x v="0"/>
    <s v="15/06/2022"/>
    <s v="17/11/2020"/>
    <n v="3"/>
    <n v="360000"/>
    <n v="4.9000000000000004"/>
    <n v="1"/>
    <x v="0"/>
  </r>
  <r>
    <s v="MFS-76059"/>
    <s v="Tobi Adeyemi"/>
    <x v="0"/>
    <x v="2"/>
    <x v="0"/>
    <s v="Junior"/>
    <x v="1"/>
    <s v="31-40"/>
    <x v="2"/>
    <s v="02/09/2019"/>
    <s v="17/11/2020"/>
    <n v="6"/>
    <n v="174000"/>
    <n v="4.9000000000000004"/>
    <n v="13"/>
    <x v="1"/>
  </r>
  <r>
    <s v="MFS-72801"/>
    <s v="Chukwuemeka Obaseki"/>
    <x v="0"/>
    <x v="2"/>
    <x v="0"/>
    <s v="Senior"/>
    <x v="1"/>
    <s v="41-50"/>
    <x v="3"/>
    <s v="25/06/2023"/>
    <s v="10/09/2021"/>
    <n v="2"/>
    <n v="416000"/>
    <n v="3.1"/>
    <n v="30"/>
    <x v="0"/>
  </r>
  <r>
    <s v="MFS-35799"/>
    <s v="Chibuike Adebayo"/>
    <x v="0"/>
    <x v="1"/>
    <x v="0"/>
    <s v="Junior"/>
    <x v="2"/>
    <s v="22-30"/>
    <x v="2"/>
    <s v="26/11/2023"/>
    <s v="10/09/2021"/>
    <n v="2"/>
    <n v="85000"/>
    <n v="4.8"/>
    <n v="1"/>
    <x v="0"/>
  </r>
  <r>
    <s v="MFS-28871"/>
    <s v="Shehu Lawal"/>
    <x v="0"/>
    <x v="3"/>
    <x v="0"/>
    <s v="Mid-level"/>
    <x v="1"/>
    <s v="41-50"/>
    <x v="2"/>
    <s v="29/05/2022"/>
    <s v="10/09/2021"/>
    <n v="3"/>
    <n v="333000"/>
    <n v="4.8"/>
    <n v="5"/>
    <x v="0"/>
  </r>
  <r>
    <s v="MFS-92148"/>
    <s v="Ebuka Nwachukwu"/>
    <x v="0"/>
    <x v="1"/>
    <x v="0"/>
    <s v="Junior"/>
    <x v="0"/>
    <s v="41-50"/>
    <x v="3"/>
    <s v="30/12/2023"/>
    <s v="10/09/2021"/>
    <n v="2"/>
    <n v="129000"/>
    <n v="2.8"/>
    <n v="1"/>
    <x v="0"/>
  </r>
  <r>
    <s v="MFS-22808"/>
    <s v="Nasiru Aliyu"/>
    <x v="0"/>
    <x v="2"/>
    <x v="1"/>
    <s v="Senior"/>
    <x v="2"/>
    <s v="31-40"/>
    <x v="0"/>
    <s v="04/08/2022"/>
    <s v="10/09/2021"/>
    <n v="3"/>
    <n v="515000"/>
    <n v="2.6"/>
    <n v="11"/>
    <x v="0"/>
  </r>
  <r>
    <s v="MFS-86833"/>
    <s v="Shade Fagbemi"/>
    <x v="1"/>
    <x v="2"/>
    <x v="0"/>
    <s v="Junior"/>
    <x v="1"/>
    <s v="22-30"/>
    <x v="1"/>
    <s v="28/06/2022"/>
    <s v="10/09/2021"/>
    <n v="3"/>
    <n v="131000"/>
    <n v="2.7"/>
    <n v="13"/>
    <x v="0"/>
  </r>
  <r>
    <s v="MFS-23465"/>
    <s v="Rabiu Uba"/>
    <x v="0"/>
    <x v="0"/>
    <x v="2"/>
    <s v="Senior"/>
    <x v="1"/>
    <s v="22-30"/>
    <x v="1"/>
    <s v="08/08/2022"/>
    <s v="10/09/2021"/>
    <n v="3"/>
    <n v="660000"/>
    <n v="4.0999999999999996"/>
    <n v="6"/>
    <x v="0"/>
  </r>
  <r>
    <s v="MFS-88365"/>
    <s v="Ikenna Yakubu"/>
    <x v="0"/>
    <x v="4"/>
    <x v="0"/>
    <s v="Junior"/>
    <x v="2"/>
    <s v="41-50"/>
    <x v="0"/>
    <s v="02/03/2020"/>
    <s v="10/09/2021"/>
    <n v="6"/>
    <n v="120000"/>
    <n v="3.1"/>
    <n v="2"/>
    <x v="2"/>
  </r>
  <r>
    <s v="MFS-50412"/>
    <s v="Lanre Okafor"/>
    <x v="0"/>
    <x v="3"/>
    <x v="0"/>
    <s v="Junior"/>
    <x v="0"/>
    <s v="22-30"/>
    <x v="2"/>
    <s v="02/02/2019"/>
    <s v="05/02/2023"/>
    <n v="7"/>
    <n v="125000"/>
    <n v="5"/>
    <n v="3"/>
    <x v="0"/>
  </r>
  <r>
    <s v="MFS-29920"/>
    <s v="Lanre Nwosu"/>
    <x v="0"/>
    <x v="3"/>
    <x v="0"/>
    <s v="Senior"/>
    <x v="0"/>
    <s v="31-40"/>
    <x v="2"/>
    <s v="21/05/2021"/>
    <s v="05/02/2023"/>
    <n v="4"/>
    <n v="357000"/>
    <n v="2.9"/>
    <n v="11"/>
    <x v="1"/>
  </r>
  <r>
    <s v="MFS-87022"/>
    <s v="Adeola Adebayo"/>
    <x v="0"/>
    <x v="4"/>
    <x v="2"/>
    <s v="Mid-level"/>
    <x v="1"/>
    <s v="41-50"/>
    <x v="0"/>
    <s v="14/08/2023"/>
    <s v="22/07/2024"/>
    <n v="2"/>
    <n v="274000"/>
    <n v="4"/>
    <n v="13"/>
    <x v="1"/>
  </r>
  <r>
    <s v="MFS-15371"/>
    <s v="Nkechi Okeke"/>
    <x v="1"/>
    <x v="1"/>
    <x v="0"/>
    <s v="Senior"/>
    <x v="0"/>
    <s v="22-30"/>
    <x v="0"/>
    <s v="25/08/2023"/>
    <s v="21/09/2024"/>
    <n v="2"/>
    <n v="406000"/>
    <n v="2.7"/>
    <n v="0"/>
    <x v="2"/>
  </r>
  <r>
    <s v="MFS-73452"/>
    <s v="Kemi Obi"/>
    <x v="1"/>
    <x v="2"/>
    <x v="1"/>
    <s v="Director"/>
    <x v="1"/>
    <s v="41-50"/>
    <x v="0"/>
    <s v="02/07/2019"/>
    <s v="28/12/2024"/>
    <n v="6"/>
    <n v="1272000"/>
    <n v="4.2"/>
    <n v="8"/>
    <x v="0"/>
  </r>
  <r>
    <s v="MFS-80471"/>
    <s v="Chinwe Okafor"/>
    <x v="1"/>
    <x v="2"/>
    <x v="0"/>
    <s v="Junior"/>
    <x v="0"/>
    <s v="41-50"/>
    <x v="0"/>
    <s v="23/07/2022"/>
    <s v="28/12/2024"/>
    <n v="3"/>
    <n v="158000"/>
    <n v="3.9"/>
    <n v="4"/>
    <x v="0"/>
  </r>
  <r>
    <s v="MFS-69346"/>
    <s v="Hadiza Adeyemi"/>
    <x v="1"/>
    <x v="3"/>
    <x v="2"/>
    <s v="Mid-level"/>
    <x v="2"/>
    <s v="22-30"/>
    <x v="0"/>
    <s v="20/03/2021"/>
    <s v="28/12/2024"/>
    <n v="4"/>
    <n v="300000"/>
    <n v="3.1"/>
    <n v="14"/>
    <x v="0"/>
  </r>
  <r>
    <s v="MFS-42794"/>
    <s v="Chinyere Adesanya"/>
    <x v="1"/>
    <x v="2"/>
    <x v="0"/>
    <s v="Director"/>
    <x v="2"/>
    <s v="22-30"/>
    <x v="1"/>
    <s v="14/02/2021"/>
    <s v="28/12/2024"/>
    <n v="5"/>
    <n v="1670000"/>
    <n v="3.3"/>
    <n v="0"/>
    <x v="0"/>
  </r>
  <r>
    <s v="MFS-14362"/>
    <s v="Uche Suleiman"/>
    <x v="0"/>
    <x v="3"/>
    <x v="0"/>
    <s v="Senior"/>
    <x v="2"/>
    <s v="31-40"/>
    <x v="0"/>
    <s v="20/11/2019"/>
    <s v="28/12/2024"/>
    <n v="6"/>
    <n v="560000"/>
    <n v="3"/>
    <n v="8"/>
    <x v="0"/>
  </r>
  <r>
    <s v="MFS-36033"/>
    <s v="Oluwaseun Amadi"/>
    <x v="0"/>
    <x v="4"/>
    <x v="0"/>
    <s v="Mid-level"/>
    <x v="0"/>
    <s v="31-40"/>
    <x v="4"/>
    <s v="17/10/2023"/>
    <s v="28/12/2024"/>
    <n v="2"/>
    <n v="186000"/>
    <n v="1.7"/>
    <n v="39"/>
    <x v="1"/>
  </r>
  <r>
    <s v="MFS-81604"/>
    <s v="Bello Uba"/>
    <x v="0"/>
    <x v="4"/>
    <x v="0"/>
    <s v="Mid-level"/>
    <x v="0"/>
    <s v="41-50"/>
    <x v="2"/>
    <s v="24/02/2019"/>
    <s v="22/03/2022"/>
    <n v="7"/>
    <n v="247000"/>
    <n v="1.8"/>
    <n v="8"/>
    <x v="1"/>
  </r>
  <r>
    <s v="MFS-25144"/>
    <s v="Funmilayo Danladi"/>
    <x v="1"/>
    <x v="0"/>
    <x v="2"/>
    <s v="Junior"/>
    <x v="3"/>
    <s v="51-60"/>
    <x v="0"/>
    <s v="18/05/2022"/>
    <s v="29/07/2023"/>
    <n v="3"/>
    <n v="152000"/>
    <n v="3"/>
    <n v="11"/>
    <x v="1"/>
  </r>
  <r>
    <s v="MFS-84051"/>
    <s v="Nnamdi Lawal"/>
    <x v="0"/>
    <x v="1"/>
    <x v="1"/>
    <s v="Senior"/>
    <x v="3"/>
    <s v="22-30"/>
    <x v="2"/>
    <s v="01/12/2020"/>
    <s v="22/11/2024"/>
    <n v="5"/>
    <n v="417000"/>
    <n v="3.5"/>
    <n v="7"/>
    <x v="0"/>
  </r>
  <r>
    <s v="MFS-67012"/>
    <s v="Kemi Nnamdi"/>
    <x v="1"/>
    <x v="2"/>
    <x v="1"/>
    <s v="Junior"/>
    <x v="2"/>
    <s v="31-40"/>
    <x v="0"/>
    <s v="12/04/2023"/>
    <s v="22/11/2024"/>
    <n v="2"/>
    <n v="174000"/>
    <n v="4.8"/>
    <n v="28"/>
    <x v="1"/>
  </r>
  <r>
    <s v="MFS-80624"/>
    <s v="Rabiu Suleiman"/>
    <x v="0"/>
    <x v="4"/>
    <x v="0"/>
    <s v="Junior"/>
    <x v="0"/>
    <s v="22-30"/>
    <x v="2"/>
    <s v="07/11/2023"/>
    <s v="30/11/2024"/>
    <n v="2"/>
    <n v="160000"/>
    <n v="3.4"/>
    <n v="40"/>
    <x v="1"/>
  </r>
  <r>
    <s v="MFS-12013"/>
    <s v="Hafsat Okafor"/>
    <x v="1"/>
    <x v="4"/>
    <x v="2"/>
    <s v="Junior"/>
    <x v="2"/>
    <s v="22-30"/>
    <x v="1"/>
    <s v="07/02/2019"/>
    <s v="29/05/2021"/>
    <n v="7"/>
    <n v="109000"/>
    <n v="1.5"/>
    <n v="22"/>
    <x v="1"/>
  </r>
  <r>
    <s v="MFS-24436"/>
    <s v="Chinedu Shehu"/>
    <x v="0"/>
    <x v="4"/>
    <x v="0"/>
    <s v="Mid-level"/>
    <x v="0"/>
    <s v="22-30"/>
    <x v="1"/>
    <s v="03/01/2023"/>
    <s v="03/11/2023"/>
    <n v="3"/>
    <n v="265000"/>
    <n v="2.1"/>
    <n v="11"/>
    <x v="0"/>
  </r>
  <r>
    <s v="MFS-81717"/>
    <s v="Dele Taiwo"/>
    <x v="0"/>
    <x v="1"/>
    <x v="0"/>
    <s v="Junior"/>
    <x v="0"/>
    <s v="41-50"/>
    <x v="2"/>
    <s v="16/02/2023"/>
    <s v="03/11/2023"/>
    <n v="3"/>
    <n v="140000"/>
    <n v="4.5"/>
    <n v="12"/>
    <x v="1"/>
  </r>
  <r>
    <s v="MFS-24520"/>
    <s v="Chidi Oyelaran"/>
    <x v="0"/>
    <x v="4"/>
    <x v="0"/>
    <s v="Junior"/>
    <x v="1"/>
    <s v="31-40"/>
    <x v="0"/>
    <s v="20/09/2021"/>
    <s v="10/10/2023"/>
    <n v="4"/>
    <n v="171000"/>
    <n v="2.8"/>
    <n v="9"/>
    <x v="2"/>
  </r>
  <r>
    <s v="MFS-13898"/>
    <s v="Rabiu Okonkwo"/>
    <x v="0"/>
    <x v="4"/>
    <x v="1"/>
    <s v="Senior"/>
    <x v="0"/>
    <s v="22-30"/>
    <x v="2"/>
    <s v="29/08/2021"/>
    <s v="08/08/2022"/>
    <n v="4"/>
    <n v="398000"/>
    <n v="4.4000000000000004"/>
    <n v="12"/>
    <x v="1"/>
  </r>
  <r>
    <s v="MFS-51879"/>
    <s v="Obinna Adewale"/>
    <x v="0"/>
    <x v="0"/>
    <x v="1"/>
    <s v="Junior"/>
    <x v="2"/>
    <s v="41-50"/>
    <x v="0"/>
    <s v="26/05/2020"/>
    <s v="04/01/2025"/>
    <n v="5"/>
    <n v="174000"/>
    <n v="4.4000000000000004"/>
    <n v="0"/>
    <x v="0"/>
  </r>
  <r>
    <s v="MFS-51687"/>
    <s v="Chibuike Danladi"/>
    <x v="0"/>
    <x v="0"/>
    <x v="0"/>
    <s v="Manager"/>
    <x v="0"/>
    <s v="31-40"/>
    <x v="0"/>
    <s v="04/02/2022"/>
    <s v="04/01/2025"/>
    <n v="4"/>
    <n v="1024000"/>
    <n v="3.6"/>
    <n v="13"/>
    <x v="0"/>
  </r>
  <r>
    <s v="MFS-77920"/>
    <s v="Nneka Omotayo"/>
    <x v="1"/>
    <x v="2"/>
    <x v="1"/>
    <s v="Senior"/>
    <x v="2"/>
    <s v="51-60"/>
    <x v="0"/>
    <s v="06/06/2019"/>
    <s v="04/01/2025"/>
    <n v="6"/>
    <n v="488000"/>
    <n v="4.5"/>
    <n v="5"/>
    <x v="1"/>
  </r>
  <r>
    <s v="MFS-21157"/>
    <s v="Wale Garba"/>
    <x v="0"/>
    <x v="1"/>
    <x v="0"/>
    <s v="Manager"/>
    <x v="0"/>
    <s v="31-40"/>
    <x v="0"/>
    <s v="28/03/2020"/>
    <s v="10/12/2024"/>
    <n v="5"/>
    <n v="714000"/>
    <n v="3.2"/>
    <n v="9"/>
    <x v="1"/>
  </r>
  <r>
    <s v="MFS-94024"/>
    <s v="Adeola Aliyu"/>
    <x v="0"/>
    <x v="2"/>
    <x v="0"/>
    <s v="Director"/>
    <x v="0"/>
    <s v="22-30"/>
    <x v="0"/>
    <s v="20/03/2020"/>
    <s v="27/03/2023"/>
    <n v="5"/>
    <n v="987000"/>
    <n v="3.5"/>
    <n v="14"/>
    <x v="1"/>
  </r>
  <r>
    <s v="MFS-64263"/>
    <s v="Biodun Nwachukwu"/>
    <x v="0"/>
    <x v="3"/>
    <x v="0"/>
    <s v="Mid-level"/>
    <x v="2"/>
    <s v="22-30"/>
    <x v="2"/>
    <s v="03/10/2019"/>
    <s v="25/03/2024"/>
    <n v="6"/>
    <n v="313000"/>
    <n v="4.5"/>
    <n v="13"/>
    <x v="1"/>
  </r>
  <r>
    <s v="MFS-46017"/>
    <s v="Adeola Nwosu"/>
    <x v="0"/>
    <x v="0"/>
    <x v="0"/>
    <s v="Senior"/>
    <x v="2"/>
    <s v="22-30"/>
    <x v="0"/>
    <s v="13/08/2022"/>
    <s v="20/04/2024"/>
    <n v="3"/>
    <n v="496000"/>
    <n v="4.4000000000000004"/>
    <n v="10"/>
    <x v="1"/>
  </r>
  <r>
    <s v="MFS-29365"/>
    <s v="Ogechi Adebayo"/>
    <x v="1"/>
    <x v="0"/>
    <x v="0"/>
    <s v="Director"/>
    <x v="2"/>
    <s v="22-30"/>
    <x v="2"/>
    <s v="21/03/2020"/>
    <s v="27/05/2023"/>
    <n v="5"/>
    <n v="1959000"/>
    <n v="4.5999999999999996"/>
    <n v="5"/>
    <x v="0"/>
  </r>
  <r>
    <s v="MFS-51210"/>
    <s v="Obinna Ihejirika"/>
    <x v="0"/>
    <x v="2"/>
    <x v="1"/>
    <s v="Manager"/>
    <x v="2"/>
    <s v="22-30"/>
    <x v="3"/>
    <s v="29/03/2021"/>
    <s v="27/05/2023"/>
    <n v="4"/>
    <n v="835000"/>
    <n v="4.2"/>
    <n v="13"/>
    <x v="0"/>
  </r>
  <r>
    <s v="MFS-16213"/>
    <s v="Ugochi Amadi"/>
    <x v="1"/>
    <x v="2"/>
    <x v="0"/>
    <s v="Junior"/>
    <x v="2"/>
    <s v="22-30"/>
    <x v="0"/>
    <s v="25/02/2019"/>
    <s v="27/05/2023"/>
    <n v="7"/>
    <n v="139000"/>
    <n v="4"/>
    <n v="8"/>
    <x v="1"/>
  </r>
  <r>
    <s v="MFS-46527"/>
    <s v="Tunde Ihejirika"/>
    <x v="0"/>
    <x v="3"/>
    <x v="1"/>
    <s v="Manager"/>
    <x v="2"/>
    <s v="22-30"/>
    <x v="2"/>
    <s v="17/12/2022"/>
    <s v="22/07/2024"/>
    <n v="3"/>
    <n v="677000"/>
    <n v="3.9"/>
    <n v="3"/>
    <x v="1"/>
  </r>
  <r>
    <s v="MFS-44641"/>
    <s v="Chinyere Nwosu"/>
    <x v="1"/>
    <x v="1"/>
    <x v="0"/>
    <s v="Mid-level"/>
    <x v="1"/>
    <s v="31-40"/>
    <x v="2"/>
    <s v="07/09/2020"/>
    <s v="13/03/2024"/>
    <n v="5"/>
    <n v="321000"/>
    <n v="3"/>
    <n v="10"/>
    <x v="1"/>
  </r>
  <r>
    <s v="MFS-26023"/>
    <s v="Titi Musa"/>
    <x v="1"/>
    <x v="1"/>
    <x v="0"/>
    <s v="Manager"/>
    <x v="3"/>
    <s v="31-40"/>
    <x v="0"/>
    <s v="21/08/2019"/>
    <s v="26/01/2025"/>
    <n v="6"/>
    <n v="600000"/>
    <n v="3.4"/>
    <n v="1"/>
    <x v="0"/>
  </r>
  <r>
    <s v="MFS-93385"/>
    <s v="Funmilayo Chukwu"/>
    <x v="1"/>
    <x v="1"/>
    <x v="0"/>
    <s v="Senior"/>
    <x v="0"/>
    <s v="41-50"/>
    <x v="0"/>
    <s v="30/07/2023"/>
    <s v="26/01/2025"/>
    <n v="2"/>
    <n v="407000"/>
    <n v="4.3"/>
    <n v="6"/>
    <x v="0"/>
  </r>
  <r>
    <s v="MFS-75799"/>
    <s v="Chibuike Afolabi"/>
    <x v="0"/>
    <x v="2"/>
    <x v="0"/>
    <s v="Junior"/>
    <x v="0"/>
    <s v="22-30"/>
    <x v="2"/>
    <s v="09/10/2019"/>
    <s v="26/01/2025"/>
    <n v="6"/>
    <n v="89000"/>
    <n v="4.8"/>
    <n v="13"/>
    <x v="0"/>
  </r>
  <r>
    <s v="MFS-69868"/>
    <s v="Ugochi Nwosu"/>
    <x v="1"/>
    <x v="4"/>
    <x v="0"/>
    <s v="Junior"/>
    <x v="2"/>
    <s v="31-40"/>
    <x v="1"/>
    <s v="05/12/2022"/>
    <s v="26/01/2025"/>
    <n v="3"/>
    <n v="100000"/>
    <n v="2.5"/>
    <n v="8"/>
    <x v="0"/>
  </r>
  <r>
    <s v="MFS-52341"/>
    <s v="Seun Adeyemi"/>
    <x v="0"/>
    <x v="0"/>
    <x v="0"/>
    <s v="Junior"/>
    <x v="0"/>
    <s v="41-50"/>
    <x v="0"/>
    <s v="15/09/2019"/>
    <s v="26/01/2025"/>
    <n v="6"/>
    <n v="171000"/>
    <n v="4.8"/>
    <n v="30"/>
    <x v="0"/>
  </r>
  <r>
    <s v="MFS-30906"/>
    <s v="Nasiru Oyelaran"/>
    <x v="0"/>
    <x v="0"/>
    <x v="0"/>
    <s v="Mid-level"/>
    <x v="0"/>
    <s v="31-40"/>
    <x v="0"/>
    <s v="27/04/2023"/>
    <s v="26/01/2025"/>
    <n v="2"/>
    <n v="266000"/>
    <n v="2.4"/>
    <n v="12"/>
    <x v="0"/>
  </r>
  <r>
    <s v="MFS-30587"/>
    <s v="Adebayo Abdullahi"/>
    <x v="0"/>
    <x v="2"/>
    <x v="0"/>
    <s v="Senior"/>
    <x v="0"/>
    <s v="31-40"/>
    <x v="0"/>
    <s v="25/08/2021"/>
    <s v="26/01/2025"/>
    <n v="4"/>
    <n v="381000"/>
    <n v="2"/>
    <n v="17"/>
    <x v="1"/>
  </r>
  <r>
    <s v="MFS-97257"/>
    <s v="Yakubu Eze"/>
    <x v="0"/>
    <x v="4"/>
    <x v="0"/>
    <s v="Junior"/>
    <x v="1"/>
    <s v="22-30"/>
    <x v="2"/>
    <s v="03/10/2019"/>
    <s v="14/07/2022"/>
    <n v="6"/>
    <n v="142000"/>
    <n v="3.1"/>
    <n v="11"/>
    <x v="0"/>
  </r>
  <r>
    <s v="MFS-12116"/>
    <s v="Emeka Taiwo"/>
    <x v="0"/>
    <x v="0"/>
    <x v="0"/>
    <s v="Mid-level"/>
    <x v="2"/>
    <s v="22-30"/>
    <x v="0"/>
    <s v="25/02/2019"/>
    <s v="14/07/2022"/>
    <n v="7"/>
    <n v="323000"/>
    <n v="4.3"/>
    <n v="7"/>
    <x v="0"/>
  </r>
  <r>
    <s v="MFS-20749"/>
    <s v="Adeola Chukwu"/>
    <x v="0"/>
    <x v="4"/>
    <x v="1"/>
    <s v="Manager"/>
    <x v="0"/>
    <s v="41-50"/>
    <x v="0"/>
    <s v="20/02/2023"/>
    <s v="14/07/2022"/>
    <n v="3"/>
    <n v="935000"/>
    <n v="4.7"/>
    <n v="6"/>
    <x v="0"/>
  </r>
  <r>
    <s v="MFS-90240"/>
    <s v="Oghenekaro Afolabi"/>
    <x v="0"/>
    <x v="3"/>
    <x v="0"/>
    <s v="Junior"/>
    <x v="2"/>
    <s v="51-60"/>
    <x v="2"/>
    <s v="05/04/2019"/>
    <s v="14/07/2022"/>
    <n v="6"/>
    <n v="124000"/>
    <n v="3.2"/>
    <n v="13"/>
    <x v="1"/>
  </r>
  <r>
    <s v="MFS-33570"/>
    <s v="Bimpe Abdullahi"/>
    <x v="1"/>
    <x v="2"/>
    <x v="0"/>
    <s v="Junior"/>
    <x v="0"/>
    <s v="31-40"/>
    <x v="3"/>
    <s v="30/12/2023"/>
    <s v="19/11/2024"/>
    <n v="2"/>
    <n v="132000"/>
    <n v="4.5"/>
    <n v="2"/>
    <x v="0"/>
  </r>
  <r>
    <s v="MFS-69591"/>
    <s v="Adaeze Okafor"/>
    <x v="1"/>
    <x v="4"/>
    <x v="0"/>
    <s v="Mid-level"/>
    <x v="3"/>
    <s v="31-40"/>
    <x v="1"/>
    <s v="19/01/2022"/>
    <s v="19/11/2024"/>
    <n v="4"/>
    <n v="277000"/>
    <n v="3.1"/>
    <n v="9"/>
    <x v="1"/>
  </r>
  <r>
    <s v="MFS-84852"/>
    <s v="Bimpe Adebayo"/>
    <x v="1"/>
    <x v="3"/>
    <x v="2"/>
    <s v="Senior"/>
    <x v="0"/>
    <s v="22-30"/>
    <x v="3"/>
    <s v="09/05/2019"/>
    <s v="21/01/2024"/>
    <n v="6"/>
    <n v="530000"/>
    <n v="3.5"/>
    <n v="0"/>
    <x v="0"/>
  </r>
  <r>
    <s v="MFS-29089"/>
    <s v="Tunde Okonkwo"/>
    <x v="0"/>
    <x v="3"/>
    <x v="0"/>
    <s v="Junior"/>
    <x v="0"/>
    <s v="41-50"/>
    <x v="2"/>
    <s v="25/02/2019"/>
    <s v="21/01/2024"/>
    <n v="7"/>
    <n v="94000"/>
    <n v="2.4"/>
    <n v="9"/>
    <x v="0"/>
  </r>
  <r>
    <s v="MFS-53376"/>
    <s v="Adaeze Adebayo"/>
    <x v="1"/>
    <x v="3"/>
    <x v="2"/>
    <s v="Mid-level"/>
    <x v="2"/>
    <s v="41-50"/>
    <x v="0"/>
    <s v="12/06/2021"/>
    <s v="21/01/2024"/>
    <n v="4"/>
    <n v="252000"/>
    <n v="2.6"/>
    <n v="12"/>
    <x v="0"/>
  </r>
  <r>
    <s v="MFS-59760"/>
    <s v="Adeola Obaseki"/>
    <x v="1"/>
    <x v="3"/>
    <x v="1"/>
    <s v="Manager"/>
    <x v="2"/>
    <s v="41-50"/>
    <x v="2"/>
    <s v="18/11/2023"/>
    <s v="21/01/2024"/>
    <n v="2"/>
    <n v="811000"/>
    <n v="4"/>
    <n v="9"/>
    <x v="0"/>
  </r>
  <r>
    <s v="MFS-13661"/>
    <s v="Fatima Aliyu"/>
    <x v="1"/>
    <x v="4"/>
    <x v="1"/>
    <s v="Mid-level"/>
    <x v="3"/>
    <s v="31-40"/>
    <x v="1"/>
    <s v="08/09/2020"/>
    <s v="21/01/2024"/>
    <n v="5"/>
    <n v="242000"/>
    <n v="2.4"/>
    <n v="10"/>
    <x v="3"/>
  </r>
  <r>
    <s v="MFS-27968"/>
    <s v="Adeola Okafor"/>
    <x v="0"/>
    <x v="4"/>
    <x v="1"/>
    <s v="Manager"/>
    <x v="0"/>
    <s v="41-50"/>
    <x v="0"/>
    <s v="03/11/2019"/>
    <s v="23/10/2023"/>
    <n v="6"/>
    <n v="708000"/>
    <n v="4.9000000000000004"/>
    <n v="12"/>
    <x v="1"/>
  </r>
  <r>
    <s v="MFS-93545"/>
    <s v="Oluwaseun Obi"/>
    <x v="0"/>
    <x v="1"/>
    <x v="0"/>
    <s v="Junior"/>
    <x v="0"/>
    <s v="51-60"/>
    <x v="0"/>
    <s v="28/03/2023"/>
    <s v="23/09/2024"/>
    <n v="2"/>
    <n v="105000"/>
    <n v="4.2"/>
    <n v="2"/>
    <x v="0"/>
  </r>
  <r>
    <s v="MFS-11469"/>
    <s v="Laraba Bello"/>
    <x v="1"/>
    <x v="4"/>
    <x v="0"/>
    <s v="Junior"/>
    <x v="0"/>
    <s v="41-50"/>
    <x v="1"/>
    <s v="10/09/2023"/>
    <s v="23/09/2024"/>
    <n v="2"/>
    <n v="145000"/>
    <n v="2.5"/>
    <n v="10"/>
    <x v="2"/>
  </r>
  <r>
    <s v="MFS-96162"/>
    <s v="Ikenna Obi"/>
    <x v="0"/>
    <x v="2"/>
    <x v="0"/>
    <s v="Director"/>
    <x v="1"/>
    <s v="22-30"/>
    <x v="0"/>
    <s v="25/06/2022"/>
    <s v="24/12/2023"/>
    <n v="3"/>
    <n v="1516000"/>
    <n v="4.4000000000000004"/>
    <n v="7"/>
    <x v="0"/>
  </r>
  <r>
    <s v="MFS-24417"/>
    <s v="Uche Aliyu"/>
    <x v="0"/>
    <x v="3"/>
    <x v="1"/>
    <s v="Mid-level"/>
    <x v="2"/>
    <s v="41-50"/>
    <x v="0"/>
    <s v="14/01/2021"/>
    <s v="24/12/2023"/>
    <n v="5"/>
    <n v="250000"/>
    <n v="4.5999999999999996"/>
    <n v="16"/>
    <x v="0"/>
  </r>
  <r>
    <s v="MFS-69863"/>
    <s v="Ramatu Taiwo"/>
    <x v="1"/>
    <x v="0"/>
    <x v="0"/>
    <s v="Mid-level"/>
    <x v="2"/>
    <s v="22-30"/>
    <x v="0"/>
    <s v="24/05/2023"/>
    <s v="24/12/2023"/>
    <n v="2"/>
    <n v="301000"/>
    <n v="2.5"/>
    <n v="0"/>
    <x v="1"/>
  </r>
  <r>
    <s v="MFS-41534"/>
    <s v="Aisha Oyelaran"/>
    <x v="1"/>
    <x v="0"/>
    <x v="2"/>
    <s v="Mid-level"/>
    <x v="1"/>
    <s v="22-30"/>
    <x v="1"/>
    <s v="25/06/2021"/>
    <s v="10/06/2022"/>
    <n v="4"/>
    <n v="244000"/>
    <n v="2.8"/>
    <n v="6"/>
    <x v="2"/>
  </r>
  <r>
    <s v="MFS-85803"/>
    <s v="Rotimi Yakubu"/>
    <x v="0"/>
    <x v="4"/>
    <x v="0"/>
    <s v="Senior"/>
    <x v="0"/>
    <s v="31-40"/>
    <x v="0"/>
    <s v="24/04/2022"/>
    <s v="06/06/2024"/>
    <n v="3"/>
    <n v="398000"/>
    <n v="2.8"/>
    <n v="20"/>
    <x v="1"/>
  </r>
  <r>
    <s v="MFS-37194"/>
    <s v="Uloma Uba"/>
    <x v="1"/>
    <x v="2"/>
    <x v="0"/>
    <s v="Mid-level"/>
    <x v="2"/>
    <s v="22-30"/>
    <x v="3"/>
    <s v="25/11/2023"/>
    <s v="03/04/2024"/>
    <n v="2"/>
    <n v="192000"/>
    <n v="2.2000000000000002"/>
    <n v="4"/>
    <x v="0"/>
  </r>
  <r>
    <s v="MFS-54683"/>
    <s v="Hadiza Lawal"/>
    <x v="1"/>
    <x v="4"/>
    <x v="0"/>
    <s v="Junior"/>
    <x v="1"/>
    <s v="41-50"/>
    <x v="0"/>
    <s v="03/07/2023"/>
    <s v="03/04/2024"/>
    <n v="2"/>
    <n v="130000"/>
    <n v="3.2"/>
    <n v="16"/>
    <x v="0"/>
  </r>
  <r>
    <s v="MFS-75681"/>
    <s v="Fatima Fagbemi"/>
    <x v="1"/>
    <x v="4"/>
    <x v="0"/>
    <s v="Mid-level"/>
    <x v="0"/>
    <s v="51-60"/>
    <x v="0"/>
    <s v="16/04/2023"/>
    <s v="03/04/2024"/>
    <n v="2"/>
    <n v="290000"/>
    <n v="4.4000000000000004"/>
    <n v="13"/>
    <x v="0"/>
  </r>
  <r>
    <s v="MFS-85183"/>
    <s v="Wale Aliyu"/>
    <x v="0"/>
    <x v="1"/>
    <x v="2"/>
    <s v="Senior"/>
    <x v="1"/>
    <s v="22-30"/>
    <x v="2"/>
    <s v="01/04/2022"/>
    <s v="03/04/2024"/>
    <n v="3"/>
    <n v="412000"/>
    <n v="4.4000000000000004"/>
    <n v="2"/>
    <x v="1"/>
  </r>
  <r>
    <s v="MFS-99620"/>
    <s v="Kunle Danladi"/>
    <x v="0"/>
    <x v="3"/>
    <x v="1"/>
    <s v="Senior"/>
    <x v="0"/>
    <s v="41-50"/>
    <x v="0"/>
    <s v="16/12/2022"/>
    <s v="03/12/2024"/>
    <n v="3"/>
    <n v="580000"/>
    <n v="2.7"/>
    <n v="28"/>
    <x v="1"/>
  </r>
  <r>
    <s v="MFS-28269"/>
    <s v="Ugochi Omotayo"/>
    <x v="1"/>
    <x v="4"/>
    <x v="0"/>
    <s v="Senior"/>
    <x v="0"/>
    <s v="51-60"/>
    <x v="0"/>
    <s v="10/05/2019"/>
    <s v="28/10/2023"/>
    <n v="6"/>
    <n v="398000"/>
    <n v="5"/>
    <n v="5"/>
    <x v="0"/>
  </r>
  <r>
    <s v="MFS-12008"/>
    <s v="Adaora Lawal"/>
    <x v="1"/>
    <x v="0"/>
    <x v="0"/>
    <s v="Junior"/>
    <x v="1"/>
    <s v="51-60"/>
    <x v="2"/>
    <s v="21/08/2021"/>
    <s v="28/10/2023"/>
    <n v="4"/>
    <n v="119000"/>
    <n v="4.7"/>
    <n v="12"/>
    <x v="0"/>
  </r>
  <r>
    <s v="MFS-70172"/>
    <s v="Adebayo Eze"/>
    <x v="0"/>
    <x v="4"/>
    <x v="0"/>
    <s v="Mid-level"/>
    <x v="3"/>
    <s v="41-50"/>
    <x v="4"/>
    <s v="22/01/2020"/>
    <s v="28/10/2023"/>
    <n v="6"/>
    <n v="318000"/>
    <n v="2.8"/>
    <n v="14"/>
    <x v="3"/>
  </r>
  <r>
    <s v="MFS-74305"/>
    <s v="Nneka Okonkwo"/>
    <x v="1"/>
    <x v="4"/>
    <x v="1"/>
    <s v="Junior"/>
    <x v="0"/>
    <s v="22-30"/>
    <x v="1"/>
    <s v="19/08/2022"/>
    <s v="11/12/2022"/>
    <n v="3"/>
    <n v="123000"/>
    <n v="1.6"/>
    <n v="28"/>
    <x v="0"/>
  </r>
  <r>
    <s v="MFS-26564"/>
    <s v="Rukayya Nduka"/>
    <x v="1"/>
    <x v="0"/>
    <x v="0"/>
    <s v="Senior"/>
    <x v="3"/>
    <s v="41-50"/>
    <x v="2"/>
    <s v="11/04/2022"/>
    <s v="11/12/2022"/>
    <n v="3"/>
    <n v="619000"/>
    <n v="4.5999999999999996"/>
    <n v="1"/>
    <x v="0"/>
  </r>
  <r>
    <s v="MFS-51261"/>
    <s v="Femi Buhari"/>
    <x v="0"/>
    <x v="3"/>
    <x v="2"/>
    <s v="Senior"/>
    <x v="1"/>
    <s v="31-40"/>
    <x v="3"/>
    <s v="11/04/2019"/>
    <s v="11/12/2022"/>
    <n v="6"/>
    <n v="517000"/>
    <n v="2.8"/>
    <n v="12"/>
    <x v="1"/>
  </r>
  <r>
    <s v="MFS-13905"/>
    <s v="Kabiru Adesanya"/>
    <x v="0"/>
    <x v="3"/>
    <x v="0"/>
    <s v="Director"/>
    <x v="0"/>
    <s v="41-50"/>
    <x v="1"/>
    <s v="19/09/2021"/>
    <s v="21/11/2021"/>
    <n v="4"/>
    <n v="1697000"/>
    <n v="4.2"/>
    <n v="11"/>
    <x v="0"/>
  </r>
  <r>
    <s v="MFS-31939"/>
    <s v="Haruna Adewale"/>
    <x v="0"/>
    <x v="0"/>
    <x v="0"/>
    <s v="Mid-level"/>
    <x v="1"/>
    <s v="31-40"/>
    <x v="0"/>
    <s v="13/04/2022"/>
    <s v="21/11/2021"/>
    <n v="3"/>
    <n v="369000"/>
    <n v="2.5"/>
    <n v="1"/>
    <x v="0"/>
  </r>
  <r>
    <s v="MFS-10085"/>
    <s v="Folake Okonkwo"/>
    <x v="1"/>
    <x v="3"/>
    <x v="2"/>
    <s v="Junior"/>
    <x v="1"/>
    <s v="51-60"/>
    <x v="0"/>
    <s v="20/11/2019"/>
    <s v="21/11/2021"/>
    <n v="6"/>
    <n v="167000"/>
    <n v="4.3"/>
    <n v="0"/>
    <x v="0"/>
  </r>
  <r>
    <s v="MFS-11337"/>
    <s v="Laraba Afolabi"/>
    <x v="1"/>
    <x v="1"/>
    <x v="0"/>
    <s v="Senior"/>
    <x v="2"/>
    <s v="51-60"/>
    <x v="1"/>
    <s v="24/03/2020"/>
    <s v="21/11/2021"/>
    <n v="5"/>
    <n v="486000"/>
    <n v="3.3"/>
    <n v="14"/>
    <x v="0"/>
  </r>
  <r>
    <s v="MFS-30333"/>
    <s v="Femi Bello"/>
    <x v="0"/>
    <x v="0"/>
    <x v="0"/>
    <s v="Mid-level"/>
    <x v="0"/>
    <s v="31-40"/>
    <x v="2"/>
    <s v="09/04/2020"/>
    <s v="21/11/2021"/>
    <n v="5"/>
    <n v="279000"/>
    <n v="2.8"/>
    <n v="8"/>
    <x v="2"/>
  </r>
  <r>
    <s v="MFS-34421"/>
    <s v="Garba Ihejirika"/>
    <x v="0"/>
    <x v="1"/>
    <x v="0"/>
    <s v="Mid-level"/>
    <x v="2"/>
    <s v="41-50"/>
    <x v="0"/>
    <s v="10/05/2019"/>
    <s v="31/03/2020"/>
    <n v="6"/>
    <n v="279000"/>
    <n v="2.1"/>
    <n v="1"/>
    <x v="0"/>
  </r>
  <r>
    <s v="MFS-16248"/>
    <s v="Ifeanyi Obaseki"/>
    <x v="0"/>
    <x v="1"/>
    <x v="0"/>
    <s v="Junior"/>
    <x v="1"/>
    <s v="51-60"/>
    <x v="2"/>
    <s v="02/05/2019"/>
    <s v="31/03/2020"/>
    <n v="6"/>
    <n v="137000"/>
    <n v="4.8"/>
    <n v="26"/>
    <x v="1"/>
  </r>
  <r>
    <s v="MFS-60984"/>
    <s v="Nasiru Okafor"/>
    <x v="0"/>
    <x v="1"/>
    <x v="0"/>
    <s v="Senior"/>
    <x v="1"/>
    <s v="22-30"/>
    <x v="0"/>
    <s v="13/10/2019"/>
    <s v="20/08/2024"/>
    <n v="6"/>
    <n v="503000"/>
    <n v="4.3"/>
    <n v="3"/>
    <x v="0"/>
  </r>
  <r>
    <s v="MFS-52109"/>
    <s v="Dele Uba"/>
    <x v="0"/>
    <x v="2"/>
    <x v="0"/>
    <s v="Junior"/>
    <x v="2"/>
    <s v="22-30"/>
    <x v="2"/>
    <s v="11/07/2023"/>
    <s v="20/08/2024"/>
    <n v="2"/>
    <n v="172000"/>
    <n v="3.3"/>
    <n v="2"/>
    <x v="0"/>
  </r>
  <r>
    <s v="MFS-26682"/>
    <s v="Ezinne Shehu"/>
    <x v="1"/>
    <x v="0"/>
    <x v="0"/>
    <s v="Senior"/>
    <x v="1"/>
    <s v="22-30"/>
    <x v="0"/>
    <s v="31/07/2021"/>
    <s v="20/08/2024"/>
    <n v="4"/>
    <n v="423000"/>
    <n v="3.5"/>
    <n v="1"/>
    <x v="0"/>
  </r>
  <r>
    <s v="MFS-65373"/>
    <s v="Seun Oyelaran"/>
    <x v="0"/>
    <x v="3"/>
    <x v="0"/>
    <s v="Senior"/>
    <x v="0"/>
    <s v="51-60"/>
    <x v="0"/>
    <s v="30/01/2019"/>
    <s v="20/08/2024"/>
    <n v="7"/>
    <n v="354000"/>
    <n v="2"/>
    <n v="3"/>
    <x v="0"/>
  </r>
  <r>
    <s v="MFS-94897"/>
    <s v="Titi Yakubu"/>
    <x v="1"/>
    <x v="1"/>
    <x v="0"/>
    <s v="Director"/>
    <x v="2"/>
    <s v="31-40"/>
    <x v="3"/>
    <s v="17/02/2022"/>
    <s v="20/08/2024"/>
    <n v="4"/>
    <n v="1703000"/>
    <n v="4.2"/>
    <n v="2"/>
    <x v="0"/>
  </r>
  <r>
    <s v="MFS-20115"/>
    <s v="Folake Obaseki"/>
    <x v="1"/>
    <x v="1"/>
    <x v="1"/>
    <s v="Senior"/>
    <x v="1"/>
    <s v="51-60"/>
    <x v="2"/>
    <s v="25/04/2020"/>
    <s v="20/08/2024"/>
    <n v="5"/>
    <n v="355000"/>
    <n v="2.2000000000000002"/>
    <n v="6"/>
    <x v="0"/>
  </r>
  <r>
    <s v="MFS-24688"/>
    <s v="Chinedu Adesanya"/>
    <x v="0"/>
    <x v="4"/>
    <x v="0"/>
    <s v="Junior"/>
    <x v="0"/>
    <s v="31-40"/>
    <x v="0"/>
    <s v="09/12/2019"/>
    <s v="20/08/2024"/>
    <n v="6"/>
    <n v="152000"/>
    <n v="1.7"/>
    <n v="0"/>
    <x v="1"/>
  </r>
  <r>
    <s v="MFS-29087"/>
    <s v="Tunde Aliyu"/>
    <x v="0"/>
    <x v="2"/>
    <x v="0"/>
    <s v="Junior"/>
    <x v="0"/>
    <s v="31-40"/>
    <x v="0"/>
    <s v="04/11/2021"/>
    <s v="06/05/2021"/>
    <n v="4"/>
    <n v="163000"/>
    <n v="3.7"/>
    <n v="26"/>
    <x v="0"/>
  </r>
  <r>
    <s v="MFS-85243"/>
    <s v="Zainab Oyelaran"/>
    <x v="1"/>
    <x v="0"/>
    <x v="2"/>
    <s v="Senior"/>
    <x v="1"/>
    <s v="41-50"/>
    <x v="0"/>
    <s v="26/11/2022"/>
    <s v="06/05/2021"/>
    <n v="3"/>
    <n v="630000"/>
    <n v="4.8"/>
    <n v="14"/>
    <x v="0"/>
  </r>
  <r>
    <s v="MFS-27419"/>
    <s v="Shade Okonkwo"/>
    <x v="1"/>
    <x v="1"/>
    <x v="1"/>
    <s v="Senior"/>
    <x v="3"/>
    <s v="41-50"/>
    <x v="2"/>
    <s v="16/11/2023"/>
    <s v="06/05/2021"/>
    <n v="2"/>
    <n v="516000"/>
    <n v="3.2"/>
    <n v="5"/>
    <x v="0"/>
  </r>
  <r>
    <s v="MFS-13204"/>
    <s v="Chinedu Abdullahi"/>
    <x v="0"/>
    <x v="4"/>
    <x v="2"/>
    <s v="Manager"/>
    <x v="2"/>
    <s v="31-40"/>
    <x v="0"/>
    <s v="30/08/2021"/>
    <s v="06/05/2021"/>
    <n v="4"/>
    <n v="674000"/>
    <n v="3.2"/>
    <n v="7"/>
    <x v="0"/>
  </r>
  <r>
    <s v="MFS-63285"/>
    <s v="Ngozi Onwudiwe"/>
    <x v="1"/>
    <x v="2"/>
    <x v="0"/>
    <s v="Junior"/>
    <x v="2"/>
    <s v="31-40"/>
    <x v="4"/>
    <s v="02/08/2021"/>
    <s v="06/05/2021"/>
    <n v="4"/>
    <n v="152000"/>
    <n v="3.5"/>
    <n v="11"/>
    <x v="0"/>
  </r>
  <r>
    <s v="MFS-82321"/>
    <s v="Ngozi Obaseki"/>
    <x v="1"/>
    <x v="4"/>
    <x v="2"/>
    <s v="Junior"/>
    <x v="1"/>
    <s v="31-40"/>
    <x v="0"/>
    <s v="06/03/2020"/>
    <s v="06/05/2021"/>
    <n v="6"/>
    <n v="141000"/>
    <n v="1.7"/>
    <n v="35"/>
    <x v="1"/>
  </r>
  <r>
    <s v="MFS-41278"/>
    <s v="Kunle Nwosu"/>
    <x v="0"/>
    <x v="4"/>
    <x v="0"/>
    <s v="Mid-level"/>
    <x v="2"/>
    <s v="31-40"/>
    <x v="2"/>
    <s v="26/01/2019"/>
    <s v="11/02/2021"/>
    <n v="7"/>
    <n v="300000"/>
    <n v="4.0999999999999996"/>
    <n v="5"/>
    <x v="0"/>
  </r>
  <r>
    <s v="MFS-87990"/>
    <s v="Yetunde Adesanya"/>
    <x v="1"/>
    <x v="2"/>
    <x v="0"/>
    <s v="Mid-level"/>
    <x v="2"/>
    <s v="41-50"/>
    <x v="1"/>
    <s v="31/07/2022"/>
    <s v="11/02/2021"/>
    <n v="3"/>
    <n v="315000"/>
    <n v="2.1"/>
    <n v="4"/>
    <x v="0"/>
  </r>
  <r>
    <s v="MFS-91834"/>
    <s v="Dele Taiwo"/>
    <x v="0"/>
    <x v="2"/>
    <x v="0"/>
    <s v="Junior"/>
    <x v="0"/>
    <s v="51-60"/>
    <x v="4"/>
    <s v="17/10/2019"/>
    <s v="11/02/2021"/>
    <n v="6"/>
    <n v="168000"/>
    <n v="2.8"/>
    <n v="7"/>
    <x v="0"/>
  </r>
  <r>
    <s v="MFS-13092"/>
    <s v="Sola Buhari"/>
    <x v="1"/>
    <x v="4"/>
    <x v="1"/>
    <s v="Junior"/>
    <x v="3"/>
    <s v="41-50"/>
    <x v="3"/>
    <s v="16/11/2021"/>
    <s v="11/02/2021"/>
    <n v="4"/>
    <n v="87000"/>
    <n v="3.5"/>
    <n v="0"/>
    <x v="0"/>
  </r>
  <r>
    <s v="MFS-67760"/>
    <s v="Ebuka Abdullahi"/>
    <x v="0"/>
    <x v="4"/>
    <x v="2"/>
    <s v="Junior"/>
    <x v="0"/>
    <s v="41-50"/>
    <x v="0"/>
    <s v="23/02/2019"/>
    <s v="11/02/2021"/>
    <n v="7"/>
    <n v="151000"/>
    <n v="2.6"/>
    <n v="9"/>
    <x v="2"/>
  </r>
  <r>
    <s v="MFS-40147"/>
    <s v="Chioma Okafor"/>
    <x v="1"/>
    <x v="3"/>
    <x v="1"/>
    <s v="Junior"/>
    <x v="1"/>
    <s v="31-40"/>
    <x v="0"/>
    <s v="06/06/2019"/>
    <s v="04/03/2024"/>
    <n v="6"/>
    <n v="92000"/>
    <n v="4.2"/>
    <n v="6"/>
    <x v="0"/>
  </r>
  <r>
    <s v="MFS-42375"/>
    <s v="Fatima Obi"/>
    <x v="1"/>
    <x v="4"/>
    <x v="2"/>
    <s v="Mid-level"/>
    <x v="0"/>
    <s v="31-40"/>
    <x v="0"/>
    <s v="25/11/2022"/>
    <s v="04/03/2024"/>
    <n v="3"/>
    <n v="292000"/>
    <n v="3"/>
    <n v="1"/>
    <x v="1"/>
  </r>
  <r>
    <s v="MFS-20625"/>
    <s v="Titi Oyelaran"/>
    <x v="1"/>
    <x v="3"/>
    <x v="2"/>
    <s v="Manager"/>
    <x v="3"/>
    <s v="41-50"/>
    <x v="3"/>
    <s v="14/05/2019"/>
    <s v="13/07/2020"/>
    <n v="6"/>
    <n v="804000"/>
    <n v="3.8"/>
    <n v="2"/>
    <x v="1"/>
  </r>
  <r>
    <s v="MFS-92920"/>
    <s v="Nasiru Bello"/>
    <x v="0"/>
    <x v="2"/>
    <x v="0"/>
    <s v="Mid-level"/>
    <x v="0"/>
    <s v="22-30"/>
    <x v="0"/>
    <s v="10/12/2022"/>
    <s v="27/07/2024"/>
    <n v="3"/>
    <n v="349000"/>
    <n v="2.2999999999999998"/>
    <n v="7"/>
    <x v="1"/>
  </r>
  <r>
    <s v="MFS-82689"/>
    <s v="Garba Shehu"/>
    <x v="0"/>
    <x v="0"/>
    <x v="0"/>
    <s v="Junior"/>
    <x v="0"/>
    <s v="22-30"/>
    <x v="0"/>
    <s v="31/07/2022"/>
    <s v="20/03/2023"/>
    <n v="3"/>
    <n v="161000"/>
    <n v="3"/>
    <n v="12"/>
    <x v="0"/>
  </r>
  <r>
    <s v="MFS-71063"/>
    <s v="Obiora Oyelaran"/>
    <x v="0"/>
    <x v="3"/>
    <x v="0"/>
    <s v="Manager"/>
    <x v="0"/>
    <s v="22-30"/>
    <x v="4"/>
    <s v="13/02/2020"/>
    <s v="20/03/2023"/>
    <n v="6"/>
    <n v="741000"/>
    <n v="3.1"/>
    <n v="9"/>
    <x v="0"/>
  </r>
  <r>
    <s v="MFS-64246"/>
    <s v="Falmata Ogundipe"/>
    <x v="1"/>
    <x v="2"/>
    <x v="0"/>
    <s v="Mid-level"/>
    <x v="1"/>
    <s v="31-40"/>
    <x v="0"/>
    <s v="20/09/2022"/>
    <s v="20/03/2023"/>
    <n v="3"/>
    <n v="212000"/>
    <n v="4.7"/>
    <n v="2"/>
    <x v="1"/>
  </r>
  <r>
    <s v="MFS-73774"/>
    <s v="Rotimi Nwosu"/>
    <x v="0"/>
    <x v="4"/>
    <x v="0"/>
    <s v="Mid-level"/>
    <x v="1"/>
    <s v="31-40"/>
    <x v="3"/>
    <s v="27/01/2021"/>
    <s v="01/06/2023"/>
    <n v="5"/>
    <n v="264000"/>
    <n v="4.7"/>
    <n v="33"/>
    <x v="0"/>
  </r>
  <r>
    <s v="MFS-95233"/>
    <s v="Musa Obaseki"/>
    <x v="0"/>
    <x v="1"/>
    <x v="0"/>
    <s v="Mid-level"/>
    <x v="0"/>
    <s v="22-30"/>
    <x v="3"/>
    <s v="29/09/2020"/>
    <s v="01/06/2023"/>
    <n v="5"/>
    <n v="180000"/>
    <n v="3.3"/>
    <n v="0"/>
    <x v="0"/>
  </r>
  <r>
    <s v="MFS-57227"/>
    <s v="Bilkisu Eze"/>
    <x v="1"/>
    <x v="0"/>
    <x v="1"/>
    <s v="Junior"/>
    <x v="2"/>
    <s v="22-30"/>
    <x v="4"/>
    <s v="09/11/2019"/>
    <s v="01/06/2023"/>
    <n v="6"/>
    <n v="174000"/>
    <n v="2.2999999999999998"/>
    <n v="39"/>
    <x v="2"/>
  </r>
  <r>
    <s v="MFS-51765"/>
    <s v="Obiora Adesanya"/>
    <x v="0"/>
    <x v="3"/>
    <x v="0"/>
    <s v="Mid-level"/>
    <x v="0"/>
    <s v="22-30"/>
    <x v="1"/>
    <s v="13/03/2022"/>
    <s v="06/03/2022"/>
    <n v="3"/>
    <n v="196000"/>
    <n v="2.8"/>
    <n v="14"/>
    <x v="0"/>
  </r>
  <r>
    <s v="MFS-14355"/>
    <s v="Rabiu Bello"/>
    <x v="0"/>
    <x v="2"/>
    <x v="1"/>
    <s v="Mid-level"/>
    <x v="0"/>
    <s v="41-50"/>
    <x v="2"/>
    <s v="21/08/2021"/>
    <s v="06/03/2022"/>
    <n v="4"/>
    <n v="248000"/>
    <n v="3.8"/>
    <n v="15"/>
    <x v="0"/>
  </r>
  <r>
    <s v="MFS-82912"/>
    <s v="Lanre Taiwo"/>
    <x v="0"/>
    <x v="1"/>
    <x v="0"/>
    <s v="Mid-level"/>
    <x v="0"/>
    <s v="31-40"/>
    <x v="0"/>
    <s v="30/07/2022"/>
    <s v="06/03/2022"/>
    <n v="3"/>
    <n v="269000"/>
    <n v="3.1"/>
    <n v="8"/>
    <x v="0"/>
  </r>
  <r>
    <s v="MFS-65838"/>
    <s v="Rabiu Afolabi"/>
    <x v="0"/>
    <x v="0"/>
    <x v="0"/>
    <s v="Senior"/>
    <x v="2"/>
    <s v="31-40"/>
    <x v="3"/>
    <s v="25/08/2019"/>
    <s v="06/03/2022"/>
    <n v="6"/>
    <n v="544000"/>
    <n v="3.8"/>
    <n v="9"/>
    <x v="1"/>
  </r>
  <r>
    <s v="MFS-59146"/>
    <s v="Seun Chukwu"/>
    <x v="0"/>
    <x v="3"/>
    <x v="0"/>
    <s v="Mid-level"/>
    <x v="2"/>
    <s v="31-40"/>
    <x v="3"/>
    <s v="03/05/2023"/>
    <s v="27/07/2022"/>
    <n v="2"/>
    <n v="271000"/>
    <n v="2"/>
    <n v="36"/>
    <x v="0"/>
  </r>
  <r>
    <s v="MFS-57087"/>
    <s v="Titi Adeyemi"/>
    <x v="1"/>
    <x v="4"/>
    <x v="2"/>
    <s v="Manager"/>
    <x v="0"/>
    <s v="22-30"/>
    <x v="4"/>
    <s v="22/04/2022"/>
    <s v="27/07/2022"/>
    <n v="3"/>
    <n v="777000"/>
    <n v="3.2"/>
    <n v="12"/>
    <x v="0"/>
  </r>
  <r>
    <s v="MFS-54194"/>
    <s v="Tobi Abdullahi"/>
    <x v="0"/>
    <x v="2"/>
    <x v="2"/>
    <s v="Junior"/>
    <x v="0"/>
    <s v="22-30"/>
    <x v="0"/>
    <s v="22/04/2020"/>
    <s v="27/07/2022"/>
    <n v="5"/>
    <n v="147000"/>
    <n v="3.3"/>
    <n v="7"/>
    <x v="1"/>
  </r>
  <r>
    <s v="MFS-61813"/>
    <s v="Amaka Danladi"/>
    <x v="1"/>
    <x v="1"/>
    <x v="2"/>
    <s v="Senior"/>
    <x v="1"/>
    <s v="22-30"/>
    <x v="0"/>
    <s v="24/07/2022"/>
    <s v="02/06/2021"/>
    <n v="3"/>
    <n v="384000"/>
    <n v="3.4"/>
    <n v="5"/>
    <x v="0"/>
  </r>
  <r>
    <s v="MFS-42275"/>
    <s v="Ebuka Okeke"/>
    <x v="0"/>
    <x v="2"/>
    <x v="1"/>
    <s v="Mid-level"/>
    <x v="2"/>
    <s v="22-30"/>
    <x v="0"/>
    <s v="26/01/2020"/>
    <s v="02/06/2021"/>
    <n v="6"/>
    <n v="235000"/>
    <n v="3.8"/>
    <n v="24"/>
    <x v="0"/>
  </r>
  <r>
    <s v="MFS-93023"/>
    <s v="Ikenna Suleiman"/>
    <x v="0"/>
    <x v="3"/>
    <x v="0"/>
    <s v="Junior"/>
    <x v="1"/>
    <s v="22-30"/>
    <x v="1"/>
    <s v="16/04/2019"/>
    <s v="02/06/2021"/>
    <n v="6"/>
    <n v="131000"/>
    <n v="4.2"/>
    <n v="30"/>
    <x v="1"/>
  </r>
  <r>
    <s v="MFS-84910"/>
    <s v="Ronke Taiwo"/>
    <x v="1"/>
    <x v="2"/>
    <x v="0"/>
    <s v="Junior"/>
    <x v="1"/>
    <s v="31-40"/>
    <x v="0"/>
    <s v="16/03/2022"/>
    <s v="26/02/2025"/>
    <n v="3"/>
    <n v="159000"/>
    <n v="2.2999999999999998"/>
    <n v="11"/>
    <x v="0"/>
  </r>
  <r>
    <s v="MFS-51175"/>
    <s v="Suleiman Nwachukwu"/>
    <x v="0"/>
    <x v="0"/>
    <x v="0"/>
    <s v="Mid-level"/>
    <x v="3"/>
    <s v="31-40"/>
    <x v="0"/>
    <s v="10/09/2021"/>
    <s v="26/02/2025"/>
    <n v="4"/>
    <n v="318000"/>
    <n v="3.4"/>
    <n v="21"/>
    <x v="0"/>
  </r>
  <r>
    <s v="MFS-39070"/>
    <s v="Ugochi Ihejirika"/>
    <x v="1"/>
    <x v="2"/>
    <x v="0"/>
    <s v="Mid-level"/>
    <x v="1"/>
    <s v="51-60"/>
    <x v="3"/>
    <s v="13/12/2023"/>
    <s v="26/02/2025"/>
    <n v="2"/>
    <n v="311000"/>
    <n v="4.8"/>
    <n v="14"/>
    <x v="1"/>
  </r>
  <r>
    <s v="MFS-95254"/>
    <s v="Babatunde Yakubu"/>
    <x v="0"/>
    <x v="4"/>
    <x v="0"/>
    <s v="Mid-level"/>
    <x v="1"/>
    <s v="41-50"/>
    <x v="2"/>
    <s v="23/03/2022"/>
    <s v="20/09/2024"/>
    <n v="3"/>
    <n v="230000"/>
    <n v="2.7"/>
    <n v="0"/>
    <x v="0"/>
  </r>
  <r>
    <s v="MFS-62931"/>
    <s v="Suleiman Lawal"/>
    <x v="0"/>
    <x v="3"/>
    <x v="0"/>
    <s v="Mid-level"/>
    <x v="0"/>
    <s v="31-40"/>
    <x v="1"/>
    <s v="25/04/2020"/>
    <s v="20/09/2024"/>
    <n v="5"/>
    <n v="349000"/>
    <n v="3.6"/>
    <n v="9"/>
    <x v="2"/>
  </r>
  <r>
    <s v="MFS-50543"/>
    <s v="Ikenna Taiwo"/>
    <x v="0"/>
    <x v="3"/>
    <x v="2"/>
    <s v="Senior"/>
    <x v="0"/>
    <s v="41-50"/>
    <x v="0"/>
    <s v="14/08/2019"/>
    <s v="27/01/2023"/>
    <n v="6"/>
    <n v="592000"/>
    <n v="3.5"/>
    <n v="7"/>
    <x v="0"/>
  </r>
  <r>
    <s v="MFS-64978"/>
    <s v="Aliyu Aliyu"/>
    <x v="0"/>
    <x v="1"/>
    <x v="0"/>
    <s v="Mid-level"/>
    <x v="0"/>
    <s v="31-40"/>
    <x v="0"/>
    <s v="25/05/2019"/>
    <s v="27/01/2023"/>
    <n v="6"/>
    <n v="263000"/>
    <n v="4.5"/>
    <n v="13"/>
    <x v="0"/>
  </r>
  <r>
    <s v="MFS-65987"/>
    <s v="Yakubu Okeke"/>
    <x v="0"/>
    <x v="0"/>
    <x v="1"/>
    <s v="Mid-level"/>
    <x v="2"/>
    <s v="41-50"/>
    <x v="1"/>
    <s v="08/12/2023"/>
    <s v="27/01/2023"/>
    <n v="2"/>
    <n v="358000"/>
    <n v="2.6"/>
    <n v="24"/>
    <x v="0"/>
  </r>
  <r>
    <s v="MFS-87610"/>
    <s v="Rabiu Nduka"/>
    <x v="0"/>
    <x v="0"/>
    <x v="0"/>
    <s v="Senior"/>
    <x v="2"/>
    <s v="41-50"/>
    <x v="0"/>
    <s v="19/03/2020"/>
    <s v="27/01/2023"/>
    <n v="5"/>
    <n v="441000"/>
    <n v="4.2"/>
    <n v="1"/>
    <x v="3"/>
  </r>
  <r>
    <s v="MFS-13159"/>
    <s v="Haruna Onwudiwe"/>
    <x v="0"/>
    <x v="2"/>
    <x v="0"/>
    <s v="Junior"/>
    <x v="0"/>
    <s v="31-40"/>
    <x v="0"/>
    <s v="24/09/2022"/>
    <s v="14/01/2024"/>
    <n v="3"/>
    <n v="86000"/>
    <n v="3.6"/>
    <n v="1"/>
    <x v="0"/>
  </r>
  <r>
    <s v="MFS-36503"/>
    <s v="Ibrahim Uba"/>
    <x v="0"/>
    <x v="4"/>
    <x v="0"/>
    <s v="Junior"/>
    <x v="0"/>
    <s v="41-50"/>
    <x v="1"/>
    <s v="21/12/2019"/>
    <s v="14/01/2024"/>
    <n v="6"/>
    <n v="95000"/>
    <n v="2.5"/>
    <n v="15"/>
    <x v="1"/>
  </r>
  <r>
    <s v="MFS-49230"/>
    <s v="Femi Nduka"/>
    <x v="0"/>
    <x v="3"/>
    <x v="0"/>
    <s v="Manager"/>
    <x v="0"/>
    <s v="22-30"/>
    <x v="2"/>
    <s v="09/10/2019"/>
    <s v="17/10/2023"/>
    <n v="6"/>
    <n v="871000"/>
    <n v="3.2"/>
    <n v="35"/>
    <x v="0"/>
  </r>
  <r>
    <s v="MFS-59416"/>
    <s v="Wale Oyelaran"/>
    <x v="0"/>
    <x v="4"/>
    <x v="2"/>
    <s v="Junior"/>
    <x v="0"/>
    <s v="31-40"/>
    <x v="2"/>
    <s v="09/08/2020"/>
    <s v="17/10/2023"/>
    <n v="5"/>
    <n v="174000"/>
    <n v="1.8"/>
    <n v="10"/>
    <x v="0"/>
  </r>
  <r>
    <s v="MFS-97129"/>
    <s v="Eze Nwachukwu"/>
    <x v="0"/>
    <x v="2"/>
    <x v="0"/>
    <s v="Senior"/>
    <x v="0"/>
    <s v="31-40"/>
    <x v="0"/>
    <s v="03/07/2021"/>
    <s v="17/10/2023"/>
    <n v="4"/>
    <n v="366000"/>
    <n v="4.3"/>
    <n v="6"/>
    <x v="0"/>
  </r>
  <r>
    <s v="MFS-41230"/>
    <s v="Bimpe Coker"/>
    <x v="1"/>
    <x v="4"/>
    <x v="2"/>
    <s v="Manager"/>
    <x v="2"/>
    <s v="31-40"/>
    <x v="0"/>
    <s v="06/03/2020"/>
    <s v="17/10/2023"/>
    <n v="6"/>
    <n v="944000"/>
    <n v="4"/>
    <n v="0"/>
    <x v="1"/>
  </r>
  <r>
    <s v="MFS-74097"/>
    <s v="Tobi Ogbonna"/>
    <x v="0"/>
    <x v="4"/>
    <x v="0"/>
    <s v="Mid-level"/>
    <x v="0"/>
    <s v="41-50"/>
    <x v="1"/>
    <s v="06/08/2022"/>
    <s v="05/04/2023"/>
    <n v="3"/>
    <n v="186000"/>
    <n v="3.4"/>
    <n v="11"/>
    <x v="0"/>
  </r>
  <r>
    <s v="MFS-28255"/>
    <s v="Bilkisu Taiwo"/>
    <x v="1"/>
    <x v="3"/>
    <x v="0"/>
    <s v="Junior"/>
    <x v="3"/>
    <s v="41-50"/>
    <x v="0"/>
    <s v="03/01/2019"/>
    <s v="05/04/2023"/>
    <n v="7"/>
    <n v="99000"/>
    <n v="4.7"/>
    <n v="31"/>
    <x v="0"/>
  </r>
  <r>
    <s v="MFS-32004"/>
    <s v="Ramatu Obi"/>
    <x v="1"/>
    <x v="4"/>
    <x v="0"/>
    <s v="Mid-level"/>
    <x v="0"/>
    <s v="41-50"/>
    <x v="0"/>
    <s v="31/05/2022"/>
    <s v="05/04/2023"/>
    <n v="3"/>
    <n v="295000"/>
    <n v="4.5"/>
    <n v="12"/>
    <x v="1"/>
  </r>
  <r>
    <s v="MFS-96120"/>
    <s v="Haruna Adeyemi"/>
    <x v="0"/>
    <x v="3"/>
    <x v="0"/>
    <s v="Mid-level"/>
    <x v="0"/>
    <s v="31-40"/>
    <x v="0"/>
    <s v="26/12/2020"/>
    <s v="30/07/2022"/>
    <n v="5"/>
    <n v="317000"/>
    <n v="3.3"/>
    <n v="11"/>
    <x v="0"/>
  </r>
  <r>
    <s v="MFS-70248"/>
    <s v="Nnamdi Afolabi"/>
    <x v="0"/>
    <x v="0"/>
    <x v="1"/>
    <s v="Director"/>
    <x v="1"/>
    <s v="31-40"/>
    <x v="0"/>
    <s v="26/03/2021"/>
    <s v="30/07/2022"/>
    <n v="4"/>
    <n v="1141000"/>
    <n v="4.8"/>
    <n v="8"/>
    <x v="0"/>
  </r>
  <r>
    <s v="MFS-20417"/>
    <s v="Fatima Adesanya"/>
    <x v="1"/>
    <x v="2"/>
    <x v="0"/>
    <s v="Mid-level"/>
    <x v="1"/>
    <s v="31-40"/>
    <x v="2"/>
    <s v="09/10/2019"/>
    <s v="30/07/2022"/>
    <n v="6"/>
    <n v="208000"/>
    <n v="2.7"/>
    <n v="0"/>
    <x v="2"/>
  </r>
  <r>
    <s v="MFS-59478"/>
    <s v="Oghenekaro Buhari"/>
    <x v="0"/>
    <x v="1"/>
    <x v="2"/>
    <s v="Junior"/>
    <x v="2"/>
    <s v="41-50"/>
    <x v="3"/>
    <s v="07/10/2023"/>
    <s v="17/12/2023"/>
    <n v="2"/>
    <n v="129000"/>
    <n v="3.4"/>
    <n v="13"/>
    <x v="0"/>
  </r>
  <r>
    <s v="MFS-64270"/>
    <s v="Aliyu Abdullahi"/>
    <x v="0"/>
    <x v="4"/>
    <x v="0"/>
    <s v="Junior"/>
    <x v="0"/>
    <s v="41-50"/>
    <x v="2"/>
    <s v="28/01/2019"/>
    <s v="17/12/2023"/>
    <n v="7"/>
    <n v="86000"/>
    <n v="2"/>
    <n v="21"/>
    <x v="0"/>
  </r>
  <r>
    <s v="MFS-18772"/>
    <s v="Hadiza Bello"/>
    <x v="1"/>
    <x v="1"/>
    <x v="2"/>
    <s v="Mid-level"/>
    <x v="1"/>
    <s v="22-30"/>
    <x v="0"/>
    <s v="19/06/2023"/>
    <s v="17/12/2023"/>
    <n v="2"/>
    <n v="235000"/>
    <n v="3.4"/>
    <n v="3"/>
    <x v="1"/>
  </r>
  <r>
    <s v="MFS-23088"/>
    <s v="Titi Fagbemi"/>
    <x v="1"/>
    <x v="4"/>
    <x v="0"/>
    <s v="Junior"/>
    <x v="0"/>
    <s v="51-60"/>
    <x v="1"/>
    <s v="18/05/2021"/>
    <s v="05/10/2024"/>
    <n v="4"/>
    <n v="130000"/>
    <n v="3.1"/>
    <n v="5"/>
    <x v="0"/>
  </r>
  <r>
    <s v="MFS-27658"/>
    <s v="Uloma Omotayo"/>
    <x v="1"/>
    <x v="2"/>
    <x v="0"/>
    <s v="Junior"/>
    <x v="0"/>
    <s v="22-30"/>
    <x v="0"/>
    <s v="30/10/2020"/>
    <s v="05/10/2024"/>
    <n v="5"/>
    <n v="122000"/>
    <n v="4.3"/>
    <n v="0"/>
    <x v="1"/>
  </r>
  <r>
    <s v="MFS-69589"/>
    <s v="Gbenga Nwachukwu"/>
    <x v="0"/>
    <x v="2"/>
    <x v="0"/>
    <s v="Mid-level"/>
    <x v="0"/>
    <s v="22-30"/>
    <x v="3"/>
    <s v="20/10/2022"/>
    <s v="13/09/2021"/>
    <n v="3"/>
    <n v="185000"/>
    <n v="2.5"/>
    <n v="5"/>
    <x v="0"/>
  </r>
  <r>
    <s v="MFS-91088"/>
    <s v="Bukola Uba"/>
    <x v="1"/>
    <x v="3"/>
    <x v="1"/>
    <s v="Director"/>
    <x v="1"/>
    <s v="22-30"/>
    <x v="0"/>
    <s v="18/07/2020"/>
    <s v="13/09/2021"/>
    <n v="5"/>
    <n v="1356000"/>
    <n v="4"/>
    <n v="16"/>
    <x v="0"/>
  </r>
  <r>
    <s v="MFS-47194"/>
    <s v="Bilkisu Adesanya"/>
    <x v="1"/>
    <x v="0"/>
    <x v="0"/>
    <s v="Manager"/>
    <x v="0"/>
    <s v="41-50"/>
    <x v="1"/>
    <s v="13/03/2021"/>
    <s v="13/09/2021"/>
    <n v="4"/>
    <n v="1029000"/>
    <n v="3.5"/>
    <n v="28"/>
    <x v="0"/>
  </r>
  <r>
    <s v="MFS-34931"/>
    <s v="Femi Adewale"/>
    <x v="0"/>
    <x v="3"/>
    <x v="0"/>
    <s v="Director"/>
    <x v="0"/>
    <s v="41-50"/>
    <x v="3"/>
    <s v="02/08/2019"/>
    <s v="13/09/2021"/>
    <n v="6"/>
    <n v="1072000"/>
    <n v="4.5999999999999996"/>
    <n v="12"/>
    <x v="0"/>
  </r>
  <r>
    <s v="MFS-71122"/>
    <s v="Nasiru Ogbonna"/>
    <x v="0"/>
    <x v="1"/>
    <x v="1"/>
    <s v="Senior"/>
    <x v="2"/>
    <s v="31-40"/>
    <x v="0"/>
    <s v="15/11/2022"/>
    <s v="13/09/2021"/>
    <n v="3"/>
    <n v="350000"/>
    <n v="4.2"/>
    <n v="1"/>
    <x v="0"/>
  </r>
  <r>
    <s v="MFS-34616"/>
    <s v="Obiora Okafor"/>
    <x v="0"/>
    <x v="4"/>
    <x v="1"/>
    <s v="Mid-level"/>
    <x v="0"/>
    <s v="31-40"/>
    <x v="0"/>
    <s v="09/03/2020"/>
    <s v="13/09/2021"/>
    <n v="6"/>
    <n v="204000"/>
    <n v="2.1"/>
    <n v="5"/>
    <x v="3"/>
  </r>
  <r>
    <s v="MFS-18104"/>
    <s v="Zainab Taiwo"/>
    <x v="1"/>
    <x v="1"/>
    <x v="0"/>
    <s v="Junior"/>
    <x v="3"/>
    <s v="22-30"/>
    <x v="0"/>
    <s v="27/10/2022"/>
    <s v="29/11/2022"/>
    <n v="3"/>
    <n v="102000"/>
    <n v="4.8"/>
    <n v="0"/>
    <x v="0"/>
  </r>
  <r>
    <s v="MFS-33451"/>
    <s v="Babatunde Abdullahi"/>
    <x v="0"/>
    <x v="0"/>
    <x v="0"/>
    <s v="Junior"/>
    <x v="1"/>
    <s v="41-50"/>
    <x v="0"/>
    <s v="30/10/2021"/>
    <s v="29/11/2022"/>
    <n v="4"/>
    <n v="197000"/>
    <n v="2.5"/>
    <n v="13"/>
    <x v="0"/>
  </r>
  <r>
    <s v="MFS-16378"/>
    <s v="Hadiza Abdullahi"/>
    <x v="1"/>
    <x v="4"/>
    <x v="0"/>
    <s v="Junior"/>
    <x v="2"/>
    <s v="31-40"/>
    <x v="0"/>
    <s v="26/08/2023"/>
    <s v="29/11/2022"/>
    <n v="2"/>
    <n v="88000"/>
    <n v="3.5"/>
    <n v="14"/>
    <x v="0"/>
  </r>
  <r>
    <s v="MFS-73049"/>
    <s v="Seun Afolabi"/>
    <x v="0"/>
    <x v="1"/>
    <x v="0"/>
    <s v="Senior"/>
    <x v="0"/>
    <s v="31-40"/>
    <x v="1"/>
    <s v="21/06/2020"/>
    <s v="29/11/2022"/>
    <n v="5"/>
    <n v="446000"/>
    <n v="3.1"/>
    <n v="5"/>
    <x v="0"/>
  </r>
  <r>
    <s v="MFS-66485"/>
    <s v="Biodun Garba"/>
    <x v="0"/>
    <x v="2"/>
    <x v="0"/>
    <s v="Senior"/>
    <x v="0"/>
    <s v="51-60"/>
    <x v="0"/>
    <s v="16/02/2020"/>
    <s v="29/11/2022"/>
    <n v="6"/>
    <n v="365000"/>
    <n v="2.5"/>
    <n v="4"/>
    <x v="3"/>
  </r>
  <r>
    <s v="MFS-88576"/>
    <s v="Nasiru Okafor"/>
    <x v="0"/>
    <x v="2"/>
    <x v="1"/>
    <s v="Manager"/>
    <x v="0"/>
    <s v="51-60"/>
    <x v="2"/>
    <s v="20/02/2019"/>
    <s v="24/01/2025"/>
    <n v="7"/>
    <n v="870000"/>
    <n v="4"/>
    <n v="8"/>
    <x v="0"/>
  </r>
  <r>
    <s v="MFS-86624"/>
    <s v="Nneka Afolabi"/>
    <x v="1"/>
    <x v="4"/>
    <x v="0"/>
    <s v="Mid-level"/>
    <x v="0"/>
    <s v="22-30"/>
    <x v="1"/>
    <s v="12/05/2022"/>
    <s v="24/01/2025"/>
    <n v="3"/>
    <n v="186000"/>
    <n v="1.5"/>
    <n v="13"/>
    <x v="0"/>
  </r>
  <r>
    <s v="MFS-70640"/>
    <s v="Asabe Fagbemi"/>
    <x v="1"/>
    <x v="0"/>
    <x v="0"/>
    <s v="Mid-level"/>
    <x v="0"/>
    <s v="22-30"/>
    <x v="0"/>
    <s v="16/02/2019"/>
    <s v="24/01/2025"/>
    <n v="7"/>
    <n v="283000"/>
    <n v="4.2"/>
    <n v="12"/>
    <x v="0"/>
  </r>
  <r>
    <s v="MFS-56166"/>
    <s v="Haruna Adeyemi"/>
    <x v="0"/>
    <x v="1"/>
    <x v="0"/>
    <s v="Mid-level"/>
    <x v="0"/>
    <s v="31-40"/>
    <x v="0"/>
    <s v="29/04/2023"/>
    <s v="24/01/2025"/>
    <n v="2"/>
    <n v="213000"/>
    <n v="4.7"/>
    <n v="23"/>
    <x v="0"/>
  </r>
  <r>
    <s v="MFS-63983"/>
    <s v="Asabe Ihejirika"/>
    <x v="1"/>
    <x v="1"/>
    <x v="1"/>
    <s v="Manager"/>
    <x v="3"/>
    <s v="22-30"/>
    <x v="2"/>
    <s v="24/02/2022"/>
    <s v="24/01/2025"/>
    <n v="4"/>
    <n v="651000"/>
    <n v="4.9000000000000004"/>
    <n v="0"/>
    <x v="0"/>
  </r>
  <r>
    <s v="MFS-48963"/>
    <s v="Chukwudi Coker"/>
    <x v="0"/>
    <x v="2"/>
    <x v="0"/>
    <s v="Mid-level"/>
    <x v="0"/>
    <s v="31-40"/>
    <x v="0"/>
    <s v="25/01/2021"/>
    <s v="24/01/2025"/>
    <n v="5"/>
    <n v="226000"/>
    <n v="2.8"/>
    <n v="14"/>
    <x v="0"/>
  </r>
  <r>
    <s v="MFS-22054"/>
    <s v="Lanre Ihejirika"/>
    <x v="0"/>
    <x v="3"/>
    <x v="1"/>
    <s v="Mid-level"/>
    <x v="2"/>
    <s v="31-40"/>
    <x v="0"/>
    <s v="21/12/2019"/>
    <s v="24/01/2025"/>
    <n v="6"/>
    <n v="214000"/>
    <n v="4.5"/>
    <n v="6"/>
    <x v="0"/>
  </r>
  <r>
    <s v="MFS-41030"/>
    <s v="Haruna Shehu"/>
    <x v="0"/>
    <x v="0"/>
    <x v="2"/>
    <s v="Junior"/>
    <x v="1"/>
    <s v="31-40"/>
    <x v="2"/>
    <s v="28/03/2022"/>
    <s v="24/01/2025"/>
    <n v="3"/>
    <n v="170000"/>
    <n v="3.1"/>
    <n v="1"/>
    <x v="0"/>
  </r>
  <r>
    <s v="MFS-28672"/>
    <s v="Danladi Aliyu"/>
    <x v="0"/>
    <x v="2"/>
    <x v="2"/>
    <s v="Mid-level"/>
    <x v="0"/>
    <s v="22-30"/>
    <x v="2"/>
    <s v="06/10/2021"/>
    <s v="24/01/2025"/>
    <n v="4"/>
    <n v="266000"/>
    <n v="3.5"/>
    <n v="4"/>
    <x v="0"/>
  </r>
  <r>
    <s v="MFS-25958"/>
    <s v="Rotimi Buhari"/>
    <x v="0"/>
    <x v="4"/>
    <x v="2"/>
    <s v="Mid-level"/>
    <x v="0"/>
    <s v="31-40"/>
    <x v="1"/>
    <s v="07/09/2022"/>
    <s v="24/01/2025"/>
    <n v="3"/>
    <n v="323000"/>
    <n v="3.9"/>
    <n v="7"/>
    <x v="1"/>
  </r>
  <r>
    <s v="MFS-96497"/>
    <s v="Chibuike Ihejirika"/>
    <x v="0"/>
    <x v="4"/>
    <x v="0"/>
    <s v="Junior"/>
    <x v="0"/>
    <s v="22-30"/>
    <x v="0"/>
    <s v="18/07/2023"/>
    <s v="23/08/2024"/>
    <n v="2"/>
    <n v="157000"/>
    <n v="1.9"/>
    <n v="38"/>
    <x v="2"/>
  </r>
  <r>
    <s v="MFS-84738"/>
    <s v="Nana Nnamdi"/>
    <x v="1"/>
    <x v="2"/>
    <x v="0"/>
    <s v="Mid-level"/>
    <x v="2"/>
    <s v="31-40"/>
    <x v="0"/>
    <s v="06/03/2022"/>
    <s v="12/06/2024"/>
    <n v="4"/>
    <n v="331000"/>
    <n v="4.5"/>
    <n v="0"/>
    <x v="0"/>
  </r>
  <r>
    <s v="MFS-43706"/>
    <s v="Asabe Ihejirika"/>
    <x v="1"/>
    <x v="3"/>
    <x v="2"/>
    <s v="Mid-level"/>
    <x v="0"/>
    <s v="31-40"/>
    <x v="0"/>
    <s v="23/04/2021"/>
    <s v="12/06/2024"/>
    <n v="4"/>
    <n v="284000"/>
    <n v="4.8"/>
    <n v="11"/>
    <x v="0"/>
  </r>
  <r>
    <s v="MFS-46244"/>
    <s v="Lanre Taiwo"/>
    <x v="0"/>
    <x v="4"/>
    <x v="0"/>
    <s v="Mid-level"/>
    <x v="2"/>
    <s v="31-40"/>
    <x v="4"/>
    <s v="10/08/2023"/>
    <s v="12/06/2024"/>
    <n v="2"/>
    <n v="185000"/>
    <n v="2.8"/>
    <n v="9"/>
    <x v="2"/>
  </r>
  <r>
    <s v="MFS-83333"/>
    <s v="Damilola Nnamdi"/>
    <x v="1"/>
    <x v="2"/>
    <x v="0"/>
    <s v="Junior"/>
    <x v="0"/>
    <s v="31-40"/>
    <x v="1"/>
    <s v="01/11/2022"/>
    <s v="16/08/2023"/>
    <n v="3"/>
    <n v="145000"/>
    <n v="2.2000000000000002"/>
    <n v="6"/>
    <x v="0"/>
  </r>
  <r>
    <s v="MFS-92470"/>
    <s v="Ugochi Adebayo"/>
    <x v="1"/>
    <x v="2"/>
    <x v="0"/>
    <s v="Junior"/>
    <x v="2"/>
    <s v="51-60"/>
    <x v="2"/>
    <s v="17/07/2019"/>
    <s v="16/08/2023"/>
    <n v="6"/>
    <n v="117000"/>
    <n v="2.8"/>
    <n v="0"/>
    <x v="0"/>
  </r>
  <r>
    <s v="MFS-70457"/>
    <s v="Bukola Ihejirika"/>
    <x v="1"/>
    <x v="2"/>
    <x v="1"/>
    <s v="Senior"/>
    <x v="3"/>
    <s v="22-30"/>
    <x v="0"/>
    <s v="02/06/2022"/>
    <s v="16/08/2023"/>
    <n v="3"/>
    <n v="524000"/>
    <n v="4.4000000000000004"/>
    <n v="6"/>
    <x v="0"/>
  </r>
  <r>
    <s v="MFS-21801"/>
    <s v="Danladi Eze"/>
    <x v="0"/>
    <x v="4"/>
    <x v="2"/>
    <s v="Mid-level"/>
    <x v="1"/>
    <s v="31-40"/>
    <x v="0"/>
    <s v="12/03/2021"/>
    <s v="16/08/2023"/>
    <n v="5"/>
    <n v="345000"/>
    <n v="2.4"/>
    <n v="7"/>
    <x v="1"/>
  </r>
  <r>
    <s v="MFS-93200"/>
    <s v="Tosin Aliyu"/>
    <x v="1"/>
    <x v="4"/>
    <x v="2"/>
    <s v="Junior"/>
    <x v="0"/>
    <s v="41-50"/>
    <x v="2"/>
    <s v="14/01/2022"/>
    <s v="19/07/2022"/>
    <n v="4"/>
    <n v="138000"/>
    <n v="3.3"/>
    <n v="10"/>
    <x v="1"/>
  </r>
  <r>
    <s v="MFS-95884"/>
    <s v="Adaora Ogundipe"/>
    <x v="1"/>
    <x v="2"/>
    <x v="0"/>
    <s v="Junior"/>
    <x v="0"/>
    <s v="31-40"/>
    <x v="2"/>
    <s v="25/07/2023"/>
    <s v="12/04/2024"/>
    <n v="2"/>
    <n v="163000"/>
    <n v="4.5"/>
    <n v="37"/>
    <x v="1"/>
  </r>
  <r>
    <s v="MFS-24481"/>
    <s v="Eze Adesanya"/>
    <x v="0"/>
    <x v="4"/>
    <x v="2"/>
    <s v="Mid-level"/>
    <x v="0"/>
    <s v="22-30"/>
    <x v="1"/>
    <s v="04/05/2019"/>
    <s v="25/04/2024"/>
    <n v="6"/>
    <n v="293000"/>
    <n v="3.3"/>
    <n v="11"/>
    <x v="1"/>
  </r>
  <r>
    <s v="MFS-83847"/>
    <s v="Obinna Adeyemi"/>
    <x v="0"/>
    <x v="2"/>
    <x v="0"/>
    <s v="Junior"/>
    <x v="0"/>
    <s v="41-50"/>
    <x v="0"/>
    <s v="27/02/2023"/>
    <s v="13/01/2024"/>
    <n v="3"/>
    <n v="169000"/>
    <n v="2.1"/>
    <n v="4"/>
    <x v="2"/>
  </r>
  <r>
    <s v="MFS-53108"/>
    <s v="Ezinne Okeke"/>
    <x v="1"/>
    <x v="0"/>
    <x v="0"/>
    <s v="Mid-level"/>
    <x v="1"/>
    <s v="22-30"/>
    <x v="2"/>
    <s v="05/12/2022"/>
    <s v="07/11/2020"/>
    <n v="3"/>
    <n v="385000"/>
    <n v="3.2"/>
    <n v="13"/>
    <x v="0"/>
  </r>
  <r>
    <s v="MFS-90528"/>
    <s v="Chukwuemeka Yakubu"/>
    <x v="0"/>
    <x v="4"/>
    <x v="0"/>
    <s v="Mid-level"/>
    <x v="2"/>
    <s v="22-30"/>
    <x v="0"/>
    <s v="07/03/2022"/>
    <s v="07/11/2020"/>
    <n v="4"/>
    <n v="333000"/>
    <n v="4.4000000000000004"/>
    <n v="10"/>
    <x v="0"/>
  </r>
  <r>
    <s v="MFS-98788"/>
    <s v="Tobi Musa"/>
    <x v="0"/>
    <x v="1"/>
    <x v="0"/>
    <s v="Junior"/>
    <x v="0"/>
    <s v="51-60"/>
    <x v="2"/>
    <s v="29/06/2021"/>
    <s v="07/11/2020"/>
    <n v="4"/>
    <n v="97000"/>
    <n v="3.4"/>
    <n v="7"/>
    <x v="0"/>
  </r>
  <r>
    <s v="MFS-29840"/>
    <s v="Ugochi Okeke"/>
    <x v="1"/>
    <x v="3"/>
    <x v="0"/>
    <s v="Mid-level"/>
    <x v="1"/>
    <s v="22-30"/>
    <x v="1"/>
    <s v="29/05/2021"/>
    <s v="07/11/2020"/>
    <n v="4"/>
    <n v="233000"/>
    <n v="2.4"/>
    <n v="1"/>
    <x v="0"/>
  </r>
  <r>
    <s v="MFS-22445"/>
    <s v="Gbenga Ogundipe"/>
    <x v="0"/>
    <x v="4"/>
    <x v="0"/>
    <s v="Junior"/>
    <x v="2"/>
    <s v="31-40"/>
    <x v="0"/>
    <s v="31/03/2020"/>
    <s v="07/11/2020"/>
    <n v="5"/>
    <n v="86000"/>
    <n v="2.9"/>
    <n v="4"/>
    <x v="1"/>
  </r>
  <r>
    <s v="MFS-35362"/>
    <s v="Ifeanyi Obaseki"/>
    <x v="0"/>
    <x v="4"/>
    <x v="0"/>
    <s v="Mid-level"/>
    <x v="0"/>
    <s v="31-40"/>
    <x v="0"/>
    <s v="13/02/2022"/>
    <s v="25/10/2022"/>
    <n v="4"/>
    <n v="225000"/>
    <n v="1.8"/>
    <n v="0"/>
    <x v="0"/>
  </r>
  <r>
    <s v="MFS-93568"/>
    <s v="Chinedu Yakubu"/>
    <x v="0"/>
    <x v="3"/>
    <x v="0"/>
    <s v="Manager"/>
    <x v="0"/>
    <s v="41-50"/>
    <x v="3"/>
    <s v="02/09/2021"/>
    <s v="25/10/2022"/>
    <n v="4"/>
    <n v="705000"/>
    <n v="4.5"/>
    <n v="8"/>
    <x v="0"/>
  </r>
  <r>
    <s v="MFS-42011"/>
    <s v="Babatunde Ogundipe"/>
    <x v="0"/>
    <x v="3"/>
    <x v="2"/>
    <s v="Senior"/>
    <x v="0"/>
    <s v="31-40"/>
    <x v="0"/>
    <s v="29/10/2020"/>
    <s v="25/10/2022"/>
    <n v="5"/>
    <n v="359000"/>
    <n v="4"/>
    <n v="8"/>
    <x v="2"/>
  </r>
  <r>
    <s v="MFS-63896"/>
    <s v="Yakubu Danladi"/>
    <x v="0"/>
    <x v="4"/>
    <x v="0"/>
    <s v="Junior"/>
    <x v="2"/>
    <s v="51-60"/>
    <x v="4"/>
    <s v="09/03/2021"/>
    <s v="24/12/2024"/>
    <n v="5"/>
    <n v="153000"/>
    <n v="3.5"/>
    <n v="2"/>
    <x v="0"/>
  </r>
  <r>
    <s v="MFS-36220"/>
    <s v="Emeka Suleiman"/>
    <x v="0"/>
    <x v="3"/>
    <x v="1"/>
    <s v="Mid-level"/>
    <x v="3"/>
    <s v="41-50"/>
    <x v="0"/>
    <s v="17/11/2023"/>
    <s v="24/12/2024"/>
    <n v="2"/>
    <n v="323000"/>
    <n v="3.3"/>
    <n v="3"/>
    <x v="2"/>
  </r>
  <r>
    <s v="MFS-14173"/>
    <s v="Ifeanyi Musa"/>
    <x v="0"/>
    <x v="0"/>
    <x v="1"/>
    <s v="Mid-level"/>
    <x v="0"/>
    <s v="51-60"/>
    <x v="0"/>
    <s v="23/02/2023"/>
    <s v="12/10/2024"/>
    <n v="3"/>
    <n v="341000"/>
    <n v="2.4"/>
    <n v="3"/>
    <x v="1"/>
  </r>
  <r>
    <s v="MFS-42038"/>
    <s v="Dele Coker"/>
    <x v="0"/>
    <x v="2"/>
    <x v="2"/>
    <s v="Mid-level"/>
    <x v="0"/>
    <s v="22-30"/>
    <x v="2"/>
    <s v="22/04/2019"/>
    <s v="26/10/2020"/>
    <n v="6"/>
    <n v="320000"/>
    <n v="2.4"/>
    <n v="5"/>
    <x v="0"/>
  </r>
  <r>
    <s v="MFS-56577"/>
    <s v="Sola Onwudiwe"/>
    <x v="1"/>
    <x v="4"/>
    <x v="0"/>
    <s v="Mid-level"/>
    <x v="2"/>
    <s v="51-60"/>
    <x v="0"/>
    <s v="13/06/2023"/>
    <s v="26/10/2020"/>
    <n v="2"/>
    <n v="243000"/>
    <n v="2"/>
    <n v="7"/>
    <x v="0"/>
  </r>
  <r>
    <s v="MFS-65004"/>
    <s v="Maryam Nnamdi"/>
    <x v="1"/>
    <x v="0"/>
    <x v="0"/>
    <s v="Mid-level"/>
    <x v="2"/>
    <s v="22-30"/>
    <x v="0"/>
    <s v="30/11/2019"/>
    <s v="26/10/2020"/>
    <n v="6"/>
    <n v="314000"/>
    <n v="2.1"/>
    <n v="23"/>
    <x v="2"/>
  </r>
  <r>
    <s v="MFS-27856"/>
    <s v="Laraba Lawal"/>
    <x v="1"/>
    <x v="3"/>
    <x v="0"/>
    <s v="Senior"/>
    <x v="2"/>
    <s v="22-30"/>
    <x v="1"/>
    <s v="31/01/2021"/>
    <s v="16/04/2024"/>
    <n v="5"/>
    <n v="501000"/>
    <n v="4.3"/>
    <n v="12"/>
    <x v="0"/>
  </r>
  <r>
    <s v="MFS-11330"/>
    <s v="Ibrahim Nduka"/>
    <x v="0"/>
    <x v="4"/>
    <x v="0"/>
    <s v="Junior"/>
    <x v="2"/>
    <s v="22-30"/>
    <x v="0"/>
    <s v="12/06/2023"/>
    <s v="16/04/2024"/>
    <n v="2"/>
    <n v="87000"/>
    <n v="2.1"/>
    <n v="3"/>
    <x v="0"/>
  </r>
  <r>
    <s v="MFS-37548"/>
    <s v="Garba Nwachukwu"/>
    <x v="0"/>
    <x v="4"/>
    <x v="0"/>
    <s v="Junior"/>
    <x v="0"/>
    <s v="31-40"/>
    <x v="2"/>
    <s v="30/12/2020"/>
    <s v="16/04/2024"/>
    <n v="5"/>
    <n v="160000"/>
    <n v="2.8"/>
    <n v="4"/>
    <x v="0"/>
  </r>
  <r>
    <s v="MFS-66031"/>
    <s v="Eze Adesanya"/>
    <x v="0"/>
    <x v="0"/>
    <x v="0"/>
    <s v="Junior"/>
    <x v="0"/>
    <s v="31-40"/>
    <x v="0"/>
    <s v="04/10/2023"/>
    <s v="16/04/2024"/>
    <n v="2"/>
    <n v="192000"/>
    <n v="2.8"/>
    <n v="5"/>
    <x v="2"/>
  </r>
  <r>
    <s v="MFS-10103"/>
    <s v="Lola Fagbemi"/>
    <x v="1"/>
    <x v="0"/>
    <x v="2"/>
    <s v="Senior"/>
    <x v="1"/>
    <s v="51-60"/>
    <x v="2"/>
    <s v="21/09/2019"/>
    <s v="04/10/2023"/>
    <n v="6"/>
    <n v="463000"/>
    <n v="3.8"/>
    <n v="10"/>
    <x v="0"/>
  </r>
  <r>
    <s v="MFS-62140"/>
    <s v="Suleiman Shehu"/>
    <x v="0"/>
    <x v="0"/>
    <x v="0"/>
    <s v="Senior"/>
    <x v="0"/>
    <s v="41-50"/>
    <x v="0"/>
    <s v="20/01/2023"/>
    <s v="04/10/2023"/>
    <n v="3"/>
    <n v="598000"/>
    <n v="3.4"/>
    <n v="2"/>
    <x v="2"/>
  </r>
  <r>
    <s v="MFS-67354"/>
    <s v="Femi Adeyemi"/>
    <x v="0"/>
    <x v="4"/>
    <x v="0"/>
    <s v="Senior"/>
    <x v="0"/>
    <s v="31-40"/>
    <x v="0"/>
    <s v="10/03/2019"/>
    <s v="09/08/2024"/>
    <n v="7"/>
    <n v="355000"/>
    <n v="3.2"/>
    <n v="8"/>
    <x v="0"/>
  </r>
  <r>
    <s v="MFS-19876"/>
    <s v="Yakubu Ogbonna"/>
    <x v="0"/>
    <x v="1"/>
    <x v="1"/>
    <s v="Mid-level"/>
    <x v="1"/>
    <s v="31-40"/>
    <x v="2"/>
    <s v="23/10/2020"/>
    <s v="09/08/2024"/>
    <n v="5"/>
    <n v="298000"/>
    <n v="2.5"/>
    <n v="29"/>
    <x v="0"/>
  </r>
  <r>
    <s v="MFS-59054"/>
    <s v="Uche Afolabi"/>
    <x v="0"/>
    <x v="2"/>
    <x v="2"/>
    <s v="Mid-level"/>
    <x v="1"/>
    <s v="31-40"/>
    <x v="2"/>
    <s v="02/11/2020"/>
    <s v="09/08/2024"/>
    <n v="5"/>
    <n v="222000"/>
    <n v="3.9"/>
    <n v="2"/>
    <x v="1"/>
  </r>
  <r>
    <s v="MFS-39145"/>
    <s v="Falmata Omotayo"/>
    <x v="1"/>
    <x v="3"/>
    <x v="2"/>
    <s v="Mid-level"/>
    <x v="0"/>
    <s v="31-40"/>
    <x v="1"/>
    <s v="06/01/2020"/>
    <s v="13/10/2024"/>
    <n v="6"/>
    <n v="230000"/>
    <n v="3.4"/>
    <n v="11"/>
    <x v="1"/>
  </r>
  <r>
    <s v="MFS-31586"/>
    <s v="Falmata Aliyu"/>
    <x v="1"/>
    <x v="4"/>
    <x v="0"/>
    <s v="Senior"/>
    <x v="3"/>
    <s v="41-50"/>
    <x v="3"/>
    <s v="08/07/2022"/>
    <s v="01/11/2023"/>
    <n v="3"/>
    <n v="592000"/>
    <n v="2.4"/>
    <n v="7"/>
    <x v="1"/>
  </r>
  <r>
    <s v="MFS-25341"/>
    <s v="Yetunde Eze"/>
    <x v="1"/>
    <x v="3"/>
    <x v="0"/>
    <s v="Senior"/>
    <x v="2"/>
    <s v="22-30"/>
    <x v="2"/>
    <s v="03/04/2020"/>
    <s v="27/01/2025"/>
    <n v="5"/>
    <n v="571000"/>
    <n v="4.5999999999999996"/>
    <n v="16"/>
    <x v="0"/>
  </r>
  <r>
    <s v="MFS-43526"/>
    <s v="Yemi Amadi"/>
    <x v="1"/>
    <x v="3"/>
    <x v="0"/>
    <s v="Senior"/>
    <x v="0"/>
    <s v="41-50"/>
    <x v="3"/>
    <s v="28/06/2021"/>
    <s v="27/01/2025"/>
    <n v="4"/>
    <n v="445000"/>
    <n v="3.6"/>
    <n v="2"/>
    <x v="0"/>
  </r>
  <r>
    <s v="MFS-58570"/>
    <s v="Uche Taiwo"/>
    <x v="0"/>
    <x v="3"/>
    <x v="0"/>
    <s v="Senior"/>
    <x v="0"/>
    <s v="31-40"/>
    <x v="2"/>
    <s v="21/03/2022"/>
    <s v="27/01/2025"/>
    <n v="3"/>
    <n v="395000"/>
    <n v="2"/>
    <n v="4"/>
    <x v="0"/>
  </r>
  <r>
    <s v="MFS-90779"/>
    <s v="Chukwuemeka Amadi"/>
    <x v="0"/>
    <x v="4"/>
    <x v="0"/>
    <s v="Mid-level"/>
    <x v="3"/>
    <s v="41-50"/>
    <x v="1"/>
    <s v="28/03/2020"/>
    <s v="27/01/2025"/>
    <n v="5"/>
    <n v="221000"/>
    <n v="2.7"/>
    <n v="14"/>
    <x v="0"/>
  </r>
  <r>
    <s v="MFS-67084"/>
    <s v="Bimpe Buhari"/>
    <x v="1"/>
    <x v="2"/>
    <x v="0"/>
    <s v="Junior"/>
    <x v="2"/>
    <s v="22-30"/>
    <x v="3"/>
    <s v="06/10/2020"/>
    <s v="27/01/2025"/>
    <n v="5"/>
    <n v="130000"/>
    <n v="3.5"/>
    <n v="6"/>
    <x v="0"/>
  </r>
  <r>
    <s v="MFS-80782"/>
    <s v="Maryam Musa"/>
    <x v="1"/>
    <x v="2"/>
    <x v="0"/>
    <s v="Junior"/>
    <x v="1"/>
    <s v="41-50"/>
    <x v="0"/>
    <s v="22/07/2022"/>
    <s v="27/01/2025"/>
    <n v="3"/>
    <n v="111000"/>
    <n v="3.1"/>
    <n v="2"/>
    <x v="1"/>
  </r>
  <r>
    <s v="MFS-44894"/>
    <s v="Nnamdi Adesanya"/>
    <x v="0"/>
    <x v="4"/>
    <x v="0"/>
    <s v="Manager"/>
    <x v="0"/>
    <s v="41-50"/>
    <x v="0"/>
    <s v="28/02/2023"/>
    <s v="27/10/2024"/>
    <n v="3"/>
    <n v="930000"/>
    <n v="3.3"/>
    <n v="4"/>
    <x v="0"/>
  </r>
  <r>
    <s v="MFS-28350"/>
    <s v="Tobi Shehu"/>
    <x v="0"/>
    <x v="3"/>
    <x v="0"/>
    <s v="Junior"/>
    <x v="0"/>
    <s v="31-40"/>
    <x v="0"/>
    <s v="30/01/2020"/>
    <s v="27/10/2024"/>
    <n v="6"/>
    <n v="119000"/>
    <n v="3.8"/>
    <n v="0"/>
    <x v="0"/>
  </r>
  <r>
    <s v="MFS-43289"/>
    <s v="Ugochi Obaseki"/>
    <x v="1"/>
    <x v="4"/>
    <x v="0"/>
    <s v="Mid-level"/>
    <x v="2"/>
    <s v="22-30"/>
    <x v="0"/>
    <s v="07/09/2020"/>
    <s v="27/10/2024"/>
    <n v="5"/>
    <n v="243000"/>
    <n v="2.2999999999999998"/>
    <n v="40"/>
    <x v="2"/>
  </r>
  <r>
    <s v="MFS-43686"/>
    <s v="Uche Okonkwo"/>
    <x v="0"/>
    <x v="3"/>
    <x v="0"/>
    <s v="Junior"/>
    <x v="3"/>
    <s v="22-30"/>
    <x v="2"/>
    <s v="03/02/2022"/>
    <s v="16/03/2024"/>
    <n v="4"/>
    <n v="107000"/>
    <n v="2.8"/>
    <n v="13"/>
    <x v="0"/>
  </r>
  <r>
    <s v="MFS-77426"/>
    <s v="Sola Taiwo"/>
    <x v="1"/>
    <x v="3"/>
    <x v="0"/>
    <s v="Mid-level"/>
    <x v="0"/>
    <s v="41-50"/>
    <x v="3"/>
    <s v="05/05/2022"/>
    <s v="16/03/2024"/>
    <n v="3"/>
    <n v="307000"/>
    <n v="4.7"/>
    <n v="6"/>
    <x v="0"/>
  </r>
  <r>
    <s v="MFS-50406"/>
    <s v="Ibrahim Chukwu"/>
    <x v="0"/>
    <x v="0"/>
    <x v="0"/>
    <s v="Manager"/>
    <x v="0"/>
    <s v="31-40"/>
    <x v="0"/>
    <s v="02/02/2022"/>
    <s v="16/03/2024"/>
    <n v="4"/>
    <n v="865000"/>
    <n v="4.3"/>
    <n v="11"/>
    <x v="0"/>
  </r>
  <r>
    <s v="MFS-96322"/>
    <s v="Babatunde Ogbonna"/>
    <x v="0"/>
    <x v="3"/>
    <x v="0"/>
    <s v="Mid-level"/>
    <x v="0"/>
    <s v="31-40"/>
    <x v="3"/>
    <s v="24/02/2022"/>
    <s v="16/03/2024"/>
    <n v="4"/>
    <n v="286000"/>
    <n v="3.4"/>
    <n v="14"/>
    <x v="0"/>
  </r>
  <r>
    <s v="MFS-85120"/>
    <s v="Ifeanyi Oyelaran"/>
    <x v="0"/>
    <x v="0"/>
    <x v="0"/>
    <s v="Junior"/>
    <x v="1"/>
    <s v="41-50"/>
    <x v="1"/>
    <s v="07/06/2022"/>
    <s v="16/03/2024"/>
    <n v="3"/>
    <n v="144000"/>
    <n v="4.2"/>
    <n v="3"/>
    <x v="0"/>
  </r>
  <r>
    <s v="MFS-79716"/>
    <s v="Usman Nwachukwu"/>
    <x v="0"/>
    <x v="4"/>
    <x v="0"/>
    <s v="Mid-level"/>
    <x v="0"/>
    <s v="31-40"/>
    <x v="1"/>
    <s v="02/10/2022"/>
    <s v="16/03/2024"/>
    <n v="3"/>
    <n v="194000"/>
    <n v="2.9"/>
    <n v="0"/>
    <x v="1"/>
  </r>
  <r>
    <s v="MFS-74784"/>
    <s v="Titi Omotayo"/>
    <x v="1"/>
    <x v="4"/>
    <x v="0"/>
    <s v="Junior"/>
    <x v="1"/>
    <s v="22-30"/>
    <x v="3"/>
    <s v="12/01/2022"/>
    <s v="17/07/2022"/>
    <n v="4"/>
    <n v="85000"/>
    <n v="2.2000000000000002"/>
    <n v="5"/>
    <x v="3"/>
  </r>
  <r>
    <s v="MFS-20567"/>
    <s v="Rukayya Taiwo"/>
    <x v="1"/>
    <x v="2"/>
    <x v="0"/>
    <s v="Manager"/>
    <x v="0"/>
    <s v="31-40"/>
    <x v="2"/>
    <s v="28/06/2020"/>
    <s v="02/06/2022"/>
    <n v="5"/>
    <n v="795000"/>
    <n v="4"/>
    <n v="3"/>
    <x v="1"/>
  </r>
  <r>
    <s v="MFS-61382"/>
    <s v="Yemi Eze"/>
    <x v="1"/>
    <x v="0"/>
    <x v="0"/>
    <s v="Junior"/>
    <x v="2"/>
    <s v="31-40"/>
    <x v="2"/>
    <s v="25/11/2020"/>
    <s v="16/09/2023"/>
    <n v="5"/>
    <n v="114000"/>
    <n v="2.9"/>
    <n v="10"/>
    <x v="1"/>
  </r>
  <r>
    <s v="MFS-56787"/>
    <s v="Ngozi Shehu"/>
    <x v="1"/>
    <x v="0"/>
    <x v="0"/>
    <s v="Mid-level"/>
    <x v="0"/>
    <s v="31-40"/>
    <x v="2"/>
    <s v="01/07/2020"/>
    <s v="23/06/2024"/>
    <n v="5"/>
    <n v="276000"/>
    <n v="2.2999999999999998"/>
    <n v="6"/>
    <x v="1"/>
  </r>
  <r>
    <s v="MFS-13493"/>
    <s v="Emeka Okafor"/>
    <x v="0"/>
    <x v="1"/>
    <x v="0"/>
    <s v="Mid-level"/>
    <x v="0"/>
    <s v="41-50"/>
    <x v="2"/>
    <s v="28/11/2019"/>
    <s v="26/06/2021"/>
    <n v="6"/>
    <n v="282000"/>
    <n v="4.3"/>
    <n v="6"/>
    <x v="0"/>
  </r>
  <r>
    <s v="MFS-57603"/>
    <s v="Chinyere Obi"/>
    <x v="1"/>
    <x v="1"/>
    <x v="0"/>
    <s v="Senior"/>
    <x v="0"/>
    <s v="22-30"/>
    <x v="0"/>
    <s v="23/04/2019"/>
    <s v="26/06/2021"/>
    <n v="6"/>
    <n v="427000"/>
    <n v="4.7"/>
    <n v="2"/>
    <x v="0"/>
  </r>
  <r>
    <s v="MFS-52698"/>
    <s v="Eze Bello"/>
    <x v="0"/>
    <x v="3"/>
    <x v="0"/>
    <s v="Senior"/>
    <x v="0"/>
    <s v="22-30"/>
    <x v="1"/>
    <s v="22/01/2019"/>
    <s v="26/06/2021"/>
    <n v="7"/>
    <n v="411000"/>
    <n v="2.9"/>
    <n v="26"/>
    <x v="2"/>
  </r>
  <r>
    <s v="MFS-59901"/>
    <s v="Biodun Aliyu"/>
    <x v="0"/>
    <x v="1"/>
    <x v="0"/>
    <s v="Senior"/>
    <x v="2"/>
    <s v="41-50"/>
    <x v="2"/>
    <s v="01/08/2022"/>
    <s v="07/08/2024"/>
    <n v="3"/>
    <n v="480000"/>
    <n v="2.5"/>
    <n v="7"/>
    <x v="1"/>
  </r>
  <r>
    <s v="MFS-76964"/>
    <s v="Obiora Okafor"/>
    <x v="0"/>
    <x v="0"/>
    <x v="0"/>
    <s v="Mid-level"/>
    <x v="2"/>
    <s v="51-60"/>
    <x v="1"/>
    <s v="30/11/2022"/>
    <s v="05/07/2024"/>
    <n v="3"/>
    <n v="278000"/>
    <n v="3.3"/>
    <n v="4"/>
    <x v="2"/>
  </r>
  <r>
    <s v="MFS-76913"/>
    <s v="Babatunde Nnamdi"/>
    <x v="0"/>
    <x v="0"/>
    <x v="0"/>
    <s v="Junior"/>
    <x v="0"/>
    <s v="22-30"/>
    <x v="2"/>
    <s v="16/07/2021"/>
    <s v="03/05/2023"/>
    <n v="4"/>
    <n v="178000"/>
    <n v="3.9"/>
    <n v="13"/>
    <x v="1"/>
  </r>
  <r>
    <s v="MFS-14285"/>
    <s v="Rotimi Coker"/>
    <x v="0"/>
    <x v="3"/>
    <x v="0"/>
    <s v="Junior"/>
    <x v="1"/>
    <s v="41-50"/>
    <x v="0"/>
    <s v="22/08/2019"/>
    <s v="13/05/2020"/>
    <n v="6"/>
    <n v="110000"/>
    <n v="3.6"/>
    <n v="8"/>
    <x v="1"/>
  </r>
  <r>
    <s v="MFS-65492"/>
    <s v="Gbenga Okafor"/>
    <x v="0"/>
    <x v="3"/>
    <x v="2"/>
    <s v="Mid-level"/>
    <x v="0"/>
    <s v="31-40"/>
    <x v="0"/>
    <s v="05/03/2021"/>
    <s v="10/09/2024"/>
    <n v="5"/>
    <n v="275000"/>
    <n v="3.7"/>
    <n v="8"/>
    <x v="0"/>
  </r>
  <r>
    <s v="MFS-26577"/>
    <s v="Ikenna Okonkwo"/>
    <x v="0"/>
    <x v="3"/>
    <x v="0"/>
    <s v="Director"/>
    <x v="2"/>
    <s v="41-50"/>
    <x v="0"/>
    <s v="03/08/2020"/>
    <s v="10/09/2024"/>
    <n v="5"/>
    <n v="1278000"/>
    <n v="3.3"/>
    <n v="39"/>
    <x v="0"/>
  </r>
  <r>
    <s v="MFS-21732"/>
    <s v="Seun Buhari"/>
    <x v="0"/>
    <x v="2"/>
    <x v="1"/>
    <s v="Junior"/>
    <x v="0"/>
    <s v="22-30"/>
    <x v="1"/>
    <s v="07/10/2019"/>
    <s v="10/09/2024"/>
    <n v="6"/>
    <n v="159000"/>
    <n v="2.1"/>
    <n v="4"/>
    <x v="0"/>
  </r>
  <r>
    <s v="MFS-42009"/>
    <s v="Chibuike Adesanya"/>
    <x v="0"/>
    <x v="0"/>
    <x v="0"/>
    <s v="Mid-level"/>
    <x v="0"/>
    <s v="22-30"/>
    <x v="3"/>
    <s v="14/10/2023"/>
    <s v="10/09/2024"/>
    <n v="2"/>
    <n v="336000"/>
    <n v="2.4"/>
    <n v="8"/>
    <x v="0"/>
  </r>
  <r>
    <s v="MFS-76425"/>
    <s v="Chinedu Obaseki"/>
    <x v="0"/>
    <x v="1"/>
    <x v="2"/>
    <s v="Senior"/>
    <x v="0"/>
    <s v="41-50"/>
    <x v="2"/>
    <s v="20/06/2022"/>
    <s v="10/09/2024"/>
    <n v="3"/>
    <n v="350000"/>
    <n v="3"/>
    <n v="14"/>
    <x v="0"/>
  </r>
  <r>
    <s v="MFS-11138"/>
    <s v="Babatunde Adebayo"/>
    <x v="0"/>
    <x v="4"/>
    <x v="1"/>
    <s v="Manager"/>
    <x v="1"/>
    <s v="22-30"/>
    <x v="0"/>
    <s v="13/01/2019"/>
    <s v="10/09/2024"/>
    <n v="7"/>
    <n v="922000"/>
    <n v="4.5"/>
    <n v="18"/>
    <x v="0"/>
  </r>
  <r>
    <s v="MFS-70222"/>
    <s v="Tunde Adewale"/>
    <x v="0"/>
    <x v="0"/>
    <x v="0"/>
    <s v="Junior"/>
    <x v="0"/>
    <s v="31-40"/>
    <x v="2"/>
    <s v="11/11/2019"/>
    <s v="10/09/2024"/>
    <n v="6"/>
    <n v="133000"/>
    <n v="4.8"/>
    <n v="9"/>
    <x v="0"/>
  </r>
  <r>
    <s v="MFS-50924"/>
    <s v="Kemi Okafor"/>
    <x v="1"/>
    <x v="1"/>
    <x v="2"/>
    <s v="Mid-level"/>
    <x v="0"/>
    <s v="31-40"/>
    <x v="2"/>
    <s v="02/04/2021"/>
    <s v="10/09/2024"/>
    <n v="4"/>
    <n v="230000"/>
    <n v="2.9"/>
    <n v="26"/>
    <x v="0"/>
  </r>
  <r>
    <s v="MFS-18119"/>
    <s v="Damilola Adeyemi"/>
    <x v="1"/>
    <x v="4"/>
    <x v="1"/>
    <s v="Senior"/>
    <x v="1"/>
    <s v="41-50"/>
    <x v="2"/>
    <s v="22/01/2021"/>
    <s v="10/09/2024"/>
    <n v="5"/>
    <n v="431000"/>
    <n v="3.6"/>
    <n v="0"/>
    <x v="0"/>
  </r>
  <r>
    <s v="MFS-27951"/>
    <s v="Adeola Nduka"/>
    <x v="1"/>
    <x v="3"/>
    <x v="0"/>
    <s v="Mid-level"/>
    <x v="2"/>
    <s v="31-40"/>
    <x v="2"/>
    <s v="05/05/2019"/>
    <s v="10/09/2024"/>
    <n v="6"/>
    <n v="251000"/>
    <n v="3.3"/>
    <n v="10"/>
    <x v="0"/>
  </r>
  <r>
    <s v="MFS-12040"/>
    <s v="Ramatu Buhari"/>
    <x v="1"/>
    <x v="3"/>
    <x v="1"/>
    <s v="Manager"/>
    <x v="0"/>
    <s v="31-40"/>
    <x v="1"/>
    <s v="25/10/2021"/>
    <s v="10/09/2024"/>
    <n v="4"/>
    <n v="779000"/>
    <n v="3.5"/>
    <n v="6"/>
    <x v="1"/>
  </r>
  <r>
    <s v="MFS-12487"/>
    <s v="Nasiru Amadi"/>
    <x v="0"/>
    <x v="1"/>
    <x v="1"/>
    <s v="Manager"/>
    <x v="0"/>
    <s v="51-60"/>
    <x v="3"/>
    <s v="28/01/2023"/>
    <s v="11/08/2024"/>
    <n v="3"/>
    <n v="635000"/>
    <n v="3.7"/>
    <n v="8"/>
    <x v="1"/>
  </r>
  <r>
    <s v="MFS-30308"/>
    <s v="Rukayya Okafor"/>
    <x v="1"/>
    <x v="0"/>
    <x v="2"/>
    <s v="Mid-level"/>
    <x v="0"/>
    <s v="31-40"/>
    <x v="2"/>
    <s v="13/12/2020"/>
    <s v="25/02/2025"/>
    <n v="5"/>
    <n v="298000"/>
    <n v="3"/>
    <n v="13"/>
    <x v="1"/>
  </r>
  <r>
    <s v="MFS-72190"/>
    <s v="Haruna Obaseki"/>
    <x v="0"/>
    <x v="1"/>
    <x v="0"/>
    <s v="Mid-level"/>
    <x v="2"/>
    <s v="22-30"/>
    <x v="1"/>
    <s v="27/12/2022"/>
    <s v="07/07/2024"/>
    <n v="3"/>
    <n v="182000"/>
    <n v="3.3"/>
    <n v="4"/>
    <x v="0"/>
  </r>
  <r>
    <s v="MFS-12640"/>
    <s v="Falmata Afolabi"/>
    <x v="1"/>
    <x v="0"/>
    <x v="2"/>
    <s v="Mid-level"/>
    <x v="1"/>
    <s v="22-30"/>
    <x v="0"/>
    <s v="01/05/2021"/>
    <s v="07/07/2024"/>
    <n v="4"/>
    <n v="267000"/>
    <n v="4.8"/>
    <n v="7"/>
    <x v="0"/>
  </r>
  <r>
    <s v="MFS-13702"/>
    <s v="Chinyere Ihejirika"/>
    <x v="1"/>
    <x v="3"/>
    <x v="2"/>
    <s v="Mid-level"/>
    <x v="0"/>
    <s v="51-60"/>
    <x v="2"/>
    <s v="23/10/2021"/>
    <s v="07/07/2024"/>
    <n v="4"/>
    <n v="190000"/>
    <n v="3"/>
    <n v="2"/>
    <x v="0"/>
  </r>
  <r>
    <s v="MFS-24697"/>
    <s v="Adaeze Taiwo"/>
    <x v="1"/>
    <x v="1"/>
    <x v="0"/>
    <s v="Junior"/>
    <x v="1"/>
    <s v="51-60"/>
    <x v="0"/>
    <s v="02/10/2023"/>
    <s v="07/07/2024"/>
    <n v="2"/>
    <n v="149000"/>
    <n v="3"/>
    <n v="8"/>
    <x v="0"/>
  </r>
  <r>
    <s v="MFS-21215"/>
    <s v="Obinna Obaseki"/>
    <x v="0"/>
    <x v="3"/>
    <x v="0"/>
    <s v="Mid-level"/>
    <x v="0"/>
    <s v="22-30"/>
    <x v="1"/>
    <s v="05/12/2020"/>
    <s v="07/07/2024"/>
    <n v="5"/>
    <n v="192000"/>
    <n v="3.8"/>
    <n v="3"/>
    <x v="0"/>
  </r>
  <r>
    <s v="MFS-38533"/>
    <s v="Jummai Amadi"/>
    <x v="1"/>
    <x v="4"/>
    <x v="0"/>
    <s v="Junior"/>
    <x v="0"/>
    <s v="31-40"/>
    <x v="2"/>
    <s v="08/12/2020"/>
    <s v="07/07/2024"/>
    <n v="5"/>
    <n v="161000"/>
    <n v="3.1"/>
    <n v="11"/>
    <x v="0"/>
  </r>
  <r>
    <s v="MFS-42570"/>
    <s v="Chiamaka Coker"/>
    <x v="1"/>
    <x v="1"/>
    <x v="2"/>
    <s v="Senior"/>
    <x v="0"/>
    <s v="31-40"/>
    <x v="0"/>
    <s v="16/07/2023"/>
    <s v="07/07/2024"/>
    <n v="2"/>
    <n v="389000"/>
    <n v="2"/>
    <n v="7"/>
    <x v="0"/>
  </r>
  <r>
    <s v="MFS-46749"/>
    <s v="Chinwe Eze"/>
    <x v="1"/>
    <x v="3"/>
    <x v="2"/>
    <s v="Junior"/>
    <x v="0"/>
    <s v="51-60"/>
    <x v="0"/>
    <s v="04/09/2020"/>
    <s v="07/07/2024"/>
    <n v="5"/>
    <n v="100000"/>
    <n v="2.7"/>
    <n v="6"/>
    <x v="0"/>
  </r>
  <r>
    <s v="MFS-88534"/>
    <s v="Ifeoma Uba"/>
    <x v="1"/>
    <x v="0"/>
    <x v="0"/>
    <s v="Mid-level"/>
    <x v="0"/>
    <s v="22-30"/>
    <x v="0"/>
    <s v="01/09/2022"/>
    <s v="07/07/2024"/>
    <n v="3"/>
    <n v="237000"/>
    <n v="2.9"/>
    <n v="7"/>
    <x v="0"/>
  </r>
  <r>
    <s v="MFS-85483"/>
    <s v="Chinyere Okafor"/>
    <x v="1"/>
    <x v="3"/>
    <x v="0"/>
    <s v="Director"/>
    <x v="0"/>
    <s v="31-40"/>
    <x v="2"/>
    <s v="19/02/2021"/>
    <s v="07/07/2024"/>
    <n v="5"/>
    <n v="1594000"/>
    <n v="3.9"/>
    <n v="13"/>
    <x v="0"/>
  </r>
  <r>
    <s v="MFS-31513"/>
    <s v="Jummai Shehu"/>
    <x v="1"/>
    <x v="4"/>
    <x v="1"/>
    <s v="Mid-level"/>
    <x v="2"/>
    <s v="51-60"/>
    <x v="0"/>
    <s v="04/04/2022"/>
    <s v="07/07/2024"/>
    <n v="3"/>
    <n v="216000"/>
    <n v="2.8"/>
    <n v="40"/>
    <x v="0"/>
  </r>
  <r>
    <s v="MFS-95082"/>
    <s v="Kabiru Yakubu"/>
    <x v="0"/>
    <x v="3"/>
    <x v="2"/>
    <s v="Manager"/>
    <x v="3"/>
    <s v="51-60"/>
    <x v="1"/>
    <s v="08/03/2020"/>
    <s v="07/07/2024"/>
    <n v="6"/>
    <n v="797000"/>
    <n v="3.8"/>
    <n v="13"/>
    <x v="0"/>
  </r>
  <r>
    <s v="MFS-81380"/>
    <s v="Kunle Okafor"/>
    <x v="0"/>
    <x v="3"/>
    <x v="0"/>
    <s v="Mid-level"/>
    <x v="0"/>
    <s v="41-50"/>
    <x v="0"/>
    <s v="02/04/2021"/>
    <s v="07/07/2024"/>
    <n v="4"/>
    <n v="243000"/>
    <n v="5"/>
    <n v="2"/>
    <x v="1"/>
  </r>
  <r>
    <s v="MFS-38101"/>
    <s v="Gbenga Obaseki"/>
    <x v="0"/>
    <x v="4"/>
    <x v="2"/>
    <s v="Junior"/>
    <x v="1"/>
    <s v="41-50"/>
    <x v="0"/>
    <s v="24/01/2020"/>
    <s v="17/04/2022"/>
    <n v="6"/>
    <n v="89000"/>
    <n v="2.4"/>
    <n v="2"/>
    <x v="1"/>
  </r>
  <r>
    <s v="MFS-27722"/>
    <s v="Laraba Fagbemi"/>
    <x v="1"/>
    <x v="0"/>
    <x v="1"/>
    <s v="Junior"/>
    <x v="0"/>
    <s v="31-40"/>
    <x v="2"/>
    <s v="17/07/2019"/>
    <s v="21/04/2024"/>
    <n v="6"/>
    <n v="194000"/>
    <n v="2.8"/>
    <n v="8"/>
    <x v="0"/>
  </r>
  <r>
    <s v="MFS-33502"/>
    <s v="Chinwe Chukwu"/>
    <x v="1"/>
    <x v="2"/>
    <x v="1"/>
    <s v="Junior"/>
    <x v="3"/>
    <s v="31-40"/>
    <x v="2"/>
    <s v="02/01/2021"/>
    <s v="21/04/2024"/>
    <n v="5"/>
    <n v="89000"/>
    <n v="4.5"/>
    <n v="2"/>
    <x v="0"/>
  </r>
  <r>
    <s v="MFS-29794"/>
    <s v="Chibuike Uba"/>
    <x v="0"/>
    <x v="4"/>
    <x v="0"/>
    <s v="Senior"/>
    <x v="2"/>
    <s v="31-40"/>
    <x v="2"/>
    <s v="12/01/2019"/>
    <s v="21/04/2024"/>
    <n v="7"/>
    <n v="394000"/>
    <n v="2.6"/>
    <n v="10"/>
    <x v="0"/>
  </r>
  <r>
    <s v="MFS-79181"/>
    <s v="Aisha Suleiman"/>
    <x v="1"/>
    <x v="1"/>
    <x v="0"/>
    <s v="Mid-level"/>
    <x v="1"/>
    <s v="51-60"/>
    <x v="2"/>
    <s v="14/04/2021"/>
    <s v="21/04/2024"/>
    <n v="4"/>
    <n v="180000"/>
    <n v="3.1"/>
    <n v="0"/>
    <x v="0"/>
  </r>
  <r>
    <s v="MFS-42965"/>
    <s v="Uche Coker"/>
    <x v="0"/>
    <x v="3"/>
    <x v="0"/>
    <s v="Senior"/>
    <x v="2"/>
    <s v="41-50"/>
    <x v="0"/>
    <s v="30/07/2023"/>
    <s v="21/04/2024"/>
    <n v="2"/>
    <n v="393000"/>
    <n v="4.4000000000000004"/>
    <n v="5"/>
    <x v="1"/>
  </r>
  <r>
    <s v="MFS-68693"/>
    <s v="Tobi Fagbemi"/>
    <x v="0"/>
    <x v="3"/>
    <x v="0"/>
    <s v="Mid-level"/>
    <x v="1"/>
    <s v="31-40"/>
    <x v="2"/>
    <s v="06/02/2019"/>
    <s v="06/03/2022"/>
    <n v="7"/>
    <n v="263000"/>
    <n v="4.5999999999999996"/>
    <n v="7"/>
    <x v="1"/>
  </r>
  <r>
    <s v="MFS-74624"/>
    <s v="Chiamaka Eze"/>
    <x v="1"/>
    <x v="4"/>
    <x v="2"/>
    <s v="Senior"/>
    <x v="0"/>
    <s v="22-30"/>
    <x v="0"/>
    <s v="13/06/2021"/>
    <s v="13/01/2024"/>
    <n v="4"/>
    <n v="536000"/>
    <n v="4"/>
    <n v="10"/>
    <x v="0"/>
  </r>
  <r>
    <s v="MFS-91490"/>
    <s v="Laraba Lawal"/>
    <x v="1"/>
    <x v="3"/>
    <x v="2"/>
    <s v="Junior"/>
    <x v="1"/>
    <s v="22-30"/>
    <x v="1"/>
    <s v="26/11/2020"/>
    <s v="13/01/2024"/>
    <n v="5"/>
    <n v="118000"/>
    <n v="2.5"/>
    <n v="36"/>
    <x v="0"/>
  </r>
  <r>
    <s v="MFS-20751"/>
    <s v="Ebuka Buhari"/>
    <x v="0"/>
    <x v="3"/>
    <x v="0"/>
    <s v="Director"/>
    <x v="1"/>
    <s v="41-50"/>
    <x v="2"/>
    <s v="29/11/2019"/>
    <s v="13/01/2024"/>
    <n v="6"/>
    <n v="1439000"/>
    <n v="4.0999999999999996"/>
    <n v="1"/>
    <x v="0"/>
  </r>
  <r>
    <s v="MFS-57590"/>
    <s v="Adeola Adesanya"/>
    <x v="0"/>
    <x v="1"/>
    <x v="1"/>
    <s v="Mid-level"/>
    <x v="2"/>
    <s v="31-40"/>
    <x v="0"/>
    <s v="25/06/2020"/>
    <s v="13/01/2024"/>
    <n v="5"/>
    <n v="180000"/>
    <n v="2.9"/>
    <n v="14"/>
    <x v="1"/>
  </r>
  <r>
    <s v="MFS-90573"/>
    <s v="Danladi Ihejirika"/>
    <x v="0"/>
    <x v="3"/>
    <x v="0"/>
    <s v="Junior"/>
    <x v="2"/>
    <s v="22-30"/>
    <x v="0"/>
    <s v="15/10/2020"/>
    <s v="24/11/2024"/>
    <n v="5"/>
    <n v="117000"/>
    <n v="3.5"/>
    <n v="12"/>
    <x v="1"/>
  </r>
  <r>
    <s v="MFS-16112"/>
    <s v="Obinna Afolabi"/>
    <x v="0"/>
    <x v="1"/>
    <x v="0"/>
    <s v="Junior"/>
    <x v="3"/>
    <s v="41-50"/>
    <x v="0"/>
    <s v="14/03/2023"/>
    <s v="08/01/2022"/>
    <n v="2"/>
    <n v="114000"/>
    <n v="2.1"/>
    <n v="11"/>
    <x v="0"/>
  </r>
  <r>
    <s v="MFS-27807"/>
    <s v="Asabe Danladi"/>
    <x v="1"/>
    <x v="1"/>
    <x v="0"/>
    <s v="Mid-level"/>
    <x v="0"/>
    <s v="41-50"/>
    <x v="1"/>
    <s v="18/04/2022"/>
    <s v="08/01/2022"/>
    <n v="3"/>
    <n v="224000"/>
    <n v="4.8"/>
    <n v="2"/>
    <x v="0"/>
  </r>
  <r>
    <s v="MFS-55702"/>
    <s v="Femi Ogbonna"/>
    <x v="0"/>
    <x v="4"/>
    <x v="0"/>
    <s v="Junior"/>
    <x v="2"/>
    <s v="22-30"/>
    <x v="2"/>
    <s v="13/03/2019"/>
    <s v="08/01/2022"/>
    <n v="7"/>
    <n v="154000"/>
    <n v="2.2000000000000002"/>
    <n v="0"/>
    <x v="0"/>
  </r>
  <r>
    <s v="MFS-11847"/>
    <s v="Tunde Oyelaran"/>
    <x v="0"/>
    <x v="1"/>
    <x v="0"/>
    <s v="Senior"/>
    <x v="0"/>
    <s v="31-40"/>
    <x v="2"/>
    <s v="26/06/2019"/>
    <s v="08/01/2022"/>
    <n v="6"/>
    <n v="352000"/>
    <n v="3.5"/>
    <n v="14"/>
    <x v="0"/>
  </r>
  <r>
    <s v="MFS-79778"/>
    <s v="Hafsat Afolabi"/>
    <x v="1"/>
    <x v="2"/>
    <x v="2"/>
    <s v="Junior"/>
    <x v="3"/>
    <s v="51-60"/>
    <x v="1"/>
    <s v="20/11/2020"/>
    <s v="08/01/2022"/>
    <n v="5"/>
    <n v="149000"/>
    <n v="3.7"/>
    <n v="8"/>
    <x v="0"/>
  </r>
  <r>
    <s v="MFS-79281"/>
    <s v="Kunle Omotayo"/>
    <x v="0"/>
    <x v="3"/>
    <x v="0"/>
    <s v="Senior"/>
    <x v="2"/>
    <s v="22-30"/>
    <x v="2"/>
    <s v="28/08/2021"/>
    <s v="08/01/2022"/>
    <n v="4"/>
    <n v="475000"/>
    <n v="4.8"/>
    <n v="6"/>
    <x v="0"/>
  </r>
  <r>
    <s v="MFS-91263"/>
    <s v="Femi Yakubu"/>
    <x v="0"/>
    <x v="3"/>
    <x v="1"/>
    <s v="Mid-level"/>
    <x v="2"/>
    <s v="22-30"/>
    <x v="0"/>
    <s v="24/09/2022"/>
    <s v="08/01/2022"/>
    <n v="3"/>
    <n v="332000"/>
    <n v="4.5"/>
    <n v="1"/>
    <x v="0"/>
  </r>
  <r>
    <s v="MFS-77254"/>
    <s v="Obiora Adebayo"/>
    <x v="0"/>
    <x v="0"/>
    <x v="0"/>
    <s v="Senior"/>
    <x v="0"/>
    <s v="31-40"/>
    <x v="2"/>
    <s v="30/09/2019"/>
    <s v="08/01/2022"/>
    <n v="6"/>
    <n v="534000"/>
    <n v="5"/>
    <n v="13"/>
    <x v="2"/>
  </r>
  <r>
    <s v="MFS-46287"/>
    <s v="Nneka Okafor"/>
    <x v="1"/>
    <x v="4"/>
    <x v="0"/>
    <s v="Junior"/>
    <x v="1"/>
    <s v="51-60"/>
    <x v="0"/>
    <s v="26/05/2021"/>
    <s v="23/10/2023"/>
    <n v="4"/>
    <n v="178000"/>
    <n v="2"/>
    <n v="39"/>
    <x v="2"/>
  </r>
  <r>
    <s v="MFS-20208"/>
    <s v="Ramatu Lawal"/>
    <x v="1"/>
    <x v="3"/>
    <x v="0"/>
    <s v="Senior"/>
    <x v="2"/>
    <s v="41-50"/>
    <x v="0"/>
    <s v="20/12/2021"/>
    <s v="06/09/2022"/>
    <n v="4"/>
    <n v="385000"/>
    <n v="3.4"/>
    <n v="3"/>
    <x v="0"/>
  </r>
  <r>
    <s v="MFS-10896"/>
    <s v="Nkechi Coker"/>
    <x v="1"/>
    <x v="0"/>
    <x v="0"/>
    <s v="Director"/>
    <x v="2"/>
    <s v="22-30"/>
    <x v="0"/>
    <s v="01/08/2020"/>
    <s v="06/09/2022"/>
    <n v="5"/>
    <n v="1956000"/>
    <n v="4.5999999999999996"/>
    <n v="12"/>
    <x v="0"/>
  </r>
  <r>
    <s v="MFS-61889"/>
    <s v="Yemi Okafor"/>
    <x v="1"/>
    <x v="0"/>
    <x v="0"/>
    <s v="Mid-level"/>
    <x v="0"/>
    <s v="51-60"/>
    <x v="2"/>
    <s v="11/12/2020"/>
    <s v="06/09/2022"/>
    <n v="5"/>
    <n v="340000"/>
    <n v="4.9000000000000004"/>
    <n v="2"/>
    <x v="0"/>
  </r>
  <r>
    <s v="MFS-63631"/>
    <s v="Adebayo Adesanya"/>
    <x v="0"/>
    <x v="4"/>
    <x v="2"/>
    <s v="Junior"/>
    <x v="1"/>
    <s v="31-40"/>
    <x v="0"/>
    <s v="14/04/2021"/>
    <s v="06/09/2022"/>
    <n v="4"/>
    <n v="101000"/>
    <n v="2.5"/>
    <n v="26"/>
    <x v="2"/>
  </r>
  <r>
    <s v="MFS-12401"/>
    <s v="Jummai Adebayo"/>
    <x v="1"/>
    <x v="1"/>
    <x v="2"/>
    <s v="Mid-level"/>
    <x v="0"/>
    <s v="22-30"/>
    <x v="2"/>
    <s v="29/06/2019"/>
    <s v="08/03/2023"/>
    <n v="6"/>
    <n v="298000"/>
    <n v="3.7"/>
    <n v="5"/>
    <x v="3"/>
  </r>
  <r>
    <s v="MFS-35589"/>
    <s v="Usman Garba"/>
    <x v="0"/>
    <x v="4"/>
    <x v="1"/>
    <s v="Junior"/>
    <x v="2"/>
    <s v="22-30"/>
    <x v="0"/>
    <s v="24/05/2021"/>
    <s v="10/02/2025"/>
    <n v="4"/>
    <n v="174000"/>
    <n v="2.5"/>
    <n v="14"/>
    <x v="0"/>
  </r>
  <r>
    <s v="MFS-34776"/>
    <s v="Ibrahim Obi"/>
    <x v="0"/>
    <x v="4"/>
    <x v="0"/>
    <s v="Junior"/>
    <x v="0"/>
    <s v="41-50"/>
    <x v="3"/>
    <s v="10/02/2019"/>
    <s v="10/02/2025"/>
    <n v="7"/>
    <n v="174000"/>
    <n v="3.1"/>
    <n v="14"/>
    <x v="0"/>
  </r>
  <r>
    <s v="MFS-68104"/>
    <s v="Obinna Musa"/>
    <x v="0"/>
    <x v="4"/>
    <x v="1"/>
    <s v="Manager"/>
    <x v="3"/>
    <s v="31-40"/>
    <x v="2"/>
    <s v="09/02/2023"/>
    <s v="10/02/2025"/>
    <n v="3"/>
    <n v="733000"/>
    <n v="3.7"/>
    <n v="5"/>
    <x v="0"/>
  </r>
  <r>
    <s v="MFS-88119"/>
    <s v="Adeola Adebayo"/>
    <x v="0"/>
    <x v="1"/>
    <x v="0"/>
    <s v="Senior"/>
    <x v="0"/>
    <s v="31-40"/>
    <x v="2"/>
    <s v="20/11/2021"/>
    <s v="10/02/2025"/>
    <n v="4"/>
    <n v="437000"/>
    <n v="3.8"/>
    <n v="0"/>
    <x v="0"/>
  </r>
  <r>
    <s v="MFS-23879"/>
    <s v="Yemi Adewale"/>
    <x v="1"/>
    <x v="3"/>
    <x v="0"/>
    <s v="Manager"/>
    <x v="2"/>
    <s v="31-40"/>
    <x v="1"/>
    <s v="10/01/2021"/>
    <s v="10/02/2025"/>
    <n v="5"/>
    <n v="655000"/>
    <n v="3.6"/>
    <n v="8"/>
    <x v="0"/>
  </r>
  <r>
    <s v="MFS-36289"/>
    <s v="Nnamdi Obi"/>
    <x v="0"/>
    <x v="0"/>
    <x v="0"/>
    <s v="Manager"/>
    <x v="0"/>
    <s v="22-30"/>
    <x v="3"/>
    <s v="02/06/2019"/>
    <s v="10/02/2025"/>
    <n v="6"/>
    <n v="902000"/>
    <n v="4.0999999999999996"/>
    <n v="7"/>
    <x v="1"/>
  </r>
  <r>
    <s v="MFS-10294"/>
    <s v="Musa Lawal"/>
    <x v="0"/>
    <x v="0"/>
    <x v="0"/>
    <s v="Senior"/>
    <x v="1"/>
    <s v="31-40"/>
    <x v="0"/>
    <s v="24/04/2023"/>
    <s v="06/04/2023"/>
    <n v="2"/>
    <n v="554000"/>
    <n v="5"/>
    <n v="10"/>
    <x v="0"/>
  </r>
  <r>
    <s v="MFS-21818"/>
    <s v="Kunle Ihejirika"/>
    <x v="0"/>
    <x v="1"/>
    <x v="0"/>
    <s v="Mid-level"/>
    <x v="2"/>
    <s v="31-40"/>
    <x v="0"/>
    <s v="10/09/2020"/>
    <s v="06/04/2023"/>
    <n v="5"/>
    <n v="180000"/>
    <n v="3"/>
    <n v="4"/>
    <x v="0"/>
  </r>
  <r>
    <s v="MFS-52584"/>
    <s v="Lola Onwudiwe"/>
    <x v="1"/>
    <x v="2"/>
    <x v="2"/>
    <s v="Junior"/>
    <x v="0"/>
    <s v="22-30"/>
    <x v="1"/>
    <s v="31/12/2022"/>
    <s v="06/04/2023"/>
    <n v="3"/>
    <n v="123000"/>
    <n v="4.0999999999999996"/>
    <n v="33"/>
    <x v="0"/>
  </r>
  <r>
    <s v="MFS-85260"/>
    <s v="Rotimi Omotayo"/>
    <x v="0"/>
    <x v="1"/>
    <x v="0"/>
    <s v="Senior"/>
    <x v="1"/>
    <s v="22-30"/>
    <x v="4"/>
    <s v="17/11/2020"/>
    <s v="06/04/2023"/>
    <n v="5"/>
    <n v="466000"/>
    <n v="4.9000000000000004"/>
    <n v="10"/>
    <x v="0"/>
  </r>
  <r>
    <s v="MFS-14406"/>
    <s v="Adebayo Amadi"/>
    <x v="0"/>
    <x v="2"/>
    <x v="1"/>
    <s v="Senior"/>
    <x v="0"/>
    <s v="31-40"/>
    <x v="3"/>
    <s v="22/03/2020"/>
    <s v="06/04/2023"/>
    <n v="5"/>
    <n v="383000"/>
    <n v="2.9"/>
    <n v="1"/>
    <x v="0"/>
  </r>
  <r>
    <s v="MFS-45971"/>
    <s v="Adebayo Adebayo"/>
    <x v="0"/>
    <x v="4"/>
    <x v="0"/>
    <s v="Junior"/>
    <x v="2"/>
    <s v="22-30"/>
    <x v="0"/>
    <s v="05/04/2021"/>
    <s v="06/04/2023"/>
    <n v="4"/>
    <n v="134000"/>
    <n v="2.1"/>
    <n v="1"/>
    <x v="0"/>
  </r>
  <r>
    <s v="MFS-81136"/>
    <s v="Wale Okafor"/>
    <x v="0"/>
    <x v="4"/>
    <x v="0"/>
    <s v="Mid-level"/>
    <x v="2"/>
    <s v="51-60"/>
    <x v="2"/>
    <s v="22/04/2022"/>
    <s v="06/04/2023"/>
    <n v="3"/>
    <n v="348000"/>
    <n v="3.3"/>
    <n v="34"/>
    <x v="2"/>
  </r>
  <r>
    <s v="MFS-25725"/>
    <s v="Chinwe Suleiman"/>
    <x v="1"/>
    <x v="4"/>
    <x v="0"/>
    <s v="Mid-level"/>
    <x v="0"/>
    <s v="22-30"/>
    <x v="3"/>
    <s v="22/03/2020"/>
    <s v="13/08/2024"/>
    <n v="5"/>
    <n v="227000"/>
    <n v="1.7"/>
    <n v="21"/>
    <x v="1"/>
  </r>
  <r>
    <s v="MFS-40127"/>
    <s v="Lanre Omotayo"/>
    <x v="0"/>
    <x v="4"/>
    <x v="0"/>
    <s v="Junior"/>
    <x v="0"/>
    <s v="31-40"/>
    <x v="2"/>
    <s v="15/11/2022"/>
    <s v="11/09/2024"/>
    <n v="3"/>
    <n v="178000"/>
    <n v="2.6"/>
    <n v="22"/>
    <x v="2"/>
  </r>
  <r>
    <s v="MFS-60334"/>
    <s v="Aliyu Obaseki"/>
    <x v="0"/>
    <x v="1"/>
    <x v="1"/>
    <s v="Mid-level"/>
    <x v="2"/>
    <s v="22-30"/>
    <x v="2"/>
    <s v="05/05/2022"/>
    <s v="12/11/2023"/>
    <n v="3"/>
    <n v="241000"/>
    <n v="3.4"/>
    <n v="3"/>
    <x v="0"/>
  </r>
  <r>
    <s v="MFS-54293"/>
    <s v="Uloma Adewale"/>
    <x v="1"/>
    <x v="4"/>
    <x v="0"/>
    <s v="Mid-level"/>
    <x v="0"/>
    <s v="31-40"/>
    <x v="0"/>
    <s v="08/05/2019"/>
    <s v="12/11/2023"/>
    <n v="6"/>
    <n v="328000"/>
    <n v="4.2"/>
    <n v="8"/>
    <x v="0"/>
  </r>
  <r>
    <s v="MFS-84201"/>
    <s v="Ibrahim Adebayo"/>
    <x v="0"/>
    <x v="2"/>
    <x v="0"/>
    <s v="Mid-level"/>
    <x v="2"/>
    <s v="22-30"/>
    <x v="4"/>
    <s v="14/05/2022"/>
    <s v="12/11/2023"/>
    <n v="3"/>
    <n v="196000"/>
    <n v="2.8"/>
    <n v="18"/>
    <x v="0"/>
  </r>
  <r>
    <s v="MFS-73261"/>
    <s v="Bukola Adesanya"/>
    <x v="1"/>
    <x v="2"/>
    <x v="1"/>
    <s v="Junior"/>
    <x v="1"/>
    <s v="31-40"/>
    <x v="1"/>
    <s v="30/09/2021"/>
    <s v="12/11/2023"/>
    <n v="4"/>
    <n v="168000"/>
    <n v="3.7"/>
    <n v="20"/>
    <x v="0"/>
  </r>
  <r>
    <s v="MFS-51190"/>
    <s v="Bello Okafor"/>
    <x v="0"/>
    <x v="3"/>
    <x v="2"/>
    <s v="Mid-level"/>
    <x v="0"/>
    <s v="22-30"/>
    <x v="3"/>
    <s v="07/12/2022"/>
    <s v="12/11/2023"/>
    <n v="3"/>
    <n v="214000"/>
    <n v="3.1"/>
    <n v="0"/>
    <x v="3"/>
  </r>
  <r>
    <s v="MFS-66861"/>
    <s v="Shade Uba"/>
    <x v="1"/>
    <x v="3"/>
    <x v="0"/>
    <s v="Mid-level"/>
    <x v="0"/>
    <s v="31-40"/>
    <x v="0"/>
    <s v="08/05/2023"/>
    <s v="04/03/2025"/>
    <n v="2"/>
    <n v="298000"/>
    <n v="4.4000000000000004"/>
    <n v="12"/>
    <x v="0"/>
  </r>
  <r>
    <s v="MFS-22957"/>
    <s v="Dele Eze"/>
    <x v="0"/>
    <x v="2"/>
    <x v="2"/>
    <s v="Junior"/>
    <x v="0"/>
    <s v="31-40"/>
    <x v="0"/>
    <s v="13/06/2023"/>
    <s v="04/03/2025"/>
    <n v="2"/>
    <n v="148000"/>
    <n v="3.9"/>
    <n v="5"/>
    <x v="2"/>
  </r>
  <r>
    <s v="MFS-37720"/>
    <s v="Chinwe Okafor"/>
    <x v="1"/>
    <x v="0"/>
    <x v="0"/>
    <s v="Senior"/>
    <x v="2"/>
    <s v="22-30"/>
    <x v="3"/>
    <s v="02/09/2020"/>
    <s v="31/07/2022"/>
    <n v="5"/>
    <n v="660000"/>
    <n v="3.3"/>
    <n v="14"/>
    <x v="0"/>
  </r>
  <r>
    <s v="MFS-98039"/>
    <s v="Lola Okafor"/>
    <x v="1"/>
    <x v="2"/>
    <x v="0"/>
    <s v="Mid-level"/>
    <x v="0"/>
    <s v="31-40"/>
    <x v="0"/>
    <s v="27/03/2020"/>
    <s v="31/07/2022"/>
    <n v="5"/>
    <n v="181000"/>
    <n v="4.0999999999999996"/>
    <n v="17"/>
    <x v="2"/>
  </r>
  <r>
    <s v="MFS-82100"/>
    <s v="Rukayya Yakubu"/>
    <x v="1"/>
    <x v="1"/>
    <x v="0"/>
    <s v="Senior"/>
    <x v="2"/>
    <s v="41-50"/>
    <x v="0"/>
    <s v="01/01/2021"/>
    <s v="29/11/2021"/>
    <n v="5"/>
    <n v="480000"/>
    <n v="4"/>
    <n v="1"/>
    <x v="0"/>
  </r>
  <r>
    <s v="MFS-40762"/>
    <s v="Rabiu Amadi"/>
    <x v="0"/>
    <x v="4"/>
    <x v="0"/>
    <s v="Mid-level"/>
    <x v="0"/>
    <s v="31-40"/>
    <x v="0"/>
    <s v="27/05/2019"/>
    <s v="29/11/2021"/>
    <n v="6"/>
    <n v="289000"/>
    <n v="4.5999999999999996"/>
    <n v="25"/>
    <x v="1"/>
  </r>
  <r>
    <s v="MFS-87717"/>
    <s v="Bimpe Lawal"/>
    <x v="1"/>
    <x v="4"/>
    <x v="0"/>
    <s v="Junior"/>
    <x v="0"/>
    <s v="22-30"/>
    <x v="0"/>
    <s v="27/08/2023"/>
    <s v="04/11/2024"/>
    <n v="2"/>
    <n v="176000"/>
    <n v="2.6"/>
    <n v="7"/>
    <x v="1"/>
  </r>
  <r>
    <s v="MFS-65821"/>
    <s v="Kunle Abdullahi"/>
    <x v="0"/>
    <x v="2"/>
    <x v="0"/>
    <s v="Mid-level"/>
    <x v="2"/>
    <s v="31-40"/>
    <x v="1"/>
    <s v="13/07/2021"/>
    <s v="08/07/2022"/>
    <n v="4"/>
    <n v="185000"/>
    <n v="2.4"/>
    <n v="6"/>
    <x v="1"/>
  </r>
  <r>
    <s v="MFS-91928"/>
    <s v="Biodun Yakubu"/>
    <x v="0"/>
    <x v="2"/>
    <x v="1"/>
    <s v="Mid-level"/>
    <x v="1"/>
    <s v="31-40"/>
    <x v="4"/>
    <s v="17/06/2019"/>
    <s v="14/11/2022"/>
    <n v="6"/>
    <n v="320000"/>
    <n v="4.5999999999999996"/>
    <n v="8"/>
    <x v="0"/>
  </r>
  <r>
    <s v="MFS-75511"/>
    <s v="Aisha Ihejirika"/>
    <x v="1"/>
    <x v="2"/>
    <x v="2"/>
    <s v="Junior"/>
    <x v="2"/>
    <s v="41-50"/>
    <x v="1"/>
    <s v="29/10/2019"/>
    <s v="14/11/2022"/>
    <n v="6"/>
    <n v="165000"/>
    <n v="3.4"/>
    <n v="11"/>
    <x v="1"/>
  </r>
  <r>
    <s v="MFS-27290"/>
    <s v="Falmata Chukwu"/>
    <x v="1"/>
    <x v="2"/>
    <x v="2"/>
    <s v="Senior"/>
    <x v="0"/>
    <s v="31-40"/>
    <x v="3"/>
    <s v="17/04/2019"/>
    <s v="24/03/2023"/>
    <n v="6"/>
    <n v="449000"/>
    <n v="2.9"/>
    <n v="3"/>
    <x v="0"/>
  </r>
  <r>
    <s v="MFS-68428"/>
    <s v="Shade Nwachukwu"/>
    <x v="1"/>
    <x v="4"/>
    <x v="0"/>
    <s v="Manager"/>
    <x v="0"/>
    <s v="31-40"/>
    <x v="2"/>
    <s v="23/09/2021"/>
    <s v="24/03/2023"/>
    <n v="4"/>
    <n v="906000"/>
    <n v="4.9000000000000004"/>
    <n v="13"/>
    <x v="0"/>
  </r>
  <r>
    <s v="MFS-37313"/>
    <s v="Kunle Bello"/>
    <x v="0"/>
    <x v="3"/>
    <x v="0"/>
    <s v="Mid-level"/>
    <x v="2"/>
    <s v="22-30"/>
    <x v="1"/>
    <s v="27/10/2021"/>
    <s v="24/03/2023"/>
    <n v="4"/>
    <n v="238000"/>
    <n v="2.5"/>
    <n v="6"/>
    <x v="0"/>
  </r>
  <r>
    <s v="MFS-92827"/>
    <s v="Eze Nnamdi"/>
    <x v="0"/>
    <x v="1"/>
    <x v="0"/>
    <s v="Senior"/>
    <x v="3"/>
    <s v="51-60"/>
    <x v="0"/>
    <s v="30/05/2020"/>
    <s v="24/03/2023"/>
    <n v="5"/>
    <n v="434000"/>
    <n v="2.2000000000000002"/>
    <n v="6"/>
    <x v="0"/>
  </r>
  <r>
    <s v="MFS-27136"/>
    <s v="Obinna Danladi"/>
    <x v="0"/>
    <x v="4"/>
    <x v="0"/>
    <s v="Junior"/>
    <x v="0"/>
    <s v="31-40"/>
    <x v="1"/>
    <s v="02/09/2022"/>
    <s v="24/03/2023"/>
    <n v="3"/>
    <n v="152000"/>
    <n v="1.9"/>
    <n v="2"/>
    <x v="1"/>
  </r>
  <r>
    <s v="MFS-29651"/>
    <s v="Babatunde Yakubu"/>
    <x v="0"/>
    <x v="4"/>
    <x v="0"/>
    <s v="Mid-level"/>
    <x v="2"/>
    <s v="31-40"/>
    <x v="1"/>
    <s v="16/09/2022"/>
    <s v="14/12/2020"/>
    <n v="3"/>
    <n v="289000"/>
    <n v="3"/>
    <n v="2"/>
    <x v="0"/>
  </r>
  <r>
    <s v="MFS-60674"/>
    <s v="Nana Bello"/>
    <x v="1"/>
    <x v="3"/>
    <x v="0"/>
    <s v="Mid-level"/>
    <x v="0"/>
    <s v="31-40"/>
    <x v="0"/>
    <s v="14/05/2020"/>
    <s v="14/12/2020"/>
    <n v="5"/>
    <n v="341000"/>
    <n v="3.8"/>
    <n v="1"/>
    <x v="0"/>
  </r>
  <r>
    <s v="MFS-14582"/>
    <s v="Asabe Lawal"/>
    <x v="1"/>
    <x v="3"/>
    <x v="2"/>
    <s v="Senior"/>
    <x v="0"/>
    <s v="41-50"/>
    <x v="0"/>
    <s v="18/04/2021"/>
    <s v="14/12/2020"/>
    <n v="24"/>
    <n v="557000"/>
    <n v="2.1"/>
    <n v="1"/>
    <x v="0"/>
  </r>
  <r>
    <s v="MFS-63639"/>
    <s v="Aisha Obi"/>
    <x v="1"/>
    <x v="1"/>
    <x v="0"/>
    <s v="Mid-level"/>
    <x v="0"/>
    <s v="51-60"/>
    <x v="0"/>
    <s v="08/02/2020"/>
    <s v="14/12/2020"/>
    <n v="6"/>
    <n v="267000"/>
    <n v="5"/>
    <n v="8"/>
    <x v="0"/>
  </r>
  <r>
    <s v="MFS-32980"/>
    <s v="Hadiza Nduka"/>
    <x v="1"/>
    <x v="0"/>
    <x v="2"/>
    <s v="Mid-level"/>
    <x v="2"/>
    <s v="31-40"/>
    <x v="0"/>
    <s v="22/02/2021"/>
    <s v="14/12/2020"/>
    <n v="5"/>
    <n v="323000"/>
    <n v="3.5"/>
    <n v="0"/>
    <x v="0"/>
  </r>
  <r>
    <s v="MFS-55763"/>
    <s v="Aisha Shehu"/>
    <x v="1"/>
    <x v="4"/>
    <x v="0"/>
    <s v="Mid-level"/>
    <x v="1"/>
    <s v="22-30"/>
    <x v="0"/>
    <s v="17/10/2019"/>
    <s v="14/12/2020"/>
    <n v="6"/>
    <n v="230000"/>
    <n v="2.9"/>
    <n v="9"/>
    <x v="0"/>
  </r>
  <r>
    <s v="MFS-91945"/>
    <s v="Zainab Okonkwo"/>
    <x v="1"/>
    <x v="2"/>
    <x v="0"/>
    <s v="Manager"/>
    <x v="3"/>
    <s v="31-40"/>
    <x v="0"/>
    <s v="01/03/2020"/>
    <s v="14/12/2020"/>
    <n v="6"/>
    <n v="844000"/>
    <n v="3.2"/>
    <n v="18"/>
    <x v="0"/>
  </r>
  <r>
    <s v="MFS-54509"/>
    <s v="Seun Adeyemi"/>
    <x v="0"/>
    <x v="2"/>
    <x v="2"/>
    <s v="Senior"/>
    <x v="0"/>
    <s v="31-40"/>
    <x v="1"/>
    <s v="09/03/2023"/>
    <s v="14/12/2020"/>
    <n v="3"/>
    <n v="568000"/>
    <n v="2.5"/>
    <n v="12"/>
    <x v="0"/>
  </r>
  <r>
    <s v="MFS-98338"/>
    <s v="Ikenna Oyelaran"/>
    <x v="0"/>
    <x v="2"/>
    <x v="0"/>
    <s v="Mid-level"/>
    <x v="0"/>
    <s v="22-30"/>
    <x v="0"/>
    <s v="16/08/2019"/>
    <s v="14/12/2020"/>
    <n v="6"/>
    <n v="228000"/>
    <n v="4"/>
    <n v="10"/>
    <x v="0"/>
  </r>
  <r>
    <s v="MFS-56856"/>
    <s v="Femi Oyelaran"/>
    <x v="0"/>
    <x v="3"/>
    <x v="1"/>
    <s v="Senior"/>
    <x v="1"/>
    <s v="41-50"/>
    <x v="0"/>
    <s v="20/12/2019"/>
    <s v="14/12/2020"/>
    <n v="6"/>
    <n v="472000"/>
    <n v="2.5"/>
    <n v="36"/>
    <x v="1"/>
  </r>
  <r>
    <s v="MFS-37788"/>
    <s v="Folake Oyelaran"/>
    <x v="1"/>
    <x v="2"/>
    <x v="1"/>
    <s v="Junior"/>
    <x v="0"/>
    <s v="22-30"/>
    <x v="0"/>
    <s v="10/09/2019"/>
    <s v="10/05/2024"/>
    <n v="6"/>
    <n v="119000"/>
    <n v="2.5"/>
    <n v="7"/>
    <x v="0"/>
  </r>
  <r>
    <s v="MFS-17937"/>
    <s v="Uche Oyelaran"/>
    <x v="0"/>
    <x v="0"/>
    <x v="0"/>
    <s v="Junior"/>
    <x v="0"/>
    <s v="22-30"/>
    <x v="1"/>
    <s v="11/09/2020"/>
    <s v="10/05/2024"/>
    <n v="5"/>
    <n v="185000"/>
    <n v="2.8"/>
    <n v="7"/>
    <x v="0"/>
  </r>
  <r>
    <s v="MFS-44018"/>
    <s v="Eze Okeke"/>
    <x v="0"/>
    <x v="4"/>
    <x v="2"/>
    <s v="Junior"/>
    <x v="0"/>
    <s v="22-30"/>
    <x v="1"/>
    <s v="10/04/2019"/>
    <s v="10/05/2024"/>
    <n v="6"/>
    <n v="113000"/>
    <n v="2.6"/>
    <n v="8"/>
    <x v="0"/>
  </r>
  <r>
    <s v="MFS-77652"/>
    <s v="Hadiza Chukwu"/>
    <x v="1"/>
    <x v="3"/>
    <x v="1"/>
    <s v="Mid-level"/>
    <x v="2"/>
    <s v="31-40"/>
    <x v="4"/>
    <s v="12/08/2022"/>
    <s v="10/05/2024"/>
    <n v="3"/>
    <n v="302000"/>
    <n v="4.2"/>
    <n v="12"/>
    <x v="0"/>
  </r>
  <r>
    <s v="MFS-26292"/>
    <s v="Tunde Abdullahi"/>
    <x v="0"/>
    <x v="2"/>
    <x v="2"/>
    <s v="Senior"/>
    <x v="0"/>
    <s v="41-50"/>
    <x v="0"/>
    <s v="08/09/2022"/>
    <s v="10/05/2024"/>
    <n v="3"/>
    <n v="412000"/>
    <n v="4.2"/>
    <n v="5"/>
    <x v="2"/>
  </r>
  <r>
    <s v="MFS-86149"/>
    <s v="Nasiru Omotayo"/>
    <x v="0"/>
    <x v="2"/>
    <x v="2"/>
    <s v="Junior"/>
    <x v="2"/>
    <s v="22-30"/>
    <x v="1"/>
    <s v="17/02/2022"/>
    <s v="01/04/2024"/>
    <n v="4"/>
    <n v="106000"/>
    <n v="4.2"/>
    <n v="12"/>
    <x v="2"/>
  </r>
  <r>
    <s v="MFS-21239"/>
    <s v="Danladi Garba"/>
    <x v="0"/>
    <x v="3"/>
    <x v="0"/>
    <s v="Mid-level"/>
    <x v="0"/>
    <s v="31-40"/>
    <x v="1"/>
    <s v="30/06/2022"/>
    <s v="28/08/2024"/>
    <n v="3"/>
    <n v="292000"/>
    <n v="2.8"/>
    <n v="5"/>
    <x v="2"/>
  </r>
  <r>
    <s v="MFS-72573"/>
    <s v="Lola Yakubu"/>
    <x v="1"/>
    <x v="1"/>
    <x v="0"/>
    <s v="Senior"/>
    <x v="0"/>
    <s v="31-40"/>
    <x v="0"/>
    <s v="01/12/2020"/>
    <s v="26/10/2024"/>
    <n v="5"/>
    <n v="350000"/>
    <n v="4.4000000000000004"/>
    <n v="4"/>
    <x v="0"/>
  </r>
  <r>
    <s v="MFS-21847"/>
    <s v="Hadiza Buhari"/>
    <x v="1"/>
    <x v="1"/>
    <x v="0"/>
    <s v="Mid-level"/>
    <x v="0"/>
    <s v="41-50"/>
    <x v="3"/>
    <s v="20/10/2019"/>
    <s v="26/10/2024"/>
    <n v="6"/>
    <n v="250000"/>
    <n v="4.4000000000000004"/>
    <n v="14"/>
    <x v="0"/>
  </r>
  <r>
    <s v="MFS-35928"/>
    <s v="Chidi Haruna"/>
    <x v="0"/>
    <x v="3"/>
    <x v="2"/>
    <s v="Senior"/>
    <x v="1"/>
    <s v="22-30"/>
    <x v="1"/>
    <s v="14/03/2023"/>
    <s v="26/10/2024"/>
    <n v="2"/>
    <n v="556000"/>
    <n v="4.8"/>
    <n v="7"/>
    <x v="1"/>
  </r>
  <r>
    <s v="MFS-23387"/>
    <s v="Oghenekaro Garba"/>
    <x v="0"/>
    <x v="4"/>
    <x v="0"/>
    <s v="Junior"/>
    <x v="0"/>
    <s v="22-30"/>
    <x v="1"/>
    <s v="14/07/2023"/>
    <s v="29/07/2021"/>
    <n v="2"/>
    <n v="169000"/>
    <n v="2.8"/>
    <n v="7"/>
    <x v="0"/>
  </r>
  <r>
    <s v="MFS-54345"/>
    <s v="Ifeanyi Lawal"/>
    <x v="0"/>
    <x v="3"/>
    <x v="0"/>
    <s v="Senior"/>
    <x v="0"/>
    <s v="22-30"/>
    <x v="3"/>
    <s v="09/11/2020"/>
    <s v="29/07/2021"/>
    <n v="5"/>
    <n v="369000"/>
    <n v="4.7"/>
    <n v="7"/>
    <x v="1"/>
  </r>
  <r>
    <s v="MFS-65524"/>
    <s v="Uloma Chukwu"/>
    <x v="1"/>
    <x v="0"/>
    <x v="2"/>
    <s v="Mid-level"/>
    <x v="3"/>
    <s v="31-40"/>
    <x v="2"/>
    <s v="10/07/2020"/>
    <s v="03/07/2023"/>
    <n v="5"/>
    <n v="385000"/>
    <n v="4.9000000000000004"/>
    <n v="21"/>
    <x v="0"/>
  </r>
  <r>
    <s v="MFS-50625"/>
    <s v="Asabe Eze"/>
    <x v="1"/>
    <x v="2"/>
    <x v="0"/>
    <s v="Mid-level"/>
    <x v="0"/>
    <s v="41-50"/>
    <x v="0"/>
    <s v="24/01/2020"/>
    <s v="03/07/2023"/>
    <n v="6"/>
    <n v="196000"/>
    <n v="4.2"/>
    <n v="6"/>
    <x v="0"/>
  </r>
  <r>
    <s v="MFS-47618"/>
    <s v="Oluwaseun Okeke"/>
    <x v="0"/>
    <x v="3"/>
    <x v="0"/>
    <s v="Mid-level"/>
    <x v="0"/>
    <s v="31-40"/>
    <x v="1"/>
    <s v="03/12/2021"/>
    <s v="03/07/2023"/>
    <n v="4"/>
    <n v="331000"/>
    <n v="3.2"/>
    <n v="12"/>
    <x v="0"/>
  </r>
  <r>
    <s v="MFS-52655"/>
    <s v="Hadiza Buhari"/>
    <x v="1"/>
    <x v="2"/>
    <x v="0"/>
    <s v="Mid-level"/>
    <x v="3"/>
    <s v="22-30"/>
    <x v="0"/>
    <s v="02/10/2022"/>
    <s v="03/07/2023"/>
    <n v="3"/>
    <n v="276000"/>
    <n v="4.5999999999999996"/>
    <n v="6"/>
    <x v="0"/>
  </r>
  <r>
    <s v="MFS-18402"/>
    <s v="Aliyu Fagbemi"/>
    <x v="0"/>
    <x v="3"/>
    <x v="0"/>
    <s v="Junior"/>
    <x v="0"/>
    <s v="41-50"/>
    <x v="1"/>
    <s v="02/05/2020"/>
    <s v="03/07/2023"/>
    <n v="5"/>
    <n v="178000"/>
    <n v="4"/>
    <n v="13"/>
    <x v="0"/>
  </r>
  <r>
    <s v="MFS-41604"/>
    <s v="Nana Garba"/>
    <x v="1"/>
    <x v="3"/>
    <x v="1"/>
    <s v="Senior"/>
    <x v="0"/>
    <s v="22-30"/>
    <x v="0"/>
    <s v="28/08/2023"/>
    <s v="03/07/2023"/>
    <n v="2"/>
    <n v="545000"/>
    <n v="3.4"/>
    <n v="10"/>
    <x v="0"/>
  </r>
  <r>
    <s v="MFS-38650"/>
    <s v="Tobi Yakubu"/>
    <x v="0"/>
    <x v="2"/>
    <x v="0"/>
    <s v="Mid-level"/>
    <x v="0"/>
    <s v="31-40"/>
    <x v="3"/>
    <s v="19/10/2022"/>
    <s v="03/07/2023"/>
    <n v="3"/>
    <n v="264000"/>
    <n v="2.2000000000000002"/>
    <n v="7"/>
    <x v="2"/>
  </r>
  <r>
    <s v="MFS-19438"/>
    <s v="Usman Buhari"/>
    <x v="0"/>
    <x v="1"/>
    <x v="0"/>
    <s v="Junior"/>
    <x v="2"/>
    <s v="41-50"/>
    <x v="0"/>
    <s v="21/03/2020"/>
    <s v="13/07/2024"/>
    <n v="5"/>
    <n v="130000"/>
    <n v="4.0999999999999996"/>
    <n v="4"/>
    <x v="0"/>
  </r>
  <r>
    <s v="MFS-34665"/>
    <s v="Bello Adesanya"/>
    <x v="0"/>
    <x v="0"/>
    <x v="0"/>
    <s v="Manager"/>
    <x v="2"/>
    <s v="22-30"/>
    <x v="1"/>
    <s v="29/01/2020"/>
    <s v="13/07/2024"/>
    <n v="6"/>
    <n v="1045000"/>
    <n v="4"/>
    <n v="30"/>
    <x v="1"/>
  </r>
  <r>
    <s v="MFS-89726"/>
    <s v="Sola Garba"/>
    <x v="1"/>
    <x v="3"/>
    <x v="0"/>
    <s v="Senior"/>
    <x v="1"/>
    <s v="22-30"/>
    <x v="0"/>
    <s v="10/05/2019"/>
    <s v="02/04/2022"/>
    <n v="6"/>
    <n v="479000"/>
    <n v="2.5"/>
    <n v="4"/>
    <x v="0"/>
  </r>
  <r>
    <s v="MFS-19162"/>
    <s v="Folake Buhari"/>
    <x v="1"/>
    <x v="2"/>
    <x v="0"/>
    <s v="Senior"/>
    <x v="0"/>
    <s v="51-60"/>
    <x v="2"/>
    <s v="27/02/2019"/>
    <s v="02/04/2022"/>
    <n v="7"/>
    <n v="514000"/>
    <n v="3"/>
    <n v="0"/>
    <x v="1"/>
  </r>
  <r>
    <s v="MFS-33518"/>
    <s v="Shehu Coker"/>
    <x v="0"/>
    <x v="4"/>
    <x v="2"/>
    <s v="Senior"/>
    <x v="3"/>
    <s v="31-40"/>
    <x v="0"/>
    <s v="23/03/2022"/>
    <s v="10/11/2023"/>
    <n v="3"/>
    <n v="532000"/>
    <n v="4.9000000000000004"/>
    <n v="2"/>
    <x v="0"/>
  </r>
  <r>
    <s v="MFS-86356"/>
    <s v="Rukayya Adewale"/>
    <x v="1"/>
    <x v="0"/>
    <x v="0"/>
    <s v="Manager"/>
    <x v="0"/>
    <s v="31-40"/>
    <x v="0"/>
    <s v="26/02/2023"/>
    <s v="10/11/2023"/>
    <n v="3"/>
    <n v="838000"/>
    <n v="3.2"/>
    <n v="5"/>
    <x v="1"/>
  </r>
  <r>
    <s v="MFS-37231"/>
    <s v="Tobi Aliyu"/>
    <x v="0"/>
    <x v="0"/>
    <x v="1"/>
    <s v="Junior"/>
    <x v="0"/>
    <s v="22-30"/>
    <x v="0"/>
    <s v="05/08/2020"/>
    <s v="16/10/2021"/>
    <n v="5"/>
    <n v="198000"/>
    <n v="2.7"/>
    <n v="0"/>
    <x v="3"/>
  </r>
  <r>
    <s v="MFS-98671"/>
    <s v="Kemi Garba"/>
    <x v="1"/>
    <x v="0"/>
    <x v="0"/>
    <s v="Junior"/>
    <x v="2"/>
    <s v="31-40"/>
    <x v="1"/>
    <s v="08/08/2021"/>
    <s v="18/04/2024"/>
    <n v="4"/>
    <n v="176000"/>
    <n v="3.8"/>
    <n v="1"/>
    <x v="0"/>
  </r>
  <r>
    <s v="MFS-24579"/>
    <s v="Kemi Abdullahi"/>
    <x v="1"/>
    <x v="4"/>
    <x v="0"/>
    <s v="Senior"/>
    <x v="3"/>
    <s v="31-40"/>
    <x v="1"/>
    <s v="30/06/2021"/>
    <s v="18/04/2024"/>
    <n v="4"/>
    <n v="545000"/>
    <n v="2.2999999999999998"/>
    <n v="35"/>
    <x v="3"/>
  </r>
  <r>
    <s v="MFS-53061"/>
    <s v="Chinwe Ogbonna"/>
    <x v="1"/>
    <x v="1"/>
    <x v="0"/>
    <s v="Mid-level"/>
    <x v="2"/>
    <s v="22-30"/>
    <x v="0"/>
    <s v="29/01/2021"/>
    <s v="25/03/2022"/>
    <n v="5"/>
    <n v="296000"/>
    <n v="4.8"/>
    <n v="1"/>
    <x v="0"/>
  </r>
  <r>
    <s v="MFS-51469"/>
    <s v="Gbenga Nduka"/>
    <x v="0"/>
    <x v="4"/>
    <x v="0"/>
    <s v="Junior"/>
    <x v="2"/>
    <s v="31-40"/>
    <x v="1"/>
    <s v="11/09/2023"/>
    <s v="25/03/2022"/>
    <n v="2"/>
    <n v="139000"/>
    <n v="1.6"/>
    <n v="13"/>
    <x v="0"/>
  </r>
  <r>
    <s v="MFS-70994"/>
    <s v="Biodun Adebayo"/>
    <x v="0"/>
    <x v="1"/>
    <x v="0"/>
    <s v="Manager"/>
    <x v="2"/>
    <s v="22-30"/>
    <x v="2"/>
    <s v="14/03/2019"/>
    <s v="25/03/2022"/>
    <n v="6"/>
    <n v="600000"/>
    <n v="3.9"/>
    <n v="11"/>
    <x v="0"/>
  </r>
  <r>
    <s v="MFS-30721"/>
    <s v="Ikenna Suleiman"/>
    <x v="0"/>
    <x v="3"/>
    <x v="2"/>
    <s v="Senior"/>
    <x v="2"/>
    <s v="41-50"/>
    <x v="3"/>
    <s v="26/10/2021"/>
    <s v="25/03/2022"/>
    <n v="4"/>
    <n v="498000"/>
    <n v="2.2000000000000002"/>
    <n v="11"/>
    <x v="0"/>
  </r>
  <r>
    <s v="MFS-42632"/>
    <s v="Wale Bello"/>
    <x v="0"/>
    <x v="1"/>
    <x v="1"/>
    <s v="Director"/>
    <x v="1"/>
    <s v="22-30"/>
    <x v="0"/>
    <s v="10/03/2020"/>
    <s v="25/03/2022"/>
    <n v="6"/>
    <n v="1346000"/>
    <n v="3.1"/>
    <n v="11"/>
    <x v="2"/>
  </r>
  <r>
    <s v="MFS-89928"/>
    <s v="Kabiru Danladi"/>
    <x v="0"/>
    <x v="2"/>
    <x v="0"/>
    <s v="Junior"/>
    <x v="0"/>
    <s v="31-40"/>
    <x v="2"/>
    <s v="15/05/2019"/>
    <s v="17/07/2023"/>
    <n v="6"/>
    <n v="116000"/>
    <n v="3.7"/>
    <n v="4"/>
    <x v="1"/>
  </r>
  <r>
    <s v="MFS-59354"/>
    <s v="Oluwaseun Suleiman"/>
    <x v="0"/>
    <x v="4"/>
    <x v="0"/>
    <s v="Mid-level"/>
    <x v="2"/>
    <s v="22-30"/>
    <x v="2"/>
    <s v="31/01/2021"/>
    <s v="08/02/2025"/>
    <n v="5"/>
    <n v="315000"/>
    <n v="3"/>
    <n v="14"/>
    <x v="1"/>
  </r>
  <r>
    <s v="MFS-99957"/>
    <s v="Folake Adeyemi"/>
    <x v="1"/>
    <x v="4"/>
    <x v="2"/>
    <s v="Junior"/>
    <x v="0"/>
    <s v="22-30"/>
    <x v="1"/>
    <s v="07/02/2019"/>
    <s v="12/02/2024"/>
    <n v="7"/>
    <n v="137000"/>
    <n v="2.2999999999999998"/>
    <n v="11"/>
    <x v="1"/>
  </r>
  <r>
    <s v="MFS-40091"/>
    <s v="Rotimi Uba"/>
    <x v="0"/>
    <x v="2"/>
    <x v="2"/>
    <s v="Senior"/>
    <x v="2"/>
    <s v="22-30"/>
    <x v="1"/>
    <s v="11/11/2021"/>
    <s v="22/10/2023"/>
    <n v="4"/>
    <n v="393000"/>
    <n v="3.8"/>
    <n v="0"/>
    <x v="1"/>
  </r>
  <r>
    <s v="MFS-98777"/>
    <s v="Hadiza Haruna"/>
    <x v="1"/>
    <x v="4"/>
    <x v="0"/>
    <s v="Mid-level"/>
    <x v="1"/>
    <s v="31-40"/>
    <x v="1"/>
    <s v="02/09/2022"/>
    <s v="28/05/2024"/>
    <n v="3"/>
    <n v="235000"/>
    <n v="2.4"/>
    <n v="8"/>
    <x v="0"/>
  </r>
  <r>
    <s v="MFS-97187"/>
    <s v="Rabiu Okafor"/>
    <x v="0"/>
    <x v="4"/>
    <x v="0"/>
    <s v="Junior"/>
    <x v="0"/>
    <s v="31-40"/>
    <x v="2"/>
    <s v="29/05/2023"/>
    <s v="28/05/2024"/>
    <n v="2"/>
    <n v="177000"/>
    <n v="2.2000000000000002"/>
    <n v="4"/>
    <x v="1"/>
  </r>
  <r>
    <s v="MFS-94039"/>
    <s v="Tunde Garba"/>
    <x v="0"/>
    <x v="2"/>
    <x v="0"/>
    <s v="Mid-level"/>
    <x v="0"/>
    <s v="51-60"/>
    <x v="0"/>
    <s v="21/06/2022"/>
    <s v="30/05/2020"/>
    <n v="3"/>
    <n v="324000"/>
    <n v="2.1"/>
    <n v="40"/>
    <x v="0"/>
  </r>
  <r>
    <s v="MFS-23994"/>
    <s v="Ifeoma Haruna"/>
    <x v="1"/>
    <x v="2"/>
    <x v="1"/>
    <s v="Junior"/>
    <x v="0"/>
    <s v="41-50"/>
    <x v="0"/>
    <s v="16/02/2019"/>
    <s v="30/05/2020"/>
    <n v="7"/>
    <n v="114000"/>
    <n v="2.2999999999999998"/>
    <n v="7"/>
    <x v="1"/>
  </r>
  <r>
    <s v="MFS-94111"/>
    <s v="Yetunde Uba"/>
    <x v="1"/>
    <x v="1"/>
    <x v="0"/>
    <s v="Senior"/>
    <x v="3"/>
    <s v="31-40"/>
    <x v="0"/>
    <s v="28/08/2020"/>
    <s v="16/11/2020"/>
    <n v="5"/>
    <n v="407000"/>
    <n v="2.9"/>
    <n v="11"/>
    <x v="0"/>
  </r>
  <r>
    <s v="MFS-22690"/>
    <s v="Nana Ihejirika"/>
    <x v="1"/>
    <x v="3"/>
    <x v="2"/>
    <s v="Senior"/>
    <x v="3"/>
    <s v="22-30"/>
    <x v="0"/>
    <s v="10/04/2023"/>
    <s v="16/11/2020"/>
    <n v="2"/>
    <n v="582000"/>
    <n v="4.4000000000000004"/>
    <n v="10"/>
    <x v="0"/>
  </r>
  <r>
    <s v="MFS-87513"/>
    <s v="Chinwe Eze"/>
    <x v="1"/>
    <x v="4"/>
    <x v="0"/>
    <s v="Junior"/>
    <x v="0"/>
    <s v="31-40"/>
    <x v="3"/>
    <s v="24/11/2021"/>
    <s v="16/11/2020"/>
    <n v="4"/>
    <n v="123000"/>
    <n v="2.7"/>
    <n v="0"/>
    <x v="0"/>
  </r>
  <r>
    <s v="MFS-98756"/>
    <s v="Nkechi Haruna"/>
    <x v="1"/>
    <x v="3"/>
    <x v="0"/>
    <s v="Senior"/>
    <x v="3"/>
    <s v="41-50"/>
    <x v="0"/>
    <s v="11/10/2021"/>
    <s v="16/11/2020"/>
    <n v="4"/>
    <n v="361000"/>
    <n v="3.2"/>
    <n v="11"/>
    <x v="0"/>
  </r>
  <r>
    <s v="MFS-79365"/>
    <s v="Adebayo Oyelaran"/>
    <x v="0"/>
    <x v="3"/>
    <x v="0"/>
    <s v="Mid-level"/>
    <x v="0"/>
    <s v="41-50"/>
    <x v="1"/>
    <s v="07/06/2019"/>
    <s v="16/11/2020"/>
    <n v="6"/>
    <n v="297000"/>
    <n v="3.7"/>
    <n v="6"/>
    <x v="2"/>
  </r>
  <r>
    <s v="MFS-50877"/>
    <s v="Ebuka Ihejirika"/>
    <x v="0"/>
    <x v="2"/>
    <x v="2"/>
    <s v="Junior"/>
    <x v="1"/>
    <s v="41-50"/>
    <x v="0"/>
    <s v="24/08/2020"/>
    <s v="28/06/2023"/>
    <n v="5"/>
    <n v="93000"/>
    <n v="4.2"/>
    <n v="4"/>
    <x v="0"/>
  </r>
  <r>
    <s v="MFS-47877"/>
    <s v="Adaora Haruna"/>
    <x v="1"/>
    <x v="0"/>
    <x v="0"/>
    <s v="Junior"/>
    <x v="1"/>
    <s v="31-40"/>
    <x v="4"/>
    <s v="05/10/2021"/>
    <s v="28/06/2023"/>
    <n v="4"/>
    <n v="134000"/>
    <n v="4.0999999999999996"/>
    <n v="0"/>
    <x v="1"/>
  </r>
  <r>
    <s v="MFS-69515"/>
    <s v="Shade Adewale"/>
    <x v="1"/>
    <x v="0"/>
    <x v="0"/>
    <s v="Senior"/>
    <x v="1"/>
    <s v="31-40"/>
    <x v="3"/>
    <s v="06/11/2020"/>
    <s v="21/02/2023"/>
    <n v="5"/>
    <n v="504000"/>
    <n v="4"/>
    <n v="9"/>
    <x v="0"/>
  </r>
  <r>
    <s v="MFS-87311"/>
    <s v="Sola Obaseki"/>
    <x v="1"/>
    <x v="2"/>
    <x v="0"/>
    <s v="Manager"/>
    <x v="0"/>
    <s v="22-30"/>
    <x v="0"/>
    <s v="12/05/2019"/>
    <s v="21/02/2023"/>
    <n v="6"/>
    <n v="752000"/>
    <n v="4.0999999999999996"/>
    <n v="11"/>
    <x v="0"/>
  </r>
  <r>
    <s v="MFS-92040"/>
    <s v="Bukola Nwachukwu"/>
    <x v="1"/>
    <x v="0"/>
    <x v="2"/>
    <s v="Mid-level"/>
    <x v="0"/>
    <s v="31-40"/>
    <x v="4"/>
    <s v="19/04/2021"/>
    <s v="21/02/2023"/>
    <n v="4"/>
    <n v="305000"/>
    <n v="3"/>
    <n v="36"/>
    <x v="0"/>
  </r>
  <r>
    <s v="MFS-94216"/>
    <s v="Aliyu Adeyemi"/>
    <x v="0"/>
    <x v="0"/>
    <x v="2"/>
    <s v="Manager"/>
    <x v="0"/>
    <s v="41-50"/>
    <x v="3"/>
    <s v="22/12/2019"/>
    <s v="21/02/2023"/>
    <n v="6"/>
    <n v="1045000"/>
    <n v="3.5"/>
    <n v="5"/>
    <x v="1"/>
  </r>
  <r>
    <s v="MFS-85307"/>
    <s v="Laraba Eze"/>
    <x v="1"/>
    <x v="2"/>
    <x v="0"/>
    <s v="Junior"/>
    <x v="1"/>
    <s v="41-50"/>
    <x v="2"/>
    <s v="31/07/2022"/>
    <s v="07/04/2024"/>
    <n v="3"/>
    <n v="138000"/>
    <n v="3.9"/>
    <n v="24"/>
    <x v="0"/>
  </r>
  <r>
    <s v="MFS-95053"/>
    <s v="Usman Garba"/>
    <x v="0"/>
    <x v="2"/>
    <x v="0"/>
    <s v="Senior"/>
    <x v="0"/>
    <s v="22-30"/>
    <x v="2"/>
    <s v="06/10/2023"/>
    <s v="07/04/2024"/>
    <n v="2"/>
    <n v="546000"/>
    <n v="2.7"/>
    <n v="3"/>
    <x v="2"/>
  </r>
  <r>
    <s v="MFS-32832"/>
    <s v="Maryam Nwosu"/>
    <x v="1"/>
    <x v="2"/>
    <x v="1"/>
    <s v="Junior"/>
    <x v="2"/>
    <s v="31-40"/>
    <x v="1"/>
    <s v="04/06/2022"/>
    <s v="18/09/2022"/>
    <n v="3"/>
    <n v="127000"/>
    <n v="2"/>
    <n v="14"/>
    <x v="0"/>
  </r>
  <r>
    <s v="MFS-41324"/>
    <s v="Ogechi Nwachukwu"/>
    <x v="1"/>
    <x v="4"/>
    <x v="2"/>
    <s v="Junior"/>
    <x v="2"/>
    <s v="22-30"/>
    <x v="0"/>
    <s v="14/03/2022"/>
    <s v="18/09/2022"/>
    <n v="3"/>
    <n v="93000"/>
    <n v="2.4"/>
    <n v="37"/>
    <x v="1"/>
  </r>
  <r>
    <s v="MFS-71654"/>
    <s v="Ronke Amadi"/>
    <x v="1"/>
    <x v="3"/>
    <x v="1"/>
    <s v="Mid-level"/>
    <x v="2"/>
    <s v="22-30"/>
    <x v="3"/>
    <s v="04/05/2020"/>
    <s v="13/08/2022"/>
    <n v="5"/>
    <n v="207000"/>
    <n v="4.3"/>
    <n v="10"/>
    <x v="0"/>
  </r>
  <r>
    <s v="MFS-64798"/>
    <s v="Nnamdi Obaseki"/>
    <x v="0"/>
    <x v="4"/>
    <x v="1"/>
    <s v="Senior"/>
    <x v="2"/>
    <s v="41-50"/>
    <x v="0"/>
    <s v="04/02/2020"/>
    <s v="13/08/2022"/>
    <n v="6"/>
    <n v="559000"/>
    <n v="2.9"/>
    <n v="3"/>
    <x v="1"/>
  </r>
  <r>
    <s v="MFS-13242"/>
    <s v="Adeola Okafor"/>
    <x v="0"/>
    <x v="3"/>
    <x v="0"/>
    <s v="Junior"/>
    <x v="0"/>
    <s v="31-40"/>
    <x v="0"/>
    <s v="21/01/2019"/>
    <s v="02/11/2024"/>
    <n v="7"/>
    <n v="132000"/>
    <n v="2.6"/>
    <n v="13"/>
    <x v="0"/>
  </r>
  <r>
    <s v="MFS-51229"/>
    <s v="Rukayya Adewale"/>
    <x v="1"/>
    <x v="3"/>
    <x v="0"/>
    <s v="Director"/>
    <x v="0"/>
    <s v="41-50"/>
    <x v="2"/>
    <s v="27/02/2021"/>
    <s v="02/11/2024"/>
    <n v="5"/>
    <n v="1240000"/>
    <n v="3.9"/>
    <n v="9"/>
    <x v="0"/>
  </r>
  <r>
    <s v="MFS-78363"/>
    <s v="Lanre Musa"/>
    <x v="0"/>
    <x v="3"/>
    <x v="1"/>
    <s v="Mid-level"/>
    <x v="1"/>
    <s v="51-60"/>
    <x v="0"/>
    <s v="17/04/2021"/>
    <s v="02/11/2024"/>
    <n v="4"/>
    <n v="283000"/>
    <n v="3.3"/>
    <n v="19"/>
    <x v="0"/>
  </r>
  <r>
    <s v="MFS-62780"/>
    <s v="Tunde Oyelaran"/>
    <x v="0"/>
    <x v="4"/>
    <x v="0"/>
    <s v="Junior"/>
    <x v="0"/>
    <s v="22-30"/>
    <x v="4"/>
    <s v="07/09/2020"/>
    <s v="02/11/2024"/>
    <n v="5"/>
    <n v="165000"/>
    <n v="2.2999999999999998"/>
    <n v="10"/>
    <x v="0"/>
  </r>
  <r>
    <s v="MFS-96945"/>
    <s v="Fatima Adewale"/>
    <x v="1"/>
    <x v="2"/>
    <x v="1"/>
    <s v="Mid-level"/>
    <x v="2"/>
    <s v="22-30"/>
    <x v="0"/>
    <s v="11/01/2021"/>
    <s v="02/11/2024"/>
    <n v="5"/>
    <n v="290000"/>
    <n v="2.8"/>
    <n v="4"/>
    <x v="0"/>
  </r>
  <r>
    <s v="MFS-27353"/>
    <s v="Uloma Obi"/>
    <x v="1"/>
    <x v="2"/>
    <x v="2"/>
    <s v="Mid-level"/>
    <x v="3"/>
    <s v="22-30"/>
    <x v="2"/>
    <s v="30/03/2021"/>
    <s v="02/11/2024"/>
    <n v="4"/>
    <n v="260000"/>
    <n v="2.2000000000000002"/>
    <n v="4"/>
    <x v="1"/>
  </r>
  <r>
    <s v="MFS-12813"/>
    <s v="Tobi Adewale"/>
    <x v="0"/>
    <x v="0"/>
    <x v="2"/>
    <s v="Junior"/>
    <x v="0"/>
    <s v="51-60"/>
    <x v="1"/>
    <s v="21/09/2020"/>
    <s v="01/04/2024"/>
    <n v="5"/>
    <n v="190000"/>
    <n v="4.7"/>
    <n v="13"/>
    <x v="0"/>
  </r>
  <r>
    <s v="MFS-23944"/>
    <s v="Chinedu Buhari"/>
    <x v="0"/>
    <x v="2"/>
    <x v="2"/>
    <s v="Junior"/>
    <x v="0"/>
    <s v="41-50"/>
    <x v="2"/>
    <s v="01/06/2023"/>
    <s v="01/04/2024"/>
    <n v="2"/>
    <n v="126000"/>
    <n v="4"/>
    <n v="6"/>
    <x v="0"/>
  </r>
  <r>
    <s v="MFS-91248"/>
    <s v="Dele Yakubu"/>
    <x v="0"/>
    <x v="4"/>
    <x v="2"/>
    <s v="Junior"/>
    <x v="2"/>
    <s v="22-30"/>
    <x v="2"/>
    <s v="07/02/2020"/>
    <s v="01/04/2024"/>
    <n v="6"/>
    <n v="129000"/>
    <n v="3.2"/>
    <n v="5"/>
    <x v="1"/>
  </r>
  <r>
    <s v="MFS-80975"/>
    <s v="Oghenekaro Nduka"/>
    <x v="0"/>
    <x v="1"/>
    <x v="0"/>
    <s v="Senior"/>
    <x v="2"/>
    <s v="41-50"/>
    <x v="0"/>
    <s v="08/06/2021"/>
    <s v="01/04/2024"/>
    <n v="4"/>
    <n v="406000"/>
    <n v="3.7"/>
    <n v="15"/>
    <x v="0"/>
  </r>
  <r>
    <s v="MFS-50484"/>
    <s v="Gbenga Danladi"/>
    <x v="0"/>
    <x v="2"/>
    <x v="1"/>
    <s v="Mid-level"/>
    <x v="1"/>
    <s v="31-40"/>
    <x v="1"/>
    <s v="06/04/2021"/>
    <s v="01/04/2024"/>
    <n v="4"/>
    <n v="230000"/>
    <n v="3.5"/>
    <n v="6"/>
    <x v="0"/>
  </r>
  <r>
    <s v="MFS-30700"/>
    <s v="Ifeoma Uba"/>
    <x v="1"/>
    <x v="4"/>
    <x v="0"/>
    <s v="Mid-level"/>
    <x v="0"/>
    <s v="22-30"/>
    <x v="2"/>
    <s v="16/07/2023"/>
    <s v="01/04/2024"/>
    <n v="2"/>
    <n v="246000"/>
    <n v="2.9"/>
    <n v="9"/>
    <x v="0"/>
  </r>
  <r>
    <s v="MFS-32764"/>
    <s v="Ronke Aliyu"/>
    <x v="1"/>
    <x v="1"/>
    <x v="0"/>
    <s v="Manager"/>
    <x v="0"/>
    <s v="41-50"/>
    <x v="0"/>
    <s v="18/05/2021"/>
    <s v="01/04/2024"/>
    <n v="4"/>
    <n v="600000"/>
    <n v="3.6"/>
    <n v="10"/>
    <x v="0"/>
  </r>
  <r>
    <s v="MFS-61053"/>
    <s v="Nneka Ogbonna"/>
    <x v="1"/>
    <x v="4"/>
    <x v="2"/>
    <s v="Mid-level"/>
    <x v="3"/>
    <s v="22-30"/>
    <x v="2"/>
    <s v="02/10/2021"/>
    <s v="01/04/2024"/>
    <n v="4"/>
    <n v="242000"/>
    <n v="2.5"/>
    <n v="10"/>
    <x v="3"/>
  </r>
  <r>
    <s v="MFS-80486"/>
    <s v="Damilola Adesanya"/>
    <x v="1"/>
    <x v="2"/>
    <x v="0"/>
    <s v="Mid-level"/>
    <x v="3"/>
    <s v="31-40"/>
    <x v="1"/>
    <s v="24/07/2020"/>
    <s v="27/07/2024"/>
    <n v="5"/>
    <n v="327000"/>
    <n v="3"/>
    <n v="9"/>
    <x v="0"/>
  </r>
  <r>
    <s v="MFS-87328"/>
    <s v="Folake Lawal"/>
    <x v="1"/>
    <x v="1"/>
    <x v="1"/>
    <s v="Junior"/>
    <x v="2"/>
    <s v="22-30"/>
    <x v="0"/>
    <s v="27/09/2021"/>
    <s v="27/07/2024"/>
    <n v="4"/>
    <n v="151000"/>
    <n v="4.2"/>
    <n v="7"/>
    <x v="0"/>
  </r>
  <r>
    <s v="MFS-45359"/>
    <s v="Folake Nnamdi"/>
    <x v="1"/>
    <x v="3"/>
    <x v="0"/>
    <s v="Senior"/>
    <x v="1"/>
    <s v="31-40"/>
    <x v="0"/>
    <s v="08/08/2022"/>
    <s v="27/07/2024"/>
    <n v="3"/>
    <n v="354000"/>
    <n v="2.4"/>
    <n v="1"/>
    <x v="0"/>
  </r>
  <r>
    <s v="MFS-75296"/>
    <s v="Nana Abdullahi"/>
    <x v="1"/>
    <x v="3"/>
    <x v="0"/>
    <s v="Manager"/>
    <x v="0"/>
    <s v="31-40"/>
    <x v="0"/>
    <s v="17/06/2022"/>
    <s v="27/07/2024"/>
    <n v="3"/>
    <n v="874000"/>
    <n v="3.2"/>
    <n v="10"/>
    <x v="0"/>
  </r>
  <r>
    <s v="MFS-76254"/>
    <s v="Amaka Ogundipe"/>
    <x v="1"/>
    <x v="4"/>
    <x v="0"/>
    <s v="Junior"/>
    <x v="0"/>
    <s v="51-60"/>
    <x v="0"/>
    <s v="27/07/2023"/>
    <s v="27/07/2024"/>
    <n v="2"/>
    <n v="92000"/>
    <n v="1.9"/>
    <n v="8"/>
    <x v="1"/>
  </r>
  <r>
    <s v="MFS-83076"/>
    <s v="Ibrahim Nnamdi"/>
    <x v="0"/>
    <x v="1"/>
    <x v="1"/>
    <s v="Junior"/>
    <x v="0"/>
    <s v="22-30"/>
    <x v="2"/>
    <s v="12/10/2023"/>
    <s v="10/02/2023"/>
    <n v="2"/>
    <n v="119000"/>
    <n v="2.5"/>
    <n v="6"/>
    <x v="0"/>
  </r>
  <r>
    <s v="MFS-14562"/>
    <s v="Nkechi Fagbemi"/>
    <x v="1"/>
    <x v="3"/>
    <x v="1"/>
    <s v="Manager"/>
    <x v="1"/>
    <s v="22-30"/>
    <x v="0"/>
    <s v="22/07/2023"/>
    <s v="10/02/2023"/>
    <n v="2"/>
    <n v="840000"/>
    <n v="4.0999999999999996"/>
    <n v="7"/>
    <x v="0"/>
  </r>
  <r>
    <s v="MFS-90786"/>
    <s v="Fatima Taiwo"/>
    <x v="1"/>
    <x v="4"/>
    <x v="0"/>
    <s v="Junior"/>
    <x v="0"/>
    <s v="22-30"/>
    <x v="1"/>
    <s v="18/02/2020"/>
    <s v="10/02/2023"/>
    <n v="6"/>
    <n v="99000"/>
    <n v="1.9"/>
    <n v="38"/>
    <x v="1"/>
  </r>
  <r>
    <s v="MFS-79607"/>
    <s v="Hadiza Shehu"/>
    <x v="1"/>
    <x v="3"/>
    <x v="0"/>
    <s v="Mid-level"/>
    <x v="3"/>
    <s v="22-30"/>
    <x v="1"/>
    <s v="24/05/2023"/>
    <s v="26/11/2023"/>
    <n v="2"/>
    <n v="182000"/>
    <n v="2.5"/>
    <n v="4"/>
    <x v="2"/>
  </r>
  <r>
    <s v="MFS-54231"/>
    <s v="Kunle Nwachukwu"/>
    <x v="0"/>
    <x v="4"/>
    <x v="0"/>
    <s v="Junior"/>
    <x v="2"/>
    <s v="31-40"/>
    <x v="4"/>
    <s v="16/11/2022"/>
    <s v="03/11/2023"/>
    <n v="3"/>
    <n v="171000"/>
    <n v="2.2000000000000002"/>
    <n v="26"/>
    <x v="2"/>
  </r>
  <r>
    <s v="MFS-57214"/>
    <s v="Sola Onwudiwe"/>
    <x v="1"/>
    <x v="4"/>
    <x v="0"/>
    <s v="Senior"/>
    <x v="0"/>
    <s v="31-40"/>
    <x v="4"/>
    <s v="19/09/2021"/>
    <s v="01/05/2022"/>
    <n v="4"/>
    <n v="567000"/>
    <n v="3.6"/>
    <n v="8"/>
    <x v="3"/>
  </r>
  <r>
    <s v="MFS-66678"/>
    <s v="Adebayo Okonkwo"/>
    <x v="0"/>
    <x v="3"/>
    <x v="0"/>
    <s v="Manager"/>
    <x v="3"/>
    <s v="41-50"/>
    <x v="0"/>
    <s v="08/07/2021"/>
    <s v="16/01/2024"/>
    <n v="4"/>
    <n v="919000"/>
    <n v="4.0999999999999996"/>
    <n v="4"/>
    <x v="3"/>
  </r>
  <r>
    <s v="MFS-56720"/>
    <s v="Adeola Chukwu"/>
    <x v="1"/>
    <x v="2"/>
    <x v="0"/>
    <s v="Junior"/>
    <x v="2"/>
    <s v="41-50"/>
    <x v="0"/>
    <s v="01/02/2022"/>
    <s v="20/11/2024"/>
    <n v="4"/>
    <n v="118000"/>
    <n v="4.8"/>
    <n v="14"/>
    <x v="0"/>
  </r>
  <r>
    <s v="MFS-28463"/>
    <s v="Laraba Aliyu"/>
    <x v="1"/>
    <x v="1"/>
    <x v="0"/>
    <s v="Mid-level"/>
    <x v="1"/>
    <s v="31-40"/>
    <x v="2"/>
    <s v="03/09/2020"/>
    <s v="20/11/2024"/>
    <n v="5"/>
    <n v="289000"/>
    <n v="3.1"/>
    <n v="1"/>
    <x v="3"/>
  </r>
  <r>
    <s v="MFS-42305"/>
    <s v="Ronke Garba"/>
    <x v="1"/>
    <x v="3"/>
    <x v="0"/>
    <s v="Mid-level"/>
    <x v="0"/>
    <s v="22-30"/>
    <x v="0"/>
    <s v="03/05/2021"/>
    <s v="06/07/2023"/>
    <n v="4"/>
    <n v="212000"/>
    <n v="2.8"/>
    <n v="0"/>
    <x v="0"/>
  </r>
  <r>
    <s v="MFS-11861"/>
    <s v="Musa Musa"/>
    <x v="0"/>
    <x v="4"/>
    <x v="2"/>
    <s v="Mid-level"/>
    <x v="2"/>
    <s v="22-30"/>
    <x v="2"/>
    <s v="24/01/2022"/>
    <s v="06/07/2023"/>
    <n v="4"/>
    <n v="201000"/>
    <n v="1.5"/>
    <n v="11"/>
    <x v="1"/>
  </r>
  <r>
    <s v="MFS-70271"/>
    <s v="Musa Oyelaran"/>
    <x v="0"/>
    <x v="3"/>
    <x v="0"/>
    <s v="Mid-level"/>
    <x v="3"/>
    <s v="22-30"/>
    <x v="0"/>
    <s v="20/02/2023"/>
    <s v="17/08/2024"/>
    <n v="3"/>
    <n v="225000"/>
    <n v="4.7"/>
    <n v="2"/>
    <x v="0"/>
  </r>
  <r>
    <s v="MFS-85044"/>
    <s v="Shehu Adesanya"/>
    <x v="0"/>
    <x v="2"/>
    <x v="0"/>
    <s v="Manager"/>
    <x v="1"/>
    <s v="51-60"/>
    <x v="0"/>
    <s v="23/02/2023"/>
    <s v="17/08/2024"/>
    <n v="3"/>
    <n v="890000"/>
    <n v="3.2"/>
    <n v="0"/>
    <x v="2"/>
  </r>
  <r>
    <s v="MFS-15224"/>
    <s v="Ezinne Afolabi"/>
    <x v="1"/>
    <x v="4"/>
    <x v="0"/>
    <s v="Junior"/>
    <x v="1"/>
    <s v="41-50"/>
    <x v="4"/>
    <s v="14/02/2021"/>
    <s v="04/04/2022"/>
    <n v="5"/>
    <n v="149000"/>
    <n v="2.9"/>
    <n v="5"/>
    <x v="1"/>
  </r>
  <r>
    <s v="MFS-32768"/>
    <s v="Lola Musa"/>
    <x v="1"/>
    <x v="4"/>
    <x v="1"/>
    <s v="Mid-level"/>
    <x v="0"/>
    <s v="22-30"/>
    <x v="1"/>
    <s v="16/12/2023"/>
    <s v="22/12/2024"/>
    <n v="2"/>
    <n v="190000"/>
    <n v="1.6"/>
    <n v="2"/>
    <x v="1"/>
  </r>
  <r>
    <s v="MFS-13021"/>
    <s v="Yakubu Oyelaran"/>
    <x v="0"/>
    <x v="2"/>
    <x v="0"/>
    <s v="Mid-level"/>
    <x v="0"/>
    <s v="41-50"/>
    <x v="4"/>
    <s v="16/06/2022"/>
    <s v="06/03/2023"/>
    <n v="3"/>
    <n v="212000"/>
    <n v="3.4"/>
    <n v="35"/>
    <x v="0"/>
  </r>
  <r>
    <s v="MFS-37314"/>
    <s v="Chinedu Okeke"/>
    <x v="0"/>
    <x v="2"/>
    <x v="2"/>
    <s v="Manager"/>
    <x v="0"/>
    <s v="41-50"/>
    <x v="2"/>
    <s v="09/12/2021"/>
    <s v="06/03/2023"/>
    <n v="4"/>
    <n v="732000"/>
    <n v="3.9"/>
    <n v="6"/>
    <x v="0"/>
  </r>
  <r>
    <s v="MFS-44987"/>
    <s v="Ngozi Lawal"/>
    <x v="1"/>
    <x v="3"/>
    <x v="0"/>
    <s v="Mid-level"/>
    <x v="0"/>
    <s v="22-30"/>
    <x v="1"/>
    <s v="08/08/2021"/>
    <s v="06/03/2023"/>
    <n v="4"/>
    <n v="263000"/>
    <n v="5"/>
    <n v="14"/>
    <x v="0"/>
  </r>
  <r>
    <s v="MFS-12733"/>
    <s v="Sola Aliyu"/>
    <x v="1"/>
    <x v="4"/>
    <x v="0"/>
    <s v="Manager"/>
    <x v="2"/>
    <s v="31-40"/>
    <x v="0"/>
    <s v="11/06/2021"/>
    <s v="06/03/2023"/>
    <n v="4"/>
    <n v="806000"/>
    <n v="4"/>
    <n v="4"/>
    <x v="1"/>
  </r>
  <r>
    <s v="MFS-52910"/>
    <s v="Bilkisu Eze"/>
    <x v="1"/>
    <x v="3"/>
    <x v="1"/>
    <s v="Mid-level"/>
    <x v="1"/>
    <s v="51-60"/>
    <x v="1"/>
    <s v="07/12/2022"/>
    <s v="09/03/2022"/>
    <n v="3"/>
    <n v="253000"/>
    <n v="3.6"/>
    <n v="14"/>
    <x v="0"/>
  </r>
  <r>
    <s v="MFS-81037"/>
    <s v="Ebuka Ogundipe"/>
    <x v="0"/>
    <x v="0"/>
    <x v="2"/>
    <s v="Junior"/>
    <x v="0"/>
    <s v="41-50"/>
    <x v="0"/>
    <s v="24/11/2019"/>
    <s v="09/03/2022"/>
    <n v="6"/>
    <n v="159000"/>
    <n v="4.0999999999999996"/>
    <n v="13"/>
    <x v="0"/>
  </r>
  <r>
    <s v="MFS-74999"/>
    <s v="Ramatu Nnamdi"/>
    <x v="1"/>
    <x v="2"/>
    <x v="1"/>
    <s v="Senior"/>
    <x v="2"/>
    <s v="41-50"/>
    <x v="2"/>
    <s v="24/01/2021"/>
    <s v="09/03/2022"/>
    <n v="5"/>
    <n v="580000"/>
    <n v="3.6"/>
    <n v="12"/>
    <x v="1"/>
  </r>
  <r>
    <s v="MFS-64639"/>
    <s v="Jummai Coker"/>
    <x v="1"/>
    <x v="2"/>
    <x v="0"/>
    <s v="Junior"/>
    <x v="1"/>
    <s v="31-40"/>
    <x v="2"/>
    <s v="12/02/2020"/>
    <s v="21/03/2023"/>
    <n v="6"/>
    <n v="87000"/>
    <n v="2.1"/>
    <n v="0"/>
    <x v="0"/>
  </r>
  <r>
    <s v="MFS-88462"/>
    <s v="Ugochi Bello"/>
    <x v="1"/>
    <x v="4"/>
    <x v="0"/>
    <s v="Mid-level"/>
    <x v="1"/>
    <s v="41-50"/>
    <x v="0"/>
    <s v="17/08/2019"/>
    <s v="21/03/2023"/>
    <n v="6"/>
    <n v="275000"/>
    <n v="4.3"/>
    <n v="0"/>
    <x v="0"/>
  </r>
  <r>
    <s v="MFS-43187"/>
    <s v="Ifeoma Oyelaran"/>
    <x v="1"/>
    <x v="3"/>
    <x v="2"/>
    <s v="Mid-level"/>
    <x v="0"/>
    <s v="22-30"/>
    <x v="1"/>
    <s v="13/08/2019"/>
    <s v="21/03/2023"/>
    <n v="6"/>
    <n v="297000"/>
    <n v="4.9000000000000004"/>
    <n v="30"/>
    <x v="0"/>
  </r>
  <r>
    <s v="MFS-26161"/>
    <s v="Ebuka Onwudiwe"/>
    <x v="0"/>
    <x v="1"/>
    <x v="1"/>
    <s v="Mid-level"/>
    <x v="2"/>
    <s v="31-40"/>
    <x v="0"/>
    <s v="23/09/2020"/>
    <s v="21/03/2023"/>
    <n v="5"/>
    <n v="180000"/>
    <n v="4.5999999999999996"/>
    <n v="25"/>
    <x v="2"/>
  </r>
  <r>
    <s v="MFS-88258"/>
    <s v="Nneka Musa"/>
    <x v="1"/>
    <x v="0"/>
    <x v="0"/>
    <s v="Junior"/>
    <x v="1"/>
    <s v="31-40"/>
    <x v="2"/>
    <s v="05/05/2022"/>
    <s v="01/02/2025"/>
    <n v="3"/>
    <n v="116000"/>
    <n v="3.4"/>
    <n v="0"/>
    <x v="0"/>
  </r>
  <r>
    <s v="MFS-87826"/>
    <s v="Adaeze Lawal"/>
    <x v="1"/>
    <x v="2"/>
    <x v="0"/>
    <s v="Junior"/>
    <x v="3"/>
    <s v="31-40"/>
    <x v="2"/>
    <s v="21/01/2020"/>
    <s v="01/02/2025"/>
    <n v="6"/>
    <n v="99000"/>
    <n v="4.3"/>
    <n v="12"/>
    <x v="1"/>
  </r>
  <r>
    <s v="MFS-17412"/>
    <s v="Nana Taiwo"/>
    <x v="1"/>
    <x v="4"/>
    <x v="0"/>
    <s v="Junior"/>
    <x v="0"/>
    <s v="31-40"/>
    <x v="2"/>
    <s v="25/11/2023"/>
    <s v="24/01/2025"/>
    <n v="2"/>
    <n v="120000"/>
    <n v="2.8"/>
    <n v="4"/>
    <x v="1"/>
  </r>
  <r>
    <s v="MFS-74178"/>
    <s v="Ronke Aliyu"/>
    <x v="1"/>
    <x v="2"/>
    <x v="0"/>
    <s v="Mid-level"/>
    <x v="1"/>
    <s v="31-40"/>
    <x v="2"/>
    <s v="17/03/2022"/>
    <s v="04/09/2024"/>
    <n v="3"/>
    <n v="245000"/>
    <n v="4.5999999999999996"/>
    <n v="5"/>
    <x v="1"/>
  </r>
  <r>
    <s v="MFS-35546"/>
    <s v="Ezinne Omotayo"/>
    <x v="1"/>
    <x v="2"/>
    <x v="0"/>
    <s v="Senior"/>
    <x v="0"/>
    <s v="41-50"/>
    <x v="0"/>
    <s v="09/12/2022"/>
    <s v="30/12/2021"/>
    <n v="3"/>
    <n v="595000"/>
    <n v="4"/>
    <n v="10"/>
    <x v="0"/>
  </r>
  <r>
    <s v="MFS-65514"/>
    <s v="Rotimi Buhari"/>
    <x v="0"/>
    <x v="3"/>
    <x v="2"/>
    <s v="Senior"/>
    <x v="0"/>
    <s v="22-30"/>
    <x v="4"/>
    <s v="12/09/2019"/>
    <s v="30/12/2021"/>
    <n v="6"/>
    <n v="497000"/>
    <n v="2.5"/>
    <n v="2"/>
    <x v="0"/>
  </r>
  <r>
    <s v="MFS-81258"/>
    <s v="Zainab Onwudiwe"/>
    <x v="1"/>
    <x v="0"/>
    <x v="0"/>
    <s v="Senior"/>
    <x v="2"/>
    <s v="31-40"/>
    <x v="2"/>
    <s v="06/03/2021"/>
    <s v="30/12/2021"/>
    <n v="5"/>
    <n v="461000"/>
    <n v="3.8"/>
    <n v="40"/>
    <x v="1"/>
  </r>
  <r>
    <s v="MFS-81707"/>
    <s v="Nnamdi Ogbonna"/>
    <x v="0"/>
    <x v="4"/>
    <x v="2"/>
    <s v="Junior"/>
    <x v="1"/>
    <s v="41-50"/>
    <x v="1"/>
    <s v="27/12/2023"/>
    <s v="31/12/2024"/>
    <n v="2"/>
    <n v="120000"/>
    <n v="2.8"/>
    <n v="31"/>
    <x v="1"/>
  </r>
  <r>
    <s v="MFS-98153"/>
    <s v="Chukwuemeka Haruna"/>
    <x v="0"/>
    <x v="2"/>
    <x v="0"/>
    <s v="Junior"/>
    <x v="0"/>
    <s v="22-30"/>
    <x v="0"/>
    <s v="15/04/2022"/>
    <s v="18/01/2025"/>
    <n v="3"/>
    <n v="137000"/>
    <n v="4.5"/>
    <n v="13"/>
    <x v="0"/>
  </r>
  <r>
    <s v="MFS-57346"/>
    <s v="Chibuike Suleiman"/>
    <x v="0"/>
    <x v="3"/>
    <x v="1"/>
    <s v="Junior"/>
    <x v="2"/>
    <s v="22-30"/>
    <x v="1"/>
    <s v="28/09/2023"/>
    <s v="18/01/2025"/>
    <n v="2"/>
    <n v="150000"/>
    <n v="4.9000000000000004"/>
    <n v="7"/>
    <x v="1"/>
  </r>
  <r>
    <s v="MFS-48662"/>
    <s v="Obiora Nwachukwu"/>
    <x v="0"/>
    <x v="4"/>
    <x v="0"/>
    <s v="Mid-level"/>
    <x v="0"/>
    <s v="31-40"/>
    <x v="2"/>
    <s v="18/01/2022"/>
    <s v="26/03/2025"/>
    <n v="4"/>
    <n v="327000"/>
    <n v="3.5"/>
    <n v="0"/>
    <x v="1"/>
  </r>
  <r>
    <s v="MFS-35662"/>
    <s v="Laraba Onwudiwe"/>
    <x v="1"/>
    <x v="4"/>
    <x v="2"/>
    <s v="Senior"/>
    <x v="0"/>
    <s v="41-50"/>
    <x v="1"/>
    <s v="30/11/2019"/>
    <s v="08/05/2023"/>
    <n v="6"/>
    <n v="590000"/>
    <n v="3.5"/>
    <n v="19"/>
    <x v="0"/>
  </r>
  <r>
    <s v="MFS-95634"/>
    <s v="Fatima Ihejirika"/>
    <x v="1"/>
    <x v="2"/>
    <x v="0"/>
    <s v="Mid-level"/>
    <x v="0"/>
    <s v="22-30"/>
    <x v="2"/>
    <s v="14/05/2022"/>
    <s v="08/05/2023"/>
    <n v="3"/>
    <n v="182000"/>
    <n v="4.0999999999999996"/>
    <n v="39"/>
    <x v="0"/>
  </r>
  <r>
    <s v="MFS-95592"/>
    <s v="Chibuike Adebayo"/>
    <x v="0"/>
    <x v="4"/>
    <x v="0"/>
    <s v="Senior"/>
    <x v="2"/>
    <s v="22-30"/>
    <x v="2"/>
    <s v="31/07/2022"/>
    <s v="08/05/2023"/>
    <n v="3"/>
    <n v="545000"/>
    <n v="5"/>
    <n v="28"/>
    <x v="3"/>
  </r>
  <r>
    <s v="MFS-85189"/>
    <s v="Chibuike Fagbemi"/>
    <x v="0"/>
    <x v="2"/>
    <x v="0"/>
    <s v="Manager"/>
    <x v="0"/>
    <s v="41-50"/>
    <x v="0"/>
    <s v="03/07/2023"/>
    <s v="08/06/2024"/>
    <n v="2"/>
    <n v="779000"/>
    <n v="5"/>
    <n v="11"/>
    <x v="0"/>
  </r>
  <r>
    <s v="MFS-98336"/>
    <s v="Kunle Omotayo"/>
    <x v="0"/>
    <x v="3"/>
    <x v="2"/>
    <s v="Mid-level"/>
    <x v="0"/>
    <s v="41-50"/>
    <x v="1"/>
    <s v="25/09/2019"/>
    <s v="08/06/2024"/>
    <n v="6"/>
    <n v="219000"/>
    <n v="4.9000000000000004"/>
    <n v="4"/>
    <x v="0"/>
  </r>
  <r>
    <s v="MFS-71950"/>
    <s v="Titi Okonkwo"/>
    <x v="1"/>
    <x v="2"/>
    <x v="1"/>
    <s v="Senior"/>
    <x v="0"/>
    <s v="31-40"/>
    <x v="2"/>
    <s v="10/01/2023"/>
    <s v="08/06/2024"/>
    <n v="3"/>
    <n v="450000"/>
    <n v="4.5"/>
    <n v="8"/>
    <x v="0"/>
  </r>
  <r>
    <s v="MFS-73173"/>
    <s v="Usman Adewale"/>
    <x v="0"/>
    <x v="4"/>
    <x v="0"/>
    <s v="Mid-level"/>
    <x v="0"/>
    <s v="31-40"/>
    <x v="0"/>
    <s v="09/01/2019"/>
    <s v="08/06/2024"/>
    <n v="7"/>
    <n v="319000"/>
    <n v="4.3"/>
    <n v="40"/>
    <x v="0"/>
  </r>
  <r>
    <s v="MFS-69401"/>
    <s v="Yemi Taiwo"/>
    <x v="1"/>
    <x v="2"/>
    <x v="1"/>
    <s v="Junior"/>
    <x v="2"/>
    <s v="22-30"/>
    <x v="1"/>
    <s v="18/04/2019"/>
    <s v="08/06/2024"/>
    <n v="6"/>
    <n v="180000"/>
    <n v="4.9000000000000004"/>
    <n v="9"/>
    <x v="0"/>
  </r>
  <r>
    <s v="MFS-53481"/>
    <s v="Bimpe Adebayo"/>
    <x v="1"/>
    <x v="2"/>
    <x v="0"/>
    <s v="Junior"/>
    <x v="0"/>
    <s v="31-40"/>
    <x v="2"/>
    <s v="12/12/2019"/>
    <s v="08/06/2024"/>
    <n v="6"/>
    <n v="118000"/>
    <n v="4.5999999999999996"/>
    <n v="6"/>
    <x v="0"/>
  </r>
  <r>
    <s v="MFS-24105"/>
    <s v="Ifeanyi Ihejirika"/>
    <x v="0"/>
    <x v="2"/>
    <x v="0"/>
    <s v="Senior"/>
    <x v="0"/>
    <s v="51-60"/>
    <x v="1"/>
    <s v="19/10/2020"/>
    <s v="08/06/2024"/>
    <n v="5"/>
    <n v="420000"/>
    <n v="2.6"/>
    <n v="9"/>
    <x v="0"/>
  </r>
  <r>
    <s v="MFS-23041"/>
    <s v="Dele Yakubu"/>
    <x v="0"/>
    <x v="2"/>
    <x v="0"/>
    <s v="Junior"/>
    <x v="0"/>
    <s v="41-50"/>
    <x v="2"/>
    <s v="29/03/2023"/>
    <s v="08/06/2024"/>
    <n v="2"/>
    <n v="119000"/>
    <n v="3.8"/>
    <n v="5"/>
    <x v="1"/>
  </r>
  <r>
    <s v="MFS-73227"/>
    <s v="Obiora Nnamdi"/>
    <x v="0"/>
    <x v="2"/>
    <x v="1"/>
    <s v="Mid-level"/>
    <x v="1"/>
    <s v="41-50"/>
    <x v="0"/>
    <s v="18/06/2023"/>
    <s v="22/05/2023"/>
    <n v="2"/>
    <n v="218000"/>
    <n v="3.7"/>
    <n v="8"/>
    <x v="0"/>
  </r>
  <r>
    <s v="MFS-34917"/>
    <s v="Lola Okeke"/>
    <x v="1"/>
    <x v="3"/>
    <x v="0"/>
    <s v="Junior"/>
    <x v="1"/>
    <s v="41-50"/>
    <x v="2"/>
    <s v="06/04/2020"/>
    <s v="22/05/2023"/>
    <n v="5"/>
    <n v="97000"/>
    <n v="3.3"/>
    <n v="26"/>
    <x v="3"/>
  </r>
  <r>
    <s v="MFS-21701"/>
    <s v="Oghenekaro Shehu"/>
    <x v="0"/>
    <x v="0"/>
    <x v="2"/>
    <s v="Mid-level"/>
    <x v="1"/>
    <s v="41-50"/>
    <x v="2"/>
    <s v="25/12/2019"/>
    <s v="08/01/2022"/>
    <n v="6"/>
    <n v="270000"/>
    <n v="4.7"/>
    <n v="6"/>
    <x v="2"/>
  </r>
  <r>
    <s v="MFS-47232"/>
    <s v="Ugochi Fagbemi"/>
    <x v="1"/>
    <x v="2"/>
    <x v="2"/>
    <s v="Manager"/>
    <x v="2"/>
    <s v="31-40"/>
    <x v="0"/>
    <s v="09/04/2022"/>
    <s v="09/09/2023"/>
    <n v="3"/>
    <n v="918000"/>
    <n v="3.6"/>
    <n v="1"/>
    <x v="0"/>
  </r>
  <r>
    <s v="MFS-24733"/>
    <s v="Ebuka Okafor"/>
    <x v="0"/>
    <x v="0"/>
    <x v="2"/>
    <s v="Junior"/>
    <x v="0"/>
    <s v="22-30"/>
    <x v="0"/>
    <s v="30/03/2019"/>
    <s v="09/09/2023"/>
    <n v="6"/>
    <n v="160000"/>
    <n v="3.6"/>
    <n v="10"/>
    <x v="0"/>
  </r>
  <r>
    <s v="MFS-42234"/>
    <s v="Ifeoma Afolabi"/>
    <x v="1"/>
    <x v="3"/>
    <x v="0"/>
    <s v="Mid-level"/>
    <x v="1"/>
    <s v="22-30"/>
    <x v="0"/>
    <s v="09/06/2022"/>
    <s v="09/09/2023"/>
    <n v="3"/>
    <n v="343000"/>
    <n v="4.0999999999999996"/>
    <n v="8"/>
    <x v="0"/>
  </r>
  <r>
    <s v="MFS-65323"/>
    <s v="Lanre Okafor"/>
    <x v="0"/>
    <x v="2"/>
    <x v="0"/>
    <s v="Senior"/>
    <x v="2"/>
    <s v="31-40"/>
    <x v="1"/>
    <s v="20/05/2021"/>
    <s v="09/09/2023"/>
    <n v="4"/>
    <n v="457000"/>
    <n v="4.2"/>
    <n v="5"/>
    <x v="1"/>
  </r>
  <r>
    <s v="MFS-51197"/>
    <s v="Nkechi Nnamdi"/>
    <x v="1"/>
    <x v="0"/>
    <x v="0"/>
    <s v="Mid-level"/>
    <x v="1"/>
    <s v="31-40"/>
    <x v="1"/>
    <s v="11/11/2022"/>
    <s v="14/07/2024"/>
    <n v="3"/>
    <n v="330000"/>
    <n v="4.5999999999999996"/>
    <n v="13"/>
    <x v="0"/>
  </r>
  <r>
    <s v="MFS-21349"/>
    <s v="Shade Aliyu"/>
    <x v="1"/>
    <x v="3"/>
    <x v="1"/>
    <s v="Junior"/>
    <x v="1"/>
    <s v="22-30"/>
    <x v="0"/>
    <s v="05/01/2023"/>
    <s v="14/07/2024"/>
    <n v="3"/>
    <n v="121000"/>
    <n v="2.2000000000000002"/>
    <n v="2"/>
    <x v="0"/>
  </r>
  <r>
    <s v="MFS-51838"/>
    <s v="Musa Shehu"/>
    <x v="0"/>
    <x v="1"/>
    <x v="0"/>
    <s v="Junior"/>
    <x v="0"/>
    <s v="41-50"/>
    <x v="1"/>
    <s v="20/01/2020"/>
    <s v="14/07/2024"/>
    <n v="6"/>
    <n v="128000"/>
    <n v="4.3"/>
    <n v="1"/>
    <x v="3"/>
  </r>
  <r>
    <s v="MFS-59161"/>
    <s v="Garba Garba"/>
    <x v="0"/>
    <x v="3"/>
    <x v="0"/>
    <s v="Junior"/>
    <x v="2"/>
    <s v="31-40"/>
    <x v="2"/>
    <s v="22/02/2021"/>
    <s v="21/06/2024"/>
    <n v="5"/>
    <n v="167000"/>
    <n v="4.8"/>
    <n v="12"/>
    <x v="0"/>
  </r>
  <r>
    <s v="MFS-63299"/>
    <s v="Hadiza Nnamdi"/>
    <x v="1"/>
    <x v="3"/>
    <x v="1"/>
    <s v="Senior"/>
    <x v="0"/>
    <s v="31-40"/>
    <x v="2"/>
    <s v="19/09/2023"/>
    <s v="21/06/2024"/>
    <n v="2"/>
    <n v="423000"/>
    <n v="4.5999999999999996"/>
    <n v="6"/>
    <x v="3"/>
  </r>
  <r>
    <s v="MFS-91915"/>
    <s v="Ibrahim Adewale"/>
    <x v="0"/>
    <x v="3"/>
    <x v="2"/>
    <s v="Senior"/>
    <x v="2"/>
    <s v="31-40"/>
    <x v="1"/>
    <s v="15/09/2022"/>
    <s v="28/06/2024"/>
    <n v="3"/>
    <n v="591000"/>
    <n v="4.2"/>
    <n v="14"/>
    <x v="0"/>
  </r>
  <r>
    <s v="MFS-54222"/>
    <s v="Kabiru Taiwo"/>
    <x v="0"/>
    <x v="3"/>
    <x v="2"/>
    <s v="Mid-level"/>
    <x v="0"/>
    <s v="31-40"/>
    <x v="0"/>
    <s v="25/12/2022"/>
    <s v="28/06/2024"/>
    <n v="3"/>
    <n v="225000"/>
    <n v="3.9"/>
    <n v="7"/>
    <x v="1"/>
  </r>
  <r>
    <s v="MFS-75171"/>
    <s v="Ikenna Ogundipe"/>
    <x v="0"/>
    <x v="1"/>
    <x v="1"/>
    <s v="Senior"/>
    <x v="1"/>
    <s v="51-60"/>
    <x v="2"/>
    <s v="05/08/2020"/>
    <s v="01/11/2021"/>
    <n v="5"/>
    <n v="450000"/>
    <n v="3.7"/>
    <n v="7"/>
    <x v="1"/>
  </r>
  <r>
    <s v="MFS-18332"/>
    <s v="Yetunde Adeyemi"/>
    <x v="1"/>
    <x v="2"/>
    <x v="0"/>
    <s v="Junior"/>
    <x v="0"/>
    <s v="22-30"/>
    <x v="1"/>
    <s v="29/05/2023"/>
    <s v="24/12/2024"/>
    <n v="2"/>
    <n v="89000"/>
    <n v="3.5"/>
    <n v="10"/>
    <x v="0"/>
  </r>
  <r>
    <s v="MFS-75866"/>
    <s v="Lola Nnamdi"/>
    <x v="1"/>
    <x v="0"/>
    <x v="1"/>
    <s v="Senior"/>
    <x v="2"/>
    <s v="51-60"/>
    <x v="0"/>
    <s v="01/10/2019"/>
    <s v="24/12/2024"/>
    <n v="6"/>
    <n v="549000"/>
    <n v="5"/>
    <n v="11"/>
    <x v="0"/>
  </r>
  <r>
    <s v="MFS-87874"/>
    <s v="Adeola Uba"/>
    <x v="1"/>
    <x v="1"/>
    <x v="0"/>
    <s v="Senior"/>
    <x v="1"/>
    <s v="22-30"/>
    <x v="2"/>
    <s v="06/09/2022"/>
    <s v="24/12/2024"/>
    <n v="3"/>
    <n v="467000"/>
    <n v="4.5999999999999996"/>
    <n v="1"/>
    <x v="0"/>
  </r>
  <r>
    <s v="MFS-35333"/>
    <s v="Biodun Chukwu"/>
    <x v="0"/>
    <x v="1"/>
    <x v="0"/>
    <s v="Mid-level"/>
    <x v="2"/>
    <s v="41-50"/>
    <x v="4"/>
    <s v="04/02/2023"/>
    <s v="24/12/2024"/>
    <n v="3"/>
    <n v="251000"/>
    <n v="4.7"/>
    <n v="11"/>
    <x v="1"/>
  </r>
  <r>
    <s v="MFS-57523"/>
    <s v="Chukwudi Nwachukwu"/>
    <x v="0"/>
    <x v="2"/>
    <x v="0"/>
    <s v="Junior"/>
    <x v="0"/>
    <s v="22-30"/>
    <x v="2"/>
    <s v="04/09/2020"/>
    <s v="21/12/2024"/>
    <n v="5"/>
    <n v="179000"/>
    <n v="4.9000000000000004"/>
    <n v="25"/>
    <x v="0"/>
  </r>
  <r>
    <s v="MFS-71153"/>
    <s v="Adaora Coker"/>
    <x v="1"/>
    <x v="2"/>
    <x v="2"/>
    <s v="Senior"/>
    <x v="1"/>
    <s v="31-40"/>
    <x v="2"/>
    <s v="31/12/2020"/>
    <s v="21/12/2024"/>
    <n v="5"/>
    <n v="486000"/>
    <n v="4"/>
    <n v="7"/>
    <x v="0"/>
  </r>
  <r>
    <s v="MFS-42075"/>
    <s v="Bello Okafor"/>
    <x v="0"/>
    <x v="0"/>
    <x v="0"/>
    <s v="Junior"/>
    <x v="0"/>
    <s v="22-30"/>
    <x v="2"/>
    <s v="13/10/2021"/>
    <s v="21/12/2024"/>
    <n v="4"/>
    <n v="191000"/>
    <n v="2.4"/>
    <n v="8"/>
    <x v="0"/>
  </r>
  <r>
    <s v="MFS-48097"/>
    <s v="Jummai Nnamdi"/>
    <x v="1"/>
    <x v="4"/>
    <x v="0"/>
    <s v="Mid-level"/>
    <x v="1"/>
    <s v="51-60"/>
    <x v="1"/>
    <s v="18/03/2023"/>
    <s v="21/12/2024"/>
    <n v="2"/>
    <n v="300000"/>
    <n v="2.1"/>
    <n v="13"/>
    <x v="2"/>
  </r>
  <r>
    <s v="MFS-64859"/>
    <s v="Ebuka Ihejirika"/>
    <x v="0"/>
    <x v="0"/>
    <x v="0"/>
    <s v="Mid-level"/>
    <x v="0"/>
    <s v="31-40"/>
    <x v="1"/>
    <s v="28/05/2022"/>
    <s v="04/09/2023"/>
    <n v="3"/>
    <n v="336000"/>
    <n v="2.8"/>
    <n v="8"/>
    <x v="1"/>
  </r>
  <r>
    <s v="MFS-54651"/>
    <s v="Chukwudi Nwachukwu"/>
    <x v="0"/>
    <x v="0"/>
    <x v="1"/>
    <s v="Senior"/>
    <x v="0"/>
    <s v="51-60"/>
    <x v="2"/>
    <s v="05/02/2022"/>
    <s v="11/12/2021"/>
    <n v="4"/>
    <n v="429000"/>
    <n v="2.8"/>
    <n v="1"/>
    <x v="0"/>
  </r>
  <r>
    <s v="MFS-33039"/>
    <s v="Babatunde Ihejirika"/>
    <x v="0"/>
    <x v="0"/>
    <x v="2"/>
    <s v="Mid-level"/>
    <x v="2"/>
    <s v="22-30"/>
    <x v="3"/>
    <s v="26/12/2021"/>
    <s v="11/12/2021"/>
    <n v="4"/>
    <n v="333000"/>
    <n v="4.2"/>
    <n v="5"/>
    <x v="0"/>
  </r>
  <r>
    <s v="MFS-19280"/>
    <s v="Nana Amadi"/>
    <x v="1"/>
    <x v="2"/>
    <x v="1"/>
    <s v="Senior"/>
    <x v="0"/>
    <s v="31-40"/>
    <x v="2"/>
    <s v="23/11/2020"/>
    <s v="11/12/2021"/>
    <n v="5"/>
    <n v="368000"/>
    <n v="4.5"/>
    <n v="1"/>
    <x v="1"/>
  </r>
  <r>
    <s v="MFS-25002"/>
    <s v="Uche Coker"/>
    <x v="0"/>
    <x v="3"/>
    <x v="0"/>
    <s v="Senior"/>
    <x v="0"/>
    <s v="31-40"/>
    <x v="1"/>
    <s v="16/05/2020"/>
    <s v="05/04/2021"/>
    <n v="5"/>
    <n v="393000"/>
    <n v="2.9"/>
    <n v="8"/>
    <x v="0"/>
  </r>
  <r>
    <s v="MFS-53526"/>
    <s v="Obinna Nnamdi"/>
    <x v="0"/>
    <x v="4"/>
    <x v="0"/>
    <s v="Mid-level"/>
    <x v="3"/>
    <s v="51-60"/>
    <x v="2"/>
    <s v="16/11/2019"/>
    <s v="05/04/2021"/>
    <n v="6"/>
    <n v="349000"/>
    <n v="4.9000000000000004"/>
    <n v="8"/>
    <x v="1"/>
  </r>
  <r>
    <s v="MFS-91189"/>
    <s v="Shade Garba"/>
    <x v="1"/>
    <x v="3"/>
    <x v="0"/>
    <s v="Junior"/>
    <x v="1"/>
    <s v="41-50"/>
    <x v="0"/>
    <s v="19/10/2019"/>
    <s v="11/08/2021"/>
    <n v="6"/>
    <n v="171000"/>
    <n v="4.8"/>
    <n v="3"/>
    <x v="0"/>
  </r>
  <r>
    <s v="MFS-18878"/>
    <s v="Shehu Garba"/>
    <x v="0"/>
    <x v="2"/>
    <x v="0"/>
    <s v="Mid-level"/>
    <x v="0"/>
    <s v="22-30"/>
    <x v="1"/>
    <s v="11/07/2019"/>
    <s v="11/08/2021"/>
    <n v="6"/>
    <n v="326000"/>
    <n v="2.4"/>
    <n v="11"/>
    <x v="0"/>
  </r>
  <r>
    <s v="MFS-25580"/>
    <s v="Eze Adeyemi"/>
    <x v="0"/>
    <x v="4"/>
    <x v="0"/>
    <s v="Senior"/>
    <x v="0"/>
    <s v="22-30"/>
    <x v="0"/>
    <s v="15/08/2023"/>
    <s v="11/08/2021"/>
    <n v="2"/>
    <n v="441000"/>
    <n v="3.3"/>
    <n v="16"/>
    <x v="0"/>
  </r>
  <r>
    <s v="MFS-66828"/>
    <s v="Chukwuemeka Eze"/>
    <x v="0"/>
    <x v="4"/>
    <x v="0"/>
    <s v="Junior"/>
    <x v="0"/>
    <s v="41-50"/>
    <x v="0"/>
    <s v="25/12/2021"/>
    <s v="11/08/2021"/>
    <n v="4"/>
    <n v="95000"/>
    <n v="2"/>
    <n v="11"/>
    <x v="0"/>
  </r>
  <r>
    <s v="MFS-74092"/>
    <s v="Kabiru Abdullahi"/>
    <x v="0"/>
    <x v="4"/>
    <x v="1"/>
    <s v="Mid-level"/>
    <x v="0"/>
    <s v="31-40"/>
    <x v="2"/>
    <s v="05/02/2021"/>
    <s v="11/08/2021"/>
    <n v="5"/>
    <n v="265000"/>
    <n v="3.4"/>
    <n v="5"/>
    <x v="0"/>
  </r>
  <r>
    <s v="MFS-38341"/>
    <s v="Kemi Adewale"/>
    <x v="1"/>
    <x v="1"/>
    <x v="1"/>
    <s v="Junior"/>
    <x v="2"/>
    <s v="22-30"/>
    <x v="0"/>
    <s v="27/05/2021"/>
    <s v="11/08/2021"/>
    <n v="4"/>
    <n v="85000"/>
    <n v="4.9000000000000004"/>
    <n v="1"/>
    <x v="0"/>
  </r>
  <r>
    <s v="MFS-87144"/>
    <s v="Bimpe Obi"/>
    <x v="1"/>
    <x v="3"/>
    <x v="0"/>
    <s v="Manager"/>
    <x v="0"/>
    <s v="31-40"/>
    <x v="3"/>
    <s v="07/04/2020"/>
    <s v="11/08/2021"/>
    <n v="5"/>
    <n v="842000"/>
    <n v="4"/>
    <n v="11"/>
    <x v="3"/>
  </r>
  <r>
    <s v="MFS-40718"/>
    <s v="Rukayya Okeke"/>
    <x v="1"/>
    <x v="3"/>
    <x v="1"/>
    <s v="Senior"/>
    <x v="3"/>
    <s v="22-30"/>
    <x v="0"/>
    <s v="05/11/2020"/>
    <s v="16/01/2022"/>
    <n v="5"/>
    <n v="495000"/>
    <n v="4.3"/>
    <n v="2"/>
    <x v="0"/>
  </r>
  <r>
    <s v="MFS-52577"/>
    <s v="Maryam Okafor"/>
    <x v="1"/>
    <x v="3"/>
    <x v="1"/>
    <s v="Junior"/>
    <x v="0"/>
    <s v="22-30"/>
    <x v="2"/>
    <s v="12/04/2021"/>
    <s v="16/01/2022"/>
    <n v="4"/>
    <n v="150000"/>
    <n v="4.7"/>
    <n v="18"/>
    <x v="0"/>
  </r>
  <r>
    <s v="MFS-43906"/>
    <s v="Femi Okonkwo"/>
    <x v="0"/>
    <x v="2"/>
    <x v="0"/>
    <s v="Mid-level"/>
    <x v="2"/>
    <s v="22-30"/>
    <x v="2"/>
    <s v="22/03/2019"/>
    <s v="16/01/2022"/>
    <n v="6"/>
    <n v="183000"/>
    <n v="4.7"/>
    <n v="6"/>
    <x v="0"/>
  </r>
  <r>
    <s v="MFS-86380"/>
    <s v="Lanre Lawal"/>
    <x v="0"/>
    <x v="2"/>
    <x v="1"/>
    <s v="Mid-level"/>
    <x v="2"/>
    <s v="22-30"/>
    <x v="3"/>
    <s v="18/03/2021"/>
    <s v="16/01/2022"/>
    <n v="4"/>
    <n v="336000"/>
    <n v="3"/>
    <n v="4"/>
    <x v="2"/>
  </r>
  <r>
    <s v="MFS-57145"/>
    <s v="Folake Buhari"/>
    <x v="1"/>
    <x v="0"/>
    <x v="0"/>
    <s v="Senior"/>
    <x v="0"/>
    <s v="31-40"/>
    <x v="0"/>
    <s v="10/03/2020"/>
    <s v="31/07/2024"/>
    <n v="6"/>
    <n v="470000"/>
    <n v="3.2"/>
    <n v="10"/>
    <x v="0"/>
  </r>
  <r>
    <s v="MFS-21953"/>
    <s v="Laraba Danladi"/>
    <x v="1"/>
    <x v="4"/>
    <x v="0"/>
    <s v="Mid-level"/>
    <x v="0"/>
    <s v="41-50"/>
    <x v="3"/>
    <s v="01/08/2023"/>
    <s v="31/07/2024"/>
    <n v="2"/>
    <n v="201000"/>
    <n v="3.2"/>
    <n v="7"/>
    <x v="0"/>
  </r>
  <r>
    <s v="MFS-54505"/>
    <s v="Funmilayo Omotayo"/>
    <x v="1"/>
    <x v="3"/>
    <x v="1"/>
    <s v="Senior"/>
    <x v="0"/>
    <s v="41-50"/>
    <x v="0"/>
    <s v="07/03/2023"/>
    <s v="31/07/2024"/>
    <n v="3"/>
    <n v="462000"/>
    <n v="2.4"/>
    <n v="4"/>
    <x v="0"/>
  </r>
  <r>
    <s v="MFS-58580"/>
    <s v="Uche Nnamdi"/>
    <x v="0"/>
    <x v="3"/>
    <x v="2"/>
    <s v="Senior"/>
    <x v="0"/>
    <s v="31-40"/>
    <x v="2"/>
    <s v="31/01/2019"/>
    <s v="31/07/2024"/>
    <n v="7"/>
    <n v="359000"/>
    <n v="3.4"/>
    <n v="12"/>
    <x v="0"/>
  </r>
  <r>
    <s v="MFS-15798"/>
    <s v="Yakubu Onwudiwe"/>
    <x v="0"/>
    <x v="4"/>
    <x v="2"/>
    <s v="Junior"/>
    <x v="0"/>
    <s v="31-40"/>
    <x v="1"/>
    <s v="28/03/2022"/>
    <s v="31/07/2024"/>
    <n v="3"/>
    <n v="142000"/>
    <n v="2.8"/>
    <n v="4"/>
    <x v="1"/>
  </r>
  <r>
    <s v="MFS-89393"/>
    <s v="Adaeze Haruna"/>
    <x v="1"/>
    <x v="4"/>
    <x v="0"/>
    <s v="Junior"/>
    <x v="0"/>
    <s v="41-50"/>
    <x v="0"/>
    <s v="17/12/2019"/>
    <s v="31/03/2024"/>
    <n v="6"/>
    <n v="150000"/>
    <n v="1.9"/>
    <n v="1"/>
    <x v="2"/>
  </r>
  <r>
    <s v="MFS-45093"/>
    <s v="Nkechi Abdullahi"/>
    <x v="1"/>
    <x v="0"/>
    <x v="0"/>
    <s v="Mid-level"/>
    <x v="0"/>
    <s v="41-50"/>
    <x v="0"/>
    <s v="28/03/2023"/>
    <s v="12/11/2024"/>
    <n v="2"/>
    <n v="294000"/>
    <n v="4.2"/>
    <n v="4"/>
    <x v="0"/>
  </r>
  <r>
    <s v="MFS-68520"/>
    <s v="Ifeanyi Nduka"/>
    <x v="0"/>
    <x v="0"/>
    <x v="0"/>
    <s v="Mid-level"/>
    <x v="2"/>
    <s v="41-50"/>
    <x v="2"/>
    <s v="31/10/2019"/>
    <s v="12/11/2024"/>
    <n v="6"/>
    <n v="337000"/>
    <n v="3.7"/>
    <n v="10"/>
    <x v="1"/>
  </r>
  <r>
    <s v="MFS-35787"/>
    <s v="Ronke Omotayo"/>
    <x v="1"/>
    <x v="3"/>
    <x v="0"/>
    <s v="Senior"/>
    <x v="0"/>
    <s v="31-40"/>
    <x v="1"/>
    <s v="17/06/2020"/>
    <s v="04/05/2024"/>
    <n v="5"/>
    <n v="591000"/>
    <n v="2.8"/>
    <n v="7"/>
    <x v="0"/>
  </r>
  <r>
    <s v="MFS-62077"/>
    <s v="Bukola Eze"/>
    <x v="1"/>
    <x v="3"/>
    <x v="0"/>
    <s v="Mid-level"/>
    <x v="3"/>
    <s v="31-40"/>
    <x v="2"/>
    <s v="29/03/2019"/>
    <s v="04/05/2024"/>
    <n v="6"/>
    <n v="323000"/>
    <n v="2"/>
    <n v="14"/>
    <x v="0"/>
  </r>
  <r>
    <s v="MFS-73899"/>
    <s v="Tobi Uba"/>
    <x v="0"/>
    <x v="3"/>
    <x v="0"/>
    <s v="Senior"/>
    <x v="1"/>
    <s v="31-40"/>
    <x v="4"/>
    <s v="07/11/2020"/>
    <s v="04/05/2024"/>
    <n v="5"/>
    <n v="515000"/>
    <n v="3.3"/>
    <n v="4"/>
    <x v="0"/>
  </r>
  <r>
    <s v="MFS-15741"/>
    <s v="Bilkisu Ihejirika"/>
    <x v="1"/>
    <x v="0"/>
    <x v="1"/>
    <s v="Junior"/>
    <x v="2"/>
    <s v="22-30"/>
    <x v="1"/>
    <s v="25/11/2020"/>
    <s v="04/05/2024"/>
    <n v="5"/>
    <n v="113000"/>
    <n v="4.8"/>
    <n v="9"/>
    <x v="0"/>
  </r>
  <r>
    <s v="MFS-39968"/>
    <s v="Titi Oyelaran"/>
    <x v="1"/>
    <x v="0"/>
    <x v="2"/>
    <s v="Senior"/>
    <x v="2"/>
    <s v="41-50"/>
    <x v="2"/>
    <s v="13/03/2021"/>
    <s v="04/05/2024"/>
    <n v="4"/>
    <n v="656000"/>
    <n v="2.7"/>
    <n v="36"/>
    <x v="1"/>
  </r>
  <r>
    <s v="MFS-47734"/>
    <s v="Kunle Obaseki"/>
    <x v="0"/>
    <x v="2"/>
    <x v="2"/>
    <s v="Manager"/>
    <x v="0"/>
    <s v="22-30"/>
    <x v="0"/>
    <s v="10/11/2019"/>
    <s v="17/02/2025"/>
    <n v="6"/>
    <n v="914000"/>
    <n v="4.5"/>
    <n v="5"/>
    <x v="0"/>
  </r>
  <r>
    <s v="MFS-86607"/>
    <s v="Funmilayo Onwudiwe"/>
    <x v="1"/>
    <x v="2"/>
    <x v="2"/>
    <s v="Junior"/>
    <x v="1"/>
    <s v="41-50"/>
    <x v="0"/>
    <s v="20/03/2023"/>
    <s v="17/02/2025"/>
    <n v="2"/>
    <n v="125000"/>
    <n v="2.4"/>
    <n v="32"/>
    <x v="1"/>
  </r>
  <r>
    <s v="MFS-83652"/>
    <s v="Laraba Aliyu"/>
    <x v="1"/>
    <x v="2"/>
    <x v="0"/>
    <s v="Mid-level"/>
    <x v="0"/>
    <s v="41-50"/>
    <x v="2"/>
    <s v="28/03/2023"/>
    <s v="29/03/2024"/>
    <n v="2"/>
    <n v="238000"/>
    <n v="4.9000000000000004"/>
    <n v="7"/>
    <x v="0"/>
  </r>
  <r>
    <s v="MFS-40872"/>
    <s v="Ogechi Buhari"/>
    <x v="1"/>
    <x v="2"/>
    <x v="0"/>
    <s v="Mid-level"/>
    <x v="0"/>
    <s v="31-40"/>
    <x v="0"/>
    <s v="18/01/2019"/>
    <s v="29/03/2024"/>
    <n v="7"/>
    <n v="204000"/>
    <n v="2.2000000000000002"/>
    <n v="10"/>
    <x v="0"/>
  </r>
  <r>
    <s v="MFS-69956"/>
    <s v="Bukola Abdullahi"/>
    <x v="1"/>
    <x v="4"/>
    <x v="0"/>
    <s v="Mid-level"/>
    <x v="0"/>
    <s v="31-40"/>
    <x v="0"/>
    <s v="09/01/2020"/>
    <s v="29/03/2024"/>
    <n v="6"/>
    <n v="248000"/>
    <n v="3.4"/>
    <n v="3"/>
    <x v="0"/>
  </r>
  <r>
    <s v="MFS-90003"/>
    <s v="Bimpe Coker"/>
    <x v="1"/>
    <x v="4"/>
    <x v="0"/>
    <s v="Junior"/>
    <x v="1"/>
    <s v="31-40"/>
    <x v="0"/>
    <s v="08/01/2022"/>
    <s v="29/03/2024"/>
    <n v="4"/>
    <n v="146000"/>
    <n v="3.2"/>
    <n v="10"/>
    <x v="1"/>
  </r>
  <r>
    <s v="MFS-65180"/>
    <s v="Jummai Nwachukwu"/>
    <x v="1"/>
    <x v="3"/>
    <x v="2"/>
    <s v="Senior"/>
    <x v="0"/>
    <s v="51-60"/>
    <x v="0"/>
    <s v="19/07/2021"/>
    <s v="04/03/2025"/>
    <n v="4"/>
    <n v="496000"/>
    <n v="4.7"/>
    <n v="38"/>
    <x v="2"/>
  </r>
  <r>
    <s v="MFS-99037"/>
    <s v="Amaka Afolabi"/>
    <x v="1"/>
    <x v="4"/>
    <x v="0"/>
    <s v="Mid-level"/>
    <x v="0"/>
    <s v="22-30"/>
    <x v="2"/>
    <s v="30/07/2023"/>
    <s v="23/11/2023"/>
    <n v="2"/>
    <n v="340000"/>
    <n v="4.5"/>
    <n v="7"/>
    <x v="0"/>
  </r>
  <r>
    <s v="MFS-71785"/>
    <s v="Adeola Nnamdi"/>
    <x v="1"/>
    <x v="3"/>
    <x v="0"/>
    <s v="Mid-level"/>
    <x v="2"/>
    <s v="41-50"/>
    <x v="1"/>
    <s v="21/04/2021"/>
    <s v="23/11/2023"/>
    <n v="4"/>
    <n v="327000"/>
    <n v="2.6"/>
    <n v="11"/>
    <x v="0"/>
  </r>
  <r>
    <s v="MFS-50948"/>
    <s v="Tobi Nnamdi"/>
    <x v="0"/>
    <x v="3"/>
    <x v="2"/>
    <s v="Manager"/>
    <x v="3"/>
    <s v="22-30"/>
    <x v="0"/>
    <s v="31/08/2022"/>
    <s v="23/11/2023"/>
    <n v="3"/>
    <n v="766000"/>
    <n v="3.9"/>
    <n v="9"/>
    <x v="0"/>
  </r>
  <r>
    <s v="MFS-60752"/>
    <s v="Nana Omotayo"/>
    <x v="1"/>
    <x v="4"/>
    <x v="2"/>
    <s v="Mid-level"/>
    <x v="2"/>
    <s v="22-30"/>
    <x v="4"/>
    <s v="16/10/2021"/>
    <s v="23/11/2023"/>
    <n v="4"/>
    <n v="335000"/>
    <n v="4.5"/>
    <n v="3"/>
    <x v="1"/>
  </r>
  <r>
    <s v="MFS-97611"/>
    <s v="Seun Amadi"/>
    <x v="0"/>
    <x v="4"/>
    <x v="0"/>
    <s v="Senior"/>
    <x v="1"/>
    <s v="22-30"/>
    <x v="0"/>
    <s v="19/04/2019"/>
    <s v="11/01/2022"/>
    <n v="6"/>
    <n v="464000"/>
    <n v="2.5"/>
    <n v="33"/>
    <x v="2"/>
  </r>
  <r>
    <s v="MFS-31545"/>
    <s v="Aisha Nduka"/>
    <x v="1"/>
    <x v="4"/>
    <x v="0"/>
    <s v="Senior"/>
    <x v="0"/>
    <s v="41-50"/>
    <x v="2"/>
    <s v="09/05/2019"/>
    <s v="23/07/2024"/>
    <n v="6"/>
    <n v="563000"/>
    <n v="3.1"/>
    <n v="3"/>
    <x v="0"/>
  </r>
  <r>
    <s v="MFS-92848"/>
    <s v="Aliyu Adewale"/>
    <x v="0"/>
    <x v="0"/>
    <x v="0"/>
    <s v="Junior"/>
    <x v="0"/>
    <s v="31-40"/>
    <x v="2"/>
    <s v="19/09/2022"/>
    <s v="23/07/2024"/>
    <n v="3"/>
    <n v="181000"/>
    <n v="3.8"/>
    <n v="3"/>
    <x v="0"/>
  </r>
  <r>
    <s v="MFS-91738"/>
    <s v="Abubakar Okafor"/>
    <x v="0"/>
    <x v="4"/>
    <x v="2"/>
    <s v="Senior"/>
    <x v="2"/>
    <s v="22-30"/>
    <x v="0"/>
    <s v="14/10/2021"/>
    <s v="23/07/2024"/>
    <n v="4"/>
    <n v="522000"/>
    <n v="4.4000000000000004"/>
    <n v="1"/>
    <x v="0"/>
  </r>
  <r>
    <s v="MFS-48522"/>
    <s v="Suleiman Eze"/>
    <x v="0"/>
    <x v="2"/>
    <x v="2"/>
    <s v="Junior"/>
    <x v="1"/>
    <s v="51-60"/>
    <x v="3"/>
    <s v="24/04/2023"/>
    <s v="23/07/2024"/>
    <n v="2"/>
    <n v="90000"/>
    <n v="4.2"/>
    <n v="12"/>
    <x v="1"/>
  </r>
  <r>
    <s v="MFS-19198"/>
    <s v="Seun Eze"/>
    <x v="0"/>
    <x v="2"/>
    <x v="0"/>
    <s v="Junior"/>
    <x v="3"/>
    <s v="31-40"/>
    <x v="2"/>
    <s v="09/12/2020"/>
    <s v="22/07/2024"/>
    <n v="5"/>
    <n v="168000"/>
    <n v="3.6"/>
    <n v="2"/>
    <x v="2"/>
  </r>
  <r>
    <s v="MFS-48457"/>
    <s v="Chinedu Abdullahi"/>
    <x v="0"/>
    <x v="0"/>
    <x v="1"/>
    <s v="Junior"/>
    <x v="1"/>
    <s v="22-30"/>
    <x v="3"/>
    <s v="26/08/2022"/>
    <s v="01/01/2020"/>
    <n v="3"/>
    <n v="178000"/>
    <n v="3"/>
    <n v="13"/>
    <x v="0"/>
  </r>
  <r>
    <s v="MFS-17270"/>
    <s v="Ronke Adesanya"/>
    <x v="1"/>
    <x v="1"/>
    <x v="0"/>
    <s v="Mid-level"/>
    <x v="1"/>
    <s v="31-40"/>
    <x v="2"/>
    <s v="14/03/2023"/>
    <s v="01/01/2020"/>
    <n v="2"/>
    <n v="263000"/>
    <n v="2.7"/>
    <n v="14"/>
    <x v="0"/>
  </r>
  <r>
    <s v="MFS-17370"/>
    <s v="Adaora Onwudiwe"/>
    <x v="1"/>
    <x v="4"/>
    <x v="0"/>
    <s v="Junior"/>
    <x v="0"/>
    <s v="31-40"/>
    <x v="1"/>
    <s v="03/03/2019"/>
    <s v="01/01/2020"/>
    <n v="7"/>
    <n v="93000"/>
    <n v="1.9"/>
    <n v="1"/>
    <x v="1"/>
  </r>
  <r>
    <s v="MFS-99413"/>
    <s v="Shade Obi"/>
    <x v="1"/>
    <x v="1"/>
    <x v="0"/>
    <s v="Mid-level"/>
    <x v="1"/>
    <s v="22-30"/>
    <x v="2"/>
    <s v="25/01/2019"/>
    <s v="25/01/2024"/>
    <n v="7"/>
    <n v="221000"/>
    <n v="3.4"/>
    <n v="5"/>
    <x v="0"/>
  </r>
  <r>
    <s v="MFS-93858"/>
    <s v="Shade Danladi"/>
    <x v="1"/>
    <x v="4"/>
    <x v="2"/>
    <s v="Mid-level"/>
    <x v="1"/>
    <s v="31-40"/>
    <x v="1"/>
    <s v="12/12/2022"/>
    <s v="25/01/2024"/>
    <n v="3"/>
    <n v="299000"/>
    <n v="3.9"/>
    <n v="10"/>
    <x v="1"/>
  </r>
  <r>
    <s v="MFS-26899"/>
    <s v="Zainab Chukwu"/>
    <x v="1"/>
    <x v="3"/>
    <x v="0"/>
    <s v="Senior"/>
    <x v="3"/>
    <s v="51-60"/>
    <x v="0"/>
    <s v="20/06/2021"/>
    <s v="19/08/2024"/>
    <n v="4"/>
    <n v="465000"/>
    <n v="2.4"/>
    <n v="11"/>
    <x v="0"/>
  </r>
  <r>
    <s v="MFS-28628"/>
    <s v="Abubakar Coker"/>
    <x v="0"/>
    <x v="0"/>
    <x v="0"/>
    <s v="Senior"/>
    <x v="0"/>
    <s v="31-40"/>
    <x v="1"/>
    <s v="18/07/2023"/>
    <s v="19/08/2024"/>
    <n v="2"/>
    <n v="523000"/>
    <n v="5"/>
    <n v="6"/>
    <x v="1"/>
  </r>
  <r>
    <s v="MFS-62017"/>
    <s v="Oluwaseun Shehu"/>
    <x v="0"/>
    <x v="1"/>
    <x v="2"/>
    <s v="Senior"/>
    <x v="0"/>
    <s v="22-30"/>
    <x v="2"/>
    <s v="25/03/2020"/>
    <s v="24/11/2024"/>
    <n v="5"/>
    <n v="404000"/>
    <n v="4.8"/>
    <n v="10"/>
    <x v="0"/>
  </r>
  <r>
    <s v="MFS-57628"/>
    <s v="Danladi Nwosu"/>
    <x v="0"/>
    <x v="0"/>
    <x v="0"/>
    <s v="Mid-level"/>
    <x v="1"/>
    <s v="22-30"/>
    <x v="2"/>
    <s v="18/01/2023"/>
    <s v="24/11/2024"/>
    <n v="3"/>
    <n v="243000"/>
    <n v="3"/>
    <n v="12"/>
    <x v="0"/>
  </r>
  <r>
    <s v="MFS-78674"/>
    <s v="Bello Adebayo"/>
    <x v="0"/>
    <x v="2"/>
    <x v="2"/>
    <s v="Junior"/>
    <x v="0"/>
    <s v="22-30"/>
    <x v="0"/>
    <s v="21/05/2022"/>
    <s v="24/11/2024"/>
    <n v="3"/>
    <n v="98000"/>
    <n v="2.9"/>
    <n v="7"/>
    <x v="0"/>
  </r>
  <r>
    <s v="MFS-36572"/>
    <s v="Aliyu Buhari"/>
    <x v="0"/>
    <x v="3"/>
    <x v="0"/>
    <s v="Mid-level"/>
    <x v="2"/>
    <s v="31-40"/>
    <x v="0"/>
    <s v="09/07/2020"/>
    <s v="24/11/2024"/>
    <n v="5"/>
    <n v="285000"/>
    <n v="4.5"/>
    <n v="2"/>
    <x v="0"/>
  </r>
  <r>
    <s v="MFS-10750"/>
    <s v="Titi Adesanya"/>
    <x v="1"/>
    <x v="3"/>
    <x v="0"/>
    <s v="Mid-level"/>
    <x v="1"/>
    <s v="22-30"/>
    <x v="0"/>
    <s v="14/08/2020"/>
    <s v="24/11/2024"/>
    <n v="5"/>
    <n v="256000"/>
    <n v="2.5"/>
    <n v="3"/>
    <x v="0"/>
  </r>
  <r>
    <s v="MFS-48909"/>
    <s v="Ebuka Adebayo"/>
    <x v="0"/>
    <x v="4"/>
    <x v="0"/>
    <s v="Manager"/>
    <x v="0"/>
    <s v="41-50"/>
    <x v="0"/>
    <s v="19/07/2020"/>
    <s v="24/11/2024"/>
    <n v="5"/>
    <n v="779000"/>
    <n v="3.8"/>
    <n v="2"/>
    <x v="0"/>
  </r>
  <r>
    <s v="MFS-94107"/>
    <s v="Shade Ogbonna"/>
    <x v="1"/>
    <x v="1"/>
    <x v="2"/>
    <s v="Junior"/>
    <x v="0"/>
    <s v="51-60"/>
    <x v="2"/>
    <s v="21/10/2020"/>
    <s v="24/11/2024"/>
    <n v="5"/>
    <n v="85000"/>
    <n v="4.5"/>
    <n v="14"/>
    <x v="0"/>
  </r>
  <r>
    <s v="MFS-78136"/>
    <s v="Bello Uba"/>
    <x v="0"/>
    <x v="1"/>
    <x v="2"/>
    <s v="Mid-level"/>
    <x v="2"/>
    <s v="51-60"/>
    <x v="0"/>
    <s v="20/08/2020"/>
    <s v="24/11/2024"/>
    <n v="5"/>
    <n v="190000"/>
    <n v="3.9"/>
    <n v="10"/>
    <x v="0"/>
  </r>
  <r>
    <s v="MFS-47778"/>
    <s v="Ngozi Adebayo"/>
    <x v="1"/>
    <x v="2"/>
    <x v="0"/>
    <s v="Mid-level"/>
    <x v="1"/>
    <s v="31-40"/>
    <x v="1"/>
    <s v="04/08/2022"/>
    <s v="24/11/2024"/>
    <n v="3"/>
    <n v="268000"/>
    <n v="4.4000000000000004"/>
    <n v="5"/>
    <x v="0"/>
  </r>
  <r>
    <s v="MFS-87483"/>
    <s v="Yetunde Amadi"/>
    <x v="1"/>
    <x v="2"/>
    <x v="0"/>
    <s v="Junior"/>
    <x v="1"/>
    <s v="22-30"/>
    <x v="0"/>
    <s v="23/02/2021"/>
    <s v="24/11/2024"/>
    <n v="5"/>
    <n v="95000"/>
    <n v="4.3"/>
    <n v="6"/>
    <x v="0"/>
  </r>
  <r>
    <s v="MFS-45442"/>
    <s v="Chukwuemeka Ihejirika"/>
    <x v="0"/>
    <x v="4"/>
    <x v="0"/>
    <s v="Senior"/>
    <x v="0"/>
    <s v="31-40"/>
    <x v="2"/>
    <s v="26/03/2019"/>
    <s v="24/11/2024"/>
    <n v="6"/>
    <n v="516000"/>
    <n v="4.5"/>
    <n v="0"/>
    <x v="1"/>
  </r>
  <r>
    <s v="MFS-58891"/>
    <s v="Rukayya Okeke"/>
    <x v="1"/>
    <x v="0"/>
    <x v="2"/>
    <s v="Mid-level"/>
    <x v="1"/>
    <s v="31-40"/>
    <x v="3"/>
    <s v="03/04/2023"/>
    <s v="14/08/2021"/>
    <n v="2"/>
    <n v="226000"/>
    <n v="4.2"/>
    <n v="31"/>
    <x v="0"/>
  </r>
  <r>
    <s v="MFS-42097"/>
    <s v="Nasiru Okonkwo"/>
    <x v="0"/>
    <x v="1"/>
    <x v="0"/>
    <s v="Mid-level"/>
    <x v="3"/>
    <s v="41-50"/>
    <x v="3"/>
    <s v="14/11/2022"/>
    <s v="14/08/2021"/>
    <n v="3"/>
    <n v="180000"/>
    <n v="5"/>
    <n v="7"/>
    <x v="0"/>
  </r>
  <r>
    <s v="MFS-28447"/>
    <s v="Chidi Yakubu"/>
    <x v="0"/>
    <x v="3"/>
    <x v="2"/>
    <s v="Junior"/>
    <x v="3"/>
    <s v="41-50"/>
    <x v="2"/>
    <s v="15/12/2021"/>
    <s v="14/08/2021"/>
    <n v="4"/>
    <n v="175000"/>
    <n v="3.4"/>
    <n v="7"/>
    <x v="0"/>
  </r>
  <r>
    <s v="MFS-98999"/>
    <s v="Chukwudi Eze"/>
    <x v="0"/>
    <x v="0"/>
    <x v="2"/>
    <s v="Mid-level"/>
    <x v="2"/>
    <s v="22-30"/>
    <x v="3"/>
    <s v="26/12/2022"/>
    <s v="14/08/2021"/>
    <n v="3"/>
    <n v="327000"/>
    <n v="4.7"/>
    <n v="9"/>
    <x v="0"/>
  </r>
  <r>
    <s v="MFS-59185"/>
    <s v="Laraba Nwosu"/>
    <x v="1"/>
    <x v="0"/>
    <x v="0"/>
    <s v="Mid-level"/>
    <x v="2"/>
    <s v="41-50"/>
    <x v="0"/>
    <s v="16/09/2023"/>
    <s v="14/08/2021"/>
    <n v="2"/>
    <n v="260000"/>
    <n v="2.9"/>
    <n v="11"/>
    <x v="0"/>
  </r>
  <r>
    <s v="MFS-82600"/>
    <s v="Chiamaka Obi"/>
    <x v="1"/>
    <x v="4"/>
    <x v="0"/>
    <s v="Mid-level"/>
    <x v="2"/>
    <s v="51-60"/>
    <x v="2"/>
    <s v="02/12/2019"/>
    <s v="14/08/2021"/>
    <n v="6"/>
    <n v="219000"/>
    <n v="2.9"/>
    <n v="0"/>
    <x v="1"/>
  </r>
  <r>
    <s v="MFS-31116"/>
    <s v="Ikenna Adesanya"/>
    <x v="0"/>
    <x v="4"/>
    <x v="0"/>
    <s v="Junior"/>
    <x v="2"/>
    <s v="22-30"/>
    <x v="4"/>
    <s v="11/06/2022"/>
    <s v="23/06/2023"/>
    <n v="3"/>
    <n v="142000"/>
    <n v="1.5"/>
    <n v="4"/>
    <x v="2"/>
  </r>
  <r>
    <s v="MFS-42503"/>
    <s v="Biodun Adeyemi"/>
    <x v="0"/>
    <x v="0"/>
    <x v="0"/>
    <s v="Mid-level"/>
    <x v="0"/>
    <s v="31-40"/>
    <x v="0"/>
    <s v="02/08/2023"/>
    <s v="10/01/2024"/>
    <n v="2"/>
    <n v="300000"/>
    <n v="4.7"/>
    <n v="19"/>
    <x v="0"/>
  </r>
  <r>
    <s v="MFS-14455"/>
    <s v="Lola Coker"/>
    <x v="1"/>
    <x v="2"/>
    <x v="1"/>
    <s v="Junior"/>
    <x v="0"/>
    <s v="31-40"/>
    <x v="2"/>
    <s v="04/05/2020"/>
    <s v="10/01/2024"/>
    <n v="5"/>
    <n v="112000"/>
    <n v="4.3"/>
    <n v="14"/>
    <x v="0"/>
  </r>
  <r>
    <s v="MFS-89783"/>
    <s v="Ebuka Aliyu"/>
    <x v="0"/>
    <x v="3"/>
    <x v="0"/>
    <s v="Manager"/>
    <x v="2"/>
    <s v="22-30"/>
    <x v="2"/>
    <s v="28/01/2023"/>
    <s v="10/01/2024"/>
    <n v="3"/>
    <n v="939000"/>
    <n v="3.2"/>
    <n v="2"/>
    <x v="3"/>
  </r>
  <r>
    <s v="MFS-92545"/>
    <s v="Nasiru Coker"/>
    <x v="0"/>
    <x v="3"/>
    <x v="1"/>
    <s v="Senior"/>
    <x v="0"/>
    <s v="41-50"/>
    <x v="1"/>
    <s v="23/02/2020"/>
    <s v="17/01/2022"/>
    <n v="6"/>
    <n v="502000"/>
    <n v="2.4"/>
    <n v="11"/>
    <x v="0"/>
  </r>
  <r>
    <s v="MFS-66973"/>
    <s v="Wale Adeyemi"/>
    <x v="0"/>
    <x v="3"/>
    <x v="0"/>
    <s v="Manager"/>
    <x v="0"/>
    <s v="22-30"/>
    <x v="0"/>
    <s v="20/09/2021"/>
    <s v="17/01/2022"/>
    <n v="4"/>
    <n v="780000"/>
    <n v="3.1"/>
    <n v="7"/>
    <x v="0"/>
  </r>
  <r>
    <s v="MFS-10875"/>
    <s v="Usman Buhari"/>
    <x v="0"/>
    <x v="4"/>
    <x v="0"/>
    <s v="Junior"/>
    <x v="1"/>
    <s v="41-50"/>
    <x v="1"/>
    <s v="02/02/2023"/>
    <s v="17/01/2022"/>
    <n v="3"/>
    <n v="90000"/>
    <n v="2.1"/>
    <n v="9"/>
    <x v="0"/>
  </r>
  <r>
    <s v="MFS-46101"/>
    <s v="Rabiu Bello"/>
    <x v="0"/>
    <x v="0"/>
    <x v="2"/>
    <s v="Mid-level"/>
    <x v="0"/>
    <s v="41-50"/>
    <x v="3"/>
    <s v="13/10/2023"/>
    <s v="17/01/2022"/>
    <n v="2"/>
    <n v="260000"/>
    <n v="2.6"/>
    <n v="13"/>
    <x v="0"/>
  </r>
  <r>
    <s v="MFS-13215"/>
    <s v="Fatima Bello"/>
    <x v="1"/>
    <x v="3"/>
    <x v="2"/>
    <s v="Mid-level"/>
    <x v="3"/>
    <s v="31-40"/>
    <x v="2"/>
    <s v="07/09/2019"/>
    <s v="17/01/2022"/>
    <n v="6"/>
    <n v="213000"/>
    <n v="4.0999999999999996"/>
    <n v="13"/>
    <x v="0"/>
  </r>
  <r>
    <s v="MFS-96748"/>
    <s v="Danladi Ihejirika"/>
    <x v="0"/>
    <x v="1"/>
    <x v="0"/>
    <s v="Senior"/>
    <x v="0"/>
    <s v="22-30"/>
    <x v="1"/>
    <s v="19/02/2021"/>
    <s v="17/01/2022"/>
    <n v="5"/>
    <n v="350000"/>
    <n v="4.2"/>
    <n v="14"/>
    <x v="2"/>
  </r>
  <r>
    <s v="MFS-29988"/>
    <s v="Shehu Coker"/>
    <x v="0"/>
    <x v="2"/>
    <x v="0"/>
    <s v="Mid-level"/>
    <x v="0"/>
    <s v="22-30"/>
    <x v="2"/>
    <s v="17/04/2021"/>
    <s v="21/04/2022"/>
    <n v="4"/>
    <n v="181000"/>
    <n v="2.2999999999999998"/>
    <n v="14"/>
    <x v="1"/>
  </r>
  <r>
    <s v="MFS-86997"/>
    <s v="Ramatu Haruna"/>
    <x v="1"/>
    <x v="4"/>
    <x v="1"/>
    <s v="Senior"/>
    <x v="0"/>
    <s v="31-40"/>
    <x v="2"/>
    <s v="06/07/2021"/>
    <s v="10/01/2024"/>
    <n v="4"/>
    <n v="354000"/>
    <n v="4.8"/>
    <n v="10"/>
    <x v="1"/>
  </r>
  <r>
    <s v="MFS-49418"/>
    <s v="Babatunde Haruna"/>
    <x v="0"/>
    <x v="2"/>
    <x v="0"/>
    <s v="Manager"/>
    <x v="0"/>
    <s v="22-30"/>
    <x v="0"/>
    <s v="26/01/2023"/>
    <s v="09/02/2025"/>
    <n v="3"/>
    <n v="828000"/>
    <n v="4.9000000000000004"/>
    <n v="6"/>
    <x v="0"/>
  </r>
  <r>
    <s v="MFS-29795"/>
    <s v="Jummai Omotayo"/>
    <x v="1"/>
    <x v="0"/>
    <x v="1"/>
    <s v="Senior"/>
    <x v="0"/>
    <s v="41-50"/>
    <x v="0"/>
    <s v="04/11/2023"/>
    <s v="09/02/2025"/>
    <n v="2"/>
    <n v="541000"/>
    <n v="4.3"/>
    <n v="13"/>
    <x v="3"/>
  </r>
  <r>
    <s v="MFS-75009"/>
    <s v="Danladi Ogundipe"/>
    <x v="0"/>
    <x v="4"/>
    <x v="0"/>
    <s v="Senior"/>
    <x v="2"/>
    <s v="22-30"/>
    <x v="1"/>
    <s v="03/03/2022"/>
    <s v="25/05/2024"/>
    <n v="4"/>
    <n v="557000"/>
    <n v="2"/>
    <n v="15"/>
    <x v="0"/>
  </r>
  <r>
    <s v="MFS-49686"/>
    <s v="Musa Buhari"/>
    <x v="0"/>
    <x v="1"/>
    <x v="0"/>
    <s v="Senior"/>
    <x v="1"/>
    <s v="22-30"/>
    <x v="1"/>
    <s v="12/05/2023"/>
    <s v="25/05/2024"/>
    <n v="2"/>
    <n v="478000"/>
    <n v="5"/>
    <n v="7"/>
    <x v="1"/>
  </r>
  <r>
    <s v="MFS-86312"/>
    <s v="Seun Bello"/>
    <x v="0"/>
    <x v="1"/>
    <x v="1"/>
    <s v="Junior"/>
    <x v="2"/>
    <s v="31-40"/>
    <x v="0"/>
    <s v="17/05/2020"/>
    <s v="25/10/2024"/>
    <n v="5"/>
    <n v="109000"/>
    <n v="2"/>
    <n v="5"/>
    <x v="0"/>
  </r>
  <r>
    <s v="MFS-70452"/>
    <s v="Gbenga Obaseki"/>
    <x v="0"/>
    <x v="2"/>
    <x v="0"/>
    <s v="Senior"/>
    <x v="1"/>
    <s v="41-50"/>
    <x v="0"/>
    <s v="05/09/2022"/>
    <s v="25/10/2024"/>
    <n v="3"/>
    <n v="362000"/>
    <n v="3.3"/>
    <n v="3"/>
    <x v="0"/>
  </r>
  <r>
    <s v="MFS-46666"/>
    <s v="Chukwudi Abdullahi"/>
    <x v="0"/>
    <x v="2"/>
    <x v="2"/>
    <s v="Junior"/>
    <x v="0"/>
    <s v="22-30"/>
    <x v="1"/>
    <s v="31/07/2023"/>
    <s v="25/10/2024"/>
    <n v="2"/>
    <n v="130000"/>
    <n v="2.7"/>
    <n v="23"/>
    <x v="0"/>
  </r>
  <r>
    <s v="MFS-56260"/>
    <s v="Chibuike Onwudiwe"/>
    <x v="0"/>
    <x v="2"/>
    <x v="0"/>
    <s v="Manager"/>
    <x v="2"/>
    <s v="51-60"/>
    <x v="0"/>
    <s v="24/09/2022"/>
    <s v="25/10/2024"/>
    <n v="3"/>
    <n v="740000"/>
    <n v="4.4000000000000004"/>
    <n v="3"/>
    <x v="1"/>
  </r>
  <r>
    <s v="MFS-55950"/>
    <s v="Ibrahim Uba"/>
    <x v="0"/>
    <x v="2"/>
    <x v="2"/>
    <s v="Mid-level"/>
    <x v="0"/>
    <s v="22-30"/>
    <x v="2"/>
    <s v="15/04/2023"/>
    <s v="26/05/2024"/>
    <n v="2"/>
    <n v="219000"/>
    <n v="4.3"/>
    <n v="2"/>
    <x v="0"/>
  </r>
  <r>
    <s v="MFS-74454"/>
    <s v="Rotimi Omotayo"/>
    <x v="0"/>
    <x v="3"/>
    <x v="0"/>
    <s v="Junior"/>
    <x v="2"/>
    <s v="31-40"/>
    <x v="4"/>
    <s v="15/04/2023"/>
    <s v="26/05/2024"/>
    <n v="2"/>
    <n v="125000"/>
    <n v="3.8"/>
    <n v="12"/>
    <x v="0"/>
  </r>
  <r>
    <s v="MFS-95330"/>
    <s v="Abubakar Nwachukwu"/>
    <x v="0"/>
    <x v="1"/>
    <x v="0"/>
    <s v="Senior"/>
    <x v="1"/>
    <s v="31-40"/>
    <x v="0"/>
    <s v="24/01/2023"/>
    <s v="26/05/2024"/>
    <n v="3"/>
    <n v="440000"/>
    <n v="2.2000000000000002"/>
    <n v="1"/>
    <x v="2"/>
  </r>
  <r>
    <s v="MFS-83362"/>
    <s v="Chioma Ogundipe"/>
    <x v="1"/>
    <x v="4"/>
    <x v="0"/>
    <s v="Mid-level"/>
    <x v="0"/>
    <s v="22-30"/>
    <x v="0"/>
    <s v="03/02/2023"/>
    <s v="29/03/2025"/>
    <n v="3"/>
    <n v="184000"/>
    <n v="2.2000000000000002"/>
    <n v="1"/>
    <x v="0"/>
  </r>
  <r>
    <s v="MFS-42254"/>
    <s v="Oghenekaro Amadi"/>
    <x v="0"/>
    <x v="3"/>
    <x v="1"/>
    <s v="Senior"/>
    <x v="3"/>
    <s v="41-50"/>
    <x v="1"/>
    <s v="29/04/2022"/>
    <s v="29/03/2025"/>
    <n v="3"/>
    <n v="577000"/>
    <n v="2.2999999999999998"/>
    <n v="14"/>
    <x v="0"/>
  </r>
  <r>
    <s v="MFS-66261"/>
    <s v="Hadiza Garba"/>
    <x v="1"/>
    <x v="4"/>
    <x v="0"/>
    <s v="Manager"/>
    <x v="0"/>
    <s v="22-30"/>
    <x v="4"/>
    <s v="24/06/2022"/>
    <s v="29/03/2025"/>
    <n v="3"/>
    <n v="731000"/>
    <n v="3.2"/>
    <n v="13"/>
    <x v="1"/>
  </r>
  <r>
    <s v="MFS-38568"/>
    <s v="Bilkisu Yakubu"/>
    <x v="1"/>
    <x v="0"/>
    <x v="0"/>
    <s v="Junior"/>
    <x v="1"/>
    <s v="51-60"/>
    <x v="0"/>
    <s v="05/09/2020"/>
    <s v="04/01/2022"/>
    <n v="5"/>
    <n v="187000"/>
    <n v="4.8"/>
    <n v="6"/>
    <x v="0"/>
  </r>
  <r>
    <s v="MFS-40464"/>
    <s v="Oghenekaro Ihejirika"/>
    <x v="0"/>
    <x v="4"/>
    <x v="0"/>
    <s v="Senior"/>
    <x v="0"/>
    <s v="51-60"/>
    <x v="2"/>
    <s v="11/03/2021"/>
    <s v="04/01/2022"/>
    <n v="5"/>
    <n v="550000"/>
    <n v="3.6"/>
    <n v="3"/>
    <x v="0"/>
  </r>
  <r>
    <s v="MFS-75647"/>
    <s v="Chiamaka Garba"/>
    <x v="1"/>
    <x v="1"/>
    <x v="1"/>
    <s v="Senior"/>
    <x v="1"/>
    <s v="31-40"/>
    <x v="1"/>
    <s v="16/01/2019"/>
    <s v="04/01/2022"/>
    <n v="7"/>
    <n v="350000"/>
    <n v="3.7"/>
    <n v="24"/>
    <x v="1"/>
  </r>
  <r>
    <s v="MFS-78068"/>
    <s v="Damilola Oyelaran"/>
    <x v="1"/>
    <x v="2"/>
    <x v="1"/>
    <s v="Manager"/>
    <x v="3"/>
    <s v="22-30"/>
    <x v="2"/>
    <s v="10/12/2023"/>
    <s v="13/01/2025"/>
    <n v="2"/>
    <n v="712000"/>
    <n v="3.9"/>
    <n v="8"/>
    <x v="2"/>
  </r>
  <r>
    <s v="MFS-46002"/>
    <s v="Nana Okafor"/>
    <x v="1"/>
    <x v="2"/>
    <x v="0"/>
    <s v="Junior"/>
    <x v="0"/>
    <s v="31-40"/>
    <x v="1"/>
    <s v="13/06/2022"/>
    <s v="21/01/2023"/>
    <n v="3"/>
    <n v="141000"/>
    <n v="3.2"/>
    <n v="12"/>
    <x v="1"/>
  </r>
  <r>
    <s v="MFS-46608"/>
    <s v="Uloma Musa"/>
    <x v="1"/>
    <x v="1"/>
    <x v="2"/>
    <s v="Mid-level"/>
    <x v="2"/>
    <s v="51-60"/>
    <x v="2"/>
    <s v="09/01/2023"/>
    <s v="09/07/2024"/>
    <n v="3"/>
    <n v="276000"/>
    <n v="3.8"/>
    <n v="10"/>
    <x v="1"/>
  </r>
  <r>
    <s v="MFS-57376"/>
    <s v="Adaeze Omotayo"/>
    <x v="1"/>
    <x v="4"/>
    <x v="1"/>
    <s v="Junior"/>
    <x v="0"/>
    <s v="22-30"/>
    <x v="0"/>
    <s v="23/09/2019"/>
    <s v="27/07/2020"/>
    <n v="6"/>
    <n v="108000"/>
    <n v="1.8"/>
    <n v="1"/>
    <x v="1"/>
  </r>
  <r>
    <s v="MFS-37136"/>
    <s v="Chukwudi Buhari"/>
    <x v="0"/>
    <x v="3"/>
    <x v="0"/>
    <s v="Junior"/>
    <x v="1"/>
    <s v="31-40"/>
    <x v="0"/>
    <s v="18/05/2020"/>
    <s v="02/01/2025"/>
    <n v="5"/>
    <n v="103000"/>
    <n v="3.6"/>
    <n v="3"/>
    <x v="0"/>
  </r>
  <r>
    <s v="MFS-73011"/>
    <s v="Bimpe Okeke"/>
    <x v="1"/>
    <x v="2"/>
    <x v="0"/>
    <s v="Junior"/>
    <x v="0"/>
    <s v="31-40"/>
    <x v="0"/>
    <s v="15/01/2020"/>
    <s v="02/01/2025"/>
    <n v="6"/>
    <n v="166000"/>
    <n v="3.3"/>
    <n v="7"/>
    <x v="0"/>
  </r>
  <r>
    <s v="MFS-50051"/>
    <s v="Adeola Okafor"/>
    <x v="0"/>
    <x v="0"/>
    <x v="1"/>
    <s v="Junior"/>
    <x v="0"/>
    <s v="31-40"/>
    <x v="1"/>
    <s v="08/02/2022"/>
    <s v="02/01/2025"/>
    <n v="4"/>
    <n v="113000"/>
    <n v="4.5999999999999996"/>
    <n v="6"/>
    <x v="1"/>
  </r>
  <r>
    <s v="MFS-35518"/>
    <s v="Adeola Nwachukwu"/>
    <x v="1"/>
    <x v="0"/>
    <x v="2"/>
    <s v="Junior"/>
    <x v="0"/>
    <s v="22-30"/>
    <x v="2"/>
    <s v="03/12/2022"/>
    <s v="14/01/2021"/>
    <n v="3"/>
    <n v="139000"/>
    <n v="4.0999999999999996"/>
    <n v="31"/>
    <x v="0"/>
  </r>
  <r>
    <s v="MFS-80169"/>
    <s v="Chiamaka Adewale"/>
    <x v="1"/>
    <x v="0"/>
    <x v="0"/>
    <s v="Mid-level"/>
    <x v="2"/>
    <s v="31-40"/>
    <x v="0"/>
    <s v="30/12/2021"/>
    <s v="14/01/2021"/>
    <n v="4"/>
    <n v="369000"/>
    <n v="2"/>
    <n v="0"/>
    <x v="0"/>
  </r>
  <r>
    <s v="MFS-24916"/>
    <s v="Hauwa Bello"/>
    <x v="1"/>
    <x v="3"/>
    <x v="0"/>
    <s v="Mid-level"/>
    <x v="0"/>
    <s v="41-50"/>
    <x v="2"/>
    <s v="23/11/2022"/>
    <s v="14/01/2021"/>
    <n v="3"/>
    <n v="188000"/>
    <n v="4.0999999999999996"/>
    <n v="36"/>
    <x v="0"/>
  </r>
  <r>
    <s v="MFS-85395"/>
    <s v="Babatunde Ogundipe"/>
    <x v="0"/>
    <x v="3"/>
    <x v="0"/>
    <s v="Mid-level"/>
    <x v="1"/>
    <s v="31-40"/>
    <x v="1"/>
    <s v="22/02/2021"/>
    <s v="14/01/2021"/>
    <n v="5"/>
    <n v="236000"/>
    <n v="4.2"/>
    <n v="4"/>
    <x v="0"/>
  </r>
  <r>
    <s v="MFS-94993"/>
    <s v="Rotimi Bello"/>
    <x v="0"/>
    <x v="4"/>
    <x v="0"/>
    <s v="Manager"/>
    <x v="0"/>
    <s v="22-30"/>
    <x v="3"/>
    <s v="20/06/2019"/>
    <s v="14/01/2021"/>
    <n v="6"/>
    <n v="886000"/>
    <n v="3.8"/>
    <n v="13"/>
    <x v="1"/>
  </r>
  <r>
    <s v="MFS-43154"/>
    <s v="Kunle Adebayo"/>
    <x v="0"/>
    <x v="4"/>
    <x v="2"/>
    <s v="Senior"/>
    <x v="2"/>
    <s v="31-40"/>
    <x v="0"/>
    <s v="02/04/2023"/>
    <s v="23/01/2025"/>
    <n v="2"/>
    <n v="382000"/>
    <n v="3"/>
    <n v="8"/>
    <x v="2"/>
  </r>
  <r>
    <s v="MFS-48111"/>
    <s v="Chiamaka Eze"/>
    <x v="1"/>
    <x v="1"/>
    <x v="1"/>
    <s v="Senior"/>
    <x v="1"/>
    <s v="31-40"/>
    <x v="4"/>
    <s v="09/09/2019"/>
    <s v="23/02/2024"/>
    <n v="6"/>
    <n v="399000"/>
    <n v="2.8"/>
    <n v="4"/>
    <x v="3"/>
  </r>
  <r>
    <s v="MFS-41546"/>
    <s v="Aliyu Okafor"/>
    <x v="0"/>
    <x v="3"/>
    <x v="0"/>
    <s v="Senior"/>
    <x v="2"/>
    <s v="41-50"/>
    <x v="1"/>
    <s v="10/10/2020"/>
    <s v="22/10/2024"/>
    <n v="5"/>
    <n v="541000"/>
    <n v="2.5"/>
    <n v="6"/>
    <x v="0"/>
  </r>
  <r>
    <s v="MFS-74314"/>
    <s v="Nasiru Okafor"/>
    <x v="0"/>
    <x v="1"/>
    <x v="2"/>
    <s v="Senior"/>
    <x v="1"/>
    <s v="22-30"/>
    <x v="1"/>
    <s v="06/07/2022"/>
    <s v="22/10/2024"/>
    <n v="3"/>
    <n v="350000"/>
    <n v="3.8"/>
    <n v="0"/>
    <x v="0"/>
  </r>
  <r>
    <s v="MFS-28595"/>
    <s v="Nkechi Onwudiwe"/>
    <x v="1"/>
    <x v="0"/>
    <x v="0"/>
    <s v="Junior"/>
    <x v="0"/>
    <s v="31-40"/>
    <x v="1"/>
    <s v="10/05/2023"/>
    <s v="22/10/2024"/>
    <n v="2"/>
    <n v="198000"/>
    <n v="4.7"/>
    <n v="12"/>
    <x v="0"/>
  </r>
  <r>
    <s v="MFS-75517"/>
    <s v="Lola Adewale"/>
    <x v="1"/>
    <x v="3"/>
    <x v="2"/>
    <s v="Mid-level"/>
    <x v="3"/>
    <s v="41-50"/>
    <x v="2"/>
    <s v="13/11/2023"/>
    <s v="22/10/2024"/>
    <n v="2"/>
    <n v="298000"/>
    <n v="3.7"/>
    <n v="14"/>
    <x v="0"/>
  </r>
  <r>
    <s v="MFS-59828"/>
    <s v="Babatunde Nwachukwu"/>
    <x v="0"/>
    <x v="1"/>
    <x v="1"/>
    <s v="Junior"/>
    <x v="0"/>
    <s v="41-50"/>
    <x v="0"/>
    <s v="05/11/2021"/>
    <s v="22/10/2024"/>
    <n v="4"/>
    <n v="134000"/>
    <n v="3.8"/>
    <n v="11"/>
    <x v="0"/>
  </r>
  <r>
    <s v="MFS-38695"/>
    <s v="Rotimi Garba"/>
    <x v="0"/>
    <x v="0"/>
    <x v="0"/>
    <s v="Senior"/>
    <x v="3"/>
    <s v="31-40"/>
    <x v="0"/>
    <s v="09/08/2021"/>
    <s v="22/10/2024"/>
    <n v="4"/>
    <n v="660000"/>
    <n v="3"/>
    <n v="2"/>
    <x v="1"/>
  </r>
  <r>
    <s v="MFS-92067"/>
    <s v="Aliyu Afolabi"/>
    <x v="0"/>
    <x v="0"/>
    <x v="0"/>
    <s v="Mid-level"/>
    <x v="0"/>
    <s v="22-30"/>
    <x v="0"/>
    <s v="31/03/2020"/>
    <s v="24/03/2023"/>
    <n v="5"/>
    <n v="257000"/>
    <n v="4"/>
    <n v="37"/>
    <x v="0"/>
  </r>
  <r>
    <s v="MFS-63856"/>
    <s v="Rabiu Yakubu"/>
    <x v="0"/>
    <x v="3"/>
    <x v="0"/>
    <s v="Senior"/>
    <x v="0"/>
    <s v="31-40"/>
    <x v="0"/>
    <s v="21/03/2019"/>
    <s v="24/03/2023"/>
    <n v="6"/>
    <n v="449000"/>
    <n v="4.5999999999999996"/>
    <n v="0"/>
    <x v="0"/>
  </r>
  <r>
    <s v="MFS-39976"/>
    <s v="Ugochi Adebayo"/>
    <x v="1"/>
    <x v="4"/>
    <x v="0"/>
    <s v="Junior"/>
    <x v="0"/>
    <s v="22-30"/>
    <x v="0"/>
    <s v="26/04/2021"/>
    <s v="24/03/2023"/>
    <n v="4"/>
    <n v="133000"/>
    <n v="3.3"/>
    <n v="9"/>
    <x v="0"/>
  </r>
  <r>
    <s v="MFS-99487"/>
    <s v="Bello Coker"/>
    <x v="0"/>
    <x v="0"/>
    <x v="0"/>
    <s v="Mid-level"/>
    <x v="0"/>
    <s v="31-40"/>
    <x v="0"/>
    <s v="28/11/2020"/>
    <s v="24/03/2023"/>
    <n v="5"/>
    <n v="228000"/>
    <n v="4.9000000000000004"/>
    <n v="14"/>
    <x v="0"/>
  </r>
  <r>
    <s v="MFS-76902"/>
    <s v="Adaeze Adebayo"/>
    <x v="1"/>
    <x v="4"/>
    <x v="2"/>
    <s v="Manager"/>
    <x v="0"/>
    <s v="31-40"/>
    <x v="0"/>
    <s v="24/10/2021"/>
    <s v="24/03/2023"/>
    <n v="4"/>
    <n v="726000"/>
    <n v="3.7"/>
    <n v="13"/>
    <x v="1"/>
  </r>
  <r>
    <s v="MFS-31765"/>
    <s v="Jummai Okafor"/>
    <x v="1"/>
    <x v="3"/>
    <x v="2"/>
    <s v="Senior"/>
    <x v="3"/>
    <s v="51-60"/>
    <x v="4"/>
    <s v="25/09/2019"/>
    <s v="31/08/2024"/>
    <n v="6"/>
    <n v="428000"/>
    <n v="3"/>
    <n v="1"/>
    <x v="0"/>
  </r>
  <r>
    <s v="MFS-15510"/>
    <s v="Femi Ogbonna"/>
    <x v="0"/>
    <x v="3"/>
    <x v="0"/>
    <s v="Junior"/>
    <x v="1"/>
    <s v="51-60"/>
    <x v="3"/>
    <s v="08/01/2023"/>
    <s v="31/08/2024"/>
    <n v="3"/>
    <n v="171000"/>
    <n v="3.7"/>
    <n v="14"/>
    <x v="0"/>
  </r>
  <r>
    <s v="MFS-26036"/>
    <s v="Ugochi Eze"/>
    <x v="1"/>
    <x v="2"/>
    <x v="0"/>
    <s v="Mid-level"/>
    <x v="3"/>
    <s v="22-30"/>
    <x v="1"/>
    <s v="10/04/2019"/>
    <s v="31/08/2024"/>
    <n v="6"/>
    <n v="257000"/>
    <n v="2.4"/>
    <n v="10"/>
    <x v="1"/>
  </r>
  <r>
    <s v="MFS-27001"/>
    <s v="Uche Obaseki"/>
    <x v="0"/>
    <x v="4"/>
    <x v="0"/>
    <s v="Manager"/>
    <x v="2"/>
    <s v="31-40"/>
    <x v="1"/>
    <s v="01/03/2020"/>
    <s v="05/11/2024"/>
    <n v="6"/>
    <n v="673000"/>
    <n v="4.4000000000000004"/>
    <n v="35"/>
    <x v="3"/>
  </r>
  <r>
    <s v="MFS-11784"/>
    <s v="Kabiru Eze"/>
    <x v="0"/>
    <x v="3"/>
    <x v="1"/>
    <s v="Junior"/>
    <x v="3"/>
    <s v="51-60"/>
    <x v="1"/>
    <s v="11/06/2021"/>
    <s v="11/12/2022"/>
    <n v="4"/>
    <n v="137000"/>
    <n v="3.2"/>
    <n v="7"/>
    <x v="0"/>
  </r>
  <r>
    <s v="MFS-52206"/>
    <s v="Wale Danladi"/>
    <x v="0"/>
    <x v="0"/>
    <x v="0"/>
    <s v="Senior"/>
    <x v="2"/>
    <s v="31-40"/>
    <x v="0"/>
    <s v="21/11/2021"/>
    <s v="11/12/2022"/>
    <n v="4"/>
    <n v="544000"/>
    <n v="3.4"/>
    <n v="6"/>
    <x v="1"/>
  </r>
  <r>
    <s v="MFS-81791"/>
    <s v="Funmilayo Nwachukwu"/>
    <x v="1"/>
    <x v="1"/>
    <x v="1"/>
    <s v="Junior"/>
    <x v="1"/>
    <s v="22-30"/>
    <x v="0"/>
    <s v="06/10/2023"/>
    <s v="03/12/2024"/>
    <n v="2"/>
    <n v="110000"/>
    <n v="2.1"/>
    <n v="17"/>
    <x v="0"/>
  </r>
  <r>
    <s v="MFS-57486"/>
    <s v="Uloma Okonkwo"/>
    <x v="1"/>
    <x v="4"/>
    <x v="0"/>
    <s v="Senior"/>
    <x v="2"/>
    <s v="31-40"/>
    <x v="0"/>
    <s v="25/04/2020"/>
    <s v="03/12/2024"/>
    <n v="5"/>
    <n v="399000"/>
    <n v="2.5"/>
    <n v="0"/>
    <x v="0"/>
  </r>
  <r>
    <s v="MFS-25191"/>
    <s v="Oghenekaro Ogbonna"/>
    <x v="0"/>
    <x v="1"/>
    <x v="2"/>
    <s v="Junior"/>
    <x v="2"/>
    <s v="22-30"/>
    <x v="0"/>
    <s v="03/07/2020"/>
    <s v="03/12/2024"/>
    <n v="5"/>
    <n v="144000"/>
    <n v="4.4000000000000004"/>
    <n v="6"/>
    <x v="0"/>
  </r>
  <r>
    <s v="MFS-51152"/>
    <s v="Haruna Bello"/>
    <x v="0"/>
    <x v="3"/>
    <x v="1"/>
    <s v="Director"/>
    <x v="3"/>
    <s v="31-40"/>
    <x v="1"/>
    <s v="11/09/2021"/>
    <s v="03/12/2024"/>
    <n v="4"/>
    <n v="1427000"/>
    <n v="4.9000000000000004"/>
    <n v="4"/>
    <x v="0"/>
  </r>
  <r>
    <s v="MFS-96997"/>
    <s v="Funmilayo Adesanya"/>
    <x v="1"/>
    <x v="4"/>
    <x v="1"/>
    <s v="Mid-level"/>
    <x v="0"/>
    <s v="22-30"/>
    <x v="0"/>
    <s v="18/07/2021"/>
    <s v="03/12/2024"/>
    <n v="4"/>
    <n v="267000"/>
    <n v="3.4"/>
    <n v="6"/>
    <x v="0"/>
  </r>
  <r>
    <s v="MFS-90944"/>
    <s v="Abubakar Musa"/>
    <x v="0"/>
    <x v="0"/>
    <x v="0"/>
    <s v="Junior"/>
    <x v="0"/>
    <s v="31-40"/>
    <x v="2"/>
    <s v="19/05/2023"/>
    <s v="03/12/2024"/>
    <n v="2"/>
    <n v="178000"/>
    <n v="4.7"/>
    <n v="4"/>
    <x v="3"/>
  </r>
  <r>
    <s v="MFS-15318"/>
    <s v="Chidi Okafor"/>
    <x v="0"/>
    <x v="1"/>
    <x v="0"/>
    <s v="Manager"/>
    <x v="2"/>
    <s v="31-40"/>
    <x v="0"/>
    <s v="10/08/2020"/>
    <s v="04/02/2024"/>
    <n v="5"/>
    <n v="810000"/>
    <n v="3.6"/>
    <n v="28"/>
    <x v="0"/>
  </r>
  <r>
    <s v="MFS-22782"/>
    <s v="Biodun Nwachukwu"/>
    <x v="0"/>
    <x v="3"/>
    <x v="0"/>
    <s v="Mid-level"/>
    <x v="0"/>
    <s v="51-60"/>
    <x v="0"/>
    <s v="01/05/2021"/>
    <s v="04/02/2024"/>
    <n v="4"/>
    <n v="331000"/>
    <n v="4"/>
    <n v="4"/>
    <x v="0"/>
  </r>
  <r>
    <s v="MFS-78987"/>
    <s v="Babatunde Danladi"/>
    <x v="0"/>
    <x v="0"/>
    <x v="0"/>
    <s v="Mid-level"/>
    <x v="0"/>
    <s v="51-60"/>
    <x v="0"/>
    <s v="16/01/2022"/>
    <s v="04/02/2024"/>
    <n v="4"/>
    <n v="219000"/>
    <n v="3.6"/>
    <n v="32"/>
    <x v="2"/>
  </r>
  <r>
    <s v="MFS-48712"/>
    <s v="Danladi Nduka"/>
    <x v="0"/>
    <x v="2"/>
    <x v="2"/>
    <s v="Junior"/>
    <x v="1"/>
    <s v="31-40"/>
    <x v="0"/>
    <s v="28/08/2020"/>
    <s v="19/04/2023"/>
    <n v="5"/>
    <n v="117000"/>
    <n v="2.2000000000000002"/>
    <n v="9"/>
    <x v="0"/>
  </r>
  <r>
    <s v="MFS-40083"/>
    <s v="Chinwe Nduka"/>
    <x v="1"/>
    <x v="4"/>
    <x v="2"/>
    <s v="Senior"/>
    <x v="1"/>
    <s v="41-50"/>
    <x v="0"/>
    <s v="29/08/2021"/>
    <s v="19/04/2023"/>
    <n v="4"/>
    <n v="476000"/>
    <n v="3.5"/>
    <n v="28"/>
    <x v="0"/>
  </r>
  <r>
    <s v="MFS-16476"/>
    <s v="Yemi Obaseki"/>
    <x v="1"/>
    <x v="4"/>
    <x v="0"/>
    <s v="Junior"/>
    <x v="0"/>
    <s v="22-30"/>
    <x v="0"/>
    <s v="05/01/2019"/>
    <s v="19/04/2023"/>
    <n v="7"/>
    <n v="153000"/>
    <n v="1.8"/>
    <n v="5"/>
    <x v="0"/>
  </r>
  <r>
    <s v="MFS-28212"/>
    <s v="Nana Coker"/>
    <x v="1"/>
    <x v="1"/>
    <x v="2"/>
    <s v="Senior"/>
    <x v="0"/>
    <s v="22-30"/>
    <x v="1"/>
    <s v="23/11/2023"/>
    <s v="19/04/2023"/>
    <n v="2"/>
    <n v="523000"/>
    <n v="4.5"/>
    <n v="5"/>
    <x v="0"/>
  </r>
  <r>
    <s v="MFS-85681"/>
    <s v="Tosin Yakubu"/>
    <x v="1"/>
    <x v="1"/>
    <x v="1"/>
    <s v="Senior"/>
    <x v="3"/>
    <s v="22-30"/>
    <x v="2"/>
    <s v="07/07/2023"/>
    <s v="19/04/2023"/>
    <n v="2"/>
    <n v="399000"/>
    <n v="3.1"/>
    <n v="7"/>
    <x v="0"/>
  </r>
  <r>
    <s v="MFS-75841"/>
    <s v="Chioma Obi"/>
    <x v="1"/>
    <x v="4"/>
    <x v="0"/>
    <s v="Senior"/>
    <x v="0"/>
    <s v="22-30"/>
    <x v="0"/>
    <s v="27/10/2019"/>
    <s v="19/04/2023"/>
    <n v="6"/>
    <n v="457000"/>
    <n v="3.8"/>
    <n v="16"/>
    <x v="0"/>
  </r>
  <r>
    <s v="MFS-79355"/>
    <s v="Shade Fagbemi"/>
    <x v="1"/>
    <x v="3"/>
    <x v="0"/>
    <s v="Mid-level"/>
    <x v="0"/>
    <s v="31-40"/>
    <x v="0"/>
    <s v="17/07/2021"/>
    <s v="19/04/2023"/>
    <n v="4"/>
    <n v="323000"/>
    <n v="3.7"/>
    <n v="0"/>
    <x v="0"/>
  </r>
  <r>
    <s v="MFS-42778"/>
    <s v="Haruna Fagbemi"/>
    <x v="0"/>
    <x v="3"/>
    <x v="0"/>
    <s v="Senior"/>
    <x v="1"/>
    <s v="22-30"/>
    <x v="2"/>
    <s v="24/06/2019"/>
    <s v="19/04/2023"/>
    <n v="6"/>
    <n v="481000"/>
    <n v="3.2"/>
    <n v="8"/>
    <x v="0"/>
  </r>
  <r>
    <s v="MFS-74525"/>
    <s v="Chukwudi Adeyemi"/>
    <x v="0"/>
    <x v="1"/>
    <x v="0"/>
    <s v="Mid-level"/>
    <x v="2"/>
    <s v="22-30"/>
    <x v="3"/>
    <s v="03/07/2023"/>
    <s v="19/04/2023"/>
    <n v="2"/>
    <n v="208000"/>
    <n v="4"/>
    <n v="30"/>
    <x v="0"/>
  </r>
  <r>
    <s v="MFS-89922"/>
    <s v="Seun Yakubu"/>
    <x v="0"/>
    <x v="4"/>
    <x v="0"/>
    <s v="Junior"/>
    <x v="0"/>
    <s v="22-30"/>
    <x v="0"/>
    <s v="02/03/2022"/>
    <s v="19/04/2023"/>
    <n v="4"/>
    <n v="137000"/>
    <n v="2.8"/>
    <n v="14"/>
    <x v="3"/>
  </r>
  <r>
    <s v="MFS-93864"/>
    <s v="Ikenna Fagbemi"/>
    <x v="0"/>
    <x v="2"/>
    <x v="0"/>
    <s v="Senior"/>
    <x v="0"/>
    <s v="31-40"/>
    <x v="2"/>
    <s v="06/08/2020"/>
    <s v="09/11/2021"/>
    <n v="5"/>
    <n v="456000"/>
    <n v="2.5"/>
    <n v="7"/>
    <x v="1"/>
  </r>
  <r>
    <s v="MFS-46862"/>
    <s v="Garba Uba"/>
    <x v="0"/>
    <x v="4"/>
    <x v="2"/>
    <s v="Junior"/>
    <x v="0"/>
    <s v="41-50"/>
    <x v="2"/>
    <s v="07/08/2020"/>
    <s v="06/11/2023"/>
    <n v="5"/>
    <n v="99000"/>
    <n v="2.6"/>
    <n v="1"/>
    <x v="1"/>
  </r>
  <r>
    <s v="MFS-98580"/>
    <s v="Amaka Nwachukwu"/>
    <x v="1"/>
    <x v="2"/>
    <x v="2"/>
    <s v="Junior"/>
    <x v="3"/>
    <s v="41-50"/>
    <x v="0"/>
    <s v="10/12/2023"/>
    <s v="28/10/2024"/>
    <n v="2"/>
    <n v="170000"/>
    <n v="4.5999999999999996"/>
    <n v="12"/>
    <x v="2"/>
  </r>
  <r>
    <s v="MFS-13046"/>
    <s v="Uloma Obi"/>
    <x v="1"/>
    <x v="1"/>
    <x v="0"/>
    <s v="Mid-level"/>
    <x v="2"/>
    <s v="31-40"/>
    <x v="1"/>
    <s v="23/01/2022"/>
    <s v="28/07/2024"/>
    <n v="4"/>
    <n v="238000"/>
    <n v="4"/>
    <n v="38"/>
    <x v="3"/>
  </r>
  <r>
    <s v="MFS-63964"/>
    <s v="Hauwa Nnamdi"/>
    <x v="1"/>
    <x v="0"/>
    <x v="0"/>
    <s v="Senior"/>
    <x v="1"/>
    <s v="22-30"/>
    <x v="2"/>
    <s v="13/02/2020"/>
    <s v="22/07/2024"/>
    <n v="6"/>
    <n v="648000"/>
    <n v="2.9"/>
    <n v="3"/>
    <x v="0"/>
  </r>
  <r>
    <s v="MFS-41752"/>
    <s v="Wale Chukwu"/>
    <x v="0"/>
    <x v="0"/>
    <x v="1"/>
    <s v="Junior"/>
    <x v="1"/>
    <s v="31-40"/>
    <x v="3"/>
    <s v="11/04/2021"/>
    <s v="22/07/2024"/>
    <n v="4"/>
    <n v="163000"/>
    <n v="2.2000000000000002"/>
    <n v="6"/>
    <x v="0"/>
  </r>
  <r>
    <s v="MFS-54848"/>
    <s v="Ebuka Buhari"/>
    <x v="0"/>
    <x v="3"/>
    <x v="0"/>
    <s v="Mid-level"/>
    <x v="2"/>
    <s v="41-50"/>
    <x v="2"/>
    <s v="13/12/2023"/>
    <s v="22/07/2024"/>
    <n v="2"/>
    <n v="213000"/>
    <n v="2.4"/>
    <n v="7"/>
    <x v="3"/>
  </r>
  <r>
    <s v="MFS-82015"/>
    <s v="Kunle Bello"/>
    <x v="0"/>
    <x v="2"/>
    <x v="0"/>
    <s v="Mid-level"/>
    <x v="2"/>
    <s v="51-60"/>
    <x v="0"/>
    <s v="17/06/2020"/>
    <s v="03/12/2023"/>
    <n v="5"/>
    <n v="303000"/>
    <n v="4"/>
    <n v="2"/>
    <x v="3"/>
  </r>
  <r>
    <s v="MFS-34060"/>
    <s v="Uche Garba"/>
    <x v="0"/>
    <x v="2"/>
    <x v="1"/>
    <s v="Manager"/>
    <x v="0"/>
    <s v="22-30"/>
    <x v="0"/>
    <s v="26/06/2020"/>
    <s v="13/02/2022"/>
    <n v="5"/>
    <n v="742000"/>
    <n v="4.3"/>
    <n v="22"/>
    <x v="0"/>
  </r>
  <r>
    <s v="MFS-18308"/>
    <s v="Hafsat Adebayo"/>
    <x v="1"/>
    <x v="4"/>
    <x v="0"/>
    <s v="Junior"/>
    <x v="1"/>
    <s v="31-40"/>
    <x v="1"/>
    <s v="01/10/2020"/>
    <s v="13/02/2022"/>
    <n v="5"/>
    <n v="86000"/>
    <n v="3.5"/>
    <n v="11"/>
    <x v="1"/>
  </r>
  <r>
    <s v="MFS-67210"/>
    <s v="Chinedu Taiwo"/>
    <x v="0"/>
    <x v="1"/>
    <x v="0"/>
    <s v="Mid-level"/>
    <x v="0"/>
    <s v="22-30"/>
    <x v="0"/>
    <s v="12/03/2022"/>
    <s v="30/09/2023"/>
    <n v="4"/>
    <n v="194000"/>
    <n v="2.4"/>
    <n v="11"/>
    <x v="0"/>
  </r>
  <r>
    <s v="MFS-67799"/>
    <s v="Hauwa Oyelaran"/>
    <x v="1"/>
    <x v="4"/>
    <x v="2"/>
    <s v="Junior"/>
    <x v="3"/>
    <s v="31-40"/>
    <x v="0"/>
    <s v="03/05/2020"/>
    <s v="30/09/2023"/>
    <n v="5"/>
    <n v="119000"/>
    <n v="2"/>
    <n v="0"/>
    <x v="0"/>
  </r>
  <r>
    <s v="MFS-85555"/>
    <s v="Chinedu Obaseki"/>
    <x v="0"/>
    <x v="0"/>
    <x v="0"/>
    <s v="Mid-level"/>
    <x v="1"/>
    <s v="51-60"/>
    <x v="0"/>
    <s v="29/07/2019"/>
    <s v="30/09/2023"/>
    <n v="6"/>
    <n v="289000"/>
    <n v="3.3"/>
    <n v="11"/>
    <x v="0"/>
  </r>
  <r>
    <s v="MFS-81187"/>
    <s v="Aisha Ihejirika"/>
    <x v="1"/>
    <x v="2"/>
    <x v="0"/>
    <s v="Junior"/>
    <x v="1"/>
    <s v="31-40"/>
    <x v="0"/>
    <s v="16/10/2020"/>
    <s v="30/09/2023"/>
    <n v="5"/>
    <n v="150000"/>
    <n v="2.2999999999999998"/>
    <n v="11"/>
    <x v="0"/>
  </r>
  <r>
    <s v="MFS-18472"/>
    <s v="Lanre Nwosu"/>
    <x v="0"/>
    <x v="4"/>
    <x v="2"/>
    <s v="Junior"/>
    <x v="0"/>
    <s v="31-40"/>
    <x v="1"/>
    <s v="09/11/2022"/>
    <s v="30/09/2023"/>
    <n v="3"/>
    <n v="115000"/>
    <n v="3.4"/>
    <n v="9"/>
    <x v="1"/>
  </r>
  <r>
    <s v="MFS-88928"/>
    <s v="Dele Abdullahi"/>
    <x v="0"/>
    <x v="4"/>
    <x v="0"/>
    <s v="Junior"/>
    <x v="1"/>
    <s v="41-50"/>
    <x v="3"/>
    <s v="04/10/2020"/>
    <s v="14/12/2023"/>
    <n v="5"/>
    <n v="115000"/>
    <n v="1.5"/>
    <n v="2"/>
    <x v="1"/>
  </r>
  <r>
    <s v="MFS-49677"/>
    <s v="Titi Chukwu"/>
    <x v="1"/>
    <x v="4"/>
    <x v="1"/>
    <s v="Manager"/>
    <x v="1"/>
    <s v="51-60"/>
    <x v="2"/>
    <s v="09/09/2020"/>
    <s v="19/09/2024"/>
    <n v="5"/>
    <n v="873000"/>
    <n v="3.3"/>
    <n v="11"/>
    <x v="0"/>
  </r>
  <r>
    <s v="MFS-37153"/>
    <s v="Ifeanyi Omotayo"/>
    <x v="0"/>
    <x v="4"/>
    <x v="0"/>
    <s v="Mid-level"/>
    <x v="0"/>
    <s v="41-50"/>
    <x v="2"/>
    <s v="21/12/2023"/>
    <s v="19/09/2024"/>
    <n v="2"/>
    <n v="313000"/>
    <n v="4"/>
    <n v="34"/>
    <x v="1"/>
  </r>
  <r>
    <s v="MFS-90699"/>
    <s v="Uche Danladi"/>
    <x v="0"/>
    <x v="4"/>
    <x v="0"/>
    <s v="Senior"/>
    <x v="3"/>
    <s v="22-30"/>
    <x v="0"/>
    <s v="17/01/2020"/>
    <s v="14/01/2025"/>
    <n v="6"/>
    <n v="575000"/>
    <n v="4.4000000000000004"/>
    <n v="8"/>
    <x v="2"/>
  </r>
  <r>
    <s v="MFS-59822"/>
    <s v="Fatima Nnamdi"/>
    <x v="1"/>
    <x v="2"/>
    <x v="0"/>
    <s v="Manager"/>
    <x v="3"/>
    <s v="22-30"/>
    <x v="0"/>
    <s v="29/02/2020"/>
    <s v="01/11/2023"/>
    <n v="6"/>
    <n v="666000"/>
    <n v="3.4"/>
    <n v="11"/>
    <x v="0"/>
  </r>
  <r>
    <s v="MFS-15109"/>
    <s v="Ronke Fagbemi"/>
    <x v="1"/>
    <x v="4"/>
    <x v="1"/>
    <s v="Mid-level"/>
    <x v="2"/>
    <s v="31-40"/>
    <x v="2"/>
    <s v="12/03/2022"/>
    <s v="01/11/2023"/>
    <n v="4"/>
    <n v="252000"/>
    <n v="3.9"/>
    <n v="12"/>
    <x v="2"/>
  </r>
  <r>
    <s v="MFS-72545"/>
    <s v="Dele Oyelaran"/>
    <x v="0"/>
    <x v="1"/>
    <x v="0"/>
    <s v="Senior"/>
    <x v="0"/>
    <s v="51-60"/>
    <x v="3"/>
    <s v="08/03/2021"/>
    <s v="06/07/2021"/>
    <n v="5"/>
    <n v="464000"/>
    <n v="3.3"/>
    <n v="6"/>
    <x v="0"/>
  </r>
  <r>
    <s v="MFS-38850"/>
    <s v="Uloma Obi"/>
    <x v="1"/>
    <x v="2"/>
    <x v="0"/>
    <s v="Junior"/>
    <x v="2"/>
    <s v="41-50"/>
    <x v="2"/>
    <s v="12/01/2019"/>
    <s v="06/07/2021"/>
    <n v="7"/>
    <n v="159000"/>
    <n v="2.5"/>
    <n v="39"/>
    <x v="2"/>
  </r>
  <r>
    <s v="MFS-23725"/>
    <s v="Adaeze Adewale"/>
    <x v="1"/>
    <x v="4"/>
    <x v="1"/>
    <s v="Junior"/>
    <x v="0"/>
    <s v="41-50"/>
    <x v="2"/>
    <s v="19/03/2023"/>
    <s v="22/12/2023"/>
    <n v="2"/>
    <n v="120000"/>
    <n v="1.9"/>
    <n v="27"/>
    <x v="0"/>
  </r>
  <r>
    <s v="MFS-60791"/>
    <s v="Rukayya Ogundipe"/>
    <x v="1"/>
    <x v="0"/>
    <x v="0"/>
    <s v="Senior"/>
    <x v="2"/>
    <s v="31-40"/>
    <x v="0"/>
    <s v="16/03/2023"/>
    <s v="22/12/2023"/>
    <n v="2"/>
    <n v="556000"/>
    <n v="2.8"/>
    <n v="9"/>
    <x v="0"/>
  </r>
  <r>
    <s v="MFS-86764"/>
    <s v="Rukayya Adesanya"/>
    <x v="1"/>
    <x v="2"/>
    <x v="0"/>
    <s v="Mid-level"/>
    <x v="1"/>
    <s v="41-50"/>
    <x v="4"/>
    <s v="19/08/2022"/>
    <s v="22/12/2023"/>
    <n v="3"/>
    <n v="321000"/>
    <n v="2.7"/>
    <n v="3"/>
    <x v="3"/>
  </r>
  <r>
    <s v="MFS-42846"/>
    <s v="Tosin Danladi"/>
    <x v="1"/>
    <x v="4"/>
    <x v="1"/>
    <s v="Mid-level"/>
    <x v="0"/>
    <s v="22-30"/>
    <x v="0"/>
    <s v="12/03/2021"/>
    <s v="17/07/2024"/>
    <n v="5"/>
    <n v="278000"/>
    <n v="3.5"/>
    <n v="7"/>
    <x v="0"/>
  </r>
  <r>
    <s v="MFS-51371"/>
    <s v="Tobi Ihejirika"/>
    <x v="0"/>
    <x v="1"/>
    <x v="0"/>
    <s v="Mid-level"/>
    <x v="3"/>
    <s v="22-30"/>
    <x v="3"/>
    <s v="04/09/2020"/>
    <s v="17/07/2024"/>
    <n v="5"/>
    <n v="225000"/>
    <n v="2.8"/>
    <n v="9"/>
    <x v="1"/>
  </r>
  <r>
    <s v="MFS-99230"/>
    <s v="Tosin Chukwu"/>
    <x v="1"/>
    <x v="4"/>
    <x v="0"/>
    <s v="Junior"/>
    <x v="1"/>
    <s v="22-30"/>
    <x v="2"/>
    <s v="22/08/2019"/>
    <s v="01/07/2022"/>
    <n v="6"/>
    <n v="100000"/>
    <n v="3.1"/>
    <n v="12"/>
    <x v="0"/>
  </r>
  <r>
    <s v="MFS-48737"/>
    <s v="Chinwe Nduka"/>
    <x v="1"/>
    <x v="0"/>
    <x v="2"/>
    <s v="Junior"/>
    <x v="2"/>
    <s v="41-50"/>
    <x v="2"/>
    <s v="04/04/2019"/>
    <s v="01/07/2022"/>
    <n v="6"/>
    <n v="177000"/>
    <n v="4.3"/>
    <n v="8"/>
    <x v="1"/>
  </r>
  <r>
    <s v="MFS-56410"/>
    <s v="Chinedu Lawal"/>
    <x v="0"/>
    <x v="4"/>
    <x v="1"/>
    <s v="Junior"/>
    <x v="1"/>
    <s v="51-60"/>
    <x v="1"/>
    <s v="14/10/2023"/>
    <s v="17/06/2024"/>
    <n v="2"/>
    <n v="148000"/>
    <n v="2.1"/>
    <n v="3"/>
    <x v="1"/>
  </r>
  <r>
    <s v="MFS-58605"/>
    <s v="Yakubu Adebayo"/>
    <x v="0"/>
    <x v="3"/>
    <x v="1"/>
    <s v="Mid-level"/>
    <x v="1"/>
    <s v="41-50"/>
    <x v="3"/>
    <s v="09/05/2020"/>
    <s v="14/04/2024"/>
    <n v="5"/>
    <n v="333000"/>
    <n v="2.8"/>
    <n v="10"/>
    <x v="2"/>
  </r>
  <r>
    <s v="MFS-73426"/>
    <s v="Tobi Okonkwo"/>
    <x v="0"/>
    <x v="2"/>
    <x v="1"/>
    <s v="Junior"/>
    <x v="0"/>
    <s v="22-30"/>
    <x v="3"/>
    <s v="12/08/2022"/>
    <s v="18/01/2024"/>
    <n v="3"/>
    <n v="142000"/>
    <n v="2.4"/>
    <n v="10"/>
    <x v="0"/>
  </r>
  <r>
    <s v="MFS-13574"/>
    <s v="Obinna Danladi"/>
    <x v="0"/>
    <x v="3"/>
    <x v="2"/>
    <s v="Junior"/>
    <x v="0"/>
    <s v="51-60"/>
    <x v="2"/>
    <s v="29/12/2020"/>
    <s v="18/01/2024"/>
    <n v="5"/>
    <n v="90000"/>
    <n v="3.3"/>
    <n v="6"/>
    <x v="0"/>
  </r>
  <r>
    <s v="MFS-42319"/>
    <s v="Chioma Adesanya"/>
    <x v="1"/>
    <x v="2"/>
    <x v="0"/>
    <s v="Director"/>
    <x v="0"/>
    <s v="31-40"/>
    <x v="4"/>
    <s v="16/09/2019"/>
    <s v="18/01/2024"/>
    <n v="6"/>
    <n v="1302000"/>
    <n v="3.1"/>
    <n v="12"/>
    <x v="0"/>
  </r>
  <r>
    <s v="MFS-29915"/>
    <s v="Obiora Yakubu"/>
    <x v="0"/>
    <x v="1"/>
    <x v="2"/>
    <s v="Manager"/>
    <x v="2"/>
    <s v="22-30"/>
    <x v="1"/>
    <s v="24/01/2023"/>
    <s v="18/01/2024"/>
    <n v="3"/>
    <n v="600000"/>
    <n v="3.6"/>
    <n v="8"/>
    <x v="1"/>
  </r>
  <r>
    <s v="MFS-56240"/>
    <s v="Nnamdi Garba"/>
    <x v="0"/>
    <x v="3"/>
    <x v="0"/>
    <s v="Senior"/>
    <x v="2"/>
    <s v="31-40"/>
    <x v="0"/>
    <s v="25/05/2019"/>
    <s v="28/02/2023"/>
    <n v="6"/>
    <n v="473000"/>
    <n v="2.2000000000000002"/>
    <n v="8"/>
    <x v="0"/>
  </r>
  <r>
    <s v="MFS-78757"/>
    <s v="Bilkisu Adeyemi"/>
    <x v="1"/>
    <x v="4"/>
    <x v="1"/>
    <s v="Manager"/>
    <x v="3"/>
    <s v="22-30"/>
    <x v="0"/>
    <s v="30/09/2020"/>
    <s v="28/02/2023"/>
    <n v="5"/>
    <n v="894000"/>
    <n v="5"/>
    <n v="9"/>
    <x v="3"/>
  </r>
  <r>
    <s v="MFS-64557"/>
    <s v="Chinyere Adesanya"/>
    <x v="1"/>
    <x v="0"/>
    <x v="0"/>
    <s v="Mid-level"/>
    <x v="2"/>
    <s v="22-30"/>
    <x v="3"/>
    <s v="18/08/2019"/>
    <s v="28/06/2020"/>
    <n v="6"/>
    <n v="334000"/>
    <n v="3.5"/>
    <n v="11"/>
    <x v="2"/>
  </r>
  <r>
    <s v="MFS-84855"/>
    <s v="Asabe Adewale"/>
    <x v="1"/>
    <x v="1"/>
    <x v="2"/>
    <s v="Mid-level"/>
    <x v="0"/>
    <s v="31-40"/>
    <x v="0"/>
    <s v="04/05/2019"/>
    <s v="28/01/2025"/>
    <n v="6"/>
    <n v="322000"/>
    <n v="3.4"/>
    <n v="34"/>
    <x v="0"/>
  </r>
  <r>
    <s v="MFS-61374"/>
    <s v="Oghenekaro Nwosu"/>
    <x v="0"/>
    <x v="4"/>
    <x v="0"/>
    <s v="Mid-level"/>
    <x v="0"/>
    <s v="41-50"/>
    <x v="2"/>
    <s v="04/04/2022"/>
    <s v="28/01/2025"/>
    <n v="3"/>
    <n v="292000"/>
    <n v="2.5"/>
    <n v="19"/>
    <x v="3"/>
  </r>
  <r>
    <s v="MFS-65625"/>
    <s v="Tunde Obi"/>
    <x v="0"/>
    <x v="4"/>
    <x v="0"/>
    <s v="Junior"/>
    <x v="1"/>
    <s v="41-50"/>
    <x v="0"/>
    <s v="22/09/2023"/>
    <s v="04/10/2024"/>
    <n v="2"/>
    <n v="162000"/>
    <n v="2.5"/>
    <n v="40"/>
    <x v="3"/>
  </r>
  <r>
    <s v="MFS-61435"/>
    <s v="Chioma Shehu"/>
    <x v="1"/>
    <x v="4"/>
    <x v="0"/>
    <s v="Manager"/>
    <x v="0"/>
    <s v="41-50"/>
    <x v="1"/>
    <s v="29/05/2022"/>
    <s v="01/04/2024"/>
    <n v="3"/>
    <n v="668000"/>
    <n v="4.5999999999999996"/>
    <n v="7"/>
    <x v="2"/>
  </r>
  <r>
    <s v="MFS-34181"/>
    <s v="Garba Onwudiwe"/>
    <x v="0"/>
    <x v="4"/>
    <x v="0"/>
    <s v="Mid-level"/>
    <x v="2"/>
    <s v="22-30"/>
    <x v="1"/>
    <s v="06/02/2019"/>
    <s v="27/02/2022"/>
    <n v="7"/>
    <n v="229000"/>
    <n v="2.7"/>
    <n v="27"/>
    <x v="0"/>
  </r>
  <r>
    <s v="MFS-51872"/>
    <s v="Uche Nduka"/>
    <x v="0"/>
    <x v="2"/>
    <x v="0"/>
    <s v="Mid-level"/>
    <x v="0"/>
    <s v="51-60"/>
    <x v="1"/>
    <s v="08/01/2019"/>
    <s v="27/02/2022"/>
    <n v="7"/>
    <n v="343000"/>
    <n v="3.7"/>
    <n v="4"/>
    <x v="1"/>
  </r>
  <r>
    <s v="MFS-82334"/>
    <s v="Oluwaseun Ogbonna"/>
    <x v="0"/>
    <x v="4"/>
    <x v="2"/>
    <s v="Junior"/>
    <x v="0"/>
    <s v="22-30"/>
    <x v="1"/>
    <s v="21/12/2022"/>
    <s v="04/09/2024"/>
    <n v="3"/>
    <n v="103000"/>
    <n v="2.9"/>
    <n v="3"/>
    <x v="2"/>
  </r>
  <r>
    <s v="MFS-57174"/>
    <s v="Gbenga Obi"/>
    <x v="0"/>
    <x v="2"/>
    <x v="0"/>
    <s v="Junior"/>
    <x v="0"/>
    <s v="22-30"/>
    <x v="2"/>
    <s v="18/09/2019"/>
    <s v="22/07/2021"/>
    <n v="6"/>
    <n v="179000"/>
    <n v="4.0999999999999996"/>
    <n v="40"/>
    <x v="1"/>
  </r>
  <r>
    <s v="MFS-64019"/>
    <s v="Haruna Nwosu"/>
    <x v="0"/>
    <x v="2"/>
    <x v="0"/>
    <s v="Mid-level"/>
    <x v="2"/>
    <s v="41-50"/>
    <x v="4"/>
    <s v="03/05/2021"/>
    <s v="17/07/2022"/>
    <n v="4"/>
    <n v="223000"/>
    <n v="4.7"/>
    <n v="1"/>
    <x v="2"/>
  </r>
  <r>
    <s v="MFS-18648"/>
    <s v="Ogechi Adebayo"/>
    <x v="1"/>
    <x v="1"/>
    <x v="1"/>
    <s v="Junior"/>
    <x v="0"/>
    <s v="41-50"/>
    <x v="2"/>
    <s v="20/04/2020"/>
    <s v="01/06/2023"/>
    <n v="5"/>
    <n v="93000"/>
    <n v="2.6"/>
    <n v="7"/>
    <x v="0"/>
  </r>
  <r>
    <s v="MFS-80882"/>
    <s v="Suleiman Okafor"/>
    <x v="0"/>
    <x v="4"/>
    <x v="0"/>
    <s v="Mid-level"/>
    <x v="1"/>
    <s v="22-30"/>
    <x v="3"/>
    <s v="13/06/2020"/>
    <s v="01/06/2023"/>
    <n v="5"/>
    <n v="221000"/>
    <n v="3"/>
    <n v="8"/>
    <x v="0"/>
  </r>
  <r>
    <s v="MFS-39269"/>
    <s v="Funmilayo Aliyu"/>
    <x v="1"/>
    <x v="3"/>
    <x v="0"/>
    <s v="Manager"/>
    <x v="2"/>
    <s v="22-30"/>
    <x v="0"/>
    <s v="03/10/2023"/>
    <s v="01/06/2023"/>
    <n v="2"/>
    <n v="937000"/>
    <n v="5"/>
    <n v="12"/>
    <x v="0"/>
  </r>
  <r>
    <s v="MFS-93886"/>
    <s v="Chinwe Obaseki"/>
    <x v="1"/>
    <x v="4"/>
    <x v="1"/>
    <s v="Junior"/>
    <x v="0"/>
    <s v="41-50"/>
    <x v="2"/>
    <s v="16/05/2019"/>
    <s v="01/06/2023"/>
    <n v="6"/>
    <n v="105000"/>
    <n v="3.4"/>
    <n v="5"/>
    <x v="0"/>
  </r>
  <r>
    <s v="MFS-18117"/>
    <s v="Obiora Omotayo"/>
    <x v="0"/>
    <x v="0"/>
    <x v="0"/>
    <s v="Mid-level"/>
    <x v="0"/>
    <s v="22-30"/>
    <x v="2"/>
    <s v="27/03/2020"/>
    <s v="01/06/2023"/>
    <n v="5"/>
    <n v="259000"/>
    <n v="3.8"/>
    <n v="10"/>
    <x v="0"/>
  </r>
  <r>
    <s v="MFS-94735"/>
    <s v="Rukayya Uba"/>
    <x v="1"/>
    <x v="3"/>
    <x v="2"/>
    <s v="Senior"/>
    <x v="0"/>
    <s v="51-60"/>
    <x v="3"/>
    <s v="31/01/2023"/>
    <s v="01/06/2023"/>
    <n v="3"/>
    <n v="517000"/>
    <n v="4.2"/>
    <n v="16"/>
    <x v="0"/>
  </r>
  <r>
    <s v="MFS-68953"/>
    <s v="Shehu Obaseki"/>
    <x v="0"/>
    <x v="2"/>
    <x v="0"/>
    <s v="Senior"/>
    <x v="1"/>
    <s v="31-40"/>
    <x v="4"/>
    <s v="13/01/2022"/>
    <s v="01/06/2023"/>
    <n v="4"/>
    <n v="508000"/>
    <n v="4.2"/>
    <n v="5"/>
    <x v="1"/>
  </r>
  <r>
    <s v="MFS-99692"/>
    <s v="Garba Okafor"/>
    <x v="0"/>
    <x v="2"/>
    <x v="1"/>
    <s v="Manager"/>
    <x v="0"/>
    <s v="31-40"/>
    <x v="2"/>
    <s v="13/10/2020"/>
    <s v="24/12/2021"/>
    <n v="5"/>
    <n v="632000"/>
    <n v="4.2"/>
    <n v="11"/>
    <x v="0"/>
  </r>
  <r>
    <s v="MFS-87217"/>
    <s v="Biodun Danladi"/>
    <x v="0"/>
    <x v="1"/>
    <x v="0"/>
    <s v="Manager"/>
    <x v="2"/>
    <s v="22-30"/>
    <x v="0"/>
    <s v="06/09/2019"/>
    <s v="24/12/2021"/>
    <n v="6"/>
    <n v="799000"/>
    <n v="4.7"/>
    <n v="12"/>
    <x v="3"/>
  </r>
  <r>
    <s v="MFS-98408"/>
    <s v="Uche Omotayo"/>
    <x v="0"/>
    <x v="4"/>
    <x v="0"/>
    <s v="Mid-level"/>
    <x v="2"/>
    <s v="31-40"/>
    <x v="2"/>
    <s v="04/03/2023"/>
    <s v="18/06/2023"/>
    <n v="3"/>
    <n v="263000"/>
    <n v="2.7"/>
    <n v="2"/>
    <x v="0"/>
  </r>
  <r>
    <s v="MFS-98356"/>
    <s v="Abubakar Ogbonna"/>
    <x v="0"/>
    <x v="3"/>
    <x v="0"/>
    <s v="Mid-level"/>
    <x v="0"/>
    <s v="31-40"/>
    <x v="1"/>
    <s v="03/12/2020"/>
    <s v="18/06/2023"/>
    <n v="5"/>
    <n v="242000"/>
    <n v="3.5"/>
    <n v="11"/>
    <x v="1"/>
  </r>
  <r>
    <s v="MFS-50762"/>
    <s v="Shade Omotayo"/>
    <x v="1"/>
    <x v="3"/>
    <x v="0"/>
    <s v="Director"/>
    <x v="1"/>
    <s v="31-40"/>
    <x v="3"/>
    <s v="13/03/2020"/>
    <s v="13/06/2021"/>
    <n v="5"/>
    <n v="1596000"/>
    <n v="4.0999999999999996"/>
    <n v="13"/>
    <x v="3"/>
  </r>
  <r>
    <s v="MFS-86444"/>
    <s v="Chinedu Uba"/>
    <x v="0"/>
    <x v="2"/>
    <x v="0"/>
    <s v="Senior"/>
    <x v="0"/>
    <s v="31-40"/>
    <x v="0"/>
    <s v="15/11/2021"/>
    <s v="07/09/2022"/>
    <n v="4"/>
    <n v="521000"/>
    <n v="3.1"/>
    <n v="4"/>
    <x v="3"/>
  </r>
  <r>
    <s v="MFS-89969"/>
    <s v="Hafsat Adeyemi"/>
    <x v="1"/>
    <x v="3"/>
    <x v="0"/>
    <s v="Senior"/>
    <x v="1"/>
    <s v="51-60"/>
    <x v="2"/>
    <s v="03/11/2019"/>
    <s v="16/10/2024"/>
    <n v="6"/>
    <n v="393000"/>
    <n v="2.7"/>
    <n v="9"/>
    <x v="0"/>
  </r>
  <r>
    <s v="MFS-39170"/>
    <s v="Fatima Onwudiwe"/>
    <x v="1"/>
    <x v="0"/>
    <x v="0"/>
    <s v="Senior"/>
    <x v="3"/>
    <s v="51-60"/>
    <x v="2"/>
    <s v="11/11/2023"/>
    <s v="16/10/2024"/>
    <n v="2"/>
    <n v="528000"/>
    <n v="3.2"/>
    <n v="38"/>
    <x v="1"/>
  </r>
  <r>
    <s v="MFS-26806"/>
    <s v="Usman Shehu"/>
    <x v="0"/>
    <x v="3"/>
    <x v="0"/>
    <s v="Junior"/>
    <x v="0"/>
    <s v="31-40"/>
    <x v="0"/>
    <s v="13/09/2023"/>
    <s v="22/05/2024"/>
    <n v="2"/>
    <n v="112000"/>
    <n v="4"/>
    <n v="0"/>
    <x v="0"/>
  </r>
  <r>
    <s v="MFS-41005"/>
    <s v="Maryam Afolabi"/>
    <x v="1"/>
    <x v="1"/>
    <x v="2"/>
    <s v="Senior"/>
    <x v="0"/>
    <s v="41-50"/>
    <x v="2"/>
    <s v="27/02/2022"/>
    <s v="22/05/2024"/>
    <n v="4"/>
    <n v="548000"/>
    <n v="4.4000000000000004"/>
    <n v="8"/>
    <x v="0"/>
  </r>
  <r>
    <s v="MFS-39150"/>
    <s v="Ngozi Shehu"/>
    <x v="1"/>
    <x v="2"/>
    <x v="0"/>
    <s v="Mid-level"/>
    <x v="0"/>
    <s v="22-30"/>
    <x v="1"/>
    <s v="23/02/2021"/>
    <s v="22/05/2024"/>
    <n v="5"/>
    <n v="301000"/>
    <n v="2.6"/>
    <n v="22"/>
    <x v="3"/>
  </r>
  <r>
    <s v="MFS-14078"/>
    <s v="Bilkisu Taiwo"/>
    <x v="1"/>
    <x v="4"/>
    <x v="1"/>
    <s v="Mid-level"/>
    <x v="0"/>
    <s v="31-40"/>
    <x v="0"/>
    <s v="07/02/2020"/>
    <s v="02/02/2025"/>
    <n v="6"/>
    <n v="298000"/>
    <n v="2.1"/>
    <n v="9"/>
    <x v="1"/>
  </r>
  <r>
    <s v="MFS-97826"/>
    <s v="Adeola Okafor"/>
    <x v="0"/>
    <x v="4"/>
    <x v="0"/>
    <s v="Mid-level"/>
    <x v="1"/>
    <s v="41-50"/>
    <x v="4"/>
    <s v="09/10/2019"/>
    <s v="25/08/2022"/>
    <n v="6"/>
    <n v="289000"/>
    <n v="3.2"/>
    <n v="12"/>
    <x v="1"/>
  </r>
  <r>
    <s v="MFS-65310"/>
    <s v="Seun Buhari"/>
    <x v="0"/>
    <x v="3"/>
    <x v="0"/>
    <s v="Junior"/>
    <x v="0"/>
    <s v="41-50"/>
    <x v="2"/>
    <s v="02/06/2023"/>
    <s v="17/10/2024"/>
    <n v="2"/>
    <n v="137000"/>
    <n v="4"/>
    <n v="8"/>
    <x v="0"/>
  </r>
  <r>
    <s v="MFS-26268"/>
    <s v="Laraba Uba"/>
    <x v="1"/>
    <x v="1"/>
    <x v="0"/>
    <s v="Senior"/>
    <x v="2"/>
    <s v="31-40"/>
    <x v="0"/>
    <s v="26/12/2023"/>
    <s v="17/10/2024"/>
    <n v="2"/>
    <n v="464000"/>
    <n v="2.2000000000000002"/>
    <n v="36"/>
    <x v="1"/>
  </r>
  <r>
    <s v="MFS-63483"/>
    <s v="Eze Uba"/>
    <x v="0"/>
    <x v="4"/>
    <x v="0"/>
    <s v="Mid-level"/>
    <x v="1"/>
    <s v="41-50"/>
    <x v="3"/>
    <s v="15/05/2023"/>
    <s v="02/05/2024"/>
    <n v="2"/>
    <n v="194000"/>
    <n v="3.3"/>
    <n v="3"/>
    <x v="1"/>
  </r>
  <r>
    <s v="MFS-86729"/>
    <s v="Usman Okeke"/>
    <x v="0"/>
    <x v="2"/>
    <x v="2"/>
    <s v="Mid-level"/>
    <x v="1"/>
    <s v="22-30"/>
    <x v="1"/>
    <s v="07/03/2020"/>
    <s v="23/08/2023"/>
    <n v="6"/>
    <n v="260000"/>
    <n v="3.9"/>
    <n v="39"/>
    <x v="1"/>
  </r>
  <r>
    <s v="MFS-89593"/>
    <s v="Maryam Nduka"/>
    <x v="1"/>
    <x v="2"/>
    <x v="2"/>
    <s v="Mid-level"/>
    <x v="2"/>
    <s v="22-30"/>
    <x v="2"/>
    <s v="12/05/2023"/>
    <s v="20/11/2024"/>
    <n v="2"/>
    <n v="210000"/>
    <n v="3.6"/>
    <n v="12"/>
    <x v="1"/>
  </r>
  <r>
    <s v="MFS-25262"/>
    <s v="Aisha Okafor"/>
    <x v="1"/>
    <x v="4"/>
    <x v="1"/>
    <s v="Junior"/>
    <x v="0"/>
    <s v="31-40"/>
    <x v="0"/>
    <s v="05/04/2022"/>
    <s v="04/05/2024"/>
    <n v="3"/>
    <n v="105000"/>
    <n v="2"/>
    <n v="7"/>
    <x v="0"/>
  </r>
  <r>
    <s v="MFS-22225"/>
    <s v="Musa Garba"/>
    <x v="0"/>
    <x v="4"/>
    <x v="0"/>
    <s v="Junior"/>
    <x v="0"/>
    <s v="31-40"/>
    <x v="2"/>
    <s v="07/10/2022"/>
    <s v="04/05/2024"/>
    <n v="3"/>
    <n v="166000"/>
    <n v="3"/>
    <n v="4"/>
    <x v="1"/>
  </r>
  <r>
    <s v="MFS-95676"/>
    <s v="Yetunde Adeyemi"/>
    <x v="1"/>
    <x v="4"/>
    <x v="1"/>
    <s v="Junior"/>
    <x v="1"/>
    <s v="31-40"/>
    <x v="0"/>
    <s v="18/07/2020"/>
    <s v="29/03/2020"/>
    <n v="5"/>
    <n v="171000"/>
    <n v="2.7"/>
    <n v="11"/>
    <x v="0"/>
  </r>
  <r>
    <s v="MFS-31544"/>
    <s v="Rotimi Okafor"/>
    <x v="0"/>
    <x v="2"/>
    <x v="0"/>
    <s v="Junior"/>
    <x v="1"/>
    <s v="31-40"/>
    <x v="0"/>
    <s v="19/11/2019"/>
    <s v="29/03/2020"/>
    <n v="6"/>
    <n v="162000"/>
    <n v="2.9"/>
    <n v="9"/>
    <x v="0"/>
  </r>
  <r>
    <s v="MFS-52620"/>
    <s v="Chukwudi Nwosu"/>
    <x v="0"/>
    <x v="2"/>
    <x v="0"/>
    <s v="Mid-level"/>
    <x v="2"/>
    <s v="31-40"/>
    <x v="1"/>
    <s v="22/09/2019"/>
    <s v="29/03/2020"/>
    <n v="6"/>
    <n v="244000"/>
    <n v="2.4"/>
    <n v="7"/>
    <x v="2"/>
  </r>
  <r>
    <s v="MFS-38204"/>
    <s v="Ezinne Coker"/>
    <x v="1"/>
    <x v="2"/>
    <x v="0"/>
    <s v="Senior"/>
    <x v="0"/>
    <s v="22-30"/>
    <x v="0"/>
    <s v="17/06/2023"/>
    <s v="28/10/2021"/>
    <n v="2"/>
    <n v="430000"/>
    <n v="2.7"/>
    <n v="24"/>
    <x v="0"/>
  </r>
  <r>
    <s v="MFS-46789"/>
    <s v="Uche Afolabi"/>
    <x v="0"/>
    <x v="2"/>
    <x v="0"/>
    <s v="Junior"/>
    <x v="1"/>
    <s v="41-50"/>
    <x v="0"/>
    <s v="12/08/2022"/>
    <s v="28/10/2021"/>
    <n v="3"/>
    <n v="118000"/>
    <n v="3.8"/>
    <n v="20"/>
    <x v="0"/>
  </r>
  <r>
    <s v="MFS-52947"/>
    <s v="Eze Lawal"/>
    <x v="0"/>
    <x v="0"/>
    <x v="2"/>
    <s v="Manager"/>
    <x v="3"/>
    <s v="31-40"/>
    <x v="0"/>
    <s v="08/03/2023"/>
    <s v="28/10/2021"/>
    <n v="3"/>
    <n v="941000"/>
    <n v="3.8"/>
    <n v="11"/>
    <x v="0"/>
  </r>
  <r>
    <s v="MFS-12416"/>
    <s v="Yemi Lawal"/>
    <x v="1"/>
    <x v="0"/>
    <x v="1"/>
    <s v="Mid-level"/>
    <x v="3"/>
    <s v="31-40"/>
    <x v="0"/>
    <s v="11/07/2020"/>
    <s v="28/10/2021"/>
    <n v="5"/>
    <n v="225000"/>
    <n v="3.5"/>
    <n v="3"/>
    <x v="2"/>
  </r>
  <r>
    <s v="MFS-72345"/>
    <s v="Eze Okafor"/>
    <x v="0"/>
    <x v="0"/>
    <x v="0"/>
    <s v="Senior"/>
    <x v="0"/>
    <s v="41-50"/>
    <x v="1"/>
    <s v="16/05/2022"/>
    <s v="07/01/2022"/>
    <n v="3"/>
    <n v="562000"/>
    <n v="3.2"/>
    <n v="0"/>
    <x v="0"/>
  </r>
  <r>
    <s v="MFS-15902"/>
    <s v="Kemi Nduka"/>
    <x v="1"/>
    <x v="4"/>
    <x v="0"/>
    <s v="Junior"/>
    <x v="0"/>
    <s v="31-40"/>
    <x v="1"/>
    <s v="29/01/2019"/>
    <s v="07/01/2022"/>
    <n v="7"/>
    <n v="113000"/>
    <n v="1.9"/>
    <n v="24"/>
    <x v="1"/>
  </r>
  <r>
    <s v="MFS-56076"/>
    <s v="Bello Aliyu"/>
    <x v="0"/>
    <x v="4"/>
    <x v="0"/>
    <s v="Mid-level"/>
    <x v="2"/>
    <s v="31-40"/>
    <x v="2"/>
    <s v="31/10/2021"/>
    <s v="26/05/2023"/>
    <n v="4"/>
    <n v="277000"/>
    <n v="2.2999999999999998"/>
    <n v="0"/>
    <x v="1"/>
  </r>
  <r>
    <s v="MFS-28608"/>
    <s v="Laraba Adesanya"/>
    <x v="1"/>
    <x v="2"/>
    <x v="0"/>
    <s v="Junior"/>
    <x v="0"/>
    <s v="51-60"/>
    <x v="0"/>
    <s v="18/05/2022"/>
    <s v="12/11/2024"/>
    <n v="3"/>
    <n v="116000"/>
    <n v="2.2000000000000002"/>
    <n v="1"/>
    <x v="0"/>
  </r>
  <r>
    <s v="MFS-84163"/>
    <s v="Rotimi Adebayo"/>
    <x v="0"/>
    <x v="2"/>
    <x v="0"/>
    <s v="Senior"/>
    <x v="0"/>
    <s v="22-30"/>
    <x v="0"/>
    <s v="25/08/2022"/>
    <s v="12/11/2024"/>
    <n v="3"/>
    <n v="421000"/>
    <n v="3.7"/>
    <n v="4"/>
    <x v="0"/>
  </r>
  <r>
    <s v="MFS-77700"/>
    <s v="Musa Ihejirika"/>
    <x v="0"/>
    <x v="1"/>
    <x v="0"/>
    <s v="Junior"/>
    <x v="2"/>
    <s v="22-30"/>
    <x v="0"/>
    <s v="10/02/2019"/>
    <s v="12/11/2024"/>
    <n v="7"/>
    <n v="111000"/>
    <n v="2.2000000000000002"/>
    <n v="6"/>
    <x v="0"/>
  </r>
  <r>
    <s v="MFS-51688"/>
    <s v="Abubakar Nwosu"/>
    <x v="0"/>
    <x v="2"/>
    <x v="1"/>
    <s v="Senior"/>
    <x v="0"/>
    <s v="41-50"/>
    <x v="0"/>
    <s v="03/07/2023"/>
    <s v="12/11/2024"/>
    <n v="2"/>
    <n v="540000"/>
    <n v="4.4000000000000004"/>
    <n v="10"/>
    <x v="1"/>
  </r>
  <r>
    <s v="MFS-13581"/>
    <s v="Haruna Adebayo"/>
    <x v="0"/>
    <x v="0"/>
    <x v="0"/>
    <s v="Senior"/>
    <x v="0"/>
    <s v="22-30"/>
    <x v="1"/>
    <s v="20/07/2021"/>
    <s v="17/07/2023"/>
    <n v="4"/>
    <n v="512000"/>
    <n v="3.8"/>
    <n v="5"/>
    <x v="0"/>
  </r>
  <r>
    <s v="MFS-84899"/>
    <s v="Hauwa Omotayo"/>
    <x v="1"/>
    <x v="3"/>
    <x v="0"/>
    <s v="Mid-level"/>
    <x v="0"/>
    <s v="41-50"/>
    <x v="2"/>
    <s v="10/02/2020"/>
    <s v="17/07/2023"/>
    <n v="6"/>
    <n v="263000"/>
    <n v="4"/>
    <n v="9"/>
    <x v="3"/>
  </r>
  <r>
    <s v="MFS-28830"/>
    <s v="Chinedu Abdullahi"/>
    <x v="0"/>
    <x v="3"/>
    <x v="0"/>
    <s v="Senior"/>
    <x v="0"/>
    <s v="22-30"/>
    <x v="0"/>
    <s v="23/02/2020"/>
    <s v="02/10/2022"/>
    <n v="6"/>
    <n v="352000"/>
    <n v="4.8"/>
    <n v="0"/>
    <x v="0"/>
  </r>
  <r>
    <s v="MFS-91631"/>
    <s v="Shade Taiwo"/>
    <x v="1"/>
    <x v="4"/>
    <x v="0"/>
    <s v="Mid-level"/>
    <x v="2"/>
    <s v="41-50"/>
    <x v="0"/>
    <s v="26/04/2023"/>
    <s v="02/10/2022"/>
    <n v="2"/>
    <n v="348000"/>
    <n v="3"/>
    <n v="35"/>
    <x v="0"/>
  </r>
  <r>
    <s v="MFS-57107"/>
    <s v="Nnamdi Suleiman"/>
    <x v="0"/>
    <x v="1"/>
    <x v="1"/>
    <s v="Senior"/>
    <x v="1"/>
    <s v="31-40"/>
    <x v="1"/>
    <s v="01/08/2023"/>
    <s v="02/10/2022"/>
    <n v="2"/>
    <n v="556000"/>
    <n v="3.1"/>
    <n v="14"/>
    <x v="0"/>
  </r>
  <r>
    <s v="MFS-31214"/>
    <s v="Danladi Afolabi"/>
    <x v="0"/>
    <x v="0"/>
    <x v="0"/>
    <s v="Mid-level"/>
    <x v="2"/>
    <s v="41-50"/>
    <x v="1"/>
    <s v="24/02/2019"/>
    <s v="02/10/2022"/>
    <n v="7"/>
    <n v="216000"/>
    <n v="3.2"/>
    <n v="6"/>
    <x v="1"/>
  </r>
  <r>
    <s v="MFS-96432"/>
    <s v="Obiora Taiwo"/>
    <x v="0"/>
    <x v="0"/>
    <x v="0"/>
    <s v="Mid-level"/>
    <x v="0"/>
    <s v="51-60"/>
    <x v="2"/>
    <s v="14/08/2020"/>
    <s v="25/05/2023"/>
    <n v="5"/>
    <n v="325000"/>
    <n v="2"/>
    <n v="7"/>
    <x v="0"/>
  </r>
  <r>
    <s v="MFS-77178"/>
    <s v="Ogechi Buhari"/>
    <x v="1"/>
    <x v="3"/>
    <x v="0"/>
    <s v="Mid-level"/>
    <x v="0"/>
    <s v="31-40"/>
    <x v="0"/>
    <s v="27/05/2023"/>
    <s v="25/05/2023"/>
    <n v="2"/>
    <n v="255000"/>
    <n v="3.8"/>
    <n v="2"/>
    <x v="0"/>
  </r>
  <r>
    <s v="MFS-92784"/>
    <s v="Tosin Coker"/>
    <x v="1"/>
    <x v="3"/>
    <x v="0"/>
    <s v="Senior"/>
    <x v="0"/>
    <s v="41-50"/>
    <x v="0"/>
    <s v="18/08/2022"/>
    <s v="25/05/2023"/>
    <n v="3"/>
    <n v="547000"/>
    <n v="3.6"/>
    <n v="10"/>
    <x v="1"/>
  </r>
  <r>
    <s v="MFS-52000"/>
    <s v="Jummai Abdullahi"/>
    <x v="1"/>
    <x v="1"/>
    <x v="0"/>
    <s v="Mid-level"/>
    <x v="0"/>
    <s v="31-40"/>
    <x v="0"/>
    <s v="16/08/2023"/>
    <s v="19/07/2024"/>
    <n v="2"/>
    <n v="262000"/>
    <n v="2.2999999999999998"/>
    <n v="7"/>
    <x v="0"/>
  </r>
  <r>
    <s v="MFS-34149"/>
    <s v="Asabe Okafor"/>
    <x v="1"/>
    <x v="4"/>
    <x v="0"/>
    <s v="Junior"/>
    <x v="2"/>
    <s v="22-30"/>
    <x v="0"/>
    <s v="17/04/2023"/>
    <s v="19/07/2024"/>
    <n v="2"/>
    <n v="119000"/>
    <n v="3.5"/>
    <n v="4"/>
    <x v="0"/>
  </r>
  <r>
    <s v="MFS-90542"/>
    <s v="Chinedu Abdullahi"/>
    <x v="0"/>
    <x v="4"/>
    <x v="2"/>
    <s v="Junior"/>
    <x v="0"/>
    <s v="31-40"/>
    <x v="1"/>
    <s v="10/03/2023"/>
    <s v="19/07/2024"/>
    <n v="3"/>
    <n v="112000"/>
    <n v="1.8"/>
    <n v="4"/>
    <x v="1"/>
  </r>
  <r>
    <s v="MFS-75382"/>
    <s v="Zainab Suleiman"/>
    <x v="1"/>
    <x v="0"/>
    <x v="2"/>
    <s v="Senior"/>
    <x v="1"/>
    <s v="31-40"/>
    <x v="1"/>
    <s v="19/09/2021"/>
    <s v="05/10/2024"/>
    <n v="4"/>
    <n v="591000"/>
    <n v="4.0999999999999996"/>
    <n v="1"/>
    <x v="1"/>
  </r>
  <r>
    <s v="MFS-83705"/>
    <s v="Rabiu Nnamdi"/>
    <x v="0"/>
    <x v="4"/>
    <x v="0"/>
    <s v="Junior"/>
    <x v="3"/>
    <s v="31-40"/>
    <x v="2"/>
    <s v="16/08/2023"/>
    <s v="29/10/2021"/>
    <n v="2"/>
    <n v="106000"/>
    <n v="2.5"/>
    <n v="12"/>
    <x v="0"/>
  </r>
  <r>
    <s v="MFS-54448"/>
    <s v="Kabiru Omotayo"/>
    <x v="0"/>
    <x v="0"/>
    <x v="1"/>
    <s v="Junior"/>
    <x v="0"/>
    <s v="41-50"/>
    <x v="2"/>
    <s v="07/07/2020"/>
    <s v="29/10/2021"/>
    <n v="5"/>
    <n v="181000"/>
    <n v="2.1"/>
    <n v="4"/>
    <x v="2"/>
  </r>
  <r>
    <s v="MFS-14130"/>
    <s v="Tosin Okafor"/>
    <x v="1"/>
    <x v="3"/>
    <x v="0"/>
    <s v="Senior"/>
    <x v="0"/>
    <s v="31-40"/>
    <x v="2"/>
    <s v="17/10/2019"/>
    <s v="20/08/2021"/>
    <n v="6"/>
    <n v="484000"/>
    <n v="2.7"/>
    <n v="9"/>
    <x v="3"/>
  </r>
  <r>
    <s v="MFS-32930"/>
    <s v="Hafsat Amadi"/>
    <x v="1"/>
    <x v="3"/>
    <x v="0"/>
    <s v="Senior"/>
    <x v="1"/>
    <s v="31-40"/>
    <x v="0"/>
    <s v="12/05/2021"/>
    <s v="12/06/2023"/>
    <n v="4"/>
    <n v="408000"/>
    <n v="4.3"/>
    <n v="34"/>
    <x v="3"/>
  </r>
  <r>
    <s v="MFS-69597"/>
    <s v="Rotimi Haruna"/>
    <x v="0"/>
    <x v="3"/>
    <x v="0"/>
    <s v="Senior"/>
    <x v="0"/>
    <s v="31-40"/>
    <x v="2"/>
    <s v="11/07/2023"/>
    <s v="05/03/2023"/>
    <n v="2"/>
    <n v="551000"/>
    <n v="3.4"/>
    <n v="7"/>
    <x v="0"/>
  </r>
  <r>
    <s v="MFS-84068"/>
    <s v="Ebuka Afolabi"/>
    <x v="0"/>
    <x v="3"/>
    <x v="0"/>
    <s v="Director"/>
    <x v="1"/>
    <s v="22-30"/>
    <x v="1"/>
    <s v="03/06/2019"/>
    <s v="05/03/2023"/>
    <n v="6"/>
    <n v="1478000"/>
    <n v="3.1"/>
    <n v="0"/>
    <x v="0"/>
  </r>
  <r>
    <s v="MFS-97723"/>
    <s v="Adeola Abdullahi"/>
    <x v="1"/>
    <x v="4"/>
    <x v="0"/>
    <s v="Mid-level"/>
    <x v="0"/>
    <s v="31-40"/>
    <x v="1"/>
    <s v="22/11/2023"/>
    <s v="05/03/2023"/>
    <n v="2"/>
    <n v="197000"/>
    <n v="2.8"/>
    <n v="7"/>
    <x v="0"/>
  </r>
  <r>
    <s v="MFS-88008"/>
    <s v="Chioma Okafor"/>
    <x v="1"/>
    <x v="0"/>
    <x v="0"/>
    <s v="Junior"/>
    <x v="1"/>
    <s v="22-30"/>
    <x v="2"/>
    <s v="12/07/2021"/>
    <s v="05/03/2023"/>
    <n v="4"/>
    <n v="118000"/>
    <n v="3.8"/>
    <n v="15"/>
    <x v="1"/>
  </r>
  <r>
    <s v="MFS-54150"/>
    <s v="Obinna Uba"/>
    <x v="0"/>
    <x v="0"/>
    <x v="2"/>
    <s v="Manager"/>
    <x v="1"/>
    <s v="31-40"/>
    <x v="0"/>
    <s v="16/05/2020"/>
    <s v="31/08/2022"/>
    <n v="5"/>
    <n v="678000"/>
    <n v="4.2"/>
    <n v="9"/>
    <x v="0"/>
  </r>
  <r>
    <s v="MFS-54355"/>
    <s v="Ngozi Nwosu"/>
    <x v="1"/>
    <x v="4"/>
    <x v="2"/>
    <s v="Junior"/>
    <x v="3"/>
    <s v="31-40"/>
    <x v="0"/>
    <s v="10/09/2022"/>
    <s v="31/08/2022"/>
    <n v="3"/>
    <n v="147000"/>
    <n v="2.8"/>
    <n v="0"/>
    <x v="0"/>
  </r>
  <r>
    <s v="MFS-88993"/>
    <s v="Chinwe Danladi"/>
    <x v="1"/>
    <x v="3"/>
    <x v="0"/>
    <s v="Director"/>
    <x v="2"/>
    <s v="51-60"/>
    <x v="1"/>
    <s v="06/04/2020"/>
    <s v="31/08/2022"/>
    <n v="5"/>
    <n v="1142000"/>
    <n v="4.0999999999999996"/>
    <n v="13"/>
    <x v="0"/>
  </r>
  <r>
    <s v="MFS-91075"/>
    <s v="Shehu Ihejirika"/>
    <x v="0"/>
    <x v="2"/>
    <x v="0"/>
    <s v="Mid-level"/>
    <x v="2"/>
    <s v="41-50"/>
    <x v="3"/>
    <s v="22/08/2021"/>
    <s v="31/08/2022"/>
    <n v="4"/>
    <n v="286000"/>
    <n v="4.8"/>
    <n v="0"/>
    <x v="1"/>
  </r>
  <r>
    <s v="MFS-42814"/>
    <s v="Ronke Taiwo"/>
    <x v="1"/>
    <x v="4"/>
    <x v="0"/>
    <s v="Junior"/>
    <x v="0"/>
    <s v="22-30"/>
    <x v="4"/>
    <s v="03/06/2019"/>
    <s v="12/02/2024"/>
    <n v="6"/>
    <n v="103000"/>
    <n v="3.2"/>
    <n v="1"/>
    <x v="1"/>
  </r>
  <r>
    <s v="MFS-52208"/>
    <s v="Ibrahim Obi"/>
    <x v="0"/>
    <x v="3"/>
    <x v="2"/>
    <s v="Junior"/>
    <x v="0"/>
    <s v="41-50"/>
    <x v="1"/>
    <s v="22/07/2019"/>
    <s v="12/07/2024"/>
    <n v="6"/>
    <n v="88000"/>
    <n v="3.9"/>
    <n v="7"/>
    <x v="0"/>
  </r>
  <r>
    <s v="MFS-50593"/>
    <s v="Zainab Buhari"/>
    <x v="1"/>
    <x v="0"/>
    <x v="0"/>
    <s v="Senior"/>
    <x v="1"/>
    <s v="31-40"/>
    <x v="2"/>
    <s v="09/04/2023"/>
    <s v="12/07/2024"/>
    <n v="2"/>
    <n v="539000"/>
    <n v="4.5999999999999996"/>
    <n v="12"/>
    <x v="0"/>
  </r>
  <r>
    <s v="MFS-92779"/>
    <s v="Amaka Haruna"/>
    <x v="1"/>
    <x v="4"/>
    <x v="2"/>
    <s v="Mid-level"/>
    <x v="1"/>
    <s v="31-40"/>
    <x v="0"/>
    <s v="16/07/2019"/>
    <s v="12/07/2024"/>
    <n v="6"/>
    <n v="323000"/>
    <n v="3.4"/>
    <n v="4"/>
    <x v="1"/>
  </r>
  <r>
    <s v="MFS-71735"/>
    <s v="Hauwa Nnamdi"/>
    <x v="1"/>
    <x v="4"/>
    <x v="0"/>
    <s v="Manager"/>
    <x v="0"/>
    <s v="41-50"/>
    <x v="2"/>
    <s v="04/02/2019"/>
    <s v="14/02/2023"/>
    <n v="7"/>
    <n v="758000"/>
    <n v="4.8"/>
    <n v="2"/>
    <x v="0"/>
  </r>
  <r>
    <s v="MFS-94566"/>
    <s v="Tobi Lawal"/>
    <x v="0"/>
    <x v="3"/>
    <x v="0"/>
    <s v="Senior"/>
    <x v="0"/>
    <s v="31-40"/>
    <x v="0"/>
    <s v="12/06/2021"/>
    <s v="14/02/2023"/>
    <n v="4"/>
    <n v="453000"/>
    <n v="3"/>
    <n v="5"/>
    <x v="0"/>
  </r>
  <r>
    <s v="MFS-18527"/>
    <s v="Gbenga Abdullahi"/>
    <x v="0"/>
    <x v="1"/>
    <x v="0"/>
    <s v="Senior"/>
    <x v="2"/>
    <s v="31-40"/>
    <x v="0"/>
    <s v="20/01/2021"/>
    <s v="14/02/2023"/>
    <n v="5"/>
    <n v="350000"/>
    <n v="5"/>
    <n v="10"/>
    <x v="0"/>
  </r>
  <r>
    <s v="MFS-72956"/>
    <s v="Yetunde Oyelaran"/>
    <x v="1"/>
    <x v="4"/>
    <x v="2"/>
    <s v="Junior"/>
    <x v="0"/>
    <s v="22-30"/>
    <x v="0"/>
    <s v="23/12/2019"/>
    <s v="14/02/2023"/>
    <n v="6"/>
    <n v="130000"/>
    <n v="2.8"/>
    <n v="13"/>
    <x v="1"/>
  </r>
  <r>
    <s v="MFS-50568"/>
    <s v="Laraba Musa"/>
    <x v="1"/>
    <x v="0"/>
    <x v="2"/>
    <s v="Junior"/>
    <x v="0"/>
    <s v="51-60"/>
    <x v="0"/>
    <s v="01/03/2021"/>
    <s v="12/12/2024"/>
    <n v="5"/>
    <n v="136000"/>
    <n v="4.5"/>
    <n v="1"/>
    <x v="0"/>
  </r>
  <r>
    <s v="MFS-55786"/>
    <s v="Chibuike Amadi"/>
    <x v="0"/>
    <x v="1"/>
    <x v="0"/>
    <s v="Junior"/>
    <x v="1"/>
    <s v="31-40"/>
    <x v="0"/>
    <s v="30/05/2022"/>
    <s v="12/12/2024"/>
    <n v="3"/>
    <n v="141000"/>
    <n v="4.5"/>
    <n v="9"/>
    <x v="0"/>
  </r>
  <r>
    <s v="MFS-87060"/>
    <s v="Folake Coker"/>
    <x v="1"/>
    <x v="0"/>
    <x v="0"/>
    <s v="Mid-level"/>
    <x v="2"/>
    <s v="41-50"/>
    <x v="2"/>
    <s v="19/12/2020"/>
    <s v="12/12/2024"/>
    <n v="5"/>
    <n v="321000"/>
    <n v="2.5"/>
    <n v="4"/>
    <x v="0"/>
  </r>
  <r>
    <s v="MFS-32022"/>
    <s v="Adeola Nnamdi"/>
    <x v="0"/>
    <x v="3"/>
    <x v="0"/>
    <s v="Junior"/>
    <x v="2"/>
    <s v="41-50"/>
    <x v="0"/>
    <s v="27/11/2023"/>
    <s v="12/12/2024"/>
    <n v="2"/>
    <n v="150000"/>
    <n v="4.5"/>
    <n v="3"/>
    <x v="0"/>
  </r>
  <r>
    <s v="MFS-30926"/>
    <s v="Tunde Nnamdi"/>
    <x v="0"/>
    <x v="4"/>
    <x v="0"/>
    <s v="Mid-level"/>
    <x v="2"/>
    <s v="22-30"/>
    <x v="3"/>
    <s v="27/10/2023"/>
    <s v="12/12/2024"/>
    <n v="2"/>
    <n v="342000"/>
    <n v="3.7"/>
    <n v="18"/>
    <x v="0"/>
  </r>
  <r>
    <s v="MFS-85820"/>
    <s v="Wale Eze"/>
    <x v="0"/>
    <x v="1"/>
    <x v="0"/>
    <s v="Mid-level"/>
    <x v="0"/>
    <s v="22-30"/>
    <x v="0"/>
    <s v="11/06/2020"/>
    <s v="12/12/2024"/>
    <n v="5"/>
    <n v="194000"/>
    <n v="2.8"/>
    <n v="8"/>
    <x v="0"/>
  </r>
  <r>
    <s v="MFS-65939"/>
    <s v="Femi Coker"/>
    <x v="0"/>
    <x v="0"/>
    <x v="2"/>
    <s v="Senior"/>
    <x v="1"/>
    <s v="31-40"/>
    <x v="0"/>
    <s v="22/07/2021"/>
    <s v="12/12/2024"/>
    <n v="4"/>
    <n v="483000"/>
    <n v="3.9"/>
    <n v="35"/>
    <x v="1"/>
  </r>
  <r>
    <s v="MFS-17680"/>
    <s v="Femi Oyelaran"/>
    <x v="0"/>
    <x v="2"/>
    <x v="0"/>
    <s v="Mid-level"/>
    <x v="1"/>
    <s v="31-40"/>
    <x v="0"/>
    <s v="16/06/2019"/>
    <s v="11/06/2024"/>
    <n v="6"/>
    <n v="212000"/>
    <n v="2.2999999999999998"/>
    <n v="12"/>
    <x v="0"/>
  </r>
  <r>
    <s v="MFS-87857"/>
    <s v="Rabiu Taiwo"/>
    <x v="0"/>
    <x v="2"/>
    <x v="2"/>
    <s v="Junior"/>
    <x v="2"/>
    <s v="22-30"/>
    <x v="3"/>
    <s v="07/09/2023"/>
    <s v="11/06/2024"/>
    <n v="2"/>
    <n v="107000"/>
    <n v="3.5"/>
    <n v="12"/>
    <x v="0"/>
  </r>
  <r>
    <s v="MFS-33616"/>
    <s v="Yakubu Oyelaran"/>
    <x v="0"/>
    <x v="4"/>
    <x v="0"/>
    <s v="Senior"/>
    <x v="0"/>
    <s v="31-40"/>
    <x v="3"/>
    <s v="02/05/2019"/>
    <s v="11/06/2024"/>
    <n v="6"/>
    <n v="381000"/>
    <n v="3.3"/>
    <n v="6"/>
    <x v="1"/>
  </r>
  <r>
    <s v="MFS-77576"/>
    <s v="Kunle Ogbonna"/>
    <x v="0"/>
    <x v="1"/>
    <x v="1"/>
    <s v="Mid-level"/>
    <x v="0"/>
    <s v="31-40"/>
    <x v="4"/>
    <s v="09/06/2020"/>
    <s v="15/12/2020"/>
    <n v="5"/>
    <n v="194000"/>
    <n v="3.2"/>
    <n v="13"/>
    <x v="1"/>
  </r>
  <r>
    <s v="MFS-24851"/>
    <s v="Musa Obaseki"/>
    <x v="0"/>
    <x v="4"/>
    <x v="0"/>
    <s v="Mid-level"/>
    <x v="0"/>
    <s v="31-40"/>
    <x v="2"/>
    <s v="19/05/2023"/>
    <s v="12/07/2024"/>
    <n v="2"/>
    <n v="223000"/>
    <n v="2.5"/>
    <n v="3"/>
    <x v="0"/>
  </r>
  <r>
    <s v="MFS-49305"/>
    <s v="Wale Chukwu"/>
    <x v="0"/>
    <x v="3"/>
    <x v="1"/>
    <s v="Junior"/>
    <x v="1"/>
    <s v="31-40"/>
    <x v="3"/>
    <s v="18/05/2020"/>
    <s v="12/07/2024"/>
    <n v="5"/>
    <n v="173000"/>
    <n v="2.2999999999999998"/>
    <n v="2"/>
    <x v="0"/>
  </r>
  <r>
    <s v="MFS-85060"/>
    <s v="Maryam Okafor"/>
    <x v="1"/>
    <x v="3"/>
    <x v="0"/>
    <s v="Junior"/>
    <x v="1"/>
    <s v="22-30"/>
    <x v="1"/>
    <s v="16/02/2019"/>
    <s v="12/07/2024"/>
    <n v="7"/>
    <n v="159000"/>
    <n v="3.9"/>
    <n v="14"/>
    <x v="0"/>
  </r>
  <r>
    <s v="MFS-23135"/>
    <s v="Jummai Suleiman"/>
    <x v="1"/>
    <x v="4"/>
    <x v="0"/>
    <s v="Junior"/>
    <x v="0"/>
    <s v="41-50"/>
    <x v="1"/>
    <s v="19/02/2023"/>
    <s v="12/07/2024"/>
    <n v="3"/>
    <n v="140000"/>
    <n v="3.2"/>
    <n v="0"/>
    <x v="3"/>
  </r>
  <r>
    <s v="MFS-67971"/>
    <s v="Shade Suleiman"/>
    <x v="1"/>
    <x v="4"/>
    <x v="0"/>
    <s v="Manager"/>
    <x v="1"/>
    <s v="22-30"/>
    <x v="4"/>
    <s v="22/10/2020"/>
    <s v="03/03/2023"/>
    <n v="5"/>
    <n v="885000"/>
    <n v="4.8"/>
    <n v="29"/>
    <x v="2"/>
  </r>
  <r>
    <s v="MFS-35803"/>
    <s v="Tunde Danladi"/>
    <x v="0"/>
    <x v="2"/>
    <x v="2"/>
    <s v="Mid-level"/>
    <x v="1"/>
    <s v="31-40"/>
    <x v="0"/>
    <s v="04/11/2019"/>
    <s v="23/11/2023"/>
    <n v="6"/>
    <n v="347000"/>
    <n v="4.2"/>
    <n v="8"/>
    <x v="0"/>
  </r>
  <r>
    <s v="MFS-56818"/>
    <s v="Rotimi Obaseki"/>
    <x v="0"/>
    <x v="4"/>
    <x v="0"/>
    <s v="Mid-level"/>
    <x v="0"/>
    <s v="22-30"/>
    <x v="2"/>
    <s v="10/05/2020"/>
    <s v="23/11/2023"/>
    <n v="5"/>
    <n v="270000"/>
    <n v="2.8"/>
    <n v="13"/>
    <x v="0"/>
  </r>
  <r>
    <s v="MFS-72343"/>
    <s v="Adeola Bello"/>
    <x v="1"/>
    <x v="4"/>
    <x v="0"/>
    <s v="Mid-level"/>
    <x v="0"/>
    <s v="22-30"/>
    <x v="0"/>
    <s v="20/11/2022"/>
    <s v="23/11/2023"/>
    <n v="3"/>
    <n v="280000"/>
    <n v="4.5999999999999996"/>
    <n v="5"/>
    <x v="0"/>
  </r>
  <r>
    <s v="MFS-32840"/>
    <s v="Chinyere Adeyemi"/>
    <x v="1"/>
    <x v="4"/>
    <x v="1"/>
    <s v="Senior"/>
    <x v="1"/>
    <s v="41-50"/>
    <x v="0"/>
    <s v="07/11/2021"/>
    <s v="23/11/2023"/>
    <n v="4"/>
    <n v="570000"/>
    <n v="4.8"/>
    <n v="13"/>
    <x v="3"/>
  </r>
  <r>
    <s v="MFS-89891"/>
    <s v="Shehu Chukwu"/>
    <x v="0"/>
    <x v="3"/>
    <x v="0"/>
    <s v="Mid-level"/>
    <x v="0"/>
    <s v="22-30"/>
    <x v="1"/>
    <s v="28/10/2020"/>
    <s v="21/01/2025"/>
    <n v="5"/>
    <n v="343000"/>
    <n v="4.9000000000000004"/>
    <n v="12"/>
    <x v="0"/>
  </r>
  <r>
    <s v="MFS-30390"/>
    <s v="Chidi Nduka"/>
    <x v="0"/>
    <x v="4"/>
    <x v="2"/>
    <s v="Junior"/>
    <x v="2"/>
    <s v="31-40"/>
    <x v="0"/>
    <s v="12/11/2023"/>
    <s v="21/01/2025"/>
    <n v="2"/>
    <n v="108000"/>
    <n v="2.6"/>
    <n v="4"/>
    <x v="1"/>
  </r>
  <r>
    <s v="MFS-17822"/>
    <s v="Chidi Nduka"/>
    <x v="0"/>
    <x v="4"/>
    <x v="2"/>
    <s v="Mid-level"/>
    <x v="0"/>
    <s v="22-30"/>
    <x v="0"/>
    <s v="02/03/2021"/>
    <s v="10/06/2022"/>
    <n v="5"/>
    <n v="189000"/>
    <n v="2.9"/>
    <n v="8"/>
    <x v="0"/>
  </r>
  <r>
    <s v="MFS-87576"/>
    <s v="Chidi Abdullahi"/>
    <x v="0"/>
    <x v="4"/>
    <x v="0"/>
    <s v="Senior"/>
    <x v="0"/>
    <s v="41-50"/>
    <x v="0"/>
    <s v="05/07/2023"/>
    <s v="10/06/2022"/>
    <n v="2"/>
    <n v="425000"/>
    <n v="4"/>
    <n v="6"/>
    <x v="0"/>
  </r>
  <r>
    <s v="MFS-68065"/>
    <s v="Yetunde Ogbonna"/>
    <x v="1"/>
    <x v="1"/>
    <x v="1"/>
    <s v="Senior"/>
    <x v="0"/>
    <s v="22-30"/>
    <x v="1"/>
    <s v="17/06/2022"/>
    <s v="10/06/2022"/>
    <n v="3"/>
    <n v="378000"/>
    <n v="2.7"/>
    <n v="10"/>
    <x v="0"/>
  </r>
  <r>
    <s v="MFS-64876"/>
    <s v="Uche Coker"/>
    <x v="0"/>
    <x v="1"/>
    <x v="2"/>
    <s v="Mid-level"/>
    <x v="0"/>
    <s v="22-30"/>
    <x v="1"/>
    <s v="16/02/2021"/>
    <s v="10/06/2022"/>
    <n v="5"/>
    <n v="180000"/>
    <n v="3.9"/>
    <n v="0"/>
    <x v="1"/>
  </r>
  <r>
    <s v="MFS-51007"/>
    <s v="Chukwuemeka Adesanya"/>
    <x v="0"/>
    <x v="4"/>
    <x v="0"/>
    <s v="Mid-level"/>
    <x v="1"/>
    <s v="41-50"/>
    <x v="1"/>
    <s v="13/02/2022"/>
    <s v="16/11/2023"/>
    <n v="4"/>
    <n v="308000"/>
    <n v="4.5"/>
    <n v="5"/>
    <x v="1"/>
  </r>
  <r>
    <s v="MFS-66068"/>
    <s v="Nnamdi Okafor"/>
    <x v="0"/>
    <x v="1"/>
    <x v="0"/>
    <s v="Manager"/>
    <x v="2"/>
    <s v="22-30"/>
    <x v="0"/>
    <s v="23/07/2022"/>
    <s v="18/11/2024"/>
    <n v="3"/>
    <n v="600000"/>
    <n v="4.9000000000000004"/>
    <n v="0"/>
    <x v="0"/>
  </r>
  <r>
    <s v="MFS-35391"/>
    <s v="Chukwudi Aliyu"/>
    <x v="0"/>
    <x v="3"/>
    <x v="0"/>
    <s v="Junior"/>
    <x v="1"/>
    <s v="31-40"/>
    <x v="2"/>
    <s v="02/08/2023"/>
    <s v="18/11/2024"/>
    <n v="2"/>
    <n v="127000"/>
    <n v="2.2999999999999998"/>
    <n v="5"/>
    <x v="1"/>
  </r>
  <r>
    <s v="MFS-51524"/>
    <s v="Femi Okeke"/>
    <x v="0"/>
    <x v="1"/>
    <x v="0"/>
    <s v="Mid-level"/>
    <x v="1"/>
    <s v="41-50"/>
    <x v="0"/>
    <s v="27/10/2021"/>
    <s v="03/12/2024"/>
    <n v="4"/>
    <n v="218000"/>
    <n v="2.1"/>
    <n v="8"/>
    <x v="1"/>
  </r>
  <r>
    <s v="MFS-53778"/>
    <s v="Yemi Garba"/>
    <x v="1"/>
    <x v="2"/>
    <x v="0"/>
    <s v="Manager"/>
    <x v="3"/>
    <s v="31-40"/>
    <x v="2"/>
    <s v="08/11/2019"/>
    <s v="10/01/2023"/>
    <n v="6"/>
    <n v="703000"/>
    <n v="4.9000000000000004"/>
    <n v="6"/>
    <x v="3"/>
  </r>
  <r>
    <s v="MFS-37745"/>
    <s v="Ikenna Musa"/>
    <x v="0"/>
    <x v="2"/>
    <x v="0"/>
    <s v="Junior"/>
    <x v="2"/>
    <s v="22-30"/>
    <x v="0"/>
    <s v="22/10/2023"/>
    <s v="17/03/2025"/>
    <n v="2"/>
    <n v="141000"/>
    <n v="4.7"/>
    <n v="0"/>
    <x v="0"/>
  </r>
  <r>
    <s v="MFS-36589"/>
    <s v="Ronke Suleiman"/>
    <x v="1"/>
    <x v="3"/>
    <x v="2"/>
    <s v="Senior"/>
    <x v="0"/>
    <s v="22-30"/>
    <x v="3"/>
    <s v="26/07/2022"/>
    <s v="17/03/2025"/>
    <n v="3"/>
    <n v="576000"/>
    <n v="4.5"/>
    <n v="3"/>
    <x v="1"/>
  </r>
  <r>
    <s v="MFS-12718"/>
    <s v="Nana Garba"/>
    <x v="1"/>
    <x v="2"/>
    <x v="0"/>
    <s v="Junior"/>
    <x v="2"/>
    <s v="41-50"/>
    <x v="4"/>
    <s v="20/09/2023"/>
    <s v="25/01/2025"/>
    <n v="2"/>
    <n v="165000"/>
    <n v="2.8"/>
    <n v="5"/>
    <x v="0"/>
  </r>
  <r>
    <s v="MFS-25036"/>
    <s v="Amaka Uba"/>
    <x v="1"/>
    <x v="2"/>
    <x v="0"/>
    <s v="Manager"/>
    <x v="2"/>
    <s v="51-60"/>
    <x v="0"/>
    <s v="19/06/2023"/>
    <s v="25/01/2025"/>
    <n v="2"/>
    <n v="931000"/>
    <n v="3.8"/>
    <n v="4"/>
    <x v="0"/>
  </r>
  <r>
    <s v="MFS-87244"/>
    <s v="Ramatu Taiwo"/>
    <x v="1"/>
    <x v="3"/>
    <x v="0"/>
    <s v="Senior"/>
    <x v="2"/>
    <s v="22-30"/>
    <x v="0"/>
    <s v="08/07/2021"/>
    <s v="25/01/2025"/>
    <n v="4"/>
    <n v="571000"/>
    <n v="3"/>
    <n v="17"/>
    <x v="0"/>
  </r>
  <r>
    <s v="MFS-35254"/>
    <s v="Ogechi Adewale"/>
    <x v="1"/>
    <x v="4"/>
    <x v="0"/>
    <s v="Mid-level"/>
    <x v="1"/>
    <s v="22-30"/>
    <x v="0"/>
    <s v="22/12/2023"/>
    <s v="25/01/2025"/>
    <n v="2"/>
    <n v="241000"/>
    <n v="3.3"/>
    <n v="0"/>
    <x v="0"/>
  </r>
  <r>
    <s v="MFS-88629"/>
    <s v="Ugochi Coker"/>
    <x v="1"/>
    <x v="2"/>
    <x v="0"/>
    <s v="Junior"/>
    <x v="0"/>
    <s v="31-40"/>
    <x v="0"/>
    <s v="05/11/2022"/>
    <s v="25/01/2025"/>
    <n v="3"/>
    <n v="96000"/>
    <n v="3.8"/>
    <n v="0"/>
    <x v="0"/>
  </r>
  <r>
    <s v="MFS-87754"/>
    <s v="Yetunde Nwachukwu"/>
    <x v="1"/>
    <x v="2"/>
    <x v="0"/>
    <s v="Senior"/>
    <x v="0"/>
    <s v="22-30"/>
    <x v="0"/>
    <s v="27/05/2023"/>
    <s v="25/01/2025"/>
    <n v="2"/>
    <n v="352000"/>
    <n v="3.6"/>
    <n v="12"/>
    <x v="1"/>
  </r>
  <r>
    <s v="MFS-63810"/>
    <s v="Gbenga Chukwu"/>
    <x v="0"/>
    <x v="4"/>
    <x v="2"/>
    <s v="Mid-level"/>
    <x v="0"/>
    <s v="41-50"/>
    <x v="0"/>
    <s v="24/10/2019"/>
    <s v="16/09/2024"/>
    <n v="6"/>
    <n v="328000"/>
    <n v="4.3"/>
    <n v="14"/>
    <x v="1"/>
  </r>
  <r>
    <s v="MFS-90426"/>
    <s v="Tunde Amadi"/>
    <x v="0"/>
    <x v="1"/>
    <x v="1"/>
    <s v="Junior"/>
    <x v="2"/>
    <s v="41-50"/>
    <x v="1"/>
    <s v="21/07/2023"/>
    <s v="16/03/2024"/>
    <n v="2"/>
    <n v="119000"/>
    <n v="2.4"/>
    <n v="11"/>
    <x v="1"/>
  </r>
  <r>
    <s v="MFS-77035"/>
    <s v="Laraba Ogbonna"/>
    <x v="1"/>
    <x v="3"/>
    <x v="0"/>
    <s v="Junior"/>
    <x v="2"/>
    <s v="41-50"/>
    <x v="1"/>
    <s v="27/01/2022"/>
    <s v="22/08/2020"/>
    <n v="4"/>
    <n v="113000"/>
    <n v="3.1"/>
    <n v="9"/>
    <x v="0"/>
  </r>
  <r>
    <s v="MFS-31960"/>
    <s v="Hauwa Nwosu"/>
    <x v="1"/>
    <x v="3"/>
    <x v="0"/>
    <s v="Mid-level"/>
    <x v="3"/>
    <s v="41-50"/>
    <x v="4"/>
    <s v="05/12/2019"/>
    <s v="22/08/2020"/>
    <n v="6"/>
    <n v="188000"/>
    <n v="3.3"/>
    <n v="1"/>
    <x v="0"/>
  </r>
  <r>
    <s v="MFS-96390"/>
    <s v="Aisha Suleiman"/>
    <x v="1"/>
    <x v="1"/>
    <x v="0"/>
    <s v="Mid-level"/>
    <x v="0"/>
    <s v="51-60"/>
    <x v="2"/>
    <s v="26/03/2019"/>
    <s v="22/08/2020"/>
    <n v="6"/>
    <n v="182000"/>
    <n v="4"/>
    <n v="27"/>
    <x v="1"/>
  </r>
  <r>
    <s v="MFS-96540"/>
    <s v="Hafsat Afolabi"/>
    <x v="1"/>
    <x v="4"/>
    <x v="2"/>
    <s v="Junior"/>
    <x v="1"/>
    <s v="31-40"/>
    <x v="4"/>
    <s v="26/06/2019"/>
    <s v="05/06/2020"/>
    <n v="6"/>
    <n v="153000"/>
    <n v="1.8"/>
    <n v="6"/>
    <x v="1"/>
  </r>
  <r>
    <s v="MFS-76014"/>
    <s v="Maryam Bello"/>
    <x v="1"/>
    <x v="3"/>
    <x v="1"/>
    <s v="Senior"/>
    <x v="1"/>
    <s v="31-40"/>
    <x v="2"/>
    <s v="17/02/2020"/>
    <s v="09/12/2021"/>
    <n v="6"/>
    <n v="519000"/>
    <n v="2.7"/>
    <n v="22"/>
    <x v="2"/>
  </r>
  <r>
    <s v="MFS-98701"/>
    <s v="Uche Bello"/>
    <x v="0"/>
    <x v="2"/>
    <x v="0"/>
    <s v="Junior"/>
    <x v="0"/>
    <s v="31-40"/>
    <x v="2"/>
    <s v="23/01/2023"/>
    <s v="05/03/2025"/>
    <n v="3"/>
    <n v="107000"/>
    <n v="3.7"/>
    <n v="10"/>
    <x v="0"/>
  </r>
  <r>
    <s v="MFS-23931"/>
    <s v="Kabiru Okeke"/>
    <x v="0"/>
    <x v="3"/>
    <x v="2"/>
    <s v="Mid-level"/>
    <x v="0"/>
    <s v="31-40"/>
    <x v="1"/>
    <s v="17/05/2019"/>
    <s v="05/03/2025"/>
    <n v="6"/>
    <n v="224000"/>
    <n v="2.7"/>
    <n v="7"/>
    <x v="0"/>
  </r>
  <r>
    <s v="MFS-13002"/>
    <s v="Hafsat Coker"/>
    <x v="1"/>
    <x v="4"/>
    <x v="0"/>
    <s v="Senior"/>
    <x v="0"/>
    <s v="51-60"/>
    <x v="0"/>
    <s v="10/07/2022"/>
    <s v="05/03/2025"/>
    <n v="3"/>
    <n v="523000"/>
    <n v="4"/>
    <n v="9"/>
    <x v="0"/>
  </r>
  <r>
    <s v="MFS-73681"/>
    <s v="Ronke Taiwo"/>
    <x v="1"/>
    <x v="2"/>
    <x v="2"/>
    <s v="Senior"/>
    <x v="1"/>
    <s v="22-30"/>
    <x v="2"/>
    <s v="27/01/2019"/>
    <s v="05/03/2025"/>
    <n v="7"/>
    <n v="437000"/>
    <n v="2.2000000000000002"/>
    <n v="12"/>
    <x v="2"/>
  </r>
  <r>
    <s v="MFS-28896"/>
    <s v="Ebuka Uba"/>
    <x v="0"/>
    <x v="4"/>
    <x v="0"/>
    <s v="Junior"/>
    <x v="3"/>
    <s v="22-30"/>
    <x v="2"/>
    <s v="12/08/2023"/>
    <s v="15/02/2023"/>
    <n v="2"/>
    <n v="122000"/>
    <n v="2.2000000000000002"/>
    <n v="6"/>
    <x v="0"/>
  </r>
  <r>
    <s v="MFS-49095"/>
    <s v="Ifeoma Abdullahi"/>
    <x v="1"/>
    <x v="2"/>
    <x v="0"/>
    <s v="Mid-level"/>
    <x v="2"/>
    <s v="22-30"/>
    <x v="3"/>
    <s v="31/03/2021"/>
    <s v="15/02/2023"/>
    <n v="4"/>
    <n v="209000"/>
    <n v="4.2"/>
    <n v="7"/>
    <x v="0"/>
  </r>
  <r>
    <s v="MFS-65785"/>
    <s v="Funmilayo Ogbonna"/>
    <x v="1"/>
    <x v="0"/>
    <x v="0"/>
    <s v="Senior"/>
    <x v="1"/>
    <s v="22-30"/>
    <x v="0"/>
    <s v="14/06/2020"/>
    <s v="15/02/2023"/>
    <n v="5"/>
    <n v="469000"/>
    <n v="3.3"/>
    <n v="21"/>
    <x v="1"/>
  </r>
  <r>
    <s v="MFS-40637"/>
    <s v="Kemi Okafor"/>
    <x v="1"/>
    <x v="1"/>
    <x v="0"/>
    <s v="Mid-level"/>
    <x v="3"/>
    <s v="31-40"/>
    <x v="3"/>
    <s v="24/02/2019"/>
    <s v="09/12/2024"/>
    <n v="7"/>
    <n v="318000"/>
    <n v="3.9"/>
    <n v="12"/>
    <x v="0"/>
  </r>
  <r>
    <s v="MFS-93789"/>
    <s v="Lola Okafor"/>
    <x v="1"/>
    <x v="3"/>
    <x v="2"/>
    <s v="Junior"/>
    <x v="2"/>
    <s v="51-60"/>
    <x v="2"/>
    <s v="27/07/2023"/>
    <s v="09/12/2024"/>
    <n v="2"/>
    <n v="102000"/>
    <n v="2.9"/>
    <n v="2"/>
    <x v="0"/>
  </r>
  <r>
    <s v="MFS-42028"/>
    <s v="Titi Obi"/>
    <x v="1"/>
    <x v="1"/>
    <x v="0"/>
    <s v="Junior"/>
    <x v="0"/>
    <s v="31-40"/>
    <x v="0"/>
    <s v="08/10/2023"/>
    <s v="09/12/2024"/>
    <n v="2"/>
    <n v="150000"/>
    <n v="3.8"/>
    <n v="12"/>
    <x v="0"/>
  </r>
  <r>
    <s v="MFS-51549"/>
    <s v="Titi Yakubu"/>
    <x v="1"/>
    <x v="3"/>
    <x v="2"/>
    <s v="Junior"/>
    <x v="0"/>
    <s v="31-40"/>
    <x v="0"/>
    <s v="21/02/2019"/>
    <s v="09/12/2024"/>
    <n v="7"/>
    <n v="171000"/>
    <n v="5"/>
    <n v="1"/>
    <x v="0"/>
  </r>
  <r>
    <s v="MFS-53998"/>
    <s v="Danladi Coker"/>
    <x v="0"/>
    <x v="2"/>
    <x v="0"/>
    <s v="Manager"/>
    <x v="0"/>
    <s v="31-40"/>
    <x v="0"/>
    <s v="03/08/2022"/>
    <s v="09/12/2024"/>
    <n v="3"/>
    <n v="843000"/>
    <n v="4.4000000000000004"/>
    <n v="3"/>
    <x v="0"/>
  </r>
  <r>
    <s v="MFS-78610"/>
    <s v="Ogechi Ihejirika"/>
    <x v="1"/>
    <x v="3"/>
    <x v="0"/>
    <s v="Senior"/>
    <x v="0"/>
    <s v="22-30"/>
    <x v="0"/>
    <s v="15/11/2019"/>
    <s v="09/12/2024"/>
    <n v="6"/>
    <n v="484000"/>
    <n v="3"/>
    <n v="13"/>
    <x v="0"/>
  </r>
  <r>
    <s v="MFS-39863"/>
    <s v="Shade Nnamdi"/>
    <x v="1"/>
    <x v="1"/>
    <x v="2"/>
    <s v="Mid-level"/>
    <x v="2"/>
    <s v="31-40"/>
    <x v="3"/>
    <s v="30/10/2022"/>
    <s v="09/12/2024"/>
    <n v="3"/>
    <n v="197000"/>
    <n v="4.2"/>
    <n v="0"/>
    <x v="1"/>
  </r>
  <r>
    <s v="MFS-11573"/>
    <s v="Chioma Okafor"/>
    <x v="1"/>
    <x v="3"/>
    <x v="0"/>
    <s v="Senior"/>
    <x v="0"/>
    <s v="41-50"/>
    <x v="1"/>
    <s v="11/09/2023"/>
    <s v="29/07/2024"/>
    <n v="2"/>
    <n v="420000"/>
    <n v="4.8"/>
    <n v="8"/>
    <x v="0"/>
  </r>
  <r>
    <s v="MFS-73871"/>
    <s v="Falmata Nwachukwu"/>
    <x v="1"/>
    <x v="4"/>
    <x v="2"/>
    <s v="Junior"/>
    <x v="2"/>
    <s v="31-40"/>
    <x v="0"/>
    <s v="10/09/2023"/>
    <s v="29/07/2024"/>
    <n v="2"/>
    <n v="152000"/>
    <n v="2.4"/>
    <n v="18"/>
    <x v="1"/>
  </r>
  <r>
    <s v="MFS-48326"/>
    <s v="Nkechi Uba"/>
    <x v="1"/>
    <x v="4"/>
    <x v="2"/>
    <s v="Junior"/>
    <x v="1"/>
    <s v="31-40"/>
    <x v="2"/>
    <s v="13/10/2020"/>
    <s v="31/10/2021"/>
    <n v="5"/>
    <n v="167000"/>
    <n v="3.3"/>
    <n v="14"/>
    <x v="0"/>
  </r>
  <r>
    <s v="MFS-39539"/>
    <s v="Aisha Haruna"/>
    <x v="1"/>
    <x v="1"/>
    <x v="0"/>
    <s v="Junior"/>
    <x v="0"/>
    <s v="22-30"/>
    <x v="1"/>
    <s v="10/10/2019"/>
    <s v="31/10/2021"/>
    <n v="6"/>
    <n v="85000"/>
    <n v="3"/>
    <n v="31"/>
    <x v="1"/>
  </r>
  <r>
    <s v="MFS-86582"/>
    <s v="Adebayo Onwudiwe"/>
    <x v="0"/>
    <x v="2"/>
    <x v="1"/>
    <s v="Junior"/>
    <x v="0"/>
    <s v="31-40"/>
    <x v="2"/>
    <s v="17/12/2019"/>
    <s v="15/08/2023"/>
    <n v="6"/>
    <n v="96000"/>
    <n v="4.7"/>
    <n v="27"/>
    <x v="0"/>
  </r>
  <r>
    <s v="MFS-88817"/>
    <s v="Ibrahim Garba"/>
    <x v="0"/>
    <x v="2"/>
    <x v="2"/>
    <s v="Junior"/>
    <x v="0"/>
    <s v="31-40"/>
    <x v="1"/>
    <s v="22/01/2021"/>
    <s v="15/08/2023"/>
    <n v="5"/>
    <n v="154000"/>
    <n v="2"/>
    <n v="5"/>
    <x v="1"/>
  </r>
  <r>
    <s v="MFS-78349"/>
    <s v="Kabiru Obaseki"/>
    <x v="0"/>
    <x v="4"/>
    <x v="0"/>
    <s v="Mid-level"/>
    <x v="2"/>
    <s v="41-50"/>
    <x v="0"/>
    <s v="29/06/2020"/>
    <s v="23/03/2021"/>
    <n v="5"/>
    <n v="305000"/>
    <n v="2.7"/>
    <n v="8"/>
    <x v="3"/>
  </r>
  <r>
    <s v="MFS-41224"/>
    <s v="Chibuike Coker"/>
    <x v="0"/>
    <x v="4"/>
    <x v="2"/>
    <s v="Senior"/>
    <x v="0"/>
    <s v="22-30"/>
    <x v="0"/>
    <s v="19/03/2021"/>
    <s v="11/02/2025"/>
    <n v="4"/>
    <n v="360000"/>
    <n v="2.8"/>
    <n v="4"/>
    <x v="1"/>
  </r>
  <r>
    <s v="MFS-26654"/>
    <s v="Ifeanyi Garba"/>
    <x v="0"/>
    <x v="4"/>
    <x v="2"/>
    <s v="Mid-level"/>
    <x v="0"/>
    <s v="41-50"/>
    <x v="2"/>
    <s v="19/05/2022"/>
    <s v="18/03/2024"/>
    <n v="3"/>
    <n v="245000"/>
    <n v="3.3"/>
    <n v="12"/>
    <x v="1"/>
  </r>
  <r>
    <s v="MFS-78113"/>
    <s v="Chidi Okafor"/>
    <x v="0"/>
    <x v="2"/>
    <x v="0"/>
    <s v="Mid-level"/>
    <x v="2"/>
    <s v="22-30"/>
    <x v="2"/>
    <s v="21/09/2021"/>
    <s v="07/05/2022"/>
    <n v="4"/>
    <n v="224000"/>
    <n v="3.8"/>
    <n v="3"/>
    <x v="1"/>
  </r>
  <r>
    <s v="MFS-53538"/>
    <s v="Maryam Nwachukwu"/>
    <x v="1"/>
    <x v="3"/>
    <x v="2"/>
    <s v="Mid-level"/>
    <x v="0"/>
    <s v="22-30"/>
    <x v="3"/>
    <s v="17/07/2023"/>
    <s v="24/02/2024"/>
    <n v="2"/>
    <n v="236000"/>
    <n v="2.4"/>
    <n v="2"/>
    <x v="0"/>
  </r>
  <r>
    <s v="MFS-34032"/>
    <s v="Adaora Adesanya"/>
    <x v="1"/>
    <x v="3"/>
    <x v="2"/>
    <s v="Senior"/>
    <x v="2"/>
    <s v="22-30"/>
    <x v="0"/>
    <s v="02/08/2021"/>
    <s v="24/02/2024"/>
    <n v="4"/>
    <n v="561000"/>
    <n v="2.8"/>
    <n v="9"/>
    <x v="0"/>
  </r>
  <r>
    <s v="MFS-89318"/>
    <s v="Abubakar Okonkwo"/>
    <x v="0"/>
    <x v="1"/>
    <x v="0"/>
    <s v="Manager"/>
    <x v="1"/>
    <s v="22-30"/>
    <x v="2"/>
    <s v="12/04/2019"/>
    <s v="24/02/2024"/>
    <n v="6"/>
    <n v="753000"/>
    <n v="3.4"/>
    <n v="1"/>
    <x v="0"/>
  </r>
  <r>
    <s v="MFS-15108"/>
    <s v="Danladi Adebayo"/>
    <x v="0"/>
    <x v="4"/>
    <x v="1"/>
    <s v="Manager"/>
    <x v="2"/>
    <s v="22-30"/>
    <x v="3"/>
    <s v="03/05/2023"/>
    <s v="24/02/2024"/>
    <n v="2"/>
    <n v="847000"/>
    <n v="3.5"/>
    <n v="40"/>
    <x v="1"/>
  </r>
  <r>
    <s v="MFS-23824"/>
    <s v="Obinna Adesanya"/>
    <x v="0"/>
    <x v="1"/>
    <x v="2"/>
    <s v="Junior"/>
    <x v="3"/>
    <s v="41-50"/>
    <x v="1"/>
    <s v="05/10/2022"/>
    <s v="08/03/2024"/>
    <n v="3"/>
    <n v="85000"/>
    <n v="3.6"/>
    <n v="1"/>
    <x v="1"/>
  </r>
  <r>
    <s v="MFS-24279"/>
    <s v="Tobi Obaseki"/>
    <x v="0"/>
    <x v="3"/>
    <x v="2"/>
    <s v="Manager"/>
    <x v="2"/>
    <s v="31-40"/>
    <x v="0"/>
    <s v="14/08/2020"/>
    <s v="17/12/2024"/>
    <n v="5"/>
    <n v="687000"/>
    <n v="3.9"/>
    <n v="4"/>
    <x v="0"/>
  </r>
  <r>
    <s v="MFS-55700"/>
    <s v="Ramatu Nduka"/>
    <x v="1"/>
    <x v="4"/>
    <x v="0"/>
    <s v="Director"/>
    <x v="2"/>
    <s v="51-60"/>
    <x v="2"/>
    <s v="03/10/2019"/>
    <s v="17/12/2024"/>
    <n v="6"/>
    <n v="1850000"/>
    <n v="4.5999999999999996"/>
    <n v="30"/>
    <x v="0"/>
  </r>
  <r>
    <s v="MFS-27763"/>
    <s v="Nkechi Shehu"/>
    <x v="1"/>
    <x v="2"/>
    <x v="0"/>
    <s v="Junior"/>
    <x v="1"/>
    <s v="31-40"/>
    <x v="2"/>
    <s v="30/06/2019"/>
    <s v="17/12/2024"/>
    <n v="6"/>
    <n v="172000"/>
    <n v="4.5"/>
    <n v="17"/>
    <x v="0"/>
  </r>
  <r>
    <s v="MFS-16973"/>
    <s v="Oghenekaro Okonkwo"/>
    <x v="0"/>
    <x v="3"/>
    <x v="1"/>
    <s v="Mid-level"/>
    <x v="0"/>
    <s v="41-50"/>
    <x v="1"/>
    <s v="01/07/2020"/>
    <s v="17/12/2024"/>
    <n v="5"/>
    <n v="214000"/>
    <n v="2.7"/>
    <n v="10"/>
    <x v="0"/>
  </r>
  <r>
    <s v="MFS-58099"/>
    <s v="Garba Obaseki"/>
    <x v="0"/>
    <x v="4"/>
    <x v="0"/>
    <s v="Mid-level"/>
    <x v="2"/>
    <s v="51-60"/>
    <x v="3"/>
    <s v="10/08/2021"/>
    <s v="17/12/2024"/>
    <n v="4"/>
    <n v="268000"/>
    <n v="3.6"/>
    <n v="3"/>
    <x v="0"/>
  </r>
  <r>
    <s v="MFS-33015"/>
    <s v="Oluwaseun Okafor"/>
    <x v="0"/>
    <x v="2"/>
    <x v="0"/>
    <s v="Mid-level"/>
    <x v="2"/>
    <s v="41-50"/>
    <x v="1"/>
    <s v="22/08/2023"/>
    <s v="17/12/2024"/>
    <n v="2"/>
    <n v="202000"/>
    <n v="2.5"/>
    <n v="35"/>
    <x v="1"/>
  </r>
  <r>
    <s v="MFS-79115"/>
    <s v="Usman Coker"/>
    <x v="0"/>
    <x v="1"/>
    <x v="0"/>
    <s v="Senior"/>
    <x v="0"/>
    <s v="51-60"/>
    <x v="1"/>
    <s v="04/10/2020"/>
    <s v="08/01/2024"/>
    <n v="5"/>
    <n v="369000"/>
    <n v="3.3"/>
    <n v="13"/>
    <x v="1"/>
  </r>
  <r>
    <s v="MFS-17113"/>
    <s v="Obiora Oyelaran"/>
    <x v="0"/>
    <x v="2"/>
    <x v="2"/>
    <s v="Junior"/>
    <x v="3"/>
    <s v="31-40"/>
    <x v="0"/>
    <s v="09/10/2020"/>
    <s v="14/08/2021"/>
    <n v="5"/>
    <n v="87000"/>
    <n v="4"/>
    <n v="10"/>
    <x v="1"/>
  </r>
  <r>
    <s v="MFS-71924"/>
    <s v="Zainab Adewale"/>
    <x v="1"/>
    <x v="4"/>
    <x v="1"/>
    <s v="Mid-level"/>
    <x v="1"/>
    <s v="51-60"/>
    <x v="0"/>
    <s v="16/09/2022"/>
    <s v="23/05/2022"/>
    <n v="3"/>
    <n v="312000"/>
    <n v="2.2999999999999998"/>
    <n v="6"/>
    <x v="0"/>
  </r>
  <r>
    <s v="MFS-97817"/>
    <s v="Adaeze Adebayo"/>
    <x v="1"/>
    <x v="4"/>
    <x v="2"/>
    <s v="Junior"/>
    <x v="2"/>
    <s v="22-30"/>
    <x v="2"/>
    <s v="01/10/2020"/>
    <s v="23/05/2022"/>
    <n v="5"/>
    <n v="121000"/>
    <n v="3.1"/>
    <n v="9"/>
    <x v="1"/>
  </r>
  <r>
    <s v="MFS-38698"/>
    <s v="Chinwe Amadi"/>
    <x v="1"/>
    <x v="4"/>
    <x v="2"/>
    <s v="Senior"/>
    <x v="2"/>
    <s v="31-40"/>
    <x v="0"/>
    <s v="06/03/2022"/>
    <s v="11/07/2024"/>
    <n v="4"/>
    <n v="428000"/>
    <n v="3.2"/>
    <n v="7"/>
    <x v="2"/>
  </r>
  <r>
    <s v="MFS-83748"/>
    <s v="Danladi Bello"/>
    <x v="0"/>
    <x v="0"/>
    <x v="0"/>
    <s v="Manager"/>
    <x v="3"/>
    <s v="22-30"/>
    <x v="0"/>
    <s v="16/05/2023"/>
    <s v="30/01/2024"/>
    <n v="2"/>
    <n v="789000"/>
    <n v="4.0999999999999996"/>
    <n v="16"/>
    <x v="2"/>
  </r>
  <r>
    <s v="MFS-92953"/>
    <s v="Tobi Nduka"/>
    <x v="0"/>
    <x v="1"/>
    <x v="2"/>
    <s v="Senior"/>
    <x v="0"/>
    <s v="31-40"/>
    <x v="0"/>
    <s v="27/09/2020"/>
    <s v="16/01/2024"/>
    <n v="5"/>
    <n v="350000"/>
    <n v="5"/>
    <n v="8"/>
    <x v="1"/>
  </r>
  <r>
    <s v="MFS-17920"/>
    <s v="Obinna Oyelaran"/>
    <x v="0"/>
    <x v="2"/>
    <x v="0"/>
    <s v="Mid-level"/>
    <x v="2"/>
    <s v="41-50"/>
    <x v="2"/>
    <s v="26/05/2023"/>
    <s v="11/08/2023"/>
    <n v="2"/>
    <n v="219000"/>
    <n v="4"/>
    <n v="15"/>
    <x v="0"/>
  </r>
  <r>
    <s v="MFS-71631"/>
    <s v="Nana Ogundipe"/>
    <x v="1"/>
    <x v="4"/>
    <x v="0"/>
    <s v="Mid-level"/>
    <x v="1"/>
    <s v="22-30"/>
    <x v="2"/>
    <s v="03/01/2023"/>
    <s v="11/08/2023"/>
    <n v="3"/>
    <n v="184000"/>
    <n v="2.5"/>
    <n v="4"/>
    <x v="1"/>
  </r>
  <r>
    <s v="MFS-27675"/>
    <s v="Chidi Abdullahi"/>
    <x v="0"/>
    <x v="1"/>
    <x v="0"/>
    <s v="Mid-level"/>
    <x v="0"/>
    <s v="22-30"/>
    <x v="3"/>
    <s v="26/03/2021"/>
    <s v="07/10/2024"/>
    <n v="4"/>
    <n v="315000"/>
    <n v="2.8"/>
    <n v="3"/>
    <x v="0"/>
  </r>
  <r>
    <s v="MFS-45830"/>
    <s v="Garba Adeyemi"/>
    <x v="0"/>
    <x v="0"/>
    <x v="1"/>
    <s v="Junior"/>
    <x v="0"/>
    <s v="22-30"/>
    <x v="0"/>
    <s v="20/07/2021"/>
    <s v="07/10/2024"/>
    <n v="4"/>
    <n v="155000"/>
    <n v="2.2000000000000002"/>
    <n v="2"/>
    <x v="0"/>
  </r>
  <r>
    <s v="MFS-67631"/>
    <s v="Hafsat Onwudiwe"/>
    <x v="1"/>
    <x v="2"/>
    <x v="1"/>
    <s v="Senior"/>
    <x v="2"/>
    <s v="22-30"/>
    <x v="0"/>
    <s v="04/10/2019"/>
    <s v="07/10/2024"/>
    <n v="6"/>
    <n v="498000"/>
    <n v="3.3"/>
    <n v="14"/>
    <x v="0"/>
  </r>
  <r>
    <s v="MFS-83024"/>
    <s v="Kabiru Buhari"/>
    <x v="0"/>
    <x v="1"/>
    <x v="2"/>
    <s v="Senior"/>
    <x v="2"/>
    <s v="41-50"/>
    <x v="0"/>
    <s v="29/11/2020"/>
    <s v="07/10/2024"/>
    <n v="5"/>
    <n v="377000"/>
    <n v="2.7"/>
    <n v="8"/>
    <x v="1"/>
  </r>
  <r>
    <s v="MFS-62319"/>
    <s v="Abubakar Okafor"/>
    <x v="0"/>
    <x v="2"/>
    <x v="0"/>
    <s v="Junior"/>
    <x v="0"/>
    <s v="31-40"/>
    <x v="0"/>
    <s v="22/11/2023"/>
    <s v="27/08/2024"/>
    <n v="2"/>
    <n v="157000"/>
    <n v="4.0999999999999996"/>
    <n v="13"/>
    <x v="0"/>
  </r>
  <r>
    <s v="MFS-14263"/>
    <s v="Falmata Garba"/>
    <x v="1"/>
    <x v="3"/>
    <x v="0"/>
    <s v="Junior"/>
    <x v="0"/>
    <s v="22-30"/>
    <x v="0"/>
    <s v="10/11/2023"/>
    <s v="27/08/2024"/>
    <n v="2"/>
    <n v="146000"/>
    <n v="3.2"/>
    <n v="13"/>
    <x v="1"/>
  </r>
  <r>
    <s v="MFS-69134"/>
    <s v="Biodun Lawal"/>
    <x v="0"/>
    <x v="2"/>
    <x v="2"/>
    <s v="Junior"/>
    <x v="1"/>
    <s v="41-50"/>
    <x v="1"/>
    <s v="01/08/2023"/>
    <s v="20/03/2024"/>
    <n v="2"/>
    <n v="145000"/>
    <n v="2.9"/>
    <n v="10"/>
    <x v="0"/>
  </r>
  <r>
    <s v="MFS-92110"/>
    <s v="Ibrahim Ogundipe"/>
    <x v="0"/>
    <x v="0"/>
    <x v="0"/>
    <s v="Manager"/>
    <x v="1"/>
    <s v="22-30"/>
    <x v="0"/>
    <s v="12/07/2023"/>
    <s v="20/03/2024"/>
    <n v="2"/>
    <n v="742000"/>
    <n v="3.5"/>
    <n v="7"/>
    <x v="0"/>
  </r>
  <r>
    <s v="MFS-84331"/>
    <s v="Tobi Yakubu"/>
    <x v="0"/>
    <x v="1"/>
    <x v="0"/>
    <s v="Mid-level"/>
    <x v="0"/>
    <s v="51-60"/>
    <x v="3"/>
    <s v="23/09/2022"/>
    <s v="20/03/2024"/>
    <n v="3"/>
    <n v="296000"/>
    <n v="2.9"/>
    <n v="1"/>
    <x v="0"/>
  </r>
  <r>
    <s v="MFS-83218"/>
    <s v="Tunde Okonkwo"/>
    <x v="0"/>
    <x v="1"/>
    <x v="2"/>
    <s v="Mid-level"/>
    <x v="2"/>
    <s v="41-50"/>
    <x v="0"/>
    <s v="05/03/2021"/>
    <s v="20/03/2024"/>
    <n v="5"/>
    <n v="201000"/>
    <n v="4.8"/>
    <n v="11"/>
    <x v="2"/>
  </r>
  <r>
    <s v="MFS-94784"/>
    <s v="Chibuike Obaseki"/>
    <x v="0"/>
    <x v="3"/>
    <x v="1"/>
    <s v="Director"/>
    <x v="1"/>
    <s v="22-30"/>
    <x v="1"/>
    <s v="18/05/2023"/>
    <s v="31/05/2024"/>
    <n v="2"/>
    <n v="1631000"/>
    <n v="4.7"/>
    <n v="38"/>
    <x v="0"/>
  </r>
  <r>
    <s v="MFS-57280"/>
    <s v="Chidi Ihejirika"/>
    <x v="0"/>
    <x v="3"/>
    <x v="2"/>
    <s v="Senior"/>
    <x v="1"/>
    <s v="31-40"/>
    <x v="2"/>
    <s v="16/09/2020"/>
    <s v="31/05/2024"/>
    <n v="5"/>
    <n v="455000"/>
    <n v="4.4000000000000004"/>
    <n v="8"/>
    <x v="0"/>
  </r>
  <r>
    <s v="MFS-80998"/>
    <s v="Kunle Ogbonna"/>
    <x v="0"/>
    <x v="3"/>
    <x v="2"/>
    <s v="Senior"/>
    <x v="0"/>
    <s v="22-30"/>
    <x v="2"/>
    <s v="07/04/2020"/>
    <s v="31/05/2024"/>
    <n v="5"/>
    <n v="390000"/>
    <n v="3.2"/>
    <n v="5"/>
    <x v="0"/>
  </r>
  <r>
    <s v="MFS-57752"/>
    <s v="Adeola Adesanya"/>
    <x v="0"/>
    <x v="2"/>
    <x v="0"/>
    <s v="Mid-level"/>
    <x v="0"/>
    <s v="51-60"/>
    <x v="1"/>
    <s v="31/07/2019"/>
    <s v="31/05/2024"/>
    <n v="6"/>
    <n v="347000"/>
    <n v="2.6"/>
    <n v="14"/>
    <x v="2"/>
  </r>
  <r>
    <s v="MFS-96422"/>
    <s v="Obiora Ogundipe"/>
    <x v="0"/>
    <x v="3"/>
    <x v="0"/>
    <s v="Senior"/>
    <x v="2"/>
    <s v="22-30"/>
    <x v="2"/>
    <s v="29/10/2019"/>
    <s v="25/06/2023"/>
    <n v="6"/>
    <n v="424000"/>
    <n v="3.4"/>
    <n v="9"/>
    <x v="0"/>
  </r>
  <r>
    <s v="MFS-90272"/>
    <s v="Lola Okeke"/>
    <x v="1"/>
    <x v="0"/>
    <x v="0"/>
    <s v="Mid-level"/>
    <x v="1"/>
    <s v="22-30"/>
    <x v="0"/>
    <s v="02/06/2021"/>
    <s v="25/06/2023"/>
    <n v="4"/>
    <n v="318000"/>
    <n v="4.5999999999999996"/>
    <n v="14"/>
    <x v="0"/>
  </r>
  <r>
    <s v="MFS-58983"/>
    <s v="Adebayo Musa"/>
    <x v="0"/>
    <x v="1"/>
    <x v="0"/>
    <s v="Junior"/>
    <x v="0"/>
    <s v="22-30"/>
    <x v="2"/>
    <s v="20/03/2020"/>
    <s v="25/06/2023"/>
    <n v="5"/>
    <n v="144000"/>
    <n v="2.6"/>
    <n v="2"/>
    <x v="0"/>
  </r>
  <r>
    <s v="MFS-38215"/>
    <s v="Rotimi Obi"/>
    <x v="0"/>
    <x v="2"/>
    <x v="1"/>
    <s v="Junior"/>
    <x v="2"/>
    <s v="22-30"/>
    <x v="0"/>
    <s v="11/11/2019"/>
    <s v="25/06/2023"/>
    <n v="6"/>
    <n v="85000"/>
    <n v="2"/>
    <n v="21"/>
    <x v="0"/>
  </r>
  <r>
    <s v="MFS-75054"/>
    <s v="Abubakar Okeke"/>
    <x v="0"/>
    <x v="4"/>
    <x v="0"/>
    <s v="Manager"/>
    <x v="0"/>
    <s v="41-50"/>
    <x v="2"/>
    <s v="10/05/2021"/>
    <s v="25/06/2023"/>
    <n v="26"/>
    <n v="755000"/>
    <n v="4.3"/>
    <n v="1"/>
    <x v="0"/>
  </r>
  <r>
    <s v="MFS-57560"/>
    <s v="Nneka Adewale"/>
    <x v="1"/>
    <x v="4"/>
    <x v="1"/>
    <s v="Mid-level"/>
    <x v="2"/>
    <s v="22-30"/>
    <x v="1"/>
    <s v="22/07/2020"/>
    <s v="25/06/2023"/>
    <n v="5"/>
    <n v="196000"/>
    <n v="3.3"/>
    <n v="11"/>
    <x v="0"/>
  </r>
  <r>
    <s v="MFS-99891"/>
    <s v="Bukola Okafor"/>
    <x v="1"/>
    <x v="4"/>
    <x v="0"/>
    <s v="Junior"/>
    <x v="2"/>
    <s v="31-40"/>
    <x v="2"/>
    <s v="22/04/2021"/>
    <s v="25/06/2023"/>
    <n v="4"/>
    <n v="86000"/>
    <n v="2.5"/>
    <n v="14"/>
    <x v="0"/>
  </r>
  <r>
    <s v="MFS-66421"/>
    <s v="Damilola Nduka"/>
    <x v="1"/>
    <x v="0"/>
    <x v="1"/>
    <s v="Mid-level"/>
    <x v="1"/>
    <s v="22-30"/>
    <x v="2"/>
    <s v="21/10/2019"/>
    <s v="25/06/2023"/>
    <n v="6"/>
    <n v="385000"/>
    <n v="2.7"/>
    <n v="37"/>
    <x v="0"/>
  </r>
  <r>
    <s v="MFS-50975"/>
    <s v="Dele Taiwo"/>
    <x v="0"/>
    <x v="0"/>
    <x v="0"/>
    <s v="Senior"/>
    <x v="0"/>
    <s v="41-50"/>
    <x v="0"/>
    <s v="18/12/2022"/>
    <s v="25/06/2023"/>
    <n v="3"/>
    <n v="552000"/>
    <n v="3.4"/>
    <n v="10"/>
    <x v="0"/>
  </r>
  <r>
    <s v="MFS-37740"/>
    <s v="Danladi Danladi"/>
    <x v="0"/>
    <x v="4"/>
    <x v="0"/>
    <s v="Mid-level"/>
    <x v="0"/>
    <s v="22-30"/>
    <x v="3"/>
    <s v="31/05/2021"/>
    <s v="25/06/2023"/>
    <n v="4"/>
    <n v="197000"/>
    <n v="1.8"/>
    <n v="6"/>
    <x v="1"/>
  </r>
  <r>
    <s v="MFS-67124"/>
    <s v="Nnamdi Uba"/>
    <x v="0"/>
    <x v="1"/>
    <x v="0"/>
    <s v="Junior"/>
    <x v="0"/>
    <s v="22-30"/>
    <x v="0"/>
    <s v="14/11/2019"/>
    <s v="24/12/2023"/>
    <n v="6"/>
    <n v="117000"/>
    <n v="2.2000000000000002"/>
    <n v="3"/>
    <x v="0"/>
  </r>
  <r>
    <s v="MFS-41938"/>
    <s v="Obinna Garba"/>
    <x v="0"/>
    <x v="3"/>
    <x v="0"/>
    <s v="Junior"/>
    <x v="0"/>
    <s v="31-40"/>
    <x v="3"/>
    <s v="24/11/2021"/>
    <s v="24/12/2023"/>
    <n v="4"/>
    <n v="176000"/>
    <n v="3.8"/>
    <n v="0"/>
    <x v="1"/>
  </r>
  <r>
    <s v="MFS-34424"/>
    <s v="Yetunde Ihejirika"/>
    <x v="1"/>
    <x v="2"/>
    <x v="0"/>
    <s v="Junior"/>
    <x v="1"/>
    <s v="31-40"/>
    <x v="1"/>
    <s v="06/08/2021"/>
    <s v="10/07/2024"/>
    <n v="4"/>
    <n v="147000"/>
    <n v="2.6"/>
    <n v="2"/>
    <x v="1"/>
  </r>
  <r>
    <s v="MFS-48098"/>
    <s v="Wale Uba"/>
    <x v="0"/>
    <x v="3"/>
    <x v="1"/>
    <s v="Mid-level"/>
    <x v="0"/>
    <s v="31-40"/>
    <x v="3"/>
    <s v="03/03/2019"/>
    <s v="04/03/2025"/>
    <n v="7"/>
    <n v="206000"/>
    <n v="3.5"/>
    <n v="0"/>
    <x v="0"/>
  </r>
  <r>
    <s v="MFS-44083"/>
    <s v="Jummai Haruna"/>
    <x v="1"/>
    <x v="3"/>
    <x v="0"/>
    <s v="Junior"/>
    <x v="0"/>
    <s v="41-50"/>
    <x v="4"/>
    <s v="27/03/2022"/>
    <s v="04/03/2025"/>
    <n v="3"/>
    <n v="131000"/>
    <n v="4.0999999999999996"/>
    <n v="7"/>
    <x v="0"/>
  </r>
  <r>
    <s v="MFS-17848"/>
    <s v="Rukayya Obaseki"/>
    <x v="1"/>
    <x v="4"/>
    <x v="0"/>
    <s v="Mid-level"/>
    <x v="2"/>
    <s v="31-40"/>
    <x v="0"/>
    <s v="25/10/2023"/>
    <s v="04/03/2025"/>
    <n v="2"/>
    <n v="315000"/>
    <n v="2.2000000000000002"/>
    <n v="1"/>
    <x v="1"/>
  </r>
  <r>
    <s v="MFS-26630"/>
    <s v="Lanre Onwudiwe"/>
    <x v="0"/>
    <x v="4"/>
    <x v="0"/>
    <s v="Senior"/>
    <x v="0"/>
    <s v="22-30"/>
    <x v="1"/>
    <s v="04/02/2022"/>
    <s v="25/08/2024"/>
    <n v="4"/>
    <n v="513000"/>
    <n v="4.5999999999999996"/>
    <n v="1"/>
    <x v="0"/>
  </r>
  <r>
    <s v="MFS-91105"/>
    <s v="Musa Abdullahi"/>
    <x v="0"/>
    <x v="3"/>
    <x v="0"/>
    <s v="Senior"/>
    <x v="1"/>
    <s v="31-40"/>
    <x v="0"/>
    <s v="25/06/2019"/>
    <s v="25/08/2024"/>
    <n v="6"/>
    <n v="481000"/>
    <n v="3.5"/>
    <n v="3"/>
    <x v="1"/>
  </r>
  <r>
    <s v="MFS-47403"/>
    <s v="Bukola Okonkwo"/>
    <x v="1"/>
    <x v="3"/>
    <x v="1"/>
    <s v="Junior"/>
    <x v="0"/>
    <s v="31-40"/>
    <x v="3"/>
    <s v="07/04/2019"/>
    <s v="05/09/2024"/>
    <n v="6"/>
    <n v="142000"/>
    <n v="3.3"/>
    <n v="10"/>
    <x v="0"/>
  </r>
  <r>
    <s v="MFS-12253"/>
    <s v="Tobi Aliyu"/>
    <x v="0"/>
    <x v="0"/>
    <x v="0"/>
    <s v="Junior"/>
    <x v="0"/>
    <s v="31-40"/>
    <x v="2"/>
    <s v="03/08/2023"/>
    <s v="05/09/2024"/>
    <n v="2"/>
    <n v="198000"/>
    <n v="3"/>
    <n v="2"/>
    <x v="2"/>
  </r>
  <r>
    <s v="MFS-21578"/>
    <s v="Oluwaseun Nwosu"/>
    <x v="0"/>
    <x v="2"/>
    <x v="0"/>
    <s v="Junior"/>
    <x v="1"/>
    <s v="31-40"/>
    <x v="0"/>
    <s v="16/06/2020"/>
    <s v="17/06/2022"/>
    <n v="5"/>
    <n v="119000"/>
    <n v="2.9"/>
    <n v="1"/>
    <x v="1"/>
  </r>
  <r>
    <s v="MFS-33453"/>
    <s v="Falmata Obi"/>
    <x v="1"/>
    <x v="4"/>
    <x v="1"/>
    <s v="Junior"/>
    <x v="0"/>
    <s v="41-50"/>
    <x v="0"/>
    <s v="26/05/2022"/>
    <s v="11/10/2024"/>
    <n v="3"/>
    <n v="100000"/>
    <n v="2.7"/>
    <n v="1"/>
    <x v="1"/>
  </r>
  <r>
    <s v="MFS-37944"/>
    <s v="Ibrahim Ogundipe"/>
    <x v="0"/>
    <x v="3"/>
    <x v="1"/>
    <s v="Mid-level"/>
    <x v="2"/>
    <s v="41-50"/>
    <x v="2"/>
    <s v="27/11/2020"/>
    <s v="27/08/2023"/>
    <n v="5"/>
    <n v="196000"/>
    <n v="4.9000000000000004"/>
    <n v="14"/>
    <x v="0"/>
  </r>
  <r>
    <s v="MFS-34119"/>
    <s v="Ugochi Musa"/>
    <x v="1"/>
    <x v="4"/>
    <x v="2"/>
    <s v="Junior"/>
    <x v="0"/>
    <s v="31-40"/>
    <x v="3"/>
    <s v="18/09/2020"/>
    <s v="27/08/2023"/>
    <n v="5"/>
    <n v="169000"/>
    <n v="2.4"/>
    <n v="7"/>
    <x v="1"/>
  </r>
  <r>
    <s v="MFS-48764"/>
    <s v="Bello Chukwu"/>
    <x v="0"/>
    <x v="4"/>
    <x v="0"/>
    <s v="Mid-level"/>
    <x v="1"/>
    <s v="31-40"/>
    <x v="3"/>
    <s v="05/01/2020"/>
    <s v="13/12/2022"/>
    <n v="6"/>
    <n v="237000"/>
    <n v="1.7"/>
    <n v="13"/>
    <x v="0"/>
  </r>
  <r>
    <s v="MFS-56545"/>
    <s v="Chibuike Nnamdi"/>
    <x v="0"/>
    <x v="3"/>
    <x v="0"/>
    <s v="Mid-level"/>
    <x v="1"/>
    <s v="31-40"/>
    <x v="0"/>
    <s v="11/10/2022"/>
    <s v="13/12/2022"/>
    <n v="3"/>
    <n v="234000"/>
    <n v="2.8"/>
    <n v="0"/>
    <x v="0"/>
  </r>
  <r>
    <s v="MFS-75097"/>
    <s v="Ikenna Suleiman"/>
    <x v="0"/>
    <x v="3"/>
    <x v="1"/>
    <s v="Mid-level"/>
    <x v="0"/>
    <s v="31-40"/>
    <x v="0"/>
    <s v="06/11/2021"/>
    <s v="13/12/2022"/>
    <n v="4"/>
    <n v="333000"/>
    <n v="2.5"/>
    <n v="40"/>
    <x v="1"/>
  </r>
  <r>
    <s v="MFS-30139"/>
    <s v="Yemi Shehu"/>
    <x v="1"/>
    <x v="3"/>
    <x v="2"/>
    <s v="Senior"/>
    <x v="0"/>
    <s v="22-30"/>
    <x v="2"/>
    <s v="31/10/2020"/>
    <s v="06/02/2025"/>
    <n v="5"/>
    <n v="416000"/>
    <n v="3.6"/>
    <n v="4"/>
    <x v="1"/>
  </r>
  <r>
    <s v="MFS-42258"/>
    <s v="Shade Ogundipe"/>
    <x v="1"/>
    <x v="2"/>
    <x v="2"/>
    <s v="Junior"/>
    <x v="1"/>
    <s v="22-30"/>
    <x v="0"/>
    <s v="25/10/2020"/>
    <s v="05/05/2021"/>
    <n v="5"/>
    <n v="90000"/>
    <n v="3.7"/>
    <n v="2"/>
    <x v="1"/>
  </r>
  <r>
    <s v="MFS-49662"/>
    <s v="Bilkisu Ogbonna"/>
    <x v="1"/>
    <x v="1"/>
    <x v="2"/>
    <s v="Junior"/>
    <x v="1"/>
    <s v="31-40"/>
    <x v="1"/>
    <s v="04/06/2021"/>
    <s v="02/02/2024"/>
    <n v="4"/>
    <n v="142000"/>
    <n v="3.3"/>
    <n v="2"/>
    <x v="0"/>
  </r>
  <r>
    <s v="MFS-76347"/>
    <s v="Bello Eze"/>
    <x v="0"/>
    <x v="2"/>
    <x v="0"/>
    <s v="Mid-level"/>
    <x v="1"/>
    <s v="22-30"/>
    <x v="1"/>
    <s v="06/10/2022"/>
    <s v="02/02/2024"/>
    <n v="3"/>
    <n v="321000"/>
    <n v="4.2"/>
    <n v="0"/>
    <x v="2"/>
  </r>
  <r>
    <s v="MFS-54127"/>
    <s v="Ngozi Eze"/>
    <x v="1"/>
    <x v="3"/>
    <x v="0"/>
    <s v="Manager"/>
    <x v="1"/>
    <s v="51-60"/>
    <x v="3"/>
    <s v="25/07/2019"/>
    <s v="05/05/2024"/>
    <n v="6"/>
    <n v="725000"/>
    <n v="4.2"/>
    <n v="9"/>
    <x v="0"/>
  </r>
  <r>
    <s v="MFS-40388"/>
    <s v="Adeola Ogundipe"/>
    <x v="1"/>
    <x v="4"/>
    <x v="0"/>
    <s v="Junior"/>
    <x v="3"/>
    <s v="22-30"/>
    <x v="4"/>
    <s v="30/06/2020"/>
    <s v="05/05/2024"/>
    <n v="5"/>
    <n v="162000"/>
    <n v="2.2000000000000002"/>
    <n v="14"/>
    <x v="0"/>
  </r>
  <r>
    <s v="MFS-19573"/>
    <s v="Yetunde Uba"/>
    <x v="1"/>
    <x v="2"/>
    <x v="0"/>
    <s v="Mid-level"/>
    <x v="1"/>
    <s v="51-60"/>
    <x v="0"/>
    <s v="24/01/2019"/>
    <s v="05/05/2024"/>
    <n v="7"/>
    <n v="263000"/>
    <n v="2.7"/>
    <n v="9"/>
    <x v="0"/>
  </r>
  <r>
    <s v="MFS-85403"/>
    <s v="Rukayya Obi"/>
    <x v="1"/>
    <x v="0"/>
    <x v="0"/>
    <s v="Senior"/>
    <x v="0"/>
    <s v="51-60"/>
    <x v="0"/>
    <s v="07/02/2020"/>
    <s v="05/05/2024"/>
    <n v="6"/>
    <n v="597000"/>
    <n v="2.2999999999999998"/>
    <n v="13"/>
    <x v="0"/>
  </r>
  <r>
    <s v="MFS-57344"/>
    <s v="Laraba Yakubu"/>
    <x v="1"/>
    <x v="2"/>
    <x v="0"/>
    <s v="Junior"/>
    <x v="0"/>
    <s v="22-30"/>
    <x v="0"/>
    <s v="25/01/2023"/>
    <s v="05/05/2024"/>
    <n v="3"/>
    <n v="164000"/>
    <n v="4.8"/>
    <n v="18"/>
    <x v="1"/>
  </r>
  <r>
    <s v="MFS-80817"/>
    <s v="Jummai Aliyu"/>
    <x v="1"/>
    <x v="3"/>
    <x v="2"/>
    <s v="Junior"/>
    <x v="1"/>
    <s v="22-30"/>
    <x v="1"/>
    <s v="02/06/2020"/>
    <s v="27/06/2023"/>
    <n v="5"/>
    <n v="146000"/>
    <n v="4.5999999999999996"/>
    <n v="6"/>
    <x v="0"/>
  </r>
  <r>
    <s v="MFS-69930"/>
    <s v="Funmilayo Musa"/>
    <x v="1"/>
    <x v="0"/>
    <x v="0"/>
    <s v="Senior"/>
    <x v="0"/>
    <s v="22-30"/>
    <x v="0"/>
    <s v="20/02/2021"/>
    <s v="27/06/2023"/>
    <n v="5"/>
    <n v="484000"/>
    <n v="4.8"/>
    <n v="22"/>
    <x v="1"/>
  </r>
  <r>
    <s v="MFS-87015"/>
    <s v="Nnamdi Ogbonna"/>
    <x v="0"/>
    <x v="1"/>
    <x v="0"/>
    <s v="Manager"/>
    <x v="1"/>
    <s v="31-40"/>
    <x v="2"/>
    <s v="09/08/2019"/>
    <s v="13/08/2022"/>
    <n v="6"/>
    <n v="726000"/>
    <n v="4.0999999999999996"/>
    <n v="10"/>
    <x v="1"/>
  </r>
  <r>
    <s v="MFS-71694"/>
    <s v="Tosin Eze"/>
    <x v="1"/>
    <x v="0"/>
    <x v="1"/>
    <s v="Junior"/>
    <x v="0"/>
    <s v="31-40"/>
    <x v="2"/>
    <s v="26/07/2020"/>
    <s v="01/03/2022"/>
    <n v="5"/>
    <n v="150000"/>
    <n v="2.5"/>
    <n v="8"/>
    <x v="1"/>
  </r>
  <r>
    <s v="MFS-63097"/>
    <s v="Obiora Fagbemi"/>
    <x v="0"/>
    <x v="1"/>
    <x v="1"/>
    <s v="Junior"/>
    <x v="0"/>
    <s v="31-40"/>
    <x v="2"/>
    <s v="02/11/2022"/>
    <s v="22/07/2021"/>
    <n v="3"/>
    <n v="148000"/>
    <n v="2.2000000000000002"/>
    <n v="7"/>
    <x v="0"/>
  </r>
  <r>
    <s v="MFS-91609"/>
    <s v="Laraba Nwachukwu"/>
    <x v="1"/>
    <x v="3"/>
    <x v="0"/>
    <s v="Senior"/>
    <x v="2"/>
    <s v="51-60"/>
    <x v="0"/>
    <s v="06/09/2019"/>
    <s v="22/07/2021"/>
    <n v="6"/>
    <n v="357000"/>
    <n v="3.9"/>
    <n v="11"/>
    <x v="0"/>
  </r>
  <r>
    <s v="MFS-44600"/>
    <s v="Chibuike Suleiman"/>
    <x v="0"/>
    <x v="2"/>
    <x v="0"/>
    <s v="Manager"/>
    <x v="2"/>
    <s v="41-50"/>
    <x v="3"/>
    <s v="28/07/2022"/>
    <s v="22/07/2021"/>
    <n v="3"/>
    <n v="943000"/>
    <n v="3.3"/>
    <n v="11"/>
    <x v="0"/>
  </r>
  <r>
    <s v="MFS-98534"/>
    <s v="Lanre Taiwo"/>
    <x v="0"/>
    <x v="4"/>
    <x v="2"/>
    <s v="Mid-level"/>
    <x v="1"/>
    <s v="31-40"/>
    <x v="0"/>
    <s v="16/04/2021"/>
    <s v="22/07/2021"/>
    <n v="4"/>
    <n v="275000"/>
    <n v="2.1"/>
    <n v="0"/>
    <x v="0"/>
  </r>
  <r>
    <s v="MFS-22731"/>
    <s v="Ikenna Nwachukwu"/>
    <x v="0"/>
    <x v="2"/>
    <x v="2"/>
    <s v="Mid-level"/>
    <x v="2"/>
    <s v="41-50"/>
    <x v="2"/>
    <s v="28/03/2019"/>
    <s v="22/07/2021"/>
    <n v="6"/>
    <n v="275000"/>
    <n v="3.2"/>
    <n v="6"/>
    <x v="1"/>
  </r>
  <r>
    <s v="MFS-98566"/>
    <s v="Chinedu Nduka"/>
    <x v="0"/>
    <x v="2"/>
    <x v="0"/>
    <s v="Mid-level"/>
    <x v="1"/>
    <s v="31-40"/>
    <x v="0"/>
    <s v="24/03/2023"/>
    <s v="18/06/2024"/>
    <n v="2"/>
    <n v="272000"/>
    <n v="4"/>
    <n v="5"/>
    <x v="0"/>
  </r>
  <r>
    <s v="MFS-67610"/>
    <s v="Jummai Shehu"/>
    <x v="1"/>
    <x v="2"/>
    <x v="0"/>
    <s v="Junior"/>
    <x v="0"/>
    <s v="41-50"/>
    <x v="0"/>
    <s v="12/06/2022"/>
    <s v="18/06/2024"/>
    <n v="3"/>
    <n v="106000"/>
    <n v="3.5"/>
    <n v="13"/>
    <x v="0"/>
  </r>
  <r>
    <s v="MFS-63580"/>
    <s v="Obinna Taiwo"/>
    <x v="0"/>
    <x v="1"/>
    <x v="1"/>
    <s v="Director"/>
    <x v="0"/>
    <s v="41-50"/>
    <x v="1"/>
    <s v="02/09/2023"/>
    <s v="18/06/2024"/>
    <n v="2"/>
    <n v="1184000"/>
    <n v="4.5999999999999996"/>
    <n v="8"/>
    <x v="1"/>
  </r>
  <r>
    <s v="MFS-42936"/>
    <s v="Kunle Nwosu"/>
    <x v="0"/>
    <x v="3"/>
    <x v="1"/>
    <s v="Senior"/>
    <x v="0"/>
    <s v="41-50"/>
    <x v="4"/>
    <s v="01/05/2023"/>
    <s v="10/12/2024"/>
    <n v="2"/>
    <n v="386000"/>
    <n v="4"/>
    <n v="10"/>
    <x v="0"/>
  </r>
  <r>
    <s v="MFS-61949"/>
    <s v="Ugochi Amadi"/>
    <x v="1"/>
    <x v="2"/>
    <x v="2"/>
    <s v="Mid-level"/>
    <x v="0"/>
    <s v="31-40"/>
    <x v="1"/>
    <s v="27/10/2023"/>
    <s v="10/12/2024"/>
    <n v="2"/>
    <n v="350000"/>
    <n v="4.3"/>
    <n v="0"/>
    <x v="1"/>
  </r>
  <r>
    <s v="MFS-34022"/>
    <s v="Wale Musa"/>
    <x v="0"/>
    <x v="2"/>
    <x v="0"/>
    <s v="Junior"/>
    <x v="0"/>
    <s v="41-50"/>
    <x v="0"/>
    <s v="08/04/2019"/>
    <s v="17/12/2024"/>
    <n v="6"/>
    <n v="95000"/>
    <n v="3.5"/>
    <n v="3"/>
    <x v="0"/>
  </r>
  <r>
    <s v="MFS-10167"/>
    <s v="Chioma Oyelaran"/>
    <x v="1"/>
    <x v="0"/>
    <x v="0"/>
    <s v="Senior"/>
    <x v="3"/>
    <s v="22-30"/>
    <x v="0"/>
    <s v="05/05/2021"/>
    <s v="17/12/2024"/>
    <n v="4"/>
    <n v="472000"/>
    <n v="4.5999999999999996"/>
    <n v="12"/>
    <x v="1"/>
  </r>
  <r>
    <s v="MFS-24638"/>
    <s v="Nasiru Onwudiwe"/>
    <x v="0"/>
    <x v="4"/>
    <x v="1"/>
    <s v="Mid-level"/>
    <x v="2"/>
    <s v="51-60"/>
    <x v="0"/>
    <s v="26/05/2023"/>
    <s v="25/03/2024"/>
    <n v="2"/>
    <n v="198000"/>
    <n v="2.7"/>
    <n v="6"/>
    <x v="1"/>
  </r>
  <r>
    <s v="MFS-37481"/>
    <s v="Biodun Shehu"/>
    <x v="0"/>
    <x v="4"/>
    <x v="0"/>
    <s v="Junior"/>
    <x v="0"/>
    <s v="22-30"/>
    <x v="0"/>
    <s v="10/10/2023"/>
    <s v="26/11/2024"/>
    <n v="2"/>
    <n v="118000"/>
    <n v="3"/>
    <n v="6"/>
    <x v="0"/>
  </r>
  <r>
    <s v="MFS-78306"/>
    <s v="Hafsat Shehu"/>
    <x v="1"/>
    <x v="4"/>
    <x v="2"/>
    <s v="Junior"/>
    <x v="3"/>
    <s v="22-30"/>
    <x v="2"/>
    <s v="08/09/2019"/>
    <s v="26/11/2024"/>
    <n v="6"/>
    <n v="109000"/>
    <n v="2.8"/>
    <n v="14"/>
    <x v="0"/>
  </r>
  <r>
    <s v="MFS-79503"/>
    <s v="Ramatu Ihejirika"/>
    <x v="1"/>
    <x v="3"/>
    <x v="2"/>
    <s v="Mid-level"/>
    <x v="2"/>
    <s v="31-40"/>
    <x v="0"/>
    <s v="09/04/2021"/>
    <s v="26/11/2024"/>
    <n v="4"/>
    <n v="220000"/>
    <n v="4.9000000000000004"/>
    <n v="10"/>
    <x v="1"/>
  </r>
  <r>
    <s v="MFS-54614"/>
    <s v="Uche Uba"/>
    <x v="0"/>
    <x v="1"/>
    <x v="0"/>
    <s v="Mid-level"/>
    <x v="2"/>
    <s v="51-60"/>
    <x v="1"/>
    <s v="21/07/2020"/>
    <s v="29/06/2024"/>
    <n v="5"/>
    <n v="275000"/>
    <n v="3.6"/>
    <n v="14"/>
    <x v="1"/>
  </r>
  <r>
    <s v="MFS-73346"/>
    <s v="Lola Obi"/>
    <x v="1"/>
    <x v="2"/>
    <x v="0"/>
    <s v="Junior"/>
    <x v="3"/>
    <s v="31-40"/>
    <x v="3"/>
    <s v="14/07/2021"/>
    <s v="05/09/2022"/>
    <n v="4"/>
    <n v="167000"/>
    <n v="3.2"/>
    <n v="14"/>
    <x v="0"/>
  </r>
  <r>
    <s v="MFS-27169"/>
    <s v="Ifeoma Nduka"/>
    <x v="1"/>
    <x v="4"/>
    <x v="0"/>
    <s v="Mid-level"/>
    <x v="1"/>
    <s v="31-40"/>
    <x v="1"/>
    <s v="18/01/2021"/>
    <s v="05/09/2022"/>
    <n v="5"/>
    <n v="286000"/>
    <n v="2.4"/>
    <n v="3"/>
    <x v="1"/>
  </r>
  <r>
    <s v="MFS-76883"/>
    <s v="Adaeze Adebayo"/>
    <x v="1"/>
    <x v="2"/>
    <x v="0"/>
    <s v="Mid-level"/>
    <x v="0"/>
    <s v="22-30"/>
    <x v="1"/>
    <s v="18/05/2023"/>
    <s v="03/04/2022"/>
    <n v="2"/>
    <n v="189000"/>
    <n v="3.4"/>
    <n v="18"/>
    <x v="0"/>
  </r>
  <r>
    <s v="MFS-85460"/>
    <s v="Laraba Adewale"/>
    <x v="1"/>
    <x v="4"/>
    <x v="1"/>
    <s v="Junior"/>
    <x v="0"/>
    <s v="31-40"/>
    <x v="0"/>
    <s v="12/07/2019"/>
    <s v="03/04/2022"/>
    <n v="6"/>
    <n v="127000"/>
    <n v="1.8"/>
    <n v="14"/>
    <x v="2"/>
  </r>
  <r>
    <s v="MFS-71876"/>
    <s v="Ebuka Adeyemi"/>
    <x v="0"/>
    <x v="4"/>
    <x v="0"/>
    <s v="Mid-level"/>
    <x v="2"/>
    <s v="31-40"/>
    <x v="3"/>
    <s v="16/04/2019"/>
    <s v="15/03/2022"/>
    <n v="6"/>
    <n v="205000"/>
    <n v="2.2000000000000002"/>
    <n v="12"/>
    <x v="0"/>
  </r>
  <r>
    <s v="MFS-81245"/>
    <s v="Bello Nwosu"/>
    <x v="0"/>
    <x v="4"/>
    <x v="0"/>
    <s v="Director"/>
    <x v="1"/>
    <s v="31-40"/>
    <x v="2"/>
    <s v="28/06/2020"/>
    <s v="15/03/2022"/>
    <n v="5"/>
    <n v="1747000"/>
    <n v="4.9000000000000004"/>
    <n v="13"/>
    <x v="1"/>
  </r>
  <r>
    <s v="MFS-91633"/>
    <s v="Tobi Taiwo"/>
    <x v="0"/>
    <x v="4"/>
    <x v="0"/>
    <s v="Manager"/>
    <x v="0"/>
    <s v="31-40"/>
    <x v="1"/>
    <s v="29/05/2021"/>
    <s v="19/05/2022"/>
    <n v="4"/>
    <n v="601000"/>
    <n v="3.7"/>
    <n v="2"/>
    <x v="1"/>
  </r>
  <r>
    <s v="MFS-96902"/>
    <s v="Aliyu Ogundipe"/>
    <x v="0"/>
    <x v="4"/>
    <x v="1"/>
    <s v="Junior"/>
    <x v="0"/>
    <s v="31-40"/>
    <x v="0"/>
    <s v="30/03/2022"/>
    <s v="29/08/2024"/>
    <n v="3"/>
    <n v="158000"/>
    <n v="2.6"/>
    <n v="9"/>
    <x v="0"/>
  </r>
  <r>
    <s v="MFS-82964"/>
    <s v="Femi Suleiman"/>
    <x v="0"/>
    <x v="3"/>
    <x v="0"/>
    <s v="Senior"/>
    <x v="1"/>
    <s v="22-30"/>
    <x v="3"/>
    <s v="04/04/2019"/>
    <s v="29/08/2024"/>
    <n v="6"/>
    <n v="552000"/>
    <n v="3.9"/>
    <n v="7"/>
    <x v="0"/>
  </r>
  <r>
    <s v="MFS-50336"/>
    <s v="Oluwaseun Uba"/>
    <x v="0"/>
    <x v="2"/>
    <x v="0"/>
    <s v="Mid-level"/>
    <x v="2"/>
    <s v="41-50"/>
    <x v="1"/>
    <s v="29/02/2020"/>
    <s v="29/08/2024"/>
    <n v="6"/>
    <n v="221000"/>
    <n v="4.8"/>
    <n v="10"/>
    <x v="0"/>
  </r>
  <r>
    <s v="MFS-25854"/>
    <s v="Aisha Suleiman"/>
    <x v="1"/>
    <x v="2"/>
    <x v="0"/>
    <s v="Senior"/>
    <x v="0"/>
    <s v="41-50"/>
    <x v="0"/>
    <s v="07/07/2020"/>
    <s v="29/08/2024"/>
    <n v="5"/>
    <n v="552000"/>
    <n v="3.2"/>
    <n v="14"/>
    <x v="0"/>
  </r>
  <r>
    <s v="MFS-40991"/>
    <s v="Babatunde Okonkwo"/>
    <x v="0"/>
    <x v="1"/>
    <x v="0"/>
    <s v="Senior"/>
    <x v="0"/>
    <s v="31-40"/>
    <x v="0"/>
    <s v="25/11/2020"/>
    <s v="29/08/2024"/>
    <n v="5"/>
    <n v="424000"/>
    <n v="2.1"/>
    <n v="22"/>
    <x v="0"/>
  </r>
  <r>
    <s v="MFS-11617"/>
    <s v="Chinedu Musa"/>
    <x v="0"/>
    <x v="3"/>
    <x v="0"/>
    <s v="Mid-level"/>
    <x v="0"/>
    <s v="31-40"/>
    <x v="0"/>
    <s v="04/01/2021"/>
    <s v="29/08/2024"/>
    <n v="5"/>
    <n v="262000"/>
    <n v="4.5"/>
    <n v="0"/>
    <x v="0"/>
  </r>
  <r>
    <s v="MFS-99589"/>
    <s v="Jummai Onwudiwe"/>
    <x v="1"/>
    <x v="2"/>
    <x v="2"/>
    <s v="Junior"/>
    <x v="0"/>
    <s v="51-60"/>
    <x v="0"/>
    <s v="21/12/2021"/>
    <s v="29/08/2024"/>
    <n v="4"/>
    <n v="150000"/>
    <n v="2.1"/>
    <n v="10"/>
    <x v="0"/>
  </r>
  <r>
    <s v="MFS-31016"/>
    <s v="Chukwudi Oyelaran"/>
    <x v="0"/>
    <x v="3"/>
    <x v="2"/>
    <s v="Junior"/>
    <x v="1"/>
    <s v="31-40"/>
    <x v="0"/>
    <s v="01/08/2019"/>
    <s v="29/08/2024"/>
    <n v="6"/>
    <n v="162000"/>
    <n v="4.3"/>
    <n v="2"/>
    <x v="0"/>
  </r>
  <r>
    <s v="MFS-15149"/>
    <s v="Tobi Aliyu"/>
    <x v="0"/>
    <x v="2"/>
    <x v="2"/>
    <s v="Director"/>
    <x v="2"/>
    <s v="41-50"/>
    <x v="2"/>
    <s v="23/01/2023"/>
    <s v="29/08/2024"/>
    <n v="3"/>
    <n v="1277000"/>
    <n v="4.5999999999999996"/>
    <n v="34"/>
    <x v="0"/>
  </r>
  <r>
    <s v="MFS-70120"/>
    <s v="Obinna Okeke"/>
    <x v="0"/>
    <x v="2"/>
    <x v="2"/>
    <s v="Mid-level"/>
    <x v="0"/>
    <s v="31-40"/>
    <x v="1"/>
    <s v="01/12/2021"/>
    <s v="29/08/2024"/>
    <n v="4"/>
    <n v="198000"/>
    <n v="2.7"/>
    <n v="8"/>
    <x v="0"/>
  </r>
  <r>
    <s v="MFS-49801"/>
    <s v="Kabiru Musa"/>
    <x v="0"/>
    <x v="1"/>
    <x v="1"/>
    <s v="Senior"/>
    <x v="1"/>
    <s v="51-60"/>
    <x v="0"/>
    <s v="24/06/2022"/>
    <s v="29/08/2024"/>
    <n v="3"/>
    <n v="507000"/>
    <n v="3"/>
    <n v="12"/>
    <x v="1"/>
  </r>
  <r>
    <s v="MFS-73532"/>
    <s v="Yetunde Fagbemi"/>
    <x v="1"/>
    <x v="3"/>
    <x v="1"/>
    <s v="Senior"/>
    <x v="3"/>
    <s v="22-30"/>
    <x v="1"/>
    <s v="20/09/2022"/>
    <s v="25/02/2025"/>
    <n v="3"/>
    <n v="500000"/>
    <n v="4.8"/>
    <n v="15"/>
    <x v="2"/>
  </r>
  <r>
    <s v="MFS-38026"/>
    <s v="Ibrahim Shehu"/>
    <x v="0"/>
    <x v="0"/>
    <x v="0"/>
    <s v="Manager"/>
    <x v="0"/>
    <s v="31-40"/>
    <x v="2"/>
    <s v="10/10/2019"/>
    <s v="04/01/2023"/>
    <n v="6"/>
    <n v="1045000"/>
    <n v="3.8"/>
    <n v="1"/>
    <x v="0"/>
  </r>
  <r>
    <s v="MFS-53345"/>
    <s v="Oghenekaro Okafor"/>
    <x v="0"/>
    <x v="3"/>
    <x v="0"/>
    <s v="Senior"/>
    <x v="0"/>
    <s v="41-50"/>
    <x v="0"/>
    <s v="12/08/2019"/>
    <s v="04/01/2023"/>
    <n v="6"/>
    <n v="374000"/>
    <n v="2.2999999999999998"/>
    <n v="0"/>
    <x v="2"/>
  </r>
  <r>
    <s v="MFS-38023"/>
    <s v="Emeka Bello"/>
    <x v="0"/>
    <x v="3"/>
    <x v="0"/>
    <s v="Senior"/>
    <x v="1"/>
    <s v="31-40"/>
    <x v="3"/>
    <s v="07/01/2021"/>
    <s v="29/05/2024"/>
    <n v="5"/>
    <n v="426000"/>
    <n v="5"/>
    <n v="6"/>
    <x v="3"/>
  </r>
  <r>
    <s v="MFS-89751"/>
    <s v="Chidi Eze"/>
    <x v="0"/>
    <x v="4"/>
    <x v="2"/>
    <s v="Mid-level"/>
    <x v="0"/>
    <s v="22-30"/>
    <x v="0"/>
    <s v="09/01/2019"/>
    <s v="13/06/2023"/>
    <n v="7"/>
    <n v="322000"/>
    <n v="2.1"/>
    <n v="12"/>
    <x v="1"/>
  </r>
  <r>
    <s v="MFS-82577"/>
    <s v="Zainab Adesanya"/>
    <x v="1"/>
    <x v="1"/>
    <x v="0"/>
    <s v="Mid-level"/>
    <x v="0"/>
    <s v="31-40"/>
    <x v="3"/>
    <s v="09/08/2021"/>
    <s v="08/05/2023"/>
    <n v="4"/>
    <n v="252000"/>
    <n v="2.6"/>
    <n v="8"/>
    <x v="3"/>
  </r>
  <r>
    <s v="MFS-18512"/>
    <s v="Uche Musa"/>
    <x v="0"/>
    <x v="0"/>
    <x v="1"/>
    <s v="Junior"/>
    <x v="2"/>
    <s v="31-40"/>
    <x v="1"/>
    <s v="16/03/2021"/>
    <s v="01/06/2023"/>
    <n v="4"/>
    <n v="198000"/>
    <n v="4.0999999999999996"/>
    <n v="5"/>
    <x v="2"/>
  </r>
  <r>
    <s v="MFS-26433"/>
    <s v="Ifeanyi Okeke"/>
    <x v="0"/>
    <x v="2"/>
    <x v="0"/>
    <s v="Mid-level"/>
    <x v="0"/>
    <s v="51-60"/>
    <x v="2"/>
    <s v="15/03/2023"/>
    <s v="08/01/2024"/>
    <n v="2"/>
    <n v="185000"/>
    <n v="4.2"/>
    <n v="11"/>
    <x v="1"/>
  </r>
  <r>
    <s v="MFS-92463"/>
    <s v="Ifeanyi Okeke"/>
    <x v="0"/>
    <x v="2"/>
    <x v="0"/>
    <s v="Mid-level"/>
    <x v="1"/>
    <s v="41-50"/>
    <x v="1"/>
    <s v="25/09/2020"/>
    <s v="08/06/2021"/>
    <n v="5"/>
    <n v="268000"/>
    <n v="2"/>
    <n v="16"/>
    <x v="2"/>
  </r>
  <r>
    <s v="MFS-21368"/>
    <s v="Ugochi Musa"/>
    <x v="1"/>
    <x v="4"/>
    <x v="0"/>
    <s v="Junior"/>
    <x v="0"/>
    <s v="22-30"/>
    <x v="2"/>
    <s v="02/01/2019"/>
    <s v="26/12/2023"/>
    <n v="7"/>
    <n v="134000"/>
    <n v="3"/>
    <n v="9"/>
    <x v="0"/>
  </r>
  <r>
    <s v="MFS-46831"/>
    <s v="Amaka Oyelaran"/>
    <x v="1"/>
    <x v="0"/>
    <x v="2"/>
    <s v="Junior"/>
    <x v="2"/>
    <s v="41-50"/>
    <x v="1"/>
    <s v="04/12/2019"/>
    <s v="26/12/2023"/>
    <n v="6"/>
    <n v="144000"/>
    <n v="4.3"/>
    <n v="13"/>
    <x v="2"/>
  </r>
  <r>
    <s v="MFS-83884"/>
    <s v="Ugochi Chukwu"/>
    <x v="1"/>
    <x v="2"/>
    <x v="0"/>
    <s v="Junior"/>
    <x v="3"/>
    <s v="31-40"/>
    <x v="2"/>
    <s v="16/05/2020"/>
    <s v="17/01/2020"/>
    <n v="5"/>
    <n v="178000"/>
    <n v="4.9000000000000004"/>
    <n v="14"/>
    <x v="0"/>
  </r>
  <r>
    <s v="MFS-34015"/>
    <s v="Zainab Adebayo"/>
    <x v="1"/>
    <x v="3"/>
    <x v="0"/>
    <s v="Junior"/>
    <x v="2"/>
    <s v="31-40"/>
    <x v="1"/>
    <s v="29/03/2020"/>
    <s v="17/01/2020"/>
    <n v="5"/>
    <n v="108000"/>
    <n v="4.8"/>
    <n v="5"/>
    <x v="0"/>
  </r>
  <r>
    <s v="MFS-71476"/>
    <s v="Nkechi Chukwu"/>
    <x v="1"/>
    <x v="3"/>
    <x v="0"/>
    <s v="Mid-level"/>
    <x v="3"/>
    <s v="22-30"/>
    <x v="2"/>
    <s v="23/04/2023"/>
    <s v="17/01/2020"/>
    <n v="2"/>
    <n v="280000"/>
    <n v="3.1"/>
    <n v="10"/>
    <x v="0"/>
  </r>
  <r>
    <s v="MFS-25269"/>
    <s v="Asabe Onwudiwe"/>
    <x v="1"/>
    <x v="2"/>
    <x v="0"/>
    <s v="Mid-level"/>
    <x v="1"/>
    <s v="22-30"/>
    <x v="2"/>
    <s v="18/05/2020"/>
    <s v="17/01/2020"/>
    <n v="5"/>
    <n v="233000"/>
    <n v="4.5"/>
    <n v="13"/>
    <x v="0"/>
  </r>
  <r>
    <s v="MFS-15687"/>
    <s v="Asabe Oyelaran"/>
    <x v="1"/>
    <x v="3"/>
    <x v="0"/>
    <s v="Mid-level"/>
    <x v="0"/>
    <s v="41-50"/>
    <x v="2"/>
    <s v="07/07/2019"/>
    <s v="17/01/2020"/>
    <n v="6"/>
    <n v="213000"/>
    <n v="2.2999999999999998"/>
    <n v="0"/>
    <x v="2"/>
  </r>
  <r>
    <s v="MFS-14943"/>
    <s v="Nkechi Ogundipe"/>
    <x v="1"/>
    <x v="3"/>
    <x v="0"/>
    <s v="Senior"/>
    <x v="2"/>
    <s v="31-40"/>
    <x v="2"/>
    <s v="02/04/2019"/>
    <s v="13/08/2022"/>
    <n v="6"/>
    <n v="393000"/>
    <n v="3.9"/>
    <n v="5"/>
    <x v="0"/>
  </r>
  <r>
    <s v="MFS-11301"/>
    <s v="Amaka Okonkwo"/>
    <x v="1"/>
    <x v="0"/>
    <x v="1"/>
    <s v="Junior"/>
    <x v="2"/>
    <s v="22-30"/>
    <x v="0"/>
    <s v="05/11/2019"/>
    <s v="13/08/2022"/>
    <n v="6"/>
    <n v="198000"/>
    <n v="3.5"/>
    <n v="12"/>
    <x v="3"/>
  </r>
  <r>
    <s v="MFS-32668"/>
    <s v="Chidi Coker"/>
    <x v="0"/>
    <x v="0"/>
    <x v="0"/>
    <s v="Junior"/>
    <x v="0"/>
    <s v="22-30"/>
    <x v="0"/>
    <s v="01/10/2019"/>
    <s v="21/06/2021"/>
    <n v="6"/>
    <n v="109000"/>
    <n v="4.0999999999999996"/>
    <n v="12"/>
    <x v="0"/>
  </r>
  <r>
    <s v="MFS-21162"/>
    <s v="Yemi Adeyemi"/>
    <x v="1"/>
    <x v="4"/>
    <x v="0"/>
    <s v="Senior"/>
    <x v="3"/>
    <s v="41-50"/>
    <x v="0"/>
    <s v="08/02/2023"/>
    <s v="21/06/2021"/>
    <n v="3"/>
    <n v="492000"/>
    <n v="4.3"/>
    <n v="2"/>
    <x v="0"/>
  </r>
  <r>
    <s v="MFS-22109"/>
    <s v="Haruna Bello"/>
    <x v="0"/>
    <x v="4"/>
    <x v="0"/>
    <s v="Junior"/>
    <x v="2"/>
    <s v="41-50"/>
    <x v="2"/>
    <s v="18/07/2022"/>
    <s v="21/06/2021"/>
    <n v="3"/>
    <n v="148000"/>
    <n v="2.2000000000000002"/>
    <n v="3"/>
    <x v="0"/>
  </r>
  <r>
    <s v="MFS-43031"/>
    <s v="Seun Shehu"/>
    <x v="0"/>
    <x v="4"/>
    <x v="0"/>
    <s v="Mid-level"/>
    <x v="3"/>
    <s v="31-40"/>
    <x v="0"/>
    <s v="11/06/2020"/>
    <s v="21/06/2021"/>
    <n v="5"/>
    <n v="183000"/>
    <n v="2.7"/>
    <n v="0"/>
    <x v="1"/>
  </r>
  <r>
    <s v="MFS-73201"/>
    <s v="Fatima Okafor"/>
    <x v="1"/>
    <x v="4"/>
    <x v="2"/>
    <s v="Junior"/>
    <x v="1"/>
    <s v="31-40"/>
    <x v="0"/>
    <s v="22/10/2023"/>
    <s v="18/05/2024"/>
    <n v="2"/>
    <n v="131000"/>
    <n v="1.6"/>
    <n v="28"/>
    <x v="1"/>
  </r>
  <r>
    <s v="MFS-60243"/>
    <s v="Abubakar Uba"/>
    <x v="0"/>
    <x v="2"/>
    <x v="0"/>
    <s v="Senior"/>
    <x v="0"/>
    <s v="31-40"/>
    <x v="1"/>
    <s v="27/12/2022"/>
    <s v="28/12/2021"/>
    <n v="3"/>
    <n v="445000"/>
    <n v="3.7"/>
    <n v="6"/>
    <x v="0"/>
  </r>
  <r>
    <s v="MFS-24239"/>
    <s v="Nasiru Haruna"/>
    <x v="0"/>
    <x v="0"/>
    <x v="0"/>
    <s v="Mid-level"/>
    <x v="0"/>
    <s v="41-50"/>
    <x v="1"/>
    <s v="27/09/2021"/>
    <s v="28/12/2021"/>
    <n v="4"/>
    <n v="209000"/>
    <n v="4.7"/>
    <n v="3"/>
    <x v="0"/>
  </r>
  <r>
    <s v="MFS-98304"/>
    <s v="Nana Lawal"/>
    <x v="1"/>
    <x v="4"/>
    <x v="0"/>
    <s v="Junior"/>
    <x v="3"/>
    <s v="22-30"/>
    <x v="0"/>
    <s v="17/08/2020"/>
    <s v="28/12/2021"/>
    <n v="5"/>
    <n v="111000"/>
    <n v="2.1"/>
    <n v="13"/>
    <x v="1"/>
  </r>
  <r>
    <s v="MFS-43301"/>
    <s v="Bimpe Nwachukwu"/>
    <x v="1"/>
    <x v="2"/>
    <x v="0"/>
    <s v="Mid-level"/>
    <x v="2"/>
    <s v="22-30"/>
    <x v="0"/>
    <s v="20/10/2020"/>
    <s v="06/09/2023"/>
    <n v="5"/>
    <n v="299000"/>
    <n v="3.4"/>
    <n v="3"/>
    <x v="3"/>
  </r>
  <r>
    <s v="MFS-12399"/>
    <s v="Oghenekaro Adewale"/>
    <x v="0"/>
    <x v="2"/>
    <x v="0"/>
    <s v="Junior"/>
    <x v="0"/>
    <s v="51-60"/>
    <x v="0"/>
    <s v="01/05/2022"/>
    <s v="04/11/2022"/>
    <n v="3"/>
    <n v="165000"/>
    <n v="3.8"/>
    <n v="10"/>
    <x v="3"/>
  </r>
  <r>
    <s v="MFS-33716"/>
    <s v="Zainab Onwudiwe"/>
    <x v="1"/>
    <x v="2"/>
    <x v="0"/>
    <s v="Mid-level"/>
    <x v="1"/>
    <s v="31-40"/>
    <x v="0"/>
    <s v="28/09/2021"/>
    <s v="14/03/2025"/>
    <n v="4"/>
    <n v="243000"/>
    <n v="2.2999999999999998"/>
    <n v="25"/>
    <x v="2"/>
  </r>
  <r>
    <s v="MFS-91590"/>
    <s v="Yakubu Obi"/>
    <x v="0"/>
    <x v="3"/>
    <x v="2"/>
    <s v="Senior"/>
    <x v="2"/>
    <s v="22-30"/>
    <x v="0"/>
    <s v="17/05/2022"/>
    <s v="21/01/2023"/>
    <n v="3"/>
    <n v="558000"/>
    <n v="4.9000000000000004"/>
    <n v="5"/>
    <x v="1"/>
  </r>
  <r>
    <s v="MFS-99664"/>
    <s v="Yemi Okeke"/>
    <x v="1"/>
    <x v="1"/>
    <x v="1"/>
    <s v="Junior"/>
    <x v="0"/>
    <s v="22-30"/>
    <x v="3"/>
    <s v="24/09/2020"/>
    <s v="28/09/2024"/>
    <n v="5"/>
    <n v="125000"/>
    <n v="2.4"/>
    <n v="13"/>
    <x v="0"/>
  </r>
  <r>
    <s v="MFS-70604"/>
    <s v="Uloma Okeke"/>
    <x v="1"/>
    <x v="2"/>
    <x v="0"/>
    <s v="Junior"/>
    <x v="0"/>
    <s v="22-30"/>
    <x v="3"/>
    <s v="05/12/2022"/>
    <s v="28/09/2024"/>
    <n v="3"/>
    <n v="91000"/>
    <n v="5"/>
    <n v="1"/>
    <x v="3"/>
  </r>
  <r>
    <s v="MFS-88779"/>
    <s v="Ifeanyi Omotayo"/>
    <x v="0"/>
    <x v="2"/>
    <x v="0"/>
    <s v="Senior"/>
    <x v="3"/>
    <s v="51-60"/>
    <x v="1"/>
    <s v="31/08/2022"/>
    <s v="25/01/2023"/>
    <n v="3"/>
    <n v="483000"/>
    <n v="4.2"/>
    <n v="10"/>
    <x v="0"/>
  </r>
  <r>
    <s v="MFS-34513"/>
    <s v="Sola Obaseki"/>
    <x v="1"/>
    <x v="4"/>
    <x v="0"/>
    <s v="Mid-level"/>
    <x v="3"/>
    <s v="31-40"/>
    <x v="1"/>
    <s v="01/06/2022"/>
    <s v="25/01/2023"/>
    <n v="3"/>
    <n v="273000"/>
    <n v="2.2000000000000002"/>
    <n v="11"/>
    <x v="0"/>
  </r>
  <r>
    <s v="MFS-93160"/>
    <s v="Lanre Oyelaran"/>
    <x v="0"/>
    <x v="4"/>
    <x v="0"/>
    <s v="Manager"/>
    <x v="3"/>
    <s v="31-40"/>
    <x v="1"/>
    <s v="25/03/2022"/>
    <s v="25/01/2023"/>
    <n v="3"/>
    <n v="686000"/>
    <n v="4.0999999999999996"/>
    <n v="2"/>
    <x v="2"/>
  </r>
  <r>
    <s v="MFS-92860"/>
    <s v="Femi Coker"/>
    <x v="0"/>
    <x v="0"/>
    <x v="0"/>
    <s v="Junior"/>
    <x v="2"/>
    <s v="31-40"/>
    <x v="1"/>
    <s v="14/07/2019"/>
    <s v="08/01/2023"/>
    <n v="6"/>
    <n v="158000"/>
    <n v="2.7"/>
    <n v="1"/>
    <x v="2"/>
  </r>
  <r>
    <s v="MFS-61967"/>
    <s v="Oluwaseun Bello"/>
    <x v="0"/>
    <x v="4"/>
    <x v="0"/>
    <s v="Mid-level"/>
    <x v="0"/>
    <s v="51-60"/>
    <x v="0"/>
    <s v="23/11/2023"/>
    <s v="21/06/2023"/>
    <n v="2"/>
    <n v="291000"/>
    <n v="4.3"/>
    <n v="34"/>
    <x v="0"/>
  </r>
  <r>
    <s v="MFS-18951"/>
    <s v="Nana Nnamdi"/>
    <x v="1"/>
    <x v="0"/>
    <x v="2"/>
    <s v="Director"/>
    <x v="1"/>
    <s v="41-50"/>
    <x v="2"/>
    <s v="02/05/2019"/>
    <s v="21/06/2023"/>
    <n v="6"/>
    <n v="2200000"/>
    <n v="4.7"/>
    <n v="6"/>
    <x v="0"/>
  </r>
  <r>
    <s v="MFS-66734"/>
    <s v="Nkechi Okafor"/>
    <x v="1"/>
    <x v="3"/>
    <x v="0"/>
    <s v="Mid-level"/>
    <x v="0"/>
    <s v="31-40"/>
    <x v="2"/>
    <s v="22/12/2022"/>
    <s v="21/06/2023"/>
    <n v="3"/>
    <n v="195000"/>
    <n v="4.5"/>
    <n v="3"/>
    <x v="3"/>
  </r>
  <r>
    <s v="MFS-78244"/>
    <s v="Lanre Garba"/>
    <x v="0"/>
    <x v="0"/>
    <x v="0"/>
    <s v="Manager"/>
    <x v="0"/>
    <s v="41-50"/>
    <x v="2"/>
    <s v="15/05/2023"/>
    <s v="01/11/2024"/>
    <n v="2"/>
    <n v="873000"/>
    <n v="4"/>
    <n v="37"/>
    <x v="0"/>
  </r>
  <r>
    <s v="MFS-26768"/>
    <s v="Aliyu Danladi"/>
    <x v="0"/>
    <x v="4"/>
    <x v="0"/>
    <s v="Mid-level"/>
    <x v="2"/>
    <s v="22-30"/>
    <x v="1"/>
    <s v="25/07/2023"/>
    <s v="01/11/2024"/>
    <n v="2"/>
    <n v="345000"/>
    <n v="2.2999999999999998"/>
    <n v="28"/>
    <x v="1"/>
  </r>
  <r>
    <s v="MFS-20998"/>
    <s v="Uloma Omotayo"/>
    <x v="1"/>
    <x v="3"/>
    <x v="0"/>
    <s v="Senior"/>
    <x v="2"/>
    <s v="22-30"/>
    <x v="1"/>
    <s v="14/07/2021"/>
    <s v="15/01/2025"/>
    <n v="4"/>
    <n v="360000"/>
    <n v="4.4000000000000004"/>
    <n v="9"/>
    <x v="0"/>
  </r>
  <r>
    <s v="MFS-23432"/>
    <s v="Nasiru Danladi"/>
    <x v="0"/>
    <x v="1"/>
    <x v="0"/>
    <s v="Senior"/>
    <x v="2"/>
    <s v="31-40"/>
    <x v="1"/>
    <s v="26/01/2021"/>
    <s v="15/01/2025"/>
    <n v="5"/>
    <n v="453000"/>
    <n v="3.2"/>
    <n v="19"/>
    <x v="0"/>
  </r>
  <r>
    <s v="MFS-93228"/>
    <s v="Bimpe Yakubu"/>
    <x v="1"/>
    <x v="2"/>
    <x v="0"/>
    <s v="Mid-level"/>
    <x v="2"/>
    <s v="51-60"/>
    <x v="2"/>
    <s v="11/07/2021"/>
    <s v="15/01/2025"/>
    <n v="4"/>
    <n v="234000"/>
    <n v="3.2"/>
    <n v="9"/>
    <x v="2"/>
  </r>
  <r>
    <s v="MFS-33638"/>
    <s v="Kunle Adewale"/>
    <x v="0"/>
    <x v="0"/>
    <x v="0"/>
    <s v="Junior"/>
    <x v="0"/>
    <s v="41-50"/>
    <x v="2"/>
    <s v="09/09/2020"/>
    <s v="18/03/2025"/>
    <n v="5"/>
    <n v="163000"/>
    <n v="2.8"/>
    <n v="2"/>
    <x v="0"/>
  </r>
  <r>
    <s v="MFS-70536"/>
    <s v="Ebuka Obaseki"/>
    <x v="0"/>
    <x v="1"/>
    <x v="0"/>
    <s v="Junior"/>
    <x v="0"/>
    <s v="41-50"/>
    <x v="2"/>
    <s v="15/05/2021"/>
    <s v="18/03/2025"/>
    <n v="4"/>
    <n v="142000"/>
    <n v="2.1"/>
    <n v="18"/>
    <x v="0"/>
  </r>
  <r>
    <s v="MFS-90705"/>
    <s v="Damilola Okonkwo"/>
    <x v="1"/>
    <x v="4"/>
    <x v="0"/>
    <s v="Manager"/>
    <x v="0"/>
    <s v="31-40"/>
    <x v="1"/>
    <s v="24/10/2022"/>
    <s v="18/03/2025"/>
    <n v="3"/>
    <n v="923000"/>
    <n v="5"/>
    <n v="14"/>
    <x v="1"/>
  </r>
  <r>
    <s v="MFS-66721"/>
    <s v="Babatunde Shehu"/>
    <x v="0"/>
    <x v="1"/>
    <x v="2"/>
    <s v="Junior"/>
    <x v="1"/>
    <s v="31-40"/>
    <x v="2"/>
    <s v="14/02/2023"/>
    <s v="17/01/2024"/>
    <n v="3"/>
    <n v="154000"/>
    <n v="3.4"/>
    <n v="34"/>
    <x v="2"/>
  </r>
  <r>
    <s v="MFS-99728"/>
    <s v="Ifeoma Oyelaran"/>
    <x v="1"/>
    <x v="2"/>
    <x v="0"/>
    <s v="Junior"/>
    <x v="0"/>
    <s v="22-30"/>
    <x v="0"/>
    <s v="03/09/2020"/>
    <s v="24/02/2022"/>
    <n v="5"/>
    <n v="113000"/>
    <n v="2.6"/>
    <n v="31"/>
    <x v="0"/>
  </r>
  <r>
    <s v="MFS-44520"/>
    <s v="Uche Ogbonna"/>
    <x v="0"/>
    <x v="2"/>
    <x v="0"/>
    <s v="Mid-level"/>
    <x v="0"/>
    <s v="41-50"/>
    <x v="2"/>
    <s v="13/03/2022"/>
    <s v="24/02/2022"/>
    <n v="3"/>
    <n v="345000"/>
    <n v="3"/>
    <n v="13"/>
    <x v="0"/>
  </r>
  <r>
    <s v="MFS-68140"/>
    <s v="Rabiu Ogundipe"/>
    <x v="0"/>
    <x v="2"/>
    <x v="0"/>
    <s v="Senior"/>
    <x v="0"/>
    <s v="22-30"/>
    <x v="1"/>
    <s v="31/07/2019"/>
    <s v="24/02/2022"/>
    <n v="6"/>
    <n v="429000"/>
    <n v="4.3"/>
    <n v="3"/>
    <x v="0"/>
  </r>
  <r>
    <s v="MFS-59209"/>
    <s v="Lanre Taiwo"/>
    <x v="0"/>
    <x v="2"/>
    <x v="2"/>
    <s v="Mid-level"/>
    <x v="2"/>
    <s v="31-40"/>
    <x v="0"/>
    <s v="08/10/2023"/>
    <s v="24/02/2022"/>
    <n v="2"/>
    <n v="308000"/>
    <n v="3.5"/>
    <n v="3"/>
    <x v="0"/>
  </r>
  <r>
    <s v="MFS-12749"/>
    <s v="Ronke Haruna"/>
    <x v="1"/>
    <x v="2"/>
    <x v="0"/>
    <s v="Junior"/>
    <x v="1"/>
    <s v="22-30"/>
    <x v="3"/>
    <s v="31/12/2020"/>
    <s v="24/02/2022"/>
    <n v="5"/>
    <n v="112000"/>
    <n v="2.2999999999999998"/>
    <n v="1"/>
    <x v="1"/>
  </r>
  <r>
    <s v="MFS-88342"/>
    <s v="Chidi Lawal"/>
    <x v="0"/>
    <x v="1"/>
    <x v="0"/>
    <s v="Mid-level"/>
    <x v="0"/>
    <s v="31-40"/>
    <x v="0"/>
    <s v="02/06/2022"/>
    <s v="05/08/2023"/>
    <n v="3"/>
    <n v="237000"/>
    <n v="2.5"/>
    <n v="6"/>
    <x v="0"/>
  </r>
  <r>
    <s v="MFS-63303"/>
    <s v="Amaka Danladi"/>
    <x v="1"/>
    <x v="2"/>
    <x v="0"/>
    <s v="Junior"/>
    <x v="0"/>
    <s v="31-40"/>
    <x v="1"/>
    <s v="26/04/2020"/>
    <s v="05/08/2023"/>
    <n v="5"/>
    <n v="159000"/>
    <n v="3.9"/>
    <n v="7"/>
    <x v="2"/>
  </r>
  <r>
    <s v="MFS-85892"/>
    <s v="Obiora Ihejirika"/>
    <x v="0"/>
    <x v="2"/>
    <x v="0"/>
    <s v="Junior"/>
    <x v="0"/>
    <s v="41-50"/>
    <x v="0"/>
    <s v="24/11/2022"/>
    <s v="26/05/2023"/>
    <n v="3"/>
    <n v="157000"/>
    <n v="4.8"/>
    <n v="10"/>
    <x v="3"/>
  </r>
  <r>
    <s v="MFS-98575"/>
    <s v="Zainab Uba"/>
    <x v="1"/>
    <x v="3"/>
    <x v="1"/>
    <s v="Senior"/>
    <x v="1"/>
    <s v="31-40"/>
    <x v="2"/>
    <s v="24/02/2022"/>
    <s v="04/01/2023"/>
    <n v="4"/>
    <n v="519000"/>
    <n v="2.2000000000000002"/>
    <n v="1"/>
    <x v="1"/>
  </r>
  <r>
    <s v="MFS-69021"/>
    <s v="Bilkisu Adeyemi"/>
    <x v="1"/>
    <x v="0"/>
    <x v="0"/>
    <s v="Senior"/>
    <x v="0"/>
    <s v="31-40"/>
    <x v="0"/>
    <s v="01/10/2023"/>
    <s v="16/08/2023"/>
    <n v="2"/>
    <n v="493000"/>
    <n v="4.0999999999999996"/>
    <n v="32"/>
    <x v="0"/>
  </r>
  <r>
    <s v="MFS-48512"/>
    <s v="Ogechi Buhari"/>
    <x v="1"/>
    <x v="4"/>
    <x v="0"/>
    <s v="Junior"/>
    <x v="0"/>
    <s v="31-40"/>
    <x v="1"/>
    <s v="02/07/2023"/>
    <s v="16/08/2023"/>
    <n v="2"/>
    <n v="89000"/>
    <n v="3.1"/>
    <n v="1"/>
    <x v="0"/>
  </r>
  <r>
    <s v="MFS-36767"/>
    <s v="Falmata Haruna"/>
    <x v="1"/>
    <x v="1"/>
    <x v="2"/>
    <s v="Senior"/>
    <x v="0"/>
    <s v="41-50"/>
    <x v="0"/>
    <s v="16/03/2022"/>
    <s v="16/08/2023"/>
    <n v="3"/>
    <n v="416000"/>
    <n v="2.1"/>
    <n v="6"/>
    <x v="2"/>
  </r>
  <r>
    <s v="MFS-86704"/>
    <s v="Haruna Adesanya"/>
    <x v="0"/>
    <x v="3"/>
    <x v="0"/>
    <s v="Mid-level"/>
    <x v="0"/>
    <s v="22-30"/>
    <x v="4"/>
    <s v="12/09/2019"/>
    <s v="21/10/2023"/>
    <n v="6"/>
    <n v="291000"/>
    <n v="4.7"/>
    <n v="7"/>
    <x v="2"/>
  </r>
  <r>
    <s v="MFS-78679"/>
    <s v="Amaka Okeke"/>
    <x v="1"/>
    <x v="2"/>
    <x v="0"/>
    <s v="Manager"/>
    <x v="2"/>
    <s v="22-30"/>
    <x v="1"/>
    <s v="04/01/2023"/>
    <s v="01/03/2025"/>
    <n v="3"/>
    <n v="926000"/>
    <n v="3.4"/>
    <n v="6"/>
    <x v="0"/>
  </r>
  <r>
    <s v="MFS-52224"/>
    <s v="Adaora Haruna"/>
    <x v="1"/>
    <x v="2"/>
    <x v="2"/>
    <s v="Senior"/>
    <x v="2"/>
    <s v="22-30"/>
    <x v="2"/>
    <s v="15/06/2019"/>
    <s v="01/03/2025"/>
    <n v="6"/>
    <n v="588000"/>
    <n v="2.4"/>
    <n v="4"/>
    <x v="0"/>
  </r>
  <r>
    <s v="MFS-97662"/>
    <s v="Tunde Onwudiwe"/>
    <x v="0"/>
    <x v="0"/>
    <x v="0"/>
    <s v="Junior"/>
    <x v="2"/>
    <s v="31-40"/>
    <x v="3"/>
    <s v="21/04/2022"/>
    <s v="01/03/2025"/>
    <n v="3"/>
    <n v="98000"/>
    <n v="4.2"/>
    <n v="6"/>
    <x v="0"/>
  </r>
  <r>
    <s v="MFS-66807"/>
    <s v="Abubakar Okafor"/>
    <x v="0"/>
    <x v="2"/>
    <x v="2"/>
    <s v="Senior"/>
    <x v="0"/>
    <s v="22-30"/>
    <x v="0"/>
    <s v="24/08/2019"/>
    <s v="01/03/2025"/>
    <n v="6"/>
    <n v="551000"/>
    <n v="4.9000000000000004"/>
    <n v="7"/>
    <x v="1"/>
  </r>
  <r>
    <s v="MFS-48663"/>
    <s v="Funmilayo Omotayo"/>
    <x v="1"/>
    <x v="4"/>
    <x v="2"/>
    <s v="Mid-level"/>
    <x v="1"/>
    <s v="41-50"/>
    <x v="0"/>
    <s v="27/11/2023"/>
    <s v="01/03/2025"/>
    <n v="2"/>
    <n v="274000"/>
    <n v="2.4"/>
    <n v="34"/>
    <x v="1"/>
  </r>
  <r>
    <s v="MFS-42719"/>
    <s v="Chukwudi Okeke"/>
    <x v="0"/>
    <x v="4"/>
    <x v="0"/>
    <s v="Junior"/>
    <x v="2"/>
    <s v="22-30"/>
    <x v="2"/>
    <s v="01/07/2022"/>
    <s v="20/04/2023"/>
    <n v="3"/>
    <n v="164000"/>
    <n v="2.7"/>
    <n v="10"/>
    <x v="0"/>
  </r>
  <r>
    <s v="MFS-38469"/>
    <s v="Rotimi Bello"/>
    <x v="0"/>
    <x v="4"/>
    <x v="0"/>
    <s v="Mid-level"/>
    <x v="0"/>
    <s v="51-60"/>
    <x v="1"/>
    <s v="23/12/2022"/>
    <s v="20/04/2023"/>
    <n v="3"/>
    <n v="220000"/>
    <n v="1.8"/>
    <n v="11"/>
    <x v="0"/>
  </r>
  <r>
    <s v="MFS-83727"/>
    <s v="Zainab Buhari"/>
    <x v="1"/>
    <x v="2"/>
    <x v="0"/>
    <s v="Junior"/>
    <x v="0"/>
    <s v="22-30"/>
    <x v="0"/>
    <s v="28/10/2021"/>
    <s v="20/04/2023"/>
    <n v="4"/>
    <n v="152000"/>
    <n v="3.6"/>
    <n v="3"/>
    <x v="0"/>
  </r>
  <r>
    <s v="MFS-11580"/>
    <s v="Kunle Buhari"/>
    <x v="0"/>
    <x v="3"/>
    <x v="0"/>
    <s v="Junior"/>
    <x v="2"/>
    <s v="31-40"/>
    <x v="1"/>
    <s v="12/02/2020"/>
    <s v="20/04/2023"/>
    <n v="6"/>
    <n v="90000"/>
    <n v="3.2"/>
    <n v="7"/>
    <x v="0"/>
  </r>
  <r>
    <s v="MFS-29934"/>
    <s v="Babatunde Taiwo"/>
    <x v="0"/>
    <x v="4"/>
    <x v="1"/>
    <s v="Mid-level"/>
    <x v="2"/>
    <s v="41-50"/>
    <x v="0"/>
    <s v="28/11/2019"/>
    <s v="20/04/2023"/>
    <n v="6"/>
    <n v="294000"/>
    <n v="3.7"/>
    <n v="8"/>
    <x v="0"/>
  </r>
  <r>
    <s v="MFS-29151"/>
    <s v="Bimpe Aliyu"/>
    <x v="1"/>
    <x v="0"/>
    <x v="1"/>
    <s v="Junior"/>
    <x v="2"/>
    <s v="51-60"/>
    <x v="3"/>
    <s v="07/07/2022"/>
    <s v="20/04/2023"/>
    <n v="3"/>
    <n v="192000"/>
    <n v="3.1"/>
    <n v="4"/>
    <x v="0"/>
  </r>
  <r>
    <s v="MFS-63319"/>
    <s v="Ifeanyi Adesanya"/>
    <x v="0"/>
    <x v="1"/>
    <x v="2"/>
    <s v="Mid-level"/>
    <x v="0"/>
    <s v="22-30"/>
    <x v="0"/>
    <s v="12/09/2021"/>
    <s v="20/04/2023"/>
    <n v="4"/>
    <n v="204000"/>
    <n v="2.5"/>
    <n v="7"/>
    <x v="0"/>
  </r>
  <r>
    <s v="MFS-55046"/>
    <s v="Ikenna Chukwu"/>
    <x v="0"/>
    <x v="2"/>
    <x v="0"/>
    <s v="Mid-level"/>
    <x v="3"/>
    <s v="22-30"/>
    <x v="1"/>
    <s v="08/08/2023"/>
    <s v="20/04/2023"/>
    <n v="2"/>
    <n v="233000"/>
    <n v="4.0999999999999996"/>
    <n v="29"/>
    <x v="0"/>
  </r>
  <r>
    <s v="MFS-22424"/>
    <s v="Ezinne Okafor"/>
    <x v="1"/>
    <x v="2"/>
    <x v="0"/>
    <s v="Mid-level"/>
    <x v="0"/>
    <s v="41-50"/>
    <x v="0"/>
    <s v="30/11/2021"/>
    <s v="20/04/2023"/>
    <n v="4"/>
    <n v="268000"/>
    <n v="5"/>
    <n v="14"/>
    <x v="0"/>
  </r>
  <r>
    <s v="MFS-51089"/>
    <s v="Dele Buhari"/>
    <x v="0"/>
    <x v="1"/>
    <x v="0"/>
    <s v="Junior"/>
    <x v="1"/>
    <s v="51-60"/>
    <x v="2"/>
    <s v="05/07/2020"/>
    <s v="20/04/2023"/>
    <n v="5"/>
    <n v="120000"/>
    <n v="3.9"/>
    <n v="6"/>
    <x v="0"/>
  </r>
  <r>
    <s v="MFS-27778"/>
    <s v="Ibrahim Fagbemi"/>
    <x v="0"/>
    <x v="4"/>
    <x v="0"/>
    <s v="Junior"/>
    <x v="0"/>
    <s v="31-40"/>
    <x v="1"/>
    <s v="02/07/2022"/>
    <s v="20/04/2023"/>
    <n v="3"/>
    <n v="142000"/>
    <n v="3"/>
    <n v="11"/>
    <x v="0"/>
  </r>
  <r>
    <s v="MFS-69781"/>
    <s v="Haruna Fagbemi"/>
    <x v="0"/>
    <x v="2"/>
    <x v="0"/>
    <s v="Mid-level"/>
    <x v="1"/>
    <s v="31-40"/>
    <x v="0"/>
    <s v="19/07/2021"/>
    <s v="20/04/2023"/>
    <n v="4"/>
    <n v="309000"/>
    <n v="3.3"/>
    <n v="22"/>
    <x v="1"/>
  </r>
  <r>
    <s v="MFS-67080"/>
    <s v="Kabiru Adesanya"/>
    <x v="0"/>
    <x v="3"/>
    <x v="0"/>
    <s v="Senior"/>
    <x v="1"/>
    <s v="31-40"/>
    <x v="0"/>
    <s v="12/11/2022"/>
    <s v="19/02/2022"/>
    <n v="3"/>
    <n v="560000"/>
    <n v="3.9"/>
    <n v="1"/>
    <x v="0"/>
  </r>
  <r>
    <s v="MFS-78402"/>
    <s v="Usman Okeke"/>
    <x v="0"/>
    <x v="2"/>
    <x v="2"/>
    <s v="Mid-level"/>
    <x v="1"/>
    <s v="41-50"/>
    <x v="1"/>
    <s v="19/01/2020"/>
    <s v="19/02/2022"/>
    <n v="6"/>
    <n v="188000"/>
    <n v="4.5"/>
    <n v="11"/>
    <x v="2"/>
  </r>
  <r>
    <s v="MFS-68083"/>
    <s v="Nana Coker"/>
    <x v="1"/>
    <x v="4"/>
    <x v="0"/>
    <s v="Mid-level"/>
    <x v="3"/>
    <s v="51-60"/>
    <x v="3"/>
    <s v="15/06/2021"/>
    <s v="23/03/2023"/>
    <n v="4"/>
    <n v="225000"/>
    <n v="2.4"/>
    <n v="9"/>
    <x v="2"/>
  </r>
  <r>
    <s v="MFS-50102"/>
    <s v="Adebayo Chukwu"/>
    <x v="0"/>
    <x v="1"/>
    <x v="1"/>
    <s v="Junior"/>
    <x v="2"/>
    <s v="22-30"/>
    <x v="0"/>
    <s v="07/08/2020"/>
    <s v="25/04/2022"/>
    <n v="5"/>
    <n v="151000"/>
    <n v="3.5"/>
    <n v="5"/>
    <x v="0"/>
  </r>
  <r>
    <s v="MFS-94839"/>
    <s v="Kabiru Nduka"/>
    <x v="0"/>
    <x v="2"/>
    <x v="0"/>
    <s v="Mid-level"/>
    <x v="3"/>
    <s v="41-50"/>
    <x v="3"/>
    <s v="07/07/2019"/>
    <s v="25/04/2022"/>
    <n v="6"/>
    <n v="241000"/>
    <n v="2.5"/>
    <n v="6"/>
    <x v="0"/>
  </r>
  <r>
    <s v="MFS-95422"/>
    <s v="Garba Aliyu"/>
    <x v="0"/>
    <x v="2"/>
    <x v="0"/>
    <s v="Mid-level"/>
    <x v="1"/>
    <s v="41-50"/>
    <x v="0"/>
    <s v="21/03/2022"/>
    <s v="25/04/2022"/>
    <n v="3"/>
    <n v="193000"/>
    <n v="4.9000000000000004"/>
    <n v="0"/>
    <x v="0"/>
  </r>
  <r>
    <s v="MFS-98892"/>
    <s v="Tobi Obaseki"/>
    <x v="0"/>
    <x v="3"/>
    <x v="1"/>
    <s v="Mid-level"/>
    <x v="1"/>
    <s v="41-50"/>
    <x v="0"/>
    <s v="18/09/2023"/>
    <s v="25/04/2022"/>
    <n v="2"/>
    <n v="185000"/>
    <n v="5"/>
    <n v="13"/>
    <x v="0"/>
  </r>
  <r>
    <s v="MFS-17012"/>
    <s v="Oluwaseun Nwosu"/>
    <x v="0"/>
    <x v="1"/>
    <x v="0"/>
    <s v="Senior"/>
    <x v="0"/>
    <s v="22-30"/>
    <x v="2"/>
    <s v="18/06/2022"/>
    <s v="25/04/2022"/>
    <n v="3"/>
    <n v="474000"/>
    <n v="4.2"/>
    <n v="14"/>
    <x v="0"/>
  </r>
  <r>
    <s v="MFS-21748"/>
    <s v="Nnamdi Adewale"/>
    <x v="0"/>
    <x v="0"/>
    <x v="0"/>
    <s v="Mid-level"/>
    <x v="3"/>
    <s v="22-30"/>
    <x v="0"/>
    <s v="08/04/2023"/>
    <s v="25/04/2022"/>
    <n v="2"/>
    <n v="276000"/>
    <n v="4.5999999999999996"/>
    <n v="9"/>
    <x v="0"/>
  </r>
  <r>
    <s v="MFS-69432"/>
    <s v="Rotimi Ihejirika"/>
    <x v="0"/>
    <x v="4"/>
    <x v="0"/>
    <s v="Junior"/>
    <x v="2"/>
    <s v="41-50"/>
    <x v="4"/>
    <s v="01/09/2019"/>
    <s v="25/04/2022"/>
    <n v="6"/>
    <n v="124000"/>
    <n v="1.5"/>
    <n v="13"/>
    <x v="1"/>
  </r>
  <r>
    <s v="MFS-91159"/>
    <s v="Nnamdi Yakubu"/>
    <x v="0"/>
    <x v="4"/>
    <x v="0"/>
    <s v="Junior"/>
    <x v="0"/>
    <s v="22-30"/>
    <x v="1"/>
    <s v="25/04/2019"/>
    <s v="31/05/2021"/>
    <n v="6"/>
    <n v="85000"/>
    <n v="1.8"/>
    <n v="22"/>
    <x v="2"/>
  </r>
  <r>
    <s v="MFS-77869"/>
    <s v="Biodun Lawal"/>
    <x v="0"/>
    <x v="3"/>
    <x v="0"/>
    <s v="Senior"/>
    <x v="0"/>
    <s v="22-30"/>
    <x v="0"/>
    <s v="12/12/2021"/>
    <s v="28/07/2022"/>
    <n v="4"/>
    <n v="469000"/>
    <n v="5"/>
    <n v="4"/>
    <x v="3"/>
  </r>
  <r>
    <s v="MFS-72423"/>
    <s v="Ibrahim Okeke"/>
    <x v="0"/>
    <x v="1"/>
    <x v="0"/>
    <s v="Senior"/>
    <x v="0"/>
    <s v="31-40"/>
    <x v="1"/>
    <s v="27/09/2020"/>
    <s v="23/07/2024"/>
    <n v="5"/>
    <n v="544000"/>
    <n v="2.9"/>
    <n v="10"/>
    <x v="0"/>
  </r>
  <r>
    <s v="MFS-65532"/>
    <s v="Bilkisu Amadi"/>
    <x v="1"/>
    <x v="0"/>
    <x v="1"/>
    <s v="Manager"/>
    <x v="0"/>
    <s v="22-30"/>
    <x v="0"/>
    <s v="17/03/2023"/>
    <s v="23/07/2024"/>
    <n v="2"/>
    <n v="1045000"/>
    <n v="4.7"/>
    <n v="10"/>
    <x v="0"/>
  </r>
  <r>
    <s v="MFS-99558"/>
    <s v="Dele Uba"/>
    <x v="0"/>
    <x v="1"/>
    <x v="0"/>
    <s v="Junior"/>
    <x v="0"/>
    <s v="22-30"/>
    <x v="1"/>
    <s v="14/05/2022"/>
    <s v="23/07/2024"/>
    <n v="3"/>
    <n v="159000"/>
    <n v="4.0999999999999996"/>
    <n v="10"/>
    <x v="0"/>
  </r>
  <r>
    <s v="MFS-31182"/>
    <s v="Titi Okafor"/>
    <x v="1"/>
    <x v="2"/>
    <x v="2"/>
    <s v="Junior"/>
    <x v="2"/>
    <s v="41-50"/>
    <x v="1"/>
    <s v="28/10/2021"/>
    <s v="23/07/2024"/>
    <n v="4"/>
    <n v="146000"/>
    <n v="3.6"/>
    <n v="6"/>
    <x v="2"/>
  </r>
  <r>
    <s v="MFS-19597"/>
    <s v="Ifeanyi Buhari"/>
    <x v="0"/>
    <x v="4"/>
    <x v="1"/>
    <s v="Manager"/>
    <x v="0"/>
    <s v="31-40"/>
    <x v="2"/>
    <s v="21/10/2023"/>
    <s v="16/05/2024"/>
    <n v="2"/>
    <n v="801000"/>
    <n v="3.1"/>
    <n v="10"/>
    <x v="0"/>
  </r>
  <r>
    <s v="MFS-49935"/>
    <s v="Adeola Okafor"/>
    <x v="0"/>
    <x v="1"/>
    <x v="2"/>
    <s v="Junior"/>
    <x v="0"/>
    <s v="22-30"/>
    <x v="1"/>
    <s v="20/05/2021"/>
    <s v="16/05/2024"/>
    <n v="4"/>
    <n v="140000"/>
    <n v="2.2000000000000002"/>
    <n v="12"/>
    <x v="0"/>
  </r>
  <r>
    <s v="MFS-84145"/>
    <s v="Chioma Uba"/>
    <x v="1"/>
    <x v="3"/>
    <x v="2"/>
    <s v="Manager"/>
    <x v="0"/>
    <s v="22-30"/>
    <x v="2"/>
    <s v="15/06/2022"/>
    <s v="16/05/2024"/>
    <n v="3"/>
    <n v="736000"/>
    <n v="4.7"/>
    <n v="6"/>
    <x v="0"/>
  </r>
  <r>
    <s v="MFS-25880"/>
    <s v="Musa Nnamdi"/>
    <x v="0"/>
    <x v="3"/>
    <x v="2"/>
    <s v="Junior"/>
    <x v="0"/>
    <s v="22-30"/>
    <x v="2"/>
    <s v="19/11/2019"/>
    <s v="16/05/2024"/>
    <n v="6"/>
    <n v="109000"/>
    <n v="4.0999999999999996"/>
    <n v="11"/>
    <x v="0"/>
  </r>
  <r>
    <s v="MFS-94460"/>
    <s v="Jummai Omotayo"/>
    <x v="1"/>
    <x v="2"/>
    <x v="1"/>
    <s v="Mid-level"/>
    <x v="0"/>
    <s v="22-30"/>
    <x v="3"/>
    <s v="27/12/2020"/>
    <s v="16/05/2024"/>
    <n v="5"/>
    <n v="287000"/>
    <n v="4.0999999999999996"/>
    <n v="9"/>
    <x v="3"/>
  </r>
  <r>
    <s v="MFS-19435"/>
    <s v="Fatima Adebayo"/>
    <x v="1"/>
    <x v="2"/>
    <x v="1"/>
    <s v="Junior"/>
    <x v="0"/>
    <s v="41-50"/>
    <x v="0"/>
    <s v="09/12/2020"/>
    <s v="05/12/2023"/>
    <n v="5"/>
    <n v="116000"/>
    <n v="2.8"/>
    <n v="5"/>
    <x v="0"/>
  </r>
  <r>
    <s v="MFS-39419"/>
    <s v="Damilola Fagbemi"/>
    <x v="1"/>
    <x v="4"/>
    <x v="0"/>
    <s v="Senior"/>
    <x v="1"/>
    <s v="22-30"/>
    <x v="2"/>
    <s v="15/03/2023"/>
    <s v="05/12/2023"/>
    <n v="2"/>
    <n v="424000"/>
    <n v="4"/>
    <n v="11"/>
    <x v="0"/>
  </r>
  <r>
    <s v="MFS-37215"/>
    <s v="Emeka Coker"/>
    <x v="0"/>
    <x v="2"/>
    <x v="0"/>
    <s v="Manager"/>
    <x v="0"/>
    <s v="31-40"/>
    <x v="1"/>
    <s v="02/09/2021"/>
    <s v="05/12/2023"/>
    <n v="4"/>
    <n v="853000"/>
    <n v="3.2"/>
    <n v="6"/>
    <x v="2"/>
  </r>
  <r>
    <s v="MFS-62449"/>
    <s v="Uloma Uba"/>
    <x v="1"/>
    <x v="1"/>
    <x v="0"/>
    <s v="Senior"/>
    <x v="2"/>
    <s v="31-40"/>
    <x v="1"/>
    <s v="16/09/2021"/>
    <s v="02/05/2023"/>
    <n v="4"/>
    <n v="511000"/>
    <n v="3.1"/>
    <n v="14"/>
    <x v="0"/>
  </r>
  <r>
    <s v="MFS-14251"/>
    <s v="Aisha Nnamdi"/>
    <x v="1"/>
    <x v="2"/>
    <x v="0"/>
    <s v="Junior"/>
    <x v="0"/>
    <s v="31-40"/>
    <x v="0"/>
    <s v="21/10/2019"/>
    <s v="02/05/2023"/>
    <n v="6"/>
    <n v="95000"/>
    <n v="4.9000000000000004"/>
    <n v="2"/>
    <x v="2"/>
  </r>
  <r>
    <s v="MFS-19732"/>
    <s v="Yakubu Shehu"/>
    <x v="0"/>
    <x v="0"/>
    <x v="1"/>
    <s v="Mid-level"/>
    <x v="1"/>
    <s v="22-30"/>
    <x v="0"/>
    <s v="04/09/2021"/>
    <s v="04/10/2024"/>
    <n v="4"/>
    <n v="292000"/>
    <n v="4"/>
    <n v="5"/>
    <x v="1"/>
  </r>
  <r>
    <s v="MFS-84914"/>
    <s v="Funmilayo Adesanya"/>
    <x v="1"/>
    <x v="0"/>
    <x v="0"/>
    <s v="Senior"/>
    <x v="1"/>
    <s v="31-40"/>
    <x v="1"/>
    <s v="07/05/2019"/>
    <s v="17/03/2022"/>
    <n v="6"/>
    <n v="497000"/>
    <n v="3.9"/>
    <n v="8"/>
    <x v="0"/>
  </r>
  <r>
    <s v="MFS-23531"/>
    <s v="Tunde Amadi"/>
    <x v="0"/>
    <x v="1"/>
    <x v="1"/>
    <s v="Junior"/>
    <x v="0"/>
    <s v="22-30"/>
    <x v="0"/>
    <s v="03/06/2020"/>
    <s v="17/03/2022"/>
    <n v="5"/>
    <n v="105000"/>
    <n v="5"/>
    <n v="37"/>
    <x v="1"/>
  </r>
  <r>
    <s v="MFS-88814"/>
    <s v="Yakubu Okonkwo"/>
    <x v="0"/>
    <x v="2"/>
    <x v="2"/>
    <s v="Mid-level"/>
    <x v="2"/>
    <s v="22-30"/>
    <x v="2"/>
    <s v="19/03/2022"/>
    <s v="24/06/2024"/>
    <n v="3"/>
    <n v="285000"/>
    <n v="4.0999999999999996"/>
    <n v="9"/>
    <x v="1"/>
  </r>
  <r>
    <s v="MFS-14013"/>
    <s v="Aisha Omotayo"/>
    <x v="1"/>
    <x v="2"/>
    <x v="1"/>
    <s v="Senior"/>
    <x v="0"/>
    <s v="41-50"/>
    <x v="0"/>
    <s v="30/01/2020"/>
    <s v="21/10/2022"/>
    <n v="6"/>
    <n v="494000"/>
    <n v="4.3"/>
    <n v="5"/>
    <x v="0"/>
  </r>
  <r>
    <s v="MFS-94916"/>
    <s v="Chukwuemeka Adebayo"/>
    <x v="0"/>
    <x v="2"/>
    <x v="0"/>
    <s v="Junior"/>
    <x v="1"/>
    <s v="31-40"/>
    <x v="1"/>
    <s v="18/08/2020"/>
    <s v="21/10/2022"/>
    <n v="5"/>
    <n v="119000"/>
    <n v="4.3"/>
    <n v="11"/>
    <x v="0"/>
  </r>
  <r>
    <s v="MFS-18430"/>
    <s v="Chukwuemeka Bello"/>
    <x v="0"/>
    <x v="2"/>
    <x v="1"/>
    <s v="Manager"/>
    <x v="3"/>
    <s v="51-60"/>
    <x v="0"/>
    <s v="27/06/2020"/>
    <s v="21/10/2022"/>
    <n v="5"/>
    <n v="876000"/>
    <n v="3.7"/>
    <n v="12"/>
    <x v="2"/>
  </r>
  <r>
    <s v="MFS-73444"/>
    <s v="Ikenna Haruna"/>
    <x v="0"/>
    <x v="4"/>
    <x v="0"/>
    <s v="Junior"/>
    <x v="2"/>
    <s v="22-30"/>
    <x v="0"/>
    <s v="25/02/2023"/>
    <s v="30/06/2022"/>
    <n v="3"/>
    <n v="144000"/>
    <n v="3"/>
    <n v="3"/>
    <x v="0"/>
  </r>
  <r>
    <s v="MFS-12256"/>
    <s v="Bimpe Okeke"/>
    <x v="1"/>
    <x v="3"/>
    <x v="1"/>
    <s v="Senior"/>
    <x v="0"/>
    <s v="31-40"/>
    <x v="0"/>
    <s v="16/08/2020"/>
    <s v="30/06/2022"/>
    <n v="5"/>
    <n v="446000"/>
    <n v="2"/>
    <n v="10"/>
    <x v="0"/>
  </r>
  <r>
    <s v="MFS-53361"/>
    <s v="Ugochi Ogbonna"/>
    <x v="1"/>
    <x v="3"/>
    <x v="1"/>
    <s v="Mid-level"/>
    <x v="1"/>
    <s v="22-30"/>
    <x v="3"/>
    <s v="23/02/2020"/>
    <s v="30/06/2022"/>
    <n v="6"/>
    <n v="278000"/>
    <n v="3.1"/>
    <n v="0"/>
    <x v="0"/>
  </r>
  <r>
    <s v="MFS-84959"/>
    <s v="Ezinne Chukwu"/>
    <x v="1"/>
    <x v="1"/>
    <x v="0"/>
    <s v="Junior"/>
    <x v="0"/>
    <s v="41-50"/>
    <x v="4"/>
    <s v="02/07/2021"/>
    <s v="30/06/2022"/>
    <n v="4"/>
    <n v="158000"/>
    <n v="3.6"/>
    <n v="2"/>
    <x v="1"/>
  </r>
  <r>
    <s v="MFS-41585"/>
    <s v="Kemi Lawal"/>
    <x v="1"/>
    <x v="2"/>
    <x v="0"/>
    <s v="Junior"/>
    <x v="0"/>
    <s v="22-30"/>
    <x v="4"/>
    <s v="23/09/2023"/>
    <s v="04/02/2025"/>
    <n v="2"/>
    <n v="164000"/>
    <n v="2.8"/>
    <n v="7"/>
    <x v="0"/>
  </r>
  <r>
    <s v="MFS-99735"/>
    <s v="Ifeoma Shehu"/>
    <x v="1"/>
    <x v="4"/>
    <x v="1"/>
    <s v="Senior"/>
    <x v="1"/>
    <s v="41-50"/>
    <x v="0"/>
    <s v="01/05/2023"/>
    <s v="04/02/2025"/>
    <n v="2"/>
    <n v="442000"/>
    <n v="4.7"/>
    <n v="10"/>
    <x v="0"/>
  </r>
  <r>
    <s v="MFS-85170"/>
    <s v="Yakubu Musa"/>
    <x v="0"/>
    <x v="4"/>
    <x v="0"/>
    <s v="Mid-level"/>
    <x v="0"/>
    <s v="41-50"/>
    <x v="0"/>
    <s v="25/08/2023"/>
    <s v="04/02/2025"/>
    <n v="2"/>
    <n v="343000"/>
    <n v="3.1"/>
    <n v="6"/>
    <x v="1"/>
  </r>
  <r>
    <s v="MFS-73080"/>
    <s v="Tosin Ogundipe"/>
    <x v="1"/>
    <x v="2"/>
    <x v="0"/>
    <s v="Manager"/>
    <x v="0"/>
    <s v="51-60"/>
    <x v="3"/>
    <s v="03/06/2023"/>
    <s v="10/10/2024"/>
    <n v="2"/>
    <n v="932000"/>
    <n v="4"/>
    <n v="18"/>
    <x v="3"/>
  </r>
  <r>
    <s v="MFS-32871"/>
    <s v="Obinna Bello"/>
    <x v="0"/>
    <x v="0"/>
    <x v="0"/>
    <s v="Junior"/>
    <x v="1"/>
    <s v="31-40"/>
    <x v="3"/>
    <s v="17/09/2019"/>
    <s v="28/01/2021"/>
    <n v="6"/>
    <n v="183000"/>
    <n v="4.2"/>
    <n v="12"/>
    <x v="0"/>
  </r>
  <r>
    <s v="MFS-10189"/>
    <s v="Oghenekaro Abdullahi"/>
    <x v="0"/>
    <x v="3"/>
    <x v="0"/>
    <s v="Senior"/>
    <x v="0"/>
    <s v="22-30"/>
    <x v="0"/>
    <s v="03/10/2023"/>
    <s v="28/01/2021"/>
    <n v="2"/>
    <n v="423000"/>
    <n v="2.6"/>
    <n v="0"/>
    <x v="0"/>
  </r>
  <r>
    <s v="MFS-78451"/>
    <s v="Haruna Onwudiwe"/>
    <x v="0"/>
    <x v="3"/>
    <x v="2"/>
    <s v="Senior"/>
    <x v="1"/>
    <s v="41-50"/>
    <x v="1"/>
    <s v="26/11/2022"/>
    <s v="28/01/2021"/>
    <n v="3"/>
    <n v="520000"/>
    <n v="3.5"/>
    <n v="29"/>
    <x v="0"/>
  </r>
  <r>
    <s v="MFS-93692"/>
    <s v="Emeka Shehu"/>
    <x v="0"/>
    <x v="4"/>
    <x v="0"/>
    <s v="Junior"/>
    <x v="0"/>
    <s v="31-40"/>
    <x v="0"/>
    <s v="05/06/2022"/>
    <s v="28/01/2021"/>
    <n v="3"/>
    <n v="123000"/>
    <n v="3.3"/>
    <n v="4"/>
    <x v="0"/>
  </r>
  <r>
    <s v="MFS-18789"/>
    <s v="Bello Nnamdi"/>
    <x v="0"/>
    <x v="4"/>
    <x v="0"/>
    <s v="Junior"/>
    <x v="2"/>
    <s v="41-50"/>
    <x v="0"/>
    <s v="24/01/2019"/>
    <s v="28/01/2021"/>
    <n v="7"/>
    <n v="105000"/>
    <n v="2.7"/>
    <n v="3"/>
    <x v="1"/>
  </r>
  <r>
    <s v="MFS-59572"/>
    <s v="Ebuka Bello"/>
    <x v="0"/>
    <x v="0"/>
    <x v="2"/>
    <s v="Senior"/>
    <x v="1"/>
    <s v="41-50"/>
    <x v="2"/>
    <s v="06/02/2023"/>
    <s v="15/12/2024"/>
    <n v="3"/>
    <n v="504000"/>
    <n v="2.6"/>
    <n v="1"/>
    <x v="1"/>
  </r>
  <r>
    <s v="MFS-15686"/>
    <s v="Hauwa Nduka"/>
    <x v="1"/>
    <x v="3"/>
    <x v="2"/>
    <s v="Mid-level"/>
    <x v="0"/>
    <s v="41-50"/>
    <x v="0"/>
    <s v="17/12/2023"/>
    <s v="04/03/2025"/>
    <n v="2"/>
    <n v="236000"/>
    <n v="3.2"/>
    <n v="1"/>
    <x v="0"/>
  </r>
  <r>
    <s v="MFS-74413"/>
    <s v="Rukayya Eze"/>
    <x v="1"/>
    <x v="2"/>
    <x v="0"/>
    <s v="Mid-level"/>
    <x v="1"/>
    <s v="22-30"/>
    <x v="0"/>
    <s v="25/10/2021"/>
    <s v="04/03/2025"/>
    <n v="4"/>
    <n v="226000"/>
    <n v="3.6"/>
    <n v="16"/>
    <x v="0"/>
  </r>
  <r>
    <s v="MFS-53082"/>
    <s v="Babatunde Nnamdi"/>
    <x v="0"/>
    <x v="2"/>
    <x v="0"/>
    <s v="Senior"/>
    <x v="1"/>
    <s v="31-40"/>
    <x v="2"/>
    <s v="01/10/2023"/>
    <s v="04/03/2025"/>
    <n v="2"/>
    <n v="533000"/>
    <n v="3"/>
    <n v="0"/>
    <x v="2"/>
  </r>
  <r>
    <s v="MFS-65936"/>
    <s v="Rukayya Nduka"/>
    <x v="1"/>
    <x v="1"/>
    <x v="0"/>
    <s v="Mid-level"/>
    <x v="0"/>
    <s v="31-40"/>
    <x v="3"/>
    <s v="27/09/2023"/>
    <s v="04/12/2024"/>
    <n v="2"/>
    <n v="180000"/>
    <n v="3.6"/>
    <n v="10"/>
    <x v="0"/>
  </r>
  <r>
    <s v="MFS-53466"/>
    <s v="Obiora Buhari"/>
    <x v="0"/>
    <x v="2"/>
    <x v="1"/>
    <s v="Senior"/>
    <x v="2"/>
    <s v="31-40"/>
    <x v="2"/>
    <s v="02/04/2020"/>
    <s v="04/12/2024"/>
    <n v="5"/>
    <n v="598000"/>
    <n v="3.5"/>
    <n v="13"/>
    <x v="0"/>
  </r>
  <r>
    <s v="MFS-69185"/>
    <s v="Bimpe Ogundipe"/>
    <x v="1"/>
    <x v="4"/>
    <x v="2"/>
    <s v="Junior"/>
    <x v="0"/>
    <s v="22-30"/>
    <x v="3"/>
    <s v="14/12/2022"/>
    <s v="04/12/2024"/>
    <n v="3"/>
    <n v="144000"/>
    <n v="2.9"/>
    <n v="3"/>
    <x v="1"/>
  </r>
  <r>
    <s v="MFS-98635"/>
    <s v="Femi Yakubu"/>
    <x v="0"/>
    <x v="4"/>
    <x v="0"/>
    <s v="Mid-level"/>
    <x v="0"/>
    <s v="22-30"/>
    <x v="2"/>
    <s v="21/11/2021"/>
    <s v="20/03/2024"/>
    <n v="4"/>
    <n v="307000"/>
    <n v="4.0999999999999996"/>
    <n v="7"/>
    <x v="3"/>
  </r>
  <r>
    <s v="MFS-32660"/>
    <s v="Aisha Omotayo"/>
    <x v="1"/>
    <x v="1"/>
    <x v="2"/>
    <s v="Senior"/>
    <x v="0"/>
    <s v="31-40"/>
    <x v="1"/>
    <s v="12/03/2022"/>
    <s v="13/06/2024"/>
    <n v="4"/>
    <n v="423000"/>
    <n v="2.1"/>
    <n v="2"/>
    <x v="0"/>
  </r>
  <r>
    <s v="MFS-66042"/>
    <s v="Hafsat Okeke"/>
    <x v="1"/>
    <x v="4"/>
    <x v="1"/>
    <s v="Mid-level"/>
    <x v="0"/>
    <s v="51-60"/>
    <x v="2"/>
    <s v="29/09/2023"/>
    <s v="13/06/2024"/>
    <n v="2"/>
    <n v="269000"/>
    <n v="4.5999999999999996"/>
    <n v="3"/>
    <x v="1"/>
  </r>
  <r>
    <s v="MFS-36750"/>
    <s v="Rukayya Uba"/>
    <x v="1"/>
    <x v="2"/>
    <x v="1"/>
    <s v="Senior"/>
    <x v="0"/>
    <s v="22-30"/>
    <x v="0"/>
    <s v="01/03/2021"/>
    <s v="25/11/2022"/>
    <n v="5"/>
    <n v="497000"/>
    <n v="5"/>
    <n v="7"/>
    <x v="3"/>
  </r>
  <r>
    <s v="MFS-75779"/>
    <s v="Adaora Abdullahi"/>
    <x v="1"/>
    <x v="1"/>
    <x v="0"/>
    <s v="Senior"/>
    <x v="3"/>
    <s v="41-50"/>
    <x v="1"/>
    <s v="28/01/2019"/>
    <s v="09/06/2024"/>
    <n v="7"/>
    <n v="474000"/>
    <n v="4"/>
    <n v="9"/>
    <x v="1"/>
  </r>
  <r>
    <s v="MFS-15397"/>
    <s v="Lola Obaseki"/>
    <x v="1"/>
    <x v="2"/>
    <x v="0"/>
    <s v="Junior"/>
    <x v="1"/>
    <s v="22-30"/>
    <x v="0"/>
    <s v="08/12/2020"/>
    <s v="24/03/2024"/>
    <n v="5"/>
    <n v="126000"/>
    <n v="3"/>
    <n v="13"/>
    <x v="0"/>
  </r>
  <r>
    <s v="MFS-84725"/>
    <s v="Lanre Suleiman"/>
    <x v="0"/>
    <x v="1"/>
    <x v="2"/>
    <s v="Mid-level"/>
    <x v="0"/>
    <s v="22-30"/>
    <x v="2"/>
    <s v="27/11/2021"/>
    <s v="24/03/2024"/>
    <n v="4"/>
    <n v="313000"/>
    <n v="2.2999999999999998"/>
    <n v="13"/>
    <x v="0"/>
  </r>
  <r>
    <s v="MFS-57750"/>
    <s v="Nkechi Haruna"/>
    <x v="1"/>
    <x v="2"/>
    <x v="2"/>
    <s v="Junior"/>
    <x v="3"/>
    <s v="41-50"/>
    <x v="2"/>
    <s v="16/10/2021"/>
    <s v="24/03/2024"/>
    <n v="4"/>
    <n v="120000"/>
    <n v="4.4000000000000004"/>
    <n v="7"/>
    <x v="0"/>
  </r>
  <r>
    <s v="MFS-80609"/>
    <s v="Rukayya Aliyu"/>
    <x v="1"/>
    <x v="4"/>
    <x v="2"/>
    <s v="Senior"/>
    <x v="1"/>
    <s v="41-50"/>
    <x v="0"/>
    <s v="24/01/2023"/>
    <s v="24/03/2024"/>
    <n v="3"/>
    <n v="395000"/>
    <n v="2.4"/>
    <n v="7"/>
    <x v="1"/>
  </r>
  <r>
    <s v="MFS-30155"/>
    <s v="Tobi Bello"/>
    <x v="0"/>
    <x v="2"/>
    <x v="0"/>
    <s v="Mid-level"/>
    <x v="0"/>
    <s v="41-50"/>
    <x v="2"/>
    <s v="28/03/2023"/>
    <s v="25/01/2023"/>
    <n v="2"/>
    <n v="350000"/>
    <n v="2"/>
    <n v="32"/>
    <x v="0"/>
  </r>
  <r>
    <s v="MFS-58554"/>
    <s v="Ikenna Amadi"/>
    <x v="0"/>
    <x v="1"/>
    <x v="2"/>
    <s v="Mid-level"/>
    <x v="0"/>
    <s v="31-40"/>
    <x v="3"/>
    <s v="10/08/2021"/>
    <s v="25/01/2023"/>
    <n v="4"/>
    <n v="291000"/>
    <n v="4.4000000000000004"/>
    <n v="6"/>
    <x v="0"/>
  </r>
  <r>
    <s v="MFS-83459"/>
    <s v="Nkechi Chukwu"/>
    <x v="1"/>
    <x v="0"/>
    <x v="0"/>
    <s v="Mid-level"/>
    <x v="2"/>
    <s v="51-60"/>
    <x v="1"/>
    <s v="11/06/2021"/>
    <s v="25/01/2023"/>
    <n v="4"/>
    <n v="355000"/>
    <n v="3.3"/>
    <n v="23"/>
    <x v="2"/>
  </r>
  <r>
    <s v="MFS-99137"/>
    <s v="Usman Oyelaran"/>
    <x v="0"/>
    <x v="4"/>
    <x v="0"/>
    <s v="Mid-level"/>
    <x v="0"/>
    <s v="51-60"/>
    <x v="1"/>
    <s v="07/12/2019"/>
    <s v="09/12/2024"/>
    <n v="6"/>
    <n v="237000"/>
    <n v="1.6"/>
    <n v="0"/>
    <x v="0"/>
  </r>
  <r>
    <s v="MFS-54503"/>
    <s v="Femi Omotayo"/>
    <x v="0"/>
    <x v="3"/>
    <x v="0"/>
    <s v="Mid-level"/>
    <x v="2"/>
    <s v="22-30"/>
    <x v="2"/>
    <s v="24/12/2021"/>
    <s v="09/12/2024"/>
    <n v="4"/>
    <n v="302000"/>
    <n v="2.5"/>
    <n v="4"/>
    <x v="0"/>
  </r>
  <r>
    <s v="MFS-34548"/>
    <s v="Obinna Haruna"/>
    <x v="0"/>
    <x v="1"/>
    <x v="0"/>
    <s v="Junior"/>
    <x v="0"/>
    <s v="22-30"/>
    <x v="0"/>
    <s v="24/07/2023"/>
    <s v="09/12/2024"/>
    <n v="2"/>
    <n v="95000"/>
    <n v="3.8"/>
    <n v="12"/>
    <x v="0"/>
  </r>
  <r>
    <s v="MFS-20705"/>
    <s v="Adaeze Chukwu"/>
    <x v="1"/>
    <x v="0"/>
    <x v="2"/>
    <s v="Junior"/>
    <x v="0"/>
    <s v="51-60"/>
    <x v="4"/>
    <s v="10/05/2020"/>
    <s v="09/12/2024"/>
    <n v="5"/>
    <n v="159000"/>
    <n v="2.1"/>
    <n v="6"/>
    <x v="0"/>
  </r>
  <r>
    <s v="MFS-97727"/>
    <s v="Ikenna Suleiman"/>
    <x v="0"/>
    <x v="3"/>
    <x v="0"/>
    <s v="Mid-level"/>
    <x v="0"/>
    <s v="41-50"/>
    <x v="1"/>
    <s v="02/05/2020"/>
    <s v="09/12/2024"/>
    <n v="5"/>
    <n v="219000"/>
    <n v="2.4"/>
    <n v="13"/>
    <x v="0"/>
  </r>
  <r>
    <s v="MFS-50644"/>
    <s v="Fatima Okafor"/>
    <x v="1"/>
    <x v="1"/>
    <x v="1"/>
    <s v="Senior"/>
    <x v="0"/>
    <s v="31-40"/>
    <x v="1"/>
    <s v="02/11/2022"/>
    <s v="09/12/2024"/>
    <n v="3"/>
    <n v="357000"/>
    <n v="2.2000000000000002"/>
    <n v="25"/>
    <x v="0"/>
  </r>
  <r>
    <s v="MFS-22989"/>
    <s v="Ngozi Aliyu"/>
    <x v="1"/>
    <x v="1"/>
    <x v="1"/>
    <s v="Mid-level"/>
    <x v="2"/>
    <s v="31-40"/>
    <x v="0"/>
    <s v="30/12/2020"/>
    <s v="09/12/2024"/>
    <n v="5"/>
    <n v="213000"/>
    <n v="3.5"/>
    <n v="12"/>
    <x v="0"/>
  </r>
  <r>
    <s v="MFS-40251"/>
    <s v="Funmilayo Musa"/>
    <x v="1"/>
    <x v="0"/>
    <x v="0"/>
    <s v="Mid-level"/>
    <x v="2"/>
    <s v="22-30"/>
    <x v="2"/>
    <s v="11/11/2022"/>
    <s v="09/12/2024"/>
    <n v="3"/>
    <n v="354000"/>
    <n v="4"/>
    <n v="4"/>
    <x v="0"/>
  </r>
  <r>
    <s v="MFS-19096"/>
    <s v="Biodun Ogbonna"/>
    <x v="0"/>
    <x v="0"/>
    <x v="0"/>
    <s v="Mid-level"/>
    <x v="2"/>
    <s v="22-30"/>
    <x v="2"/>
    <s v="10/08/2022"/>
    <s v="09/12/2024"/>
    <n v="3"/>
    <n v="231000"/>
    <n v="2.8"/>
    <n v="17"/>
    <x v="0"/>
  </r>
  <r>
    <s v="MFS-70281"/>
    <s v="Jummai Omotayo"/>
    <x v="1"/>
    <x v="0"/>
    <x v="0"/>
    <s v="Junior"/>
    <x v="0"/>
    <s v="31-40"/>
    <x v="2"/>
    <s v="10/04/2022"/>
    <s v="09/12/2024"/>
    <n v="3"/>
    <n v="121000"/>
    <n v="3.6"/>
    <n v="20"/>
    <x v="3"/>
  </r>
  <r>
    <s v="MFS-33425"/>
    <s v="Rabiu Nnamdi"/>
    <x v="0"/>
    <x v="2"/>
    <x v="0"/>
    <s v="Junior"/>
    <x v="3"/>
    <s v="31-40"/>
    <x v="4"/>
    <s v="27/09/2020"/>
    <s v="28/10/2022"/>
    <n v="5"/>
    <n v="163000"/>
    <n v="3.5"/>
    <n v="6"/>
    <x v="0"/>
  </r>
  <r>
    <s v="MFS-78038"/>
    <s v="Nneka Obi"/>
    <x v="1"/>
    <x v="1"/>
    <x v="1"/>
    <s v="Mid-level"/>
    <x v="2"/>
    <s v="51-60"/>
    <x v="0"/>
    <s v="06/12/2020"/>
    <s v="28/10/2022"/>
    <n v="5"/>
    <n v="236000"/>
    <n v="4.9000000000000004"/>
    <n v="16"/>
    <x v="0"/>
  </r>
  <r>
    <s v="MFS-82983"/>
    <s v="Nnamdi Eze"/>
    <x v="0"/>
    <x v="1"/>
    <x v="0"/>
    <s v="Mid-level"/>
    <x v="0"/>
    <s v="41-50"/>
    <x v="0"/>
    <s v="03/10/2020"/>
    <s v="28/10/2022"/>
    <n v="5"/>
    <n v="189000"/>
    <n v="2.9"/>
    <n v="10"/>
    <x v="0"/>
  </r>
  <r>
    <s v="MFS-66982"/>
    <s v="Adaeze Suleiman"/>
    <x v="1"/>
    <x v="1"/>
    <x v="0"/>
    <s v="Mid-level"/>
    <x v="0"/>
    <s v="22-30"/>
    <x v="0"/>
    <s v="25/10/2019"/>
    <s v="28/10/2022"/>
    <n v="6"/>
    <n v="205000"/>
    <n v="2.7"/>
    <n v="2"/>
    <x v="0"/>
  </r>
  <r>
    <s v="MFS-35984"/>
    <s v="Ifeoma Obaseki"/>
    <x v="1"/>
    <x v="4"/>
    <x v="0"/>
    <s v="Mid-level"/>
    <x v="1"/>
    <s v="22-30"/>
    <x v="0"/>
    <s v="15/02/2021"/>
    <s v="28/10/2022"/>
    <n v="5"/>
    <n v="345000"/>
    <n v="4.7"/>
    <n v="6"/>
    <x v="0"/>
  </r>
  <r>
    <s v="MFS-55815"/>
    <s v="Ugochi Lawal"/>
    <x v="1"/>
    <x v="4"/>
    <x v="0"/>
    <s v="Senior"/>
    <x v="0"/>
    <s v="31-40"/>
    <x v="0"/>
    <s v="06/06/2019"/>
    <s v="28/10/2022"/>
    <n v="6"/>
    <n v="438000"/>
    <n v="3.4"/>
    <n v="6"/>
    <x v="2"/>
  </r>
  <r>
    <s v="MFS-94813"/>
    <s v="Kunle Omotayo"/>
    <x v="0"/>
    <x v="3"/>
    <x v="0"/>
    <s v="Director"/>
    <x v="2"/>
    <s v="41-50"/>
    <x v="0"/>
    <s v="22/03/2019"/>
    <s v="01/04/2023"/>
    <n v="6"/>
    <n v="1966000"/>
    <n v="4.3"/>
    <n v="6"/>
    <x v="2"/>
  </r>
  <r>
    <s v="MFS-59203"/>
    <s v="Shehu Nduka"/>
    <x v="0"/>
    <x v="2"/>
    <x v="0"/>
    <s v="Junior"/>
    <x v="2"/>
    <s v="31-40"/>
    <x v="0"/>
    <s v="04/12/2023"/>
    <s v="04/07/2023"/>
    <n v="2"/>
    <n v="107000"/>
    <n v="4.9000000000000004"/>
    <n v="14"/>
    <x v="0"/>
  </r>
  <r>
    <s v="MFS-86649"/>
    <s v="Ngozi Nnamdi"/>
    <x v="1"/>
    <x v="1"/>
    <x v="2"/>
    <s v="Mid-level"/>
    <x v="0"/>
    <s v="41-50"/>
    <x v="1"/>
    <s v="11/06/2019"/>
    <s v="04/07/2023"/>
    <n v="6"/>
    <n v="265000"/>
    <n v="3.3"/>
    <n v="10"/>
    <x v="0"/>
  </r>
  <r>
    <s v="MFS-96636"/>
    <s v="Lola Taiwo"/>
    <x v="1"/>
    <x v="4"/>
    <x v="0"/>
    <s v="Manager"/>
    <x v="3"/>
    <s v="31-40"/>
    <x v="0"/>
    <s v="06/05/2021"/>
    <s v="04/07/2023"/>
    <n v="4"/>
    <n v="637000"/>
    <n v="3.6"/>
    <n v="10"/>
    <x v="0"/>
  </r>
  <r>
    <s v="MFS-63040"/>
    <s v="Zainab Obaseki"/>
    <x v="1"/>
    <x v="4"/>
    <x v="1"/>
    <s v="Junior"/>
    <x v="1"/>
    <s v="31-40"/>
    <x v="3"/>
    <s v="25/12/2020"/>
    <s v="04/07/2023"/>
    <n v="5"/>
    <n v="106000"/>
    <n v="2.5"/>
    <n v="7"/>
    <x v="2"/>
  </r>
  <r>
    <s v="MFS-75911"/>
    <s v="Adaora Shehu"/>
    <x v="1"/>
    <x v="4"/>
    <x v="0"/>
    <s v="Junior"/>
    <x v="0"/>
    <s v="31-40"/>
    <x v="2"/>
    <s v="04/08/2020"/>
    <s v="10/06/2024"/>
    <n v="5"/>
    <n v="165000"/>
    <n v="2"/>
    <n v="8"/>
    <x v="0"/>
  </r>
  <r>
    <s v="MFS-10972"/>
    <s v="Suleiman Oyelaran"/>
    <x v="0"/>
    <x v="4"/>
    <x v="0"/>
    <s v="Junior"/>
    <x v="2"/>
    <s v="31-40"/>
    <x v="0"/>
    <s v="11/12/2019"/>
    <s v="10/06/2024"/>
    <n v="6"/>
    <n v="92000"/>
    <n v="2.2999999999999998"/>
    <n v="8"/>
    <x v="0"/>
  </r>
  <r>
    <s v="MFS-75367"/>
    <s v="Ikenna Eze"/>
    <x v="0"/>
    <x v="3"/>
    <x v="0"/>
    <s v="Mid-level"/>
    <x v="3"/>
    <s v="51-60"/>
    <x v="1"/>
    <s v="22/11/2023"/>
    <s v="10/06/2024"/>
    <n v="2"/>
    <n v="328000"/>
    <n v="4.9000000000000004"/>
    <n v="33"/>
    <x v="0"/>
  </r>
  <r>
    <s v="MFS-48915"/>
    <s v="Kunle Aliyu"/>
    <x v="0"/>
    <x v="4"/>
    <x v="0"/>
    <s v="Director"/>
    <x v="2"/>
    <s v="22-30"/>
    <x v="0"/>
    <s v="08/05/2023"/>
    <s v="10/06/2024"/>
    <n v="2"/>
    <n v="1644000"/>
    <n v="3.7"/>
    <n v="7"/>
    <x v="0"/>
  </r>
  <r>
    <s v="MFS-77117"/>
    <s v="Zainab Shehu"/>
    <x v="1"/>
    <x v="4"/>
    <x v="2"/>
    <s v="Mid-level"/>
    <x v="0"/>
    <s v="22-30"/>
    <x v="2"/>
    <s v="10/09/2020"/>
    <s v="10/06/2024"/>
    <n v="5"/>
    <n v="280000"/>
    <n v="4.5"/>
    <n v="22"/>
    <x v="0"/>
  </r>
  <r>
    <s v="MFS-97929"/>
    <s v="Chidi Lawal"/>
    <x v="0"/>
    <x v="4"/>
    <x v="0"/>
    <s v="Senior"/>
    <x v="3"/>
    <s v="22-30"/>
    <x v="0"/>
    <s v="14/05/2023"/>
    <s v="10/06/2024"/>
    <n v="2"/>
    <n v="521000"/>
    <n v="4"/>
    <n v="14"/>
    <x v="3"/>
  </r>
  <r>
    <s v="MFS-78128"/>
    <s v="Adaora Okonkwo"/>
    <x v="1"/>
    <x v="2"/>
    <x v="1"/>
    <s v="Manager"/>
    <x v="1"/>
    <s v="41-50"/>
    <x v="0"/>
    <s v="21/08/2023"/>
    <s v="01/05/2022"/>
    <n v="2"/>
    <n v="698000"/>
    <n v="4.0999999999999996"/>
    <n v="11"/>
    <x v="0"/>
  </r>
  <r>
    <s v="MFS-83413"/>
    <s v="Adeola Obi"/>
    <x v="0"/>
    <x v="2"/>
    <x v="0"/>
    <s v="Mid-level"/>
    <x v="3"/>
    <s v="41-50"/>
    <x v="1"/>
    <s v="14/05/2023"/>
    <s v="01/05/2022"/>
    <n v="2"/>
    <n v="265000"/>
    <n v="2.6"/>
    <n v="23"/>
    <x v="0"/>
  </r>
  <r>
    <s v="MFS-34876"/>
    <s v="Uloma Danladi"/>
    <x v="1"/>
    <x v="1"/>
    <x v="2"/>
    <s v="Senior"/>
    <x v="0"/>
    <s v="22-30"/>
    <x v="0"/>
    <s v="05/07/2021"/>
    <s v="01/05/2022"/>
    <n v="4"/>
    <n v="496000"/>
    <n v="2.6"/>
    <n v="1"/>
    <x v="0"/>
  </r>
  <r>
    <s v="MFS-67956"/>
    <s v="Shade Ogundipe"/>
    <x v="1"/>
    <x v="3"/>
    <x v="0"/>
    <s v="Senior"/>
    <x v="0"/>
    <s v="31-40"/>
    <x v="3"/>
    <s v="11/11/2023"/>
    <s v="01/05/2022"/>
    <n v="2"/>
    <n v="582000"/>
    <n v="3.7"/>
    <n v="18"/>
    <x v="0"/>
  </r>
  <r>
    <s v="MFS-15105"/>
    <s v="Ebuka Shehu"/>
    <x v="0"/>
    <x v="1"/>
    <x v="2"/>
    <s v="Mid-level"/>
    <x v="3"/>
    <s v="22-30"/>
    <x v="3"/>
    <s v="28/02/2022"/>
    <s v="01/05/2022"/>
    <n v="4"/>
    <n v="284000"/>
    <n v="2.2999999999999998"/>
    <n v="10"/>
    <x v="0"/>
  </r>
  <r>
    <s v="MFS-43424"/>
    <s v="Dele Obaseki"/>
    <x v="0"/>
    <x v="3"/>
    <x v="1"/>
    <s v="Junior"/>
    <x v="0"/>
    <s v="31-40"/>
    <x v="2"/>
    <s v="07/02/2019"/>
    <s v="01/05/2022"/>
    <n v="7"/>
    <n v="86000"/>
    <n v="4.5"/>
    <n v="12"/>
    <x v="0"/>
  </r>
  <r>
    <s v="MFS-92733"/>
    <s v="Lola Okonkwo"/>
    <x v="1"/>
    <x v="1"/>
    <x v="0"/>
    <s v="Mid-level"/>
    <x v="2"/>
    <s v="31-40"/>
    <x v="2"/>
    <s v="25/09/2020"/>
    <s v="01/05/2022"/>
    <n v="5"/>
    <n v="281000"/>
    <n v="2.8"/>
    <n v="2"/>
    <x v="2"/>
  </r>
  <r>
    <s v="MFS-72999"/>
    <s v="Babatunde Nwosu"/>
    <x v="0"/>
    <x v="3"/>
    <x v="0"/>
    <s v="Mid-level"/>
    <x v="0"/>
    <s v="41-50"/>
    <x v="0"/>
    <s v="16/01/2022"/>
    <s v="05/04/2023"/>
    <n v="4"/>
    <n v="211000"/>
    <n v="3.8"/>
    <n v="9"/>
    <x v="0"/>
  </r>
  <r>
    <s v="MFS-66094"/>
    <s v="Tobi Nwachukwu"/>
    <x v="0"/>
    <x v="4"/>
    <x v="1"/>
    <s v="Mid-level"/>
    <x v="0"/>
    <s v="41-50"/>
    <x v="3"/>
    <s v="10/01/2020"/>
    <s v="05/04/2023"/>
    <n v="6"/>
    <n v="349000"/>
    <n v="2.9"/>
    <n v="12"/>
    <x v="2"/>
  </r>
  <r>
    <s v="MFS-86709"/>
    <s v="Ibrahim Eze"/>
    <x v="0"/>
    <x v="3"/>
    <x v="1"/>
    <s v="Manager"/>
    <x v="0"/>
    <s v="22-30"/>
    <x v="2"/>
    <s v="22/05/2021"/>
    <s v="05/10/2023"/>
    <n v="4"/>
    <n v="947000"/>
    <n v="3.7"/>
    <n v="11"/>
    <x v="0"/>
  </r>
  <r>
    <s v="MFS-54069"/>
    <s v="Haruna Ogundipe"/>
    <x v="0"/>
    <x v="0"/>
    <x v="0"/>
    <s v="Senior"/>
    <x v="0"/>
    <s v="22-30"/>
    <x v="0"/>
    <s v="16/05/2021"/>
    <s v="05/10/2023"/>
    <n v="4"/>
    <n v="545000"/>
    <n v="4.0999999999999996"/>
    <n v="5"/>
    <x v="1"/>
  </r>
  <r>
    <s v="MFS-79886"/>
    <s v="Chinyere Afolabi"/>
    <x v="1"/>
    <x v="1"/>
    <x v="0"/>
    <s v="Mid-level"/>
    <x v="2"/>
    <s v="31-40"/>
    <x v="0"/>
    <s v="08/03/2020"/>
    <s v="13/08/2024"/>
    <n v="6"/>
    <n v="214000"/>
    <n v="4.3"/>
    <n v="10"/>
    <x v="0"/>
  </r>
  <r>
    <s v="MFS-37941"/>
    <s v="Nana Eze"/>
    <x v="1"/>
    <x v="2"/>
    <x v="0"/>
    <s v="Junior"/>
    <x v="1"/>
    <s v="51-60"/>
    <x v="2"/>
    <s v="10/03/2023"/>
    <s v="13/08/2024"/>
    <n v="3"/>
    <n v="150000"/>
    <n v="2.1"/>
    <n v="0"/>
    <x v="0"/>
  </r>
  <r>
    <s v="MFS-61268"/>
    <s v="Chukwudi Chukwu"/>
    <x v="0"/>
    <x v="1"/>
    <x v="0"/>
    <s v="Mid-level"/>
    <x v="0"/>
    <s v="41-50"/>
    <x v="2"/>
    <s v="28/06/2023"/>
    <s v="13/08/2024"/>
    <n v="2"/>
    <n v="180000"/>
    <n v="2.4"/>
    <n v="2"/>
    <x v="1"/>
  </r>
  <r>
    <s v="MFS-71580"/>
    <s v="Ifeanyi Adeyemi"/>
    <x v="0"/>
    <x v="2"/>
    <x v="0"/>
    <s v="Senior"/>
    <x v="0"/>
    <s v="41-50"/>
    <x v="0"/>
    <s v="08/07/2021"/>
    <s v="25/01/2024"/>
    <n v="4"/>
    <n v="529000"/>
    <n v="2"/>
    <n v="10"/>
    <x v="0"/>
  </r>
  <r>
    <s v="MFS-94682"/>
    <s v="Rotimi Garba"/>
    <x v="0"/>
    <x v="0"/>
    <x v="0"/>
    <s v="Mid-level"/>
    <x v="1"/>
    <s v="41-50"/>
    <x v="1"/>
    <s v="25/04/2020"/>
    <s v="25/01/2024"/>
    <n v="5"/>
    <n v="383000"/>
    <n v="4.0999999999999996"/>
    <n v="19"/>
    <x v="0"/>
  </r>
  <r>
    <s v="MFS-39651"/>
    <s v="Ramatu Nwachukwu"/>
    <x v="1"/>
    <x v="1"/>
    <x v="1"/>
    <s v="Mid-level"/>
    <x v="1"/>
    <s v="22-30"/>
    <x v="3"/>
    <s v="14/11/2021"/>
    <s v="25/01/2024"/>
    <n v="4"/>
    <n v="200000"/>
    <n v="4.4000000000000004"/>
    <n v="13"/>
    <x v="0"/>
  </r>
  <r>
    <s v="MFS-88697"/>
    <s v="Kemi Aliyu"/>
    <x v="1"/>
    <x v="2"/>
    <x v="0"/>
    <s v="Junior"/>
    <x v="2"/>
    <s v="31-40"/>
    <x v="2"/>
    <s v="19/05/2023"/>
    <s v="25/01/2024"/>
    <n v="2"/>
    <n v="168000"/>
    <n v="2.9"/>
    <n v="4"/>
    <x v="0"/>
  </r>
  <r>
    <s v="MFS-95463"/>
    <s v="Kabiru Ogundipe"/>
    <x v="0"/>
    <x v="1"/>
    <x v="0"/>
    <s v="Mid-level"/>
    <x v="2"/>
    <s v="31-40"/>
    <x v="0"/>
    <s v="10/05/2021"/>
    <s v="25/01/2024"/>
    <n v="4"/>
    <n v="224000"/>
    <n v="4.8"/>
    <n v="10"/>
    <x v="0"/>
  </r>
  <r>
    <s v="MFS-52538"/>
    <s v="Tobi Nnamdi"/>
    <x v="0"/>
    <x v="0"/>
    <x v="0"/>
    <s v="Mid-level"/>
    <x v="1"/>
    <s v="22-30"/>
    <x v="0"/>
    <s v="24/08/2019"/>
    <s v="25/01/2024"/>
    <n v="6"/>
    <n v="384000"/>
    <n v="3"/>
    <n v="10"/>
    <x v="1"/>
  </r>
  <r>
    <s v="MFS-75043"/>
    <s v="Oluwaseun Danladi"/>
    <x v="0"/>
    <x v="2"/>
    <x v="0"/>
    <s v="Senior"/>
    <x v="1"/>
    <s v="22-30"/>
    <x v="0"/>
    <s v="13/04/2022"/>
    <s v="27/03/2023"/>
    <n v="3"/>
    <n v="362000"/>
    <n v="3.4"/>
    <n v="5"/>
    <x v="1"/>
  </r>
  <r>
    <s v="MFS-79367"/>
    <s v="Emeka Afolabi"/>
    <x v="0"/>
    <x v="3"/>
    <x v="2"/>
    <s v="Manager"/>
    <x v="0"/>
    <s v="31-40"/>
    <x v="2"/>
    <s v="15/01/2021"/>
    <s v="26/08/2023"/>
    <n v="5"/>
    <n v="897000"/>
    <n v="3.1"/>
    <n v="10"/>
    <x v="0"/>
  </r>
  <r>
    <s v="MFS-78762"/>
    <s v="Adaeze Okonkwo"/>
    <x v="1"/>
    <x v="1"/>
    <x v="0"/>
    <s v="Senior"/>
    <x v="0"/>
    <s v="22-30"/>
    <x v="1"/>
    <s v="27/12/2019"/>
    <s v="26/08/2023"/>
    <n v="6"/>
    <n v="350000"/>
    <n v="3.9"/>
    <n v="14"/>
    <x v="0"/>
  </r>
  <r>
    <s v="MFS-15828"/>
    <s v="Yakubu Nduka"/>
    <x v="0"/>
    <x v="3"/>
    <x v="2"/>
    <s v="Senior"/>
    <x v="1"/>
    <s v="31-40"/>
    <x v="0"/>
    <s v="16/12/2020"/>
    <s v="26/08/2023"/>
    <n v="5"/>
    <n v="521000"/>
    <n v="4.0999999999999996"/>
    <n v="14"/>
    <x v="0"/>
  </r>
  <r>
    <s v="MFS-96132"/>
    <s v="Nana Shehu"/>
    <x v="1"/>
    <x v="1"/>
    <x v="0"/>
    <s v="Senior"/>
    <x v="0"/>
    <s v="22-30"/>
    <x v="0"/>
    <s v="13/05/2021"/>
    <s v="26/08/2023"/>
    <n v="4"/>
    <n v="357000"/>
    <n v="4.5999999999999996"/>
    <n v="11"/>
    <x v="0"/>
  </r>
  <r>
    <s v="MFS-38085"/>
    <s v="Ebuka Taiwo"/>
    <x v="0"/>
    <x v="2"/>
    <x v="0"/>
    <s v="Senior"/>
    <x v="2"/>
    <s v="31-40"/>
    <x v="0"/>
    <s v="15/02/2022"/>
    <s v="26/08/2023"/>
    <n v="4"/>
    <n v="531000"/>
    <n v="2.2000000000000002"/>
    <n v="6"/>
    <x v="0"/>
  </r>
  <r>
    <s v="MFS-25726"/>
    <s v="Maryam Ogbonna"/>
    <x v="1"/>
    <x v="2"/>
    <x v="2"/>
    <s v="Mid-level"/>
    <x v="2"/>
    <s v="22-30"/>
    <x v="3"/>
    <s v="08/12/2020"/>
    <s v="26/08/2023"/>
    <n v="5"/>
    <n v="324000"/>
    <n v="2.9"/>
    <n v="9"/>
    <x v="1"/>
  </r>
  <r>
    <s v="MFS-53321"/>
    <s v="Ezinne Ogundipe"/>
    <x v="1"/>
    <x v="0"/>
    <x v="0"/>
    <s v="Mid-level"/>
    <x v="0"/>
    <s v="22-30"/>
    <x v="1"/>
    <s v="17/11/2020"/>
    <s v="26/07/2024"/>
    <n v="5"/>
    <n v="317000"/>
    <n v="4.8"/>
    <n v="31"/>
    <x v="0"/>
  </r>
  <r>
    <s v="MFS-95235"/>
    <s v="Rukayya Suleiman"/>
    <x v="1"/>
    <x v="0"/>
    <x v="0"/>
    <s v="Director"/>
    <x v="0"/>
    <s v="22-30"/>
    <x v="0"/>
    <s v="21/06/2021"/>
    <s v="26/07/2024"/>
    <n v="4"/>
    <n v="1638000"/>
    <n v="4.9000000000000004"/>
    <n v="10"/>
    <x v="0"/>
  </r>
  <r>
    <s v="MFS-90951"/>
    <s v="Rabiu Afolabi"/>
    <x v="0"/>
    <x v="1"/>
    <x v="1"/>
    <s v="Junior"/>
    <x v="2"/>
    <s v="41-50"/>
    <x v="0"/>
    <s v="08/07/2019"/>
    <s v="26/07/2024"/>
    <n v="6"/>
    <n v="85000"/>
    <n v="3.5"/>
    <n v="10"/>
    <x v="1"/>
  </r>
  <r>
    <s v="MFS-86225"/>
    <s v="Chidi Ihejirika"/>
    <x v="0"/>
    <x v="3"/>
    <x v="2"/>
    <s v="Mid-level"/>
    <x v="2"/>
    <s v="31-40"/>
    <x v="0"/>
    <s v="17/04/2020"/>
    <s v="27/08/2024"/>
    <n v="5"/>
    <n v="201000"/>
    <n v="2.6"/>
    <n v="32"/>
    <x v="2"/>
  </r>
  <r>
    <s v="MFS-32388"/>
    <s v="Amaka Nduka"/>
    <x v="1"/>
    <x v="3"/>
    <x v="0"/>
    <s v="Manager"/>
    <x v="0"/>
    <s v="31-40"/>
    <x v="0"/>
    <s v="16/10/2022"/>
    <s v="05/02/2025"/>
    <n v="3"/>
    <n v="917000"/>
    <n v="3.7"/>
    <n v="8"/>
    <x v="0"/>
  </r>
  <r>
    <s v="MFS-88855"/>
    <s v="Shade Nnamdi"/>
    <x v="1"/>
    <x v="2"/>
    <x v="0"/>
    <s v="Mid-level"/>
    <x v="3"/>
    <s v="31-40"/>
    <x v="2"/>
    <s v="31/07/2022"/>
    <s v="05/02/2025"/>
    <n v="3"/>
    <n v="302000"/>
    <n v="4.4000000000000004"/>
    <n v="32"/>
    <x v="2"/>
  </r>
  <r>
    <s v="MFS-34715"/>
    <s v="Uloma Oyelaran"/>
    <x v="1"/>
    <x v="3"/>
    <x v="2"/>
    <s v="Senior"/>
    <x v="3"/>
    <s v="31-40"/>
    <x v="0"/>
    <s v="16/08/2022"/>
    <s v="25/10/2023"/>
    <n v="3"/>
    <n v="519000"/>
    <n v="3.3"/>
    <n v="14"/>
    <x v="0"/>
  </r>
  <r>
    <s v="MFS-28844"/>
    <s v="Eze Onwudiwe"/>
    <x v="0"/>
    <x v="4"/>
    <x v="2"/>
    <s v="Senior"/>
    <x v="2"/>
    <s v="41-50"/>
    <x v="0"/>
    <s v="08/07/2019"/>
    <s v="25/10/2023"/>
    <n v="6"/>
    <n v="503000"/>
    <n v="3.2"/>
    <n v="4"/>
    <x v="0"/>
  </r>
  <r>
    <s v="MFS-78722"/>
    <s v="Ngozi Nwachukwu"/>
    <x v="1"/>
    <x v="2"/>
    <x v="0"/>
    <s v="Junior"/>
    <x v="0"/>
    <s v="22-30"/>
    <x v="3"/>
    <s v="27/02/2019"/>
    <s v="25/10/2023"/>
    <n v="7"/>
    <n v="144000"/>
    <n v="2.2999999999999998"/>
    <n v="13"/>
    <x v="0"/>
  </r>
  <r>
    <s v="MFS-89482"/>
    <s v="Ronke Ogbonna"/>
    <x v="1"/>
    <x v="1"/>
    <x v="1"/>
    <s v="Manager"/>
    <x v="0"/>
    <s v="41-50"/>
    <x v="1"/>
    <s v="28/05/2020"/>
    <s v="25/10/2023"/>
    <n v="5"/>
    <n v="772000"/>
    <n v="4.3"/>
    <n v="10"/>
    <x v="0"/>
  </r>
  <r>
    <s v="MFS-10633"/>
    <s v="Garba Amadi"/>
    <x v="0"/>
    <x v="4"/>
    <x v="0"/>
    <s v="Mid-level"/>
    <x v="2"/>
    <s v="31-40"/>
    <x v="2"/>
    <s v="12/09/2023"/>
    <s v="25/10/2023"/>
    <n v="2"/>
    <n v="273000"/>
    <n v="3.6"/>
    <n v="5"/>
    <x v="0"/>
  </r>
  <r>
    <s v="MFS-80971"/>
    <s v="Wale Adesanya"/>
    <x v="0"/>
    <x v="3"/>
    <x v="2"/>
    <s v="Senior"/>
    <x v="0"/>
    <s v="41-50"/>
    <x v="2"/>
    <s v="21/03/2023"/>
    <s v="25/10/2023"/>
    <n v="2"/>
    <n v="406000"/>
    <n v="2"/>
    <n v="6"/>
    <x v="0"/>
  </r>
  <r>
    <s v="MFS-94327"/>
    <s v="Aisha Oyelaran"/>
    <x v="1"/>
    <x v="4"/>
    <x v="2"/>
    <s v="Senior"/>
    <x v="2"/>
    <s v="31-40"/>
    <x v="0"/>
    <s v="18/10/2021"/>
    <s v="25/10/2023"/>
    <n v="4"/>
    <n v="523000"/>
    <n v="4.2"/>
    <n v="0"/>
    <x v="0"/>
  </r>
  <r>
    <s v="MFS-45597"/>
    <s v="Emeka Yakubu"/>
    <x v="0"/>
    <x v="2"/>
    <x v="0"/>
    <s v="Mid-level"/>
    <x v="1"/>
    <s v="22-30"/>
    <x v="2"/>
    <s v="30/04/2021"/>
    <s v="25/10/2023"/>
    <n v="4"/>
    <n v="202000"/>
    <n v="3.4"/>
    <n v="0"/>
    <x v="1"/>
  </r>
  <r>
    <s v="MFS-94211"/>
    <s v="Ibrahim Danladi"/>
    <x v="0"/>
    <x v="4"/>
    <x v="1"/>
    <s v="Junior"/>
    <x v="1"/>
    <s v="31-40"/>
    <x v="0"/>
    <s v="20/06/2023"/>
    <s v="25/01/2025"/>
    <n v="2"/>
    <n v="133000"/>
    <n v="1.7"/>
    <n v="12"/>
    <x v="0"/>
  </r>
  <r>
    <s v="MFS-16733"/>
    <s v="Uloma Nduka"/>
    <x v="1"/>
    <x v="3"/>
    <x v="0"/>
    <s v="Mid-level"/>
    <x v="1"/>
    <s v="31-40"/>
    <x v="3"/>
    <s v="18/09/2023"/>
    <s v="25/01/2025"/>
    <n v="2"/>
    <n v="192000"/>
    <n v="4.9000000000000004"/>
    <n v="12"/>
    <x v="2"/>
  </r>
  <r>
    <s v="MFS-42181"/>
    <s v="Tosin Haruna"/>
    <x v="1"/>
    <x v="2"/>
    <x v="1"/>
    <s v="Junior"/>
    <x v="1"/>
    <s v="31-40"/>
    <x v="2"/>
    <s v="11/09/2022"/>
    <s v="13/07/2024"/>
    <n v="3"/>
    <n v="93000"/>
    <n v="4.5"/>
    <n v="3"/>
    <x v="0"/>
  </r>
  <r>
    <s v="MFS-70925"/>
    <s v="Hadiza Adebayo"/>
    <x v="1"/>
    <x v="4"/>
    <x v="0"/>
    <s v="Junior"/>
    <x v="3"/>
    <s v="22-30"/>
    <x v="0"/>
    <s v="19/05/2020"/>
    <s v="13/07/2024"/>
    <n v="5"/>
    <n v="157000"/>
    <n v="2.8"/>
    <n v="33"/>
    <x v="0"/>
  </r>
  <r>
    <s v="MFS-50557"/>
    <s v="Ogechi Nduka"/>
    <x v="1"/>
    <x v="3"/>
    <x v="1"/>
    <s v="Junior"/>
    <x v="3"/>
    <s v="22-30"/>
    <x v="1"/>
    <s v="09/04/2023"/>
    <s v="13/07/2024"/>
    <n v="2"/>
    <n v="103000"/>
    <n v="2.4"/>
    <n v="37"/>
    <x v="1"/>
  </r>
  <r>
    <s v="MFS-29225"/>
    <s v="Obiora Abdullahi"/>
    <x v="0"/>
    <x v="4"/>
    <x v="0"/>
    <s v="Mid-level"/>
    <x v="2"/>
    <s v="22-30"/>
    <x v="0"/>
    <s v="19/05/2023"/>
    <s v="12/08/2021"/>
    <n v="2"/>
    <n v="282000"/>
    <n v="4.2"/>
    <n v="3"/>
    <x v="0"/>
  </r>
  <r>
    <s v="MFS-74215"/>
    <s v="Adebayo Adeyemi"/>
    <x v="0"/>
    <x v="2"/>
    <x v="0"/>
    <s v="Mid-level"/>
    <x v="1"/>
    <s v="22-30"/>
    <x v="1"/>
    <s v="07/06/2023"/>
    <s v="12/08/2021"/>
    <n v="2"/>
    <n v="316000"/>
    <n v="3.1"/>
    <n v="15"/>
    <x v="0"/>
  </r>
  <r>
    <s v="MFS-83968"/>
    <s v="Folake Ogundipe"/>
    <x v="1"/>
    <x v="2"/>
    <x v="2"/>
    <s v="Mid-level"/>
    <x v="0"/>
    <s v="31-40"/>
    <x v="2"/>
    <s v="15/03/2020"/>
    <s v="12/08/2021"/>
    <n v="5"/>
    <n v="251000"/>
    <n v="2.2999999999999998"/>
    <n v="14"/>
    <x v="1"/>
  </r>
  <r>
    <s v="MFS-98301"/>
    <s v="Nasiru Amadi"/>
    <x v="0"/>
    <x v="2"/>
    <x v="2"/>
    <s v="Senior"/>
    <x v="0"/>
    <s v="41-50"/>
    <x v="0"/>
    <s v="24/01/2019"/>
    <s v="21/12/2022"/>
    <n v="7"/>
    <n v="396000"/>
    <n v="2.1"/>
    <n v="2"/>
    <x v="0"/>
  </r>
  <r>
    <s v="MFS-66503"/>
    <s v="Adebayo Ogundipe"/>
    <x v="0"/>
    <x v="4"/>
    <x v="0"/>
    <s v="Manager"/>
    <x v="1"/>
    <s v="22-30"/>
    <x v="3"/>
    <s v="29/03/2019"/>
    <s v="21/12/2022"/>
    <n v="6"/>
    <n v="727000"/>
    <n v="4.9000000000000004"/>
    <n v="31"/>
    <x v="1"/>
  </r>
  <r>
    <s v="MFS-57903"/>
    <s v="Ramatu Nnamdi"/>
    <x v="1"/>
    <x v="3"/>
    <x v="1"/>
    <s v="Senior"/>
    <x v="0"/>
    <s v="31-40"/>
    <x v="2"/>
    <s v="15/01/2020"/>
    <s v="20/11/2021"/>
    <n v="6"/>
    <n v="477000"/>
    <n v="4.3"/>
    <n v="13"/>
    <x v="1"/>
  </r>
  <r>
    <s v="MFS-36102"/>
    <s v="Chidi Okafor"/>
    <x v="0"/>
    <x v="1"/>
    <x v="0"/>
    <s v="Mid-level"/>
    <x v="0"/>
    <s v="41-50"/>
    <x v="1"/>
    <s v="28/10/2020"/>
    <s v="15/05/2023"/>
    <n v="5"/>
    <n v="198000"/>
    <n v="4.5"/>
    <n v="3"/>
    <x v="1"/>
  </r>
  <r>
    <s v="MFS-85162"/>
    <s v="Amaka Oyelaran"/>
    <x v="1"/>
    <x v="1"/>
    <x v="0"/>
    <s v="Senior"/>
    <x v="0"/>
    <s v="51-60"/>
    <x v="2"/>
    <s v="02/09/2021"/>
    <s v="21/04/2024"/>
    <n v="4"/>
    <n v="532000"/>
    <n v="3.6"/>
    <n v="5"/>
    <x v="0"/>
  </r>
  <r>
    <s v="MFS-38240"/>
    <s v="Hauwa Musa"/>
    <x v="1"/>
    <x v="3"/>
    <x v="1"/>
    <s v="Mid-level"/>
    <x v="1"/>
    <s v="22-30"/>
    <x v="2"/>
    <s v="15/05/2023"/>
    <s v="21/04/2024"/>
    <n v="2"/>
    <n v="327000"/>
    <n v="3.1"/>
    <n v="13"/>
    <x v="2"/>
  </r>
  <r>
    <s v="MFS-72976"/>
    <s v="Seun Nwosu"/>
    <x v="0"/>
    <x v="0"/>
    <x v="2"/>
    <s v="Mid-level"/>
    <x v="1"/>
    <s v="51-60"/>
    <x v="0"/>
    <s v="18/12/2023"/>
    <s v="04/11/2024"/>
    <n v="2"/>
    <n v="215000"/>
    <n v="4.0999999999999996"/>
    <n v="0"/>
    <x v="3"/>
  </r>
  <r>
    <s v="MFS-39793"/>
    <s v="Chidi Musa"/>
    <x v="0"/>
    <x v="2"/>
    <x v="0"/>
    <s v="Mid-level"/>
    <x v="0"/>
    <s v="31-40"/>
    <x v="4"/>
    <s v="11/02/2023"/>
    <s v="06/01/2024"/>
    <n v="3"/>
    <n v="311000"/>
    <n v="4.4000000000000004"/>
    <n v="11"/>
    <x v="0"/>
  </r>
  <r>
    <s v="MFS-60167"/>
    <s v="Ramatu Ihejirika"/>
    <x v="1"/>
    <x v="4"/>
    <x v="2"/>
    <s v="Manager"/>
    <x v="2"/>
    <s v="22-30"/>
    <x v="0"/>
    <s v="22/03/2020"/>
    <s v="06/01/2024"/>
    <n v="5"/>
    <n v="800000"/>
    <n v="4.4000000000000004"/>
    <n v="0"/>
    <x v="1"/>
  </r>
  <r>
    <s v="MFS-84760"/>
    <s v="Damilola Bello"/>
    <x v="1"/>
    <x v="2"/>
    <x v="0"/>
    <s v="Junior"/>
    <x v="0"/>
    <s v="51-60"/>
    <x v="0"/>
    <s v="02/12/2023"/>
    <s v="16/07/2023"/>
    <n v="2"/>
    <n v="93000"/>
    <n v="2.5"/>
    <n v="0"/>
    <x v="0"/>
  </r>
  <r>
    <s v="MFS-66921"/>
    <s v="Funmilayo Onwudiwe"/>
    <x v="1"/>
    <x v="3"/>
    <x v="0"/>
    <s v="Senior"/>
    <x v="0"/>
    <s v="22-30"/>
    <x v="2"/>
    <s v="28/09/2021"/>
    <s v="16/07/2023"/>
    <n v="4"/>
    <n v="357000"/>
    <n v="2.5"/>
    <n v="0"/>
    <x v="1"/>
  </r>
  <r>
    <s v="MFS-66789"/>
    <s v="Ngozi Oyelaran"/>
    <x v="1"/>
    <x v="1"/>
    <x v="0"/>
    <s v="Mid-level"/>
    <x v="1"/>
    <s v="31-40"/>
    <x v="0"/>
    <s v="02/12/2020"/>
    <s v="12/09/2024"/>
    <n v="5"/>
    <n v="306000"/>
    <n v="4.4000000000000004"/>
    <n v="9"/>
    <x v="0"/>
  </r>
  <r>
    <s v="MFS-35816"/>
    <s v="Femi Nduka"/>
    <x v="0"/>
    <x v="2"/>
    <x v="0"/>
    <s v="Mid-level"/>
    <x v="0"/>
    <s v="22-30"/>
    <x v="0"/>
    <s v="13/08/2022"/>
    <s v="12/09/2024"/>
    <n v="3"/>
    <n v="258000"/>
    <n v="3.3"/>
    <n v="0"/>
    <x v="1"/>
  </r>
  <r>
    <s v="MFS-55123"/>
    <s v="Hafsat Bello"/>
    <x v="1"/>
    <x v="3"/>
    <x v="0"/>
    <s v="Senior"/>
    <x v="1"/>
    <s v="41-50"/>
    <x v="3"/>
    <s v="02/01/2019"/>
    <s v="23/08/2021"/>
    <n v="7"/>
    <n v="526000"/>
    <n v="4.5"/>
    <n v="13"/>
    <x v="0"/>
  </r>
  <r>
    <s v="MFS-32006"/>
    <s v="Sola Ogbonna"/>
    <x v="1"/>
    <x v="1"/>
    <x v="0"/>
    <s v="Junior"/>
    <x v="2"/>
    <s v="51-60"/>
    <x v="0"/>
    <s v="04/11/2023"/>
    <s v="23/08/2021"/>
    <n v="2"/>
    <n v="99000"/>
    <n v="4"/>
    <n v="10"/>
    <x v="0"/>
  </r>
  <r>
    <s v="MFS-35638"/>
    <s v="Chinyere Musa"/>
    <x v="1"/>
    <x v="2"/>
    <x v="0"/>
    <s v="Senior"/>
    <x v="0"/>
    <s v="22-30"/>
    <x v="1"/>
    <s v="21/08/2019"/>
    <s v="23/08/2021"/>
    <n v="6"/>
    <n v="411000"/>
    <n v="2"/>
    <n v="6"/>
    <x v="1"/>
  </r>
  <r>
    <s v="MFS-35242"/>
    <s v="Bukola Adebayo"/>
    <x v="1"/>
    <x v="4"/>
    <x v="0"/>
    <s v="Senior"/>
    <x v="0"/>
    <s v="22-30"/>
    <x v="0"/>
    <s v="19/10/2020"/>
    <s v="16/01/2025"/>
    <n v="5"/>
    <n v="574000"/>
    <n v="3.4"/>
    <n v="12"/>
    <x v="1"/>
  </r>
  <r>
    <s v="MFS-35384"/>
    <s v="Oghenekaro Chukwu"/>
    <x v="0"/>
    <x v="2"/>
    <x v="0"/>
    <s v="Junior"/>
    <x v="0"/>
    <s v="41-50"/>
    <x v="0"/>
    <s v="30/06/2020"/>
    <s v="10/08/2024"/>
    <n v="5"/>
    <n v="172000"/>
    <n v="3.9"/>
    <n v="10"/>
    <x v="1"/>
  </r>
  <r>
    <s v="MFS-90446"/>
    <s v="Ibrahim Adebayo"/>
    <x v="0"/>
    <x v="3"/>
    <x v="0"/>
    <s v="Mid-level"/>
    <x v="3"/>
    <s v="41-50"/>
    <x v="0"/>
    <s v="24/05/2021"/>
    <s v="11/06/2023"/>
    <n v="4"/>
    <n v="298000"/>
    <n v="4.3"/>
    <n v="2"/>
    <x v="0"/>
  </r>
  <r>
    <s v="MFS-58614"/>
    <s v="Dele Oyelaran"/>
    <x v="0"/>
    <x v="0"/>
    <x v="0"/>
    <s v="Junior"/>
    <x v="2"/>
    <s v="31-40"/>
    <x v="0"/>
    <s v="22/10/2021"/>
    <s v="11/06/2023"/>
    <n v="4"/>
    <n v="147000"/>
    <n v="4.5999999999999996"/>
    <n v="10"/>
    <x v="0"/>
  </r>
  <r>
    <s v="MFS-12453"/>
    <s v="Ronke Shehu"/>
    <x v="1"/>
    <x v="2"/>
    <x v="0"/>
    <s v="Mid-level"/>
    <x v="0"/>
    <s v="51-60"/>
    <x v="2"/>
    <s v="31/10/2022"/>
    <s v="11/06/2023"/>
    <n v="3"/>
    <n v="265000"/>
    <n v="3.7"/>
    <n v="5"/>
    <x v="0"/>
  </r>
  <r>
    <s v="MFS-23385"/>
    <s v="Ifeoma Lawal"/>
    <x v="1"/>
    <x v="2"/>
    <x v="0"/>
    <s v="Senior"/>
    <x v="0"/>
    <s v="31-40"/>
    <x v="3"/>
    <s v="09/05/2021"/>
    <s v="11/06/2023"/>
    <n v="4"/>
    <n v="505000"/>
    <n v="3.1"/>
    <n v="24"/>
    <x v="0"/>
  </r>
  <r>
    <s v="MFS-69843"/>
    <s v="Usman Omotayo"/>
    <x v="0"/>
    <x v="2"/>
    <x v="2"/>
    <s v="Senior"/>
    <x v="2"/>
    <s v="22-30"/>
    <x v="0"/>
    <s v="22/09/2023"/>
    <s v="11/06/2023"/>
    <n v="2"/>
    <n v="357000"/>
    <n v="2.9"/>
    <n v="0"/>
    <x v="0"/>
  </r>
  <r>
    <s v="MFS-33072"/>
    <s v="Kabiru Amadi"/>
    <x v="0"/>
    <x v="3"/>
    <x v="0"/>
    <s v="Manager"/>
    <x v="0"/>
    <s v="31-40"/>
    <x v="0"/>
    <s v="19/07/2023"/>
    <s v="11/06/2023"/>
    <n v="2"/>
    <n v="769000"/>
    <n v="4.0999999999999996"/>
    <n v="8"/>
    <x v="0"/>
  </r>
  <r>
    <s v="MFS-71585"/>
    <s v="Uche Oyelaran"/>
    <x v="0"/>
    <x v="4"/>
    <x v="0"/>
    <s v="Junior"/>
    <x v="0"/>
    <s v="51-60"/>
    <x v="0"/>
    <s v="12/12/2023"/>
    <s v="11/06/2023"/>
    <n v="2"/>
    <n v="143000"/>
    <n v="3.3"/>
    <n v="13"/>
    <x v="0"/>
  </r>
  <r>
    <s v="MFS-70365"/>
    <s v="Adaeze Obaseki"/>
    <x v="1"/>
    <x v="2"/>
    <x v="0"/>
    <s v="Mid-level"/>
    <x v="1"/>
    <s v="22-30"/>
    <x v="0"/>
    <s v="16/12/2019"/>
    <s v="11/06/2023"/>
    <n v="6"/>
    <n v="294000"/>
    <n v="2.6"/>
    <n v="2"/>
    <x v="0"/>
  </r>
  <r>
    <s v="MFS-53920"/>
    <s v="Tunde Coker"/>
    <x v="0"/>
    <x v="3"/>
    <x v="0"/>
    <s v="Mid-level"/>
    <x v="0"/>
    <s v="31-40"/>
    <x v="0"/>
    <s v="28/05/2021"/>
    <s v="11/06/2023"/>
    <n v="4"/>
    <n v="202000"/>
    <n v="3.9"/>
    <n v="2"/>
    <x v="0"/>
  </r>
  <r>
    <s v="MFS-13537"/>
    <s v="Adebayo Fagbemi"/>
    <x v="0"/>
    <x v="1"/>
    <x v="0"/>
    <s v="Mid-level"/>
    <x v="3"/>
    <s v="41-50"/>
    <x v="0"/>
    <s v="15/04/2020"/>
    <s v="11/06/2023"/>
    <n v="5"/>
    <n v="235000"/>
    <n v="3.6"/>
    <n v="9"/>
    <x v="0"/>
  </r>
  <r>
    <s v="MFS-61283"/>
    <s v="Rabiu Amadi"/>
    <x v="0"/>
    <x v="3"/>
    <x v="1"/>
    <s v="Mid-level"/>
    <x v="0"/>
    <s v="31-40"/>
    <x v="2"/>
    <s v="15/06/2019"/>
    <s v="11/06/2023"/>
    <n v="6"/>
    <n v="326000"/>
    <n v="3.2"/>
    <n v="14"/>
    <x v="0"/>
  </r>
  <r>
    <s v="MFS-14100"/>
    <s v="Nkechi Nwachukwu"/>
    <x v="1"/>
    <x v="2"/>
    <x v="1"/>
    <s v="Junior"/>
    <x v="3"/>
    <s v="22-30"/>
    <x v="2"/>
    <s v="06/04/2023"/>
    <s v="11/06/2023"/>
    <n v="2"/>
    <n v="177000"/>
    <n v="5"/>
    <n v="4"/>
    <x v="0"/>
  </r>
  <r>
    <s v="MFS-32756"/>
    <s v="Adaeze Obaseki"/>
    <x v="1"/>
    <x v="3"/>
    <x v="2"/>
    <s v="Junior"/>
    <x v="0"/>
    <s v="41-50"/>
    <x v="0"/>
    <s v="07/01/2019"/>
    <s v="11/06/2023"/>
    <n v="7"/>
    <n v="161000"/>
    <n v="3.3"/>
    <n v="26"/>
    <x v="0"/>
  </r>
  <r>
    <s v="MFS-88309"/>
    <s v="Suleiman Oyelaran"/>
    <x v="0"/>
    <x v="0"/>
    <x v="2"/>
    <s v="Mid-level"/>
    <x v="3"/>
    <s v="22-30"/>
    <x v="0"/>
    <s v="30/03/2019"/>
    <s v="11/06/2023"/>
    <n v="6"/>
    <n v="253000"/>
    <n v="3"/>
    <n v="7"/>
    <x v="2"/>
  </r>
  <r>
    <s v="MFS-93360"/>
    <s v="Funmilayo Bello"/>
    <x v="1"/>
    <x v="4"/>
    <x v="0"/>
    <s v="Junior"/>
    <x v="3"/>
    <s v="22-30"/>
    <x v="0"/>
    <s v="29/06/2021"/>
    <s v="20/06/2022"/>
    <n v="4"/>
    <n v="112000"/>
    <n v="3.2"/>
    <n v="8"/>
    <x v="0"/>
  </r>
  <r>
    <s v="MFS-22922"/>
    <s v="Wale Coker"/>
    <x v="0"/>
    <x v="4"/>
    <x v="0"/>
    <s v="Senior"/>
    <x v="0"/>
    <s v="22-30"/>
    <x v="1"/>
    <s v="02/02/2021"/>
    <s v="20/06/2022"/>
    <n v="5"/>
    <n v="365000"/>
    <n v="2.1"/>
    <n v="3"/>
    <x v="2"/>
  </r>
  <r>
    <s v="MFS-42045"/>
    <s v="Oluwaseun Danladi"/>
    <x v="0"/>
    <x v="4"/>
    <x v="2"/>
    <s v="Junior"/>
    <x v="3"/>
    <s v="22-30"/>
    <x v="0"/>
    <s v="24/07/2021"/>
    <s v="14/05/2022"/>
    <n v="4"/>
    <n v="155000"/>
    <n v="2.4"/>
    <n v="6"/>
    <x v="1"/>
  </r>
  <r>
    <s v="MFS-71113"/>
    <s v="Hafsat Eze"/>
    <x v="1"/>
    <x v="2"/>
    <x v="1"/>
    <s v="Junior"/>
    <x v="1"/>
    <s v="41-50"/>
    <x v="0"/>
    <s v="02/12/2020"/>
    <s v="07/01/2025"/>
    <n v="5"/>
    <n v="145000"/>
    <n v="4.2"/>
    <n v="9"/>
    <x v="3"/>
  </r>
  <r>
    <s v="MFS-11363"/>
    <s v="Hafsat Taiwo"/>
    <x v="1"/>
    <x v="3"/>
    <x v="1"/>
    <s v="Mid-level"/>
    <x v="0"/>
    <s v="31-40"/>
    <x v="0"/>
    <s v="29/05/2023"/>
    <s v="08/07/2024"/>
    <n v="2"/>
    <n v="211000"/>
    <n v="3"/>
    <n v="17"/>
    <x v="3"/>
  </r>
  <r>
    <s v="MFS-46236"/>
    <s v="Nneka Aliyu"/>
    <x v="1"/>
    <x v="3"/>
    <x v="2"/>
    <s v="Mid-level"/>
    <x v="0"/>
    <s v="31-40"/>
    <x v="2"/>
    <s v="18/11/2019"/>
    <s v="16/10/2023"/>
    <n v="6"/>
    <n v="334000"/>
    <n v="2.6"/>
    <n v="8"/>
    <x v="1"/>
  </r>
  <r>
    <s v="MFS-49581"/>
    <s v="Jummai Obaseki"/>
    <x v="1"/>
    <x v="2"/>
    <x v="0"/>
    <s v="Mid-level"/>
    <x v="0"/>
    <s v="41-50"/>
    <x v="2"/>
    <s v="08/09/2021"/>
    <s v="01/12/2020"/>
    <n v="4"/>
    <n v="287000"/>
    <n v="4.0999999999999996"/>
    <n v="11"/>
    <x v="0"/>
  </r>
  <r>
    <s v="MFS-58469"/>
    <s v="Hauwa Okeke"/>
    <x v="1"/>
    <x v="4"/>
    <x v="0"/>
    <s v="Junior"/>
    <x v="0"/>
    <s v="41-50"/>
    <x v="0"/>
    <s v="28/01/2019"/>
    <s v="01/12/2020"/>
    <n v="7"/>
    <n v="153000"/>
    <n v="1.7"/>
    <n v="9"/>
    <x v="1"/>
  </r>
  <r>
    <s v="MFS-85455"/>
    <s v="Tunde Adebayo"/>
    <x v="0"/>
    <x v="1"/>
    <x v="0"/>
    <s v="Manager"/>
    <x v="3"/>
    <s v="41-50"/>
    <x v="1"/>
    <s v="29/12/2020"/>
    <s v="13/03/2020"/>
    <n v="5"/>
    <n v="817000"/>
    <n v="3.1"/>
    <n v="10"/>
    <x v="0"/>
  </r>
  <r>
    <s v="MFS-96414"/>
    <s v="Lola Danladi"/>
    <x v="1"/>
    <x v="2"/>
    <x v="0"/>
    <s v="Junior"/>
    <x v="2"/>
    <s v="31-40"/>
    <x v="3"/>
    <s v="16/04/2020"/>
    <s v="13/03/2020"/>
    <n v="5"/>
    <n v="157000"/>
    <n v="3.8"/>
    <n v="1"/>
    <x v="0"/>
  </r>
  <r>
    <s v="MFS-73706"/>
    <s v="Aliyu Obi"/>
    <x v="0"/>
    <x v="0"/>
    <x v="2"/>
    <s v="Mid-level"/>
    <x v="0"/>
    <s v="31-40"/>
    <x v="0"/>
    <s v="08/04/2022"/>
    <s v="13/03/2020"/>
    <n v="3"/>
    <n v="303000"/>
    <n v="2.5"/>
    <n v="14"/>
    <x v="0"/>
  </r>
  <r>
    <s v="MFS-59199"/>
    <s v="Hafsat Nwachukwu"/>
    <x v="1"/>
    <x v="4"/>
    <x v="0"/>
    <s v="Mid-level"/>
    <x v="0"/>
    <s v="31-40"/>
    <x v="1"/>
    <s v="19/03/2019"/>
    <s v="13/03/2020"/>
    <n v="6"/>
    <n v="318000"/>
    <n v="3"/>
    <n v="38"/>
    <x v="1"/>
  </r>
  <r>
    <s v="MFS-55504"/>
    <s v="Gbenga Onwudiwe"/>
    <x v="0"/>
    <x v="3"/>
    <x v="0"/>
    <s v="Senior"/>
    <x v="0"/>
    <s v="22-30"/>
    <x v="1"/>
    <s v="19/07/2023"/>
    <s v="17/10/2020"/>
    <n v="2"/>
    <n v="505000"/>
    <n v="4.3"/>
    <n v="11"/>
    <x v="0"/>
  </r>
  <r>
    <s v="MFS-13522"/>
    <s v="Haruna Adesanya"/>
    <x v="0"/>
    <x v="3"/>
    <x v="0"/>
    <s v="Mid-level"/>
    <x v="0"/>
    <s v="31-40"/>
    <x v="2"/>
    <s v="27/03/2021"/>
    <s v="17/10/2020"/>
    <n v="4"/>
    <n v="221000"/>
    <n v="2.6"/>
    <n v="1"/>
    <x v="0"/>
  </r>
  <r>
    <s v="MFS-13653"/>
    <s v="Chukwuemeka Danladi"/>
    <x v="0"/>
    <x v="1"/>
    <x v="0"/>
    <s v="Mid-level"/>
    <x v="0"/>
    <s v="22-30"/>
    <x v="1"/>
    <s v="01/09/2023"/>
    <s v="17/10/2020"/>
    <n v="2"/>
    <n v="180000"/>
    <n v="4.4000000000000004"/>
    <n v="12"/>
    <x v="0"/>
  </r>
  <r>
    <s v="MFS-77792"/>
    <s v="Seun Buhari"/>
    <x v="0"/>
    <x v="4"/>
    <x v="0"/>
    <s v="Junior"/>
    <x v="1"/>
    <s v="31-40"/>
    <x v="1"/>
    <s v="01/07/2019"/>
    <s v="17/10/2020"/>
    <n v="6"/>
    <n v="87000"/>
    <n v="3.4"/>
    <n v="3"/>
    <x v="1"/>
  </r>
  <r>
    <s v="MFS-11639"/>
    <s v="Adeola Nwachukwu"/>
    <x v="0"/>
    <x v="1"/>
    <x v="0"/>
    <s v="Senior"/>
    <x v="1"/>
    <s v="51-60"/>
    <x v="2"/>
    <s v="13/02/2021"/>
    <s v="31/03/2025"/>
    <n v="5"/>
    <n v="389000"/>
    <n v="2.2999999999999998"/>
    <n v="8"/>
    <x v="0"/>
  </r>
  <r>
    <s v="MFS-43837"/>
    <s v="Hafsat Nnamdi"/>
    <x v="1"/>
    <x v="3"/>
    <x v="0"/>
    <s v="Junior"/>
    <x v="0"/>
    <s v="41-50"/>
    <x v="0"/>
    <s v="31/03/2020"/>
    <s v="31/03/2025"/>
    <n v="5"/>
    <n v="175000"/>
    <n v="3.2"/>
    <n v="12"/>
    <x v="0"/>
  </r>
  <r>
    <s v="MFS-97158"/>
    <s v="Wale Eze"/>
    <x v="0"/>
    <x v="4"/>
    <x v="0"/>
    <s v="Mid-level"/>
    <x v="0"/>
    <s v="51-60"/>
    <x v="0"/>
    <s v="06/03/2019"/>
    <s v="31/03/2025"/>
    <n v="7"/>
    <n v="279000"/>
    <n v="4.8"/>
    <n v="11"/>
    <x v="2"/>
  </r>
  <r>
    <s v="MFS-20426"/>
    <s v="Ibrahim Suleiman"/>
    <x v="0"/>
    <x v="3"/>
    <x v="0"/>
    <s v="Mid-level"/>
    <x v="0"/>
    <s v="41-50"/>
    <x v="1"/>
    <s v="10/04/2020"/>
    <s v="05/09/2024"/>
    <n v="5"/>
    <n v="287000"/>
    <n v="2.4"/>
    <n v="0"/>
    <x v="0"/>
  </r>
  <r>
    <s v="MFS-80126"/>
    <s v="Funmilayo Danladi"/>
    <x v="1"/>
    <x v="4"/>
    <x v="0"/>
    <s v="Junior"/>
    <x v="1"/>
    <s v="41-50"/>
    <x v="3"/>
    <s v="20/12/2022"/>
    <s v="05/09/2024"/>
    <n v="3"/>
    <n v="141000"/>
    <n v="1.9"/>
    <n v="11"/>
    <x v="2"/>
  </r>
  <r>
    <s v="MFS-47750"/>
    <s v="Falmata Buhari"/>
    <x v="1"/>
    <x v="2"/>
    <x v="0"/>
    <s v="Mid-level"/>
    <x v="2"/>
    <s v="41-50"/>
    <x v="2"/>
    <s v="26/09/2019"/>
    <s v="01/01/2024"/>
    <n v="6"/>
    <n v="330000"/>
    <n v="4.2"/>
    <n v="6"/>
    <x v="1"/>
  </r>
  <r>
    <s v="MFS-75887"/>
    <s v="Folake Danladi"/>
    <x v="1"/>
    <x v="1"/>
    <x v="2"/>
    <s v="Senior"/>
    <x v="0"/>
    <s v="51-60"/>
    <x v="1"/>
    <s v="04/02/2019"/>
    <s v="09/12/2023"/>
    <n v="7"/>
    <n v="563000"/>
    <n v="4.2"/>
    <n v="16"/>
    <x v="0"/>
  </r>
  <r>
    <s v="MFS-94332"/>
    <s v="Gbenga Obi"/>
    <x v="0"/>
    <x v="1"/>
    <x v="2"/>
    <s v="Mid-level"/>
    <x v="0"/>
    <s v="31-40"/>
    <x v="2"/>
    <s v="09/04/2021"/>
    <s v="09/12/2023"/>
    <n v="4"/>
    <n v="213000"/>
    <n v="3.4"/>
    <n v="5"/>
    <x v="0"/>
  </r>
  <r>
    <s v="MFS-28877"/>
    <s v="Asabe Fagbemi"/>
    <x v="1"/>
    <x v="3"/>
    <x v="0"/>
    <s v="Director"/>
    <x v="1"/>
    <s v="31-40"/>
    <x v="1"/>
    <s v="10/12/2022"/>
    <s v="09/12/2023"/>
    <n v="3"/>
    <n v="1060000"/>
    <n v="3.5"/>
    <n v="8"/>
    <x v="1"/>
  </r>
  <r>
    <s v="MFS-88145"/>
    <s v="Tobi Obaseki"/>
    <x v="0"/>
    <x v="1"/>
    <x v="2"/>
    <s v="Mid-level"/>
    <x v="1"/>
    <s v="22-30"/>
    <x v="0"/>
    <s v="26/01/2020"/>
    <s v="16/04/2021"/>
    <n v="6"/>
    <n v="223000"/>
    <n v="3"/>
    <n v="4"/>
    <x v="1"/>
  </r>
  <r>
    <s v="MFS-20531"/>
    <s v="Shehu Uba"/>
    <x v="0"/>
    <x v="4"/>
    <x v="2"/>
    <s v="Mid-level"/>
    <x v="0"/>
    <s v="31-40"/>
    <x v="4"/>
    <s v="15/04/2022"/>
    <s v="31/01/2023"/>
    <n v="3"/>
    <n v="232000"/>
    <n v="2.2999999999999998"/>
    <n v="11"/>
    <x v="1"/>
  </r>
  <r>
    <s v="MFS-19349"/>
    <s v="Uche Okafor"/>
    <x v="0"/>
    <x v="4"/>
    <x v="0"/>
    <s v="Manager"/>
    <x v="1"/>
    <s v="22-30"/>
    <x v="1"/>
    <s v="19/03/2019"/>
    <s v="11/08/2024"/>
    <n v="6"/>
    <n v="875000"/>
    <n v="3.8"/>
    <n v="32"/>
    <x v="0"/>
  </r>
  <r>
    <s v="MFS-83642"/>
    <s v="Dele Okonkwo"/>
    <x v="0"/>
    <x v="2"/>
    <x v="0"/>
    <s v="Senior"/>
    <x v="2"/>
    <s v="22-30"/>
    <x v="3"/>
    <s v="07/04/2019"/>
    <s v="11/08/2024"/>
    <n v="6"/>
    <n v="518000"/>
    <n v="3.7"/>
    <n v="39"/>
    <x v="0"/>
  </r>
  <r>
    <s v="MFS-23087"/>
    <s v="Garba Okonkwo"/>
    <x v="0"/>
    <x v="3"/>
    <x v="0"/>
    <s v="Mid-level"/>
    <x v="2"/>
    <s v="31-40"/>
    <x v="0"/>
    <s v="15/04/2022"/>
    <s v="11/08/2024"/>
    <n v="3"/>
    <n v="202000"/>
    <n v="2.2999999999999998"/>
    <n v="5"/>
    <x v="1"/>
  </r>
  <r>
    <s v="MFS-19924"/>
    <s v="Bimpe Eze"/>
    <x v="1"/>
    <x v="0"/>
    <x v="0"/>
    <s v="Junior"/>
    <x v="3"/>
    <s v="41-50"/>
    <x v="0"/>
    <s v="21/07/2020"/>
    <s v="25/03/2023"/>
    <n v="5"/>
    <n v="184000"/>
    <n v="3"/>
    <n v="23"/>
    <x v="0"/>
  </r>
  <r>
    <s v="MFS-11284"/>
    <s v="Ramatu Fagbemi"/>
    <x v="1"/>
    <x v="2"/>
    <x v="0"/>
    <s v="Junior"/>
    <x v="0"/>
    <s v="31-40"/>
    <x v="3"/>
    <s v="06/08/2020"/>
    <s v="25/03/2023"/>
    <n v="5"/>
    <n v="111000"/>
    <n v="3.6"/>
    <n v="7"/>
    <x v="2"/>
  </r>
  <r>
    <s v="MFS-14694"/>
    <s v="Ibrahim Ogundipe"/>
    <x v="0"/>
    <x v="2"/>
    <x v="2"/>
    <s v="Mid-level"/>
    <x v="1"/>
    <s v="51-60"/>
    <x v="2"/>
    <s v="08/04/2020"/>
    <s v="06/05/2023"/>
    <n v="5"/>
    <n v="216000"/>
    <n v="3.3"/>
    <n v="1"/>
    <x v="0"/>
  </r>
  <r>
    <s v="MFS-76315"/>
    <s v="Ugochi Uba"/>
    <x v="1"/>
    <x v="2"/>
    <x v="0"/>
    <s v="Mid-level"/>
    <x v="0"/>
    <s v="31-40"/>
    <x v="0"/>
    <s v="10/02/2019"/>
    <s v="06/05/2023"/>
    <n v="7"/>
    <n v="181000"/>
    <n v="3.6"/>
    <n v="0"/>
    <x v="1"/>
  </r>
  <r>
    <s v="MFS-67112"/>
    <s v="Adaora Chukwu"/>
    <x v="1"/>
    <x v="2"/>
    <x v="0"/>
    <s v="Senior"/>
    <x v="2"/>
    <s v="31-40"/>
    <x v="0"/>
    <s v="02/03/2023"/>
    <s v="21/09/2024"/>
    <n v="3"/>
    <n v="505000"/>
    <n v="2.8"/>
    <n v="5"/>
    <x v="2"/>
  </r>
  <r>
    <s v="MFS-90432"/>
    <s v="Chibuike Adeyemi"/>
    <x v="0"/>
    <x v="3"/>
    <x v="0"/>
    <s v="Mid-level"/>
    <x v="0"/>
    <s v="22-30"/>
    <x v="0"/>
    <s v="06/10/2019"/>
    <s v="05/05/2022"/>
    <n v="6"/>
    <n v="339000"/>
    <n v="2"/>
    <n v="19"/>
    <x v="1"/>
  </r>
  <r>
    <s v="MFS-85065"/>
    <s v="Musa Nduka"/>
    <x v="0"/>
    <x v="4"/>
    <x v="0"/>
    <s v="Senior"/>
    <x v="2"/>
    <s v="41-50"/>
    <x v="0"/>
    <s v="15/07/2023"/>
    <s v="27/11/2023"/>
    <n v="2"/>
    <n v="364000"/>
    <n v="2.4"/>
    <n v="9"/>
    <x v="0"/>
  </r>
  <r>
    <s v="MFS-85949"/>
    <s v="Aliyu Onwudiwe"/>
    <x v="0"/>
    <x v="1"/>
    <x v="1"/>
    <s v="Senior"/>
    <x v="1"/>
    <s v="31-40"/>
    <x v="3"/>
    <s v="26/12/2022"/>
    <s v="27/11/2023"/>
    <n v="3"/>
    <n v="455000"/>
    <n v="4.5999999999999996"/>
    <n v="9"/>
    <x v="2"/>
  </r>
  <r>
    <s v="MFS-71306"/>
    <s v="Uche Lawal"/>
    <x v="0"/>
    <x v="3"/>
    <x v="0"/>
    <s v="Mid-level"/>
    <x v="0"/>
    <s v="22-30"/>
    <x v="0"/>
    <s v="25/06/2020"/>
    <s v="07/03/2024"/>
    <n v="5"/>
    <n v="281000"/>
    <n v="4.2"/>
    <n v="9"/>
    <x v="0"/>
  </r>
  <r>
    <s v="MFS-47467"/>
    <s v="Hauwa Nwachukwu"/>
    <x v="1"/>
    <x v="2"/>
    <x v="2"/>
    <s v="Senior"/>
    <x v="0"/>
    <s v="31-40"/>
    <x v="2"/>
    <s v="20/11/2021"/>
    <s v="07/03/2024"/>
    <n v="4"/>
    <n v="521000"/>
    <n v="4"/>
    <n v="1"/>
    <x v="0"/>
  </r>
  <r>
    <s v="MFS-23928"/>
    <s v="Bello Chukwu"/>
    <x v="0"/>
    <x v="3"/>
    <x v="0"/>
    <s v="Junior"/>
    <x v="1"/>
    <s v="31-40"/>
    <x v="1"/>
    <s v="02/04/2023"/>
    <s v="07/03/2024"/>
    <n v="2"/>
    <n v="92000"/>
    <n v="5"/>
    <n v="1"/>
    <x v="0"/>
  </r>
  <r>
    <s v="MFS-65694"/>
    <s v="Babatunde Aliyu"/>
    <x v="0"/>
    <x v="1"/>
    <x v="2"/>
    <s v="Senior"/>
    <x v="1"/>
    <s v="41-50"/>
    <x v="1"/>
    <s v="25/11/2023"/>
    <s v="07/03/2024"/>
    <n v="2"/>
    <n v="414000"/>
    <n v="4.5"/>
    <n v="8"/>
    <x v="0"/>
  </r>
  <r>
    <s v="MFS-68243"/>
    <s v="Adeola Garba"/>
    <x v="0"/>
    <x v="2"/>
    <x v="0"/>
    <s v="Senior"/>
    <x v="3"/>
    <s v="22-30"/>
    <x v="3"/>
    <s v="22/08/2020"/>
    <s v="07/03/2024"/>
    <n v="5"/>
    <n v="595000"/>
    <n v="2.4"/>
    <n v="7"/>
    <x v="0"/>
  </r>
  <r>
    <s v="MFS-11577"/>
    <s v="Femi Adebayo"/>
    <x v="0"/>
    <x v="4"/>
    <x v="2"/>
    <s v="Junior"/>
    <x v="2"/>
    <s v="31-40"/>
    <x v="0"/>
    <s v="28/07/2022"/>
    <s v="07/03/2024"/>
    <n v="3"/>
    <n v="101000"/>
    <n v="2.8"/>
    <n v="3"/>
    <x v="0"/>
  </r>
  <r>
    <s v="MFS-45194"/>
    <s v="Adeola Obaseki"/>
    <x v="1"/>
    <x v="4"/>
    <x v="0"/>
    <s v="Junior"/>
    <x v="0"/>
    <s v="22-30"/>
    <x v="2"/>
    <s v="24/11/2023"/>
    <s v="07/03/2024"/>
    <n v="2"/>
    <n v="160000"/>
    <n v="2.8"/>
    <n v="13"/>
    <x v="0"/>
  </r>
  <r>
    <s v="MFS-22246"/>
    <s v="Rotimi Adeyemi"/>
    <x v="0"/>
    <x v="1"/>
    <x v="2"/>
    <s v="Senior"/>
    <x v="0"/>
    <s v="22-30"/>
    <x v="0"/>
    <s v="26/10/2022"/>
    <s v="07/03/2024"/>
    <n v="3"/>
    <n v="481000"/>
    <n v="2.1"/>
    <n v="10"/>
    <x v="2"/>
  </r>
  <r>
    <s v="MFS-25665"/>
    <s v="Ikenna Fagbemi"/>
    <x v="0"/>
    <x v="1"/>
    <x v="0"/>
    <s v="Manager"/>
    <x v="3"/>
    <s v="41-50"/>
    <x v="1"/>
    <s v="17/10/2020"/>
    <s v="18/05/2024"/>
    <n v="5"/>
    <n v="817000"/>
    <n v="3.8"/>
    <n v="11"/>
    <x v="1"/>
  </r>
  <r>
    <s v="MFS-40568"/>
    <s v="Kunle Coker"/>
    <x v="0"/>
    <x v="0"/>
    <x v="0"/>
    <s v="Manager"/>
    <x v="3"/>
    <s v="31-40"/>
    <x v="0"/>
    <s v="26/02/2023"/>
    <s v="16/12/2023"/>
    <n v="3"/>
    <n v="1045000"/>
    <n v="3.9"/>
    <n v="10"/>
    <x v="0"/>
  </r>
  <r>
    <s v="MFS-85740"/>
    <s v="Ramatu Chukwu"/>
    <x v="1"/>
    <x v="4"/>
    <x v="1"/>
    <s v="Junior"/>
    <x v="0"/>
    <s v="31-40"/>
    <x v="0"/>
    <s v="27/01/2020"/>
    <s v="16/12/2023"/>
    <n v="6"/>
    <n v="128000"/>
    <n v="1.7"/>
    <n v="5"/>
    <x v="3"/>
  </r>
  <r>
    <s v="MFS-90572"/>
    <s v="Titi Okafor"/>
    <x v="1"/>
    <x v="2"/>
    <x v="2"/>
    <s v="Senior"/>
    <x v="1"/>
    <s v="41-50"/>
    <x v="1"/>
    <s v="26/04/2020"/>
    <s v="09/02/2024"/>
    <n v="5"/>
    <n v="440000"/>
    <n v="3.6"/>
    <n v="7"/>
    <x v="1"/>
  </r>
  <r>
    <s v="MFS-75689"/>
    <s v="Adeola Adeyemi"/>
    <x v="0"/>
    <x v="1"/>
    <x v="0"/>
    <s v="Mid-level"/>
    <x v="0"/>
    <s v="51-60"/>
    <x v="0"/>
    <s v="18/12/2023"/>
    <s v="21/11/2022"/>
    <n v="2"/>
    <n v="281000"/>
    <n v="2.6"/>
    <n v="15"/>
    <x v="0"/>
  </r>
  <r>
    <s v="MFS-95660"/>
    <s v="Yetunde Lawal"/>
    <x v="1"/>
    <x v="4"/>
    <x v="0"/>
    <s v="Director"/>
    <x v="0"/>
    <s v="51-60"/>
    <x v="2"/>
    <s v="06/08/2021"/>
    <s v="21/11/2022"/>
    <n v="4"/>
    <n v="1657000"/>
    <n v="4.0999999999999996"/>
    <n v="13"/>
    <x v="0"/>
  </r>
  <r>
    <s v="MFS-45650"/>
    <s v="Seun Eze"/>
    <x v="0"/>
    <x v="0"/>
    <x v="0"/>
    <s v="Senior"/>
    <x v="0"/>
    <s v="41-50"/>
    <x v="1"/>
    <s v="24/07/2023"/>
    <s v="21/11/2022"/>
    <n v="2"/>
    <n v="563000"/>
    <n v="3.3"/>
    <n v="10"/>
    <x v="0"/>
  </r>
  <r>
    <s v="MFS-17554"/>
    <s v="Chinedu Eze"/>
    <x v="0"/>
    <x v="0"/>
    <x v="1"/>
    <s v="Junior"/>
    <x v="2"/>
    <s v="31-40"/>
    <x v="0"/>
    <s v="30/03/2022"/>
    <s v="21/11/2022"/>
    <n v="3"/>
    <n v="198000"/>
    <n v="2.7"/>
    <n v="1"/>
    <x v="3"/>
  </r>
  <r>
    <s v="MFS-77159"/>
    <s v="Chukwuemeka Buhari"/>
    <x v="0"/>
    <x v="3"/>
    <x v="0"/>
    <s v="Director"/>
    <x v="0"/>
    <s v="41-50"/>
    <x v="1"/>
    <s v="30/06/2021"/>
    <s v="19/01/2023"/>
    <n v="4"/>
    <n v="1124000"/>
    <n v="3.4"/>
    <n v="6"/>
    <x v="1"/>
  </r>
  <r>
    <s v="MFS-41210"/>
    <s v="Yakubu Ogundipe"/>
    <x v="0"/>
    <x v="2"/>
    <x v="1"/>
    <s v="Senior"/>
    <x v="0"/>
    <s v="41-50"/>
    <x v="3"/>
    <s v="31/07/2020"/>
    <s v="04/04/2021"/>
    <n v="5"/>
    <n v="380000"/>
    <n v="4.3"/>
    <n v="7"/>
    <x v="2"/>
  </r>
  <r>
    <s v="MFS-61492"/>
    <s v="Chibuike Adesanya"/>
    <x v="0"/>
    <x v="3"/>
    <x v="2"/>
    <s v="Mid-level"/>
    <x v="1"/>
    <s v="22-30"/>
    <x v="0"/>
    <s v="25/11/2019"/>
    <s v="20/11/2021"/>
    <n v="6"/>
    <n v="326000"/>
    <n v="3.5"/>
    <n v="0"/>
    <x v="1"/>
  </r>
  <r>
    <s v="MFS-67343"/>
    <s v="Bukola Adeyemi"/>
    <x v="1"/>
    <x v="1"/>
    <x v="2"/>
    <s v="Manager"/>
    <x v="0"/>
    <s v="22-30"/>
    <x v="2"/>
    <s v="16/06/2022"/>
    <s v="26/11/2019"/>
    <n v="3"/>
    <n v="797000"/>
    <n v="4.5"/>
    <n v="8"/>
    <x v="0"/>
  </r>
  <r>
    <s v="MFS-61873"/>
    <s v="Damilola Ogundipe"/>
    <x v="1"/>
    <x v="4"/>
    <x v="0"/>
    <s v="Manager"/>
    <x v="0"/>
    <s v="41-50"/>
    <x v="3"/>
    <s v="20/05/2019"/>
    <s v="26/11/2019"/>
    <n v="6"/>
    <n v="857000"/>
    <n v="4.0999999999999996"/>
    <n v="11"/>
    <x v="1"/>
  </r>
  <r>
    <s v="MFS-73827"/>
    <s v="Abubakar Suleiman"/>
    <x v="0"/>
    <x v="4"/>
    <x v="1"/>
    <s v="Manager"/>
    <x v="2"/>
    <s v="22-30"/>
    <x v="0"/>
    <s v="27/02/2020"/>
    <s v="27/01/2024"/>
    <n v="6"/>
    <n v="650000"/>
    <n v="3.5"/>
    <n v="3"/>
    <x v="2"/>
  </r>
  <r>
    <s v="MFS-12469"/>
    <s v="Chukwudi Bello"/>
    <x v="0"/>
    <x v="3"/>
    <x v="2"/>
    <s v="Mid-level"/>
    <x v="2"/>
    <s v="22-30"/>
    <x v="0"/>
    <s v="04/01/2020"/>
    <s v="14/06/2024"/>
    <n v="6"/>
    <n v="240000"/>
    <n v="3.2"/>
    <n v="13"/>
    <x v="0"/>
  </r>
  <r>
    <s v="MFS-40451"/>
    <s v="Falmata Shehu"/>
    <x v="1"/>
    <x v="3"/>
    <x v="0"/>
    <s v="Mid-level"/>
    <x v="2"/>
    <s v="41-50"/>
    <x v="0"/>
    <s v="21/09/2023"/>
    <s v="14/06/2024"/>
    <n v="2"/>
    <n v="273000"/>
    <n v="3.4"/>
    <n v="14"/>
    <x v="1"/>
  </r>
  <r>
    <s v="MFS-98770"/>
    <s v="Hadiza Oyelaran"/>
    <x v="1"/>
    <x v="4"/>
    <x v="0"/>
    <s v="Junior"/>
    <x v="2"/>
    <s v="31-40"/>
    <x v="2"/>
    <s v="05/04/2021"/>
    <s v="09/04/2023"/>
    <n v="4"/>
    <n v="90000"/>
    <n v="3.3"/>
    <n v="1"/>
    <x v="3"/>
  </r>
  <r>
    <s v="MFS-36663"/>
    <s v="Laraba Lawal"/>
    <x v="1"/>
    <x v="2"/>
    <x v="0"/>
    <s v="Mid-level"/>
    <x v="1"/>
    <s v="22-30"/>
    <x v="2"/>
    <s v="22/09/2021"/>
    <s v="30/07/2024"/>
    <n v="4"/>
    <n v="235000"/>
    <n v="2.6"/>
    <n v="1"/>
    <x v="2"/>
  </r>
  <r>
    <s v="MFS-97914"/>
    <s v="Titi Coker"/>
    <x v="1"/>
    <x v="0"/>
    <x v="0"/>
    <s v="Mid-level"/>
    <x v="1"/>
    <s v="22-30"/>
    <x v="0"/>
    <s v="07/03/2023"/>
    <s v="03/10/2023"/>
    <n v="3"/>
    <n v="361000"/>
    <n v="3.2"/>
    <n v="9"/>
    <x v="0"/>
  </r>
  <r>
    <s v="MFS-87460"/>
    <s v="Gbenga Adesanya"/>
    <x v="0"/>
    <x v="3"/>
    <x v="0"/>
    <s v="Senior"/>
    <x v="0"/>
    <s v="31-40"/>
    <x v="0"/>
    <s v="26/08/2023"/>
    <s v="03/10/2023"/>
    <n v="2"/>
    <n v="570000"/>
    <n v="4.8"/>
    <n v="9"/>
    <x v="0"/>
  </r>
  <r>
    <s v="MFS-38448"/>
    <s v="Ogechi Adewale"/>
    <x v="1"/>
    <x v="2"/>
    <x v="2"/>
    <s v="Mid-level"/>
    <x v="1"/>
    <s v="41-50"/>
    <x v="2"/>
    <s v="21/04/2023"/>
    <s v="03/10/2023"/>
    <n v="2"/>
    <n v="299000"/>
    <n v="3.5"/>
    <n v="2"/>
    <x v="0"/>
  </r>
  <r>
    <s v="MFS-28720"/>
    <s v="Funmilayo Oyelaran"/>
    <x v="1"/>
    <x v="4"/>
    <x v="0"/>
    <s v="Mid-level"/>
    <x v="0"/>
    <s v="41-50"/>
    <x v="4"/>
    <s v="15/02/2023"/>
    <s v="03/10/2023"/>
    <n v="3"/>
    <n v="323000"/>
    <n v="2.6"/>
    <n v="14"/>
    <x v="0"/>
  </r>
  <r>
    <s v="MFS-60104"/>
    <s v="Laraba Eze"/>
    <x v="1"/>
    <x v="3"/>
    <x v="0"/>
    <s v="Senior"/>
    <x v="0"/>
    <s v="22-30"/>
    <x v="1"/>
    <s v="06/01/2021"/>
    <s v="03/10/2023"/>
    <n v="5"/>
    <n v="498000"/>
    <n v="4.3"/>
    <n v="12"/>
    <x v="0"/>
  </r>
  <r>
    <s v="MFS-72014"/>
    <s v="Asabe Taiwo"/>
    <x v="1"/>
    <x v="2"/>
    <x v="0"/>
    <s v="Mid-level"/>
    <x v="2"/>
    <s v="22-30"/>
    <x v="0"/>
    <s v="26/01/2022"/>
    <s v="03/10/2023"/>
    <n v="4"/>
    <n v="269000"/>
    <n v="4.0999999999999996"/>
    <n v="20"/>
    <x v="0"/>
  </r>
  <r>
    <s v="MFS-75987"/>
    <s v="Chibuike Abdullahi"/>
    <x v="0"/>
    <x v="3"/>
    <x v="0"/>
    <s v="Senior"/>
    <x v="2"/>
    <s v="31-40"/>
    <x v="1"/>
    <s v="12/06/2020"/>
    <s v="03/10/2023"/>
    <n v="5"/>
    <n v="571000"/>
    <n v="4.3"/>
    <n v="3"/>
    <x v="0"/>
  </r>
  <r>
    <s v="MFS-70496"/>
    <s v="Laraba Musa"/>
    <x v="1"/>
    <x v="4"/>
    <x v="0"/>
    <s v="Mid-level"/>
    <x v="0"/>
    <s v="31-40"/>
    <x v="0"/>
    <s v="09/11/2021"/>
    <s v="03/10/2023"/>
    <n v="4"/>
    <n v="284000"/>
    <n v="4.7"/>
    <n v="9"/>
    <x v="0"/>
  </r>
  <r>
    <s v="MFS-86294"/>
    <s v="Ebuka Adeyemi"/>
    <x v="0"/>
    <x v="2"/>
    <x v="0"/>
    <s v="Senior"/>
    <x v="1"/>
    <s v="31-40"/>
    <x v="0"/>
    <s v="08/02/2022"/>
    <s v="03/10/2023"/>
    <n v="4"/>
    <n v="368000"/>
    <n v="4.7"/>
    <n v="39"/>
    <x v="1"/>
  </r>
  <r>
    <s v="MFS-19038"/>
    <s v="Ramatu Danladi"/>
    <x v="1"/>
    <x v="4"/>
    <x v="2"/>
    <s v="Junior"/>
    <x v="0"/>
    <s v="51-60"/>
    <x v="0"/>
    <s v="02/12/2019"/>
    <s v="13/03/2023"/>
    <n v="6"/>
    <n v="98000"/>
    <n v="3.3"/>
    <n v="1"/>
    <x v="0"/>
  </r>
  <r>
    <s v="MFS-76944"/>
    <s v="Bilkisu Musa"/>
    <x v="1"/>
    <x v="1"/>
    <x v="2"/>
    <s v="Junior"/>
    <x v="0"/>
    <s v="31-40"/>
    <x v="2"/>
    <s v="24/11/2023"/>
    <s v="13/03/2023"/>
    <n v="2"/>
    <n v="86000"/>
    <n v="2.4"/>
    <n v="2"/>
    <x v="0"/>
  </r>
  <r>
    <s v="MFS-78491"/>
    <s v="Ikenna Amadi"/>
    <x v="0"/>
    <x v="4"/>
    <x v="1"/>
    <s v="Junior"/>
    <x v="0"/>
    <s v="41-50"/>
    <x v="2"/>
    <s v="09/06/2020"/>
    <s v="13/03/2023"/>
    <n v="5"/>
    <n v="170000"/>
    <n v="3.2"/>
    <n v="27"/>
    <x v="1"/>
  </r>
  <r>
    <s v="MFS-68503"/>
    <s v="Aisha Ogbonna"/>
    <x v="1"/>
    <x v="1"/>
    <x v="1"/>
    <s v="Manager"/>
    <x v="1"/>
    <s v="31-40"/>
    <x v="0"/>
    <s v="02/02/2023"/>
    <s v="18/03/2025"/>
    <n v="3"/>
    <n v="809000"/>
    <n v="4.3"/>
    <n v="7"/>
    <x v="2"/>
  </r>
  <r>
    <s v="MFS-57772"/>
    <s v="Ifeoma Nnamdi"/>
    <x v="1"/>
    <x v="1"/>
    <x v="0"/>
    <s v="Mid-level"/>
    <x v="2"/>
    <s v="41-50"/>
    <x v="2"/>
    <s v="13/11/2023"/>
    <s v="01/04/2023"/>
    <n v="2"/>
    <n v="249000"/>
    <n v="4.5999999999999996"/>
    <n v="11"/>
    <x v="0"/>
  </r>
  <r>
    <s v="MFS-44035"/>
    <s v="Folake Okeke"/>
    <x v="1"/>
    <x v="0"/>
    <x v="0"/>
    <s v="Junior"/>
    <x v="0"/>
    <s v="31-40"/>
    <x v="0"/>
    <s v="01/10/2020"/>
    <s v="01/04/2023"/>
    <n v="5"/>
    <n v="172000"/>
    <n v="3.8"/>
    <n v="2"/>
    <x v="0"/>
  </r>
  <r>
    <s v="MFS-18026"/>
    <s v="Fatima Afolabi"/>
    <x v="1"/>
    <x v="0"/>
    <x v="0"/>
    <s v="Mid-level"/>
    <x v="3"/>
    <s v="51-60"/>
    <x v="1"/>
    <s v="26/08/2020"/>
    <s v="01/04/2023"/>
    <n v="5"/>
    <n v="379000"/>
    <n v="4.0999999999999996"/>
    <n v="2"/>
    <x v="0"/>
  </r>
  <r>
    <s v="MFS-46498"/>
    <s v="Nasiru Buhari"/>
    <x v="0"/>
    <x v="0"/>
    <x v="0"/>
    <s v="Junior"/>
    <x v="1"/>
    <s v="31-40"/>
    <x v="2"/>
    <s v="31/10/2019"/>
    <s v="01/04/2023"/>
    <n v="6"/>
    <n v="184000"/>
    <n v="4.2"/>
    <n v="7"/>
    <x v="0"/>
  </r>
  <r>
    <s v="MFS-50630"/>
    <s v="Jummai Aliyu"/>
    <x v="1"/>
    <x v="4"/>
    <x v="0"/>
    <s v="Mid-level"/>
    <x v="3"/>
    <s v="31-40"/>
    <x v="1"/>
    <s v="03/04/2022"/>
    <s v="01/04/2023"/>
    <n v="3"/>
    <n v="217000"/>
    <n v="3"/>
    <n v="2"/>
    <x v="1"/>
  </r>
  <r>
    <s v="MFS-63032"/>
    <s v="Zainab Amadi"/>
    <x v="1"/>
    <x v="1"/>
    <x v="2"/>
    <s v="Senior"/>
    <x v="1"/>
    <s v="22-30"/>
    <x v="0"/>
    <s v="17/09/2019"/>
    <s v="23/02/2025"/>
    <n v="6"/>
    <n v="358000"/>
    <n v="2.2000000000000002"/>
    <n v="31"/>
    <x v="0"/>
  </r>
  <r>
    <s v="MFS-99020"/>
    <s v="Bukola Lawal"/>
    <x v="1"/>
    <x v="2"/>
    <x v="0"/>
    <s v="Manager"/>
    <x v="3"/>
    <s v="22-30"/>
    <x v="0"/>
    <s v="08/07/2023"/>
    <s v="23/02/2025"/>
    <n v="2"/>
    <n v="752000"/>
    <n v="4.4000000000000004"/>
    <n v="13"/>
    <x v="0"/>
  </r>
  <r>
    <s v="MFS-31729"/>
    <s v="Maryam Okafor"/>
    <x v="1"/>
    <x v="3"/>
    <x v="0"/>
    <s v="Junior"/>
    <x v="0"/>
    <s v="51-60"/>
    <x v="2"/>
    <s v="15/04/2021"/>
    <s v="23/02/2025"/>
    <n v="4"/>
    <n v="102000"/>
    <n v="4.7"/>
    <n v="9"/>
    <x v="2"/>
  </r>
  <r>
    <s v="MFS-96681"/>
    <s v="Chinwe Okafor"/>
    <x v="1"/>
    <x v="2"/>
    <x v="1"/>
    <s v="Junior"/>
    <x v="2"/>
    <s v="31-40"/>
    <x v="3"/>
    <s v="20/04/2021"/>
    <s v="04/12/2022"/>
    <n v="4"/>
    <n v="151000"/>
    <n v="2.8"/>
    <n v="10"/>
    <x v="0"/>
  </r>
  <r>
    <s v="MFS-68000"/>
    <s v="Adaeze Shehu"/>
    <x v="1"/>
    <x v="0"/>
    <x v="2"/>
    <s v="Junior"/>
    <x v="2"/>
    <s v="31-40"/>
    <x v="0"/>
    <s v="02/06/2019"/>
    <s v="04/12/2022"/>
    <n v="6"/>
    <n v="160000"/>
    <n v="4.5"/>
    <n v="7"/>
    <x v="0"/>
  </r>
  <r>
    <s v="MFS-13221"/>
    <s v="Ibrahim Adeyemi"/>
    <x v="0"/>
    <x v="3"/>
    <x v="0"/>
    <s v="Mid-level"/>
    <x v="0"/>
    <s v="22-30"/>
    <x v="0"/>
    <s v="05/06/2019"/>
    <s v="04/12/2022"/>
    <n v="6"/>
    <n v="323000"/>
    <n v="4.2"/>
    <n v="14"/>
    <x v="0"/>
  </r>
  <r>
    <s v="MFS-17756"/>
    <s v="Shade Adesanya"/>
    <x v="1"/>
    <x v="2"/>
    <x v="0"/>
    <s v="Mid-level"/>
    <x v="0"/>
    <s v="31-40"/>
    <x v="0"/>
    <s v="21/09/2023"/>
    <s v="04/12/2022"/>
    <n v="2"/>
    <n v="291000"/>
    <n v="3.7"/>
    <n v="11"/>
    <x v="0"/>
  </r>
  <r>
    <s v="MFS-50149"/>
    <s v="Gbenga Uba"/>
    <x v="0"/>
    <x v="3"/>
    <x v="0"/>
    <s v="Senior"/>
    <x v="1"/>
    <s v="22-30"/>
    <x v="0"/>
    <s v="10/06/2020"/>
    <s v="04/12/2022"/>
    <n v="5"/>
    <n v="380000"/>
    <n v="2.1"/>
    <n v="13"/>
    <x v="0"/>
  </r>
  <r>
    <s v="MFS-87835"/>
    <s v="Wale Uba"/>
    <x v="0"/>
    <x v="2"/>
    <x v="0"/>
    <s v="Junior"/>
    <x v="0"/>
    <s v="51-60"/>
    <x v="2"/>
    <s v="27/07/2023"/>
    <s v="04/12/2022"/>
    <n v="2"/>
    <n v="171000"/>
    <n v="3.4"/>
    <n v="0"/>
    <x v="0"/>
  </r>
  <r>
    <s v="MFS-93608"/>
    <s v="Sola Suleiman"/>
    <x v="1"/>
    <x v="0"/>
    <x v="2"/>
    <s v="Mid-level"/>
    <x v="2"/>
    <s v="31-40"/>
    <x v="1"/>
    <s v="12/08/2019"/>
    <s v="04/12/2022"/>
    <n v="6"/>
    <n v="385000"/>
    <n v="4.9000000000000004"/>
    <n v="8"/>
    <x v="2"/>
  </r>
  <r>
    <s v="MFS-73745"/>
    <s v="Suleiman Abdullahi"/>
    <x v="0"/>
    <x v="2"/>
    <x v="0"/>
    <s v="Senior"/>
    <x v="2"/>
    <s v="31-40"/>
    <x v="0"/>
    <s v="15/09/2023"/>
    <s v="13/06/2020"/>
    <n v="2"/>
    <n v="370000"/>
    <n v="4.0999999999999996"/>
    <n v="0"/>
    <x v="0"/>
  </r>
  <r>
    <s v="MFS-64389"/>
    <s v="Tunde Adewale"/>
    <x v="0"/>
    <x v="0"/>
    <x v="0"/>
    <s v="Mid-level"/>
    <x v="0"/>
    <s v="31-40"/>
    <x v="1"/>
    <s v="29/09/2019"/>
    <s v="13/06/2020"/>
    <n v="6"/>
    <n v="241000"/>
    <n v="4.9000000000000004"/>
    <n v="8"/>
    <x v="0"/>
  </r>
  <r>
    <s v="MFS-56811"/>
    <s v="Garba Adebayo"/>
    <x v="0"/>
    <x v="0"/>
    <x v="0"/>
    <s v="Mid-level"/>
    <x v="2"/>
    <s v="31-40"/>
    <x v="0"/>
    <s v="05/03/2020"/>
    <s v="13/06/2020"/>
    <n v="6"/>
    <n v="325000"/>
    <n v="2.4"/>
    <n v="11"/>
    <x v="0"/>
  </r>
  <r>
    <s v="MFS-76127"/>
    <s v="Obiora Obi"/>
    <x v="0"/>
    <x v="4"/>
    <x v="0"/>
    <s v="Manager"/>
    <x v="2"/>
    <s v="31-40"/>
    <x v="1"/>
    <s v="21/05/2019"/>
    <s v="13/06/2020"/>
    <n v="6"/>
    <n v="697000"/>
    <n v="3.3"/>
    <n v="13"/>
    <x v="1"/>
  </r>
  <r>
    <s v="MFS-60087"/>
    <s v="Lanre Bello"/>
    <x v="0"/>
    <x v="2"/>
    <x v="2"/>
    <s v="Mid-level"/>
    <x v="1"/>
    <s v="31-40"/>
    <x v="0"/>
    <s v="24/01/2020"/>
    <s v="22/06/2024"/>
    <n v="6"/>
    <n v="283000"/>
    <n v="3.4"/>
    <n v="0"/>
    <x v="0"/>
  </r>
  <r>
    <s v="MFS-38730"/>
    <s v="Bilkisu Obi"/>
    <x v="1"/>
    <x v="1"/>
    <x v="0"/>
    <s v="Mid-level"/>
    <x v="2"/>
    <s v="41-50"/>
    <x v="1"/>
    <s v="19/07/2023"/>
    <s v="22/06/2024"/>
    <n v="2"/>
    <n v="237000"/>
    <n v="2.7"/>
    <n v="5"/>
    <x v="1"/>
  </r>
  <r>
    <s v="MFS-96088"/>
    <s v="Rabiu Uba"/>
    <x v="0"/>
    <x v="2"/>
    <x v="0"/>
    <s v="Mid-level"/>
    <x v="0"/>
    <s v="51-60"/>
    <x v="0"/>
    <s v="07/09/2019"/>
    <s v="14/04/2022"/>
    <n v="6"/>
    <n v="216000"/>
    <n v="2.2000000000000002"/>
    <n v="36"/>
    <x v="2"/>
  </r>
  <r>
    <s v="MFS-10556"/>
    <s v="Ezinne Obi"/>
    <x v="1"/>
    <x v="2"/>
    <x v="0"/>
    <s v="Senior"/>
    <x v="2"/>
    <s v="31-40"/>
    <x v="0"/>
    <s v="26/04/2019"/>
    <s v="25/11/2021"/>
    <n v="6"/>
    <n v="475000"/>
    <n v="4.9000000000000004"/>
    <n v="6"/>
    <x v="3"/>
  </r>
  <r>
    <s v="MFS-66413"/>
    <s v="Titi Omotayo"/>
    <x v="1"/>
    <x v="4"/>
    <x v="2"/>
    <s v="Junior"/>
    <x v="0"/>
    <s v="22-30"/>
    <x v="0"/>
    <s v="20/12/2023"/>
    <s v="25/11/2024"/>
    <n v="2"/>
    <n v="146000"/>
    <n v="2"/>
    <n v="0"/>
    <x v="0"/>
  </r>
  <r>
    <s v="MFS-81674"/>
    <s v="Chiamaka Buhari"/>
    <x v="1"/>
    <x v="3"/>
    <x v="1"/>
    <s v="Senior"/>
    <x v="2"/>
    <s v="22-30"/>
    <x v="1"/>
    <s v="07/01/2019"/>
    <s v="25/11/2024"/>
    <n v="7"/>
    <n v="477000"/>
    <n v="3.9"/>
    <n v="12"/>
    <x v="0"/>
  </r>
  <r>
    <s v="MFS-27131"/>
    <s v="Chinwe Bello"/>
    <x v="1"/>
    <x v="2"/>
    <x v="0"/>
    <s v="Senior"/>
    <x v="0"/>
    <s v="22-30"/>
    <x v="0"/>
    <s v="30/05/2021"/>
    <s v="25/11/2024"/>
    <n v="4"/>
    <n v="464000"/>
    <n v="3.9"/>
    <n v="7"/>
    <x v="0"/>
  </r>
  <r>
    <s v="MFS-54588"/>
    <s v="Yetunde Ogbonna"/>
    <x v="1"/>
    <x v="2"/>
    <x v="0"/>
    <s v="Mid-level"/>
    <x v="1"/>
    <s v="22-30"/>
    <x v="0"/>
    <s v="27/05/2021"/>
    <s v="25/11/2024"/>
    <n v="4"/>
    <n v="329000"/>
    <n v="4.2"/>
    <n v="1"/>
    <x v="0"/>
  </r>
  <r>
    <s v="MFS-36181"/>
    <s v="Titi Adesanya"/>
    <x v="1"/>
    <x v="1"/>
    <x v="0"/>
    <s v="Senior"/>
    <x v="0"/>
    <s v="22-30"/>
    <x v="0"/>
    <s v="08/11/2020"/>
    <s v="25/11/2024"/>
    <n v="5"/>
    <n v="373000"/>
    <n v="3.2"/>
    <n v="33"/>
    <x v="0"/>
  </r>
  <r>
    <s v="MFS-10583"/>
    <s v="Shade Fagbemi"/>
    <x v="1"/>
    <x v="4"/>
    <x v="2"/>
    <s v="Senior"/>
    <x v="0"/>
    <s v="22-30"/>
    <x v="2"/>
    <s v="29/10/2020"/>
    <s v="25/11/2024"/>
    <n v="5"/>
    <n v="399000"/>
    <n v="2.2999999999999998"/>
    <n v="7"/>
    <x v="1"/>
  </r>
  <r>
    <s v="MFS-77226"/>
    <s v="Chioma Adebayo"/>
    <x v="1"/>
    <x v="2"/>
    <x v="1"/>
    <s v="Senior"/>
    <x v="0"/>
    <s v="41-50"/>
    <x v="1"/>
    <s v="21/08/2022"/>
    <s v="10/11/2023"/>
    <n v="3"/>
    <n v="527000"/>
    <n v="2.2000000000000002"/>
    <n v="0"/>
    <x v="1"/>
  </r>
  <r>
    <s v="MFS-87372"/>
    <s v="Chinedu Omotayo"/>
    <x v="0"/>
    <x v="2"/>
    <x v="0"/>
    <s v="Junior"/>
    <x v="0"/>
    <s v="22-30"/>
    <x v="2"/>
    <s v="11/03/2023"/>
    <s v="12/11/2023"/>
    <n v="3"/>
    <n v="159000"/>
    <n v="4.4000000000000004"/>
    <n v="6"/>
    <x v="1"/>
  </r>
  <r>
    <s v="MFS-85748"/>
    <s v="Nneka Nduka"/>
    <x v="1"/>
    <x v="4"/>
    <x v="0"/>
    <s v="Junior"/>
    <x v="2"/>
    <s v="41-50"/>
    <x v="0"/>
    <s v="29/06/2021"/>
    <s v="07/10/2021"/>
    <n v="4"/>
    <n v="178000"/>
    <n v="2.1"/>
    <n v="13"/>
    <x v="0"/>
  </r>
  <r>
    <s v="MFS-86397"/>
    <s v="Ibrahim Adebayo"/>
    <x v="0"/>
    <x v="4"/>
    <x v="2"/>
    <s v="Junior"/>
    <x v="1"/>
    <s v="41-50"/>
    <x v="2"/>
    <s v="01/07/2020"/>
    <s v="07/10/2021"/>
    <n v="5"/>
    <n v="141000"/>
    <n v="2.7"/>
    <n v="13"/>
    <x v="1"/>
  </r>
  <r>
    <s v="MFS-68633"/>
    <s v="Folake Adesanya"/>
    <x v="1"/>
    <x v="4"/>
    <x v="0"/>
    <s v="Mid-level"/>
    <x v="0"/>
    <s v="41-50"/>
    <x v="3"/>
    <s v="06/01/2022"/>
    <s v="23/06/2023"/>
    <n v="4"/>
    <n v="340000"/>
    <n v="3.4"/>
    <n v="0"/>
    <x v="0"/>
  </r>
  <r>
    <s v="MFS-99474"/>
    <s v="Tobi Okafor"/>
    <x v="0"/>
    <x v="2"/>
    <x v="0"/>
    <s v="Mid-level"/>
    <x v="1"/>
    <s v="51-60"/>
    <x v="0"/>
    <s v="21/10/2020"/>
    <s v="23/06/2023"/>
    <n v="5"/>
    <n v="189000"/>
    <n v="2.2999999999999998"/>
    <n v="4"/>
    <x v="1"/>
  </r>
  <r>
    <s v="MFS-66648"/>
    <s v="Biodun Abdullahi"/>
    <x v="0"/>
    <x v="2"/>
    <x v="0"/>
    <s v="Mid-level"/>
    <x v="0"/>
    <s v="41-50"/>
    <x v="4"/>
    <s v="02/06/2022"/>
    <s v="25/12/2021"/>
    <n v="3"/>
    <n v="332000"/>
    <n v="4"/>
    <n v="3"/>
    <x v="0"/>
  </r>
  <r>
    <s v="MFS-28700"/>
    <s v="Usman Amadi"/>
    <x v="0"/>
    <x v="1"/>
    <x v="1"/>
    <s v="Junior"/>
    <x v="3"/>
    <s v="41-50"/>
    <x v="1"/>
    <s v="18/12/2022"/>
    <s v="25/12/2021"/>
    <n v="3"/>
    <n v="114000"/>
    <n v="3.1"/>
    <n v="4"/>
    <x v="0"/>
  </r>
  <r>
    <s v="MFS-90203"/>
    <s v="Rabiu Haruna"/>
    <x v="0"/>
    <x v="0"/>
    <x v="2"/>
    <s v="Mid-level"/>
    <x v="0"/>
    <s v="41-50"/>
    <x v="2"/>
    <s v="19/02/2021"/>
    <s v="25/12/2021"/>
    <n v="5"/>
    <n v="338000"/>
    <n v="3"/>
    <n v="0"/>
    <x v="0"/>
  </r>
  <r>
    <s v="MFS-80429"/>
    <s v="Chiamaka Chukwu"/>
    <x v="1"/>
    <x v="1"/>
    <x v="0"/>
    <s v="Senior"/>
    <x v="0"/>
    <s v="22-30"/>
    <x v="3"/>
    <s v="31/10/2019"/>
    <s v="25/12/2021"/>
    <n v="6"/>
    <n v="512000"/>
    <n v="4.5"/>
    <n v="8"/>
    <x v="2"/>
  </r>
  <r>
    <s v="MFS-76897"/>
    <s v="Ronke Nwachukwu"/>
    <x v="1"/>
    <x v="0"/>
    <x v="2"/>
    <s v="Junior"/>
    <x v="2"/>
    <s v="22-30"/>
    <x v="2"/>
    <s v="26/03/2022"/>
    <s v="27/11/2021"/>
    <n v="3"/>
    <n v="198000"/>
    <n v="3.1"/>
    <n v="4"/>
    <x v="0"/>
  </r>
  <r>
    <s v="MFS-28450"/>
    <s v="Emeka Oyelaran"/>
    <x v="0"/>
    <x v="3"/>
    <x v="0"/>
    <s v="Senior"/>
    <x v="0"/>
    <s v="31-40"/>
    <x v="2"/>
    <s v="12/09/2021"/>
    <s v="27/11/2021"/>
    <n v="4"/>
    <n v="467000"/>
    <n v="3.8"/>
    <n v="8"/>
    <x v="0"/>
  </r>
  <r>
    <s v="MFS-56952"/>
    <s v="Yemi Okeke"/>
    <x v="1"/>
    <x v="2"/>
    <x v="0"/>
    <s v="Junior"/>
    <x v="0"/>
    <s v="31-40"/>
    <x v="0"/>
    <s v="17/07/2020"/>
    <s v="27/11/2021"/>
    <n v="5"/>
    <n v="161000"/>
    <n v="4.5"/>
    <n v="10"/>
    <x v="0"/>
  </r>
  <r>
    <s v="MFS-48287"/>
    <s v="Zainab Chukwu"/>
    <x v="1"/>
    <x v="3"/>
    <x v="0"/>
    <s v="Senior"/>
    <x v="1"/>
    <s v="51-60"/>
    <x v="1"/>
    <s v="09/01/2019"/>
    <s v="27/11/2021"/>
    <n v="7"/>
    <n v="577000"/>
    <n v="2.2000000000000002"/>
    <n v="33"/>
    <x v="0"/>
  </r>
  <r>
    <s v="MFS-61710"/>
    <s v="Rotimi Okonkwo"/>
    <x v="0"/>
    <x v="1"/>
    <x v="0"/>
    <s v="Manager"/>
    <x v="0"/>
    <s v="41-50"/>
    <x v="4"/>
    <s v="18/12/2019"/>
    <s v="27/11/2021"/>
    <n v="6"/>
    <n v="600000"/>
    <n v="4.0999999999999996"/>
    <n v="15"/>
    <x v="0"/>
  </r>
  <r>
    <s v="MFS-79152"/>
    <s v="Uche Okafor"/>
    <x v="0"/>
    <x v="2"/>
    <x v="0"/>
    <s v="Mid-level"/>
    <x v="1"/>
    <s v="31-40"/>
    <x v="3"/>
    <s v="23/12/2020"/>
    <s v="27/11/2021"/>
    <n v="5"/>
    <n v="275000"/>
    <n v="4.5999999999999996"/>
    <n v="11"/>
    <x v="1"/>
  </r>
  <r>
    <s v="MFS-72655"/>
    <s v="Ronke Nwosu"/>
    <x v="1"/>
    <x v="2"/>
    <x v="0"/>
    <s v="Junior"/>
    <x v="2"/>
    <s v="51-60"/>
    <x v="1"/>
    <s v="14/10/2021"/>
    <s v="28/02/2024"/>
    <n v="4"/>
    <n v="178000"/>
    <n v="2.5"/>
    <n v="12"/>
    <x v="0"/>
  </r>
  <r>
    <s v="MFS-56986"/>
    <s v="Emeka Adebayo"/>
    <x v="0"/>
    <x v="4"/>
    <x v="1"/>
    <s v="Mid-level"/>
    <x v="3"/>
    <s v="22-30"/>
    <x v="1"/>
    <s v="07/03/2021"/>
    <s v="28/02/2024"/>
    <n v="5"/>
    <n v="193000"/>
    <n v="2.2999999999999998"/>
    <n v="10"/>
    <x v="0"/>
  </r>
  <r>
    <s v="MFS-52875"/>
    <s v="Hadiza Adeyemi"/>
    <x v="1"/>
    <x v="1"/>
    <x v="0"/>
    <s v="Senior"/>
    <x v="0"/>
    <s v="22-30"/>
    <x v="0"/>
    <s v="30/03/2020"/>
    <s v="28/02/2024"/>
    <n v="5"/>
    <n v="496000"/>
    <n v="2.7"/>
    <n v="8"/>
    <x v="1"/>
  </r>
  <r>
    <s v="MFS-94935"/>
    <s v="Gbenga Nwosu"/>
    <x v="0"/>
    <x v="3"/>
    <x v="0"/>
    <s v="Mid-level"/>
    <x v="1"/>
    <s v="22-30"/>
    <x v="1"/>
    <s v="11/03/2021"/>
    <s v="03/02/2024"/>
    <n v="5"/>
    <n v="261000"/>
    <n v="3.6"/>
    <n v="0"/>
    <x v="0"/>
  </r>
  <r>
    <s v="MFS-30629"/>
    <s v="Maryam Coker"/>
    <x v="1"/>
    <x v="3"/>
    <x v="0"/>
    <s v="Mid-level"/>
    <x v="2"/>
    <s v="41-50"/>
    <x v="1"/>
    <s v="11/08/2022"/>
    <s v="03/02/2024"/>
    <n v="3"/>
    <n v="250000"/>
    <n v="5"/>
    <n v="6"/>
    <x v="0"/>
  </r>
  <r>
    <s v="MFS-12890"/>
    <s v="Falmata Chukwu"/>
    <x v="1"/>
    <x v="4"/>
    <x v="0"/>
    <s v="Senior"/>
    <x v="2"/>
    <s v="22-30"/>
    <x v="2"/>
    <s v="25/12/2020"/>
    <s v="03/02/2024"/>
    <n v="5"/>
    <n v="470000"/>
    <n v="3"/>
    <n v="11"/>
    <x v="0"/>
  </r>
  <r>
    <s v="MFS-53963"/>
    <s v="Laraba Obi"/>
    <x v="1"/>
    <x v="0"/>
    <x v="0"/>
    <s v="Senior"/>
    <x v="2"/>
    <s v="41-50"/>
    <x v="2"/>
    <s v="23/03/2021"/>
    <s v="03/02/2024"/>
    <n v="4"/>
    <n v="381000"/>
    <n v="3.8"/>
    <n v="14"/>
    <x v="0"/>
  </r>
  <r>
    <s v="MFS-90750"/>
    <s v="Nana Ogbonna"/>
    <x v="1"/>
    <x v="2"/>
    <x v="2"/>
    <s v="Junior"/>
    <x v="0"/>
    <s v="22-30"/>
    <x v="1"/>
    <s v="07/01/2021"/>
    <s v="03/02/2024"/>
    <n v="5"/>
    <n v="93000"/>
    <n v="4.9000000000000004"/>
    <n v="5"/>
    <x v="0"/>
  </r>
  <r>
    <s v="MFS-74723"/>
    <s v="Babatunde Adewale"/>
    <x v="0"/>
    <x v="3"/>
    <x v="0"/>
    <s v="Junior"/>
    <x v="0"/>
    <s v="22-30"/>
    <x v="0"/>
    <s v="05/10/2021"/>
    <s v="03/02/2024"/>
    <n v="4"/>
    <n v="136000"/>
    <n v="4.5999999999999996"/>
    <n v="22"/>
    <x v="0"/>
  </r>
  <r>
    <s v="MFS-27795"/>
    <s v="Musa Taiwo"/>
    <x v="0"/>
    <x v="4"/>
    <x v="0"/>
    <s v="Junior"/>
    <x v="0"/>
    <s v="31-40"/>
    <x v="1"/>
    <s v="12/06/2022"/>
    <s v="03/02/2024"/>
    <n v="3"/>
    <n v="122000"/>
    <n v="3"/>
    <n v="11"/>
    <x v="1"/>
  </r>
  <r>
    <s v="MFS-28492"/>
    <s v="Laraba Nduka"/>
    <x v="1"/>
    <x v="3"/>
    <x v="0"/>
    <s v="Mid-level"/>
    <x v="0"/>
    <s v="41-50"/>
    <x v="2"/>
    <s v="19/04/2022"/>
    <s v="08/03/2023"/>
    <n v="3"/>
    <n v="287000"/>
    <n v="4.4000000000000004"/>
    <n v="22"/>
    <x v="2"/>
  </r>
  <r>
    <s v="MFS-46125"/>
    <s v="Nana Nwachukwu"/>
    <x v="1"/>
    <x v="0"/>
    <x v="0"/>
    <s v="Junior"/>
    <x v="0"/>
    <s v="22-30"/>
    <x v="2"/>
    <s v="26/02/2021"/>
    <s v="27/08/2023"/>
    <n v="5"/>
    <n v="132000"/>
    <n v="3.5"/>
    <n v="1"/>
    <x v="0"/>
  </r>
  <r>
    <s v="MFS-10490"/>
    <s v="Ebuka Fagbemi"/>
    <x v="0"/>
    <x v="0"/>
    <x v="0"/>
    <s v="Junior"/>
    <x v="0"/>
    <s v="41-50"/>
    <x v="1"/>
    <s v="12/02/2023"/>
    <s v="27/08/2023"/>
    <n v="3"/>
    <n v="118000"/>
    <n v="4.3"/>
    <n v="3"/>
    <x v="0"/>
  </r>
  <r>
    <s v="MFS-83183"/>
    <s v="Bimpe Eze"/>
    <x v="1"/>
    <x v="3"/>
    <x v="2"/>
    <s v="Junior"/>
    <x v="2"/>
    <s v="31-40"/>
    <x v="0"/>
    <s v="19/03/2023"/>
    <s v="27/08/2023"/>
    <n v="2"/>
    <n v="132000"/>
    <n v="2.7"/>
    <n v="0"/>
    <x v="0"/>
  </r>
  <r>
    <s v="MFS-96284"/>
    <s v="Rotimi Suleiman"/>
    <x v="0"/>
    <x v="2"/>
    <x v="0"/>
    <s v="Senior"/>
    <x v="2"/>
    <s v="51-60"/>
    <x v="0"/>
    <s v="02/04/2021"/>
    <s v="27/08/2023"/>
    <n v="4"/>
    <n v="479000"/>
    <n v="3.5"/>
    <n v="3"/>
    <x v="0"/>
  </r>
  <r>
    <s v="MFS-48185"/>
    <s v="Nasiru Adewale"/>
    <x v="0"/>
    <x v="0"/>
    <x v="0"/>
    <s v="Manager"/>
    <x v="1"/>
    <s v="22-30"/>
    <x v="0"/>
    <s v="05/07/2019"/>
    <s v="27/08/2023"/>
    <n v="6"/>
    <n v="1045000"/>
    <n v="3.6"/>
    <n v="0"/>
    <x v="0"/>
  </r>
  <r>
    <s v="MFS-33957"/>
    <s v="Titi Nnamdi"/>
    <x v="1"/>
    <x v="3"/>
    <x v="0"/>
    <s v="Manager"/>
    <x v="0"/>
    <s v="41-50"/>
    <x v="2"/>
    <s v="20/02/2020"/>
    <s v="27/08/2023"/>
    <n v="6"/>
    <n v="892000"/>
    <n v="4.7"/>
    <n v="12"/>
    <x v="0"/>
  </r>
  <r>
    <s v="MFS-22243"/>
    <s v="Yakubu Adesanya"/>
    <x v="0"/>
    <x v="3"/>
    <x v="2"/>
    <s v="Mid-level"/>
    <x v="2"/>
    <s v="31-40"/>
    <x v="3"/>
    <s v="20/08/2023"/>
    <s v="27/08/2023"/>
    <n v="2"/>
    <n v="321000"/>
    <n v="3.3"/>
    <n v="11"/>
    <x v="0"/>
  </r>
  <r>
    <s v="MFS-36398"/>
    <s v="Garba Nwachukwu"/>
    <x v="0"/>
    <x v="4"/>
    <x v="1"/>
    <s v="Senior"/>
    <x v="0"/>
    <s v="22-30"/>
    <x v="1"/>
    <s v="23/11/2021"/>
    <s v="27/08/2023"/>
    <n v="4"/>
    <n v="456000"/>
    <n v="2.1"/>
    <n v="8"/>
    <x v="1"/>
  </r>
  <r>
    <s v="MFS-38153"/>
    <s v="Ikenna Amadi"/>
    <x v="0"/>
    <x v="2"/>
    <x v="0"/>
    <s v="Mid-level"/>
    <x v="0"/>
    <s v="22-30"/>
    <x v="1"/>
    <s v="05/12/2020"/>
    <s v="27/02/2023"/>
    <n v="5"/>
    <n v="245000"/>
    <n v="4.7"/>
    <n v="4"/>
    <x v="0"/>
  </r>
  <r>
    <s v="MFS-53681"/>
    <s v="Abubakar Fagbemi"/>
    <x v="0"/>
    <x v="4"/>
    <x v="2"/>
    <s v="Junior"/>
    <x v="2"/>
    <s v="22-30"/>
    <x v="0"/>
    <s v="11/04/2021"/>
    <s v="27/02/2023"/>
    <n v="4"/>
    <n v="136000"/>
    <n v="2"/>
    <n v="8"/>
    <x v="2"/>
  </r>
  <r>
    <s v="MFS-95814"/>
    <s v="Ezinne Yakubu"/>
    <x v="1"/>
    <x v="1"/>
    <x v="0"/>
    <s v="Senior"/>
    <x v="2"/>
    <s v="22-30"/>
    <x v="0"/>
    <s v="01/05/2021"/>
    <s v="25/11/2024"/>
    <n v="4"/>
    <n v="469000"/>
    <n v="2.9"/>
    <n v="2"/>
    <x v="0"/>
  </r>
  <r>
    <s v="MFS-72804"/>
    <s v="Chioma Coker"/>
    <x v="1"/>
    <x v="2"/>
    <x v="0"/>
    <s v="Mid-level"/>
    <x v="1"/>
    <s v="51-60"/>
    <x v="4"/>
    <s v="16/02/2020"/>
    <s v="25/11/2024"/>
    <n v="6"/>
    <n v="314000"/>
    <n v="4.7"/>
    <n v="9"/>
    <x v="0"/>
  </r>
  <r>
    <s v="MFS-30124"/>
    <s v="Asabe Obaseki"/>
    <x v="1"/>
    <x v="3"/>
    <x v="2"/>
    <s v="Junior"/>
    <x v="2"/>
    <s v="41-50"/>
    <x v="2"/>
    <s v="09/02/2020"/>
    <s v="25/11/2024"/>
    <n v="6"/>
    <n v="180000"/>
    <n v="3"/>
    <n v="1"/>
    <x v="3"/>
  </r>
  <r>
    <s v="MFS-26118"/>
    <s v="Ibrahim Uba"/>
    <x v="0"/>
    <x v="3"/>
    <x v="0"/>
    <s v="Senior"/>
    <x v="2"/>
    <s v="41-50"/>
    <x v="2"/>
    <s v="17/01/2023"/>
    <s v="27/06/2024"/>
    <n v="3"/>
    <n v="536000"/>
    <n v="2"/>
    <n v="7"/>
    <x v="0"/>
  </r>
  <r>
    <s v="MFS-67767"/>
    <s v="Ifeoma Adeyemi"/>
    <x v="1"/>
    <x v="3"/>
    <x v="0"/>
    <s v="Manager"/>
    <x v="0"/>
    <s v="31-40"/>
    <x v="1"/>
    <s v="14/04/2022"/>
    <s v="27/06/2024"/>
    <n v="3"/>
    <n v="682000"/>
    <n v="4"/>
    <n v="0"/>
    <x v="0"/>
  </r>
  <r>
    <s v="MFS-89338"/>
    <s v="Chinwe Omotayo"/>
    <x v="1"/>
    <x v="1"/>
    <x v="2"/>
    <s v="Senior"/>
    <x v="1"/>
    <s v="31-40"/>
    <x v="0"/>
    <s v="10/04/2019"/>
    <s v="27/06/2024"/>
    <n v="6"/>
    <n v="524000"/>
    <n v="3"/>
    <n v="19"/>
    <x v="1"/>
  </r>
  <r>
    <s v="MFS-33061"/>
    <s v="Gbenga Eze"/>
    <x v="0"/>
    <x v="2"/>
    <x v="0"/>
    <s v="Mid-level"/>
    <x v="0"/>
    <s v="51-60"/>
    <x v="0"/>
    <s v="02/05/2023"/>
    <s v="09/11/2024"/>
    <n v="2"/>
    <n v="197000"/>
    <n v="4.5"/>
    <n v="1"/>
    <x v="1"/>
  </r>
  <r>
    <s v="MFS-55463"/>
    <s v="Aisha Abdullahi"/>
    <x v="1"/>
    <x v="4"/>
    <x v="0"/>
    <s v="Junior"/>
    <x v="1"/>
    <s v="22-30"/>
    <x v="0"/>
    <s v="07/07/2020"/>
    <s v="07/06/2024"/>
    <n v="5"/>
    <n v="104000"/>
    <n v="1.5"/>
    <n v="14"/>
    <x v="0"/>
  </r>
  <r>
    <s v="MFS-25369"/>
    <s v="Ngozi Coker"/>
    <x v="1"/>
    <x v="0"/>
    <x v="0"/>
    <s v="Mid-level"/>
    <x v="0"/>
    <s v="22-30"/>
    <x v="1"/>
    <s v="18/04/2020"/>
    <s v="07/06/2024"/>
    <n v="5"/>
    <n v="385000"/>
    <n v="2.8"/>
    <n v="37"/>
    <x v="1"/>
  </r>
  <r>
    <s v="MFS-75055"/>
    <s v="Ibrahim Taiwo"/>
    <x v="0"/>
    <x v="0"/>
    <x v="2"/>
    <s v="Mid-level"/>
    <x v="0"/>
    <s v="22-30"/>
    <x v="2"/>
    <s v="29/01/2023"/>
    <s v="12/02/2025"/>
    <n v="3"/>
    <n v="250000"/>
    <n v="4.5"/>
    <n v="4"/>
    <x v="0"/>
  </r>
  <r>
    <s v="MFS-23267"/>
    <s v="Maryam Onwudiwe"/>
    <x v="1"/>
    <x v="2"/>
    <x v="0"/>
    <s v="Junior"/>
    <x v="3"/>
    <s v="22-30"/>
    <x v="1"/>
    <s v="24/06/2023"/>
    <s v="12/02/2025"/>
    <n v="2"/>
    <n v="97000"/>
    <n v="4.3"/>
    <n v="8"/>
    <x v="2"/>
  </r>
  <r>
    <s v="MFS-15496"/>
    <s v="Sola Okeke"/>
    <x v="1"/>
    <x v="1"/>
    <x v="0"/>
    <s v="Director"/>
    <x v="2"/>
    <s v="31-40"/>
    <x v="0"/>
    <s v="06/08/2020"/>
    <s v="19/02/2025"/>
    <n v="5"/>
    <n v="988000"/>
    <n v="4"/>
    <n v="2"/>
    <x v="0"/>
  </r>
  <r>
    <s v="MFS-56689"/>
    <s v="Chibuike Coker"/>
    <x v="0"/>
    <x v="1"/>
    <x v="0"/>
    <s v="Mid-level"/>
    <x v="0"/>
    <s v="51-60"/>
    <x v="0"/>
    <s v="01/10/2023"/>
    <s v="19/02/2025"/>
    <n v="2"/>
    <n v="180000"/>
    <n v="4.7"/>
    <n v="5"/>
    <x v="1"/>
  </r>
  <r>
    <s v="MFS-60535"/>
    <s v="Tobi Adewale"/>
    <x v="0"/>
    <x v="3"/>
    <x v="0"/>
    <s v="Mid-level"/>
    <x v="2"/>
    <s v="22-30"/>
    <x v="3"/>
    <s v="30/05/2019"/>
    <s v="12/02/2021"/>
    <n v="6"/>
    <n v="338000"/>
    <n v="2.7"/>
    <n v="10"/>
    <x v="1"/>
  </r>
  <r>
    <s v="MFS-93967"/>
    <s v="Rabiu Danladi"/>
    <x v="0"/>
    <x v="2"/>
    <x v="0"/>
    <s v="Senior"/>
    <x v="2"/>
    <s v="31-40"/>
    <x v="3"/>
    <s v="30/11/2020"/>
    <s v="25/05/2024"/>
    <n v="5"/>
    <n v="449000"/>
    <n v="3.7"/>
    <n v="13"/>
    <x v="0"/>
  </r>
  <r>
    <s v="MFS-24805"/>
    <s v="Falmata Adesanya"/>
    <x v="1"/>
    <x v="3"/>
    <x v="0"/>
    <s v="Senior"/>
    <x v="2"/>
    <s v="51-60"/>
    <x v="0"/>
    <s v="13/05/2023"/>
    <s v="25/05/2024"/>
    <n v="2"/>
    <n v="421000"/>
    <n v="4.4000000000000004"/>
    <n v="2"/>
    <x v="1"/>
  </r>
  <r>
    <s v="MFS-38673"/>
    <s v="Chiamaka Musa"/>
    <x v="1"/>
    <x v="2"/>
    <x v="0"/>
    <s v="Mid-level"/>
    <x v="0"/>
    <s v="41-50"/>
    <x v="0"/>
    <s v="06/12/2019"/>
    <s v="15/01/2022"/>
    <n v="6"/>
    <n v="304000"/>
    <n v="2.7"/>
    <n v="11"/>
    <x v="1"/>
  </r>
  <r>
    <s v="MFS-70909"/>
    <s v="Ebuka Garba"/>
    <x v="0"/>
    <x v="3"/>
    <x v="0"/>
    <s v="Senior"/>
    <x v="0"/>
    <s v="41-50"/>
    <x v="0"/>
    <s v="20/02/2019"/>
    <s v="19/01/2024"/>
    <n v="7"/>
    <n v="435000"/>
    <n v="4"/>
    <n v="37"/>
    <x v="0"/>
  </r>
  <r>
    <s v="MFS-88571"/>
    <s v="Femi Okafor"/>
    <x v="0"/>
    <x v="3"/>
    <x v="0"/>
    <s v="Mid-level"/>
    <x v="3"/>
    <s v="51-60"/>
    <x v="2"/>
    <s v="13/05/2021"/>
    <s v="19/01/2024"/>
    <n v="4"/>
    <n v="340000"/>
    <n v="2.6"/>
    <n v="13"/>
    <x v="2"/>
  </r>
  <r>
    <s v="MFS-34875"/>
    <s v="Aisha Coker"/>
    <x v="1"/>
    <x v="3"/>
    <x v="0"/>
    <s v="Junior"/>
    <x v="0"/>
    <s v="41-50"/>
    <x v="0"/>
    <s v="12/05/2021"/>
    <s v="19/05/2023"/>
    <n v="4"/>
    <n v="116000"/>
    <n v="3.8"/>
    <n v="8"/>
    <x v="3"/>
  </r>
  <r>
    <s v="MFS-15241"/>
    <s v="Nneka Bello"/>
    <x v="1"/>
    <x v="2"/>
    <x v="0"/>
    <s v="Junior"/>
    <x v="0"/>
    <s v="31-40"/>
    <x v="0"/>
    <s v="22/01/2022"/>
    <s v="15/12/2023"/>
    <n v="4"/>
    <n v="152000"/>
    <n v="3.2"/>
    <n v="9"/>
    <x v="0"/>
  </r>
  <r>
    <s v="MFS-22397"/>
    <s v="Babatunde Chukwu"/>
    <x v="0"/>
    <x v="2"/>
    <x v="0"/>
    <s v="Junior"/>
    <x v="0"/>
    <s v="41-50"/>
    <x v="1"/>
    <s v="29/06/2021"/>
    <s v="15/12/2023"/>
    <n v="4"/>
    <n v="159000"/>
    <n v="3.9"/>
    <n v="3"/>
    <x v="3"/>
  </r>
  <r>
    <s v="MFS-49165"/>
    <s v="Titi Omotayo"/>
    <x v="1"/>
    <x v="4"/>
    <x v="2"/>
    <s v="Junior"/>
    <x v="1"/>
    <s v="41-50"/>
    <x v="2"/>
    <s v="23/12/2023"/>
    <s v="26/11/2024"/>
    <n v="2"/>
    <n v="156000"/>
    <n v="2.6"/>
    <n v="1"/>
    <x v="2"/>
  </r>
  <r>
    <s v="MFS-99790"/>
    <s v="Nnamdi Adesanya"/>
    <x v="0"/>
    <x v="2"/>
    <x v="1"/>
    <s v="Manager"/>
    <x v="2"/>
    <s v="31-40"/>
    <x v="2"/>
    <s v="15/12/2022"/>
    <s v="09/10/2024"/>
    <n v="3"/>
    <n v="843000"/>
    <n v="3.8"/>
    <n v="0"/>
    <x v="0"/>
  </r>
  <r>
    <s v="MFS-16674"/>
    <s v="Aliyu Taiwo"/>
    <x v="0"/>
    <x v="4"/>
    <x v="0"/>
    <s v="Senior"/>
    <x v="0"/>
    <s v="31-40"/>
    <x v="0"/>
    <s v="17/03/2019"/>
    <s v="09/10/2024"/>
    <n v="6"/>
    <n v="472000"/>
    <n v="3.5"/>
    <n v="9"/>
    <x v="2"/>
  </r>
  <r>
    <s v="MFS-37809"/>
    <s v="Ugochi Shehu"/>
    <x v="1"/>
    <x v="3"/>
    <x v="0"/>
    <s v="Senior"/>
    <x v="0"/>
    <s v="41-50"/>
    <x v="0"/>
    <s v="11/08/2019"/>
    <s v="31/10/2024"/>
    <n v="6"/>
    <n v="464000"/>
    <n v="3.8"/>
    <n v="5"/>
    <x v="0"/>
  </r>
  <r>
    <s v="MFS-47580"/>
    <s v="Chukwudi Eze"/>
    <x v="0"/>
    <x v="4"/>
    <x v="0"/>
    <s v="Senior"/>
    <x v="1"/>
    <s v="51-60"/>
    <x v="0"/>
    <s v="18/07/2023"/>
    <s v="31/10/2024"/>
    <n v="2"/>
    <n v="536000"/>
    <n v="4"/>
    <n v="3"/>
    <x v="1"/>
  </r>
  <r>
    <s v="MFS-92322"/>
    <s v="Amaka Obaseki"/>
    <x v="1"/>
    <x v="3"/>
    <x v="0"/>
    <s v="Director"/>
    <x v="1"/>
    <s v="41-50"/>
    <x v="3"/>
    <s v="18/11/2023"/>
    <s v="05/10/2024"/>
    <n v="2"/>
    <n v="1391000"/>
    <n v="3"/>
    <n v="12"/>
    <x v="0"/>
  </r>
  <r>
    <s v="MFS-20008"/>
    <s v="Zainab Adebayo"/>
    <x v="1"/>
    <x v="0"/>
    <x v="0"/>
    <s v="Mid-level"/>
    <x v="0"/>
    <s v="31-40"/>
    <x v="0"/>
    <s v="30/11/2020"/>
    <s v="05/10/2024"/>
    <n v="5"/>
    <n v="272000"/>
    <n v="4.5999999999999996"/>
    <n v="12"/>
    <x v="1"/>
  </r>
  <r>
    <s v="MFS-77773"/>
    <s v="Chinwe Adesanya"/>
    <x v="1"/>
    <x v="0"/>
    <x v="2"/>
    <s v="Junior"/>
    <x v="2"/>
    <s v="22-30"/>
    <x v="0"/>
    <s v="27/12/2022"/>
    <s v="25/06/2024"/>
    <n v="3"/>
    <n v="156000"/>
    <n v="2.6"/>
    <n v="33"/>
    <x v="1"/>
  </r>
  <r>
    <s v="MFS-13501"/>
    <s v="Adebayo Ihejirika"/>
    <x v="0"/>
    <x v="3"/>
    <x v="0"/>
    <s v="Senior"/>
    <x v="1"/>
    <s v="41-50"/>
    <x v="0"/>
    <s v="23/08/2019"/>
    <s v="01/11/2024"/>
    <n v="6"/>
    <n v="527000"/>
    <n v="2.4"/>
    <n v="7"/>
    <x v="0"/>
  </r>
  <r>
    <s v="MFS-96876"/>
    <s v="Uloma Buhari"/>
    <x v="1"/>
    <x v="3"/>
    <x v="0"/>
    <s v="Mid-level"/>
    <x v="2"/>
    <s v="31-40"/>
    <x v="3"/>
    <s v="24/02/2022"/>
    <s v="01/11/2024"/>
    <n v="4"/>
    <n v="251000"/>
    <n v="2.6"/>
    <n v="22"/>
    <x v="0"/>
  </r>
  <r>
    <s v="MFS-69800"/>
    <s v="Falmata Yakubu"/>
    <x v="1"/>
    <x v="4"/>
    <x v="0"/>
    <s v="Junior"/>
    <x v="2"/>
    <s v="31-40"/>
    <x v="4"/>
    <s v="15/05/2023"/>
    <s v="01/11/2024"/>
    <n v="2"/>
    <n v="115000"/>
    <n v="2.9"/>
    <n v="10"/>
    <x v="1"/>
  </r>
  <r>
    <s v="MFS-39819"/>
    <s v="Hadiza Suleiman"/>
    <x v="1"/>
    <x v="2"/>
    <x v="0"/>
    <s v="Mid-level"/>
    <x v="3"/>
    <s v="51-60"/>
    <x v="1"/>
    <s v="09/10/2022"/>
    <s v="08/05/2024"/>
    <n v="3"/>
    <n v="232000"/>
    <n v="2.2999999999999998"/>
    <n v="12"/>
    <x v="0"/>
  </r>
  <r>
    <s v="MFS-46059"/>
    <s v="Bimpe Omotayo"/>
    <x v="1"/>
    <x v="2"/>
    <x v="0"/>
    <s v="Junior"/>
    <x v="1"/>
    <s v="31-40"/>
    <x v="1"/>
    <s v="05/06/2022"/>
    <s v="08/05/2024"/>
    <n v="3"/>
    <n v="116000"/>
    <n v="4.2"/>
    <n v="0"/>
    <x v="0"/>
  </r>
  <r>
    <s v="MFS-63799"/>
    <s v="Ebuka Nwachukwu"/>
    <x v="0"/>
    <x v="1"/>
    <x v="0"/>
    <s v="Mid-level"/>
    <x v="1"/>
    <s v="31-40"/>
    <x v="0"/>
    <s v="29/03/2023"/>
    <s v="08/05/2024"/>
    <n v="2"/>
    <n v="230000"/>
    <n v="2.1"/>
    <n v="4"/>
    <x v="1"/>
  </r>
  <r>
    <s v="MFS-36804"/>
    <s v="Seun Okafor"/>
    <x v="0"/>
    <x v="3"/>
    <x v="0"/>
    <s v="Mid-level"/>
    <x v="3"/>
    <s v="31-40"/>
    <x v="0"/>
    <s v="11/09/2019"/>
    <s v="13/11/2022"/>
    <n v="6"/>
    <n v="186000"/>
    <n v="2"/>
    <n v="6"/>
    <x v="0"/>
  </r>
  <r>
    <s v="MFS-29499"/>
    <s v="Chidi Oyelaran"/>
    <x v="0"/>
    <x v="4"/>
    <x v="0"/>
    <s v="Junior"/>
    <x v="0"/>
    <s v="31-40"/>
    <x v="1"/>
    <s v="22/07/2022"/>
    <s v="13/11/2022"/>
    <n v="3"/>
    <n v="90000"/>
    <n v="2.2999999999999998"/>
    <n v="8"/>
    <x v="0"/>
  </r>
  <r>
    <s v="MFS-61852"/>
    <s v="Ikenna Suleiman"/>
    <x v="0"/>
    <x v="1"/>
    <x v="2"/>
    <s v="Mid-level"/>
    <x v="2"/>
    <s v="31-40"/>
    <x v="0"/>
    <s v="04/08/2019"/>
    <s v="13/11/2022"/>
    <n v="6"/>
    <n v="312000"/>
    <n v="3.9"/>
    <n v="0"/>
    <x v="1"/>
  </r>
  <r>
    <s v="MFS-30024"/>
    <s v="Dele Amadi"/>
    <x v="0"/>
    <x v="2"/>
    <x v="2"/>
    <s v="Junior"/>
    <x v="0"/>
    <s v="31-40"/>
    <x v="0"/>
    <s v="14/03/2022"/>
    <s v="08/04/2024"/>
    <n v="3"/>
    <n v="173000"/>
    <n v="2"/>
    <n v="25"/>
    <x v="3"/>
  </r>
  <r>
    <s v="MFS-40708"/>
    <s v="Bello Adeyemi"/>
    <x v="0"/>
    <x v="3"/>
    <x v="2"/>
    <s v="Senior"/>
    <x v="0"/>
    <s v="31-40"/>
    <x v="2"/>
    <s v="28/11/2020"/>
    <s v="02/11/2020"/>
    <n v="5"/>
    <n v="411000"/>
    <n v="2.1"/>
    <n v="4"/>
    <x v="0"/>
  </r>
  <r>
    <s v="MFS-21674"/>
    <s v="Hafsat Nduka"/>
    <x v="1"/>
    <x v="4"/>
    <x v="0"/>
    <s v="Junior"/>
    <x v="3"/>
    <s v="31-40"/>
    <x v="2"/>
    <s v="04/10/2020"/>
    <s v="02/11/2020"/>
    <n v="5"/>
    <n v="156000"/>
    <n v="3.4"/>
    <n v="4"/>
    <x v="0"/>
  </r>
  <r>
    <s v="MFS-92744"/>
    <s v="Adeola Ihejirika"/>
    <x v="0"/>
    <x v="4"/>
    <x v="0"/>
    <s v="Junior"/>
    <x v="0"/>
    <s v="22-30"/>
    <x v="1"/>
    <s v="10/02/2019"/>
    <s v="02/11/2020"/>
    <n v="7"/>
    <n v="96000"/>
    <n v="3.3"/>
    <n v="29"/>
    <x v="1"/>
  </r>
  <r>
    <s v="MFS-54436"/>
    <s v="Tobi Afolabi"/>
    <x v="0"/>
    <x v="0"/>
    <x v="2"/>
    <s v="Senior"/>
    <x v="0"/>
    <s v="22-30"/>
    <x v="2"/>
    <s v="24/07/2020"/>
    <s v="17/06/2023"/>
    <n v="5"/>
    <n v="628000"/>
    <n v="3.4"/>
    <n v="26"/>
    <x v="1"/>
  </r>
  <r>
    <s v="MFS-11398"/>
    <s v="Musa Okonkwo"/>
    <x v="0"/>
    <x v="2"/>
    <x v="0"/>
    <s v="Junior"/>
    <x v="0"/>
    <s v="51-60"/>
    <x v="2"/>
    <s v="27/05/2022"/>
    <s v="25/01/2021"/>
    <n v="3"/>
    <n v="111000"/>
    <n v="3.9"/>
    <n v="6"/>
    <x v="0"/>
  </r>
  <r>
    <s v="MFS-87159"/>
    <s v="Eze Nduka"/>
    <x v="0"/>
    <x v="2"/>
    <x v="2"/>
    <s v="Mid-level"/>
    <x v="1"/>
    <s v="31-40"/>
    <x v="0"/>
    <s v="17/06/2021"/>
    <s v="25/01/2021"/>
    <n v="4"/>
    <n v="271000"/>
    <n v="4.5"/>
    <n v="5"/>
    <x v="0"/>
  </r>
  <r>
    <s v="MFS-84667"/>
    <s v="Nnamdi Okeke"/>
    <x v="0"/>
    <x v="3"/>
    <x v="0"/>
    <s v="Senior"/>
    <x v="2"/>
    <s v="31-40"/>
    <x v="1"/>
    <s v="18/08/2019"/>
    <s v="25/01/2021"/>
    <n v="6"/>
    <n v="564000"/>
    <n v="2.7"/>
    <n v="5"/>
    <x v="0"/>
  </r>
  <r>
    <s v="MFS-83658"/>
    <s v="Kemi Buhari"/>
    <x v="1"/>
    <x v="0"/>
    <x v="0"/>
    <s v="Director"/>
    <x v="0"/>
    <s v="51-60"/>
    <x v="4"/>
    <s v="06/07/2022"/>
    <s v="25/01/2021"/>
    <n v="3"/>
    <n v="2193000"/>
    <n v="4.7"/>
    <n v="2"/>
    <x v="0"/>
  </r>
  <r>
    <s v="MFS-56153"/>
    <s v="Nasiru Buhari"/>
    <x v="0"/>
    <x v="1"/>
    <x v="0"/>
    <s v="Junior"/>
    <x v="0"/>
    <s v="31-40"/>
    <x v="4"/>
    <s v="30/07/2019"/>
    <s v="25/01/2021"/>
    <n v="6"/>
    <n v="111000"/>
    <n v="4.9000000000000004"/>
    <n v="40"/>
    <x v="1"/>
  </r>
  <r>
    <s v="MFS-74282"/>
    <s v="Adeola Danladi"/>
    <x v="0"/>
    <x v="4"/>
    <x v="0"/>
    <s v="Mid-level"/>
    <x v="2"/>
    <s v="31-40"/>
    <x v="0"/>
    <s v="08/01/2023"/>
    <s v="19/01/2024"/>
    <n v="3"/>
    <n v="210000"/>
    <n v="3.1"/>
    <n v="0"/>
    <x v="0"/>
  </r>
  <r>
    <s v="MFS-17700"/>
    <s v="Oluwaseun Okonkwo"/>
    <x v="0"/>
    <x v="0"/>
    <x v="0"/>
    <s v="Mid-level"/>
    <x v="2"/>
    <s v="41-50"/>
    <x v="2"/>
    <s v="03/06/2020"/>
    <s v="19/01/2024"/>
    <n v="5"/>
    <n v="308000"/>
    <n v="4.9000000000000004"/>
    <n v="2"/>
    <x v="3"/>
  </r>
  <r>
    <s v="MFS-15553"/>
    <s v="Hadiza Afolabi"/>
    <x v="1"/>
    <x v="3"/>
    <x v="0"/>
    <s v="Director"/>
    <x v="0"/>
    <s v="31-40"/>
    <x v="1"/>
    <s v="30/05/2020"/>
    <s v="29/06/2022"/>
    <n v="5"/>
    <n v="1802000"/>
    <n v="3.8"/>
    <n v="8"/>
    <x v="0"/>
  </r>
  <r>
    <s v="MFS-15043"/>
    <s v="Chukwuemeka Yakubu"/>
    <x v="0"/>
    <x v="2"/>
    <x v="1"/>
    <s v="Manager"/>
    <x v="2"/>
    <s v="22-30"/>
    <x v="0"/>
    <s v="01/09/2020"/>
    <s v="29/06/2022"/>
    <n v="5"/>
    <n v="728000"/>
    <n v="4.7"/>
    <n v="20"/>
    <x v="1"/>
  </r>
  <r>
    <s v="MFS-72752"/>
    <s v="Funmilayo Okafor"/>
    <x v="1"/>
    <x v="2"/>
    <x v="2"/>
    <s v="Mid-level"/>
    <x v="0"/>
    <s v="31-40"/>
    <x v="2"/>
    <s v="16/11/2022"/>
    <s v="05/04/2024"/>
    <n v="3"/>
    <n v="220000"/>
    <n v="2.7"/>
    <n v="12"/>
    <x v="0"/>
  </r>
  <r>
    <s v="MFS-11762"/>
    <s v="Adaeze Danladi"/>
    <x v="1"/>
    <x v="3"/>
    <x v="2"/>
    <s v="Mid-level"/>
    <x v="0"/>
    <s v="22-30"/>
    <x v="0"/>
    <s v="23/08/2023"/>
    <s v="05/04/2024"/>
    <n v="2"/>
    <n v="323000"/>
    <n v="4.9000000000000004"/>
    <n v="3"/>
    <x v="0"/>
  </r>
  <r>
    <s v="MFS-32091"/>
    <s v="Tunde Nnamdi"/>
    <x v="0"/>
    <x v="3"/>
    <x v="0"/>
    <s v="Senior"/>
    <x v="0"/>
    <s v="22-30"/>
    <x v="0"/>
    <s v="04/07/2019"/>
    <s v="05/04/2024"/>
    <n v="6"/>
    <n v="527000"/>
    <n v="2.5"/>
    <n v="8"/>
    <x v="0"/>
  </r>
  <r>
    <s v="MFS-41891"/>
    <s v="Lanre Okafor"/>
    <x v="0"/>
    <x v="0"/>
    <x v="1"/>
    <s v="Junior"/>
    <x v="0"/>
    <s v="22-30"/>
    <x v="3"/>
    <s v="02/06/2022"/>
    <s v="05/04/2024"/>
    <n v="3"/>
    <n v="141000"/>
    <n v="4.0999999999999996"/>
    <n v="4"/>
    <x v="1"/>
  </r>
  <r>
    <s v="MFS-20022"/>
    <s v="Titi Musa"/>
    <x v="1"/>
    <x v="0"/>
    <x v="0"/>
    <s v="Senior"/>
    <x v="1"/>
    <s v="31-40"/>
    <x v="2"/>
    <s v="03/02/2022"/>
    <s v="28/07/2021"/>
    <n v="4"/>
    <n v="512000"/>
    <n v="3.6"/>
    <n v="2"/>
    <x v="0"/>
  </r>
  <r>
    <s v="MFS-66049"/>
    <s v="Ezinne Danladi"/>
    <x v="1"/>
    <x v="2"/>
    <x v="2"/>
    <s v="Mid-level"/>
    <x v="0"/>
    <s v="41-50"/>
    <x v="2"/>
    <s v="27/01/2020"/>
    <s v="28/07/2021"/>
    <n v="6"/>
    <n v="299000"/>
    <n v="2.1"/>
    <n v="10"/>
    <x v="2"/>
  </r>
  <r>
    <s v="MFS-45476"/>
    <s v="Usman Adewale"/>
    <x v="0"/>
    <x v="4"/>
    <x v="0"/>
    <s v="Junior"/>
    <x v="0"/>
    <s v="22-30"/>
    <x v="2"/>
    <s v="20/10/2022"/>
    <s v="30/06/2023"/>
    <n v="3"/>
    <n v="119000"/>
    <n v="2.5"/>
    <n v="11"/>
    <x v="0"/>
  </r>
  <r>
    <s v="MFS-59341"/>
    <s v="Zainab Ogbonna"/>
    <x v="1"/>
    <x v="3"/>
    <x v="0"/>
    <s v="Senior"/>
    <x v="0"/>
    <s v="31-40"/>
    <x v="1"/>
    <s v="22/06/2019"/>
    <s v="30/06/2023"/>
    <n v="6"/>
    <n v="468000"/>
    <n v="4.0999999999999996"/>
    <n v="0"/>
    <x v="0"/>
  </r>
  <r>
    <s v="MFS-78296"/>
    <s v="Jummai Okafor"/>
    <x v="1"/>
    <x v="2"/>
    <x v="2"/>
    <s v="Junior"/>
    <x v="1"/>
    <s v="41-50"/>
    <x v="0"/>
    <s v="25/08/2022"/>
    <s v="30/06/2023"/>
    <n v="3"/>
    <n v="103000"/>
    <n v="2.7"/>
    <n v="11"/>
    <x v="0"/>
  </r>
  <r>
    <s v="MFS-71459"/>
    <s v="Eze Shehu"/>
    <x v="0"/>
    <x v="3"/>
    <x v="0"/>
    <s v="Mid-level"/>
    <x v="1"/>
    <s v="31-40"/>
    <x v="2"/>
    <s v="04/09/2023"/>
    <s v="30/06/2023"/>
    <n v="2"/>
    <n v="263000"/>
    <n v="2.4"/>
    <n v="24"/>
    <x v="0"/>
  </r>
  <r>
    <s v="MFS-31753"/>
    <s v="Kabiru Ogbonna"/>
    <x v="0"/>
    <x v="3"/>
    <x v="0"/>
    <s v="Senior"/>
    <x v="0"/>
    <s v="22-30"/>
    <x v="0"/>
    <s v="17/01/2022"/>
    <s v="30/06/2023"/>
    <n v="4"/>
    <n v="396000"/>
    <n v="3.3"/>
    <n v="30"/>
    <x v="3"/>
  </r>
  <r>
    <s v="MFS-93704"/>
    <s v="Hafsat Yakubu"/>
    <x v="1"/>
    <x v="3"/>
    <x v="0"/>
    <s v="Mid-level"/>
    <x v="0"/>
    <s v="41-50"/>
    <x v="2"/>
    <s v="01/02/2020"/>
    <s v="06/10/2022"/>
    <n v="6"/>
    <n v="270000"/>
    <n v="4.7"/>
    <n v="6"/>
    <x v="3"/>
  </r>
  <r>
    <s v="MFS-28906"/>
    <s v="Yemi Okeke"/>
    <x v="1"/>
    <x v="2"/>
    <x v="0"/>
    <s v="Junior"/>
    <x v="0"/>
    <s v="41-50"/>
    <x v="2"/>
    <s v="21/04/2020"/>
    <s v="15/10/2024"/>
    <n v="5"/>
    <n v="93000"/>
    <n v="2.2000000000000002"/>
    <n v="10"/>
    <x v="1"/>
  </r>
  <r>
    <s v="MFS-10217"/>
    <s v="Babatunde Okonkwo"/>
    <x v="0"/>
    <x v="3"/>
    <x v="2"/>
    <s v="Manager"/>
    <x v="0"/>
    <s v="31-40"/>
    <x v="0"/>
    <s v="29/10/2020"/>
    <s v="02/12/2022"/>
    <n v="5"/>
    <n v="922000"/>
    <n v="4.4000000000000004"/>
    <n v="7"/>
    <x v="1"/>
  </r>
  <r>
    <s v="MFS-23867"/>
    <s v="Hafsat Okafor"/>
    <x v="1"/>
    <x v="4"/>
    <x v="0"/>
    <s v="Junior"/>
    <x v="0"/>
    <s v="22-30"/>
    <x v="0"/>
    <s v="26/01/2021"/>
    <s v="15/12/2024"/>
    <n v="5"/>
    <n v="163000"/>
    <n v="1.8"/>
    <n v="8"/>
    <x v="0"/>
  </r>
  <r>
    <s v="MFS-59424"/>
    <s v="Yetunde Adesanya"/>
    <x v="1"/>
    <x v="1"/>
    <x v="2"/>
    <s v="Senior"/>
    <x v="2"/>
    <s v="31-40"/>
    <x v="0"/>
    <s v="27/08/2019"/>
    <s v="15/12/2024"/>
    <n v="6"/>
    <n v="368000"/>
    <n v="4.4000000000000004"/>
    <n v="11"/>
    <x v="0"/>
  </r>
  <r>
    <s v="MFS-49324"/>
    <s v="Ronke Abdullahi"/>
    <x v="1"/>
    <x v="2"/>
    <x v="0"/>
    <s v="Junior"/>
    <x v="0"/>
    <s v="41-50"/>
    <x v="0"/>
    <s v="07/07/2022"/>
    <s v="15/12/2024"/>
    <n v="3"/>
    <n v="103000"/>
    <n v="4.5999999999999996"/>
    <n v="13"/>
    <x v="0"/>
  </r>
  <r>
    <s v="MFS-16752"/>
    <s v="Titi Nduka"/>
    <x v="1"/>
    <x v="2"/>
    <x v="2"/>
    <s v="Mid-level"/>
    <x v="0"/>
    <s v="31-40"/>
    <x v="1"/>
    <s v="13/11/2021"/>
    <s v="15/12/2024"/>
    <n v="4"/>
    <n v="243000"/>
    <n v="4.3"/>
    <n v="10"/>
    <x v="1"/>
  </r>
  <r>
    <s v="MFS-83913"/>
    <s v="Ogechi Afolabi"/>
    <x v="1"/>
    <x v="2"/>
    <x v="2"/>
    <s v="Junior"/>
    <x v="2"/>
    <s v="31-40"/>
    <x v="0"/>
    <s v="09/07/2021"/>
    <s v="14/01/2024"/>
    <n v="4"/>
    <n v="95000"/>
    <n v="4.7"/>
    <n v="2"/>
    <x v="1"/>
  </r>
  <r>
    <s v="MFS-95263"/>
    <s v="Titi Onwudiwe"/>
    <x v="1"/>
    <x v="0"/>
    <x v="0"/>
    <s v="Mid-level"/>
    <x v="2"/>
    <s v="31-40"/>
    <x v="3"/>
    <s v="11/12/2019"/>
    <s v="06/07/2023"/>
    <n v="6"/>
    <n v="323000"/>
    <n v="3.7"/>
    <n v="0"/>
    <x v="1"/>
  </r>
  <r>
    <s v="MFS-49084"/>
    <s v="Eze Adewale"/>
    <x v="0"/>
    <x v="3"/>
    <x v="0"/>
    <s v="Mid-level"/>
    <x v="0"/>
    <s v="31-40"/>
    <x v="4"/>
    <s v="22/12/2023"/>
    <s v="21/12/2022"/>
    <n v="2"/>
    <n v="337000"/>
    <n v="2.8"/>
    <n v="23"/>
    <x v="0"/>
  </r>
  <r>
    <s v="MFS-17338"/>
    <s v="Shade Shehu"/>
    <x v="1"/>
    <x v="2"/>
    <x v="0"/>
    <s v="Junior"/>
    <x v="1"/>
    <s v="31-40"/>
    <x v="0"/>
    <s v="06/02/2020"/>
    <s v="21/12/2022"/>
    <n v="6"/>
    <n v="168000"/>
    <n v="4.8"/>
    <n v="10"/>
    <x v="0"/>
  </r>
  <r>
    <s v="MFS-79827"/>
    <s v="Falmata Nwosu"/>
    <x v="1"/>
    <x v="1"/>
    <x v="0"/>
    <s v="Junior"/>
    <x v="0"/>
    <s v="41-50"/>
    <x v="1"/>
    <s v="31/07/2021"/>
    <s v="21/12/2022"/>
    <n v="4"/>
    <n v="154000"/>
    <n v="2.4"/>
    <n v="12"/>
    <x v="1"/>
  </r>
  <r>
    <s v="MFS-93067"/>
    <s v="Laraba Onwudiwe"/>
    <x v="1"/>
    <x v="2"/>
    <x v="0"/>
    <s v="Junior"/>
    <x v="1"/>
    <s v="41-50"/>
    <x v="2"/>
    <s v="18/07/2022"/>
    <s v="18/02/2022"/>
    <n v="3"/>
    <n v="169000"/>
    <n v="2.2999999999999998"/>
    <n v="9"/>
    <x v="0"/>
  </r>
  <r>
    <s v="MFS-44321"/>
    <s v="Chinwe Nwosu"/>
    <x v="1"/>
    <x v="0"/>
    <x v="0"/>
    <s v="Junior"/>
    <x v="0"/>
    <s v="31-40"/>
    <x v="0"/>
    <s v="12/09/2022"/>
    <s v="18/02/2022"/>
    <n v="3"/>
    <n v="156000"/>
    <n v="3.6"/>
    <n v="14"/>
    <x v="0"/>
  </r>
  <r>
    <s v="MFS-40700"/>
    <s v="Hadiza Nduka"/>
    <x v="1"/>
    <x v="4"/>
    <x v="0"/>
    <s v="Junior"/>
    <x v="0"/>
    <s v="31-40"/>
    <x v="0"/>
    <s v="20/12/2020"/>
    <s v="18/02/2022"/>
    <n v="5"/>
    <n v="163000"/>
    <n v="2.9"/>
    <n v="5"/>
    <x v="0"/>
  </r>
  <r>
    <s v="MFS-97552"/>
    <s v="Maryam Nwachukwu"/>
    <x v="1"/>
    <x v="3"/>
    <x v="0"/>
    <s v="Mid-level"/>
    <x v="2"/>
    <s v="31-40"/>
    <x v="2"/>
    <s v="04/10/2019"/>
    <s v="18/02/2022"/>
    <n v="6"/>
    <n v="323000"/>
    <n v="3"/>
    <n v="4"/>
    <x v="0"/>
  </r>
  <r>
    <s v="MFS-70339"/>
    <s v="Laraba Omotayo"/>
    <x v="1"/>
    <x v="0"/>
    <x v="0"/>
    <s v="Senior"/>
    <x v="2"/>
    <s v="41-50"/>
    <x v="2"/>
    <s v="10/07/2023"/>
    <s v="18/02/2022"/>
    <n v="2"/>
    <n v="396000"/>
    <n v="3.2"/>
    <n v="7"/>
    <x v="0"/>
  </r>
  <r>
    <s v="MFS-49888"/>
    <s v="Femi Abdullahi"/>
    <x v="0"/>
    <x v="4"/>
    <x v="1"/>
    <s v="Mid-level"/>
    <x v="1"/>
    <s v="22-30"/>
    <x v="0"/>
    <s v="10/04/2019"/>
    <s v="18/02/2022"/>
    <n v="6"/>
    <n v="336000"/>
    <n v="4"/>
    <n v="14"/>
    <x v="0"/>
  </r>
  <r>
    <s v="MFS-56371"/>
    <s v="Danladi Garba"/>
    <x v="0"/>
    <x v="3"/>
    <x v="0"/>
    <s v="Senior"/>
    <x v="0"/>
    <s v="22-30"/>
    <x v="3"/>
    <s v="15/05/2021"/>
    <s v="18/02/2022"/>
    <n v="4"/>
    <n v="560000"/>
    <n v="3.3"/>
    <n v="7"/>
    <x v="1"/>
  </r>
  <r>
    <s v="MFS-75947"/>
    <s v="Abubakar Amadi"/>
    <x v="0"/>
    <x v="4"/>
    <x v="1"/>
    <s v="Manager"/>
    <x v="2"/>
    <s v="41-50"/>
    <x v="0"/>
    <s v="03/07/2023"/>
    <s v="13/12/2023"/>
    <n v="2"/>
    <n v="689000"/>
    <n v="4.0999999999999996"/>
    <n v="7"/>
    <x v="0"/>
  </r>
  <r>
    <s v="MFS-30216"/>
    <s v="Asabe Suleiman"/>
    <x v="1"/>
    <x v="4"/>
    <x v="0"/>
    <s v="Senior"/>
    <x v="0"/>
    <s v="41-50"/>
    <x v="4"/>
    <s v="12/10/2021"/>
    <s v="13/12/2023"/>
    <n v="4"/>
    <n v="384000"/>
    <n v="3.9"/>
    <n v="6"/>
    <x v="2"/>
  </r>
  <r>
    <s v="MFS-64262"/>
    <s v="Chukwudi Adewale"/>
    <x v="0"/>
    <x v="0"/>
    <x v="0"/>
    <s v="Senior"/>
    <x v="1"/>
    <s v="22-30"/>
    <x v="0"/>
    <s v="14/10/2021"/>
    <s v="27/02/2025"/>
    <n v="4"/>
    <n v="494000"/>
    <n v="2.7"/>
    <n v="28"/>
    <x v="0"/>
  </r>
  <r>
    <s v="MFS-27537"/>
    <s v="Bukola Obaseki"/>
    <x v="1"/>
    <x v="1"/>
    <x v="0"/>
    <s v="Senior"/>
    <x v="0"/>
    <s v="22-30"/>
    <x v="0"/>
    <s v="17/03/2021"/>
    <s v="27/02/2025"/>
    <n v="4"/>
    <n v="407000"/>
    <n v="3.8"/>
    <n v="9"/>
    <x v="0"/>
  </r>
  <r>
    <s v="MFS-45299"/>
    <s v="Chiamaka Ogundipe"/>
    <x v="1"/>
    <x v="4"/>
    <x v="2"/>
    <s v="Senior"/>
    <x v="2"/>
    <s v="31-40"/>
    <x v="1"/>
    <s v="08/09/2021"/>
    <s v="27/02/2025"/>
    <n v="4"/>
    <n v="460000"/>
    <n v="3.9"/>
    <n v="14"/>
    <x v="2"/>
  </r>
  <r>
    <s v="MFS-98166"/>
    <s v="Kabiru Eze"/>
    <x v="0"/>
    <x v="4"/>
    <x v="0"/>
    <s v="Junior"/>
    <x v="0"/>
    <s v="51-60"/>
    <x v="0"/>
    <s v="14/02/2023"/>
    <s v="05/11/2023"/>
    <n v="3"/>
    <n v="123000"/>
    <n v="3.1"/>
    <n v="2"/>
    <x v="2"/>
  </r>
  <r>
    <s v="MFS-75392"/>
    <s v="Ugochi Nwachukwu"/>
    <x v="1"/>
    <x v="2"/>
    <x v="0"/>
    <s v="Mid-level"/>
    <x v="3"/>
    <s v="22-30"/>
    <x v="2"/>
    <s v="08/02/2019"/>
    <s v="04/10/2021"/>
    <n v="7"/>
    <n v="327000"/>
    <n v="3.2"/>
    <n v="21"/>
    <x v="0"/>
  </r>
  <r>
    <s v="MFS-33848"/>
    <s v="Nana Lawal"/>
    <x v="1"/>
    <x v="4"/>
    <x v="0"/>
    <s v="Mid-level"/>
    <x v="0"/>
    <s v="31-40"/>
    <x v="2"/>
    <s v="21/02/2020"/>
    <s v="04/10/2021"/>
    <n v="6"/>
    <n v="226000"/>
    <n v="2.1"/>
    <n v="17"/>
    <x v="0"/>
  </r>
  <r>
    <s v="MFS-90276"/>
    <s v="Dele Lawal"/>
    <x v="0"/>
    <x v="4"/>
    <x v="0"/>
    <s v="Mid-level"/>
    <x v="2"/>
    <s v="22-30"/>
    <x v="0"/>
    <s v="06/04/2020"/>
    <s v="04/10/2021"/>
    <n v="5"/>
    <n v="237000"/>
    <n v="2.7"/>
    <n v="13"/>
    <x v="2"/>
  </r>
  <r>
    <s v="MFS-22675"/>
    <s v="Garba Amadi"/>
    <x v="0"/>
    <x v="2"/>
    <x v="2"/>
    <s v="Mid-level"/>
    <x v="2"/>
    <s v="31-40"/>
    <x v="2"/>
    <s v="01/01/2022"/>
    <s v="02/01/2025"/>
    <n v="4"/>
    <n v="297000"/>
    <n v="4.8"/>
    <n v="3"/>
    <x v="0"/>
  </r>
  <r>
    <s v="MFS-90922"/>
    <s v="Ezinne Afolabi"/>
    <x v="1"/>
    <x v="2"/>
    <x v="0"/>
    <s v="Senior"/>
    <x v="2"/>
    <s v="41-50"/>
    <x v="1"/>
    <s v="19/03/2021"/>
    <s v="02/01/2025"/>
    <n v="4"/>
    <n v="589000"/>
    <n v="4.2"/>
    <n v="7"/>
    <x v="0"/>
  </r>
  <r>
    <s v="MFS-59112"/>
    <s v="Dele Amadi"/>
    <x v="0"/>
    <x v="0"/>
    <x v="1"/>
    <s v="Mid-level"/>
    <x v="2"/>
    <s v="41-50"/>
    <x v="0"/>
    <s v="21/05/2021"/>
    <s v="02/01/2025"/>
    <n v="4"/>
    <n v="345000"/>
    <n v="4.3"/>
    <n v="5"/>
    <x v="0"/>
  </r>
  <r>
    <s v="MFS-52425"/>
    <s v="Chiamaka Ihejirika"/>
    <x v="1"/>
    <x v="2"/>
    <x v="2"/>
    <s v="Senior"/>
    <x v="2"/>
    <s v="22-30"/>
    <x v="1"/>
    <s v="14/01/2022"/>
    <s v="02/01/2025"/>
    <n v="4"/>
    <n v="442000"/>
    <n v="2"/>
    <n v="6"/>
    <x v="1"/>
  </r>
  <r>
    <s v="MFS-92782"/>
    <s v="Yemi Adeyemi"/>
    <x v="1"/>
    <x v="1"/>
    <x v="0"/>
    <s v="Senior"/>
    <x v="2"/>
    <s v="31-40"/>
    <x v="2"/>
    <s v="26/05/2022"/>
    <s v="30/08/2020"/>
    <n v="3"/>
    <n v="531000"/>
    <n v="3.3"/>
    <n v="35"/>
    <x v="0"/>
  </r>
  <r>
    <s v="MFS-27907"/>
    <s v="Tunde Ogundipe"/>
    <x v="0"/>
    <x v="3"/>
    <x v="0"/>
    <s v="Senior"/>
    <x v="2"/>
    <s v="22-30"/>
    <x v="3"/>
    <s v="15/02/2019"/>
    <s v="30/08/2020"/>
    <n v="7"/>
    <n v="396000"/>
    <n v="2.2999999999999998"/>
    <n v="11"/>
    <x v="0"/>
  </r>
  <r>
    <s v="MFS-35935"/>
    <s v="Nasiru Uba"/>
    <x v="0"/>
    <x v="3"/>
    <x v="0"/>
    <s v="Mid-level"/>
    <x v="1"/>
    <s v="22-30"/>
    <x v="1"/>
    <s v="01/01/2020"/>
    <s v="30/08/2020"/>
    <n v="6"/>
    <n v="193000"/>
    <n v="2.7"/>
    <n v="13"/>
    <x v="0"/>
  </r>
  <r>
    <s v="MFS-42005"/>
    <s v="Sola Obaseki"/>
    <x v="1"/>
    <x v="0"/>
    <x v="1"/>
    <s v="Mid-level"/>
    <x v="2"/>
    <s v="22-30"/>
    <x v="2"/>
    <s v="27/10/2019"/>
    <s v="30/08/2020"/>
    <n v="6"/>
    <n v="372000"/>
    <n v="3.5"/>
    <n v="9"/>
    <x v="2"/>
  </r>
  <r>
    <s v="MFS-50524"/>
    <s v="Garba Ogundipe"/>
    <x v="0"/>
    <x v="2"/>
    <x v="0"/>
    <s v="Senior"/>
    <x v="1"/>
    <s v="51-60"/>
    <x v="1"/>
    <s v="27/10/2019"/>
    <s v="12/09/2023"/>
    <n v="6"/>
    <n v="596000"/>
    <n v="3"/>
    <n v="10"/>
    <x v="1"/>
  </r>
  <r>
    <s v="MFS-58969"/>
    <s v="Funmilayo Adebayo"/>
    <x v="1"/>
    <x v="2"/>
    <x v="1"/>
    <s v="Junior"/>
    <x v="0"/>
    <s v="41-50"/>
    <x v="2"/>
    <s v="26/11/2020"/>
    <s v="15/05/2024"/>
    <n v="5"/>
    <n v="151000"/>
    <n v="3.7"/>
    <n v="21"/>
    <x v="0"/>
  </r>
  <r>
    <s v="MFS-85276"/>
    <s v="Uloma Musa"/>
    <x v="1"/>
    <x v="1"/>
    <x v="0"/>
    <s v="Senior"/>
    <x v="0"/>
    <s v="31-40"/>
    <x v="2"/>
    <s v="21/04/2022"/>
    <s v="15/05/2024"/>
    <n v="3"/>
    <n v="502000"/>
    <n v="4.4000000000000004"/>
    <n v="24"/>
    <x v="0"/>
  </r>
  <r>
    <s v="MFS-19211"/>
    <s v="Shehu Coker"/>
    <x v="0"/>
    <x v="3"/>
    <x v="1"/>
    <s v="Mid-level"/>
    <x v="3"/>
    <s v="41-50"/>
    <x v="1"/>
    <s v="03/05/2019"/>
    <s v="15/05/2024"/>
    <n v="6"/>
    <n v="182000"/>
    <n v="3"/>
    <n v="4"/>
    <x v="0"/>
  </r>
  <r>
    <s v="MFS-46316"/>
    <s v="Titi Abdullahi"/>
    <x v="1"/>
    <x v="0"/>
    <x v="1"/>
    <s v="Mid-level"/>
    <x v="0"/>
    <s v="31-40"/>
    <x v="3"/>
    <s v="22/06/2020"/>
    <s v="15/05/2024"/>
    <n v="5"/>
    <n v="379000"/>
    <n v="3.7"/>
    <n v="12"/>
    <x v="0"/>
  </r>
  <r>
    <s v="MFS-75491"/>
    <s v="Hadiza Ogundipe"/>
    <x v="1"/>
    <x v="4"/>
    <x v="0"/>
    <s v="Junior"/>
    <x v="0"/>
    <s v="22-30"/>
    <x v="0"/>
    <s v="22/08/2023"/>
    <s v="15/05/2024"/>
    <n v="2"/>
    <n v="102000"/>
    <n v="2.8"/>
    <n v="14"/>
    <x v="3"/>
  </r>
  <r>
    <s v="MFS-68207"/>
    <s v="Bimpe Oyelaran"/>
    <x v="1"/>
    <x v="0"/>
    <x v="0"/>
    <s v="Manager"/>
    <x v="0"/>
    <s v="41-50"/>
    <x v="2"/>
    <s v="05/06/2019"/>
    <s v="18/07/2024"/>
    <n v="6"/>
    <n v="728000"/>
    <n v="3.3"/>
    <n v="4"/>
    <x v="0"/>
  </r>
  <r>
    <s v="MFS-54393"/>
    <s v="Maryam Eze"/>
    <x v="1"/>
    <x v="2"/>
    <x v="0"/>
    <s v="Mid-level"/>
    <x v="0"/>
    <s v="22-30"/>
    <x v="2"/>
    <s v="11/05/2021"/>
    <s v="18/07/2024"/>
    <n v="4"/>
    <n v="246000"/>
    <n v="4.9000000000000004"/>
    <n v="5"/>
    <x v="0"/>
  </r>
  <r>
    <s v="MFS-55838"/>
    <s v="Nneka Afolabi"/>
    <x v="1"/>
    <x v="0"/>
    <x v="0"/>
    <s v="Mid-level"/>
    <x v="0"/>
    <s v="41-50"/>
    <x v="1"/>
    <s v="01/04/2023"/>
    <s v="18/07/2024"/>
    <n v="2"/>
    <n v="338000"/>
    <n v="4.2"/>
    <n v="9"/>
    <x v="2"/>
  </r>
  <r>
    <s v="MFS-89785"/>
    <s v="Rotimi Coker"/>
    <x v="0"/>
    <x v="2"/>
    <x v="2"/>
    <s v="Manager"/>
    <x v="1"/>
    <s v="41-50"/>
    <x v="1"/>
    <s v="06/03/2023"/>
    <s v="17/05/2024"/>
    <n v="3"/>
    <n v="758000"/>
    <n v="3.9"/>
    <n v="11"/>
    <x v="0"/>
  </r>
  <r>
    <s v="MFS-79133"/>
    <s v="Tosin Bello"/>
    <x v="1"/>
    <x v="2"/>
    <x v="0"/>
    <s v="Mid-level"/>
    <x v="1"/>
    <s v="41-50"/>
    <x v="1"/>
    <s v="10/12/2023"/>
    <s v="17/05/2024"/>
    <n v="2"/>
    <n v="289000"/>
    <n v="3.8"/>
    <n v="2"/>
    <x v="0"/>
  </r>
  <r>
    <s v="MFS-79109"/>
    <s v="Kabiru Amadi"/>
    <x v="0"/>
    <x v="3"/>
    <x v="2"/>
    <s v="Senior"/>
    <x v="1"/>
    <s v="41-50"/>
    <x v="0"/>
    <s v="29/10/2022"/>
    <s v="17/05/2024"/>
    <n v="3"/>
    <n v="539000"/>
    <n v="3"/>
    <n v="3"/>
    <x v="0"/>
  </r>
  <r>
    <s v="MFS-93810"/>
    <s v="Danladi Oyelaran"/>
    <x v="0"/>
    <x v="1"/>
    <x v="0"/>
    <s v="Junior"/>
    <x v="0"/>
    <s v="41-50"/>
    <x v="0"/>
    <s v="07/03/2019"/>
    <s v="17/05/2024"/>
    <n v="7"/>
    <n v="85000"/>
    <n v="3.5"/>
    <n v="21"/>
    <x v="1"/>
  </r>
  <r>
    <s v="MFS-74248"/>
    <s v="Adaeze Ogbonna"/>
    <x v="1"/>
    <x v="3"/>
    <x v="0"/>
    <s v="Junior"/>
    <x v="0"/>
    <s v="41-50"/>
    <x v="1"/>
    <s v="06/04/2021"/>
    <s v="28/09/2024"/>
    <n v="4"/>
    <n v="167000"/>
    <n v="3.4"/>
    <n v="1"/>
    <x v="0"/>
  </r>
  <r>
    <s v="MFS-54297"/>
    <s v="Bukola Haruna"/>
    <x v="1"/>
    <x v="2"/>
    <x v="0"/>
    <s v="Mid-level"/>
    <x v="0"/>
    <s v="51-60"/>
    <x v="2"/>
    <s v="27/04/2021"/>
    <s v="28/09/2024"/>
    <n v="4"/>
    <n v="289000"/>
    <n v="2.4"/>
    <n v="2"/>
    <x v="2"/>
  </r>
  <r>
    <s v="MFS-85113"/>
    <s v="Lola Adeyemi"/>
    <x v="1"/>
    <x v="4"/>
    <x v="0"/>
    <s v="Mid-level"/>
    <x v="0"/>
    <s v="51-60"/>
    <x v="0"/>
    <s v="03/05/2022"/>
    <s v="28/05/2024"/>
    <n v="3"/>
    <n v="222000"/>
    <n v="1.9"/>
    <n v="21"/>
    <x v="0"/>
  </r>
  <r>
    <s v="MFS-11512"/>
    <s v="Adeola Buhari"/>
    <x v="1"/>
    <x v="3"/>
    <x v="1"/>
    <s v="Junior"/>
    <x v="3"/>
    <s v="22-30"/>
    <x v="0"/>
    <s v="23/07/2022"/>
    <s v="28/05/2024"/>
    <n v="3"/>
    <n v="145000"/>
    <n v="3.1"/>
    <n v="14"/>
    <x v="0"/>
  </r>
  <r>
    <s v="MFS-56089"/>
    <s v="Adaeze Adeyemi"/>
    <x v="1"/>
    <x v="0"/>
    <x v="0"/>
    <s v="Senior"/>
    <x v="2"/>
    <s v="22-30"/>
    <x v="3"/>
    <s v="16/08/2021"/>
    <s v="28/05/2024"/>
    <n v="4"/>
    <n v="449000"/>
    <n v="4.4000000000000004"/>
    <n v="3"/>
    <x v="0"/>
  </r>
  <r>
    <s v="MFS-83376"/>
    <s v="Ifeanyi Garba"/>
    <x v="0"/>
    <x v="3"/>
    <x v="2"/>
    <s v="Senior"/>
    <x v="0"/>
    <s v="31-40"/>
    <x v="2"/>
    <s v="27/11/2023"/>
    <s v="28/05/2024"/>
    <n v="2"/>
    <n v="370000"/>
    <n v="3.1"/>
    <n v="7"/>
    <x v="1"/>
  </r>
  <r>
    <s v="MFS-20958"/>
    <s v="Kemi Abdullahi"/>
    <x v="1"/>
    <x v="1"/>
    <x v="0"/>
    <s v="Junior"/>
    <x v="0"/>
    <s v="22-30"/>
    <x v="0"/>
    <s v="20/04/2023"/>
    <s v="30/09/2024"/>
    <n v="2"/>
    <n v="165000"/>
    <n v="4.2"/>
    <n v="15"/>
    <x v="2"/>
  </r>
  <r>
    <s v="MFS-71491"/>
    <s v="Emeka Adewale"/>
    <x v="0"/>
    <x v="3"/>
    <x v="0"/>
    <s v="Mid-level"/>
    <x v="2"/>
    <s v="31-40"/>
    <x v="1"/>
    <s v="15/06/2021"/>
    <s v="25/07/2022"/>
    <n v="4"/>
    <n v="232000"/>
    <n v="3.5"/>
    <n v="19"/>
    <x v="0"/>
  </r>
  <r>
    <s v="MFS-24336"/>
    <s v="Folake Yakubu"/>
    <x v="1"/>
    <x v="2"/>
    <x v="0"/>
    <s v="Mid-level"/>
    <x v="2"/>
    <s v="31-40"/>
    <x v="1"/>
    <s v="23/06/2020"/>
    <s v="25/07/2022"/>
    <n v="5"/>
    <n v="264000"/>
    <n v="4.9000000000000004"/>
    <n v="5"/>
    <x v="1"/>
  </r>
  <r>
    <s v="MFS-87812"/>
    <s v="Chinedu Adeyemi"/>
    <x v="0"/>
    <x v="3"/>
    <x v="0"/>
    <s v="Manager"/>
    <x v="1"/>
    <s v="41-50"/>
    <x v="0"/>
    <s v="05/05/2019"/>
    <s v="15/06/2024"/>
    <n v="6"/>
    <n v="950000"/>
    <n v="4.7"/>
    <n v="1"/>
    <x v="0"/>
  </r>
  <r>
    <s v="MFS-80532"/>
    <s v="Nasiru Obaseki"/>
    <x v="0"/>
    <x v="1"/>
    <x v="0"/>
    <s v="Junior"/>
    <x v="2"/>
    <s v="22-30"/>
    <x v="0"/>
    <s v="06/09/2019"/>
    <s v="15/06/2024"/>
    <n v="6"/>
    <n v="111000"/>
    <n v="4.5"/>
    <n v="14"/>
    <x v="0"/>
  </r>
  <r>
    <s v="MFS-10188"/>
    <s v="Chinedu Okonkwo"/>
    <x v="0"/>
    <x v="2"/>
    <x v="2"/>
    <s v="Junior"/>
    <x v="0"/>
    <s v="31-40"/>
    <x v="1"/>
    <s v="04/03/2019"/>
    <s v="15/06/2024"/>
    <n v="7"/>
    <n v="150000"/>
    <n v="2.9"/>
    <n v="5"/>
    <x v="0"/>
  </r>
  <r>
    <s v="MFS-51269"/>
    <s v="Funmilayo Coker"/>
    <x v="1"/>
    <x v="2"/>
    <x v="0"/>
    <s v="Mid-level"/>
    <x v="0"/>
    <s v="22-30"/>
    <x v="0"/>
    <s v="06/03/2023"/>
    <s v="22/04/2024"/>
    <n v="3"/>
    <n v="227000"/>
    <n v="2.1"/>
    <n v="6"/>
    <x v="0"/>
  </r>
  <r>
    <s v="MFS-56697"/>
    <s v="Asabe Nduka"/>
    <x v="1"/>
    <x v="4"/>
    <x v="1"/>
    <s v="Mid-level"/>
    <x v="0"/>
    <s v="22-30"/>
    <x v="2"/>
    <s v="30/03/2023"/>
    <s v="22/04/2024"/>
    <n v="2"/>
    <n v="315000"/>
    <n v="4.9000000000000004"/>
    <n v="1"/>
    <x v="2"/>
  </r>
  <r>
    <s v="MFS-41476"/>
    <s v="Gbenga Nwosu"/>
    <x v="0"/>
    <x v="2"/>
    <x v="0"/>
    <s v="Junior"/>
    <x v="1"/>
    <s v="31-40"/>
    <x v="0"/>
    <s v="23/10/2019"/>
    <s v="29/04/2024"/>
    <n v="6"/>
    <n v="169000"/>
    <n v="2.4"/>
    <n v="8"/>
    <x v="0"/>
  </r>
  <r>
    <s v="MFS-36054"/>
    <s v="Falmata Obi"/>
    <x v="1"/>
    <x v="4"/>
    <x v="0"/>
    <s v="Junior"/>
    <x v="0"/>
    <s v="22-30"/>
    <x v="4"/>
    <s v="09/12/2022"/>
    <s v="29/04/2024"/>
    <n v="3"/>
    <n v="158000"/>
    <n v="2.1"/>
    <n v="9"/>
    <x v="0"/>
  </r>
  <r>
    <s v="MFS-12667"/>
    <s v="Danladi Adeyemi"/>
    <x v="0"/>
    <x v="4"/>
    <x v="2"/>
    <s v="Senior"/>
    <x v="2"/>
    <s v="31-40"/>
    <x v="1"/>
    <s v="09/09/2023"/>
    <s v="29/04/2024"/>
    <n v="2"/>
    <n v="429000"/>
    <n v="3.7"/>
    <n v="7"/>
    <x v="1"/>
  </r>
  <r>
    <s v="MFS-69276"/>
    <s v="Uloma Okafor"/>
    <x v="1"/>
    <x v="4"/>
    <x v="0"/>
    <s v="Mid-level"/>
    <x v="0"/>
    <s v="31-40"/>
    <x v="0"/>
    <s v="14/06/2021"/>
    <s v="03/01/2025"/>
    <n v="4"/>
    <n v="223000"/>
    <n v="2"/>
    <n v="4"/>
    <x v="0"/>
  </r>
  <r>
    <s v="MFS-32120"/>
    <s v="Shehu Onwudiwe"/>
    <x v="0"/>
    <x v="1"/>
    <x v="0"/>
    <s v="Junior"/>
    <x v="0"/>
    <s v="22-30"/>
    <x v="0"/>
    <s v="25/01/2023"/>
    <s v="03/01/2025"/>
    <n v="3"/>
    <n v="95000"/>
    <n v="3.3"/>
    <n v="3"/>
    <x v="0"/>
  </r>
  <r>
    <s v="MFS-69484"/>
    <s v="Seun Lawal"/>
    <x v="0"/>
    <x v="0"/>
    <x v="0"/>
    <s v="Junior"/>
    <x v="2"/>
    <s v="41-50"/>
    <x v="0"/>
    <s v="10/02/2022"/>
    <s v="03/01/2025"/>
    <n v="4"/>
    <n v="191000"/>
    <n v="2.9"/>
    <n v="11"/>
    <x v="2"/>
  </r>
  <r>
    <s v="MFS-78442"/>
    <s v="Hadiza Uba"/>
    <x v="1"/>
    <x v="1"/>
    <x v="0"/>
    <s v="Mid-level"/>
    <x v="2"/>
    <s v="31-40"/>
    <x v="2"/>
    <s v="17/01/2022"/>
    <s v="30/10/2023"/>
    <n v="4"/>
    <n v="286000"/>
    <n v="3.2"/>
    <n v="9"/>
    <x v="0"/>
  </r>
  <r>
    <s v="MFS-39619"/>
    <s v="Ezinne Buhari"/>
    <x v="1"/>
    <x v="4"/>
    <x v="0"/>
    <s v="Junior"/>
    <x v="1"/>
    <s v="31-40"/>
    <x v="2"/>
    <s v="31/05/2020"/>
    <s v="30/10/2023"/>
    <n v="5"/>
    <n v="119000"/>
    <n v="2.8"/>
    <n v="18"/>
    <x v="1"/>
  </r>
  <r>
    <s v="MFS-78369"/>
    <s v="Bello Ogbonna"/>
    <x v="0"/>
    <x v="3"/>
    <x v="0"/>
    <s v="Mid-level"/>
    <x v="0"/>
    <s v="22-30"/>
    <x v="3"/>
    <s v="06/03/2023"/>
    <s v="12/08/2024"/>
    <n v="3"/>
    <n v="301000"/>
    <n v="3.1"/>
    <n v="2"/>
    <x v="0"/>
  </r>
  <r>
    <s v="MFS-14552"/>
    <s v="Nasiru Coker"/>
    <x v="0"/>
    <x v="0"/>
    <x v="2"/>
    <s v="Senior"/>
    <x v="2"/>
    <s v="31-40"/>
    <x v="2"/>
    <s v="08/02/2023"/>
    <s v="12/08/2024"/>
    <n v="3"/>
    <n v="641000"/>
    <n v="4.0999999999999996"/>
    <n v="4"/>
    <x v="0"/>
  </r>
  <r>
    <s v="MFS-77770"/>
    <s v="Wale Amadi"/>
    <x v="0"/>
    <x v="4"/>
    <x v="0"/>
    <s v="Junior"/>
    <x v="2"/>
    <s v="31-40"/>
    <x v="2"/>
    <s v="05/12/2020"/>
    <s v="12/08/2024"/>
    <n v="5"/>
    <n v="179000"/>
    <n v="2.5"/>
    <n v="12"/>
    <x v="0"/>
  </r>
  <r>
    <s v="MFS-87999"/>
    <s v="Obinna Adeyemi"/>
    <x v="0"/>
    <x v="2"/>
    <x v="0"/>
    <s v="Senior"/>
    <x v="3"/>
    <s v="22-30"/>
    <x v="2"/>
    <s v="19/11/2022"/>
    <s v="12/08/2024"/>
    <n v="3"/>
    <n v="570000"/>
    <n v="4.9000000000000004"/>
    <n v="14"/>
    <x v="0"/>
  </r>
  <r>
    <s v="MFS-28461"/>
    <s v="Chinyere Adewale"/>
    <x v="1"/>
    <x v="2"/>
    <x v="2"/>
    <s v="Junior"/>
    <x v="0"/>
    <s v="22-30"/>
    <x v="3"/>
    <s v="28/10/2022"/>
    <s v="12/08/2024"/>
    <n v="3"/>
    <n v="109000"/>
    <n v="2.2999999999999998"/>
    <n v="1"/>
    <x v="2"/>
  </r>
  <r>
    <s v="MFS-23254"/>
    <s v="Obinna Okafor"/>
    <x v="0"/>
    <x v="0"/>
    <x v="2"/>
    <s v="Junior"/>
    <x v="1"/>
    <s v="31-40"/>
    <x v="3"/>
    <s v="10/09/2023"/>
    <s v="09/12/2024"/>
    <n v="2"/>
    <n v="198000"/>
    <n v="4.4000000000000004"/>
    <n v="4"/>
    <x v="1"/>
  </r>
  <r>
    <s v="MFS-19287"/>
    <s v="Chukwuemeka Adesanya"/>
    <x v="0"/>
    <x v="2"/>
    <x v="0"/>
    <s v="Mid-level"/>
    <x v="1"/>
    <s v="41-50"/>
    <x v="0"/>
    <s v="12/07/2023"/>
    <s v="22/06/2022"/>
    <n v="2"/>
    <n v="249000"/>
    <n v="2.2999999999999998"/>
    <n v="5"/>
    <x v="0"/>
  </r>
  <r>
    <s v="MFS-41265"/>
    <s v="Gbenga Omotayo"/>
    <x v="0"/>
    <x v="4"/>
    <x v="0"/>
    <s v="Mid-level"/>
    <x v="1"/>
    <s v="51-60"/>
    <x v="0"/>
    <s v="01/02/2021"/>
    <s v="22/06/2022"/>
    <n v="5"/>
    <n v="186000"/>
    <n v="1.8"/>
    <n v="6"/>
    <x v="0"/>
  </r>
  <r>
    <s v="MFS-92497"/>
    <s v="Oluwaseun Nduka"/>
    <x v="0"/>
    <x v="3"/>
    <x v="0"/>
    <s v="Junior"/>
    <x v="0"/>
    <s v="41-50"/>
    <x v="0"/>
    <s v="02/07/2021"/>
    <s v="22/06/2022"/>
    <n v="4"/>
    <n v="136000"/>
    <n v="3.1"/>
    <n v="12"/>
    <x v="3"/>
  </r>
  <r>
    <s v="MFS-23687"/>
    <s v="Dele Buhari"/>
    <x v="0"/>
    <x v="3"/>
    <x v="0"/>
    <s v="Senior"/>
    <x v="1"/>
    <s v="31-40"/>
    <x v="1"/>
    <s v="07/08/2020"/>
    <s v="13/09/2021"/>
    <n v="5"/>
    <n v="433000"/>
    <n v="2.2999999999999998"/>
    <n v="12"/>
    <x v="0"/>
  </r>
  <r>
    <s v="MFS-11118"/>
    <s v="Funmilayo Adesanya"/>
    <x v="1"/>
    <x v="2"/>
    <x v="2"/>
    <s v="Junior"/>
    <x v="3"/>
    <s v="41-50"/>
    <x v="2"/>
    <s v="01/09/2022"/>
    <s v="13/09/2021"/>
    <n v="3"/>
    <n v="134000"/>
    <n v="4.3"/>
    <n v="27"/>
    <x v="0"/>
  </r>
  <r>
    <s v="MFS-57278"/>
    <s v="Falmata Garba"/>
    <x v="1"/>
    <x v="0"/>
    <x v="0"/>
    <s v="Junior"/>
    <x v="0"/>
    <s v="31-40"/>
    <x v="0"/>
    <s v="09/12/2019"/>
    <s v="13/09/2021"/>
    <n v="6"/>
    <n v="117000"/>
    <n v="3.1"/>
    <n v="14"/>
    <x v="0"/>
  </r>
  <r>
    <s v="MFS-98256"/>
    <s v="Chinwe Adebayo"/>
    <x v="1"/>
    <x v="2"/>
    <x v="0"/>
    <s v="Junior"/>
    <x v="1"/>
    <s v="22-30"/>
    <x v="0"/>
    <s v="19/04/2023"/>
    <s v="13/09/2021"/>
    <n v="2"/>
    <n v="102000"/>
    <n v="3"/>
    <n v="11"/>
    <x v="0"/>
  </r>
  <r>
    <s v="MFS-13724"/>
    <s v="Shehu Musa"/>
    <x v="0"/>
    <x v="4"/>
    <x v="0"/>
    <s v="Mid-level"/>
    <x v="0"/>
    <s v="22-30"/>
    <x v="0"/>
    <s v="04/03/2019"/>
    <s v="13/09/2021"/>
    <n v="7"/>
    <n v="283000"/>
    <n v="4.9000000000000004"/>
    <n v="34"/>
    <x v="2"/>
  </r>
  <r>
    <s v="MFS-64830"/>
    <s v="Titi Coker"/>
    <x v="1"/>
    <x v="3"/>
    <x v="0"/>
    <s v="Mid-level"/>
    <x v="0"/>
    <s v="41-50"/>
    <x v="2"/>
    <s v="16/08/2021"/>
    <s v="11/06/2022"/>
    <n v="4"/>
    <n v="331000"/>
    <n v="4.3"/>
    <n v="1"/>
    <x v="0"/>
  </r>
  <r>
    <s v="MFS-60989"/>
    <s v="Garba Danladi"/>
    <x v="0"/>
    <x v="0"/>
    <x v="2"/>
    <s v="Junior"/>
    <x v="1"/>
    <s v="22-30"/>
    <x v="0"/>
    <s v="02/07/2020"/>
    <s v="11/06/2022"/>
    <n v="5"/>
    <n v="170000"/>
    <n v="2.1"/>
    <n v="13"/>
    <x v="0"/>
  </r>
  <r>
    <s v="MFS-20128"/>
    <s v="Obiora Amadi"/>
    <x v="0"/>
    <x v="1"/>
    <x v="0"/>
    <s v="Mid-level"/>
    <x v="2"/>
    <s v="22-30"/>
    <x v="2"/>
    <s v="22/07/2019"/>
    <s v="11/06/2022"/>
    <n v="6"/>
    <n v="296000"/>
    <n v="4.0999999999999996"/>
    <n v="10"/>
    <x v="2"/>
  </r>
  <r>
    <s v="MFS-45725"/>
    <s v="Chiamaka Onwudiwe"/>
    <x v="1"/>
    <x v="1"/>
    <x v="0"/>
    <s v="Mid-level"/>
    <x v="0"/>
    <s v="31-40"/>
    <x v="0"/>
    <s v="07/08/2019"/>
    <s v="01/08/2022"/>
    <n v="6"/>
    <n v="185000"/>
    <n v="2.5"/>
    <n v="6"/>
    <x v="2"/>
  </r>
  <r>
    <s v="MFS-98571"/>
    <s v="Chidi Obaseki"/>
    <x v="0"/>
    <x v="1"/>
    <x v="0"/>
    <s v="Senior"/>
    <x v="1"/>
    <s v="22-30"/>
    <x v="0"/>
    <s v="12/09/2022"/>
    <s v="15/06/2024"/>
    <n v="3"/>
    <n v="350000"/>
    <n v="4"/>
    <n v="4"/>
    <x v="2"/>
  </r>
  <r>
    <s v="MFS-90684"/>
    <s v="Ifeanyi Fagbemi"/>
    <x v="0"/>
    <x v="4"/>
    <x v="2"/>
    <s v="Senior"/>
    <x v="0"/>
    <s v="22-30"/>
    <x v="0"/>
    <s v="02/05/2021"/>
    <s v="26/07/2024"/>
    <n v="4"/>
    <n v="522000"/>
    <n v="4.3"/>
    <n v="6"/>
    <x v="0"/>
  </r>
  <r>
    <s v="MFS-19355"/>
    <s v="Folake Shehu"/>
    <x v="1"/>
    <x v="2"/>
    <x v="0"/>
    <s v="Senior"/>
    <x v="2"/>
    <s v="51-60"/>
    <x v="0"/>
    <s v="10/07/2023"/>
    <s v="26/07/2024"/>
    <n v="2"/>
    <n v="593000"/>
    <n v="3.4"/>
    <n v="10"/>
    <x v="3"/>
  </r>
  <r>
    <s v="MFS-42072"/>
    <s v="Eze Fagbemi"/>
    <x v="0"/>
    <x v="2"/>
    <x v="0"/>
    <s v="Mid-level"/>
    <x v="0"/>
    <s v="41-50"/>
    <x v="0"/>
    <s v="27/04/2023"/>
    <s v="23/08/2024"/>
    <n v="2"/>
    <n v="262000"/>
    <n v="3.1"/>
    <n v="10"/>
    <x v="0"/>
  </r>
  <r>
    <s v="MFS-48251"/>
    <s v="Uche Obi"/>
    <x v="0"/>
    <x v="4"/>
    <x v="1"/>
    <s v="Senior"/>
    <x v="1"/>
    <s v="41-50"/>
    <x v="2"/>
    <s v="02/11/2021"/>
    <s v="23/08/2024"/>
    <n v="4"/>
    <n v="533000"/>
    <n v="4.5"/>
    <n v="13"/>
    <x v="1"/>
  </r>
  <r>
    <s v="MFS-37813"/>
    <s v="Bello Ihejirika"/>
    <x v="0"/>
    <x v="1"/>
    <x v="0"/>
    <s v="Mid-level"/>
    <x v="3"/>
    <s v="22-30"/>
    <x v="1"/>
    <s v="24/07/2021"/>
    <s v="08/03/2022"/>
    <n v="4"/>
    <n v="286000"/>
    <n v="3.8"/>
    <n v="13"/>
    <x v="0"/>
  </r>
  <r>
    <s v="MFS-27058"/>
    <s v="Lanre Suleiman"/>
    <x v="0"/>
    <x v="4"/>
    <x v="0"/>
    <s v="Mid-level"/>
    <x v="0"/>
    <s v="41-50"/>
    <x v="2"/>
    <s v="25/05/2021"/>
    <s v="08/03/2022"/>
    <n v="4"/>
    <n v="237000"/>
    <n v="1.8"/>
    <n v="7"/>
    <x v="1"/>
  </r>
  <r>
    <s v="MFS-42624"/>
    <s v="Bello Nduka"/>
    <x v="0"/>
    <x v="1"/>
    <x v="0"/>
    <s v="Junior"/>
    <x v="2"/>
    <s v="41-50"/>
    <x v="0"/>
    <s v="13/05/2021"/>
    <s v="16/01/2024"/>
    <n v="4"/>
    <n v="146000"/>
    <n v="4.3"/>
    <n v="12"/>
    <x v="0"/>
  </r>
  <r>
    <s v="MFS-85749"/>
    <s v="Bello Bello"/>
    <x v="0"/>
    <x v="3"/>
    <x v="2"/>
    <s v="Senior"/>
    <x v="2"/>
    <s v="41-50"/>
    <x v="4"/>
    <s v="18/05/2022"/>
    <s v="16/01/2024"/>
    <n v="3"/>
    <n v="566000"/>
    <n v="2.7"/>
    <n v="7"/>
    <x v="0"/>
  </r>
  <r>
    <s v="MFS-48568"/>
    <s v="Shade Nwosu"/>
    <x v="1"/>
    <x v="2"/>
    <x v="0"/>
    <s v="Mid-level"/>
    <x v="0"/>
    <s v="31-40"/>
    <x v="0"/>
    <s v="06/02/2021"/>
    <s v="16/01/2024"/>
    <n v="5"/>
    <n v="216000"/>
    <n v="4.5"/>
    <n v="5"/>
    <x v="0"/>
  </r>
  <r>
    <s v="MFS-43330"/>
    <s v="Obinna Okeke"/>
    <x v="0"/>
    <x v="3"/>
    <x v="0"/>
    <s v="Mid-level"/>
    <x v="0"/>
    <s v="31-40"/>
    <x v="2"/>
    <s v="10/02/2019"/>
    <s v="16/01/2024"/>
    <n v="7"/>
    <n v="250000"/>
    <n v="3.1"/>
    <n v="9"/>
    <x v="0"/>
  </r>
  <r>
    <s v="MFS-69396"/>
    <s v="Nneka Onwudiwe"/>
    <x v="1"/>
    <x v="0"/>
    <x v="2"/>
    <s v="Mid-level"/>
    <x v="1"/>
    <s v="31-40"/>
    <x v="0"/>
    <s v="28/07/2021"/>
    <s v="16/01/2024"/>
    <n v="4"/>
    <n v="385000"/>
    <n v="4.5999999999999996"/>
    <n v="11"/>
    <x v="1"/>
  </r>
  <r>
    <s v="MFS-70664"/>
    <s v="Bilkisu Okonkwo"/>
    <x v="1"/>
    <x v="3"/>
    <x v="0"/>
    <s v="Manager"/>
    <x v="0"/>
    <s v="51-60"/>
    <x v="2"/>
    <s v="11/07/2022"/>
    <s v="06/06/2023"/>
    <n v="3"/>
    <n v="949000"/>
    <n v="4.3"/>
    <n v="28"/>
    <x v="0"/>
  </r>
  <r>
    <s v="MFS-20374"/>
    <s v="Chukwudi Nwosu"/>
    <x v="0"/>
    <x v="4"/>
    <x v="2"/>
    <s v="Director"/>
    <x v="2"/>
    <s v="22-30"/>
    <x v="1"/>
    <s v="24/03/2020"/>
    <s v="06/06/2023"/>
    <n v="5"/>
    <n v="1738000"/>
    <n v="3.5"/>
    <n v="10"/>
    <x v="0"/>
  </r>
  <r>
    <s v="MFS-77414"/>
    <s v="Oluwaseun Obi"/>
    <x v="0"/>
    <x v="4"/>
    <x v="2"/>
    <s v="Mid-level"/>
    <x v="1"/>
    <s v="51-60"/>
    <x v="2"/>
    <s v="05/02/2019"/>
    <s v="06/06/2023"/>
    <n v="7"/>
    <n v="227000"/>
    <n v="2.1"/>
    <n v="10"/>
    <x v="0"/>
  </r>
  <r>
    <s v="MFS-84714"/>
    <s v="Ezinne Oyelaran"/>
    <x v="1"/>
    <x v="4"/>
    <x v="0"/>
    <s v="Mid-level"/>
    <x v="0"/>
    <s v="31-40"/>
    <x v="0"/>
    <s v="14/12/2023"/>
    <s v="06/06/2023"/>
    <n v="2"/>
    <n v="198000"/>
    <n v="3.1"/>
    <n v="8"/>
    <x v="0"/>
  </r>
  <r>
    <s v="MFS-30223"/>
    <s v="Ngozi Adesanya"/>
    <x v="1"/>
    <x v="2"/>
    <x v="2"/>
    <s v="Junior"/>
    <x v="0"/>
    <s v="31-40"/>
    <x v="2"/>
    <s v="30/11/2020"/>
    <s v="06/06/2023"/>
    <n v="5"/>
    <n v="112000"/>
    <n v="2.5"/>
    <n v="11"/>
    <x v="1"/>
  </r>
  <r>
    <s v="MFS-42079"/>
    <s v="Ifeanyi Ihejirika"/>
    <x v="0"/>
    <x v="1"/>
    <x v="2"/>
    <s v="Mid-level"/>
    <x v="2"/>
    <s v="31-40"/>
    <x v="0"/>
    <s v="10/07/2022"/>
    <s v="11/03/2022"/>
    <n v="3"/>
    <n v="281000"/>
    <n v="4.5"/>
    <n v="11"/>
    <x v="0"/>
  </r>
  <r>
    <s v="MFS-61007"/>
    <s v="Haruna Okonkwo"/>
    <x v="0"/>
    <x v="2"/>
    <x v="1"/>
    <s v="Junior"/>
    <x v="3"/>
    <s v="22-30"/>
    <x v="4"/>
    <s v="20/10/2019"/>
    <s v="11/03/2022"/>
    <n v="6"/>
    <n v="143000"/>
    <n v="2.7"/>
    <n v="32"/>
    <x v="0"/>
  </r>
  <r>
    <s v="MFS-62506"/>
    <s v="Chukwuemeka Omotayo"/>
    <x v="0"/>
    <x v="4"/>
    <x v="0"/>
    <s v="Junior"/>
    <x v="0"/>
    <s v="22-30"/>
    <x v="1"/>
    <s v="04/06/2021"/>
    <s v="11/03/2022"/>
    <n v="4"/>
    <n v="166000"/>
    <n v="1.9"/>
    <n v="11"/>
    <x v="0"/>
  </r>
  <r>
    <s v="MFS-74303"/>
    <s v="Kabiru Bello"/>
    <x v="0"/>
    <x v="1"/>
    <x v="0"/>
    <s v="Mid-level"/>
    <x v="2"/>
    <s v="22-30"/>
    <x v="2"/>
    <s v="09/12/2021"/>
    <s v="11/03/2022"/>
    <n v="4"/>
    <n v="180000"/>
    <n v="4.8"/>
    <n v="12"/>
    <x v="0"/>
  </r>
  <r>
    <s v="MFS-43166"/>
    <s v="Chinedu Nwachukwu"/>
    <x v="0"/>
    <x v="4"/>
    <x v="0"/>
    <s v="Mid-level"/>
    <x v="1"/>
    <s v="31-40"/>
    <x v="0"/>
    <s v="22/12/2019"/>
    <s v="11/03/2022"/>
    <n v="6"/>
    <n v="260000"/>
    <n v="4.5999999999999996"/>
    <n v="12"/>
    <x v="0"/>
  </r>
  <r>
    <s v="MFS-34619"/>
    <s v="Oghenekaro Onwudiwe"/>
    <x v="0"/>
    <x v="2"/>
    <x v="0"/>
    <s v="Senior"/>
    <x v="2"/>
    <s v="41-50"/>
    <x v="4"/>
    <s v="02/07/2021"/>
    <s v="11/03/2022"/>
    <n v="4"/>
    <n v="425000"/>
    <n v="4.2"/>
    <n v="5"/>
    <x v="0"/>
  </r>
  <r>
    <s v="MFS-29908"/>
    <s v="Laraba Okeke"/>
    <x v="1"/>
    <x v="4"/>
    <x v="0"/>
    <s v="Junior"/>
    <x v="3"/>
    <s v="31-40"/>
    <x v="0"/>
    <s v="26/09/2022"/>
    <s v="11/03/2022"/>
    <n v="3"/>
    <n v="139000"/>
    <n v="1.6"/>
    <n v="5"/>
    <x v="0"/>
  </r>
  <r>
    <s v="MFS-44656"/>
    <s v="Garba Onwudiwe"/>
    <x v="0"/>
    <x v="1"/>
    <x v="0"/>
    <s v="Mid-level"/>
    <x v="1"/>
    <s v="41-50"/>
    <x v="0"/>
    <s v="12/03/2019"/>
    <s v="11/03/2022"/>
    <n v="7"/>
    <n v="180000"/>
    <n v="4.8"/>
    <n v="13"/>
    <x v="0"/>
  </r>
  <r>
    <s v="MFS-25821"/>
    <s v="Zainab Lawal"/>
    <x v="1"/>
    <x v="1"/>
    <x v="0"/>
    <s v="Junior"/>
    <x v="1"/>
    <s v="22-30"/>
    <x v="0"/>
    <s v="08/12/2022"/>
    <s v="11/03/2022"/>
    <n v="3"/>
    <n v="104000"/>
    <n v="3.5"/>
    <n v="6"/>
    <x v="0"/>
  </r>
  <r>
    <s v="MFS-11459"/>
    <s v="Adeola Haruna"/>
    <x v="1"/>
    <x v="1"/>
    <x v="0"/>
    <s v="Senior"/>
    <x v="3"/>
    <s v="41-50"/>
    <x v="0"/>
    <s v="29/03/2021"/>
    <s v="11/03/2022"/>
    <n v="4"/>
    <n v="354000"/>
    <n v="4.9000000000000004"/>
    <n v="12"/>
    <x v="1"/>
  </r>
  <r>
    <s v="MFS-27400"/>
    <s v="Yemi Yakubu"/>
    <x v="1"/>
    <x v="3"/>
    <x v="0"/>
    <s v="Senior"/>
    <x v="0"/>
    <s v="31-40"/>
    <x v="2"/>
    <s v="07/02/2019"/>
    <s v="13/10/2023"/>
    <n v="7"/>
    <n v="384000"/>
    <n v="3.8"/>
    <n v="7"/>
    <x v="3"/>
  </r>
  <r>
    <s v="MFS-33631"/>
    <s v="Adeola Adesanya"/>
    <x v="0"/>
    <x v="4"/>
    <x v="0"/>
    <s v="Mid-level"/>
    <x v="2"/>
    <s v="31-40"/>
    <x v="1"/>
    <s v="17/04/2021"/>
    <s v="15/07/2022"/>
    <n v="4"/>
    <n v="193000"/>
    <n v="2.4"/>
    <n v="11"/>
    <x v="1"/>
  </r>
  <r>
    <s v="MFS-27443"/>
    <s v="Tobi Ihejirika"/>
    <x v="0"/>
    <x v="0"/>
    <x v="0"/>
    <s v="Manager"/>
    <x v="1"/>
    <s v="22-30"/>
    <x v="2"/>
    <s v="27/06/2022"/>
    <s v="08/12/2024"/>
    <n v="3"/>
    <n v="897000"/>
    <n v="4.8"/>
    <n v="5"/>
    <x v="0"/>
  </r>
  <r>
    <s v="MFS-17255"/>
    <s v="Bimpe Nnamdi"/>
    <x v="1"/>
    <x v="2"/>
    <x v="0"/>
    <s v="Senior"/>
    <x v="2"/>
    <s v="41-50"/>
    <x v="1"/>
    <s v="14/09/2022"/>
    <s v="08/12/2024"/>
    <n v="3"/>
    <n v="472000"/>
    <n v="2.1"/>
    <n v="13"/>
    <x v="0"/>
  </r>
  <r>
    <s v="MFS-54755"/>
    <s v="Chibuike Adesanya"/>
    <x v="0"/>
    <x v="3"/>
    <x v="0"/>
    <s v="Senior"/>
    <x v="0"/>
    <s v="22-30"/>
    <x v="0"/>
    <s v="11/04/2020"/>
    <s v="08/12/2024"/>
    <n v="5"/>
    <n v="494000"/>
    <n v="3.6"/>
    <n v="14"/>
    <x v="0"/>
  </r>
  <r>
    <s v="MFS-43362"/>
    <s v="Gbenga Okonkwo"/>
    <x v="0"/>
    <x v="1"/>
    <x v="0"/>
    <s v="Senior"/>
    <x v="2"/>
    <s v="31-40"/>
    <x v="0"/>
    <s v="20/04/2021"/>
    <s v="08/12/2024"/>
    <n v="4"/>
    <n v="420000"/>
    <n v="3.9"/>
    <n v="3"/>
    <x v="0"/>
  </r>
  <r>
    <s v="MFS-31393"/>
    <s v="Bilkisu Nnamdi"/>
    <x v="1"/>
    <x v="4"/>
    <x v="0"/>
    <s v="Mid-level"/>
    <x v="0"/>
    <s v="22-30"/>
    <x v="0"/>
    <s v="31/03/2022"/>
    <s v="08/12/2024"/>
    <n v="3"/>
    <n v="315000"/>
    <n v="4.7"/>
    <n v="10"/>
    <x v="0"/>
  </r>
  <r>
    <s v="MFS-85067"/>
    <s v="Ogechi Obi"/>
    <x v="1"/>
    <x v="4"/>
    <x v="0"/>
    <s v="Mid-level"/>
    <x v="1"/>
    <s v="51-60"/>
    <x v="1"/>
    <s v="12/11/2022"/>
    <s v="08/12/2024"/>
    <n v="3"/>
    <n v="247000"/>
    <n v="2.7"/>
    <n v="6"/>
    <x v="0"/>
  </r>
  <r>
    <s v="MFS-54951"/>
    <s v="Uche Danladi"/>
    <x v="0"/>
    <x v="4"/>
    <x v="0"/>
    <s v="Junior"/>
    <x v="0"/>
    <s v="31-40"/>
    <x v="0"/>
    <s v="26/06/2023"/>
    <s v="08/12/2024"/>
    <n v="2"/>
    <n v="85000"/>
    <n v="1.8"/>
    <n v="17"/>
    <x v="2"/>
  </r>
  <r>
    <s v="MFS-18081"/>
    <s v="Nasiru Aliyu"/>
    <x v="0"/>
    <x v="2"/>
    <x v="0"/>
    <s v="Junior"/>
    <x v="2"/>
    <s v="31-40"/>
    <x v="1"/>
    <s v="27/05/2021"/>
    <s v="27/12/2024"/>
    <n v="4"/>
    <n v="171000"/>
    <n v="2.8"/>
    <n v="5"/>
    <x v="0"/>
  </r>
  <r>
    <s v="MFS-69083"/>
    <s v="Sola Nwachukwu"/>
    <x v="1"/>
    <x v="1"/>
    <x v="0"/>
    <s v="Mid-level"/>
    <x v="0"/>
    <s v="22-30"/>
    <x v="1"/>
    <s v="31/03/2020"/>
    <s v="27/12/2024"/>
    <n v="5"/>
    <n v="267000"/>
    <n v="3"/>
    <n v="10"/>
    <x v="2"/>
  </r>
  <r>
    <s v="MFS-79579"/>
    <s v="Yemi Oyelaran"/>
    <x v="1"/>
    <x v="3"/>
    <x v="0"/>
    <s v="Mid-level"/>
    <x v="0"/>
    <s v="31-40"/>
    <x v="2"/>
    <s v="10/02/2019"/>
    <s v="13/07/2022"/>
    <n v="7"/>
    <n v="221000"/>
    <n v="5"/>
    <n v="37"/>
    <x v="0"/>
  </r>
  <r>
    <s v="MFS-46359"/>
    <s v="Ebuka Nwosu"/>
    <x v="0"/>
    <x v="4"/>
    <x v="2"/>
    <s v="Junior"/>
    <x v="1"/>
    <s v="41-50"/>
    <x v="4"/>
    <s v="23/06/2021"/>
    <s v="13/07/2022"/>
    <n v="4"/>
    <n v="157000"/>
    <n v="2"/>
    <n v="0"/>
    <x v="0"/>
  </r>
  <r>
    <s v="MFS-67016"/>
    <s v="Falmata Abdullahi"/>
    <x v="1"/>
    <x v="3"/>
    <x v="1"/>
    <s v="Mid-level"/>
    <x v="0"/>
    <s v="31-40"/>
    <x v="0"/>
    <s v="09/09/2019"/>
    <s v="13/07/2022"/>
    <n v="6"/>
    <n v="199000"/>
    <n v="4.5"/>
    <n v="0"/>
    <x v="1"/>
  </r>
  <r>
    <s v="MFS-40427"/>
    <s v="Aliyu Nwachukwu"/>
    <x v="0"/>
    <x v="1"/>
    <x v="1"/>
    <s v="Junior"/>
    <x v="0"/>
    <s v="31-40"/>
    <x v="1"/>
    <s v="03/06/2020"/>
    <s v="20/03/2024"/>
    <n v="5"/>
    <n v="113000"/>
    <n v="2.6"/>
    <n v="9"/>
    <x v="1"/>
  </r>
  <r>
    <s v="MFS-41504"/>
    <s v="Hadiza Ogundipe"/>
    <x v="1"/>
    <x v="2"/>
    <x v="0"/>
    <s v="Junior"/>
    <x v="0"/>
    <s v="22-30"/>
    <x v="0"/>
    <s v="01/11/2022"/>
    <s v="15/09/2023"/>
    <n v="3"/>
    <n v="161000"/>
    <n v="4.5999999999999996"/>
    <n v="11"/>
    <x v="2"/>
  </r>
  <r>
    <s v="MFS-42427"/>
    <s v="Femi Bello"/>
    <x v="0"/>
    <x v="3"/>
    <x v="1"/>
    <s v="Mid-level"/>
    <x v="0"/>
    <s v="22-30"/>
    <x v="1"/>
    <s v="02/09/2019"/>
    <s v="09/10/2024"/>
    <n v="6"/>
    <n v="270000"/>
    <n v="4.9000000000000004"/>
    <n v="37"/>
    <x v="0"/>
  </r>
  <r>
    <s v="MFS-61662"/>
    <s v="Chinyere Buhari"/>
    <x v="1"/>
    <x v="1"/>
    <x v="0"/>
    <s v="Mid-level"/>
    <x v="1"/>
    <s v="41-50"/>
    <x v="0"/>
    <s v="21/08/2023"/>
    <s v="09/10/2024"/>
    <n v="2"/>
    <n v="309000"/>
    <n v="2.7"/>
    <n v="11"/>
    <x v="0"/>
  </r>
  <r>
    <s v="MFS-25379"/>
    <s v="Funmilayo Ogundipe"/>
    <x v="1"/>
    <x v="0"/>
    <x v="0"/>
    <s v="Manager"/>
    <x v="0"/>
    <s v="41-50"/>
    <x v="1"/>
    <s v="23/08/2019"/>
    <s v="09/10/2024"/>
    <n v="6"/>
    <n v="1038000"/>
    <n v="4.3"/>
    <n v="5"/>
    <x v="0"/>
  </r>
  <r>
    <s v="MFS-59505"/>
    <s v="Chinyere Okeke"/>
    <x v="1"/>
    <x v="2"/>
    <x v="0"/>
    <s v="Mid-level"/>
    <x v="0"/>
    <s v="31-40"/>
    <x v="0"/>
    <s v="12/01/2022"/>
    <s v="09/10/2024"/>
    <n v="4"/>
    <n v="225000"/>
    <n v="2.6"/>
    <n v="36"/>
    <x v="0"/>
  </r>
  <r>
    <s v="MFS-38632"/>
    <s v="Babatunde Nwosu"/>
    <x v="0"/>
    <x v="3"/>
    <x v="2"/>
    <s v="Junior"/>
    <x v="0"/>
    <s v="31-40"/>
    <x v="2"/>
    <s v="01/04/2021"/>
    <s v="09/10/2024"/>
    <n v="4"/>
    <n v="159000"/>
    <n v="2.7"/>
    <n v="11"/>
    <x v="0"/>
  </r>
  <r>
    <s v="MFS-59428"/>
    <s v="Dele Okonkwo"/>
    <x v="0"/>
    <x v="3"/>
    <x v="2"/>
    <s v="Senior"/>
    <x v="3"/>
    <s v="22-30"/>
    <x v="0"/>
    <s v="27/02/2019"/>
    <s v="09/10/2024"/>
    <n v="7"/>
    <n v="420000"/>
    <n v="2.7"/>
    <n v="14"/>
    <x v="0"/>
  </r>
  <r>
    <s v="MFS-34398"/>
    <s v="Rotimi Amadi"/>
    <x v="0"/>
    <x v="2"/>
    <x v="2"/>
    <s v="Junior"/>
    <x v="0"/>
    <s v="22-30"/>
    <x v="1"/>
    <s v="22/09/2021"/>
    <s v="09/10/2024"/>
    <n v="4"/>
    <n v="96000"/>
    <n v="5"/>
    <n v="9"/>
    <x v="0"/>
  </r>
  <r>
    <s v="MFS-41445"/>
    <s v="Oluwaseun Oyelaran"/>
    <x v="0"/>
    <x v="4"/>
    <x v="0"/>
    <s v="Junior"/>
    <x v="2"/>
    <s v="22-30"/>
    <x v="2"/>
    <s v="10/10/2023"/>
    <s v="09/10/2024"/>
    <n v="2"/>
    <n v="110000"/>
    <n v="1.7"/>
    <n v="4"/>
    <x v="1"/>
  </r>
  <r>
    <s v="MFS-54224"/>
    <s v="Adaeze Okeke"/>
    <x v="1"/>
    <x v="4"/>
    <x v="0"/>
    <s v="Junior"/>
    <x v="1"/>
    <s v="41-50"/>
    <x v="2"/>
    <s v="12/09/2019"/>
    <s v="12/02/2021"/>
    <n v="6"/>
    <n v="121000"/>
    <n v="3.5"/>
    <n v="6"/>
    <x v="0"/>
  </r>
  <r>
    <s v="MFS-13197"/>
    <s v="Rabiu Taiwo"/>
    <x v="0"/>
    <x v="4"/>
    <x v="0"/>
    <s v="Manager"/>
    <x v="0"/>
    <s v="41-50"/>
    <x v="2"/>
    <s v="06/04/2020"/>
    <s v="12/02/2021"/>
    <n v="5"/>
    <n v="623000"/>
    <n v="3.9"/>
    <n v="36"/>
    <x v="3"/>
  </r>
  <r>
    <s v="MFS-19583"/>
    <s v="Seun Afolabi"/>
    <x v="0"/>
    <x v="0"/>
    <x v="0"/>
    <s v="Manager"/>
    <x v="0"/>
    <s v="41-50"/>
    <x v="3"/>
    <s v="09/12/2020"/>
    <s v="31/01/2022"/>
    <n v="5"/>
    <n v="1001000"/>
    <n v="3.5"/>
    <n v="14"/>
    <x v="0"/>
  </r>
  <r>
    <s v="MFS-49390"/>
    <s v="Seun Ihejirika"/>
    <x v="0"/>
    <x v="2"/>
    <x v="2"/>
    <s v="Junior"/>
    <x v="2"/>
    <s v="31-40"/>
    <x v="4"/>
    <s v="09/06/2021"/>
    <s v="31/01/2022"/>
    <n v="4"/>
    <n v="172000"/>
    <n v="3.8"/>
    <n v="17"/>
    <x v="1"/>
  </r>
  <r>
    <s v="MFS-33898"/>
    <s v="Obinna Fagbemi"/>
    <x v="0"/>
    <x v="1"/>
    <x v="2"/>
    <s v="Manager"/>
    <x v="2"/>
    <s v="22-30"/>
    <x v="0"/>
    <s v="10/05/2022"/>
    <s v="06/06/2023"/>
    <n v="3"/>
    <n v="745000"/>
    <n v="3.6"/>
    <n v="11"/>
    <x v="1"/>
  </r>
  <r>
    <s v="MFS-21058"/>
    <s v="Hadiza Taiwo"/>
    <x v="1"/>
    <x v="2"/>
    <x v="0"/>
    <s v="Mid-level"/>
    <x v="1"/>
    <s v="22-30"/>
    <x v="1"/>
    <s v="06/03/2023"/>
    <s v="22/06/2022"/>
    <n v="3"/>
    <n v="294000"/>
    <n v="4.7"/>
    <n v="1"/>
    <x v="0"/>
  </r>
  <r>
    <s v="MFS-96137"/>
    <s v="Bimpe Garba"/>
    <x v="1"/>
    <x v="4"/>
    <x v="2"/>
    <s v="Junior"/>
    <x v="0"/>
    <s v="22-30"/>
    <x v="0"/>
    <s v="22/10/2020"/>
    <s v="22/06/2022"/>
    <n v="5"/>
    <n v="153000"/>
    <n v="2.7"/>
    <n v="5"/>
    <x v="1"/>
  </r>
  <r>
    <s v="MFS-74694"/>
    <s v="Jummai Okeke"/>
    <x v="1"/>
    <x v="4"/>
    <x v="0"/>
    <s v="Mid-level"/>
    <x v="0"/>
    <s v="41-50"/>
    <x v="4"/>
    <s v="16/01/2023"/>
    <s v="26/01/2025"/>
    <n v="3"/>
    <n v="242000"/>
    <n v="3.2"/>
    <n v="27"/>
    <x v="1"/>
  </r>
  <r>
    <s v="MFS-42298"/>
    <s v="Sola Danladi"/>
    <x v="1"/>
    <x v="3"/>
    <x v="0"/>
    <s v="Senior"/>
    <x v="1"/>
    <s v="41-50"/>
    <x v="1"/>
    <s v="26/11/2022"/>
    <s v="11/07/2024"/>
    <n v="3"/>
    <n v="448000"/>
    <n v="2.1"/>
    <n v="13"/>
    <x v="0"/>
  </r>
  <r>
    <s v="MFS-68477"/>
    <s v="Ngozi Okafor"/>
    <x v="1"/>
    <x v="1"/>
    <x v="1"/>
    <s v="Senior"/>
    <x v="2"/>
    <s v="41-50"/>
    <x v="2"/>
    <s v="26/12/2020"/>
    <s v="11/07/2024"/>
    <n v="5"/>
    <n v="389000"/>
    <n v="3.2"/>
    <n v="14"/>
    <x v="1"/>
  </r>
  <r>
    <s v="MFS-99196"/>
    <s v="Adaeze Taiwo"/>
    <x v="1"/>
    <x v="3"/>
    <x v="0"/>
    <s v="Senior"/>
    <x v="2"/>
    <s v="51-60"/>
    <x v="0"/>
    <s v="20/02/2022"/>
    <s v="22/11/2021"/>
    <n v="4"/>
    <n v="572000"/>
    <n v="4.4000000000000004"/>
    <n v="2"/>
    <x v="0"/>
  </r>
  <r>
    <s v="MFS-97460"/>
    <s v="Adaeze Eze"/>
    <x v="1"/>
    <x v="3"/>
    <x v="2"/>
    <s v="Mid-level"/>
    <x v="0"/>
    <s v="31-40"/>
    <x v="0"/>
    <s v="04/06/2023"/>
    <s v="22/11/2021"/>
    <n v="2"/>
    <n v="180000"/>
    <n v="4.8"/>
    <n v="35"/>
    <x v="0"/>
  </r>
  <r>
    <s v="MFS-91885"/>
    <s v="Chiamaka Nduka"/>
    <x v="1"/>
    <x v="4"/>
    <x v="0"/>
    <s v="Mid-level"/>
    <x v="2"/>
    <s v="22-30"/>
    <x v="0"/>
    <s v="24/04/2020"/>
    <s v="22/11/2021"/>
    <n v="5"/>
    <n v="271000"/>
    <n v="2.9"/>
    <n v="7"/>
    <x v="2"/>
  </r>
  <r>
    <s v="MFS-62671"/>
    <s v="Uche Taiwo"/>
    <x v="0"/>
    <x v="2"/>
    <x v="0"/>
    <s v="Mid-level"/>
    <x v="0"/>
    <s v="41-50"/>
    <x v="0"/>
    <s v="01/12/2019"/>
    <s v="03/02/2023"/>
    <n v="6"/>
    <n v="266000"/>
    <n v="3.9"/>
    <n v="0"/>
    <x v="0"/>
  </r>
  <r>
    <s v="MFS-46178"/>
    <s v="Ibrahim Adebayo"/>
    <x v="0"/>
    <x v="4"/>
    <x v="2"/>
    <s v="Junior"/>
    <x v="1"/>
    <s v="22-30"/>
    <x v="2"/>
    <s v="22/04/2022"/>
    <s v="03/02/2023"/>
    <n v="3"/>
    <n v="163000"/>
    <n v="3"/>
    <n v="0"/>
    <x v="1"/>
  </r>
  <r>
    <s v="MFS-37931"/>
    <s v="Yemi Oyelaran"/>
    <x v="1"/>
    <x v="0"/>
    <x v="0"/>
    <s v="Senior"/>
    <x v="0"/>
    <s v="41-50"/>
    <x v="2"/>
    <s v="21/04/2020"/>
    <s v="31/03/2025"/>
    <n v="5"/>
    <n v="450000"/>
    <n v="2.6"/>
    <n v="38"/>
    <x v="0"/>
  </r>
  <r>
    <s v="MFS-74673"/>
    <s v="Babatunde Adebayo"/>
    <x v="0"/>
    <x v="2"/>
    <x v="0"/>
    <s v="Junior"/>
    <x v="2"/>
    <s v="22-30"/>
    <x v="1"/>
    <s v="21/11/2019"/>
    <s v="31/03/2025"/>
    <n v="6"/>
    <n v="92000"/>
    <n v="3.7"/>
    <n v="11"/>
    <x v="3"/>
  </r>
  <r>
    <s v="MFS-41276"/>
    <s v="Ifeanyi Danladi"/>
    <x v="0"/>
    <x v="3"/>
    <x v="0"/>
    <s v="Junior"/>
    <x v="2"/>
    <s v="51-60"/>
    <x v="0"/>
    <s v="12/02/2019"/>
    <s v="19/09/2019"/>
    <n v="7"/>
    <n v="102000"/>
    <n v="2.8"/>
    <n v="36"/>
    <x v="1"/>
  </r>
  <r>
    <s v="MFS-84363"/>
    <s v="Ronke Amadi"/>
    <x v="1"/>
    <x v="3"/>
    <x v="0"/>
    <s v="Junior"/>
    <x v="0"/>
    <s v="51-60"/>
    <x v="0"/>
    <s v="20/07/2023"/>
    <s v="29/04/2024"/>
    <n v="2"/>
    <n v="89000"/>
    <n v="2.2000000000000002"/>
    <n v="13"/>
    <x v="1"/>
  </r>
  <r>
    <s v="MFS-27200"/>
    <s v="Bello Nwachukwu"/>
    <x v="0"/>
    <x v="4"/>
    <x v="0"/>
    <s v="Junior"/>
    <x v="2"/>
    <s v="31-40"/>
    <x v="0"/>
    <s v="01/07/2023"/>
    <s v="04/05/2024"/>
    <n v="2"/>
    <n v="110000"/>
    <n v="2"/>
    <n v="10"/>
    <x v="0"/>
  </r>
  <r>
    <s v="MFS-98462"/>
    <s v="Ebuka Amadi"/>
    <x v="0"/>
    <x v="1"/>
    <x v="2"/>
    <s v="Mid-level"/>
    <x v="1"/>
    <s v="51-60"/>
    <x v="0"/>
    <s v="14/11/2023"/>
    <s v="04/05/2024"/>
    <n v="2"/>
    <n v="283000"/>
    <n v="4.0999999999999996"/>
    <n v="9"/>
    <x v="0"/>
  </r>
  <r>
    <s v="MFS-78083"/>
    <s v="Yemi Bello"/>
    <x v="1"/>
    <x v="0"/>
    <x v="0"/>
    <s v="Junior"/>
    <x v="0"/>
    <s v="31-40"/>
    <x v="2"/>
    <s v="19/02/2022"/>
    <s v="04/05/2024"/>
    <n v="4"/>
    <n v="107000"/>
    <n v="2.5"/>
    <n v="2"/>
    <x v="0"/>
  </r>
  <r>
    <s v="MFS-53257"/>
    <s v="Abubakar Obi"/>
    <x v="0"/>
    <x v="3"/>
    <x v="2"/>
    <s v="Director"/>
    <x v="2"/>
    <s v="22-30"/>
    <x v="0"/>
    <s v="09/06/2023"/>
    <s v="04/05/2024"/>
    <n v="2"/>
    <n v="1140000"/>
    <n v="3.9"/>
    <n v="8"/>
    <x v="1"/>
  </r>
  <r>
    <s v="MFS-23665"/>
    <s v="Uche Yakubu"/>
    <x v="0"/>
    <x v="2"/>
    <x v="2"/>
    <s v="Mid-level"/>
    <x v="0"/>
    <s v="41-50"/>
    <x v="0"/>
    <s v="16/11/2023"/>
    <s v="05/11/2024"/>
    <n v="2"/>
    <n v="290000"/>
    <n v="2.7"/>
    <n v="12"/>
    <x v="3"/>
  </r>
  <r>
    <s v="MFS-53221"/>
    <s v="Bukola Eze"/>
    <x v="1"/>
    <x v="4"/>
    <x v="0"/>
    <s v="Mid-level"/>
    <x v="0"/>
    <s v="41-50"/>
    <x v="4"/>
    <s v="16/12/2022"/>
    <s v="21/11/2023"/>
    <n v="3"/>
    <n v="288000"/>
    <n v="4.9000000000000004"/>
    <n v="14"/>
    <x v="3"/>
  </r>
  <r>
    <s v="MFS-51408"/>
    <s v="Laraba Eze"/>
    <x v="1"/>
    <x v="4"/>
    <x v="1"/>
    <s v="Senior"/>
    <x v="0"/>
    <s v="31-40"/>
    <x v="3"/>
    <s v="26/02/2022"/>
    <s v="11/11/2021"/>
    <n v="4"/>
    <n v="532000"/>
    <n v="3.7"/>
    <n v="1"/>
    <x v="0"/>
  </r>
  <r>
    <s v="MFS-46620"/>
    <s v="Seun Amadi"/>
    <x v="0"/>
    <x v="0"/>
    <x v="1"/>
    <s v="Senior"/>
    <x v="2"/>
    <s v="22-30"/>
    <x v="1"/>
    <s v="22/08/2020"/>
    <s v="11/11/2021"/>
    <n v="5"/>
    <n v="660000"/>
    <n v="4"/>
    <n v="8"/>
    <x v="0"/>
  </r>
  <r>
    <s v="MFS-38105"/>
    <s v="Usman Ihejirika"/>
    <x v="0"/>
    <x v="1"/>
    <x v="2"/>
    <s v="Director"/>
    <x v="0"/>
    <s v="22-30"/>
    <x v="0"/>
    <s v="11/11/2021"/>
    <s v="11/11/2021"/>
    <n v="4"/>
    <n v="1068000"/>
    <n v="3"/>
    <n v="0"/>
    <x v="0"/>
  </r>
  <r>
    <s v="MFS-70712"/>
    <s v="Femi Okafor"/>
    <x v="0"/>
    <x v="3"/>
    <x v="0"/>
    <s v="Mid-level"/>
    <x v="1"/>
    <s v="22-30"/>
    <x v="0"/>
    <s v="09/06/2023"/>
    <s v="11/11/2021"/>
    <n v="2"/>
    <n v="317000"/>
    <n v="4.3"/>
    <n v="13"/>
    <x v="0"/>
  </r>
  <r>
    <s v="MFS-96116"/>
    <s v="Oluwaseun Yakubu"/>
    <x v="0"/>
    <x v="1"/>
    <x v="1"/>
    <s v="Director"/>
    <x v="2"/>
    <s v="22-30"/>
    <x v="0"/>
    <s v="19/06/2020"/>
    <s v="11/11/2021"/>
    <n v="5"/>
    <n v="1657000"/>
    <n v="4.5"/>
    <n v="11"/>
    <x v="0"/>
  </r>
  <r>
    <s v="MFS-35798"/>
    <s v="Rabiu Okeke"/>
    <x v="0"/>
    <x v="3"/>
    <x v="1"/>
    <s v="Director"/>
    <x v="2"/>
    <s v="22-30"/>
    <x v="2"/>
    <s v="14/09/2019"/>
    <s v="11/11/2021"/>
    <n v="6"/>
    <n v="1349000"/>
    <n v="4.2"/>
    <n v="13"/>
    <x v="2"/>
  </r>
  <r>
    <s v="MFS-26384"/>
    <s v="Abubakar Ihejirika"/>
    <x v="0"/>
    <x v="0"/>
    <x v="0"/>
    <s v="Mid-level"/>
    <x v="2"/>
    <s v="51-60"/>
    <x v="4"/>
    <s v="16/01/2021"/>
    <s v="13/04/2022"/>
    <n v="5"/>
    <n v="202000"/>
    <n v="2.4"/>
    <n v="14"/>
    <x v="2"/>
  </r>
  <r>
    <s v="MFS-85377"/>
    <s v="Chiamaka Oyelaran"/>
    <x v="1"/>
    <x v="3"/>
    <x v="0"/>
    <s v="Senior"/>
    <x v="0"/>
    <s v="22-30"/>
    <x v="2"/>
    <s v="07/04/2021"/>
    <s v="25/06/2024"/>
    <n v="4"/>
    <n v="459000"/>
    <n v="2.2000000000000002"/>
    <n v="18"/>
    <x v="0"/>
  </r>
  <r>
    <s v="MFS-56005"/>
    <s v="Rukayya Yakubu"/>
    <x v="1"/>
    <x v="2"/>
    <x v="0"/>
    <s v="Junior"/>
    <x v="0"/>
    <s v="22-30"/>
    <x v="2"/>
    <s v="20/06/2022"/>
    <s v="25/06/2024"/>
    <n v="3"/>
    <n v="145000"/>
    <n v="2.2999999999999998"/>
    <n v="12"/>
    <x v="2"/>
  </r>
  <r>
    <s v="MFS-22395"/>
    <s v="Titi Lawal"/>
    <x v="1"/>
    <x v="2"/>
    <x v="0"/>
    <s v="Mid-level"/>
    <x v="0"/>
    <s v="41-50"/>
    <x v="2"/>
    <s v="24/10/2021"/>
    <s v="26/12/2023"/>
    <n v="4"/>
    <n v="232000"/>
    <n v="4.3"/>
    <n v="10"/>
    <x v="0"/>
  </r>
  <r>
    <s v="MFS-36958"/>
    <s v="Rabiu Buhari"/>
    <x v="0"/>
    <x v="1"/>
    <x v="0"/>
    <s v="Senior"/>
    <x v="2"/>
    <s v="31-40"/>
    <x v="1"/>
    <s v="18/07/2020"/>
    <s v="26/12/2023"/>
    <n v="5"/>
    <n v="380000"/>
    <n v="3.3"/>
    <n v="9"/>
    <x v="1"/>
  </r>
  <r>
    <s v="MFS-54925"/>
    <s v="Titi Abdullahi"/>
    <x v="1"/>
    <x v="0"/>
    <x v="0"/>
    <s v="Senior"/>
    <x v="0"/>
    <s v="31-40"/>
    <x v="1"/>
    <s v="13/05/2023"/>
    <s v="06/04/2024"/>
    <n v="2"/>
    <n v="543000"/>
    <n v="2.2000000000000002"/>
    <n v="7"/>
    <x v="0"/>
  </r>
  <r>
    <s v="MFS-39694"/>
    <s v="Bimpe Adewale"/>
    <x v="1"/>
    <x v="2"/>
    <x v="0"/>
    <s v="Mid-level"/>
    <x v="3"/>
    <s v="22-30"/>
    <x v="0"/>
    <s v="19/07/2019"/>
    <s v="06/04/2024"/>
    <n v="6"/>
    <n v="233000"/>
    <n v="5"/>
    <n v="0"/>
    <x v="0"/>
  </r>
  <r>
    <s v="MFS-23786"/>
    <s v="Nkechi Nwosu"/>
    <x v="1"/>
    <x v="0"/>
    <x v="0"/>
    <s v="Senior"/>
    <x v="0"/>
    <s v="41-50"/>
    <x v="1"/>
    <s v="24/09/2020"/>
    <s v="06/04/2024"/>
    <n v="5"/>
    <n v="557000"/>
    <n v="4.2"/>
    <n v="33"/>
    <x v="0"/>
  </r>
  <r>
    <s v="MFS-69049"/>
    <s v="Sola Adewale"/>
    <x v="1"/>
    <x v="2"/>
    <x v="0"/>
    <s v="Mid-level"/>
    <x v="2"/>
    <s v="22-30"/>
    <x v="4"/>
    <s v="05/07/2022"/>
    <s v="06/04/2024"/>
    <n v="3"/>
    <n v="216000"/>
    <n v="4"/>
    <n v="2"/>
    <x v="0"/>
  </r>
  <r>
    <s v="MFS-67796"/>
    <s v="Aliyu Lawal"/>
    <x v="0"/>
    <x v="3"/>
    <x v="0"/>
    <s v="Junior"/>
    <x v="3"/>
    <s v="41-50"/>
    <x v="0"/>
    <s v="21/09/2022"/>
    <s v="06/04/2024"/>
    <n v="3"/>
    <n v="158000"/>
    <n v="3"/>
    <n v="13"/>
    <x v="0"/>
  </r>
  <r>
    <s v="MFS-37983"/>
    <s v="Rukayya Adebayo"/>
    <x v="1"/>
    <x v="4"/>
    <x v="0"/>
    <s v="Junior"/>
    <x v="3"/>
    <s v="22-30"/>
    <x v="1"/>
    <s v="03/04/2023"/>
    <s v="06/04/2024"/>
    <n v="2"/>
    <n v="112000"/>
    <n v="2.8"/>
    <n v="39"/>
    <x v="0"/>
  </r>
  <r>
    <s v="MFS-69050"/>
    <s v="Maryam Coker"/>
    <x v="1"/>
    <x v="1"/>
    <x v="0"/>
    <s v="Senior"/>
    <x v="2"/>
    <s v="51-60"/>
    <x v="2"/>
    <s v="03/03/2020"/>
    <s v="06/04/2024"/>
    <n v="6"/>
    <n v="352000"/>
    <n v="2.7"/>
    <n v="14"/>
    <x v="0"/>
  </r>
  <r>
    <s v="MFS-17206"/>
    <s v="Musa Okonkwo"/>
    <x v="0"/>
    <x v="1"/>
    <x v="1"/>
    <s v="Mid-level"/>
    <x v="3"/>
    <s v="22-30"/>
    <x v="3"/>
    <s v="25/04/2021"/>
    <s v="06/04/2024"/>
    <n v="4"/>
    <n v="224000"/>
    <n v="2.9"/>
    <n v="8"/>
    <x v="0"/>
  </r>
  <r>
    <s v="MFS-39627"/>
    <s v="Ngozi Obi"/>
    <x v="1"/>
    <x v="3"/>
    <x v="2"/>
    <s v="Senior"/>
    <x v="0"/>
    <s v="41-50"/>
    <x v="0"/>
    <s v="28/11/2023"/>
    <s v="06/04/2024"/>
    <n v="2"/>
    <n v="553000"/>
    <n v="4.7"/>
    <n v="2"/>
    <x v="0"/>
  </r>
  <r>
    <s v="MFS-16079"/>
    <s v="Asabe Uba"/>
    <x v="1"/>
    <x v="3"/>
    <x v="0"/>
    <s v="Senior"/>
    <x v="0"/>
    <s v="41-50"/>
    <x v="0"/>
    <s v="27/03/2020"/>
    <s v="06/04/2024"/>
    <n v="5"/>
    <n v="477000"/>
    <n v="4.3"/>
    <n v="8"/>
    <x v="0"/>
  </r>
  <r>
    <s v="MFS-65306"/>
    <s v="Bilkisu Lawal"/>
    <x v="1"/>
    <x v="4"/>
    <x v="0"/>
    <s v="Mid-level"/>
    <x v="1"/>
    <s v="41-50"/>
    <x v="2"/>
    <s v="24/09/2021"/>
    <s v="06/04/2024"/>
    <n v="4"/>
    <n v="248000"/>
    <n v="2.2000000000000002"/>
    <n v="6"/>
    <x v="3"/>
  </r>
  <r>
    <s v="MFS-19178"/>
    <s v="Eze Lawal"/>
    <x v="0"/>
    <x v="3"/>
    <x v="0"/>
    <s v="Manager"/>
    <x v="1"/>
    <s v="31-40"/>
    <x v="4"/>
    <s v="24/11/2019"/>
    <s v="02/01/2025"/>
    <n v="6"/>
    <n v="933000"/>
    <n v="3.4"/>
    <n v="0"/>
    <x v="0"/>
  </r>
  <r>
    <s v="MFS-74223"/>
    <s v="Yetunde Adebayo"/>
    <x v="1"/>
    <x v="0"/>
    <x v="0"/>
    <s v="Mid-level"/>
    <x v="1"/>
    <s v="41-50"/>
    <x v="0"/>
    <s v="14/09/2020"/>
    <s v="02/01/2025"/>
    <n v="5"/>
    <n v="215000"/>
    <n v="3"/>
    <n v="26"/>
    <x v="0"/>
  </r>
  <r>
    <s v="MFS-93964"/>
    <s v="Lanre Okafor"/>
    <x v="0"/>
    <x v="3"/>
    <x v="0"/>
    <s v="Junior"/>
    <x v="1"/>
    <s v="31-40"/>
    <x v="1"/>
    <s v="15/04/2021"/>
    <s v="02/01/2025"/>
    <n v="4"/>
    <n v="131000"/>
    <n v="2.1"/>
    <n v="13"/>
    <x v="0"/>
  </r>
  <r>
    <s v="MFS-65985"/>
    <s v="Fatima Adesanya"/>
    <x v="1"/>
    <x v="4"/>
    <x v="0"/>
    <s v="Senior"/>
    <x v="0"/>
    <s v="22-30"/>
    <x v="1"/>
    <s v="15/10/2020"/>
    <s v="02/01/2025"/>
    <n v="5"/>
    <n v="450000"/>
    <n v="3.3"/>
    <n v="2"/>
    <x v="0"/>
  </r>
  <r>
    <s v="MFS-23491"/>
    <s v="Danladi Amadi"/>
    <x v="0"/>
    <x v="1"/>
    <x v="0"/>
    <s v="Junior"/>
    <x v="0"/>
    <s v="31-40"/>
    <x v="0"/>
    <s v="03/05/2020"/>
    <s v="02/01/2025"/>
    <n v="5"/>
    <n v="130000"/>
    <n v="4.9000000000000004"/>
    <n v="5"/>
    <x v="0"/>
  </r>
  <r>
    <s v="MFS-70372"/>
    <s v="Damilola Abdullahi"/>
    <x v="1"/>
    <x v="2"/>
    <x v="0"/>
    <s v="Senior"/>
    <x v="3"/>
    <s v="31-40"/>
    <x v="0"/>
    <s v="23/11/2022"/>
    <s v="02/01/2025"/>
    <n v="3"/>
    <n v="558000"/>
    <n v="3"/>
    <n v="4"/>
    <x v="3"/>
  </r>
  <r>
    <s v="MFS-82919"/>
    <s v="Damilola Adesanya"/>
    <x v="1"/>
    <x v="2"/>
    <x v="0"/>
    <s v="Senior"/>
    <x v="0"/>
    <s v="41-50"/>
    <x v="0"/>
    <s v="30/04/2019"/>
    <s v="28/11/2019"/>
    <n v="6"/>
    <n v="478000"/>
    <n v="2.7"/>
    <n v="38"/>
    <x v="2"/>
  </r>
  <r>
    <s v="MFS-22169"/>
    <s v="Chioma Obaseki"/>
    <x v="1"/>
    <x v="4"/>
    <x v="0"/>
    <s v="Junior"/>
    <x v="1"/>
    <s v="22-30"/>
    <x v="1"/>
    <s v="26/04/2020"/>
    <s v="04/12/2024"/>
    <n v="5"/>
    <n v="100000"/>
    <n v="2.2000000000000002"/>
    <n v="14"/>
    <x v="1"/>
  </r>
  <r>
    <s v="MFS-32567"/>
    <s v="Chiamaka Obaseki"/>
    <x v="1"/>
    <x v="4"/>
    <x v="0"/>
    <s v="Junior"/>
    <x v="3"/>
    <s v="22-30"/>
    <x v="3"/>
    <s v="26/05/2022"/>
    <s v="22/08/2024"/>
    <n v="3"/>
    <n v="99000"/>
    <n v="3.3"/>
    <n v="12"/>
    <x v="2"/>
  </r>
  <r>
    <s v="MFS-99127"/>
    <s v="Abubakar Oyelaran"/>
    <x v="0"/>
    <x v="2"/>
    <x v="0"/>
    <s v="Mid-level"/>
    <x v="0"/>
    <s v="51-60"/>
    <x v="2"/>
    <s v="21/09/2021"/>
    <s v="20/05/2024"/>
    <n v="4"/>
    <n v="182000"/>
    <n v="2.8"/>
    <n v="7"/>
    <x v="1"/>
  </r>
  <r>
    <s v="MFS-68971"/>
    <s v="Ebuka Adeyemi"/>
    <x v="0"/>
    <x v="3"/>
    <x v="0"/>
    <s v="Director"/>
    <x v="0"/>
    <s v="31-40"/>
    <x v="0"/>
    <s v="20/11/2022"/>
    <s v="01/12/2024"/>
    <n v="3"/>
    <n v="1997000"/>
    <n v="4.5999999999999996"/>
    <n v="13"/>
    <x v="0"/>
  </r>
  <r>
    <s v="MFS-87098"/>
    <s v="Nnamdi Okafor"/>
    <x v="0"/>
    <x v="0"/>
    <x v="0"/>
    <s v="Senior"/>
    <x v="1"/>
    <s v="41-50"/>
    <x v="0"/>
    <s v="22/03/2022"/>
    <s v="01/12/2024"/>
    <n v="3"/>
    <n v="562000"/>
    <n v="4.5"/>
    <n v="14"/>
    <x v="1"/>
  </r>
  <r>
    <s v="MFS-57369"/>
    <s v="Oluwaseun Abdullahi"/>
    <x v="0"/>
    <x v="3"/>
    <x v="0"/>
    <s v="Junior"/>
    <x v="1"/>
    <s v="22-30"/>
    <x v="1"/>
    <s v="22/11/2022"/>
    <s v="20/07/2024"/>
    <n v="3"/>
    <n v="139000"/>
    <n v="4.7"/>
    <n v="13"/>
    <x v="0"/>
  </r>
  <r>
    <s v="MFS-30027"/>
    <s v="Ifeoma Suleiman"/>
    <x v="1"/>
    <x v="4"/>
    <x v="0"/>
    <s v="Junior"/>
    <x v="0"/>
    <s v="31-40"/>
    <x v="0"/>
    <s v="04/01/2023"/>
    <s v="20/07/2024"/>
    <n v="3"/>
    <n v="130000"/>
    <n v="1.8"/>
    <n v="0"/>
    <x v="1"/>
  </r>
  <r>
    <s v="MFS-65993"/>
    <s v="Ogechi Fagbemi"/>
    <x v="1"/>
    <x v="3"/>
    <x v="0"/>
    <s v="Senior"/>
    <x v="0"/>
    <s v="31-40"/>
    <x v="2"/>
    <s v="05/02/2022"/>
    <s v="13/12/2020"/>
    <n v="4"/>
    <n v="383000"/>
    <n v="3.7"/>
    <n v="5"/>
    <x v="0"/>
  </r>
  <r>
    <s v="MFS-40107"/>
    <s v="Nana Nnamdi"/>
    <x v="1"/>
    <x v="2"/>
    <x v="0"/>
    <s v="Senior"/>
    <x v="2"/>
    <s v="51-60"/>
    <x v="2"/>
    <s v="21/06/2020"/>
    <s v="13/12/2020"/>
    <n v="5"/>
    <n v="450000"/>
    <n v="2.6"/>
    <n v="9"/>
    <x v="0"/>
  </r>
  <r>
    <s v="MFS-38893"/>
    <s v="Biodun Danladi"/>
    <x v="0"/>
    <x v="2"/>
    <x v="1"/>
    <s v="Senior"/>
    <x v="0"/>
    <s v="31-40"/>
    <x v="1"/>
    <s v="29/07/2019"/>
    <s v="13/12/2020"/>
    <n v="6"/>
    <n v="373000"/>
    <n v="2.2999999999999998"/>
    <n v="9"/>
    <x v="0"/>
  </r>
  <r>
    <s v="MFS-56578"/>
    <s v="Chibuike Oyelaran"/>
    <x v="0"/>
    <x v="2"/>
    <x v="2"/>
    <s v="Junior"/>
    <x v="1"/>
    <s v="41-50"/>
    <x v="0"/>
    <s v="18/02/2020"/>
    <s v="13/12/2020"/>
    <n v="6"/>
    <n v="136000"/>
    <n v="3.3"/>
    <n v="5"/>
    <x v="1"/>
  </r>
  <r>
    <s v="MFS-50721"/>
    <s v="Folake Coker"/>
    <x v="1"/>
    <x v="3"/>
    <x v="0"/>
    <s v="Mid-level"/>
    <x v="0"/>
    <s v="41-50"/>
    <x v="2"/>
    <s v="28/02/2020"/>
    <s v="13/08/2024"/>
    <n v="6"/>
    <n v="240000"/>
    <n v="3.5"/>
    <n v="13"/>
    <x v="0"/>
  </r>
  <r>
    <s v="MFS-85655"/>
    <s v="Chukwuemeka Adeyemi"/>
    <x v="0"/>
    <x v="4"/>
    <x v="0"/>
    <s v="Junior"/>
    <x v="2"/>
    <s v="31-40"/>
    <x v="0"/>
    <s v="13/04/2022"/>
    <s v="13/08/2024"/>
    <n v="3"/>
    <n v="132000"/>
    <n v="1.9"/>
    <n v="6"/>
    <x v="0"/>
  </r>
  <r>
    <s v="MFS-88840"/>
    <s v="Babatunde Oyelaran"/>
    <x v="0"/>
    <x v="4"/>
    <x v="0"/>
    <s v="Manager"/>
    <x v="2"/>
    <s v="41-50"/>
    <x v="0"/>
    <s v="20/09/2022"/>
    <s v="13/08/2024"/>
    <n v="3"/>
    <n v="691000"/>
    <n v="3.2"/>
    <n v="7"/>
    <x v="0"/>
  </r>
  <r>
    <s v="MFS-18834"/>
    <s v="Femi Adesanya"/>
    <x v="0"/>
    <x v="4"/>
    <x v="0"/>
    <s v="Mid-level"/>
    <x v="1"/>
    <s v="31-40"/>
    <x v="0"/>
    <s v="11/06/2021"/>
    <s v="13/08/2024"/>
    <n v="4"/>
    <n v="293000"/>
    <n v="4.7"/>
    <n v="9"/>
    <x v="0"/>
  </r>
  <r>
    <s v="MFS-14137"/>
    <s v="Shehu Omotayo"/>
    <x v="0"/>
    <x v="1"/>
    <x v="0"/>
    <s v="Manager"/>
    <x v="0"/>
    <s v="31-40"/>
    <x v="2"/>
    <s v="20/05/2023"/>
    <s v="13/08/2024"/>
    <n v="2"/>
    <n v="818000"/>
    <n v="3.6"/>
    <n v="10"/>
    <x v="1"/>
  </r>
  <r>
    <s v="MFS-38471"/>
    <s v="Kemi Garba"/>
    <x v="1"/>
    <x v="3"/>
    <x v="0"/>
    <s v="Mid-level"/>
    <x v="0"/>
    <s v="31-40"/>
    <x v="3"/>
    <s v="22/04/2020"/>
    <s v="04/10/2024"/>
    <n v="5"/>
    <n v="272000"/>
    <n v="3.7"/>
    <n v="12"/>
    <x v="0"/>
  </r>
  <r>
    <s v="MFS-39450"/>
    <s v="Obinna Nduka"/>
    <x v="0"/>
    <x v="1"/>
    <x v="1"/>
    <s v="Senior"/>
    <x v="2"/>
    <s v="31-40"/>
    <x v="1"/>
    <s v="09/12/2021"/>
    <s v="04/10/2024"/>
    <n v="4"/>
    <n v="557000"/>
    <n v="4.8"/>
    <n v="0"/>
    <x v="0"/>
  </r>
  <r>
    <s v="MFS-86966"/>
    <s v="Titi Garba"/>
    <x v="1"/>
    <x v="1"/>
    <x v="2"/>
    <s v="Mid-level"/>
    <x v="0"/>
    <s v="51-60"/>
    <x v="2"/>
    <s v="10/06/2019"/>
    <s v="04/10/2024"/>
    <n v="6"/>
    <n v="279000"/>
    <n v="4.5999999999999996"/>
    <n v="32"/>
    <x v="0"/>
  </r>
  <r>
    <s v="MFS-13778"/>
    <s v="Chukwudi Adeyemi"/>
    <x v="0"/>
    <x v="2"/>
    <x v="0"/>
    <s v="Mid-level"/>
    <x v="2"/>
    <s v="51-60"/>
    <x v="0"/>
    <s v="19/03/2021"/>
    <s v="04/10/2024"/>
    <n v="4"/>
    <n v="241000"/>
    <n v="4.7"/>
    <n v="3"/>
    <x v="0"/>
  </r>
  <r>
    <s v="MFS-39921"/>
    <s v="Damilola Okafor"/>
    <x v="1"/>
    <x v="3"/>
    <x v="2"/>
    <s v="Mid-level"/>
    <x v="0"/>
    <s v="41-50"/>
    <x v="3"/>
    <s v="09/07/2023"/>
    <s v="04/10/2024"/>
    <n v="2"/>
    <n v="325000"/>
    <n v="3.8"/>
    <n v="14"/>
    <x v="1"/>
  </r>
  <r>
    <s v="MFS-24617"/>
    <s v="Adaeze Amadi"/>
    <x v="1"/>
    <x v="2"/>
    <x v="0"/>
    <s v="Mid-level"/>
    <x v="2"/>
    <s v="41-50"/>
    <x v="4"/>
    <s v="16/05/2022"/>
    <s v="23/01/2024"/>
    <n v="3"/>
    <n v="226000"/>
    <n v="3.9"/>
    <n v="7"/>
    <x v="0"/>
  </r>
  <r>
    <s v="MFS-72703"/>
    <s v="Chukwudi Garba"/>
    <x v="0"/>
    <x v="4"/>
    <x v="0"/>
    <s v="Junior"/>
    <x v="0"/>
    <s v="41-50"/>
    <x v="3"/>
    <s v="18/10/2020"/>
    <s v="23/01/2024"/>
    <n v="5"/>
    <n v="139000"/>
    <n v="1.9"/>
    <n v="4"/>
    <x v="0"/>
  </r>
  <r>
    <s v="MFS-51771"/>
    <s v="Nasiru Abdullahi"/>
    <x v="0"/>
    <x v="2"/>
    <x v="2"/>
    <s v="Junior"/>
    <x v="0"/>
    <s v="31-40"/>
    <x v="0"/>
    <s v="03/04/2023"/>
    <s v="23/01/2024"/>
    <n v="2"/>
    <n v="113000"/>
    <n v="2.5"/>
    <n v="26"/>
    <x v="3"/>
  </r>
  <r>
    <s v="MFS-62022"/>
    <s v="Femi Musa"/>
    <x v="0"/>
    <x v="0"/>
    <x v="0"/>
    <s v="Mid-level"/>
    <x v="2"/>
    <s v="22-30"/>
    <x v="2"/>
    <s v="11/07/2019"/>
    <s v="09/03/2024"/>
    <n v="6"/>
    <n v="288000"/>
    <n v="3.4"/>
    <n v="11"/>
    <x v="0"/>
  </r>
  <r>
    <s v="MFS-37555"/>
    <s v="Chinwe Ogbonna"/>
    <x v="1"/>
    <x v="4"/>
    <x v="0"/>
    <s v="Junior"/>
    <x v="0"/>
    <s v="51-60"/>
    <x v="3"/>
    <s v="07/12/2023"/>
    <s v="09/03/2024"/>
    <n v="2"/>
    <n v="148000"/>
    <n v="2.1"/>
    <n v="14"/>
    <x v="0"/>
  </r>
  <r>
    <s v="MFS-39919"/>
    <s v="Chinedu Garba"/>
    <x v="0"/>
    <x v="1"/>
    <x v="0"/>
    <s v="Manager"/>
    <x v="0"/>
    <s v="31-40"/>
    <x v="2"/>
    <s v="24/02/2021"/>
    <s v="09/03/2024"/>
    <n v="5"/>
    <n v="600000"/>
    <n v="3.7"/>
    <n v="6"/>
    <x v="0"/>
  </r>
  <r>
    <s v="MFS-83819"/>
    <s v="Ibrahim Musa"/>
    <x v="0"/>
    <x v="1"/>
    <x v="1"/>
    <s v="Junior"/>
    <x v="0"/>
    <s v="51-60"/>
    <x v="2"/>
    <s v="26/01/2020"/>
    <s v="09/03/2024"/>
    <n v="6"/>
    <n v="136000"/>
    <n v="2.2000000000000002"/>
    <n v="0"/>
    <x v="0"/>
  </r>
  <r>
    <s v="MFS-70266"/>
    <s v="Funmilayo Garba"/>
    <x v="1"/>
    <x v="2"/>
    <x v="0"/>
    <s v="Manager"/>
    <x v="3"/>
    <s v="31-40"/>
    <x v="3"/>
    <s v="26/04/2021"/>
    <s v="09/03/2024"/>
    <n v="4"/>
    <n v="795000"/>
    <n v="4.4000000000000004"/>
    <n v="6"/>
    <x v="0"/>
  </r>
  <r>
    <s v="MFS-20828"/>
    <s v="Falmata Taiwo"/>
    <x v="1"/>
    <x v="4"/>
    <x v="2"/>
    <s v="Mid-level"/>
    <x v="2"/>
    <s v="31-40"/>
    <x v="3"/>
    <s v="19/09/2020"/>
    <s v="09/03/2024"/>
    <n v="5"/>
    <n v="256000"/>
    <n v="4.2"/>
    <n v="7"/>
    <x v="0"/>
  </r>
  <r>
    <s v="MFS-93783"/>
    <s v="Ifeanyi Okonkwo"/>
    <x v="0"/>
    <x v="0"/>
    <x v="0"/>
    <s v="Senior"/>
    <x v="0"/>
    <s v="31-40"/>
    <x v="0"/>
    <s v="08/06/2021"/>
    <s v="09/03/2024"/>
    <n v="4"/>
    <n v="476000"/>
    <n v="4.2"/>
    <n v="8"/>
    <x v="0"/>
  </r>
  <r>
    <s v="MFS-67430"/>
    <s v="Adeola Adesanya"/>
    <x v="0"/>
    <x v="2"/>
    <x v="0"/>
    <s v="Mid-level"/>
    <x v="2"/>
    <s v="41-50"/>
    <x v="4"/>
    <s v="26/09/2021"/>
    <s v="09/03/2024"/>
    <n v="4"/>
    <n v="199000"/>
    <n v="3.2"/>
    <n v="23"/>
    <x v="0"/>
  </r>
  <r>
    <s v="MFS-41821"/>
    <s v="Ronke Nwosu"/>
    <x v="1"/>
    <x v="4"/>
    <x v="2"/>
    <s v="Mid-level"/>
    <x v="2"/>
    <s v="22-30"/>
    <x v="2"/>
    <s v="13/06/2021"/>
    <s v="09/03/2024"/>
    <n v="4"/>
    <n v="280000"/>
    <n v="3.9"/>
    <n v="12"/>
    <x v="0"/>
  </r>
  <r>
    <s v="MFS-65572"/>
    <s v="Ugochi Nwachukwu"/>
    <x v="1"/>
    <x v="4"/>
    <x v="2"/>
    <s v="Mid-level"/>
    <x v="0"/>
    <s v="41-50"/>
    <x v="0"/>
    <s v="10/01/2022"/>
    <s v="09/03/2024"/>
    <n v="4"/>
    <n v="255000"/>
    <n v="4"/>
    <n v="38"/>
    <x v="0"/>
  </r>
  <r>
    <s v="MFS-86067"/>
    <s v="Funmilayo Afolabi"/>
    <x v="1"/>
    <x v="2"/>
    <x v="2"/>
    <s v="Manager"/>
    <x v="2"/>
    <s v="22-30"/>
    <x v="0"/>
    <s v="02/12/2021"/>
    <s v="09/03/2024"/>
    <n v="4"/>
    <n v="721000"/>
    <n v="3.7"/>
    <n v="4"/>
    <x v="0"/>
  </r>
  <r>
    <s v="MFS-14324"/>
    <s v="Babatunde Obi"/>
    <x v="0"/>
    <x v="0"/>
    <x v="1"/>
    <s v="Mid-level"/>
    <x v="2"/>
    <s v="31-40"/>
    <x v="0"/>
    <s v="24/01/2021"/>
    <s v="09/03/2024"/>
    <n v="5"/>
    <n v="261000"/>
    <n v="3.1"/>
    <n v="13"/>
    <x v="0"/>
  </r>
  <r>
    <s v="MFS-36432"/>
    <s v="Suleiman Okonkwo"/>
    <x v="0"/>
    <x v="0"/>
    <x v="0"/>
    <s v="Mid-level"/>
    <x v="3"/>
    <s v="41-50"/>
    <x v="1"/>
    <s v="22/05/2021"/>
    <s v="09/03/2024"/>
    <n v="4"/>
    <n v="209000"/>
    <n v="2.8"/>
    <n v="9"/>
    <x v="0"/>
  </r>
  <r>
    <s v="MFS-10409"/>
    <s v="Ibrahim Ihejirika"/>
    <x v="0"/>
    <x v="4"/>
    <x v="2"/>
    <s v="Director"/>
    <x v="1"/>
    <s v="41-50"/>
    <x v="0"/>
    <s v="22/07/2023"/>
    <s v="09/03/2024"/>
    <n v="2"/>
    <n v="1815000"/>
    <n v="3.2"/>
    <n v="40"/>
    <x v="1"/>
  </r>
  <r>
    <s v="MFS-85579"/>
    <s v="Rotimi Okafor"/>
    <x v="0"/>
    <x v="3"/>
    <x v="0"/>
    <s v="Senior"/>
    <x v="2"/>
    <s v="31-40"/>
    <x v="0"/>
    <s v="21/11/2022"/>
    <s v="14/03/2023"/>
    <n v="3"/>
    <n v="366000"/>
    <n v="4.5999999999999996"/>
    <n v="5"/>
    <x v="0"/>
  </r>
  <r>
    <s v="MFS-16025"/>
    <s v="Musa Yakubu"/>
    <x v="0"/>
    <x v="0"/>
    <x v="1"/>
    <s v="Junior"/>
    <x v="0"/>
    <s v="31-40"/>
    <x v="4"/>
    <s v="12/12/2019"/>
    <s v="14/03/2023"/>
    <n v="6"/>
    <n v="157000"/>
    <n v="4.3"/>
    <n v="11"/>
    <x v="0"/>
  </r>
  <r>
    <s v="MFS-94603"/>
    <s v="Gbenga Yakubu"/>
    <x v="0"/>
    <x v="2"/>
    <x v="1"/>
    <s v="Junior"/>
    <x v="0"/>
    <s v="31-40"/>
    <x v="2"/>
    <s v="13/02/2021"/>
    <s v="14/03/2023"/>
    <n v="5"/>
    <n v="114000"/>
    <n v="3.4"/>
    <n v="13"/>
    <x v="0"/>
  </r>
  <r>
    <s v="MFS-22527"/>
    <s v="Danladi Coker"/>
    <x v="0"/>
    <x v="1"/>
    <x v="0"/>
    <s v="Junior"/>
    <x v="0"/>
    <s v="31-40"/>
    <x v="1"/>
    <s v="18/10/2019"/>
    <s v="14/03/2023"/>
    <n v="6"/>
    <n v="85000"/>
    <n v="3.2"/>
    <n v="3"/>
    <x v="1"/>
  </r>
  <r>
    <s v="MFS-33209"/>
    <s v="Kabiru Ogundipe"/>
    <x v="0"/>
    <x v="3"/>
    <x v="0"/>
    <s v="Junior"/>
    <x v="2"/>
    <s v="22-30"/>
    <x v="2"/>
    <s v="27/01/2019"/>
    <s v="11/01/2022"/>
    <n v="7"/>
    <n v="139000"/>
    <n v="3.2"/>
    <n v="14"/>
    <x v="0"/>
  </r>
  <r>
    <s v="MFS-56617"/>
    <s v="Bilkisu Oyelaran"/>
    <x v="1"/>
    <x v="2"/>
    <x v="0"/>
    <s v="Junior"/>
    <x v="1"/>
    <s v="22-30"/>
    <x v="3"/>
    <s v="17/06/2020"/>
    <s v="11/01/2022"/>
    <n v="5"/>
    <n v="177000"/>
    <n v="2.4"/>
    <n v="7"/>
    <x v="0"/>
  </r>
  <r>
    <s v="MFS-23261"/>
    <s v="Jummai Uba"/>
    <x v="1"/>
    <x v="0"/>
    <x v="0"/>
    <s v="Junior"/>
    <x v="1"/>
    <s v="22-30"/>
    <x v="0"/>
    <s v="26/09/2021"/>
    <s v="11/01/2022"/>
    <n v="4"/>
    <n v="133000"/>
    <n v="2.9"/>
    <n v="10"/>
    <x v="0"/>
  </r>
  <r>
    <s v="MFS-40116"/>
    <s v="Nasiru Bello"/>
    <x v="0"/>
    <x v="3"/>
    <x v="0"/>
    <s v="Junior"/>
    <x v="0"/>
    <s v="31-40"/>
    <x v="0"/>
    <s v="26/11/2019"/>
    <s v="11/01/2022"/>
    <n v="6"/>
    <n v="122000"/>
    <n v="3.9"/>
    <n v="13"/>
    <x v="0"/>
  </r>
  <r>
    <s v="MFS-74070"/>
    <s v="Ebuka Ihejirika"/>
    <x v="0"/>
    <x v="4"/>
    <x v="2"/>
    <s v="Senior"/>
    <x v="2"/>
    <s v="22-30"/>
    <x v="1"/>
    <s v="09/10/2019"/>
    <s v="11/01/2022"/>
    <n v="6"/>
    <n v="515000"/>
    <n v="4.3"/>
    <n v="10"/>
    <x v="0"/>
  </r>
  <r>
    <s v="MFS-31802"/>
    <s v="Uloma Adebayo"/>
    <x v="1"/>
    <x v="4"/>
    <x v="1"/>
    <s v="Director"/>
    <x v="0"/>
    <s v="41-50"/>
    <x v="4"/>
    <s v="22/01/2019"/>
    <s v="11/01/2022"/>
    <n v="7"/>
    <n v="1054000"/>
    <n v="3.4"/>
    <n v="8"/>
    <x v="1"/>
  </r>
  <r>
    <s v="MFS-30278"/>
    <s v="Danladi Bello"/>
    <x v="0"/>
    <x v="4"/>
    <x v="2"/>
    <s v="Manager"/>
    <x v="1"/>
    <s v="41-50"/>
    <x v="0"/>
    <s v="18/06/2019"/>
    <s v="24/02/2023"/>
    <n v="6"/>
    <n v="831000"/>
    <n v="4.5999999999999996"/>
    <n v="13"/>
    <x v="0"/>
  </r>
  <r>
    <s v="MFS-81390"/>
    <s v="Zainab Danladi"/>
    <x v="1"/>
    <x v="2"/>
    <x v="2"/>
    <s v="Junior"/>
    <x v="0"/>
    <s v="51-60"/>
    <x v="3"/>
    <s v="06/07/2021"/>
    <s v="24/02/2023"/>
    <n v="4"/>
    <n v="121000"/>
    <n v="4.8"/>
    <n v="3"/>
    <x v="0"/>
  </r>
  <r>
    <s v="MFS-59438"/>
    <s v="Chinyere Okeke"/>
    <x v="1"/>
    <x v="4"/>
    <x v="0"/>
    <s v="Junior"/>
    <x v="0"/>
    <s v="31-40"/>
    <x v="0"/>
    <s v="01/12/2021"/>
    <s v="24/02/2023"/>
    <n v="4"/>
    <n v="128000"/>
    <n v="2.2000000000000002"/>
    <n v="8"/>
    <x v="2"/>
  </r>
  <r>
    <s v="MFS-79446"/>
    <s v="Yetunde Obi"/>
    <x v="1"/>
    <x v="0"/>
    <x v="1"/>
    <s v="Junior"/>
    <x v="0"/>
    <s v="22-30"/>
    <x v="0"/>
    <s v="21/11/2019"/>
    <s v="12/12/2024"/>
    <n v="6"/>
    <n v="155000"/>
    <n v="2.6"/>
    <n v="13"/>
    <x v="0"/>
  </r>
  <r>
    <s v="MFS-61894"/>
    <s v="Chiamaka Ogbonna"/>
    <x v="1"/>
    <x v="4"/>
    <x v="0"/>
    <s v="Senior"/>
    <x v="2"/>
    <s v="31-40"/>
    <x v="0"/>
    <s v="07/04/2022"/>
    <s v="12/12/2024"/>
    <n v="3"/>
    <n v="466000"/>
    <n v="4.7"/>
    <n v="10"/>
    <x v="1"/>
  </r>
  <r>
    <s v="MFS-13966"/>
    <s v="Rabiu Nduka"/>
    <x v="0"/>
    <x v="0"/>
    <x v="0"/>
    <s v="Mid-level"/>
    <x v="2"/>
    <s v="41-50"/>
    <x v="3"/>
    <s v="14/07/2023"/>
    <s v="20/08/2022"/>
    <n v="2"/>
    <n v="246000"/>
    <n v="4.4000000000000004"/>
    <n v="2"/>
    <x v="0"/>
  </r>
  <r>
    <s v="MFS-78650"/>
    <s v="Dele Danladi"/>
    <x v="0"/>
    <x v="2"/>
    <x v="2"/>
    <s v="Senior"/>
    <x v="0"/>
    <s v="41-50"/>
    <x v="1"/>
    <s v="15/09/2023"/>
    <s v="20/08/2022"/>
    <n v="2"/>
    <n v="453000"/>
    <n v="2.2999999999999998"/>
    <n v="12"/>
    <x v="0"/>
  </r>
  <r>
    <s v="MFS-12144"/>
    <s v="Falmata Haruna"/>
    <x v="1"/>
    <x v="2"/>
    <x v="0"/>
    <s v="Mid-level"/>
    <x v="0"/>
    <s v="31-40"/>
    <x v="0"/>
    <s v="18/08/2022"/>
    <s v="20/08/2022"/>
    <n v="3"/>
    <n v="273000"/>
    <n v="3.3"/>
    <n v="9"/>
    <x v="0"/>
  </r>
  <r>
    <s v="MFS-84864"/>
    <s v="Kemi Adewale"/>
    <x v="1"/>
    <x v="3"/>
    <x v="2"/>
    <s v="Junior"/>
    <x v="2"/>
    <s v="41-50"/>
    <x v="3"/>
    <s v="07/04/2020"/>
    <s v="20/08/2022"/>
    <n v="5"/>
    <n v="164000"/>
    <n v="3.8"/>
    <n v="17"/>
    <x v="3"/>
  </r>
  <r>
    <s v="MFS-34799"/>
    <s v="Garba Haruna"/>
    <x v="0"/>
    <x v="3"/>
    <x v="0"/>
    <s v="Mid-level"/>
    <x v="1"/>
    <s v="22-30"/>
    <x v="0"/>
    <s v="01/01/2023"/>
    <s v="07/11/2022"/>
    <n v="3"/>
    <n v="319000"/>
    <n v="4.2"/>
    <n v="26"/>
    <x v="0"/>
  </r>
  <r>
    <s v="MFS-48219"/>
    <s v="Ronke Ogundipe"/>
    <x v="1"/>
    <x v="2"/>
    <x v="0"/>
    <s v="Mid-level"/>
    <x v="2"/>
    <s v="31-40"/>
    <x v="2"/>
    <s v="07/04/2023"/>
    <s v="07/11/2022"/>
    <n v="2"/>
    <n v="315000"/>
    <n v="2.5"/>
    <n v="0"/>
    <x v="0"/>
  </r>
  <r>
    <s v="MFS-83352"/>
    <s v="Adeola Garba"/>
    <x v="1"/>
    <x v="1"/>
    <x v="0"/>
    <s v="Mid-level"/>
    <x v="0"/>
    <s v="22-30"/>
    <x v="2"/>
    <s v="11/04/2020"/>
    <s v="07/11/2022"/>
    <n v="5"/>
    <n v="207000"/>
    <n v="2.1"/>
    <n v="11"/>
    <x v="1"/>
  </r>
  <r>
    <s v="MFS-49625"/>
    <s v="Musa Afolabi"/>
    <x v="0"/>
    <x v="2"/>
    <x v="0"/>
    <s v="Junior"/>
    <x v="0"/>
    <s v="31-40"/>
    <x v="2"/>
    <s v="25/01/2020"/>
    <s v="12/05/2021"/>
    <n v="6"/>
    <n v="117000"/>
    <n v="3.5"/>
    <n v="4"/>
    <x v="1"/>
  </r>
  <r>
    <s v="MFS-85781"/>
    <s v="Haruna Buhari"/>
    <x v="0"/>
    <x v="1"/>
    <x v="0"/>
    <s v="Mid-level"/>
    <x v="0"/>
    <s v="31-40"/>
    <x v="1"/>
    <s v="22/01/2022"/>
    <s v="10/03/2021"/>
    <n v="4"/>
    <n v="196000"/>
    <n v="4.5"/>
    <n v="31"/>
    <x v="0"/>
  </r>
  <r>
    <s v="MFS-70357"/>
    <s v="Ronke Afolabi"/>
    <x v="1"/>
    <x v="0"/>
    <x v="0"/>
    <s v="Junior"/>
    <x v="1"/>
    <s v="31-40"/>
    <x v="2"/>
    <s v="17/02/2020"/>
    <s v="10/03/2021"/>
    <n v="6"/>
    <n v="135000"/>
    <n v="4.0999999999999996"/>
    <n v="2"/>
    <x v="2"/>
  </r>
  <r>
    <s v="MFS-96203"/>
    <s v="Hauwa Garba"/>
    <x v="1"/>
    <x v="1"/>
    <x v="0"/>
    <s v="Mid-level"/>
    <x v="0"/>
    <s v="31-40"/>
    <x v="1"/>
    <s v="10/05/2019"/>
    <s v="10/07/2023"/>
    <n v="6"/>
    <n v="225000"/>
    <n v="3.3"/>
    <n v="3"/>
    <x v="2"/>
  </r>
  <r>
    <s v="MFS-86247"/>
    <s v="Adeola Musa"/>
    <x v="1"/>
    <x v="2"/>
    <x v="0"/>
    <s v="Mid-level"/>
    <x v="0"/>
    <s v="41-50"/>
    <x v="4"/>
    <s v="18/09/2019"/>
    <s v="25/02/2025"/>
    <n v="6"/>
    <n v="272000"/>
    <n v="3.4"/>
    <n v="12"/>
    <x v="0"/>
  </r>
  <r>
    <s v="MFS-19545"/>
    <s v="Nasiru Okonkwo"/>
    <x v="0"/>
    <x v="0"/>
    <x v="1"/>
    <s v="Mid-level"/>
    <x v="0"/>
    <s v="31-40"/>
    <x v="1"/>
    <s v="18/03/2023"/>
    <s v="25/02/2025"/>
    <n v="2"/>
    <n v="385000"/>
    <n v="4.3"/>
    <n v="12"/>
    <x v="2"/>
  </r>
  <r>
    <s v="MFS-21147"/>
    <s v="Adeola Obi"/>
    <x v="1"/>
    <x v="1"/>
    <x v="0"/>
    <s v="Senior"/>
    <x v="1"/>
    <s v="41-50"/>
    <x v="0"/>
    <s v="06/10/2020"/>
    <s v="05/01/2023"/>
    <n v="5"/>
    <n v="400000"/>
    <n v="3.8"/>
    <n v="12"/>
    <x v="0"/>
  </r>
  <r>
    <s v="MFS-52872"/>
    <s v="Falmata Nduka"/>
    <x v="1"/>
    <x v="4"/>
    <x v="0"/>
    <s v="Junior"/>
    <x v="2"/>
    <s v="41-50"/>
    <x v="0"/>
    <s v="08/05/2022"/>
    <s v="05/01/2023"/>
    <n v="3"/>
    <n v="128000"/>
    <n v="3.1"/>
    <n v="9"/>
    <x v="1"/>
  </r>
  <r>
    <s v="MFS-87174"/>
    <s v="Ngozi Coker"/>
    <x v="1"/>
    <x v="2"/>
    <x v="0"/>
    <s v="Junior"/>
    <x v="2"/>
    <s v="22-30"/>
    <x v="2"/>
    <s v="18/04/2021"/>
    <s v="28/06/2021"/>
    <n v="4"/>
    <n v="148000"/>
    <n v="2.2000000000000002"/>
    <n v="0"/>
    <x v="0"/>
  </r>
  <r>
    <s v="MFS-84948"/>
    <s v="Hafsat Okafor"/>
    <x v="1"/>
    <x v="3"/>
    <x v="0"/>
    <s v="Manager"/>
    <x v="2"/>
    <s v="22-30"/>
    <x v="3"/>
    <s v="10/10/2020"/>
    <s v="28/06/2021"/>
    <n v="5"/>
    <n v="752000"/>
    <n v="3.7"/>
    <n v="7"/>
    <x v="0"/>
  </r>
  <r>
    <s v="MFS-58188"/>
    <s v="Biodun Afolabi"/>
    <x v="0"/>
    <x v="3"/>
    <x v="0"/>
    <s v="Senior"/>
    <x v="2"/>
    <s v="31-40"/>
    <x v="3"/>
    <s v="12/07/2022"/>
    <s v="28/06/2021"/>
    <n v="3"/>
    <n v="556000"/>
    <n v="2.6"/>
    <n v="9"/>
    <x v="0"/>
  </r>
  <r>
    <s v="MFS-83229"/>
    <s v="Rotimi Amadi"/>
    <x v="0"/>
    <x v="2"/>
    <x v="2"/>
    <s v="Junior"/>
    <x v="2"/>
    <s v="22-30"/>
    <x v="1"/>
    <s v="22/10/2022"/>
    <s v="28/06/2021"/>
    <n v="3"/>
    <n v="159000"/>
    <n v="2.2999999999999998"/>
    <n v="2"/>
    <x v="0"/>
  </r>
  <r>
    <s v="MFS-21428"/>
    <s v="Rabiu Amadi"/>
    <x v="0"/>
    <x v="4"/>
    <x v="2"/>
    <s v="Senior"/>
    <x v="2"/>
    <s v="31-40"/>
    <x v="0"/>
    <s v="23/05/2019"/>
    <s v="28/06/2021"/>
    <n v="6"/>
    <n v="507000"/>
    <n v="4.4000000000000004"/>
    <n v="5"/>
    <x v="1"/>
  </r>
  <r>
    <s v="MFS-92441"/>
    <s v="Nnamdi Ihejirika"/>
    <x v="0"/>
    <x v="4"/>
    <x v="0"/>
    <s v="Mid-level"/>
    <x v="1"/>
    <s v="41-50"/>
    <x v="0"/>
    <s v="12/12/2021"/>
    <s v="25/03/2025"/>
    <n v="4"/>
    <n v="278000"/>
    <n v="3.9"/>
    <n v="9"/>
    <x v="1"/>
  </r>
  <r>
    <s v="MFS-83997"/>
    <s v="Bilkisu Nduka"/>
    <x v="1"/>
    <x v="1"/>
    <x v="0"/>
    <s v="Senior"/>
    <x v="0"/>
    <s v="41-50"/>
    <x v="4"/>
    <s v="30/10/2022"/>
    <s v="08/03/2021"/>
    <n v="3"/>
    <n v="350000"/>
    <n v="4.2"/>
    <n v="9"/>
    <x v="0"/>
  </r>
  <r>
    <s v="MFS-88091"/>
    <s v="Uche Afolabi"/>
    <x v="0"/>
    <x v="3"/>
    <x v="2"/>
    <s v="Mid-level"/>
    <x v="1"/>
    <s v="41-50"/>
    <x v="1"/>
    <s v="21/07/2020"/>
    <s v="08/03/2021"/>
    <n v="5"/>
    <n v="312000"/>
    <n v="4.5"/>
    <n v="13"/>
    <x v="1"/>
  </r>
  <r>
    <s v="MFS-49227"/>
    <s v="Adeola Okeke"/>
    <x v="0"/>
    <x v="0"/>
    <x v="0"/>
    <s v="Mid-level"/>
    <x v="3"/>
    <s v="41-50"/>
    <x v="0"/>
    <s v="11/03/2023"/>
    <s v="27/03/2024"/>
    <n v="3"/>
    <n v="293000"/>
    <n v="4.5999999999999996"/>
    <n v="3"/>
    <x v="0"/>
  </r>
  <r>
    <s v="MFS-30290"/>
    <s v="Yakubu Omotayo"/>
    <x v="0"/>
    <x v="0"/>
    <x v="1"/>
    <s v="Mid-level"/>
    <x v="2"/>
    <s v="41-50"/>
    <x v="0"/>
    <s v="03/01/2021"/>
    <s v="27/03/2024"/>
    <n v="5"/>
    <n v="232000"/>
    <n v="3.6"/>
    <n v="8"/>
    <x v="0"/>
  </r>
  <r>
    <s v="MFS-90260"/>
    <s v="Adaeze Okafor"/>
    <x v="1"/>
    <x v="2"/>
    <x v="0"/>
    <s v="Senior"/>
    <x v="2"/>
    <s v="31-40"/>
    <x v="2"/>
    <s v="03/09/2020"/>
    <s v="27/03/2024"/>
    <n v="5"/>
    <n v="502000"/>
    <n v="2.1"/>
    <n v="12"/>
    <x v="2"/>
  </r>
  <r>
    <s v="MFS-98736"/>
    <s v="Musa Taiwo"/>
    <x v="0"/>
    <x v="4"/>
    <x v="0"/>
    <s v="Mid-level"/>
    <x v="0"/>
    <s v="31-40"/>
    <x v="0"/>
    <s v="01/01/2020"/>
    <s v="26/03/2023"/>
    <n v="6"/>
    <n v="288000"/>
    <n v="2.4"/>
    <n v="10"/>
    <x v="0"/>
  </r>
  <r>
    <s v="MFS-30807"/>
    <s v="Bello Oyelaran"/>
    <x v="0"/>
    <x v="4"/>
    <x v="0"/>
    <s v="Mid-level"/>
    <x v="1"/>
    <s v="41-50"/>
    <x v="1"/>
    <s v="24/10/2023"/>
    <s v="26/03/2023"/>
    <n v="2"/>
    <n v="214000"/>
    <n v="1.6"/>
    <n v="6"/>
    <x v="0"/>
  </r>
  <r>
    <s v="MFS-42214"/>
    <s v="Aisha Ogundipe"/>
    <x v="1"/>
    <x v="2"/>
    <x v="0"/>
    <s v="Junior"/>
    <x v="0"/>
    <s v="22-30"/>
    <x v="3"/>
    <s v="05/02/2019"/>
    <s v="26/03/2023"/>
    <n v="7"/>
    <n v="144000"/>
    <n v="2.5"/>
    <n v="5"/>
    <x v="0"/>
  </r>
  <r>
    <s v="MFS-33303"/>
    <s v="Chinwe Nduka"/>
    <x v="1"/>
    <x v="0"/>
    <x v="0"/>
    <s v="Mid-level"/>
    <x v="2"/>
    <s v="41-50"/>
    <x v="0"/>
    <s v="03/05/2020"/>
    <s v="26/03/2023"/>
    <n v="5"/>
    <n v="256000"/>
    <n v="4.5999999999999996"/>
    <n v="0"/>
    <x v="1"/>
  </r>
  <r>
    <s v="MFS-68498"/>
    <s v="Ramatu Suleiman"/>
    <x v="1"/>
    <x v="4"/>
    <x v="0"/>
    <s v="Senior"/>
    <x v="2"/>
    <s v="31-40"/>
    <x v="1"/>
    <s v="17/08/2020"/>
    <s v="02/11/2024"/>
    <n v="5"/>
    <n v="421000"/>
    <n v="3.6"/>
    <n v="1"/>
    <x v="0"/>
  </r>
  <r>
    <s v="MFS-78057"/>
    <s v="Kabiru Buhari"/>
    <x v="0"/>
    <x v="2"/>
    <x v="1"/>
    <s v="Junior"/>
    <x v="2"/>
    <s v="41-50"/>
    <x v="1"/>
    <s v="08/11/2019"/>
    <s v="02/11/2024"/>
    <n v="6"/>
    <n v="106000"/>
    <n v="4.5"/>
    <n v="3"/>
    <x v="0"/>
  </r>
  <r>
    <s v="MFS-20752"/>
    <s v="Nana Uba"/>
    <x v="1"/>
    <x v="0"/>
    <x v="0"/>
    <s v="Senior"/>
    <x v="3"/>
    <s v="51-60"/>
    <x v="2"/>
    <s v="14/11/2022"/>
    <s v="02/11/2024"/>
    <n v="3"/>
    <n v="556000"/>
    <n v="4.7"/>
    <n v="13"/>
    <x v="1"/>
  </r>
  <r>
    <s v="MFS-96451"/>
    <s v="Rotimi Suleiman"/>
    <x v="0"/>
    <x v="2"/>
    <x v="0"/>
    <s v="Mid-level"/>
    <x v="0"/>
    <s v="51-60"/>
    <x v="0"/>
    <s v="03/01/2022"/>
    <s v="12/11/2022"/>
    <n v="4"/>
    <n v="251000"/>
    <n v="4.2"/>
    <n v="14"/>
    <x v="1"/>
  </r>
  <r>
    <s v="MFS-33132"/>
    <s v="Dele Obi"/>
    <x v="0"/>
    <x v="4"/>
    <x v="0"/>
    <s v="Senior"/>
    <x v="0"/>
    <s v="31-40"/>
    <x v="0"/>
    <s v="09/07/2021"/>
    <s v="22/10/2024"/>
    <n v="4"/>
    <n v="358000"/>
    <n v="4"/>
    <n v="9"/>
    <x v="0"/>
  </r>
  <r>
    <s v="MFS-93634"/>
    <s v="Haruna Adebayo"/>
    <x v="0"/>
    <x v="4"/>
    <x v="0"/>
    <s v="Junior"/>
    <x v="0"/>
    <s v="31-40"/>
    <x v="4"/>
    <s v="05/06/2020"/>
    <s v="22/10/2024"/>
    <n v="5"/>
    <n v="154000"/>
    <n v="2.5"/>
    <n v="11"/>
    <x v="1"/>
  </r>
  <r>
    <s v="MFS-30332"/>
    <s v="Babatunde Aliyu"/>
    <x v="0"/>
    <x v="0"/>
    <x v="0"/>
    <s v="Senior"/>
    <x v="1"/>
    <s v="31-40"/>
    <x v="2"/>
    <s v="27/02/2020"/>
    <s v="04/03/2024"/>
    <n v="6"/>
    <n v="436000"/>
    <n v="3.3"/>
    <n v="13"/>
    <x v="0"/>
  </r>
  <r>
    <s v="MFS-21060"/>
    <s v="Aliyu Danladi"/>
    <x v="0"/>
    <x v="0"/>
    <x v="0"/>
    <s v="Senior"/>
    <x v="0"/>
    <s v="22-30"/>
    <x v="1"/>
    <s v="04/11/2021"/>
    <s v="04/03/2024"/>
    <n v="4"/>
    <n v="450000"/>
    <n v="4.0999999999999996"/>
    <n v="9"/>
    <x v="0"/>
  </r>
  <r>
    <s v="MFS-74144"/>
    <s v="Lanre Ogbonna"/>
    <x v="0"/>
    <x v="3"/>
    <x v="0"/>
    <s v="Junior"/>
    <x v="1"/>
    <s v="31-40"/>
    <x v="2"/>
    <s v="10/04/2020"/>
    <s v="04/03/2024"/>
    <n v="5"/>
    <n v="139000"/>
    <n v="2.5"/>
    <n v="2"/>
    <x v="0"/>
  </r>
  <r>
    <s v="MFS-22739"/>
    <s v="Bimpe Okeke"/>
    <x v="1"/>
    <x v="2"/>
    <x v="0"/>
    <s v="Senior"/>
    <x v="2"/>
    <s v="22-30"/>
    <x v="2"/>
    <s v="22/10/2020"/>
    <s v="04/03/2024"/>
    <n v="5"/>
    <n v="597000"/>
    <n v="4.5999999999999996"/>
    <n v="3"/>
    <x v="0"/>
  </r>
  <r>
    <s v="MFS-82116"/>
    <s v="Hafsat Lawal"/>
    <x v="1"/>
    <x v="0"/>
    <x v="1"/>
    <s v="Junior"/>
    <x v="3"/>
    <s v="41-50"/>
    <x v="0"/>
    <s v="25/07/2019"/>
    <s v="04/03/2024"/>
    <n v="6"/>
    <n v="198000"/>
    <n v="2.1"/>
    <n v="6"/>
    <x v="0"/>
  </r>
  <r>
    <s v="MFS-15781"/>
    <s v="Yetunde Nwachukwu"/>
    <x v="1"/>
    <x v="4"/>
    <x v="2"/>
    <s v="Junior"/>
    <x v="2"/>
    <s v="31-40"/>
    <x v="2"/>
    <s v="07/09/2022"/>
    <s v="04/03/2024"/>
    <n v="3"/>
    <n v="103000"/>
    <n v="1.5"/>
    <n v="35"/>
    <x v="1"/>
  </r>
  <r>
    <s v="MFS-40402"/>
    <s v="Obiora Aliyu"/>
    <x v="0"/>
    <x v="2"/>
    <x v="0"/>
    <s v="Mid-level"/>
    <x v="0"/>
    <s v="31-40"/>
    <x v="2"/>
    <s v="23/07/2019"/>
    <s v="06/12/2023"/>
    <n v="6"/>
    <n v="272000"/>
    <n v="3.7"/>
    <n v="8"/>
    <x v="0"/>
  </r>
  <r>
    <s v="MFS-57492"/>
    <s v="Ezinne Amadi"/>
    <x v="1"/>
    <x v="3"/>
    <x v="0"/>
    <s v="Senior"/>
    <x v="3"/>
    <s v="31-40"/>
    <x v="0"/>
    <s v="13/02/2022"/>
    <s v="06/12/2023"/>
    <n v="4"/>
    <n v="474000"/>
    <n v="2.2000000000000002"/>
    <n v="6"/>
    <x v="0"/>
  </r>
  <r>
    <s v="MFS-76500"/>
    <s v="Ronke Haruna"/>
    <x v="1"/>
    <x v="2"/>
    <x v="2"/>
    <s v="Mid-level"/>
    <x v="2"/>
    <s v="41-50"/>
    <x v="1"/>
    <s v="17/06/2020"/>
    <s v="06/12/2023"/>
    <n v="5"/>
    <n v="205000"/>
    <n v="2"/>
    <n v="8"/>
    <x v="1"/>
  </r>
  <r>
    <s v="MFS-29879"/>
    <s v="Maryam Okonkwo"/>
    <x v="1"/>
    <x v="2"/>
    <x v="0"/>
    <s v="Junior"/>
    <x v="3"/>
    <s v="22-30"/>
    <x v="2"/>
    <s v="15/04/2019"/>
    <s v="08/12/2019"/>
    <n v="6"/>
    <n v="149000"/>
    <n v="2.2000000000000002"/>
    <n v="32"/>
    <x v="1"/>
  </r>
  <r>
    <s v="MFS-52431"/>
    <s v="Damilola Amadi"/>
    <x v="1"/>
    <x v="0"/>
    <x v="0"/>
    <s v="Mid-level"/>
    <x v="0"/>
    <s v="41-50"/>
    <x v="0"/>
    <s v="07/04/2023"/>
    <s v="06/01/2020"/>
    <n v="2"/>
    <n v="363000"/>
    <n v="2.9"/>
    <n v="11"/>
    <x v="0"/>
  </r>
  <r>
    <s v="MFS-96543"/>
    <s v="Uloma Shehu"/>
    <x v="1"/>
    <x v="2"/>
    <x v="0"/>
    <s v="Junior"/>
    <x v="0"/>
    <s v="41-50"/>
    <x v="0"/>
    <s v="29/11/2021"/>
    <s v="06/01/2020"/>
    <n v="4"/>
    <n v="142000"/>
    <n v="2.4"/>
    <n v="1"/>
    <x v="0"/>
  </r>
  <r>
    <s v="MFS-27132"/>
    <s v="Emeka Nnamdi"/>
    <x v="0"/>
    <x v="2"/>
    <x v="2"/>
    <s v="Junior"/>
    <x v="1"/>
    <s v="41-50"/>
    <x v="0"/>
    <s v="02/06/2019"/>
    <s v="06/01/2020"/>
    <n v="6"/>
    <n v="175000"/>
    <n v="2.4"/>
    <n v="1"/>
    <x v="0"/>
  </r>
  <r>
    <s v="MFS-46941"/>
    <s v="Yemi Nduka"/>
    <x v="1"/>
    <x v="3"/>
    <x v="0"/>
    <s v="Senior"/>
    <x v="1"/>
    <s v="22-30"/>
    <x v="1"/>
    <s v="26/12/2023"/>
    <s v="06/01/2020"/>
    <n v="2"/>
    <n v="458000"/>
    <n v="2.8"/>
    <n v="4"/>
    <x v="0"/>
  </r>
  <r>
    <s v="MFS-89292"/>
    <s v="Danladi Taiwo"/>
    <x v="0"/>
    <x v="0"/>
    <x v="2"/>
    <s v="Mid-level"/>
    <x v="2"/>
    <s v="41-50"/>
    <x v="2"/>
    <s v="26/08/2023"/>
    <s v="06/01/2020"/>
    <n v="2"/>
    <n v="260000"/>
    <n v="2.6"/>
    <n v="4"/>
    <x v="0"/>
  </r>
  <r>
    <s v="MFS-28435"/>
    <s v="Kunle Garba"/>
    <x v="0"/>
    <x v="0"/>
    <x v="0"/>
    <s v="Junior"/>
    <x v="0"/>
    <s v="41-50"/>
    <x v="0"/>
    <s v="07/04/2019"/>
    <s v="06/01/2020"/>
    <n v="6"/>
    <n v="135000"/>
    <n v="2.1"/>
    <n v="11"/>
    <x v="1"/>
  </r>
  <r>
    <s v="MFS-66836"/>
    <s v="Chibuike Okafor"/>
    <x v="0"/>
    <x v="0"/>
    <x v="0"/>
    <s v="Junior"/>
    <x v="2"/>
    <s v="41-50"/>
    <x v="0"/>
    <s v="13/01/2021"/>
    <s v="22/12/2022"/>
    <n v="5"/>
    <n v="198000"/>
    <n v="2.4"/>
    <n v="4"/>
    <x v="0"/>
  </r>
  <r>
    <s v="MFS-66369"/>
    <s v="Yemi Garba"/>
    <x v="1"/>
    <x v="0"/>
    <x v="2"/>
    <s v="Junior"/>
    <x v="3"/>
    <s v="31-40"/>
    <x v="0"/>
    <s v="12/10/2020"/>
    <s v="22/12/2022"/>
    <n v="5"/>
    <n v="185000"/>
    <n v="2.1"/>
    <n v="6"/>
    <x v="2"/>
  </r>
  <r>
    <s v="MFS-48871"/>
    <s v="Ngozi Abdullahi"/>
    <x v="1"/>
    <x v="0"/>
    <x v="0"/>
    <s v="Manager"/>
    <x v="1"/>
    <s v="22-30"/>
    <x v="0"/>
    <s v="15/07/2019"/>
    <s v="06/06/2023"/>
    <n v="6"/>
    <n v="822000"/>
    <n v="3.6"/>
    <n v="2"/>
    <x v="1"/>
  </r>
  <r>
    <s v="MFS-90813"/>
    <s v="Obinna Okafor"/>
    <x v="0"/>
    <x v="4"/>
    <x v="0"/>
    <s v="Junior"/>
    <x v="0"/>
    <s v="31-40"/>
    <x v="3"/>
    <s v="02/12/2020"/>
    <s v="09/10/2022"/>
    <n v="5"/>
    <n v="139000"/>
    <n v="1.7"/>
    <n v="19"/>
    <x v="0"/>
  </r>
  <r>
    <s v="MFS-48290"/>
    <s v="Chinyere Danladi"/>
    <x v="1"/>
    <x v="4"/>
    <x v="0"/>
    <s v="Senior"/>
    <x v="1"/>
    <s v="31-40"/>
    <x v="0"/>
    <s v="13/01/2020"/>
    <s v="09/10/2022"/>
    <n v="6"/>
    <n v="591000"/>
    <n v="2.8"/>
    <n v="1"/>
    <x v="1"/>
  </r>
  <r>
    <s v="MFS-16265"/>
    <s v="Ugochi Danladi"/>
    <x v="1"/>
    <x v="2"/>
    <x v="0"/>
    <s v="Junior"/>
    <x v="1"/>
    <s v="41-50"/>
    <x v="2"/>
    <s v="18/01/2020"/>
    <s v="17/01/2025"/>
    <n v="6"/>
    <n v="132000"/>
    <n v="3.5"/>
    <n v="8"/>
    <x v="0"/>
  </r>
  <r>
    <s v="MFS-87735"/>
    <s v="Yakubu Suleiman"/>
    <x v="0"/>
    <x v="3"/>
    <x v="2"/>
    <s v="Manager"/>
    <x v="3"/>
    <s v="51-60"/>
    <x v="1"/>
    <s v="24/09/2019"/>
    <s v="17/01/2025"/>
    <n v="6"/>
    <n v="832000"/>
    <n v="4.5999999999999996"/>
    <n v="17"/>
    <x v="0"/>
  </r>
  <r>
    <s v="MFS-68001"/>
    <s v="Shade Adesanya"/>
    <x v="1"/>
    <x v="1"/>
    <x v="0"/>
    <s v="Mid-level"/>
    <x v="3"/>
    <s v="41-50"/>
    <x v="2"/>
    <s v="22/10/2019"/>
    <s v="17/01/2025"/>
    <n v="6"/>
    <n v="249000"/>
    <n v="4.9000000000000004"/>
    <n v="2"/>
    <x v="0"/>
  </r>
  <r>
    <s v="MFS-58444"/>
    <s v="Obiora Nwachukwu"/>
    <x v="0"/>
    <x v="4"/>
    <x v="0"/>
    <s v="Junior"/>
    <x v="1"/>
    <s v="22-30"/>
    <x v="0"/>
    <s v="21/06/2021"/>
    <s v="17/01/2025"/>
    <n v="4"/>
    <n v="150000"/>
    <n v="2.7"/>
    <n v="5"/>
    <x v="0"/>
  </r>
  <r>
    <s v="MFS-80969"/>
    <s v="Tunde Nnamdi"/>
    <x v="0"/>
    <x v="0"/>
    <x v="1"/>
    <s v="Mid-level"/>
    <x v="1"/>
    <s v="31-40"/>
    <x v="2"/>
    <s v="02/07/2020"/>
    <s v="17/01/2025"/>
    <n v="5"/>
    <n v="313000"/>
    <n v="2.8"/>
    <n v="9"/>
    <x v="0"/>
  </r>
  <r>
    <s v="MFS-11303"/>
    <s v="Chinwe Musa"/>
    <x v="1"/>
    <x v="3"/>
    <x v="0"/>
    <s v="Junior"/>
    <x v="0"/>
    <s v="41-50"/>
    <x v="0"/>
    <s v="14/09/2022"/>
    <s v="17/01/2025"/>
    <n v="3"/>
    <n v="173000"/>
    <n v="2.5"/>
    <n v="10"/>
    <x v="3"/>
  </r>
  <r>
    <s v="MFS-63270"/>
    <s v="Danladi Ogundipe"/>
    <x v="0"/>
    <x v="4"/>
    <x v="0"/>
    <s v="Senior"/>
    <x v="1"/>
    <s v="31-40"/>
    <x v="0"/>
    <s v="11/02/2019"/>
    <s v="13/12/2020"/>
    <n v="7"/>
    <n v="493000"/>
    <n v="5"/>
    <n v="2"/>
    <x v="1"/>
  </r>
  <r>
    <s v="MFS-69822"/>
    <s v="Ogechi Uba"/>
    <x v="1"/>
    <x v="0"/>
    <x v="0"/>
    <s v="Junior"/>
    <x v="0"/>
    <s v="22-30"/>
    <x v="1"/>
    <s v="04/07/2019"/>
    <s v="01/11/2024"/>
    <n v="6"/>
    <n v="196000"/>
    <n v="4.0999999999999996"/>
    <n v="1"/>
    <x v="0"/>
  </r>
  <r>
    <s v="MFS-87560"/>
    <s v="Jummai Danladi"/>
    <x v="1"/>
    <x v="1"/>
    <x v="2"/>
    <s v="Mid-level"/>
    <x v="1"/>
    <s v="31-40"/>
    <x v="3"/>
    <s v="03/07/2022"/>
    <s v="01/11/2024"/>
    <n v="3"/>
    <n v="258000"/>
    <n v="4.0999999999999996"/>
    <n v="13"/>
    <x v="1"/>
  </r>
  <r>
    <s v="MFS-94355"/>
    <s v="Ngozi Garba"/>
    <x v="1"/>
    <x v="0"/>
    <x v="2"/>
    <s v="Junior"/>
    <x v="1"/>
    <s v="41-50"/>
    <x v="3"/>
    <s v="02/03/2022"/>
    <s v="28/10/2023"/>
    <n v="4"/>
    <n v="101000"/>
    <n v="2.4"/>
    <n v="0"/>
    <x v="0"/>
  </r>
  <r>
    <s v="MFS-31775"/>
    <s v="Tosin Suleiman"/>
    <x v="1"/>
    <x v="4"/>
    <x v="0"/>
    <s v="Junior"/>
    <x v="0"/>
    <s v="51-60"/>
    <x v="3"/>
    <s v="02/10/2019"/>
    <s v="28/10/2023"/>
    <n v="6"/>
    <n v="92000"/>
    <n v="1.9"/>
    <n v="8"/>
    <x v="0"/>
  </r>
  <r>
    <s v="MFS-94525"/>
    <s v="Ikenna Adewale"/>
    <x v="0"/>
    <x v="1"/>
    <x v="1"/>
    <s v="Manager"/>
    <x v="0"/>
    <s v="41-50"/>
    <x v="4"/>
    <s v="25/04/2020"/>
    <s v="28/10/2023"/>
    <n v="5"/>
    <n v="600000"/>
    <n v="4.4000000000000004"/>
    <n v="3"/>
    <x v="0"/>
  </r>
  <r>
    <s v="MFS-37398"/>
    <s v="Funmilayo Lawal"/>
    <x v="1"/>
    <x v="4"/>
    <x v="0"/>
    <s v="Mid-level"/>
    <x v="0"/>
    <s v="22-30"/>
    <x v="0"/>
    <s v="14/05/2020"/>
    <s v="28/10/2023"/>
    <n v="5"/>
    <n v="256000"/>
    <n v="2.2999999999999998"/>
    <n v="1"/>
    <x v="1"/>
  </r>
  <r>
    <s v="MFS-96900"/>
    <s v="Chinyere Nnamdi"/>
    <x v="1"/>
    <x v="4"/>
    <x v="0"/>
    <s v="Mid-level"/>
    <x v="0"/>
    <s v="31-40"/>
    <x v="2"/>
    <s v="22/11/2019"/>
    <s v="05/09/2024"/>
    <n v="6"/>
    <n v="210000"/>
    <n v="1.8"/>
    <n v="2"/>
    <x v="0"/>
  </r>
  <r>
    <s v="MFS-58751"/>
    <s v="Falmata Onwudiwe"/>
    <x v="1"/>
    <x v="0"/>
    <x v="0"/>
    <s v="Manager"/>
    <x v="2"/>
    <s v="41-50"/>
    <x v="0"/>
    <s v="06/05/2022"/>
    <s v="05/09/2024"/>
    <n v="3"/>
    <n v="763000"/>
    <n v="3.5"/>
    <n v="6"/>
    <x v="0"/>
  </r>
  <r>
    <s v="MFS-85263"/>
    <s v="Jummai Coker"/>
    <x v="1"/>
    <x v="4"/>
    <x v="0"/>
    <s v="Senior"/>
    <x v="0"/>
    <s v="22-30"/>
    <x v="0"/>
    <s v="01/08/2022"/>
    <s v="05/09/2024"/>
    <n v="3"/>
    <n v="438000"/>
    <n v="3.8"/>
    <n v="35"/>
    <x v="1"/>
  </r>
  <r>
    <s v="MFS-28541"/>
    <s v="Bukola Garba"/>
    <x v="1"/>
    <x v="2"/>
    <x v="0"/>
    <s v="Junior"/>
    <x v="0"/>
    <s v="41-50"/>
    <x v="0"/>
    <s v="28/04/2020"/>
    <s v="21/02/2024"/>
    <n v="5"/>
    <n v="166000"/>
    <n v="3.3"/>
    <n v="2"/>
    <x v="0"/>
  </r>
  <r>
    <s v="MFS-36980"/>
    <s v="Ifeanyi Danladi"/>
    <x v="0"/>
    <x v="0"/>
    <x v="2"/>
    <s v="Manager"/>
    <x v="2"/>
    <s v="22-30"/>
    <x v="1"/>
    <s v="20/05/2023"/>
    <s v="21/02/2024"/>
    <n v="2"/>
    <n v="1045000"/>
    <n v="4.3"/>
    <n v="22"/>
    <x v="1"/>
  </r>
  <r>
    <s v="MFS-17019"/>
    <s v="Uche Lawal"/>
    <x v="0"/>
    <x v="4"/>
    <x v="1"/>
    <s v="Junior"/>
    <x v="1"/>
    <s v="41-50"/>
    <x v="1"/>
    <s v="01/05/2020"/>
    <s v="20/12/2023"/>
    <n v="5"/>
    <n v="94000"/>
    <n v="2.2999999999999998"/>
    <n v="7"/>
    <x v="0"/>
  </r>
  <r>
    <s v="MFS-85392"/>
    <s v="Biodun Musa"/>
    <x v="0"/>
    <x v="2"/>
    <x v="0"/>
    <s v="Mid-level"/>
    <x v="0"/>
    <s v="41-50"/>
    <x v="0"/>
    <s v="19/10/2020"/>
    <s v="20/12/2023"/>
    <n v="5"/>
    <n v="289000"/>
    <n v="3.6"/>
    <n v="11"/>
    <x v="1"/>
  </r>
  <r>
    <s v="MFS-90353"/>
    <s v="Chibuike Ogbonna"/>
    <x v="0"/>
    <x v="0"/>
    <x v="0"/>
    <s v="Manager"/>
    <x v="0"/>
    <s v="22-30"/>
    <x v="3"/>
    <s v="09/04/2020"/>
    <s v="03/10/2021"/>
    <n v="5"/>
    <n v="800000"/>
    <n v="4"/>
    <n v="8"/>
    <x v="2"/>
  </r>
  <r>
    <s v="MFS-89407"/>
    <s v="Rotimi Eze"/>
    <x v="0"/>
    <x v="2"/>
    <x v="0"/>
    <s v="Manager"/>
    <x v="2"/>
    <s v="31-40"/>
    <x v="1"/>
    <s v="24/01/2019"/>
    <s v="16/08/2021"/>
    <n v="7"/>
    <n v="739000"/>
    <n v="4.9000000000000004"/>
    <n v="10"/>
    <x v="2"/>
  </r>
  <r>
    <s v="MFS-92649"/>
    <s v="Maryam Fagbemi"/>
    <x v="1"/>
    <x v="4"/>
    <x v="0"/>
    <s v="Mid-level"/>
    <x v="0"/>
    <s v="31-40"/>
    <x v="0"/>
    <s v="03/09/2021"/>
    <s v="06/07/2023"/>
    <n v="4"/>
    <n v="193000"/>
    <n v="3.2"/>
    <n v="14"/>
    <x v="0"/>
  </r>
  <r>
    <s v="MFS-45896"/>
    <s v="Eze Danladi"/>
    <x v="0"/>
    <x v="2"/>
    <x v="0"/>
    <s v="Mid-level"/>
    <x v="2"/>
    <s v="22-30"/>
    <x v="0"/>
    <s v="18/06/2021"/>
    <s v="06/07/2023"/>
    <n v="4"/>
    <n v="262000"/>
    <n v="3.7"/>
    <n v="6"/>
    <x v="0"/>
  </r>
  <r>
    <s v="MFS-66464"/>
    <s v="Bimpe Adebayo"/>
    <x v="1"/>
    <x v="0"/>
    <x v="0"/>
    <s v="Junior"/>
    <x v="0"/>
    <s v="31-40"/>
    <x v="2"/>
    <s v="02/07/2019"/>
    <s v="06/07/2023"/>
    <n v="6"/>
    <n v="152000"/>
    <n v="4"/>
    <n v="10"/>
    <x v="1"/>
  </r>
  <r>
    <s v="MFS-42706"/>
    <s v="Obinna Nduka"/>
    <x v="0"/>
    <x v="2"/>
    <x v="0"/>
    <s v="Mid-level"/>
    <x v="2"/>
    <s v="31-40"/>
    <x v="3"/>
    <s v="23/03/2021"/>
    <s v="31/03/2025"/>
    <n v="4"/>
    <n v="260000"/>
    <n v="3.1"/>
    <n v="0"/>
    <x v="0"/>
  </r>
  <r>
    <s v="MFS-46952"/>
    <s v="Hafsat Amadi"/>
    <x v="1"/>
    <x v="3"/>
    <x v="0"/>
    <s v="Director"/>
    <x v="1"/>
    <s v="41-50"/>
    <x v="0"/>
    <s v="01/12/2023"/>
    <s v="31/03/2025"/>
    <n v="2"/>
    <n v="1358000"/>
    <n v="4.2"/>
    <n v="15"/>
    <x v="0"/>
  </r>
  <r>
    <s v="MFS-82337"/>
    <s v="Tobi Nduka"/>
    <x v="0"/>
    <x v="1"/>
    <x v="0"/>
    <s v="Junior"/>
    <x v="2"/>
    <s v="51-60"/>
    <x v="2"/>
    <s v="07/12/2020"/>
    <s v="31/03/2025"/>
    <n v="5"/>
    <n v="129000"/>
    <n v="3.2"/>
    <n v="16"/>
    <x v="0"/>
  </r>
  <r>
    <s v="MFS-24756"/>
    <s v="Abubakar Eze"/>
    <x v="0"/>
    <x v="4"/>
    <x v="0"/>
    <s v="Senior"/>
    <x v="2"/>
    <s v="22-30"/>
    <x v="2"/>
    <s v="06/02/2023"/>
    <s v="31/03/2025"/>
    <n v="3"/>
    <n v="523000"/>
    <n v="2.6"/>
    <n v="6"/>
    <x v="0"/>
  </r>
  <r>
    <s v="MFS-35580"/>
    <s v="Danladi Ogundipe"/>
    <x v="0"/>
    <x v="1"/>
    <x v="0"/>
    <s v="Senior"/>
    <x v="0"/>
    <s v="22-30"/>
    <x v="0"/>
    <s v="11/10/2022"/>
    <s v="31/03/2025"/>
    <n v="3"/>
    <n v="366000"/>
    <n v="3.1"/>
    <n v="14"/>
    <x v="0"/>
  </r>
  <r>
    <s v="MFS-30070"/>
    <s v="Eze Danladi"/>
    <x v="0"/>
    <x v="2"/>
    <x v="0"/>
    <s v="Junior"/>
    <x v="3"/>
    <s v="41-50"/>
    <x v="0"/>
    <s v="02/09/2023"/>
    <s v="31/03/2025"/>
    <n v="2"/>
    <n v="139000"/>
    <n v="3.6"/>
    <n v="13"/>
    <x v="1"/>
  </r>
  <r>
    <s v="MFS-85486"/>
    <s v="Tosin Shehu"/>
    <x v="1"/>
    <x v="4"/>
    <x v="2"/>
    <s v="Mid-level"/>
    <x v="2"/>
    <s v="22-30"/>
    <x v="1"/>
    <s v="29/05/2022"/>
    <s v="09/07/2024"/>
    <n v="3"/>
    <n v="316000"/>
    <n v="3.3"/>
    <n v="11"/>
    <x v="0"/>
  </r>
  <r>
    <s v="MFS-89254"/>
    <s v="Shehu Oyelaran"/>
    <x v="0"/>
    <x v="3"/>
    <x v="0"/>
    <s v="Director"/>
    <x v="2"/>
    <s v="22-30"/>
    <x v="0"/>
    <s v="26/05/2022"/>
    <s v="09/07/2024"/>
    <n v="3"/>
    <n v="1194000"/>
    <n v="5"/>
    <n v="5"/>
    <x v="0"/>
  </r>
  <r>
    <s v="MFS-48304"/>
    <s v="Wale Chukwu"/>
    <x v="0"/>
    <x v="2"/>
    <x v="2"/>
    <s v="Mid-level"/>
    <x v="2"/>
    <s v="41-50"/>
    <x v="0"/>
    <s v="17/03/2020"/>
    <s v="09/07/2024"/>
    <n v="5"/>
    <n v="283000"/>
    <n v="3.5"/>
    <n v="29"/>
    <x v="0"/>
  </r>
  <r>
    <s v="MFS-82918"/>
    <s v="Ugochi Ihejirika"/>
    <x v="1"/>
    <x v="3"/>
    <x v="2"/>
    <s v="Mid-level"/>
    <x v="2"/>
    <s v="31-40"/>
    <x v="2"/>
    <s v="18/12/2022"/>
    <s v="09/07/2024"/>
    <n v="3"/>
    <n v="315000"/>
    <n v="3.1"/>
    <n v="6"/>
    <x v="0"/>
  </r>
  <r>
    <s v="MFS-26066"/>
    <s v="Biodun Lawal"/>
    <x v="0"/>
    <x v="2"/>
    <x v="0"/>
    <s v="Mid-level"/>
    <x v="2"/>
    <s v="22-30"/>
    <x v="1"/>
    <s v="06/11/2021"/>
    <s v="09/07/2024"/>
    <n v="4"/>
    <n v="293000"/>
    <n v="2.2999999999999998"/>
    <n v="27"/>
    <x v="3"/>
  </r>
  <r>
    <s v="MFS-14470"/>
    <s v="Adeola Okeke"/>
    <x v="0"/>
    <x v="2"/>
    <x v="2"/>
    <s v="Junior"/>
    <x v="2"/>
    <s v="41-50"/>
    <x v="0"/>
    <s v="30/03/2019"/>
    <s v="06/04/2022"/>
    <n v="6"/>
    <n v="146000"/>
    <n v="2.8"/>
    <n v="1"/>
    <x v="0"/>
  </r>
  <r>
    <s v="MFS-69906"/>
    <s v="Ibrahim Nwachukwu"/>
    <x v="0"/>
    <x v="3"/>
    <x v="1"/>
    <s v="Mid-level"/>
    <x v="1"/>
    <s v="51-60"/>
    <x v="2"/>
    <s v="01/04/2023"/>
    <s v="06/04/2022"/>
    <n v="2"/>
    <n v="208000"/>
    <n v="4.4000000000000004"/>
    <n v="5"/>
    <x v="0"/>
  </r>
  <r>
    <s v="MFS-40278"/>
    <s v="Ngozi Omotayo"/>
    <x v="1"/>
    <x v="2"/>
    <x v="2"/>
    <s v="Junior"/>
    <x v="2"/>
    <s v="41-50"/>
    <x v="0"/>
    <s v="15/03/2020"/>
    <s v="06/04/2022"/>
    <n v="5"/>
    <n v="177000"/>
    <n v="4"/>
    <n v="0"/>
    <x v="0"/>
  </r>
  <r>
    <s v="MFS-35167"/>
    <s v="Ibrahim Nwosu"/>
    <x v="0"/>
    <x v="2"/>
    <x v="2"/>
    <s v="Director"/>
    <x v="3"/>
    <s v="22-30"/>
    <x v="4"/>
    <s v="18/12/2020"/>
    <s v="06/04/2022"/>
    <n v="5"/>
    <n v="1030000"/>
    <n v="4.9000000000000004"/>
    <n v="8"/>
    <x v="0"/>
  </r>
  <r>
    <s v="MFS-49627"/>
    <s v="Obiora Eze"/>
    <x v="0"/>
    <x v="4"/>
    <x v="1"/>
    <s v="Junior"/>
    <x v="3"/>
    <s v="22-30"/>
    <x v="3"/>
    <s v="04/05/2020"/>
    <s v="06/04/2022"/>
    <n v="5"/>
    <n v="98000"/>
    <n v="3.5"/>
    <n v="11"/>
    <x v="1"/>
  </r>
  <r>
    <s v="MFS-43592"/>
    <s v="Adeola Coker"/>
    <x v="1"/>
    <x v="2"/>
    <x v="2"/>
    <s v="Manager"/>
    <x v="1"/>
    <s v="31-40"/>
    <x v="3"/>
    <s v="19/06/2019"/>
    <s v="24/05/2021"/>
    <n v="6"/>
    <n v="895000"/>
    <n v="4.0999999999999996"/>
    <n v="9"/>
    <x v="2"/>
  </r>
  <r>
    <s v="MFS-72629"/>
    <s v="Tosin Eze"/>
    <x v="1"/>
    <x v="4"/>
    <x v="0"/>
    <s v="Junior"/>
    <x v="2"/>
    <s v="22-30"/>
    <x v="0"/>
    <s v="15/11/2023"/>
    <s v="17/11/2024"/>
    <n v="2"/>
    <n v="98000"/>
    <n v="3.1"/>
    <n v="4"/>
    <x v="1"/>
  </r>
  <r>
    <s v="MFS-78995"/>
    <s v="Chidi Okafor"/>
    <x v="0"/>
    <x v="2"/>
    <x v="1"/>
    <s v="Junior"/>
    <x v="0"/>
    <s v="22-30"/>
    <x v="0"/>
    <s v="16/05/2020"/>
    <s v="15/01/2020"/>
    <n v="5"/>
    <n v="96000"/>
    <n v="3.1"/>
    <n v="1"/>
    <x v="0"/>
  </r>
  <r>
    <s v="MFS-87809"/>
    <s v="Uloma Chukwu"/>
    <x v="1"/>
    <x v="2"/>
    <x v="0"/>
    <s v="Junior"/>
    <x v="0"/>
    <s v="22-30"/>
    <x v="2"/>
    <s v="09/04/2020"/>
    <s v="15/01/2020"/>
    <n v="5"/>
    <n v="130000"/>
    <n v="2.1"/>
    <n v="13"/>
    <x v="0"/>
  </r>
  <r>
    <s v="MFS-92038"/>
    <s v="Kabiru Lawal"/>
    <x v="0"/>
    <x v="4"/>
    <x v="2"/>
    <s v="Mid-level"/>
    <x v="1"/>
    <s v="31-40"/>
    <x v="0"/>
    <s v="27/05/2019"/>
    <s v="15/01/2020"/>
    <n v="6"/>
    <n v="204000"/>
    <n v="2.8"/>
    <n v="14"/>
    <x v="1"/>
  </r>
  <r>
    <s v="MFS-51713"/>
    <s v="Kabiru Adebayo"/>
    <x v="0"/>
    <x v="2"/>
    <x v="1"/>
    <s v="Mid-level"/>
    <x v="3"/>
    <s v="31-40"/>
    <x v="3"/>
    <s v="19/03/2020"/>
    <s v="19/11/2021"/>
    <n v="5"/>
    <n v="268000"/>
    <n v="4.8"/>
    <n v="6"/>
    <x v="0"/>
  </r>
  <r>
    <s v="MFS-61096"/>
    <s v="Biodun Ogbonna"/>
    <x v="0"/>
    <x v="2"/>
    <x v="0"/>
    <s v="Senior"/>
    <x v="3"/>
    <s v="31-40"/>
    <x v="2"/>
    <s v="20/10/2019"/>
    <s v="19/11/2021"/>
    <n v="6"/>
    <n v="549000"/>
    <n v="4.4000000000000004"/>
    <n v="3"/>
    <x v="1"/>
  </r>
  <r>
    <s v="MFS-68840"/>
    <s v="Eze Nwosu"/>
    <x v="0"/>
    <x v="1"/>
    <x v="0"/>
    <s v="Mid-level"/>
    <x v="0"/>
    <s v="22-30"/>
    <x v="0"/>
    <s v="12/08/2022"/>
    <s v="09/05/2023"/>
    <n v="3"/>
    <n v="270000"/>
    <n v="4.2"/>
    <n v="11"/>
    <x v="0"/>
  </r>
  <r>
    <s v="MFS-44172"/>
    <s v="Laraba Okonkwo"/>
    <x v="1"/>
    <x v="3"/>
    <x v="0"/>
    <s v="Senior"/>
    <x v="1"/>
    <s v="22-30"/>
    <x v="1"/>
    <s v="15/08/2020"/>
    <s v="09/05/2023"/>
    <n v="5"/>
    <n v="353000"/>
    <n v="3"/>
    <n v="7"/>
    <x v="0"/>
  </r>
  <r>
    <s v="MFS-51697"/>
    <s v="Haruna Ihejirika"/>
    <x v="0"/>
    <x v="2"/>
    <x v="2"/>
    <s v="Junior"/>
    <x v="2"/>
    <s v="31-40"/>
    <x v="2"/>
    <s v="11/09/2023"/>
    <s v="09/05/2023"/>
    <n v="2"/>
    <n v="138000"/>
    <n v="4.8"/>
    <n v="1"/>
    <x v="0"/>
  </r>
  <r>
    <s v="MFS-46625"/>
    <s v="Amaka Okafor"/>
    <x v="1"/>
    <x v="2"/>
    <x v="0"/>
    <s v="Senior"/>
    <x v="0"/>
    <s v="22-30"/>
    <x v="0"/>
    <s v="27/12/2020"/>
    <s v="09/05/2023"/>
    <n v="5"/>
    <n v="508000"/>
    <n v="2.5"/>
    <n v="6"/>
    <x v="1"/>
  </r>
  <r>
    <s v="MFS-50010"/>
    <s v="Gbenga Ogundipe"/>
    <x v="0"/>
    <x v="4"/>
    <x v="1"/>
    <s v="Junior"/>
    <x v="2"/>
    <s v="31-40"/>
    <x v="2"/>
    <s v="31/07/2023"/>
    <s v="05/02/2023"/>
    <n v="2"/>
    <n v="129000"/>
    <n v="3.1"/>
    <n v="0"/>
    <x v="0"/>
  </r>
  <r>
    <s v="MFS-64511"/>
    <s v="Garba Obaseki"/>
    <x v="0"/>
    <x v="1"/>
    <x v="0"/>
    <s v="Director"/>
    <x v="0"/>
    <s v="31-40"/>
    <x v="0"/>
    <s v="09/03/2021"/>
    <s v="05/02/2023"/>
    <n v="5"/>
    <n v="1471000"/>
    <n v="4"/>
    <n v="40"/>
    <x v="0"/>
  </r>
  <r>
    <s v="MFS-31447"/>
    <s v="Ugochi Taiwo"/>
    <x v="1"/>
    <x v="2"/>
    <x v="0"/>
    <s v="Mid-level"/>
    <x v="3"/>
    <s v="22-30"/>
    <x v="3"/>
    <s v="02/03/2021"/>
    <s v="05/02/2023"/>
    <n v="5"/>
    <n v="227000"/>
    <n v="3.2"/>
    <n v="7"/>
    <x v="0"/>
  </r>
  <r>
    <s v="MFS-81158"/>
    <s v="Ugochi Coker"/>
    <x v="1"/>
    <x v="2"/>
    <x v="0"/>
    <s v="Mid-level"/>
    <x v="0"/>
    <s v="22-30"/>
    <x v="2"/>
    <s v="03/03/2021"/>
    <s v="05/02/2023"/>
    <n v="5"/>
    <n v="181000"/>
    <n v="4.2"/>
    <n v="2"/>
    <x v="0"/>
  </r>
  <r>
    <s v="MFS-96328"/>
    <s v="Rukayya Uba"/>
    <x v="1"/>
    <x v="2"/>
    <x v="0"/>
    <s v="Junior"/>
    <x v="2"/>
    <s v="31-40"/>
    <x v="0"/>
    <s v="24/02/2021"/>
    <s v="05/02/2023"/>
    <n v="5"/>
    <n v="137000"/>
    <n v="4.2"/>
    <n v="6"/>
    <x v="0"/>
  </r>
  <r>
    <s v="MFS-39729"/>
    <s v="Chinwe Ogundipe"/>
    <x v="1"/>
    <x v="1"/>
    <x v="0"/>
    <s v="Manager"/>
    <x v="2"/>
    <s v="31-40"/>
    <x v="0"/>
    <s v="17/05/2022"/>
    <s v="05/02/2023"/>
    <n v="3"/>
    <n v="600000"/>
    <n v="4.3"/>
    <n v="7"/>
    <x v="0"/>
  </r>
  <r>
    <s v="MFS-69877"/>
    <s v="Amaka Nduka"/>
    <x v="1"/>
    <x v="4"/>
    <x v="0"/>
    <s v="Manager"/>
    <x v="0"/>
    <s v="41-50"/>
    <x v="0"/>
    <s v="20/10/2020"/>
    <s v="05/02/2023"/>
    <n v="5"/>
    <n v="840000"/>
    <n v="4.3"/>
    <n v="5"/>
    <x v="0"/>
  </r>
  <r>
    <s v="MFS-35085"/>
    <s v="Chibuike Aliyu"/>
    <x v="0"/>
    <x v="4"/>
    <x v="1"/>
    <s v="Mid-level"/>
    <x v="1"/>
    <s v="31-40"/>
    <x v="0"/>
    <s v="11/09/2020"/>
    <s v="05/02/2023"/>
    <n v="5"/>
    <n v="187000"/>
    <n v="1.9"/>
    <n v="3"/>
    <x v="0"/>
  </r>
  <r>
    <s v="MFS-75176"/>
    <s v="Shehu Uba"/>
    <x v="0"/>
    <x v="3"/>
    <x v="0"/>
    <s v="Senior"/>
    <x v="1"/>
    <s v="41-50"/>
    <x v="4"/>
    <s v="04/12/2023"/>
    <s v="05/02/2023"/>
    <n v="2"/>
    <n v="397000"/>
    <n v="4.3"/>
    <n v="10"/>
    <x v="0"/>
  </r>
  <r>
    <s v="MFS-76352"/>
    <s v="Funmilayo Adewale"/>
    <x v="1"/>
    <x v="4"/>
    <x v="2"/>
    <s v="Junior"/>
    <x v="1"/>
    <s v="22-30"/>
    <x v="2"/>
    <s v="17/02/2022"/>
    <s v="05/02/2023"/>
    <n v="4"/>
    <n v="119000"/>
    <n v="2"/>
    <n v="5"/>
    <x v="1"/>
  </r>
  <r>
    <s v="MFS-83800"/>
    <s v="Ikenna Nwosu"/>
    <x v="0"/>
    <x v="1"/>
    <x v="2"/>
    <s v="Mid-level"/>
    <x v="1"/>
    <s v="31-40"/>
    <x v="2"/>
    <s v="27/07/2022"/>
    <s v="29/03/2024"/>
    <n v="3"/>
    <n v="180000"/>
    <n v="3.5"/>
    <n v="13"/>
    <x v="1"/>
  </r>
  <r>
    <s v="MFS-97483"/>
    <s v="Ikenna Chukwu"/>
    <x v="0"/>
    <x v="0"/>
    <x v="2"/>
    <s v="Junior"/>
    <x v="1"/>
    <s v="31-40"/>
    <x v="4"/>
    <s v="02/11/2022"/>
    <s v="04/10/2024"/>
    <n v="3"/>
    <n v="127000"/>
    <n v="3.8"/>
    <n v="30"/>
    <x v="1"/>
  </r>
  <r>
    <s v="MFS-71917"/>
    <s v="Adaeze Ihejirika"/>
    <x v="1"/>
    <x v="1"/>
    <x v="0"/>
    <s v="Mid-level"/>
    <x v="0"/>
    <s v="41-50"/>
    <x v="2"/>
    <s v="20/06/2022"/>
    <s v="26/08/2023"/>
    <n v="3"/>
    <n v="262000"/>
    <n v="4.9000000000000004"/>
    <n v="9"/>
    <x v="2"/>
  </r>
  <r>
    <s v="MFS-14378"/>
    <s v="Ngozi Nduka"/>
    <x v="1"/>
    <x v="3"/>
    <x v="0"/>
    <s v="Senior"/>
    <x v="3"/>
    <s v="41-50"/>
    <x v="2"/>
    <s v="06/02/2020"/>
    <s v="15/11/2021"/>
    <n v="6"/>
    <n v="410000"/>
    <n v="2.2000000000000002"/>
    <n v="13"/>
    <x v="0"/>
  </r>
  <r>
    <s v="MFS-32865"/>
    <s v="Falmata Oyelaran"/>
    <x v="1"/>
    <x v="2"/>
    <x v="0"/>
    <s v="Mid-level"/>
    <x v="1"/>
    <s v="31-40"/>
    <x v="1"/>
    <s v="21/03/2021"/>
    <s v="15/11/2021"/>
    <n v="4"/>
    <n v="185000"/>
    <n v="3.8"/>
    <n v="9"/>
    <x v="0"/>
  </r>
  <r>
    <s v="MFS-35311"/>
    <s v="Asabe Chukwu"/>
    <x v="1"/>
    <x v="0"/>
    <x v="0"/>
    <s v="Senior"/>
    <x v="2"/>
    <s v="22-30"/>
    <x v="2"/>
    <s v="29/11/2020"/>
    <s v="15/11/2021"/>
    <n v="5"/>
    <n v="525000"/>
    <n v="3.5"/>
    <n v="13"/>
    <x v="0"/>
  </r>
  <r>
    <s v="MFS-96198"/>
    <s v="Chibuike Amadi"/>
    <x v="0"/>
    <x v="3"/>
    <x v="0"/>
    <s v="Manager"/>
    <x v="1"/>
    <s v="41-50"/>
    <x v="2"/>
    <s v="20/10/2021"/>
    <s v="15/11/2021"/>
    <n v="4"/>
    <n v="879000"/>
    <n v="3.8"/>
    <n v="14"/>
    <x v="0"/>
  </r>
  <r>
    <s v="MFS-62052"/>
    <s v="Chukwuemeka Taiwo"/>
    <x v="0"/>
    <x v="3"/>
    <x v="0"/>
    <s v="Director"/>
    <x v="2"/>
    <s v="31-40"/>
    <x v="0"/>
    <s v="14/12/2022"/>
    <s v="15/11/2021"/>
    <n v="3"/>
    <n v="1858000"/>
    <n v="3.2"/>
    <n v="12"/>
    <x v="0"/>
  </r>
  <r>
    <s v="MFS-39740"/>
    <s v="Aliyu Omotayo"/>
    <x v="0"/>
    <x v="0"/>
    <x v="0"/>
    <s v="Junior"/>
    <x v="2"/>
    <s v="41-50"/>
    <x v="2"/>
    <s v="21/10/2023"/>
    <s v="15/11/2021"/>
    <n v="2"/>
    <n v="140000"/>
    <n v="4.8"/>
    <n v="31"/>
    <x v="0"/>
  </r>
  <r>
    <s v="MFS-78287"/>
    <s v="Haruna Shehu"/>
    <x v="0"/>
    <x v="1"/>
    <x v="0"/>
    <s v="Mid-level"/>
    <x v="0"/>
    <s v="41-50"/>
    <x v="0"/>
    <s v="15/10/2019"/>
    <s v="15/11/2021"/>
    <n v="6"/>
    <n v="315000"/>
    <n v="3.7"/>
    <n v="2"/>
    <x v="0"/>
  </r>
  <r>
    <s v="MFS-13666"/>
    <s v="Oghenekaro Musa"/>
    <x v="0"/>
    <x v="4"/>
    <x v="0"/>
    <s v="Junior"/>
    <x v="0"/>
    <s v="41-50"/>
    <x v="0"/>
    <s v="27/12/2020"/>
    <s v="15/11/2021"/>
    <n v="5"/>
    <n v="176000"/>
    <n v="2.4"/>
    <n v="4"/>
    <x v="0"/>
  </r>
  <r>
    <s v="MFS-23711"/>
    <s v="Adaora Lawal"/>
    <x v="1"/>
    <x v="0"/>
    <x v="0"/>
    <s v="Junior"/>
    <x v="0"/>
    <s v="31-40"/>
    <x v="1"/>
    <s v="30/11/2019"/>
    <s v="15/11/2021"/>
    <n v="6"/>
    <n v="146000"/>
    <n v="2.1"/>
    <n v="7"/>
    <x v="0"/>
  </r>
  <r>
    <s v="MFS-65277"/>
    <s v="Kabiru Yakubu"/>
    <x v="0"/>
    <x v="2"/>
    <x v="0"/>
    <s v="Mid-level"/>
    <x v="1"/>
    <s v="31-40"/>
    <x v="2"/>
    <s v="04/07/2023"/>
    <s v="15/11/2021"/>
    <n v="2"/>
    <n v="317000"/>
    <n v="2.5"/>
    <n v="31"/>
    <x v="0"/>
  </r>
  <r>
    <s v="MFS-83681"/>
    <s v="Sola Taiwo"/>
    <x v="1"/>
    <x v="1"/>
    <x v="0"/>
    <s v="Junior"/>
    <x v="0"/>
    <s v="31-40"/>
    <x v="1"/>
    <s v="13/02/2022"/>
    <s v="15/11/2021"/>
    <n v="4"/>
    <n v="108000"/>
    <n v="2.4"/>
    <n v="8"/>
    <x v="0"/>
  </r>
  <r>
    <s v="MFS-15695"/>
    <s v="Nneka Coker"/>
    <x v="1"/>
    <x v="3"/>
    <x v="0"/>
    <s v="Director"/>
    <x v="2"/>
    <s v="41-50"/>
    <x v="0"/>
    <s v="29/01/2020"/>
    <s v="15/11/2021"/>
    <n v="6"/>
    <n v="1690000"/>
    <n v="3.1"/>
    <n v="4"/>
    <x v="3"/>
  </r>
  <r>
    <s v="MFS-11540"/>
    <s v="Lanre Okonkwo"/>
    <x v="0"/>
    <x v="2"/>
    <x v="0"/>
    <s v="Junior"/>
    <x v="1"/>
    <s v="51-60"/>
    <x v="0"/>
    <s v="20/08/2019"/>
    <s v="15/03/2025"/>
    <n v="6"/>
    <n v="91000"/>
    <n v="2.4"/>
    <n v="2"/>
    <x v="0"/>
  </r>
  <r>
    <s v="MFS-56770"/>
    <s v="Chiamaka Coker"/>
    <x v="1"/>
    <x v="1"/>
    <x v="2"/>
    <s v="Manager"/>
    <x v="1"/>
    <s v="51-60"/>
    <x v="2"/>
    <s v="06/07/2021"/>
    <s v="15/03/2025"/>
    <n v="4"/>
    <n v="631000"/>
    <n v="4.3"/>
    <n v="8"/>
    <x v="2"/>
  </r>
  <r>
    <s v="MFS-94685"/>
    <s v="Eze Onwudiwe"/>
    <x v="0"/>
    <x v="1"/>
    <x v="1"/>
    <s v="Junior"/>
    <x v="3"/>
    <s v="41-50"/>
    <x v="1"/>
    <s v="12/07/2021"/>
    <s v="18/11/2024"/>
    <n v="4"/>
    <n v="85000"/>
    <n v="4.7"/>
    <n v="14"/>
    <x v="0"/>
  </r>
  <r>
    <s v="MFS-42141"/>
    <s v="Abubakar Chukwu"/>
    <x v="0"/>
    <x v="2"/>
    <x v="2"/>
    <s v="Junior"/>
    <x v="1"/>
    <s v="31-40"/>
    <x v="0"/>
    <s v="13/10/2022"/>
    <s v="18/11/2024"/>
    <n v="3"/>
    <n v="136000"/>
    <n v="3.4"/>
    <n v="6"/>
    <x v="1"/>
  </r>
  <r>
    <s v="MFS-95287"/>
    <s v="Maryam Chukwu"/>
    <x v="1"/>
    <x v="2"/>
    <x v="2"/>
    <s v="Senior"/>
    <x v="0"/>
    <s v="31-40"/>
    <x v="0"/>
    <s v="17/02/2022"/>
    <s v="22/09/2022"/>
    <n v="4"/>
    <n v="408000"/>
    <n v="4.0999999999999996"/>
    <n v="11"/>
    <x v="1"/>
  </r>
  <r>
    <s v="MFS-40992"/>
    <s v="Adaeze Eze"/>
    <x v="1"/>
    <x v="4"/>
    <x v="2"/>
    <s v="Senior"/>
    <x v="0"/>
    <s v="31-40"/>
    <x v="0"/>
    <s v="16/04/2022"/>
    <s v="18/08/2021"/>
    <n v="3"/>
    <n v="485000"/>
    <n v="4"/>
    <n v="20"/>
    <x v="0"/>
  </r>
  <r>
    <s v="MFS-72574"/>
    <s v="Jummai Suleiman"/>
    <x v="1"/>
    <x v="2"/>
    <x v="0"/>
    <s v="Junior"/>
    <x v="2"/>
    <s v="41-50"/>
    <x v="2"/>
    <s v="04/08/2022"/>
    <s v="18/08/2021"/>
    <n v="3"/>
    <n v="170000"/>
    <n v="2.2000000000000002"/>
    <n v="4"/>
    <x v="0"/>
  </r>
  <r>
    <s v="MFS-50040"/>
    <s v="Babatunde Afolabi"/>
    <x v="0"/>
    <x v="1"/>
    <x v="0"/>
    <s v="Mid-level"/>
    <x v="0"/>
    <s v="31-40"/>
    <x v="0"/>
    <s v="18/06/2022"/>
    <s v="18/08/2021"/>
    <n v="3"/>
    <n v="182000"/>
    <n v="5"/>
    <n v="12"/>
    <x v="0"/>
  </r>
  <r>
    <s v="MFS-34355"/>
    <s v="Adeola Nduka"/>
    <x v="0"/>
    <x v="2"/>
    <x v="0"/>
    <s v="Mid-level"/>
    <x v="1"/>
    <s v="31-40"/>
    <x v="1"/>
    <s v="29/07/2021"/>
    <s v="18/08/2021"/>
    <n v="4"/>
    <n v="345000"/>
    <n v="2.1"/>
    <n v="12"/>
    <x v="0"/>
  </r>
  <r>
    <s v="MFS-47051"/>
    <s v="Uloma Bello"/>
    <x v="1"/>
    <x v="2"/>
    <x v="0"/>
    <s v="Junior"/>
    <x v="2"/>
    <s v="22-30"/>
    <x v="2"/>
    <s v="14/04/2019"/>
    <s v="18/08/2021"/>
    <n v="6"/>
    <n v="146000"/>
    <n v="4.0999999999999996"/>
    <n v="10"/>
    <x v="3"/>
  </r>
  <r>
    <s v="MFS-96382"/>
    <s v="Chiamaka Shehu"/>
    <x v="1"/>
    <x v="2"/>
    <x v="0"/>
    <s v="Junior"/>
    <x v="0"/>
    <s v="22-30"/>
    <x v="1"/>
    <s v="29/04/2023"/>
    <s v="30/04/2024"/>
    <n v="2"/>
    <n v="86000"/>
    <n v="3.2"/>
    <n v="2"/>
    <x v="0"/>
  </r>
  <r>
    <s v="MFS-55989"/>
    <s v="Femi Bello"/>
    <x v="0"/>
    <x v="2"/>
    <x v="1"/>
    <s v="Junior"/>
    <x v="0"/>
    <s v="31-40"/>
    <x v="1"/>
    <s v="09/07/2021"/>
    <s v="30/04/2024"/>
    <n v="4"/>
    <n v="123000"/>
    <n v="3.4"/>
    <n v="12"/>
    <x v="1"/>
  </r>
  <r>
    <s v="MFS-20671"/>
    <s v="Chukwuemeka Buhari"/>
    <x v="0"/>
    <x v="3"/>
    <x v="1"/>
    <s v="Mid-level"/>
    <x v="2"/>
    <s v="41-50"/>
    <x v="0"/>
    <s v="23/07/2022"/>
    <s v="28/03/2025"/>
    <n v="3"/>
    <n v="202000"/>
    <n v="3.1"/>
    <n v="17"/>
    <x v="1"/>
  </r>
  <r>
    <s v="MFS-92163"/>
    <s v="Ramatu Okeke"/>
    <x v="1"/>
    <x v="4"/>
    <x v="1"/>
    <s v="Junior"/>
    <x v="1"/>
    <s v="31-40"/>
    <x v="1"/>
    <s v="09/12/2020"/>
    <s v="07/11/2021"/>
    <n v="5"/>
    <n v="157000"/>
    <n v="2"/>
    <n v="9"/>
    <x v="0"/>
  </r>
  <r>
    <s v="MFS-59842"/>
    <s v="Chinedu Garba"/>
    <x v="0"/>
    <x v="4"/>
    <x v="0"/>
    <s v="Junior"/>
    <x v="0"/>
    <s v="51-60"/>
    <x v="4"/>
    <s v="26/12/2023"/>
    <s v="07/11/2021"/>
    <n v="2"/>
    <n v="120000"/>
    <n v="1.6"/>
    <n v="3"/>
    <x v="0"/>
  </r>
  <r>
    <s v="MFS-81447"/>
    <s v="Yakubu Lawal"/>
    <x v="0"/>
    <x v="3"/>
    <x v="2"/>
    <s v="Junior"/>
    <x v="3"/>
    <s v="31-40"/>
    <x v="4"/>
    <s v="19/02/2023"/>
    <s v="07/11/2021"/>
    <n v="3"/>
    <n v="142000"/>
    <n v="4"/>
    <n v="6"/>
    <x v="0"/>
  </r>
  <r>
    <s v="MFS-39556"/>
    <s v="Garba Okafor"/>
    <x v="0"/>
    <x v="4"/>
    <x v="1"/>
    <s v="Junior"/>
    <x v="0"/>
    <s v="22-30"/>
    <x v="1"/>
    <s v="04/06/2020"/>
    <s v="07/11/2021"/>
    <n v="5"/>
    <n v="157000"/>
    <n v="2.7"/>
    <n v="8"/>
    <x v="2"/>
  </r>
  <r>
    <s v="MFS-83200"/>
    <s v="Bukola Danladi"/>
    <x v="1"/>
    <x v="3"/>
    <x v="0"/>
    <s v="Mid-level"/>
    <x v="0"/>
    <s v="41-50"/>
    <x v="2"/>
    <s v="21/12/2020"/>
    <s v="17/03/2023"/>
    <n v="5"/>
    <n v="285000"/>
    <n v="4.2"/>
    <n v="3"/>
    <x v="0"/>
  </r>
  <r>
    <s v="MFS-73691"/>
    <s v="Kunle Nwachukwu"/>
    <x v="0"/>
    <x v="4"/>
    <x v="0"/>
    <s v="Senior"/>
    <x v="3"/>
    <s v="31-40"/>
    <x v="1"/>
    <s v="05/01/2019"/>
    <s v="17/03/2023"/>
    <n v="7"/>
    <n v="381000"/>
    <n v="3"/>
    <n v="6"/>
    <x v="0"/>
  </r>
  <r>
    <s v="MFS-90478"/>
    <s v="Nneka Shehu"/>
    <x v="1"/>
    <x v="2"/>
    <x v="2"/>
    <s v="Mid-level"/>
    <x v="1"/>
    <s v="22-30"/>
    <x v="4"/>
    <s v="30/01/2019"/>
    <s v="17/03/2023"/>
    <n v="7"/>
    <n v="340000"/>
    <n v="3.2"/>
    <n v="10"/>
    <x v="0"/>
  </r>
  <r>
    <s v="MFS-54642"/>
    <s v="Zainab Eze"/>
    <x v="1"/>
    <x v="0"/>
    <x v="0"/>
    <s v="Mid-level"/>
    <x v="1"/>
    <s v="41-50"/>
    <x v="0"/>
    <s v="05/07/2022"/>
    <s v="17/03/2023"/>
    <n v="3"/>
    <n v="232000"/>
    <n v="2.6"/>
    <n v="0"/>
    <x v="0"/>
  </r>
  <r>
    <s v="MFS-90008"/>
    <s v="Yetunde Chukwu"/>
    <x v="1"/>
    <x v="1"/>
    <x v="0"/>
    <s v="Mid-level"/>
    <x v="0"/>
    <s v="22-30"/>
    <x v="1"/>
    <s v="07/04/2019"/>
    <s v="17/03/2023"/>
    <n v="6"/>
    <n v="210000"/>
    <n v="2.9"/>
    <n v="14"/>
    <x v="0"/>
  </r>
  <r>
    <s v="MFS-69714"/>
    <s v="Obiora Okafor"/>
    <x v="0"/>
    <x v="4"/>
    <x v="1"/>
    <s v="Junior"/>
    <x v="2"/>
    <s v="22-30"/>
    <x v="2"/>
    <s v="24/02/2020"/>
    <s v="17/03/2023"/>
    <n v="6"/>
    <n v="122000"/>
    <n v="2.5"/>
    <n v="0"/>
    <x v="0"/>
  </r>
  <r>
    <s v="MFS-29857"/>
    <s v="Uloma Onwudiwe"/>
    <x v="1"/>
    <x v="4"/>
    <x v="0"/>
    <s v="Mid-level"/>
    <x v="0"/>
    <s v="41-50"/>
    <x v="2"/>
    <s v="15/08/2023"/>
    <s v="17/03/2023"/>
    <n v="2"/>
    <n v="226000"/>
    <n v="3.1"/>
    <n v="10"/>
    <x v="0"/>
  </r>
  <r>
    <s v="MFS-42755"/>
    <s v="Biodun Musa"/>
    <x v="0"/>
    <x v="1"/>
    <x v="0"/>
    <s v="Senior"/>
    <x v="3"/>
    <s v="41-50"/>
    <x v="0"/>
    <s v="08/02/2020"/>
    <s v="17/03/2023"/>
    <n v="6"/>
    <n v="481000"/>
    <n v="3.5"/>
    <n v="11"/>
    <x v="1"/>
  </r>
  <r>
    <s v="MFS-67917"/>
    <s v="Tunde Garba"/>
    <x v="0"/>
    <x v="3"/>
    <x v="0"/>
    <s v="Mid-level"/>
    <x v="2"/>
    <s v="31-40"/>
    <x v="2"/>
    <s v="31/10/2019"/>
    <s v="31/12/2024"/>
    <n v="6"/>
    <n v="189000"/>
    <n v="3"/>
    <n v="16"/>
    <x v="0"/>
  </r>
  <r>
    <s v="MFS-14845"/>
    <s v="Biodun Chukwu"/>
    <x v="0"/>
    <x v="0"/>
    <x v="0"/>
    <s v="Junior"/>
    <x v="3"/>
    <s v="41-50"/>
    <x v="0"/>
    <s v="04/05/2019"/>
    <s v="31/12/2024"/>
    <n v="6"/>
    <n v="198000"/>
    <n v="4.5"/>
    <n v="23"/>
    <x v="0"/>
  </r>
  <r>
    <s v="MFS-56803"/>
    <s v="Obiora Afolabi"/>
    <x v="0"/>
    <x v="2"/>
    <x v="0"/>
    <s v="Senior"/>
    <x v="2"/>
    <s v="31-40"/>
    <x v="0"/>
    <s v="27/01/2022"/>
    <s v="31/12/2024"/>
    <n v="4"/>
    <n v="556000"/>
    <n v="4.4000000000000004"/>
    <n v="1"/>
    <x v="1"/>
  </r>
  <r>
    <s v="MFS-87037"/>
    <s v="Ebuka Fagbemi"/>
    <x v="0"/>
    <x v="3"/>
    <x v="0"/>
    <s v="Senior"/>
    <x v="0"/>
    <s v="41-50"/>
    <x v="1"/>
    <s v="01/12/2020"/>
    <s v="15/03/2024"/>
    <n v="5"/>
    <n v="547000"/>
    <n v="4.7"/>
    <n v="13"/>
    <x v="1"/>
  </r>
  <r>
    <s v="MFS-91183"/>
    <s v="Obinna Yakubu"/>
    <x v="0"/>
    <x v="3"/>
    <x v="0"/>
    <s v="Senior"/>
    <x v="0"/>
    <s v="41-50"/>
    <x v="0"/>
    <s v="26/09/2019"/>
    <s v="12/04/2020"/>
    <n v="6"/>
    <n v="518000"/>
    <n v="2.9"/>
    <n v="12"/>
    <x v="2"/>
  </r>
  <r>
    <s v="MFS-62633"/>
    <s v="Bilkisu Nwosu"/>
    <x v="1"/>
    <x v="3"/>
    <x v="0"/>
    <s v="Junior"/>
    <x v="3"/>
    <s v="41-50"/>
    <x v="1"/>
    <s v="16/09/2022"/>
    <s v="25/11/2023"/>
    <n v="3"/>
    <n v="146000"/>
    <n v="3.4"/>
    <n v="25"/>
    <x v="0"/>
  </r>
  <r>
    <s v="MFS-35830"/>
    <s v="Ibrahim Afolabi"/>
    <x v="0"/>
    <x v="0"/>
    <x v="1"/>
    <s v="Senior"/>
    <x v="2"/>
    <s v="41-50"/>
    <x v="0"/>
    <s v="26/09/2023"/>
    <s v="25/11/2023"/>
    <n v="2"/>
    <n v="660000"/>
    <n v="3.9"/>
    <n v="10"/>
    <x v="0"/>
  </r>
  <r>
    <s v="MFS-73945"/>
    <s v="Hadiza Adebayo"/>
    <x v="1"/>
    <x v="1"/>
    <x v="0"/>
    <s v="Mid-level"/>
    <x v="3"/>
    <s v="31-40"/>
    <x v="0"/>
    <s v="24/03/2022"/>
    <s v="25/11/2023"/>
    <n v="3"/>
    <n v="186000"/>
    <n v="2.7"/>
    <n v="11"/>
    <x v="2"/>
  </r>
  <r>
    <s v="MFS-87264"/>
    <s v="Emeka Afolabi"/>
    <x v="0"/>
    <x v="3"/>
    <x v="0"/>
    <s v="Senior"/>
    <x v="2"/>
    <s v="31-40"/>
    <x v="1"/>
    <s v="13/01/2021"/>
    <s v="03/12/2024"/>
    <n v="5"/>
    <n v="469000"/>
    <n v="3.1"/>
    <n v="10"/>
    <x v="3"/>
  </r>
  <r>
    <s v="MFS-14602"/>
    <s v="Abubakar Nduka"/>
    <x v="0"/>
    <x v="0"/>
    <x v="1"/>
    <s v="Mid-level"/>
    <x v="3"/>
    <s v="31-40"/>
    <x v="1"/>
    <s v="28/08/2022"/>
    <s v="03/07/2024"/>
    <n v="3"/>
    <n v="382000"/>
    <n v="2.7"/>
    <n v="6"/>
    <x v="0"/>
  </r>
  <r>
    <s v="MFS-47615"/>
    <s v="Ronke Okafor"/>
    <x v="1"/>
    <x v="1"/>
    <x v="0"/>
    <s v="Senior"/>
    <x v="3"/>
    <s v="41-50"/>
    <x v="0"/>
    <s v="07/06/2019"/>
    <s v="03/07/2024"/>
    <n v="6"/>
    <n v="475000"/>
    <n v="4"/>
    <n v="3"/>
    <x v="0"/>
  </r>
  <r>
    <s v="MFS-73600"/>
    <s v="Ezinne Nnamdi"/>
    <x v="1"/>
    <x v="0"/>
    <x v="2"/>
    <s v="Senior"/>
    <x v="3"/>
    <s v="31-40"/>
    <x v="2"/>
    <s v="09/09/2023"/>
    <s v="03/07/2024"/>
    <n v="2"/>
    <n v="616000"/>
    <n v="2.6"/>
    <n v="4"/>
    <x v="0"/>
  </r>
  <r>
    <s v="MFS-52073"/>
    <s v="Chukwuemeka Nduka"/>
    <x v="0"/>
    <x v="0"/>
    <x v="0"/>
    <s v="Junior"/>
    <x v="2"/>
    <s v="22-30"/>
    <x v="0"/>
    <s v="11/11/2023"/>
    <s v="03/07/2024"/>
    <n v="2"/>
    <n v="128000"/>
    <n v="4.0999999999999996"/>
    <n v="9"/>
    <x v="2"/>
  </r>
  <r>
    <s v="MFS-65511"/>
    <s v="Tunde Lawal"/>
    <x v="0"/>
    <x v="1"/>
    <x v="2"/>
    <s v="Manager"/>
    <x v="1"/>
    <s v="51-60"/>
    <x v="0"/>
    <s v="26/09/2022"/>
    <s v="10/10/2024"/>
    <n v="3"/>
    <n v="600000"/>
    <n v="4.4000000000000004"/>
    <n v="7"/>
    <x v="0"/>
  </r>
  <r>
    <s v="MFS-21328"/>
    <s v="Aliyu Garba"/>
    <x v="0"/>
    <x v="2"/>
    <x v="0"/>
    <s v="Junior"/>
    <x v="0"/>
    <s v="41-50"/>
    <x v="0"/>
    <s v="17/10/2022"/>
    <s v="10/10/2024"/>
    <n v="3"/>
    <n v="118000"/>
    <n v="4.5999999999999996"/>
    <n v="2"/>
    <x v="0"/>
  </r>
  <r>
    <s v="MFS-26884"/>
    <s v="Nkechi Fagbemi"/>
    <x v="1"/>
    <x v="3"/>
    <x v="0"/>
    <s v="Junior"/>
    <x v="1"/>
    <s v="22-30"/>
    <x v="1"/>
    <s v="19/01/2022"/>
    <s v="10/10/2024"/>
    <n v="4"/>
    <n v="101000"/>
    <n v="4.9000000000000004"/>
    <n v="3"/>
    <x v="0"/>
  </r>
  <r>
    <s v="MFS-68753"/>
    <s v="Adaeze Uba"/>
    <x v="1"/>
    <x v="4"/>
    <x v="0"/>
    <s v="Junior"/>
    <x v="1"/>
    <s v="31-40"/>
    <x v="0"/>
    <s v="25/11/2023"/>
    <s v="10/10/2024"/>
    <n v="2"/>
    <n v="86000"/>
    <n v="1.5"/>
    <n v="24"/>
    <x v="2"/>
  </r>
  <r>
    <s v="MFS-62629"/>
    <s v="Ezinne Fagbemi"/>
    <x v="1"/>
    <x v="4"/>
    <x v="0"/>
    <s v="Junior"/>
    <x v="3"/>
    <s v="22-30"/>
    <x v="2"/>
    <s v="12/06/2023"/>
    <s v="19/03/2024"/>
    <n v="2"/>
    <n v="111000"/>
    <n v="1.5"/>
    <n v="14"/>
    <x v="1"/>
  </r>
  <r>
    <s v="MFS-30614"/>
    <s v="Ngozi Okafor"/>
    <x v="1"/>
    <x v="0"/>
    <x v="0"/>
    <s v="Senior"/>
    <x v="2"/>
    <s v="41-50"/>
    <x v="1"/>
    <s v="19/06/2022"/>
    <s v="17/09/2020"/>
    <n v="3"/>
    <n v="660000"/>
    <n v="3.6"/>
    <n v="1"/>
    <x v="0"/>
  </r>
  <r>
    <s v="MFS-36139"/>
    <s v="Lanre Okafor"/>
    <x v="0"/>
    <x v="4"/>
    <x v="0"/>
    <s v="Junior"/>
    <x v="2"/>
    <s v="31-40"/>
    <x v="0"/>
    <s v="23/03/2019"/>
    <s v="17/09/2020"/>
    <n v="6"/>
    <n v="130000"/>
    <n v="2.4"/>
    <n v="3"/>
    <x v="0"/>
  </r>
  <r>
    <s v="MFS-32497"/>
    <s v="Haruna Okafor"/>
    <x v="0"/>
    <x v="4"/>
    <x v="0"/>
    <s v="Mid-level"/>
    <x v="0"/>
    <s v="31-40"/>
    <x v="0"/>
    <s v="04/02/2021"/>
    <s v="17/09/2020"/>
    <n v="5"/>
    <n v="184000"/>
    <n v="2.9"/>
    <n v="8"/>
    <x v="0"/>
  </r>
  <r>
    <s v="MFS-54599"/>
    <s v="Nasiru Okeke"/>
    <x v="0"/>
    <x v="1"/>
    <x v="0"/>
    <s v="Manager"/>
    <x v="2"/>
    <s v="41-50"/>
    <x v="3"/>
    <s v="13/11/2019"/>
    <s v="17/09/2020"/>
    <n v="6"/>
    <n v="786000"/>
    <n v="3.2"/>
    <n v="6"/>
    <x v="0"/>
  </r>
  <r>
    <s v="MFS-49480"/>
    <s v="Bukola Ihejirika"/>
    <x v="1"/>
    <x v="4"/>
    <x v="0"/>
    <s v="Junior"/>
    <x v="0"/>
    <s v="22-30"/>
    <x v="2"/>
    <s v="29/09/2019"/>
    <s v="17/09/2020"/>
    <n v="6"/>
    <n v="121000"/>
    <n v="1.6"/>
    <n v="21"/>
    <x v="1"/>
  </r>
  <r>
    <s v="MFS-16260"/>
    <s v="Ibrahim Danladi"/>
    <x v="0"/>
    <x v="3"/>
    <x v="2"/>
    <s v="Junior"/>
    <x v="1"/>
    <s v="31-40"/>
    <x v="4"/>
    <s v="03/09/2020"/>
    <s v="14/08/2023"/>
    <n v="5"/>
    <n v="131000"/>
    <n v="4.7"/>
    <n v="0"/>
    <x v="0"/>
  </r>
  <r>
    <s v="MFS-68079"/>
    <s v="Ikenna Chukwu"/>
    <x v="0"/>
    <x v="3"/>
    <x v="2"/>
    <s v="Manager"/>
    <x v="0"/>
    <s v="22-30"/>
    <x v="1"/>
    <s v="13/11/2022"/>
    <s v="14/08/2023"/>
    <n v="3"/>
    <n v="710000"/>
    <n v="4.5"/>
    <n v="5"/>
    <x v="0"/>
  </r>
  <r>
    <s v="MFS-55739"/>
    <s v="Chukwudi Shehu"/>
    <x v="0"/>
    <x v="1"/>
    <x v="1"/>
    <s v="Junior"/>
    <x v="2"/>
    <s v="31-40"/>
    <x v="0"/>
    <s v="11/01/2021"/>
    <s v="14/08/2023"/>
    <n v="5"/>
    <n v="116000"/>
    <n v="4.8"/>
    <n v="37"/>
    <x v="0"/>
  </r>
  <r>
    <s v="MFS-27511"/>
    <s v="Nkechi Ogundipe"/>
    <x v="1"/>
    <x v="2"/>
    <x v="0"/>
    <s v="Junior"/>
    <x v="0"/>
    <s v="51-60"/>
    <x v="3"/>
    <s v="08/06/2022"/>
    <s v="14/08/2023"/>
    <n v="3"/>
    <n v="106000"/>
    <n v="3.2"/>
    <n v="13"/>
    <x v="1"/>
  </r>
  <r>
    <s v="MFS-67310"/>
    <s v="Falmata Okafor"/>
    <x v="1"/>
    <x v="2"/>
    <x v="0"/>
    <s v="Mid-level"/>
    <x v="1"/>
    <s v="22-30"/>
    <x v="0"/>
    <s v="15/05/2023"/>
    <s v="24/06/2021"/>
    <n v="2"/>
    <n v="209000"/>
    <n v="2.9"/>
    <n v="12"/>
    <x v="0"/>
  </r>
  <r>
    <s v="MFS-33624"/>
    <s v="Tobi Ogbonna"/>
    <x v="0"/>
    <x v="2"/>
    <x v="0"/>
    <s v="Mid-level"/>
    <x v="2"/>
    <s v="41-50"/>
    <x v="0"/>
    <s v="01/09/2023"/>
    <s v="24/06/2021"/>
    <n v="2"/>
    <n v="332000"/>
    <n v="3.3"/>
    <n v="13"/>
    <x v="0"/>
  </r>
  <r>
    <s v="MFS-78971"/>
    <s v="Seun Haruna"/>
    <x v="0"/>
    <x v="2"/>
    <x v="0"/>
    <s v="Senior"/>
    <x v="0"/>
    <s v="22-30"/>
    <x v="1"/>
    <s v="20/07/2021"/>
    <s v="24/06/2021"/>
    <n v="4"/>
    <n v="482000"/>
    <n v="4.2"/>
    <n v="8"/>
    <x v="0"/>
  </r>
  <r>
    <s v="MFS-46318"/>
    <s v="Ifeanyi Uba"/>
    <x v="0"/>
    <x v="2"/>
    <x v="2"/>
    <s v="Junior"/>
    <x v="2"/>
    <s v="31-40"/>
    <x v="1"/>
    <s v="03/10/2020"/>
    <s v="24/06/2021"/>
    <n v="5"/>
    <n v="96000"/>
    <n v="2.5"/>
    <n v="12"/>
    <x v="3"/>
  </r>
  <r>
    <s v="MFS-67951"/>
    <s v="Rukayya Okafor"/>
    <x v="1"/>
    <x v="4"/>
    <x v="1"/>
    <s v="Manager"/>
    <x v="2"/>
    <s v="31-40"/>
    <x v="1"/>
    <s v="11/04/2022"/>
    <s v="11/02/2025"/>
    <n v="3"/>
    <n v="928000"/>
    <n v="3.9"/>
    <n v="3"/>
    <x v="0"/>
  </r>
  <r>
    <s v="MFS-22279"/>
    <s v="Adebayo Lawal"/>
    <x v="0"/>
    <x v="4"/>
    <x v="1"/>
    <s v="Manager"/>
    <x v="2"/>
    <s v="22-30"/>
    <x v="2"/>
    <s v="26/11/2020"/>
    <s v="11/02/2025"/>
    <n v="5"/>
    <n v="602000"/>
    <n v="3.5"/>
    <n v="10"/>
    <x v="0"/>
  </r>
  <r>
    <s v="MFS-88647"/>
    <s v="Obiora Uba"/>
    <x v="0"/>
    <x v="2"/>
    <x v="0"/>
    <s v="Junior"/>
    <x v="2"/>
    <s v="22-30"/>
    <x v="2"/>
    <s v="17/02/2023"/>
    <s v="11/02/2025"/>
    <n v="3"/>
    <n v="88000"/>
    <n v="4.0999999999999996"/>
    <n v="3"/>
    <x v="0"/>
  </r>
  <r>
    <s v="MFS-98850"/>
    <s v="Chioma Danladi"/>
    <x v="1"/>
    <x v="2"/>
    <x v="1"/>
    <s v="Mid-level"/>
    <x v="0"/>
    <s v="22-30"/>
    <x v="1"/>
    <s v="26/08/2019"/>
    <s v="11/02/2025"/>
    <n v="6"/>
    <n v="282000"/>
    <n v="3.1"/>
    <n v="13"/>
    <x v="0"/>
  </r>
  <r>
    <s v="MFS-93556"/>
    <s v="Ibrahim Omotayo"/>
    <x v="0"/>
    <x v="3"/>
    <x v="2"/>
    <s v="Senior"/>
    <x v="1"/>
    <s v="41-50"/>
    <x v="2"/>
    <s v="28/04/2023"/>
    <s v="11/02/2025"/>
    <n v="2"/>
    <n v="464000"/>
    <n v="3"/>
    <n v="14"/>
    <x v="0"/>
  </r>
  <r>
    <s v="MFS-32439"/>
    <s v="Maryam Omotayo"/>
    <x v="1"/>
    <x v="4"/>
    <x v="0"/>
    <s v="Junior"/>
    <x v="1"/>
    <s v="51-60"/>
    <x v="2"/>
    <s v="18/10/2023"/>
    <s v="11/02/2025"/>
    <n v="2"/>
    <n v="107000"/>
    <n v="2.2999999999999998"/>
    <n v="13"/>
    <x v="3"/>
  </r>
  <r>
    <s v="MFS-18398"/>
    <s v="Titi Yakubu"/>
    <x v="1"/>
    <x v="4"/>
    <x v="0"/>
    <s v="Senior"/>
    <x v="0"/>
    <s v="31-40"/>
    <x v="0"/>
    <s v="18/05/2021"/>
    <s v="17/06/2022"/>
    <n v="4"/>
    <n v="368000"/>
    <n v="3.5"/>
    <n v="9"/>
    <x v="0"/>
  </r>
  <r>
    <s v="MFS-15718"/>
    <s v="Eze Abdullahi"/>
    <x v="0"/>
    <x v="1"/>
    <x v="1"/>
    <s v="Junior"/>
    <x v="2"/>
    <s v="51-60"/>
    <x v="2"/>
    <s v="31/05/2020"/>
    <s v="17/06/2022"/>
    <n v="5"/>
    <n v="159000"/>
    <n v="3.3"/>
    <n v="4"/>
    <x v="0"/>
  </r>
  <r>
    <s v="MFS-48487"/>
    <s v="Bukola Adewale"/>
    <x v="1"/>
    <x v="2"/>
    <x v="2"/>
    <s v="Mid-level"/>
    <x v="0"/>
    <s v="22-30"/>
    <x v="1"/>
    <s v="15/01/2021"/>
    <s v="17/06/2022"/>
    <n v="5"/>
    <n v="237000"/>
    <n v="2.6"/>
    <n v="25"/>
    <x v="0"/>
  </r>
  <r>
    <s v="MFS-89377"/>
    <s v="Falmata Suleiman"/>
    <x v="1"/>
    <x v="4"/>
    <x v="2"/>
    <s v="Mid-level"/>
    <x v="1"/>
    <s v="31-40"/>
    <x v="1"/>
    <s v="25/03/2023"/>
    <s v="17/06/2022"/>
    <n v="2"/>
    <n v="257000"/>
    <n v="3.3"/>
    <n v="11"/>
    <x v="0"/>
  </r>
  <r>
    <s v="MFS-62069"/>
    <s v="Amaka Okonkwo"/>
    <x v="1"/>
    <x v="1"/>
    <x v="0"/>
    <s v="Mid-level"/>
    <x v="0"/>
    <s v="41-50"/>
    <x v="1"/>
    <s v="12/09/2019"/>
    <s v="17/06/2022"/>
    <n v="6"/>
    <n v="308000"/>
    <n v="2"/>
    <n v="11"/>
    <x v="0"/>
  </r>
  <r>
    <s v="MFS-28021"/>
    <s v="Falmata Ogbonna"/>
    <x v="1"/>
    <x v="4"/>
    <x v="0"/>
    <s v="Mid-level"/>
    <x v="2"/>
    <s v="31-40"/>
    <x v="0"/>
    <s v="16/09/2021"/>
    <s v="17/06/2022"/>
    <n v="4"/>
    <n v="292000"/>
    <n v="2"/>
    <n v="6"/>
    <x v="0"/>
  </r>
  <r>
    <s v="MFS-14808"/>
    <s v="Shade Obi"/>
    <x v="1"/>
    <x v="2"/>
    <x v="0"/>
    <s v="Manager"/>
    <x v="0"/>
    <s v="31-40"/>
    <x v="1"/>
    <s v="31/05/2020"/>
    <s v="17/06/2022"/>
    <n v="5"/>
    <n v="829000"/>
    <n v="3.5"/>
    <n v="8"/>
    <x v="1"/>
  </r>
  <r>
    <s v="MFS-20282"/>
    <s v="Shade Yakubu"/>
    <x v="1"/>
    <x v="3"/>
    <x v="0"/>
    <s v="Senior"/>
    <x v="0"/>
    <s v="31-40"/>
    <x v="1"/>
    <s v="25/01/2020"/>
    <s v="19/06/2023"/>
    <n v="6"/>
    <n v="434000"/>
    <n v="4.4000000000000004"/>
    <n v="10"/>
    <x v="0"/>
  </r>
  <r>
    <s v="MFS-93124"/>
    <s v="Obiora Obi"/>
    <x v="0"/>
    <x v="0"/>
    <x v="0"/>
    <s v="Senior"/>
    <x v="0"/>
    <s v="31-40"/>
    <x v="1"/>
    <s v="06/08/2020"/>
    <s v="19/06/2023"/>
    <n v="5"/>
    <n v="577000"/>
    <n v="3.3"/>
    <n v="0"/>
    <x v="0"/>
  </r>
  <r>
    <s v="MFS-57118"/>
    <s v="Kunle Haruna"/>
    <x v="0"/>
    <x v="1"/>
    <x v="0"/>
    <s v="Manager"/>
    <x v="0"/>
    <s v="31-40"/>
    <x v="0"/>
    <s v="17/06/2019"/>
    <s v="19/06/2023"/>
    <n v="6"/>
    <n v="838000"/>
    <n v="3.3"/>
    <n v="4"/>
    <x v="1"/>
  </r>
  <r>
    <s v="MFS-78104"/>
    <s v="Chibuike Shehu"/>
    <x v="0"/>
    <x v="0"/>
    <x v="2"/>
    <s v="Junior"/>
    <x v="2"/>
    <s v="41-50"/>
    <x v="2"/>
    <s v="29/05/2021"/>
    <s v="20/08/2022"/>
    <n v="4"/>
    <n v="112000"/>
    <n v="4.5999999999999996"/>
    <n v="3"/>
    <x v="1"/>
  </r>
  <r>
    <s v="MFS-66980"/>
    <s v="Bilkisu Adewale"/>
    <x v="1"/>
    <x v="0"/>
    <x v="0"/>
    <s v="Mid-level"/>
    <x v="0"/>
    <s v="31-40"/>
    <x v="3"/>
    <s v="27/10/2019"/>
    <s v="21/07/2023"/>
    <n v="6"/>
    <n v="355000"/>
    <n v="3.2"/>
    <n v="9"/>
    <x v="0"/>
  </r>
  <r>
    <s v="MFS-26891"/>
    <s v="Danladi Obi"/>
    <x v="0"/>
    <x v="2"/>
    <x v="0"/>
    <s v="Junior"/>
    <x v="2"/>
    <s v="22-30"/>
    <x v="2"/>
    <s v="15/05/2020"/>
    <s v="21/07/2023"/>
    <n v="5"/>
    <n v="173000"/>
    <n v="4.2"/>
    <n v="4"/>
    <x v="0"/>
  </r>
  <r>
    <s v="MFS-89738"/>
    <s v="Nneka Obi"/>
    <x v="1"/>
    <x v="1"/>
    <x v="0"/>
    <s v="Mid-level"/>
    <x v="1"/>
    <s v="31-40"/>
    <x v="0"/>
    <s v="19/12/2020"/>
    <s v="21/07/2023"/>
    <n v="5"/>
    <n v="288000"/>
    <n v="3.2"/>
    <n v="2"/>
    <x v="0"/>
  </r>
  <r>
    <s v="MFS-93616"/>
    <s v="Lanre Suleiman"/>
    <x v="0"/>
    <x v="4"/>
    <x v="0"/>
    <s v="Mid-level"/>
    <x v="1"/>
    <s v="31-40"/>
    <x v="2"/>
    <s v="27/09/2020"/>
    <s v="21/07/2023"/>
    <n v="5"/>
    <n v="189000"/>
    <n v="2.9"/>
    <n v="2"/>
    <x v="1"/>
  </r>
  <r>
    <s v="MFS-44120"/>
    <s v="Rabiu Fagbemi"/>
    <x v="0"/>
    <x v="3"/>
    <x v="1"/>
    <s v="Director"/>
    <x v="1"/>
    <s v="31-40"/>
    <x v="0"/>
    <s v="20/06/2019"/>
    <s v="20/02/2025"/>
    <n v="6"/>
    <n v="1342000"/>
    <n v="3.1"/>
    <n v="27"/>
    <x v="2"/>
  </r>
  <r>
    <s v="MFS-74737"/>
    <s v="Asabe Garba"/>
    <x v="1"/>
    <x v="3"/>
    <x v="0"/>
    <s v="Senior"/>
    <x v="1"/>
    <s v="51-60"/>
    <x v="2"/>
    <s v="24/07/2023"/>
    <s v="12/01/2025"/>
    <n v="2"/>
    <n v="354000"/>
    <n v="4"/>
    <n v="8"/>
    <x v="3"/>
  </r>
  <r>
    <s v="MFS-96794"/>
    <s v="Wale Okeke"/>
    <x v="0"/>
    <x v="1"/>
    <x v="0"/>
    <s v="Mid-level"/>
    <x v="2"/>
    <s v="22-30"/>
    <x v="2"/>
    <s v="15/02/2023"/>
    <s v="26/03/2023"/>
    <n v="3"/>
    <n v="229000"/>
    <n v="2.6"/>
    <n v="2"/>
    <x v="0"/>
  </r>
  <r>
    <s v="MFS-45325"/>
    <s v="Uloma Nwachukwu"/>
    <x v="1"/>
    <x v="1"/>
    <x v="0"/>
    <s v="Junior"/>
    <x v="0"/>
    <s v="22-30"/>
    <x v="4"/>
    <s v="06/07/2019"/>
    <s v="26/03/2023"/>
    <n v="6"/>
    <n v="116000"/>
    <n v="3"/>
    <n v="20"/>
    <x v="0"/>
  </r>
  <r>
    <s v="MFS-13764"/>
    <s v="Garba Ogundipe"/>
    <x v="0"/>
    <x v="0"/>
    <x v="0"/>
    <s v="Senior"/>
    <x v="0"/>
    <s v="51-60"/>
    <x v="2"/>
    <s v="19/02/2021"/>
    <s v="26/03/2023"/>
    <n v="5"/>
    <n v="507000"/>
    <n v="4.8"/>
    <n v="9"/>
    <x v="0"/>
  </r>
  <r>
    <s v="MFS-41508"/>
    <s v="Haruna Shehu"/>
    <x v="0"/>
    <x v="0"/>
    <x v="0"/>
    <s v="Mid-level"/>
    <x v="1"/>
    <s v="22-30"/>
    <x v="0"/>
    <s v="14/01/2020"/>
    <s v="26/03/2023"/>
    <n v="6"/>
    <n v="223000"/>
    <n v="4.4000000000000004"/>
    <n v="13"/>
    <x v="0"/>
  </r>
  <r>
    <s v="MFS-68311"/>
    <s v="Danladi Okonkwo"/>
    <x v="0"/>
    <x v="1"/>
    <x v="0"/>
    <s v="Senior"/>
    <x v="0"/>
    <s v="31-40"/>
    <x v="1"/>
    <s v="15/01/2021"/>
    <s v="26/03/2023"/>
    <n v="5"/>
    <n v="526000"/>
    <n v="4.9000000000000004"/>
    <n v="5"/>
    <x v="0"/>
  </r>
  <r>
    <s v="MFS-98278"/>
    <s v="Hadiza Nnamdi"/>
    <x v="1"/>
    <x v="4"/>
    <x v="0"/>
    <s v="Mid-level"/>
    <x v="0"/>
    <s v="31-40"/>
    <x v="0"/>
    <s v="22/07/2020"/>
    <s v="26/03/2023"/>
    <n v="5"/>
    <n v="242000"/>
    <n v="2.8"/>
    <n v="1"/>
    <x v="0"/>
  </r>
  <r>
    <s v="MFS-54252"/>
    <s v="Emeka Okonkwo"/>
    <x v="0"/>
    <x v="4"/>
    <x v="2"/>
    <s v="Senior"/>
    <x v="3"/>
    <s v="31-40"/>
    <x v="0"/>
    <s v="08/06/2020"/>
    <s v="26/03/2023"/>
    <n v="5"/>
    <n v="549000"/>
    <n v="3.9"/>
    <n v="11"/>
    <x v="0"/>
  </r>
  <r>
    <s v="MFS-57407"/>
    <s v="Bimpe Fagbemi"/>
    <x v="1"/>
    <x v="4"/>
    <x v="2"/>
    <s v="Mid-level"/>
    <x v="1"/>
    <s v="22-30"/>
    <x v="0"/>
    <s v="20/11/2020"/>
    <s v="26/03/2023"/>
    <n v="5"/>
    <n v="183000"/>
    <n v="1.9"/>
    <n v="4"/>
    <x v="0"/>
  </r>
  <r>
    <s v="MFS-89660"/>
    <s v="Lanre Adeyemi"/>
    <x v="0"/>
    <x v="4"/>
    <x v="0"/>
    <s v="Junior"/>
    <x v="0"/>
    <s v="22-30"/>
    <x v="1"/>
    <s v="04/01/2021"/>
    <s v="26/03/2023"/>
    <n v="5"/>
    <n v="106000"/>
    <n v="3.1"/>
    <n v="6"/>
    <x v="1"/>
  </r>
  <r>
    <s v="MFS-75614"/>
    <s v="Folake Lawal"/>
    <x v="1"/>
    <x v="0"/>
    <x v="0"/>
    <s v="Director"/>
    <x v="0"/>
    <s v="22-30"/>
    <x v="1"/>
    <s v="26/01/2023"/>
    <s v="03/07/2023"/>
    <n v="3"/>
    <n v="1683000"/>
    <n v="3.8"/>
    <n v="1"/>
    <x v="0"/>
  </r>
  <r>
    <s v="MFS-17049"/>
    <s v="Rabiu Adebayo"/>
    <x v="0"/>
    <x v="0"/>
    <x v="2"/>
    <s v="Mid-level"/>
    <x v="3"/>
    <s v="41-50"/>
    <x v="0"/>
    <s v="25/06/2020"/>
    <s v="03/07/2023"/>
    <n v="5"/>
    <n v="380000"/>
    <n v="4.2"/>
    <n v="37"/>
    <x v="1"/>
  </r>
  <r>
    <s v="MFS-78993"/>
    <s v="Shehu Okonkwo"/>
    <x v="0"/>
    <x v="2"/>
    <x v="0"/>
    <s v="Manager"/>
    <x v="3"/>
    <s v="31-40"/>
    <x v="2"/>
    <s v="24/07/2023"/>
    <s v="30/09/2024"/>
    <n v="2"/>
    <n v="907000"/>
    <n v="3.4"/>
    <n v="38"/>
    <x v="1"/>
  </r>
  <r>
    <s v="MFS-25991"/>
    <s v="Chioma Musa"/>
    <x v="1"/>
    <x v="1"/>
    <x v="2"/>
    <s v="Mid-level"/>
    <x v="0"/>
    <s v="22-30"/>
    <x v="0"/>
    <s v="28/06/2022"/>
    <s v="05/05/2024"/>
    <n v="3"/>
    <n v="269000"/>
    <n v="4.3"/>
    <n v="11"/>
    <x v="1"/>
  </r>
  <r>
    <s v="MFS-21226"/>
    <s v="Chukwuemeka Onwudiwe"/>
    <x v="0"/>
    <x v="2"/>
    <x v="0"/>
    <s v="Manager"/>
    <x v="0"/>
    <s v="31-40"/>
    <x v="2"/>
    <s v="15/01/2021"/>
    <s v="23/11/2024"/>
    <n v="5"/>
    <n v="729000"/>
    <n v="3.2"/>
    <n v="10"/>
    <x v="0"/>
  </r>
  <r>
    <s v="MFS-78412"/>
    <s v="Kunle Bello"/>
    <x v="0"/>
    <x v="0"/>
    <x v="0"/>
    <s v="Mid-level"/>
    <x v="2"/>
    <s v="31-40"/>
    <x v="3"/>
    <s v="21/07/2023"/>
    <s v="23/11/2024"/>
    <n v="2"/>
    <n v="217000"/>
    <n v="3.3"/>
    <n v="10"/>
    <x v="0"/>
  </r>
  <r>
    <s v="MFS-41041"/>
    <s v="Ramatu Aliyu"/>
    <x v="1"/>
    <x v="3"/>
    <x v="0"/>
    <s v="Senior"/>
    <x v="0"/>
    <s v="41-50"/>
    <x v="0"/>
    <s v="18/06/2022"/>
    <s v="23/11/2024"/>
    <n v="3"/>
    <n v="437000"/>
    <n v="3"/>
    <n v="8"/>
    <x v="0"/>
  </r>
  <r>
    <s v="MFS-17194"/>
    <s v="Adebayo Coker"/>
    <x v="0"/>
    <x v="2"/>
    <x v="0"/>
    <s v="Junior"/>
    <x v="1"/>
    <s v="41-50"/>
    <x v="0"/>
    <s v="28/10/2020"/>
    <s v="23/11/2024"/>
    <n v="5"/>
    <n v="107000"/>
    <n v="2.5"/>
    <n v="1"/>
    <x v="0"/>
  </r>
  <r>
    <s v="MFS-44718"/>
    <s v="Chinedu Adesanya"/>
    <x v="0"/>
    <x v="2"/>
    <x v="0"/>
    <s v="Junior"/>
    <x v="2"/>
    <s v="22-30"/>
    <x v="2"/>
    <s v="16/04/2019"/>
    <s v="23/11/2024"/>
    <n v="6"/>
    <n v="150000"/>
    <n v="2.2000000000000002"/>
    <n v="8"/>
    <x v="0"/>
  </r>
  <r>
    <s v="MFS-50295"/>
    <s v="Obinna Haruna"/>
    <x v="0"/>
    <x v="4"/>
    <x v="2"/>
    <s v="Junior"/>
    <x v="0"/>
    <s v="31-40"/>
    <x v="2"/>
    <s v="10/08/2022"/>
    <s v="23/11/2024"/>
    <n v="3"/>
    <n v="90000"/>
    <n v="3.5"/>
    <n v="13"/>
    <x v="1"/>
  </r>
  <r>
    <s v="MFS-94562"/>
    <s v="Lanre Adesanya"/>
    <x v="0"/>
    <x v="3"/>
    <x v="0"/>
    <s v="Junior"/>
    <x v="2"/>
    <s v="22-30"/>
    <x v="0"/>
    <s v="26/10/2021"/>
    <s v="08/11/2023"/>
    <n v="4"/>
    <n v="170000"/>
    <n v="2.4"/>
    <n v="2"/>
    <x v="3"/>
  </r>
  <r>
    <s v="MFS-14032"/>
    <s v="Gbenga Bello"/>
    <x v="0"/>
    <x v="3"/>
    <x v="2"/>
    <s v="Junior"/>
    <x v="0"/>
    <s v="41-50"/>
    <x v="3"/>
    <s v="27/07/2021"/>
    <s v="09/06/2024"/>
    <n v="4"/>
    <n v="89000"/>
    <n v="4.5"/>
    <n v="3"/>
    <x v="0"/>
  </r>
  <r>
    <s v="MFS-28708"/>
    <s v="Rabiu Obi"/>
    <x v="0"/>
    <x v="1"/>
    <x v="0"/>
    <s v="Junior"/>
    <x v="0"/>
    <s v="31-40"/>
    <x v="1"/>
    <s v="02/05/2019"/>
    <s v="09/06/2024"/>
    <n v="6"/>
    <n v="85000"/>
    <n v="4.9000000000000004"/>
    <n v="3"/>
    <x v="0"/>
  </r>
  <r>
    <s v="MFS-40435"/>
    <s v="Chibuike Okeke"/>
    <x v="0"/>
    <x v="2"/>
    <x v="2"/>
    <s v="Mid-level"/>
    <x v="0"/>
    <s v="31-40"/>
    <x v="1"/>
    <s v="03/06/2020"/>
    <s v="09/06/2024"/>
    <n v="5"/>
    <n v="208000"/>
    <n v="2.7"/>
    <n v="8"/>
    <x v="2"/>
  </r>
  <r>
    <s v="MFS-44107"/>
    <s v="Hafsat Eze"/>
    <x v="1"/>
    <x v="1"/>
    <x v="0"/>
    <s v="Senior"/>
    <x v="2"/>
    <s v="22-30"/>
    <x v="1"/>
    <s v="23/08/2019"/>
    <s v="16/09/2024"/>
    <n v="6"/>
    <n v="369000"/>
    <n v="4"/>
    <n v="3"/>
    <x v="0"/>
  </r>
  <r>
    <s v="MFS-63587"/>
    <s v="Adebayo Omotayo"/>
    <x v="0"/>
    <x v="3"/>
    <x v="0"/>
    <s v="Manager"/>
    <x v="0"/>
    <s v="41-50"/>
    <x v="0"/>
    <s v="07/06/2020"/>
    <s v="16/09/2024"/>
    <n v="5"/>
    <n v="903000"/>
    <n v="4.5"/>
    <n v="10"/>
    <x v="0"/>
  </r>
  <r>
    <s v="MFS-94392"/>
    <s v="Bilkisu Yakubu"/>
    <x v="1"/>
    <x v="4"/>
    <x v="0"/>
    <s v="Mid-level"/>
    <x v="3"/>
    <s v="41-50"/>
    <x v="0"/>
    <s v="19/08/2023"/>
    <s v="16/09/2024"/>
    <n v="2"/>
    <n v="209000"/>
    <n v="2"/>
    <n v="27"/>
    <x v="1"/>
  </r>
  <r>
    <s v="MFS-86923"/>
    <s v="Folake Ogbonna"/>
    <x v="1"/>
    <x v="3"/>
    <x v="0"/>
    <s v="Junior"/>
    <x v="0"/>
    <s v="41-50"/>
    <x v="0"/>
    <s v="14/08/2023"/>
    <s v="11/04/2024"/>
    <n v="2"/>
    <n v="104000"/>
    <n v="2"/>
    <n v="7"/>
    <x v="0"/>
  </r>
  <r>
    <s v="MFS-61214"/>
    <s v="Chidi Adewale"/>
    <x v="0"/>
    <x v="0"/>
    <x v="0"/>
    <s v="Manager"/>
    <x v="0"/>
    <s v="22-30"/>
    <x v="2"/>
    <s v="17/02/2022"/>
    <s v="11/04/2024"/>
    <n v="4"/>
    <n v="821000"/>
    <n v="3.8"/>
    <n v="13"/>
    <x v="0"/>
  </r>
  <r>
    <s v="MFS-80161"/>
    <s v="Hadiza Omotayo"/>
    <x v="1"/>
    <x v="0"/>
    <x v="0"/>
    <s v="Manager"/>
    <x v="2"/>
    <s v="41-50"/>
    <x v="2"/>
    <s v="29/10/2022"/>
    <s v="11/04/2024"/>
    <n v="3"/>
    <n v="974000"/>
    <n v="4.0999999999999996"/>
    <n v="1"/>
    <x v="1"/>
  </r>
  <r>
    <s v="MFS-81033"/>
    <s v="Haruna Lawal"/>
    <x v="0"/>
    <x v="3"/>
    <x v="0"/>
    <s v="Director"/>
    <x v="0"/>
    <s v="51-60"/>
    <x v="2"/>
    <s v="11/04/2021"/>
    <s v="11/05/2024"/>
    <n v="4"/>
    <n v="1911000"/>
    <n v="4.0999999999999996"/>
    <n v="0"/>
    <x v="0"/>
  </r>
  <r>
    <s v="MFS-84796"/>
    <s v="Lola Lawal"/>
    <x v="1"/>
    <x v="1"/>
    <x v="0"/>
    <s v="Mid-level"/>
    <x v="2"/>
    <s v="31-40"/>
    <x v="1"/>
    <s v="06/05/2023"/>
    <s v="11/05/2024"/>
    <n v="2"/>
    <n v="291000"/>
    <n v="3.6"/>
    <n v="2"/>
    <x v="3"/>
  </r>
  <r>
    <s v="MFS-51542"/>
    <s v="Hauwa Adebayo"/>
    <x v="1"/>
    <x v="3"/>
    <x v="2"/>
    <s v="Junior"/>
    <x v="1"/>
    <s v="41-50"/>
    <x v="2"/>
    <s v="11/10/2020"/>
    <s v="05/03/2022"/>
    <n v="5"/>
    <n v="103000"/>
    <n v="2.4"/>
    <n v="13"/>
    <x v="1"/>
  </r>
  <r>
    <s v="MFS-45488"/>
    <s v="Aliyu Lawal"/>
    <x v="0"/>
    <x v="0"/>
    <x v="0"/>
    <s v="Junior"/>
    <x v="2"/>
    <s v="31-40"/>
    <x v="0"/>
    <s v="16/07/2023"/>
    <s v="04/05/2022"/>
    <n v="2"/>
    <n v="166000"/>
    <n v="3.8"/>
    <n v="2"/>
    <x v="0"/>
  </r>
  <r>
    <s v="MFS-48971"/>
    <s v="Ifeanyi Uba"/>
    <x v="0"/>
    <x v="1"/>
    <x v="0"/>
    <s v="Junior"/>
    <x v="2"/>
    <s v="22-30"/>
    <x v="2"/>
    <s v="15/09/2021"/>
    <s v="04/05/2022"/>
    <n v="4"/>
    <n v="108000"/>
    <n v="3.1"/>
    <n v="6"/>
    <x v="3"/>
  </r>
  <r>
    <s v="MFS-52964"/>
    <s v="Kunle Adeyemi"/>
    <x v="0"/>
    <x v="1"/>
    <x v="0"/>
    <s v="Manager"/>
    <x v="0"/>
    <s v="22-30"/>
    <x v="2"/>
    <s v="08/04/2021"/>
    <s v="18/07/2022"/>
    <n v="4"/>
    <n v="814000"/>
    <n v="4.0999999999999996"/>
    <n v="18"/>
    <x v="1"/>
  </r>
  <r>
    <s v="MFS-57417"/>
    <s v="Kabiru Chukwu"/>
    <x v="0"/>
    <x v="0"/>
    <x v="1"/>
    <s v="Manager"/>
    <x v="0"/>
    <s v="41-50"/>
    <x v="3"/>
    <s v="03/10/2020"/>
    <s v="04/10/2024"/>
    <n v="5"/>
    <n v="693000"/>
    <n v="4.4000000000000004"/>
    <n v="34"/>
    <x v="0"/>
  </r>
  <r>
    <s v="MFS-38198"/>
    <s v="Nkechi Nwachukwu"/>
    <x v="1"/>
    <x v="2"/>
    <x v="0"/>
    <s v="Junior"/>
    <x v="0"/>
    <s v="22-30"/>
    <x v="0"/>
    <s v="20/06/2019"/>
    <s v="04/10/2024"/>
    <n v="6"/>
    <n v="132000"/>
    <n v="2.2999999999999998"/>
    <n v="4"/>
    <x v="0"/>
  </r>
  <r>
    <s v="MFS-50769"/>
    <s v="Shade Uba"/>
    <x v="1"/>
    <x v="4"/>
    <x v="2"/>
    <s v="Senior"/>
    <x v="2"/>
    <s v="31-40"/>
    <x v="0"/>
    <s v="28/10/2023"/>
    <s v="04/10/2024"/>
    <n v="2"/>
    <n v="369000"/>
    <n v="4.7"/>
    <n v="0"/>
    <x v="1"/>
  </r>
  <r>
    <s v="MFS-52380"/>
    <s v="Chukwudi Ogbonna"/>
    <x v="0"/>
    <x v="0"/>
    <x v="0"/>
    <s v="Junior"/>
    <x v="0"/>
    <s v="22-30"/>
    <x v="2"/>
    <s v="23/12/2022"/>
    <s v="14/09/2023"/>
    <n v="3"/>
    <n v="169000"/>
    <n v="2.7"/>
    <n v="7"/>
    <x v="1"/>
  </r>
  <r>
    <s v="MFS-46158"/>
    <s v="Fatima Aliyu"/>
    <x v="1"/>
    <x v="3"/>
    <x v="1"/>
    <s v="Mid-level"/>
    <x v="0"/>
    <s v="31-40"/>
    <x v="3"/>
    <s v="14/04/2022"/>
    <s v="03/02/2025"/>
    <n v="3"/>
    <n v="264000"/>
    <n v="3.8"/>
    <n v="1"/>
    <x v="3"/>
  </r>
  <r>
    <s v="MFS-68859"/>
    <s v="Ifeoma Oyelaran"/>
    <x v="1"/>
    <x v="1"/>
    <x v="1"/>
    <s v="Senior"/>
    <x v="0"/>
    <s v="22-30"/>
    <x v="1"/>
    <s v="20/09/2023"/>
    <s v="02/11/2024"/>
    <n v="2"/>
    <n v="474000"/>
    <n v="2.1"/>
    <n v="4"/>
    <x v="1"/>
  </r>
  <r>
    <s v="MFS-79963"/>
    <s v="Wale Nnamdi"/>
    <x v="0"/>
    <x v="4"/>
    <x v="1"/>
    <s v="Mid-level"/>
    <x v="0"/>
    <s v="41-50"/>
    <x v="0"/>
    <s v="21/06/2022"/>
    <s v="11/02/2023"/>
    <n v="3"/>
    <n v="211000"/>
    <n v="2.9"/>
    <n v="4"/>
    <x v="0"/>
  </r>
  <r>
    <s v="MFS-83774"/>
    <s v="Musa Obi"/>
    <x v="0"/>
    <x v="3"/>
    <x v="0"/>
    <s v="Director"/>
    <x v="0"/>
    <s v="31-40"/>
    <x v="0"/>
    <s v="19/06/2021"/>
    <s v="11/02/2023"/>
    <n v="4"/>
    <n v="1256000"/>
    <n v="4.0999999999999996"/>
    <n v="2"/>
    <x v="0"/>
  </r>
  <r>
    <s v="MFS-13997"/>
    <s v="Laraba Nwachukwu"/>
    <x v="1"/>
    <x v="3"/>
    <x v="0"/>
    <s v="Junior"/>
    <x v="1"/>
    <s v="41-50"/>
    <x v="2"/>
    <s v="28/08/2021"/>
    <s v="11/02/2023"/>
    <n v="4"/>
    <n v="150000"/>
    <n v="3.4"/>
    <n v="2"/>
    <x v="0"/>
  </r>
  <r>
    <s v="MFS-21569"/>
    <s v="Oluwaseun Musa"/>
    <x v="0"/>
    <x v="1"/>
    <x v="1"/>
    <s v="Senior"/>
    <x v="0"/>
    <s v="31-40"/>
    <x v="3"/>
    <s v="15/03/2022"/>
    <s v="11/02/2023"/>
    <n v="3"/>
    <n v="520000"/>
    <n v="4.4000000000000004"/>
    <n v="5"/>
    <x v="1"/>
  </r>
  <r>
    <s v="MFS-90691"/>
    <s v="Rabiu Coker"/>
    <x v="0"/>
    <x v="1"/>
    <x v="2"/>
    <s v="Mid-level"/>
    <x v="3"/>
    <s v="41-50"/>
    <x v="0"/>
    <s v="22/01/2022"/>
    <s v="08/02/2024"/>
    <n v="4"/>
    <n v="190000"/>
    <n v="4.4000000000000004"/>
    <n v="9"/>
    <x v="0"/>
  </r>
  <r>
    <s v="MFS-24820"/>
    <s v="Tobi Eze"/>
    <x v="0"/>
    <x v="1"/>
    <x v="1"/>
    <s v="Director"/>
    <x v="2"/>
    <s v="31-40"/>
    <x v="2"/>
    <s v="18/07/2020"/>
    <s v="08/02/2024"/>
    <n v="5"/>
    <n v="1158000"/>
    <n v="4.8"/>
    <n v="9"/>
    <x v="0"/>
  </r>
  <r>
    <s v="MFS-45829"/>
    <s v="Aliyu Ogbonna"/>
    <x v="0"/>
    <x v="2"/>
    <x v="1"/>
    <s v="Senior"/>
    <x v="1"/>
    <s v="41-50"/>
    <x v="0"/>
    <s v="19/01/2022"/>
    <s v="08/02/2024"/>
    <n v="4"/>
    <n v="409000"/>
    <n v="4.9000000000000004"/>
    <n v="10"/>
    <x v="0"/>
  </r>
  <r>
    <s v="MFS-91522"/>
    <s v="Fatima Nwachukwu"/>
    <x v="1"/>
    <x v="1"/>
    <x v="0"/>
    <s v="Senior"/>
    <x v="2"/>
    <s v="31-40"/>
    <x v="1"/>
    <s v="30/10/2021"/>
    <s v="08/02/2024"/>
    <n v="4"/>
    <n v="367000"/>
    <n v="4.5999999999999996"/>
    <n v="12"/>
    <x v="0"/>
  </r>
  <r>
    <s v="MFS-17170"/>
    <s v="Rotimi Uba"/>
    <x v="0"/>
    <x v="3"/>
    <x v="0"/>
    <s v="Director"/>
    <x v="1"/>
    <s v="22-30"/>
    <x v="0"/>
    <s v="19/10/2021"/>
    <s v="08/02/2024"/>
    <n v="4"/>
    <n v="1650000"/>
    <n v="3"/>
    <n v="4"/>
    <x v="0"/>
  </r>
  <r>
    <s v="MFS-63237"/>
    <s v="Adebayo Abdullahi"/>
    <x v="0"/>
    <x v="1"/>
    <x v="0"/>
    <s v="Manager"/>
    <x v="1"/>
    <s v="31-40"/>
    <x v="1"/>
    <s v="07/07/2022"/>
    <s v="08/02/2024"/>
    <n v="3"/>
    <n v="651000"/>
    <n v="3.4"/>
    <n v="0"/>
    <x v="2"/>
  </r>
  <r>
    <s v="MFS-23114"/>
    <s v="Sola Lawal"/>
    <x v="1"/>
    <x v="4"/>
    <x v="0"/>
    <s v="Mid-level"/>
    <x v="0"/>
    <s v="41-50"/>
    <x v="1"/>
    <s v="22/05/2022"/>
    <s v="13/08/2024"/>
    <n v="3"/>
    <n v="313000"/>
    <n v="3"/>
    <n v="6"/>
    <x v="2"/>
  </r>
  <r>
    <s v="MFS-89731"/>
    <s v="Abubakar Aliyu"/>
    <x v="0"/>
    <x v="2"/>
    <x v="2"/>
    <s v="Junior"/>
    <x v="2"/>
    <s v="41-50"/>
    <x v="0"/>
    <s v="08/09/2022"/>
    <s v="25/12/2024"/>
    <n v="3"/>
    <n v="101000"/>
    <n v="3.6"/>
    <n v="4"/>
    <x v="0"/>
  </r>
  <r>
    <s v="MFS-66207"/>
    <s v="Bukola Chukwu"/>
    <x v="1"/>
    <x v="4"/>
    <x v="0"/>
    <s v="Mid-level"/>
    <x v="2"/>
    <s v="31-40"/>
    <x v="1"/>
    <s v="26/11/2020"/>
    <s v="25/12/2024"/>
    <n v="5"/>
    <n v="307000"/>
    <n v="3.9"/>
    <n v="11"/>
    <x v="2"/>
  </r>
  <r>
    <s v="MFS-54655"/>
    <s v="Zainab Amadi"/>
    <x v="1"/>
    <x v="4"/>
    <x v="0"/>
    <s v="Mid-level"/>
    <x v="0"/>
    <s v="31-40"/>
    <x v="4"/>
    <s v="01/07/2019"/>
    <s v="11/07/2023"/>
    <n v="6"/>
    <n v="274000"/>
    <n v="3.8"/>
    <n v="4"/>
    <x v="2"/>
  </r>
  <r>
    <s v="MFS-99463"/>
    <s v="Seun Taiwo"/>
    <x v="0"/>
    <x v="0"/>
    <x v="1"/>
    <s v="Junior"/>
    <x v="2"/>
    <s v="31-40"/>
    <x v="1"/>
    <s v="08/02/2021"/>
    <s v="22/07/2023"/>
    <n v="5"/>
    <n v="116000"/>
    <n v="2.2000000000000002"/>
    <n v="7"/>
    <x v="1"/>
  </r>
  <r>
    <s v="MFS-35301"/>
    <s v="Amaka Suleiman"/>
    <x v="1"/>
    <x v="4"/>
    <x v="2"/>
    <s v="Junior"/>
    <x v="0"/>
    <s v="51-60"/>
    <x v="2"/>
    <s v="23/08/2020"/>
    <s v="21/10/2024"/>
    <n v="5"/>
    <n v="91000"/>
    <n v="1.6"/>
    <n v="7"/>
    <x v="0"/>
  </r>
  <r>
    <s v="MFS-72582"/>
    <s v="Ogechi Fagbemi"/>
    <x v="1"/>
    <x v="3"/>
    <x v="0"/>
    <s v="Manager"/>
    <x v="0"/>
    <s v="22-30"/>
    <x v="1"/>
    <s v="27/08/2022"/>
    <s v="21/10/2024"/>
    <n v="3"/>
    <n v="751000"/>
    <n v="3.9"/>
    <n v="28"/>
    <x v="0"/>
  </r>
  <r>
    <s v="MFS-94615"/>
    <s v="Seun Chukwu"/>
    <x v="0"/>
    <x v="0"/>
    <x v="0"/>
    <s v="Senior"/>
    <x v="1"/>
    <s v="31-40"/>
    <x v="1"/>
    <s v="23/09/2019"/>
    <s v="21/10/2024"/>
    <n v="6"/>
    <n v="594000"/>
    <n v="3.6"/>
    <n v="5"/>
    <x v="1"/>
  </r>
  <r>
    <s v="MFS-78771"/>
    <s v="Funmilayo Nwachukwu"/>
    <x v="1"/>
    <x v="0"/>
    <x v="1"/>
    <s v="Manager"/>
    <x v="2"/>
    <s v="31-40"/>
    <x v="3"/>
    <s v="30/01/2023"/>
    <s v="30/12/2023"/>
    <n v="3"/>
    <n v="896000"/>
    <n v="3.8"/>
    <n v="27"/>
    <x v="0"/>
  </r>
  <r>
    <s v="MFS-93420"/>
    <s v="Adeola Afolabi"/>
    <x v="0"/>
    <x v="3"/>
    <x v="1"/>
    <s v="Junior"/>
    <x v="0"/>
    <s v="22-30"/>
    <x v="2"/>
    <s v="08/11/2022"/>
    <s v="30/12/2023"/>
    <n v="3"/>
    <n v="93000"/>
    <n v="4.4000000000000004"/>
    <n v="10"/>
    <x v="0"/>
  </r>
  <r>
    <s v="MFS-89444"/>
    <s v="Nnamdi Suleiman"/>
    <x v="0"/>
    <x v="4"/>
    <x v="0"/>
    <s v="Mid-level"/>
    <x v="1"/>
    <s v="22-30"/>
    <x v="1"/>
    <s v="26/03/2020"/>
    <s v="30/12/2023"/>
    <n v="5"/>
    <n v="194000"/>
    <n v="2.9"/>
    <n v="23"/>
    <x v="0"/>
  </r>
  <r>
    <s v="MFS-91200"/>
    <s v="Obinna Ihejirika"/>
    <x v="0"/>
    <x v="3"/>
    <x v="0"/>
    <s v="Senior"/>
    <x v="0"/>
    <s v="51-60"/>
    <x v="1"/>
    <s v="04/08/2023"/>
    <s v="30/12/2023"/>
    <n v="2"/>
    <n v="551000"/>
    <n v="3.9"/>
    <n v="4"/>
    <x v="0"/>
  </r>
  <r>
    <s v="MFS-22190"/>
    <s v="Yakubu Okafor"/>
    <x v="0"/>
    <x v="0"/>
    <x v="0"/>
    <s v="Mid-level"/>
    <x v="1"/>
    <s v="41-50"/>
    <x v="2"/>
    <s v="11/02/2020"/>
    <s v="30/12/2023"/>
    <n v="6"/>
    <n v="295000"/>
    <n v="4"/>
    <n v="9"/>
    <x v="0"/>
  </r>
  <r>
    <s v="MFS-49441"/>
    <s v="Fatima Adesanya"/>
    <x v="1"/>
    <x v="4"/>
    <x v="0"/>
    <s v="Mid-level"/>
    <x v="3"/>
    <s v="41-50"/>
    <x v="0"/>
    <s v="10/02/2019"/>
    <s v="30/12/2023"/>
    <n v="7"/>
    <n v="326000"/>
    <n v="3.8"/>
    <n v="9"/>
    <x v="1"/>
  </r>
  <r>
    <s v="MFS-97734"/>
    <s v="Eze Aliyu"/>
    <x v="0"/>
    <x v="4"/>
    <x v="2"/>
    <s v="Mid-level"/>
    <x v="2"/>
    <s v="22-30"/>
    <x v="0"/>
    <s v="30/06/2020"/>
    <s v="20/06/2022"/>
    <n v="5"/>
    <n v="289000"/>
    <n v="2.9"/>
    <n v="1"/>
    <x v="1"/>
  </r>
  <r>
    <s v="MFS-40993"/>
    <s v="Musa Ihejirika"/>
    <x v="0"/>
    <x v="2"/>
    <x v="2"/>
    <s v="Senior"/>
    <x v="1"/>
    <s v="51-60"/>
    <x v="0"/>
    <s v="22/10/2022"/>
    <s v="02/03/2025"/>
    <n v="3"/>
    <n v="552000"/>
    <n v="3.6"/>
    <n v="8"/>
    <x v="0"/>
  </r>
  <r>
    <s v="MFS-92709"/>
    <s v="Chiamaka Nwachukwu"/>
    <x v="1"/>
    <x v="3"/>
    <x v="1"/>
    <s v="Mid-level"/>
    <x v="0"/>
    <s v="31-40"/>
    <x v="1"/>
    <s v="30/09/2021"/>
    <s v="02/03/2025"/>
    <n v="4"/>
    <n v="315000"/>
    <n v="3.2"/>
    <n v="7"/>
    <x v="0"/>
  </r>
  <r>
    <s v="MFS-57294"/>
    <s v="Haruna Taiwo"/>
    <x v="0"/>
    <x v="4"/>
    <x v="0"/>
    <s v="Senior"/>
    <x v="2"/>
    <s v="22-30"/>
    <x v="1"/>
    <s v="17/06/2019"/>
    <s v="02/03/2025"/>
    <n v="6"/>
    <n v="468000"/>
    <n v="2.2999999999999998"/>
    <n v="7"/>
    <x v="0"/>
  </r>
  <r>
    <s v="MFS-90653"/>
    <s v="Shehu Ihejirika"/>
    <x v="0"/>
    <x v="4"/>
    <x v="0"/>
    <s v="Director"/>
    <x v="0"/>
    <s v="31-40"/>
    <x v="3"/>
    <s v="18/06/2023"/>
    <s v="02/03/2025"/>
    <n v="2"/>
    <n v="1496000"/>
    <n v="3.8"/>
    <n v="28"/>
    <x v="1"/>
  </r>
  <r>
    <s v="MFS-79204"/>
    <s v="Chinedu Oyelaran"/>
    <x v="0"/>
    <x v="4"/>
    <x v="2"/>
    <s v="Junior"/>
    <x v="2"/>
    <s v="31-40"/>
    <x v="1"/>
    <s v="01/06/2022"/>
    <s v="26/05/2023"/>
    <n v="3"/>
    <n v="87000"/>
    <n v="3.2"/>
    <n v="0"/>
    <x v="1"/>
  </r>
  <r>
    <s v="MFS-79397"/>
    <s v="Rukayya Chukwu"/>
    <x v="1"/>
    <x v="3"/>
    <x v="0"/>
    <s v="Junior"/>
    <x v="2"/>
    <s v="51-60"/>
    <x v="2"/>
    <s v="13/09/2022"/>
    <s v="24/05/2022"/>
    <n v="3"/>
    <n v="159000"/>
    <n v="4.3"/>
    <n v="29"/>
    <x v="0"/>
  </r>
  <r>
    <s v="MFS-72439"/>
    <s v="Nkechi Uba"/>
    <x v="1"/>
    <x v="4"/>
    <x v="0"/>
    <s v="Mid-level"/>
    <x v="0"/>
    <s v="31-40"/>
    <x v="1"/>
    <s v="27/07/2020"/>
    <s v="24/05/2022"/>
    <n v="5"/>
    <n v="207000"/>
    <n v="3"/>
    <n v="8"/>
    <x v="1"/>
  </r>
  <r>
    <s v="MFS-10694"/>
    <s v="Ezinne Yakubu"/>
    <x v="1"/>
    <x v="0"/>
    <x v="0"/>
    <s v="Senior"/>
    <x v="0"/>
    <s v="22-30"/>
    <x v="2"/>
    <s v="30/05/2019"/>
    <s v="06/03/2025"/>
    <n v="6"/>
    <n v="609000"/>
    <n v="3.1"/>
    <n v="0"/>
    <x v="0"/>
  </r>
  <r>
    <s v="MFS-22764"/>
    <s v="Haruna Fagbemi"/>
    <x v="0"/>
    <x v="0"/>
    <x v="1"/>
    <s v="Senior"/>
    <x v="0"/>
    <s v="31-40"/>
    <x v="0"/>
    <s v="27/10/2023"/>
    <s v="06/03/2025"/>
    <n v="2"/>
    <n v="544000"/>
    <n v="4.5"/>
    <n v="0"/>
    <x v="3"/>
  </r>
  <r>
    <s v="MFS-77889"/>
    <s v="Gbenga Aliyu"/>
    <x v="0"/>
    <x v="0"/>
    <x v="0"/>
    <s v="Senior"/>
    <x v="0"/>
    <s v="41-50"/>
    <x v="0"/>
    <s v="08/01/2022"/>
    <s v="07/04/2020"/>
    <n v="4"/>
    <n v="562000"/>
    <n v="3.6"/>
    <n v="5"/>
    <x v="0"/>
  </r>
  <r>
    <s v="MFS-34657"/>
    <s v="Yakubu Uba"/>
    <x v="0"/>
    <x v="3"/>
    <x v="0"/>
    <s v="Director"/>
    <x v="2"/>
    <s v="22-30"/>
    <x v="0"/>
    <s v="24/01/2019"/>
    <s v="07/04/2020"/>
    <n v="7"/>
    <n v="964000"/>
    <n v="4.5999999999999996"/>
    <n v="13"/>
    <x v="1"/>
  </r>
  <r>
    <s v="MFS-99866"/>
    <s v="Oluwaseun Suleiman"/>
    <x v="0"/>
    <x v="3"/>
    <x v="0"/>
    <s v="Junior"/>
    <x v="0"/>
    <s v="51-60"/>
    <x v="1"/>
    <s v="12/11/2022"/>
    <s v="25/09/2023"/>
    <n v="3"/>
    <n v="151000"/>
    <n v="2"/>
    <n v="0"/>
    <x v="0"/>
  </r>
  <r>
    <s v="MFS-91316"/>
    <s v="Yakubu Onwudiwe"/>
    <x v="0"/>
    <x v="2"/>
    <x v="0"/>
    <s v="Mid-level"/>
    <x v="2"/>
    <s v="22-30"/>
    <x v="0"/>
    <s v="11/09/2021"/>
    <s v="25/09/2023"/>
    <n v="4"/>
    <n v="251000"/>
    <n v="3.6"/>
    <n v="3"/>
    <x v="0"/>
  </r>
  <r>
    <s v="MFS-64457"/>
    <s v="Chukwuemeka Bello"/>
    <x v="0"/>
    <x v="1"/>
    <x v="2"/>
    <s v="Mid-level"/>
    <x v="2"/>
    <s v="22-30"/>
    <x v="1"/>
    <s v="19/10/2021"/>
    <s v="25/09/2023"/>
    <n v="4"/>
    <n v="180000"/>
    <n v="3.8"/>
    <n v="3"/>
    <x v="1"/>
  </r>
  <r>
    <s v="MFS-10676"/>
    <s v="Ramatu Nwosu"/>
    <x v="1"/>
    <x v="3"/>
    <x v="0"/>
    <s v="Senior"/>
    <x v="3"/>
    <s v="22-30"/>
    <x v="1"/>
    <s v="04/03/2023"/>
    <s v="03/08/2023"/>
    <n v="3"/>
    <n v="431000"/>
    <n v="3.4"/>
    <n v="6"/>
    <x v="0"/>
  </r>
  <r>
    <s v="MFS-75648"/>
    <s v="Emeka Adebayo"/>
    <x v="0"/>
    <x v="1"/>
    <x v="0"/>
    <s v="Senior"/>
    <x v="2"/>
    <s v="41-50"/>
    <x v="0"/>
    <s v="14/03/2022"/>
    <s v="03/08/2023"/>
    <n v="3"/>
    <n v="398000"/>
    <n v="4.3"/>
    <n v="14"/>
    <x v="0"/>
  </r>
  <r>
    <s v="MFS-35385"/>
    <s v="Oghenekaro Adebayo"/>
    <x v="0"/>
    <x v="1"/>
    <x v="2"/>
    <s v="Mid-level"/>
    <x v="1"/>
    <s v="31-40"/>
    <x v="0"/>
    <s v="12/06/2020"/>
    <s v="03/08/2023"/>
    <n v="5"/>
    <n v="194000"/>
    <n v="4.3"/>
    <n v="9"/>
    <x v="0"/>
  </r>
  <r>
    <s v="MFS-81949"/>
    <s v="Tunde Haruna"/>
    <x v="0"/>
    <x v="1"/>
    <x v="0"/>
    <s v="Junior"/>
    <x v="0"/>
    <s v="41-50"/>
    <x v="1"/>
    <s v="15/05/2019"/>
    <s v="03/08/2023"/>
    <n v="6"/>
    <n v="114000"/>
    <n v="3.8"/>
    <n v="24"/>
    <x v="0"/>
  </r>
  <r>
    <s v="MFS-22879"/>
    <s v="Tobi Okeke"/>
    <x v="0"/>
    <x v="0"/>
    <x v="0"/>
    <s v="Mid-level"/>
    <x v="2"/>
    <s v="51-60"/>
    <x v="3"/>
    <s v="02/10/2020"/>
    <s v="03/08/2023"/>
    <n v="5"/>
    <n v="273000"/>
    <n v="4.7"/>
    <n v="12"/>
    <x v="0"/>
  </r>
  <r>
    <s v="MFS-27576"/>
    <s v="Adaora Nwosu"/>
    <x v="1"/>
    <x v="2"/>
    <x v="0"/>
    <s v="Senior"/>
    <x v="0"/>
    <s v="51-60"/>
    <x v="2"/>
    <s v="17/02/2022"/>
    <s v="03/08/2023"/>
    <n v="4"/>
    <n v="449000"/>
    <n v="4.8"/>
    <n v="14"/>
    <x v="0"/>
  </r>
  <r>
    <s v="MFS-20582"/>
    <s v="Kemi Nnamdi"/>
    <x v="1"/>
    <x v="2"/>
    <x v="0"/>
    <s v="Director"/>
    <x v="2"/>
    <s v="22-30"/>
    <x v="4"/>
    <s v="14/07/2019"/>
    <s v="03/08/2023"/>
    <n v="6"/>
    <n v="1014000"/>
    <n v="4.9000000000000004"/>
    <n v="28"/>
    <x v="0"/>
  </r>
  <r>
    <s v="MFS-90892"/>
    <s v="Seun Suleiman"/>
    <x v="0"/>
    <x v="1"/>
    <x v="0"/>
    <s v="Mid-level"/>
    <x v="3"/>
    <s v="22-30"/>
    <x v="0"/>
    <s v="06/05/2020"/>
    <s v="03/08/2023"/>
    <n v="5"/>
    <n v="253000"/>
    <n v="4"/>
    <n v="20"/>
    <x v="0"/>
  </r>
  <r>
    <s v="MFS-66469"/>
    <s v="Ifeoma Nnamdi"/>
    <x v="1"/>
    <x v="0"/>
    <x v="0"/>
    <s v="Director"/>
    <x v="2"/>
    <s v="31-40"/>
    <x v="0"/>
    <s v="13/03/2022"/>
    <s v="03/08/2023"/>
    <n v="3"/>
    <n v="2103000"/>
    <n v="3.8"/>
    <n v="10"/>
    <x v="0"/>
  </r>
  <r>
    <s v="MFS-71712"/>
    <s v="Aisha Nduka"/>
    <x v="1"/>
    <x v="1"/>
    <x v="1"/>
    <s v="Senior"/>
    <x v="2"/>
    <s v="31-40"/>
    <x v="2"/>
    <s v="17/12/2021"/>
    <s v="03/08/2023"/>
    <n v="4"/>
    <n v="451000"/>
    <n v="3.7"/>
    <n v="32"/>
    <x v="2"/>
  </r>
  <r>
    <s v="MFS-65259"/>
    <s v="Damilola Fagbemi"/>
    <x v="1"/>
    <x v="2"/>
    <x v="0"/>
    <s v="Junior"/>
    <x v="3"/>
    <s v="31-40"/>
    <x v="0"/>
    <s v="12/02/2020"/>
    <s v="08/06/2022"/>
    <n v="6"/>
    <n v="150000"/>
    <n v="2.2000000000000002"/>
    <n v="11"/>
    <x v="0"/>
  </r>
  <r>
    <s v="MFS-23805"/>
    <s v="Emeka Garba"/>
    <x v="0"/>
    <x v="3"/>
    <x v="1"/>
    <s v="Senior"/>
    <x v="2"/>
    <s v="22-30"/>
    <x v="0"/>
    <s v="12/07/2023"/>
    <s v="08/06/2022"/>
    <n v="2"/>
    <n v="556000"/>
    <n v="2.9"/>
    <n v="39"/>
    <x v="0"/>
  </r>
  <r>
    <s v="MFS-48041"/>
    <s v="Rukayya Onwudiwe"/>
    <x v="1"/>
    <x v="3"/>
    <x v="2"/>
    <s v="Senior"/>
    <x v="1"/>
    <s v="22-30"/>
    <x v="0"/>
    <s v="16/11/2019"/>
    <s v="08/06/2022"/>
    <n v="6"/>
    <n v="445000"/>
    <n v="3"/>
    <n v="11"/>
    <x v="1"/>
  </r>
  <r>
    <s v="MFS-84411"/>
    <s v="Hadiza Ogundipe"/>
    <x v="1"/>
    <x v="3"/>
    <x v="0"/>
    <s v="Manager"/>
    <x v="2"/>
    <s v="51-60"/>
    <x v="2"/>
    <s v="03/05/2023"/>
    <s v="02/04/2021"/>
    <n v="2"/>
    <n v="802000"/>
    <n v="3.9"/>
    <n v="0"/>
    <x v="0"/>
  </r>
  <r>
    <s v="MFS-42912"/>
    <s v="Biodun Adeyemi"/>
    <x v="0"/>
    <x v="4"/>
    <x v="0"/>
    <s v="Junior"/>
    <x v="0"/>
    <s v="41-50"/>
    <x v="1"/>
    <s v="09/07/2023"/>
    <s v="02/04/2021"/>
    <n v="2"/>
    <n v="172000"/>
    <n v="3.1"/>
    <n v="1"/>
    <x v="0"/>
  </r>
  <r>
    <s v="MFS-11150"/>
    <s v="Chibuike Uba"/>
    <x v="0"/>
    <x v="1"/>
    <x v="0"/>
    <s v="Mid-level"/>
    <x v="0"/>
    <s v="31-40"/>
    <x v="3"/>
    <s v="22/02/2020"/>
    <s v="02/04/2021"/>
    <n v="6"/>
    <n v="280000"/>
    <n v="4.5999999999999996"/>
    <n v="36"/>
    <x v="0"/>
  </r>
  <r>
    <s v="MFS-41996"/>
    <s v="Ronke Onwudiwe"/>
    <x v="1"/>
    <x v="4"/>
    <x v="0"/>
    <s v="Senior"/>
    <x v="0"/>
    <s v="31-40"/>
    <x v="1"/>
    <s v="26/08/2020"/>
    <s v="02/04/2021"/>
    <n v="5"/>
    <n v="566000"/>
    <n v="3.1"/>
    <n v="2"/>
    <x v="1"/>
  </r>
  <r>
    <s v="MFS-18471"/>
    <s v="Chioma Okafor"/>
    <x v="1"/>
    <x v="2"/>
    <x v="0"/>
    <s v="Mid-level"/>
    <x v="1"/>
    <s v="22-30"/>
    <x v="2"/>
    <s v="12/06/2023"/>
    <s v="30/01/2024"/>
    <n v="2"/>
    <n v="233000"/>
    <n v="3.3"/>
    <n v="10"/>
    <x v="1"/>
  </r>
  <r>
    <s v="MFS-39648"/>
    <s v="Folake Okafor"/>
    <x v="1"/>
    <x v="2"/>
    <x v="2"/>
    <s v="Junior"/>
    <x v="0"/>
    <s v="51-60"/>
    <x v="4"/>
    <s v="07/09/2020"/>
    <s v="02/06/2023"/>
    <n v="5"/>
    <n v="161000"/>
    <n v="2.8"/>
    <n v="8"/>
    <x v="0"/>
  </r>
  <r>
    <s v="MFS-50470"/>
    <s v="Danladi Danladi"/>
    <x v="0"/>
    <x v="3"/>
    <x v="0"/>
    <s v="Senior"/>
    <x v="0"/>
    <s v="22-30"/>
    <x v="0"/>
    <s v="08/01/2020"/>
    <s v="02/06/2023"/>
    <n v="6"/>
    <n v="408000"/>
    <n v="2.4"/>
    <n v="9"/>
    <x v="0"/>
  </r>
  <r>
    <s v="MFS-37263"/>
    <s v="Oghenekaro Yakubu"/>
    <x v="0"/>
    <x v="0"/>
    <x v="0"/>
    <s v="Director"/>
    <x v="0"/>
    <s v="41-50"/>
    <x v="2"/>
    <s v="12/01/2020"/>
    <s v="02/06/2023"/>
    <n v="6"/>
    <n v="1472000"/>
    <n v="3.3"/>
    <n v="13"/>
    <x v="0"/>
  </r>
  <r>
    <s v="MFS-35431"/>
    <s v="Ifeoma Nwachukwu"/>
    <x v="1"/>
    <x v="2"/>
    <x v="0"/>
    <s v="Junior"/>
    <x v="0"/>
    <s v="51-60"/>
    <x v="1"/>
    <s v="16/01/2022"/>
    <s v="02/06/2023"/>
    <n v="4"/>
    <n v="155000"/>
    <n v="3"/>
    <n v="7"/>
    <x v="0"/>
  </r>
  <r>
    <s v="MFS-42900"/>
    <s v="Ifeoma Adebayo"/>
    <x v="1"/>
    <x v="4"/>
    <x v="2"/>
    <s v="Senior"/>
    <x v="1"/>
    <s v="41-50"/>
    <x v="0"/>
    <s v="13/11/2021"/>
    <s v="02/06/2023"/>
    <n v="4"/>
    <n v="524000"/>
    <n v="3"/>
    <n v="30"/>
    <x v="1"/>
  </r>
  <r>
    <s v="MFS-15167"/>
    <s v="Kunle Obi"/>
    <x v="0"/>
    <x v="2"/>
    <x v="1"/>
    <s v="Mid-level"/>
    <x v="0"/>
    <s v="22-30"/>
    <x v="2"/>
    <s v="28/09/2019"/>
    <s v="20/11/2024"/>
    <n v="6"/>
    <n v="314000"/>
    <n v="4.5999999999999996"/>
    <n v="8"/>
    <x v="2"/>
  </r>
  <r>
    <s v="MFS-47086"/>
    <s v="Oluwaseun Obaseki"/>
    <x v="0"/>
    <x v="4"/>
    <x v="0"/>
    <s v="Senior"/>
    <x v="3"/>
    <s v="31-40"/>
    <x v="0"/>
    <s v="31/08/2019"/>
    <s v="07/12/2020"/>
    <n v="6"/>
    <n v="528000"/>
    <n v="2.2000000000000002"/>
    <n v="19"/>
    <x v="1"/>
  </r>
  <r>
    <s v="MFS-58009"/>
    <s v="Obiora Omotayo"/>
    <x v="0"/>
    <x v="4"/>
    <x v="0"/>
    <s v="Junior"/>
    <x v="0"/>
    <s v="41-50"/>
    <x v="1"/>
    <s v="18/04/2022"/>
    <s v="28/08/2022"/>
    <n v="3"/>
    <n v="128000"/>
    <n v="2.2000000000000002"/>
    <n v="13"/>
    <x v="0"/>
  </r>
  <r>
    <s v="MFS-47433"/>
    <s v="Ogechi Adewale"/>
    <x v="1"/>
    <x v="2"/>
    <x v="1"/>
    <s v="Manager"/>
    <x v="1"/>
    <s v="31-40"/>
    <x v="0"/>
    <s v="16/02/2023"/>
    <s v="28/08/2022"/>
    <n v="3"/>
    <n v="771000"/>
    <n v="3.5"/>
    <n v="9"/>
    <x v="0"/>
  </r>
  <r>
    <s v="MFS-53292"/>
    <s v="Rabiu Ogbonna"/>
    <x v="0"/>
    <x v="2"/>
    <x v="0"/>
    <s v="Mid-level"/>
    <x v="2"/>
    <s v="31-40"/>
    <x v="1"/>
    <s v="20/06/2020"/>
    <s v="28/08/2022"/>
    <n v="5"/>
    <n v="340000"/>
    <n v="3.7"/>
    <n v="13"/>
    <x v="0"/>
  </r>
  <r>
    <s v="MFS-12674"/>
    <s v="Sola Adewale"/>
    <x v="1"/>
    <x v="3"/>
    <x v="0"/>
    <s v="Director"/>
    <x v="0"/>
    <s v="31-40"/>
    <x v="2"/>
    <s v="19/11/2020"/>
    <s v="28/08/2022"/>
    <n v="5"/>
    <n v="1472000"/>
    <n v="4.5999999999999996"/>
    <n v="2"/>
    <x v="0"/>
  </r>
  <r>
    <s v="MFS-31578"/>
    <s v="Yetunde Adeyemi"/>
    <x v="1"/>
    <x v="0"/>
    <x v="0"/>
    <s v="Mid-level"/>
    <x v="0"/>
    <s v="22-30"/>
    <x v="0"/>
    <s v="21/06/2019"/>
    <s v="28/08/2022"/>
    <n v="6"/>
    <n v="285000"/>
    <n v="4.4000000000000004"/>
    <n v="1"/>
    <x v="1"/>
  </r>
  <r>
    <s v="MFS-79140"/>
    <s v="Seun Aliyu"/>
    <x v="0"/>
    <x v="2"/>
    <x v="0"/>
    <s v="Manager"/>
    <x v="3"/>
    <s v="31-40"/>
    <x v="4"/>
    <s v="17/07/2022"/>
    <s v="15/05/2023"/>
    <n v="3"/>
    <n v="857000"/>
    <n v="3.4"/>
    <n v="20"/>
    <x v="3"/>
  </r>
  <r>
    <s v="MFS-95062"/>
    <s v="Ikenna Adewale"/>
    <x v="0"/>
    <x v="3"/>
    <x v="2"/>
    <s v="Senior"/>
    <x v="1"/>
    <s v="22-30"/>
    <x v="3"/>
    <s v="11/09/2022"/>
    <s v="07/01/2024"/>
    <n v="3"/>
    <n v="495000"/>
    <n v="3.1"/>
    <n v="3"/>
    <x v="0"/>
  </r>
  <r>
    <s v="MFS-44017"/>
    <s v="Asabe Ogbonna"/>
    <x v="1"/>
    <x v="3"/>
    <x v="1"/>
    <s v="Junior"/>
    <x v="2"/>
    <s v="31-40"/>
    <x v="2"/>
    <s v="27/12/2022"/>
    <s v="07/01/2024"/>
    <n v="3"/>
    <n v="176000"/>
    <n v="3.9"/>
    <n v="37"/>
    <x v="0"/>
  </r>
  <r>
    <s v="MFS-34029"/>
    <s v="Nasiru Adewale"/>
    <x v="0"/>
    <x v="4"/>
    <x v="0"/>
    <s v="Mid-level"/>
    <x v="0"/>
    <s v="22-30"/>
    <x v="1"/>
    <s v="20/12/2019"/>
    <s v="07/01/2024"/>
    <n v="6"/>
    <n v="251000"/>
    <n v="2.2999999999999998"/>
    <n v="0"/>
    <x v="0"/>
  </r>
  <r>
    <s v="MFS-88193"/>
    <s v="Obinna Musa"/>
    <x v="0"/>
    <x v="1"/>
    <x v="0"/>
    <s v="Mid-level"/>
    <x v="2"/>
    <s v="31-40"/>
    <x v="0"/>
    <s v="22/12/2022"/>
    <s v="07/01/2024"/>
    <n v="3"/>
    <n v="229000"/>
    <n v="4.4000000000000004"/>
    <n v="11"/>
    <x v="1"/>
  </r>
  <r>
    <s v="MFS-17652"/>
    <s v="Dele Okonkwo"/>
    <x v="0"/>
    <x v="1"/>
    <x v="0"/>
    <s v="Mid-level"/>
    <x v="0"/>
    <s v="41-50"/>
    <x v="2"/>
    <s v="27/05/2019"/>
    <s v="23/01/2020"/>
    <n v="6"/>
    <n v="212000"/>
    <n v="2.8"/>
    <n v="14"/>
    <x v="1"/>
  </r>
  <r>
    <s v="MFS-48036"/>
    <s v="Yakubu Okafor"/>
    <x v="0"/>
    <x v="4"/>
    <x v="2"/>
    <s v="Junior"/>
    <x v="3"/>
    <s v="41-50"/>
    <x v="0"/>
    <s v="24/01/2020"/>
    <s v="14/10/2023"/>
    <n v="6"/>
    <n v="140000"/>
    <n v="2.1"/>
    <n v="5"/>
    <x v="0"/>
  </r>
  <r>
    <s v="MFS-17799"/>
    <s v="Nasiru Haruna"/>
    <x v="0"/>
    <x v="1"/>
    <x v="0"/>
    <s v="Senior"/>
    <x v="1"/>
    <s v="31-40"/>
    <x v="1"/>
    <s v="23/09/2020"/>
    <s v="14/10/2023"/>
    <n v="5"/>
    <n v="530000"/>
    <n v="4"/>
    <n v="5"/>
    <x v="0"/>
  </r>
  <r>
    <s v="MFS-28218"/>
    <s v="Bimpe Ihejirika"/>
    <x v="1"/>
    <x v="4"/>
    <x v="0"/>
    <s v="Mid-level"/>
    <x v="1"/>
    <s v="22-30"/>
    <x v="0"/>
    <s v="24/10/2020"/>
    <s v="14/10/2023"/>
    <n v="5"/>
    <n v="190000"/>
    <n v="2.5"/>
    <n v="6"/>
    <x v="1"/>
  </r>
  <r>
    <s v="MFS-50463"/>
    <s v="Ugochi Nwosu"/>
    <x v="1"/>
    <x v="1"/>
    <x v="1"/>
    <s v="Junior"/>
    <x v="0"/>
    <s v="41-50"/>
    <x v="0"/>
    <s v="13/04/2019"/>
    <s v="16/07/2020"/>
    <n v="6"/>
    <n v="130000"/>
    <n v="2"/>
    <n v="0"/>
    <x v="1"/>
  </r>
  <r>
    <s v="MFS-68599"/>
    <s v="Abubakar Obaseki"/>
    <x v="0"/>
    <x v="4"/>
    <x v="1"/>
    <s v="Manager"/>
    <x v="3"/>
    <s v="51-60"/>
    <x v="0"/>
    <s v="10/02/2022"/>
    <s v="30/04/2022"/>
    <n v="4"/>
    <n v="719000"/>
    <n v="4.5999999999999996"/>
    <n v="14"/>
    <x v="0"/>
  </r>
  <r>
    <s v="MFS-92502"/>
    <s v="Ogechi Buhari"/>
    <x v="1"/>
    <x v="4"/>
    <x v="0"/>
    <s v="Senior"/>
    <x v="0"/>
    <s v="41-50"/>
    <x v="0"/>
    <s v="12/10/2023"/>
    <s v="30/04/2022"/>
    <n v="2"/>
    <n v="479000"/>
    <n v="4"/>
    <n v="7"/>
    <x v="0"/>
  </r>
  <r>
    <s v="MFS-57878"/>
    <s v="Ibrahim Lawal"/>
    <x v="0"/>
    <x v="3"/>
    <x v="0"/>
    <s v="Mid-level"/>
    <x v="0"/>
    <s v="31-40"/>
    <x v="2"/>
    <s v="15/07/2019"/>
    <s v="30/04/2022"/>
    <n v="6"/>
    <n v="247000"/>
    <n v="3"/>
    <n v="7"/>
    <x v="0"/>
  </r>
  <r>
    <s v="MFS-66904"/>
    <s v="Ifeanyi Obaseki"/>
    <x v="0"/>
    <x v="3"/>
    <x v="0"/>
    <s v="Manager"/>
    <x v="2"/>
    <s v="31-40"/>
    <x v="0"/>
    <s v="11/07/2019"/>
    <s v="30/04/2022"/>
    <n v="6"/>
    <n v="874000"/>
    <n v="3.8"/>
    <n v="6"/>
    <x v="0"/>
  </r>
  <r>
    <s v="MFS-96668"/>
    <s v="Haruna Afolabi"/>
    <x v="0"/>
    <x v="2"/>
    <x v="0"/>
    <s v="Mid-level"/>
    <x v="0"/>
    <s v="31-40"/>
    <x v="2"/>
    <s v="28/06/2019"/>
    <s v="30/04/2022"/>
    <n v="6"/>
    <n v="258000"/>
    <n v="3.2"/>
    <n v="5"/>
    <x v="3"/>
  </r>
  <r>
    <s v="MFS-95717"/>
    <s v="Seun Omotayo"/>
    <x v="0"/>
    <x v="3"/>
    <x v="2"/>
    <s v="Senior"/>
    <x v="0"/>
    <s v="41-50"/>
    <x v="1"/>
    <s v="15/11/2019"/>
    <s v="22/02/2025"/>
    <n v="6"/>
    <n v="418000"/>
    <n v="3.8"/>
    <n v="3"/>
    <x v="1"/>
  </r>
  <r>
    <s v="MFS-95149"/>
    <s v="Chidi Garba"/>
    <x v="0"/>
    <x v="4"/>
    <x v="0"/>
    <s v="Mid-level"/>
    <x v="0"/>
    <s v="31-40"/>
    <x v="0"/>
    <s v="07/02/2023"/>
    <s v="15/01/2025"/>
    <n v="3"/>
    <n v="310000"/>
    <n v="4.5999999999999996"/>
    <n v="11"/>
    <x v="1"/>
  </r>
  <r>
    <s v="MFS-62045"/>
    <s v="Ronke Yakubu"/>
    <x v="1"/>
    <x v="3"/>
    <x v="2"/>
    <s v="Senior"/>
    <x v="1"/>
    <s v="22-30"/>
    <x v="1"/>
    <s v="31/12/2021"/>
    <s v="08/02/2025"/>
    <n v="4"/>
    <n v="400000"/>
    <n v="4.2"/>
    <n v="21"/>
    <x v="0"/>
  </r>
  <r>
    <s v="MFS-13888"/>
    <s v="Kabiru Adeyemi"/>
    <x v="0"/>
    <x v="2"/>
    <x v="0"/>
    <s v="Manager"/>
    <x v="0"/>
    <s v="51-60"/>
    <x v="0"/>
    <s v="16/01/2021"/>
    <s v="08/02/2025"/>
    <n v="5"/>
    <n v="735000"/>
    <n v="3.6"/>
    <n v="5"/>
    <x v="0"/>
  </r>
  <r>
    <s v="MFS-76782"/>
    <s v="Chukwudi Okonkwo"/>
    <x v="0"/>
    <x v="0"/>
    <x v="0"/>
    <s v="Mid-level"/>
    <x v="1"/>
    <s v="31-40"/>
    <x v="0"/>
    <s v="11/10/2023"/>
    <s v="08/02/2025"/>
    <n v="2"/>
    <n v="285000"/>
    <n v="3.8"/>
    <n v="6"/>
    <x v="2"/>
  </r>
  <r>
    <s v="MFS-25718"/>
    <s v="Emeka Afolabi"/>
    <x v="0"/>
    <x v="2"/>
    <x v="0"/>
    <s v="Manager"/>
    <x v="1"/>
    <s v="31-40"/>
    <x v="0"/>
    <s v="26/04/2021"/>
    <s v="14/12/2024"/>
    <n v="4"/>
    <n v="877000"/>
    <n v="3.2"/>
    <n v="13"/>
    <x v="0"/>
  </r>
  <r>
    <s v="MFS-73632"/>
    <s v="Adeola Amadi"/>
    <x v="0"/>
    <x v="0"/>
    <x v="0"/>
    <s v="Senior"/>
    <x v="2"/>
    <s v="41-50"/>
    <x v="1"/>
    <s v="29/05/2019"/>
    <s v="14/12/2024"/>
    <n v="6"/>
    <n v="554000"/>
    <n v="4.8"/>
    <n v="5"/>
    <x v="0"/>
  </r>
  <r>
    <s v="MFS-51452"/>
    <s v="Bukola Uba"/>
    <x v="1"/>
    <x v="0"/>
    <x v="0"/>
    <s v="Mid-level"/>
    <x v="0"/>
    <s v="31-40"/>
    <x v="1"/>
    <s v="14/02/2019"/>
    <s v="14/12/2024"/>
    <n v="7"/>
    <n v="206000"/>
    <n v="3.6"/>
    <n v="6"/>
    <x v="0"/>
  </r>
  <r>
    <s v="MFS-47136"/>
    <s v="Chioma Suleiman"/>
    <x v="1"/>
    <x v="2"/>
    <x v="1"/>
    <s v="Junior"/>
    <x v="1"/>
    <s v="31-40"/>
    <x v="1"/>
    <s v="22/02/2023"/>
    <s v="14/12/2024"/>
    <n v="3"/>
    <n v="86000"/>
    <n v="2.7"/>
    <n v="1"/>
    <x v="0"/>
  </r>
  <r>
    <s v="MFS-72618"/>
    <s v="Chidi Garba"/>
    <x v="0"/>
    <x v="1"/>
    <x v="0"/>
    <s v="Senior"/>
    <x v="2"/>
    <s v="31-40"/>
    <x v="2"/>
    <s v="10/06/2020"/>
    <s v="14/12/2024"/>
    <n v="5"/>
    <n v="353000"/>
    <n v="4.3"/>
    <n v="32"/>
    <x v="0"/>
  </r>
  <r>
    <s v="MFS-18504"/>
    <s v="Ibrahim Abdullahi"/>
    <x v="0"/>
    <x v="2"/>
    <x v="0"/>
    <s v="Manager"/>
    <x v="0"/>
    <s v="22-30"/>
    <x v="2"/>
    <s v="31/05/2023"/>
    <s v="14/12/2024"/>
    <n v="2"/>
    <n v="883000"/>
    <n v="4.7"/>
    <n v="11"/>
    <x v="0"/>
  </r>
  <r>
    <s v="MFS-54587"/>
    <s v="Kunle Abdullahi"/>
    <x v="0"/>
    <x v="2"/>
    <x v="2"/>
    <s v="Mid-level"/>
    <x v="1"/>
    <s v="22-30"/>
    <x v="0"/>
    <s v="06/08/2019"/>
    <s v="14/12/2024"/>
    <n v="6"/>
    <n v="328000"/>
    <n v="2.9"/>
    <n v="9"/>
    <x v="0"/>
  </r>
  <r>
    <s v="MFS-87092"/>
    <s v="Ifeanyi Suleiman"/>
    <x v="0"/>
    <x v="2"/>
    <x v="0"/>
    <s v="Mid-level"/>
    <x v="1"/>
    <s v="31-40"/>
    <x v="0"/>
    <s v="02/07/2021"/>
    <s v="14/12/2024"/>
    <n v="4"/>
    <n v="268000"/>
    <n v="3.9"/>
    <n v="7"/>
    <x v="0"/>
  </r>
  <r>
    <s v="MFS-97632"/>
    <s v="Uche Okeke"/>
    <x v="0"/>
    <x v="2"/>
    <x v="0"/>
    <s v="Mid-level"/>
    <x v="2"/>
    <s v="31-40"/>
    <x v="1"/>
    <s v="11/11/2019"/>
    <s v="14/12/2024"/>
    <n v="6"/>
    <n v="277000"/>
    <n v="2.2999999999999998"/>
    <n v="21"/>
    <x v="0"/>
  </r>
  <r>
    <s v="MFS-18286"/>
    <s v="Oluwaseun Suleiman"/>
    <x v="0"/>
    <x v="4"/>
    <x v="1"/>
    <s v="Mid-level"/>
    <x v="2"/>
    <s v="31-40"/>
    <x v="2"/>
    <s v="24/07/2019"/>
    <s v="14/12/2024"/>
    <n v="6"/>
    <n v="314000"/>
    <n v="3.9"/>
    <n v="2"/>
    <x v="0"/>
  </r>
  <r>
    <s v="MFS-14682"/>
    <s v="Musa Danladi"/>
    <x v="0"/>
    <x v="3"/>
    <x v="0"/>
    <s v="Junior"/>
    <x v="0"/>
    <s v="31-40"/>
    <x v="0"/>
    <s v="05/06/2019"/>
    <s v="14/12/2024"/>
    <n v="6"/>
    <n v="150000"/>
    <n v="4.5"/>
    <n v="10"/>
    <x v="0"/>
  </r>
  <r>
    <s v="MFS-62907"/>
    <s v="Kemi Afolabi"/>
    <x v="1"/>
    <x v="0"/>
    <x v="0"/>
    <s v="Junior"/>
    <x v="1"/>
    <s v="31-40"/>
    <x v="2"/>
    <s v="14/04/2021"/>
    <s v="14/12/2024"/>
    <n v="4"/>
    <n v="103000"/>
    <n v="3.8"/>
    <n v="2"/>
    <x v="0"/>
  </r>
  <r>
    <s v="MFS-93913"/>
    <s v="Bello Okafor"/>
    <x v="0"/>
    <x v="4"/>
    <x v="0"/>
    <s v="Mid-level"/>
    <x v="0"/>
    <s v="31-40"/>
    <x v="2"/>
    <s v="27/01/2022"/>
    <s v="14/12/2024"/>
    <n v="4"/>
    <n v="309000"/>
    <n v="4.5"/>
    <n v="5"/>
    <x v="0"/>
  </r>
  <r>
    <s v="MFS-37366"/>
    <s v="Chukwudi Afolabi"/>
    <x v="0"/>
    <x v="0"/>
    <x v="2"/>
    <s v="Junior"/>
    <x v="0"/>
    <s v="51-60"/>
    <x v="1"/>
    <s v="31/01/2021"/>
    <s v="14/12/2024"/>
    <n v="5"/>
    <n v="169000"/>
    <n v="2.2999999999999998"/>
    <n v="11"/>
    <x v="1"/>
  </r>
  <r>
    <s v="MFS-60237"/>
    <s v="Ibrahim Okonkwo"/>
    <x v="0"/>
    <x v="4"/>
    <x v="0"/>
    <s v="Junior"/>
    <x v="0"/>
    <s v="31-40"/>
    <x v="4"/>
    <s v="03/01/2019"/>
    <s v="17/06/2022"/>
    <n v="7"/>
    <n v="158000"/>
    <n v="3.2"/>
    <n v="7"/>
    <x v="0"/>
  </r>
  <r>
    <s v="MFS-21482"/>
    <s v="Chukwuemeka Okeke"/>
    <x v="0"/>
    <x v="4"/>
    <x v="0"/>
    <s v="Senior"/>
    <x v="2"/>
    <s v="31-40"/>
    <x v="0"/>
    <s v="13/02/2019"/>
    <s v="17/06/2022"/>
    <n v="7"/>
    <n v="437000"/>
    <n v="4.2"/>
    <n v="4"/>
    <x v="1"/>
  </r>
  <r>
    <s v="MFS-19345"/>
    <s v="Yemi Fagbemi"/>
    <x v="1"/>
    <x v="0"/>
    <x v="0"/>
    <s v="Junior"/>
    <x v="2"/>
    <s v="31-40"/>
    <x v="0"/>
    <s v="14/05/2021"/>
    <s v="25/10/2024"/>
    <n v="4"/>
    <n v="169000"/>
    <n v="4.2"/>
    <n v="0"/>
    <x v="0"/>
  </r>
  <r>
    <s v="MFS-24898"/>
    <s v="Abubakar Fagbemi"/>
    <x v="0"/>
    <x v="1"/>
    <x v="2"/>
    <s v="Mid-level"/>
    <x v="0"/>
    <s v="41-50"/>
    <x v="2"/>
    <s v="20/07/2021"/>
    <s v="25/10/2024"/>
    <n v="4"/>
    <n v="251000"/>
    <n v="4.0999999999999996"/>
    <n v="0"/>
    <x v="0"/>
  </r>
  <r>
    <s v="MFS-48450"/>
    <s v="Chibuike Fagbemi"/>
    <x v="0"/>
    <x v="1"/>
    <x v="2"/>
    <s v="Manager"/>
    <x v="1"/>
    <s v="51-60"/>
    <x v="0"/>
    <s v="22/06/2020"/>
    <s v="25/10/2024"/>
    <n v="5"/>
    <n v="629000"/>
    <n v="4.0999999999999996"/>
    <n v="2"/>
    <x v="0"/>
  </r>
  <r>
    <s v="MFS-49298"/>
    <s v="Yakubu Adesanya"/>
    <x v="0"/>
    <x v="0"/>
    <x v="0"/>
    <s v="Junior"/>
    <x v="1"/>
    <s v="51-60"/>
    <x v="3"/>
    <s v="14/09/2019"/>
    <s v="25/10/2024"/>
    <n v="6"/>
    <n v="198000"/>
    <n v="3.9"/>
    <n v="3"/>
    <x v="0"/>
  </r>
  <r>
    <s v="MFS-31860"/>
    <s v="Nana Nduka"/>
    <x v="1"/>
    <x v="2"/>
    <x v="1"/>
    <s v="Junior"/>
    <x v="0"/>
    <s v="22-30"/>
    <x v="1"/>
    <s v="14/03/2021"/>
    <s v="25/10/2024"/>
    <n v="4"/>
    <n v="100000"/>
    <n v="3.8"/>
    <n v="6"/>
    <x v="0"/>
  </r>
  <r>
    <s v="MFS-41762"/>
    <s v="Ramatu Aliyu"/>
    <x v="1"/>
    <x v="0"/>
    <x v="0"/>
    <s v="Manager"/>
    <x v="2"/>
    <s v="31-40"/>
    <x v="1"/>
    <s v="17/06/2022"/>
    <s v="25/10/2024"/>
    <n v="3"/>
    <n v="1045000"/>
    <n v="4.5999999999999996"/>
    <n v="3"/>
    <x v="0"/>
  </r>
  <r>
    <s v="MFS-11673"/>
    <s v="Uche Ihejirika"/>
    <x v="0"/>
    <x v="4"/>
    <x v="1"/>
    <s v="Junior"/>
    <x v="0"/>
    <s v="41-50"/>
    <x v="1"/>
    <s v="27/10/2019"/>
    <s v="25/10/2024"/>
    <n v="6"/>
    <n v="165000"/>
    <n v="2.9"/>
    <n v="12"/>
    <x v="0"/>
  </r>
  <r>
    <s v="MFS-17849"/>
    <s v="Bello Onwudiwe"/>
    <x v="0"/>
    <x v="4"/>
    <x v="0"/>
    <s v="Mid-level"/>
    <x v="0"/>
    <s v="41-50"/>
    <x v="0"/>
    <s v="06/08/2020"/>
    <s v="25/10/2024"/>
    <n v="5"/>
    <n v="243000"/>
    <n v="3.1"/>
    <n v="14"/>
    <x v="0"/>
  </r>
  <r>
    <s v="MFS-96303"/>
    <s v="Yakubu Abdullahi"/>
    <x v="0"/>
    <x v="2"/>
    <x v="0"/>
    <s v="Manager"/>
    <x v="0"/>
    <s v="31-40"/>
    <x v="0"/>
    <s v="08/05/2023"/>
    <s v="25/10/2024"/>
    <n v="2"/>
    <n v="831000"/>
    <n v="3.5"/>
    <n v="9"/>
    <x v="2"/>
  </r>
  <r>
    <s v="MFS-11442"/>
    <s v="Hafsat Afolabi"/>
    <x v="1"/>
    <x v="0"/>
    <x v="0"/>
    <s v="Senior"/>
    <x v="0"/>
    <s v="31-40"/>
    <x v="2"/>
    <s v="09/03/2021"/>
    <s v="10/12/2022"/>
    <n v="5"/>
    <n v="654000"/>
    <n v="4.9000000000000004"/>
    <n v="10"/>
    <x v="0"/>
  </r>
  <r>
    <s v="MFS-90335"/>
    <s v="Nana Nnamdi"/>
    <x v="1"/>
    <x v="3"/>
    <x v="0"/>
    <s v="Senior"/>
    <x v="0"/>
    <s v="22-30"/>
    <x v="1"/>
    <s v="08/01/2019"/>
    <s v="10/12/2022"/>
    <n v="7"/>
    <n v="476000"/>
    <n v="4.3"/>
    <n v="12"/>
    <x v="3"/>
  </r>
  <r>
    <s v="MFS-58395"/>
    <s v="Chinyere Fagbemi"/>
    <x v="1"/>
    <x v="0"/>
    <x v="2"/>
    <s v="Mid-level"/>
    <x v="0"/>
    <s v="31-40"/>
    <x v="0"/>
    <s v="17/04/2023"/>
    <s v="10/07/2023"/>
    <n v="2"/>
    <n v="337000"/>
    <n v="4.3"/>
    <n v="4"/>
    <x v="0"/>
  </r>
  <r>
    <s v="MFS-61608"/>
    <s v="Chinwe Oyelaran"/>
    <x v="1"/>
    <x v="4"/>
    <x v="0"/>
    <s v="Mid-level"/>
    <x v="2"/>
    <s v="41-50"/>
    <x v="3"/>
    <s v="02/10/2022"/>
    <s v="10/07/2023"/>
    <n v="3"/>
    <n v="334000"/>
    <n v="2.6"/>
    <n v="10"/>
    <x v="2"/>
  </r>
  <r>
    <s v="MFS-64139"/>
    <s v="Ezinne Garba"/>
    <x v="1"/>
    <x v="4"/>
    <x v="2"/>
    <s v="Junior"/>
    <x v="0"/>
    <s v="41-50"/>
    <x v="2"/>
    <s v="05/09/2022"/>
    <s v="31/01/2024"/>
    <n v="3"/>
    <n v="108000"/>
    <n v="2.5"/>
    <n v="2"/>
    <x v="1"/>
  </r>
  <r>
    <s v="MFS-71598"/>
    <s v="Amaka Lawal"/>
    <x v="1"/>
    <x v="0"/>
    <x v="0"/>
    <s v="Junior"/>
    <x v="3"/>
    <s v="41-50"/>
    <x v="0"/>
    <s v="12/10/2020"/>
    <s v="03/05/2024"/>
    <n v="5"/>
    <n v="174000"/>
    <n v="3.4"/>
    <n v="3"/>
    <x v="0"/>
  </r>
  <r>
    <s v="MFS-81547"/>
    <s v="Ibrahim Shehu"/>
    <x v="0"/>
    <x v="2"/>
    <x v="2"/>
    <s v="Mid-level"/>
    <x v="0"/>
    <s v="31-40"/>
    <x v="0"/>
    <s v="27/01/2020"/>
    <s v="03/05/2024"/>
    <n v="6"/>
    <n v="276000"/>
    <n v="4.9000000000000004"/>
    <n v="1"/>
    <x v="0"/>
  </r>
  <r>
    <s v="MFS-80526"/>
    <s v="Dele Taiwo"/>
    <x v="0"/>
    <x v="0"/>
    <x v="0"/>
    <s v="Senior"/>
    <x v="0"/>
    <s v="22-30"/>
    <x v="0"/>
    <s v="09/01/2022"/>
    <s v="03/05/2024"/>
    <n v="4"/>
    <n v="611000"/>
    <n v="3.8"/>
    <n v="7"/>
    <x v="0"/>
  </r>
  <r>
    <s v="MFS-73538"/>
    <s v="Adebayo Nwosu"/>
    <x v="0"/>
    <x v="3"/>
    <x v="0"/>
    <s v="Manager"/>
    <x v="0"/>
    <s v="22-30"/>
    <x v="2"/>
    <s v="21/05/2022"/>
    <s v="03/05/2024"/>
    <n v="3"/>
    <n v="661000"/>
    <n v="4.2"/>
    <n v="7"/>
    <x v="0"/>
  </r>
  <r>
    <s v="MFS-28142"/>
    <s v="Ugochi Omotayo"/>
    <x v="1"/>
    <x v="2"/>
    <x v="0"/>
    <s v="Manager"/>
    <x v="2"/>
    <s v="31-40"/>
    <x v="1"/>
    <s v="09/01/2023"/>
    <s v="03/05/2024"/>
    <n v="3"/>
    <n v="918000"/>
    <n v="4.2"/>
    <n v="10"/>
    <x v="1"/>
  </r>
  <r>
    <s v="MFS-94559"/>
    <s v="Chidi Nwachukwu"/>
    <x v="0"/>
    <x v="2"/>
    <x v="2"/>
    <s v="Junior"/>
    <x v="2"/>
    <s v="41-50"/>
    <x v="0"/>
    <s v="08/09/2021"/>
    <s v="09/04/2024"/>
    <n v="4"/>
    <n v="114000"/>
    <n v="2.6"/>
    <n v="14"/>
    <x v="0"/>
  </r>
  <r>
    <s v="MFS-18609"/>
    <s v="Tosin Ogbonna"/>
    <x v="1"/>
    <x v="1"/>
    <x v="0"/>
    <s v="Manager"/>
    <x v="0"/>
    <s v="22-30"/>
    <x v="0"/>
    <s v="16/11/2019"/>
    <s v="09/04/2024"/>
    <n v="6"/>
    <n v="803000"/>
    <n v="3.8"/>
    <n v="4"/>
    <x v="0"/>
  </r>
  <r>
    <s v="MFS-28245"/>
    <s v="Garba Fagbemi"/>
    <x v="0"/>
    <x v="0"/>
    <x v="0"/>
    <s v="Mid-level"/>
    <x v="2"/>
    <s v="41-50"/>
    <x v="0"/>
    <s v="24/07/2022"/>
    <s v="09/04/2024"/>
    <n v="3"/>
    <n v="316000"/>
    <n v="2.1"/>
    <n v="11"/>
    <x v="0"/>
  </r>
  <r>
    <s v="MFS-43292"/>
    <s v="Chinedu Okafor"/>
    <x v="0"/>
    <x v="4"/>
    <x v="2"/>
    <s v="Junior"/>
    <x v="0"/>
    <s v="41-50"/>
    <x v="0"/>
    <s v="21/08/2022"/>
    <s v="09/04/2024"/>
    <n v="3"/>
    <n v="154000"/>
    <n v="3"/>
    <n v="3"/>
    <x v="0"/>
  </r>
  <r>
    <s v="MFS-47082"/>
    <s v="Nneka Oyelaran"/>
    <x v="1"/>
    <x v="2"/>
    <x v="0"/>
    <s v="Junior"/>
    <x v="0"/>
    <s v="51-60"/>
    <x v="2"/>
    <s v="30/06/2023"/>
    <s v="09/04/2024"/>
    <n v="2"/>
    <n v="103000"/>
    <n v="2.4"/>
    <n v="10"/>
    <x v="0"/>
  </r>
  <r>
    <s v="MFS-45231"/>
    <s v="Tobi Adesanya"/>
    <x v="0"/>
    <x v="3"/>
    <x v="0"/>
    <s v="Manager"/>
    <x v="0"/>
    <s v="41-50"/>
    <x v="0"/>
    <s v="11/07/2019"/>
    <s v="09/04/2024"/>
    <n v="6"/>
    <n v="774000"/>
    <n v="3.9"/>
    <n v="2"/>
    <x v="0"/>
  </r>
  <r>
    <s v="MFS-20645"/>
    <s v="Ngozi Danladi"/>
    <x v="1"/>
    <x v="1"/>
    <x v="0"/>
    <s v="Junior"/>
    <x v="0"/>
    <s v="22-30"/>
    <x v="2"/>
    <s v="22/07/2022"/>
    <s v="09/04/2024"/>
    <n v="3"/>
    <n v="152000"/>
    <n v="3.5"/>
    <n v="0"/>
    <x v="0"/>
  </r>
  <r>
    <s v="MFS-74370"/>
    <s v="Chioma Eze"/>
    <x v="1"/>
    <x v="4"/>
    <x v="0"/>
    <s v="Mid-level"/>
    <x v="3"/>
    <s v="22-30"/>
    <x v="2"/>
    <s v="09/08/2023"/>
    <s v="09/04/2024"/>
    <n v="2"/>
    <n v="335000"/>
    <n v="2.7"/>
    <n v="5"/>
    <x v="1"/>
  </r>
  <r>
    <s v="MFS-84923"/>
    <s v="Yetunde Fagbemi"/>
    <x v="1"/>
    <x v="2"/>
    <x v="2"/>
    <s v="Mid-level"/>
    <x v="2"/>
    <s v="51-60"/>
    <x v="0"/>
    <s v="05/02/2019"/>
    <s v="06/09/2024"/>
    <n v="7"/>
    <n v="292000"/>
    <n v="4.5999999999999996"/>
    <n v="5"/>
    <x v="0"/>
  </r>
  <r>
    <s v="MFS-84240"/>
    <s v="Obiora Adesanya"/>
    <x v="0"/>
    <x v="2"/>
    <x v="0"/>
    <s v="Manager"/>
    <x v="1"/>
    <s v="22-30"/>
    <x v="0"/>
    <s v="29/09/2022"/>
    <s v="06/09/2024"/>
    <n v="3"/>
    <n v="903000"/>
    <n v="3.9"/>
    <n v="8"/>
    <x v="1"/>
  </r>
  <r>
    <s v="MFS-35904"/>
    <s v="Yakubu Garba"/>
    <x v="0"/>
    <x v="3"/>
    <x v="0"/>
    <s v="Manager"/>
    <x v="3"/>
    <s v="41-50"/>
    <x v="2"/>
    <s v="18/08/2023"/>
    <s v="04/12/2023"/>
    <n v="2"/>
    <n v="621000"/>
    <n v="4.3"/>
    <n v="13"/>
    <x v="0"/>
  </r>
  <r>
    <s v="MFS-71736"/>
    <s v="Chinwe Abdullahi"/>
    <x v="1"/>
    <x v="1"/>
    <x v="0"/>
    <s v="Junior"/>
    <x v="0"/>
    <s v="22-30"/>
    <x v="3"/>
    <s v="09/08/2020"/>
    <s v="04/12/2023"/>
    <n v="5"/>
    <n v="131000"/>
    <n v="3.2"/>
    <n v="1"/>
    <x v="0"/>
  </r>
  <r>
    <s v="MFS-62114"/>
    <s v="Femi Shehu"/>
    <x v="0"/>
    <x v="1"/>
    <x v="0"/>
    <s v="Manager"/>
    <x v="3"/>
    <s v="31-40"/>
    <x v="0"/>
    <s v="17/03/2020"/>
    <s v="04/12/2023"/>
    <n v="5"/>
    <n v="602000"/>
    <n v="4.5999999999999996"/>
    <n v="3"/>
    <x v="0"/>
  </r>
  <r>
    <s v="MFS-41744"/>
    <s v="Chukwuemeka Suleiman"/>
    <x v="0"/>
    <x v="2"/>
    <x v="0"/>
    <s v="Junior"/>
    <x v="0"/>
    <s v="41-50"/>
    <x v="3"/>
    <s v="22/09/2020"/>
    <s v="04/12/2023"/>
    <n v="5"/>
    <n v="165000"/>
    <n v="4"/>
    <n v="9"/>
    <x v="3"/>
  </r>
  <r>
    <s v="MFS-23344"/>
    <s v="Chioma Ogundipe"/>
    <x v="1"/>
    <x v="1"/>
    <x v="2"/>
    <s v="Senior"/>
    <x v="0"/>
    <s v="22-30"/>
    <x v="0"/>
    <s v="02/08/2023"/>
    <s v="21/05/2024"/>
    <n v="2"/>
    <n v="350000"/>
    <n v="2.4"/>
    <n v="18"/>
    <x v="1"/>
  </r>
  <r>
    <s v="MFS-45842"/>
    <s v="Tobi Taiwo"/>
    <x v="0"/>
    <x v="3"/>
    <x v="2"/>
    <s v="Senior"/>
    <x v="0"/>
    <s v="31-40"/>
    <x v="2"/>
    <s v="28/03/2019"/>
    <s v="03/10/2024"/>
    <n v="6"/>
    <n v="422000"/>
    <n v="4.0999999999999996"/>
    <n v="7"/>
    <x v="0"/>
  </r>
  <r>
    <s v="MFS-87872"/>
    <s v="Ugochi Uba"/>
    <x v="1"/>
    <x v="3"/>
    <x v="0"/>
    <s v="Manager"/>
    <x v="3"/>
    <s v="22-30"/>
    <x v="3"/>
    <s v="29/10/2022"/>
    <s v="03/10/2024"/>
    <n v="3"/>
    <n v="903000"/>
    <n v="4.5999999999999996"/>
    <n v="8"/>
    <x v="0"/>
  </r>
  <r>
    <s v="MFS-67031"/>
    <s v="Maryam Adeyemi"/>
    <x v="1"/>
    <x v="4"/>
    <x v="0"/>
    <s v="Senior"/>
    <x v="1"/>
    <s v="31-40"/>
    <x v="2"/>
    <s v="12/02/2023"/>
    <s v="03/10/2024"/>
    <n v="3"/>
    <n v="362000"/>
    <n v="3.9"/>
    <n v="11"/>
    <x v="2"/>
  </r>
  <r>
    <s v="MFS-29839"/>
    <s v="Asabe Okafor"/>
    <x v="1"/>
    <x v="2"/>
    <x v="1"/>
    <s v="Mid-level"/>
    <x v="1"/>
    <s v="41-50"/>
    <x v="0"/>
    <s v="08/06/2021"/>
    <s v="29/07/2024"/>
    <n v="4"/>
    <n v="290000"/>
    <n v="3.2"/>
    <n v="9"/>
    <x v="0"/>
  </r>
  <r>
    <s v="MFS-41937"/>
    <s v="Oluwaseun Suleiman"/>
    <x v="0"/>
    <x v="1"/>
    <x v="0"/>
    <s v="Senior"/>
    <x v="2"/>
    <s v="22-30"/>
    <x v="0"/>
    <s v="04/07/2022"/>
    <s v="29/07/2024"/>
    <n v="3"/>
    <n v="408000"/>
    <n v="3.7"/>
    <n v="11"/>
    <x v="1"/>
  </r>
  <r>
    <s v="MFS-22250"/>
    <s v="Bello Ihejirika"/>
    <x v="0"/>
    <x v="1"/>
    <x v="0"/>
    <s v="Director"/>
    <x v="1"/>
    <s v="51-60"/>
    <x v="1"/>
    <s v="23/04/2019"/>
    <s v="01/11/2021"/>
    <n v="6"/>
    <n v="1541000"/>
    <n v="5"/>
    <n v="11"/>
    <x v="0"/>
  </r>
  <r>
    <s v="MFS-27919"/>
    <s v="Nneka Nwachukwu"/>
    <x v="1"/>
    <x v="0"/>
    <x v="2"/>
    <s v="Junior"/>
    <x v="0"/>
    <s v="31-40"/>
    <x v="2"/>
    <s v="18/02/2021"/>
    <s v="01/11/2021"/>
    <n v="5"/>
    <n v="132000"/>
    <n v="3.8"/>
    <n v="12"/>
    <x v="2"/>
  </r>
  <r>
    <s v="MFS-73421"/>
    <s v="Nnamdi Taiwo"/>
    <x v="0"/>
    <x v="1"/>
    <x v="0"/>
    <s v="Director"/>
    <x v="2"/>
    <s v="41-50"/>
    <x v="0"/>
    <s v="09/04/2020"/>
    <s v="30/12/2022"/>
    <n v="5"/>
    <n v="1556000"/>
    <n v="4.0999999999999996"/>
    <n v="9"/>
    <x v="0"/>
  </r>
  <r>
    <s v="MFS-26059"/>
    <s v="Wale Onwudiwe"/>
    <x v="0"/>
    <x v="4"/>
    <x v="0"/>
    <s v="Junior"/>
    <x v="0"/>
    <s v="31-40"/>
    <x v="1"/>
    <s v="29/03/2022"/>
    <s v="30/12/2022"/>
    <n v="3"/>
    <n v="154000"/>
    <n v="1.9"/>
    <n v="8"/>
    <x v="0"/>
  </r>
  <r>
    <s v="MFS-69267"/>
    <s v="Ikenna Garba"/>
    <x v="0"/>
    <x v="0"/>
    <x v="1"/>
    <s v="Junior"/>
    <x v="2"/>
    <s v="31-40"/>
    <x v="0"/>
    <s v="31/03/2020"/>
    <s v="30/12/2022"/>
    <n v="5"/>
    <n v="191000"/>
    <n v="3.6"/>
    <n v="8"/>
    <x v="0"/>
  </r>
  <r>
    <s v="MFS-24482"/>
    <s v="Femi Buhari"/>
    <x v="0"/>
    <x v="3"/>
    <x v="0"/>
    <s v="Mid-level"/>
    <x v="0"/>
    <s v="31-40"/>
    <x v="0"/>
    <s v="04/10/2023"/>
    <s v="30/12/2022"/>
    <n v="2"/>
    <n v="295000"/>
    <n v="3.1"/>
    <n v="4"/>
    <x v="0"/>
  </r>
  <r>
    <s v="MFS-31694"/>
    <s v="Laraba Adeyemi"/>
    <x v="1"/>
    <x v="1"/>
    <x v="0"/>
    <s v="Senior"/>
    <x v="1"/>
    <s v="41-50"/>
    <x v="0"/>
    <s v="20/02/2023"/>
    <s v="30/12/2022"/>
    <n v="3"/>
    <n v="386000"/>
    <n v="3.5"/>
    <n v="11"/>
    <x v="0"/>
  </r>
  <r>
    <s v="MFS-84133"/>
    <s v="Ngozi Amadi"/>
    <x v="1"/>
    <x v="4"/>
    <x v="0"/>
    <s v="Mid-level"/>
    <x v="0"/>
    <s v="22-30"/>
    <x v="3"/>
    <s v="06/10/2022"/>
    <s v="30/12/2022"/>
    <n v="3"/>
    <n v="317000"/>
    <n v="2.5"/>
    <n v="37"/>
    <x v="0"/>
  </r>
  <r>
    <s v="MFS-40778"/>
    <s v="Laraba Nwachukwu"/>
    <x v="1"/>
    <x v="1"/>
    <x v="0"/>
    <s v="Director"/>
    <x v="2"/>
    <s v="41-50"/>
    <x v="0"/>
    <s v="10/06/2023"/>
    <s v="30/12/2022"/>
    <n v="2"/>
    <n v="1115000"/>
    <n v="3.1"/>
    <n v="9"/>
    <x v="0"/>
  </r>
  <r>
    <s v="MFS-78386"/>
    <s v="Hafsat Lawal"/>
    <x v="1"/>
    <x v="0"/>
    <x v="0"/>
    <s v="Mid-level"/>
    <x v="3"/>
    <s v="22-30"/>
    <x v="1"/>
    <s v="03/03/2020"/>
    <s v="30/12/2022"/>
    <n v="6"/>
    <n v="385000"/>
    <n v="4.9000000000000004"/>
    <n v="28"/>
    <x v="0"/>
  </r>
  <r>
    <s v="MFS-19222"/>
    <s v="Uche Lawal"/>
    <x v="0"/>
    <x v="2"/>
    <x v="2"/>
    <s v="Director"/>
    <x v="0"/>
    <s v="41-50"/>
    <x v="4"/>
    <s v="13/09/2022"/>
    <s v="30/12/2022"/>
    <n v="3"/>
    <n v="1395000"/>
    <n v="3.7"/>
    <n v="14"/>
    <x v="0"/>
  </r>
  <r>
    <s v="MFS-45406"/>
    <s v="Ibrahim Nwosu"/>
    <x v="0"/>
    <x v="3"/>
    <x v="0"/>
    <s v="Mid-level"/>
    <x v="2"/>
    <s v="22-30"/>
    <x v="0"/>
    <s v="21/03/2022"/>
    <s v="30/12/2022"/>
    <n v="3"/>
    <n v="244000"/>
    <n v="3.9"/>
    <n v="4"/>
    <x v="2"/>
  </r>
  <r>
    <s v="MFS-18097"/>
    <s v="Kemi Bello"/>
    <x v="1"/>
    <x v="1"/>
    <x v="0"/>
    <s v="Senior"/>
    <x v="1"/>
    <s v="31-40"/>
    <x v="0"/>
    <s v="25/10/2019"/>
    <s v="11/01/2023"/>
    <n v="6"/>
    <n v="453000"/>
    <n v="2.1"/>
    <n v="0"/>
    <x v="2"/>
  </r>
  <r>
    <s v="MFS-37479"/>
    <s v="Bello Fagbemi"/>
    <x v="0"/>
    <x v="1"/>
    <x v="0"/>
    <s v="Manager"/>
    <x v="0"/>
    <s v="31-40"/>
    <x v="2"/>
    <s v="03/05/2019"/>
    <s v="28/02/2021"/>
    <n v="6"/>
    <n v="690000"/>
    <n v="4.2"/>
    <n v="10"/>
    <x v="0"/>
  </r>
  <r>
    <s v="MFS-47052"/>
    <s v="Dele Suleiman"/>
    <x v="0"/>
    <x v="4"/>
    <x v="0"/>
    <s v="Mid-level"/>
    <x v="1"/>
    <s v="31-40"/>
    <x v="2"/>
    <s v="20/05/2020"/>
    <s v="28/02/2021"/>
    <n v="5"/>
    <n v="275000"/>
    <n v="4.0999999999999996"/>
    <n v="7"/>
    <x v="0"/>
  </r>
  <r>
    <s v="MFS-86414"/>
    <s v="Aliyu Bello"/>
    <x v="0"/>
    <x v="2"/>
    <x v="1"/>
    <s v="Junior"/>
    <x v="2"/>
    <s v="22-30"/>
    <x v="2"/>
    <s v="15/01/2020"/>
    <s v="28/02/2021"/>
    <n v="6"/>
    <n v="115000"/>
    <n v="3.2"/>
    <n v="29"/>
    <x v="0"/>
  </r>
  <r>
    <s v="MFS-14814"/>
    <s v="Jummai Taiwo"/>
    <x v="1"/>
    <x v="3"/>
    <x v="0"/>
    <s v="Junior"/>
    <x v="3"/>
    <s v="31-40"/>
    <x v="0"/>
    <s v="29/02/2020"/>
    <s v="28/02/2021"/>
    <n v="6"/>
    <n v="118000"/>
    <n v="4.9000000000000004"/>
    <n v="11"/>
    <x v="1"/>
  </r>
  <r>
    <s v="MFS-57796"/>
    <s v="Yemi Adeyemi"/>
    <x v="1"/>
    <x v="3"/>
    <x v="2"/>
    <s v="Junior"/>
    <x v="0"/>
    <s v="31-40"/>
    <x v="1"/>
    <s v="25/08/2021"/>
    <s v="26/10/2024"/>
    <n v="4"/>
    <n v="173000"/>
    <n v="3.7"/>
    <n v="13"/>
    <x v="0"/>
  </r>
  <r>
    <s v="MFS-49936"/>
    <s v="Tosin Nduka"/>
    <x v="1"/>
    <x v="4"/>
    <x v="1"/>
    <s v="Junior"/>
    <x v="3"/>
    <s v="41-50"/>
    <x v="1"/>
    <s v="07/11/2020"/>
    <s v="26/10/2024"/>
    <n v="5"/>
    <n v="121000"/>
    <n v="2.5"/>
    <n v="14"/>
    <x v="0"/>
  </r>
  <r>
    <s v="MFS-45922"/>
    <s v="Tobi Adeyemi"/>
    <x v="0"/>
    <x v="4"/>
    <x v="0"/>
    <s v="Senior"/>
    <x v="0"/>
    <s v="31-40"/>
    <x v="2"/>
    <s v="29/12/2023"/>
    <s v="26/10/2024"/>
    <n v="2"/>
    <n v="505000"/>
    <n v="2.4"/>
    <n v="3"/>
    <x v="0"/>
  </r>
  <r>
    <s v="MFS-30914"/>
    <s v="Hadiza Okonkwo"/>
    <x v="1"/>
    <x v="3"/>
    <x v="0"/>
    <s v="Senior"/>
    <x v="0"/>
    <s v="31-40"/>
    <x v="2"/>
    <s v="28/05/2022"/>
    <s v="26/10/2024"/>
    <n v="3"/>
    <n v="459000"/>
    <n v="2.7"/>
    <n v="1"/>
    <x v="1"/>
  </r>
  <r>
    <s v="MFS-10264"/>
    <s v="Bello Obaseki"/>
    <x v="0"/>
    <x v="2"/>
    <x v="2"/>
    <s v="Mid-level"/>
    <x v="3"/>
    <s v="31-40"/>
    <x v="0"/>
    <s v="02/12/2021"/>
    <s v="03/05/2024"/>
    <n v="4"/>
    <n v="269000"/>
    <n v="4.7"/>
    <n v="9"/>
    <x v="0"/>
  </r>
  <r>
    <s v="MFS-78461"/>
    <s v="Rukayya Adesanya"/>
    <x v="1"/>
    <x v="1"/>
    <x v="1"/>
    <s v="Mid-level"/>
    <x v="2"/>
    <s v="22-30"/>
    <x v="2"/>
    <s v="04/03/2020"/>
    <s v="03/05/2024"/>
    <n v="6"/>
    <n v="194000"/>
    <n v="5"/>
    <n v="40"/>
    <x v="0"/>
  </r>
  <r>
    <s v="MFS-62031"/>
    <s v="Titi Ihejirika"/>
    <x v="1"/>
    <x v="0"/>
    <x v="0"/>
    <s v="Mid-level"/>
    <x v="0"/>
    <s v="31-40"/>
    <x v="0"/>
    <s v="26/09/2023"/>
    <s v="03/05/2024"/>
    <n v="2"/>
    <n v="299000"/>
    <n v="3.4"/>
    <n v="13"/>
    <x v="0"/>
  </r>
  <r>
    <s v="MFS-10193"/>
    <s v="Babatunde Onwudiwe"/>
    <x v="0"/>
    <x v="2"/>
    <x v="1"/>
    <s v="Mid-level"/>
    <x v="0"/>
    <s v="41-50"/>
    <x v="0"/>
    <s v="12/09/2021"/>
    <s v="03/05/2024"/>
    <n v="4"/>
    <n v="255000"/>
    <n v="4.5"/>
    <n v="4"/>
    <x v="3"/>
  </r>
  <r>
    <s v="MFS-46482"/>
    <s v="Fatima Yakubu"/>
    <x v="1"/>
    <x v="4"/>
    <x v="1"/>
    <s v="Mid-level"/>
    <x v="0"/>
    <s v="41-50"/>
    <x v="4"/>
    <s v="27/09/2022"/>
    <s v="01/03/2025"/>
    <n v="3"/>
    <n v="209000"/>
    <n v="1.5"/>
    <n v="12"/>
    <x v="1"/>
  </r>
  <r>
    <s v="MFS-20680"/>
    <s v="Tobi Haruna"/>
    <x v="0"/>
    <x v="1"/>
    <x v="0"/>
    <s v="Mid-level"/>
    <x v="2"/>
    <s v="31-40"/>
    <x v="0"/>
    <s v="09/10/2023"/>
    <s v="10/10/2024"/>
    <n v="2"/>
    <n v="186000"/>
    <n v="4.5"/>
    <n v="8"/>
    <x v="2"/>
  </r>
  <r>
    <s v="MFS-86278"/>
    <s v="Gbenga Ogundipe"/>
    <x v="0"/>
    <x v="1"/>
    <x v="1"/>
    <s v="Senior"/>
    <x v="2"/>
    <s v="41-50"/>
    <x v="0"/>
    <s v="25/03/2021"/>
    <s v="22/07/2024"/>
    <n v="4"/>
    <n v="361000"/>
    <n v="2.6"/>
    <n v="13"/>
    <x v="0"/>
  </r>
  <r>
    <s v="MFS-23407"/>
    <s v="Haruna Danladi"/>
    <x v="0"/>
    <x v="2"/>
    <x v="2"/>
    <s v="Mid-level"/>
    <x v="2"/>
    <s v="22-30"/>
    <x v="0"/>
    <s v="15/07/2019"/>
    <s v="22/07/2024"/>
    <n v="6"/>
    <n v="300000"/>
    <n v="3.9"/>
    <n v="0"/>
    <x v="0"/>
  </r>
  <r>
    <s v="MFS-62410"/>
    <s v="Damilola Nwosu"/>
    <x v="1"/>
    <x v="4"/>
    <x v="0"/>
    <s v="Mid-level"/>
    <x v="2"/>
    <s v="41-50"/>
    <x v="2"/>
    <s v="25/07/2023"/>
    <s v="22/07/2024"/>
    <n v="2"/>
    <n v="264000"/>
    <n v="2.6"/>
    <n v="0"/>
    <x v="1"/>
  </r>
  <r>
    <s v="MFS-11803"/>
    <s v="Eze Uba"/>
    <x v="0"/>
    <x v="2"/>
    <x v="0"/>
    <s v="Mid-level"/>
    <x v="2"/>
    <s v="22-30"/>
    <x v="0"/>
    <s v="12/09/2022"/>
    <s v="27/06/2022"/>
    <n v="3"/>
    <n v="268000"/>
    <n v="2.8"/>
    <n v="13"/>
    <x v="0"/>
  </r>
  <r>
    <s v="MFS-23651"/>
    <s v="Lola Okafor"/>
    <x v="1"/>
    <x v="2"/>
    <x v="0"/>
    <s v="Junior"/>
    <x v="0"/>
    <s v="22-30"/>
    <x v="3"/>
    <s v="31/08/2020"/>
    <s v="27/06/2022"/>
    <n v="5"/>
    <n v="108000"/>
    <n v="3.9"/>
    <n v="8"/>
    <x v="0"/>
  </r>
  <r>
    <s v="MFS-39617"/>
    <s v="Adaora Okafor"/>
    <x v="1"/>
    <x v="2"/>
    <x v="2"/>
    <s v="Junior"/>
    <x v="0"/>
    <s v="31-40"/>
    <x v="3"/>
    <s v="14/01/2021"/>
    <s v="27/06/2022"/>
    <n v="5"/>
    <n v="118000"/>
    <n v="3.9"/>
    <n v="10"/>
    <x v="1"/>
  </r>
  <r>
    <s v="MFS-90883"/>
    <s v="Musa Taiwo"/>
    <x v="0"/>
    <x v="2"/>
    <x v="2"/>
    <s v="Senior"/>
    <x v="2"/>
    <s v="41-50"/>
    <x v="3"/>
    <s v="31/07/2019"/>
    <s v="08/03/2022"/>
    <n v="6"/>
    <n v="557000"/>
    <n v="2.4"/>
    <n v="13"/>
    <x v="0"/>
  </r>
  <r>
    <s v="MFS-67123"/>
    <s v="Adaora Amadi"/>
    <x v="1"/>
    <x v="2"/>
    <x v="0"/>
    <s v="Junior"/>
    <x v="2"/>
    <s v="41-50"/>
    <x v="0"/>
    <s v="04/05/2022"/>
    <s v="08/03/2022"/>
    <n v="3"/>
    <n v="127000"/>
    <n v="4.5999999999999996"/>
    <n v="10"/>
    <x v="0"/>
  </r>
  <r>
    <s v="MFS-82083"/>
    <s v="Lola Onwudiwe"/>
    <x v="1"/>
    <x v="1"/>
    <x v="0"/>
    <s v="Mid-level"/>
    <x v="1"/>
    <s v="31-40"/>
    <x v="2"/>
    <s v="15/05/2019"/>
    <s v="08/03/2022"/>
    <n v="6"/>
    <n v="316000"/>
    <n v="4.0999999999999996"/>
    <n v="5"/>
    <x v="0"/>
  </r>
  <r>
    <s v="MFS-13604"/>
    <s v="Tosin Adeyemi"/>
    <x v="1"/>
    <x v="1"/>
    <x v="0"/>
    <s v="Mid-level"/>
    <x v="2"/>
    <s v="22-30"/>
    <x v="1"/>
    <s v="10/11/2023"/>
    <s v="08/03/2022"/>
    <n v="2"/>
    <n v="235000"/>
    <n v="2.2000000000000002"/>
    <n v="5"/>
    <x v="0"/>
  </r>
  <r>
    <s v="MFS-65050"/>
    <s v="Dele Buhari"/>
    <x v="0"/>
    <x v="1"/>
    <x v="0"/>
    <s v="Junior"/>
    <x v="0"/>
    <s v="22-30"/>
    <x v="2"/>
    <s v="01/02/2020"/>
    <s v="08/03/2022"/>
    <n v="6"/>
    <n v="133000"/>
    <n v="3.3"/>
    <n v="9"/>
    <x v="0"/>
  </r>
  <r>
    <s v="MFS-17425"/>
    <s v="Usman Yakubu"/>
    <x v="0"/>
    <x v="4"/>
    <x v="0"/>
    <s v="Junior"/>
    <x v="2"/>
    <s v="22-30"/>
    <x v="1"/>
    <s v="07/09/2021"/>
    <s v="08/03/2022"/>
    <n v="4"/>
    <n v="147000"/>
    <n v="2.8"/>
    <n v="32"/>
    <x v="0"/>
  </r>
  <r>
    <s v="MFS-45659"/>
    <s v="Laraba Suleiman"/>
    <x v="1"/>
    <x v="3"/>
    <x v="0"/>
    <s v="Mid-level"/>
    <x v="1"/>
    <s v="41-50"/>
    <x v="1"/>
    <s v="12/06/2020"/>
    <s v="08/03/2022"/>
    <n v="5"/>
    <n v="236000"/>
    <n v="2.5"/>
    <n v="13"/>
    <x v="0"/>
  </r>
  <r>
    <s v="MFS-45084"/>
    <s v="Nnamdi Afolabi"/>
    <x v="0"/>
    <x v="3"/>
    <x v="0"/>
    <s v="Mid-level"/>
    <x v="2"/>
    <s v="31-40"/>
    <x v="1"/>
    <s v="08/05/2022"/>
    <s v="08/03/2022"/>
    <n v="3"/>
    <n v="265000"/>
    <n v="4.9000000000000004"/>
    <n v="34"/>
    <x v="0"/>
  </r>
  <r>
    <s v="MFS-64930"/>
    <s v="Haruna Chukwu"/>
    <x v="0"/>
    <x v="0"/>
    <x v="1"/>
    <s v="Mid-level"/>
    <x v="0"/>
    <s v="22-30"/>
    <x v="3"/>
    <s v="21/07/2020"/>
    <s v="08/03/2022"/>
    <n v="5"/>
    <n v="274000"/>
    <n v="3.1"/>
    <n v="9"/>
    <x v="0"/>
  </r>
  <r>
    <s v="MFS-96191"/>
    <s v="Musa Onwudiwe"/>
    <x v="0"/>
    <x v="3"/>
    <x v="0"/>
    <s v="Mid-level"/>
    <x v="0"/>
    <s v="22-30"/>
    <x v="1"/>
    <s v="01/08/2020"/>
    <s v="08/03/2022"/>
    <n v="5"/>
    <n v="182000"/>
    <n v="4.7"/>
    <n v="9"/>
    <x v="0"/>
  </r>
  <r>
    <s v="MFS-78323"/>
    <s v="Shehu Abdullahi"/>
    <x v="0"/>
    <x v="3"/>
    <x v="0"/>
    <s v="Senior"/>
    <x v="0"/>
    <s v="41-50"/>
    <x v="2"/>
    <s v="24/05/2021"/>
    <s v="08/03/2022"/>
    <n v="4"/>
    <n v="429000"/>
    <n v="2.2999999999999998"/>
    <n v="6"/>
    <x v="1"/>
  </r>
  <r>
    <s v="MFS-67086"/>
    <s v="Chinwe Aliyu"/>
    <x v="1"/>
    <x v="1"/>
    <x v="0"/>
    <s v="Mid-level"/>
    <x v="1"/>
    <s v="22-30"/>
    <x v="2"/>
    <s v="19/10/2019"/>
    <s v="30/07/2020"/>
    <n v="6"/>
    <n v="180000"/>
    <n v="3.3"/>
    <n v="7"/>
    <x v="0"/>
  </r>
  <r>
    <s v="MFS-77914"/>
    <s v="Shehu Afolabi"/>
    <x v="0"/>
    <x v="1"/>
    <x v="0"/>
    <s v="Junior"/>
    <x v="0"/>
    <s v="22-30"/>
    <x v="3"/>
    <s v="12/10/2021"/>
    <s v="30/07/2020"/>
    <n v="4"/>
    <n v="85000"/>
    <n v="4.3"/>
    <n v="13"/>
    <x v="0"/>
  </r>
  <r>
    <s v="MFS-81947"/>
    <s v="Obiora Haruna"/>
    <x v="0"/>
    <x v="4"/>
    <x v="0"/>
    <s v="Manager"/>
    <x v="1"/>
    <s v="41-50"/>
    <x v="0"/>
    <s v="15/12/2021"/>
    <s v="30/07/2020"/>
    <n v="4"/>
    <n v="843000"/>
    <n v="4.3"/>
    <n v="11"/>
    <x v="0"/>
  </r>
  <r>
    <s v="MFS-80340"/>
    <s v="Dele Coker"/>
    <x v="0"/>
    <x v="1"/>
    <x v="0"/>
    <s v="Mid-level"/>
    <x v="2"/>
    <s v="31-40"/>
    <x v="3"/>
    <s v="20/08/2019"/>
    <s v="30/07/2020"/>
    <n v="6"/>
    <n v="292000"/>
    <n v="3.4"/>
    <n v="4"/>
    <x v="1"/>
  </r>
  <r>
    <s v="MFS-55972"/>
    <s v="Fatima Bello"/>
    <x v="1"/>
    <x v="4"/>
    <x v="0"/>
    <s v="Junior"/>
    <x v="0"/>
    <s v="41-50"/>
    <x v="0"/>
    <s v="13/06/2021"/>
    <s v="02/02/2023"/>
    <n v="4"/>
    <n v="153000"/>
    <n v="2.1"/>
    <n v="14"/>
    <x v="2"/>
  </r>
  <r>
    <s v="MFS-68686"/>
    <s v="Haruna Obi"/>
    <x v="0"/>
    <x v="3"/>
    <x v="0"/>
    <s v="Director"/>
    <x v="2"/>
    <s v="31-40"/>
    <x v="0"/>
    <s v="12/01/2020"/>
    <s v="01/08/2020"/>
    <n v="6"/>
    <n v="1747000"/>
    <n v="3.6"/>
    <n v="7"/>
    <x v="1"/>
  </r>
  <r>
    <s v="MFS-25765"/>
    <s v="Titi Nwachukwu"/>
    <x v="1"/>
    <x v="2"/>
    <x v="0"/>
    <s v="Mid-level"/>
    <x v="0"/>
    <s v="31-40"/>
    <x v="3"/>
    <s v="10/08/2020"/>
    <s v="17/02/2024"/>
    <n v="5"/>
    <n v="342000"/>
    <n v="3.5"/>
    <n v="3"/>
    <x v="0"/>
  </r>
  <r>
    <s v="MFS-63370"/>
    <s v="Garba Nwosu"/>
    <x v="0"/>
    <x v="2"/>
    <x v="0"/>
    <s v="Mid-level"/>
    <x v="1"/>
    <s v="41-50"/>
    <x v="1"/>
    <s v="22/06/2020"/>
    <s v="17/02/2024"/>
    <n v="5"/>
    <n v="336000"/>
    <n v="2.2000000000000002"/>
    <n v="10"/>
    <x v="0"/>
  </r>
  <r>
    <s v="MFS-82440"/>
    <s v="Adaora Obaseki"/>
    <x v="1"/>
    <x v="2"/>
    <x v="0"/>
    <s v="Senior"/>
    <x v="2"/>
    <s v="31-40"/>
    <x v="0"/>
    <s v="24/02/2023"/>
    <s v="17/02/2024"/>
    <n v="3"/>
    <n v="364000"/>
    <n v="4.0999999999999996"/>
    <n v="7"/>
    <x v="3"/>
  </r>
  <r>
    <s v="MFS-37997"/>
    <s v="Lola Bello"/>
    <x v="1"/>
    <x v="3"/>
    <x v="0"/>
    <s v="Senior"/>
    <x v="3"/>
    <s v="31-40"/>
    <x v="0"/>
    <s v="28/03/2020"/>
    <s v="28/04/2022"/>
    <n v="5"/>
    <n v="456000"/>
    <n v="4.9000000000000004"/>
    <n v="12"/>
    <x v="0"/>
  </r>
  <r>
    <s v="MFS-19528"/>
    <s v="Obinna Chukwu"/>
    <x v="0"/>
    <x v="0"/>
    <x v="0"/>
    <s v="Junior"/>
    <x v="3"/>
    <s v="51-60"/>
    <x v="0"/>
    <s v="31/07/2020"/>
    <s v="28/04/2022"/>
    <n v="5"/>
    <n v="198000"/>
    <n v="4.0999999999999996"/>
    <n v="13"/>
    <x v="0"/>
  </r>
  <r>
    <s v="MFS-49354"/>
    <s v="Aliyu Omotayo"/>
    <x v="0"/>
    <x v="2"/>
    <x v="2"/>
    <s v="Senior"/>
    <x v="2"/>
    <s v="31-40"/>
    <x v="2"/>
    <s v="19/12/2019"/>
    <s v="28/04/2022"/>
    <n v="6"/>
    <n v="596000"/>
    <n v="2.6"/>
    <n v="4"/>
    <x v="1"/>
  </r>
  <r>
    <s v="MFS-93901"/>
    <s v="Oghenekaro Ogbonna"/>
    <x v="0"/>
    <x v="4"/>
    <x v="0"/>
    <s v="Junior"/>
    <x v="0"/>
    <s v="51-60"/>
    <x v="0"/>
    <s v="13/04/2022"/>
    <s v="08/04/2024"/>
    <n v="3"/>
    <n v="126000"/>
    <n v="3.3"/>
    <n v="3"/>
    <x v="0"/>
  </r>
  <r>
    <s v="MFS-61851"/>
    <s v="Lola Chukwu"/>
    <x v="1"/>
    <x v="2"/>
    <x v="0"/>
    <s v="Mid-level"/>
    <x v="3"/>
    <s v="22-30"/>
    <x v="4"/>
    <s v="14/08/2021"/>
    <s v="08/04/2024"/>
    <n v="4"/>
    <n v="186000"/>
    <n v="3.2"/>
    <n v="6"/>
    <x v="0"/>
  </r>
  <r>
    <s v="MFS-87802"/>
    <s v="Jummai Aliyu"/>
    <x v="1"/>
    <x v="4"/>
    <x v="0"/>
    <s v="Mid-level"/>
    <x v="2"/>
    <s v="41-50"/>
    <x v="0"/>
    <s v="03/10/2020"/>
    <s v="08/04/2024"/>
    <n v="5"/>
    <n v="263000"/>
    <n v="2"/>
    <n v="11"/>
    <x v="1"/>
  </r>
  <r>
    <s v="MFS-19071"/>
    <s v="Bilkisu Oyelaran"/>
    <x v="1"/>
    <x v="3"/>
    <x v="1"/>
    <s v="Junior"/>
    <x v="3"/>
    <s v="22-30"/>
    <x v="0"/>
    <s v="09/03/2020"/>
    <s v="24/08/2024"/>
    <n v="6"/>
    <n v="173000"/>
    <n v="4.3"/>
    <n v="11"/>
    <x v="0"/>
  </r>
  <r>
    <s v="MFS-67357"/>
    <s v="Kemi Bello"/>
    <x v="1"/>
    <x v="0"/>
    <x v="0"/>
    <s v="Senior"/>
    <x v="3"/>
    <s v="41-50"/>
    <x v="1"/>
    <s v="20/05/2022"/>
    <s v="24/08/2024"/>
    <n v="3"/>
    <n v="660000"/>
    <n v="2.2000000000000002"/>
    <n v="12"/>
    <x v="2"/>
  </r>
  <r>
    <s v="MFS-63163"/>
    <s v="Bilkisu Suleiman"/>
    <x v="1"/>
    <x v="0"/>
    <x v="0"/>
    <s v="Director"/>
    <x v="0"/>
    <s v="31-40"/>
    <x v="0"/>
    <s v="27/08/2021"/>
    <s v="04/07/2024"/>
    <n v="4"/>
    <n v="1592000"/>
    <n v="3.4"/>
    <n v="30"/>
    <x v="0"/>
  </r>
  <r>
    <s v="MFS-18280"/>
    <s v="Seun Onwudiwe"/>
    <x v="0"/>
    <x v="0"/>
    <x v="2"/>
    <s v="Senior"/>
    <x v="0"/>
    <s v="22-30"/>
    <x v="0"/>
    <s v="22/10/2020"/>
    <s v="04/07/2024"/>
    <n v="5"/>
    <n v="554000"/>
    <n v="2.6"/>
    <n v="6"/>
    <x v="0"/>
  </r>
  <r>
    <s v="MFS-15110"/>
    <s v="Aisha Nwachukwu"/>
    <x v="1"/>
    <x v="3"/>
    <x v="0"/>
    <s v="Director"/>
    <x v="0"/>
    <s v="31-40"/>
    <x v="1"/>
    <s v="18/11/2023"/>
    <s v="04/07/2024"/>
    <n v="2"/>
    <n v="974000"/>
    <n v="3.4"/>
    <n v="11"/>
    <x v="2"/>
  </r>
  <r>
    <s v="MFS-49641"/>
    <s v="Dele Amadi"/>
    <x v="0"/>
    <x v="1"/>
    <x v="0"/>
    <s v="Mid-level"/>
    <x v="3"/>
    <s v="51-60"/>
    <x v="1"/>
    <s v="12/08/2021"/>
    <s v="12/07/2021"/>
    <n v="4"/>
    <n v="279000"/>
    <n v="2.2000000000000002"/>
    <n v="15"/>
    <x v="0"/>
  </r>
  <r>
    <s v="MFS-57938"/>
    <s v="Adebayo Okafor"/>
    <x v="0"/>
    <x v="3"/>
    <x v="0"/>
    <s v="Manager"/>
    <x v="2"/>
    <s v="31-40"/>
    <x v="3"/>
    <s v="18/05/2020"/>
    <s v="12/07/2021"/>
    <n v="5"/>
    <n v="912000"/>
    <n v="4.5999999999999996"/>
    <n v="5"/>
    <x v="2"/>
  </r>
  <r>
    <s v="MFS-73133"/>
    <s v="Chukwuemeka Adesanya"/>
    <x v="0"/>
    <x v="0"/>
    <x v="2"/>
    <s v="Senior"/>
    <x v="1"/>
    <s v="31-40"/>
    <x v="1"/>
    <s v="13/01/2023"/>
    <s v="21/07/2023"/>
    <n v="3"/>
    <n v="539000"/>
    <n v="3.6"/>
    <n v="0"/>
    <x v="1"/>
  </r>
  <r>
    <s v="MFS-59663"/>
    <s v="Adeola Okafor"/>
    <x v="1"/>
    <x v="3"/>
    <x v="2"/>
    <s v="Mid-level"/>
    <x v="3"/>
    <s v="22-30"/>
    <x v="2"/>
    <s v="23/05/2022"/>
    <s v="30/09/2021"/>
    <n v="3"/>
    <n v="278000"/>
    <n v="4.7"/>
    <n v="6"/>
    <x v="0"/>
  </r>
  <r>
    <s v="MFS-37842"/>
    <s v="Chinyere Abdullahi"/>
    <x v="1"/>
    <x v="3"/>
    <x v="0"/>
    <s v="Senior"/>
    <x v="2"/>
    <s v="22-30"/>
    <x v="4"/>
    <s v="16/11/2019"/>
    <s v="30/09/2021"/>
    <n v="6"/>
    <n v="428000"/>
    <n v="3.2"/>
    <n v="6"/>
    <x v="0"/>
  </r>
  <r>
    <s v="MFS-35835"/>
    <s v="Titi Shehu"/>
    <x v="1"/>
    <x v="2"/>
    <x v="0"/>
    <s v="Junior"/>
    <x v="2"/>
    <s v="22-30"/>
    <x v="0"/>
    <s v="22/06/2022"/>
    <s v="30/09/2021"/>
    <n v="3"/>
    <n v="87000"/>
    <n v="3"/>
    <n v="11"/>
    <x v="0"/>
  </r>
  <r>
    <s v="MFS-61973"/>
    <s v="Chukwuemeka Ogundipe"/>
    <x v="0"/>
    <x v="3"/>
    <x v="2"/>
    <s v="Junior"/>
    <x v="0"/>
    <s v="31-40"/>
    <x v="2"/>
    <s v="08/03/2020"/>
    <s v="30/09/2021"/>
    <n v="6"/>
    <n v="140000"/>
    <n v="4.0999999999999996"/>
    <n v="5"/>
    <x v="1"/>
  </r>
  <r>
    <s v="MFS-91966"/>
    <s v="Obiora Musa"/>
    <x v="0"/>
    <x v="2"/>
    <x v="0"/>
    <s v="Manager"/>
    <x v="2"/>
    <s v="22-30"/>
    <x v="2"/>
    <s v="14/07/2021"/>
    <s v="25/01/2023"/>
    <n v="4"/>
    <n v="839000"/>
    <n v="3.2"/>
    <n v="7"/>
    <x v="0"/>
  </r>
  <r>
    <s v="MFS-74561"/>
    <s v="Kabiru Okafor"/>
    <x v="0"/>
    <x v="4"/>
    <x v="0"/>
    <s v="Manager"/>
    <x v="2"/>
    <s v="31-40"/>
    <x v="2"/>
    <s v="06/12/2019"/>
    <s v="25/01/2023"/>
    <n v="6"/>
    <n v="800000"/>
    <n v="3.5"/>
    <n v="14"/>
    <x v="1"/>
  </r>
  <r>
    <s v="MFS-31363"/>
    <s v="Garba Adeyemi"/>
    <x v="0"/>
    <x v="3"/>
    <x v="0"/>
    <s v="Junior"/>
    <x v="3"/>
    <s v="31-40"/>
    <x v="3"/>
    <s v="10/12/2020"/>
    <s v="09/01/2022"/>
    <n v="5"/>
    <n v="128000"/>
    <n v="4.7"/>
    <n v="11"/>
    <x v="0"/>
  </r>
  <r>
    <s v="MFS-44711"/>
    <s v="Ifeoma Uba"/>
    <x v="1"/>
    <x v="2"/>
    <x v="0"/>
    <s v="Junior"/>
    <x v="2"/>
    <s v="22-30"/>
    <x v="0"/>
    <s v="12/08/2023"/>
    <s v="09/01/2022"/>
    <n v="2"/>
    <n v="96000"/>
    <n v="2.6"/>
    <n v="1"/>
    <x v="0"/>
  </r>
  <r>
    <s v="MFS-52965"/>
    <s v="Kunle Onwudiwe"/>
    <x v="0"/>
    <x v="3"/>
    <x v="0"/>
    <s v="Manager"/>
    <x v="2"/>
    <s v="31-40"/>
    <x v="2"/>
    <s v="21/04/2020"/>
    <s v="09/01/2022"/>
    <n v="5"/>
    <n v="620000"/>
    <n v="4"/>
    <n v="0"/>
    <x v="0"/>
  </r>
  <r>
    <s v="MFS-83729"/>
    <s v="Falmata Amadi"/>
    <x v="1"/>
    <x v="3"/>
    <x v="0"/>
    <s v="Senior"/>
    <x v="0"/>
    <s v="31-40"/>
    <x v="0"/>
    <s v="01/06/2021"/>
    <s v="09/01/2022"/>
    <n v="4"/>
    <n v="578000"/>
    <n v="4"/>
    <n v="0"/>
    <x v="0"/>
  </r>
  <r>
    <s v="MFS-54064"/>
    <s v="Nkechi Taiwo"/>
    <x v="1"/>
    <x v="4"/>
    <x v="2"/>
    <s v="Junior"/>
    <x v="0"/>
    <s v="41-50"/>
    <x v="3"/>
    <s v="24/06/2023"/>
    <s v="09/01/2022"/>
    <n v="2"/>
    <n v="166000"/>
    <n v="3.1"/>
    <n v="2"/>
    <x v="0"/>
  </r>
  <r>
    <s v="MFS-57364"/>
    <s v="Yetunde Nduka"/>
    <x v="1"/>
    <x v="3"/>
    <x v="0"/>
    <s v="Senior"/>
    <x v="0"/>
    <s v="41-50"/>
    <x v="0"/>
    <s v="24/03/2023"/>
    <s v="09/01/2022"/>
    <n v="2"/>
    <n v="423000"/>
    <n v="4.5999999999999996"/>
    <n v="5"/>
    <x v="0"/>
  </r>
  <r>
    <s v="MFS-60573"/>
    <s v="Chinyere Obi"/>
    <x v="1"/>
    <x v="2"/>
    <x v="1"/>
    <s v="Junior"/>
    <x v="1"/>
    <s v="31-40"/>
    <x v="0"/>
    <s v="11/10/2020"/>
    <s v="09/01/2022"/>
    <n v="5"/>
    <n v="96000"/>
    <n v="3.6"/>
    <n v="20"/>
    <x v="0"/>
  </r>
  <r>
    <s v="MFS-76825"/>
    <s v="Nnamdi Fagbemi"/>
    <x v="0"/>
    <x v="2"/>
    <x v="0"/>
    <s v="Junior"/>
    <x v="0"/>
    <s v="41-50"/>
    <x v="2"/>
    <s v="26/04/2021"/>
    <s v="09/01/2022"/>
    <n v="4"/>
    <n v="132000"/>
    <n v="3.8"/>
    <n v="7"/>
    <x v="0"/>
  </r>
  <r>
    <s v="MFS-99034"/>
    <s v="Ugochi Obi"/>
    <x v="1"/>
    <x v="0"/>
    <x v="0"/>
    <s v="Senior"/>
    <x v="1"/>
    <s v="22-30"/>
    <x v="3"/>
    <s v="03/10/2022"/>
    <s v="09/01/2022"/>
    <n v="3"/>
    <n v="422000"/>
    <n v="3.8"/>
    <n v="25"/>
    <x v="0"/>
  </r>
  <r>
    <s v="MFS-67712"/>
    <s v="Chinyere Adebayo"/>
    <x v="1"/>
    <x v="4"/>
    <x v="0"/>
    <s v="Manager"/>
    <x v="2"/>
    <s v="41-50"/>
    <x v="4"/>
    <s v="20/11/2020"/>
    <s v="09/01/2022"/>
    <n v="5"/>
    <n v="737000"/>
    <n v="4.7"/>
    <n v="11"/>
    <x v="0"/>
  </r>
  <r>
    <s v="MFS-72747"/>
    <s v="Ikenna Chukwu"/>
    <x v="0"/>
    <x v="2"/>
    <x v="1"/>
    <s v="Mid-level"/>
    <x v="1"/>
    <s v="31-40"/>
    <x v="0"/>
    <s v="24/01/2021"/>
    <s v="09/01/2022"/>
    <n v="5"/>
    <n v="347000"/>
    <n v="4.8"/>
    <n v="2"/>
    <x v="0"/>
  </r>
  <r>
    <s v="MFS-14451"/>
    <s v="Ronke Afolabi"/>
    <x v="1"/>
    <x v="3"/>
    <x v="0"/>
    <s v="Junior"/>
    <x v="0"/>
    <s v="31-40"/>
    <x v="0"/>
    <s v="02/03/2020"/>
    <s v="09/01/2022"/>
    <n v="6"/>
    <n v="139000"/>
    <n v="4"/>
    <n v="12"/>
    <x v="0"/>
  </r>
  <r>
    <s v="MFS-83071"/>
    <s v="Kemi Oyelaran"/>
    <x v="1"/>
    <x v="4"/>
    <x v="0"/>
    <s v="Junior"/>
    <x v="1"/>
    <s v="51-60"/>
    <x v="1"/>
    <s v="05/06/2020"/>
    <s v="09/01/2022"/>
    <n v="5"/>
    <n v="114000"/>
    <n v="2.2000000000000002"/>
    <n v="5"/>
    <x v="1"/>
  </r>
  <r>
    <s v="MFS-23138"/>
    <s v="Bilkisu Okafor"/>
    <x v="1"/>
    <x v="0"/>
    <x v="0"/>
    <s v="Junior"/>
    <x v="1"/>
    <s v="31-40"/>
    <x v="3"/>
    <s v="04/01/2022"/>
    <s v="09/08/2022"/>
    <n v="4"/>
    <n v="198000"/>
    <n v="3.1"/>
    <n v="9"/>
    <x v="1"/>
  </r>
  <r>
    <s v="MFS-26849"/>
    <s v="Danladi Okonkwo"/>
    <x v="0"/>
    <x v="2"/>
    <x v="0"/>
    <s v="Mid-level"/>
    <x v="0"/>
    <s v="22-30"/>
    <x v="0"/>
    <s v="15/06/2020"/>
    <s v="09/08/2020"/>
    <n v="5"/>
    <n v="242000"/>
    <n v="3.5"/>
    <n v="8"/>
    <x v="0"/>
  </r>
  <r>
    <s v="MFS-86935"/>
    <s v="Bilkisu Ogundipe"/>
    <x v="1"/>
    <x v="2"/>
    <x v="0"/>
    <s v="Senior"/>
    <x v="2"/>
    <s v="31-40"/>
    <x v="2"/>
    <s v="03/04/2019"/>
    <s v="09/08/2020"/>
    <n v="6"/>
    <n v="592000"/>
    <n v="3"/>
    <n v="3"/>
    <x v="1"/>
  </r>
  <r>
    <s v="MFS-94893"/>
    <s v="Garba Okonkwo"/>
    <x v="0"/>
    <x v="4"/>
    <x v="0"/>
    <s v="Mid-level"/>
    <x v="3"/>
    <s v="31-40"/>
    <x v="3"/>
    <s v="29/10/2023"/>
    <s v="29/07/2022"/>
    <n v="2"/>
    <n v="198000"/>
    <n v="2.9"/>
    <n v="12"/>
    <x v="0"/>
  </r>
  <r>
    <s v="MFS-47949"/>
    <s v="Haruna Obaseki"/>
    <x v="0"/>
    <x v="0"/>
    <x v="1"/>
    <s v="Senior"/>
    <x v="0"/>
    <s v="31-40"/>
    <x v="0"/>
    <s v="19/08/2022"/>
    <s v="29/07/2022"/>
    <n v="3"/>
    <n v="450000"/>
    <n v="2.1"/>
    <n v="35"/>
    <x v="0"/>
  </r>
  <r>
    <s v="MFS-12000"/>
    <s v="Tobi Haruna"/>
    <x v="0"/>
    <x v="2"/>
    <x v="0"/>
    <s v="Mid-level"/>
    <x v="0"/>
    <s v="41-50"/>
    <x v="0"/>
    <s v="28/10/2019"/>
    <s v="29/07/2022"/>
    <n v="6"/>
    <n v="231000"/>
    <n v="4"/>
    <n v="6"/>
    <x v="1"/>
  </r>
  <r>
    <s v="MFS-65666"/>
    <s v="Chinwe Okeke"/>
    <x v="1"/>
    <x v="2"/>
    <x v="0"/>
    <s v="Senior"/>
    <x v="0"/>
    <s v="41-50"/>
    <x v="0"/>
    <s v="01/09/2021"/>
    <s v="08/01/2024"/>
    <n v="4"/>
    <n v="517000"/>
    <n v="4.9000000000000004"/>
    <n v="8"/>
    <x v="0"/>
  </r>
  <r>
    <s v="MFS-58636"/>
    <s v="Obiora Bello"/>
    <x v="0"/>
    <x v="3"/>
    <x v="2"/>
    <s v="Mid-level"/>
    <x v="0"/>
    <s v="41-50"/>
    <x v="1"/>
    <s v="28/09/2020"/>
    <s v="08/01/2024"/>
    <n v="5"/>
    <n v="284000"/>
    <n v="4.9000000000000004"/>
    <n v="13"/>
    <x v="2"/>
  </r>
  <r>
    <s v="MFS-21020"/>
    <s v="Ifeanyi Ihejirika"/>
    <x v="0"/>
    <x v="2"/>
    <x v="0"/>
    <s v="Mid-level"/>
    <x v="1"/>
    <s v="41-50"/>
    <x v="1"/>
    <s v="20/05/2020"/>
    <s v="10/12/2024"/>
    <n v="5"/>
    <n v="287000"/>
    <n v="2.4"/>
    <n v="21"/>
    <x v="0"/>
  </r>
  <r>
    <s v="MFS-28116"/>
    <s v="Ramatu Uba"/>
    <x v="1"/>
    <x v="1"/>
    <x v="1"/>
    <s v="Senior"/>
    <x v="3"/>
    <s v="31-40"/>
    <x v="0"/>
    <s v="19/10/2021"/>
    <s v="10/12/2024"/>
    <n v="4"/>
    <n v="442000"/>
    <n v="3.1"/>
    <n v="10"/>
    <x v="2"/>
  </r>
  <r>
    <s v="MFS-19305"/>
    <s v="Shade Aliyu"/>
    <x v="1"/>
    <x v="4"/>
    <x v="2"/>
    <s v="Mid-level"/>
    <x v="2"/>
    <s v="41-50"/>
    <x v="1"/>
    <s v="17/01/2021"/>
    <s v="01/11/2022"/>
    <n v="5"/>
    <n v="316000"/>
    <n v="2.6"/>
    <n v="12"/>
    <x v="1"/>
  </r>
  <r>
    <s v="MFS-51742"/>
    <s v="Nnamdi Obaseki"/>
    <x v="0"/>
    <x v="2"/>
    <x v="0"/>
    <s v="Mid-level"/>
    <x v="0"/>
    <s v="22-30"/>
    <x v="0"/>
    <s v="09/08/2020"/>
    <s v="30/10/2024"/>
    <n v="5"/>
    <n v="337000"/>
    <n v="2.2999999999999998"/>
    <n v="39"/>
    <x v="1"/>
  </r>
  <r>
    <s v="MFS-58123"/>
    <s v="Bello Okafor"/>
    <x v="0"/>
    <x v="3"/>
    <x v="0"/>
    <s v="Mid-level"/>
    <x v="3"/>
    <s v="22-30"/>
    <x v="3"/>
    <s v="06/09/2020"/>
    <s v="08/02/2025"/>
    <n v="5"/>
    <n v="225000"/>
    <n v="4.2"/>
    <n v="1"/>
    <x v="0"/>
  </r>
  <r>
    <s v="MFS-87110"/>
    <s v="Oghenekaro Adeyemi"/>
    <x v="0"/>
    <x v="2"/>
    <x v="0"/>
    <s v="Manager"/>
    <x v="1"/>
    <s v="31-40"/>
    <x v="2"/>
    <s v="17/02/2023"/>
    <s v="08/02/2025"/>
    <n v="3"/>
    <n v="774000"/>
    <n v="3.1"/>
    <n v="30"/>
    <x v="0"/>
  </r>
  <r>
    <s v="MFS-30258"/>
    <s v="Chibuike Adewale"/>
    <x v="0"/>
    <x v="2"/>
    <x v="0"/>
    <s v="Mid-level"/>
    <x v="3"/>
    <s v="41-50"/>
    <x v="2"/>
    <s v="17/02/2021"/>
    <s v="08/02/2025"/>
    <n v="5"/>
    <n v="203000"/>
    <n v="2.2999999999999998"/>
    <n v="2"/>
    <x v="0"/>
  </r>
  <r>
    <s v="MFS-84044"/>
    <s v="Adebayo Ogundipe"/>
    <x v="0"/>
    <x v="2"/>
    <x v="0"/>
    <s v="Senior"/>
    <x v="0"/>
    <s v="22-30"/>
    <x v="2"/>
    <s v="12/05/2019"/>
    <s v="08/02/2025"/>
    <n v="6"/>
    <n v="371000"/>
    <n v="2"/>
    <n v="37"/>
    <x v="0"/>
  </r>
  <r>
    <s v="MFS-77036"/>
    <s v="Tunde Garba"/>
    <x v="0"/>
    <x v="2"/>
    <x v="1"/>
    <s v="Junior"/>
    <x v="1"/>
    <s v="41-50"/>
    <x v="2"/>
    <s v="10/11/2023"/>
    <s v="08/02/2025"/>
    <n v="2"/>
    <n v="122000"/>
    <n v="2"/>
    <n v="0"/>
    <x v="0"/>
  </r>
  <r>
    <s v="MFS-37789"/>
    <s v="Suleiman Oyelaran"/>
    <x v="0"/>
    <x v="1"/>
    <x v="0"/>
    <s v="Mid-level"/>
    <x v="2"/>
    <s v="51-60"/>
    <x v="0"/>
    <s v="09/07/2023"/>
    <s v="08/02/2025"/>
    <n v="2"/>
    <n v="261000"/>
    <n v="4.0999999999999996"/>
    <n v="13"/>
    <x v="1"/>
  </r>
  <r>
    <s v="MFS-62908"/>
    <s v="Ibrahim Obi"/>
    <x v="0"/>
    <x v="1"/>
    <x v="2"/>
    <s v="Junior"/>
    <x v="1"/>
    <s v="22-30"/>
    <x v="0"/>
    <s v="10/05/2019"/>
    <s v="03/07/2020"/>
    <n v="6"/>
    <n v="104000"/>
    <n v="4.9000000000000004"/>
    <n v="9"/>
    <x v="1"/>
  </r>
  <r>
    <s v="MFS-26278"/>
    <s v="Ifeanyi Coker"/>
    <x v="0"/>
    <x v="4"/>
    <x v="0"/>
    <s v="Junior"/>
    <x v="0"/>
    <s v="41-50"/>
    <x v="2"/>
    <s v="10/09/2019"/>
    <s v="19/06/2023"/>
    <n v="6"/>
    <n v="99000"/>
    <n v="3.1"/>
    <n v="17"/>
    <x v="1"/>
  </r>
  <r>
    <s v="MFS-61764"/>
    <s v="Ibrahim Lawal"/>
    <x v="0"/>
    <x v="4"/>
    <x v="1"/>
    <s v="Mid-level"/>
    <x v="1"/>
    <s v="51-60"/>
    <x v="0"/>
    <s v="20/06/2022"/>
    <s v="19/03/2025"/>
    <n v="3"/>
    <n v="318000"/>
    <n v="3.9"/>
    <n v="11"/>
    <x v="1"/>
  </r>
  <r>
    <s v="MFS-47469"/>
    <s v="Tobi Nnamdi"/>
    <x v="0"/>
    <x v="3"/>
    <x v="0"/>
    <s v="Junior"/>
    <x v="0"/>
    <s v="51-60"/>
    <x v="2"/>
    <s v="05/06/2023"/>
    <s v="01/06/2024"/>
    <n v="2"/>
    <n v="106000"/>
    <n v="3"/>
    <n v="15"/>
    <x v="0"/>
  </r>
  <r>
    <s v="MFS-50064"/>
    <s v="Biodun Haruna"/>
    <x v="0"/>
    <x v="3"/>
    <x v="1"/>
    <s v="Mid-level"/>
    <x v="0"/>
    <s v="31-40"/>
    <x v="0"/>
    <s v="05/12/2020"/>
    <s v="01/06/2024"/>
    <n v="5"/>
    <n v="196000"/>
    <n v="4.9000000000000004"/>
    <n v="11"/>
    <x v="1"/>
  </r>
  <r>
    <s v="MFS-48113"/>
    <s v="Rotimi Obaseki"/>
    <x v="0"/>
    <x v="4"/>
    <x v="2"/>
    <s v="Senior"/>
    <x v="1"/>
    <s v="31-40"/>
    <x v="1"/>
    <s v="30/03/2020"/>
    <s v="21/02/2023"/>
    <n v="5"/>
    <n v="509000"/>
    <n v="4.4000000000000004"/>
    <n v="11"/>
    <x v="1"/>
  </r>
  <r>
    <s v="MFS-53246"/>
    <s v="Nnamdi Nduka"/>
    <x v="0"/>
    <x v="4"/>
    <x v="0"/>
    <s v="Manager"/>
    <x v="1"/>
    <s v="31-40"/>
    <x v="1"/>
    <s v="25/01/2022"/>
    <s v="20/05/2024"/>
    <n v="4"/>
    <n v="774000"/>
    <n v="4.5999999999999996"/>
    <n v="40"/>
    <x v="0"/>
  </r>
  <r>
    <s v="MFS-83291"/>
    <s v="Garba Okafor"/>
    <x v="0"/>
    <x v="4"/>
    <x v="2"/>
    <s v="Junior"/>
    <x v="0"/>
    <s v="31-40"/>
    <x v="0"/>
    <s v="04/12/2022"/>
    <s v="20/05/2024"/>
    <n v="3"/>
    <n v="159000"/>
    <n v="2.4"/>
    <n v="10"/>
    <x v="1"/>
  </r>
  <r>
    <s v="MFS-37688"/>
    <s v="Bello Adewale"/>
    <x v="0"/>
    <x v="0"/>
    <x v="0"/>
    <s v="Manager"/>
    <x v="2"/>
    <s v="31-40"/>
    <x v="0"/>
    <s v="21/07/2020"/>
    <s v="18/05/2024"/>
    <n v="5"/>
    <n v="1012000"/>
    <n v="4.9000000000000004"/>
    <n v="4"/>
    <x v="0"/>
  </r>
  <r>
    <s v="MFS-57397"/>
    <s v="Uche Ogundipe"/>
    <x v="0"/>
    <x v="3"/>
    <x v="0"/>
    <s v="Director"/>
    <x v="0"/>
    <s v="31-40"/>
    <x v="1"/>
    <s v="14/06/2019"/>
    <s v="18/05/2024"/>
    <n v="6"/>
    <n v="1521000"/>
    <n v="4.9000000000000004"/>
    <n v="13"/>
    <x v="0"/>
  </r>
  <r>
    <s v="MFS-17044"/>
    <s v="Abubakar Ogundipe"/>
    <x v="0"/>
    <x v="0"/>
    <x v="1"/>
    <s v="Mid-level"/>
    <x v="0"/>
    <s v="31-40"/>
    <x v="0"/>
    <s v="11/11/2022"/>
    <s v="18/05/2024"/>
    <n v="3"/>
    <n v="385000"/>
    <n v="3.3"/>
    <n v="9"/>
    <x v="0"/>
  </r>
  <r>
    <s v="MFS-71290"/>
    <s v="Chibuike Nwosu"/>
    <x v="0"/>
    <x v="1"/>
    <x v="0"/>
    <s v="Senior"/>
    <x v="0"/>
    <s v="31-40"/>
    <x v="0"/>
    <s v="24/04/2021"/>
    <s v="18/05/2024"/>
    <n v="4"/>
    <n v="427000"/>
    <n v="3.1"/>
    <n v="3"/>
    <x v="0"/>
  </r>
  <r>
    <s v="MFS-16423"/>
    <s v="Ramatu Adewale"/>
    <x v="1"/>
    <x v="1"/>
    <x v="0"/>
    <s v="Mid-level"/>
    <x v="0"/>
    <s v="31-40"/>
    <x v="1"/>
    <s v="24/02/2020"/>
    <s v="18/05/2024"/>
    <n v="6"/>
    <n v="304000"/>
    <n v="4.5"/>
    <n v="6"/>
    <x v="0"/>
  </r>
  <r>
    <s v="MFS-65629"/>
    <s v="Aliyu Suleiman"/>
    <x v="0"/>
    <x v="2"/>
    <x v="0"/>
    <s v="Senior"/>
    <x v="2"/>
    <s v="22-30"/>
    <x v="0"/>
    <s v="05/02/2023"/>
    <s v="18/05/2024"/>
    <n v="3"/>
    <n v="378000"/>
    <n v="4.2"/>
    <n v="7"/>
    <x v="2"/>
  </r>
  <r>
    <s v="MFS-23829"/>
    <s v="Seun Nwosu"/>
    <x v="0"/>
    <x v="2"/>
    <x v="0"/>
    <s v="Junior"/>
    <x v="1"/>
    <s v="41-50"/>
    <x v="1"/>
    <s v="09/05/2019"/>
    <s v="28/11/2023"/>
    <n v="6"/>
    <n v="127000"/>
    <n v="2.4"/>
    <n v="3"/>
    <x v="0"/>
  </r>
  <r>
    <s v="MFS-59260"/>
    <s v="Nneka Suleiman"/>
    <x v="1"/>
    <x v="3"/>
    <x v="0"/>
    <s v="Manager"/>
    <x v="3"/>
    <s v="22-30"/>
    <x v="3"/>
    <s v="30/12/2020"/>
    <s v="28/11/2023"/>
    <n v="5"/>
    <n v="746000"/>
    <n v="4.5999999999999996"/>
    <n v="5"/>
    <x v="2"/>
  </r>
  <r>
    <s v="MFS-91979"/>
    <s v="Rabiu Okafor"/>
    <x v="0"/>
    <x v="2"/>
    <x v="2"/>
    <s v="Junior"/>
    <x v="2"/>
    <s v="22-30"/>
    <x v="1"/>
    <s v="07/11/2023"/>
    <s v="02/03/2023"/>
    <n v="2"/>
    <n v="167000"/>
    <n v="3.3"/>
    <n v="1"/>
    <x v="0"/>
  </r>
  <r>
    <s v="MFS-91922"/>
    <s v="Usman Danladi"/>
    <x v="0"/>
    <x v="3"/>
    <x v="0"/>
    <s v="Senior"/>
    <x v="3"/>
    <s v="22-30"/>
    <x v="0"/>
    <s v="22/09/2023"/>
    <s v="02/03/2023"/>
    <n v="2"/>
    <n v="581000"/>
    <n v="2.1"/>
    <n v="1"/>
    <x v="0"/>
  </r>
  <r>
    <s v="MFS-48309"/>
    <s v="Ngozi Obaseki"/>
    <x v="1"/>
    <x v="1"/>
    <x v="2"/>
    <s v="Senior"/>
    <x v="0"/>
    <s v="41-50"/>
    <x v="0"/>
    <s v="02/07/2021"/>
    <s v="02/03/2023"/>
    <n v="4"/>
    <n v="482000"/>
    <n v="4.0999999999999996"/>
    <n v="12"/>
    <x v="1"/>
  </r>
  <r>
    <s v="MFS-99133"/>
    <s v="Adaora Obi"/>
    <x v="1"/>
    <x v="4"/>
    <x v="0"/>
    <s v="Junior"/>
    <x v="1"/>
    <s v="22-30"/>
    <x v="1"/>
    <s v="17/11/2020"/>
    <s v="22/04/2022"/>
    <n v="5"/>
    <n v="102000"/>
    <n v="3.5"/>
    <n v="12"/>
    <x v="1"/>
  </r>
  <r>
    <s v="MFS-71892"/>
    <s v="Yetunde Uba"/>
    <x v="1"/>
    <x v="4"/>
    <x v="0"/>
    <s v="Junior"/>
    <x v="0"/>
    <s v="51-60"/>
    <x v="0"/>
    <s v="09/10/2023"/>
    <s v="16/11/2022"/>
    <n v="2"/>
    <n v="100000"/>
    <n v="2.4"/>
    <n v="6"/>
    <x v="0"/>
  </r>
  <r>
    <s v="MFS-10675"/>
    <s v="Tobi Amadi"/>
    <x v="0"/>
    <x v="1"/>
    <x v="0"/>
    <s v="Mid-level"/>
    <x v="0"/>
    <s v="22-30"/>
    <x v="0"/>
    <s v="11/09/2019"/>
    <s v="16/11/2022"/>
    <n v="6"/>
    <n v="285000"/>
    <n v="4.3"/>
    <n v="7"/>
    <x v="0"/>
  </r>
  <r>
    <s v="MFS-11846"/>
    <s v="Rotimi Eze"/>
    <x v="0"/>
    <x v="1"/>
    <x v="0"/>
    <s v="Junior"/>
    <x v="3"/>
    <s v="31-40"/>
    <x v="2"/>
    <s v="23/02/2019"/>
    <s v="16/11/2022"/>
    <n v="7"/>
    <n v="146000"/>
    <n v="2.8"/>
    <n v="7"/>
    <x v="0"/>
  </r>
  <r>
    <s v="MFS-90842"/>
    <s v="Ugochi Coker"/>
    <x v="1"/>
    <x v="4"/>
    <x v="0"/>
    <s v="Junior"/>
    <x v="0"/>
    <s v="41-50"/>
    <x v="3"/>
    <s v="13/06/2020"/>
    <s v="16/11/2022"/>
    <n v="5"/>
    <n v="152000"/>
    <n v="2.9"/>
    <n v="34"/>
    <x v="0"/>
  </r>
  <r>
    <s v="MFS-68591"/>
    <s v="Garba Ogbonna"/>
    <x v="0"/>
    <x v="4"/>
    <x v="2"/>
    <s v="Mid-level"/>
    <x v="2"/>
    <s v="41-50"/>
    <x v="0"/>
    <s v="31/01/2019"/>
    <s v="16/11/2022"/>
    <n v="7"/>
    <n v="242000"/>
    <n v="2.6"/>
    <n v="6"/>
    <x v="1"/>
  </r>
  <r>
    <s v="MFS-33030"/>
    <s v="Ebuka Ihejirika"/>
    <x v="0"/>
    <x v="3"/>
    <x v="0"/>
    <s v="Mid-level"/>
    <x v="0"/>
    <s v="22-30"/>
    <x v="2"/>
    <s v="17/09/2023"/>
    <s v="20/10/2021"/>
    <n v="2"/>
    <n v="248000"/>
    <n v="4.2"/>
    <n v="2"/>
    <x v="0"/>
  </r>
  <r>
    <s v="MFS-25865"/>
    <s v="Lanre Eze"/>
    <x v="0"/>
    <x v="0"/>
    <x v="1"/>
    <s v="Manager"/>
    <x v="0"/>
    <s v="31-40"/>
    <x v="2"/>
    <s v="28/08/2022"/>
    <s v="20/10/2021"/>
    <n v="3"/>
    <n v="735000"/>
    <n v="4.0999999999999996"/>
    <n v="6"/>
    <x v="0"/>
  </r>
  <r>
    <s v="MFS-47834"/>
    <s v="Shade Ogundipe"/>
    <x v="1"/>
    <x v="3"/>
    <x v="0"/>
    <s v="Mid-level"/>
    <x v="0"/>
    <s v="31-40"/>
    <x v="0"/>
    <s v="05/03/2022"/>
    <s v="20/10/2021"/>
    <n v="4"/>
    <n v="203000"/>
    <n v="3.5"/>
    <n v="5"/>
    <x v="0"/>
  </r>
  <r>
    <s v="MFS-93344"/>
    <s v="Obiora Okafor"/>
    <x v="0"/>
    <x v="2"/>
    <x v="0"/>
    <s v="Mid-level"/>
    <x v="2"/>
    <s v="41-50"/>
    <x v="0"/>
    <s v="05/12/2022"/>
    <s v="20/10/2021"/>
    <n v="3"/>
    <n v="337000"/>
    <n v="4"/>
    <n v="6"/>
    <x v="0"/>
  </r>
  <r>
    <s v="MFS-42207"/>
    <s v="Nneka Taiwo"/>
    <x v="1"/>
    <x v="3"/>
    <x v="0"/>
    <s v="Mid-level"/>
    <x v="0"/>
    <s v="51-60"/>
    <x v="0"/>
    <s v="29/05/2021"/>
    <s v="20/10/2021"/>
    <n v="4"/>
    <n v="307000"/>
    <n v="2.4"/>
    <n v="0"/>
    <x v="0"/>
  </r>
  <r>
    <s v="MFS-79188"/>
    <s v="Yemi Coker"/>
    <x v="1"/>
    <x v="3"/>
    <x v="2"/>
    <s v="Junior"/>
    <x v="2"/>
    <s v="22-30"/>
    <x v="2"/>
    <s v="16/05/2021"/>
    <s v="20/10/2021"/>
    <n v="4"/>
    <n v="154000"/>
    <n v="4.5999999999999996"/>
    <n v="13"/>
    <x v="0"/>
  </r>
  <r>
    <s v="MFS-85643"/>
    <s v="Nnamdi Abdullahi"/>
    <x v="0"/>
    <x v="4"/>
    <x v="0"/>
    <s v="Junior"/>
    <x v="0"/>
    <s v="31-40"/>
    <x v="0"/>
    <s v="10/11/2022"/>
    <s v="20/10/2021"/>
    <n v="3"/>
    <n v="153000"/>
    <n v="1.6"/>
    <n v="1"/>
    <x v="0"/>
  </r>
  <r>
    <s v="MFS-35358"/>
    <s v="Wale Buhari"/>
    <x v="0"/>
    <x v="4"/>
    <x v="2"/>
    <s v="Junior"/>
    <x v="0"/>
    <s v="41-50"/>
    <x v="3"/>
    <s v="05/08/2020"/>
    <s v="20/10/2021"/>
    <n v="5"/>
    <n v="106000"/>
    <n v="3.2"/>
    <n v="6"/>
    <x v="1"/>
  </r>
  <r>
    <s v="MFS-22384"/>
    <s v="Shehu Buhari"/>
    <x v="0"/>
    <x v="1"/>
    <x v="0"/>
    <s v="Senior"/>
    <x v="2"/>
    <s v="41-50"/>
    <x v="3"/>
    <s v="03/01/2020"/>
    <s v="01/09/2023"/>
    <n v="6"/>
    <n v="511000"/>
    <n v="2.1"/>
    <n v="11"/>
    <x v="0"/>
  </r>
  <r>
    <s v="MFS-31921"/>
    <s v="Aisha Okeke"/>
    <x v="1"/>
    <x v="0"/>
    <x v="0"/>
    <s v="Junior"/>
    <x v="2"/>
    <s v="41-50"/>
    <x v="4"/>
    <s v="26/03/2021"/>
    <s v="01/09/2023"/>
    <n v="4"/>
    <n v="99000"/>
    <n v="3"/>
    <n v="5"/>
    <x v="0"/>
  </r>
  <r>
    <s v="MFS-20580"/>
    <s v="Usman Obaseki"/>
    <x v="0"/>
    <x v="3"/>
    <x v="0"/>
    <s v="Manager"/>
    <x v="0"/>
    <s v="41-50"/>
    <x v="0"/>
    <s v="01/12/2019"/>
    <s v="01/09/2023"/>
    <n v="6"/>
    <n v="940000"/>
    <n v="3.8"/>
    <n v="0"/>
    <x v="0"/>
  </r>
  <r>
    <s v="MFS-75772"/>
    <s v="Danladi Nwosu"/>
    <x v="0"/>
    <x v="4"/>
    <x v="0"/>
    <s v="Senior"/>
    <x v="1"/>
    <s v="22-30"/>
    <x v="0"/>
    <s v="18/12/2023"/>
    <s v="01/09/2023"/>
    <n v="2"/>
    <n v="528000"/>
    <n v="3"/>
    <n v="33"/>
    <x v="0"/>
  </r>
  <r>
    <s v="MFS-73556"/>
    <s v="Ikenna Nwosu"/>
    <x v="0"/>
    <x v="4"/>
    <x v="1"/>
    <s v="Mid-level"/>
    <x v="1"/>
    <s v="22-30"/>
    <x v="2"/>
    <s v="29/12/2022"/>
    <s v="01/09/2023"/>
    <n v="3"/>
    <n v="317000"/>
    <n v="2.1"/>
    <n v="4"/>
    <x v="1"/>
  </r>
  <r>
    <s v="MFS-86446"/>
    <s v="Ebuka Adewale"/>
    <x v="0"/>
    <x v="2"/>
    <x v="0"/>
    <s v="Junior"/>
    <x v="1"/>
    <s v="41-50"/>
    <x v="0"/>
    <s v="01/05/2023"/>
    <s v="29/09/2024"/>
    <n v="2"/>
    <n v="160000"/>
    <n v="4.8"/>
    <n v="3"/>
    <x v="0"/>
  </r>
  <r>
    <s v="MFS-10640"/>
    <s v="Ngozi Yakubu"/>
    <x v="1"/>
    <x v="3"/>
    <x v="0"/>
    <s v="Junior"/>
    <x v="0"/>
    <s v="41-50"/>
    <x v="0"/>
    <s v="24/04/2021"/>
    <s v="29/09/2024"/>
    <n v="4"/>
    <n v="144000"/>
    <n v="4"/>
    <n v="20"/>
    <x v="0"/>
  </r>
  <r>
    <s v="MFS-31567"/>
    <s v="Gbenga Afolabi"/>
    <x v="0"/>
    <x v="1"/>
    <x v="2"/>
    <s v="Mid-level"/>
    <x v="1"/>
    <s v="31-40"/>
    <x v="1"/>
    <s v="25/03/2023"/>
    <s v="29/09/2024"/>
    <n v="2"/>
    <n v="322000"/>
    <n v="4.2"/>
    <n v="13"/>
    <x v="1"/>
  </r>
  <r>
    <s v="MFS-44232"/>
    <s v="Biodun Adewale"/>
    <x v="0"/>
    <x v="3"/>
    <x v="0"/>
    <s v="Manager"/>
    <x v="2"/>
    <s v="41-50"/>
    <x v="0"/>
    <s v="18/01/2020"/>
    <s v="05/06/2022"/>
    <n v="6"/>
    <n v="733000"/>
    <n v="3.2"/>
    <n v="36"/>
    <x v="2"/>
  </r>
  <r>
    <s v="MFS-52760"/>
    <s v="Aliyu Adesanya"/>
    <x v="0"/>
    <x v="3"/>
    <x v="0"/>
    <s v="Mid-level"/>
    <x v="0"/>
    <s v="31-40"/>
    <x v="1"/>
    <s v="24/09/2022"/>
    <s v="15/12/2021"/>
    <n v="3"/>
    <n v="262000"/>
    <n v="2.9"/>
    <n v="12"/>
    <x v="0"/>
  </r>
  <r>
    <s v="MFS-55928"/>
    <s v="Nasiru Obi"/>
    <x v="0"/>
    <x v="2"/>
    <x v="2"/>
    <s v="Mid-level"/>
    <x v="2"/>
    <s v="31-40"/>
    <x v="0"/>
    <s v="17/11/2021"/>
    <s v="15/12/2021"/>
    <n v="4"/>
    <n v="302000"/>
    <n v="3"/>
    <n v="9"/>
    <x v="0"/>
  </r>
  <r>
    <s v="MFS-61304"/>
    <s v="Adebayo Adewale"/>
    <x v="0"/>
    <x v="0"/>
    <x v="2"/>
    <s v="Junior"/>
    <x v="0"/>
    <s v="22-30"/>
    <x v="0"/>
    <s v="23/09/2019"/>
    <s v="15/12/2021"/>
    <n v="6"/>
    <n v="164000"/>
    <n v="2.5"/>
    <n v="8"/>
    <x v="0"/>
  </r>
  <r>
    <s v="MFS-19137"/>
    <s v="Chioma Shehu"/>
    <x v="1"/>
    <x v="2"/>
    <x v="0"/>
    <s v="Senior"/>
    <x v="0"/>
    <s v="31-40"/>
    <x v="0"/>
    <s v="26/10/2019"/>
    <s v="15/12/2021"/>
    <n v="6"/>
    <n v="368000"/>
    <n v="4.9000000000000004"/>
    <n v="28"/>
    <x v="2"/>
  </r>
  <r>
    <s v="MFS-86183"/>
    <s v="Hauwa Nwosu"/>
    <x v="1"/>
    <x v="3"/>
    <x v="0"/>
    <s v="Manager"/>
    <x v="1"/>
    <s v="31-40"/>
    <x v="1"/>
    <s v="19/12/2020"/>
    <s v="05/02/2025"/>
    <n v="5"/>
    <n v="939000"/>
    <n v="4.8"/>
    <n v="13"/>
    <x v="0"/>
  </r>
  <r>
    <s v="MFS-89864"/>
    <s v="Ifeoma Onwudiwe"/>
    <x v="1"/>
    <x v="3"/>
    <x v="0"/>
    <s v="Senior"/>
    <x v="0"/>
    <s v="51-60"/>
    <x v="3"/>
    <s v="10/12/2020"/>
    <s v="05/02/2025"/>
    <n v="5"/>
    <n v="556000"/>
    <n v="2.5"/>
    <n v="7"/>
    <x v="0"/>
  </r>
  <r>
    <s v="MFS-75845"/>
    <s v="Sola Shehu"/>
    <x v="1"/>
    <x v="3"/>
    <x v="2"/>
    <s v="Mid-level"/>
    <x v="2"/>
    <s v="51-60"/>
    <x v="3"/>
    <s v="30/04/2020"/>
    <s v="05/02/2025"/>
    <n v="5"/>
    <n v="227000"/>
    <n v="5"/>
    <n v="5"/>
    <x v="0"/>
  </r>
  <r>
    <s v="MFS-60895"/>
    <s v="Oluwaseun Uba"/>
    <x v="0"/>
    <x v="4"/>
    <x v="1"/>
    <s v="Junior"/>
    <x v="2"/>
    <s v="22-30"/>
    <x v="1"/>
    <s v="31/07/2021"/>
    <s v="05/02/2025"/>
    <n v="4"/>
    <n v="139000"/>
    <n v="2.8"/>
    <n v="7"/>
    <x v="0"/>
  </r>
  <r>
    <s v="MFS-96317"/>
    <s v="Bimpe Eze"/>
    <x v="1"/>
    <x v="4"/>
    <x v="1"/>
    <s v="Junior"/>
    <x v="3"/>
    <s v="41-50"/>
    <x v="2"/>
    <s v="14/01/2021"/>
    <s v="05/02/2025"/>
    <n v="5"/>
    <n v="178000"/>
    <n v="2.2000000000000002"/>
    <n v="6"/>
    <x v="0"/>
  </r>
  <r>
    <s v="MFS-24553"/>
    <s v="Shehu Adeyemi"/>
    <x v="0"/>
    <x v="1"/>
    <x v="0"/>
    <s v="Senior"/>
    <x v="1"/>
    <s v="22-30"/>
    <x v="2"/>
    <s v="17/12/2023"/>
    <s v="05/02/2025"/>
    <n v="2"/>
    <n v="398000"/>
    <n v="2.5"/>
    <n v="8"/>
    <x v="2"/>
  </r>
  <r>
    <s v="MFS-36563"/>
    <s v="Ifeanyi Nwachukwu"/>
    <x v="0"/>
    <x v="1"/>
    <x v="0"/>
    <s v="Senior"/>
    <x v="1"/>
    <s v="41-50"/>
    <x v="1"/>
    <s v="05/04/2021"/>
    <s v="25/01/2021"/>
    <n v="4"/>
    <n v="498000"/>
    <n v="4.8"/>
    <n v="1"/>
    <x v="0"/>
  </r>
  <r>
    <s v="MFS-78490"/>
    <s v="Kabiru Okafor"/>
    <x v="0"/>
    <x v="4"/>
    <x v="1"/>
    <s v="Mid-level"/>
    <x v="0"/>
    <s v="31-40"/>
    <x v="1"/>
    <s v="03/06/2020"/>
    <s v="25/01/2021"/>
    <n v="5"/>
    <n v="224000"/>
    <n v="2.6"/>
    <n v="9"/>
    <x v="0"/>
  </r>
  <r>
    <s v="MFS-61515"/>
    <s v="Aisha Okafor"/>
    <x v="1"/>
    <x v="3"/>
    <x v="0"/>
    <s v="Mid-level"/>
    <x v="2"/>
    <s v="22-30"/>
    <x v="4"/>
    <s v="05/01/2021"/>
    <s v="25/01/2021"/>
    <n v="5"/>
    <n v="340000"/>
    <n v="2.8"/>
    <n v="7"/>
    <x v="0"/>
  </r>
  <r>
    <s v="MFS-91209"/>
    <s v="Emeka Adebayo"/>
    <x v="0"/>
    <x v="2"/>
    <x v="0"/>
    <s v="Senior"/>
    <x v="2"/>
    <s v="31-40"/>
    <x v="2"/>
    <s v="26/01/2019"/>
    <s v="25/01/2021"/>
    <n v="7"/>
    <n v="523000"/>
    <n v="4.5999999999999996"/>
    <n v="8"/>
    <x v="0"/>
  </r>
  <r>
    <s v="MFS-65130"/>
    <s v="Nnamdi Adesanya"/>
    <x v="0"/>
    <x v="0"/>
    <x v="2"/>
    <s v="Mid-level"/>
    <x v="2"/>
    <s v="31-40"/>
    <x v="4"/>
    <s v="20/05/2020"/>
    <s v="25/01/2021"/>
    <n v="5"/>
    <n v="315000"/>
    <n v="4.3"/>
    <n v="2"/>
    <x v="0"/>
  </r>
  <r>
    <s v="MFS-44505"/>
    <s v="Chioma Danladi"/>
    <x v="1"/>
    <x v="4"/>
    <x v="2"/>
    <s v="Junior"/>
    <x v="3"/>
    <s v="31-40"/>
    <x v="1"/>
    <s v="23/05/2023"/>
    <s v="25/01/2021"/>
    <n v="2"/>
    <n v="134000"/>
    <n v="2.6"/>
    <n v="9"/>
    <x v="0"/>
  </r>
  <r>
    <s v="MFS-73205"/>
    <s v="Kunle Obi"/>
    <x v="0"/>
    <x v="2"/>
    <x v="2"/>
    <s v="Mid-level"/>
    <x v="0"/>
    <s v="51-60"/>
    <x v="1"/>
    <s v="29/01/2019"/>
    <s v="25/01/2021"/>
    <n v="7"/>
    <n v="181000"/>
    <n v="2"/>
    <n v="14"/>
    <x v="0"/>
  </r>
  <r>
    <s v="MFS-82294"/>
    <s v="Ifeoma Adesanya"/>
    <x v="1"/>
    <x v="2"/>
    <x v="1"/>
    <s v="Junior"/>
    <x v="1"/>
    <s v="41-50"/>
    <x v="0"/>
    <s v="05/12/2019"/>
    <s v="25/01/2021"/>
    <n v="6"/>
    <n v="139000"/>
    <n v="2.6"/>
    <n v="22"/>
    <x v="0"/>
  </r>
  <r>
    <s v="MFS-84393"/>
    <s v="Bilkisu Coker"/>
    <x v="1"/>
    <x v="0"/>
    <x v="2"/>
    <s v="Junior"/>
    <x v="0"/>
    <s v="31-40"/>
    <x v="0"/>
    <s v="11/11/2023"/>
    <s v="25/01/2021"/>
    <n v="2"/>
    <n v="141000"/>
    <n v="4.8"/>
    <n v="27"/>
    <x v="0"/>
  </r>
  <r>
    <s v="MFS-87807"/>
    <s v="Ogechi Omotayo"/>
    <x v="1"/>
    <x v="3"/>
    <x v="0"/>
    <s v="Junior"/>
    <x v="0"/>
    <s v="31-40"/>
    <x v="3"/>
    <s v="19/12/2021"/>
    <s v="25/01/2021"/>
    <n v="4"/>
    <n v="131000"/>
    <n v="2.7"/>
    <n v="10"/>
    <x v="0"/>
  </r>
  <r>
    <s v="MFS-70765"/>
    <s v="Aliyu Garba"/>
    <x v="0"/>
    <x v="1"/>
    <x v="2"/>
    <s v="Mid-level"/>
    <x v="1"/>
    <s v="41-50"/>
    <x v="3"/>
    <s v="03/02/2019"/>
    <s v="25/01/2021"/>
    <n v="7"/>
    <n v="303000"/>
    <n v="4.3"/>
    <n v="11"/>
    <x v="1"/>
  </r>
  <r>
    <s v="MFS-80247"/>
    <s v="Chukwudi Okafor"/>
    <x v="0"/>
    <x v="4"/>
    <x v="0"/>
    <s v="Mid-level"/>
    <x v="0"/>
    <s v="22-30"/>
    <x v="0"/>
    <s v="04/02/2021"/>
    <s v="19/06/2022"/>
    <n v="5"/>
    <n v="297000"/>
    <n v="2.9"/>
    <n v="2"/>
    <x v="0"/>
  </r>
  <r>
    <s v="MFS-52084"/>
    <s v="Amaka Oyelaran"/>
    <x v="1"/>
    <x v="2"/>
    <x v="0"/>
    <s v="Junior"/>
    <x v="1"/>
    <s v="22-30"/>
    <x v="2"/>
    <s v="10/03/2022"/>
    <s v="19/06/2022"/>
    <n v="4"/>
    <n v="151000"/>
    <n v="3.9"/>
    <n v="3"/>
    <x v="0"/>
  </r>
  <r>
    <s v="MFS-78899"/>
    <s v="Chinedu Lawal"/>
    <x v="0"/>
    <x v="1"/>
    <x v="0"/>
    <s v="Manager"/>
    <x v="2"/>
    <s v="41-50"/>
    <x v="2"/>
    <s v="07/08/2019"/>
    <s v="19/06/2022"/>
    <n v="6"/>
    <n v="788000"/>
    <n v="3.8"/>
    <n v="20"/>
    <x v="3"/>
  </r>
  <r>
    <s v="MFS-95192"/>
    <s v="Rukayya Afolabi"/>
    <x v="1"/>
    <x v="4"/>
    <x v="0"/>
    <s v="Mid-level"/>
    <x v="1"/>
    <s v="41-50"/>
    <x v="2"/>
    <s v="12/01/2019"/>
    <s v="27/10/2021"/>
    <n v="7"/>
    <n v="239000"/>
    <n v="3.2"/>
    <n v="12"/>
    <x v="0"/>
  </r>
  <r>
    <s v="MFS-95799"/>
    <s v="Obinna Ihejirika"/>
    <x v="0"/>
    <x v="3"/>
    <x v="0"/>
    <s v="Manager"/>
    <x v="0"/>
    <s v="41-50"/>
    <x v="3"/>
    <s v="03/02/2019"/>
    <s v="27/10/2021"/>
    <n v="7"/>
    <n v="837000"/>
    <n v="4.7"/>
    <n v="11"/>
    <x v="0"/>
  </r>
  <r>
    <s v="MFS-81737"/>
    <s v="Ezinne Adeyemi"/>
    <x v="1"/>
    <x v="3"/>
    <x v="0"/>
    <s v="Mid-level"/>
    <x v="2"/>
    <s v="22-30"/>
    <x v="3"/>
    <s v="12/09/2019"/>
    <s v="27/10/2021"/>
    <n v="6"/>
    <n v="338000"/>
    <n v="2.5"/>
    <n v="6"/>
    <x v="0"/>
  </r>
  <r>
    <s v="MFS-53358"/>
    <s v="Ogechi Haruna"/>
    <x v="1"/>
    <x v="2"/>
    <x v="1"/>
    <s v="Manager"/>
    <x v="0"/>
    <s v="41-50"/>
    <x v="1"/>
    <s v="11/05/2020"/>
    <s v="27/10/2021"/>
    <n v="5"/>
    <n v="643000"/>
    <n v="4.0999999999999996"/>
    <n v="8"/>
    <x v="1"/>
  </r>
  <r>
    <s v="MFS-14080"/>
    <s v="Rotimi Okafor"/>
    <x v="0"/>
    <x v="3"/>
    <x v="0"/>
    <s v="Mid-level"/>
    <x v="2"/>
    <s v="22-30"/>
    <x v="3"/>
    <s v="11/03/2021"/>
    <s v="07/02/2024"/>
    <n v="5"/>
    <n v="297000"/>
    <n v="3.6"/>
    <n v="9"/>
    <x v="0"/>
  </r>
  <r>
    <s v="MFS-20191"/>
    <s v="Maryam Musa"/>
    <x v="1"/>
    <x v="1"/>
    <x v="2"/>
    <s v="Manager"/>
    <x v="0"/>
    <s v="22-30"/>
    <x v="1"/>
    <s v="12/04/2022"/>
    <s v="07/02/2024"/>
    <n v="3"/>
    <n v="638000"/>
    <n v="3.7"/>
    <n v="3"/>
    <x v="0"/>
  </r>
  <r>
    <s v="MFS-61364"/>
    <s v="Ebuka Yakubu"/>
    <x v="0"/>
    <x v="3"/>
    <x v="0"/>
    <s v="Manager"/>
    <x v="0"/>
    <s v="31-40"/>
    <x v="0"/>
    <s v="15/02/2022"/>
    <s v="07/02/2024"/>
    <n v="4"/>
    <n v="910000"/>
    <n v="4.9000000000000004"/>
    <n v="14"/>
    <x v="0"/>
  </r>
  <r>
    <s v="MFS-52193"/>
    <s v="Zainab Adeyemi"/>
    <x v="1"/>
    <x v="3"/>
    <x v="0"/>
    <s v="Junior"/>
    <x v="0"/>
    <s v="41-50"/>
    <x v="0"/>
    <s v="29/09/2022"/>
    <s v="07/02/2024"/>
    <n v="3"/>
    <n v="138000"/>
    <n v="2.5"/>
    <n v="3"/>
    <x v="0"/>
  </r>
  <r>
    <s v="MFS-87379"/>
    <s v="Femi Buhari"/>
    <x v="0"/>
    <x v="0"/>
    <x v="0"/>
    <s v="Manager"/>
    <x v="0"/>
    <s v="41-50"/>
    <x v="2"/>
    <s v="12/01/2022"/>
    <s v="07/02/2024"/>
    <n v="4"/>
    <n v="887000"/>
    <n v="3.3"/>
    <n v="5"/>
    <x v="1"/>
  </r>
  <r>
    <s v="MFS-70912"/>
    <s v="Kunle Nnamdi"/>
    <x v="0"/>
    <x v="4"/>
    <x v="1"/>
    <s v="Mid-level"/>
    <x v="2"/>
    <s v="31-40"/>
    <x v="1"/>
    <s v="14/12/2019"/>
    <s v="02/10/2021"/>
    <n v="6"/>
    <n v="308000"/>
    <n v="4.5"/>
    <n v="7"/>
    <x v="0"/>
  </r>
  <r>
    <s v="MFS-27733"/>
    <s v="Chidi Shehu"/>
    <x v="0"/>
    <x v="4"/>
    <x v="2"/>
    <s v="Mid-level"/>
    <x v="0"/>
    <s v="41-50"/>
    <x v="4"/>
    <s v="06/10/2020"/>
    <s v="02/10/2021"/>
    <n v="5"/>
    <n v="237000"/>
    <n v="3.1"/>
    <n v="2"/>
    <x v="0"/>
  </r>
  <r>
    <s v="MFS-13842"/>
    <s v="Jummai Oyelaran"/>
    <x v="1"/>
    <x v="2"/>
    <x v="0"/>
    <s v="Senior"/>
    <x v="2"/>
    <s v="31-40"/>
    <x v="2"/>
    <s v="17/07/2019"/>
    <s v="02/10/2021"/>
    <n v="6"/>
    <n v="520000"/>
    <n v="2.7"/>
    <n v="6"/>
    <x v="3"/>
  </r>
  <r>
    <s v="MFS-74497"/>
    <s v="Seun Uba"/>
    <x v="0"/>
    <x v="3"/>
    <x v="2"/>
    <s v="Junior"/>
    <x v="2"/>
    <s v="22-30"/>
    <x v="0"/>
    <s v="10/12/2022"/>
    <s v="07/10/2023"/>
    <n v="3"/>
    <n v="103000"/>
    <n v="3.5"/>
    <n v="7"/>
    <x v="0"/>
  </r>
  <r>
    <s v="MFS-37463"/>
    <s v="Nana Eze"/>
    <x v="1"/>
    <x v="4"/>
    <x v="1"/>
    <s v="Junior"/>
    <x v="1"/>
    <s v="41-50"/>
    <x v="2"/>
    <s v="05/03/2022"/>
    <s v="07/10/2023"/>
    <n v="4"/>
    <n v="136000"/>
    <n v="2.6"/>
    <n v="5"/>
    <x v="0"/>
  </r>
  <r>
    <s v="MFS-40159"/>
    <s v="Aisha Ogundipe"/>
    <x v="1"/>
    <x v="0"/>
    <x v="0"/>
    <s v="Senior"/>
    <x v="0"/>
    <s v="22-30"/>
    <x v="0"/>
    <s v="19/01/2022"/>
    <s v="07/10/2023"/>
    <n v="4"/>
    <n v="626000"/>
    <n v="4.3"/>
    <n v="13"/>
    <x v="1"/>
  </r>
  <r>
    <s v="MFS-33480"/>
    <s v="Fatima Nnamdi"/>
    <x v="1"/>
    <x v="3"/>
    <x v="0"/>
    <s v="Manager"/>
    <x v="1"/>
    <s v="51-60"/>
    <x v="3"/>
    <s v="09/05/2019"/>
    <s v="13/11/2021"/>
    <n v="6"/>
    <n v="693000"/>
    <n v="3.5"/>
    <n v="8"/>
    <x v="2"/>
  </r>
  <r>
    <s v="MFS-36685"/>
    <s v="Eze Ogbonna"/>
    <x v="0"/>
    <x v="3"/>
    <x v="1"/>
    <s v="Manager"/>
    <x v="0"/>
    <s v="22-30"/>
    <x v="3"/>
    <s v="15/11/2021"/>
    <s v="22/10/2024"/>
    <n v="4"/>
    <n v="873000"/>
    <n v="3.1"/>
    <n v="7"/>
    <x v="0"/>
  </r>
  <r>
    <s v="MFS-92392"/>
    <s v="Folake Danladi"/>
    <x v="1"/>
    <x v="1"/>
    <x v="0"/>
    <s v="Mid-level"/>
    <x v="2"/>
    <s v="31-40"/>
    <x v="0"/>
    <s v="08/01/2021"/>
    <s v="22/10/2024"/>
    <n v="5"/>
    <n v="210000"/>
    <n v="4.0999999999999996"/>
    <n v="17"/>
    <x v="3"/>
  </r>
  <r>
    <s v="MFS-31705"/>
    <s v="Shehu Taiwo"/>
    <x v="0"/>
    <x v="3"/>
    <x v="2"/>
    <s v="Senior"/>
    <x v="0"/>
    <s v="31-40"/>
    <x v="2"/>
    <s v="28/08/2023"/>
    <s v="03/12/2024"/>
    <n v="2"/>
    <n v="488000"/>
    <n v="3.8"/>
    <n v="11"/>
    <x v="0"/>
  </r>
  <r>
    <s v="MFS-95113"/>
    <s v="Asabe Abdullahi"/>
    <x v="1"/>
    <x v="2"/>
    <x v="0"/>
    <s v="Mid-level"/>
    <x v="3"/>
    <s v="41-50"/>
    <x v="3"/>
    <s v="28/07/2019"/>
    <s v="03/12/2024"/>
    <n v="6"/>
    <n v="201000"/>
    <n v="2.1"/>
    <n v="14"/>
    <x v="0"/>
  </r>
  <r>
    <s v="MFS-38367"/>
    <s v="Bilkisu Chukwu"/>
    <x v="1"/>
    <x v="0"/>
    <x v="2"/>
    <s v="Junior"/>
    <x v="0"/>
    <s v="31-40"/>
    <x v="4"/>
    <s v="03/10/2021"/>
    <s v="03/12/2024"/>
    <n v="4"/>
    <n v="156000"/>
    <n v="4.4000000000000004"/>
    <n v="3"/>
    <x v="0"/>
  </r>
  <r>
    <s v="MFS-40612"/>
    <s v="Falmata Adebayo"/>
    <x v="1"/>
    <x v="2"/>
    <x v="0"/>
    <s v="Mid-level"/>
    <x v="0"/>
    <s v="51-60"/>
    <x v="2"/>
    <s v="12/02/2023"/>
    <s v="03/12/2024"/>
    <n v="3"/>
    <n v="245000"/>
    <n v="3.8"/>
    <n v="13"/>
    <x v="0"/>
  </r>
  <r>
    <s v="MFS-34370"/>
    <s v="Yakubu Suleiman"/>
    <x v="0"/>
    <x v="1"/>
    <x v="0"/>
    <s v="Junior"/>
    <x v="3"/>
    <s v="41-50"/>
    <x v="0"/>
    <s v="13/02/2020"/>
    <s v="03/12/2024"/>
    <n v="6"/>
    <n v="85000"/>
    <n v="4.4000000000000004"/>
    <n v="10"/>
    <x v="0"/>
  </r>
  <r>
    <s v="MFS-51825"/>
    <s v="Seun Yakubu"/>
    <x v="0"/>
    <x v="4"/>
    <x v="2"/>
    <s v="Mid-level"/>
    <x v="0"/>
    <s v="31-40"/>
    <x v="1"/>
    <s v="07/12/2020"/>
    <s v="03/12/2024"/>
    <n v="5"/>
    <n v="214000"/>
    <n v="2.7"/>
    <n v="4"/>
    <x v="0"/>
  </r>
  <r>
    <s v="MFS-58702"/>
    <s v="Chiamaka Fagbemi"/>
    <x v="1"/>
    <x v="2"/>
    <x v="0"/>
    <s v="Mid-level"/>
    <x v="3"/>
    <s v="41-50"/>
    <x v="2"/>
    <s v="19/04/2019"/>
    <s v="03/12/2024"/>
    <n v="6"/>
    <n v="240000"/>
    <n v="4.7"/>
    <n v="13"/>
    <x v="0"/>
  </r>
  <r>
    <s v="MFS-26696"/>
    <s v="Adaeze Abdullahi"/>
    <x v="1"/>
    <x v="2"/>
    <x v="0"/>
    <s v="Manager"/>
    <x v="2"/>
    <s v="51-60"/>
    <x v="2"/>
    <s v="30/03/2020"/>
    <s v="03/12/2024"/>
    <n v="5"/>
    <n v="629000"/>
    <n v="4.9000000000000004"/>
    <n v="10"/>
    <x v="3"/>
  </r>
  <r>
    <s v="MFS-15704"/>
    <s v="Haruna Ihejirika"/>
    <x v="0"/>
    <x v="2"/>
    <x v="2"/>
    <s v="Mid-level"/>
    <x v="1"/>
    <s v="41-50"/>
    <x v="1"/>
    <s v="17/08/2021"/>
    <s v="18/01/2022"/>
    <n v="4"/>
    <n v="185000"/>
    <n v="3.7"/>
    <n v="2"/>
    <x v="0"/>
  </r>
  <r>
    <s v="MFS-48616"/>
    <s v="Abubakar Okafor"/>
    <x v="0"/>
    <x v="4"/>
    <x v="1"/>
    <s v="Manager"/>
    <x v="1"/>
    <s v="31-40"/>
    <x v="3"/>
    <s v="13/12/2019"/>
    <s v="18/01/2022"/>
    <n v="6"/>
    <n v="801000"/>
    <n v="4.3"/>
    <n v="11"/>
    <x v="1"/>
  </r>
  <r>
    <s v="MFS-68627"/>
    <s v="Ibrahim Okafor"/>
    <x v="0"/>
    <x v="4"/>
    <x v="0"/>
    <s v="Mid-level"/>
    <x v="3"/>
    <s v="41-50"/>
    <x v="0"/>
    <s v="14/07/2023"/>
    <s v="01/03/2022"/>
    <n v="2"/>
    <n v="315000"/>
    <n v="2.9"/>
    <n v="12"/>
    <x v="0"/>
  </r>
  <r>
    <s v="MFS-90672"/>
    <s v="Rabiu Ogundipe"/>
    <x v="0"/>
    <x v="2"/>
    <x v="0"/>
    <s v="Mid-level"/>
    <x v="0"/>
    <s v="51-60"/>
    <x v="2"/>
    <s v="13/11/2019"/>
    <s v="01/03/2022"/>
    <n v="6"/>
    <n v="341000"/>
    <n v="4.0999999999999996"/>
    <n v="10"/>
    <x v="3"/>
  </r>
  <r>
    <s v="MFS-95244"/>
    <s v="Amaka Obi"/>
    <x v="1"/>
    <x v="4"/>
    <x v="0"/>
    <s v="Mid-level"/>
    <x v="1"/>
    <s v="31-40"/>
    <x v="3"/>
    <s v="16/03/2023"/>
    <s v="08/10/2024"/>
    <n v="2"/>
    <n v="234000"/>
    <n v="3.1"/>
    <n v="10"/>
    <x v="2"/>
  </r>
  <r>
    <s v="MFS-45180"/>
    <s v="Aliyu Shehu"/>
    <x v="0"/>
    <x v="4"/>
    <x v="0"/>
    <s v="Junior"/>
    <x v="0"/>
    <s v="22-30"/>
    <x v="0"/>
    <s v="11/06/2023"/>
    <s v="28/10/2024"/>
    <n v="2"/>
    <n v="104000"/>
    <n v="3.4"/>
    <n v="7"/>
    <x v="0"/>
  </r>
  <r>
    <s v="MFS-33715"/>
    <s v="Bilkisu Haruna"/>
    <x v="1"/>
    <x v="1"/>
    <x v="0"/>
    <s v="Mid-level"/>
    <x v="1"/>
    <s v="31-40"/>
    <x v="2"/>
    <s v="06/11/2023"/>
    <s v="28/10/2024"/>
    <n v="2"/>
    <n v="180000"/>
    <n v="2.2999999999999998"/>
    <n v="2"/>
    <x v="3"/>
  </r>
  <r>
    <s v="MFS-71371"/>
    <s v="Tobi Onwudiwe"/>
    <x v="0"/>
    <x v="2"/>
    <x v="0"/>
    <s v="Manager"/>
    <x v="0"/>
    <s v="22-30"/>
    <x v="0"/>
    <s v="11/10/2019"/>
    <s v="05/11/2022"/>
    <n v="6"/>
    <n v="749000"/>
    <n v="3.1"/>
    <n v="8"/>
    <x v="0"/>
  </r>
  <r>
    <s v="MFS-16362"/>
    <s v="Ifeanyi Danladi"/>
    <x v="0"/>
    <x v="4"/>
    <x v="0"/>
    <s v="Senior"/>
    <x v="0"/>
    <s v="31-40"/>
    <x v="0"/>
    <s v="14/10/2022"/>
    <s v="05/11/2022"/>
    <n v="3"/>
    <n v="424000"/>
    <n v="4.5"/>
    <n v="2"/>
    <x v="0"/>
  </r>
  <r>
    <s v="MFS-32534"/>
    <s v="Shade Ogbonna"/>
    <x v="1"/>
    <x v="2"/>
    <x v="0"/>
    <s v="Mid-level"/>
    <x v="0"/>
    <s v="31-40"/>
    <x v="0"/>
    <s v="09/03/2020"/>
    <s v="05/11/2022"/>
    <n v="6"/>
    <n v="263000"/>
    <n v="4.8"/>
    <n v="3"/>
    <x v="0"/>
  </r>
  <r>
    <s v="MFS-64594"/>
    <s v="Chukwudi Amadi"/>
    <x v="0"/>
    <x v="0"/>
    <x v="2"/>
    <s v="Mid-level"/>
    <x v="0"/>
    <s v="41-50"/>
    <x v="0"/>
    <s v="26/07/2021"/>
    <s v="05/11/2022"/>
    <n v="4"/>
    <n v="229000"/>
    <n v="4.4000000000000004"/>
    <n v="17"/>
    <x v="1"/>
  </r>
  <r>
    <s v="MFS-64545"/>
    <s v="Adaora Eze"/>
    <x v="1"/>
    <x v="2"/>
    <x v="0"/>
    <s v="Senior"/>
    <x v="3"/>
    <s v="41-50"/>
    <x v="2"/>
    <s v="05/06/2022"/>
    <s v="09/07/2024"/>
    <n v="3"/>
    <n v="545000"/>
    <n v="2.8"/>
    <n v="5"/>
    <x v="0"/>
  </r>
  <r>
    <s v="MFS-32480"/>
    <s v="Chidi Aliyu"/>
    <x v="0"/>
    <x v="1"/>
    <x v="0"/>
    <s v="Director"/>
    <x v="2"/>
    <s v="22-30"/>
    <x v="0"/>
    <s v="02/03/2023"/>
    <s v="09/07/2024"/>
    <n v="3"/>
    <n v="1327000"/>
    <n v="4.7"/>
    <n v="2"/>
    <x v="0"/>
  </r>
  <r>
    <s v="MFS-60934"/>
    <s v="Hadiza Okafor"/>
    <x v="1"/>
    <x v="2"/>
    <x v="0"/>
    <s v="Senior"/>
    <x v="1"/>
    <s v="31-40"/>
    <x v="0"/>
    <s v="15/07/2022"/>
    <s v="09/07/2024"/>
    <n v="3"/>
    <n v="575000"/>
    <n v="2"/>
    <n v="9"/>
    <x v="0"/>
  </r>
  <r>
    <s v="MFS-89073"/>
    <s v="Nasiru Haruna"/>
    <x v="0"/>
    <x v="0"/>
    <x v="0"/>
    <s v="Junior"/>
    <x v="0"/>
    <s v="41-50"/>
    <x v="0"/>
    <s v="18/03/2022"/>
    <s v="09/07/2024"/>
    <n v="3"/>
    <n v="180000"/>
    <n v="3.4"/>
    <n v="14"/>
    <x v="0"/>
  </r>
  <r>
    <s v="MFS-23607"/>
    <s v="Fatima Nwosu"/>
    <x v="1"/>
    <x v="2"/>
    <x v="2"/>
    <s v="Mid-level"/>
    <x v="1"/>
    <s v="41-50"/>
    <x v="2"/>
    <s v="28/10/2020"/>
    <s v="09/07/2024"/>
    <n v="5"/>
    <n v="304000"/>
    <n v="4.4000000000000004"/>
    <n v="6"/>
    <x v="0"/>
  </r>
  <r>
    <s v="MFS-98730"/>
    <s v="Abubakar Adeyemi"/>
    <x v="0"/>
    <x v="1"/>
    <x v="2"/>
    <s v="Mid-level"/>
    <x v="0"/>
    <s v="22-30"/>
    <x v="0"/>
    <s v="14/09/2022"/>
    <s v="09/07/2024"/>
    <n v="3"/>
    <n v="180000"/>
    <n v="2.9"/>
    <n v="9"/>
    <x v="2"/>
  </r>
  <r>
    <s v="MFS-64958"/>
    <s v="Nasiru Okafor"/>
    <x v="0"/>
    <x v="2"/>
    <x v="0"/>
    <s v="Mid-level"/>
    <x v="1"/>
    <s v="41-50"/>
    <x v="0"/>
    <s v="27/06/2019"/>
    <s v="21/06/2023"/>
    <n v="6"/>
    <n v="183000"/>
    <n v="2.1"/>
    <n v="2"/>
    <x v="0"/>
  </r>
  <r>
    <s v="MFS-41741"/>
    <s v="Nneka Aliyu"/>
    <x v="1"/>
    <x v="1"/>
    <x v="0"/>
    <s v="Mid-level"/>
    <x v="3"/>
    <s v="31-40"/>
    <x v="0"/>
    <s v="01/12/2020"/>
    <s v="21/06/2023"/>
    <n v="5"/>
    <n v="322000"/>
    <n v="4.5999999999999996"/>
    <n v="28"/>
    <x v="0"/>
  </r>
  <r>
    <s v="MFS-73393"/>
    <s v="Obiora Garba"/>
    <x v="0"/>
    <x v="1"/>
    <x v="0"/>
    <s v="Mid-level"/>
    <x v="1"/>
    <s v="51-60"/>
    <x v="2"/>
    <s v="25/03/2021"/>
    <s v="21/06/2023"/>
    <n v="4"/>
    <n v="225000"/>
    <n v="3.7"/>
    <n v="1"/>
    <x v="0"/>
  </r>
  <r>
    <s v="MFS-89544"/>
    <s v="Garba Adebayo"/>
    <x v="0"/>
    <x v="2"/>
    <x v="0"/>
    <s v="Senior"/>
    <x v="2"/>
    <s v="31-40"/>
    <x v="1"/>
    <s v="14/05/2021"/>
    <s v="21/06/2023"/>
    <n v="4"/>
    <n v="590000"/>
    <n v="4.4000000000000004"/>
    <n v="33"/>
    <x v="0"/>
  </r>
  <r>
    <s v="MFS-24277"/>
    <s v="Ugochi Lawal"/>
    <x v="1"/>
    <x v="0"/>
    <x v="0"/>
    <s v="Mid-level"/>
    <x v="1"/>
    <s v="51-60"/>
    <x v="0"/>
    <s v="07/10/2022"/>
    <s v="21/06/2023"/>
    <n v="3"/>
    <n v="222000"/>
    <n v="3.5"/>
    <n v="0"/>
    <x v="1"/>
  </r>
  <r>
    <s v="MFS-65340"/>
    <s v="Dele Ogundipe"/>
    <x v="0"/>
    <x v="3"/>
    <x v="0"/>
    <s v="Junior"/>
    <x v="1"/>
    <s v="22-30"/>
    <x v="1"/>
    <s v="21/09/2022"/>
    <s v="29/01/2024"/>
    <n v="3"/>
    <n v="162000"/>
    <n v="4.4000000000000004"/>
    <n v="11"/>
    <x v="0"/>
  </r>
  <r>
    <s v="MFS-61484"/>
    <s v="Chukwudi Chukwu"/>
    <x v="0"/>
    <x v="2"/>
    <x v="1"/>
    <s v="Senior"/>
    <x v="0"/>
    <s v="22-30"/>
    <x v="1"/>
    <s v="20/09/2022"/>
    <s v="29/01/2024"/>
    <n v="3"/>
    <n v="384000"/>
    <n v="2.9"/>
    <n v="14"/>
    <x v="0"/>
  </r>
  <r>
    <s v="MFS-37103"/>
    <s v="Tunde Ihejirika"/>
    <x v="0"/>
    <x v="4"/>
    <x v="2"/>
    <s v="Mid-level"/>
    <x v="0"/>
    <s v="31-40"/>
    <x v="1"/>
    <s v="07/01/2019"/>
    <s v="29/01/2024"/>
    <n v="7"/>
    <n v="254000"/>
    <n v="2.5"/>
    <n v="13"/>
    <x v="0"/>
  </r>
  <r>
    <s v="MFS-73858"/>
    <s v="Kabiru Adebayo"/>
    <x v="0"/>
    <x v="1"/>
    <x v="0"/>
    <s v="Mid-level"/>
    <x v="0"/>
    <s v="22-30"/>
    <x v="2"/>
    <s v="08/03/2019"/>
    <s v="29/01/2024"/>
    <n v="7"/>
    <n v="256000"/>
    <n v="4.3"/>
    <n v="9"/>
    <x v="0"/>
  </r>
  <r>
    <s v="MFS-92955"/>
    <s v="Rukayya Obi"/>
    <x v="1"/>
    <x v="2"/>
    <x v="1"/>
    <s v="Mid-level"/>
    <x v="1"/>
    <s v="51-60"/>
    <x v="0"/>
    <s v="25/09/2023"/>
    <s v="29/01/2024"/>
    <n v="2"/>
    <n v="342000"/>
    <n v="2.7"/>
    <n v="14"/>
    <x v="0"/>
  </r>
  <r>
    <s v="MFS-71591"/>
    <s v="Shehu Omotayo"/>
    <x v="0"/>
    <x v="4"/>
    <x v="0"/>
    <s v="Mid-level"/>
    <x v="1"/>
    <s v="31-40"/>
    <x v="0"/>
    <s v="05/02/2022"/>
    <s v="29/01/2024"/>
    <n v="4"/>
    <n v="283000"/>
    <n v="4.3"/>
    <n v="0"/>
    <x v="2"/>
  </r>
  <r>
    <s v="MFS-62584"/>
    <s v="Folake Aliyu"/>
    <x v="1"/>
    <x v="2"/>
    <x v="0"/>
    <s v="Mid-level"/>
    <x v="0"/>
    <s v="31-40"/>
    <x v="4"/>
    <s v="07/07/2022"/>
    <s v="09/12/2022"/>
    <n v="3"/>
    <n v="258000"/>
    <n v="2.6"/>
    <n v="39"/>
    <x v="0"/>
  </r>
  <r>
    <s v="MFS-85603"/>
    <s v="Haruna Ihejirika"/>
    <x v="0"/>
    <x v="2"/>
    <x v="2"/>
    <s v="Mid-level"/>
    <x v="1"/>
    <s v="51-60"/>
    <x v="2"/>
    <s v="09/02/2022"/>
    <s v="09/12/2022"/>
    <n v="4"/>
    <n v="279000"/>
    <n v="2.1"/>
    <n v="6"/>
    <x v="0"/>
  </r>
  <r>
    <s v="MFS-95989"/>
    <s v="Laraba Ogundipe"/>
    <x v="1"/>
    <x v="2"/>
    <x v="0"/>
    <s v="Mid-level"/>
    <x v="0"/>
    <s v="22-30"/>
    <x v="1"/>
    <s v="03/11/2021"/>
    <s v="09/12/2022"/>
    <n v="4"/>
    <n v="222000"/>
    <n v="2.1"/>
    <n v="6"/>
    <x v="2"/>
  </r>
  <r>
    <s v="MFS-16900"/>
    <s v="Adaora Musa"/>
    <x v="1"/>
    <x v="1"/>
    <x v="1"/>
    <s v="Junior"/>
    <x v="2"/>
    <s v="22-30"/>
    <x v="0"/>
    <s v="12/05/2019"/>
    <s v="03/11/2020"/>
    <n v="6"/>
    <n v="137000"/>
    <n v="3.3"/>
    <n v="13"/>
    <x v="1"/>
  </r>
  <r>
    <s v="MFS-19761"/>
    <s v="Yakubu Aliyu"/>
    <x v="0"/>
    <x v="3"/>
    <x v="0"/>
    <s v="Mid-level"/>
    <x v="3"/>
    <s v="31-40"/>
    <x v="1"/>
    <s v="16/05/2019"/>
    <s v="14/11/2023"/>
    <n v="6"/>
    <n v="244000"/>
    <n v="2.8"/>
    <n v="31"/>
    <x v="0"/>
  </r>
  <r>
    <s v="MFS-20050"/>
    <s v="Nnamdi Shehu"/>
    <x v="0"/>
    <x v="2"/>
    <x v="0"/>
    <s v="Mid-level"/>
    <x v="2"/>
    <s v="31-40"/>
    <x v="3"/>
    <s v="27/06/2022"/>
    <s v="14/11/2023"/>
    <n v="3"/>
    <n v="201000"/>
    <n v="2.4"/>
    <n v="7"/>
    <x v="0"/>
  </r>
  <r>
    <s v="MFS-98381"/>
    <s v="Danladi Lawal"/>
    <x v="0"/>
    <x v="3"/>
    <x v="1"/>
    <s v="Manager"/>
    <x v="0"/>
    <s v="41-50"/>
    <x v="0"/>
    <s v="22/08/2021"/>
    <s v="14/11/2023"/>
    <n v="4"/>
    <n v="871000"/>
    <n v="4.2"/>
    <n v="14"/>
    <x v="0"/>
  </r>
  <r>
    <s v="MFS-65372"/>
    <s v="Eze Adebayo"/>
    <x v="0"/>
    <x v="0"/>
    <x v="1"/>
    <s v="Junior"/>
    <x v="0"/>
    <s v="22-30"/>
    <x v="2"/>
    <s v="06/10/2023"/>
    <s v="14/11/2023"/>
    <n v="2"/>
    <n v="102000"/>
    <n v="2.4"/>
    <n v="8"/>
    <x v="0"/>
  </r>
  <r>
    <s v="MFS-45880"/>
    <s v="Fatima Okafor"/>
    <x v="1"/>
    <x v="4"/>
    <x v="0"/>
    <s v="Junior"/>
    <x v="2"/>
    <s v="22-30"/>
    <x v="2"/>
    <s v="25/09/2019"/>
    <s v="14/11/2023"/>
    <n v="6"/>
    <n v="141000"/>
    <n v="3.4"/>
    <n v="25"/>
    <x v="0"/>
  </r>
  <r>
    <s v="MFS-18969"/>
    <s v="Adaora Taiwo"/>
    <x v="1"/>
    <x v="3"/>
    <x v="0"/>
    <s v="Senior"/>
    <x v="0"/>
    <s v="41-50"/>
    <x v="0"/>
    <s v="05/04/2020"/>
    <s v="14/11/2023"/>
    <n v="5"/>
    <n v="543000"/>
    <n v="2.9"/>
    <n v="30"/>
    <x v="0"/>
  </r>
  <r>
    <s v="MFS-84900"/>
    <s v="Adaeze Danladi"/>
    <x v="1"/>
    <x v="3"/>
    <x v="0"/>
    <s v="Junior"/>
    <x v="2"/>
    <s v="31-40"/>
    <x v="0"/>
    <s v="02/05/2023"/>
    <s v="14/11/2023"/>
    <n v="2"/>
    <n v="137000"/>
    <n v="2.1"/>
    <n v="14"/>
    <x v="0"/>
  </r>
  <r>
    <s v="MFS-83663"/>
    <s v="Musa Chukwu"/>
    <x v="0"/>
    <x v="0"/>
    <x v="1"/>
    <s v="Senior"/>
    <x v="2"/>
    <s v="31-40"/>
    <x v="0"/>
    <s v="05/12/2023"/>
    <s v="14/11/2023"/>
    <n v="2"/>
    <n v="601000"/>
    <n v="4.2"/>
    <n v="5"/>
    <x v="0"/>
  </r>
  <r>
    <s v="MFS-34267"/>
    <s v="Lanre Taiwo"/>
    <x v="0"/>
    <x v="1"/>
    <x v="0"/>
    <s v="Mid-level"/>
    <x v="1"/>
    <s v="31-40"/>
    <x v="4"/>
    <s v="10/04/2020"/>
    <s v="14/11/2023"/>
    <n v="5"/>
    <n v="212000"/>
    <n v="4.0999999999999996"/>
    <n v="16"/>
    <x v="3"/>
  </r>
  <r>
    <s v="MFS-98014"/>
    <s v="Shehu Abdullahi"/>
    <x v="0"/>
    <x v="2"/>
    <x v="0"/>
    <s v="Junior"/>
    <x v="0"/>
    <s v="51-60"/>
    <x v="2"/>
    <s v="11/07/2022"/>
    <s v="04/05/2024"/>
    <n v="3"/>
    <n v="156000"/>
    <n v="3.7"/>
    <n v="10"/>
    <x v="0"/>
  </r>
  <r>
    <s v="MFS-15836"/>
    <s v="Ifeanyi Uba"/>
    <x v="0"/>
    <x v="2"/>
    <x v="2"/>
    <s v="Mid-level"/>
    <x v="0"/>
    <s v="51-60"/>
    <x v="3"/>
    <s v="29/10/2019"/>
    <s v="04/05/2024"/>
    <n v="6"/>
    <n v="240000"/>
    <n v="2.9"/>
    <n v="10"/>
    <x v="0"/>
  </r>
  <r>
    <s v="MFS-14855"/>
    <s v="Rabiu Ogundipe"/>
    <x v="0"/>
    <x v="2"/>
    <x v="0"/>
    <s v="Senior"/>
    <x v="0"/>
    <s v="41-50"/>
    <x v="0"/>
    <s v="02/11/2019"/>
    <s v="04/05/2024"/>
    <n v="6"/>
    <n v="535000"/>
    <n v="2.7"/>
    <n v="38"/>
    <x v="0"/>
  </r>
  <r>
    <s v="MFS-28590"/>
    <s v="Ibrahim Adeyemi"/>
    <x v="0"/>
    <x v="0"/>
    <x v="0"/>
    <s v="Junior"/>
    <x v="0"/>
    <s v="41-50"/>
    <x v="0"/>
    <s v="27/04/2021"/>
    <s v="04/05/2024"/>
    <n v="4"/>
    <n v="114000"/>
    <n v="2.2000000000000002"/>
    <n v="6"/>
    <x v="2"/>
  </r>
  <r>
    <s v="MFS-42858"/>
    <s v="Kunle Okafor"/>
    <x v="0"/>
    <x v="1"/>
    <x v="0"/>
    <s v="Mid-level"/>
    <x v="0"/>
    <s v="41-50"/>
    <x v="0"/>
    <s v="20/07/2022"/>
    <s v="28/06/2023"/>
    <n v="3"/>
    <n v="180000"/>
    <n v="2.7"/>
    <n v="13"/>
    <x v="1"/>
  </r>
  <r>
    <s v="MFS-56543"/>
    <s v="Hadiza Obi"/>
    <x v="1"/>
    <x v="1"/>
    <x v="0"/>
    <s v="Senior"/>
    <x v="0"/>
    <s v="41-50"/>
    <x v="2"/>
    <s v="30/03/2023"/>
    <s v="17/10/2023"/>
    <n v="2"/>
    <n v="446000"/>
    <n v="4.3"/>
    <n v="9"/>
    <x v="2"/>
  </r>
  <r>
    <s v="MFS-57830"/>
    <s v="Bello Omotayo"/>
    <x v="0"/>
    <x v="4"/>
    <x v="0"/>
    <s v="Mid-level"/>
    <x v="0"/>
    <s v="41-50"/>
    <x v="0"/>
    <s v="23/03/2020"/>
    <s v="17/02/2023"/>
    <n v="5"/>
    <n v="292000"/>
    <n v="3.9"/>
    <n v="13"/>
    <x v="3"/>
  </r>
  <r>
    <s v="MFS-45690"/>
    <s v="Dele Okonkwo"/>
    <x v="0"/>
    <x v="3"/>
    <x v="1"/>
    <s v="Junior"/>
    <x v="2"/>
    <s v="41-50"/>
    <x v="0"/>
    <s v="07/11/2022"/>
    <s v="27/07/2024"/>
    <n v="3"/>
    <n v="179000"/>
    <n v="3.5"/>
    <n v="1"/>
    <x v="0"/>
  </r>
  <r>
    <s v="MFS-94978"/>
    <s v="Zainab Oyelaran"/>
    <x v="1"/>
    <x v="2"/>
    <x v="1"/>
    <s v="Senior"/>
    <x v="0"/>
    <s v="31-40"/>
    <x v="0"/>
    <s v="07/06/2021"/>
    <s v="27/07/2024"/>
    <n v="4"/>
    <n v="575000"/>
    <n v="4.8"/>
    <n v="12"/>
    <x v="0"/>
  </r>
  <r>
    <s v="MFS-85777"/>
    <s v="Ugochi Garba"/>
    <x v="1"/>
    <x v="2"/>
    <x v="0"/>
    <s v="Mid-level"/>
    <x v="0"/>
    <s v="31-40"/>
    <x v="0"/>
    <s v="27/01/2023"/>
    <s v="27/07/2024"/>
    <n v="3"/>
    <n v="346000"/>
    <n v="2.7"/>
    <n v="14"/>
    <x v="0"/>
  </r>
  <r>
    <s v="MFS-75743"/>
    <s v="Haruna Nwosu"/>
    <x v="0"/>
    <x v="2"/>
    <x v="1"/>
    <s v="Junior"/>
    <x v="3"/>
    <s v="41-50"/>
    <x v="1"/>
    <s v="10/05/2023"/>
    <s v="27/07/2024"/>
    <n v="2"/>
    <n v="103000"/>
    <n v="2.5"/>
    <n v="11"/>
    <x v="0"/>
  </r>
  <r>
    <s v="MFS-96135"/>
    <s v="Bilkisu Onwudiwe"/>
    <x v="1"/>
    <x v="1"/>
    <x v="0"/>
    <s v="Senior"/>
    <x v="1"/>
    <s v="31-40"/>
    <x v="0"/>
    <s v="03/07/2023"/>
    <s v="27/07/2024"/>
    <n v="2"/>
    <n v="437000"/>
    <n v="2.9"/>
    <n v="10"/>
    <x v="0"/>
  </r>
  <r>
    <s v="MFS-72440"/>
    <s v="Suleiman Obaseki"/>
    <x v="0"/>
    <x v="4"/>
    <x v="1"/>
    <s v="Director"/>
    <x v="0"/>
    <s v="41-50"/>
    <x v="4"/>
    <s v="30/05/2023"/>
    <s v="27/07/2024"/>
    <n v="2"/>
    <n v="1973000"/>
    <n v="4.3"/>
    <n v="12"/>
    <x v="1"/>
  </r>
  <r>
    <s v="MFS-38335"/>
    <s v="Sola Haruna"/>
    <x v="1"/>
    <x v="0"/>
    <x v="0"/>
    <s v="Junior"/>
    <x v="2"/>
    <s v="41-50"/>
    <x v="0"/>
    <s v="06/08/2021"/>
    <s v="16/06/2024"/>
    <n v="4"/>
    <n v="198000"/>
    <n v="2.7"/>
    <n v="14"/>
    <x v="0"/>
  </r>
  <r>
    <s v="MFS-64627"/>
    <s v="Nneka Bello"/>
    <x v="1"/>
    <x v="4"/>
    <x v="2"/>
    <s v="Mid-level"/>
    <x v="0"/>
    <s v="31-40"/>
    <x v="0"/>
    <s v="21/11/2021"/>
    <s v="16/06/2024"/>
    <n v="4"/>
    <n v="315000"/>
    <n v="2.2000000000000002"/>
    <n v="6"/>
    <x v="0"/>
  </r>
  <r>
    <s v="MFS-31592"/>
    <s v="Nana Garba"/>
    <x v="1"/>
    <x v="0"/>
    <x v="1"/>
    <s v="Mid-level"/>
    <x v="3"/>
    <s v="31-40"/>
    <x v="0"/>
    <s v="23/11/2021"/>
    <s v="16/06/2024"/>
    <n v="4"/>
    <n v="331000"/>
    <n v="2.9"/>
    <n v="37"/>
    <x v="0"/>
  </r>
  <r>
    <s v="MFS-70930"/>
    <s v="Lola Amadi"/>
    <x v="1"/>
    <x v="1"/>
    <x v="0"/>
    <s v="Senior"/>
    <x v="2"/>
    <s v="22-30"/>
    <x v="2"/>
    <s v="10/12/2023"/>
    <s v="16/06/2024"/>
    <n v="2"/>
    <n v="350000"/>
    <n v="2.8"/>
    <n v="38"/>
    <x v="1"/>
  </r>
  <r>
    <s v="MFS-77184"/>
    <s v="Bilkisu Taiwo"/>
    <x v="1"/>
    <x v="2"/>
    <x v="0"/>
    <s v="Senior"/>
    <x v="0"/>
    <s v="31-40"/>
    <x v="2"/>
    <s v="30/01/2023"/>
    <s v="22/11/2023"/>
    <n v="3"/>
    <n v="385000"/>
    <n v="4.8"/>
    <n v="1"/>
    <x v="0"/>
  </r>
  <r>
    <s v="MFS-74771"/>
    <s v="Kunle Amadi"/>
    <x v="0"/>
    <x v="2"/>
    <x v="0"/>
    <s v="Junior"/>
    <x v="1"/>
    <s v="41-50"/>
    <x v="1"/>
    <s v="11/06/2023"/>
    <s v="22/11/2023"/>
    <n v="2"/>
    <n v="99000"/>
    <n v="2.9"/>
    <n v="9"/>
    <x v="0"/>
  </r>
  <r>
    <s v="MFS-73555"/>
    <s v="Tobi Chukwu"/>
    <x v="0"/>
    <x v="0"/>
    <x v="2"/>
    <s v="Senior"/>
    <x v="1"/>
    <s v="51-60"/>
    <x v="1"/>
    <s v="11/06/2020"/>
    <s v="22/11/2023"/>
    <n v="5"/>
    <n v="473000"/>
    <n v="4.9000000000000004"/>
    <n v="0"/>
    <x v="1"/>
  </r>
  <r>
    <s v="MFS-41225"/>
    <s v="Uloma Haruna"/>
    <x v="1"/>
    <x v="2"/>
    <x v="0"/>
    <s v="Mid-level"/>
    <x v="0"/>
    <s v="31-40"/>
    <x v="1"/>
    <s v="18/06/2022"/>
    <s v="02/10/2023"/>
    <n v="3"/>
    <n v="341000"/>
    <n v="3"/>
    <n v="9"/>
    <x v="0"/>
  </r>
  <r>
    <s v="MFS-62391"/>
    <s v="Damilola Abdullahi"/>
    <x v="1"/>
    <x v="0"/>
    <x v="0"/>
    <s v="Senior"/>
    <x v="0"/>
    <s v="31-40"/>
    <x v="0"/>
    <s v="17/03/2020"/>
    <s v="02/10/2023"/>
    <n v="5"/>
    <n v="457000"/>
    <n v="4.0999999999999996"/>
    <n v="11"/>
    <x v="1"/>
  </r>
  <r>
    <s v="MFS-53634"/>
    <s v="Rabiu Okafor"/>
    <x v="0"/>
    <x v="2"/>
    <x v="1"/>
    <s v="Senior"/>
    <x v="2"/>
    <s v="31-40"/>
    <x v="1"/>
    <s v="24/06/2022"/>
    <s v="30/07/2024"/>
    <n v="3"/>
    <n v="570000"/>
    <n v="4.2"/>
    <n v="36"/>
    <x v="0"/>
  </r>
  <r>
    <s v="MFS-61766"/>
    <s v="Dele Adeyemi"/>
    <x v="0"/>
    <x v="4"/>
    <x v="2"/>
    <s v="Junior"/>
    <x v="2"/>
    <s v="22-30"/>
    <x v="4"/>
    <s v="31/10/2019"/>
    <s v="30/07/2024"/>
    <n v="6"/>
    <n v="90000"/>
    <n v="2.2999999999999998"/>
    <n v="12"/>
    <x v="0"/>
  </r>
  <r>
    <s v="MFS-35553"/>
    <s v="Eze Omotayo"/>
    <x v="0"/>
    <x v="2"/>
    <x v="0"/>
    <s v="Senior"/>
    <x v="3"/>
    <s v="51-60"/>
    <x v="1"/>
    <s v="07/04/2023"/>
    <s v="30/07/2024"/>
    <n v="2"/>
    <n v="379000"/>
    <n v="2.1"/>
    <n v="5"/>
    <x v="3"/>
  </r>
  <r>
    <s v="MFS-93705"/>
    <s v="Lola Okeke"/>
    <x v="1"/>
    <x v="2"/>
    <x v="0"/>
    <s v="Mid-level"/>
    <x v="0"/>
    <s v="22-30"/>
    <x v="0"/>
    <s v="10/01/2020"/>
    <s v="26/07/2023"/>
    <n v="6"/>
    <n v="255000"/>
    <n v="3.3"/>
    <n v="37"/>
    <x v="1"/>
  </r>
  <r>
    <s v="MFS-58147"/>
    <s v="Chinedu Adesanya"/>
    <x v="0"/>
    <x v="2"/>
    <x v="0"/>
    <s v="Senior"/>
    <x v="0"/>
    <s v="31-40"/>
    <x v="2"/>
    <s v="17/09/2019"/>
    <s v="06/06/2024"/>
    <n v="6"/>
    <n v="373000"/>
    <n v="2.4"/>
    <n v="27"/>
    <x v="0"/>
  </r>
  <r>
    <s v="MFS-36752"/>
    <s v="Rotimi Obi"/>
    <x v="0"/>
    <x v="3"/>
    <x v="2"/>
    <s v="Senior"/>
    <x v="0"/>
    <s v="22-30"/>
    <x v="1"/>
    <s v="04/07/2023"/>
    <s v="06/06/2024"/>
    <n v="2"/>
    <n v="565000"/>
    <n v="4.3"/>
    <n v="14"/>
    <x v="1"/>
  </r>
  <r>
    <s v="MFS-23768"/>
    <s v="Rotimi Musa"/>
    <x v="0"/>
    <x v="4"/>
    <x v="0"/>
    <s v="Junior"/>
    <x v="2"/>
    <s v="22-30"/>
    <x v="1"/>
    <s v="19/12/2023"/>
    <s v="09/06/2023"/>
    <n v="2"/>
    <n v="125000"/>
    <n v="1.8"/>
    <n v="7"/>
    <x v="0"/>
  </r>
  <r>
    <s v="MFS-39856"/>
    <s v="Gbenga Shehu"/>
    <x v="0"/>
    <x v="1"/>
    <x v="1"/>
    <s v="Senior"/>
    <x v="1"/>
    <s v="31-40"/>
    <x v="0"/>
    <s v="20/08/2021"/>
    <s v="09/06/2023"/>
    <n v="4"/>
    <n v="550000"/>
    <n v="2.2000000000000002"/>
    <n v="14"/>
    <x v="1"/>
  </r>
  <r>
    <s v="MFS-23975"/>
    <s v="Yemi Taiwo"/>
    <x v="1"/>
    <x v="0"/>
    <x v="2"/>
    <s v="Senior"/>
    <x v="0"/>
    <s v="41-50"/>
    <x v="2"/>
    <s v="09/07/2020"/>
    <s v="03/12/2024"/>
    <n v="5"/>
    <n v="351000"/>
    <n v="4.2"/>
    <n v="4"/>
    <x v="0"/>
  </r>
  <r>
    <s v="MFS-45797"/>
    <s v="Nana Adeyemi"/>
    <x v="1"/>
    <x v="3"/>
    <x v="2"/>
    <s v="Director"/>
    <x v="0"/>
    <s v="22-30"/>
    <x v="1"/>
    <s v="14/07/2019"/>
    <s v="03/12/2024"/>
    <n v="6"/>
    <n v="1053000"/>
    <n v="3.1"/>
    <n v="2"/>
    <x v="0"/>
  </r>
  <r>
    <s v="MFS-44531"/>
    <s v="Sola Shehu"/>
    <x v="1"/>
    <x v="3"/>
    <x v="0"/>
    <s v="Mid-level"/>
    <x v="1"/>
    <s v="31-40"/>
    <x v="2"/>
    <s v="23/11/2019"/>
    <s v="03/12/2024"/>
    <n v="6"/>
    <n v="265000"/>
    <n v="3.5"/>
    <n v="4"/>
    <x v="0"/>
  </r>
  <r>
    <s v="MFS-73833"/>
    <s v="Adaora Ihejirika"/>
    <x v="1"/>
    <x v="2"/>
    <x v="0"/>
    <s v="Mid-level"/>
    <x v="1"/>
    <s v="31-40"/>
    <x v="1"/>
    <s v="06/08/2020"/>
    <s v="03/12/2024"/>
    <n v="5"/>
    <n v="284000"/>
    <n v="3.2"/>
    <n v="4"/>
    <x v="0"/>
  </r>
  <r>
    <s v="MFS-23853"/>
    <s v="Nana Adebayo"/>
    <x v="1"/>
    <x v="3"/>
    <x v="0"/>
    <s v="Mid-level"/>
    <x v="2"/>
    <s v="31-40"/>
    <x v="0"/>
    <s v="04/12/2021"/>
    <s v="03/12/2024"/>
    <n v="4"/>
    <n v="309000"/>
    <n v="3.3"/>
    <n v="2"/>
    <x v="0"/>
  </r>
  <r>
    <s v="MFS-77496"/>
    <s v="Chukwudi Ogbonna"/>
    <x v="0"/>
    <x v="3"/>
    <x v="0"/>
    <s v="Manager"/>
    <x v="0"/>
    <s v="31-40"/>
    <x v="0"/>
    <s v="06/02/2020"/>
    <s v="03/12/2024"/>
    <n v="6"/>
    <n v="662000"/>
    <n v="4.3"/>
    <n v="12"/>
    <x v="0"/>
  </r>
  <r>
    <s v="MFS-49724"/>
    <s v="Hafsat Taiwo"/>
    <x v="1"/>
    <x v="4"/>
    <x v="0"/>
    <s v="Mid-level"/>
    <x v="2"/>
    <s v="41-50"/>
    <x v="4"/>
    <s v="24/07/2023"/>
    <s v="03/12/2024"/>
    <n v="2"/>
    <n v="235000"/>
    <n v="2.7"/>
    <n v="38"/>
    <x v="3"/>
  </r>
  <r>
    <s v="MFS-71666"/>
    <s v="Ngozi Buhari"/>
    <x v="1"/>
    <x v="2"/>
    <x v="0"/>
    <s v="Senior"/>
    <x v="0"/>
    <s v="22-30"/>
    <x v="1"/>
    <s v="01/08/2019"/>
    <s v="02/01/2025"/>
    <n v="6"/>
    <n v="470000"/>
    <n v="3.6"/>
    <n v="7"/>
    <x v="3"/>
  </r>
  <r>
    <s v="MFS-76361"/>
    <s v="Adebayo Okafor"/>
    <x v="0"/>
    <x v="0"/>
    <x v="2"/>
    <s v="Mid-level"/>
    <x v="0"/>
    <s v="41-50"/>
    <x v="1"/>
    <s v="26/10/2019"/>
    <s v="10/03/2021"/>
    <n v="6"/>
    <n v="272000"/>
    <n v="3.1"/>
    <n v="11"/>
    <x v="1"/>
  </r>
  <r>
    <s v="MFS-27799"/>
    <s v="Yetunde Taiwo"/>
    <x v="1"/>
    <x v="2"/>
    <x v="1"/>
    <s v="Director"/>
    <x v="0"/>
    <s v="31-40"/>
    <x v="3"/>
    <s v="17/03/2022"/>
    <s v="26/11/2019"/>
    <n v="3"/>
    <n v="1489000"/>
    <n v="3.6"/>
    <n v="13"/>
    <x v="0"/>
  </r>
  <r>
    <s v="MFS-70546"/>
    <s v="Bello Onwudiwe"/>
    <x v="0"/>
    <x v="2"/>
    <x v="1"/>
    <s v="Mid-level"/>
    <x v="3"/>
    <s v="51-60"/>
    <x v="1"/>
    <s v="28/12/2023"/>
    <s v="26/11/2019"/>
    <n v="2"/>
    <n v="326000"/>
    <n v="4.0999999999999996"/>
    <n v="0"/>
    <x v="0"/>
  </r>
  <r>
    <s v="MFS-29552"/>
    <s v="Chidi Fagbemi"/>
    <x v="0"/>
    <x v="3"/>
    <x v="1"/>
    <s v="Mid-level"/>
    <x v="0"/>
    <s v="31-40"/>
    <x v="0"/>
    <s v="27/03/2019"/>
    <s v="26/11/2019"/>
    <n v="6"/>
    <n v="218000"/>
    <n v="2.2000000000000002"/>
    <n v="1"/>
    <x v="2"/>
  </r>
  <r>
    <s v="MFS-18087"/>
    <s v="Nana Onwudiwe"/>
    <x v="1"/>
    <x v="0"/>
    <x v="0"/>
    <s v="Senior"/>
    <x v="2"/>
    <s v="41-50"/>
    <x v="3"/>
    <s v="17/07/2019"/>
    <s v="30/08/2024"/>
    <n v="6"/>
    <n v="660000"/>
    <n v="4.0999999999999996"/>
    <n v="26"/>
    <x v="0"/>
  </r>
  <r>
    <s v="MFS-41529"/>
    <s v="Folake Abdullahi"/>
    <x v="1"/>
    <x v="4"/>
    <x v="2"/>
    <s v="Junior"/>
    <x v="1"/>
    <s v="41-50"/>
    <x v="0"/>
    <s v="09/07/2023"/>
    <s v="30/08/2024"/>
    <n v="2"/>
    <n v="86000"/>
    <n v="2.1"/>
    <n v="13"/>
    <x v="1"/>
  </r>
  <r>
    <s v="MFS-90180"/>
    <s v="Ezinne Lawal"/>
    <x v="1"/>
    <x v="4"/>
    <x v="0"/>
    <s v="Junior"/>
    <x v="3"/>
    <s v="31-40"/>
    <x v="3"/>
    <s v="19/04/2022"/>
    <s v="11/07/2024"/>
    <n v="3"/>
    <n v="120000"/>
    <n v="1.8"/>
    <n v="6"/>
    <x v="0"/>
  </r>
  <r>
    <s v="MFS-61945"/>
    <s v="Adebayo Yakubu"/>
    <x v="0"/>
    <x v="3"/>
    <x v="1"/>
    <s v="Junior"/>
    <x v="0"/>
    <s v="22-30"/>
    <x v="2"/>
    <s v="10/09/2023"/>
    <s v="11/07/2024"/>
    <n v="2"/>
    <n v="116000"/>
    <n v="2.6"/>
    <n v="9"/>
    <x v="0"/>
  </r>
  <r>
    <s v="MFS-33369"/>
    <s v="Abubakar Oyelaran"/>
    <x v="0"/>
    <x v="4"/>
    <x v="1"/>
    <s v="Junior"/>
    <x v="2"/>
    <s v="31-40"/>
    <x v="1"/>
    <s v="18/05/2023"/>
    <s v="11/07/2024"/>
    <n v="2"/>
    <n v="158000"/>
    <n v="1.8"/>
    <n v="13"/>
    <x v="3"/>
  </r>
  <r>
    <s v="MFS-48260"/>
    <s v="Babatunde Oyelaran"/>
    <x v="0"/>
    <x v="0"/>
    <x v="2"/>
    <s v="Manager"/>
    <x v="0"/>
    <s v="22-30"/>
    <x v="0"/>
    <s v="29/07/2021"/>
    <s v="11/04/2023"/>
    <n v="4"/>
    <n v="941000"/>
    <n v="3.5"/>
    <n v="1"/>
    <x v="2"/>
  </r>
  <r>
    <s v="MFS-57714"/>
    <s v="Rabiu Danladi"/>
    <x v="0"/>
    <x v="3"/>
    <x v="0"/>
    <s v="Senior"/>
    <x v="1"/>
    <s v="31-40"/>
    <x v="1"/>
    <s v="23/09/2020"/>
    <s v="11/05/2023"/>
    <n v="5"/>
    <n v="519000"/>
    <n v="2.2999999999999998"/>
    <n v="10"/>
    <x v="0"/>
  </r>
  <r>
    <s v="MFS-98208"/>
    <s v="Chidi Garba"/>
    <x v="0"/>
    <x v="0"/>
    <x v="0"/>
    <s v="Mid-level"/>
    <x v="0"/>
    <s v="22-30"/>
    <x v="1"/>
    <s v="29/01/2019"/>
    <s v="11/05/2023"/>
    <n v="7"/>
    <n v="385000"/>
    <n v="4.5"/>
    <n v="7"/>
    <x v="0"/>
  </r>
  <r>
    <s v="MFS-17925"/>
    <s v="Kemi Nduka"/>
    <x v="1"/>
    <x v="0"/>
    <x v="2"/>
    <s v="Manager"/>
    <x v="0"/>
    <s v="22-30"/>
    <x v="2"/>
    <s v="13/04/2021"/>
    <s v="11/05/2023"/>
    <n v="4"/>
    <n v="815000"/>
    <n v="4.5999999999999996"/>
    <n v="2"/>
    <x v="1"/>
  </r>
  <r>
    <s v="MFS-26361"/>
    <s v="Garba Yakubu"/>
    <x v="0"/>
    <x v="0"/>
    <x v="1"/>
    <s v="Junior"/>
    <x v="1"/>
    <s v="22-30"/>
    <x v="1"/>
    <s v="01/08/2021"/>
    <s v="13/11/2022"/>
    <n v="4"/>
    <n v="159000"/>
    <n v="3.1"/>
    <n v="4"/>
    <x v="0"/>
  </r>
  <r>
    <s v="MFS-72600"/>
    <s v="Bello Eze"/>
    <x v="0"/>
    <x v="1"/>
    <x v="0"/>
    <s v="Senior"/>
    <x v="2"/>
    <s v="22-30"/>
    <x v="2"/>
    <s v="13/01/2023"/>
    <s v="13/11/2022"/>
    <n v="3"/>
    <n v="480000"/>
    <n v="3.5"/>
    <n v="6"/>
    <x v="0"/>
  </r>
  <r>
    <s v="MFS-43556"/>
    <s v="Ibrahim Nduka"/>
    <x v="0"/>
    <x v="0"/>
    <x v="2"/>
    <s v="Mid-level"/>
    <x v="2"/>
    <s v="41-50"/>
    <x v="0"/>
    <s v="11/03/2020"/>
    <s v="13/11/2022"/>
    <n v="6"/>
    <n v="269000"/>
    <n v="4.5"/>
    <n v="13"/>
    <x v="1"/>
  </r>
  <r>
    <s v="MFS-68040"/>
    <s v="Falmata Oyelaran"/>
    <x v="1"/>
    <x v="3"/>
    <x v="2"/>
    <s v="Mid-level"/>
    <x v="3"/>
    <s v="41-50"/>
    <x v="3"/>
    <s v="17/04/2022"/>
    <s v="13/11/2022"/>
    <n v="3"/>
    <n v="227000"/>
    <n v="2.6"/>
    <n v="1"/>
    <x v="0"/>
  </r>
  <r>
    <s v="MFS-87997"/>
    <s v="Nnamdi Aliyu"/>
    <x v="0"/>
    <x v="4"/>
    <x v="1"/>
    <s v="Junior"/>
    <x v="1"/>
    <s v="31-40"/>
    <x v="0"/>
    <s v="11/08/2021"/>
    <s v="13/11/2022"/>
    <n v="4"/>
    <n v="175000"/>
    <n v="2.5"/>
    <n v="4"/>
    <x v="3"/>
  </r>
  <r>
    <s v="MFS-33481"/>
    <s v="Gbenga Suleiman"/>
    <x v="0"/>
    <x v="2"/>
    <x v="1"/>
    <s v="Mid-level"/>
    <x v="2"/>
    <s v="41-50"/>
    <x v="2"/>
    <s v="04/09/2020"/>
    <s v="24/11/2020"/>
    <n v="5"/>
    <n v="270000"/>
    <n v="2.6"/>
    <n v="13"/>
    <x v="0"/>
  </r>
  <r>
    <s v="MFS-98489"/>
    <s v="Rabiu Taiwo"/>
    <x v="0"/>
    <x v="3"/>
    <x v="0"/>
    <s v="Junior"/>
    <x v="0"/>
    <s v="31-40"/>
    <x v="0"/>
    <s v="02/04/2019"/>
    <s v="24/11/2020"/>
    <n v="6"/>
    <n v="100000"/>
    <n v="4.7"/>
    <n v="7"/>
    <x v="2"/>
  </r>
  <r>
    <s v="MFS-50416"/>
    <s v="Zainab Okafor"/>
    <x v="1"/>
    <x v="3"/>
    <x v="2"/>
    <s v="Senior"/>
    <x v="0"/>
    <s v="22-30"/>
    <x v="2"/>
    <s v="01/01/2023"/>
    <s v="09/07/2024"/>
    <n v="3"/>
    <n v="459000"/>
    <n v="2.4"/>
    <n v="12"/>
    <x v="1"/>
  </r>
  <r>
    <s v="MFS-47165"/>
    <s v="Suleiman Lawal"/>
    <x v="0"/>
    <x v="2"/>
    <x v="2"/>
    <s v="Junior"/>
    <x v="0"/>
    <s v="41-50"/>
    <x v="0"/>
    <s v="17/12/2023"/>
    <s v="30/10/2023"/>
    <n v="2"/>
    <n v="154000"/>
    <n v="3.2"/>
    <n v="16"/>
    <x v="0"/>
  </r>
  <r>
    <s v="MFS-69904"/>
    <s v="Musa Buhari"/>
    <x v="0"/>
    <x v="1"/>
    <x v="0"/>
    <s v="Mid-level"/>
    <x v="0"/>
    <s v="41-50"/>
    <x v="0"/>
    <s v="26/05/2019"/>
    <s v="30/10/2023"/>
    <n v="6"/>
    <n v="330000"/>
    <n v="3.1"/>
    <n v="9"/>
    <x v="0"/>
  </r>
  <r>
    <s v="MFS-79329"/>
    <s v="Shehu Garba"/>
    <x v="0"/>
    <x v="3"/>
    <x v="0"/>
    <s v="Junior"/>
    <x v="2"/>
    <s v="31-40"/>
    <x v="2"/>
    <s v="04/10/2019"/>
    <s v="30/10/2023"/>
    <n v="6"/>
    <n v="156000"/>
    <n v="4.9000000000000004"/>
    <n v="8"/>
    <x v="0"/>
  </r>
  <r>
    <s v="MFS-74101"/>
    <s v="Kabiru Adewale"/>
    <x v="0"/>
    <x v="2"/>
    <x v="2"/>
    <s v="Manager"/>
    <x v="3"/>
    <s v="51-60"/>
    <x v="3"/>
    <s v="15/11/2022"/>
    <s v="30/10/2023"/>
    <n v="3"/>
    <n v="792000"/>
    <n v="4.0999999999999996"/>
    <n v="14"/>
    <x v="0"/>
  </r>
  <r>
    <s v="MFS-45478"/>
    <s v="Fatima Uba"/>
    <x v="1"/>
    <x v="3"/>
    <x v="1"/>
    <s v="Manager"/>
    <x v="0"/>
    <s v="22-30"/>
    <x v="3"/>
    <s v="20/03/2021"/>
    <s v="30/10/2023"/>
    <n v="4"/>
    <n v="617000"/>
    <n v="3.9"/>
    <n v="9"/>
    <x v="0"/>
  </r>
  <r>
    <s v="MFS-91271"/>
    <s v="Chukwudi Ihejirika"/>
    <x v="0"/>
    <x v="0"/>
    <x v="1"/>
    <s v="Mid-level"/>
    <x v="1"/>
    <s v="31-40"/>
    <x v="3"/>
    <s v="23/10/2022"/>
    <s v="30/10/2023"/>
    <n v="3"/>
    <n v="315000"/>
    <n v="4.0999999999999996"/>
    <n v="8"/>
    <x v="3"/>
  </r>
  <r>
    <s v="MFS-65905"/>
    <s v="Wale Eze"/>
    <x v="0"/>
    <x v="2"/>
    <x v="0"/>
    <s v="Junior"/>
    <x v="1"/>
    <s v="41-50"/>
    <x v="1"/>
    <s v="07/05/2019"/>
    <s v="01/04/2022"/>
    <n v="6"/>
    <n v="91000"/>
    <n v="3"/>
    <n v="9"/>
    <x v="1"/>
  </r>
  <r>
    <s v="MFS-52917"/>
    <s v="Uloma Adesanya"/>
    <x v="1"/>
    <x v="2"/>
    <x v="0"/>
    <s v="Senior"/>
    <x v="0"/>
    <s v="31-40"/>
    <x v="1"/>
    <s v="21/01/2020"/>
    <s v="01/06/2023"/>
    <n v="6"/>
    <n v="423000"/>
    <n v="4.5999999999999996"/>
    <n v="11"/>
    <x v="0"/>
  </r>
  <r>
    <s v="MFS-54546"/>
    <s v="Bimpe Onwudiwe"/>
    <x v="1"/>
    <x v="3"/>
    <x v="0"/>
    <s v="Senior"/>
    <x v="0"/>
    <s v="22-30"/>
    <x v="0"/>
    <s v="16/10/2020"/>
    <s v="01/06/2023"/>
    <n v="5"/>
    <n v="477000"/>
    <n v="3.3"/>
    <n v="7"/>
    <x v="0"/>
  </r>
  <r>
    <s v="MFS-20636"/>
    <s v="Jummai Ogbonna"/>
    <x v="1"/>
    <x v="3"/>
    <x v="0"/>
    <s v="Mid-level"/>
    <x v="0"/>
    <s v="22-30"/>
    <x v="2"/>
    <s v="19/06/2022"/>
    <s v="01/06/2023"/>
    <n v="3"/>
    <n v="324000"/>
    <n v="3.5"/>
    <n v="12"/>
    <x v="0"/>
  </r>
  <r>
    <s v="MFS-35405"/>
    <s v="Tobi Adeyemi"/>
    <x v="0"/>
    <x v="4"/>
    <x v="1"/>
    <s v="Senior"/>
    <x v="1"/>
    <s v="41-50"/>
    <x v="1"/>
    <s v="31/07/2022"/>
    <s v="01/06/2023"/>
    <n v="3"/>
    <n v="596000"/>
    <n v="4.5999999999999996"/>
    <n v="34"/>
    <x v="0"/>
  </r>
  <r>
    <s v="MFS-14931"/>
    <s v="Hafsat Aliyu"/>
    <x v="1"/>
    <x v="1"/>
    <x v="0"/>
    <s v="Senior"/>
    <x v="1"/>
    <s v="31-40"/>
    <x v="0"/>
    <s v="29/01/2020"/>
    <s v="01/06/2023"/>
    <n v="6"/>
    <n v="350000"/>
    <n v="2.2999999999999998"/>
    <n v="12"/>
    <x v="3"/>
  </r>
  <r>
    <s v="MFS-40166"/>
    <s v="Babatunde Nwachukwu"/>
    <x v="0"/>
    <x v="2"/>
    <x v="0"/>
    <s v="Junior"/>
    <x v="0"/>
    <s v="22-30"/>
    <x v="3"/>
    <s v="22/12/2022"/>
    <s v="31/03/2025"/>
    <n v="3"/>
    <n v="94000"/>
    <n v="4.8"/>
    <n v="13"/>
    <x v="0"/>
  </r>
  <r>
    <s v="MFS-70645"/>
    <s v="Ifeoma Garba"/>
    <x v="1"/>
    <x v="4"/>
    <x v="2"/>
    <s v="Mid-level"/>
    <x v="2"/>
    <s v="22-30"/>
    <x v="2"/>
    <s v="23/12/2023"/>
    <s v="31/03/2025"/>
    <n v="2"/>
    <n v="290000"/>
    <n v="3.5"/>
    <n v="7"/>
    <x v="1"/>
  </r>
  <r>
    <s v="MFS-25515"/>
    <s v="Chiamaka Amadi"/>
    <x v="1"/>
    <x v="4"/>
    <x v="0"/>
    <s v="Manager"/>
    <x v="1"/>
    <s v="31-40"/>
    <x v="2"/>
    <s v="04/04/2022"/>
    <s v="24/06/2021"/>
    <n v="3"/>
    <n v="869000"/>
    <n v="3.4"/>
    <n v="11"/>
    <x v="0"/>
  </r>
  <r>
    <s v="MFS-82893"/>
    <s v="Funmilayo Abdullahi"/>
    <x v="1"/>
    <x v="3"/>
    <x v="0"/>
    <s v="Senior"/>
    <x v="1"/>
    <s v="31-40"/>
    <x v="1"/>
    <s v="27/10/2023"/>
    <s v="24/06/2021"/>
    <n v="2"/>
    <n v="539000"/>
    <n v="4.4000000000000004"/>
    <n v="13"/>
    <x v="0"/>
  </r>
  <r>
    <s v="MFS-30257"/>
    <s v="Adeola Shehu"/>
    <x v="1"/>
    <x v="4"/>
    <x v="0"/>
    <s v="Mid-level"/>
    <x v="1"/>
    <s v="31-40"/>
    <x v="0"/>
    <s v="30/01/2019"/>
    <s v="24/06/2021"/>
    <n v="7"/>
    <n v="338000"/>
    <n v="2.7"/>
    <n v="5"/>
    <x v="0"/>
  </r>
  <r>
    <s v="MFS-64747"/>
    <s v="Nneka Bello"/>
    <x v="1"/>
    <x v="0"/>
    <x v="0"/>
    <s v="Mid-level"/>
    <x v="1"/>
    <s v="31-40"/>
    <x v="0"/>
    <s v="22/03/2021"/>
    <s v="24/06/2021"/>
    <n v="4"/>
    <n v="313000"/>
    <n v="3.7"/>
    <n v="13"/>
    <x v="0"/>
  </r>
  <r>
    <s v="MFS-98197"/>
    <s v="Rabiu Okafor"/>
    <x v="0"/>
    <x v="0"/>
    <x v="0"/>
    <s v="Manager"/>
    <x v="0"/>
    <s v="22-30"/>
    <x v="3"/>
    <s v="05/02/2019"/>
    <s v="24/06/2021"/>
    <n v="7"/>
    <n v="1036000"/>
    <n v="4.7"/>
    <n v="3"/>
    <x v="0"/>
  </r>
  <r>
    <s v="MFS-88910"/>
    <s v="Nkechi Danladi"/>
    <x v="1"/>
    <x v="4"/>
    <x v="0"/>
    <s v="Mid-level"/>
    <x v="2"/>
    <s v="22-30"/>
    <x v="1"/>
    <s v="06/03/2020"/>
    <s v="24/06/2021"/>
    <n v="6"/>
    <n v="311000"/>
    <n v="2.6"/>
    <n v="4"/>
    <x v="1"/>
  </r>
  <r>
    <s v="MFS-93457"/>
    <s v="Haruna Adewale"/>
    <x v="0"/>
    <x v="2"/>
    <x v="0"/>
    <s v="Junior"/>
    <x v="0"/>
    <s v="31-40"/>
    <x v="2"/>
    <s v="31/12/2020"/>
    <s v="24/02/2023"/>
    <n v="5"/>
    <n v="158000"/>
    <n v="2.9"/>
    <n v="11"/>
    <x v="1"/>
  </r>
  <r>
    <s v="MFS-10461"/>
    <s v="Adeola Coker"/>
    <x v="0"/>
    <x v="1"/>
    <x v="2"/>
    <s v="Senior"/>
    <x v="0"/>
    <s v="22-30"/>
    <x v="3"/>
    <s v="27/08/2019"/>
    <s v="08/01/2021"/>
    <n v="6"/>
    <n v="383000"/>
    <n v="2.6"/>
    <n v="9"/>
    <x v="3"/>
  </r>
  <r>
    <s v="MFS-71039"/>
    <s v="Ezinne Adesanya"/>
    <x v="1"/>
    <x v="4"/>
    <x v="1"/>
    <s v="Senior"/>
    <x v="0"/>
    <s v="31-40"/>
    <x v="0"/>
    <s v="19/04/2020"/>
    <s v="27/12/2022"/>
    <n v="5"/>
    <n v="587000"/>
    <n v="2.4"/>
    <n v="4"/>
    <x v="2"/>
  </r>
  <r>
    <s v="MFS-12222"/>
    <s v="Haruna Oyelaran"/>
    <x v="0"/>
    <x v="0"/>
    <x v="0"/>
    <s v="Mid-level"/>
    <x v="0"/>
    <s v="41-50"/>
    <x v="0"/>
    <s v="16/08/2022"/>
    <s v="24/02/2025"/>
    <n v="3"/>
    <n v="265000"/>
    <n v="3.8"/>
    <n v="10"/>
    <x v="0"/>
  </r>
  <r>
    <s v="MFS-43422"/>
    <s v="Emeka Uba"/>
    <x v="0"/>
    <x v="3"/>
    <x v="2"/>
    <s v="Manager"/>
    <x v="0"/>
    <s v="41-50"/>
    <x v="1"/>
    <s v="11/10/2022"/>
    <s v="24/02/2025"/>
    <n v="3"/>
    <n v="812000"/>
    <n v="3.1"/>
    <n v="40"/>
    <x v="1"/>
  </r>
  <r>
    <s v="MFS-78327"/>
    <s v="Adeola Okafor"/>
    <x v="0"/>
    <x v="1"/>
    <x v="2"/>
    <s v="Senior"/>
    <x v="0"/>
    <s v="31-40"/>
    <x v="3"/>
    <s v="09/02/2021"/>
    <s v="21/05/2024"/>
    <n v="5"/>
    <n v="495000"/>
    <n v="2.6"/>
    <n v="7"/>
    <x v="1"/>
  </r>
  <r>
    <s v="MFS-12682"/>
    <s v="Amaka Abdullahi"/>
    <x v="1"/>
    <x v="3"/>
    <x v="0"/>
    <s v="Junior"/>
    <x v="0"/>
    <s v="51-60"/>
    <x v="0"/>
    <s v="24/03/2023"/>
    <s v="31/01/2023"/>
    <n v="2"/>
    <n v="89000"/>
    <n v="2.8"/>
    <n v="10"/>
    <x v="0"/>
  </r>
  <r>
    <s v="MFS-93395"/>
    <s v="Maryam Lawal"/>
    <x v="1"/>
    <x v="2"/>
    <x v="1"/>
    <s v="Manager"/>
    <x v="0"/>
    <s v="41-50"/>
    <x v="2"/>
    <s v="19/02/2022"/>
    <s v="31/01/2023"/>
    <n v="4"/>
    <n v="699000"/>
    <n v="4.4000000000000004"/>
    <n v="2"/>
    <x v="0"/>
  </r>
  <r>
    <s v="MFS-82456"/>
    <s v="Tunde Nwachukwu"/>
    <x v="0"/>
    <x v="0"/>
    <x v="1"/>
    <s v="Mid-level"/>
    <x v="1"/>
    <s v="41-50"/>
    <x v="0"/>
    <s v="19/08/2020"/>
    <s v="31/01/2023"/>
    <n v="5"/>
    <n v="363000"/>
    <n v="4.8"/>
    <n v="5"/>
    <x v="0"/>
  </r>
  <r>
    <s v="MFS-66782"/>
    <s v="Rotimi Coker"/>
    <x v="0"/>
    <x v="4"/>
    <x v="0"/>
    <s v="Senior"/>
    <x v="2"/>
    <s v="31-40"/>
    <x v="3"/>
    <s v="08/04/2019"/>
    <s v="31/01/2023"/>
    <n v="6"/>
    <n v="444000"/>
    <n v="5"/>
    <n v="12"/>
    <x v="0"/>
  </r>
  <r>
    <s v="MFS-35127"/>
    <s v="Ebuka Nduka"/>
    <x v="0"/>
    <x v="1"/>
    <x v="1"/>
    <s v="Manager"/>
    <x v="1"/>
    <s v="31-40"/>
    <x v="0"/>
    <s v="13/07/2022"/>
    <s v="31/01/2023"/>
    <n v="3"/>
    <n v="801000"/>
    <n v="3.1"/>
    <n v="14"/>
    <x v="2"/>
  </r>
  <r>
    <s v="MFS-95237"/>
    <s v="Musa Nnamdi"/>
    <x v="0"/>
    <x v="3"/>
    <x v="0"/>
    <s v="Mid-level"/>
    <x v="0"/>
    <s v="22-30"/>
    <x v="0"/>
    <s v="17/02/2019"/>
    <s v="01/01/2022"/>
    <n v="7"/>
    <n v="280000"/>
    <n v="5"/>
    <n v="11"/>
    <x v="0"/>
  </r>
  <r>
    <s v="MFS-26566"/>
    <s v="Laraba Okafor"/>
    <x v="1"/>
    <x v="2"/>
    <x v="1"/>
    <s v="Director"/>
    <x v="0"/>
    <s v="31-40"/>
    <x v="0"/>
    <s v="31/01/2020"/>
    <s v="01/01/2022"/>
    <n v="6"/>
    <n v="1979000"/>
    <n v="4.9000000000000004"/>
    <n v="8"/>
    <x v="1"/>
  </r>
  <r>
    <s v="MFS-86459"/>
    <s v="Ogechi Shehu"/>
    <x v="1"/>
    <x v="1"/>
    <x v="2"/>
    <s v="Manager"/>
    <x v="0"/>
    <s v="51-60"/>
    <x v="0"/>
    <s v="11/05/2019"/>
    <s v="28/02/2022"/>
    <n v="6"/>
    <n v="807000"/>
    <n v="5"/>
    <n v="2"/>
    <x v="0"/>
  </r>
  <r>
    <s v="MFS-44446"/>
    <s v="Seun Musa"/>
    <x v="0"/>
    <x v="4"/>
    <x v="2"/>
    <s v="Mid-level"/>
    <x v="0"/>
    <s v="31-40"/>
    <x v="4"/>
    <s v="23/03/2020"/>
    <s v="28/02/2022"/>
    <n v="5"/>
    <n v="307000"/>
    <n v="2.6"/>
    <n v="12"/>
    <x v="0"/>
  </r>
  <r>
    <s v="MFS-10662"/>
    <s v="Nnamdi Adebayo"/>
    <x v="0"/>
    <x v="4"/>
    <x v="0"/>
    <s v="Mid-level"/>
    <x v="0"/>
    <s v="31-40"/>
    <x v="4"/>
    <s v="29/03/2020"/>
    <s v="28/02/2022"/>
    <n v="5"/>
    <n v="218000"/>
    <n v="2.9"/>
    <n v="9"/>
    <x v="0"/>
  </r>
  <r>
    <s v="MFS-53715"/>
    <s v="Ezinne Musa"/>
    <x v="1"/>
    <x v="1"/>
    <x v="1"/>
    <s v="Mid-level"/>
    <x v="2"/>
    <s v="31-40"/>
    <x v="1"/>
    <s v="24/01/2020"/>
    <s v="28/02/2022"/>
    <n v="6"/>
    <n v="201000"/>
    <n v="2.9"/>
    <n v="4"/>
    <x v="1"/>
  </r>
  <r>
    <s v="MFS-84645"/>
    <s v="Chinyere Eze"/>
    <x v="1"/>
    <x v="1"/>
    <x v="0"/>
    <s v="Junior"/>
    <x v="2"/>
    <s v="22-30"/>
    <x v="2"/>
    <s v="04/10/2022"/>
    <s v="12/03/2021"/>
    <n v="3"/>
    <n v="137000"/>
    <n v="3.3"/>
    <n v="5"/>
    <x v="0"/>
  </r>
  <r>
    <s v="MFS-47496"/>
    <s v="Tosin Bello"/>
    <x v="1"/>
    <x v="2"/>
    <x v="0"/>
    <s v="Senior"/>
    <x v="0"/>
    <s v="22-30"/>
    <x v="0"/>
    <s v="30/03/2021"/>
    <s v="12/03/2021"/>
    <n v="4"/>
    <n v="398000"/>
    <n v="2.5"/>
    <n v="13"/>
    <x v="0"/>
  </r>
  <r>
    <s v="MFS-39880"/>
    <s v="Ngozi Chukwu"/>
    <x v="1"/>
    <x v="4"/>
    <x v="0"/>
    <s v="Mid-level"/>
    <x v="0"/>
    <s v="31-40"/>
    <x v="1"/>
    <s v="18/01/2021"/>
    <s v="12/03/2021"/>
    <n v="5"/>
    <n v="188000"/>
    <n v="3"/>
    <n v="9"/>
    <x v="0"/>
  </r>
  <r>
    <s v="MFS-90505"/>
    <s v="Aliyu Taiwo"/>
    <x v="0"/>
    <x v="3"/>
    <x v="0"/>
    <s v="Senior"/>
    <x v="0"/>
    <s v="31-40"/>
    <x v="0"/>
    <s v="12/09/2020"/>
    <s v="12/03/2021"/>
    <n v="5"/>
    <n v="426000"/>
    <n v="2"/>
    <n v="4"/>
    <x v="0"/>
  </r>
  <r>
    <s v="MFS-67579"/>
    <s v="Oluwaseun Suleiman"/>
    <x v="0"/>
    <x v="4"/>
    <x v="0"/>
    <s v="Manager"/>
    <x v="1"/>
    <s v="41-50"/>
    <x v="0"/>
    <s v="03/05/2020"/>
    <s v="12/03/2021"/>
    <n v="5"/>
    <n v="840000"/>
    <n v="3"/>
    <n v="37"/>
    <x v="3"/>
  </r>
  <r>
    <s v="MFS-77183"/>
    <s v="Uche Eze"/>
    <x v="0"/>
    <x v="3"/>
    <x v="0"/>
    <s v="Senior"/>
    <x v="0"/>
    <s v="22-30"/>
    <x v="4"/>
    <s v="17/12/2021"/>
    <s v="02/02/2024"/>
    <n v="4"/>
    <n v="429000"/>
    <n v="2.1"/>
    <n v="6"/>
    <x v="1"/>
  </r>
  <r>
    <s v="MFS-21438"/>
    <s v="Danladi Abdullahi"/>
    <x v="0"/>
    <x v="0"/>
    <x v="0"/>
    <s v="Mid-level"/>
    <x v="0"/>
    <s v="31-40"/>
    <x v="1"/>
    <s v="27/11/2020"/>
    <s v="13/01/2025"/>
    <n v="5"/>
    <n v="385000"/>
    <n v="4.9000000000000004"/>
    <n v="11"/>
    <x v="2"/>
  </r>
  <r>
    <s v="MFS-72473"/>
    <s v="Eze Afolabi"/>
    <x v="0"/>
    <x v="3"/>
    <x v="0"/>
    <s v="Mid-level"/>
    <x v="0"/>
    <s v="31-40"/>
    <x v="0"/>
    <s v="14/07/2021"/>
    <s v="12/01/2024"/>
    <n v="4"/>
    <n v="347000"/>
    <n v="4.7"/>
    <n v="0"/>
    <x v="0"/>
  </r>
  <r>
    <s v="MFS-28294"/>
    <s v="Danladi Buhari"/>
    <x v="0"/>
    <x v="3"/>
    <x v="1"/>
    <s v="Mid-level"/>
    <x v="0"/>
    <s v="41-50"/>
    <x v="0"/>
    <s v="30/07/2022"/>
    <s v="12/01/2024"/>
    <n v="3"/>
    <n v="204000"/>
    <n v="3.4"/>
    <n v="5"/>
    <x v="0"/>
  </r>
  <r>
    <s v="MFS-82740"/>
    <s v="Aliyu Eze"/>
    <x v="0"/>
    <x v="3"/>
    <x v="0"/>
    <s v="Mid-level"/>
    <x v="2"/>
    <s v="31-40"/>
    <x v="0"/>
    <s v="05/07/2023"/>
    <s v="12/01/2024"/>
    <n v="2"/>
    <n v="212000"/>
    <n v="4.9000000000000004"/>
    <n v="5"/>
    <x v="0"/>
  </r>
  <r>
    <s v="MFS-76757"/>
    <s v="Emeka Amadi"/>
    <x v="0"/>
    <x v="4"/>
    <x v="0"/>
    <s v="Junior"/>
    <x v="0"/>
    <s v="41-50"/>
    <x v="1"/>
    <s v="11/06/2023"/>
    <s v="12/01/2024"/>
    <n v="2"/>
    <n v="96000"/>
    <n v="2.5"/>
    <n v="8"/>
    <x v="1"/>
  </r>
  <r>
    <s v="MFS-68138"/>
    <s v="Nnamdi Uba"/>
    <x v="0"/>
    <x v="4"/>
    <x v="0"/>
    <s v="Mid-level"/>
    <x v="0"/>
    <s v="31-40"/>
    <x v="0"/>
    <s v="08/05/2022"/>
    <s v="01/03/2023"/>
    <n v="3"/>
    <n v="270000"/>
    <n v="3.4"/>
    <n v="1"/>
    <x v="1"/>
  </r>
  <r>
    <s v="MFS-41488"/>
    <s v="Jummai Oyelaran"/>
    <x v="1"/>
    <x v="0"/>
    <x v="0"/>
    <s v="Mid-level"/>
    <x v="3"/>
    <s v="41-50"/>
    <x v="3"/>
    <s v="22/07/2022"/>
    <s v="25/04/2024"/>
    <n v="3"/>
    <n v="240000"/>
    <n v="2.4"/>
    <n v="26"/>
    <x v="0"/>
  </r>
  <r>
    <s v="MFS-80798"/>
    <s v="Uche Okonkwo"/>
    <x v="0"/>
    <x v="2"/>
    <x v="0"/>
    <s v="Mid-level"/>
    <x v="1"/>
    <s v="41-50"/>
    <x v="0"/>
    <s v="05/11/2020"/>
    <s v="25/04/2024"/>
    <n v="5"/>
    <n v="286000"/>
    <n v="4.0999999999999996"/>
    <n v="8"/>
    <x v="0"/>
  </r>
  <r>
    <s v="MFS-94851"/>
    <s v="Ronke Oyelaran"/>
    <x v="1"/>
    <x v="1"/>
    <x v="1"/>
    <s v="Senior"/>
    <x v="2"/>
    <s v="31-40"/>
    <x v="3"/>
    <s v="10/08/2023"/>
    <s v="25/04/2024"/>
    <n v="2"/>
    <n v="430000"/>
    <n v="4.7"/>
    <n v="3"/>
    <x v="3"/>
  </r>
  <r>
    <s v="MFS-19849"/>
    <s v="Titi Okafor"/>
    <x v="1"/>
    <x v="4"/>
    <x v="0"/>
    <s v="Junior"/>
    <x v="1"/>
    <s v="22-30"/>
    <x v="1"/>
    <s v="09/04/2023"/>
    <s v="11/03/2024"/>
    <n v="2"/>
    <n v="135000"/>
    <n v="3.2"/>
    <n v="4"/>
    <x v="1"/>
  </r>
  <r>
    <s v="MFS-62355"/>
    <s v="Adaeze Suleiman"/>
    <x v="1"/>
    <x v="1"/>
    <x v="0"/>
    <s v="Senior"/>
    <x v="0"/>
    <s v="31-40"/>
    <x v="1"/>
    <s v="03/11/2019"/>
    <s v="09/10/2021"/>
    <n v="6"/>
    <n v="428000"/>
    <n v="3.2"/>
    <n v="12"/>
    <x v="0"/>
  </r>
  <r>
    <s v="MFS-72711"/>
    <s v="Funmilayo Okafor"/>
    <x v="1"/>
    <x v="2"/>
    <x v="2"/>
    <s v="Junior"/>
    <x v="0"/>
    <s v="22-30"/>
    <x v="0"/>
    <s v="07/02/2022"/>
    <s v="09/10/2021"/>
    <n v="4"/>
    <n v="171000"/>
    <n v="2.2999999999999998"/>
    <n v="1"/>
    <x v="0"/>
  </r>
  <r>
    <s v="MFS-90389"/>
    <s v="Ronke Onwudiwe"/>
    <x v="1"/>
    <x v="0"/>
    <x v="2"/>
    <s v="Mid-level"/>
    <x v="2"/>
    <s v="31-40"/>
    <x v="1"/>
    <s v="28/07/2019"/>
    <s v="09/10/2021"/>
    <n v="6"/>
    <n v="317000"/>
    <n v="3.8"/>
    <n v="3"/>
    <x v="1"/>
  </r>
  <r>
    <s v="MFS-68303"/>
    <s v="Chibuike Ihejirika"/>
    <x v="0"/>
    <x v="2"/>
    <x v="0"/>
    <s v="Junior"/>
    <x v="0"/>
    <s v="51-60"/>
    <x v="0"/>
    <s v="25/08/2021"/>
    <s v="17/07/2023"/>
    <n v="4"/>
    <n v="150000"/>
    <n v="4.2"/>
    <n v="16"/>
    <x v="1"/>
  </r>
  <r>
    <s v="MFS-51927"/>
    <s v="Usman Adesanya"/>
    <x v="0"/>
    <x v="2"/>
    <x v="0"/>
    <s v="Senior"/>
    <x v="0"/>
    <s v="51-60"/>
    <x v="0"/>
    <s v="07/02/2021"/>
    <m/>
    <n v="5"/>
    <n v="526000"/>
    <n v="3"/>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ED259-0621-4ACB-A36D-45362C5CCBB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Employment type">
  <location ref="D16:F20" firstHeaderRow="0" firstDataRow="1" firstDataCol="1"/>
  <pivotFields count="16">
    <pivotField showAll="0"/>
    <pivotField showAll="0"/>
    <pivotField showAll="0"/>
    <pivotField showAll="0"/>
    <pivotField axis="axisRow" showAll="0">
      <items count="4">
        <item x="2"/>
        <item x="0"/>
        <item x="1"/>
        <item t="default"/>
      </items>
    </pivotField>
    <pivotField showAll="0"/>
    <pivotField showAll="0">
      <items count="5">
        <item x="2"/>
        <item x="3"/>
        <item x="0"/>
        <item x="1"/>
        <item t="default"/>
      </items>
    </pivotField>
    <pivotField showAll="0"/>
    <pivotField showAll="0"/>
    <pivotField showAll="0"/>
    <pivotField showAll="0"/>
    <pivotField showAll="0"/>
    <pivotField numFmtId="43" showAll="0"/>
    <pivotField dataField="1" showAll="0"/>
    <pivotField dataField="1" showAll="0"/>
    <pivotField showAll="0"/>
  </pivotFields>
  <rowFields count="1">
    <field x="4"/>
  </rowFields>
  <rowItems count="4">
    <i>
      <x/>
    </i>
    <i>
      <x v="1"/>
    </i>
    <i>
      <x v="2"/>
    </i>
    <i t="grand">
      <x/>
    </i>
  </rowItems>
  <colFields count="1">
    <field x="-2"/>
  </colFields>
  <colItems count="2">
    <i>
      <x/>
    </i>
    <i i="1">
      <x v="1"/>
    </i>
  </colItems>
  <dataFields count="2">
    <dataField name="Average Performance_Score" fld="13" subtotal="average" baseField="4" baseItem="0"/>
    <dataField name="Average Absenteeism_Days" fld="14" subtotal="average" baseField="4"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FAA64-EF9F-4413-925E-452721B9C53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Employment type">
  <location ref="A16:B20" firstHeaderRow="1" firstDataRow="1" firstDataCol="1"/>
  <pivotFields count="16">
    <pivotField showAll="0"/>
    <pivotField showAll="0"/>
    <pivotField showAll="0"/>
    <pivotField showAll="0"/>
    <pivotField axis="axisRow" showAll="0">
      <items count="4">
        <item x="2"/>
        <item x="0"/>
        <item x="1"/>
        <item t="default"/>
      </items>
    </pivotField>
    <pivotField showAll="0"/>
    <pivotField showAll="0">
      <items count="5">
        <item x="2"/>
        <item x="3"/>
        <item x="0"/>
        <item x="1"/>
        <item t="default"/>
      </items>
    </pivotField>
    <pivotField showAll="0"/>
    <pivotField showAll="0"/>
    <pivotField showAll="0"/>
    <pivotField showAll="0"/>
    <pivotField showAll="0"/>
    <pivotField dataField="1" numFmtId="43" showAll="0"/>
    <pivotField showAll="0"/>
    <pivotField showAll="0"/>
    <pivotField showAll="0"/>
  </pivotFields>
  <rowFields count="1">
    <field x="4"/>
  </rowFields>
  <rowItems count="4">
    <i>
      <x/>
    </i>
    <i>
      <x v="1"/>
    </i>
    <i>
      <x v="2"/>
    </i>
    <i t="grand">
      <x/>
    </i>
  </rowItems>
  <colItems count="1">
    <i/>
  </colItems>
  <dataFields count="1">
    <dataField name="Average Salary" fld="12" subtotal="average" baseField="4"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32A9D2-D4D7-481A-9829-C2380AFE3BD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A7:B13" firstHeaderRow="1" firstDataRow="1" firstDataCol="1"/>
  <pivotFields count="16">
    <pivotField showAll="0"/>
    <pivotField showAll="0"/>
    <pivotField showAll="0"/>
    <pivotField axis="axisRow" showAll="0">
      <items count="6">
        <item x="1"/>
        <item x="0"/>
        <item x="2"/>
        <item x="3"/>
        <item x="4"/>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numFmtId="43" showAll="0"/>
    <pivotField showAll="0"/>
    <pivotField showAll="0"/>
    <pivotField showAll="0"/>
  </pivotFields>
  <rowFields count="1">
    <field x="3"/>
  </rowFields>
  <rowItems count="6">
    <i>
      <x/>
    </i>
    <i>
      <x v="1"/>
    </i>
    <i>
      <x v="2"/>
    </i>
    <i>
      <x v="3"/>
    </i>
    <i>
      <x v="4"/>
    </i>
    <i t="grand">
      <x/>
    </i>
  </rowItems>
  <colItems count="1">
    <i/>
  </colItems>
  <dataFields count="1">
    <dataField name="Average Salary" fld="12" subtotal="average" baseField="3"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B51106-BB59-4DD4-BA33-F2432323AF8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
  <location ref="A40:B43" firstHeaderRow="1" firstDataRow="1" firstDataCol="1"/>
  <pivotFields count="16">
    <pivotField showAll="0"/>
    <pivotField showAll="0"/>
    <pivotField axis="axisRow" showAll="0">
      <items count="3">
        <item x="1"/>
        <item x="0"/>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numFmtId="43" showAll="0"/>
    <pivotField dataField="1" showAll="0"/>
    <pivotField showAll="0"/>
    <pivotField showAll="0"/>
  </pivotFields>
  <rowFields count="1">
    <field x="2"/>
  </rowFields>
  <rowItems count="3">
    <i>
      <x/>
    </i>
    <i>
      <x v="1"/>
    </i>
    <i t="grand">
      <x/>
    </i>
  </rowItems>
  <colItems count="1">
    <i/>
  </colItems>
  <dataFields count="1">
    <dataField name="Average Performance_Score" fld="13" subtotal="average" baseField="2" baseItem="0" numFmtId="10">
      <extLst>
        <ext xmlns:x14="http://schemas.microsoft.com/office/spreadsheetml/2009/9/main" uri="{E15A36E0-9728-4e99-A89B-3F7291B0FE68}">
          <x14:dataField pivotShowAs="percentOfParentRow"/>
        </ext>
      </extLst>
    </dataField>
  </dataFields>
  <formats count="2">
    <format dxfId="4">
      <pivotArea outline="0" fieldPosition="0">
        <references count="1">
          <reference field="4294967294" count="1">
            <x v="0"/>
          </reference>
        </references>
      </pivotArea>
    </format>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64FF4-BFCB-44BD-BA6D-3F6D19E638A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Education level">
  <location ref="A23:B29" firstHeaderRow="1" firstDataRow="1" firstDataCol="1"/>
  <pivotFields count="16">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6">
        <item x="3"/>
        <item x="0"/>
        <item x="1"/>
        <item x="2"/>
        <item x="4"/>
        <item t="default"/>
      </items>
    </pivotField>
    <pivotField showAll="0"/>
    <pivotField showAll="0"/>
    <pivotField showAll="0"/>
    <pivotField numFmtId="43" showAll="0"/>
    <pivotField dataField="1" showAll="0"/>
    <pivotField showAll="0"/>
    <pivotField showAll="0"/>
  </pivotFields>
  <rowFields count="1">
    <field x="8"/>
  </rowFields>
  <rowItems count="6">
    <i>
      <x/>
    </i>
    <i>
      <x v="1"/>
    </i>
    <i>
      <x v="2"/>
    </i>
    <i>
      <x v="3"/>
    </i>
    <i>
      <x v="4"/>
    </i>
    <i t="grand">
      <x/>
    </i>
  </rowItems>
  <colItems count="1">
    <i/>
  </colItems>
  <dataFields count="1">
    <dataField name="Average Performance_Score" fld="13" subtotal="average" showDataAs="percentOfTotal" baseField="8"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6D95FE-C4F0-454F-B4D8-E1663F18041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6">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numFmtId="43" showAll="0"/>
    <pivotField showAll="0"/>
    <pivotField dataField="1" showAll="0"/>
    <pivotField showAll="0"/>
  </pivotFields>
  <rowItems count="1">
    <i/>
  </rowItems>
  <colItems count="1">
    <i/>
  </colItems>
  <dataFields count="1">
    <dataField name="Average Absenteeism_Days" fld="14" subtotal="average" baseField="0" baseItem="479069152"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310CFA-35AD-4BA8-A9AE-69603C76BEA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6">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numFmtId="43" showAll="0"/>
    <pivotField dataField="1" showAll="0"/>
    <pivotField showAll="0"/>
    <pivotField showAll="0"/>
  </pivotFields>
  <rowItems count="1">
    <i/>
  </rowItems>
  <colItems count="1">
    <i/>
  </colItems>
  <dataFields count="1">
    <dataField name="Average Performance_Score" fld="13" subtotal="average" baseField="0" baseItem="481679008"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B6A2E-E2BB-42C5-8661-99AFE6AE86A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Department">
  <location ref="G35:H41" firstHeaderRow="1" firstDataRow="1" firstDataCol="1"/>
  <pivotFields count="16">
    <pivotField dataField="1"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numFmtId="43" showAll="0"/>
    <pivotField showAll="0"/>
    <pivotField showAll="0"/>
    <pivotField showAll="0"/>
  </pivotFields>
  <rowFields count="1">
    <field x="3"/>
  </rowFields>
  <rowItems count="6">
    <i>
      <x/>
    </i>
    <i>
      <x v="1"/>
    </i>
    <i>
      <x v="2"/>
    </i>
    <i>
      <x v="3"/>
    </i>
    <i>
      <x v="4"/>
    </i>
    <i t="grand">
      <x/>
    </i>
  </rowItems>
  <colItems count="1">
    <i/>
  </colItems>
  <dataFields count="1">
    <dataField name="Number of Employess"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877266-1C16-4433-89A5-F36CFEE62DC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s">
  <location ref="A45:B51" firstHeaderRow="1" firstDataRow="1" firstDataCol="1"/>
  <pivotFields count="16">
    <pivotField showAll="0"/>
    <pivotField showAll="0"/>
    <pivotField showAll="0"/>
    <pivotField axis="axisRow" showAll="0">
      <items count="6">
        <item x="1"/>
        <item x="0"/>
        <item x="2"/>
        <item x="3"/>
        <item x="4"/>
        <item t="default"/>
      </items>
    </pivotField>
    <pivotField showAll="0"/>
    <pivotField showAll="0"/>
    <pivotField showAll="0">
      <items count="5">
        <item x="2"/>
        <item x="3"/>
        <item x="0"/>
        <item x="1"/>
        <item t="default"/>
      </items>
    </pivotField>
    <pivotField showAll="0"/>
    <pivotField showAll="0"/>
    <pivotField showAll="0"/>
    <pivotField showAll="0"/>
    <pivotField showAll="0"/>
    <pivotField numFmtId="43" showAll="0"/>
    <pivotField dataField="1" showAll="0"/>
    <pivotField showAll="0"/>
    <pivotField showAll="0"/>
  </pivotFields>
  <rowFields count="1">
    <field x="3"/>
  </rowFields>
  <rowItems count="6">
    <i>
      <x/>
    </i>
    <i>
      <x v="1"/>
    </i>
    <i>
      <x v="2"/>
    </i>
    <i>
      <x v="3"/>
    </i>
    <i>
      <x v="4"/>
    </i>
    <i t="grand">
      <x/>
    </i>
  </rowItems>
  <colItems count="1">
    <i/>
  </colItems>
  <dataFields count="1">
    <dataField name="Average Performance Score" fld="13" subtotal="average" baseField="3" baseItem="0" numFmtId="165"/>
  </dataFields>
  <formats count="2">
    <format dxfId="10">
      <pivotArea outline="0" collapsedLevelsAreSubtotals="1" fieldPosition="0"/>
    </format>
    <format dxfId="9">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90A53F-54F0-44E3-9217-CFCDC2CA7A5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Turnover Service">
  <location ref="A32:B37" firstHeaderRow="1" firstDataRow="1" firstDataCol="1"/>
  <pivotFields count="16">
    <pivotField dataField="1"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numFmtId="43" showAll="0"/>
    <pivotField showAll="0"/>
    <pivotField showAll="0"/>
    <pivotField axis="axisRow" showAll="0">
      <items count="5">
        <item x="0"/>
        <item x="1"/>
        <item x="3"/>
        <item x="2"/>
        <item t="default"/>
      </items>
    </pivotField>
  </pivotFields>
  <rowFields count="1">
    <field x="15"/>
  </rowFields>
  <rowItems count="5">
    <i>
      <x/>
    </i>
    <i>
      <x v="1"/>
    </i>
    <i>
      <x v="2"/>
    </i>
    <i>
      <x v="3"/>
    </i>
    <i t="grand">
      <x/>
    </i>
  </rowItems>
  <colItems count="1">
    <i/>
  </colItems>
  <dataFields count="1">
    <dataField name="Count of Employee_ID"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614023-8DA8-4D43-B130-FE60C6D4820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D7:F13" firstHeaderRow="0" firstDataRow="1" firstDataCol="1"/>
  <pivotFields count="16">
    <pivotField showAll="0"/>
    <pivotField showAll="0"/>
    <pivotField showAll="0"/>
    <pivotField axis="axisRow" showAll="0">
      <items count="6">
        <item x="1"/>
        <item x="0"/>
        <item x="2"/>
        <item x="3"/>
        <item x="4"/>
        <item t="default"/>
      </items>
    </pivotField>
    <pivotField showAll="0"/>
    <pivotField showAll="0"/>
    <pivotField showAll="0">
      <items count="5">
        <item x="2"/>
        <item x="3"/>
        <item x="0"/>
        <item x="1"/>
        <item t="default"/>
      </items>
    </pivotField>
    <pivotField showAll="0"/>
    <pivotField showAll="0"/>
    <pivotField showAll="0"/>
    <pivotField showAll="0"/>
    <pivotField showAll="0"/>
    <pivotField numFmtId="43" showAll="0"/>
    <pivotField dataField="1"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Average Performance_Score" fld="13" subtotal="average" baseField="3" baseItem="0" numFmtId="165"/>
    <dataField name="Average Absenteeism_Days" fld="14" subtotal="average" baseField="3" baseItem="0" numFmtId="1"/>
  </dataFields>
  <formats count="2">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8B0685-E282-4EA2-B806-D166D8AA98A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numFmtId="43" showAll="0"/>
    <pivotField showAll="0"/>
    <pivotField showAll="0"/>
    <pivotField showAll="0"/>
  </pivotFields>
  <rowItems count="1">
    <i/>
  </rowItems>
  <colItems count="1">
    <i/>
  </colItems>
  <dataFields count="1">
    <dataField name="Average Salary" fld="12" subtotal="average" baseField="0" baseItem="65291696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3CA5867-E39F-46BC-BF42-782F893F76FD}" autoFormatId="16" applyNumberFormats="0" applyBorderFormats="0" applyFontFormats="0" applyPatternFormats="0" applyAlignmentFormats="0" applyWidthHeightFormats="0">
  <queryTableRefresh nextId="17">
    <queryTableFields count="16">
      <queryTableField id="1" name="Employee_ID" tableColumnId="1"/>
      <queryTableField id="2" name="Employee_Name" tableColumnId="2"/>
      <queryTableField id="3" name="Gender" tableColumnId="3"/>
      <queryTableField id="4" name="Department" tableColumnId="4"/>
      <queryTableField id="5" name="Employment_type" tableColumnId="5"/>
      <queryTableField id="6" name="Job_level" tableColumnId="6"/>
      <queryTableField id="7" name="Location" tableColumnId="7"/>
      <queryTableField id="8" name="Age_Group" tableColumnId="8"/>
      <queryTableField id="9" name="Education_level" tableColumnId="9"/>
      <queryTableField id="10" name="Hire_Date" tableColumnId="10"/>
      <queryTableField id="11" name="Exit_Date" tableColumnId="11"/>
      <queryTableField id="12" name="Years_of_Service" tableColumnId="12"/>
      <queryTableField id="13" name="Monthly_Salary_NGN" tableColumnId="13"/>
      <queryTableField id="14" name="Performance_Score" tableColumnId="14"/>
      <queryTableField id="15" name="Absenteeism_Days" tableColumnId="15"/>
      <queryTableField id="16" name="Turnover_statu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B9662ED-C930-4BE7-8337-459E70B12576}" sourceName="Location">
  <pivotTables>
    <pivotTable tabId="6" name="PivotTable4"/>
    <pivotTable tabId="6" name="PivotTable1"/>
    <pivotTable tabId="6" name="PivotTable10"/>
    <pivotTable tabId="6" name="PivotTable2"/>
    <pivotTable tabId="6" name="PivotTable3"/>
    <pivotTable tabId="6" name="PivotTable5"/>
    <pivotTable tabId="6" name="PivotTable6"/>
    <pivotTable tabId="6" name="PivotTable7"/>
    <pivotTable tabId="6" name="PivotTable8"/>
    <pivotTable tabId="6" name="PivotTable9"/>
    <pivotTable tabId="6" name="PivotTable11"/>
  </pivotTables>
  <data>
    <tabular pivotCacheId="194934323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903595A-0558-4B5D-AF53-3AB90B4D3846}" cache="Slicer_Location" caption="Location"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E807ED-E73C-4406-A4FC-9D106830A2FA}" name="Meridian_HR" displayName="Meridian_HR" ref="A1:P3361" tableType="queryTable" totalsRowShown="0">
  <autoFilter ref="A1:P3361" xr:uid="{BCE807ED-E73C-4406-A4FC-9D106830A2FA}"/>
  <tableColumns count="16">
    <tableColumn id="1" xr3:uid="{535E50D2-D07C-47CA-81B8-386B02EA7237}" uniqueName="1" name="Employee_ID" queryTableFieldId="1" dataDxfId="25"/>
    <tableColumn id="2" xr3:uid="{465F3A69-ABA2-4E03-AED8-82FA5C69D0D4}" uniqueName="2" name="Employee_Name" queryTableFieldId="2" dataDxfId="24"/>
    <tableColumn id="3" xr3:uid="{F1A91FDD-A55D-4F52-8DA1-E58E6F667D08}" uniqueName="3" name="Gender" queryTableFieldId="3" dataDxfId="23"/>
    <tableColumn id="4" xr3:uid="{28085B6D-3A8C-4B8F-9376-360057D8DACB}" uniqueName="4" name="Department" queryTableFieldId="4" dataDxfId="22"/>
    <tableColumn id="5" xr3:uid="{83F7148E-40DC-4979-A738-D73324887F0E}" uniqueName="5" name="Employment_type" queryTableFieldId="5" dataDxfId="21"/>
    <tableColumn id="6" xr3:uid="{C756FCD7-59AF-4DF1-8A87-C802B9E47D2F}" uniqueName="6" name="Job_level" queryTableFieldId="6" dataDxfId="20"/>
    <tableColumn id="7" xr3:uid="{FDABCC59-2C56-419B-A1F7-825CC22278D6}" uniqueName="7" name="Location" queryTableFieldId="7" dataDxfId="19"/>
    <tableColumn id="8" xr3:uid="{43816995-8098-4B0B-A60A-6A9F44AA5D5C}" uniqueName="8" name="Age_Group" queryTableFieldId="8" dataDxfId="18"/>
    <tableColumn id="9" xr3:uid="{2A6AEB76-A4C3-4583-B17A-0374946575CA}" uniqueName="9" name="Education_level" queryTableFieldId="9" dataDxfId="17"/>
    <tableColumn id="10" xr3:uid="{E1C7F5B2-ABF7-43C8-A171-AFE92CEC1283}" uniqueName="10" name="Hire_Date" queryTableFieldId="10" dataDxfId="16"/>
    <tableColumn id="11" xr3:uid="{417C1DD5-6244-4065-8282-6274A249E328}" uniqueName="11" name="Exit_Date" queryTableFieldId="11" dataDxfId="15"/>
    <tableColumn id="12" xr3:uid="{682E3C4C-16A3-48D1-B676-13BEA92481B3}" uniqueName="12" name="Years_of_Service" queryTableFieldId="12"/>
    <tableColumn id="13" xr3:uid="{BDA991C6-A567-49DE-9AE1-097A4534F7B7}" uniqueName="13" name="Monthly_Salary_NGN" queryTableFieldId="13" dataCellStyle="Comma"/>
    <tableColumn id="14" xr3:uid="{2976B651-9B35-4FE4-9A44-63D3F7D4BD86}" uniqueName="14" name="Performance_Score" queryTableFieldId="14"/>
    <tableColumn id="15" xr3:uid="{FA53C388-810E-4FF4-9D88-79A5B4D9D687}" uniqueName="15" name="Absenteeism_Days" queryTableFieldId="15"/>
    <tableColumn id="16" xr3:uid="{44FE7FA3-4B74-48DE-B407-D9B353726D99}" uniqueName="16" name="Turnover_status" queryTableFieldId="16" dataDxfId="1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322A-3A58-4D96-B7F5-1C993E76EB0A}">
  <dimension ref="A1:A4"/>
  <sheetViews>
    <sheetView workbookViewId="0">
      <selection activeCell="A5" sqref="A5"/>
    </sheetView>
  </sheetViews>
  <sheetFormatPr defaultRowHeight="15" x14ac:dyDescent="0.25"/>
  <sheetData>
    <row r="1" spans="1:1" x14ac:dyDescent="0.25">
      <c r="A1" t="s">
        <v>9787</v>
      </c>
    </row>
    <row r="2" spans="1:1" x14ac:dyDescent="0.25">
      <c r="A2" t="s">
        <v>9788</v>
      </c>
    </row>
    <row r="3" spans="1:1" x14ac:dyDescent="0.25">
      <c r="A3" t="s">
        <v>9789</v>
      </c>
    </row>
    <row r="4" spans="1:1" x14ac:dyDescent="0.25">
      <c r="A4" t="s">
        <v>9806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0A90-110B-4149-B3F4-890E5094B4AD}">
  <dimension ref="A1:P5051"/>
  <sheetViews>
    <sheetView zoomScaleNormal="100" workbookViewId="0">
      <selection activeCell="I10" sqref="A1:P505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t="s">
        <v>24</v>
      </c>
      <c r="J2" t="s">
        <v>25</v>
      </c>
      <c r="L2">
        <v>3</v>
      </c>
      <c r="M2">
        <v>748000</v>
      </c>
      <c r="N2">
        <v>4.3</v>
      </c>
      <c r="O2">
        <v>5</v>
      </c>
      <c r="P2" t="s">
        <v>26</v>
      </c>
    </row>
    <row r="3" spans="1:16" x14ac:dyDescent="0.25">
      <c r="A3" t="s">
        <v>27</v>
      </c>
      <c r="B3" t="s">
        <v>28</v>
      </c>
      <c r="C3" t="s">
        <v>29</v>
      </c>
      <c r="D3" t="s">
        <v>30</v>
      </c>
      <c r="E3" t="s">
        <v>31</v>
      </c>
      <c r="F3" t="s">
        <v>32</v>
      </c>
      <c r="G3" t="s">
        <v>33</v>
      </c>
      <c r="H3" t="s">
        <v>34</v>
      </c>
      <c r="I3" t="s">
        <v>35</v>
      </c>
      <c r="J3" t="s">
        <v>36</v>
      </c>
      <c r="L3">
        <v>5.7</v>
      </c>
      <c r="N3">
        <v>3.8</v>
      </c>
      <c r="O3">
        <v>7</v>
      </c>
      <c r="P3" t="s">
        <v>26</v>
      </c>
    </row>
    <row r="4" spans="1:16" x14ac:dyDescent="0.25">
      <c r="A4" t="s">
        <v>37</v>
      </c>
      <c r="B4" t="s">
        <v>38</v>
      </c>
      <c r="C4" t="s">
        <v>18</v>
      </c>
      <c r="D4" t="s">
        <v>19</v>
      </c>
      <c r="E4" t="s">
        <v>31</v>
      </c>
      <c r="F4" t="s">
        <v>39</v>
      </c>
      <c r="G4" t="s">
        <v>33</v>
      </c>
      <c r="H4" t="s">
        <v>34</v>
      </c>
      <c r="I4" t="s">
        <v>24</v>
      </c>
      <c r="J4" t="s">
        <v>40</v>
      </c>
      <c r="L4">
        <v>3.8</v>
      </c>
      <c r="M4">
        <v>162000</v>
      </c>
      <c r="N4">
        <v>2.2999999999999998</v>
      </c>
      <c r="O4">
        <v>13</v>
      </c>
      <c r="P4" t="s">
        <v>26</v>
      </c>
    </row>
    <row r="5" spans="1:16" x14ac:dyDescent="0.25">
      <c r="A5" t="s">
        <v>41</v>
      </c>
      <c r="B5" t="s">
        <v>42</v>
      </c>
      <c r="C5" t="s">
        <v>18</v>
      </c>
      <c r="D5" t="s">
        <v>43</v>
      </c>
      <c r="E5" t="s">
        <v>44</v>
      </c>
      <c r="F5" t="s">
        <v>45</v>
      </c>
      <c r="G5" t="s">
        <v>22</v>
      </c>
      <c r="H5" t="s">
        <v>46</v>
      </c>
      <c r="I5" t="s">
        <v>35</v>
      </c>
      <c r="J5" t="s">
        <v>47</v>
      </c>
      <c r="L5">
        <v>3</v>
      </c>
      <c r="M5">
        <v>1710000</v>
      </c>
      <c r="N5">
        <v>3.7</v>
      </c>
      <c r="O5">
        <v>13</v>
      </c>
      <c r="P5" t="s">
        <v>26</v>
      </c>
    </row>
    <row r="6" spans="1:16" x14ac:dyDescent="0.25">
      <c r="A6" t="s">
        <v>48</v>
      </c>
      <c r="B6" t="s">
        <v>49</v>
      </c>
      <c r="C6" t="s">
        <v>18</v>
      </c>
      <c r="D6" t="s">
        <v>50</v>
      </c>
      <c r="E6" t="s">
        <v>44</v>
      </c>
      <c r="F6" t="s">
        <v>45</v>
      </c>
      <c r="G6" t="s">
        <v>33</v>
      </c>
      <c r="H6" t="s">
        <v>23</v>
      </c>
      <c r="I6" t="s">
        <v>24</v>
      </c>
      <c r="J6" t="s">
        <v>51</v>
      </c>
      <c r="K6" t="s">
        <v>52</v>
      </c>
      <c r="L6">
        <v>4.9000000000000004</v>
      </c>
      <c r="M6">
        <v>985000</v>
      </c>
      <c r="N6">
        <v>4.5999999999999996</v>
      </c>
      <c r="O6">
        <v>9</v>
      </c>
      <c r="P6" t="s">
        <v>53</v>
      </c>
    </row>
    <row r="7" spans="1:16" x14ac:dyDescent="0.25">
      <c r="A7" t="s">
        <v>54</v>
      </c>
      <c r="B7" t="s">
        <v>55</v>
      </c>
      <c r="C7" t="s">
        <v>56</v>
      </c>
      <c r="D7" t="s">
        <v>50</v>
      </c>
      <c r="E7" t="s">
        <v>20</v>
      </c>
      <c r="F7" t="s">
        <v>32</v>
      </c>
      <c r="G7" t="s">
        <v>22</v>
      </c>
      <c r="H7" t="s">
        <v>34</v>
      </c>
      <c r="I7" t="s">
        <v>57</v>
      </c>
      <c r="J7" t="s">
        <v>58</v>
      </c>
      <c r="L7">
        <v>2.8</v>
      </c>
      <c r="M7">
        <v>181000</v>
      </c>
      <c r="N7">
        <v>2.7</v>
      </c>
      <c r="O7">
        <v>10</v>
      </c>
      <c r="P7" t="s">
        <v>26</v>
      </c>
    </row>
    <row r="8" spans="1:16" x14ac:dyDescent="0.25">
      <c r="A8" t="s">
        <v>59</v>
      </c>
      <c r="B8" t="s">
        <v>60</v>
      </c>
      <c r="C8" t="s">
        <v>18</v>
      </c>
      <c r="D8" t="s">
        <v>61</v>
      </c>
      <c r="E8" t="s">
        <v>20</v>
      </c>
      <c r="F8" t="s">
        <v>21</v>
      </c>
      <c r="G8" t="s">
        <v>22</v>
      </c>
      <c r="H8" t="s">
        <v>62</v>
      </c>
      <c r="I8" t="s">
        <v>57</v>
      </c>
      <c r="J8" t="s">
        <v>63</v>
      </c>
      <c r="L8">
        <v>5.5</v>
      </c>
      <c r="M8">
        <v>1006000</v>
      </c>
      <c r="N8">
        <v>4.5999999999999996</v>
      </c>
      <c r="O8">
        <v>12</v>
      </c>
      <c r="P8" t="s">
        <v>26</v>
      </c>
    </row>
    <row r="9" spans="1:16" x14ac:dyDescent="0.25">
      <c r="A9" t="s">
        <v>64</v>
      </c>
      <c r="B9" t="s">
        <v>65</v>
      </c>
      <c r="C9" t="s">
        <v>18</v>
      </c>
      <c r="D9" t="s">
        <v>43</v>
      </c>
      <c r="E9" t="s">
        <v>20</v>
      </c>
      <c r="G9" t="s">
        <v>33</v>
      </c>
      <c r="H9" t="s">
        <v>23</v>
      </c>
      <c r="I9" t="s">
        <v>24</v>
      </c>
      <c r="J9" t="s">
        <v>66</v>
      </c>
      <c r="L9">
        <v>2.1</v>
      </c>
      <c r="M9">
        <v>264000</v>
      </c>
      <c r="N9">
        <v>2.8</v>
      </c>
      <c r="O9">
        <v>10</v>
      </c>
      <c r="P9" t="s">
        <v>26</v>
      </c>
    </row>
    <row r="10" spans="1:16" x14ac:dyDescent="0.25">
      <c r="A10" t="s">
        <v>67</v>
      </c>
      <c r="B10" t="s">
        <v>68</v>
      </c>
      <c r="C10" t="s">
        <v>18</v>
      </c>
      <c r="D10" t="s">
        <v>43</v>
      </c>
      <c r="E10" t="s">
        <v>44</v>
      </c>
      <c r="G10" t="s">
        <v>69</v>
      </c>
      <c r="H10" t="s">
        <v>34</v>
      </c>
      <c r="J10" t="s">
        <v>70</v>
      </c>
      <c r="K10" t="s">
        <v>71</v>
      </c>
      <c r="L10">
        <v>1.9</v>
      </c>
      <c r="M10">
        <v>180000</v>
      </c>
      <c r="N10">
        <v>3.9</v>
      </c>
      <c r="O10">
        <v>10</v>
      </c>
      <c r="P10" t="s">
        <v>72</v>
      </c>
    </row>
    <row r="11" spans="1:16" x14ac:dyDescent="0.25">
      <c r="A11" t="s">
        <v>73</v>
      </c>
      <c r="B11" t="s">
        <v>74</v>
      </c>
      <c r="C11" t="s">
        <v>29</v>
      </c>
      <c r="D11" t="s">
        <v>50</v>
      </c>
      <c r="E11" t="s">
        <v>20</v>
      </c>
      <c r="F11" t="s">
        <v>39</v>
      </c>
      <c r="G11" t="s">
        <v>22</v>
      </c>
      <c r="I11" t="s">
        <v>75</v>
      </c>
      <c r="J11" t="s">
        <v>76</v>
      </c>
      <c r="L11">
        <v>1.3</v>
      </c>
      <c r="M11">
        <v>128000</v>
      </c>
      <c r="N11">
        <v>3.8</v>
      </c>
      <c r="O11">
        <v>12</v>
      </c>
      <c r="P11" t="s">
        <v>26</v>
      </c>
    </row>
    <row r="12" spans="1:16" x14ac:dyDescent="0.25">
      <c r="A12" t="s">
        <v>77</v>
      </c>
      <c r="B12" t="s">
        <v>78</v>
      </c>
      <c r="C12" t="s">
        <v>29</v>
      </c>
      <c r="D12" t="s">
        <v>79</v>
      </c>
      <c r="E12" t="s">
        <v>20</v>
      </c>
      <c r="F12" t="s">
        <v>21</v>
      </c>
      <c r="G12" t="s">
        <v>80</v>
      </c>
      <c r="H12" t="s">
        <v>34</v>
      </c>
      <c r="I12" t="s">
        <v>57</v>
      </c>
      <c r="J12" t="s">
        <v>81</v>
      </c>
      <c r="L12">
        <v>6.1</v>
      </c>
      <c r="M12">
        <v>754000</v>
      </c>
      <c r="N12">
        <v>3.8</v>
      </c>
      <c r="O12">
        <v>3</v>
      </c>
      <c r="P12" t="s">
        <v>26</v>
      </c>
    </row>
    <row r="13" spans="1:16" x14ac:dyDescent="0.25">
      <c r="A13" t="s">
        <v>82</v>
      </c>
      <c r="B13" t="s">
        <v>83</v>
      </c>
      <c r="C13" t="s">
        <v>29</v>
      </c>
      <c r="D13" t="s">
        <v>50</v>
      </c>
      <c r="E13" t="s">
        <v>44</v>
      </c>
      <c r="F13" t="s">
        <v>21</v>
      </c>
      <c r="G13" t="s">
        <v>33</v>
      </c>
      <c r="H13" t="s">
        <v>23</v>
      </c>
      <c r="I13" t="s">
        <v>24</v>
      </c>
      <c r="J13" t="s">
        <v>84</v>
      </c>
      <c r="L13">
        <v>2.1</v>
      </c>
      <c r="N13">
        <v>3.2</v>
      </c>
      <c r="O13">
        <v>2</v>
      </c>
      <c r="P13" t="s">
        <v>26</v>
      </c>
    </row>
    <row r="14" spans="1:16" x14ac:dyDescent="0.25">
      <c r="A14" t="s">
        <v>85</v>
      </c>
      <c r="B14" t="s">
        <v>86</v>
      </c>
      <c r="D14" t="s">
        <v>50</v>
      </c>
      <c r="E14" t="s">
        <v>20</v>
      </c>
      <c r="F14" t="s">
        <v>32</v>
      </c>
      <c r="G14" t="s">
        <v>22</v>
      </c>
      <c r="H14" t="s">
        <v>46</v>
      </c>
      <c r="I14" t="s">
        <v>35</v>
      </c>
      <c r="J14" t="s">
        <v>87</v>
      </c>
      <c r="L14">
        <v>3</v>
      </c>
      <c r="M14">
        <v>235000</v>
      </c>
      <c r="N14">
        <v>3.7</v>
      </c>
      <c r="O14">
        <v>14</v>
      </c>
      <c r="P14" t="s">
        <v>26</v>
      </c>
    </row>
    <row r="15" spans="1:16" x14ac:dyDescent="0.25">
      <c r="A15" t="s">
        <v>88</v>
      </c>
      <c r="B15" t="s">
        <v>89</v>
      </c>
      <c r="C15" t="s">
        <v>18</v>
      </c>
      <c r="D15" t="s">
        <v>30</v>
      </c>
      <c r="E15" t="s">
        <v>20</v>
      </c>
      <c r="F15" t="s">
        <v>39</v>
      </c>
      <c r="G15" t="s">
        <v>22</v>
      </c>
      <c r="H15" t="s">
        <v>23</v>
      </c>
      <c r="I15" t="s">
        <v>75</v>
      </c>
      <c r="J15" t="s">
        <v>90</v>
      </c>
      <c r="K15" t="s">
        <v>91</v>
      </c>
      <c r="L15">
        <v>4.5</v>
      </c>
      <c r="M15">
        <v>97000</v>
      </c>
      <c r="N15">
        <v>1.7</v>
      </c>
      <c r="O15">
        <v>5</v>
      </c>
      <c r="P15" t="s">
        <v>53</v>
      </c>
    </row>
    <row r="16" spans="1:16" x14ac:dyDescent="0.25">
      <c r="A16" t="s">
        <v>92</v>
      </c>
      <c r="B16" t="s">
        <v>93</v>
      </c>
      <c r="C16" t="s">
        <v>29</v>
      </c>
      <c r="D16" t="s">
        <v>43</v>
      </c>
      <c r="E16" t="s">
        <v>20</v>
      </c>
      <c r="F16" t="s">
        <v>21</v>
      </c>
      <c r="G16" t="s">
        <v>22</v>
      </c>
      <c r="H16" t="s">
        <v>23</v>
      </c>
      <c r="I16" t="s">
        <v>24</v>
      </c>
      <c r="J16" t="s">
        <v>94</v>
      </c>
      <c r="K16" t="s">
        <v>95</v>
      </c>
      <c r="L16">
        <v>3.7</v>
      </c>
      <c r="M16">
        <v>689000</v>
      </c>
      <c r="N16">
        <v>4.5999999999999996</v>
      </c>
      <c r="O16">
        <v>5</v>
      </c>
      <c r="P16" t="s">
        <v>72</v>
      </c>
    </row>
    <row r="17" spans="1:16" x14ac:dyDescent="0.25">
      <c r="A17" t="s">
        <v>96</v>
      </c>
      <c r="B17" t="s">
        <v>97</v>
      </c>
      <c r="C17" t="s">
        <v>18</v>
      </c>
      <c r="D17" t="s">
        <v>50</v>
      </c>
      <c r="E17" t="s">
        <v>20</v>
      </c>
      <c r="F17" t="s">
        <v>39</v>
      </c>
      <c r="G17" t="s">
        <v>33</v>
      </c>
      <c r="H17" t="s">
        <v>34</v>
      </c>
      <c r="I17" t="s">
        <v>57</v>
      </c>
      <c r="J17" t="s">
        <v>98</v>
      </c>
      <c r="K17" t="s">
        <v>99</v>
      </c>
      <c r="L17">
        <v>6.2</v>
      </c>
      <c r="M17">
        <v>171000</v>
      </c>
      <c r="N17">
        <v>3.2</v>
      </c>
      <c r="O17">
        <v>19</v>
      </c>
      <c r="P17" t="s">
        <v>53</v>
      </c>
    </row>
    <row r="18" spans="1:16" x14ac:dyDescent="0.25">
      <c r="A18" t="s">
        <v>100</v>
      </c>
      <c r="B18" t="s">
        <v>101</v>
      </c>
      <c r="C18" t="s">
        <v>18</v>
      </c>
      <c r="D18" t="s">
        <v>30</v>
      </c>
      <c r="E18" t="s">
        <v>20</v>
      </c>
      <c r="F18" t="s">
        <v>32</v>
      </c>
      <c r="G18" t="s">
        <v>22</v>
      </c>
      <c r="H18" t="s">
        <v>34</v>
      </c>
      <c r="I18" t="s">
        <v>24</v>
      </c>
      <c r="J18" t="s">
        <v>102</v>
      </c>
      <c r="K18" t="s">
        <v>103</v>
      </c>
      <c r="L18">
        <v>4.3</v>
      </c>
      <c r="O18">
        <v>0</v>
      </c>
      <c r="P18" t="s">
        <v>72</v>
      </c>
    </row>
    <row r="19" spans="1:16" x14ac:dyDescent="0.25">
      <c r="A19" t="s">
        <v>104</v>
      </c>
      <c r="B19" t="s">
        <v>105</v>
      </c>
      <c r="C19" t="s">
        <v>18</v>
      </c>
      <c r="D19" t="s">
        <v>30</v>
      </c>
      <c r="E19" t="s">
        <v>44</v>
      </c>
      <c r="F19" t="s">
        <v>32</v>
      </c>
      <c r="G19" t="s">
        <v>22</v>
      </c>
      <c r="H19" t="s">
        <v>46</v>
      </c>
      <c r="I19" t="s">
        <v>24</v>
      </c>
      <c r="J19" t="s">
        <v>106</v>
      </c>
      <c r="L19">
        <v>2.2000000000000002</v>
      </c>
      <c r="M19">
        <v>235000</v>
      </c>
      <c r="N19">
        <v>2.2000000000000002</v>
      </c>
      <c r="O19">
        <v>8</v>
      </c>
      <c r="P19" t="s">
        <v>26</v>
      </c>
    </row>
    <row r="20" spans="1:16" x14ac:dyDescent="0.25">
      <c r="A20" t="s">
        <v>107</v>
      </c>
      <c r="B20" t="s">
        <v>108</v>
      </c>
      <c r="C20" t="s">
        <v>18</v>
      </c>
      <c r="D20" t="s">
        <v>50</v>
      </c>
      <c r="E20" t="s">
        <v>20</v>
      </c>
      <c r="G20" t="s">
        <v>33</v>
      </c>
      <c r="H20" t="s">
        <v>23</v>
      </c>
      <c r="I20" t="s">
        <v>35</v>
      </c>
      <c r="J20" t="s">
        <v>109</v>
      </c>
      <c r="L20">
        <v>4.2</v>
      </c>
      <c r="M20">
        <v>117000</v>
      </c>
      <c r="N20">
        <v>4.4000000000000004</v>
      </c>
      <c r="O20">
        <v>39</v>
      </c>
      <c r="P20" t="s">
        <v>26</v>
      </c>
    </row>
    <row r="21" spans="1:16" x14ac:dyDescent="0.25">
      <c r="A21" t="s">
        <v>110</v>
      </c>
      <c r="B21" t="s">
        <v>111</v>
      </c>
      <c r="C21" t="s">
        <v>18</v>
      </c>
      <c r="D21" t="s">
        <v>50</v>
      </c>
      <c r="E21" t="s">
        <v>20</v>
      </c>
      <c r="F21" t="s">
        <v>32</v>
      </c>
      <c r="G21" t="s">
        <v>69</v>
      </c>
      <c r="H21" t="s">
        <v>46</v>
      </c>
      <c r="I21" t="s">
        <v>75</v>
      </c>
      <c r="J21" t="s">
        <v>112</v>
      </c>
      <c r="K21" t="s">
        <v>113</v>
      </c>
      <c r="L21">
        <v>2.2999999999999998</v>
      </c>
      <c r="M21">
        <v>271000</v>
      </c>
      <c r="N21">
        <v>2.2999999999999998</v>
      </c>
      <c r="O21">
        <v>5</v>
      </c>
      <c r="P21" t="s">
        <v>114</v>
      </c>
    </row>
    <row r="22" spans="1:16" x14ac:dyDescent="0.25">
      <c r="A22" t="s">
        <v>115</v>
      </c>
      <c r="B22" t="s">
        <v>116</v>
      </c>
      <c r="C22" t="s">
        <v>18</v>
      </c>
      <c r="D22" t="s">
        <v>79</v>
      </c>
      <c r="E22" t="s">
        <v>20</v>
      </c>
      <c r="F22" t="s">
        <v>21</v>
      </c>
      <c r="G22" t="s">
        <v>22</v>
      </c>
      <c r="H22" t="s">
        <v>62</v>
      </c>
      <c r="I22" t="s">
        <v>24</v>
      </c>
      <c r="J22" t="s">
        <v>117</v>
      </c>
      <c r="K22" t="s">
        <v>118</v>
      </c>
      <c r="L22">
        <v>3.9</v>
      </c>
      <c r="M22">
        <v>730000</v>
      </c>
      <c r="N22">
        <v>3.1</v>
      </c>
      <c r="O22">
        <v>3</v>
      </c>
      <c r="P22" t="s">
        <v>72</v>
      </c>
    </row>
    <row r="23" spans="1:16" x14ac:dyDescent="0.25">
      <c r="A23" t="s">
        <v>119</v>
      </c>
      <c r="B23" t="s">
        <v>120</v>
      </c>
      <c r="C23" t="s">
        <v>18</v>
      </c>
      <c r="D23" t="s">
        <v>50</v>
      </c>
      <c r="E23" t="s">
        <v>20</v>
      </c>
      <c r="F23" t="s">
        <v>32</v>
      </c>
      <c r="G23" t="s">
        <v>22</v>
      </c>
      <c r="H23" t="s">
        <v>23</v>
      </c>
      <c r="I23" t="s">
        <v>24</v>
      </c>
      <c r="J23" t="s">
        <v>121</v>
      </c>
      <c r="L23">
        <v>2.4</v>
      </c>
      <c r="M23">
        <v>220000</v>
      </c>
      <c r="N23">
        <v>4</v>
      </c>
      <c r="O23">
        <v>2</v>
      </c>
      <c r="P23" t="s">
        <v>26</v>
      </c>
    </row>
    <row r="24" spans="1:16" x14ac:dyDescent="0.25">
      <c r="A24" t="s">
        <v>122</v>
      </c>
      <c r="B24" t="s">
        <v>123</v>
      </c>
      <c r="C24" t="s">
        <v>29</v>
      </c>
      <c r="D24" t="s">
        <v>30</v>
      </c>
      <c r="E24" t="s">
        <v>20</v>
      </c>
      <c r="F24" t="s">
        <v>32</v>
      </c>
      <c r="G24" t="s">
        <v>69</v>
      </c>
      <c r="H24" t="s">
        <v>46</v>
      </c>
      <c r="I24" t="s">
        <v>57</v>
      </c>
      <c r="J24" t="s">
        <v>124</v>
      </c>
      <c r="K24" t="s">
        <v>125</v>
      </c>
      <c r="L24">
        <v>1.6</v>
      </c>
      <c r="M24">
        <v>301000</v>
      </c>
      <c r="N24">
        <v>3.7</v>
      </c>
      <c r="O24">
        <v>14</v>
      </c>
      <c r="P24" t="s">
        <v>72</v>
      </c>
    </row>
    <row r="25" spans="1:16" x14ac:dyDescent="0.25">
      <c r="A25" t="s">
        <v>126</v>
      </c>
      <c r="B25" t="s">
        <v>127</v>
      </c>
      <c r="D25" t="s">
        <v>79</v>
      </c>
      <c r="E25" t="s">
        <v>20</v>
      </c>
      <c r="F25" t="s">
        <v>128</v>
      </c>
      <c r="G25" t="s">
        <v>22</v>
      </c>
      <c r="H25" t="s">
        <v>23</v>
      </c>
      <c r="I25" t="s">
        <v>35</v>
      </c>
      <c r="J25" t="s">
        <v>129</v>
      </c>
      <c r="L25">
        <v>1.3</v>
      </c>
      <c r="M25">
        <v>496000</v>
      </c>
      <c r="N25">
        <v>2.7</v>
      </c>
      <c r="O25">
        <v>1</v>
      </c>
      <c r="P25" t="s">
        <v>26</v>
      </c>
    </row>
    <row r="26" spans="1:16" x14ac:dyDescent="0.25">
      <c r="A26" t="s">
        <v>130</v>
      </c>
      <c r="B26" t="s">
        <v>131</v>
      </c>
      <c r="C26" t="s">
        <v>29</v>
      </c>
      <c r="D26" t="s">
        <v>43</v>
      </c>
      <c r="E26" t="s">
        <v>20</v>
      </c>
      <c r="F26" t="s">
        <v>39</v>
      </c>
      <c r="G26" t="s">
        <v>69</v>
      </c>
      <c r="H26" t="s">
        <v>23</v>
      </c>
      <c r="I26" t="s">
        <v>24</v>
      </c>
      <c r="J26" t="s">
        <v>132</v>
      </c>
      <c r="L26">
        <v>2.6</v>
      </c>
      <c r="M26">
        <v>137000</v>
      </c>
      <c r="N26">
        <v>3.9</v>
      </c>
      <c r="O26">
        <v>0</v>
      </c>
      <c r="P26" t="s">
        <v>26</v>
      </c>
    </row>
    <row r="27" spans="1:16" x14ac:dyDescent="0.25">
      <c r="A27" t="s">
        <v>133</v>
      </c>
      <c r="B27" t="s">
        <v>134</v>
      </c>
      <c r="D27" t="s">
        <v>30</v>
      </c>
      <c r="E27" t="s">
        <v>20</v>
      </c>
      <c r="F27" t="s">
        <v>32</v>
      </c>
      <c r="G27" t="s">
        <v>22</v>
      </c>
      <c r="H27" t="s">
        <v>34</v>
      </c>
      <c r="I27" t="s">
        <v>24</v>
      </c>
      <c r="J27" t="s">
        <v>135</v>
      </c>
      <c r="K27" t="s">
        <v>136</v>
      </c>
      <c r="L27">
        <v>4.2</v>
      </c>
      <c r="M27">
        <v>303000</v>
      </c>
      <c r="N27">
        <v>2.8</v>
      </c>
      <c r="O27">
        <v>27</v>
      </c>
      <c r="P27" t="s">
        <v>53</v>
      </c>
    </row>
    <row r="28" spans="1:16" x14ac:dyDescent="0.25">
      <c r="A28" t="s">
        <v>137</v>
      </c>
      <c r="B28" t="s">
        <v>138</v>
      </c>
      <c r="C28" t="s">
        <v>29</v>
      </c>
      <c r="D28" t="s">
        <v>79</v>
      </c>
      <c r="E28" t="s">
        <v>20</v>
      </c>
      <c r="F28" t="s">
        <v>32</v>
      </c>
      <c r="G28" t="s">
        <v>80</v>
      </c>
      <c r="H28" t="s">
        <v>62</v>
      </c>
      <c r="I28" t="s">
        <v>35</v>
      </c>
      <c r="J28" t="s">
        <v>139</v>
      </c>
      <c r="K28" t="s">
        <v>140</v>
      </c>
      <c r="L28">
        <v>4.9000000000000004</v>
      </c>
      <c r="M28" t="s">
        <v>141</v>
      </c>
      <c r="N28">
        <v>3.6</v>
      </c>
      <c r="P28" t="s">
        <v>114</v>
      </c>
    </row>
    <row r="29" spans="1:16" x14ac:dyDescent="0.25">
      <c r="A29" t="s">
        <v>142</v>
      </c>
      <c r="B29" t="s">
        <v>143</v>
      </c>
      <c r="C29" t="s">
        <v>29</v>
      </c>
      <c r="D29" t="s">
        <v>50</v>
      </c>
      <c r="E29" t="s">
        <v>31</v>
      </c>
      <c r="F29" t="s">
        <v>128</v>
      </c>
      <c r="G29" t="s">
        <v>33</v>
      </c>
      <c r="H29" t="s">
        <v>62</v>
      </c>
      <c r="I29" t="s">
        <v>24</v>
      </c>
      <c r="J29" t="s">
        <v>144</v>
      </c>
      <c r="K29" t="s">
        <v>145</v>
      </c>
      <c r="L29">
        <v>3.7</v>
      </c>
      <c r="M29">
        <v>537000</v>
      </c>
      <c r="N29">
        <v>3</v>
      </c>
      <c r="P29" t="s">
        <v>53</v>
      </c>
    </row>
    <row r="30" spans="1:16" x14ac:dyDescent="0.25">
      <c r="A30" t="s">
        <v>146</v>
      </c>
      <c r="B30" t="s">
        <v>147</v>
      </c>
      <c r="C30" t="s">
        <v>29</v>
      </c>
      <c r="D30" t="s">
        <v>19</v>
      </c>
      <c r="E30" t="s">
        <v>31</v>
      </c>
      <c r="F30" t="s">
        <v>32</v>
      </c>
      <c r="G30" t="s">
        <v>22</v>
      </c>
      <c r="H30" t="s">
        <v>23</v>
      </c>
      <c r="I30" t="s">
        <v>35</v>
      </c>
      <c r="J30" t="s">
        <v>148</v>
      </c>
      <c r="K30" t="s">
        <v>149</v>
      </c>
      <c r="L30">
        <v>5.5</v>
      </c>
      <c r="M30">
        <v>382000</v>
      </c>
      <c r="N30">
        <v>4.3</v>
      </c>
      <c r="O30">
        <v>9</v>
      </c>
      <c r="P30" t="s">
        <v>53</v>
      </c>
    </row>
    <row r="31" spans="1:16" x14ac:dyDescent="0.25">
      <c r="A31" t="s">
        <v>150</v>
      </c>
      <c r="B31" t="s">
        <v>151</v>
      </c>
      <c r="C31" t="s">
        <v>18</v>
      </c>
      <c r="D31" t="s">
        <v>30</v>
      </c>
      <c r="E31" t="s">
        <v>20</v>
      </c>
      <c r="F31" t="s">
        <v>32</v>
      </c>
      <c r="G31" t="s">
        <v>22</v>
      </c>
      <c r="H31" t="s">
        <v>23</v>
      </c>
      <c r="I31" t="s">
        <v>24</v>
      </c>
      <c r="J31" t="s">
        <v>152</v>
      </c>
      <c r="L31">
        <v>4</v>
      </c>
      <c r="M31">
        <v>202000</v>
      </c>
      <c r="N31">
        <v>2.2000000000000002</v>
      </c>
      <c r="O31">
        <v>5</v>
      </c>
      <c r="P31" t="s">
        <v>26</v>
      </c>
    </row>
    <row r="32" spans="1:16" x14ac:dyDescent="0.25">
      <c r="A32" t="s">
        <v>153</v>
      </c>
      <c r="B32" t="s">
        <v>154</v>
      </c>
      <c r="C32" t="s">
        <v>29</v>
      </c>
      <c r="D32" t="s">
        <v>19</v>
      </c>
      <c r="E32" t="s">
        <v>31</v>
      </c>
      <c r="F32" t="s">
        <v>39</v>
      </c>
      <c r="G32" t="s">
        <v>22</v>
      </c>
      <c r="H32" t="s">
        <v>23</v>
      </c>
      <c r="I32" t="s">
        <v>75</v>
      </c>
      <c r="J32" t="s">
        <v>155</v>
      </c>
      <c r="L32">
        <v>3.1</v>
      </c>
      <c r="M32">
        <v>128000</v>
      </c>
      <c r="N32">
        <v>2.8</v>
      </c>
      <c r="O32">
        <v>2</v>
      </c>
      <c r="P32" t="s">
        <v>26</v>
      </c>
    </row>
    <row r="33" spans="1:16" x14ac:dyDescent="0.25">
      <c r="A33" t="s">
        <v>156</v>
      </c>
      <c r="B33" t="s">
        <v>157</v>
      </c>
      <c r="C33" t="s">
        <v>29</v>
      </c>
      <c r="D33" t="s">
        <v>50</v>
      </c>
      <c r="E33" t="s">
        <v>20</v>
      </c>
      <c r="F33" t="s">
        <v>128</v>
      </c>
      <c r="G33" t="s">
        <v>22</v>
      </c>
      <c r="H33" t="s">
        <v>23</v>
      </c>
      <c r="I33" t="s">
        <v>57</v>
      </c>
      <c r="J33" t="s">
        <v>158</v>
      </c>
      <c r="K33" t="s">
        <v>159</v>
      </c>
      <c r="L33">
        <v>2.8</v>
      </c>
      <c r="M33">
        <v>416000</v>
      </c>
      <c r="N33">
        <v>4.5</v>
      </c>
      <c r="O33">
        <v>10</v>
      </c>
      <c r="P33" t="s">
        <v>53</v>
      </c>
    </row>
    <row r="34" spans="1:16" x14ac:dyDescent="0.25">
      <c r="A34" t="s">
        <v>160</v>
      </c>
      <c r="B34" t="s">
        <v>161</v>
      </c>
      <c r="C34" t="s">
        <v>18</v>
      </c>
      <c r="D34" t="s">
        <v>43</v>
      </c>
      <c r="E34" t="s">
        <v>31</v>
      </c>
      <c r="F34" t="s">
        <v>39</v>
      </c>
      <c r="G34" t="s">
        <v>69</v>
      </c>
      <c r="H34" t="s">
        <v>34</v>
      </c>
      <c r="J34" t="s">
        <v>162</v>
      </c>
      <c r="L34">
        <v>5.5</v>
      </c>
      <c r="M34">
        <v>124000</v>
      </c>
      <c r="N34">
        <v>4.3</v>
      </c>
      <c r="O34">
        <v>15</v>
      </c>
      <c r="P34" t="s">
        <v>26</v>
      </c>
    </row>
    <row r="35" spans="1:16" x14ac:dyDescent="0.25">
      <c r="A35" t="s">
        <v>163</v>
      </c>
      <c r="B35" t="s">
        <v>164</v>
      </c>
      <c r="C35" t="s">
        <v>29</v>
      </c>
      <c r="D35" t="s">
        <v>19</v>
      </c>
      <c r="E35" t="s">
        <v>20</v>
      </c>
      <c r="F35" t="s">
        <v>32</v>
      </c>
      <c r="G35" t="s">
        <v>80</v>
      </c>
      <c r="H35" t="s">
        <v>34</v>
      </c>
      <c r="I35" t="s">
        <v>57</v>
      </c>
      <c r="J35" t="s">
        <v>165</v>
      </c>
      <c r="L35">
        <v>1.7</v>
      </c>
      <c r="M35">
        <v>222000</v>
      </c>
      <c r="N35">
        <v>3.9</v>
      </c>
      <c r="O35">
        <v>22</v>
      </c>
      <c r="P35" t="s">
        <v>26</v>
      </c>
    </row>
    <row r="36" spans="1:16" x14ac:dyDescent="0.25">
      <c r="A36" t="s">
        <v>166</v>
      </c>
      <c r="B36" t="s">
        <v>167</v>
      </c>
      <c r="C36" t="s">
        <v>18</v>
      </c>
      <c r="D36" t="s">
        <v>30</v>
      </c>
      <c r="E36" t="s">
        <v>31</v>
      </c>
      <c r="F36" t="s">
        <v>21</v>
      </c>
      <c r="G36" t="s">
        <v>33</v>
      </c>
      <c r="H36" t="s">
        <v>34</v>
      </c>
      <c r="I36" t="s">
        <v>24</v>
      </c>
      <c r="J36" t="s">
        <v>168</v>
      </c>
      <c r="L36">
        <v>1.6</v>
      </c>
      <c r="M36">
        <v>728000</v>
      </c>
      <c r="N36">
        <v>3</v>
      </c>
      <c r="O36">
        <v>3</v>
      </c>
      <c r="P36" t="s">
        <v>26</v>
      </c>
    </row>
    <row r="37" spans="1:16" x14ac:dyDescent="0.25">
      <c r="A37" t="s">
        <v>169</v>
      </c>
      <c r="B37" t="s">
        <v>170</v>
      </c>
      <c r="C37" t="s">
        <v>18</v>
      </c>
      <c r="D37" t="s">
        <v>19</v>
      </c>
      <c r="E37" t="s">
        <v>44</v>
      </c>
      <c r="F37" t="s">
        <v>39</v>
      </c>
      <c r="G37" t="s">
        <v>33</v>
      </c>
      <c r="H37" t="s">
        <v>34</v>
      </c>
      <c r="I37" t="s">
        <v>171</v>
      </c>
      <c r="J37" t="s">
        <v>172</v>
      </c>
      <c r="L37">
        <v>4.3</v>
      </c>
      <c r="M37">
        <v>186000</v>
      </c>
      <c r="N37">
        <v>4.5999999999999996</v>
      </c>
      <c r="O37">
        <v>40</v>
      </c>
      <c r="P37" t="s">
        <v>26</v>
      </c>
    </row>
    <row r="38" spans="1:16" x14ac:dyDescent="0.25">
      <c r="A38" t="s">
        <v>173</v>
      </c>
      <c r="B38" t="s">
        <v>174</v>
      </c>
      <c r="C38" t="s">
        <v>18</v>
      </c>
      <c r="D38" t="s">
        <v>19</v>
      </c>
      <c r="E38" t="s">
        <v>20</v>
      </c>
      <c r="F38" t="s">
        <v>39</v>
      </c>
      <c r="G38" t="s">
        <v>80</v>
      </c>
      <c r="H38" t="s">
        <v>23</v>
      </c>
      <c r="I38" t="s">
        <v>35</v>
      </c>
      <c r="J38" t="s">
        <v>175</v>
      </c>
      <c r="L38">
        <v>5.8</v>
      </c>
      <c r="M38">
        <v>156000</v>
      </c>
      <c r="N38">
        <v>3.9</v>
      </c>
      <c r="O38">
        <v>7</v>
      </c>
      <c r="P38" t="s">
        <v>26</v>
      </c>
    </row>
    <row r="39" spans="1:16" x14ac:dyDescent="0.25">
      <c r="A39" t="s">
        <v>176</v>
      </c>
      <c r="B39" t="s">
        <v>177</v>
      </c>
      <c r="C39" t="s">
        <v>18</v>
      </c>
      <c r="D39" t="s">
        <v>50</v>
      </c>
      <c r="E39" t="s">
        <v>20</v>
      </c>
      <c r="F39" t="s">
        <v>39</v>
      </c>
      <c r="G39" t="s">
        <v>69</v>
      </c>
      <c r="H39" t="s">
        <v>23</v>
      </c>
      <c r="I39" t="s">
        <v>35</v>
      </c>
      <c r="J39" t="s">
        <v>178</v>
      </c>
      <c r="K39" t="s">
        <v>179</v>
      </c>
      <c r="L39">
        <v>2.1</v>
      </c>
      <c r="M39">
        <v>176000</v>
      </c>
      <c r="N39">
        <v>3</v>
      </c>
      <c r="O39">
        <v>21</v>
      </c>
      <c r="P39" t="s">
        <v>53</v>
      </c>
    </row>
    <row r="40" spans="1:16" x14ac:dyDescent="0.25">
      <c r="A40" t="s">
        <v>180</v>
      </c>
      <c r="B40" t="s">
        <v>181</v>
      </c>
      <c r="C40" t="s">
        <v>18</v>
      </c>
      <c r="D40" t="s">
        <v>50</v>
      </c>
      <c r="E40" t="s">
        <v>44</v>
      </c>
      <c r="F40" t="s">
        <v>39</v>
      </c>
      <c r="G40" t="s">
        <v>22</v>
      </c>
      <c r="H40" t="s">
        <v>23</v>
      </c>
      <c r="J40" t="s">
        <v>182</v>
      </c>
      <c r="L40">
        <v>1.6</v>
      </c>
      <c r="M40">
        <v>98000</v>
      </c>
      <c r="N40">
        <v>2.1</v>
      </c>
      <c r="O40">
        <v>12</v>
      </c>
      <c r="P40" t="s">
        <v>26</v>
      </c>
    </row>
    <row r="41" spans="1:16" x14ac:dyDescent="0.25">
      <c r="A41" t="s">
        <v>183</v>
      </c>
      <c r="B41" t="s">
        <v>184</v>
      </c>
      <c r="D41" t="s">
        <v>185</v>
      </c>
      <c r="E41" t="s">
        <v>44</v>
      </c>
      <c r="F41" t="s">
        <v>128</v>
      </c>
      <c r="G41" t="s">
        <v>80</v>
      </c>
      <c r="H41" t="s">
        <v>46</v>
      </c>
      <c r="I41" t="s">
        <v>57</v>
      </c>
      <c r="J41" t="s">
        <v>186</v>
      </c>
      <c r="L41">
        <v>6.2</v>
      </c>
      <c r="M41">
        <v>538000</v>
      </c>
      <c r="N41">
        <v>3.8</v>
      </c>
      <c r="O41">
        <v>5</v>
      </c>
      <c r="P41" t="s">
        <v>26</v>
      </c>
    </row>
    <row r="42" spans="1:16" x14ac:dyDescent="0.25">
      <c r="A42" t="s">
        <v>187</v>
      </c>
      <c r="B42" t="s">
        <v>188</v>
      </c>
      <c r="C42" t="s">
        <v>29</v>
      </c>
      <c r="D42" t="s">
        <v>79</v>
      </c>
      <c r="E42" t="s">
        <v>20</v>
      </c>
      <c r="F42" t="s">
        <v>128</v>
      </c>
      <c r="G42" t="s">
        <v>22</v>
      </c>
      <c r="H42" t="s">
        <v>46</v>
      </c>
      <c r="I42" t="s">
        <v>57</v>
      </c>
      <c r="J42" t="s">
        <v>189</v>
      </c>
      <c r="L42">
        <v>1.4</v>
      </c>
      <c r="M42">
        <v>452000</v>
      </c>
      <c r="N42">
        <v>2.7</v>
      </c>
      <c r="O42">
        <v>9</v>
      </c>
      <c r="P42" t="s">
        <v>26</v>
      </c>
    </row>
    <row r="43" spans="1:16" x14ac:dyDescent="0.25">
      <c r="A43" t="s">
        <v>190</v>
      </c>
      <c r="B43" t="s">
        <v>191</v>
      </c>
      <c r="D43" t="s">
        <v>50</v>
      </c>
      <c r="F43" t="s">
        <v>21</v>
      </c>
      <c r="G43" t="s">
        <v>69</v>
      </c>
      <c r="H43" t="s">
        <v>34</v>
      </c>
      <c r="I43" t="s">
        <v>171</v>
      </c>
      <c r="J43" t="s">
        <v>192</v>
      </c>
      <c r="K43" t="s">
        <v>193</v>
      </c>
      <c r="L43">
        <v>2.2000000000000002</v>
      </c>
      <c r="M43">
        <v>747000</v>
      </c>
      <c r="N43">
        <v>4.2</v>
      </c>
      <c r="O43">
        <v>17</v>
      </c>
      <c r="P43" t="s">
        <v>53</v>
      </c>
    </row>
    <row r="44" spans="1:16" x14ac:dyDescent="0.25">
      <c r="A44" t="s">
        <v>194</v>
      </c>
      <c r="B44" t="s">
        <v>195</v>
      </c>
      <c r="C44" t="s">
        <v>18</v>
      </c>
      <c r="D44" t="s">
        <v>19</v>
      </c>
      <c r="E44" t="s">
        <v>20</v>
      </c>
      <c r="F44" t="s">
        <v>32</v>
      </c>
      <c r="G44" t="s">
        <v>80</v>
      </c>
      <c r="I44" t="s">
        <v>24</v>
      </c>
      <c r="J44" t="s">
        <v>196</v>
      </c>
      <c r="L44">
        <v>2.4</v>
      </c>
      <c r="M44">
        <v>367000</v>
      </c>
      <c r="N44">
        <v>2.2999999999999998</v>
      </c>
      <c r="O44">
        <v>8</v>
      </c>
      <c r="P44" t="s">
        <v>26</v>
      </c>
    </row>
    <row r="45" spans="1:16" x14ac:dyDescent="0.25">
      <c r="A45" t="s">
        <v>197</v>
      </c>
      <c r="B45" t="s">
        <v>198</v>
      </c>
      <c r="C45" t="s">
        <v>18</v>
      </c>
      <c r="D45" t="s">
        <v>30</v>
      </c>
      <c r="F45" t="s">
        <v>39</v>
      </c>
      <c r="G45" t="s">
        <v>22</v>
      </c>
      <c r="H45" t="s">
        <v>34</v>
      </c>
      <c r="I45" t="s">
        <v>24</v>
      </c>
      <c r="J45" t="s">
        <v>199</v>
      </c>
      <c r="L45">
        <v>4.3</v>
      </c>
      <c r="M45">
        <v>99000</v>
      </c>
      <c r="N45">
        <v>2.4</v>
      </c>
      <c r="O45">
        <v>8</v>
      </c>
      <c r="P45" t="s">
        <v>26</v>
      </c>
    </row>
    <row r="46" spans="1:16" x14ac:dyDescent="0.25">
      <c r="A46" t="s">
        <v>200</v>
      </c>
      <c r="B46" t="s">
        <v>201</v>
      </c>
      <c r="C46" t="s">
        <v>18</v>
      </c>
      <c r="D46" t="s">
        <v>30</v>
      </c>
      <c r="E46" t="s">
        <v>20</v>
      </c>
      <c r="F46" t="s">
        <v>21</v>
      </c>
      <c r="G46" t="s">
        <v>22</v>
      </c>
      <c r="H46" t="s">
        <v>34</v>
      </c>
      <c r="I46" t="s">
        <v>24</v>
      </c>
      <c r="J46" t="s">
        <v>202</v>
      </c>
      <c r="K46" t="s">
        <v>203</v>
      </c>
      <c r="L46">
        <v>1.6</v>
      </c>
      <c r="M46">
        <v>629000</v>
      </c>
      <c r="N46">
        <v>4</v>
      </c>
      <c r="O46">
        <v>38</v>
      </c>
      <c r="P46" t="s">
        <v>53</v>
      </c>
    </row>
    <row r="47" spans="1:16" x14ac:dyDescent="0.25">
      <c r="A47" t="s">
        <v>204</v>
      </c>
      <c r="B47" t="s">
        <v>191</v>
      </c>
      <c r="C47" t="s">
        <v>18</v>
      </c>
      <c r="D47" t="s">
        <v>30</v>
      </c>
      <c r="E47" t="s">
        <v>20</v>
      </c>
      <c r="F47" t="s">
        <v>21</v>
      </c>
      <c r="G47" t="s">
        <v>69</v>
      </c>
      <c r="H47" t="s">
        <v>23</v>
      </c>
      <c r="I47" t="s">
        <v>57</v>
      </c>
      <c r="J47" t="s">
        <v>205</v>
      </c>
      <c r="L47">
        <v>3.9</v>
      </c>
      <c r="M47">
        <v>770000</v>
      </c>
      <c r="N47">
        <v>5</v>
      </c>
      <c r="O47">
        <v>40</v>
      </c>
      <c r="P47" t="s">
        <v>26</v>
      </c>
    </row>
    <row r="48" spans="1:16" x14ac:dyDescent="0.25">
      <c r="A48" t="s">
        <v>206</v>
      </c>
      <c r="B48" t="s">
        <v>207</v>
      </c>
      <c r="C48" t="s">
        <v>29</v>
      </c>
      <c r="D48" t="s">
        <v>79</v>
      </c>
      <c r="E48" t="s">
        <v>31</v>
      </c>
      <c r="G48" t="s">
        <v>33</v>
      </c>
      <c r="H48" t="s">
        <v>46</v>
      </c>
      <c r="I48" t="s">
        <v>24</v>
      </c>
      <c r="J48" t="s">
        <v>208</v>
      </c>
      <c r="L48">
        <v>5.0999999999999996</v>
      </c>
      <c r="M48">
        <v>221000</v>
      </c>
      <c r="N48">
        <v>3</v>
      </c>
      <c r="O48">
        <v>2</v>
      </c>
      <c r="P48" t="s">
        <v>26</v>
      </c>
    </row>
    <row r="49" spans="1:16" x14ac:dyDescent="0.25">
      <c r="A49" t="s">
        <v>209</v>
      </c>
      <c r="B49" t="s">
        <v>210</v>
      </c>
      <c r="C49" t="s">
        <v>29</v>
      </c>
      <c r="D49" t="s">
        <v>43</v>
      </c>
      <c r="E49" t="s">
        <v>44</v>
      </c>
      <c r="F49" t="s">
        <v>128</v>
      </c>
      <c r="G49" t="s">
        <v>69</v>
      </c>
      <c r="H49" t="s">
        <v>23</v>
      </c>
      <c r="I49" t="s">
        <v>57</v>
      </c>
      <c r="J49" t="s">
        <v>211</v>
      </c>
      <c r="L49">
        <v>2.5</v>
      </c>
      <c r="M49">
        <v>350000</v>
      </c>
      <c r="O49">
        <v>0</v>
      </c>
      <c r="P49" t="s">
        <v>26</v>
      </c>
    </row>
    <row r="50" spans="1:16" x14ac:dyDescent="0.25">
      <c r="A50" t="s">
        <v>212</v>
      </c>
      <c r="B50" t="s">
        <v>161</v>
      </c>
      <c r="C50" t="s">
        <v>18</v>
      </c>
      <c r="D50" t="s">
        <v>43</v>
      </c>
      <c r="E50" t="s">
        <v>20</v>
      </c>
      <c r="F50" t="s">
        <v>32</v>
      </c>
      <c r="G50" t="s">
        <v>22</v>
      </c>
      <c r="H50" t="s">
        <v>23</v>
      </c>
      <c r="I50" t="s">
        <v>35</v>
      </c>
      <c r="J50" t="s">
        <v>213</v>
      </c>
      <c r="L50">
        <v>4.8</v>
      </c>
      <c r="M50">
        <v>233000</v>
      </c>
      <c r="N50">
        <v>2.5</v>
      </c>
      <c r="O50">
        <v>4</v>
      </c>
      <c r="P50" t="s">
        <v>26</v>
      </c>
    </row>
    <row r="51" spans="1:16" x14ac:dyDescent="0.25">
      <c r="A51" t="s">
        <v>214</v>
      </c>
      <c r="B51" t="s">
        <v>215</v>
      </c>
      <c r="C51" t="s">
        <v>29</v>
      </c>
      <c r="D51" t="s">
        <v>50</v>
      </c>
      <c r="E51" t="s">
        <v>44</v>
      </c>
      <c r="F51" t="s">
        <v>39</v>
      </c>
      <c r="G51" t="s">
        <v>22</v>
      </c>
      <c r="H51" t="s">
        <v>46</v>
      </c>
      <c r="I51" t="s">
        <v>75</v>
      </c>
      <c r="J51" t="s">
        <v>216</v>
      </c>
      <c r="L51">
        <v>4.4000000000000004</v>
      </c>
      <c r="M51">
        <v>104000</v>
      </c>
      <c r="N51">
        <v>2.2999999999999998</v>
      </c>
      <c r="O51">
        <v>8</v>
      </c>
      <c r="P51" t="s">
        <v>26</v>
      </c>
    </row>
    <row r="52" spans="1:16" x14ac:dyDescent="0.25">
      <c r="A52" t="s">
        <v>217</v>
      </c>
      <c r="B52" t="s">
        <v>218</v>
      </c>
      <c r="C52" t="s">
        <v>18</v>
      </c>
      <c r="D52" t="s">
        <v>30</v>
      </c>
      <c r="E52" t="s">
        <v>20</v>
      </c>
      <c r="F52" t="s">
        <v>39</v>
      </c>
      <c r="G52" t="s">
        <v>22</v>
      </c>
      <c r="H52" t="s">
        <v>46</v>
      </c>
      <c r="I52" t="s">
        <v>24</v>
      </c>
      <c r="J52" t="s">
        <v>219</v>
      </c>
      <c r="K52" t="s">
        <v>220</v>
      </c>
      <c r="L52">
        <v>2.2999999999999998</v>
      </c>
      <c r="N52">
        <v>2.8</v>
      </c>
      <c r="O52">
        <v>31</v>
      </c>
      <c r="P52" t="s">
        <v>72</v>
      </c>
    </row>
    <row r="53" spans="1:16" x14ac:dyDescent="0.25">
      <c r="A53" t="s">
        <v>221</v>
      </c>
      <c r="B53" t="s">
        <v>222</v>
      </c>
      <c r="C53" t="s">
        <v>29</v>
      </c>
      <c r="D53" t="s">
        <v>30</v>
      </c>
      <c r="E53" t="s">
        <v>20</v>
      </c>
      <c r="F53" t="s">
        <v>39</v>
      </c>
      <c r="G53" t="s">
        <v>69</v>
      </c>
      <c r="H53" t="s">
        <v>23</v>
      </c>
      <c r="I53" t="s">
        <v>24</v>
      </c>
      <c r="J53" t="s">
        <v>223</v>
      </c>
      <c r="K53" t="s">
        <v>224</v>
      </c>
      <c r="L53">
        <v>1.4</v>
      </c>
      <c r="O53">
        <v>10</v>
      </c>
      <c r="P53" t="s">
        <v>53</v>
      </c>
    </row>
    <row r="54" spans="1:16" x14ac:dyDescent="0.25">
      <c r="A54" t="s">
        <v>225</v>
      </c>
      <c r="B54" t="s">
        <v>226</v>
      </c>
      <c r="C54" t="s">
        <v>18</v>
      </c>
      <c r="E54" t="s">
        <v>31</v>
      </c>
      <c r="F54" t="s">
        <v>21</v>
      </c>
      <c r="G54" t="s">
        <v>22</v>
      </c>
      <c r="H54" t="s">
        <v>23</v>
      </c>
      <c r="I54" t="s">
        <v>24</v>
      </c>
      <c r="J54" t="s">
        <v>227</v>
      </c>
      <c r="K54" t="s">
        <v>228</v>
      </c>
      <c r="L54">
        <v>4.5</v>
      </c>
      <c r="M54">
        <v>750000</v>
      </c>
      <c r="N54">
        <v>4.2</v>
      </c>
      <c r="O54">
        <v>9</v>
      </c>
      <c r="P54" t="s">
        <v>53</v>
      </c>
    </row>
    <row r="55" spans="1:16" x14ac:dyDescent="0.25">
      <c r="A55" t="s">
        <v>229</v>
      </c>
      <c r="B55" t="s">
        <v>230</v>
      </c>
      <c r="C55" t="s">
        <v>18</v>
      </c>
      <c r="D55" t="s">
        <v>30</v>
      </c>
      <c r="E55" t="s">
        <v>20</v>
      </c>
      <c r="F55" t="s">
        <v>39</v>
      </c>
      <c r="G55" t="s">
        <v>80</v>
      </c>
      <c r="H55" t="s">
        <v>23</v>
      </c>
      <c r="I55" t="s">
        <v>57</v>
      </c>
      <c r="J55" t="s">
        <v>231</v>
      </c>
      <c r="K55" t="s">
        <v>232</v>
      </c>
      <c r="L55">
        <v>5.6</v>
      </c>
      <c r="M55">
        <v>140000</v>
      </c>
      <c r="N55">
        <v>2.2999999999999998</v>
      </c>
      <c r="O55">
        <v>39</v>
      </c>
      <c r="P55" t="s">
        <v>72</v>
      </c>
    </row>
    <row r="56" spans="1:16" x14ac:dyDescent="0.25">
      <c r="A56" t="s">
        <v>233</v>
      </c>
      <c r="B56" t="s">
        <v>234</v>
      </c>
      <c r="C56" t="s">
        <v>29</v>
      </c>
      <c r="D56" t="s">
        <v>50</v>
      </c>
      <c r="E56" t="s">
        <v>20</v>
      </c>
      <c r="F56" t="s">
        <v>32</v>
      </c>
      <c r="G56" t="s">
        <v>22</v>
      </c>
      <c r="I56" t="s">
        <v>35</v>
      </c>
      <c r="J56" t="s">
        <v>235</v>
      </c>
      <c r="K56" t="s">
        <v>165</v>
      </c>
      <c r="L56">
        <v>2.8</v>
      </c>
      <c r="M56">
        <v>315000</v>
      </c>
      <c r="N56">
        <v>3.9</v>
      </c>
      <c r="O56">
        <v>37</v>
      </c>
      <c r="P56" t="s">
        <v>72</v>
      </c>
    </row>
    <row r="57" spans="1:16" x14ac:dyDescent="0.25">
      <c r="A57" t="s">
        <v>236</v>
      </c>
      <c r="B57" t="s">
        <v>237</v>
      </c>
      <c r="C57" t="s">
        <v>18</v>
      </c>
      <c r="D57" t="s">
        <v>30</v>
      </c>
      <c r="E57" t="s">
        <v>20</v>
      </c>
      <c r="F57" t="s">
        <v>21</v>
      </c>
      <c r="G57" t="s">
        <v>22</v>
      </c>
      <c r="H57" t="s">
        <v>34</v>
      </c>
      <c r="I57" t="s">
        <v>171</v>
      </c>
      <c r="J57" t="s">
        <v>238</v>
      </c>
      <c r="K57" t="s">
        <v>239</v>
      </c>
      <c r="L57">
        <v>2.1</v>
      </c>
      <c r="M57">
        <v>903000</v>
      </c>
      <c r="N57">
        <v>4.9000000000000004</v>
      </c>
      <c r="O57">
        <v>13</v>
      </c>
      <c r="P57" t="s">
        <v>53</v>
      </c>
    </row>
    <row r="58" spans="1:16" x14ac:dyDescent="0.25">
      <c r="A58" t="s">
        <v>240</v>
      </c>
      <c r="B58" t="s">
        <v>241</v>
      </c>
      <c r="C58" t="s">
        <v>29</v>
      </c>
      <c r="D58" t="s">
        <v>43</v>
      </c>
      <c r="E58" t="s">
        <v>20</v>
      </c>
      <c r="F58" t="s">
        <v>32</v>
      </c>
      <c r="G58" t="s">
        <v>80</v>
      </c>
      <c r="H58" t="s">
        <v>46</v>
      </c>
      <c r="I58" t="s">
        <v>57</v>
      </c>
      <c r="J58" t="s">
        <v>242</v>
      </c>
      <c r="L58">
        <v>4.4000000000000004</v>
      </c>
      <c r="M58">
        <v>238000</v>
      </c>
      <c r="N58">
        <v>2.2000000000000002</v>
      </c>
      <c r="O58">
        <v>12</v>
      </c>
      <c r="P58" t="s">
        <v>26</v>
      </c>
    </row>
    <row r="59" spans="1:16" x14ac:dyDescent="0.25">
      <c r="A59" t="s">
        <v>243</v>
      </c>
      <c r="B59" t="s">
        <v>244</v>
      </c>
      <c r="C59" t="s">
        <v>18</v>
      </c>
      <c r="D59" t="s">
        <v>79</v>
      </c>
      <c r="E59" t="s">
        <v>31</v>
      </c>
      <c r="F59" t="s">
        <v>32</v>
      </c>
      <c r="G59" t="s">
        <v>80</v>
      </c>
      <c r="H59" t="s">
        <v>34</v>
      </c>
      <c r="I59" t="s">
        <v>24</v>
      </c>
      <c r="J59" t="s">
        <v>245</v>
      </c>
      <c r="K59" t="s">
        <v>246</v>
      </c>
      <c r="L59">
        <v>2.2999999999999998</v>
      </c>
      <c r="M59">
        <v>224000</v>
      </c>
      <c r="N59">
        <v>2</v>
      </c>
      <c r="O59">
        <v>14</v>
      </c>
      <c r="P59" t="s">
        <v>53</v>
      </c>
    </row>
    <row r="60" spans="1:16" x14ac:dyDescent="0.25">
      <c r="A60" t="s">
        <v>247</v>
      </c>
      <c r="B60" t="s">
        <v>248</v>
      </c>
      <c r="C60" t="s">
        <v>18</v>
      </c>
      <c r="E60" t="s">
        <v>20</v>
      </c>
      <c r="F60" t="s">
        <v>32</v>
      </c>
      <c r="G60" t="s">
        <v>22</v>
      </c>
      <c r="H60" t="s">
        <v>46</v>
      </c>
      <c r="I60" t="s">
        <v>35</v>
      </c>
      <c r="J60" t="s">
        <v>249</v>
      </c>
      <c r="L60">
        <v>5.3</v>
      </c>
      <c r="M60">
        <v>303000</v>
      </c>
      <c r="N60">
        <v>2.9</v>
      </c>
      <c r="O60">
        <v>10</v>
      </c>
      <c r="P60" t="s">
        <v>26</v>
      </c>
    </row>
    <row r="61" spans="1:16" x14ac:dyDescent="0.25">
      <c r="A61" t="s">
        <v>250</v>
      </c>
      <c r="B61" t="s">
        <v>251</v>
      </c>
      <c r="C61" t="s">
        <v>252</v>
      </c>
      <c r="D61" t="s">
        <v>30</v>
      </c>
      <c r="E61" t="s">
        <v>20</v>
      </c>
      <c r="F61" t="s">
        <v>21</v>
      </c>
      <c r="G61" t="s">
        <v>22</v>
      </c>
      <c r="H61" t="s">
        <v>34</v>
      </c>
      <c r="I61" t="s">
        <v>24</v>
      </c>
      <c r="J61" t="s">
        <v>253</v>
      </c>
      <c r="L61">
        <v>3.5</v>
      </c>
      <c r="M61">
        <v>621000</v>
      </c>
      <c r="N61">
        <v>4.2</v>
      </c>
      <c r="O61">
        <v>3</v>
      </c>
      <c r="P61" t="s">
        <v>26</v>
      </c>
    </row>
    <row r="62" spans="1:16" x14ac:dyDescent="0.25">
      <c r="A62" t="s">
        <v>254</v>
      </c>
      <c r="B62" t="s">
        <v>255</v>
      </c>
      <c r="C62" t="s">
        <v>29</v>
      </c>
      <c r="D62" t="s">
        <v>30</v>
      </c>
      <c r="E62" t="s">
        <v>20</v>
      </c>
      <c r="F62" t="s">
        <v>39</v>
      </c>
      <c r="G62" t="s">
        <v>22</v>
      </c>
      <c r="H62" t="s">
        <v>46</v>
      </c>
      <c r="I62" t="s">
        <v>57</v>
      </c>
      <c r="J62" t="s">
        <v>256</v>
      </c>
      <c r="K62" t="s">
        <v>257</v>
      </c>
      <c r="L62">
        <v>4.3</v>
      </c>
      <c r="M62">
        <v>141000</v>
      </c>
      <c r="N62">
        <v>2.7</v>
      </c>
      <c r="O62">
        <v>2</v>
      </c>
      <c r="P62" t="s">
        <v>53</v>
      </c>
    </row>
    <row r="63" spans="1:16" x14ac:dyDescent="0.25">
      <c r="A63" t="s">
        <v>258</v>
      </c>
      <c r="B63" t="s">
        <v>259</v>
      </c>
      <c r="C63" t="s">
        <v>29</v>
      </c>
      <c r="D63" t="s">
        <v>50</v>
      </c>
      <c r="E63" t="s">
        <v>20</v>
      </c>
      <c r="F63" t="s">
        <v>32</v>
      </c>
      <c r="G63" t="s">
        <v>80</v>
      </c>
      <c r="H63" t="s">
        <v>46</v>
      </c>
      <c r="I63" t="s">
        <v>35</v>
      </c>
      <c r="J63" t="s">
        <v>202</v>
      </c>
      <c r="L63">
        <v>1.6</v>
      </c>
      <c r="M63">
        <v>240000</v>
      </c>
      <c r="N63">
        <v>4.0999999999999996</v>
      </c>
      <c r="O63">
        <v>12</v>
      </c>
      <c r="P63" t="s">
        <v>26</v>
      </c>
    </row>
    <row r="64" spans="1:16" x14ac:dyDescent="0.25">
      <c r="A64" t="s">
        <v>260</v>
      </c>
      <c r="B64" t="s">
        <v>261</v>
      </c>
      <c r="C64" t="s">
        <v>29</v>
      </c>
      <c r="D64" t="s">
        <v>50</v>
      </c>
      <c r="E64" t="s">
        <v>20</v>
      </c>
      <c r="F64" t="s">
        <v>128</v>
      </c>
      <c r="G64" t="s">
        <v>22</v>
      </c>
      <c r="H64" t="s">
        <v>23</v>
      </c>
      <c r="I64" t="s">
        <v>171</v>
      </c>
      <c r="J64" t="s">
        <v>262</v>
      </c>
      <c r="K64" t="s">
        <v>263</v>
      </c>
      <c r="L64">
        <v>6.2</v>
      </c>
      <c r="N64">
        <v>2.4</v>
      </c>
      <c r="O64">
        <v>12</v>
      </c>
      <c r="P64" t="s">
        <v>53</v>
      </c>
    </row>
    <row r="65" spans="1:16" x14ac:dyDescent="0.25">
      <c r="A65" t="s">
        <v>264</v>
      </c>
      <c r="B65" t="s">
        <v>265</v>
      </c>
      <c r="C65" t="s">
        <v>18</v>
      </c>
      <c r="D65" t="s">
        <v>43</v>
      </c>
      <c r="E65" t="s">
        <v>20</v>
      </c>
      <c r="F65" t="s">
        <v>39</v>
      </c>
      <c r="G65" t="s">
        <v>22</v>
      </c>
      <c r="H65" t="s">
        <v>23</v>
      </c>
      <c r="I65" t="s">
        <v>57</v>
      </c>
      <c r="J65" t="s">
        <v>266</v>
      </c>
      <c r="L65">
        <v>3.9</v>
      </c>
      <c r="M65">
        <v>118000</v>
      </c>
      <c r="N65">
        <v>4.0999999999999996</v>
      </c>
      <c r="O65">
        <v>8</v>
      </c>
      <c r="P65" t="s">
        <v>26</v>
      </c>
    </row>
    <row r="66" spans="1:16" x14ac:dyDescent="0.25">
      <c r="A66" t="s">
        <v>267</v>
      </c>
      <c r="B66" t="s">
        <v>268</v>
      </c>
      <c r="C66" t="s">
        <v>18</v>
      </c>
      <c r="D66" t="s">
        <v>50</v>
      </c>
      <c r="F66" t="s">
        <v>39</v>
      </c>
      <c r="G66" t="s">
        <v>22</v>
      </c>
      <c r="I66" t="s">
        <v>24</v>
      </c>
      <c r="J66" t="s">
        <v>269</v>
      </c>
      <c r="L66">
        <v>2.8</v>
      </c>
      <c r="M66">
        <v>167000</v>
      </c>
      <c r="N66">
        <v>3.6</v>
      </c>
      <c r="O66">
        <v>4</v>
      </c>
      <c r="P66" t="s">
        <v>26</v>
      </c>
    </row>
    <row r="67" spans="1:16" x14ac:dyDescent="0.25">
      <c r="A67" t="s">
        <v>270</v>
      </c>
      <c r="B67" t="s">
        <v>271</v>
      </c>
      <c r="C67" t="s">
        <v>29</v>
      </c>
      <c r="D67" t="s">
        <v>19</v>
      </c>
      <c r="E67" t="s">
        <v>20</v>
      </c>
      <c r="F67" t="s">
        <v>39</v>
      </c>
      <c r="G67" t="s">
        <v>69</v>
      </c>
      <c r="H67" t="s">
        <v>34</v>
      </c>
      <c r="I67" t="s">
        <v>24</v>
      </c>
      <c r="J67" t="s">
        <v>272</v>
      </c>
      <c r="L67">
        <v>3.8</v>
      </c>
      <c r="M67">
        <v>198000</v>
      </c>
      <c r="N67">
        <v>2.1</v>
      </c>
      <c r="O67">
        <v>1</v>
      </c>
      <c r="P67" t="s">
        <v>26</v>
      </c>
    </row>
    <row r="68" spans="1:16" x14ac:dyDescent="0.25">
      <c r="A68" t="s">
        <v>273</v>
      </c>
      <c r="B68" t="s">
        <v>274</v>
      </c>
      <c r="C68" t="s">
        <v>29</v>
      </c>
      <c r="D68" t="s">
        <v>30</v>
      </c>
      <c r="F68" t="s">
        <v>128</v>
      </c>
      <c r="G68" t="s">
        <v>33</v>
      </c>
      <c r="H68" t="s">
        <v>23</v>
      </c>
      <c r="J68" t="s">
        <v>275</v>
      </c>
      <c r="K68" t="s">
        <v>276</v>
      </c>
      <c r="L68">
        <v>5.8</v>
      </c>
      <c r="M68">
        <v>478000</v>
      </c>
      <c r="N68">
        <v>2.4</v>
      </c>
      <c r="O68">
        <v>23</v>
      </c>
      <c r="P68" t="s">
        <v>53</v>
      </c>
    </row>
    <row r="69" spans="1:16" x14ac:dyDescent="0.25">
      <c r="A69" t="s">
        <v>277</v>
      </c>
      <c r="B69" t="s">
        <v>278</v>
      </c>
      <c r="C69" t="s">
        <v>29</v>
      </c>
      <c r="D69" t="s">
        <v>50</v>
      </c>
      <c r="E69" t="s">
        <v>31</v>
      </c>
      <c r="F69" t="s">
        <v>21</v>
      </c>
      <c r="G69" t="s">
        <v>80</v>
      </c>
      <c r="H69" t="s">
        <v>23</v>
      </c>
      <c r="I69" t="s">
        <v>35</v>
      </c>
      <c r="J69" t="s">
        <v>279</v>
      </c>
      <c r="L69">
        <v>2.9</v>
      </c>
      <c r="M69">
        <v>850000</v>
      </c>
      <c r="N69">
        <v>4.2</v>
      </c>
      <c r="O69">
        <v>14</v>
      </c>
      <c r="P69" t="s">
        <v>26</v>
      </c>
    </row>
    <row r="70" spans="1:16" x14ac:dyDescent="0.25">
      <c r="A70" t="s">
        <v>280</v>
      </c>
      <c r="B70" t="s">
        <v>281</v>
      </c>
      <c r="C70" t="s">
        <v>29</v>
      </c>
      <c r="D70" t="s">
        <v>30</v>
      </c>
      <c r="E70" t="s">
        <v>20</v>
      </c>
      <c r="F70" t="s">
        <v>39</v>
      </c>
      <c r="G70" t="s">
        <v>33</v>
      </c>
      <c r="H70" t="s">
        <v>34</v>
      </c>
      <c r="I70" t="s">
        <v>57</v>
      </c>
      <c r="J70" t="s">
        <v>282</v>
      </c>
      <c r="L70">
        <v>1.8</v>
      </c>
      <c r="M70">
        <v>95000</v>
      </c>
      <c r="N70">
        <v>1.9</v>
      </c>
      <c r="O70">
        <v>0</v>
      </c>
      <c r="P70" t="s">
        <v>26</v>
      </c>
    </row>
    <row r="71" spans="1:16" x14ac:dyDescent="0.25">
      <c r="A71" t="s">
        <v>283</v>
      </c>
      <c r="B71" t="s">
        <v>284</v>
      </c>
      <c r="C71" t="s">
        <v>18</v>
      </c>
      <c r="D71" t="s">
        <v>43</v>
      </c>
      <c r="E71" t="s">
        <v>20</v>
      </c>
      <c r="F71" t="s">
        <v>32</v>
      </c>
      <c r="G71" t="s">
        <v>22</v>
      </c>
      <c r="H71" t="s">
        <v>34</v>
      </c>
      <c r="I71" t="s">
        <v>24</v>
      </c>
      <c r="J71" t="s">
        <v>285</v>
      </c>
      <c r="K71" t="s">
        <v>286</v>
      </c>
      <c r="L71">
        <v>4.5</v>
      </c>
      <c r="M71">
        <v>286000</v>
      </c>
      <c r="N71">
        <v>2.5</v>
      </c>
      <c r="O71">
        <v>14</v>
      </c>
      <c r="P71" t="s">
        <v>114</v>
      </c>
    </row>
    <row r="72" spans="1:16" x14ac:dyDescent="0.25">
      <c r="A72" t="s">
        <v>287</v>
      </c>
      <c r="B72" t="s">
        <v>288</v>
      </c>
      <c r="C72" t="s">
        <v>18</v>
      </c>
      <c r="D72" t="s">
        <v>43</v>
      </c>
      <c r="E72" t="s">
        <v>20</v>
      </c>
      <c r="F72" t="s">
        <v>128</v>
      </c>
      <c r="G72" t="s">
        <v>22</v>
      </c>
      <c r="H72" t="s">
        <v>34</v>
      </c>
      <c r="I72" t="s">
        <v>35</v>
      </c>
      <c r="J72" t="s">
        <v>289</v>
      </c>
      <c r="L72">
        <v>5</v>
      </c>
      <c r="M72">
        <v>479000</v>
      </c>
      <c r="N72">
        <v>4.9000000000000004</v>
      </c>
      <c r="O72">
        <v>21</v>
      </c>
      <c r="P72" t="s">
        <v>26</v>
      </c>
    </row>
    <row r="73" spans="1:16" x14ac:dyDescent="0.25">
      <c r="A73" t="s">
        <v>290</v>
      </c>
      <c r="B73" t="s">
        <v>291</v>
      </c>
      <c r="C73" t="s">
        <v>29</v>
      </c>
      <c r="D73" t="s">
        <v>19</v>
      </c>
      <c r="E73" t="s">
        <v>20</v>
      </c>
      <c r="F73" t="s">
        <v>39</v>
      </c>
      <c r="G73" t="s">
        <v>22</v>
      </c>
      <c r="H73" t="s">
        <v>46</v>
      </c>
      <c r="I73" t="s">
        <v>57</v>
      </c>
      <c r="J73" t="s">
        <v>292</v>
      </c>
      <c r="L73">
        <v>2.7</v>
      </c>
      <c r="M73">
        <v>104000</v>
      </c>
      <c r="N73">
        <v>2.9</v>
      </c>
      <c r="O73">
        <v>3</v>
      </c>
      <c r="P73" t="s">
        <v>26</v>
      </c>
    </row>
    <row r="74" spans="1:16" x14ac:dyDescent="0.25">
      <c r="A74" t="s">
        <v>293</v>
      </c>
      <c r="B74" t="s">
        <v>294</v>
      </c>
      <c r="C74" t="s">
        <v>18</v>
      </c>
      <c r="D74" t="s">
        <v>50</v>
      </c>
      <c r="E74" t="s">
        <v>31</v>
      </c>
      <c r="F74" t="s">
        <v>32</v>
      </c>
      <c r="G74" t="s">
        <v>22</v>
      </c>
      <c r="H74" t="s">
        <v>23</v>
      </c>
      <c r="I74" t="s">
        <v>24</v>
      </c>
      <c r="J74" t="s">
        <v>295</v>
      </c>
      <c r="L74">
        <v>3.3</v>
      </c>
      <c r="M74">
        <v>261000</v>
      </c>
      <c r="N74">
        <v>3.8</v>
      </c>
      <c r="O74">
        <v>5</v>
      </c>
      <c r="P74" t="s">
        <v>26</v>
      </c>
    </row>
    <row r="75" spans="1:16" x14ac:dyDescent="0.25">
      <c r="A75" t="s">
        <v>296</v>
      </c>
      <c r="B75" t="s">
        <v>297</v>
      </c>
      <c r="C75" t="s">
        <v>29</v>
      </c>
      <c r="D75" t="s">
        <v>30</v>
      </c>
      <c r="E75" t="s">
        <v>44</v>
      </c>
      <c r="F75" t="s">
        <v>39</v>
      </c>
      <c r="G75" t="s">
        <v>80</v>
      </c>
      <c r="H75" t="s">
        <v>23</v>
      </c>
      <c r="I75" t="s">
        <v>75</v>
      </c>
      <c r="J75" t="s">
        <v>298</v>
      </c>
      <c r="K75" t="s">
        <v>299</v>
      </c>
      <c r="L75">
        <v>3.3</v>
      </c>
      <c r="M75">
        <v>107000</v>
      </c>
      <c r="N75">
        <v>3.2</v>
      </c>
      <c r="O75">
        <v>8</v>
      </c>
      <c r="P75" t="s">
        <v>53</v>
      </c>
    </row>
    <row r="76" spans="1:16" x14ac:dyDescent="0.25">
      <c r="A76" t="s">
        <v>300</v>
      </c>
      <c r="B76" t="s">
        <v>301</v>
      </c>
      <c r="C76" t="s">
        <v>18</v>
      </c>
      <c r="D76" t="s">
        <v>50</v>
      </c>
      <c r="E76" t="s">
        <v>20</v>
      </c>
      <c r="F76" t="s">
        <v>21</v>
      </c>
      <c r="G76" t="s">
        <v>80</v>
      </c>
      <c r="H76" t="s">
        <v>34</v>
      </c>
      <c r="I76" t="s">
        <v>75</v>
      </c>
      <c r="J76" t="s">
        <v>302</v>
      </c>
      <c r="L76">
        <v>2.9</v>
      </c>
      <c r="M76">
        <v>631000</v>
      </c>
      <c r="N76">
        <v>4.4000000000000004</v>
      </c>
      <c r="O76">
        <v>11</v>
      </c>
      <c r="P76" t="s">
        <v>26</v>
      </c>
    </row>
    <row r="77" spans="1:16" x14ac:dyDescent="0.25">
      <c r="A77" t="s">
        <v>303</v>
      </c>
      <c r="B77" t="s">
        <v>304</v>
      </c>
      <c r="C77" t="s">
        <v>18</v>
      </c>
      <c r="D77" t="s">
        <v>30</v>
      </c>
      <c r="E77" t="s">
        <v>20</v>
      </c>
      <c r="F77" t="s">
        <v>39</v>
      </c>
      <c r="G77" t="s">
        <v>22</v>
      </c>
      <c r="H77" t="s">
        <v>34</v>
      </c>
      <c r="I77" t="s">
        <v>24</v>
      </c>
      <c r="J77" t="s">
        <v>305</v>
      </c>
      <c r="K77" t="s">
        <v>306</v>
      </c>
      <c r="L77">
        <v>2.5</v>
      </c>
      <c r="M77">
        <v>163000</v>
      </c>
      <c r="N77">
        <v>1.8</v>
      </c>
      <c r="O77">
        <v>10</v>
      </c>
      <c r="P77" t="s">
        <v>72</v>
      </c>
    </row>
    <row r="78" spans="1:16" x14ac:dyDescent="0.25">
      <c r="A78" t="s">
        <v>307</v>
      </c>
      <c r="B78" t="s">
        <v>308</v>
      </c>
      <c r="C78" t="s">
        <v>29</v>
      </c>
      <c r="D78" t="s">
        <v>50</v>
      </c>
      <c r="E78" t="s">
        <v>20</v>
      </c>
      <c r="F78" t="s">
        <v>128</v>
      </c>
      <c r="G78" t="s">
        <v>22</v>
      </c>
      <c r="H78" t="s">
        <v>34</v>
      </c>
      <c r="I78" t="s">
        <v>24</v>
      </c>
      <c r="J78" t="s">
        <v>309</v>
      </c>
      <c r="L78">
        <v>5.6</v>
      </c>
      <c r="M78">
        <v>524000</v>
      </c>
      <c r="N78">
        <v>2.2999999999999998</v>
      </c>
      <c r="O78">
        <v>3</v>
      </c>
      <c r="P78" t="s">
        <v>26</v>
      </c>
    </row>
    <row r="79" spans="1:16" x14ac:dyDescent="0.25">
      <c r="A79" t="s">
        <v>310</v>
      </c>
      <c r="B79" t="s">
        <v>311</v>
      </c>
      <c r="C79" t="s">
        <v>29</v>
      </c>
      <c r="D79" t="s">
        <v>30</v>
      </c>
      <c r="E79" t="s">
        <v>44</v>
      </c>
      <c r="F79" t="s">
        <v>128</v>
      </c>
      <c r="G79" t="s">
        <v>33</v>
      </c>
      <c r="I79" t="s">
        <v>57</v>
      </c>
      <c r="J79" t="s">
        <v>312</v>
      </c>
      <c r="K79" t="s">
        <v>313</v>
      </c>
      <c r="L79">
        <v>4.9000000000000004</v>
      </c>
      <c r="M79">
        <v>452000</v>
      </c>
      <c r="O79">
        <v>12</v>
      </c>
      <c r="P79" t="s">
        <v>72</v>
      </c>
    </row>
    <row r="80" spans="1:16" x14ac:dyDescent="0.25">
      <c r="A80" t="s">
        <v>314</v>
      </c>
      <c r="B80" t="s">
        <v>315</v>
      </c>
      <c r="C80" t="s">
        <v>29</v>
      </c>
      <c r="D80" t="s">
        <v>30</v>
      </c>
      <c r="E80" t="s">
        <v>20</v>
      </c>
      <c r="F80" t="s">
        <v>32</v>
      </c>
      <c r="G80" t="s">
        <v>22</v>
      </c>
      <c r="H80" t="s">
        <v>34</v>
      </c>
      <c r="I80" t="s">
        <v>35</v>
      </c>
      <c r="J80" t="s">
        <v>316</v>
      </c>
      <c r="K80" t="s">
        <v>317</v>
      </c>
      <c r="L80">
        <v>2.7</v>
      </c>
      <c r="M80">
        <v>200000</v>
      </c>
      <c r="N80">
        <v>1.6</v>
      </c>
      <c r="O80">
        <v>2</v>
      </c>
      <c r="P80" t="s">
        <v>114</v>
      </c>
    </row>
    <row r="81" spans="1:16" x14ac:dyDescent="0.25">
      <c r="A81" t="s">
        <v>318</v>
      </c>
      <c r="B81" t="s">
        <v>319</v>
      </c>
      <c r="C81" t="s">
        <v>18</v>
      </c>
      <c r="D81" t="s">
        <v>50</v>
      </c>
      <c r="E81" t="s">
        <v>44</v>
      </c>
      <c r="F81" t="s">
        <v>128</v>
      </c>
      <c r="G81" t="s">
        <v>22</v>
      </c>
      <c r="I81" t="s">
        <v>35</v>
      </c>
      <c r="J81" t="s">
        <v>320</v>
      </c>
      <c r="K81" t="s">
        <v>321</v>
      </c>
      <c r="L81">
        <v>5.8</v>
      </c>
      <c r="M81">
        <v>473000</v>
      </c>
      <c r="N81">
        <v>5</v>
      </c>
      <c r="O81">
        <v>2</v>
      </c>
      <c r="P81" t="s">
        <v>72</v>
      </c>
    </row>
    <row r="82" spans="1:16" x14ac:dyDescent="0.25">
      <c r="A82" t="s">
        <v>322</v>
      </c>
      <c r="B82" t="s">
        <v>323</v>
      </c>
      <c r="C82" t="s">
        <v>18</v>
      </c>
      <c r="D82" t="s">
        <v>30</v>
      </c>
      <c r="E82" t="s">
        <v>31</v>
      </c>
      <c r="F82" t="s">
        <v>128</v>
      </c>
      <c r="G82" t="s">
        <v>22</v>
      </c>
      <c r="H82" t="s">
        <v>62</v>
      </c>
      <c r="I82" t="s">
        <v>24</v>
      </c>
      <c r="J82" t="s">
        <v>324</v>
      </c>
      <c r="L82">
        <v>1.5</v>
      </c>
      <c r="M82">
        <v>470000</v>
      </c>
      <c r="N82">
        <v>2.8</v>
      </c>
      <c r="O82">
        <v>2</v>
      </c>
      <c r="P82" t="s">
        <v>26</v>
      </c>
    </row>
    <row r="83" spans="1:16" x14ac:dyDescent="0.25">
      <c r="A83" t="s">
        <v>325</v>
      </c>
      <c r="B83" t="s">
        <v>326</v>
      </c>
      <c r="C83" t="s">
        <v>29</v>
      </c>
      <c r="D83" t="s">
        <v>50</v>
      </c>
      <c r="E83" t="s">
        <v>31</v>
      </c>
      <c r="F83" t="s">
        <v>32</v>
      </c>
      <c r="G83" t="s">
        <v>22</v>
      </c>
      <c r="I83" t="s">
        <v>24</v>
      </c>
      <c r="J83" t="s">
        <v>327</v>
      </c>
      <c r="K83" t="s">
        <v>328</v>
      </c>
      <c r="L83">
        <v>3.8</v>
      </c>
      <c r="M83">
        <v>245000</v>
      </c>
      <c r="N83">
        <v>2.1</v>
      </c>
      <c r="O83">
        <v>8</v>
      </c>
      <c r="P83" t="s">
        <v>53</v>
      </c>
    </row>
    <row r="84" spans="1:16" x14ac:dyDescent="0.25">
      <c r="A84" t="s">
        <v>329</v>
      </c>
      <c r="B84" t="s">
        <v>330</v>
      </c>
      <c r="C84" t="s">
        <v>18</v>
      </c>
      <c r="D84" t="s">
        <v>79</v>
      </c>
      <c r="E84" t="s">
        <v>31</v>
      </c>
      <c r="F84" t="s">
        <v>128</v>
      </c>
      <c r="G84" t="s">
        <v>22</v>
      </c>
      <c r="H84" t="s">
        <v>34</v>
      </c>
      <c r="I84" t="s">
        <v>57</v>
      </c>
      <c r="J84" t="s">
        <v>331</v>
      </c>
      <c r="L84">
        <v>5.2</v>
      </c>
      <c r="M84">
        <v>350000</v>
      </c>
      <c r="N84">
        <v>4.9000000000000004</v>
      </c>
      <c r="O84">
        <v>11</v>
      </c>
      <c r="P84" t="s">
        <v>26</v>
      </c>
    </row>
    <row r="85" spans="1:16" x14ac:dyDescent="0.25">
      <c r="A85" t="s">
        <v>332</v>
      </c>
      <c r="B85" t="s">
        <v>333</v>
      </c>
      <c r="C85" t="s">
        <v>18</v>
      </c>
      <c r="D85" t="s">
        <v>50</v>
      </c>
      <c r="E85" t="s">
        <v>31</v>
      </c>
      <c r="F85" t="s">
        <v>21</v>
      </c>
      <c r="G85" t="s">
        <v>33</v>
      </c>
      <c r="H85" t="s">
        <v>23</v>
      </c>
      <c r="I85" t="s">
        <v>57</v>
      </c>
      <c r="J85" t="s">
        <v>334</v>
      </c>
      <c r="K85" t="s">
        <v>335</v>
      </c>
      <c r="L85">
        <v>5.7</v>
      </c>
      <c r="M85">
        <v>828000</v>
      </c>
      <c r="N85">
        <v>3.8</v>
      </c>
      <c r="O85">
        <v>5</v>
      </c>
      <c r="P85" t="s">
        <v>53</v>
      </c>
    </row>
    <row r="86" spans="1:16" x14ac:dyDescent="0.25">
      <c r="A86" t="s">
        <v>336</v>
      </c>
      <c r="B86" t="s">
        <v>337</v>
      </c>
      <c r="C86" t="s">
        <v>29</v>
      </c>
      <c r="D86" t="s">
        <v>30</v>
      </c>
      <c r="E86" t="s">
        <v>44</v>
      </c>
      <c r="F86" t="s">
        <v>128</v>
      </c>
      <c r="G86" t="s">
        <v>22</v>
      </c>
      <c r="H86" t="s">
        <v>46</v>
      </c>
      <c r="I86" t="s">
        <v>24</v>
      </c>
      <c r="J86" t="s">
        <v>338</v>
      </c>
      <c r="K86" t="s">
        <v>339</v>
      </c>
      <c r="L86">
        <v>4.3</v>
      </c>
      <c r="M86">
        <v>568000</v>
      </c>
      <c r="N86">
        <v>2.9</v>
      </c>
      <c r="O86">
        <v>2</v>
      </c>
      <c r="P86" t="s">
        <v>72</v>
      </c>
    </row>
    <row r="87" spans="1:16" x14ac:dyDescent="0.25">
      <c r="A87" t="s">
        <v>340</v>
      </c>
      <c r="B87" t="s">
        <v>341</v>
      </c>
      <c r="C87" t="s">
        <v>18</v>
      </c>
      <c r="D87" t="s">
        <v>50</v>
      </c>
      <c r="E87" t="s">
        <v>20</v>
      </c>
      <c r="F87" t="s">
        <v>32</v>
      </c>
      <c r="G87" t="s">
        <v>22</v>
      </c>
      <c r="H87" t="s">
        <v>34</v>
      </c>
      <c r="I87" t="s">
        <v>24</v>
      </c>
      <c r="J87" t="s">
        <v>342</v>
      </c>
      <c r="L87">
        <v>3.8</v>
      </c>
      <c r="M87">
        <v>187000</v>
      </c>
      <c r="N87">
        <v>4.0999999999999996</v>
      </c>
      <c r="O87">
        <v>29</v>
      </c>
      <c r="P87" t="s">
        <v>26</v>
      </c>
    </row>
    <row r="88" spans="1:16" x14ac:dyDescent="0.25">
      <c r="A88" t="s">
        <v>343</v>
      </c>
      <c r="B88" t="s">
        <v>344</v>
      </c>
      <c r="C88" t="s">
        <v>29</v>
      </c>
      <c r="D88" t="s">
        <v>19</v>
      </c>
      <c r="E88" t="s">
        <v>31</v>
      </c>
      <c r="G88" t="s">
        <v>80</v>
      </c>
      <c r="H88" t="s">
        <v>23</v>
      </c>
      <c r="I88" t="s">
        <v>35</v>
      </c>
      <c r="J88" t="s">
        <v>345</v>
      </c>
      <c r="L88">
        <v>6.2</v>
      </c>
      <c r="M88">
        <v>150000</v>
      </c>
      <c r="N88">
        <v>2.2999999999999998</v>
      </c>
      <c r="O88">
        <v>12</v>
      </c>
      <c r="P88" t="s">
        <v>26</v>
      </c>
    </row>
    <row r="89" spans="1:16" x14ac:dyDescent="0.25">
      <c r="A89" t="s">
        <v>346</v>
      </c>
      <c r="B89" t="s">
        <v>347</v>
      </c>
      <c r="C89" t="s">
        <v>18</v>
      </c>
      <c r="D89" t="s">
        <v>79</v>
      </c>
      <c r="E89" t="s">
        <v>20</v>
      </c>
      <c r="F89" t="s">
        <v>128</v>
      </c>
      <c r="G89" t="s">
        <v>80</v>
      </c>
      <c r="H89" t="s">
        <v>62</v>
      </c>
      <c r="I89" t="s">
        <v>171</v>
      </c>
      <c r="J89" t="s">
        <v>348</v>
      </c>
      <c r="L89">
        <v>4.9000000000000004</v>
      </c>
      <c r="M89">
        <v>540000</v>
      </c>
      <c r="N89">
        <v>3.9</v>
      </c>
      <c r="O89">
        <v>7</v>
      </c>
      <c r="P89" t="s">
        <v>26</v>
      </c>
    </row>
    <row r="90" spans="1:16" x14ac:dyDescent="0.25">
      <c r="A90" t="s">
        <v>349</v>
      </c>
      <c r="B90" t="s">
        <v>350</v>
      </c>
      <c r="C90" t="s">
        <v>29</v>
      </c>
      <c r="D90" t="s">
        <v>30</v>
      </c>
      <c r="E90" t="s">
        <v>20</v>
      </c>
      <c r="F90" t="s">
        <v>32</v>
      </c>
      <c r="G90" t="s">
        <v>22</v>
      </c>
      <c r="H90" t="s">
        <v>46</v>
      </c>
      <c r="I90" t="s">
        <v>75</v>
      </c>
      <c r="J90" t="s">
        <v>351</v>
      </c>
      <c r="L90">
        <v>5.4</v>
      </c>
      <c r="M90">
        <v>310000</v>
      </c>
      <c r="N90">
        <v>3.2</v>
      </c>
      <c r="O90">
        <v>4</v>
      </c>
      <c r="P90" t="s">
        <v>26</v>
      </c>
    </row>
    <row r="91" spans="1:16" x14ac:dyDescent="0.25">
      <c r="A91" t="s">
        <v>352</v>
      </c>
      <c r="B91" t="s">
        <v>353</v>
      </c>
      <c r="C91" t="s">
        <v>29</v>
      </c>
      <c r="D91" t="s">
        <v>79</v>
      </c>
      <c r="E91" t="s">
        <v>31</v>
      </c>
      <c r="F91" t="s">
        <v>128</v>
      </c>
      <c r="G91" t="s">
        <v>33</v>
      </c>
      <c r="I91" t="s">
        <v>24</v>
      </c>
      <c r="J91" t="s">
        <v>354</v>
      </c>
      <c r="L91">
        <v>1.4</v>
      </c>
      <c r="M91">
        <v>593000</v>
      </c>
      <c r="N91">
        <v>3.7</v>
      </c>
      <c r="O91">
        <v>7</v>
      </c>
      <c r="P91" t="s">
        <v>26</v>
      </c>
    </row>
    <row r="92" spans="1:16" x14ac:dyDescent="0.25">
      <c r="A92" t="s">
        <v>355</v>
      </c>
      <c r="B92" t="s">
        <v>356</v>
      </c>
      <c r="C92" t="s">
        <v>18</v>
      </c>
      <c r="D92" t="s">
        <v>43</v>
      </c>
      <c r="E92" t="s">
        <v>20</v>
      </c>
      <c r="F92" t="s">
        <v>39</v>
      </c>
      <c r="G92" t="s">
        <v>69</v>
      </c>
      <c r="H92" t="s">
        <v>46</v>
      </c>
      <c r="I92" t="s">
        <v>35</v>
      </c>
      <c r="J92" t="s">
        <v>357</v>
      </c>
      <c r="L92">
        <v>6</v>
      </c>
      <c r="M92">
        <v>138000</v>
      </c>
      <c r="N92">
        <v>3.8</v>
      </c>
      <c r="O92">
        <v>8</v>
      </c>
      <c r="P92" t="s">
        <v>26</v>
      </c>
    </row>
    <row r="93" spans="1:16" x14ac:dyDescent="0.25">
      <c r="A93" t="s">
        <v>358</v>
      </c>
      <c r="B93" t="s">
        <v>359</v>
      </c>
      <c r="C93" t="s">
        <v>18</v>
      </c>
      <c r="D93" t="s">
        <v>50</v>
      </c>
      <c r="E93" t="s">
        <v>20</v>
      </c>
      <c r="F93" t="s">
        <v>128</v>
      </c>
      <c r="G93" t="s">
        <v>69</v>
      </c>
      <c r="H93" t="s">
        <v>23</v>
      </c>
      <c r="I93" t="s">
        <v>57</v>
      </c>
      <c r="J93" t="s">
        <v>360</v>
      </c>
      <c r="L93">
        <v>1.5</v>
      </c>
      <c r="M93">
        <v>375000</v>
      </c>
      <c r="N93">
        <v>2.2999999999999998</v>
      </c>
      <c r="O93">
        <v>17</v>
      </c>
      <c r="P93" t="s">
        <v>26</v>
      </c>
    </row>
    <row r="94" spans="1:16" x14ac:dyDescent="0.25">
      <c r="A94" t="s">
        <v>361</v>
      </c>
      <c r="B94" t="s">
        <v>362</v>
      </c>
      <c r="C94" t="s">
        <v>18</v>
      </c>
      <c r="D94" t="s">
        <v>19</v>
      </c>
      <c r="E94" t="s">
        <v>31</v>
      </c>
      <c r="F94" t="s">
        <v>39</v>
      </c>
      <c r="G94" t="s">
        <v>33</v>
      </c>
      <c r="H94" t="s">
        <v>34</v>
      </c>
      <c r="I94" t="s">
        <v>24</v>
      </c>
      <c r="J94" t="s">
        <v>363</v>
      </c>
      <c r="L94">
        <v>3.3</v>
      </c>
      <c r="M94">
        <v>163000</v>
      </c>
      <c r="N94">
        <v>2</v>
      </c>
      <c r="O94">
        <v>1</v>
      </c>
      <c r="P94" t="s">
        <v>26</v>
      </c>
    </row>
    <row r="95" spans="1:16" x14ac:dyDescent="0.25">
      <c r="A95" t="s">
        <v>364</v>
      </c>
      <c r="B95" t="s">
        <v>365</v>
      </c>
      <c r="C95" t="s">
        <v>18</v>
      </c>
      <c r="D95" t="s">
        <v>50</v>
      </c>
      <c r="E95" t="s">
        <v>20</v>
      </c>
      <c r="F95" t="s">
        <v>39</v>
      </c>
      <c r="G95" t="s">
        <v>22</v>
      </c>
      <c r="H95" t="s">
        <v>62</v>
      </c>
      <c r="I95" t="s">
        <v>171</v>
      </c>
      <c r="J95" t="s">
        <v>366</v>
      </c>
      <c r="L95">
        <v>2.2999999999999998</v>
      </c>
      <c r="M95">
        <v>100000</v>
      </c>
      <c r="N95">
        <v>2.2000000000000002</v>
      </c>
      <c r="O95">
        <v>18</v>
      </c>
      <c r="P95" t="s">
        <v>26</v>
      </c>
    </row>
    <row r="96" spans="1:16" x14ac:dyDescent="0.25">
      <c r="A96" t="s">
        <v>367</v>
      </c>
      <c r="B96" t="s">
        <v>368</v>
      </c>
      <c r="C96" t="s">
        <v>29</v>
      </c>
      <c r="D96" t="s">
        <v>30</v>
      </c>
      <c r="E96" t="s">
        <v>20</v>
      </c>
      <c r="F96" t="s">
        <v>39</v>
      </c>
      <c r="G96" t="s">
        <v>22</v>
      </c>
      <c r="H96" t="s">
        <v>34</v>
      </c>
      <c r="I96" t="s">
        <v>24</v>
      </c>
      <c r="J96" t="s">
        <v>369</v>
      </c>
      <c r="L96">
        <v>5.8</v>
      </c>
      <c r="M96">
        <v>179000</v>
      </c>
      <c r="N96">
        <v>1.6</v>
      </c>
      <c r="O96">
        <v>13</v>
      </c>
      <c r="P96" t="s">
        <v>26</v>
      </c>
    </row>
    <row r="97" spans="1:16" x14ac:dyDescent="0.25">
      <c r="A97" t="s">
        <v>370</v>
      </c>
      <c r="B97" t="s">
        <v>371</v>
      </c>
      <c r="C97" t="s">
        <v>18</v>
      </c>
      <c r="D97" t="s">
        <v>43</v>
      </c>
      <c r="E97" t="s">
        <v>20</v>
      </c>
      <c r="F97" t="s">
        <v>32</v>
      </c>
      <c r="G97" t="s">
        <v>22</v>
      </c>
      <c r="H97" t="s">
        <v>62</v>
      </c>
      <c r="I97" t="s">
        <v>57</v>
      </c>
      <c r="J97" t="s">
        <v>372</v>
      </c>
      <c r="L97">
        <v>3.7</v>
      </c>
      <c r="M97">
        <v>301000</v>
      </c>
      <c r="N97">
        <v>2.2999999999999998</v>
      </c>
      <c r="O97">
        <v>6</v>
      </c>
      <c r="P97" t="s">
        <v>26</v>
      </c>
    </row>
    <row r="98" spans="1:16" x14ac:dyDescent="0.25">
      <c r="A98" t="s">
        <v>373</v>
      </c>
      <c r="B98" t="s">
        <v>374</v>
      </c>
      <c r="C98" t="s">
        <v>29</v>
      </c>
      <c r="D98" t="s">
        <v>79</v>
      </c>
      <c r="E98" t="s">
        <v>20</v>
      </c>
      <c r="F98" t="s">
        <v>32</v>
      </c>
      <c r="G98" t="s">
        <v>33</v>
      </c>
      <c r="I98" t="s">
        <v>24</v>
      </c>
      <c r="J98" t="s">
        <v>375</v>
      </c>
      <c r="L98">
        <v>3</v>
      </c>
      <c r="M98">
        <v>249000</v>
      </c>
      <c r="N98">
        <v>4.4000000000000004</v>
      </c>
      <c r="O98">
        <v>13</v>
      </c>
      <c r="P98" t="s">
        <v>26</v>
      </c>
    </row>
    <row r="99" spans="1:16" x14ac:dyDescent="0.25">
      <c r="A99" t="s">
        <v>376</v>
      </c>
      <c r="B99" t="s">
        <v>377</v>
      </c>
      <c r="D99" t="s">
        <v>30</v>
      </c>
      <c r="E99" t="s">
        <v>20</v>
      </c>
      <c r="F99" t="s">
        <v>39</v>
      </c>
      <c r="G99" t="s">
        <v>22</v>
      </c>
      <c r="H99" t="s">
        <v>23</v>
      </c>
      <c r="I99" t="s">
        <v>24</v>
      </c>
      <c r="J99" t="s">
        <v>378</v>
      </c>
      <c r="K99" t="s">
        <v>178</v>
      </c>
      <c r="L99">
        <v>5.6</v>
      </c>
      <c r="M99">
        <v>128000</v>
      </c>
      <c r="N99">
        <v>3.2</v>
      </c>
      <c r="O99">
        <v>14</v>
      </c>
      <c r="P99" t="s">
        <v>53</v>
      </c>
    </row>
    <row r="100" spans="1:16" x14ac:dyDescent="0.25">
      <c r="A100" t="s">
        <v>379</v>
      </c>
      <c r="B100" t="s">
        <v>380</v>
      </c>
      <c r="C100" t="s">
        <v>29</v>
      </c>
      <c r="D100" t="s">
        <v>30</v>
      </c>
      <c r="F100" t="s">
        <v>39</v>
      </c>
      <c r="G100" t="s">
        <v>22</v>
      </c>
      <c r="H100" t="s">
        <v>23</v>
      </c>
      <c r="I100" t="s">
        <v>57</v>
      </c>
      <c r="J100" t="s">
        <v>381</v>
      </c>
      <c r="K100" t="s">
        <v>382</v>
      </c>
      <c r="L100">
        <v>1.4</v>
      </c>
      <c r="M100">
        <v>171000</v>
      </c>
      <c r="N100">
        <v>2.2000000000000002</v>
      </c>
      <c r="O100">
        <v>4</v>
      </c>
      <c r="P100" t="s">
        <v>53</v>
      </c>
    </row>
    <row r="101" spans="1:16" x14ac:dyDescent="0.25">
      <c r="A101" t="s">
        <v>383</v>
      </c>
      <c r="B101" t="s">
        <v>384</v>
      </c>
      <c r="C101" t="s">
        <v>18</v>
      </c>
      <c r="D101" t="s">
        <v>19</v>
      </c>
      <c r="E101" t="s">
        <v>20</v>
      </c>
      <c r="F101" t="s">
        <v>128</v>
      </c>
      <c r="G101" t="s">
        <v>33</v>
      </c>
      <c r="H101" t="s">
        <v>62</v>
      </c>
      <c r="I101" t="s">
        <v>24</v>
      </c>
      <c r="J101" t="s">
        <v>385</v>
      </c>
      <c r="L101">
        <v>2.8</v>
      </c>
      <c r="M101">
        <v>603000</v>
      </c>
      <c r="N101">
        <v>2.5</v>
      </c>
      <c r="O101">
        <v>17</v>
      </c>
      <c r="P101" t="s">
        <v>26</v>
      </c>
    </row>
    <row r="102" spans="1:16" x14ac:dyDescent="0.25">
      <c r="A102" t="s">
        <v>386</v>
      </c>
      <c r="B102" t="s">
        <v>234</v>
      </c>
      <c r="C102" t="s">
        <v>29</v>
      </c>
      <c r="D102" t="s">
        <v>19</v>
      </c>
      <c r="E102" t="s">
        <v>44</v>
      </c>
      <c r="F102" t="s">
        <v>39</v>
      </c>
      <c r="G102" t="s">
        <v>22</v>
      </c>
      <c r="H102" t="s">
        <v>46</v>
      </c>
      <c r="I102" t="s">
        <v>171</v>
      </c>
      <c r="J102" t="s">
        <v>387</v>
      </c>
      <c r="L102">
        <v>4.8</v>
      </c>
      <c r="M102">
        <v>113000</v>
      </c>
      <c r="N102">
        <v>4.5</v>
      </c>
      <c r="O102">
        <v>13</v>
      </c>
      <c r="P102" t="s">
        <v>26</v>
      </c>
    </row>
    <row r="103" spans="1:16" x14ac:dyDescent="0.25">
      <c r="A103" t="s">
        <v>388</v>
      </c>
      <c r="B103" t="s">
        <v>389</v>
      </c>
      <c r="C103" t="s">
        <v>18</v>
      </c>
      <c r="D103" t="s">
        <v>19</v>
      </c>
      <c r="E103" t="s">
        <v>31</v>
      </c>
      <c r="F103" t="s">
        <v>128</v>
      </c>
      <c r="G103" t="s">
        <v>22</v>
      </c>
      <c r="H103" t="s">
        <v>23</v>
      </c>
      <c r="I103" t="s">
        <v>24</v>
      </c>
      <c r="J103" t="s">
        <v>390</v>
      </c>
      <c r="K103" t="s">
        <v>391</v>
      </c>
      <c r="L103">
        <v>3.1</v>
      </c>
      <c r="M103">
        <v>489000</v>
      </c>
      <c r="N103">
        <v>3.4</v>
      </c>
      <c r="O103">
        <v>13</v>
      </c>
      <c r="P103" t="s">
        <v>114</v>
      </c>
    </row>
    <row r="104" spans="1:16" x14ac:dyDescent="0.25">
      <c r="A104" t="s">
        <v>392</v>
      </c>
      <c r="B104" t="s">
        <v>393</v>
      </c>
      <c r="C104" t="s">
        <v>18</v>
      </c>
      <c r="D104" t="s">
        <v>50</v>
      </c>
      <c r="E104" t="s">
        <v>20</v>
      </c>
      <c r="G104" t="s">
        <v>33</v>
      </c>
      <c r="I104" t="s">
        <v>35</v>
      </c>
      <c r="J104" t="s">
        <v>394</v>
      </c>
      <c r="L104">
        <v>6.1</v>
      </c>
      <c r="M104">
        <v>537000</v>
      </c>
      <c r="N104">
        <v>2.2000000000000002</v>
      </c>
      <c r="P104" t="s">
        <v>26</v>
      </c>
    </row>
    <row r="105" spans="1:16" x14ac:dyDescent="0.25">
      <c r="A105" t="s">
        <v>395</v>
      </c>
      <c r="B105" t="s">
        <v>396</v>
      </c>
      <c r="C105" t="s">
        <v>29</v>
      </c>
      <c r="D105" t="s">
        <v>30</v>
      </c>
      <c r="E105" t="s">
        <v>31</v>
      </c>
      <c r="F105" t="s">
        <v>32</v>
      </c>
      <c r="G105" t="s">
        <v>22</v>
      </c>
      <c r="H105" t="s">
        <v>23</v>
      </c>
      <c r="I105" t="s">
        <v>35</v>
      </c>
      <c r="J105" t="s">
        <v>397</v>
      </c>
      <c r="L105">
        <v>4.0999999999999996</v>
      </c>
      <c r="M105">
        <v>273000</v>
      </c>
      <c r="N105">
        <v>4.9000000000000004</v>
      </c>
      <c r="O105">
        <v>9</v>
      </c>
      <c r="P105" t="s">
        <v>26</v>
      </c>
    </row>
    <row r="106" spans="1:16" x14ac:dyDescent="0.25">
      <c r="A106" t="s">
        <v>398</v>
      </c>
      <c r="B106" t="s">
        <v>399</v>
      </c>
      <c r="C106" t="s">
        <v>18</v>
      </c>
      <c r="D106" t="s">
        <v>79</v>
      </c>
      <c r="E106" t="s">
        <v>31</v>
      </c>
      <c r="F106" t="s">
        <v>32</v>
      </c>
      <c r="G106" t="s">
        <v>80</v>
      </c>
      <c r="H106" t="s">
        <v>34</v>
      </c>
      <c r="I106" t="s">
        <v>57</v>
      </c>
      <c r="J106" t="s">
        <v>400</v>
      </c>
      <c r="K106" t="s">
        <v>401</v>
      </c>
      <c r="L106">
        <v>4.3</v>
      </c>
      <c r="M106">
        <v>235000</v>
      </c>
      <c r="N106">
        <v>3.1</v>
      </c>
      <c r="O106">
        <v>10</v>
      </c>
      <c r="P106" t="s">
        <v>72</v>
      </c>
    </row>
    <row r="107" spans="1:16" x14ac:dyDescent="0.25">
      <c r="A107" t="s">
        <v>402</v>
      </c>
      <c r="B107" t="s">
        <v>403</v>
      </c>
      <c r="C107" t="s">
        <v>29</v>
      </c>
      <c r="D107" t="s">
        <v>30</v>
      </c>
      <c r="E107" t="s">
        <v>20</v>
      </c>
      <c r="F107" t="s">
        <v>32</v>
      </c>
      <c r="G107" t="s">
        <v>22</v>
      </c>
      <c r="H107" t="s">
        <v>62</v>
      </c>
      <c r="I107" t="s">
        <v>57</v>
      </c>
      <c r="J107" t="s">
        <v>404</v>
      </c>
      <c r="K107" t="s">
        <v>405</v>
      </c>
      <c r="L107">
        <v>5.3</v>
      </c>
      <c r="M107">
        <v>281000</v>
      </c>
      <c r="N107">
        <v>4.5</v>
      </c>
      <c r="O107">
        <v>5</v>
      </c>
      <c r="P107" t="s">
        <v>72</v>
      </c>
    </row>
    <row r="108" spans="1:16" x14ac:dyDescent="0.25">
      <c r="A108" t="s">
        <v>406</v>
      </c>
      <c r="B108" t="s">
        <v>407</v>
      </c>
      <c r="C108" t="s">
        <v>29</v>
      </c>
      <c r="D108" t="s">
        <v>30</v>
      </c>
      <c r="E108" t="s">
        <v>20</v>
      </c>
      <c r="F108" t="s">
        <v>128</v>
      </c>
      <c r="G108" t="s">
        <v>80</v>
      </c>
      <c r="H108" t="s">
        <v>23</v>
      </c>
      <c r="I108" t="s">
        <v>24</v>
      </c>
      <c r="J108" t="s">
        <v>408</v>
      </c>
      <c r="L108">
        <v>4</v>
      </c>
      <c r="M108">
        <v>366000</v>
      </c>
      <c r="N108">
        <v>2.4</v>
      </c>
      <c r="O108">
        <v>3</v>
      </c>
      <c r="P108" t="s">
        <v>26</v>
      </c>
    </row>
    <row r="109" spans="1:16" x14ac:dyDescent="0.25">
      <c r="A109" t="s">
        <v>409</v>
      </c>
      <c r="B109" t="s">
        <v>410</v>
      </c>
      <c r="C109" t="s">
        <v>29</v>
      </c>
      <c r="E109" t="s">
        <v>20</v>
      </c>
      <c r="F109" t="s">
        <v>128</v>
      </c>
      <c r="G109" t="s">
        <v>33</v>
      </c>
      <c r="H109" t="s">
        <v>46</v>
      </c>
      <c r="I109" t="s">
        <v>171</v>
      </c>
      <c r="J109" t="s">
        <v>411</v>
      </c>
      <c r="K109" t="s">
        <v>412</v>
      </c>
      <c r="L109">
        <v>3.1</v>
      </c>
      <c r="M109">
        <v>564000</v>
      </c>
      <c r="N109">
        <v>3.7</v>
      </c>
      <c r="O109">
        <v>10</v>
      </c>
      <c r="P109" t="s">
        <v>53</v>
      </c>
    </row>
    <row r="110" spans="1:16" x14ac:dyDescent="0.25">
      <c r="A110" t="s">
        <v>413</v>
      </c>
      <c r="B110" t="s">
        <v>414</v>
      </c>
      <c r="C110" t="s">
        <v>29</v>
      </c>
      <c r="D110" t="s">
        <v>30</v>
      </c>
      <c r="E110" t="s">
        <v>20</v>
      </c>
      <c r="F110" t="s">
        <v>32</v>
      </c>
      <c r="G110" t="s">
        <v>80</v>
      </c>
      <c r="H110" t="s">
        <v>34</v>
      </c>
      <c r="I110" t="s">
        <v>24</v>
      </c>
      <c r="J110" t="s">
        <v>415</v>
      </c>
      <c r="K110" t="s">
        <v>416</v>
      </c>
      <c r="L110">
        <v>3.7</v>
      </c>
      <c r="M110">
        <v>287000</v>
      </c>
      <c r="N110">
        <v>3.7</v>
      </c>
      <c r="O110">
        <v>6</v>
      </c>
      <c r="P110" t="s">
        <v>53</v>
      </c>
    </row>
    <row r="111" spans="1:16" x14ac:dyDescent="0.25">
      <c r="A111" t="s">
        <v>417</v>
      </c>
      <c r="B111" t="s">
        <v>418</v>
      </c>
      <c r="C111" t="s">
        <v>18</v>
      </c>
      <c r="D111" t="s">
        <v>30</v>
      </c>
      <c r="E111" t="s">
        <v>44</v>
      </c>
      <c r="F111" t="s">
        <v>45</v>
      </c>
      <c r="G111" t="s">
        <v>80</v>
      </c>
      <c r="H111" t="s">
        <v>23</v>
      </c>
      <c r="I111" t="s">
        <v>24</v>
      </c>
      <c r="J111" t="s">
        <v>419</v>
      </c>
      <c r="L111">
        <v>6.2</v>
      </c>
      <c r="M111">
        <v>1234000</v>
      </c>
      <c r="N111">
        <v>4.7</v>
      </c>
      <c r="O111">
        <v>10</v>
      </c>
      <c r="P111" t="s">
        <v>26</v>
      </c>
    </row>
    <row r="112" spans="1:16" x14ac:dyDescent="0.25">
      <c r="A112" t="s">
        <v>420</v>
      </c>
      <c r="B112" t="s">
        <v>421</v>
      </c>
      <c r="D112" t="s">
        <v>50</v>
      </c>
      <c r="E112" t="s">
        <v>44</v>
      </c>
      <c r="F112" t="s">
        <v>32</v>
      </c>
      <c r="G112" t="s">
        <v>80</v>
      </c>
      <c r="I112" t="s">
        <v>57</v>
      </c>
      <c r="J112" t="s">
        <v>422</v>
      </c>
      <c r="L112">
        <v>3.5</v>
      </c>
      <c r="M112">
        <v>266000</v>
      </c>
      <c r="N112">
        <v>2.2999999999999998</v>
      </c>
      <c r="P112" t="s">
        <v>26</v>
      </c>
    </row>
    <row r="113" spans="1:16" x14ac:dyDescent="0.25">
      <c r="A113" t="s">
        <v>423</v>
      </c>
      <c r="B113" t="s">
        <v>424</v>
      </c>
      <c r="C113" t="s">
        <v>29</v>
      </c>
      <c r="D113" t="s">
        <v>50</v>
      </c>
      <c r="E113" t="s">
        <v>20</v>
      </c>
      <c r="F113" t="s">
        <v>128</v>
      </c>
      <c r="G113" t="s">
        <v>22</v>
      </c>
      <c r="H113" t="s">
        <v>46</v>
      </c>
      <c r="I113" t="s">
        <v>57</v>
      </c>
      <c r="J113" t="s">
        <v>425</v>
      </c>
      <c r="L113">
        <v>1.4</v>
      </c>
      <c r="M113">
        <v>559000</v>
      </c>
      <c r="N113">
        <v>3.6</v>
      </c>
      <c r="O113">
        <v>10</v>
      </c>
      <c r="P113" t="s">
        <v>26</v>
      </c>
    </row>
    <row r="114" spans="1:16" x14ac:dyDescent="0.25">
      <c r="A114" t="s">
        <v>426</v>
      </c>
      <c r="B114" t="s">
        <v>427</v>
      </c>
      <c r="C114" t="s">
        <v>29</v>
      </c>
      <c r="D114" t="s">
        <v>43</v>
      </c>
      <c r="E114" t="s">
        <v>20</v>
      </c>
      <c r="F114" t="s">
        <v>128</v>
      </c>
      <c r="G114" t="s">
        <v>33</v>
      </c>
      <c r="H114" t="s">
        <v>62</v>
      </c>
      <c r="I114" t="s">
        <v>171</v>
      </c>
      <c r="J114" t="s">
        <v>428</v>
      </c>
      <c r="K114" t="s">
        <v>429</v>
      </c>
      <c r="L114">
        <v>3.1</v>
      </c>
      <c r="M114">
        <v>358000</v>
      </c>
      <c r="N114">
        <v>4.8</v>
      </c>
      <c r="O114">
        <v>8</v>
      </c>
      <c r="P114" t="s">
        <v>53</v>
      </c>
    </row>
    <row r="115" spans="1:16" x14ac:dyDescent="0.25">
      <c r="A115" t="s">
        <v>430</v>
      </c>
      <c r="B115" t="s">
        <v>431</v>
      </c>
      <c r="C115" t="s">
        <v>29</v>
      </c>
      <c r="D115" t="s">
        <v>19</v>
      </c>
      <c r="E115" t="s">
        <v>20</v>
      </c>
      <c r="F115" t="s">
        <v>39</v>
      </c>
      <c r="G115" t="s">
        <v>80</v>
      </c>
      <c r="H115" t="s">
        <v>34</v>
      </c>
      <c r="I115" t="s">
        <v>35</v>
      </c>
      <c r="J115" t="s">
        <v>432</v>
      </c>
      <c r="L115">
        <v>5.9</v>
      </c>
      <c r="M115">
        <v>118000</v>
      </c>
      <c r="N115">
        <v>3.7</v>
      </c>
      <c r="P115" t="s">
        <v>26</v>
      </c>
    </row>
    <row r="116" spans="1:16" x14ac:dyDescent="0.25">
      <c r="A116" t="s">
        <v>433</v>
      </c>
      <c r="B116" t="s">
        <v>434</v>
      </c>
      <c r="C116" t="s">
        <v>29</v>
      </c>
      <c r="D116" t="s">
        <v>30</v>
      </c>
      <c r="E116" t="s">
        <v>20</v>
      </c>
      <c r="F116" t="s">
        <v>128</v>
      </c>
      <c r="G116" t="s">
        <v>22</v>
      </c>
      <c r="H116" t="s">
        <v>23</v>
      </c>
      <c r="I116" t="s">
        <v>24</v>
      </c>
      <c r="J116" t="s">
        <v>435</v>
      </c>
      <c r="L116">
        <v>5.4</v>
      </c>
      <c r="M116">
        <v>353000</v>
      </c>
      <c r="N116">
        <v>4.7</v>
      </c>
      <c r="O116">
        <v>10</v>
      </c>
      <c r="P116" t="s">
        <v>26</v>
      </c>
    </row>
    <row r="117" spans="1:16" x14ac:dyDescent="0.25">
      <c r="A117" t="s">
        <v>436</v>
      </c>
      <c r="B117" t="s">
        <v>437</v>
      </c>
      <c r="C117" t="s">
        <v>29</v>
      </c>
      <c r="D117" t="s">
        <v>43</v>
      </c>
      <c r="E117" t="s">
        <v>31</v>
      </c>
      <c r="F117" t="s">
        <v>21</v>
      </c>
      <c r="G117" t="s">
        <v>22</v>
      </c>
      <c r="H117" t="s">
        <v>46</v>
      </c>
      <c r="I117" t="s">
        <v>57</v>
      </c>
      <c r="J117" t="s">
        <v>438</v>
      </c>
      <c r="L117">
        <v>5.9</v>
      </c>
      <c r="M117">
        <v>760000</v>
      </c>
      <c r="N117">
        <v>4.7</v>
      </c>
      <c r="O117">
        <v>6</v>
      </c>
      <c r="P117" t="s">
        <v>26</v>
      </c>
    </row>
    <row r="118" spans="1:16" x14ac:dyDescent="0.25">
      <c r="A118" t="s">
        <v>439</v>
      </c>
      <c r="B118" t="s">
        <v>440</v>
      </c>
      <c r="C118" t="s">
        <v>18</v>
      </c>
      <c r="D118" t="s">
        <v>30</v>
      </c>
      <c r="E118" t="s">
        <v>20</v>
      </c>
      <c r="F118" t="s">
        <v>39</v>
      </c>
      <c r="G118" t="s">
        <v>69</v>
      </c>
      <c r="H118" t="s">
        <v>34</v>
      </c>
      <c r="I118" t="s">
        <v>171</v>
      </c>
      <c r="J118" t="s">
        <v>441</v>
      </c>
      <c r="K118" t="s">
        <v>442</v>
      </c>
      <c r="L118">
        <v>2.8</v>
      </c>
      <c r="M118">
        <v>111000</v>
      </c>
      <c r="N118">
        <v>2.4</v>
      </c>
      <c r="O118">
        <v>25</v>
      </c>
      <c r="P118" t="s">
        <v>114</v>
      </c>
    </row>
    <row r="119" spans="1:16" x14ac:dyDescent="0.25">
      <c r="A119" t="s">
        <v>443</v>
      </c>
      <c r="B119" t="s">
        <v>444</v>
      </c>
      <c r="C119" t="s">
        <v>29</v>
      </c>
      <c r="D119" t="s">
        <v>30</v>
      </c>
      <c r="E119" t="s">
        <v>20</v>
      </c>
      <c r="F119" t="s">
        <v>21</v>
      </c>
      <c r="G119" t="s">
        <v>22</v>
      </c>
      <c r="H119" t="s">
        <v>23</v>
      </c>
      <c r="I119" t="s">
        <v>35</v>
      </c>
      <c r="J119" t="s">
        <v>445</v>
      </c>
      <c r="L119">
        <v>1.6</v>
      </c>
      <c r="M119">
        <v>618000</v>
      </c>
      <c r="N119">
        <v>4.5999999999999996</v>
      </c>
      <c r="O119">
        <v>1</v>
      </c>
      <c r="P119" t="s">
        <v>26</v>
      </c>
    </row>
    <row r="120" spans="1:16" x14ac:dyDescent="0.25">
      <c r="A120" t="s">
        <v>446</v>
      </c>
      <c r="B120" t="s">
        <v>447</v>
      </c>
      <c r="C120" t="s">
        <v>18</v>
      </c>
      <c r="D120" t="s">
        <v>50</v>
      </c>
      <c r="E120" t="s">
        <v>44</v>
      </c>
      <c r="F120" t="s">
        <v>128</v>
      </c>
      <c r="G120" t="s">
        <v>80</v>
      </c>
      <c r="H120" t="s">
        <v>46</v>
      </c>
      <c r="I120" t="s">
        <v>35</v>
      </c>
      <c r="J120" t="s">
        <v>448</v>
      </c>
      <c r="K120" t="s">
        <v>449</v>
      </c>
      <c r="L120">
        <v>1.9</v>
      </c>
      <c r="M120">
        <v>528000</v>
      </c>
      <c r="N120">
        <v>3.3</v>
      </c>
      <c r="O120">
        <v>12</v>
      </c>
      <c r="P120" t="s">
        <v>72</v>
      </c>
    </row>
    <row r="121" spans="1:16" x14ac:dyDescent="0.25">
      <c r="A121" t="s">
        <v>450</v>
      </c>
      <c r="B121" t="s">
        <v>451</v>
      </c>
      <c r="C121" t="s">
        <v>29</v>
      </c>
      <c r="D121" t="s">
        <v>43</v>
      </c>
      <c r="E121" t="s">
        <v>20</v>
      </c>
      <c r="F121" t="s">
        <v>32</v>
      </c>
      <c r="G121" t="s">
        <v>80</v>
      </c>
      <c r="H121" t="s">
        <v>34</v>
      </c>
      <c r="I121" t="s">
        <v>24</v>
      </c>
      <c r="J121" t="s">
        <v>452</v>
      </c>
      <c r="K121" t="s">
        <v>453</v>
      </c>
      <c r="L121">
        <v>3.7</v>
      </c>
      <c r="M121">
        <v>180000</v>
      </c>
      <c r="N121">
        <v>3.3</v>
      </c>
      <c r="O121">
        <v>6</v>
      </c>
      <c r="P121" t="s">
        <v>72</v>
      </c>
    </row>
    <row r="122" spans="1:16" x14ac:dyDescent="0.25">
      <c r="A122" t="s">
        <v>454</v>
      </c>
      <c r="B122" t="s">
        <v>455</v>
      </c>
      <c r="C122" t="s">
        <v>18</v>
      </c>
      <c r="D122" t="s">
        <v>50</v>
      </c>
      <c r="E122" t="s">
        <v>20</v>
      </c>
      <c r="F122" t="s">
        <v>39</v>
      </c>
      <c r="G122" t="s">
        <v>80</v>
      </c>
      <c r="H122" t="s">
        <v>34</v>
      </c>
      <c r="I122" t="s">
        <v>57</v>
      </c>
      <c r="J122" t="s">
        <v>456</v>
      </c>
      <c r="L122">
        <v>5.5</v>
      </c>
      <c r="M122">
        <v>152000</v>
      </c>
      <c r="N122">
        <v>3.8</v>
      </c>
      <c r="O122">
        <v>8</v>
      </c>
      <c r="P122" t="s">
        <v>26</v>
      </c>
    </row>
    <row r="123" spans="1:16" x14ac:dyDescent="0.25">
      <c r="A123" t="s">
        <v>457</v>
      </c>
      <c r="B123" t="s">
        <v>458</v>
      </c>
      <c r="C123" t="s">
        <v>18</v>
      </c>
      <c r="D123" t="s">
        <v>79</v>
      </c>
      <c r="E123" t="s">
        <v>20</v>
      </c>
      <c r="F123" t="s">
        <v>39</v>
      </c>
      <c r="G123" t="s">
        <v>33</v>
      </c>
      <c r="H123" t="s">
        <v>62</v>
      </c>
      <c r="I123" t="s">
        <v>24</v>
      </c>
      <c r="J123" t="s">
        <v>459</v>
      </c>
      <c r="L123">
        <v>5.7</v>
      </c>
      <c r="M123">
        <v>141000</v>
      </c>
      <c r="N123">
        <v>5</v>
      </c>
      <c r="O123">
        <v>13</v>
      </c>
      <c r="P123" t="s">
        <v>26</v>
      </c>
    </row>
    <row r="124" spans="1:16" x14ac:dyDescent="0.25">
      <c r="A124" t="s">
        <v>460</v>
      </c>
      <c r="B124" t="s">
        <v>461</v>
      </c>
      <c r="C124" t="s">
        <v>29</v>
      </c>
      <c r="D124" t="s">
        <v>50</v>
      </c>
      <c r="E124" t="s">
        <v>20</v>
      </c>
      <c r="F124" t="s">
        <v>128</v>
      </c>
      <c r="G124" t="s">
        <v>80</v>
      </c>
      <c r="H124" t="s">
        <v>46</v>
      </c>
      <c r="I124" t="s">
        <v>35</v>
      </c>
      <c r="J124" t="s">
        <v>462</v>
      </c>
      <c r="L124">
        <v>2.8</v>
      </c>
      <c r="M124">
        <v>525000</v>
      </c>
      <c r="N124">
        <v>4.5999999999999996</v>
      </c>
      <c r="O124">
        <v>14</v>
      </c>
      <c r="P124" t="s">
        <v>26</v>
      </c>
    </row>
    <row r="125" spans="1:16" x14ac:dyDescent="0.25">
      <c r="A125" t="s">
        <v>463</v>
      </c>
      <c r="B125" t="s">
        <v>326</v>
      </c>
      <c r="C125" t="s">
        <v>29</v>
      </c>
      <c r="D125" t="s">
        <v>19</v>
      </c>
      <c r="E125" t="s">
        <v>20</v>
      </c>
      <c r="F125" t="s">
        <v>32</v>
      </c>
      <c r="G125" t="s">
        <v>80</v>
      </c>
      <c r="H125" t="s">
        <v>34</v>
      </c>
      <c r="I125" t="s">
        <v>57</v>
      </c>
      <c r="J125" t="s">
        <v>99</v>
      </c>
      <c r="L125">
        <v>2.2000000000000002</v>
      </c>
      <c r="M125">
        <v>250000</v>
      </c>
      <c r="N125">
        <v>2</v>
      </c>
      <c r="O125">
        <v>0</v>
      </c>
      <c r="P125" t="s">
        <v>26</v>
      </c>
    </row>
    <row r="126" spans="1:16" x14ac:dyDescent="0.25">
      <c r="A126" t="s">
        <v>464</v>
      </c>
      <c r="B126" t="s">
        <v>465</v>
      </c>
      <c r="C126" t="s">
        <v>29</v>
      </c>
      <c r="D126" t="s">
        <v>43</v>
      </c>
      <c r="E126" t="s">
        <v>44</v>
      </c>
      <c r="F126" t="s">
        <v>32</v>
      </c>
      <c r="G126" t="s">
        <v>33</v>
      </c>
      <c r="H126" t="s">
        <v>46</v>
      </c>
      <c r="I126" t="s">
        <v>24</v>
      </c>
      <c r="J126" t="s">
        <v>466</v>
      </c>
      <c r="L126">
        <v>3.7</v>
      </c>
      <c r="M126">
        <v>180000</v>
      </c>
      <c r="N126">
        <v>2.2000000000000002</v>
      </c>
      <c r="O126">
        <v>1</v>
      </c>
      <c r="P126" t="s">
        <v>26</v>
      </c>
    </row>
    <row r="127" spans="1:16" x14ac:dyDescent="0.25">
      <c r="A127" t="s">
        <v>467</v>
      </c>
      <c r="B127" t="s">
        <v>468</v>
      </c>
      <c r="C127" t="s">
        <v>29</v>
      </c>
      <c r="D127" t="s">
        <v>30</v>
      </c>
      <c r="E127" t="s">
        <v>31</v>
      </c>
      <c r="F127" t="s">
        <v>39</v>
      </c>
      <c r="G127" t="s">
        <v>33</v>
      </c>
      <c r="H127" t="s">
        <v>34</v>
      </c>
      <c r="I127" t="s">
        <v>75</v>
      </c>
      <c r="J127" t="s">
        <v>469</v>
      </c>
      <c r="L127">
        <v>4.8</v>
      </c>
      <c r="M127">
        <v>145000</v>
      </c>
      <c r="N127">
        <v>1.6</v>
      </c>
      <c r="O127">
        <v>5</v>
      </c>
      <c r="P127" t="s">
        <v>26</v>
      </c>
    </row>
    <row r="128" spans="1:16" x14ac:dyDescent="0.25">
      <c r="A128" t="s">
        <v>470</v>
      </c>
      <c r="B128" t="s">
        <v>471</v>
      </c>
      <c r="C128" t="s">
        <v>18</v>
      </c>
      <c r="D128" t="s">
        <v>79</v>
      </c>
      <c r="E128" t="s">
        <v>20</v>
      </c>
      <c r="F128" t="s">
        <v>32</v>
      </c>
      <c r="G128" t="s">
        <v>33</v>
      </c>
      <c r="H128" t="s">
        <v>46</v>
      </c>
      <c r="I128" t="s">
        <v>57</v>
      </c>
      <c r="J128" t="s">
        <v>472</v>
      </c>
      <c r="L128">
        <v>5.3</v>
      </c>
      <c r="M128">
        <v>229000</v>
      </c>
      <c r="N128">
        <v>2.1</v>
      </c>
      <c r="O128">
        <v>0</v>
      </c>
      <c r="P128" t="s">
        <v>26</v>
      </c>
    </row>
    <row r="129" spans="1:16" x14ac:dyDescent="0.25">
      <c r="A129" t="s">
        <v>473</v>
      </c>
      <c r="B129" t="s">
        <v>474</v>
      </c>
      <c r="C129" t="s">
        <v>29</v>
      </c>
      <c r="D129" t="s">
        <v>50</v>
      </c>
      <c r="E129" t="s">
        <v>44</v>
      </c>
      <c r="F129" t="s">
        <v>128</v>
      </c>
      <c r="G129" t="s">
        <v>22</v>
      </c>
      <c r="H129" t="s">
        <v>23</v>
      </c>
      <c r="I129" t="s">
        <v>24</v>
      </c>
      <c r="J129" t="s">
        <v>475</v>
      </c>
      <c r="L129">
        <v>4.9000000000000004</v>
      </c>
      <c r="M129">
        <v>378000</v>
      </c>
      <c r="N129">
        <v>2.1</v>
      </c>
      <c r="O129">
        <v>8</v>
      </c>
      <c r="P129" t="s">
        <v>26</v>
      </c>
    </row>
    <row r="130" spans="1:16" x14ac:dyDescent="0.25">
      <c r="A130" t="s">
        <v>476</v>
      </c>
      <c r="B130" t="s">
        <v>477</v>
      </c>
      <c r="C130" t="s">
        <v>29</v>
      </c>
      <c r="D130" t="s">
        <v>30</v>
      </c>
      <c r="E130" t="s">
        <v>44</v>
      </c>
      <c r="F130" t="s">
        <v>32</v>
      </c>
      <c r="G130" t="s">
        <v>22</v>
      </c>
      <c r="H130" t="s">
        <v>34</v>
      </c>
      <c r="I130" t="s">
        <v>35</v>
      </c>
      <c r="J130" t="s">
        <v>478</v>
      </c>
      <c r="L130">
        <v>1.3</v>
      </c>
      <c r="M130">
        <v>300000</v>
      </c>
      <c r="N130">
        <v>3.5</v>
      </c>
      <c r="O130">
        <v>37</v>
      </c>
      <c r="P130" t="s">
        <v>26</v>
      </c>
    </row>
    <row r="131" spans="1:16" x14ac:dyDescent="0.25">
      <c r="A131" t="s">
        <v>479</v>
      </c>
      <c r="B131" t="s">
        <v>480</v>
      </c>
      <c r="C131" t="s">
        <v>18</v>
      </c>
      <c r="D131" t="s">
        <v>50</v>
      </c>
      <c r="E131" t="s">
        <v>20</v>
      </c>
      <c r="F131" t="s">
        <v>39</v>
      </c>
      <c r="G131" t="s">
        <v>33</v>
      </c>
      <c r="H131" t="s">
        <v>23</v>
      </c>
      <c r="I131" t="s">
        <v>35</v>
      </c>
      <c r="J131" t="s">
        <v>481</v>
      </c>
      <c r="L131">
        <v>4.4000000000000004</v>
      </c>
      <c r="M131">
        <v>106000</v>
      </c>
      <c r="N131">
        <v>2.6</v>
      </c>
      <c r="O131">
        <v>4</v>
      </c>
      <c r="P131" t="s">
        <v>26</v>
      </c>
    </row>
    <row r="132" spans="1:16" x14ac:dyDescent="0.25">
      <c r="A132" t="s">
        <v>482</v>
      </c>
      <c r="B132" t="s">
        <v>483</v>
      </c>
      <c r="C132" t="s">
        <v>18</v>
      </c>
      <c r="D132" t="s">
        <v>30</v>
      </c>
      <c r="E132" t="s">
        <v>20</v>
      </c>
      <c r="F132" t="s">
        <v>128</v>
      </c>
      <c r="G132" t="s">
        <v>22</v>
      </c>
      <c r="H132" t="s">
        <v>34</v>
      </c>
      <c r="I132" t="s">
        <v>171</v>
      </c>
      <c r="J132" t="s">
        <v>484</v>
      </c>
      <c r="L132">
        <v>4.2</v>
      </c>
      <c r="M132">
        <v>522000</v>
      </c>
      <c r="N132">
        <v>3.4</v>
      </c>
      <c r="P132" t="s">
        <v>26</v>
      </c>
    </row>
    <row r="133" spans="1:16" x14ac:dyDescent="0.25">
      <c r="A133" t="s">
        <v>485</v>
      </c>
      <c r="B133" t="s">
        <v>486</v>
      </c>
      <c r="C133" t="s">
        <v>18</v>
      </c>
      <c r="D133" t="s">
        <v>30</v>
      </c>
      <c r="F133" t="s">
        <v>128</v>
      </c>
      <c r="G133" t="s">
        <v>22</v>
      </c>
      <c r="H133" t="s">
        <v>46</v>
      </c>
      <c r="I133" t="s">
        <v>75</v>
      </c>
      <c r="J133" t="s">
        <v>487</v>
      </c>
      <c r="L133">
        <v>1.9</v>
      </c>
      <c r="M133">
        <v>514000</v>
      </c>
      <c r="N133">
        <v>3.8</v>
      </c>
      <c r="O133">
        <v>12</v>
      </c>
      <c r="P133" t="s">
        <v>26</v>
      </c>
    </row>
    <row r="134" spans="1:16" x14ac:dyDescent="0.25">
      <c r="A134" t="s">
        <v>488</v>
      </c>
      <c r="B134" t="s">
        <v>489</v>
      </c>
      <c r="C134" t="s">
        <v>18</v>
      </c>
      <c r="D134" t="s">
        <v>50</v>
      </c>
      <c r="E134" t="s">
        <v>20</v>
      </c>
      <c r="F134" t="s">
        <v>39</v>
      </c>
      <c r="G134" t="s">
        <v>22</v>
      </c>
      <c r="H134" t="s">
        <v>34</v>
      </c>
      <c r="I134" t="s">
        <v>57</v>
      </c>
      <c r="J134" t="s">
        <v>490</v>
      </c>
      <c r="L134">
        <v>5.9</v>
      </c>
      <c r="M134">
        <v>138000</v>
      </c>
      <c r="N134">
        <v>4.9000000000000004</v>
      </c>
      <c r="O134">
        <v>2</v>
      </c>
      <c r="P134" t="s">
        <v>26</v>
      </c>
    </row>
    <row r="135" spans="1:16" x14ac:dyDescent="0.25">
      <c r="A135" t="s">
        <v>491</v>
      </c>
      <c r="B135" t="s">
        <v>492</v>
      </c>
      <c r="C135" t="s">
        <v>18</v>
      </c>
      <c r="D135" t="s">
        <v>19</v>
      </c>
      <c r="E135" t="s">
        <v>20</v>
      </c>
      <c r="F135" t="s">
        <v>128</v>
      </c>
      <c r="G135" t="s">
        <v>33</v>
      </c>
      <c r="H135" t="s">
        <v>34</v>
      </c>
      <c r="I135" t="s">
        <v>75</v>
      </c>
      <c r="J135" t="s">
        <v>493</v>
      </c>
      <c r="L135">
        <v>1.7</v>
      </c>
      <c r="M135">
        <v>565000</v>
      </c>
      <c r="N135">
        <v>3</v>
      </c>
      <c r="O135">
        <v>10</v>
      </c>
      <c r="P135" t="s">
        <v>26</v>
      </c>
    </row>
    <row r="136" spans="1:16" x14ac:dyDescent="0.25">
      <c r="A136" t="s">
        <v>494</v>
      </c>
      <c r="B136" t="s">
        <v>495</v>
      </c>
      <c r="C136" t="s">
        <v>29</v>
      </c>
      <c r="D136" t="s">
        <v>19</v>
      </c>
      <c r="E136" t="s">
        <v>20</v>
      </c>
      <c r="F136" t="s">
        <v>128</v>
      </c>
      <c r="G136" t="s">
        <v>80</v>
      </c>
      <c r="H136" t="s">
        <v>23</v>
      </c>
      <c r="I136" t="s">
        <v>24</v>
      </c>
      <c r="J136" t="s">
        <v>496</v>
      </c>
      <c r="K136" t="s">
        <v>497</v>
      </c>
      <c r="L136">
        <v>1.9</v>
      </c>
      <c r="M136">
        <v>621000</v>
      </c>
      <c r="N136">
        <v>2.2000000000000002</v>
      </c>
      <c r="P136" t="s">
        <v>72</v>
      </c>
    </row>
    <row r="137" spans="1:16" x14ac:dyDescent="0.25">
      <c r="A137" t="s">
        <v>498</v>
      </c>
      <c r="B137" t="s">
        <v>499</v>
      </c>
      <c r="C137" t="s">
        <v>18</v>
      </c>
      <c r="D137" t="s">
        <v>19</v>
      </c>
      <c r="E137" t="s">
        <v>31</v>
      </c>
      <c r="F137" t="s">
        <v>39</v>
      </c>
      <c r="G137" t="s">
        <v>80</v>
      </c>
      <c r="H137" t="s">
        <v>23</v>
      </c>
      <c r="J137" t="s">
        <v>500</v>
      </c>
      <c r="L137">
        <v>5.5</v>
      </c>
      <c r="M137">
        <v>153000</v>
      </c>
      <c r="N137">
        <v>2.4</v>
      </c>
      <c r="O137">
        <v>1</v>
      </c>
      <c r="P137" t="s">
        <v>26</v>
      </c>
    </row>
    <row r="138" spans="1:16" x14ac:dyDescent="0.25">
      <c r="A138" t="s">
        <v>501</v>
      </c>
      <c r="B138" t="s">
        <v>502</v>
      </c>
      <c r="C138" t="s">
        <v>29</v>
      </c>
      <c r="D138" t="s">
        <v>43</v>
      </c>
      <c r="E138" t="s">
        <v>31</v>
      </c>
      <c r="F138" t="s">
        <v>45</v>
      </c>
      <c r="G138" t="s">
        <v>22</v>
      </c>
      <c r="H138" t="s">
        <v>46</v>
      </c>
      <c r="J138" t="s">
        <v>503</v>
      </c>
      <c r="K138" t="s">
        <v>504</v>
      </c>
      <c r="L138">
        <v>4.9000000000000004</v>
      </c>
      <c r="M138">
        <v>1095000</v>
      </c>
      <c r="N138">
        <v>3</v>
      </c>
      <c r="O138">
        <v>18</v>
      </c>
      <c r="P138" t="s">
        <v>72</v>
      </c>
    </row>
    <row r="139" spans="1:16" x14ac:dyDescent="0.25">
      <c r="A139" t="s">
        <v>505</v>
      </c>
      <c r="B139" t="s">
        <v>506</v>
      </c>
      <c r="C139" t="s">
        <v>18</v>
      </c>
      <c r="D139" t="s">
        <v>30</v>
      </c>
      <c r="E139" t="s">
        <v>44</v>
      </c>
      <c r="F139" t="s">
        <v>32</v>
      </c>
      <c r="G139" t="s">
        <v>80</v>
      </c>
      <c r="H139" t="s">
        <v>34</v>
      </c>
      <c r="I139" t="s">
        <v>24</v>
      </c>
      <c r="J139" t="s">
        <v>507</v>
      </c>
      <c r="K139" t="s">
        <v>339</v>
      </c>
      <c r="L139">
        <v>4.7</v>
      </c>
      <c r="M139">
        <v>326000</v>
      </c>
      <c r="N139">
        <v>3.1</v>
      </c>
      <c r="P139" t="s">
        <v>72</v>
      </c>
    </row>
    <row r="140" spans="1:16" x14ac:dyDescent="0.25">
      <c r="A140" t="s">
        <v>508</v>
      </c>
      <c r="B140" t="s">
        <v>509</v>
      </c>
      <c r="C140" t="s">
        <v>29</v>
      </c>
      <c r="D140" t="s">
        <v>30</v>
      </c>
      <c r="E140" t="s">
        <v>20</v>
      </c>
      <c r="F140" t="s">
        <v>128</v>
      </c>
      <c r="G140" t="s">
        <v>33</v>
      </c>
      <c r="H140" t="s">
        <v>23</v>
      </c>
      <c r="I140" t="s">
        <v>24</v>
      </c>
      <c r="J140" t="s">
        <v>510</v>
      </c>
      <c r="K140" t="s">
        <v>511</v>
      </c>
      <c r="L140">
        <v>2.1</v>
      </c>
      <c r="M140">
        <v>437000</v>
      </c>
      <c r="N140">
        <v>3.3</v>
      </c>
      <c r="O140">
        <v>3</v>
      </c>
      <c r="P140" t="s">
        <v>72</v>
      </c>
    </row>
    <row r="141" spans="1:16" x14ac:dyDescent="0.25">
      <c r="A141" t="s">
        <v>512</v>
      </c>
      <c r="B141" t="s">
        <v>513</v>
      </c>
      <c r="C141" t="s">
        <v>18</v>
      </c>
      <c r="E141" t="s">
        <v>20</v>
      </c>
      <c r="F141" t="s">
        <v>32</v>
      </c>
      <c r="G141" t="s">
        <v>80</v>
      </c>
      <c r="H141" t="s">
        <v>23</v>
      </c>
      <c r="I141" t="s">
        <v>24</v>
      </c>
      <c r="J141" t="s">
        <v>514</v>
      </c>
      <c r="L141">
        <v>6.2</v>
      </c>
      <c r="M141">
        <v>233000</v>
      </c>
      <c r="N141">
        <v>4.4000000000000004</v>
      </c>
      <c r="O141">
        <v>10</v>
      </c>
      <c r="P141" t="s">
        <v>26</v>
      </c>
    </row>
    <row r="142" spans="1:16" x14ac:dyDescent="0.25">
      <c r="A142" t="s">
        <v>515</v>
      </c>
      <c r="B142" t="s">
        <v>516</v>
      </c>
      <c r="C142" t="s">
        <v>18</v>
      </c>
      <c r="D142" t="s">
        <v>19</v>
      </c>
      <c r="E142" t="s">
        <v>20</v>
      </c>
      <c r="F142" t="s">
        <v>32</v>
      </c>
      <c r="G142" t="s">
        <v>69</v>
      </c>
      <c r="H142" t="s">
        <v>46</v>
      </c>
      <c r="I142" t="s">
        <v>171</v>
      </c>
      <c r="J142" t="s">
        <v>517</v>
      </c>
      <c r="L142">
        <v>4</v>
      </c>
      <c r="M142">
        <v>298000</v>
      </c>
      <c r="N142">
        <v>3.2</v>
      </c>
      <c r="O142">
        <v>27</v>
      </c>
      <c r="P142" t="s">
        <v>26</v>
      </c>
    </row>
    <row r="143" spans="1:16" x14ac:dyDescent="0.25">
      <c r="A143" t="s">
        <v>518</v>
      </c>
      <c r="B143" t="s">
        <v>519</v>
      </c>
      <c r="C143" t="s">
        <v>29</v>
      </c>
      <c r="D143" t="s">
        <v>50</v>
      </c>
      <c r="E143" t="s">
        <v>20</v>
      </c>
      <c r="F143" t="s">
        <v>39</v>
      </c>
      <c r="G143" t="s">
        <v>69</v>
      </c>
      <c r="H143" t="s">
        <v>23</v>
      </c>
      <c r="I143" t="s">
        <v>24</v>
      </c>
      <c r="J143" t="s">
        <v>520</v>
      </c>
      <c r="L143">
        <v>1.8</v>
      </c>
      <c r="M143">
        <v>116000</v>
      </c>
      <c r="N143">
        <v>3.8</v>
      </c>
      <c r="O143">
        <v>3</v>
      </c>
      <c r="P143" t="s">
        <v>26</v>
      </c>
    </row>
    <row r="144" spans="1:16" x14ac:dyDescent="0.25">
      <c r="A144" t="s">
        <v>521</v>
      </c>
      <c r="B144" t="s">
        <v>522</v>
      </c>
      <c r="C144" t="s">
        <v>18</v>
      </c>
      <c r="D144" t="s">
        <v>19</v>
      </c>
      <c r="E144" t="s">
        <v>20</v>
      </c>
      <c r="F144" t="s">
        <v>32</v>
      </c>
      <c r="G144" t="s">
        <v>22</v>
      </c>
      <c r="H144" t="s">
        <v>46</v>
      </c>
      <c r="I144" t="s">
        <v>57</v>
      </c>
      <c r="J144" t="s">
        <v>523</v>
      </c>
      <c r="L144">
        <v>4.5</v>
      </c>
      <c r="M144">
        <v>343000</v>
      </c>
      <c r="N144">
        <v>2.2000000000000002</v>
      </c>
      <c r="O144">
        <v>4</v>
      </c>
      <c r="P144" t="s">
        <v>26</v>
      </c>
    </row>
    <row r="145" spans="1:16" x14ac:dyDescent="0.25">
      <c r="A145" t="s">
        <v>524</v>
      </c>
      <c r="B145" t="s">
        <v>525</v>
      </c>
      <c r="D145" t="s">
        <v>50</v>
      </c>
      <c r="E145" t="s">
        <v>31</v>
      </c>
      <c r="F145" t="s">
        <v>32</v>
      </c>
      <c r="G145" t="s">
        <v>69</v>
      </c>
      <c r="H145" t="s">
        <v>46</v>
      </c>
      <c r="I145" t="s">
        <v>24</v>
      </c>
      <c r="J145" t="s">
        <v>526</v>
      </c>
      <c r="K145" t="s">
        <v>527</v>
      </c>
      <c r="L145">
        <v>4</v>
      </c>
      <c r="M145">
        <v>214000</v>
      </c>
      <c r="N145">
        <v>2.2999999999999998</v>
      </c>
      <c r="O145">
        <v>5</v>
      </c>
      <c r="P145" t="s">
        <v>53</v>
      </c>
    </row>
    <row r="146" spans="1:16" x14ac:dyDescent="0.25">
      <c r="A146" t="s">
        <v>528</v>
      </c>
      <c r="B146" t="s">
        <v>529</v>
      </c>
      <c r="C146" t="s">
        <v>18</v>
      </c>
      <c r="D146" t="s">
        <v>50</v>
      </c>
      <c r="E146" t="s">
        <v>20</v>
      </c>
      <c r="G146" t="s">
        <v>22</v>
      </c>
      <c r="H146" t="s">
        <v>23</v>
      </c>
      <c r="I146" t="s">
        <v>35</v>
      </c>
      <c r="J146" t="s">
        <v>530</v>
      </c>
      <c r="L146">
        <v>2.1</v>
      </c>
      <c r="M146">
        <v>569000</v>
      </c>
      <c r="N146">
        <v>3.8</v>
      </c>
      <c r="O146">
        <v>12</v>
      </c>
      <c r="P146" t="s">
        <v>26</v>
      </c>
    </row>
    <row r="147" spans="1:16" x14ac:dyDescent="0.25">
      <c r="A147" t="s">
        <v>531</v>
      </c>
      <c r="B147" t="s">
        <v>532</v>
      </c>
      <c r="C147" t="s">
        <v>29</v>
      </c>
      <c r="D147" t="s">
        <v>79</v>
      </c>
      <c r="E147" t="s">
        <v>20</v>
      </c>
      <c r="F147" t="s">
        <v>128</v>
      </c>
      <c r="G147" t="s">
        <v>69</v>
      </c>
      <c r="H147" t="s">
        <v>23</v>
      </c>
      <c r="I147" t="s">
        <v>24</v>
      </c>
      <c r="J147" t="s">
        <v>533</v>
      </c>
      <c r="L147">
        <v>3.1</v>
      </c>
      <c r="N147">
        <v>2.2000000000000002</v>
      </c>
      <c r="O147">
        <v>6</v>
      </c>
      <c r="P147" t="s">
        <v>26</v>
      </c>
    </row>
    <row r="148" spans="1:16" x14ac:dyDescent="0.25">
      <c r="A148" t="s">
        <v>534</v>
      </c>
      <c r="B148" t="s">
        <v>535</v>
      </c>
      <c r="D148" t="s">
        <v>79</v>
      </c>
      <c r="E148" t="s">
        <v>20</v>
      </c>
      <c r="F148" t="s">
        <v>45</v>
      </c>
      <c r="G148" t="s">
        <v>22</v>
      </c>
      <c r="H148" t="s">
        <v>34</v>
      </c>
      <c r="I148" t="s">
        <v>24</v>
      </c>
      <c r="J148" t="s">
        <v>536</v>
      </c>
      <c r="L148">
        <v>3.6</v>
      </c>
      <c r="M148">
        <v>951000</v>
      </c>
      <c r="N148">
        <v>4</v>
      </c>
      <c r="O148">
        <v>6</v>
      </c>
      <c r="P148" t="s">
        <v>26</v>
      </c>
    </row>
    <row r="149" spans="1:16" x14ac:dyDescent="0.25">
      <c r="A149" t="s">
        <v>537</v>
      </c>
      <c r="B149" t="s">
        <v>538</v>
      </c>
      <c r="C149" t="s">
        <v>18</v>
      </c>
      <c r="D149" t="s">
        <v>43</v>
      </c>
      <c r="E149" t="s">
        <v>44</v>
      </c>
      <c r="F149" t="s">
        <v>128</v>
      </c>
      <c r="G149" t="s">
        <v>22</v>
      </c>
      <c r="H149" t="s">
        <v>46</v>
      </c>
      <c r="I149" t="s">
        <v>75</v>
      </c>
      <c r="J149" t="s">
        <v>539</v>
      </c>
      <c r="K149" t="s">
        <v>412</v>
      </c>
      <c r="L149">
        <v>2.8</v>
      </c>
      <c r="M149">
        <v>360000</v>
      </c>
      <c r="N149">
        <v>4.7</v>
      </c>
      <c r="O149">
        <v>8</v>
      </c>
      <c r="P149" t="s">
        <v>53</v>
      </c>
    </row>
    <row r="150" spans="1:16" x14ac:dyDescent="0.25">
      <c r="A150" t="s">
        <v>540</v>
      </c>
      <c r="B150" t="s">
        <v>541</v>
      </c>
      <c r="C150" t="s">
        <v>29</v>
      </c>
      <c r="D150" t="s">
        <v>50</v>
      </c>
      <c r="E150" t="s">
        <v>20</v>
      </c>
      <c r="F150" t="s">
        <v>32</v>
      </c>
      <c r="G150" t="s">
        <v>33</v>
      </c>
      <c r="H150" t="s">
        <v>34</v>
      </c>
      <c r="I150" t="s">
        <v>171</v>
      </c>
      <c r="J150" t="s">
        <v>530</v>
      </c>
      <c r="K150" t="s">
        <v>542</v>
      </c>
      <c r="L150">
        <v>2.1</v>
      </c>
      <c r="M150">
        <v>217000</v>
      </c>
      <c r="N150">
        <v>4.5999999999999996</v>
      </c>
      <c r="O150">
        <v>5</v>
      </c>
      <c r="P150" t="s">
        <v>53</v>
      </c>
    </row>
    <row r="151" spans="1:16" x14ac:dyDescent="0.25">
      <c r="A151" t="s">
        <v>543</v>
      </c>
      <c r="B151" t="s">
        <v>544</v>
      </c>
      <c r="D151" t="s">
        <v>30</v>
      </c>
      <c r="E151" t="s">
        <v>20</v>
      </c>
      <c r="F151" t="s">
        <v>32</v>
      </c>
      <c r="G151" t="s">
        <v>80</v>
      </c>
      <c r="H151" t="s">
        <v>46</v>
      </c>
      <c r="J151" t="s">
        <v>545</v>
      </c>
      <c r="K151" t="s">
        <v>546</v>
      </c>
      <c r="L151">
        <v>4.7</v>
      </c>
      <c r="M151">
        <v>316000</v>
      </c>
      <c r="N151">
        <v>2.6</v>
      </c>
      <c r="O151">
        <v>28</v>
      </c>
      <c r="P151" t="s">
        <v>53</v>
      </c>
    </row>
    <row r="152" spans="1:16" x14ac:dyDescent="0.25">
      <c r="A152" t="s">
        <v>547</v>
      </c>
      <c r="B152" t="s">
        <v>548</v>
      </c>
      <c r="E152" t="s">
        <v>44</v>
      </c>
      <c r="F152" t="s">
        <v>32</v>
      </c>
      <c r="G152" t="s">
        <v>80</v>
      </c>
      <c r="H152" t="s">
        <v>23</v>
      </c>
      <c r="I152" t="s">
        <v>24</v>
      </c>
      <c r="J152" t="s">
        <v>549</v>
      </c>
      <c r="K152" t="s">
        <v>550</v>
      </c>
      <c r="L152">
        <v>4.5999999999999996</v>
      </c>
      <c r="M152">
        <v>185000</v>
      </c>
      <c r="N152">
        <v>2.1</v>
      </c>
      <c r="O152">
        <v>12</v>
      </c>
      <c r="P152" t="s">
        <v>72</v>
      </c>
    </row>
    <row r="153" spans="1:16" x14ac:dyDescent="0.25">
      <c r="A153" t="s">
        <v>551</v>
      </c>
      <c r="B153" t="s">
        <v>552</v>
      </c>
      <c r="D153" t="s">
        <v>30</v>
      </c>
      <c r="E153" t="s">
        <v>20</v>
      </c>
      <c r="F153" t="s">
        <v>39</v>
      </c>
      <c r="G153" t="s">
        <v>69</v>
      </c>
      <c r="H153" t="s">
        <v>34</v>
      </c>
      <c r="I153" t="s">
        <v>24</v>
      </c>
      <c r="J153" t="s">
        <v>553</v>
      </c>
      <c r="K153" t="s">
        <v>554</v>
      </c>
      <c r="L153">
        <v>5.3</v>
      </c>
      <c r="M153">
        <v>121000</v>
      </c>
      <c r="N153">
        <v>1.8</v>
      </c>
      <c r="O153">
        <v>3</v>
      </c>
      <c r="P153" t="s">
        <v>53</v>
      </c>
    </row>
    <row r="154" spans="1:16" x14ac:dyDescent="0.25">
      <c r="A154" t="s">
        <v>555</v>
      </c>
      <c r="B154" t="s">
        <v>556</v>
      </c>
      <c r="C154" t="s">
        <v>18</v>
      </c>
      <c r="D154" t="s">
        <v>19</v>
      </c>
      <c r="E154" t="s">
        <v>20</v>
      </c>
      <c r="F154" t="s">
        <v>32</v>
      </c>
      <c r="G154" t="s">
        <v>22</v>
      </c>
      <c r="H154" t="s">
        <v>46</v>
      </c>
      <c r="I154" t="s">
        <v>57</v>
      </c>
      <c r="J154" t="s">
        <v>557</v>
      </c>
      <c r="L154">
        <v>1.5</v>
      </c>
      <c r="M154">
        <v>217000</v>
      </c>
      <c r="N154">
        <v>2.2000000000000002</v>
      </c>
      <c r="O154">
        <v>9</v>
      </c>
      <c r="P154" t="s">
        <v>26</v>
      </c>
    </row>
    <row r="155" spans="1:16" x14ac:dyDescent="0.25">
      <c r="A155" t="s">
        <v>558</v>
      </c>
      <c r="B155" t="s">
        <v>559</v>
      </c>
      <c r="C155" t="s">
        <v>29</v>
      </c>
      <c r="E155" t="s">
        <v>31</v>
      </c>
      <c r="F155" t="s">
        <v>32</v>
      </c>
      <c r="G155" t="s">
        <v>33</v>
      </c>
      <c r="H155" t="s">
        <v>23</v>
      </c>
      <c r="I155" t="s">
        <v>24</v>
      </c>
      <c r="J155" t="s">
        <v>560</v>
      </c>
      <c r="K155" t="s">
        <v>561</v>
      </c>
      <c r="L155">
        <v>1.7</v>
      </c>
      <c r="M155">
        <v>265000</v>
      </c>
      <c r="N155">
        <v>4.2</v>
      </c>
      <c r="O155">
        <v>1</v>
      </c>
      <c r="P155" t="s">
        <v>72</v>
      </c>
    </row>
    <row r="156" spans="1:16" x14ac:dyDescent="0.25">
      <c r="A156" t="s">
        <v>562</v>
      </c>
      <c r="B156" t="s">
        <v>563</v>
      </c>
      <c r="C156" t="s">
        <v>18</v>
      </c>
      <c r="D156" t="s">
        <v>79</v>
      </c>
      <c r="E156" t="s">
        <v>20</v>
      </c>
      <c r="F156" t="s">
        <v>21</v>
      </c>
      <c r="G156" t="s">
        <v>80</v>
      </c>
      <c r="H156" t="s">
        <v>23</v>
      </c>
      <c r="J156" t="s">
        <v>564</v>
      </c>
      <c r="K156" t="s">
        <v>565</v>
      </c>
      <c r="L156">
        <v>6.1</v>
      </c>
      <c r="M156">
        <v>621000</v>
      </c>
      <c r="N156">
        <v>4.9000000000000004</v>
      </c>
      <c r="O156">
        <v>5</v>
      </c>
      <c r="P156" t="s">
        <v>72</v>
      </c>
    </row>
    <row r="157" spans="1:16" x14ac:dyDescent="0.25">
      <c r="A157" t="s">
        <v>566</v>
      </c>
      <c r="B157" t="s">
        <v>567</v>
      </c>
      <c r="C157" t="s">
        <v>29</v>
      </c>
      <c r="D157" t="s">
        <v>185</v>
      </c>
      <c r="E157" t="s">
        <v>20</v>
      </c>
      <c r="F157" t="s">
        <v>128</v>
      </c>
      <c r="G157" t="s">
        <v>80</v>
      </c>
      <c r="H157" t="s">
        <v>46</v>
      </c>
      <c r="I157" t="s">
        <v>57</v>
      </c>
      <c r="J157" t="s">
        <v>568</v>
      </c>
      <c r="K157" t="s">
        <v>569</v>
      </c>
      <c r="L157">
        <v>5</v>
      </c>
      <c r="M157">
        <v>402000</v>
      </c>
      <c r="N157">
        <v>3.6</v>
      </c>
      <c r="O157">
        <v>14</v>
      </c>
      <c r="P157" t="s">
        <v>53</v>
      </c>
    </row>
    <row r="158" spans="1:16" x14ac:dyDescent="0.25">
      <c r="A158" t="s">
        <v>570</v>
      </c>
      <c r="B158" t="s">
        <v>571</v>
      </c>
      <c r="C158" t="s">
        <v>29</v>
      </c>
      <c r="D158" t="s">
        <v>30</v>
      </c>
      <c r="E158" t="s">
        <v>20</v>
      </c>
      <c r="F158" t="s">
        <v>32</v>
      </c>
      <c r="G158" t="s">
        <v>80</v>
      </c>
      <c r="H158" t="s">
        <v>62</v>
      </c>
      <c r="I158" t="s">
        <v>57</v>
      </c>
      <c r="J158" t="s">
        <v>357</v>
      </c>
      <c r="K158" t="s">
        <v>572</v>
      </c>
      <c r="L158">
        <v>6</v>
      </c>
      <c r="M158">
        <v>308000</v>
      </c>
      <c r="N158">
        <v>4</v>
      </c>
      <c r="O158">
        <v>6</v>
      </c>
      <c r="P158" t="s">
        <v>53</v>
      </c>
    </row>
    <row r="159" spans="1:16" x14ac:dyDescent="0.25">
      <c r="A159" t="s">
        <v>573</v>
      </c>
      <c r="B159" t="s">
        <v>574</v>
      </c>
      <c r="C159" t="s">
        <v>29</v>
      </c>
      <c r="D159" t="s">
        <v>79</v>
      </c>
      <c r="E159" t="s">
        <v>20</v>
      </c>
      <c r="F159" t="s">
        <v>39</v>
      </c>
      <c r="G159" t="s">
        <v>22</v>
      </c>
      <c r="H159" t="s">
        <v>46</v>
      </c>
      <c r="I159" t="s">
        <v>171</v>
      </c>
      <c r="J159" t="s">
        <v>575</v>
      </c>
      <c r="K159" t="s">
        <v>576</v>
      </c>
      <c r="L159">
        <v>1.7</v>
      </c>
      <c r="M159">
        <v>132000</v>
      </c>
      <c r="N159">
        <v>2.6</v>
      </c>
      <c r="O159">
        <v>5</v>
      </c>
      <c r="P159" t="s">
        <v>53</v>
      </c>
    </row>
    <row r="160" spans="1:16" x14ac:dyDescent="0.25">
      <c r="A160" t="s">
        <v>577</v>
      </c>
      <c r="B160" t="s">
        <v>578</v>
      </c>
      <c r="C160" t="s">
        <v>29</v>
      </c>
      <c r="D160" t="s">
        <v>79</v>
      </c>
      <c r="E160" t="s">
        <v>20</v>
      </c>
      <c r="F160" t="s">
        <v>39</v>
      </c>
      <c r="G160" t="s">
        <v>33</v>
      </c>
      <c r="H160" t="s">
        <v>23</v>
      </c>
      <c r="I160" t="s">
        <v>57</v>
      </c>
      <c r="J160" t="s">
        <v>579</v>
      </c>
      <c r="K160" t="s">
        <v>580</v>
      </c>
      <c r="L160">
        <v>5.0999999999999996</v>
      </c>
      <c r="M160">
        <v>135000</v>
      </c>
      <c r="N160">
        <v>2.7</v>
      </c>
      <c r="O160">
        <v>0</v>
      </c>
      <c r="P160" t="s">
        <v>114</v>
      </c>
    </row>
    <row r="161" spans="1:16" x14ac:dyDescent="0.25">
      <c r="A161" t="s">
        <v>581</v>
      </c>
      <c r="B161" t="s">
        <v>582</v>
      </c>
      <c r="C161" t="s">
        <v>18</v>
      </c>
      <c r="D161" t="s">
        <v>50</v>
      </c>
      <c r="E161" t="s">
        <v>20</v>
      </c>
      <c r="F161" t="s">
        <v>128</v>
      </c>
      <c r="G161" t="s">
        <v>22</v>
      </c>
      <c r="H161" t="s">
        <v>62</v>
      </c>
      <c r="I161" t="s">
        <v>35</v>
      </c>
      <c r="J161" t="s">
        <v>583</v>
      </c>
      <c r="L161">
        <v>4.0999999999999996</v>
      </c>
      <c r="M161">
        <v>552000</v>
      </c>
      <c r="N161">
        <v>2.8</v>
      </c>
      <c r="O161">
        <v>10</v>
      </c>
      <c r="P161" t="s">
        <v>26</v>
      </c>
    </row>
    <row r="162" spans="1:16" x14ac:dyDescent="0.25">
      <c r="A162" t="s">
        <v>584</v>
      </c>
      <c r="B162" t="s">
        <v>585</v>
      </c>
      <c r="D162" t="s">
        <v>19</v>
      </c>
      <c r="E162" t="s">
        <v>20</v>
      </c>
      <c r="F162" t="s">
        <v>32</v>
      </c>
      <c r="G162" t="s">
        <v>33</v>
      </c>
      <c r="H162" t="s">
        <v>23</v>
      </c>
      <c r="I162" t="s">
        <v>75</v>
      </c>
      <c r="J162" t="s">
        <v>400</v>
      </c>
      <c r="L162">
        <v>4.3</v>
      </c>
      <c r="M162">
        <v>346000</v>
      </c>
      <c r="N162">
        <v>3.4</v>
      </c>
      <c r="O162">
        <v>2</v>
      </c>
      <c r="P162" t="s">
        <v>26</v>
      </c>
    </row>
    <row r="163" spans="1:16" x14ac:dyDescent="0.25">
      <c r="A163" t="s">
        <v>586</v>
      </c>
      <c r="B163" t="s">
        <v>587</v>
      </c>
      <c r="C163" t="s">
        <v>29</v>
      </c>
      <c r="D163" t="s">
        <v>50</v>
      </c>
      <c r="E163" t="s">
        <v>20</v>
      </c>
      <c r="F163" t="s">
        <v>32</v>
      </c>
      <c r="G163" t="s">
        <v>69</v>
      </c>
      <c r="H163" t="s">
        <v>46</v>
      </c>
      <c r="I163" t="s">
        <v>24</v>
      </c>
      <c r="J163" t="s">
        <v>550</v>
      </c>
      <c r="L163">
        <v>2.9</v>
      </c>
      <c r="M163">
        <v>288000</v>
      </c>
      <c r="N163">
        <v>2.2999999999999998</v>
      </c>
      <c r="O163">
        <v>10</v>
      </c>
      <c r="P163" t="s">
        <v>26</v>
      </c>
    </row>
    <row r="164" spans="1:16" x14ac:dyDescent="0.25">
      <c r="A164" t="s">
        <v>588</v>
      </c>
      <c r="B164" t="s">
        <v>589</v>
      </c>
      <c r="C164" t="s">
        <v>18</v>
      </c>
      <c r="D164" t="s">
        <v>50</v>
      </c>
      <c r="F164" t="s">
        <v>32</v>
      </c>
      <c r="G164" t="s">
        <v>22</v>
      </c>
      <c r="H164" t="s">
        <v>34</v>
      </c>
      <c r="I164" t="s">
        <v>35</v>
      </c>
      <c r="J164" t="s">
        <v>590</v>
      </c>
      <c r="K164" t="s">
        <v>591</v>
      </c>
      <c r="L164">
        <v>2.5</v>
      </c>
      <c r="M164">
        <v>269000</v>
      </c>
      <c r="N164">
        <v>3.8</v>
      </c>
      <c r="O164">
        <v>6</v>
      </c>
      <c r="P164" t="s">
        <v>53</v>
      </c>
    </row>
    <row r="165" spans="1:16" x14ac:dyDescent="0.25">
      <c r="A165" t="s">
        <v>592</v>
      </c>
      <c r="B165" t="s">
        <v>593</v>
      </c>
      <c r="C165" t="s">
        <v>29</v>
      </c>
      <c r="D165" t="s">
        <v>50</v>
      </c>
      <c r="E165" t="s">
        <v>31</v>
      </c>
      <c r="F165" t="s">
        <v>32</v>
      </c>
      <c r="G165" t="s">
        <v>69</v>
      </c>
      <c r="H165" t="s">
        <v>23</v>
      </c>
      <c r="I165" t="s">
        <v>75</v>
      </c>
      <c r="J165" t="s">
        <v>594</v>
      </c>
      <c r="L165">
        <v>2.6</v>
      </c>
      <c r="M165">
        <v>253000</v>
      </c>
      <c r="N165">
        <v>4</v>
      </c>
      <c r="O165">
        <v>13</v>
      </c>
      <c r="P165" t="s">
        <v>26</v>
      </c>
    </row>
    <row r="166" spans="1:16" x14ac:dyDescent="0.25">
      <c r="A166" t="s">
        <v>595</v>
      </c>
      <c r="B166" t="s">
        <v>596</v>
      </c>
      <c r="C166" t="s">
        <v>18</v>
      </c>
      <c r="D166" t="s">
        <v>43</v>
      </c>
      <c r="E166" t="s">
        <v>31</v>
      </c>
      <c r="F166" t="s">
        <v>128</v>
      </c>
      <c r="G166" t="s">
        <v>80</v>
      </c>
      <c r="H166" t="s">
        <v>34</v>
      </c>
      <c r="I166" t="s">
        <v>57</v>
      </c>
      <c r="J166" t="s">
        <v>597</v>
      </c>
      <c r="L166">
        <v>1.3</v>
      </c>
      <c r="M166">
        <v>499000</v>
      </c>
      <c r="N166">
        <v>4.7</v>
      </c>
      <c r="O166">
        <v>32</v>
      </c>
      <c r="P166" t="s">
        <v>26</v>
      </c>
    </row>
    <row r="167" spans="1:16" x14ac:dyDescent="0.25">
      <c r="A167" t="s">
        <v>598</v>
      </c>
      <c r="B167" t="s">
        <v>599</v>
      </c>
      <c r="C167" t="s">
        <v>29</v>
      </c>
      <c r="D167" t="s">
        <v>50</v>
      </c>
      <c r="E167" t="s">
        <v>20</v>
      </c>
      <c r="F167" t="s">
        <v>32</v>
      </c>
      <c r="G167" t="s">
        <v>80</v>
      </c>
      <c r="H167" t="s">
        <v>34</v>
      </c>
      <c r="I167" t="s">
        <v>35</v>
      </c>
      <c r="J167" t="s">
        <v>600</v>
      </c>
      <c r="L167">
        <v>2</v>
      </c>
      <c r="M167">
        <v>207000</v>
      </c>
      <c r="N167">
        <v>4.4000000000000004</v>
      </c>
      <c r="O167">
        <v>2</v>
      </c>
      <c r="P167" t="s">
        <v>26</v>
      </c>
    </row>
    <row r="168" spans="1:16" x14ac:dyDescent="0.25">
      <c r="A168" t="s">
        <v>601</v>
      </c>
      <c r="B168" t="s">
        <v>602</v>
      </c>
      <c r="C168" t="s">
        <v>29</v>
      </c>
      <c r="D168" t="s">
        <v>50</v>
      </c>
      <c r="E168" t="s">
        <v>44</v>
      </c>
      <c r="F168" t="s">
        <v>39</v>
      </c>
      <c r="G168" t="s">
        <v>33</v>
      </c>
      <c r="I168" t="s">
        <v>24</v>
      </c>
      <c r="J168" t="s">
        <v>603</v>
      </c>
      <c r="L168">
        <v>1.9</v>
      </c>
      <c r="M168">
        <v>149000</v>
      </c>
      <c r="N168">
        <v>2.5</v>
      </c>
      <c r="O168">
        <v>30</v>
      </c>
      <c r="P168" t="s">
        <v>26</v>
      </c>
    </row>
    <row r="169" spans="1:16" x14ac:dyDescent="0.25">
      <c r="A169" t="s">
        <v>604</v>
      </c>
      <c r="B169" t="s">
        <v>605</v>
      </c>
      <c r="C169" t="s">
        <v>29</v>
      </c>
      <c r="D169" t="s">
        <v>79</v>
      </c>
      <c r="E169" t="s">
        <v>20</v>
      </c>
      <c r="F169" t="s">
        <v>21</v>
      </c>
      <c r="G169" t="s">
        <v>33</v>
      </c>
      <c r="H169" t="s">
        <v>46</v>
      </c>
      <c r="I169" t="s">
        <v>24</v>
      </c>
      <c r="J169" t="s">
        <v>606</v>
      </c>
      <c r="L169">
        <v>3.4</v>
      </c>
      <c r="M169">
        <v>783000</v>
      </c>
      <c r="N169">
        <v>3.4</v>
      </c>
      <c r="P169" t="s">
        <v>26</v>
      </c>
    </row>
    <row r="170" spans="1:16" x14ac:dyDescent="0.25">
      <c r="A170" t="s">
        <v>607</v>
      </c>
      <c r="B170" t="s">
        <v>608</v>
      </c>
      <c r="C170" t="s">
        <v>29</v>
      </c>
      <c r="D170" t="s">
        <v>30</v>
      </c>
      <c r="E170" t="s">
        <v>20</v>
      </c>
      <c r="F170" t="s">
        <v>32</v>
      </c>
      <c r="G170" t="s">
        <v>80</v>
      </c>
      <c r="H170" t="s">
        <v>46</v>
      </c>
      <c r="I170" t="s">
        <v>57</v>
      </c>
      <c r="J170" t="s">
        <v>609</v>
      </c>
      <c r="K170" t="s">
        <v>610</v>
      </c>
      <c r="L170">
        <v>4.4000000000000004</v>
      </c>
      <c r="M170">
        <v>314000</v>
      </c>
      <c r="N170">
        <v>3.6</v>
      </c>
      <c r="O170">
        <v>12</v>
      </c>
      <c r="P170" t="s">
        <v>53</v>
      </c>
    </row>
    <row r="171" spans="1:16" x14ac:dyDescent="0.25">
      <c r="A171" t="s">
        <v>611</v>
      </c>
      <c r="B171" t="s">
        <v>612</v>
      </c>
      <c r="C171" t="s">
        <v>18</v>
      </c>
      <c r="D171" t="s">
        <v>79</v>
      </c>
      <c r="E171" t="s">
        <v>31</v>
      </c>
      <c r="F171" t="s">
        <v>39</v>
      </c>
      <c r="G171" t="s">
        <v>80</v>
      </c>
      <c r="H171" t="s">
        <v>23</v>
      </c>
      <c r="I171" t="s">
        <v>24</v>
      </c>
      <c r="J171" t="s">
        <v>613</v>
      </c>
      <c r="L171">
        <v>3.1</v>
      </c>
      <c r="M171">
        <v>95000</v>
      </c>
      <c r="O171">
        <v>4</v>
      </c>
      <c r="P171" t="s">
        <v>26</v>
      </c>
    </row>
    <row r="172" spans="1:16" x14ac:dyDescent="0.25">
      <c r="A172" t="s">
        <v>614</v>
      </c>
      <c r="B172" t="s">
        <v>615</v>
      </c>
      <c r="C172" t="s">
        <v>29</v>
      </c>
      <c r="D172" t="s">
        <v>79</v>
      </c>
      <c r="E172" t="s">
        <v>20</v>
      </c>
      <c r="F172" t="s">
        <v>32</v>
      </c>
      <c r="G172" t="s">
        <v>80</v>
      </c>
      <c r="H172" t="s">
        <v>34</v>
      </c>
      <c r="I172" t="s">
        <v>35</v>
      </c>
      <c r="J172" t="s">
        <v>616</v>
      </c>
      <c r="L172">
        <v>4.8</v>
      </c>
      <c r="M172">
        <v>206000</v>
      </c>
      <c r="N172">
        <v>4.2</v>
      </c>
      <c r="O172">
        <v>11</v>
      </c>
      <c r="P172" t="s">
        <v>26</v>
      </c>
    </row>
    <row r="173" spans="1:16" x14ac:dyDescent="0.25">
      <c r="A173" t="s">
        <v>617</v>
      </c>
      <c r="B173" t="s">
        <v>618</v>
      </c>
      <c r="C173" t="s">
        <v>29</v>
      </c>
      <c r="D173" t="s">
        <v>79</v>
      </c>
      <c r="E173" t="s">
        <v>20</v>
      </c>
      <c r="F173" t="s">
        <v>45</v>
      </c>
      <c r="G173" t="s">
        <v>22</v>
      </c>
      <c r="H173" t="s">
        <v>62</v>
      </c>
      <c r="I173" t="s">
        <v>57</v>
      </c>
      <c r="J173" t="s">
        <v>411</v>
      </c>
      <c r="L173">
        <v>3.1</v>
      </c>
      <c r="M173">
        <v>1162000</v>
      </c>
      <c r="N173">
        <v>3.8</v>
      </c>
      <c r="O173">
        <v>7</v>
      </c>
      <c r="P173" t="s">
        <v>26</v>
      </c>
    </row>
    <row r="174" spans="1:16" x14ac:dyDescent="0.25">
      <c r="A174" t="s">
        <v>619</v>
      </c>
      <c r="B174" t="s">
        <v>620</v>
      </c>
      <c r="C174" t="s">
        <v>18</v>
      </c>
      <c r="D174" t="s">
        <v>19</v>
      </c>
      <c r="E174" t="s">
        <v>20</v>
      </c>
      <c r="F174" t="s">
        <v>32</v>
      </c>
      <c r="G174" t="s">
        <v>22</v>
      </c>
      <c r="H174" t="s">
        <v>23</v>
      </c>
      <c r="I174" t="s">
        <v>24</v>
      </c>
      <c r="J174" t="s">
        <v>621</v>
      </c>
      <c r="K174" t="s">
        <v>622</v>
      </c>
      <c r="L174">
        <v>1.9</v>
      </c>
      <c r="M174">
        <v>385000</v>
      </c>
      <c r="N174">
        <v>4</v>
      </c>
      <c r="O174">
        <v>5</v>
      </c>
      <c r="P174" t="s">
        <v>53</v>
      </c>
    </row>
    <row r="175" spans="1:16" x14ac:dyDescent="0.25">
      <c r="A175" t="s">
        <v>623</v>
      </c>
      <c r="B175" t="s">
        <v>624</v>
      </c>
      <c r="C175" t="s">
        <v>18</v>
      </c>
      <c r="D175" t="s">
        <v>79</v>
      </c>
      <c r="E175" t="s">
        <v>31</v>
      </c>
      <c r="F175" t="s">
        <v>39</v>
      </c>
      <c r="G175" t="s">
        <v>22</v>
      </c>
      <c r="H175" t="s">
        <v>62</v>
      </c>
      <c r="J175" t="s">
        <v>625</v>
      </c>
      <c r="L175">
        <v>5.8</v>
      </c>
      <c r="M175">
        <v>157000</v>
      </c>
      <c r="N175">
        <v>4.3</v>
      </c>
      <c r="O175">
        <v>3</v>
      </c>
      <c r="P175" t="s">
        <v>26</v>
      </c>
    </row>
    <row r="176" spans="1:16" x14ac:dyDescent="0.25">
      <c r="A176" t="s">
        <v>626</v>
      </c>
      <c r="B176" t="s">
        <v>627</v>
      </c>
      <c r="C176" t="s">
        <v>29</v>
      </c>
      <c r="D176" t="s">
        <v>19</v>
      </c>
      <c r="E176" t="s">
        <v>31</v>
      </c>
      <c r="F176" t="s">
        <v>45</v>
      </c>
      <c r="G176" t="s">
        <v>69</v>
      </c>
      <c r="H176" t="s">
        <v>23</v>
      </c>
      <c r="I176" t="s">
        <v>24</v>
      </c>
      <c r="J176" t="s">
        <v>628</v>
      </c>
      <c r="L176">
        <v>2.1</v>
      </c>
      <c r="M176">
        <v>2012000</v>
      </c>
      <c r="N176">
        <v>4.4000000000000004</v>
      </c>
      <c r="O176">
        <v>14</v>
      </c>
      <c r="P176" t="s">
        <v>26</v>
      </c>
    </row>
    <row r="177" spans="1:16" x14ac:dyDescent="0.25">
      <c r="A177" t="s">
        <v>629</v>
      </c>
      <c r="B177" t="s">
        <v>499</v>
      </c>
      <c r="C177" t="s">
        <v>18</v>
      </c>
      <c r="D177" t="s">
        <v>30</v>
      </c>
      <c r="E177" t="s">
        <v>20</v>
      </c>
      <c r="F177" t="s">
        <v>32</v>
      </c>
      <c r="G177" t="s">
        <v>80</v>
      </c>
      <c r="H177" t="s">
        <v>46</v>
      </c>
      <c r="I177" t="s">
        <v>171</v>
      </c>
      <c r="J177" t="s">
        <v>630</v>
      </c>
      <c r="K177" t="s">
        <v>631</v>
      </c>
      <c r="L177">
        <v>4.7</v>
      </c>
      <c r="M177">
        <v>316000</v>
      </c>
      <c r="N177">
        <v>2.9</v>
      </c>
      <c r="O177">
        <v>33</v>
      </c>
      <c r="P177" t="s">
        <v>53</v>
      </c>
    </row>
    <row r="178" spans="1:16" x14ac:dyDescent="0.25">
      <c r="A178" t="s">
        <v>632</v>
      </c>
      <c r="B178" t="s">
        <v>633</v>
      </c>
      <c r="C178" t="s">
        <v>29</v>
      </c>
      <c r="D178" t="s">
        <v>50</v>
      </c>
      <c r="E178" t="s">
        <v>20</v>
      </c>
      <c r="F178" t="s">
        <v>32</v>
      </c>
      <c r="G178" t="s">
        <v>22</v>
      </c>
      <c r="H178" t="s">
        <v>62</v>
      </c>
      <c r="I178" t="s">
        <v>24</v>
      </c>
      <c r="J178" t="s">
        <v>634</v>
      </c>
      <c r="L178">
        <v>5.5</v>
      </c>
      <c r="M178">
        <v>310000</v>
      </c>
      <c r="N178">
        <v>3.5</v>
      </c>
      <c r="O178">
        <v>7</v>
      </c>
      <c r="P178" t="s">
        <v>26</v>
      </c>
    </row>
    <row r="179" spans="1:16" x14ac:dyDescent="0.25">
      <c r="A179" t="s">
        <v>635</v>
      </c>
      <c r="B179" t="s">
        <v>636</v>
      </c>
      <c r="C179" t="s">
        <v>18</v>
      </c>
      <c r="D179" t="s">
        <v>79</v>
      </c>
      <c r="E179" t="s">
        <v>20</v>
      </c>
      <c r="F179" t="s">
        <v>128</v>
      </c>
      <c r="G179" t="s">
        <v>69</v>
      </c>
      <c r="H179" t="s">
        <v>23</v>
      </c>
      <c r="J179" t="s">
        <v>637</v>
      </c>
      <c r="K179" t="s">
        <v>638</v>
      </c>
      <c r="L179">
        <v>4</v>
      </c>
      <c r="M179">
        <v>365000</v>
      </c>
      <c r="N179">
        <v>2.6</v>
      </c>
      <c r="O179">
        <v>4</v>
      </c>
      <c r="P179" t="s">
        <v>114</v>
      </c>
    </row>
    <row r="180" spans="1:16" x14ac:dyDescent="0.25">
      <c r="A180" t="s">
        <v>639</v>
      </c>
      <c r="B180" t="s">
        <v>640</v>
      </c>
      <c r="C180" t="s">
        <v>29</v>
      </c>
      <c r="D180" t="s">
        <v>50</v>
      </c>
      <c r="E180" t="s">
        <v>44</v>
      </c>
      <c r="F180" t="s">
        <v>32</v>
      </c>
      <c r="G180" t="s">
        <v>80</v>
      </c>
      <c r="H180" t="s">
        <v>34</v>
      </c>
      <c r="I180" t="s">
        <v>35</v>
      </c>
      <c r="J180" t="s">
        <v>641</v>
      </c>
      <c r="L180">
        <v>3.3</v>
      </c>
      <c r="M180">
        <v>283000</v>
      </c>
      <c r="N180">
        <v>3</v>
      </c>
      <c r="O180">
        <v>14</v>
      </c>
      <c r="P180" t="s">
        <v>26</v>
      </c>
    </row>
    <row r="181" spans="1:16" x14ac:dyDescent="0.25">
      <c r="A181" t="s">
        <v>642</v>
      </c>
      <c r="B181" t="s">
        <v>384</v>
      </c>
      <c r="C181" t="s">
        <v>18</v>
      </c>
      <c r="D181" t="s">
        <v>50</v>
      </c>
      <c r="E181" t="s">
        <v>20</v>
      </c>
      <c r="F181" t="s">
        <v>32</v>
      </c>
      <c r="G181" t="s">
        <v>80</v>
      </c>
      <c r="H181" t="s">
        <v>23</v>
      </c>
      <c r="I181" t="s">
        <v>75</v>
      </c>
      <c r="J181" t="s">
        <v>472</v>
      </c>
      <c r="L181">
        <v>5.3</v>
      </c>
      <c r="M181">
        <v>329000</v>
      </c>
      <c r="N181">
        <v>2.6</v>
      </c>
      <c r="O181">
        <v>5</v>
      </c>
      <c r="P181" t="s">
        <v>26</v>
      </c>
    </row>
    <row r="182" spans="1:16" x14ac:dyDescent="0.25">
      <c r="A182" t="s">
        <v>643</v>
      </c>
      <c r="B182" t="s">
        <v>644</v>
      </c>
      <c r="C182" t="s">
        <v>29</v>
      </c>
      <c r="D182" t="s">
        <v>19</v>
      </c>
      <c r="E182" t="s">
        <v>20</v>
      </c>
      <c r="F182" t="s">
        <v>32</v>
      </c>
      <c r="G182" t="s">
        <v>69</v>
      </c>
      <c r="H182" t="s">
        <v>46</v>
      </c>
      <c r="I182" t="s">
        <v>57</v>
      </c>
      <c r="J182" t="s">
        <v>645</v>
      </c>
      <c r="L182">
        <v>1.6</v>
      </c>
      <c r="M182">
        <v>249000</v>
      </c>
      <c r="N182">
        <v>3.6</v>
      </c>
      <c r="O182">
        <v>13</v>
      </c>
      <c r="P182" t="s">
        <v>26</v>
      </c>
    </row>
    <row r="183" spans="1:16" x14ac:dyDescent="0.25">
      <c r="A183" t="s">
        <v>646</v>
      </c>
      <c r="B183" t="s">
        <v>647</v>
      </c>
      <c r="C183" t="s">
        <v>29</v>
      </c>
      <c r="D183" t="s">
        <v>19</v>
      </c>
      <c r="E183" t="s">
        <v>20</v>
      </c>
      <c r="F183" t="s">
        <v>32</v>
      </c>
      <c r="G183" t="s">
        <v>80</v>
      </c>
      <c r="H183" t="s">
        <v>34</v>
      </c>
      <c r="I183" t="s">
        <v>57</v>
      </c>
      <c r="J183" t="s">
        <v>648</v>
      </c>
      <c r="L183">
        <v>5.8</v>
      </c>
      <c r="M183">
        <v>385000</v>
      </c>
      <c r="N183">
        <v>3.7</v>
      </c>
      <c r="O183">
        <v>10</v>
      </c>
      <c r="P183" t="s">
        <v>26</v>
      </c>
    </row>
    <row r="184" spans="1:16" x14ac:dyDescent="0.25">
      <c r="A184" t="s">
        <v>649</v>
      </c>
      <c r="B184" t="s">
        <v>650</v>
      </c>
      <c r="C184" t="s">
        <v>29</v>
      </c>
      <c r="D184" t="s">
        <v>50</v>
      </c>
      <c r="E184" t="s">
        <v>44</v>
      </c>
      <c r="F184" t="s">
        <v>32</v>
      </c>
      <c r="G184" t="s">
        <v>33</v>
      </c>
      <c r="I184" t="s">
        <v>24</v>
      </c>
      <c r="J184" t="s">
        <v>651</v>
      </c>
      <c r="L184">
        <v>2.9</v>
      </c>
      <c r="M184">
        <v>207000</v>
      </c>
      <c r="N184">
        <v>2.2999999999999998</v>
      </c>
      <c r="O184">
        <v>4</v>
      </c>
      <c r="P184" t="s">
        <v>26</v>
      </c>
    </row>
    <row r="185" spans="1:16" x14ac:dyDescent="0.25">
      <c r="A185" t="s">
        <v>652</v>
      </c>
      <c r="B185" t="s">
        <v>653</v>
      </c>
      <c r="C185" t="s">
        <v>29</v>
      </c>
      <c r="D185" t="s">
        <v>30</v>
      </c>
      <c r="E185" t="s">
        <v>44</v>
      </c>
      <c r="F185" t="s">
        <v>21</v>
      </c>
      <c r="G185" t="s">
        <v>22</v>
      </c>
      <c r="H185" t="s">
        <v>23</v>
      </c>
      <c r="I185" t="s">
        <v>75</v>
      </c>
      <c r="J185" t="s">
        <v>654</v>
      </c>
      <c r="K185" t="s">
        <v>655</v>
      </c>
      <c r="L185">
        <v>2.7</v>
      </c>
      <c r="M185">
        <v>896000</v>
      </c>
      <c r="N185">
        <v>3.1</v>
      </c>
      <c r="O185">
        <v>4</v>
      </c>
      <c r="P185" t="s">
        <v>53</v>
      </c>
    </row>
    <row r="186" spans="1:16" x14ac:dyDescent="0.25">
      <c r="A186" t="s">
        <v>656</v>
      </c>
      <c r="B186" t="s">
        <v>657</v>
      </c>
      <c r="C186" t="s">
        <v>18</v>
      </c>
      <c r="D186" t="s">
        <v>43</v>
      </c>
      <c r="E186" t="s">
        <v>20</v>
      </c>
      <c r="F186" t="s">
        <v>128</v>
      </c>
      <c r="G186" t="s">
        <v>69</v>
      </c>
      <c r="H186" t="s">
        <v>46</v>
      </c>
      <c r="I186" t="s">
        <v>24</v>
      </c>
      <c r="J186" t="s">
        <v>658</v>
      </c>
      <c r="L186">
        <v>5.7</v>
      </c>
      <c r="M186">
        <v>423000</v>
      </c>
      <c r="N186">
        <v>3.4</v>
      </c>
      <c r="O186">
        <v>10</v>
      </c>
      <c r="P186" t="s">
        <v>26</v>
      </c>
    </row>
    <row r="187" spans="1:16" x14ac:dyDescent="0.25">
      <c r="A187" t="s">
        <v>659</v>
      </c>
      <c r="B187" t="s">
        <v>660</v>
      </c>
      <c r="D187" t="s">
        <v>30</v>
      </c>
      <c r="E187" t="s">
        <v>31</v>
      </c>
      <c r="F187" t="s">
        <v>39</v>
      </c>
      <c r="G187" t="s">
        <v>80</v>
      </c>
      <c r="H187" t="s">
        <v>62</v>
      </c>
      <c r="I187" t="s">
        <v>57</v>
      </c>
      <c r="J187" t="s">
        <v>661</v>
      </c>
      <c r="L187">
        <v>2.6</v>
      </c>
      <c r="M187">
        <v>89000</v>
      </c>
      <c r="N187">
        <v>2.4</v>
      </c>
      <c r="O187">
        <v>3</v>
      </c>
      <c r="P187" t="s">
        <v>26</v>
      </c>
    </row>
    <row r="188" spans="1:16" x14ac:dyDescent="0.25">
      <c r="A188" t="s">
        <v>662</v>
      </c>
      <c r="B188" t="s">
        <v>663</v>
      </c>
      <c r="C188" t="s">
        <v>29</v>
      </c>
      <c r="D188" t="s">
        <v>50</v>
      </c>
      <c r="E188" t="s">
        <v>20</v>
      </c>
      <c r="F188" t="s">
        <v>39</v>
      </c>
      <c r="G188" t="s">
        <v>22</v>
      </c>
      <c r="H188" t="s">
        <v>46</v>
      </c>
      <c r="J188" t="s">
        <v>664</v>
      </c>
      <c r="L188">
        <v>3</v>
      </c>
      <c r="M188">
        <v>132000</v>
      </c>
      <c r="O188">
        <v>3</v>
      </c>
      <c r="P188" t="s">
        <v>53</v>
      </c>
    </row>
    <row r="189" spans="1:16" x14ac:dyDescent="0.25">
      <c r="A189" t="s">
        <v>665</v>
      </c>
      <c r="B189" t="s">
        <v>666</v>
      </c>
      <c r="C189" t="s">
        <v>18</v>
      </c>
      <c r="D189" t="s">
        <v>43</v>
      </c>
      <c r="E189" t="s">
        <v>44</v>
      </c>
      <c r="F189" t="s">
        <v>128</v>
      </c>
      <c r="G189" t="s">
        <v>22</v>
      </c>
      <c r="H189" t="s">
        <v>46</v>
      </c>
      <c r="I189" t="s">
        <v>24</v>
      </c>
      <c r="J189" t="s">
        <v>667</v>
      </c>
      <c r="L189">
        <v>5</v>
      </c>
      <c r="M189">
        <v>475000</v>
      </c>
      <c r="N189">
        <v>3.7</v>
      </c>
      <c r="O189">
        <v>6</v>
      </c>
      <c r="P189" t="s">
        <v>26</v>
      </c>
    </row>
    <row r="190" spans="1:16" x14ac:dyDescent="0.25">
      <c r="A190" t="s">
        <v>668</v>
      </c>
      <c r="B190" t="s">
        <v>669</v>
      </c>
      <c r="C190" t="s">
        <v>29</v>
      </c>
      <c r="D190" t="s">
        <v>43</v>
      </c>
      <c r="E190" t="s">
        <v>20</v>
      </c>
      <c r="F190" t="s">
        <v>39</v>
      </c>
      <c r="G190" t="s">
        <v>33</v>
      </c>
      <c r="H190" t="s">
        <v>46</v>
      </c>
      <c r="I190" t="s">
        <v>24</v>
      </c>
      <c r="J190" t="s">
        <v>670</v>
      </c>
      <c r="L190">
        <v>4.7</v>
      </c>
      <c r="M190">
        <v>138000</v>
      </c>
      <c r="N190">
        <v>3.7</v>
      </c>
      <c r="O190">
        <v>9</v>
      </c>
      <c r="P190" t="s">
        <v>26</v>
      </c>
    </row>
    <row r="191" spans="1:16" x14ac:dyDescent="0.25">
      <c r="A191" t="s">
        <v>671</v>
      </c>
      <c r="B191" t="s">
        <v>672</v>
      </c>
      <c r="C191" t="s">
        <v>29</v>
      </c>
      <c r="D191" t="s">
        <v>19</v>
      </c>
      <c r="E191" t="s">
        <v>20</v>
      </c>
      <c r="F191" t="s">
        <v>128</v>
      </c>
      <c r="G191" t="s">
        <v>33</v>
      </c>
      <c r="H191" t="s">
        <v>62</v>
      </c>
      <c r="J191" t="s">
        <v>673</v>
      </c>
      <c r="L191">
        <v>4.3</v>
      </c>
      <c r="M191">
        <v>498000</v>
      </c>
      <c r="N191">
        <v>4.3</v>
      </c>
      <c r="O191">
        <v>2</v>
      </c>
      <c r="P191" t="s">
        <v>26</v>
      </c>
    </row>
    <row r="192" spans="1:16" x14ac:dyDescent="0.25">
      <c r="A192" t="s">
        <v>674</v>
      </c>
      <c r="B192" t="s">
        <v>675</v>
      </c>
      <c r="C192" t="s">
        <v>18</v>
      </c>
      <c r="D192" t="s">
        <v>43</v>
      </c>
      <c r="E192" t="s">
        <v>20</v>
      </c>
      <c r="F192" t="s">
        <v>128</v>
      </c>
      <c r="G192" t="s">
        <v>33</v>
      </c>
      <c r="H192" t="s">
        <v>34</v>
      </c>
      <c r="I192" t="s">
        <v>57</v>
      </c>
      <c r="J192" t="s">
        <v>676</v>
      </c>
      <c r="L192">
        <v>5.4</v>
      </c>
      <c r="M192">
        <v>432000</v>
      </c>
      <c r="N192">
        <v>4</v>
      </c>
      <c r="O192">
        <v>6</v>
      </c>
      <c r="P192" t="s">
        <v>26</v>
      </c>
    </row>
    <row r="193" spans="1:16" x14ac:dyDescent="0.25">
      <c r="A193" t="s">
        <v>677</v>
      </c>
      <c r="B193" t="s">
        <v>678</v>
      </c>
      <c r="C193" t="s">
        <v>29</v>
      </c>
      <c r="D193" t="s">
        <v>43</v>
      </c>
      <c r="E193" t="s">
        <v>20</v>
      </c>
      <c r="F193" t="s">
        <v>39</v>
      </c>
      <c r="G193" t="s">
        <v>22</v>
      </c>
      <c r="H193" t="s">
        <v>34</v>
      </c>
      <c r="I193" t="s">
        <v>75</v>
      </c>
      <c r="J193" t="s">
        <v>679</v>
      </c>
      <c r="L193">
        <v>4</v>
      </c>
      <c r="M193">
        <v>143000</v>
      </c>
      <c r="N193">
        <v>4.4000000000000004</v>
      </c>
      <c r="O193">
        <v>2</v>
      </c>
      <c r="P193" t="s">
        <v>26</v>
      </c>
    </row>
    <row r="194" spans="1:16" x14ac:dyDescent="0.25">
      <c r="A194" t="s">
        <v>680</v>
      </c>
      <c r="B194" t="s">
        <v>681</v>
      </c>
      <c r="C194" t="s">
        <v>18</v>
      </c>
      <c r="D194" t="s">
        <v>43</v>
      </c>
      <c r="E194" t="s">
        <v>31</v>
      </c>
      <c r="G194" t="s">
        <v>22</v>
      </c>
      <c r="H194" t="s">
        <v>34</v>
      </c>
      <c r="I194" t="s">
        <v>75</v>
      </c>
      <c r="J194" t="s">
        <v>682</v>
      </c>
      <c r="L194">
        <v>3.5</v>
      </c>
      <c r="M194">
        <v>496000</v>
      </c>
      <c r="N194">
        <v>4.9000000000000004</v>
      </c>
      <c r="O194">
        <v>2</v>
      </c>
      <c r="P194" t="s">
        <v>26</v>
      </c>
    </row>
    <row r="195" spans="1:16" x14ac:dyDescent="0.25">
      <c r="A195" t="s">
        <v>683</v>
      </c>
      <c r="B195" t="s">
        <v>684</v>
      </c>
      <c r="C195" t="s">
        <v>29</v>
      </c>
      <c r="D195" t="s">
        <v>79</v>
      </c>
      <c r="E195" t="s">
        <v>20</v>
      </c>
      <c r="F195" t="s">
        <v>39</v>
      </c>
      <c r="G195" t="s">
        <v>22</v>
      </c>
      <c r="H195" t="s">
        <v>46</v>
      </c>
      <c r="I195" t="s">
        <v>24</v>
      </c>
      <c r="J195" t="s">
        <v>685</v>
      </c>
      <c r="L195">
        <v>4.8</v>
      </c>
      <c r="M195">
        <v>149000</v>
      </c>
      <c r="N195">
        <v>3.2</v>
      </c>
      <c r="O195">
        <v>6</v>
      </c>
      <c r="P195" t="s">
        <v>26</v>
      </c>
    </row>
    <row r="196" spans="1:16" x14ac:dyDescent="0.25">
      <c r="A196" t="s">
        <v>686</v>
      </c>
      <c r="B196" t="s">
        <v>687</v>
      </c>
      <c r="C196" t="s">
        <v>29</v>
      </c>
      <c r="D196" t="s">
        <v>50</v>
      </c>
      <c r="E196" t="s">
        <v>20</v>
      </c>
      <c r="G196" t="s">
        <v>33</v>
      </c>
      <c r="H196" t="s">
        <v>62</v>
      </c>
      <c r="I196" t="s">
        <v>75</v>
      </c>
      <c r="J196" t="s">
        <v>688</v>
      </c>
      <c r="L196">
        <v>6</v>
      </c>
      <c r="M196">
        <v>709000</v>
      </c>
      <c r="N196">
        <v>4.9000000000000004</v>
      </c>
      <c r="O196">
        <v>20</v>
      </c>
      <c r="P196" t="s">
        <v>26</v>
      </c>
    </row>
    <row r="197" spans="1:16" x14ac:dyDescent="0.25">
      <c r="A197" t="s">
        <v>689</v>
      </c>
      <c r="B197" t="s">
        <v>690</v>
      </c>
      <c r="C197" t="s">
        <v>18</v>
      </c>
      <c r="D197" t="s">
        <v>50</v>
      </c>
      <c r="E197" t="s">
        <v>20</v>
      </c>
      <c r="F197" t="s">
        <v>128</v>
      </c>
      <c r="G197" t="s">
        <v>22</v>
      </c>
      <c r="H197" t="s">
        <v>34</v>
      </c>
      <c r="I197" t="s">
        <v>57</v>
      </c>
      <c r="J197" t="s">
        <v>691</v>
      </c>
      <c r="K197" t="s">
        <v>235</v>
      </c>
      <c r="L197">
        <v>5.9</v>
      </c>
      <c r="M197">
        <v>549000</v>
      </c>
      <c r="N197">
        <v>4.5999999999999996</v>
      </c>
      <c r="O197">
        <v>4</v>
      </c>
      <c r="P197" t="s">
        <v>72</v>
      </c>
    </row>
    <row r="198" spans="1:16" x14ac:dyDescent="0.25">
      <c r="A198" t="s">
        <v>692</v>
      </c>
      <c r="B198" t="s">
        <v>323</v>
      </c>
      <c r="C198" t="s">
        <v>18</v>
      </c>
      <c r="D198" t="s">
        <v>43</v>
      </c>
      <c r="F198" t="s">
        <v>32</v>
      </c>
      <c r="G198" t="s">
        <v>80</v>
      </c>
      <c r="H198" t="s">
        <v>34</v>
      </c>
      <c r="I198" t="s">
        <v>35</v>
      </c>
      <c r="J198" t="s">
        <v>693</v>
      </c>
      <c r="L198">
        <v>1.3</v>
      </c>
      <c r="M198">
        <v>291000</v>
      </c>
      <c r="N198">
        <v>3.9</v>
      </c>
      <c r="O198">
        <v>31</v>
      </c>
      <c r="P198" t="s">
        <v>26</v>
      </c>
    </row>
    <row r="199" spans="1:16" x14ac:dyDescent="0.25">
      <c r="A199" t="s">
        <v>694</v>
      </c>
      <c r="B199" t="s">
        <v>695</v>
      </c>
      <c r="C199" t="s">
        <v>18</v>
      </c>
      <c r="D199" t="s">
        <v>30</v>
      </c>
      <c r="E199" t="s">
        <v>31</v>
      </c>
      <c r="F199" t="s">
        <v>39</v>
      </c>
      <c r="G199" t="s">
        <v>22</v>
      </c>
      <c r="I199" t="s">
        <v>35</v>
      </c>
      <c r="J199" t="s">
        <v>696</v>
      </c>
      <c r="K199" t="s">
        <v>697</v>
      </c>
      <c r="L199">
        <v>4.5</v>
      </c>
      <c r="M199">
        <v>124000</v>
      </c>
      <c r="N199">
        <v>3.4</v>
      </c>
      <c r="O199">
        <v>37</v>
      </c>
      <c r="P199" t="s">
        <v>114</v>
      </c>
    </row>
    <row r="200" spans="1:16" x14ac:dyDescent="0.25">
      <c r="A200" t="s">
        <v>698</v>
      </c>
      <c r="B200" t="s">
        <v>699</v>
      </c>
      <c r="C200" t="s">
        <v>18</v>
      </c>
      <c r="D200" t="s">
        <v>79</v>
      </c>
      <c r="E200" t="s">
        <v>20</v>
      </c>
      <c r="F200" t="s">
        <v>39</v>
      </c>
      <c r="G200" t="s">
        <v>80</v>
      </c>
      <c r="H200" t="s">
        <v>23</v>
      </c>
      <c r="I200" t="s">
        <v>35</v>
      </c>
      <c r="J200" t="s">
        <v>700</v>
      </c>
      <c r="L200">
        <v>2.4</v>
      </c>
      <c r="M200">
        <v>147000</v>
      </c>
      <c r="N200">
        <v>4.8</v>
      </c>
      <c r="O200">
        <v>14</v>
      </c>
      <c r="P200" t="s">
        <v>26</v>
      </c>
    </row>
    <row r="201" spans="1:16" x14ac:dyDescent="0.25">
      <c r="A201" t="s">
        <v>701</v>
      </c>
      <c r="B201" t="s">
        <v>702</v>
      </c>
      <c r="D201" t="s">
        <v>43</v>
      </c>
      <c r="E201" t="s">
        <v>20</v>
      </c>
      <c r="G201" t="s">
        <v>22</v>
      </c>
      <c r="H201" t="s">
        <v>34</v>
      </c>
      <c r="I201" t="s">
        <v>35</v>
      </c>
      <c r="J201" t="s">
        <v>703</v>
      </c>
      <c r="L201">
        <v>4.0999999999999996</v>
      </c>
      <c r="N201">
        <v>4.2</v>
      </c>
      <c r="P201" t="s">
        <v>26</v>
      </c>
    </row>
    <row r="202" spans="1:16" x14ac:dyDescent="0.25">
      <c r="A202" t="s">
        <v>704</v>
      </c>
      <c r="B202" t="s">
        <v>705</v>
      </c>
      <c r="C202" t="s">
        <v>29</v>
      </c>
      <c r="D202" t="s">
        <v>43</v>
      </c>
      <c r="E202" t="s">
        <v>20</v>
      </c>
      <c r="F202" t="s">
        <v>128</v>
      </c>
      <c r="G202" t="s">
        <v>33</v>
      </c>
      <c r="H202" t="s">
        <v>34</v>
      </c>
      <c r="I202" t="s">
        <v>57</v>
      </c>
      <c r="J202" t="s">
        <v>706</v>
      </c>
      <c r="L202">
        <v>4.5999999999999996</v>
      </c>
      <c r="M202">
        <v>350000</v>
      </c>
      <c r="N202">
        <v>2.4</v>
      </c>
      <c r="O202">
        <v>10</v>
      </c>
      <c r="P202" t="s">
        <v>26</v>
      </c>
    </row>
    <row r="203" spans="1:16" x14ac:dyDescent="0.25">
      <c r="A203" t="s">
        <v>707</v>
      </c>
      <c r="B203" t="s">
        <v>708</v>
      </c>
      <c r="C203" t="s">
        <v>18</v>
      </c>
      <c r="D203" t="s">
        <v>50</v>
      </c>
      <c r="E203" t="s">
        <v>20</v>
      </c>
      <c r="F203" t="s">
        <v>39</v>
      </c>
      <c r="G203" t="s">
        <v>22</v>
      </c>
      <c r="H203" t="s">
        <v>34</v>
      </c>
      <c r="I203" t="s">
        <v>57</v>
      </c>
      <c r="J203" t="s">
        <v>709</v>
      </c>
      <c r="K203" t="s">
        <v>710</v>
      </c>
      <c r="L203">
        <v>2.7</v>
      </c>
      <c r="M203">
        <v>114000</v>
      </c>
      <c r="N203">
        <v>4.0999999999999996</v>
      </c>
      <c r="O203">
        <v>2</v>
      </c>
      <c r="P203" t="s">
        <v>53</v>
      </c>
    </row>
    <row r="204" spans="1:16" x14ac:dyDescent="0.25">
      <c r="A204" t="s">
        <v>711</v>
      </c>
      <c r="B204" t="s">
        <v>712</v>
      </c>
      <c r="C204" t="s">
        <v>29</v>
      </c>
      <c r="D204" t="s">
        <v>79</v>
      </c>
      <c r="E204" t="s">
        <v>20</v>
      </c>
      <c r="F204" t="s">
        <v>39</v>
      </c>
      <c r="G204" t="s">
        <v>80</v>
      </c>
      <c r="H204" t="s">
        <v>62</v>
      </c>
      <c r="I204" t="s">
        <v>35</v>
      </c>
      <c r="J204" t="s">
        <v>713</v>
      </c>
      <c r="L204">
        <v>2.2000000000000002</v>
      </c>
      <c r="M204">
        <v>160000</v>
      </c>
      <c r="N204">
        <v>4.5999999999999996</v>
      </c>
      <c r="O204">
        <v>2</v>
      </c>
      <c r="P204" t="s">
        <v>26</v>
      </c>
    </row>
    <row r="205" spans="1:16" x14ac:dyDescent="0.25">
      <c r="A205" t="s">
        <v>714</v>
      </c>
      <c r="B205" t="s">
        <v>715</v>
      </c>
      <c r="C205" t="s">
        <v>29</v>
      </c>
      <c r="D205" t="s">
        <v>43</v>
      </c>
      <c r="E205" t="s">
        <v>44</v>
      </c>
      <c r="F205" t="s">
        <v>128</v>
      </c>
      <c r="G205" t="s">
        <v>80</v>
      </c>
      <c r="H205" t="s">
        <v>34</v>
      </c>
      <c r="I205" t="s">
        <v>24</v>
      </c>
      <c r="J205" t="s">
        <v>716</v>
      </c>
      <c r="L205">
        <v>5.4</v>
      </c>
      <c r="M205">
        <v>361000</v>
      </c>
      <c r="N205">
        <v>4.5999999999999996</v>
      </c>
      <c r="O205">
        <v>5</v>
      </c>
      <c r="P205" t="s">
        <v>26</v>
      </c>
    </row>
    <row r="206" spans="1:16" x14ac:dyDescent="0.25">
      <c r="A206" t="s">
        <v>717</v>
      </c>
      <c r="B206" t="s">
        <v>718</v>
      </c>
      <c r="C206" t="s">
        <v>18</v>
      </c>
      <c r="D206" t="s">
        <v>19</v>
      </c>
      <c r="E206" t="s">
        <v>44</v>
      </c>
      <c r="F206" t="s">
        <v>128</v>
      </c>
      <c r="G206" t="s">
        <v>33</v>
      </c>
      <c r="H206" t="s">
        <v>23</v>
      </c>
      <c r="I206" t="s">
        <v>35</v>
      </c>
      <c r="J206" t="s">
        <v>719</v>
      </c>
      <c r="L206">
        <v>5.6</v>
      </c>
      <c r="M206">
        <v>414000</v>
      </c>
      <c r="N206">
        <v>2.7</v>
      </c>
      <c r="O206">
        <v>1</v>
      </c>
      <c r="P206" t="s">
        <v>26</v>
      </c>
    </row>
    <row r="207" spans="1:16" x14ac:dyDescent="0.25">
      <c r="A207" t="s">
        <v>720</v>
      </c>
      <c r="B207" t="s">
        <v>721</v>
      </c>
      <c r="C207" t="s">
        <v>18</v>
      </c>
      <c r="D207" t="s">
        <v>30</v>
      </c>
      <c r="E207" t="s">
        <v>20</v>
      </c>
      <c r="F207" t="s">
        <v>32</v>
      </c>
      <c r="G207" t="s">
        <v>80</v>
      </c>
      <c r="H207" t="s">
        <v>23</v>
      </c>
      <c r="I207" t="s">
        <v>35</v>
      </c>
      <c r="J207" t="s">
        <v>722</v>
      </c>
      <c r="K207" t="s">
        <v>723</v>
      </c>
      <c r="L207">
        <v>3.5</v>
      </c>
      <c r="M207">
        <v>274000</v>
      </c>
      <c r="N207">
        <v>4.7</v>
      </c>
      <c r="O207">
        <v>1</v>
      </c>
      <c r="P207" t="s">
        <v>53</v>
      </c>
    </row>
    <row r="208" spans="1:16" x14ac:dyDescent="0.25">
      <c r="A208" t="s">
        <v>724</v>
      </c>
      <c r="B208" t="s">
        <v>725</v>
      </c>
      <c r="C208" t="s">
        <v>29</v>
      </c>
      <c r="D208" t="s">
        <v>79</v>
      </c>
      <c r="E208" t="s">
        <v>31</v>
      </c>
      <c r="F208" t="s">
        <v>32</v>
      </c>
      <c r="G208" t="s">
        <v>22</v>
      </c>
      <c r="H208" t="s">
        <v>23</v>
      </c>
      <c r="I208" t="s">
        <v>57</v>
      </c>
      <c r="J208" t="s">
        <v>242</v>
      </c>
      <c r="K208" t="s">
        <v>726</v>
      </c>
      <c r="L208">
        <v>4.4000000000000004</v>
      </c>
      <c r="M208">
        <v>242000</v>
      </c>
      <c r="N208">
        <v>4.5</v>
      </c>
      <c r="O208">
        <v>12</v>
      </c>
      <c r="P208" t="s">
        <v>114</v>
      </c>
    </row>
    <row r="209" spans="1:16" x14ac:dyDescent="0.25">
      <c r="A209" t="s">
        <v>727</v>
      </c>
      <c r="B209" t="s">
        <v>728</v>
      </c>
      <c r="C209" t="s">
        <v>29</v>
      </c>
      <c r="D209" t="s">
        <v>50</v>
      </c>
      <c r="E209" t="s">
        <v>44</v>
      </c>
      <c r="F209" t="s">
        <v>32</v>
      </c>
      <c r="G209" t="s">
        <v>33</v>
      </c>
      <c r="H209" t="s">
        <v>34</v>
      </c>
      <c r="I209" t="s">
        <v>24</v>
      </c>
      <c r="J209" t="s">
        <v>634</v>
      </c>
      <c r="K209" t="s">
        <v>729</v>
      </c>
      <c r="L209">
        <v>5.5</v>
      </c>
      <c r="M209">
        <v>224000</v>
      </c>
      <c r="N209">
        <v>2.9</v>
      </c>
      <c r="O209">
        <v>7</v>
      </c>
      <c r="P209" t="s">
        <v>53</v>
      </c>
    </row>
    <row r="210" spans="1:16" x14ac:dyDescent="0.25">
      <c r="A210" t="s">
        <v>730</v>
      </c>
      <c r="B210" t="s">
        <v>731</v>
      </c>
      <c r="C210" t="s">
        <v>18</v>
      </c>
      <c r="D210" t="s">
        <v>30</v>
      </c>
      <c r="E210" t="s">
        <v>44</v>
      </c>
      <c r="F210" t="s">
        <v>39</v>
      </c>
      <c r="G210" t="s">
        <v>80</v>
      </c>
      <c r="H210" t="s">
        <v>34</v>
      </c>
      <c r="I210" t="s">
        <v>75</v>
      </c>
      <c r="J210" t="s">
        <v>732</v>
      </c>
      <c r="L210">
        <v>2.6</v>
      </c>
      <c r="M210">
        <v>108000</v>
      </c>
      <c r="N210">
        <v>3.2</v>
      </c>
      <c r="O210">
        <v>8</v>
      </c>
      <c r="P210" t="s">
        <v>26</v>
      </c>
    </row>
    <row r="211" spans="1:16" x14ac:dyDescent="0.25">
      <c r="A211" t="s">
        <v>733</v>
      </c>
      <c r="B211" t="s">
        <v>734</v>
      </c>
      <c r="C211" t="s">
        <v>18</v>
      </c>
      <c r="D211" t="s">
        <v>19</v>
      </c>
      <c r="E211" t="s">
        <v>20</v>
      </c>
      <c r="F211" t="s">
        <v>39</v>
      </c>
      <c r="G211" t="s">
        <v>33</v>
      </c>
      <c r="H211" t="s">
        <v>34</v>
      </c>
      <c r="I211" t="s">
        <v>35</v>
      </c>
      <c r="J211" t="s">
        <v>735</v>
      </c>
      <c r="L211">
        <v>4.8</v>
      </c>
      <c r="M211">
        <v>176000</v>
      </c>
      <c r="N211">
        <v>4.2</v>
      </c>
      <c r="O211">
        <v>20</v>
      </c>
      <c r="P211" t="s">
        <v>26</v>
      </c>
    </row>
    <row r="212" spans="1:16" x14ac:dyDescent="0.25">
      <c r="A212" t="s">
        <v>736</v>
      </c>
      <c r="B212" t="s">
        <v>737</v>
      </c>
      <c r="C212" t="s">
        <v>29</v>
      </c>
      <c r="D212" t="s">
        <v>30</v>
      </c>
      <c r="E212" t="s">
        <v>31</v>
      </c>
      <c r="F212" t="s">
        <v>128</v>
      </c>
      <c r="G212" t="s">
        <v>80</v>
      </c>
      <c r="H212" t="s">
        <v>34</v>
      </c>
      <c r="I212" t="s">
        <v>75</v>
      </c>
      <c r="J212" t="s">
        <v>738</v>
      </c>
      <c r="L212">
        <v>3.2</v>
      </c>
      <c r="M212">
        <v>574000</v>
      </c>
      <c r="N212">
        <v>4.3</v>
      </c>
      <c r="O212">
        <v>6</v>
      </c>
      <c r="P212" t="s">
        <v>26</v>
      </c>
    </row>
    <row r="213" spans="1:16" x14ac:dyDescent="0.25">
      <c r="A213" t="s">
        <v>739</v>
      </c>
      <c r="B213" t="s">
        <v>740</v>
      </c>
      <c r="C213" t="s">
        <v>29</v>
      </c>
      <c r="D213" t="s">
        <v>43</v>
      </c>
      <c r="E213" t="s">
        <v>31</v>
      </c>
      <c r="F213" t="s">
        <v>128</v>
      </c>
      <c r="G213" t="s">
        <v>22</v>
      </c>
      <c r="H213" t="s">
        <v>62</v>
      </c>
      <c r="I213" t="s">
        <v>24</v>
      </c>
      <c r="J213" t="s">
        <v>741</v>
      </c>
      <c r="K213" t="s">
        <v>590</v>
      </c>
      <c r="L213">
        <v>3.2</v>
      </c>
      <c r="M213">
        <v>474000</v>
      </c>
      <c r="N213">
        <v>4</v>
      </c>
      <c r="O213">
        <v>14</v>
      </c>
      <c r="P213" t="s">
        <v>53</v>
      </c>
    </row>
    <row r="214" spans="1:16" x14ac:dyDescent="0.25">
      <c r="A214" t="s">
        <v>742</v>
      </c>
      <c r="B214" t="s">
        <v>743</v>
      </c>
      <c r="C214" t="s">
        <v>29</v>
      </c>
      <c r="E214" t="s">
        <v>20</v>
      </c>
      <c r="F214" t="s">
        <v>39</v>
      </c>
      <c r="G214" t="s">
        <v>22</v>
      </c>
      <c r="H214" t="s">
        <v>23</v>
      </c>
      <c r="I214" t="s">
        <v>57</v>
      </c>
      <c r="J214" t="s">
        <v>744</v>
      </c>
      <c r="K214" t="s">
        <v>745</v>
      </c>
      <c r="L214">
        <v>3.1</v>
      </c>
      <c r="M214">
        <v>137000</v>
      </c>
      <c r="N214">
        <v>1.5</v>
      </c>
      <c r="O214">
        <v>7</v>
      </c>
      <c r="P214" t="s">
        <v>72</v>
      </c>
    </row>
    <row r="215" spans="1:16" x14ac:dyDescent="0.25">
      <c r="A215" t="s">
        <v>746</v>
      </c>
      <c r="B215" t="s">
        <v>747</v>
      </c>
      <c r="C215" t="s">
        <v>18</v>
      </c>
      <c r="D215" t="s">
        <v>50</v>
      </c>
      <c r="E215" t="s">
        <v>20</v>
      </c>
      <c r="F215" t="s">
        <v>128</v>
      </c>
      <c r="G215" t="s">
        <v>69</v>
      </c>
      <c r="H215" t="s">
        <v>23</v>
      </c>
      <c r="I215" t="s">
        <v>75</v>
      </c>
      <c r="J215" t="s">
        <v>748</v>
      </c>
      <c r="K215" t="s">
        <v>749</v>
      </c>
      <c r="L215">
        <v>4.5999999999999996</v>
      </c>
      <c r="M215">
        <v>398000</v>
      </c>
      <c r="N215">
        <v>3.2</v>
      </c>
      <c r="O215">
        <v>3</v>
      </c>
      <c r="P215" t="s">
        <v>53</v>
      </c>
    </row>
    <row r="216" spans="1:16" x14ac:dyDescent="0.25">
      <c r="A216" t="s">
        <v>750</v>
      </c>
      <c r="B216" t="s">
        <v>751</v>
      </c>
      <c r="C216" t="s">
        <v>29</v>
      </c>
      <c r="D216" t="s">
        <v>30</v>
      </c>
      <c r="E216" t="s">
        <v>44</v>
      </c>
      <c r="F216" t="s">
        <v>32</v>
      </c>
      <c r="G216" t="s">
        <v>22</v>
      </c>
      <c r="H216" t="s">
        <v>46</v>
      </c>
      <c r="I216" t="s">
        <v>75</v>
      </c>
      <c r="J216" t="s">
        <v>752</v>
      </c>
      <c r="L216">
        <v>5.5</v>
      </c>
      <c r="M216">
        <v>326000</v>
      </c>
      <c r="N216">
        <v>3.6</v>
      </c>
      <c r="O216">
        <v>1</v>
      </c>
      <c r="P216" t="s">
        <v>26</v>
      </c>
    </row>
    <row r="217" spans="1:16" x14ac:dyDescent="0.25">
      <c r="A217" t="s">
        <v>753</v>
      </c>
      <c r="B217" t="s">
        <v>754</v>
      </c>
      <c r="C217" t="s">
        <v>29</v>
      </c>
      <c r="D217" t="s">
        <v>50</v>
      </c>
      <c r="E217" t="s">
        <v>20</v>
      </c>
      <c r="F217" t="s">
        <v>32</v>
      </c>
      <c r="G217" t="s">
        <v>22</v>
      </c>
      <c r="H217" t="s">
        <v>34</v>
      </c>
      <c r="I217" t="s">
        <v>24</v>
      </c>
      <c r="J217" t="s">
        <v>253</v>
      </c>
      <c r="K217" t="s">
        <v>755</v>
      </c>
      <c r="L217">
        <v>3.5</v>
      </c>
      <c r="M217">
        <v>233000</v>
      </c>
      <c r="N217">
        <v>2.6</v>
      </c>
      <c r="O217">
        <v>13</v>
      </c>
      <c r="P217" t="s">
        <v>53</v>
      </c>
    </row>
    <row r="218" spans="1:16" x14ac:dyDescent="0.25">
      <c r="A218" t="s">
        <v>756</v>
      </c>
      <c r="B218" t="s">
        <v>757</v>
      </c>
      <c r="C218" t="s">
        <v>29</v>
      </c>
      <c r="D218" t="s">
        <v>79</v>
      </c>
      <c r="E218" t="s">
        <v>20</v>
      </c>
      <c r="F218" t="s">
        <v>32</v>
      </c>
      <c r="G218" t="s">
        <v>33</v>
      </c>
      <c r="H218" t="s">
        <v>34</v>
      </c>
      <c r="I218" t="s">
        <v>24</v>
      </c>
      <c r="J218" t="s">
        <v>758</v>
      </c>
      <c r="L218">
        <v>2.1</v>
      </c>
      <c r="M218">
        <v>294000</v>
      </c>
      <c r="N218">
        <v>4.3</v>
      </c>
      <c r="O218">
        <v>10</v>
      </c>
      <c r="P218" t="s">
        <v>26</v>
      </c>
    </row>
    <row r="219" spans="1:16" x14ac:dyDescent="0.25">
      <c r="A219" t="s">
        <v>759</v>
      </c>
      <c r="B219" t="s">
        <v>760</v>
      </c>
      <c r="C219" t="s">
        <v>29</v>
      </c>
      <c r="D219" t="s">
        <v>79</v>
      </c>
      <c r="E219" t="s">
        <v>20</v>
      </c>
      <c r="F219" t="s">
        <v>128</v>
      </c>
      <c r="G219" t="s">
        <v>22</v>
      </c>
      <c r="H219" t="s">
        <v>46</v>
      </c>
      <c r="I219" t="s">
        <v>24</v>
      </c>
      <c r="J219" t="s">
        <v>761</v>
      </c>
      <c r="L219">
        <v>1.3</v>
      </c>
      <c r="M219">
        <v>409000</v>
      </c>
      <c r="N219">
        <v>4.5999999999999996</v>
      </c>
      <c r="O219">
        <v>6</v>
      </c>
      <c r="P219" t="s">
        <v>26</v>
      </c>
    </row>
    <row r="220" spans="1:16" x14ac:dyDescent="0.25">
      <c r="A220" t="s">
        <v>762</v>
      </c>
      <c r="B220" t="s">
        <v>763</v>
      </c>
      <c r="C220" t="s">
        <v>29</v>
      </c>
      <c r="D220" t="s">
        <v>19</v>
      </c>
      <c r="E220" t="s">
        <v>44</v>
      </c>
      <c r="F220" t="s">
        <v>32</v>
      </c>
      <c r="G220" t="s">
        <v>69</v>
      </c>
      <c r="H220" t="s">
        <v>46</v>
      </c>
      <c r="I220" t="s">
        <v>24</v>
      </c>
      <c r="J220" t="s">
        <v>764</v>
      </c>
      <c r="L220">
        <v>5.6</v>
      </c>
      <c r="M220">
        <v>301000</v>
      </c>
      <c r="N220">
        <v>4.0999999999999996</v>
      </c>
      <c r="O220">
        <v>2</v>
      </c>
      <c r="P220" t="s">
        <v>26</v>
      </c>
    </row>
    <row r="221" spans="1:16" x14ac:dyDescent="0.25">
      <c r="A221" t="s">
        <v>765</v>
      </c>
      <c r="B221" t="s">
        <v>766</v>
      </c>
      <c r="C221" t="s">
        <v>18</v>
      </c>
      <c r="D221" t="s">
        <v>79</v>
      </c>
      <c r="E221" t="s">
        <v>20</v>
      </c>
      <c r="F221" t="s">
        <v>32</v>
      </c>
      <c r="G221" t="s">
        <v>22</v>
      </c>
      <c r="H221" t="s">
        <v>34</v>
      </c>
      <c r="I221" t="s">
        <v>24</v>
      </c>
      <c r="J221" t="s">
        <v>545</v>
      </c>
      <c r="L221">
        <v>4.7</v>
      </c>
      <c r="M221">
        <v>198000</v>
      </c>
      <c r="N221">
        <v>4.7</v>
      </c>
      <c r="O221">
        <v>0</v>
      </c>
      <c r="P221" t="s">
        <v>26</v>
      </c>
    </row>
    <row r="222" spans="1:16" x14ac:dyDescent="0.25">
      <c r="A222" t="s">
        <v>767</v>
      </c>
      <c r="B222" t="s">
        <v>768</v>
      </c>
      <c r="C222" t="s">
        <v>18</v>
      </c>
      <c r="D222" t="s">
        <v>79</v>
      </c>
      <c r="F222" t="s">
        <v>128</v>
      </c>
      <c r="G222" t="s">
        <v>22</v>
      </c>
      <c r="H222" t="s">
        <v>34</v>
      </c>
      <c r="I222" t="s">
        <v>35</v>
      </c>
      <c r="J222" t="s">
        <v>769</v>
      </c>
      <c r="K222" t="s">
        <v>770</v>
      </c>
      <c r="L222">
        <v>3.7</v>
      </c>
      <c r="M222">
        <v>582000</v>
      </c>
      <c r="N222">
        <v>3.6</v>
      </c>
      <c r="O222">
        <v>7</v>
      </c>
      <c r="P222" t="s">
        <v>72</v>
      </c>
    </row>
    <row r="223" spans="1:16" x14ac:dyDescent="0.25">
      <c r="A223" t="s">
        <v>771</v>
      </c>
      <c r="B223" t="s">
        <v>772</v>
      </c>
      <c r="C223" t="s">
        <v>18</v>
      </c>
      <c r="D223" t="s">
        <v>79</v>
      </c>
      <c r="E223" t="s">
        <v>20</v>
      </c>
      <c r="F223" t="s">
        <v>32</v>
      </c>
      <c r="G223" t="s">
        <v>22</v>
      </c>
      <c r="H223" t="s">
        <v>62</v>
      </c>
      <c r="I223" t="s">
        <v>57</v>
      </c>
      <c r="J223" t="s">
        <v>773</v>
      </c>
      <c r="L223">
        <v>3.7</v>
      </c>
      <c r="M223">
        <v>306000</v>
      </c>
      <c r="N223">
        <v>2.5</v>
      </c>
      <c r="O223">
        <v>6</v>
      </c>
      <c r="P223" t="s">
        <v>26</v>
      </c>
    </row>
    <row r="224" spans="1:16" x14ac:dyDescent="0.25">
      <c r="A224" t="s">
        <v>774</v>
      </c>
      <c r="B224" t="s">
        <v>775</v>
      </c>
      <c r="C224" t="s">
        <v>18</v>
      </c>
      <c r="D224" t="s">
        <v>50</v>
      </c>
      <c r="E224" t="s">
        <v>20</v>
      </c>
      <c r="F224" t="s">
        <v>32</v>
      </c>
      <c r="G224" t="s">
        <v>22</v>
      </c>
      <c r="H224" t="s">
        <v>34</v>
      </c>
      <c r="I224" t="s">
        <v>24</v>
      </c>
      <c r="J224" t="s">
        <v>776</v>
      </c>
      <c r="K224" t="s">
        <v>168</v>
      </c>
      <c r="L224">
        <v>2.4</v>
      </c>
      <c r="M224">
        <v>191000</v>
      </c>
      <c r="N224">
        <v>3.8</v>
      </c>
      <c r="O224">
        <v>11</v>
      </c>
      <c r="P224" t="s">
        <v>53</v>
      </c>
    </row>
    <row r="225" spans="1:16" x14ac:dyDescent="0.25">
      <c r="A225" t="s">
        <v>777</v>
      </c>
      <c r="B225" t="s">
        <v>778</v>
      </c>
      <c r="C225" t="s">
        <v>18</v>
      </c>
      <c r="D225" t="s">
        <v>19</v>
      </c>
      <c r="E225" t="s">
        <v>20</v>
      </c>
      <c r="F225" t="s">
        <v>21</v>
      </c>
      <c r="G225" t="s">
        <v>22</v>
      </c>
      <c r="H225" t="s">
        <v>23</v>
      </c>
      <c r="I225" t="s">
        <v>24</v>
      </c>
      <c r="J225" t="s">
        <v>779</v>
      </c>
      <c r="K225" t="s">
        <v>780</v>
      </c>
      <c r="L225">
        <v>5.5</v>
      </c>
      <c r="M225">
        <v>1020000</v>
      </c>
      <c r="N225">
        <v>4.5</v>
      </c>
      <c r="O225">
        <v>10</v>
      </c>
      <c r="P225" t="s">
        <v>53</v>
      </c>
    </row>
    <row r="226" spans="1:16" x14ac:dyDescent="0.25">
      <c r="A226" t="s">
        <v>781</v>
      </c>
      <c r="B226" t="s">
        <v>782</v>
      </c>
      <c r="C226" t="s">
        <v>29</v>
      </c>
      <c r="D226" t="s">
        <v>50</v>
      </c>
      <c r="E226" t="s">
        <v>20</v>
      </c>
      <c r="F226" t="s">
        <v>32</v>
      </c>
      <c r="G226" t="s">
        <v>22</v>
      </c>
      <c r="H226" t="s">
        <v>46</v>
      </c>
      <c r="I226" t="s">
        <v>57</v>
      </c>
      <c r="J226" t="s">
        <v>783</v>
      </c>
      <c r="K226" t="s">
        <v>784</v>
      </c>
      <c r="L226">
        <v>1.7</v>
      </c>
      <c r="M226">
        <v>265000</v>
      </c>
      <c r="N226">
        <v>4</v>
      </c>
      <c r="O226">
        <v>11</v>
      </c>
      <c r="P226" t="s">
        <v>53</v>
      </c>
    </row>
    <row r="227" spans="1:16" x14ac:dyDescent="0.25">
      <c r="A227" t="s">
        <v>785</v>
      </c>
      <c r="B227" t="s">
        <v>786</v>
      </c>
      <c r="C227" t="s">
        <v>18</v>
      </c>
      <c r="D227" t="s">
        <v>30</v>
      </c>
      <c r="E227" t="s">
        <v>20</v>
      </c>
      <c r="F227" t="s">
        <v>32</v>
      </c>
      <c r="G227" t="s">
        <v>80</v>
      </c>
      <c r="H227" t="s">
        <v>34</v>
      </c>
      <c r="I227" t="s">
        <v>24</v>
      </c>
      <c r="J227" t="s">
        <v>787</v>
      </c>
      <c r="K227" t="s">
        <v>788</v>
      </c>
      <c r="L227">
        <v>4.2</v>
      </c>
      <c r="M227">
        <v>188000</v>
      </c>
      <c r="N227">
        <v>1.7</v>
      </c>
      <c r="O227">
        <v>9</v>
      </c>
      <c r="P227" t="s">
        <v>114</v>
      </c>
    </row>
    <row r="228" spans="1:16" x14ac:dyDescent="0.25">
      <c r="A228" t="s">
        <v>789</v>
      </c>
      <c r="B228" t="s">
        <v>790</v>
      </c>
      <c r="C228" t="s">
        <v>18</v>
      </c>
      <c r="D228" t="s">
        <v>50</v>
      </c>
      <c r="E228" t="s">
        <v>44</v>
      </c>
      <c r="F228" t="s">
        <v>32</v>
      </c>
      <c r="G228" t="s">
        <v>22</v>
      </c>
      <c r="H228" t="s">
        <v>62</v>
      </c>
      <c r="I228" t="s">
        <v>75</v>
      </c>
      <c r="J228" t="s">
        <v>791</v>
      </c>
      <c r="L228">
        <v>5.4</v>
      </c>
      <c r="M228">
        <v>240000</v>
      </c>
      <c r="O228">
        <v>10</v>
      </c>
      <c r="P228" t="s">
        <v>26</v>
      </c>
    </row>
    <row r="229" spans="1:16" x14ac:dyDescent="0.25">
      <c r="A229" t="s">
        <v>792</v>
      </c>
      <c r="B229" t="s">
        <v>793</v>
      </c>
      <c r="C229" t="s">
        <v>18</v>
      </c>
      <c r="D229" t="s">
        <v>79</v>
      </c>
      <c r="E229" t="s">
        <v>20</v>
      </c>
      <c r="F229" t="s">
        <v>128</v>
      </c>
      <c r="G229" t="s">
        <v>22</v>
      </c>
      <c r="H229" t="s">
        <v>34</v>
      </c>
      <c r="I229" t="s">
        <v>57</v>
      </c>
      <c r="J229" t="s">
        <v>794</v>
      </c>
      <c r="L229">
        <v>2.6</v>
      </c>
      <c r="M229">
        <v>531000</v>
      </c>
      <c r="N229">
        <v>4.3</v>
      </c>
      <c r="O229">
        <v>13</v>
      </c>
      <c r="P229" t="s">
        <v>26</v>
      </c>
    </row>
    <row r="230" spans="1:16" x14ac:dyDescent="0.25">
      <c r="A230" t="s">
        <v>795</v>
      </c>
      <c r="B230" t="s">
        <v>796</v>
      </c>
      <c r="C230" t="s">
        <v>18</v>
      </c>
      <c r="D230" t="s">
        <v>43</v>
      </c>
      <c r="E230" t="s">
        <v>20</v>
      </c>
      <c r="F230" t="s">
        <v>45</v>
      </c>
      <c r="G230" t="s">
        <v>80</v>
      </c>
      <c r="H230" t="s">
        <v>23</v>
      </c>
      <c r="I230" t="s">
        <v>24</v>
      </c>
      <c r="J230" t="s">
        <v>797</v>
      </c>
      <c r="L230">
        <v>2.2999999999999998</v>
      </c>
      <c r="M230">
        <v>1029000</v>
      </c>
      <c r="N230">
        <v>3.4</v>
      </c>
      <c r="O230">
        <v>9</v>
      </c>
      <c r="P230" t="s">
        <v>26</v>
      </c>
    </row>
    <row r="231" spans="1:16" x14ac:dyDescent="0.25">
      <c r="A231" t="s">
        <v>798</v>
      </c>
      <c r="B231" t="s">
        <v>799</v>
      </c>
      <c r="C231" t="s">
        <v>29</v>
      </c>
      <c r="E231" t="s">
        <v>44</v>
      </c>
      <c r="F231" t="s">
        <v>32</v>
      </c>
      <c r="G231" t="s">
        <v>22</v>
      </c>
      <c r="H231" t="s">
        <v>34</v>
      </c>
      <c r="I231" t="s">
        <v>24</v>
      </c>
      <c r="J231" t="s">
        <v>800</v>
      </c>
      <c r="L231">
        <v>5.9</v>
      </c>
      <c r="M231">
        <v>247000</v>
      </c>
      <c r="O231">
        <v>0</v>
      </c>
      <c r="P231" t="s">
        <v>26</v>
      </c>
    </row>
    <row r="232" spans="1:16" x14ac:dyDescent="0.25">
      <c r="A232" t="s">
        <v>801</v>
      </c>
      <c r="B232" t="s">
        <v>802</v>
      </c>
      <c r="C232" t="s">
        <v>29</v>
      </c>
      <c r="D232" t="s">
        <v>50</v>
      </c>
      <c r="E232" t="s">
        <v>31</v>
      </c>
      <c r="F232" t="s">
        <v>32</v>
      </c>
      <c r="G232" t="s">
        <v>33</v>
      </c>
      <c r="H232" t="s">
        <v>62</v>
      </c>
      <c r="I232" t="s">
        <v>57</v>
      </c>
      <c r="J232" t="s">
        <v>803</v>
      </c>
      <c r="L232">
        <v>3.6</v>
      </c>
      <c r="M232">
        <v>319000</v>
      </c>
      <c r="N232">
        <v>4.7</v>
      </c>
      <c r="O232">
        <v>3</v>
      </c>
      <c r="P232" t="s">
        <v>26</v>
      </c>
    </row>
    <row r="233" spans="1:16" x14ac:dyDescent="0.25">
      <c r="A233" t="s">
        <v>804</v>
      </c>
      <c r="B233" t="s">
        <v>805</v>
      </c>
      <c r="C233" t="s">
        <v>18</v>
      </c>
      <c r="D233" t="s">
        <v>30</v>
      </c>
      <c r="F233" t="s">
        <v>128</v>
      </c>
      <c r="G233" t="s">
        <v>22</v>
      </c>
      <c r="H233" t="s">
        <v>46</v>
      </c>
      <c r="I233" t="s">
        <v>24</v>
      </c>
      <c r="J233" t="s">
        <v>806</v>
      </c>
      <c r="K233" t="s">
        <v>807</v>
      </c>
      <c r="L233">
        <v>4.8</v>
      </c>
      <c r="M233">
        <v>554000</v>
      </c>
      <c r="N233">
        <v>2.7</v>
      </c>
      <c r="O233">
        <v>1</v>
      </c>
      <c r="P233" t="s">
        <v>53</v>
      </c>
    </row>
    <row r="234" spans="1:16" x14ac:dyDescent="0.25">
      <c r="A234" t="s">
        <v>808</v>
      </c>
      <c r="B234" t="s">
        <v>809</v>
      </c>
      <c r="C234" t="s">
        <v>18</v>
      </c>
      <c r="D234" t="s">
        <v>43</v>
      </c>
      <c r="E234" t="s">
        <v>810</v>
      </c>
      <c r="F234" t="s">
        <v>39</v>
      </c>
      <c r="G234" t="s">
        <v>22</v>
      </c>
      <c r="H234" t="s">
        <v>23</v>
      </c>
      <c r="I234" t="s">
        <v>35</v>
      </c>
      <c r="J234" t="s">
        <v>811</v>
      </c>
      <c r="K234" t="s">
        <v>812</v>
      </c>
      <c r="L234">
        <v>5</v>
      </c>
      <c r="M234">
        <v>93000</v>
      </c>
      <c r="N234">
        <v>4.7</v>
      </c>
      <c r="O234">
        <v>40</v>
      </c>
      <c r="P234" t="s">
        <v>72</v>
      </c>
    </row>
    <row r="235" spans="1:16" x14ac:dyDescent="0.25">
      <c r="A235" t="s">
        <v>813</v>
      </c>
      <c r="B235" t="s">
        <v>814</v>
      </c>
      <c r="C235" t="s">
        <v>29</v>
      </c>
      <c r="D235" t="s">
        <v>30</v>
      </c>
      <c r="E235" t="s">
        <v>20</v>
      </c>
      <c r="F235" t="s">
        <v>39</v>
      </c>
      <c r="G235" t="s">
        <v>33</v>
      </c>
      <c r="H235" t="s">
        <v>34</v>
      </c>
      <c r="I235" t="s">
        <v>57</v>
      </c>
      <c r="J235" t="s">
        <v>815</v>
      </c>
      <c r="L235">
        <v>1.5</v>
      </c>
      <c r="M235">
        <v>174000</v>
      </c>
      <c r="N235">
        <v>3.3</v>
      </c>
      <c r="O235">
        <v>3</v>
      </c>
      <c r="P235" t="s">
        <v>26</v>
      </c>
    </row>
    <row r="236" spans="1:16" x14ac:dyDescent="0.25">
      <c r="A236" t="s">
        <v>816</v>
      </c>
      <c r="B236" t="s">
        <v>817</v>
      </c>
      <c r="C236" t="s">
        <v>18</v>
      </c>
      <c r="D236" t="s">
        <v>50</v>
      </c>
      <c r="E236" t="s">
        <v>20</v>
      </c>
      <c r="F236" t="s">
        <v>21</v>
      </c>
      <c r="G236" t="s">
        <v>22</v>
      </c>
      <c r="H236" t="s">
        <v>34</v>
      </c>
      <c r="I236" t="s">
        <v>57</v>
      </c>
      <c r="J236" t="s">
        <v>481</v>
      </c>
      <c r="K236" t="s">
        <v>818</v>
      </c>
      <c r="L236">
        <v>4.4000000000000004</v>
      </c>
      <c r="M236">
        <v>718000</v>
      </c>
      <c r="N236">
        <v>4.5999999999999996</v>
      </c>
      <c r="O236">
        <v>36</v>
      </c>
      <c r="P236" t="s">
        <v>53</v>
      </c>
    </row>
    <row r="237" spans="1:16" x14ac:dyDescent="0.25">
      <c r="A237" t="s">
        <v>819</v>
      </c>
      <c r="B237" t="s">
        <v>820</v>
      </c>
      <c r="C237" t="s">
        <v>18</v>
      </c>
      <c r="D237" t="s">
        <v>43</v>
      </c>
      <c r="E237" t="s">
        <v>20</v>
      </c>
      <c r="F237" t="s">
        <v>39</v>
      </c>
      <c r="G237" t="s">
        <v>33</v>
      </c>
      <c r="H237" t="s">
        <v>34</v>
      </c>
      <c r="I237" t="s">
        <v>24</v>
      </c>
      <c r="J237" t="s">
        <v>90</v>
      </c>
      <c r="L237">
        <v>4.5</v>
      </c>
      <c r="M237">
        <v>153000</v>
      </c>
      <c r="N237">
        <v>3.4</v>
      </c>
      <c r="O237">
        <v>36</v>
      </c>
      <c r="P237" t="s">
        <v>26</v>
      </c>
    </row>
    <row r="238" spans="1:16" x14ac:dyDescent="0.25">
      <c r="A238" t="s">
        <v>821</v>
      </c>
      <c r="B238" t="s">
        <v>822</v>
      </c>
      <c r="C238" t="s">
        <v>18</v>
      </c>
      <c r="D238" t="s">
        <v>30</v>
      </c>
      <c r="E238" t="s">
        <v>20</v>
      </c>
      <c r="F238" t="s">
        <v>128</v>
      </c>
      <c r="G238" t="s">
        <v>22</v>
      </c>
      <c r="H238" t="s">
        <v>34</v>
      </c>
      <c r="I238" t="s">
        <v>57</v>
      </c>
      <c r="J238" t="s">
        <v>823</v>
      </c>
      <c r="K238" t="s">
        <v>824</v>
      </c>
      <c r="L238">
        <v>2</v>
      </c>
      <c r="M238">
        <v>551000</v>
      </c>
      <c r="N238">
        <v>2.7</v>
      </c>
      <c r="P238" t="s">
        <v>53</v>
      </c>
    </row>
    <row r="239" spans="1:16" x14ac:dyDescent="0.25">
      <c r="A239" t="s">
        <v>825</v>
      </c>
      <c r="B239" t="s">
        <v>826</v>
      </c>
      <c r="C239" t="s">
        <v>18</v>
      </c>
      <c r="D239" t="s">
        <v>79</v>
      </c>
      <c r="E239" t="s">
        <v>44</v>
      </c>
      <c r="F239" t="s">
        <v>39</v>
      </c>
      <c r="G239" t="s">
        <v>22</v>
      </c>
      <c r="I239" t="s">
        <v>75</v>
      </c>
      <c r="J239" t="s">
        <v>827</v>
      </c>
      <c r="L239">
        <v>4.5999999999999996</v>
      </c>
      <c r="M239">
        <v>156000</v>
      </c>
      <c r="N239">
        <v>2</v>
      </c>
      <c r="O239">
        <v>5</v>
      </c>
      <c r="P239" t="s">
        <v>26</v>
      </c>
    </row>
    <row r="240" spans="1:16" x14ac:dyDescent="0.25">
      <c r="A240" t="s">
        <v>828</v>
      </c>
      <c r="B240" t="s">
        <v>829</v>
      </c>
      <c r="C240" t="s">
        <v>29</v>
      </c>
      <c r="D240" t="s">
        <v>30</v>
      </c>
      <c r="E240" t="s">
        <v>44</v>
      </c>
      <c r="F240" t="s">
        <v>32</v>
      </c>
      <c r="G240" t="s">
        <v>22</v>
      </c>
      <c r="H240" t="s">
        <v>23</v>
      </c>
      <c r="I240" t="s">
        <v>57</v>
      </c>
      <c r="J240" t="s">
        <v>830</v>
      </c>
      <c r="K240" t="s">
        <v>831</v>
      </c>
      <c r="L240">
        <v>5.2</v>
      </c>
      <c r="M240">
        <v>321000</v>
      </c>
      <c r="N240">
        <v>2.9</v>
      </c>
      <c r="O240">
        <v>13</v>
      </c>
      <c r="P240" t="s">
        <v>53</v>
      </c>
    </row>
    <row r="241" spans="1:16" x14ac:dyDescent="0.25">
      <c r="A241" t="s">
        <v>832</v>
      </c>
      <c r="B241" t="s">
        <v>833</v>
      </c>
      <c r="C241" t="s">
        <v>18</v>
      </c>
      <c r="D241" t="s">
        <v>19</v>
      </c>
      <c r="E241" t="s">
        <v>20</v>
      </c>
      <c r="F241" t="s">
        <v>128</v>
      </c>
      <c r="G241" t="s">
        <v>22</v>
      </c>
      <c r="H241" t="s">
        <v>23</v>
      </c>
      <c r="I241" t="s">
        <v>171</v>
      </c>
      <c r="J241" t="s">
        <v>834</v>
      </c>
      <c r="L241">
        <v>2.2000000000000002</v>
      </c>
      <c r="M241">
        <v>627000</v>
      </c>
      <c r="N241">
        <v>2.9</v>
      </c>
      <c r="O241">
        <v>4</v>
      </c>
      <c r="P241" t="s">
        <v>26</v>
      </c>
    </row>
    <row r="242" spans="1:16" x14ac:dyDescent="0.25">
      <c r="A242" t="s">
        <v>835</v>
      </c>
      <c r="B242" t="s">
        <v>836</v>
      </c>
      <c r="C242" t="s">
        <v>18</v>
      </c>
      <c r="D242" t="s">
        <v>50</v>
      </c>
      <c r="E242" t="s">
        <v>31</v>
      </c>
      <c r="F242" t="s">
        <v>39</v>
      </c>
      <c r="G242" t="s">
        <v>22</v>
      </c>
      <c r="I242" t="s">
        <v>24</v>
      </c>
      <c r="J242" t="s">
        <v>837</v>
      </c>
      <c r="K242" t="s">
        <v>838</v>
      </c>
      <c r="L242">
        <v>1.5</v>
      </c>
      <c r="M242" t="s">
        <v>839</v>
      </c>
      <c r="N242">
        <v>3.5</v>
      </c>
      <c r="O242">
        <v>1</v>
      </c>
      <c r="P242" t="s">
        <v>53</v>
      </c>
    </row>
    <row r="243" spans="1:16" x14ac:dyDescent="0.25">
      <c r="A243" t="s">
        <v>840</v>
      </c>
      <c r="B243" t="s">
        <v>195</v>
      </c>
      <c r="C243" t="s">
        <v>18</v>
      </c>
      <c r="D243" t="s">
        <v>79</v>
      </c>
      <c r="E243" t="s">
        <v>20</v>
      </c>
      <c r="F243" t="s">
        <v>39</v>
      </c>
      <c r="G243" t="s">
        <v>69</v>
      </c>
      <c r="H243" t="s">
        <v>23</v>
      </c>
      <c r="I243" t="s">
        <v>24</v>
      </c>
      <c r="J243" t="s">
        <v>841</v>
      </c>
      <c r="L243">
        <v>1.5</v>
      </c>
      <c r="M243">
        <v>116000</v>
      </c>
      <c r="N243">
        <v>4</v>
      </c>
      <c r="O243">
        <v>5</v>
      </c>
      <c r="P243" t="s">
        <v>26</v>
      </c>
    </row>
    <row r="244" spans="1:16" x14ac:dyDescent="0.25">
      <c r="A244" t="s">
        <v>842</v>
      </c>
      <c r="B244" t="s">
        <v>843</v>
      </c>
      <c r="C244" t="s">
        <v>18</v>
      </c>
      <c r="D244" t="s">
        <v>19</v>
      </c>
      <c r="E244" t="s">
        <v>44</v>
      </c>
      <c r="F244" t="s">
        <v>128</v>
      </c>
      <c r="G244" t="s">
        <v>80</v>
      </c>
      <c r="H244" t="s">
        <v>23</v>
      </c>
      <c r="I244" t="s">
        <v>57</v>
      </c>
      <c r="J244" t="s">
        <v>844</v>
      </c>
      <c r="L244">
        <v>4.5999999999999996</v>
      </c>
      <c r="M244">
        <v>648000</v>
      </c>
      <c r="N244">
        <v>3.2</v>
      </c>
      <c r="O244">
        <v>7</v>
      </c>
      <c r="P244" t="s">
        <v>26</v>
      </c>
    </row>
    <row r="245" spans="1:16" x14ac:dyDescent="0.25">
      <c r="A245" t="s">
        <v>845</v>
      </c>
      <c r="B245" t="s">
        <v>846</v>
      </c>
      <c r="C245" t="s">
        <v>18</v>
      </c>
      <c r="D245" t="s">
        <v>50</v>
      </c>
      <c r="E245" t="s">
        <v>810</v>
      </c>
      <c r="F245" t="s">
        <v>39</v>
      </c>
      <c r="G245" t="s">
        <v>22</v>
      </c>
      <c r="H245" t="s">
        <v>34</v>
      </c>
      <c r="I245" t="s">
        <v>75</v>
      </c>
      <c r="J245" t="s">
        <v>847</v>
      </c>
      <c r="K245" t="s">
        <v>838</v>
      </c>
      <c r="L245">
        <v>2.2999999999999998</v>
      </c>
      <c r="M245">
        <v>104000</v>
      </c>
      <c r="N245">
        <v>2.4</v>
      </c>
      <c r="O245">
        <v>10</v>
      </c>
      <c r="P245" t="s">
        <v>72</v>
      </c>
    </row>
    <row r="246" spans="1:16" x14ac:dyDescent="0.25">
      <c r="A246" t="s">
        <v>848</v>
      </c>
      <c r="B246" t="s">
        <v>849</v>
      </c>
      <c r="C246" t="s">
        <v>18</v>
      </c>
      <c r="D246" t="s">
        <v>19</v>
      </c>
      <c r="E246" t="s">
        <v>20</v>
      </c>
      <c r="F246" t="s">
        <v>39</v>
      </c>
      <c r="G246" t="s">
        <v>22</v>
      </c>
      <c r="H246" t="s">
        <v>46</v>
      </c>
      <c r="I246" t="s">
        <v>57</v>
      </c>
      <c r="J246" t="s">
        <v>850</v>
      </c>
      <c r="K246" t="s">
        <v>851</v>
      </c>
      <c r="L246">
        <v>2.2000000000000002</v>
      </c>
      <c r="M246">
        <v>132000</v>
      </c>
      <c r="N246">
        <v>2.6</v>
      </c>
      <c r="O246">
        <v>36</v>
      </c>
      <c r="P246" t="s">
        <v>72</v>
      </c>
    </row>
    <row r="247" spans="1:16" x14ac:dyDescent="0.25">
      <c r="A247" t="s">
        <v>852</v>
      </c>
      <c r="B247" t="s">
        <v>853</v>
      </c>
      <c r="C247" t="s">
        <v>29</v>
      </c>
      <c r="D247" t="s">
        <v>50</v>
      </c>
      <c r="F247" t="s">
        <v>39</v>
      </c>
      <c r="G247" t="s">
        <v>80</v>
      </c>
      <c r="H247" t="s">
        <v>34</v>
      </c>
      <c r="I247" t="s">
        <v>57</v>
      </c>
      <c r="J247" t="s">
        <v>854</v>
      </c>
      <c r="K247" t="s">
        <v>855</v>
      </c>
      <c r="L247">
        <v>6</v>
      </c>
      <c r="M247">
        <v>100000</v>
      </c>
      <c r="N247">
        <v>4.4000000000000004</v>
      </c>
      <c r="O247">
        <v>12</v>
      </c>
      <c r="P247" t="s">
        <v>53</v>
      </c>
    </row>
    <row r="248" spans="1:16" x14ac:dyDescent="0.25">
      <c r="A248" t="s">
        <v>856</v>
      </c>
      <c r="B248" t="s">
        <v>857</v>
      </c>
      <c r="C248" t="s">
        <v>18</v>
      </c>
      <c r="D248" t="s">
        <v>43</v>
      </c>
      <c r="E248" t="s">
        <v>20</v>
      </c>
      <c r="F248" t="s">
        <v>39</v>
      </c>
      <c r="G248" t="s">
        <v>80</v>
      </c>
      <c r="H248" t="s">
        <v>23</v>
      </c>
      <c r="I248" t="s">
        <v>171</v>
      </c>
      <c r="J248" t="s">
        <v>858</v>
      </c>
      <c r="K248" t="s">
        <v>859</v>
      </c>
      <c r="L248">
        <v>2.4</v>
      </c>
      <c r="M248">
        <v>130000</v>
      </c>
      <c r="N248">
        <v>4.9000000000000004</v>
      </c>
      <c r="O248">
        <v>14</v>
      </c>
      <c r="P248" t="s">
        <v>53</v>
      </c>
    </row>
    <row r="249" spans="1:16" x14ac:dyDescent="0.25">
      <c r="A249" t="s">
        <v>860</v>
      </c>
      <c r="B249" t="s">
        <v>861</v>
      </c>
      <c r="C249" t="s">
        <v>18</v>
      </c>
      <c r="D249" t="s">
        <v>862</v>
      </c>
      <c r="E249" t="s">
        <v>20</v>
      </c>
      <c r="F249" t="s">
        <v>128</v>
      </c>
      <c r="G249" t="s">
        <v>22</v>
      </c>
      <c r="H249" t="s">
        <v>23</v>
      </c>
      <c r="J249" t="s">
        <v>863</v>
      </c>
      <c r="L249">
        <v>5.0999999999999996</v>
      </c>
      <c r="M249">
        <v>496000</v>
      </c>
      <c r="N249">
        <v>4.9000000000000004</v>
      </c>
      <c r="O249">
        <v>9</v>
      </c>
      <c r="P249" t="s">
        <v>26</v>
      </c>
    </row>
    <row r="250" spans="1:16" x14ac:dyDescent="0.25">
      <c r="A250" t="s">
        <v>864</v>
      </c>
      <c r="B250" t="s">
        <v>865</v>
      </c>
      <c r="C250" t="s">
        <v>18</v>
      </c>
      <c r="D250" t="s">
        <v>19</v>
      </c>
      <c r="E250" t="s">
        <v>20</v>
      </c>
      <c r="F250" t="s">
        <v>39</v>
      </c>
      <c r="G250" t="s">
        <v>69</v>
      </c>
      <c r="H250" t="s">
        <v>23</v>
      </c>
      <c r="I250" t="s">
        <v>35</v>
      </c>
      <c r="J250" t="s">
        <v>866</v>
      </c>
      <c r="K250" t="s">
        <v>867</v>
      </c>
      <c r="L250">
        <v>2.4</v>
      </c>
      <c r="M250">
        <v>95000</v>
      </c>
      <c r="N250">
        <v>3.7</v>
      </c>
      <c r="O250">
        <v>6</v>
      </c>
      <c r="P250" t="s">
        <v>53</v>
      </c>
    </row>
    <row r="251" spans="1:16" x14ac:dyDescent="0.25">
      <c r="A251" t="s">
        <v>868</v>
      </c>
      <c r="B251" t="s">
        <v>869</v>
      </c>
      <c r="C251" t="s">
        <v>18</v>
      </c>
      <c r="D251" t="s">
        <v>79</v>
      </c>
      <c r="F251" t="s">
        <v>128</v>
      </c>
      <c r="G251" t="s">
        <v>69</v>
      </c>
      <c r="H251" t="s">
        <v>34</v>
      </c>
      <c r="I251" t="s">
        <v>75</v>
      </c>
      <c r="J251" t="s">
        <v>590</v>
      </c>
      <c r="L251">
        <v>2.5</v>
      </c>
      <c r="M251">
        <v>518000</v>
      </c>
      <c r="N251">
        <v>2.2999999999999998</v>
      </c>
      <c r="O251">
        <v>3</v>
      </c>
      <c r="P251" t="s">
        <v>26</v>
      </c>
    </row>
    <row r="252" spans="1:16" x14ac:dyDescent="0.25">
      <c r="A252" t="s">
        <v>870</v>
      </c>
      <c r="B252" t="s">
        <v>871</v>
      </c>
      <c r="C252" t="s">
        <v>29</v>
      </c>
      <c r="D252" t="s">
        <v>43</v>
      </c>
      <c r="E252" t="s">
        <v>20</v>
      </c>
      <c r="F252" t="s">
        <v>128</v>
      </c>
      <c r="G252" t="s">
        <v>33</v>
      </c>
      <c r="H252" t="s">
        <v>62</v>
      </c>
      <c r="I252" t="s">
        <v>57</v>
      </c>
      <c r="J252" t="s">
        <v>872</v>
      </c>
      <c r="L252">
        <v>3.8</v>
      </c>
      <c r="M252">
        <v>477000</v>
      </c>
      <c r="N252">
        <v>3.8</v>
      </c>
      <c r="O252">
        <v>13</v>
      </c>
      <c r="P252" t="s">
        <v>26</v>
      </c>
    </row>
    <row r="253" spans="1:16" x14ac:dyDescent="0.25">
      <c r="A253" t="s">
        <v>873</v>
      </c>
      <c r="B253" t="s">
        <v>874</v>
      </c>
      <c r="D253" t="s">
        <v>79</v>
      </c>
      <c r="E253" t="s">
        <v>20</v>
      </c>
      <c r="G253" t="s">
        <v>22</v>
      </c>
      <c r="H253" t="s">
        <v>23</v>
      </c>
      <c r="I253" t="s">
        <v>57</v>
      </c>
      <c r="J253" t="s">
        <v>875</v>
      </c>
      <c r="L253">
        <v>3.5</v>
      </c>
      <c r="M253">
        <v>616000</v>
      </c>
      <c r="N253">
        <v>4.0999999999999996</v>
      </c>
      <c r="O253">
        <v>10</v>
      </c>
      <c r="P253" t="s">
        <v>26</v>
      </c>
    </row>
    <row r="254" spans="1:16" x14ac:dyDescent="0.25">
      <c r="A254" t="s">
        <v>876</v>
      </c>
      <c r="B254" t="s">
        <v>877</v>
      </c>
      <c r="C254" t="s">
        <v>29</v>
      </c>
      <c r="D254" t="s">
        <v>30</v>
      </c>
      <c r="E254" t="s">
        <v>20</v>
      </c>
      <c r="F254" t="s">
        <v>39</v>
      </c>
      <c r="G254" t="s">
        <v>69</v>
      </c>
      <c r="H254" t="s">
        <v>62</v>
      </c>
      <c r="I254" t="s">
        <v>57</v>
      </c>
      <c r="J254" t="s">
        <v>878</v>
      </c>
      <c r="L254">
        <v>2</v>
      </c>
      <c r="M254">
        <v>145000</v>
      </c>
      <c r="N254">
        <v>3.2</v>
      </c>
      <c r="O254">
        <v>11</v>
      </c>
      <c r="P254" t="s">
        <v>26</v>
      </c>
    </row>
    <row r="255" spans="1:16" x14ac:dyDescent="0.25">
      <c r="A255" t="s">
        <v>879</v>
      </c>
      <c r="B255" t="s">
        <v>880</v>
      </c>
      <c r="C255" t="s">
        <v>18</v>
      </c>
      <c r="D255" t="s">
        <v>19</v>
      </c>
      <c r="E255" t="s">
        <v>20</v>
      </c>
      <c r="F255" t="s">
        <v>32</v>
      </c>
      <c r="G255" t="s">
        <v>22</v>
      </c>
      <c r="H255" t="s">
        <v>23</v>
      </c>
      <c r="J255" t="s">
        <v>881</v>
      </c>
      <c r="K255" t="s">
        <v>882</v>
      </c>
      <c r="L255">
        <v>3.1</v>
      </c>
      <c r="M255">
        <v>212000</v>
      </c>
      <c r="N255">
        <v>4.7</v>
      </c>
      <c r="O255">
        <v>11</v>
      </c>
      <c r="P255" t="s">
        <v>53</v>
      </c>
    </row>
    <row r="256" spans="1:16" x14ac:dyDescent="0.25">
      <c r="A256" t="s">
        <v>883</v>
      </c>
      <c r="B256" t="s">
        <v>884</v>
      </c>
      <c r="C256" t="s">
        <v>29</v>
      </c>
      <c r="D256" t="s">
        <v>19</v>
      </c>
      <c r="F256" t="s">
        <v>128</v>
      </c>
      <c r="G256" t="s">
        <v>22</v>
      </c>
      <c r="H256" t="s">
        <v>23</v>
      </c>
      <c r="I256" t="s">
        <v>35</v>
      </c>
      <c r="J256" t="s">
        <v>459</v>
      </c>
      <c r="L256">
        <v>5.7</v>
      </c>
      <c r="M256">
        <v>660000</v>
      </c>
      <c r="N256">
        <v>4</v>
      </c>
      <c r="O256">
        <v>5</v>
      </c>
      <c r="P256" t="s">
        <v>26</v>
      </c>
    </row>
    <row r="257" spans="1:16" x14ac:dyDescent="0.25">
      <c r="A257" t="s">
        <v>885</v>
      </c>
      <c r="B257" t="s">
        <v>886</v>
      </c>
      <c r="C257" t="s">
        <v>18</v>
      </c>
      <c r="D257" t="s">
        <v>19</v>
      </c>
      <c r="E257" t="s">
        <v>20</v>
      </c>
      <c r="F257" t="s">
        <v>39</v>
      </c>
      <c r="G257" t="s">
        <v>33</v>
      </c>
      <c r="H257" t="s">
        <v>46</v>
      </c>
      <c r="I257" t="s">
        <v>57</v>
      </c>
      <c r="J257" t="s">
        <v>887</v>
      </c>
      <c r="K257" t="s">
        <v>888</v>
      </c>
      <c r="L257">
        <v>4.3</v>
      </c>
      <c r="M257">
        <v>171000</v>
      </c>
      <c r="N257">
        <v>2.6</v>
      </c>
      <c r="O257">
        <v>0</v>
      </c>
      <c r="P257" t="s">
        <v>53</v>
      </c>
    </row>
    <row r="258" spans="1:16" x14ac:dyDescent="0.25">
      <c r="A258" t="s">
        <v>889</v>
      </c>
      <c r="B258" t="s">
        <v>890</v>
      </c>
      <c r="C258" t="s">
        <v>29</v>
      </c>
      <c r="D258" t="s">
        <v>19</v>
      </c>
      <c r="E258" t="s">
        <v>31</v>
      </c>
      <c r="F258" t="s">
        <v>39</v>
      </c>
      <c r="G258" t="s">
        <v>33</v>
      </c>
      <c r="H258" t="s">
        <v>34</v>
      </c>
      <c r="I258" t="s">
        <v>24</v>
      </c>
      <c r="J258" t="s">
        <v>891</v>
      </c>
      <c r="L258">
        <v>4.0999999999999996</v>
      </c>
      <c r="M258">
        <v>150000</v>
      </c>
      <c r="N258">
        <v>4.0999999999999996</v>
      </c>
      <c r="O258">
        <v>2</v>
      </c>
      <c r="P258" t="s">
        <v>26</v>
      </c>
    </row>
    <row r="259" spans="1:16" x14ac:dyDescent="0.25">
      <c r="A259" t="s">
        <v>892</v>
      </c>
      <c r="B259" t="s">
        <v>893</v>
      </c>
      <c r="C259" t="s">
        <v>29</v>
      </c>
      <c r="D259" t="s">
        <v>43</v>
      </c>
      <c r="E259" t="s">
        <v>20</v>
      </c>
      <c r="F259" t="s">
        <v>21</v>
      </c>
      <c r="G259" t="s">
        <v>33</v>
      </c>
      <c r="H259" t="s">
        <v>23</v>
      </c>
      <c r="I259" t="s">
        <v>24</v>
      </c>
      <c r="J259" t="s">
        <v>894</v>
      </c>
      <c r="K259" t="s">
        <v>895</v>
      </c>
      <c r="L259">
        <v>3.3</v>
      </c>
      <c r="M259">
        <v>740000</v>
      </c>
      <c r="N259">
        <v>4.4000000000000004</v>
      </c>
      <c r="O259">
        <v>1</v>
      </c>
      <c r="P259" t="s">
        <v>72</v>
      </c>
    </row>
    <row r="260" spans="1:16" x14ac:dyDescent="0.25">
      <c r="A260" t="s">
        <v>896</v>
      </c>
      <c r="B260" t="s">
        <v>897</v>
      </c>
      <c r="C260" t="s">
        <v>18</v>
      </c>
      <c r="D260" t="s">
        <v>43</v>
      </c>
      <c r="E260" t="s">
        <v>44</v>
      </c>
      <c r="F260" t="s">
        <v>21</v>
      </c>
      <c r="G260" t="s">
        <v>80</v>
      </c>
      <c r="H260" t="s">
        <v>46</v>
      </c>
      <c r="I260" t="s">
        <v>57</v>
      </c>
      <c r="J260" t="s">
        <v>898</v>
      </c>
      <c r="L260">
        <v>2.4</v>
      </c>
      <c r="M260">
        <v>773000</v>
      </c>
      <c r="N260">
        <v>4.0999999999999996</v>
      </c>
      <c r="P260" t="s">
        <v>26</v>
      </c>
    </row>
    <row r="261" spans="1:16" x14ac:dyDescent="0.25">
      <c r="A261" t="s">
        <v>899</v>
      </c>
      <c r="B261" t="s">
        <v>900</v>
      </c>
      <c r="C261" t="s">
        <v>18</v>
      </c>
      <c r="D261" t="s">
        <v>30</v>
      </c>
      <c r="E261" t="s">
        <v>20</v>
      </c>
      <c r="F261" t="s">
        <v>32</v>
      </c>
      <c r="G261" t="s">
        <v>22</v>
      </c>
      <c r="H261" t="s">
        <v>34</v>
      </c>
      <c r="I261" t="s">
        <v>35</v>
      </c>
      <c r="J261" t="s">
        <v>901</v>
      </c>
      <c r="L261">
        <v>6</v>
      </c>
      <c r="M261">
        <v>279000</v>
      </c>
      <c r="N261">
        <v>4.0999999999999996</v>
      </c>
      <c r="O261">
        <v>2</v>
      </c>
      <c r="P261" t="s">
        <v>26</v>
      </c>
    </row>
    <row r="262" spans="1:16" x14ac:dyDescent="0.25">
      <c r="A262" t="s">
        <v>902</v>
      </c>
      <c r="B262" t="s">
        <v>903</v>
      </c>
      <c r="C262" t="s">
        <v>29</v>
      </c>
      <c r="D262" t="s">
        <v>30</v>
      </c>
      <c r="E262" t="s">
        <v>20</v>
      </c>
      <c r="F262" t="s">
        <v>32</v>
      </c>
      <c r="G262" t="s">
        <v>69</v>
      </c>
      <c r="H262" t="s">
        <v>23</v>
      </c>
      <c r="I262" t="s">
        <v>75</v>
      </c>
      <c r="J262" t="s">
        <v>904</v>
      </c>
      <c r="K262" t="s">
        <v>905</v>
      </c>
      <c r="L262">
        <v>4</v>
      </c>
      <c r="M262">
        <v>336000</v>
      </c>
      <c r="N262">
        <v>3.8</v>
      </c>
      <c r="O262">
        <v>40</v>
      </c>
      <c r="P262" t="s">
        <v>72</v>
      </c>
    </row>
    <row r="263" spans="1:16" x14ac:dyDescent="0.25">
      <c r="A263" t="s">
        <v>906</v>
      </c>
      <c r="B263" t="s">
        <v>907</v>
      </c>
      <c r="C263" t="s">
        <v>29</v>
      </c>
      <c r="D263" t="s">
        <v>79</v>
      </c>
      <c r="E263" t="s">
        <v>44</v>
      </c>
      <c r="F263" t="s">
        <v>21</v>
      </c>
      <c r="G263" t="s">
        <v>80</v>
      </c>
      <c r="H263" t="s">
        <v>23</v>
      </c>
      <c r="I263" t="s">
        <v>35</v>
      </c>
      <c r="J263" t="s">
        <v>908</v>
      </c>
      <c r="L263">
        <v>2.2000000000000002</v>
      </c>
      <c r="N263">
        <v>5</v>
      </c>
      <c r="O263">
        <v>15</v>
      </c>
      <c r="P263" t="s">
        <v>26</v>
      </c>
    </row>
    <row r="264" spans="1:16" x14ac:dyDescent="0.25">
      <c r="A264" t="s">
        <v>909</v>
      </c>
      <c r="B264" t="s">
        <v>910</v>
      </c>
      <c r="C264" t="s">
        <v>18</v>
      </c>
      <c r="D264" t="s">
        <v>79</v>
      </c>
      <c r="E264" t="s">
        <v>20</v>
      </c>
      <c r="F264" t="s">
        <v>32</v>
      </c>
      <c r="G264" t="s">
        <v>22</v>
      </c>
      <c r="H264" t="s">
        <v>46</v>
      </c>
      <c r="I264" t="s">
        <v>75</v>
      </c>
      <c r="J264" t="s">
        <v>911</v>
      </c>
      <c r="L264">
        <v>2.1</v>
      </c>
      <c r="M264">
        <v>298000</v>
      </c>
      <c r="O264">
        <v>1</v>
      </c>
      <c r="P264" t="s">
        <v>26</v>
      </c>
    </row>
    <row r="265" spans="1:16" x14ac:dyDescent="0.25">
      <c r="A265" t="s">
        <v>912</v>
      </c>
      <c r="B265" t="s">
        <v>913</v>
      </c>
      <c r="C265" t="s">
        <v>29</v>
      </c>
      <c r="D265" t="s">
        <v>79</v>
      </c>
      <c r="E265" t="s">
        <v>44</v>
      </c>
      <c r="F265" t="s">
        <v>45</v>
      </c>
      <c r="G265" t="s">
        <v>33</v>
      </c>
      <c r="H265" t="s">
        <v>23</v>
      </c>
      <c r="J265" t="s">
        <v>914</v>
      </c>
      <c r="L265">
        <v>2.5</v>
      </c>
      <c r="M265">
        <v>1209000</v>
      </c>
      <c r="N265">
        <v>4.3</v>
      </c>
      <c r="O265">
        <v>13</v>
      </c>
      <c r="P265" t="s">
        <v>26</v>
      </c>
    </row>
    <row r="266" spans="1:16" x14ac:dyDescent="0.25">
      <c r="A266" t="s">
        <v>915</v>
      </c>
      <c r="B266" t="s">
        <v>916</v>
      </c>
      <c r="C266" t="s">
        <v>18</v>
      </c>
      <c r="D266" t="s">
        <v>43</v>
      </c>
      <c r="E266" t="s">
        <v>20</v>
      </c>
      <c r="F266" t="s">
        <v>32</v>
      </c>
      <c r="G266" t="s">
        <v>22</v>
      </c>
      <c r="H266" t="s">
        <v>34</v>
      </c>
      <c r="I266" t="s">
        <v>57</v>
      </c>
      <c r="J266" t="s">
        <v>917</v>
      </c>
      <c r="L266">
        <v>6</v>
      </c>
      <c r="M266">
        <v>266000</v>
      </c>
      <c r="N266">
        <v>3.9</v>
      </c>
      <c r="O266">
        <v>28</v>
      </c>
      <c r="P266" t="s">
        <v>26</v>
      </c>
    </row>
    <row r="267" spans="1:16" x14ac:dyDescent="0.25">
      <c r="A267" t="s">
        <v>918</v>
      </c>
      <c r="B267" t="s">
        <v>919</v>
      </c>
      <c r="C267" t="s">
        <v>29</v>
      </c>
      <c r="D267" t="s">
        <v>19</v>
      </c>
      <c r="E267" t="s">
        <v>20</v>
      </c>
      <c r="F267" t="s">
        <v>21</v>
      </c>
      <c r="G267" t="s">
        <v>22</v>
      </c>
      <c r="H267" t="s">
        <v>46</v>
      </c>
      <c r="I267" t="s">
        <v>24</v>
      </c>
      <c r="J267" t="s">
        <v>920</v>
      </c>
      <c r="K267" t="s">
        <v>921</v>
      </c>
      <c r="L267">
        <v>4.7</v>
      </c>
      <c r="M267">
        <v>826000</v>
      </c>
      <c r="N267">
        <v>3.9</v>
      </c>
      <c r="O267">
        <v>3</v>
      </c>
      <c r="P267" t="s">
        <v>53</v>
      </c>
    </row>
    <row r="268" spans="1:16" x14ac:dyDescent="0.25">
      <c r="A268" t="s">
        <v>922</v>
      </c>
      <c r="B268" t="s">
        <v>923</v>
      </c>
      <c r="C268" t="s">
        <v>29</v>
      </c>
      <c r="D268" t="s">
        <v>79</v>
      </c>
      <c r="E268" t="s">
        <v>44</v>
      </c>
      <c r="F268" t="s">
        <v>128</v>
      </c>
      <c r="G268" t="s">
        <v>69</v>
      </c>
      <c r="H268" t="s">
        <v>34</v>
      </c>
      <c r="I268" t="s">
        <v>24</v>
      </c>
      <c r="J268" t="s">
        <v>175</v>
      </c>
      <c r="L268">
        <v>5.8</v>
      </c>
      <c r="N268">
        <v>4</v>
      </c>
      <c r="O268">
        <v>5</v>
      </c>
      <c r="P268" t="s">
        <v>26</v>
      </c>
    </row>
    <row r="269" spans="1:16" x14ac:dyDescent="0.25">
      <c r="A269" t="s">
        <v>924</v>
      </c>
      <c r="B269" t="s">
        <v>925</v>
      </c>
      <c r="C269" t="s">
        <v>29</v>
      </c>
      <c r="D269" t="s">
        <v>79</v>
      </c>
      <c r="E269" t="s">
        <v>20</v>
      </c>
      <c r="F269" t="s">
        <v>128</v>
      </c>
      <c r="G269" t="s">
        <v>33</v>
      </c>
      <c r="I269" t="s">
        <v>57</v>
      </c>
      <c r="J269" t="s">
        <v>926</v>
      </c>
      <c r="K269" t="s">
        <v>228</v>
      </c>
      <c r="L269">
        <v>3.4</v>
      </c>
      <c r="M269">
        <v>389000</v>
      </c>
      <c r="N269">
        <v>3</v>
      </c>
      <c r="O269">
        <v>3</v>
      </c>
      <c r="P269" t="s">
        <v>114</v>
      </c>
    </row>
    <row r="270" spans="1:16" x14ac:dyDescent="0.25">
      <c r="A270" t="s">
        <v>927</v>
      </c>
      <c r="B270" t="s">
        <v>928</v>
      </c>
      <c r="D270" t="s">
        <v>79</v>
      </c>
      <c r="E270" t="s">
        <v>31</v>
      </c>
      <c r="F270" t="s">
        <v>39</v>
      </c>
      <c r="G270" t="s">
        <v>22</v>
      </c>
      <c r="H270" t="s">
        <v>23</v>
      </c>
      <c r="J270" t="s">
        <v>929</v>
      </c>
      <c r="L270">
        <v>3.2</v>
      </c>
      <c r="M270">
        <v>153000</v>
      </c>
      <c r="N270">
        <v>3.8</v>
      </c>
      <c r="O270">
        <v>10</v>
      </c>
      <c r="P270" t="s">
        <v>26</v>
      </c>
    </row>
    <row r="271" spans="1:16" x14ac:dyDescent="0.25">
      <c r="A271" t="s">
        <v>930</v>
      </c>
      <c r="B271" t="s">
        <v>931</v>
      </c>
      <c r="C271" t="s">
        <v>29</v>
      </c>
      <c r="D271" t="s">
        <v>50</v>
      </c>
      <c r="E271" t="s">
        <v>20</v>
      </c>
      <c r="F271" t="s">
        <v>39</v>
      </c>
      <c r="G271" t="s">
        <v>69</v>
      </c>
      <c r="H271" t="s">
        <v>23</v>
      </c>
      <c r="I271" t="s">
        <v>35</v>
      </c>
      <c r="J271" t="s">
        <v>932</v>
      </c>
      <c r="L271">
        <v>3.3</v>
      </c>
      <c r="M271">
        <v>146000</v>
      </c>
      <c r="N271">
        <v>4</v>
      </c>
      <c r="O271">
        <v>7</v>
      </c>
      <c r="P271" t="s">
        <v>26</v>
      </c>
    </row>
    <row r="272" spans="1:16" x14ac:dyDescent="0.25">
      <c r="A272" t="s">
        <v>933</v>
      </c>
      <c r="B272" t="s">
        <v>934</v>
      </c>
      <c r="C272" t="s">
        <v>18</v>
      </c>
      <c r="D272" t="s">
        <v>19</v>
      </c>
      <c r="E272" t="s">
        <v>31</v>
      </c>
      <c r="F272" t="s">
        <v>128</v>
      </c>
      <c r="G272" t="s">
        <v>33</v>
      </c>
      <c r="H272" t="s">
        <v>34</v>
      </c>
      <c r="I272" t="s">
        <v>24</v>
      </c>
      <c r="J272" t="s">
        <v>935</v>
      </c>
      <c r="L272">
        <v>4.4000000000000004</v>
      </c>
      <c r="M272">
        <v>568000</v>
      </c>
      <c r="N272">
        <v>4.0999999999999996</v>
      </c>
      <c r="O272">
        <v>1</v>
      </c>
      <c r="P272" t="s">
        <v>26</v>
      </c>
    </row>
    <row r="273" spans="1:16" x14ac:dyDescent="0.25">
      <c r="A273" t="s">
        <v>936</v>
      </c>
      <c r="B273" t="s">
        <v>937</v>
      </c>
      <c r="C273" t="s">
        <v>18</v>
      </c>
      <c r="D273" t="s">
        <v>43</v>
      </c>
      <c r="E273" t="s">
        <v>20</v>
      </c>
      <c r="F273" t="s">
        <v>32</v>
      </c>
      <c r="G273" t="s">
        <v>22</v>
      </c>
      <c r="H273" t="s">
        <v>23</v>
      </c>
      <c r="I273" t="s">
        <v>57</v>
      </c>
      <c r="J273" t="s">
        <v>269</v>
      </c>
      <c r="L273">
        <v>2.8</v>
      </c>
      <c r="M273">
        <v>217000</v>
      </c>
      <c r="N273">
        <v>2.8</v>
      </c>
      <c r="P273" t="s">
        <v>26</v>
      </c>
    </row>
    <row r="274" spans="1:16" x14ac:dyDescent="0.25">
      <c r="A274" t="s">
        <v>938</v>
      </c>
      <c r="B274" t="s">
        <v>939</v>
      </c>
      <c r="C274" t="s">
        <v>18</v>
      </c>
      <c r="D274" t="s">
        <v>79</v>
      </c>
      <c r="E274" t="s">
        <v>44</v>
      </c>
      <c r="F274" t="s">
        <v>21</v>
      </c>
      <c r="G274" t="s">
        <v>22</v>
      </c>
      <c r="H274" t="s">
        <v>46</v>
      </c>
      <c r="I274" t="s">
        <v>57</v>
      </c>
      <c r="J274" t="s">
        <v>940</v>
      </c>
      <c r="K274" t="s">
        <v>391</v>
      </c>
      <c r="L274">
        <v>2.2000000000000002</v>
      </c>
      <c r="M274">
        <v>933000</v>
      </c>
      <c r="N274">
        <v>3.9</v>
      </c>
      <c r="O274">
        <v>4</v>
      </c>
      <c r="P274" t="s">
        <v>53</v>
      </c>
    </row>
    <row r="275" spans="1:16" x14ac:dyDescent="0.25">
      <c r="A275" t="s">
        <v>941</v>
      </c>
      <c r="B275" t="s">
        <v>942</v>
      </c>
      <c r="C275" t="s">
        <v>18</v>
      </c>
      <c r="D275" t="s">
        <v>79</v>
      </c>
      <c r="E275" t="s">
        <v>20</v>
      </c>
      <c r="F275" t="s">
        <v>128</v>
      </c>
      <c r="G275" t="s">
        <v>22</v>
      </c>
      <c r="H275" t="s">
        <v>34</v>
      </c>
      <c r="I275" t="s">
        <v>57</v>
      </c>
      <c r="J275" t="s">
        <v>943</v>
      </c>
      <c r="L275">
        <v>5.3</v>
      </c>
      <c r="M275">
        <v>476000</v>
      </c>
      <c r="N275">
        <v>4.5</v>
      </c>
      <c r="O275">
        <v>38</v>
      </c>
      <c r="P275" t="s">
        <v>26</v>
      </c>
    </row>
    <row r="276" spans="1:16" x14ac:dyDescent="0.25">
      <c r="A276" t="s">
        <v>944</v>
      </c>
      <c r="B276" t="s">
        <v>945</v>
      </c>
      <c r="C276" t="s">
        <v>18</v>
      </c>
      <c r="D276" t="s">
        <v>30</v>
      </c>
      <c r="E276" t="s">
        <v>31</v>
      </c>
      <c r="F276" t="s">
        <v>128</v>
      </c>
      <c r="G276" t="s">
        <v>33</v>
      </c>
      <c r="H276" t="s">
        <v>34</v>
      </c>
      <c r="I276" t="s">
        <v>24</v>
      </c>
      <c r="J276" t="s">
        <v>946</v>
      </c>
      <c r="L276">
        <v>5.8</v>
      </c>
      <c r="M276">
        <v>478000</v>
      </c>
      <c r="N276">
        <v>2.2000000000000002</v>
      </c>
      <c r="O276">
        <v>8</v>
      </c>
      <c r="P276" t="s">
        <v>26</v>
      </c>
    </row>
    <row r="277" spans="1:16" x14ac:dyDescent="0.25">
      <c r="A277" t="s">
        <v>947</v>
      </c>
      <c r="B277" t="s">
        <v>948</v>
      </c>
      <c r="C277" t="s">
        <v>29</v>
      </c>
      <c r="D277" t="s">
        <v>43</v>
      </c>
      <c r="E277" t="s">
        <v>20</v>
      </c>
      <c r="F277" t="s">
        <v>39</v>
      </c>
      <c r="G277" t="s">
        <v>22</v>
      </c>
      <c r="H277" t="s">
        <v>34</v>
      </c>
      <c r="I277" t="s">
        <v>57</v>
      </c>
      <c r="J277" t="s">
        <v>949</v>
      </c>
      <c r="K277" t="s">
        <v>245</v>
      </c>
      <c r="L277">
        <v>3.6</v>
      </c>
      <c r="M277">
        <v>166000</v>
      </c>
      <c r="N277">
        <v>2.2000000000000002</v>
      </c>
      <c r="O277">
        <v>13</v>
      </c>
      <c r="P277" t="s">
        <v>53</v>
      </c>
    </row>
    <row r="278" spans="1:16" x14ac:dyDescent="0.25">
      <c r="A278" t="s">
        <v>950</v>
      </c>
      <c r="B278" t="s">
        <v>951</v>
      </c>
      <c r="C278" t="s">
        <v>18</v>
      </c>
      <c r="D278" t="s">
        <v>19</v>
      </c>
      <c r="F278" t="s">
        <v>32</v>
      </c>
      <c r="G278" t="s">
        <v>69</v>
      </c>
      <c r="H278" t="s">
        <v>23</v>
      </c>
      <c r="I278" t="s">
        <v>24</v>
      </c>
      <c r="J278" t="s">
        <v>952</v>
      </c>
      <c r="L278">
        <v>3.3</v>
      </c>
      <c r="M278">
        <v>305000</v>
      </c>
      <c r="N278">
        <v>3</v>
      </c>
      <c r="O278">
        <v>5</v>
      </c>
      <c r="P278" t="s">
        <v>26</v>
      </c>
    </row>
    <row r="279" spans="1:16" x14ac:dyDescent="0.25">
      <c r="A279" t="s">
        <v>953</v>
      </c>
      <c r="B279" t="s">
        <v>954</v>
      </c>
      <c r="C279" t="s">
        <v>18</v>
      </c>
      <c r="D279" t="s">
        <v>79</v>
      </c>
      <c r="E279" t="s">
        <v>31</v>
      </c>
      <c r="G279" t="s">
        <v>22</v>
      </c>
      <c r="H279" t="s">
        <v>34</v>
      </c>
      <c r="I279" t="s">
        <v>24</v>
      </c>
      <c r="J279" t="s">
        <v>279</v>
      </c>
      <c r="L279">
        <v>2.9</v>
      </c>
      <c r="M279">
        <v>391000</v>
      </c>
      <c r="N279">
        <v>3.3</v>
      </c>
      <c r="O279">
        <v>10</v>
      </c>
      <c r="P279" t="s">
        <v>26</v>
      </c>
    </row>
    <row r="280" spans="1:16" x14ac:dyDescent="0.25">
      <c r="A280" t="s">
        <v>955</v>
      </c>
      <c r="B280" t="s">
        <v>434</v>
      </c>
      <c r="C280" t="s">
        <v>29</v>
      </c>
      <c r="D280" t="s">
        <v>43</v>
      </c>
      <c r="E280" t="s">
        <v>44</v>
      </c>
      <c r="F280" t="s">
        <v>128</v>
      </c>
      <c r="G280" t="s">
        <v>22</v>
      </c>
      <c r="H280" t="s">
        <v>46</v>
      </c>
      <c r="I280" t="s">
        <v>24</v>
      </c>
      <c r="J280" t="s">
        <v>956</v>
      </c>
      <c r="K280" t="s">
        <v>957</v>
      </c>
      <c r="L280">
        <v>5.2</v>
      </c>
      <c r="M280">
        <v>365000</v>
      </c>
      <c r="N280">
        <v>2.7</v>
      </c>
      <c r="O280">
        <v>2</v>
      </c>
      <c r="P280" t="s">
        <v>53</v>
      </c>
    </row>
    <row r="281" spans="1:16" x14ac:dyDescent="0.25">
      <c r="A281" t="s">
        <v>958</v>
      </c>
      <c r="B281" t="s">
        <v>959</v>
      </c>
      <c r="C281" t="s">
        <v>18</v>
      </c>
      <c r="D281" t="s">
        <v>43</v>
      </c>
      <c r="E281" t="s">
        <v>20</v>
      </c>
      <c r="F281" t="s">
        <v>32</v>
      </c>
      <c r="G281" t="s">
        <v>22</v>
      </c>
      <c r="H281" t="s">
        <v>23</v>
      </c>
      <c r="I281" t="s">
        <v>24</v>
      </c>
      <c r="J281" t="s">
        <v>960</v>
      </c>
      <c r="L281">
        <v>5.3</v>
      </c>
      <c r="M281">
        <v>181000</v>
      </c>
      <c r="N281">
        <v>3.9</v>
      </c>
      <c r="O281">
        <v>14</v>
      </c>
      <c r="P281" t="s">
        <v>26</v>
      </c>
    </row>
    <row r="282" spans="1:16" x14ac:dyDescent="0.25">
      <c r="A282" t="s">
        <v>961</v>
      </c>
      <c r="B282" t="s">
        <v>962</v>
      </c>
      <c r="C282" t="s">
        <v>18</v>
      </c>
      <c r="D282" t="s">
        <v>30</v>
      </c>
      <c r="E282" t="s">
        <v>44</v>
      </c>
      <c r="F282" t="s">
        <v>39</v>
      </c>
      <c r="G282" t="s">
        <v>80</v>
      </c>
      <c r="H282" t="s">
        <v>23</v>
      </c>
      <c r="I282" t="s">
        <v>35</v>
      </c>
      <c r="J282" t="s">
        <v>963</v>
      </c>
      <c r="K282" t="s">
        <v>964</v>
      </c>
      <c r="L282">
        <v>3.5</v>
      </c>
      <c r="M282">
        <v>166000</v>
      </c>
      <c r="N282">
        <v>3.3</v>
      </c>
      <c r="O282">
        <v>11</v>
      </c>
      <c r="P282" t="s">
        <v>53</v>
      </c>
    </row>
    <row r="283" spans="1:16" x14ac:dyDescent="0.25">
      <c r="A283" t="s">
        <v>965</v>
      </c>
      <c r="B283" t="s">
        <v>966</v>
      </c>
      <c r="C283" t="s">
        <v>18</v>
      </c>
      <c r="D283" t="s">
        <v>79</v>
      </c>
      <c r="E283" t="s">
        <v>44</v>
      </c>
      <c r="F283" t="s">
        <v>21</v>
      </c>
      <c r="G283" t="s">
        <v>80</v>
      </c>
      <c r="H283" t="s">
        <v>62</v>
      </c>
      <c r="I283" t="s">
        <v>57</v>
      </c>
      <c r="J283" t="s">
        <v>967</v>
      </c>
      <c r="L283">
        <v>1.9</v>
      </c>
      <c r="M283">
        <v>932000</v>
      </c>
      <c r="N283">
        <v>3.6</v>
      </c>
      <c r="O283">
        <v>9</v>
      </c>
      <c r="P283" t="s">
        <v>26</v>
      </c>
    </row>
    <row r="284" spans="1:16" x14ac:dyDescent="0.25">
      <c r="A284" t="s">
        <v>968</v>
      </c>
      <c r="B284" t="s">
        <v>969</v>
      </c>
      <c r="C284" t="s">
        <v>29</v>
      </c>
      <c r="D284" t="s">
        <v>30</v>
      </c>
      <c r="E284" t="s">
        <v>20</v>
      </c>
      <c r="F284" t="s">
        <v>39</v>
      </c>
      <c r="G284" t="s">
        <v>22</v>
      </c>
      <c r="H284" t="s">
        <v>34</v>
      </c>
      <c r="I284" t="s">
        <v>24</v>
      </c>
      <c r="J284" t="s">
        <v>970</v>
      </c>
      <c r="K284" t="s">
        <v>971</v>
      </c>
      <c r="L284">
        <v>1.4</v>
      </c>
      <c r="M284">
        <v>96000</v>
      </c>
      <c r="N284">
        <v>2.7</v>
      </c>
      <c r="O284">
        <v>7</v>
      </c>
      <c r="P284" t="s">
        <v>53</v>
      </c>
    </row>
    <row r="285" spans="1:16" x14ac:dyDescent="0.25">
      <c r="A285" t="s">
        <v>972</v>
      </c>
      <c r="B285" t="s">
        <v>973</v>
      </c>
      <c r="C285" t="s">
        <v>29</v>
      </c>
      <c r="D285" t="s">
        <v>43</v>
      </c>
      <c r="E285" t="s">
        <v>20</v>
      </c>
      <c r="F285" t="s">
        <v>32</v>
      </c>
      <c r="G285" t="s">
        <v>22</v>
      </c>
      <c r="H285" t="s">
        <v>34</v>
      </c>
      <c r="I285" t="s">
        <v>171</v>
      </c>
      <c r="J285" t="s">
        <v>974</v>
      </c>
      <c r="K285" t="s">
        <v>975</v>
      </c>
      <c r="L285">
        <v>1.6</v>
      </c>
      <c r="M285">
        <v>265000</v>
      </c>
      <c r="N285">
        <v>4.5999999999999996</v>
      </c>
      <c r="O285">
        <v>35</v>
      </c>
      <c r="P285" t="s">
        <v>72</v>
      </c>
    </row>
    <row r="286" spans="1:16" x14ac:dyDescent="0.25">
      <c r="A286" t="s">
        <v>976</v>
      </c>
      <c r="B286" t="s">
        <v>977</v>
      </c>
      <c r="C286" t="s">
        <v>18</v>
      </c>
      <c r="D286" t="s">
        <v>50</v>
      </c>
      <c r="E286" t="s">
        <v>31</v>
      </c>
      <c r="F286" t="s">
        <v>128</v>
      </c>
      <c r="G286" t="s">
        <v>80</v>
      </c>
      <c r="H286" t="s">
        <v>46</v>
      </c>
      <c r="I286" t="s">
        <v>35</v>
      </c>
      <c r="J286" t="s">
        <v>978</v>
      </c>
      <c r="L286">
        <v>1.5</v>
      </c>
      <c r="M286">
        <v>390000</v>
      </c>
      <c r="N286">
        <v>3.2</v>
      </c>
      <c r="O286">
        <v>12</v>
      </c>
      <c r="P286" t="s">
        <v>26</v>
      </c>
    </row>
    <row r="287" spans="1:16" x14ac:dyDescent="0.25">
      <c r="A287" t="s">
        <v>979</v>
      </c>
      <c r="B287" t="s">
        <v>980</v>
      </c>
      <c r="C287" t="s">
        <v>18</v>
      </c>
      <c r="D287" t="s">
        <v>43</v>
      </c>
      <c r="E287" t="s">
        <v>20</v>
      </c>
      <c r="F287" t="s">
        <v>32</v>
      </c>
      <c r="G287" t="s">
        <v>22</v>
      </c>
      <c r="H287" t="s">
        <v>34</v>
      </c>
      <c r="I287" t="s">
        <v>35</v>
      </c>
      <c r="J287" t="s">
        <v>981</v>
      </c>
      <c r="L287">
        <v>4.5</v>
      </c>
      <c r="M287">
        <v>286000</v>
      </c>
      <c r="N287">
        <v>3</v>
      </c>
      <c r="O287">
        <v>22</v>
      </c>
      <c r="P287" t="s">
        <v>26</v>
      </c>
    </row>
    <row r="288" spans="1:16" x14ac:dyDescent="0.25">
      <c r="A288" t="s">
        <v>982</v>
      </c>
      <c r="B288" t="s">
        <v>983</v>
      </c>
      <c r="C288" t="s">
        <v>18</v>
      </c>
      <c r="D288" t="s">
        <v>19</v>
      </c>
      <c r="E288" t="s">
        <v>20</v>
      </c>
      <c r="F288" t="s">
        <v>21</v>
      </c>
      <c r="G288" t="s">
        <v>22</v>
      </c>
      <c r="H288" t="s">
        <v>46</v>
      </c>
      <c r="I288" t="s">
        <v>35</v>
      </c>
      <c r="J288" t="s">
        <v>984</v>
      </c>
      <c r="L288">
        <v>4.4000000000000004</v>
      </c>
      <c r="M288">
        <v>762000</v>
      </c>
      <c r="N288">
        <v>3.3</v>
      </c>
      <c r="O288">
        <v>22</v>
      </c>
      <c r="P288" t="s">
        <v>26</v>
      </c>
    </row>
    <row r="289" spans="1:16" x14ac:dyDescent="0.25">
      <c r="A289" t="s">
        <v>985</v>
      </c>
      <c r="B289" t="s">
        <v>986</v>
      </c>
      <c r="C289" t="s">
        <v>18</v>
      </c>
      <c r="D289" t="s">
        <v>50</v>
      </c>
      <c r="E289" t="s">
        <v>44</v>
      </c>
      <c r="F289" t="s">
        <v>128</v>
      </c>
      <c r="G289" t="s">
        <v>22</v>
      </c>
      <c r="H289" t="s">
        <v>23</v>
      </c>
      <c r="I289" t="s">
        <v>24</v>
      </c>
      <c r="J289" t="s">
        <v>987</v>
      </c>
      <c r="L289">
        <v>4.5999999999999996</v>
      </c>
      <c r="M289">
        <v>513000</v>
      </c>
      <c r="N289">
        <v>2.2000000000000002</v>
      </c>
      <c r="O289">
        <v>4</v>
      </c>
      <c r="P289" t="s">
        <v>26</v>
      </c>
    </row>
    <row r="290" spans="1:16" x14ac:dyDescent="0.25">
      <c r="A290" t="s">
        <v>988</v>
      </c>
      <c r="B290" t="s">
        <v>989</v>
      </c>
      <c r="C290" t="s">
        <v>29</v>
      </c>
      <c r="D290" t="s">
        <v>79</v>
      </c>
      <c r="E290" t="s">
        <v>20</v>
      </c>
      <c r="F290" t="s">
        <v>128</v>
      </c>
      <c r="G290" t="s">
        <v>22</v>
      </c>
      <c r="H290" t="s">
        <v>23</v>
      </c>
      <c r="I290" t="s">
        <v>35</v>
      </c>
      <c r="J290" t="s">
        <v>990</v>
      </c>
      <c r="L290">
        <v>1.3</v>
      </c>
      <c r="M290">
        <v>531000</v>
      </c>
      <c r="O290">
        <v>1</v>
      </c>
      <c r="P290" t="s">
        <v>26</v>
      </c>
    </row>
    <row r="291" spans="1:16" x14ac:dyDescent="0.25">
      <c r="A291" t="s">
        <v>991</v>
      </c>
      <c r="B291" t="s">
        <v>992</v>
      </c>
      <c r="C291" t="s">
        <v>29</v>
      </c>
      <c r="D291" t="s">
        <v>50</v>
      </c>
      <c r="E291" t="s">
        <v>44</v>
      </c>
      <c r="F291" t="s">
        <v>32</v>
      </c>
      <c r="G291" t="s">
        <v>22</v>
      </c>
      <c r="H291" t="s">
        <v>46</v>
      </c>
      <c r="I291" t="s">
        <v>57</v>
      </c>
      <c r="J291" t="s">
        <v>993</v>
      </c>
      <c r="L291">
        <v>3.3</v>
      </c>
      <c r="M291">
        <v>340000</v>
      </c>
      <c r="N291">
        <v>3.5</v>
      </c>
      <c r="O291">
        <v>32</v>
      </c>
      <c r="P291" t="s">
        <v>26</v>
      </c>
    </row>
    <row r="292" spans="1:16" x14ac:dyDescent="0.25">
      <c r="A292" t="s">
        <v>994</v>
      </c>
      <c r="B292" t="s">
        <v>995</v>
      </c>
      <c r="C292" t="s">
        <v>18</v>
      </c>
      <c r="D292" t="s">
        <v>30</v>
      </c>
      <c r="E292" t="s">
        <v>20</v>
      </c>
      <c r="F292" t="s">
        <v>39</v>
      </c>
      <c r="G292" t="s">
        <v>80</v>
      </c>
      <c r="H292" t="s">
        <v>46</v>
      </c>
      <c r="I292" t="s">
        <v>57</v>
      </c>
      <c r="J292" t="s">
        <v>996</v>
      </c>
      <c r="K292" t="s">
        <v>997</v>
      </c>
      <c r="L292">
        <v>5.3</v>
      </c>
      <c r="M292">
        <v>88000</v>
      </c>
      <c r="N292">
        <v>1.5</v>
      </c>
      <c r="O292">
        <v>9</v>
      </c>
      <c r="P292" t="s">
        <v>72</v>
      </c>
    </row>
    <row r="293" spans="1:16" x14ac:dyDescent="0.25">
      <c r="A293" t="s">
        <v>998</v>
      </c>
      <c r="B293" t="s">
        <v>999</v>
      </c>
      <c r="C293" t="s">
        <v>18</v>
      </c>
      <c r="D293" t="s">
        <v>79</v>
      </c>
      <c r="E293" t="s">
        <v>20</v>
      </c>
      <c r="F293" t="s">
        <v>32</v>
      </c>
      <c r="G293" t="s">
        <v>80</v>
      </c>
      <c r="H293" t="s">
        <v>23</v>
      </c>
      <c r="I293" t="s">
        <v>35</v>
      </c>
      <c r="J293" t="s">
        <v>1000</v>
      </c>
      <c r="L293">
        <v>3.2</v>
      </c>
      <c r="M293">
        <v>180000</v>
      </c>
      <c r="N293">
        <v>4.8</v>
      </c>
      <c r="O293">
        <v>11</v>
      </c>
      <c r="P293" t="s">
        <v>26</v>
      </c>
    </row>
    <row r="294" spans="1:16" x14ac:dyDescent="0.25">
      <c r="A294" t="s">
        <v>1001</v>
      </c>
      <c r="B294" t="s">
        <v>1002</v>
      </c>
      <c r="C294" t="s">
        <v>29</v>
      </c>
      <c r="D294" t="s">
        <v>43</v>
      </c>
      <c r="E294" t="s">
        <v>20</v>
      </c>
      <c r="F294" t="s">
        <v>21</v>
      </c>
      <c r="G294" t="s">
        <v>80</v>
      </c>
      <c r="H294" t="s">
        <v>46</v>
      </c>
      <c r="I294" t="s">
        <v>75</v>
      </c>
      <c r="J294" t="s">
        <v>1003</v>
      </c>
      <c r="L294">
        <v>3</v>
      </c>
      <c r="M294">
        <v>821000</v>
      </c>
      <c r="N294">
        <v>3.2</v>
      </c>
      <c r="O294">
        <v>14</v>
      </c>
      <c r="P294" t="s">
        <v>26</v>
      </c>
    </row>
    <row r="295" spans="1:16" x14ac:dyDescent="0.25">
      <c r="A295" t="s">
        <v>1004</v>
      </c>
      <c r="B295" t="s">
        <v>1005</v>
      </c>
      <c r="C295" t="s">
        <v>29</v>
      </c>
      <c r="E295" t="s">
        <v>44</v>
      </c>
      <c r="F295" t="s">
        <v>32</v>
      </c>
      <c r="G295" t="s">
        <v>69</v>
      </c>
      <c r="H295" t="s">
        <v>34</v>
      </c>
      <c r="I295" t="s">
        <v>24</v>
      </c>
      <c r="J295" t="s">
        <v>554</v>
      </c>
      <c r="L295">
        <v>2.7</v>
      </c>
      <c r="M295">
        <v>342000</v>
      </c>
      <c r="N295">
        <v>2.4</v>
      </c>
      <c r="O295">
        <v>3</v>
      </c>
      <c r="P295" t="s">
        <v>26</v>
      </c>
    </row>
    <row r="296" spans="1:16" x14ac:dyDescent="0.25">
      <c r="A296" t="s">
        <v>1006</v>
      </c>
      <c r="B296" t="s">
        <v>1007</v>
      </c>
      <c r="C296" t="s">
        <v>29</v>
      </c>
      <c r="D296" t="s">
        <v>30</v>
      </c>
      <c r="E296" t="s">
        <v>31</v>
      </c>
      <c r="F296" t="s">
        <v>39</v>
      </c>
      <c r="G296" t="s">
        <v>33</v>
      </c>
      <c r="H296" t="s">
        <v>62</v>
      </c>
      <c r="I296" t="s">
        <v>57</v>
      </c>
      <c r="J296" t="s">
        <v>1008</v>
      </c>
      <c r="L296">
        <v>4.8</v>
      </c>
      <c r="M296">
        <v>156000</v>
      </c>
      <c r="N296">
        <v>3.1</v>
      </c>
      <c r="O296">
        <v>14</v>
      </c>
      <c r="P296" t="s">
        <v>26</v>
      </c>
    </row>
    <row r="297" spans="1:16" x14ac:dyDescent="0.25">
      <c r="A297" t="s">
        <v>1009</v>
      </c>
      <c r="B297" t="s">
        <v>1010</v>
      </c>
      <c r="C297" t="s">
        <v>18</v>
      </c>
      <c r="D297" t="s">
        <v>50</v>
      </c>
      <c r="E297" t="s">
        <v>20</v>
      </c>
      <c r="F297" t="s">
        <v>32</v>
      </c>
      <c r="G297" t="s">
        <v>69</v>
      </c>
      <c r="H297" t="s">
        <v>34</v>
      </c>
      <c r="I297" t="s">
        <v>24</v>
      </c>
      <c r="J297" t="s">
        <v>553</v>
      </c>
      <c r="L297">
        <v>5.3</v>
      </c>
      <c r="M297">
        <v>322000</v>
      </c>
      <c r="N297">
        <v>4.2</v>
      </c>
      <c r="O297">
        <v>28</v>
      </c>
      <c r="P297" t="s">
        <v>26</v>
      </c>
    </row>
    <row r="298" spans="1:16" x14ac:dyDescent="0.25">
      <c r="A298" t="s">
        <v>1011</v>
      </c>
      <c r="B298" t="s">
        <v>880</v>
      </c>
      <c r="C298" t="s">
        <v>18</v>
      </c>
      <c r="D298" t="s">
        <v>30</v>
      </c>
      <c r="E298" t="s">
        <v>20</v>
      </c>
      <c r="G298" t="s">
        <v>22</v>
      </c>
      <c r="I298" t="s">
        <v>24</v>
      </c>
      <c r="J298" t="s">
        <v>1012</v>
      </c>
      <c r="L298">
        <v>4</v>
      </c>
      <c r="M298">
        <v>441000</v>
      </c>
      <c r="N298">
        <v>3.3</v>
      </c>
      <c r="O298">
        <v>14</v>
      </c>
      <c r="P298" t="s">
        <v>26</v>
      </c>
    </row>
    <row r="299" spans="1:16" x14ac:dyDescent="0.25">
      <c r="A299" t="s">
        <v>1013</v>
      </c>
      <c r="B299" t="s">
        <v>1014</v>
      </c>
      <c r="C299" t="s">
        <v>18</v>
      </c>
      <c r="D299" t="s">
        <v>50</v>
      </c>
      <c r="E299" t="s">
        <v>44</v>
      </c>
      <c r="F299" t="s">
        <v>32</v>
      </c>
      <c r="G299" t="s">
        <v>22</v>
      </c>
      <c r="H299" t="s">
        <v>34</v>
      </c>
      <c r="I299" t="s">
        <v>24</v>
      </c>
      <c r="J299" t="s">
        <v>1015</v>
      </c>
      <c r="L299">
        <v>1.4</v>
      </c>
      <c r="M299">
        <v>210000</v>
      </c>
      <c r="N299">
        <v>4.5</v>
      </c>
      <c r="O299">
        <v>8</v>
      </c>
      <c r="P299" t="s">
        <v>26</v>
      </c>
    </row>
    <row r="300" spans="1:16" x14ac:dyDescent="0.25">
      <c r="A300" t="s">
        <v>1016</v>
      </c>
      <c r="B300" t="s">
        <v>1017</v>
      </c>
      <c r="C300" t="s">
        <v>18</v>
      </c>
      <c r="D300" t="s">
        <v>30</v>
      </c>
      <c r="E300" t="s">
        <v>20</v>
      </c>
      <c r="G300" t="s">
        <v>80</v>
      </c>
      <c r="H300" t="s">
        <v>46</v>
      </c>
      <c r="I300" t="s">
        <v>57</v>
      </c>
      <c r="J300" t="s">
        <v>441</v>
      </c>
      <c r="K300" t="s">
        <v>1018</v>
      </c>
      <c r="L300">
        <v>2.8</v>
      </c>
      <c r="M300">
        <v>431000</v>
      </c>
      <c r="N300">
        <v>3.8</v>
      </c>
      <c r="O300">
        <v>19</v>
      </c>
      <c r="P300" t="s">
        <v>53</v>
      </c>
    </row>
    <row r="301" spans="1:16" x14ac:dyDescent="0.25">
      <c r="A301" t="s">
        <v>1019</v>
      </c>
      <c r="B301" t="s">
        <v>1020</v>
      </c>
      <c r="C301" t="s">
        <v>18</v>
      </c>
      <c r="D301" t="s">
        <v>30</v>
      </c>
      <c r="E301" t="s">
        <v>20</v>
      </c>
      <c r="F301" t="s">
        <v>39</v>
      </c>
      <c r="G301" t="s">
        <v>22</v>
      </c>
      <c r="H301" t="s">
        <v>34</v>
      </c>
      <c r="I301" t="s">
        <v>24</v>
      </c>
      <c r="J301" t="s">
        <v>1021</v>
      </c>
      <c r="K301" t="s">
        <v>1022</v>
      </c>
      <c r="L301">
        <v>4.5999999999999996</v>
      </c>
      <c r="M301">
        <v>141000</v>
      </c>
      <c r="N301">
        <v>3</v>
      </c>
      <c r="O301">
        <v>3</v>
      </c>
      <c r="P301" t="s">
        <v>72</v>
      </c>
    </row>
    <row r="302" spans="1:16" x14ac:dyDescent="0.25">
      <c r="A302" t="s">
        <v>1023</v>
      </c>
      <c r="B302" t="s">
        <v>1024</v>
      </c>
      <c r="C302" t="s">
        <v>29</v>
      </c>
      <c r="E302" t="s">
        <v>20</v>
      </c>
      <c r="F302" t="s">
        <v>128</v>
      </c>
      <c r="G302" t="s">
        <v>22</v>
      </c>
      <c r="H302" t="s">
        <v>34</v>
      </c>
      <c r="I302" t="s">
        <v>57</v>
      </c>
      <c r="J302" t="s">
        <v>1025</v>
      </c>
      <c r="L302">
        <v>4.5</v>
      </c>
      <c r="M302">
        <v>468000</v>
      </c>
      <c r="N302">
        <v>4.8</v>
      </c>
      <c r="P302" t="s">
        <v>26</v>
      </c>
    </row>
    <row r="303" spans="1:16" x14ac:dyDescent="0.25">
      <c r="A303" t="s">
        <v>1026</v>
      </c>
      <c r="B303" t="s">
        <v>1027</v>
      </c>
      <c r="C303" t="s">
        <v>29</v>
      </c>
      <c r="D303" t="s">
        <v>30</v>
      </c>
      <c r="E303" t="s">
        <v>44</v>
      </c>
      <c r="F303" t="s">
        <v>39</v>
      </c>
      <c r="G303" t="s">
        <v>22</v>
      </c>
      <c r="H303" t="s">
        <v>34</v>
      </c>
      <c r="J303" t="s">
        <v>1028</v>
      </c>
      <c r="K303" t="s">
        <v>1029</v>
      </c>
      <c r="L303">
        <v>3.9</v>
      </c>
      <c r="M303">
        <v>150000</v>
      </c>
      <c r="N303">
        <v>2.2999999999999998</v>
      </c>
      <c r="O303">
        <v>8</v>
      </c>
      <c r="P303" t="s">
        <v>53</v>
      </c>
    </row>
    <row r="304" spans="1:16" x14ac:dyDescent="0.25">
      <c r="A304" t="s">
        <v>1030</v>
      </c>
      <c r="B304" t="s">
        <v>1031</v>
      </c>
      <c r="C304" t="s">
        <v>18</v>
      </c>
      <c r="D304" t="s">
        <v>79</v>
      </c>
      <c r="E304" t="s">
        <v>20</v>
      </c>
      <c r="F304" t="s">
        <v>32</v>
      </c>
      <c r="G304" t="s">
        <v>22</v>
      </c>
      <c r="H304" t="s">
        <v>62</v>
      </c>
      <c r="I304" t="s">
        <v>24</v>
      </c>
      <c r="J304" t="s">
        <v>266</v>
      </c>
      <c r="L304">
        <v>3.9</v>
      </c>
      <c r="M304">
        <v>250000</v>
      </c>
      <c r="N304">
        <v>3.9</v>
      </c>
      <c r="O304">
        <v>2</v>
      </c>
      <c r="P304" t="s">
        <v>26</v>
      </c>
    </row>
    <row r="305" spans="1:16" x14ac:dyDescent="0.25">
      <c r="A305" t="s">
        <v>1032</v>
      </c>
      <c r="B305" t="s">
        <v>1033</v>
      </c>
      <c r="C305" t="s">
        <v>29</v>
      </c>
      <c r="D305" t="s">
        <v>30</v>
      </c>
      <c r="E305" t="s">
        <v>20</v>
      </c>
      <c r="F305" t="s">
        <v>39</v>
      </c>
      <c r="G305" t="s">
        <v>80</v>
      </c>
      <c r="H305" t="s">
        <v>62</v>
      </c>
      <c r="I305" t="s">
        <v>35</v>
      </c>
      <c r="J305" t="s">
        <v>1034</v>
      </c>
      <c r="L305">
        <v>26.6</v>
      </c>
      <c r="M305">
        <v>155000</v>
      </c>
      <c r="N305">
        <v>3.4</v>
      </c>
      <c r="O305">
        <v>3</v>
      </c>
      <c r="P305" t="s">
        <v>26</v>
      </c>
    </row>
    <row r="306" spans="1:16" x14ac:dyDescent="0.25">
      <c r="A306" t="s">
        <v>1035</v>
      </c>
      <c r="B306" t="s">
        <v>1036</v>
      </c>
      <c r="C306" t="s">
        <v>29</v>
      </c>
      <c r="D306" t="s">
        <v>30</v>
      </c>
      <c r="E306" t="s">
        <v>20</v>
      </c>
      <c r="F306" t="s">
        <v>32</v>
      </c>
      <c r="G306" t="s">
        <v>22</v>
      </c>
      <c r="H306" t="s">
        <v>23</v>
      </c>
      <c r="I306" t="s">
        <v>57</v>
      </c>
      <c r="J306" t="s">
        <v>1037</v>
      </c>
      <c r="K306" t="s">
        <v>1038</v>
      </c>
      <c r="L306">
        <v>3.9</v>
      </c>
      <c r="M306">
        <v>298000</v>
      </c>
      <c r="N306">
        <v>4.8</v>
      </c>
      <c r="O306">
        <v>8</v>
      </c>
      <c r="P306" t="s">
        <v>53</v>
      </c>
    </row>
    <row r="307" spans="1:16" x14ac:dyDescent="0.25">
      <c r="A307" t="s">
        <v>1039</v>
      </c>
      <c r="B307" t="s">
        <v>1040</v>
      </c>
      <c r="C307" t="s">
        <v>29</v>
      </c>
      <c r="D307" t="s">
        <v>30</v>
      </c>
      <c r="E307" t="s">
        <v>20</v>
      </c>
      <c r="F307" t="s">
        <v>39</v>
      </c>
      <c r="G307" t="s">
        <v>33</v>
      </c>
      <c r="H307" t="s">
        <v>23</v>
      </c>
      <c r="I307" t="s">
        <v>24</v>
      </c>
      <c r="J307" t="s">
        <v>1041</v>
      </c>
      <c r="L307">
        <v>4.7</v>
      </c>
      <c r="M307">
        <v>162000</v>
      </c>
      <c r="N307">
        <v>3.1</v>
      </c>
      <c r="O307">
        <v>9</v>
      </c>
      <c r="P307" t="s">
        <v>26</v>
      </c>
    </row>
    <row r="308" spans="1:16" x14ac:dyDescent="0.25">
      <c r="A308" t="s">
        <v>1042</v>
      </c>
      <c r="B308" t="s">
        <v>1043</v>
      </c>
      <c r="C308" t="s">
        <v>18</v>
      </c>
      <c r="D308" t="s">
        <v>19</v>
      </c>
      <c r="E308" t="s">
        <v>31</v>
      </c>
      <c r="F308" t="s">
        <v>39</v>
      </c>
      <c r="G308" t="s">
        <v>22</v>
      </c>
      <c r="H308" t="s">
        <v>34</v>
      </c>
      <c r="I308" t="s">
        <v>24</v>
      </c>
      <c r="J308" t="s">
        <v>1044</v>
      </c>
      <c r="L308">
        <v>6</v>
      </c>
      <c r="M308">
        <v>198000</v>
      </c>
      <c r="N308">
        <v>4.8</v>
      </c>
      <c r="O308">
        <v>14</v>
      </c>
      <c r="P308" t="s">
        <v>26</v>
      </c>
    </row>
    <row r="309" spans="1:16" x14ac:dyDescent="0.25">
      <c r="A309" t="s">
        <v>1045</v>
      </c>
      <c r="B309" t="s">
        <v>65</v>
      </c>
      <c r="C309" t="s">
        <v>18</v>
      </c>
      <c r="D309" t="s">
        <v>43</v>
      </c>
      <c r="E309" t="s">
        <v>20</v>
      </c>
      <c r="F309" t="s">
        <v>32</v>
      </c>
      <c r="G309" t="s">
        <v>69</v>
      </c>
      <c r="H309" t="s">
        <v>62</v>
      </c>
      <c r="I309" t="s">
        <v>24</v>
      </c>
      <c r="J309" t="s">
        <v>1046</v>
      </c>
      <c r="L309">
        <v>1.9</v>
      </c>
      <c r="M309">
        <v>293000</v>
      </c>
      <c r="N309">
        <v>2.5</v>
      </c>
      <c r="O309">
        <v>7</v>
      </c>
      <c r="P309" t="s">
        <v>26</v>
      </c>
    </row>
    <row r="310" spans="1:16" x14ac:dyDescent="0.25">
      <c r="A310" t="s">
        <v>1047</v>
      </c>
      <c r="B310" t="s">
        <v>1048</v>
      </c>
      <c r="C310" t="s">
        <v>18</v>
      </c>
      <c r="E310" t="s">
        <v>20</v>
      </c>
      <c r="F310" t="s">
        <v>128</v>
      </c>
      <c r="G310" t="s">
        <v>22</v>
      </c>
      <c r="H310" t="s">
        <v>23</v>
      </c>
      <c r="I310" t="s">
        <v>35</v>
      </c>
      <c r="J310" t="s">
        <v>152</v>
      </c>
      <c r="L310">
        <v>4</v>
      </c>
      <c r="M310">
        <v>451000</v>
      </c>
      <c r="N310">
        <v>3.8</v>
      </c>
      <c r="O310">
        <v>15</v>
      </c>
      <c r="P310" t="s">
        <v>26</v>
      </c>
    </row>
    <row r="311" spans="1:16" x14ac:dyDescent="0.25">
      <c r="A311" t="s">
        <v>1049</v>
      </c>
      <c r="B311" t="s">
        <v>1050</v>
      </c>
      <c r="C311" t="s">
        <v>29</v>
      </c>
      <c r="D311" t="s">
        <v>43</v>
      </c>
      <c r="E311" t="s">
        <v>20</v>
      </c>
      <c r="F311" t="s">
        <v>39</v>
      </c>
      <c r="G311" t="s">
        <v>69</v>
      </c>
      <c r="H311" t="s">
        <v>23</v>
      </c>
      <c r="I311" t="s">
        <v>24</v>
      </c>
      <c r="J311" t="s">
        <v>1051</v>
      </c>
      <c r="L311">
        <v>5.0999999999999996</v>
      </c>
      <c r="M311">
        <v>150000</v>
      </c>
      <c r="N311">
        <v>3.3</v>
      </c>
      <c r="O311">
        <v>11</v>
      </c>
      <c r="P311" t="s">
        <v>26</v>
      </c>
    </row>
    <row r="312" spans="1:16" x14ac:dyDescent="0.25">
      <c r="A312" t="s">
        <v>1052</v>
      </c>
      <c r="B312" t="s">
        <v>1053</v>
      </c>
      <c r="C312" t="s">
        <v>18</v>
      </c>
      <c r="D312" t="s">
        <v>79</v>
      </c>
      <c r="E312" t="s">
        <v>44</v>
      </c>
      <c r="F312" t="s">
        <v>39</v>
      </c>
      <c r="G312" t="s">
        <v>33</v>
      </c>
      <c r="H312" t="s">
        <v>23</v>
      </c>
      <c r="I312" t="s">
        <v>57</v>
      </c>
      <c r="J312" t="s">
        <v>1054</v>
      </c>
      <c r="L312">
        <v>4.3</v>
      </c>
      <c r="M312">
        <v>103000</v>
      </c>
      <c r="N312">
        <v>3.1</v>
      </c>
      <c r="P312" t="s">
        <v>26</v>
      </c>
    </row>
    <row r="313" spans="1:16" x14ac:dyDescent="0.25">
      <c r="A313" t="s">
        <v>1055</v>
      </c>
      <c r="B313" t="s">
        <v>377</v>
      </c>
      <c r="D313" t="s">
        <v>43</v>
      </c>
      <c r="E313" t="s">
        <v>20</v>
      </c>
      <c r="F313" t="s">
        <v>39</v>
      </c>
      <c r="G313" t="s">
        <v>22</v>
      </c>
      <c r="H313" t="s">
        <v>34</v>
      </c>
      <c r="I313" t="s">
        <v>35</v>
      </c>
      <c r="J313" t="s">
        <v>1056</v>
      </c>
      <c r="L313">
        <v>4.9000000000000004</v>
      </c>
      <c r="M313">
        <v>121000</v>
      </c>
      <c r="N313">
        <v>4.4000000000000004</v>
      </c>
      <c r="O313">
        <v>6</v>
      </c>
      <c r="P313" t="s">
        <v>26</v>
      </c>
    </row>
    <row r="314" spans="1:16" x14ac:dyDescent="0.25">
      <c r="A314" t="s">
        <v>1057</v>
      </c>
      <c r="B314" t="s">
        <v>1058</v>
      </c>
      <c r="D314" t="s">
        <v>19</v>
      </c>
      <c r="E314" t="s">
        <v>20</v>
      </c>
      <c r="F314" t="s">
        <v>32</v>
      </c>
      <c r="G314" t="s">
        <v>33</v>
      </c>
      <c r="H314" t="s">
        <v>46</v>
      </c>
      <c r="I314" t="s">
        <v>24</v>
      </c>
      <c r="J314" t="s">
        <v>1059</v>
      </c>
      <c r="L314">
        <v>2.5</v>
      </c>
      <c r="M314">
        <v>237000</v>
      </c>
      <c r="N314">
        <v>2.8</v>
      </c>
      <c r="O314">
        <v>2</v>
      </c>
      <c r="P314" t="s">
        <v>26</v>
      </c>
    </row>
    <row r="315" spans="1:16" x14ac:dyDescent="0.25">
      <c r="A315" t="s">
        <v>1060</v>
      </c>
      <c r="B315" t="s">
        <v>1061</v>
      </c>
      <c r="C315" t="s">
        <v>18</v>
      </c>
      <c r="D315" t="s">
        <v>19</v>
      </c>
      <c r="E315" t="s">
        <v>20</v>
      </c>
      <c r="F315" t="s">
        <v>128</v>
      </c>
      <c r="G315" t="s">
        <v>69</v>
      </c>
      <c r="H315" t="s">
        <v>23</v>
      </c>
      <c r="I315" t="s">
        <v>57</v>
      </c>
      <c r="J315" t="s">
        <v>716</v>
      </c>
      <c r="K315" t="s">
        <v>1062</v>
      </c>
      <c r="L315">
        <v>5.4</v>
      </c>
      <c r="M315">
        <v>450000</v>
      </c>
      <c r="N315">
        <v>2.2999999999999998</v>
      </c>
      <c r="O315">
        <v>7</v>
      </c>
      <c r="P315" t="s">
        <v>53</v>
      </c>
    </row>
    <row r="316" spans="1:16" x14ac:dyDescent="0.25">
      <c r="A316" t="s">
        <v>1063</v>
      </c>
      <c r="B316" t="s">
        <v>1064</v>
      </c>
      <c r="C316" t="s">
        <v>29</v>
      </c>
      <c r="D316" t="s">
        <v>79</v>
      </c>
      <c r="E316" t="s">
        <v>20</v>
      </c>
      <c r="F316" t="s">
        <v>32</v>
      </c>
      <c r="G316" t="s">
        <v>22</v>
      </c>
      <c r="H316" t="s">
        <v>34</v>
      </c>
      <c r="I316" t="s">
        <v>24</v>
      </c>
      <c r="J316" t="s">
        <v>1065</v>
      </c>
      <c r="L316">
        <v>4</v>
      </c>
      <c r="M316">
        <v>339000</v>
      </c>
      <c r="N316">
        <v>4.4000000000000004</v>
      </c>
      <c r="O316">
        <v>11</v>
      </c>
      <c r="P316" t="s">
        <v>26</v>
      </c>
    </row>
    <row r="317" spans="1:16" x14ac:dyDescent="0.25">
      <c r="A317" t="s">
        <v>1066</v>
      </c>
      <c r="B317" t="s">
        <v>1067</v>
      </c>
      <c r="C317" t="s">
        <v>29</v>
      </c>
      <c r="D317" t="s">
        <v>50</v>
      </c>
      <c r="E317" t="s">
        <v>20</v>
      </c>
      <c r="F317" t="s">
        <v>32</v>
      </c>
      <c r="G317" t="s">
        <v>22</v>
      </c>
      <c r="H317" t="s">
        <v>62</v>
      </c>
      <c r="I317" t="s">
        <v>35</v>
      </c>
      <c r="J317" t="s">
        <v>575</v>
      </c>
      <c r="L317">
        <v>1.7</v>
      </c>
      <c r="M317">
        <v>214000</v>
      </c>
      <c r="N317">
        <v>2.1</v>
      </c>
      <c r="P317" t="s">
        <v>26</v>
      </c>
    </row>
    <row r="318" spans="1:16" x14ac:dyDescent="0.25">
      <c r="A318" t="s">
        <v>1068</v>
      </c>
      <c r="B318" t="s">
        <v>1069</v>
      </c>
      <c r="D318" t="s">
        <v>50</v>
      </c>
      <c r="E318" t="s">
        <v>20</v>
      </c>
      <c r="F318" t="s">
        <v>32</v>
      </c>
      <c r="G318" t="s">
        <v>33</v>
      </c>
      <c r="H318" t="s">
        <v>34</v>
      </c>
      <c r="I318" t="s">
        <v>24</v>
      </c>
      <c r="J318" t="s">
        <v>1070</v>
      </c>
      <c r="L318">
        <v>6.1</v>
      </c>
      <c r="M318">
        <v>232000</v>
      </c>
      <c r="N318">
        <v>2.8</v>
      </c>
      <c r="O318">
        <v>28</v>
      </c>
      <c r="P318" t="s">
        <v>26</v>
      </c>
    </row>
    <row r="319" spans="1:16" x14ac:dyDescent="0.25">
      <c r="A319" t="s">
        <v>1071</v>
      </c>
      <c r="B319" t="s">
        <v>1072</v>
      </c>
      <c r="C319" t="s">
        <v>29</v>
      </c>
      <c r="D319" t="s">
        <v>79</v>
      </c>
      <c r="E319" t="s">
        <v>20</v>
      </c>
      <c r="F319" t="s">
        <v>32</v>
      </c>
      <c r="G319" t="s">
        <v>69</v>
      </c>
      <c r="H319" t="s">
        <v>62</v>
      </c>
      <c r="I319" t="s">
        <v>75</v>
      </c>
      <c r="J319" t="s">
        <v>1073</v>
      </c>
      <c r="K319" t="s">
        <v>1074</v>
      </c>
      <c r="L319">
        <v>1.4</v>
      </c>
      <c r="M319">
        <v>266000</v>
      </c>
      <c r="N319">
        <v>2.2999999999999998</v>
      </c>
      <c r="O319">
        <v>12</v>
      </c>
      <c r="P319" t="s">
        <v>53</v>
      </c>
    </row>
    <row r="320" spans="1:16" x14ac:dyDescent="0.25">
      <c r="A320" t="s">
        <v>1075</v>
      </c>
      <c r="B320" t="s">
        <v>1076</v>
      </c>
      <c r="C320" t="s">
        <v>29</v>
      </c>
      <c r="D320" t="s">
        <v>43</v>
      </c>
      <c r="E320" t="s">
        <v>20</v>
      </c>
      <c r="F320" t="s">
        <v>32</v>
      </c>
      <c r="G320" t="s">
        <v>33</v>
      </c>
      <c r="H320" t="s">
        <v>23</v>
      </c>
      <c r="I320" t="s">
        <v>35</v>
      </c>
      <c r="J320" t="s">
        <v>1077</v>
      </c>
      <c r="L320">
        <v>1.3</v>
      </c>
      <c r="M320">
        <v>210000</v>
      </c>
      <c r="N320">
        <v>4.5</v>
      </c>
      <c r="O320">
        <v>10</v>
      </c>
      <c r="P320" t="s">
        <v>26</v>
      </c>
    </row>
    <row r="321" spans="1:16" x14ac:dyDescent="0.25">
      <c r="A321" t="s">
        <v>1078</v>
      </c>
      <c r="B321" t="s">
        <v>1079</v>
      </c>
      <c r="C321" t="s">
        <v>29</v>
      </c>
      <c r="D321" t="s">
        <v>79</v>
      </c>
      <c r="E321" t="s">
        <v>44</v>
      </c>
      <c r="F321" t="s">
        <v>39</v>
      </c>
      <c r="G321" t="s">
        <v>80</v>
      </c>
      <c r="H321" t="s">
        <v>23</v>
      </c>
      <c r="I321" t="s">
        <v>75</v>
      </c>
      <c r="J321" t="s">
        <v>696</v>
      </c>
      <c r="L321">
        <v>4.5</v>
      </c>
      <c r="M321">
        <v>120000</v>
      </c>
      <c r="N321">
        <v>4.7</v>
      </c>
      <c r="O321">
        <v>2</v>
      </c>
      <c r="P321" t="s">
        <v>26</v>
      </c>
    </row>
    <row r="322" spans="1:16" x14ac:dyDescent="0.25">
      <c r="A322" t="s">
        <v>1080</v>
      </c>
      <c r="B322" t="s">
        <v>1081</v>
      </c>
      <c r="D322" t="s">
        <v>19</v>
      </c>
      <c r="E322" t="s">
        <v>44</v>
      </c>
      <c r="F322" t="s">
        <v>128</v>
      </c>
      <c r="G322" t="s">
        <v>80</v>
      </c>
      <c r="I322" t="s">
        <v>57</v>
      </c>
      <c r="J322" t="s">
        <v>1082</v>
      </c>
      <c r="L322">
        <v>3.6</v>
      </c>
      <c r="M322">
        <v>551000</v>
      </c>
      <c r="O322">
        <v>6</v>
      </c>
      <c r="P322" t="s">
        <v>26</v>
      </c>
    </row>
    <row r="323" spans="1:16" x14ac:dyDescent="0.25">
      <c r="A323" t="s">
        <v>1083</v>
      </c>
      <c r="B323" t="s">
        <v>1084</v>
      </c>
      <c r="C323" t="s">
        <v>18</v>
      </c>
      <c r="D323" t="s">
        <v>19</v>
      </c>
      <c r="E323" t="s">
        <v>44</v>
      </c>
      <c r="G323" t="s">
        <v>80</v>
      </c>
      <c r="H323" t="s">
        <v>46</v>
      </c>
      <c r="I323" t="s">
        <v>171</v>
      </c>
      <c r="J323" t="s">
        <v>1085</v>
      </c>
      <c r="K323" t="s">
        <v>1086</v>
      </c>
      <c r="L323">
        <v>5.3</v>
      </c>
      <c r="M323">
        <v>1250000</v>
      </c>
      <c r="N323">
        <v>3.8</v>
      </c>
      <c r="O323">
        <v>40</v>
      </c>
      <c r="P323" t="s">
        <v>72</v>
      </c>
    </row>
    <row r="324" spans="1:16" x14ac:dyDescent="0.25">
      <c r="A324" t="s">
        <v>1087</v>
      </c>
      <c r="B324" t="s">
        <v>1088</v>
      </c>
      <c r="D324" t="s">
        <v>50</v>
      </c>
      <c r="E324" t="s">
        <v>20</v>
      </c>
      <c r="F324" t="s">
        <v>32</v>
      </c>
      <c r="G324" t="s">
        <v>22</v>
      </c>
      <c r="H324" t="s">
        <v>23</v>
      </c>
      <c r="I324" t="s">
        <v>24</v>
      </c>
      <c r="J324" t="s">
        <v>651</v>
      </c>
      <c r="L324">
        <v>2.9</v>
      </c>
      <c r="M324">
        <v>277000</v>
      </c>
      <c r="O324">
        <v>39</v>
      </c>
      <c r="P324" t="s">
        <v>26</v>
      </c>
    </row>
    <row r="325" spans="1:16" x14ac:dyDescent="0.25">
      <c r="A325" t="s">
        <v>1089</v>
      </c>
      <c r="B325" t="s">
        <v>1090</v>
      </c>
      <c r="C325" t="s">
        <v>29</v>
      </c>
      <c r="D325" t="s">
        <v>79</v>
      </c>
      <c r="E325" t="s">
        <v>20</v>
      </c>
      <c r="F325" t="s">
        <v>32</v>
      </c>
      <c r="G325" t="s">
        <v>80</v>
      </c>
      <c r="H325" t="s">
        <v>46</v>
      </c>
      <c r="I325" t="s">
        <v>24</v>
      </c>
      <c r="J325" t="s">
        <v>1091</v>
      </c>
      <c r="K325" t="s">
        <v>1092</v>
      </c>
      <c r="L325">
        <v>3.2</v>
      </c>
      <c r="M325">
        <v>331000</v>
      </c>
      <c r="N325">
        <v>4.2</v>
      </c>
      <c r="O325">
        <v>3</v>
      </c>
      <c r="P325" t="s">
        <v>53</v>
      </c>
    </row>
    <row r="326" spans="1:16" x14ac:dyDescent="0.25">
      <c r="A326" t="s">
        <v>1093</v>
      </c>
      <c r="B326" t="s">
        <v>1094</v>
      </c>
      <c r="C326" t="s">
        <v>18</v>
      </c>
      <c r="D326" t="s">
        <v>79</v>
      </c>
      <c r="E326" t="s">
        <v>20</v>
      </c>
      <c r="F326" t="s">
        <v>128</v>
      </c>
      <c r="G326" t="s">
        <v>22</v>
      </c>
      <c r="H326" t="s">
        <v>23</v>
      </c>
      <c r="I326" t="s">
        <v>57</v>
      </c>
      <c r="J326" t="s">
        <v>1095</v>
      </c>
      <c r="L326">
        <v>4.7</v>
      </c>
      <c r="M326">
        <v>429000</v>
      </c>
      <c r="N326">
        <v>3</v>
      </c>
      <c r="O326">
        <v>39</v>
      </c>
      <c r="P326" t="s">
        <v>26</v>
      </c>
    </row>
    <row r="327" spans="1:16" x14ac:dyDescent="0.25">
      <c r="A327" t="s">
        <v>1096</v>
      </c>
      <c r="B327" t="s">
        <v>301</v>
      </c>
      <c r="C327" t="s">
        <v>18</v>
      </c>
      <c r="D327" t="s">
        <v>19</v>
      </c>
      <c r="E327" t="s">
        <v>20</v>
      </c>
      <c r="F327" t="s">
        <v>39</v>
      </c>
      <c r="G327" t="s">
        <v>80</v>
      </c>
      <c r="H327" t="s">
        <v>23</v>
      </c>
      <c r="I327" t="s">
        <v>24</v>
      </c>
      <c r="J327" t="s">
        <v>1097</v>
      </c>
      <c r="K327" t="s">
        <v>1098</v>
      </c>
      <c r="L327">
        <v>4.0999999999999996</v>
      </c>
      <c r="M327">
        <v>175000</v>
      </c>
      <c r="N327">
        <v>3.6</v>
      </c>
      <c r="O327">
        <v>11</v>
      </c>
      <c r="P327" t="s">
        <v>53</v>
      </c>
    </row>
    <row r="328" spans="1:16" x14ac:dyDescent="0.25">
      <c r="A328" t="s">
        <v>1099</v>
      </c>
      <c r="B328" t="s">
        <v>1100</v>
      </c>
      <c r="C328" t="s">
        <v>18</v>
      </c>
      <c r="D328" t="s">
        <v>50</v>
      </c>
      <c r="E328" t="s">
        <v>20</v>
      </c>
      <c r="F328" t="s">
        <v>21</v>
      </c>
      <c r="G328" t="s">
        <v>22</v>
      </c>
      <c r="H328" t="s">
        <v>62</v>
      </c>
      <c r="I328" t="s">
        <v>57</v>
      </c>
      <c r="J328" t="s">
        <v>1101</v>
      </c>
      <c r="K328" t="s">
        <v>1102</v>
      </c>
      <c r="L328">
        <v>5.7</v>
      </c>
      <c r="M328">
        <v>880000</v>
      </c>
      <c r="N328">
        <v>4.7</v>
      </c>
      <c r="O328">
        <v>0</v>
      </c>
      <c r="P328" t="s">
        <v>72</v>
      </c>
    </row>
    <row r="329" spans="1:16" x14ac:dyDescent="0.25">
      <c r="A329" t="s">
        <v>1103</v>
      </c>
      <c r="B329" t="s">
        <v>1104</v>
      </c>
      <c r="C329" t="s">
        <v>18</v>
      </c>
      <c r="D329" t="s">
        <v>79</v>
      </c>
      <c r="E329" t="s">
        <v>44</v>
      </c>
      <c r="F329" t="s">
        <v>128</v>
      </c>
      <c r="G329" t="s">
        <v>22</v>
      </c>
      <c r="H329" t="s">
        <v>46</v>
      </c>
      <c r="I329" t="s">
        <v>57</v>
      </c>
      <c r="J329" t="s">
        <v>1105</v>
      </c>
      <c r="K329" t="s">
        <v>1106</v>
      </c>
      <c r="L329">
        <v>6.2</v>
      </c>
      <c r="M329">
        <v>402000</v>
      </c>
      <c r="N329">
        <v>3.3</v>
      </c>
      <c r="O329">
        <v>6</v>
      </c>
      <c r="P329" t="s">
        <v>114</v>
      </c>
    </row>
    <row r="330" spans="1:16" x14ac:dyDescent="0.25">
      <c r="A330" t="s">
        <v>1107</v>
      </c>
      <c r="B330" t="s">
        <v>1108</v>
      </c>
      <c r="C330" t="s">
        <v>18</v>
      </c>
      <c r="D330" t="s">
        <v>79</v>
      </c>
      <c r="E330" t="s">
        <v>20</v>
      </c>
      <c r="F330" t="s">
        <v>32</v>
      </c>
      <c r="G330" t="s">
        <v>33</v>
      </c>
      <c r="H330" t="s">
        <v>34</v>
      </c>
      <c r="I330" t="s">
        <v>57</v>
      </c>
      <c r="J330" t="s">
        <v>1109</v>
      </c>
      <c r="K330" t="s">
        <v>834</v>
      </c>
      <c r="L330">
        <v>3.2</v>
      </c>
      <c r="M330">
        <v>334000</v>
      </c>
      <c r="N330">
        <v>3</v>
      </c>
      <c r="O330">
        <v>14</v>
      </c>
      <c r="P330" t="s">
        <v>72</v>
      </c>
    </row>
    <row r="331" spans="1:16" x14ac:dyDescent="0.25">
      <c r="A331" t="s">
        <v>1110</v>
      </c>
      <c r="B331" t="s">
        <v>1111</v>
      </c>
      <c r="C331" t="s">
        <v>29</v>
      </c>
      <c r="D331" t="s">
        <v>79</v>
      </c>
      <c r="E331" t="s">
        <v>20</v>
      </c>
      <c r="G331" t="s">
        <v>22</v>
      </c>
      <c r="H331" t="s">
        <v>62</v>
      </c>
      <c r="I331" t="s">
        <v>24</v>
      </c>
      <c r="J331" t="s">
        <v>1112</v>
      </c>
      <c r="L331">
        <v>2.4</v>
      </c>
      <c r="M331">
        <v>729000</v>
      </c>
      <c r="N331">
        <v>3</v>
      </c>
      <c r="O331">
        <v>10</v>
      </c>
      <c r="P331" t="s">
        <v>26</v>
      </c>
    </row>
    <row r="332" spans="1:16" x14ac:dyDescent="0.25">
      <c r="A332" t="s">
        <v>1113</v>
      </c>
      <c r="B332" t="s">
        <v>1114</v>
      </c>
      <c r="C332" t="s">
        <v>18</v>
      </c>
      <c r="D332" t="s">
        <v>30</v>
      </c>
      <c r="E332" t="s">
        <v>44</v>
      </c>
      <c r="F332" t="s">
        <v>128</v>
      </c>
      <c r="G332" t="s">
        <v>80</v>
      </c>
      <c r="H332" t="s">
        <v>62</v>
      </c>
      <c r="I332" t="s">
        <v>35</v>
      </c>
      <c r="J332" t="s">
        <v>1115</v>
      </c>
      <c r="L332">
        <v>2.2999999999999998</v>
      </c>
      <c r="M332">
        <v>534000</v>
      </c>
      <c r="N332">
        <v>3.8</v>
      </c>
      <c r="P332" t="s">
        <v>26</v>
      </c>
    </row>
    <row r="333" spans="1:16" x14ac:dyDescent="0.25">
      <c r="A333" t="s">
        <v>1116</v>
      </c>
      <c r="B333" t="s">
        <v>1117</v>
      </c>
      <c r="C333" t="s">
        <v>29</v>
      </c>
      <c r="D333" t="s">
        <v>19</v>
      </c>
      <c r="E333" t="s">
        <v>20</v>
      </c>
      <c r="F333" t="s">
        <v>32</v>
      </c>
      <c r="G333" t="s">
        <v>69</v>
      </c>
      <c r="H333" t="s">
        <v>34</v>
      </c>
      <c r="I333" t="s">
        <v>35</v>
      </c>
      <c r="J333" t="s">
        <v>1118</v>
      </c>
      <c r="K333" t="s">
        <v>1119</v>
      </c>
      <c r="L333">
        <v>5</v>
      </c>
      <c r="M333">
        <v>271000</v>
      </c>
      <c r="N333">
        <v>2.2999999999999998</v>
      </c>
      <c r="O333">
        <v>40</v>
      </c>
      <c r="P333" t="s">
        <v>72</v>
      </c>
    </row>
    <row r="334" spans="1:16" x14ac:dyDescent="0.25">
      <c r="A334" t="s">
        <v>1120</v>
      </c>
      <c r="B334" t="s">
        <v>1121</v>
      </c>
      <c r="C334" t="s">
        <v>29</v>
      </c>
      <c r="D334" t="s">
        <v>79</v>
      </c>
      <c r="E334" t="s">
        <v>20</v>
      </c>
      <c r="F334" t="s">
        <v>32</v>
      </c>
      <c r="G334" t="s">
        <v>22</v>
      </c>
      <c r="H334" t="s">
        <v>23</v>
      </c>
      <c r="I334" t="s">
        <v>24</v>
      </c>
      <c r="J334" t="s">
        <v>178</v>
      </c>
      <c r="L334">
        <v>2.1</v>
      </c>
      <c r="M334">
        <v>304000</v>
      </c>
      <c r="N334">
        <v>4.7</v>
      </c>
      <c r="O334">
        <v>5</v>
      </c>
      <c r="P334" t="s">
        <v>26</v>
      </c>
    </row>
    <row r="335" spans="1:16" x14ac:dyDescent="0.25">
      <c r="A335" t="s">
        <v>1122</v>
      </c>
      <c r="B335" t="s">
        <v>567</v>
      </c>
      <c r="C335" t="s">
        <v>29</v>
      </c>
      <c r="D335" t="s">
        <v>79</v>
      </c>
      <c r="E335" t="s">
        <v>20</v>
      </c>
      <c r="F335" t="s">
        <v>128</v>
      </c>
      <c r="G335" t="s">
        <v>22</v>
      </c>
      <c r="H335" t="s">
        <v>23</v>
      </c>
      <c r="I335" t="s">
        <v>75</v>
      </c>
      <c r="J335" t="s">
        <v>1123</v>
      </c>
      <c r="L335">
        <v>4.9000000000000004</v>
      </c>
      <c r="M335">
        <v>364000</v>
      </c>
      <c r="N335">
        <v>4.5999999999999996</v>
      </c>
      <c r="O335">
        <v>1</v>
      </c>
      <c r="P335" t="s">
        <v>26</v>
      </c>
    </row>
    <row r="336" spans="1:16" x14ac:dyDescent="0.25">
      <c r="A336" t="s">
        <v>1124</v>
      </c>
      <c r="B336" t="s">
        <v>1125</v>
      </c>
      <c r="C336" t="s">
        <v>18</v>
      </c>
      <c r="D336" t="s">
        <v>19</v>
      </c>
      <c r="E336" t="s">
        <v>44</v>
      </c>
      <c r="F336" t="s">
        <v>32</v>
      </c>
      <c r="G336" t="s">
        <v>22</v>
      </c>
      <c r="H336" t="s">
        <v>23</v>
      </c>
      <c r="I336" t="s">
        <v>24</v>
      </c>
      <c r="J336" t="s">
        <v>1126</v>
      </c>
      <c r="L336">
        <v>4.4000000000000004</v>
      </c>
      <c r="M336">
        <v>280000</v>
      </c>
      <c r="N336">
        <v>2.7</v>
      </c>
      <c r="O336">
        <v>12</v>
      </c>
      <c r="P336" t="s">
        <v>26</v>
      </c>
    </row>
    <row r="337" spans="1:16" x14ac:dyDescent="0.25">
      <c r="A337" t="s">
        <v>1127</v>
      </c>
      <c r="B337" t="s">
        <v>1128</v>
      </c>
      <c r="C337" t="s">
        <v>18</v>
      </c>
      <c r="D337" t="s">
        <v>43</v>
      </c>
      <c r="E337" t="s">
        <v>44</v>
      </c>
      <c r="F337" t="s">
        <v>32</v>
      </c>
      <c r="G337" t="s">
        <v>22</v>
      </c>
      <c r="H337" t="s">
        <v>23</v>
      </c>
      <c r="I337" t="s">
        <v>24</v>
      </c>
      <c r="J337" t="s">
        <v>1129</v>
      </c>
      <c r="L337">
        <v>5.0999999999999996</v>
      </c>
      <c r="M337">
        <v>270000</v>
      </c>
      <c r="N337">
        <v>4.9000000000000004</v>
      </c>
      <c r="O337">
        <v>2</v>
      </c>
      <c r="P337" t="s">
        <v>26</v>
      </c>
    </row>
    <row r="338" spans="1:16" x14ac:dyDescent="0.25">
      <c r="A338" t="s">
        <v>1130</v>
      </c>
      <c r="B338" t="s">
        <v>525</v>
      </c>
      <c r="C338" t="s">
        <v>18</v>
      </c>
      <c r="D338" t="s">
        <v>79</v>
      </c>
      <c r="E338" t="s">
        <v>20</v>
      </c>
      <c r="F338" t="s">
        <v>32</v>
      </c>
      <c r="G338" t="s">
        <v>69</v>
      </c>
      <c r="H338" t="s">
        <v>62</v>
      </c>
      <c r="I338" t="s">
        <v>35</v>
      </c>
      <c r="J338" t="s">
        <v>1131</v>
      </c>
      <c r="L338">
        <v>3.4</v>
      </c>
      <c r="M338">
        <v>282000</v>
      </c>
      <c r="N338">
        <v>2.5</v>
      </c>
      <c r="O338">
        <v>14</v>
      </c>
      <c r="P338" t="s">
        <v>26</v>
      </c>
    </row>
    <row r="339" spans="1:16" x14ac:dyDescent="0.25">
      <c r="A339" t="s">
        <v>1132</v>
      </c>
      <c r="B339" t="s">
        <v>1133</v>
      </c>
      <c r="C339" t="s">
        <v>18</v>
      </c>
      <c r="D339" t="s">
        <v>43</v>
      </c>
      <c r="E339" t="s">
        <v>20</v>
      </c>
      <c r="F339" t="s">
        <v>39</v>
      </c>
      <c r="G339" t="s">
        <v>22</v>
      </c>
      <c r="H339" t="s">
        <v>23</v>
      </c>
      <c r="I339" t="s">
        <v>171</v>
      </c>
      <c r="J339" t="s">
        <v>1134</v>
      </c>
      <c r="K339" t="s">
        <v>1135</v>
      </c>
      <c r="L339">
        <v>5</v>
      </c>
      <c r="M339">
        <v>100000</v>
      </c>
      <c r="N339">
        <v>4</v>
      </c>
      <c r="O339">
        <v>13</v>
      </c>
      <c r="P339" t="s">
        <v>72</v>
      </c>
    </row>
    <row r="340" spans="1:16" x14ac:dyDescent="0.25">
      <c r="A340" t="s">
        <v>1136</v>
      </c>
      <c r="B340" t="s">
        <v>1137</v>
      </c>
      <c r="D340" t="s">
        <v>30</v>
      </c>
      <c r="E340" t="s">
        <v>31</v>
      </c>
      <c r="F340" t="s">
        <v>32</v>
      </c>
      <c r="G340" t="s">
        <v>33</v>
      </c>
      <c r="H340" t="s">
        <v>34</v>
      </c>
      <c r="I340" t="s">
        <v>24</v>
      </c>
      <c r="J340" t="s">
        <v>1138</v>
      </c>
      <c r="L340">
        <v>4.2</v>
      </c>
      <c r="M340">
        <v>350000</v>
      </c>
      <c r="N340">
        <v>2.7</v>
      </c>
      <c r="O340">
        <v>1</v>
      </c>
      <c r="P340" t="s">
        <v>26</v>
      </c>
    </row>
    <row r="341" spans="1:16" x14ac:dyDescent="0.25">
      <c r="A341" t="s">
        <v>1139</v>
      </c>
      <c r="B341" t="s">
        <v>1140</v>
      </c>
      <c r="C341" t="s">
        <v>18</v>
      </c>
      <c r="D341" t="s">
        <v>50</v>
      </c>
      <c r="E341" t="s">
        <v>20</v>
      </c>
      <c r="F341" t="s">
        <v>21</v>
      </c>
      <c r="G341" t="s">
        <v>69</v>
      </c>
      <c r="H341" t="s">
        <v>46</v>
      </c>
      <c r="I341" t="s">
        <v>35</v>
      </c>
      <c r="J341" t="s">
        <v>1141</v>
      </c>
      <c r="K341" t="s">
        <v>1142</v>
      </c>
      <c r="L341">
        <v>5.8</v>
      </c>
      <c r="M341">
        <v>914000</v>
      </c>
      <c r="O341">
        <v>4</v>
      </c>
      <c r="P341" t="s">
        <v>53</v>
      </c>
    </row>
    <row r="342" spans="1:16" x14ac:dyDescent="0.25">
      <c r="A342" t="s">
        <v>1143</v>
      </c>
      <c r="B342" t="s">
        <v>1144</v>
      </c>
      <c r="C342" t="s">
        <v>18</v>
      </c>
      <c r="D342" t="s">
        <v>50</v>
      </c>
      <c r="E342" t="s">
        <v>44</v>
      </c>
      <c r="F342" t="s">
        <v>21</v>
      </c>
      <c r="G342" t="s">
        <v>22</v>
      </c>
      <c r="H342" t="s">
        <v>23</v>
      </c>
      <c r="I342" t="s">
        <v>57</v>
      </c>
      <c r="J342" t="s">
        <v>1145</v>
      </c>
      <c r="K342" t="s">
        <v>1146</v>
      </c>
      <c r="L342">
        <v>2.1</v>
      </c>
      <c r="M342">
        <v>878000</v>
      </c>
      <c r="N342">
        <v>4.5</v>
      </c>
      <c r="O342">
        <v>9</v>
      </c>
      <c r="P342" t="s">
        <v>53</v>
      </c>
    </row>
    <row r="343" spans="1:16" x14ac:dyDescent="0.25">
      <c r="A343" t="s">
        <v>1147</v>
      </c>
      <c r="B343" t="s">
        <v>1148</v>
      </c>
      <c r="C343" t="s">
        <v>18</v>
      </c>
      <c r="D343" t="s">
        <v>79</v>
      </c>
      <c r="E343" t="s">
        <v>44</v>
      </c>
      <c r="G343" t="s">
        <v>22</v>
      </c>
      <c r="H343" t="s">
        <v>46</v>
      </c>
      <c r="I343" t="s">
        <v>57</v>
      </c>
      <c r="J343" t="s">
        <v>970</v>
      </c>
      <c r="L343">
        <v>1.4</v>
      </c>
      <c r="M343">
        <v>234000</v>
      </c>
      <c r="N343">
        <v>2.6</v>
      </c>
      <c r="O343">
        <v>7</v>
      </c>
      <c r="P343" t="s">
        <v>26</v>
      </c>
    </row>
    <row r="344" spans="1:16" x14ac:dyDescent="0.25">
      <c r="A344" t="s">
        <v>1149</v>
      </c>
      <c r="B344" t="s">
        <v>1150</v>
      </c>
      <c r="C344" t="s">
        <v>18</v>
      </c>
      <c r="D344" t="s">
        <v>43</v>
      </c>
      <c r="E344" t="s">
        <v>44</v>
      </c>
      <c r="F344" t="s">
        <v>128</v>
      </c>
      <c r="G344" t="s">
        <v>80</v>
      </c>
      <c r="H344" t="s">
        <v>46</v>
      </c>
      <c r="I344" t="s">
        <v>24</v>
      </c>
      <c r="J344" t="s">
        <v>1151</v>
      </c>
      <c r="L344">
        <v>3.9</v>
      </c>
      <c r="N344">
        <v>3.3</v>
      </c>
      <c r="O344">
        <v>10</v>
      </c>
      <c r="P344" t="s">
        <v>26</v>
      </c>
    </row>
    <row r="345" spans="1:16" x14ac:dyDescent="0.25">
      <c r="A345" t="s">
        <v>1152</v>
      </c>
      <c r="B345" t="s">
        <v>1153</v>
      </c>
      <c r="D345" t="s">
        <v>79</v>
      </c>
      <c r="E345" t="s">
        <v>44</v>
      </c>
      <c r="F345" t="s">
        <v>39</v>
      </c>
      <c r="G345" t="s">
        <v>80</v>
      </c>
      <c r="H345" t="s">
        <v>23</v>
      </c>
      <c r="I345" t="s">
        <v>24</v>
      </c>
      <c r="J345" t="s">
        <v>1154</v>
      </c>
      <c r="L345">
        <v>3.5</v>
      </c>
      <c r="M345">
        <v>110000</v>
      </c>
      <c r="N345">
        <v>4.5</v>
      </c>
      <c r="P345" t="s">
        <v>26</v>
      </c>
    </row>
    <row r="346" spans="1:16" x14ac:dyDescent="0.25">
      <c r="A346" t="s">
        <v>1155</v>
      </c>
      <c r="B346" t="s">
        <v>1156</v>
      </c>
      <c r="C346" t="s">
        <v>29</v>
      </c>
      <c r="D346" t="s">
        <v>79</v>
      </c>
      <c r="E346" t="s">
        <v>44</v>
      </c>
      <c r="F346" t="s">
        <v>21</v>
      </c>
      <c r="G346" t="s">
        <v>22</v>
      </c>
      <c r="H346" t="s">
        <v>34</v>
      </c>
      <c r="I346" t="s">
        <v>171</v>
      </c>
      <c r="J346" t="s">
        <v>1106</v>
      </c>
      <c r="L346">
        <v>4.2</v>
      </c>
      <c r="M346">
        <v>735000</v>
      </c>
      <c r="N346">
        <v>4.7</v>
      </c>
      <c r="O346">
        <v>0</v>
      </c>
      <c r="P346" t="s">
        <v>26</v>
      </c>
    </row>
    <row r="347" spans="1:16" x14ac:dyDescent="0.25">
      <c r="A347" t="s">
        <v>1157</v>
      </c>
      <c r="B347" t="s">
        <v>599</v>
      </c>
      <c r="C347" t="s">
        <v>29</v>
      </c>
      <c r="D347" t="s">
        <v>30</v>
      </c>
      <c r="E347" t="s">
        <v>31</v>
      </c>
      <c r="F347" t="s">
        <v>128</v>
      </c>
      <c r="G347" t="s">
        <v>33</v>
      </c>
      <c r="H347" t="s">
        <v>62</v>
      </c>
      <c r="I347" t="s">
        <v>57</v>
      </c>
      <c r="J347" t="s">
        <v>1158</v>
      </c>
      <c r="L347">
        <v>2.2999999999999998</v>
      </c>
      <c r="M347">
        <v>583000</v>
      </c>
      <c r="N347">
        <v>2.2000000000000002</v>
      </c>
      <c r="O347">
        <v>0</v>
      </c>
      <c r="P347" t="s">
        <v>26</v>
      </c>
    </row>
    <row r="348" spans="1:16" x14ac:dyDescent="0.25">
      <c r="A348" t="s">
        <v>1159</v>
      </c>
      <c r="B348" t="s">
        <v>1160</v>
      </c>
      <c r="C348" t="s">
        <v>29</v>
      </c>
      <c r="D348" t="s">
        <v>19</v>
      </c>
      <c r="E348" t="s">
        <v>810</v>
      </c>
      <c r="F348" t="s">
        <v>128</v>
      </c>
      <c r="G348" t="s">
        <v>22</v>
      </c>
      <c r="H348" t="s">
        <v>46</v>
      </c>
      <c r="I348" t="s">
        <v>57</v>
      </c>
      <c r="J348" t="s">
        <v>1161</v>
      </c>
      <c r="L348">
        <v>6</v>
      </c>
      <c r="M348">
        <v>660000</v>
      </c>
      <c r="N348">
        <v>4.4000000000000004</v>
      </c>
      <c r="P348" t="s">
        <v>26</v>
      </c>
    </row>
    <row r="349" spans="1:16" x14ac:dyDescent="0.25">
      <c r="A349" t="s">
        <v>1162</v>
      </c>
      <c r="B349" t="s">
        <v>1163</v>
      </c>
      <c r="C349" t="s">
        <v>18</v>
      </c>
      <c r="D349" t="s">
        <v>30</v>
      </c>
      <c r="E349" t="s">
        <v>20</v>
      </c>
      <c r="F349" t="s">
        <v>39</v>
      </c>
      <c r="G349" t="s">
        <v>22</v>
      </c>
      <c r="H349" t="s">
        <v>23</v>
      </c>
      <c r="I349" t="s">
        <v>171</v>
      </c>
      <c r="J349" t="s">
        <v>901</v>
      </c>
      <c r="K349" t="s">
        <v>1164</v>
      </c>
      <c r="L349">
        <v>6</v>
      </c>
      <c r="M349">
        <v>151000</v>
      </c>
      <c r="N349">
        <v>1.6</v>
      </c>
      <c r="P349" t="s">
        <v>53</v>
      </c>
    </row>
    <row r="350" spans="1:16" x14ac:dyDescent="0.25">
      <c r="A350" t="s">
        <v>1165</v>
      </c>
      <c r="B350" t="s">
        <v>1166</v>
      </c>
      <c r="C350" t="s">
        <v>29</v>
      </c>
      <c r="D350" t="s">
        <v>30</v>
      </c>
      <c r="E350" t="s">
        <v>44</v>
      </c>
      <c r="F350" t="s">
        <v>128</v>
      </c>
      <c r="G350" t="s">
        <v>22</v>
      </c>
      <c r="H350" t="s">
        <v>23</v>
      </c>
      <c r="I350" t="s">
        <v>24</v>
      </c>
      <c r="J350" t="s">
        <v>1167</v>
      </c>
      <c r="L350">
        <v>3.3</v>
      </c>
      <c r="M350">
        <v>513000</v>
      </c>
      <c r="N350">
        <v>2.7</v>
      </c>
      <c r="O350">
        <v>13</v>
      </c>
      <c r="P350" t="s">
        <v>26</v>
      </c>
    </row>
    <row r="351" spans="1:16" x14ac:dyDescent="0.25">
      <c r="A351" t="s">
        <v>1168</v>
      </c>
      <c r="B351" t="s">
        <v>244</v>
      </c>
      <c r="C351" t="s">
        <v>18</v>
      </c>
      <c r="D351" t="s">
        <v>30</v>
      </c>
      <c r="E351" t="s">
        <v>31</v>
      </c>
      <c r="F351" t="s">
        <v>39</v>
      </c>
      <c r="G351" t="s">
        <v>80</v>
      </c>
      <c r="H351" t="s">
        <v>23</v>
      </c>
      <c r="I351" t="s">
        <v>24</v>
      </c>
      <c r="J351" t="s">
        <v>245</v>
      </c>
      <c r="K351" t="s">
        <v>1169</v>
      </c>
      <c r="L351">
        <v>2.2999999999999998</v>
      </c>
      <c r="N351">
        <v>1.9</v>
      </c>
      <c r="O351">
        <v>10</v>
      </c>
      <c r="P351" t="s">
        <v>72</v>
      </c>
    </row>
    <row r="352" spans="1:16" x14ac:dyDescent="0.25">
      <c r="A352" t="s">
        <v>1170</v>
      </c>
      <c r="B352" t="s">
        <v>1171</v>
      </c>
      <c r="C352" t="s">
        <v>18</v>
      </c>
      <c r="D352" t="s">
        <v>43</v>
      </c>
      <c r="E352" t="s">
        <v>20</v>
      </c>
      <c r="F352" t="s">
        <v>128</v>
      </c>
      <c r="G352" t="s">
        <v>22</v>
      </c>
      <c r="H352" t="s">
        <v>23</v>
      </c>
      <c r="I352" t="s">
        <v>75</v>
      </c>
      <c r="J352" t="s">
        <v>1172</v>
      </c>
      <c r="L352">
        <v>4.4000000000000004</v>
      </c>
      <c r="M352">
        <v>442000</v>
      </c>
      <c r="N352">
        <v>3.1</v>
      </c>
      <c r="O352">
        <v>7</v>
      </c>
      <c r="P352" t="s">
        <v>26</v>
      </c>
    </row>
    <row r="353" spans="1:16" x14ac:dyDescent="0.25">
      <c r="A353" t="s">
        <v>1173</v>
      </c>
      <c r="B353" t="s">
        <v>1174</v>
      </c>
      <c r="C353" t="s">
        <v>18</v>
      </c>
      <c r="D353" t="s">
        <v>50</v>
      </c>
      <c r="E353" t="s">
        <v>20</v>
      </c>
      <c r="F353" t="s">
        <v>32</v>
      </c>
      <c r="G353" t="s">
        <v>22</v>
      </c>
      <c r="I353" t="s">
        <v>24</v>
      </c>
      <c r="J353" t="s">
        <v>1175</v>
      </c>
      <c r="K353" t="s">
        <v>1176</v>
      </c>
      <c r="L353">
        <v>5.0999999999999996</v>
      </c>
      <c r="M353">
        <v>236000</v>
      </c>
      <c r="N353">
        <v>3.3</v>
      </c>
      <c r="O353">
        <v>16</v>
      </c>
      <c r="P353" t="s">
        <v>72</v>
      </c>
    </row>
    <row r="354" spans="1:16" x14ac:dyDescent="0.25">
      <c r="A354" t="s">
        <v>1177</v>
      </c>
      <c r="B354" t="s">
        <v>1108</v>
      </c>
      <c r="C354" t="s">
        <v>18</v>
      </c>
      <c r="D354" t="s">
        <v>50</v>
      </c>
      <c r="E354" t="s">
        <v>31</v>
      </c>
      <c r="F354" t="s">
        <v>39</v>
      </c>
      <c r="G354" t="s">
        <v>80</v>
      </c>
      <c r="H354" t="s">
        <v>34</v>
      </c>
      <c r="I354" t="s">
        <v>24</v>
      </c>
      <c r="J354" t="s">
        <v>1178</v>
      </c>
      <c r="K354" t="s">
        <v>1179</v>
      </c>
      <c r="L354">
        <v>4.5</v>
      </c>
      <c r="M354">
        <v>105000</v>
      </c>
      <c r="N354">
        <v>4.0999999999999996</v>
      </c>
      <c r="O354">
        <v>11</v>
      </c>
      <c r="P354" t="s">
        <v>72</v>
      </c>
    </row>
    <row r="355" spans="1:16" x14ac:dyDescent="0.25">
      <c r="A355" t="s">
        <v>1180</v>
      </c>
      <c r="B355" t="s">
        <v>1181</v>
      </c>
      <c r="C355" t="s">
        <v>18</v>
      </c>
      <c r="D355" t="s">
        <v>30</v>
      </c>
      <c r="E355" t="s">
        <v>20</v>
      </c>
      <c r="F355" t="s">
        <v>128</v>
      </c>
      <c r="G355" t="s">
        <v>33</v>
      </c>
      <c r="H355" t="s">
        <v>23</v>
      </c>
      <c r="I355" t="s">
        <v>57</v>
      </c>
      <c r="J355" t="s">
        <v>1182</v>
      </c>
      <c r="K355" t="s">
        <v>1018</v>
      </c>
      <c r="L355">
        <v>3.5</v>
      </c>
      <c r="M355">
        <v>390000</v>
      </c>
      <c r="N355">
        <v>3.2</v>
      </c>
      <c r="P355" t="s">
        <v>53</v>
      </c>
    </row>
    <row r="356" spans="1:16" x14ac:dyDescent="0.25">
      <c r="A356" t="s">
        <v>1183</v>
      </c>
      <c r="B356" t="s">
        <v>1156</v>
      </c>
      <c r="C356" t="s">
        <v>29</v>
      </c>
      <c r="D356" t="s">
        <v>79</v>
      </c>
      <c r="E356" t="s">
        <v>20</v>
      </c>
      <c r="F356" t="s">
        <v>39</v>
      </c>
      <c r="G356" t="s">
        <v>33</v>
      </c>
      <c r="H356" t="s">
        <v>46</v>
      </c>
      <c r="J356" t="s">
        <v>103</v>
      </c>
      <c r="K356" t="s">
        <v>1184</v>
      </c>
      <c r="L356">
        <v>2.2999999999999998</v>
      </c>
      <c r="M356">
        <v>157000</v>
      </c>
      <c r="N356">
        <v>4.7</v>
      </c>
      <c r="O356">
        <v>1</v>
      </c>
      <c r="P356" t="s">
        <v>72</v>
      </c>
    </row>
    <row r="357" spans="1:16" x14ac:dyDescent="0.25">
      <c r="A357" t="s">
        <v>1185</v>
      </c>
      <c r="B357" t="s">
        <v>1186</v>
      </c>
      <c r="C357" t="s">
        <v>29</v>
      </c>
      <c r="D357" t="s">
        <v>30</v>
      </c>
      <c r="E357" t="s">
        <v>20</v>
      </c>
      <c r="F357" t="s">
        <v>32</v>
      </c>
      <c r="G357" t="s">
        <v>33</v>
      </c>
      <c r="H357" t="s">
        <v>23</v>
      </c>
      <c r="I357" t="s">
        <v>24</v>
      </c>
      <c r="J357" t="s">
        <v>1187</v>
      </c>
      <c r="K357" t="s">
        <v>1188</v>
      </c>
      <c r="L357">
        <v>3.9</v>
      </c>
      <c r="M357">
        <v>240000</v>
      </c>
      <c r="N357">
        <v>3.3</v>
      </c>
      <c r="O357">
        <v>36</v>
      </c>
      <c r="P357" t="s">
        <v>53</v>
      </c>
    </row>
    <row r="358" spans="1:16" x14ac:dyDescent="0.25">
      <c r="A358" t="s">
        <v>1189</v>
      </c>
      <c r="B358" t="s">
        <v>1190</v>
      </c>
      <c r="C358" t="s">
        <v>29</v>
      </c>
      <c r="D358" t="s">
        <v>30</v>
      </c>
      <c r="E358" t="s">
        <v>20</v>
      </c>
      <c r="F358" t="s">
        <v>32</v>
      </c>
      <c r="G358" t="s">
        <v>22</v>
      </c>
      <c r="H358" t="s">
        <v>34</v>
      </c>
      <c r="I358" t="s">
        <v>75</v>
      </c>
      <c r="J358" t="s">
        <v>438</v>
      </c>
      <c r="L358">
        <v>5.9</v>
      </c>
      <c r="M358">
        <v>265000</v>
      </c>
      <c r="N358">
        <v>2.9</v>
      </c>
      <c r="O358">
        <v>0</v>
      </c>
      <c r="P358" t="s">
        <v>26</v>
      </c>
    </row>
    <row r="359" spans="1:16" x14ac:dyDescent="0.25">
      <c r="A359" t="s">
        <v>1191</v>
      </c>
      <c r="B359" t="s">
        <v>1192</v>
      </c>
      <c r="C359" t="s">
        <v>29</v>
      </c>
      <c r="D359" t="s">
        <v>30</v>
      </c>
      <c r="E359" t="s">
        <v>44</v>
      </c>
      <c r="F359" t="s">
        <v>32</v>
      </c>
      <c r="G359" t="s">
        <v>33</v>
      </c>
      <c r="H359" t="s">
        <v>46</v>
      </c>
      <c r="I359" t="s">
        <v>57</v>
      </c>
      <c r="J359" t="s">
        <v>1193</v>
      </c>
      <c r="K359" t="s">
        <v>1194</v>
      </c>
      <c r="L359">
        <v>3.7</v>
      </c>
      <c r="M359">
        <v>223000</v>
      </c>
      <c r="N359">
        <v>2.5</v>
      </c>
      <c r="O359">
        <v>6</v>
      </c>
      <c r="P359" t="s">
        <v>114</v>
      </c>
    </row>
    <row r="360" spans="1:16" x14ac:dyDescent="0.25">
      <c r="A360" t="s">
        <v>1195</v>
      </c>
      <c r="B360" t="s">
        <v>1196</v>
      </c>
      <c r="C360" t="s">
        <v>29</v>
      </c>
      <c r="D360" t="s">
        <v>43</v>
      </c>
      <c r="E360" t="s">
        <v>20</v>
      </c>
      <c r="F360" t="s">
        <v>128</v>
      </c>
      <c r="G360" t="s">
        <v>33</v>
      </c>
      <c r="H360" t="s">
        <v>62</v>
      </c>
      <c r="I360" t="s">
        <v>35</v>
      </c>
      <c r="J360" t="s">
        <v>1197</v>
      </c>
      <c r="L360">
        <v>2</v>
      </c>
      <c r="M360">
        <v>425000</v>
      </c>
      <c r="N360">
        <v>2.7</v>
      </c>
      <c r="O360">
        <v>2</v>
      </c>
      <c r="P360" t="s">
        <v>26</v>
      </c>
    </row>
    <row r="361" spans="1:16" x14ac:dyDescent="0.25">
      <c r="A361" t="s">
        <v>1198</v>
      </c>
      <c r="B361" t="s">
        <v>945</v>
      </c>
      <c r="C361" t="s">
        <v>18</v>
      </c>
      <c r="D361" t="s">
        <v>30</v>
      </c>
      <c r="F361" t="s">
        <v>32</v>
      </c>
      <c r="G361" t="s">
        <v>22</v>
      </c>
      <c r="H361" t="s">
        <v>62</v>
      </c>
      <c r="I361" t="s">
        <v>57</v>
      </c>
      <c r="J361" t="s">
        <v>1112</v>
      </c>
      <c r="K361" t="s">
        <v>1199</v>
      </c>
      <c r="L361">
        <v>2.4</v>
      </c>
      <c r="N361">
        <v>2</v>
      </c>
      <c r="O361">
        <v>7</v>
      </c>
      <c r="P361" t="s">
        <v>72</v>
      </c>
    </row>
    <row r="362" spans="1:16" x14ac:dyDescent="0.25">
      <c r="A362" t="s">
        <v>1200</v>
      </c>
      <c r="B362" t="s">
        <v>1201</v>
      </c>
      <c r="C362" t="s">
        <v>29</v>
      </c>
      <c r="D362" t="s">
        <v>19</v>
      </c>
      <c r="E362" t="s">
        <v>44</v>
      </c>
      <c r="F362" t="s">
        <v>32</v>
      </c>
      <c r="G362" t="s">
        <v>69</v>
      </c>
      <c r="H362" t="s">
        <v>62</v>
      </c>
      <c r="I362" t="s">
        <v>24</v>
      </c>
      <c r="J362" t="s">
        <v>1202</v>
      </c>
      <c r="K362" t="s">
        <v>1203</v>
      </c>
      <c r="L362">
        <v>5.4</v>
      </c>
      <c r="M362">
        <v>228000</v>
      </c>
      <c r="N362">
        <v>3.9</v>
      </c>
      <c r="O362">
        <v>11</v>
      </c>
      <c r="P362" t="s">
        <v>53</v>
      </c>
    </row>
    <row r="363" spans="1:16" x14ac:dyDescent="0.25">
      <c r="A363" t="s">
        <v>1204</v>
      </c>
      <c r="B363" t="s">
        <v>1205</v>
      </c>
      <c r="C363" t="s">
        <v>18</v>
      </c>
      <c r="D363" t="s">
        <v>19</v>
      </c>
      <c r="E363" t="s">
        <v>44</v>
      </c>
      <c r="F363" t="s">
        <v>39</v>
      </c>
      <c r="G363" t="s">
        <v>22</v>
      </c>
      <c r="H363" t="s">
        <v>23</v>
      </c>
      <c r="I363" t="s">
        <v>24</v>
      </c>
      <c r="J363" t="s">
        <v>1187</v>
      </c>
      <c r="L363">
        <v>3.9</v>
      </c>
      <c r="M363">
        <v>175000</v>
      </c>
      <c r="N363">
        <v>2.5</v>
      </c>
      <c r="O363">
        <v>5</v>
      </c>
      <c r="P363" t="s">
        <v>26</v>
      </c>
    </row>
    <row r="364" spans="1:16" x14ac:dyDescent="0.25">
      <c r="A364" t="s">
        <v>1206</v>
      </c>
      <c r="B364" t="s">
        <v>1207</v>
      </c>
      <c r="C364" t="s">
        <v>29</v>
      </c>
      <c r="D364" t="s">
        <v>50</v>
      </c>
      <c r="E364" t="s">
        <v>20</v>
      </c>
      <c r="F364" t="s">
        <v>32</v>
      </c>
      <c r="G364" t="s">
        <v>80</v>
      </c>
      <c r="H364" t="s">
        <v>46</v>
      </c>
      <c r="I364" t="s">
        <v>75</v>
      </c>
      <c r="J364" t="s">
        <v>920</v>
      </c>
      <c r="K364" t="s">
        <v>132</v>
      </c>
      <c r="L364">
        <v>4.7</v>
      </c>
      <c r="M364">
        <v>303000</v>
      </c>
      <c r="P364" t="s">
        <v>114</v>
      </c>
    </row>
    <row r="365" spans="1:16" x14ac:dyDescent="0.25">
      <c r="A365" t="s">
        <v>1208</v>
      </c>
      <c r="B365" t="s">
        <v>1209</v>
      </c>
      <c r="C365" t="s">
        <v>29</v>
      </c>
      <c r="D365" t="s">
        <v>30</v>
      </c>
      <c r="E365" t="s">
        <v>20</v>
      </c>
      <c r="F365" t="s">
        <v>39</v>
      </c>
      <c r="G365" t="s">
        <v>22</v>
      </c>
      <c r="H365" t="s">
        <v>46</v>
      </c>
      <c r="I365" t="s">
        <v>171</v>
      </c>
      <c r="J365" t="s">
        <v>1210</v>
      </c>
      <c r="K365" t="s">
        <v>697</v>
      </c>
      <c r="L365">
        <v>1.4</v>
      </c>
      <c r="M365">
        <v>162000</v>
      </c>
      <c r="N365">
        <v>2.1</v>
      </c>
      <c r="O365">
        <v>7</v>
      </c>
      <c r="P365" t="s">
        <v>53</v>
      </c>
    </row>
    <row r="366" spans="1:16" x14ac:dyDescent="0.25">
      <c r="A366" t="s">
        <v>1211</v>
      </c>
      <c r="B366" t="s">
        <v>1212</v>
      </c>
      <c r="C366" t="s">
        <v>29</v>
      </c>
      <c r="E366" t="s">
        <v>44</v>
      </c>
      <c r="F366" t="s">
        <v>128</v>
      </c>
      <c r="G366" t="s">
        <v>33</v>
      </c>
      <c r="H366" t="s">
        <v>62</v>
      </c>
      <c r="I366" t="s">
        <v>57</v>
      </c>
      <c r="J366" t="s">
        <v>1213</v>
      </c>
      <c r="L366">
        <v>5.5</v>
      </c>
      <c r="M366">
        <v>463000</v>
      </c>
      <c r="N366">
        <v>3.8</v>
      </c>
      <c r="O366">
        <v>10</v>
      </c>
      <c r="P366" t="s">
        <v>26</v>
      </c>
    </row>
    <row r="367" spans="1:16" x14ac:dyDescent="0.25">
      <c r="A367" t="s">
        <v>1214</v>
      </c>
      <c r="B367" t="s">
        <v>1215</v>
      </c>
      <c r="C367" t="s">
        <v>29</v>
      </c>
      <c r="D367" t="s">
        <v>19</v>
      </c>
      <c r="F367" t="s">
        <v>32</v>
      </c>
      <c r="G367" t="s">
        <v>80</v>
      </c>
      <c r="H367" t="s">
        <v>46</v>
      </c>
      <c r="I367" t="s">
        <v>35</v>
      </c>
      <c r="J367" t="s">
        <v>1216</v>
      </c>
      <c r="K367" t="s">
        <v>1217</v>
      </c>
      <c r="L367">
        <v>2.8</v>
      </c>
      <c r="M367">
        <v>356000</v>
      </c>
      <c r="N367">
        <v>2.1</v>
      </c>
      <c r="O367">
        <v>5</v>
      </c>
      <c r="P367" t="s">
        <v>72</v>
      </c>
    </row>
    <row r="368" spans="1:16" x14ac:dyDescent="0.25">
      <c r="A368" t="s">
        <v>1218</v>
      </c>
      <c r="B368" t="s">
        <v>1219</v>
      </c>
      <c r="C368" t="s">
        <v>18</v>
      </c>
      <c r="D368" t="s">
        <v>30</v>
      </c>
      <c r="E368" t="s">
        <v>20</v>
      </c>
      <c r="F368" t="s">
        <v>39</v>
      </c>
      <c r="G368" t="s">
        <v>22</v>
      </c>
      <c r="H368" t="s">
        <v>46</v>
      </c>
      <c r="I368" t="s">
        <v>24</v>
      </c>
      <c r="J368" t="s">
        <v>1220</v>
      </c>
      <c r="K368" t="s">
        <v>1221</v>
      </c>
      <c r="L368">
        <v>2.2999999999999998</v>
      </c>
      <c r="M368">
        <v>142000</v>
      </c>
      <c r="N368">
        <v>1.8</v>
      </c>
      <c r="O368">
        <v>11</v>
      </c>
      <c r="P368" t="s">
        <v>53</v>
      </c>
    </row>
    <row r="369" spans="1:16" x14ac:dyDescent="0.25">
      <c r="A369" t="s">
        <v>1222</v>
      </c>
      <c r="B369" t="s">
        <v>1223</v>
      </c>
      <c r="C369" t="s">
        <v>18</v>
      </c>
      <c r="D369" t="s">
        <v>50</v>
      </c>
      <c r="E369" t="s">
        <v>20</v>
      </c>
      <c r="F369" t="s">
        <v>39</v>
      </c>
      <c r="G369" t="s">
        <v>22</v>
      </c>
      <c r="H369" t="s">
        <v>23</v>
      </c>
      <c r="I369" t="s">
        <v>35</v>
      </c>
      <c r="J369" t="s">
        <v>1224</v>
      </c>
      <c r="K369" t="s">
        <v>1225</v>
      </c>
      <c r="L369">
        <v>5.2</v>
      </c>
      <c r="M369">
        <v>170000</v>
      </c>
      <c r="N369">
        <v>3</v>
      </c>
      <c r="O369">
        <v>1</v>
      </c>
      <c r="P369" t="s">
        <v>114</v>
      </c>
    </row>
    <row r="370" spans="1:16" x14ac:dyDescent="0.25">
      <c r="A370" t="s">
        <v>1226</v>
      </c>
      <c r="B370" t="s">
        <v>1227</v>
      </c>
      <c r="C370" t="s">
        <v>18</v>
      </c>
      <c r="D370" t="s">
        <v>50</v>
      </c>
      <c r="E370" t="s">
        <v>20</v>
      </c>
      <c r="F370" t="s">
        <v>39</v>
      </c>
      <c r="G370" t="s">
        <v>80</v>
      </c>
      <c r="I370" t="s">
        <v>35</v>
      </c>
      <c r="J370" t="s">
        <v>1228</v>
      </c>
      <c r="L370">
        <v>4.9000000000000004</v>
      </c>
      <c r="M370">
        <v>137000</v>
      </c>
      <c r="N370">
        <v>2.4</v>
      </c>
      <c r="O370">
        <v>3</v>
      </c>
      <c r="P370" t="s">
        <v>26</v>
      </c>
    </row>
    <row r="371" spans="1:16" x14ac:dyDescent="0.25">
      <c r="A371" t="s">
        <v>1229</v>
      </c>
      <c r="B371" t="s">
        <v>1230</v>
      </c>
      <c r="C371" t="s">
        <v>29</v>
      </c>
      <c r="D371" t="s">
        <v>50</v>
      </c>
      <c r="E371" t="s">
        <v>31</v>
      </c>
      <c r="F371" t="s">
        <v>32</v>
      </c>
      <c r="G371" t="s">
        <v>22</v>
      </c>
      <c r="H371" t="s">
        <v>23</v>
      </c>
      <c r="I371" t="s">
        <v>35</v>
      </c>
      <c r="J371" t="s">
        <v>1231</v>
      </c>
      <c r="L371">
        <v>2.2000000000000002</v>
      </c>
      <c r="M371">
        <v>285000</v>
      </c>
      <c r="N371">
        <v>2.8</v>
      </c>
      <c r="O371">
        <v>7</v>
      </c>
      <c r="P371" t="s">
        <v>26</v>
      </c>
    </row>
    <row r="372" spans="1:16" x14ac:dyDescent="0.25">
      <c r="A372" t="s">
        <v>1232</v>
      </c>
      <c r="B372" t="s">
        <v>1233</v>
      </c>
      <c r="C372" t="s">
        <v>29</v>
      </c>
      <c r="D372" t="s">
        <v>50</v>
      </c>
      <c r="E372" t="s">
        <v>20</v>
      </c>
      <c r="F372" t="s">
        <v>39</v>
      </c>
      <c r="G372" t="s">
        <v>33</v>
      </c>
      <c r="H372" t="s">
        <v>46</v>
      </c>
      <c r="I372" t="s">
        <v>57</v>
      </c>
      <c r="J372" t="s">
        <v>1234</v>
      </c>
      <c r="L372">
        <v>3.8</v>
      </c>
      <c r="M372">
        <v>126000</v>
      </c>
      <c r="N372">
        <v>4.9000000000000004</v>
      </c>
      <c r="O372">
        <v>0</v>
      </c>
      <c r="P372" t="s">
        <v>26</v>
      </c>
    </row>
    <row r="373" spans="1:16" x14ac:dyDescent="0.25">
      <c r="A373" t="s">
        <v>1235</v>
      </c>
      <c r="B373" t="s">
        <v>1236</v>
      </c>
      <c r="C373" t="s">
        <v>29</v>
      </c>
      <c r="D373" t="s">
        <v>50</v>
      </c>
      <c r="E373" t="s">
        <v>20</v>
      </c>
      <c r="F373" t="s">
        <v>39</v>
      </c>
      <c r="G373" t="s">
        <v>33</v>
      </c>
      <c r="H373" t="s">
        <v>46</v>
      </c>
      <c r="I373" t="s">
        <v>57</v>
      </c>
      <c r="J373" t="s">
        <v>1237</v>
      </c>
      <c r="L373">
        <v>1.7</v>
      </c>
      <c r="M373">
        <v>116000</v>
      </c>
      <c r="N373">
        <v>3.1</v>
      </c>
      <c r="O373">
        <v>3</v>
      </c>
      <c r="P373" t="s">
        <v>26</v>
      </c>
    </row>
    <row r="374" spans="1:16" x14ac:dyDescent="0.25">
      <c r="A374" t="s">
        <v>1238</v>
      </c>
      <c r="B374" t="s">
        <v>1239</v>
      </c>
      <c r="C374" t="s">
        <v>29</v>
      </c>
      <c r="D374" t="s">
        <v>43</v>
      </c>
      <c r="E374" t="s">
        <v>20</v>
      </c>
      <c r="F374" t="s">
        <v>128</v>
      </c>
      <c r="G374" t="s">
        <v>22</v>
      </c>
      <c r="H374" t="s">
        <v>34</v>
      </c>
      <c r="I374" t="s">
        <v>24</v>
      </c>
      <c r="J374" t="s">
        <v>1240</v>
      </c>
      <c r="L374">
        <v>2.6</v>
      </c>
      <c r="M374">
        <v>452000</v>
      </c>
      <c r="N374">
        <v>3.5</v>
      </c>
      <c r="O374">
        <v>8</v>
      </c>
      <c r="P374" t="s">
        <v>26</v>
      </c>
    </row>
    <row r="375" spans="1:16" x14ac:dyDescent="0.25">
      <c r="A375" t="s">
        <v>1241</v>
      </c>
      <c r="B375" t="s">
        <v>1242</v>
      </c>
      <c r="C375" t="s">
        <v>18</v>
      </c>
      <c r="D375" t="s">
        <v>19</v>
      </c>
      <c r="E375" t="s">
        <v>44</v>
      </c>
      <c r="F375" t="s">
        <v>21</v>
      </c>
      <c r="G375" t="s">
        <v>33</v>
      </c>
      <c r="H375" t="s">
        <v>34</v>
      </c>
      <c r="I375" t="s">
        <v>171</v>
      </c>
      <c r="J375" t="s">
        <v>1243</v>
      </c>
      <c r="K375" t="s">
        <v>824</v>
      </c>
      <c r="L375">
        <v>1.8</v>
      </c>
      <c r="M375">
        <v>799000</v>
      </c>
      <c r="N375">
        <v>3.6</v>
      </c>
      <c r="O375">
        <v>4</v>
      </c>
      <c r="P375" t="s">
        <v>53</v>
      </c>
    </row>
    <row r="376" spans="1:16" x14ac:dyDescent="0.25">
      <c r="A376" t="s">
        <v>1244</v>
      </c>
      <c r="B376" t="s">
        <v>1245</v>
      </c>
      <c r="C376" t="s">
        <v>18</v>
      </c>
      <c r="D376" t="s">
        <v>50</v>
      </c>
      <c r="E376" t="s">
        <v>44</v>
      </c>
      <c r="F376" t="s">
        <v>128</v>
      </c>
      <c r="G376" t="s">
        <v>22</v>
      </c>
      <c r="H376" t="s">
        <v>46</v>
      </c>
      <c r="I376" t="s">
        <v>57</v>
      </c>
      <c r="J376" t="s">
        <v>285</v>
      </c>
      <c r="L376">
        <v>4.5</v>
      </c>
      <c r="N376">
        <v>4.8</v>
      </c>
      <c r="O376">
        <v>0</v>
      </c>
      <c r="P376" t="s">
        <v>26</v>
      </c>
    </row>
    <row r="377" spans="1:16" x14ac:dyDescent="0.25">
      <c r="A377" t="s">
        <v>1246</v>
      </c>
      <c r="B377" t="s">
        <v>1247</v>
      </c>
      <c r="C377" t="s">
        <v>18</v>
      </c>
      <c r="D377" t="s">
        <v>43</v>
      </c>
      <c r="E377" t="s">
        <v>20</v>
      </c>
      <c r="F377" t="s">
        <v>39</v>
      </c>
      <c r="G377" t="s">
        <v>22</v>
      </c>
      <c r="H377" t="s">
        <v>23</v>
      </c>
      <c r="I377" t="s">
        <v>24</v>
      </c>
      <c r="J377" t="s">
        <v>1248</v>
      </c>
      <c r="L377">
        <v>3.3</v>
      </c>
      <c r="M377">
        <v>136000</v>
      </c>
      <c r="N377">
        <v>4.5999999999999996</v>
      </c>
      <c r="P377" t="s">
        <v>26</v>
      </c>
    </row>
    <row r="378" spans="1:16" x14ac:dyDescent="0.25">
      <c r="A378" t="s">
        <v>1249</v>
      </c>
      <c r="B378" t="s">
        <v>1250</v>
      </c>
      <c r="C378" t="s">
        <v>29</v>
      </c>
      <c r="D378" t="s">
        <v>30</v>
      </c>
      <c r="E378" t="s">
        <v>20</v>
      </c>
      <c r="F378" t="s">
        <v>128</v>
      </c>
      <c r="G378" t="s">
        <v>22</v>
      </c>
      <c r="I378" t="s">
        <v>24</v>
      </c>
      <c r="J378" t="s">
        <v>1251</v>
      </c>
      <c r="L378">
        <v>4.0999999999999996</v>
      </c>
      <c r="M378">
        <v>567000</v>
      </c>
      <c r="N378">
        <v>4.3</v>
      </c>
      <c r="O378">
        <v>9</v>
      </c>
      <c r="P378" t="s">
        <v>26</v>
      </c>
    </row>
    <row r="379" spans="1:16" x14ac:dyDescent="0.25">
      <c r="A379" t="s">
        <v>1252</v>
      </c>
      <c r="B379" t="s">
        <v>1253</v>
      </c>
      <c r="C379" t="s">
        <v>29</v>
      </c>
      <c r="D379" t="s">
        <v>19</v>
      </c>
      <c r="F379" t="s">
        <v>39</v>
      </c>
      <c r="G379" t="s">
        <v>33</v>
      </c>
      <c r="H379" t="s">
        <v>62</v>
      </c>
      <c r="I379" t="s">
        <v>75</v>
      </c>
      <c r="J379" t="s">
        <v>1254</v>
      </c>
      <c r="L379">
        <v>5.2</v>
      </c>
      <c r="M379">
        <v>136000</v>
      </c>
      <c r="N379">
        <v>2.8</v>
      </c>
      <c r="O379">
        <v>0</v>
      </c>
      <c r="P379" t="s">
        <v>26</v>
      </c>
    </row>
    <row r="380" spans="1:16" x14ac:dyDescent="0.25">
      <c r="A380" t="s">
        <v>1255</v>
      </c>
      <c r="B380" t="s">
        <v>1256</v>
      </c>
      <c r="D380" t="s">
        <v>50</v>
      </c>
      <c r="E380" t="s">
        <v>20</v>
      </c>
      <c r="F380" t="s">
        <v>128</v>
      </c>
      <c r="G380" t="s">
        <v>80</v>
      </c>
      <c r="H380" t="s">
        <v>34</v>
      </c>
      <c r="I380" t="s">
        <v>57</v>
      </c>
      <c r="J380" t="s">
        <v>1257</v>
      </c>
      <c r="L380">
        <v>4.4000000000000004</v>
      </c>
      <c r="M380">
        <v>597000</v>
      </c>
      <c r="N380">
        <v>4.5999999999999996</v>
      </c>
      <c r="O380">
        <v>3</v>
      </c>
      <c r="P380" t="s">
        <v>26</v>
      </c>
    </row>
    <row r="381" spans="1:16" x14ac:dyDescent="0.25">
      <c r="A381" t="s">
        <v>1258</v>
      </c>
      <c r="B381" t="s">
        <v>1259</v>
      </c>
      <c r="D381" t="s">
        <v>79</v>
      </c>
      <c r="E381" t="s">
        <v>20</v>
      </c>
      <c r="F381" t="s">
        <v>21</v>
      </c>
      <c r="G381" t="s">
        <v>22</v>
      </c>
      <c r="H381" t="s">
        <v>23</v>
      </c>
      <c r="I381" t="s">
        <v>57</v>
      </c>
      <c r="J381" t="s">
        <v>1260</v>
      </c>
      <c r="L381">
        <v>2.2000000000000002</v>
      </c>
      <c r="M381">
        <v>609000</v>
      </c>
      <c r="N381">
        <v>4.5999999999999996</v>
      </c>
      <c r="O381">
        <v>6</v>
      </c>
      <c r="P381" t="s">
        <v>26</v>
      </c>
    </row>
    <row r="382" spans="1:16" x14ac:dyDescent="0.25">
      <c r="A382" t="s">
        <v>1261</v>
      </c>
      <c r="B382" t="s">
        <v>1262</v>
      </c>
      <c r="C382" t="s">
        <v>18</v>
      </c>
      <c r="D382" t="s">
        <v>30</v>
      </c>
      <c r="E382" t="s">
        <v>20</v>
      </c>
      <c r="F382" t="s">
        <v>39</v>
      </c>
      <c r="G382" t="s">
        <v>22</v>
      </c>
      <c r="H382" t="s">
        <v>46</v>
      </c>
      <c r="I382" t="s">
        <v>24</v>
      </c>
      <c r="J382" t="s">
        <v>1263</v>
      </c>
      <c r="K382" t="s">
        <v>550</v>
      </c>
      <c r="L382">
        <v>3.9</v>
      </c>
      <c r="M382">
        <v>132000</v>
      </c>
      <c r="N382">
        <v>2</v>
      </c>
      <c r="O382">
        <v>19</v>
      </c>
      <c r="P382" t="s">
        <v>53</v>
      </c>
    </row>
    <row r="383" spans="1:16" x14ac:dyDescent="0.25">
      <c r="A383" t="s">
        <v>1264</v>
      </c>
      <c r="B383" t="s">
        <v>1265</v>
      </c>
      <c r="C383" t="s">
        <v>29</v>
      </c>
      <c r="D383" t="s">
        <v>50</v>
      </c>
      <c r="E383" t="s">
        <v>20</v>
      </c>
      <c r="F383" t="s">
        <v>128</v>
      </c>
      <c r="G383" t="s">
        <v>80</v>
      </c>
      <c r="H383" t="s">
        <v>46</v>
      </c>
      <c r="I383" t="s">
        <v>24</v>
      </c>
      <c r="J383" t="s">
        <v>787</v>
      </c>
      <c r="K383" t="s">
        <v>1266</v>
      </c>
      <c r="L383">
        <v>4.2</v>
      </c>
      <c r="M383">
        <v>528000</v>
      </c>
      <c r="N383">
        <v>3.5</v>
      </c>
      <c r="O383">
        <v>1</v>
      </c>
      <c r="P383" t="s">
        <v>53</v>
      </c>
    </row>
    <row r="384" spans="1:16" x14ac:dyDescent="0.25">
      <c r="A384" t="s">
        <v>1267</v>
      </c>
      <c r="B384" t="s">
        <v>1268</v>
      </c>
      <c r="C384" t="s">
        <v>29</v>
      </c>
      <c r="D384" t="s">
        <v>50</v>
      </c>
      <c r="E384" t="s">
        <v>44</v>
      </c>
      <c r="F384" t="s">
        <v>32</v>
      </c>
      <c r="G384" t="s">
        <v>22</v>
      </c>
      <c r="H384" t="s">
        <v>34</v>
      </c>
      <c r="I384" t="s">
        <v>75</v>
      </c>
      <c r="J384" t="s">
        <v>1269</v>
      </c>
      <c r="L384">
        <v>4.0999999999999996</v>
      </c>
      <c r="M384">
        <v>345000</v>
      </c>
      <c r="N384">
        <v>4.5999999999999996</v>
      </c>
      <c r="O384">
        <v>5</v>
      </c>
      <c r="P384" t="s">
        <v>26</v>
      </c>
    </row>
    <row r="385" spans="1:16" x14ac:dyDescent="0.25">
      <c r="A385" t="s">
        <v>1270</v>
      </c>
      <c r="B385" t="s">
        <v>1271</v>
      </c>
      <c r="C385" t="s">
        <v>18</v>
      </c>
      <c r="D385" t="s">
        <v>50</v>
      </c>
      <c r="E385" t="s">
        <v>20</v>
      </c>
      <c r="F385" t="s">
        <v>32</v>
      </c>
      <c r="G385" t="s">
        <v>22</v>
      </c>
      <c r="H385" t="s">
        <v>23</v>
      </c>
      <c r="I385" t="s">
        <v>24</v>
      </c>
      <c r="J385" t="s">
        <v>1272</v>
      </c>
      <c r="K385" t="s">
        <v>1273</v>
      </c>
      <c r="L385">
        <v>2.9</v>
      </c>
      <c r="M385">
        <v>347000</v>
      </c>
      <c r="N385">
        <v>2.2000000000000002</v>
      </c>
      <c r="O385">
        <v>13</v>
      </c>
      <c r="P385" t="s">
        <v>53</v>
      </c>
    </row>
    <row r="386" spans="1:16" x14ac:dyDescent="0.25">
      <c r="A386" t="s">
        <v>1274</v>
      </c>
      <c r="B386" t="s">
        <v>1275</v>
      </c>
      <c r="C386" t="s">
        <v>29</v>
      </c>
      <c r="D386" t="s">
        <v>19</v>
      </c>
      <c r="E386" t="s">
        <v>20</v>
      </c>
      <c r="F386" t="s">
        <v>39</v>
      </c>
      <c r="G386" t="s">
        <v>33</v>
      </c>
      <c r="H386" t="s">
        <v>62</v>
      </c>
      <c r="I386" t="s">
        <v>57</v>
      </c>
      <c r="J386" t="s">
        <v>1248</v>
      </c>
      <c r="L386">
        <v>3.3</v>
      </c>
      <c r="M386">
        <v>105000</v>
      </c>
      <c r="N386">
        <v>2.4</v>
      </c>
      <c r="O386">
        <v>6</v>
      </c>
      <c r="P386" t="s">
        <v>26</v>
      </c>
    </row>
    <row r="387" spans="1:16" x14ac:dyDescent="0.25">
      <c r="A387" t="s">
        <v>1276</v>
      </c>
      <c r="B387" t="s">
        <v>1277</v>
      </c>
      <c r="C387" t="s">
        <v>29</v>
      </c>
      <c r="D387" t="s">
        <v>30</v>
      </c>
      <c r="E387" t="s">
        <v>20</v>
      </c>
      <c r="F387" t="s">
        <v>128</v>
      </c>
      <c r="G387" t="s">
        <v>33</v>
      </c>
      <c r="H387" t="s">
        <v>23</v>
      </c>
      <c r="I387" t="s">
        <v>57</v>
      </c>
      <c r="J387" t="s">
        <v>1278</v>
      </c>
      <c r="K387" t="s">
        <v>1279</v>
      </c>
      <c r="L387">
        <v>4.8</v>
      </c>
      <c r="M387">
        <v>401000</v>
      </c>
      <c r="N387">
        <v>2.9</v>
      </c>
      <c r="O387">
        <v>35</v>
      </c>
      <c r="P387" t="s">
        <v>53</v>
      </c>
    </row>
    <row r="388" spans="1:16" x14ac:dyDescent="0.25">
      <c r="A388" t="s">
        <v>1280</v>
      </c>
      <c r="B388" t="s">
        <v>1281</v>
      </c>
      <c r="C388" t="s">
        <v>29</v>
      </c>
      <c r="D388" t="s">
        <v>19</v>
      </c>
      <c r="E388" t="s">
        <v>44</v>
      </c>
      <c r="G388" t="s">
        <v>69</v>
      </c>
      <c r="I388" t="s">
        <v>57</v>
      </c>
      <c r="J388" t="s">
        <v>1282</v>
      </c>
      <c r="L388">
        <v>2</v>
      </c>
      <c r="M388">
        <v>287000</v>
      </c>
      <c r="N388">
        <v>3.8</v>
      </c>
      <c r="O388">
        <v>40</v>
      </c>
      <c r="P388" t="s">
        <v>26</v>
      </c>
    </row>
    <row r="389" spans="1:16" x14ac:dyDescent="0.25">
      <c r="A389" t="s">
        <v>1283</v>
      </c>
      <c r="B389" t="s">
        <v>1284</v>
      </c>
      <c r="C389" t="s">
        <v>18</v>
      </c>
      <c r="D389" t="s">
        <v>43</v>
      </c>
      <c r="E389" t="s">
        <v>44</v>
      </c>
      <c r="F389" t="s">
        <v>39</v>
      </c>
      <c r="G389" t="s">
        <v>22</v>
      </c>
      <c r="H389" t="s">
        <v>62</v>
      </c>
      <c r="I389" t="s">
        <v>24</v>
      </c>
      <c r="J389" t="s">
        <v>1285</v>
      </c>
      <c r="L389">
        <v>1.9</v>
      </c>
      <c r="M389">
        <v>109000</v>
      </c>
      <c r="N389">
        <v>4.3</v>
      </c>
      <c r="O389">
        <v>13</v>
      </c>
      <c r="P389" t="s">
        <v>26</v>
      </c>
    </row>
    <row r="390" spans="1:16" x14ac:dyDescent="0.25">
      <c r="A390" t="s">
        <v>1286</v>
      </c>
      <c r="B390" t="s">
        <v>1287</v>
      </c>
      <c r="C390" t="s">
        <v>18</v>
      </c>
      <c r="D390" t="s">
        <v>19</v>
      </c>
      <c r="E390" t="s">
        <v>20</v>
      </c>
      <c r="F390" t="s">
        <v>21</v>
      </c>
      <c r="G390" t="s">
        <v>22</v>
      </c>
      <c r="H390" t="s">
        <v>34</v>
      </c>
      <c r="I390" t="s">
        <v>57</v>
      </c>
      <c r="J390" t="s">
        <v>920</v>
      </c>
      <c r="L390">
        <v>4.7</v>
      </c>
      <c r="M390">
        <v>941000</v>
      </c>
      <c r="N390">
        <v>3.7</v>
      </c>
      <c r="O390">
        <v>9</v>
      </c>
      <c r="P390" t="s">
        <v>26</v>
      </c>
    </row>
    <row r="391" spans="1:16" x14ac:dyDescent="0.25">
      <c r="A391" t="s">
        <v>1288</v>
      </c>
      <c r="B391" t="s">
        <v>1289</v>
      </c>
      <c r="D391" t="s">
        <v>50</v>
      </c>
      <c r="E391" t="s">
        <v>20</v>
      </c>
      <c r="F391" t="s">
        <v>39</v>
      </c>
      <c r="G391" t="s">
        <v>22</v>
      </c>
      <c r="H391" t="s">
        <v>34</v>
      </c>
      <c r="I391" t="s">
        <v>35</v>
      </c>
      <c r="J391" t="s">
        <v>199</v>
      </c>
      <c r="L391">
        <v>4.3</v>
      </c>
      <c r="M391">
        <v>162000</v>
      </c>
      <c r="N391">
        <v>4.7</v>
      </c>
      <c r="O391">
        <v>5</v>
      </c>
      <c r="P391" t="s">
        <v>26</v>
      </c>
    </row>
    <row r="392" spans="1:16" x14ac:dyDescent="0.25">
      <c r="A392" t="s">
        <v>1290</v>
      </c>
      <c r="B392" t="s">
        <v>1291</v>
      </c>
      <c r="C392" t="s">
        <v>18</v>
      </c>
      <c r="D392" t="s">
        <v>30</v>
      </c>
      <c r="E392" t="s">
        <v>20</v>
      </c>
      <c r="F392" t="s">
        <v>32</v>
      </c>
      <c r="G392" t="s">
        <v>33</v>
      </c>
      <c r="H392" t="s">
        <v>23</v>
      </c>
      <c r="I392" t="s">
        <v>24</v>
      </c>
      <c r="J392" t="s">
        <v>132</v>
      </c>
      <c r="L392">
        <v>2.6</v>
      </c>
      <c r="M392">
        <v>306000</v>
      </c>
      <c r="N392">
        <v>4.4000000000000004</v>
      </c>
      <c r="O392">
        <v>13</v>
      </c>
      <c r="P392" t="s">
        <v>26</v>
      </c>
    </row>
    <row r="393" spans="1:16" x14ac:dyDescent="0.25">
      <c r="A393" t="s">
        <v>1292</v>
      </c>
      <c r="B393" t="s">
        <v>1293</v>
      </c>
      <c r="C393" t="s">
        <v>29</v>
      </c>
      <c r="D393" t="s">
        <v>79</v>
      </c>
      <c r="E393" t="s">
        <v>44</v>
      </c>
      <c r="F393" t="s">
        <v>32</v>
      </c>
      <c r="G393" t="s">
        <v>33</v>
      </c>
      <c r="H393" t="s">
        <v>34</v>
      </c>
      <c r="I393" t="s">
        <v>24</v>
      </c>
      <c r="J393" t="s">
        <v>1294</v>
      </c>
      <c r="K393" t="s">
        <v>1295</v>
      </c>
      <c r="L393">
        <v>1.7</v>
      </c>
      <c r="M393">
        <v>256000</v>
      </c>
      <c r="N393">
        <v>2.1</v>
      </c>
      <c r="O393">
        <v>9</v>
      </c>
      <c r="P393" t="s">
        <v>53</v>
      </c>
    </row>
    <row r="394" spans="1:16" x14ac:dyDescent="0.25">
      <c r="A394" t="s">
        <v>1296</v>
      </c>
      <c r="B394" t="s">
        <v>1297</v>
      </c>
      <c r="C394" t="s">
        <v>29</v>
      </c>
      <c r="D394" t="s">
        <v>79</v>
      </c>
      <c r="E394" t="s">
        <v>20</v>
      </c>
      <c r="F394" t="s">
        <v>128</v>
      </c>
      <c r="G394" t="s">
        <v>22</v>
      </c>
      <c r="H394" t="s">
        <v>34</v>
      </c>
      <c r="I394" t="s">
        <v>24</v>
      </c>
      <c r="J394" t="s">
        <v>603</v>
      </c>
      <c r="L394">
        <v>1.9</v>
      </c>
      <c r="M394">
        <v>382000</v>
      </c>
      <c r="N394">
        <v>4.8</v>
      </c>
      <c r="O394">
        <v>4</v>
      </c>
      <c r="P394" t="s">
        <v>26</v>
      </c>
    </row>
    <row r="395" spans="1:16" x14ac:dyDescent="0.25">
      <c r="A395" t="s">
        <v>1298</v>
      </c>
      <c r="B395" t="s">
        <v>1299</v>
      </c>
      <c r="C395" t="s">
        <v>18</v>
      </c>
      <c r="D395" t="s">
        <v>79</v>
      </c>
      <c r="E395" t="s">
        <v>20</v>
      </c>
      <c r="F395" t="s">
        <v>39</v>
      </c>
      <c r="G395" t="s">
        <v>33</v>
      </c>
      <c r="H395" t="s">
        <v>23</v>
      </c>
      <c r="I395" t="s">
        <v>57</v>
      </c>
      <c r="J395" t="s">
        <v>1300</v>
      </c>
      <c r="L395">
        <v>4.0999999999999996</v>
      </c>
      <c r="M395">
        <v>94000</v>
      </c>
      <c r="N395">
        <v>3</v>
      </c>
      <c r="O395">
        <v>5</v>
      </c>
      <c r="P395" t="s">
        <v>26</v>
      </c>
    </row>
    <row r="396" spans="1:16" x14ac:dyDescent="0.25">
      <c r="A396" t="s">
        <v>1301</v>
      </c>
      <c r="B396" t="s">
        <v>1302</v>
      </c>
      <c r="C396" t="s">
        <v>18</v>
      </c>
      <c r="D396" t="s">
        <v>79</v>
      </c>
      <c r="E396" t="s">
        <v>31</v>
      </c>
      <c r="F396" t="s">
        <v>128</v>
      </c>
      <c r="G396" t="s">
        <v>22</v>
      </c>
      <c r="H396" t="s">
        <v>23</v>
      </c>
      <c r="I396" t="s">
        <v>24</v>
      </c>
      <c r="J396" t="s">
        <v>1303</v>
      </c>
      <c r="L396">
        <v>5.7</v>
      </c>
      <c r="M396">
        <v>562000</v>
      </c>
      <c r="N396">
        <v>3.3</v>
      </c>
      <c r="O396">
        <v>6</v>
      </c>
      <c r="P396" t="s">
        <v>26</v>
      </c>
    </row>
    <row r="397" spans="1:16" x14ac:dyDescent="0.25">
      <c r="A397" t="s">
        <v>1304</v>
      </c>
      <c r="B397" t="s">
        <v>1305</v>
      </c>
      <c r="C397" t="s">
        <v>29</v>
      </c>
      <c r="D397" t="s">
        <v>19</v>
      </c>
      <c r="E397" t="s">
        <v>20</v>
      </c>
      <c r="F397" t="s">
        <v>32</v>
      </c>
      <c r="G397" t="s">
        <v>22</v>
      </c>
      <c r="H397" t="s">
        <v>46</v>
      </c>
      <c r="I397" t="s">
        <v>35</v>
      </c>
      <c r="J397" t="s">
        <v>1306</v>
      </c>
      <c r="L397">
        <v>1.9</v>
      </c>
      <c r="M397">
        <v>385000</v>
      </c>
      <c r="N397">
        <v>3.8</v>
      </c>
      <c r="O397">
        <v>36</v>
      </c>
      <c r="P397" t="s">
        <v>26</v>
      </c>
    </row>
    <row r="398" spans="1:16" x14ac:dyDescent="0.25">
      <c r="A398" t="s">
        <v>1307</v>
      </c>
      <c r="B398" t="s">
        <v>1308</v>
      </c>
      <c r="C398" t="s">
        <v>18</v>
      </c>
      <c r="D398" t="s">
        <v>30</v>
      </c>
      <c r="E398" t="s">
        <v>44</v>
      </c>
      <c r="G398" t="s">
        <v>22</v>
      </c>
      <c r="H398" t="s">
        <v>23</v>
      </c>
      <c r="I398" t="s">
        <v>57</v>
      </c>
      <c r="J398" t="s">
        <v>1309</v>
      </c>
      <c r="K398" t="s">
        <v>1310</v>
      </c>
      <c r="L398">
        <v>3.5</v>
      </c>
      <c r="M398">
        <v>133000</v>
      </c>
      <c r="N398">
        <v>3</v>
      </c>
      <c r="O398">
        <v>3</v>
      </c>
      <c r="P398" t="s">
        <v>53</v>
      </c>
    </row>
    <row r="399" spans="1:16" x14ac:dyDescent="0.25">
      <c r="A399" t="s">
        <v>1311</v>
      </c>
      <c r="B399" t="s">
        <v>1312</v>
      </c>
      <c r="C399" t="s">
        <v>29</v>
      </c>
      <c r="D399" t="s">
        <v>50</v>
      </c>
      <c r="E399" t="s">
        <v>20</v>
      </c>
      <c r="F399" t="s">
        <v>128</v>
      </c>
      <c r="G399" t="s">
        <v>69</v>
      </c>
      <c r="H399" t="s">
        <v>34</v>
      </c>
      <c r="I399" t="s">
        <v>24</v>
      </c>
      <c r="J399" t="s">
        <v>1313</v>
      </c>
      <c r="K399" t="s">
        <v>1314</v>
      </c>
      <c r="L399">
        <v>1.9</v>
      </c>
      <c r="M399">
        <v>522000</v>
      </c>
      <c r="N399">
        <v>2.1</v>
      </c>
      <c r="O399">
        <v>14</v>
      </c>
      <c r="P399" t="s">
        <v>72</v>
      </c>
    </row>
    <row r="400" spans="1:16" x14ac:dyDescent="0.25">
      <c r="A400" t="s">
        <v>1315</v>
      </c>
      <c r="B400" t="s">
        <v>1316</v>
      </c>
      <c r="C400" t="s">
        <v>29</v>
      </c>
      <c r="D400" t="s">
        <v>30</v>
      </c>
      <c r="E400" t="s">
        <v>20</v>
      </c>
      <c r="F400" t="s">
        <v>32</v>
      </c>
      <c r="G400" t="s">
        <v>22</v>
      </c>
      <c r="H400" t="s">
        <v>23</v>
      </c>
      <c r="I400" t="s">
        <v>24</v>
      </c>
      <c r="J400" t="s">
        <v>1317</v>
      </c>
      <c r="K400" t="s">
        <v>1318</v>
      </c>
      <c r="L400">
        <v>4.7</v>
      </c>
      <c r="M400">
        <v>245000</v>
      </c>
      <c r="N400">
        <v>2.2999999999999998</v>
      </c>
      <c r="O400">
        <v>12</v>
      </c>
      <c r="P400" t="s">
        <v>53</v>
      </c>
    </row>
    <row r="401" spans="1:16" x14ac:dyDescent="0.25">
      <c r="A401" t="s">
        <v>1319</v>
      </c>
      <c r="B401" t="s">
        <v>1320</v>
      </c>
      <c r="C401" t="s">
        <v>29</v>
      </c>
      <c r="D401" t="s">
        <v>43</v>
      </c>
      <c r="E401" t="s">
        <v>20</v>
      </c>
      <c r="F401" t="s">
        <v>21</v>
      </c>
      <c r="G401" t="s">
        <v>69</v>
      </c>
      <c r="H401" t="s">
        <v>34</v>
      </c>
      <c r="I401" t="s">
        <v>57</v>
      </c>
      <c r="J401" t="s">
        <v>1321</v>
      </c>
      <c r="L401">
        <v>3.1</v>
      </c>
      <c r="M401">
        <v>600000</v>
      </c>
      <c r="N401">
        <v>4.2</v>
      </c>
      <c r="O401">
        <v>9</v>
      </c>
      <c r="P401" t="s">
        <v>26</v>
      </c>
    </row>
    <row r="402" spans="1:16" x14ac:dyDescent="0.25">
      <c r="A402" t="s">
        <v>1322</v>
      </c>
      <c r="B402" t="s">
        <v>1323</v>
      </c>
      <c r="C402" t="s">
        <v>29</v>
      </c>
      <c r="D402" t="s">
        <v>30</v>
      </c>
      <c r="E402" t="s">
        <v>20</v>
      </c>
      <c r="F402" t="s">
        <v>128</v>
      </c>
      <c r="G402" t="s">
        <v>22</v>
      </c>
      <c r="H402" t="s">
        <v>23</v>
      </c>
      <c r="I402" t="s">
        <v>24</v>
      </c>
      <c r="J402" t="s">
        <v>1224</v>
      </c>
      <c r="L402">
        <v>5.2</v>
      </c>
      <c r="M402">
        <v>453000</v>
      </c>
      <c r="N402">
        <v>3.2</v>
      </c>
      <c r="O402">
        <v>0</v>
      </c>
      <c r="P402" t="s">
        <v>26</v>
      </c>
    </row>
    <row r="403" spans="1:16" x14ac:dyDescent="0.25">
      <c r="A403" t="s">
        <v>1324</v>
      </c>
      <c r="B403" t="s">
        <v>1325</v>
      </c>
      <c r="C403" t="s">
        <v>18</v>
      </c>
      <c r="D403" t="s">
        <v>79</v>
      </c>
      <c r="E403" t="s">
        <v>44</v>
      </c>
      <c r="F403" t="s">
        <v>32</v>
      </c>
      <c r="G403" t="s">
        <v>80</v>
      </c>
      <c r="H403" t="s">
        <v>62</v>
      </c>
      <c r="I403" t="s">
        <v>24</v>
      </c>
      <c r="J403" t="s">
        <v>1326</v>
      </c>
      <c r="K403" t="s">
        <v>1327</v>
      </c>
      <c r="L403">
        <v>2.4</v>
      </c>
      <c r="M403">
        <v>293000</v>
      </c>
      <c r="N403">
        <v>4.4000000000000004</v>
      </c>
      <c r="O403">
        <v>0</v>
      </c>
      <c r="P403" t="s">
        <v>72</v>
      </c>
    </row>
    <row r="404" spans="1:16" x14ac:dyDescent="0.25">
      <c r="A404" t="s">
        <v>1328</v>
      </c>
      <c r="B404" t="s">
        <v>1329</v>
      </c>
      <c r="C404" t="s">
        <v>29</v>
      </c>
      <c r="D404" t="s">
        <v>30</v>
      </c>
      <c r="E404" t="s">
        <v>20</v>
      </c>
      <c r="F404" t="s">
        <v>39</v>
      </c>
      <c r="G404" t="s">
        <v>22</v>
      </c>
      <c r="H404" t="s">
        <v>34</v>
      </c>
      <c r="I404" t="s">
        <v>24</v>
      </c>
      <c r="J404" t="s">
        <v>1330</v>
      </c>
      <c r="L404">
        <v>2</v>
      </c>
      <c r="M404">
        <v>118000</v>
      </c>
      <c r="N404">
        <v>2.6</v>
      </c>
      <c r="O404">
        <v>23</v>
      </c>
      <c r="P404" t="s">
        <v>26</v>
      </c>
    </row>
    <row r="405" spans="1:16" x14ac:dyDescent="0.25">
      <c r="A405" t="s">
        <v>1331</v>
      </c>
      <c r="B405" t="s">
        <v>1332</v>
      </c>
      <c r="C405" t="s">
        <v>18</v>
      </c>
      <c r="D405" t="s">
        <v>30</v>
      </c>
      <c r="E405" t="s">
        <v>20</v>
      </c>
      <c r="F405" t="s">
        <v>128</v>
      </c>
      <c r="G405" t="s">
        <v>80</v>
      </c>
      <c r="H405" t="s">
        <v>23</v>
      </c>
      <c r="I405" t="s">
        <v>57</v>
      </c>
      <c r="J405" t="s">
        <v>1333</v>
      </c>
      <c r="L405">
        <v>5</v>
      </c>
      <c r="N405">
        <v>2.5</v>
      </c>
      <c r="O405">
        <v>7</v>
      </c>
      <c r="P405" t="s">
        <v>26</v>
      </c>
    </row>
    <row r="406" spans="1:16" x14ac:dyDescent="0.25">
      <c r="A406" t="s">
        <v>1334</v>
      </c>
      <c r="B406" t="s">
        <v>1335</v>
      </c>
      <c r="C406" t="s">
        <v>29</v>
      </c>
      <c r="D406" t="s">
        <v>30</v>
      </c>
      <c r="E406" t="s">
        <v>20</v>
      </c>
      <c r="F406" t="s">
        <v>32</v>
      </c>
      <c r="G406" t="s">
        <v>33</v>
      </c>
      <c r="H406" t="s">
        <v>23</v>
      </c>
      <c r="I406" t="s">
        <v>24</v>
      </c>
      <c r="J406" t="s">
        <v>1336</v>
      </c>
      <c r="K406" t="s">
        <v>1266</v>
      </c>
      <c r="L406">
        <v>2.9</v>
      </c>
      <c r="M406">
        <v>297000</v>
      </c>
      <c r="N406">
        <v>3.7</v>
      </c>
      <c r="O406">
        <v>4</v>
      </c>
      <c r="P406" t="s">
        <v>114</v>
      </c>
    </row>
    <row r="407" spans="1:16" x14ac:dyDescent="0.25">
      <c r="A407" t="s">
        <v>1337</v>
      </c>
      <c r="B407" t="s">
        <v>1338</v>
      </c>
      <c r="C407" t="s">
        <v>29</v>
      </c>
      <c r="D407" t="s">
        <v>19</v>
      </c>
      <c r="E407" t="s">
        <v>31</v>
      </c>
      <c r="G407" t="s">
        <v>22</v>
      </c>
      <c r="H407" t="s">
        <v>34</v>
      </c>
      <c r="I407" t="s">
        <v>24</v>
      </c>
      <c r="J407" t="s">
        <v>1339</v>
      </c>
      <c r="K407" t="s">
        <v>788</v>
      </c>
      <c r="L407">
        <v>2.1</v>
      </c>
      <c r="M407">
        <v>962000</v>
      </c>
      <c r="N407">
        <v>3.9</v>
      </c>
      <c r="O407">
        <v>13</v>
      </c>
      <c r="P407" t="s">
        <v>72</v>
      </c>
    </row>
    <row r="408" spans="1:16" x14ac:dyDescent="0.25">
      <c r="A408" t="s">
        <v>1340</v>
      </c>
      <c r="B408" t="s">
        <v>1341</v>
      </c>
      <c r="C408" t="s">
        <v>18</v>
      </c>
      <c r="D408" t="s">
        <v>19</v>
      </c>
      <c r="E408" t="s">
        <v>20</v>
      </c>
      <c r="F408" t="s">
        <v>32</v>
      </c>
      <c r="G408" t="s">
        <v>22</v>
      </c>
      <c r="H408" t="s">
        <v>23</v>
      </c>
      <c r="J408" t="s">
        <v>549</v>
      </c>
      <c r="L408">
        <v>4.5999999999999996</v>
      </c>
      <c r="M408">
        <v>223000</v>
      </c>
      <c r="N408">
        <v>3.7</v>
      </c>
      <c r="O408">
        <v>29</v>
      </c>
      <c r="P408" t="s">
        <v>26</v>
      </c>
    </row>
    <row r="409" spans="1:16" x14ac:dyDescent="0.25">
      <c r="A409" t="s">
        <v>1342</v>
      </c>
      <c r="B409" t="s">
        <v>1343</v>
      </c>
      <c r="C409" t="s">
        <v>18</v>
      </c>
      <c r="D409" t="s">
        <v>50</v>
      </c>
      <c r="E409" t="s">
        <v>20</v>
      </c>
      <c r="F409" t="s">
        <v>32</v>
      </c>
      <c r="G409" t="s">
        <v>22</v>
      </c>
      <c r="H409" t="s">
        <v>46</v>
      </c>
      <c r="I409" t="s">
        <v>57</v>
      </c>
      <c r="J409" t="s">
        <v>1344</v>
      </c>
      <c r="L409">
        <v>2.4</v>
      </c>
      <c r="M409">
        <v>220000</v>
      </c>
      <c r="N409">
        <v>2.8</v>
      </c>
      <c r="O409">
        <v>9</v>
      </c>
      <c r="P409" t="s">
        <v>26</v>
      </c>
    </row>
    <row r="410" spans="1:16" x14ac:dyDescent="0.25">
      <c r="A410" t="s">
        <v>1345</v>
      </c>
      <c r="B410" t="s">
        <v>1346</v>
      </c>
      <c r="C410" t="s">
        <v>18</v>
      </c>
      <c r="D410" t="s">
        <v>30</v>
      </c>
      <c r="E410" t="s">
        <v>20</v>
      </c>
      <c r="F410" t="s">
        <v>39</v>
      </c>
      <c r="G410" t="s">
        <v>22</v>
      </c>
      <c r="H410" t="s">
        <v>23</v>
      </c>
      <c r="I410" t="s">
        <v>171</v>
      </c>
      <c r="J410" t="s">
        <v>1347</v>
      </c>
      <c r="L410">
        <v>4.5999999999999996</v>
      </c>
      <c r="M410">
        <v>153000</v>
      </c>
      <c r="N410">
        <v>2.7</v>
      </c>
      <c r="O410">
        <v>13</v>
      </c>
      <c r="P410" t="s">
        <v>26</v>
      </c>
    </row>
    <row r="411" spans="1:16" x14ac:dyDescent="0.25">
      <c r="A411" t="s">
        <v>1348</v>
      </c>
      <c r="B411" t="s">
        <v>1349</v>
      </c>
      <c r="C411" t="s">
        <v>18</v>
      </c>
      <c r="D411" t="s">
        <v>43</v>
      </c>
      <c r="E411" t="s">
        <v>20</v>
      </c>
      <c r="F411" t="s">
        <v>32</v>
      </c>
      <c r="G411" t="s">
        <v>22</v>
      </c>
      <c r="H411" t="s">
        <v>23</v>
      </c>
      <c r="I411" t="s">
        <v>24</v>
      </c>
      <c r="J411" t="s">
        <v>1350</v>
      </c>
      <c r="L411">
        <v>3.6</v>
      </c>
      <c r="M411">
        <v>185000</v>
      </c>
      <c r="O411">
        <v>6</v>
      </c>
      <c r="P411" t="s">
        <v>26</v>
      </c>
    </row>
    <row r="412" spans="1:16" x14ac:dyDescent="0.25">
      <c r="A412" t="s">
        <v>1351</v>
      </c>
      <c r="B412" t="s">
        <v>1352</v>
      </c>
      <c r="C412" t="s">
        <v>18</v>
      </c>
      <c r="D412" t="s">
        <v>19</v>
      </c>
      <c r="E412" t="s">
        <v>44</v>
      </c>
      <c r="F412" t="s">
        <v>32</v>
      </c>
      <c r="G412" t="s">
        <v>22</v>
      </c>
      <c r="H412" t="s">
        <v>23</v>
      </c>
      <c r="I412" t="s">
        <v>57</v>
      </c>
      <c r="J412" t="s">
        <v>1353</v>
      </c>
      <c r="K412" t="s">
        <v>401</v>
      </c>
      <c r="L412">
        <v>4</v>
      </c>
      <c r="M412">
        <v>385000</v>
      </c>
      <c r="O412">
        <v>7</v>
      </c>
      <c r="P412" t="s">
        <v>53</v>
      </c>
    </row>
    <row r="413" spans="1:16" x14ac:dyDescent="0.25">
      <c r="A413" t="s">
        <v>1354</v>
      </c>
      <c r="B413" t="s">
        <v>1355</v>
      </c>
      <c r="C413" t="s">
        <v>29</v>
      </c>
      <c r="D413" t="s">
        <v>50</v>
      </c>
      <c r="E413" t="s">
        <v>20</v>
      </c>
      <c r="F413" t="s">
        <v>128</v>
      </c>
      <c r="G413" t="s">
        <v>80</v>
      </c>
      <c r="H413" t="s">
        <v>34</v>
      </c>
      <c r="I413" t="s">
        <v>35</v>
      </c>
      <c r="J413" t="s">
        <v>1356</v>
      </c>
      <c r="K413" t="s">
        <v>1357</v>
      </c>
      <c r="L413">
        <v>2.9</v>
      </c>
      <c r="M413">
        <v>512000</v>
      </c>
      <c r="N413">
        <v>3.5</v>
      </c>
      <c r="O413">
        <v>33</v>
      </c>
      <c r="P413" t="s">
        <v>72</v>
      </c>
    </row>
    <row r="414" spans="1:16" x14ac:dyDescent="0.25">
      <c r="A414" t="s">
        <v>1358</v>
      </c>
      <c r="B414" t="s">
        <v>1359</v>
      </c>
      <c r="C414" t="s">
        <v>29</v>
      </c>
      <c r="D414" t="s">
        <v>50</v>
      </c>
      <c r="E414" t="s">
        <v>31</v>
      </c>
      <c r="F414" t="s">
        <v>32</v>
      </c>
      <c r="G414" t="s">
        <v>80</v>
      </c>
      <c r="I414" t="s">
        <v>75</v>
      </c>
      <c r="J414" t="s">
        <v>1360</v>
      </c>
      <c r="L414">
        <v>5.0999999999999996</v>
      </c>
      <c r="M414">
        <v>268000</v>
      </c>
      <c r="N414">
        <v>2.5</v>
      </c>
      <c r="O414">
        <v>27</v>
      </c>
      <c r="P414" t="s">
        <v>26</v>
      </c>
    </row>
    <row r="415" spans="1:16" x14ac:dyDescent="0.25">
      <c r="A415" t="s">
        <v>1361</v>
      </c>
      <c r="B415" t="s">
        <v>1362</v>
      </c>
      <c r="C415" t="s">
        <v>29</v>
      </c>
      <c r="D415" t="s">
        <v>50</v>
      </c>
      <c r="E415" t="s">
        <v>20</v>
      </c>
      <c r="F415" t="s">
        <v>21</v>
      </c>
      <c r="G415" t="s">
        <v>69</v>
      </c>
      <c r="H415" t="s">
        <v>34</v>
      </c>
      <c r="I415" t="s">
        <v>24</v>
      </c>
      <c r="J415" t="s">
        <v>1363</v>
      </c>
      <c r="K415" t="s">
        <v>1210</v>
      </c>
      <c r="L415">
        <v>5.6</v>
      </c>
      <c r="M415">
        <v>678000</v>
      </c>
      <c r="N415">
        <v>4.5999999999999996</v>
      </c>
      <c r="O415">
        <v>8</v>
      </c>
      <c r="P415" t="s">
        <v>53</v>
      </c>
    </row>
    <row r="416" spans="1:16" x14ac:dyDescent="0.25">
      <c r="A416" t="s">
        <v>1364</v>
      </c>
      <c r="B416" t="s">
        <v>1365</v>
      </c>
      <c r="C416" t="s">
        <v>29</v>
      </c>
      <c r="D416" t="s">
        <v>19</v>
      </c>
      <c r="E416" t="s">
        <v>44</v>
      </c>
      <c r="F416" t="s">
        <v>32</v>
      </c>
      <c r="G416" t="s">
        <v>22</v>
      </c>
      <c r="I416" t="s">
        <v>75</v>
      </c>
      <c r="J416" t="s">
        <v>1366</v>
      </c>
      <c r="K416" t="s">
        <v>710</v>
      </c>
      <c r="L416">
        <v>1.4</v>
      </c>
      <c r="M416">
        <v>277000</v>
      </c>
      <c r="N416">
        <v>2.5</v>
      </c>
      <c r="O416">
        <v>2</v>
      </c>
      <c r="P416" t="s">
        <v>114</v>
      </c>
    </row>
    <row r="417" spans="1:16" x14ac:dyDescent="0.25">
      <c r="A417" t="s">
        <v>1367</v>
      </c>
      <c r="B417" t="s">
        <v>1368</v>
      </c>
      <c r="C417" t="s">
        <v>29</v>
      </c>
      <c r="D417" t="s">
        <v>30</v>
      </c>
      <c r="E417" t="s">
        <v>44</v>
      </c>
      <c r="F417" t="s">
        <v>21</v>
      </c>
      <c r="G417" t="s">
        <v>33</v>
      </c>
      <c r="H417" t="s">
        <v>23</v>
      </c>
      <c r="I417" t="s">
        <v>75</v>
      </c>
      <c r="J417" t="s">
        <v>688</v>
      </c>
      <c r="K417" t="s">
        <v>1369</v>
      </c>
      <c r="L417">
        <v>6</v>
      </c>
      <c r="M417">
        <v>761000</v>
      </c>
      <c r="N417">
        <v>4.4000000000000004</v>
      </c>
      <c r="O417">
        <v>3</v>
      </c>
      <c r="P417" t="s">
        <v>114</v>
      </c>
    </row>
    <row r="418" spans="1:16" x14ac:dyDescent="0.25">
      <c r="A418" t="s">
        <v>1370</v>
      </c>
      <c r="B418" t="s">
        <v>1371</v>
      </c>
      <c r="D418" t="s">
        <v>43</v>
      </c>
      <c r="F418" t="s">
        <v>39</v>
      </c>
      <c r="G418" t="s">
        <v>22</v>
      </c>
      <c r="H418" t="s">
        <v>34</v>
      </c>
      <c r="I418" t="s">
        <v>24</v>
      </c>
      <c r="J418" t="s">
        <v>1372</v>
      </c>
      <c r="L418">
        <v>2.7</v>
      </c>
      <c r="M418">
        <v>135000</v>
      </c>
      <c r="N418">
        <v>2.7</v>
      </c>
      <c r="O418">
        <v>12</v>
      </c>
      <c r="P418" t="s">
        <v>26</v>
      </c>
    </row>
    <row r="419" spans="1:16" x14ac:dyDescent="0.25">
      <c r="A419" t="s">
        <v>1373</v>
      </c>
      <c r="B419" t="s">
        <v>1374</v>
      </c>
      <c r="C419" t="s">
        <v>18</v>
      </c>
      <c r="D419" t="s">
        <v>79</v>
      </c>
      <c r="E419" t="s">
        <v>20</v>
      </c>
      <c r="F419" t="s">
        <v>21</v>
      </c>
      <c r="G419" t="s">
        <v>33</v>
      </c>
      <c r="H419" t="s">
        <v>46</v>
      </c>
      <c r="I419" t="s">
        <v>24</v>
      </c>
      <c r="J419" t="s">
        <v>1375</v>
      </c>
      <c r="L419">
        <v>3.7</v>
      </c>
      <c r="M419">
        <v>608000</v>
      </c>
      <c r="O419">
        <v>9</v>
      </c>
      <c r="P419" t="s">
        <v>26</v>
      </c>
    </row>
    <row r="420" spans="1:16" x14ac:dyDescent="0.25">
      <c r="A420" t="s">
        <v>1376</v>
      </c>
      <c r="B420" t="s">
        <v>1377</v>
      </c>
      <c r="D420" t="s">
        <v>50</v>
      </c>
      <c r="E420" t="s">
        <v>31</v>
      </c>
      <c r="F420" t="s">
        <v>39</v>
      </c>
      <c r="G420" t="s">
        <v>80</v>
      </c>
      <c r="H420" t="s">
        <v>23</v>
      </c>
      <c r="I420" t="s">
        <v>24</v>
      </c>
      <c r="J420" t="s">
        <v>1378</v>
      </c>
      <c r="K420" t="s">
        <v>1379</v>
      </c>
      <c r="L420">
        <v>5.0999999999999996</v>
      </c>
      <c r="M420">
        <v>151000</v>
      </c>
      <c r="N420">
        <v>3.4</v>
      </c>
      <c r="O420">
        <v>2</v>
      </c>
      <c r="P420" t="s">
        <v>53</v>
      </c>
    </row>
    <row r="421" spans="1:16" x14ac:dyDescent="0.25">
      <c r="A421" t="s">
        <v>1380</v>
      </c>
      <c r="B421" t="s">
        <v>1381</v>
      </c>
      <c r="C421" t="s">
        <v>18</v>
      </c>
      <c r="D421" t="s">
        <v>43</v>
      </c>
      <c r="E421" t="s">
        <v>20</v>
      </c>
      <c r="G421" t="s">
        <v>22</v>
      </c>
      <c r="H421" t="s">
        <v>34</v>
      </c>
      <c r="I421" t="s">
        <v>57</v>
      </c>
      <c r="J421" t="s">
        <v>1382</v>
      </c>
      <c r="L421">
        <v>5.4</v>
      </c>
      <c r="M421">
        <v>302000</v>
      </c>
      <c r="N421">
        <v>3.1</v>
      </c>
      <c r="P421" t="s">
        <v>26</v>
      </c>
    </row>
    <row r="422" spans="1:16" x14ac:dyDescent="0.25">
      <c r="A422" t="s">
        <v>1383</v>
      </c>
      <c r="B422" t="s">
        <v>1384</v>
      </c>
      <c r="C422" t="s">
        <v>29</v>
      </c>
      <c r="D422" t="s">
        <v>30</v>
      </c>
      <c r="E422" t="s">
        <v>20</v>
      </c>
      <c r="F422" t="s">
        <v>128</v>
      </c>
      <c r="G422" t="s">
        <v>69</v>
      </c>
      <c r="H422" t="s">
        <v>23</v>
      </c>
      <c r="I422" t="s">
        <v>24</v>
      </c>
      <c r="J422" t="s">
        <v>1385</v>
      </c>
      <c r="L422">
        <v>3.6</v>
      </c>
      <c r="M422">
        <v>397000</v>
      </c>
      <c r="N422">
        <v>4.5999999999999996</v>
      </c>
      <c r="O422">
        <v>11</v>
      </c>
      <c r="P422" t="s">
        <v>26</v>
      </c>
    </row>
    <row r="423" spans="1:16" x14ac:dyDescent="0.25">
      <c r="A423" t="s">
        <v>1386</v>
      </c>
      <c r="B423" t="s">
        <v>1387</v>
      </c>
      <c r="D423" t="s">
        <v>50</v>
      </c>
      <c r="E423" t="s">
        <v>31</v>
      </c>
      <c r="F423" t="s">
        <v>32</v>
      </c>
      <c r="G423" t="s">
        <v>22</v>
      </c>
      <c r="H423" t="s">
        <v>34</v>
      </c>
      <c r="I423" t="s">
        <v>24</v>
      </c>
      <c r="J423" t="s">
        <v>1388</v>
      </c>
      <c r="L423">
        <v>3.1</v>
      </c>
      <c r="M423">
        <v>338000</v>
      </c>
      <c r="N423">
        <v>3.4</v>
      </c>
      <c r="O423">
        <v>14</v>
      </c>
      <c r="P423" t="s">
        <v>26</v>
      </c>
    </row>
    <row r="424" spans="1:16" x14ac:dyDescent="0.25">
      <c r="A424" t="s">
        <v>1389</v>
      </c>
      <c r="B424" t="s">
        <v>1390</v>
      </c>
      <c r="C424" t="s">
        <v>18</v>
      </c>
      <c r="D424" t="s">
        <v>50</v>
      </c>
      <c r="E424" t="s">
        <v>20</v>
      </c>
      <c r="F424" t="s">
        <v>39</v>
      </c>
      <c r="G424" t="s">
        <v>33</v>
      </c>
      <c r="H424" t="s">
        <v>46</v>
      </c>
      <c r="I424" t="s">
        <v>57</v>
      </c>
      <c r="J424" t="s">
        <v>1391</v>
      </c>
      <c r="K424" t="s">
        <v>1392</v>
      </c>
      <c r="L424">
        <v>3.4</v>
      </c>
      <c r="M424">
        <v>102000</v>
      </c>
      <c r="N424">
        <v>2.8</v>
      </c>
      <c r="O424">
        <v>12</v>
      </c>
      <c r="P424" t="s">
        <v>72</v>
      </c>
    </row>
    <row r="425" spans="1:16" x14ac:dyDescent="0.25">
      <c r="A425" t="s">
        <v>1393</v>
      </c>
      <c r="B425" t="s">
        <v>585</v>
      </c>
      <c r="C425" t="s">
        <v>18</v>
      </c>
      <c r="D425" t="s">
        <v>79</v>
      </c>
      <c r="E425" t="s">
        <v>20</v>
      </c>
      <c r="F425" t="s">
        <v>128</v>
      </c>
      <c r="G425" t="s">
        <v>33</v>
      </c>
      <c r="H425" t="s">
        <v>23</v>
      </c>
      <c r="I425" t="s">
        <v>171</v>
      </c>
      <c r="J425" t="s">
        <v>51</v>
      </c>
      <c r="K425" t="s">
        <v>1394</v>
      </c>
      <c r="L425">
        <v>4.9000000000000004</v>
      </c>
      <c r="M425">
        <v>376000</v>
      </c>
      <c r="N425">
        <v>2.8</v>
      </c>
      <c r="O425">
        <v>2</v>
      </c>
      <c r="P425" t="s">
        <v>53</v>
      </c>
    </row>
    <row r="426" spans="1:16" x14ac:dyDescent="0.25">
      <c r="A426" t="s">
        <v>1395</v>
      </c>
      <c r="B426" t="s">
        <v>1396</v>
      </c>
      <c r="C426" t="s">
        <v>18</v>
      </c>
      <c r="D426" t="s">
        <v>43</v>
      </c>
      <c r="E426" t="s">
        <v>44</v>
      </c>
      <c r="F426" t="s">
        <v>128</v>
      </c>
      <c r="G426" t="s">
        <v>22</v>
      </c>
      <c r="H426" t="s">
        <v>23</v>
      </c>
      <c r="I426" t="s">
        <v>35</v>
      </c>
      <c r="J426" t="s">
        <v>1397</v>
      </c>
      <c r="K426" t="s">
        <v>1398</v>
      </c>
      <c r="L426">
        <v>6.1</v>
      </c>
      <c r="M426">
        <v>350000</v>
      </c>
      <c r="N426">
        <v>3.5</v>
      </c>
      <c r="O426">
        <v>2</v>
      </c>
      <c r="P426" t="s">
        <v>72</v>
      </c>
    </row>
    <row r="427" spans="1:16" x14ac:dyDescent="0.25">
      <c r="A427" t="s">
        <v>1399</v>
      </c>
      <c r="B427" t="s">
        <v>1400</v>
      </c>
      <c r="C427" t="s">
        <v>18</v>
      </c>
      <c r="D427" t="s">
        <v>43</v>
      </c>
      <c r="E427" t="s">
        <v>44</v>
      </c>
      <c r="F427" t="s">
        <v>39</v>
      </c>
      <c r="G427" t="s">
        <v>33</v>
      </c>
      <c r="H427" t="s">
        <v>23</v>
      </c>
      <c r="I427" t="s">
        <v>171</v>
      </c>
      <c r="J427" t="s">
        <v>1401</v>
      </c>
      <c r="L427">
        <v>3.8</v>
      </c>
      <c r="M427">
        <v>92000</v>
      </c>
      <c r="N427">
        <v>3.8</v>
      </c>
      <c r="O427">
        <v>9</v>
      </c>
      <c r="P427" t="s">
        <v>26</v>
      </c>
    </row>
    <row r="428" spans="1:16" x14ac:dyDescent="0.25">
      <c r="A428" t="s">
        <v>1402</v>
      </c>
      <c r="B428" t="s">
        <v>1403</v>
      </c>
      <c r="C428" t="s">
        <v>29</v>
      </c>
      <c r="D428" t="s">
        <v>50</v>
      </c>
      <c r="E428" t="s">
        <v>20</v>
      </c>
      <c r="F428" t="s">
        <v>32</v>
      </c>
      <c r="G428" t="s">
        <v>22</v>
      </c>
      <c r="H428" t="s">
        <v>46</v>
      </c>
      <c r="I428" t="s">
        <v>57</v>
      </c>
      <c r="J428" t="s">
        <v>1404</v>
      </c>
      <c r="L428">
        <v>4.0999999999999996</v>
      </c>
      <c r="M428">
        <v>291000</v>
      </c>
      <c r="N428">
        <v>4.7</v>
      </c>
      <c r="O428">
        <v>3</v>
      </c>
      <c r="P428" t="s">
        <v>26</v>
      </c>
    </row>
    <row r="429" spans="1:16" x14ac:dyDescent="0.25">
      <c r="A429" t="s">
        <v>1405</v>
      </c>
      <c r="B429" t="s">
        <v>181</v>
      </c>
      <c r="C429" t="s">
        <v>18</v>
      </c>
      <c r="D429" t="s">
        <v>30</v>
      </c>
      <c r="E429" t="s">
        <v>20</v>
      </c>
      <c r="F429" t="s">
        <v>32</v>
      </c>
      <c r="G429" t="s">
        <v>22</v>
      </c>
      <c r="H429" t="s">
        <v>34</v>
      </c>
      <c r="I429" t="s">
        <v>75</v>
      </c>
      <c r="J429" t="s">
        <v>1406</v>
      </c>
      <c r="L429">
        <v>3.6</v>
      </c>
      <c r="M429">
        <v>289000</v>
      </c>
      <c r="N429">
        <v>2</v>
      </c>
      <c r="O429">
        <v>8</v>
      </c>
      <c r="P429" t="s">
        <v>26</v>
      </c>
    </row>
    <row r="430" spans="1:16" x14ac:dyDescent="0.25">
      <c r="A430" t="s">
        <v>1407</v>
      </c>
      <c r="B430" t="s">
        <v>1408</v>
      </c>
      <c r="C430" t="s">
        <v>18</v>
      </c>
      <c r="D430" t="s">
        <v>43</v>
      </c>
      <c r="E430" t="s">
        <v>44</v>
      </c>
      <c r="F430" t="s">
        <v>21</v>
      </c>
      <c r="G430" t="s">
        <v>80</v>
      </c>
      <c r="H430" t="s">
        <v>46</v>
      </c>
      <c r="I430" t="s">
        <v>35</v>
      </c>
      <c r="J430" t="s">
        <v>1003</v>
      </c>
      <c r="L430">
        <v>3</v>
      </c>
      <c r="M430">
        <v>790000</v>
      </c>
      <c r="N430">
        <v>4.4000000000000004</v>
      </c>
      <c r="O430">
        <v>13</v>
      </c>
      <c r="P430" t="s">
        <v>26</v>
      </c>
    </row>
    <row r="431" spans="1:16" x14ac:dyDescent="0.25">
      <c r="A431" t="s">
        <v>1409</v>
      </c>
      <c r="B431" t="s">
        <v>1410</v>
      </c>
      <c r="C431" t="s">
        <v>29</v>
      </c>
      <c r="D431" t="s">
        <v>43</v>
      </c>
      <c r="E431" t="s">
        <v>20</v>
      </c>
      <c r="F431" t="s">
        <v>128</v>
      </c>
      <c r="G431" t="s">
        <v>22</v>
      </c>
      <c r="H431" t="s">
        <v>62</v>
      </c>
      <c r="I431" t="s">
        <v>24</v>
      </c>
      <c r="J431" t="s">
        <v>1326</v>
      </c>
      <c r="K431" t="s">
        <v>726</v>
      </c>
      <c r="L431">
        <v>2.4</v>
      </c>
      <c r="M431">
        <v>504000</v>
      </c>
      <c r="O431">
        <v>1</v>
      </c>
      <c r="P431" t="s">
        <v>53</v>
      </c>
    </row>
    <row r="432" spans="1:16" x14ac:dyDescent="0.25">
      <c r="A432" t="s">
        <v>1411</v>
      </c>
      <c r="B432" t="s">
        <v>1412</v>
      </c>
      <c r="C432" t="s">
        <v>18</v>
      </c>
      <c r="D432" t="s">
        <v>50</v>
      </c>
      <c r="E432" t="s">
        <v>20</v>
      </c>
      <c r="F432" t="s">
        <v>39</v>
      </c>
      <c r="G432" t="s">
        <v>80</v>
      </c>
      <c r="H432" t="s">
        <v>23</v>
      </c>
      <c r="I432" t="s">
        <v>57</v>
      </c>
      <c r="J432" t="s">
        <v>1413</v>
      </c>
      <c r="L432">
        <v>2.2000000000000002</v>
      </c>
      <c r="M432">
        <v>89000</v>
      </c>
      <c r="N432">
        <v>4.0999999999999996</v>
      </c>
      <c r="O432">
        <v>0</v>
      </c>
      <c r="P432" t="s">
        <v>26</v>
      </c>
    </row>
    <row r="433" spans="1:16" x14ac:dyDescent="0.25">
      <c r="A433" t="s">
        <v>1414</v>
      </c>
      <c r="B433" t="s">
        <v>1415</v>
      </c>
      <c r="C433" t="s">
        <v>29</v>
      </c>
      <c r="D433" t="s">
        <v>50</v>
      </c>
      <c r="E433" t="s">
        <v>20</v>
      </c>
      <c r="F433" t="s">
        <v>39</v>
      </c>
      <c r="G433" t="s">
        <v>33</v>
      </c>
      <c r="H433" t="s">
        <v>23</v>
      </c>
      <c r="I433" t="s">
        <v>57</v>
      </c>
      <c r="J433" t="s">
        <v>797</v>
      </c>
      <c r="L433">
        <v>2.2999999999999998</v>
      </c>
      <c r="M433">
        <v>143000</v>
      </c>
      <c r="N433">
        <v>3.2</v>
      </c>
      <c r="O433">
        <v>11</v>
      </c>
      <c r="P433" t="s">
        <v>26</v>
      </c>
    </row>
    <row r="434" spans="1:16" x14ac:dyDescent="0.25">
      <c r="A434" t="s">
        <v>1416</v>
      </c>
      <c r="B434" t="s">
        <v>1417</v>
      </c>
      <c r="C434" t="s">
        <v>18</v>
      </c>
      <c r="D434" t="s">
        <v>30</v>
      </c>
      <c r="E434" t="s">
        <v>20</v>
      </c>
      <c r="F434" t="s">
        <v>32</v>
      </c>
      <c r="G434" t="s">
        <v>33</v>
      </c>
      <c r="I434" t="s">
        <v>35</v>
      </c>
      <c r="J434" t="s">
        <v>1418</v>
      </c>
      <c r="L434">
        <v>5.0999999999999996</v>
      </c>
      <c r="M434">
        <v>321000</v>
      </c>
      <c r="N434">
        <v>3.9</v>
      </c>
      <c r="O434">
        <v>2</v>
      </c>
      <c r="P434" t="s">
        <v>26</v>
      </c>
    </row>
    <row r="435" spans="1:16" x14ac:dyDescent="0.25">
      <c r="A435" t="s">
        <v>1419</v>
      </c>
      <c r="B435" t="s">
        <v>1420</v>
      </c>
      <c r="C435" t="s">
        <v>18</v>
      </c>
      <c r="D435" t="s">
        <v>43</v>
      </c>
      <c r="E435" t="s">
        <v>20</v>
      </c>
      <c r="F435" t="s">
        <v>32</v>
      </c>
      <c r="G435" t="s">
        <v>22</v>
      </c>
      <c r="H435" t="s">
        <v>34</v>
      </c>
      <c r="I435" t="s">
        <v>57</v>
      </c>
      <c r="J435" t="s">
        <v>1421</v>
      </c>
      <c r="L435">
        <v>5.7</v>
      </c>
      <c r="M435">
        <v>236000</v>
      </c>
      <c r="N435">
        <v>3.2</v>
      </c>
      <c r="O435">
        <v>29</v>
      </c>
      <c r="P435" t="s">
        <v>26</v>
      </c>
    </row>
    <row r="436" spans="1:16" x14ac:dyDescent="0.25">
      <c r="A436" t="s">
        <v>1422</v>
      </c>
      <c r="B436" t="s">
        <v>869</v>
      </c>
      <c r="C436" t="s">
        <v>18</v>
      </c>
      <c r="D436" t="s">
        <v>50</v>
      </c>
      <c r="E436" t="s">
        <v>20</v>
      </c>
      <c r="F436" t="s">
        <v>128</v>
      </c>
      <c r="G436" t="s">
        <v>80</v>
      </c>
      <c r="H436" t="s">
        <v>23</v>
      </c>
      <c r="I436" t="s">
        <v>35</v>
      </c>
      <c r="J436" t="s">
        <v>1423</v>
      </c>
      <c r="L436">
        <v>4.3</v>
      </c>
      <c r="M436">
        <v>393000</v>
      </c>
      <c r="N436">
        <v>3.2</v>
      </c>
      <c r="O436">
        <v>14</v>
      </c>
      <c r="P436" t="s">
        <v>26</v>
      </c>
    </row>
    <row r="437" spans="1:16" x14ac:dyDescent="0.25">
      <c r="A437" t="s">
        <v>1424</v>
      </c>
      <c r="B437" t="s">
        <v>1425</v>
      </c>
      <c r="C437" t="s">
        <v>29</v>
      </c>
      <c r="D437" t="s">
        <v>30</v>
      </c>
      <c r="E437" t="s">
        <v>20</v>
      </c>
      <c r="G437" t="s">
        <v>22</v>
      </c>
      <c r="H437" t="s">
        <v>46</v>
      </c>
      <c r="I437" t="s">
        <v>24</v>
      </c>
      <c r="J437" t="s">
        <v>1426</v>
      </c>
      <c r="L437">
        <v>2.6</v>
      </c>
      <c r="M437">
        <v>197000</v>
      </c>
      <c r="N437">
        <v>2.6</v>
      </c>
      <c r="O437">
        <v>5</v>
      </c>
      <c r="P437" t="s">
        <v>26</v>
      </c>
    </row>
    <row r="438" spans="1:16" x14ac:dyDescent="0.25">
      <c r="A438" t="s">
        <v>1427</v>
      </c>
      <c r="B438" t="s">
        <v>1428</v>
      </c>
      <c r="C438" t="s">
        <v>18</v>
      </c>
      <c r="D438" t="s">
        <v>50</v>
      </c>
      <c r="F438" t="s">
        <v>39</v>
      </c>
      <c r="G438" t="s">
        <v>80</v>
      </c>
      <c r="H438" t="s">
        <v>23</v>
      </c>
      <c r="I438" t="s">
        <v>24</v>
      </c>
      <c r="J438" t="s">
        <v>1429</v>
      </c>
      <c r="L438">
        <v>1.5</v>
      </c>
      <c r="M438">
        <v>114000</v>
      </c>
      <c r="N438">
        <v>2.4</v>
      </c>
      <c r="O438">
        <v>7</v>
      </c>
      <c r="P438" t="s">
        <v>26</v>
      </c>
    </row>
    <row r="439" spans="1:16" x14ac:dyDescent="0.25">
      <c r="A439" t="s">
        <v>1430</v>
      </c>
      <c r="B439" t="s">
        <v>1431</v>
      </c>
      <c r="D439" t="s">
        <v>43</v>
      </c>
      <c r="E439" t="s">
        <v>20</v>
      </c>
      <c r="F439" t="s">
        <v>128</v>
      </c>
      <c r="G439" t="s">
        <v>80</v>
      </c>
      <c r="H439" t="s">
        <v>46</v>
      </c>
      <c r="I439" t="s">
        <v>24</v>
      </c>
      <c r="J439" t="s">
        <v>1432</v>
      </c>
      <c r="L439">
        <v>2.5</v>
      </c>
      <c r="M439">
        <v>387000</v>
      </c>
      <c r="N439">
        <v>3.9</v>
      </c>
      <c r="O439">
        <v>32</v>
      </c>
      <c r="P439" t="s">
        <v>26</v>
      </c>
    </row>
    <row r="440" spans="1:16" x14ac:dyDescent="0.25">
      <c r="A440" t="s">
        <v>1433</v>
      </c>
      <c r="B440" t="s">
        <v>853</v>
      </c>
      <c r="C440" t="s">
        <v>29</v>
      </c>
      <c r="D440" t="s">
        <v>30</v>
      </c>
      <c r="E440" t="s">
        <v>31</v>
      </c>
      <c r="F440" t="s">
        <v>128</v>
      </c>
      <c r="G440" t="s">
        <v>33</v>
      </c>
      <c r="H440" t="s">
        <v>46</v>
      </c>
      <c r="I440" t="s">
        <v>24</v>
      </c>
      <c r="J440" t="s">
        <v>520</v>
      </c>
      <c r="K440" t="s">
        <v>1434</v>
      </c>
      <c r="L440">
        <v>1.8</v>
      </c>
      <c r="M440">
        <v>549000</v>
      </c>
      <c r="N440">
        <v>4.0999999999999996</v>
      </c>
      <c r="P440" t="s">
        <v>72</v>
      </c>
    </row>
    <row r="441" spans="1:16" x14ac:dyDescent="0.25">
      <c r="A441" t="s">
        <v>1435</v>
      </c>
      <c r="B441" t="s">
        <v>1436</v>
      </c>
      <c r="C441" t="s">
        <v>18</v>
      </c>
      <c r="D441" t="s">
        <v>30</v>
      </c>
      <c r="E441" t="s">
        <v>20</v>
      </c>
      <c r="F441" t="s">
        <v>32</v>
      </c>
      <c r="G441" t="s">
        <v>22</v>
      </c>
      <c r="H441" t="s">
        <v>23</v>
      </c>
      <c r="I441" t="s">
        <v>35</v>
      </c>
      <c r="J441" t="s">
        <v>286</v>
      </c>
      <c r="L441">
        <v>2.4</v>
      </c>
      <c r="M441">
        <v>198000</v>
      </c>
      <c r="N441">
        <v>2.6</v>
      </c>
      <c r="O441">
        <v>8</v>
      </c>
      <c r="P441" t="s">
        <v>26</v>
      </c>
    </row>
    <row r="442" spans="1:16" x14ac:dyDescent="0.25">
      <c r="A442" t="s">
        <v>1437</v>
      </c>
      <c r="B442" t="s">
        <v>1438</v>
      </c>
      <c r="C442" t="s">
        <v>29</v>
      </c>
      <c r="D442" t="s">
        <v>30</v>
      </c>
      <c r="E442" t="s">
        <v>20</v>
      </c>
      <c r="F442" t="s">
        <v>39</v>
      </c>
      <c r="G442" t="s">
        <v>33</v>
      </c>
      <c r="H442" t="s">
        <v>23</v>
      </c>
      <c r="I442" t="s">
        <v>24</v>
      </c>
      <c r="J442" t="s">
        <v>1439</v>
      </c>
      <c r="L442">
        <v>1.8</v>
      </c>
      <c r="N442">
        <v>2.8</v>
      </c>
      <c r="O442">
        <v>4</v>
      </c>
      <c r="P442" t="s">
        <v>26</v>
      </c>
    </row>
    <row r="443" spans="1:16" x14ac:dyDescent="0.25">
      <c r="A443" t="s">
        <v>1440</v>
      </c>
      <c r="B443" t="s">
        <v>1441</v>
      </c>
      <c r="C443" t="s">
        <v>29</v>
      </c>
      <c r="D443" t="s">
        <v>79</v>
      </c>
      <c r="E443" t="s">
        <v>44</v>
      </c>
      <c r="F443" t="s">
        <v>128</v>
      </c>
      <c r="G443" t="s">
        <v>22</v>
      </c>
      <c r="H443" t="s">
        <v>34</v>
      </c>
      <c r="I443" t="s">
        <v>57</v>
      </c>
      <c r="J443" t="s">
        <v>286</v>
      </c>
      <c r="L443">
        <v>2.4</v>
      </c>
      <c r="M443">
        <v>576000</v>
      </c>
      <c r="N443">
        <v>2.5</v>
      </c>
      <c r="O443">
        <v>7</v>
      </c>
      <c r="P443" t="s">
        <v>26</v>
      </c>
    </row>
    <row r="444" spans="1:16" x14ac:dyDescent="0.25">
      <c r="A444" t="s">
        <v>1442</v>
      </c>
      <c r="B444" t="s">
        <v>1443</v>
      </c>
      <c r="C444" t="s">
        <v>18</v>
      </c>
      <c r="D444" t="s">
        <v>50</v>
      </c>
      <c r="E444" t="s">
        <v>20</v>
      </c>
      <c r="F444" t="s">
        <v>39</v>
      </c>
      <c r="G444" t="s">
        <v>22</v>
      </c>
      <c r="H444" t="s">
        <v>23</v>
      </c>
      <c r="I444" t="s">
        <v>24</v>
      </c>
      <c r="J444" t="s">
        <v>216</v>
      </c>
      <c r="L444">
        <v>4.4000000000000004</v>
      </c>
      <c r="M444">
        <v>156000</v>
      </c>
      <c r="N444">
        <v>2.9</v>
      </c>
      <c r="O444">
        <v>40</v>
      </c>
      <c r="P444" t="s">
        <v>26</v>
      </c>
    </row>
    <row r="445" spans="1:16" x14ac:dyDescent="0.25">
      <c r="A445" t="s">
        <v>1444</v>
      </c>
      <c r="B445" t="s">
        <v>980</v>
      </c>
      <c r="C445" t="s">
        <v>18</v>
      </c>
      <c r="D445" t="s">
        <v>50</v>
      </c>
      <c r="E445" t="s">
        <v>20</v>
      </c>
      <c r="F445" t="s">
        <v>21</v>
      </c>
      <c r="G445" t="s">
        <v>69</v>
      </c>
      <c r="H445" t="s">
        <v>46</v>
      </c>
      <c r="I445" t="s">
        <v>57</v>
      </c>
      <c r="J445" t="s">
        <v>1445</v>
      </c>
      <c r="L445">
        <v>4.5</v>
      </c>
      <c r="M445">
        <v>789000</v>
      </c>
      <c r="O445">
        <v>2</v>
      </c>
      <c r="P445" t="s">
        <v>26</v>
      </c>
    </row>
    <row r="446" spans="1:16" x14ac:dyDescent="0.25">
      <c r="A446" t="s">
        <v>1446</v>
      </c>
      <c r="B446" t="s">
        <v>1447</v>
      </c>
      <c r="C446" t="s">
        <v>29</v>
      </c>
      <c r="D446" t="s">
        <v>50</v>
      </c>
      <c r="E446" t="s">
        <v>20</v>
      </c>
      <c r="F446" t="s">
        <v>32</v>
      </c>
      <c r="G446" t="s">
        <v>22</v>
      </c>
      <c r="H446" t="s">
        <v>46</v>
      </c>
      <c r="I446" t="s">
        <v>57</v>
      </c>
      <c r="J446" t="s">
        <v>1448</v>
      </c>
      <c r="L446">
        <v>1.8</v>
      </c>
      <c r="M446">
        <v>331000</v>
      </c>
      <c r="N446">
        <v>4.3</v>
      </c>
      <c r="O446">
        <v>0</v>
      </c>
      <c r="P446" t="s">
        <v>26</v>
      </c>
    </row>
    <row r="447" spans="1:16" x14ac:dyDescent="0.25">
      <c r="A447" t="s">
        <v>1449</v>
      </c>
      <c r="B447" t="s">
        <v>1450</v>
      </c>
      <c r="C447" t="s">
        <v>29</v>
      </c>
      <c r="D447" t="s">
        <v>30</v>
      </c>
      <c r="E447" t="s">
        <v>20</v>
      </c>
      <c r="F447" t="s">
        <v>32</v>
      </c>
      <c r="G447" t="s">
        <v>33</v>
      </c>
      <c r="H447" t="s">
        <v>46</v>
      </c>
      <c r="I447" t="s">
        <v>24</v>
      </c>
      <c r="J447" t="s">
        <v>1451</v>
      </c>
      <c r="L447">
        <v>3.4</v>
      </c>
      <c r="M447">
        <v>346000</v>
      </c>
      <c r="N447">
        <v>4.4000000000000004</v>
      </c>
      <c r="O447">
        <v>29</v>
      </c>
      <c r="P447" t="s">
        <v>26</v>
      </c>
    </row>
    <row r="448" spans="1:16" x14ac:dyDescent="0.25">
      <c r="A448" t="s">
        <v>1452</v>
      </c>
      <c r="B448" t="s">
        <v>374</v>
      </c>
      <c r="C448" t="s">
        <v>29</v>
      </c>
      <c r="D448" t="s">
        <v>50</v>
      </c>
      <c r="E448" t="s">
        <v>44</v>
      </c>
      <c r="F448" t="s">
        <v>128</v>
      </c>
      <c r="G448" t="s">
        <v>22</v>
      </c>
      <c r="H448" t="s">
        <v>23</v>
      </c>
      <c r="I448" t="s">
        <v>57</v>
      </c>
      <c r="J448" t="s">
        <v>1131</v>
      </c>
      <c r="L448">
        <v>3.4</v>
      </c>
      <c r="M448">
        <v>582000</v>
      </c>
      <c r="N448">
        <v>4.4000000000000004</v>
      </c>
      <c r="O448">
        <v>7</v>
      </c>
      <c r="P448" t="s">
        <v>26</v>
      </c>
    </row>
    <row r="449" spans="1:16" x14ac:dyDescent="0.25">
      <c r="A449" t="s">
        <v>1453</v>
      </c>
      <c r="B449" t="s">
        <v>1454</v>
      </c>
      <c r="C449" t="s">
        <v>18</v>
      </c>
      <c r="D449" t="s">
        <v>30</v>
      </c>
      <c r="E449" t="s">
        <v>20</v>
      </c>
      <c r="F449" t="s">
        <v>128</v>
      </c>
      <c r="G449" t="s">
        <v>22</v>
      </c>
      <c r="H449" t="s">
        <v>34</v>
      </c>
      <c r="I449" t="s">
        <v>75</v>
      </c>
      <c r="J449" t="s">
        <v>1455</v>
      </c>
      <c r="K449" t="s">
        <v>1456</v>
      </c>
      <c r="L449">
        <v>3.8</v>
      </c>
      <c r="M449">
        <v>407000</v>
      </c>
      <c r="N449">
        <v>4.4000000000000004</v>
      </c>
      <c r="O449">
        <v>8</v>
      </c>
      <c r="P449" t="s">
        <v>53</v>
      </c>
    </row>
    <row r="450" spans="1:16" x14ac:dyDescent="0.25">
      <c r="A450" t="s">
        <v>1457</v>
      </c>
      <c r="B450" t="s">
        <v>1458</v>
      </c>
      <c r="C450" t="s">
        <v>29</v>
      </c>
      <c r="D450" t="s">
        <v>79</v>
      </c>
      <c r="E450" t="s">
        <v>20</v>
      </c>
      <c r="F450" t="s">
        <v>39</v>
      </c>
      <c r="G450" t="s">
        <v>33</v>
      </c>
      <c r="H450" t="s">
        <v>34</v>
      </c>
      <c r="I450" t="s">
        <v>24</v>
      </c>
      <c r="J450" t="s">
        <v>1459</v>
      </c>
      <c r="L450">
        <v>5.8</v>
      </c>
      <c r="M450">
        <v>95000</v>
      </c>
      <c r="N450">
        <v>3.9</v>
      </c>
      <c r="O450">
        <v>7</v>
      </c>
      <c r="P450" t="s">
        <v>26</v>
      </c>
    </row>
    <row r="451" spans="1:16" x14ac:dyDescent="0.25">
      <c r="A451" t="s">
        <v>1460</v>
      </c>
      <c r="B451" t="s">
        <v>959</v>
      </c>
      <c r="C451" t="s">
        <v>18</v>
      </c>
      <c r="D451" t="s">
        <v>30</v>
      </c>
      <c r="E451" t="s">
        <v>20</v>
      </c>
      <c r="F451" t="s">
        <v>32</v>
      </c>
      <c r="G451" t="s">
        <v>22</v>
      </c>
      <c r="H451" t="s">
        <v>62</v>
      </c>
      <c r="I451" t="s">
        <v>75</v>
      </c>
      <c r="J451" t="s">
        <v>1461</v>
      </c>
      <c r="L451">
        <v>6.2</v>
      </c>
      <c r="M451">
        <v>184000</v>
      </c>
      <c r="N451">
        <v>3.3</v>
      </c>
      <c r="O451">
        <v>6</v>
      </c>
      <c r="P451" t="s">
        <v>26</v>
      </c>
    </row>
    <row r="452" spans="1:16" x14ac:dyDescent="0.25">
      <c r="A452" t="s">
        <v>1462</v>
      </c>
      <c r="B452" t="s">
        <v>1463</v>
      </c>
      <c r="D452" t="s">
        <v>43</v>
      </c>
      <c r="E452" t="s">
        <v>20</v>
      </c>
      <c r="F452" t="s">
        <v>32</v>
      </c>
      <c r="G452" t="s">
        <v>33</v>
      </c>
      <c r="H452" t="s">
        <v>46</v>
      </c>
      <c r="I452" t="s">
        <v>35</v>
      </c>
      <c r="J452" t="s">
        <v>1464</v>
      </c>
      <c r="K452" t="s">
        <v>1465</v>
      </c>
      <c r="L452">
        <v>2.6</v>
      </c>
      <c r="M452">
        <v>184000</v>
      </c>
      <c r="N452">
        <v>4.8</v>
      </c>
      <c r="P452" t="s">
        <v>53</v>
      </c>
    </row>
    <row r="453" spans="1:16" x14ac:dyDescent="0.25">
      <c r="A453" t="s">
        <v>1466</v>
      </c>
      <c r="B453" t="s">
        <v>1467</v>
      </c>
      <c r="C453" t="s">
        <v>18</v>
      </c>
      <c r="D453" t="s">
        <v>30</v>
      </c>
      <c r="E453" t="s">
        <v>44</v>
      </c>
      <c r="F453" t="s">
        <v>128</v>
      </c>
      <c r="G453" t="s">
        <v>33</v>
      </c>
      <c r="H453" t="s">
        <v>23</v>
      </c>
      <c r="I453" t="s">
        <v>171</v>
      </c>
      <c r="J453" t="s">
        <v>478</v>
      </c>
      <c r="K453" t="s">
        <v>91</v>
      </c>
      <c r="L453">
        <v>1.3</v>
      </c>
      <c r="M453">
        <v>532000</v>
      </c>
      <c r="N453">
        <v>5</v>
      </c>
      <c r="O453">
        <v>12</v>
      </c>
      <c r="P453" t="s">
        <v>53</v>
      </c>
    </row>
    <row r="454" spans="1:16" x14ac:dyDescent="0.25">
      <c r="A454" t="s">
        <v>1468</v>
      </c>
      <c r="B454" t="s">
        <v>1469</v>
      </c>
      <c r="C454" t="s">
        <v>18</v>
      </c>
      <c r="D454" t="s">
        <v>19</v>
      </c>
      <c r="E454" t="s">
        <v>20</v>
      </c>
      <c r="F454" t="s">
        <v>128</v>
      </c>
      <c r="G454" t="s">
        <v>22</v>
      </c>
      <c r="H454" t="s">
        <v>23</v>
      </c>
      <c r="I454" t="s">
        <v>24</v>
      </c>
      <c r="J454" t="s">
        <v>773</v>
      </c>
      <c r="L454">
        <v>3.7</v>
      </c>
      <c r="M454">
        <v>439000</v>
      </c>
      <c r="N454">
        <v>2.6</v>
      </c>
      <c r="O454">
        <v>0</v>
      </c>
      <c r="P454" t="s">
        <v>26</v>
      </c>
    </row>
    <row r="455" spans="1:16" x14ac:dyDescent="0.25">
      <c r="A455" t="s">
        <v>1470</v>
      </c>
      <c r="B455" t="s">
        <v>1297</v>
      </c>
      <c r="C455" t="s">
        <v>29</v>
      </c>
      <c r="D455" t="s">
        <v>50</v>
      </c>
      <c r="E455" t="s">
        <v>20</v>
      </c>
      <c r="F455" t="s">
        <v>32</v>
      </c>
      <c r="G455" t="s">
        <v>80</v>
      </c>
      <c r="H455" t="s">
        <v>46</v>
      </c>
      <c r="I455" t="s">
        <v>35</v>
      </c>
      <c r="J455" t="s">
        <v>1471</v>
      </c>
      <c r="L455">
        <v>1.8</v>
      </c>
      <c r="M455">
        <v>205000</v>
      </c>
      <c r="O455">
        <v>5</v>
      </c>
      <c r="P455" t="s">
        <v>26</v>
      </c>
    </row>
    <row r="456" spans="1:16" x14ac:dyDescent="0.25">
      <c r="A456" t="s">
        <v>1472</v>
      </c>
      <c r="B456" t="s">
        <v>1473</v>
      </c>
      <c r="C456" t="s">
        <v>18</v>
      </c>
      <c r="D456" t="s">
        <v>30</v>
      </c>
      <c r="E456" t="s">
        <v>20</v>
      </c>
      <c r="F456" t="s">
        <v>39</v>
      </c>
      <c r="G456" t="s">
        <v>80</v>
      </c>
      <c r="H456" t="s">
        <v>46</v>
      </c>
      <c r="I456" t="s">
        <v>57</v>
      </c>
      <c r="J456" t="s">
        <v>1474</v>
      </c>
      <c r="K456" t="s">
        <v>84</v>
      </c>
      <c r="L456">
        <v>4.9000000000000004</v>
      </c>
      <c r="M456">
        <v>106000</v>
      </c>
      <c r="N456">
        <v>2.8</v>
      </c>
      <c r="O456">
        <v>11</v>
      </c>
      <c r="P456" t="s">
        <v>53</v>
      </c>
    </row>
    <row r="457" spans="1:16" x14ac:dyDescent="0.25">
      <c r="A457" t="s">
        <v>1475</v>
      </c>
      <c r="B457" t="s">
        <v>1476</v>
      </c>
      <c r="C457" t="s">
        <v>29</v>
      </c>
      <c r="D457" t="s">
        <v>50</v>
      </c>
      <c r="E457" t="s">
        <v>20</v>
      </c>
      <c r="F457" t="s">
        <v>32</v>
      </c>
      <c r="G457" t="s">
        <v>80</v>
      </c>
      <c r="H457" t="s">
        <v>34</v>
      </c>
      <c r="I457" t="s">
        <v>24</v>
      </c>
      <c r="J457" t="s">
        <v>1477</v>
      </c>
      <c r="L457">
        <v>5.6</v>
      </c>
      <c r="M457">
        <v>338000</v>
      </c>
      <c r="N457">
        <v>2.6</v>
      </c>
      <c r="O457">
        <v>2</v>
      </c>
      <c r="P457" t="s">
        <v>26</v>
      </c>
    </row>
    <row r="458" spans="1:16" x14ac:dyDescent="0.25">
      <c r="A458" t="s">
        <v>1478</v>
      </c>
      <c r="B458" t="s">
        <v>563</v>
      </c>
      <c r="C458" t="s">
        <v>18</v>
      </c>
      <c r="D458" t="s">
        <v>30</v>
      </c>
      <c r="E458" t="s">
        <v>20</v>
      </c>
      <c r="F458" t="s">
        <v>39</v>
      </c>
      <c r="G458" t="s">
        <v>80</v>
      </c>
      <c r="H458" t="s">
        <v>23</v>
      </c>
      <c r="I458" t="s">
        <v>57</v>
      </c>
      <c r="J458" t="s">
        <v>1479</v>
      </c>
      <c r="K458" t="s">
        <v>1480</v>
      </c>
      <c r="L458">
        <v>3</v>
      </c>
      <c r="M458">
        <v>133000</v>
      </c>
      <c r="N458">
        <v>2.4</v>
      </c>
      <c r="O458">
        <v>15</v>
      </c>
      <c r="P458" t="s">
        <v>72</v>
      </c>
    </row>
    <row r="459" spans="1:16" x14ac:dyDescent="0.25">
      <c r="A459" t="s">
        <v>1481</v>
      </c>
      <c r="B459" t="s">
        <v>1482</v>
      </c>
      <c r="C459" t="s">
        <v>18</v>
      </c>
      <c r="D459" t="s">
        <v>30</v>
      </c>
      <c r="E459" t="s">
        <v>20</v>
      </c>
      <c r="F459" t="s">
        <v>39</v>
      </c>
      <c r="G459" t="s">
        <v>69</v>
      </c>
      <c r="H459" t="s">
        <v>34</v>
      </c>
      <c r="I459" t="s">
        <v>24</v>
      </c>
      <c r="J459" t="s">
        <v>1483</v>
      </c>
      <c r="L459">
        <v>1.9</v>
      </c>
      <c r="M459">
        <v>167000</v>
      </c>
      <c r="N459">
        <v>3.2</v>
      </c>
      <c r="P459" t="s">
        <v>26</v>
      </c>
    </row>
    <row r="460" spans="1:16" x14ac:dyDescent="0.25">
      <c r="A460" t="s">
        <v>1484</v>
      </c>
      <c r="B460" t="s">
        <v>1485</v>
      </c>
      <c r="C460" t="s">
        <v>29</v>
      </c>
      <c r="D460" t="s">
        <v>79</v>
      </c>
      <c r="E460" t="s">
        <v>20</v>
      </c>
      <c r="F460" t="s">
        <v>39</v>
      </c>
      <c r="G460" t="s">
        <v>22</v>
      </c>
      <c r="H460" t="s">
        <v>46</v>
      </c>
      <c r="I460" t="s">
        <v>75</v>
      </c>
      <c r="J460" t="s">
        <v>1234</v>
      </c>
      <c r="L460">
        <v>3.8</v>
      </c>
      <c r="M460">
        <v>137000</v>
      </c>
      <c r="N460">
        <v>3.1</v>
      </c>
      <c r="O460">
        <v>12</v>
      </c>
      <c r="P460" t="s">
        <v>26</v>
      </c>
    </row>
    <row r="461" spans="1:16" x14ac:dyDescent="0.25">
      <c r="A461" t="s">
        <v>1486</v>
      </c>
      <c r="B461" t="s">
        <v>1487</v>
      </c>
      <c r="C461" t="s">
        <v>18</v>
      </c>
      <c r="D461" t="s">
        <v>79</v>
      </c>
      <c r="E461" t="s">
        <v>20</v>
      </c>
      <c r="F461" t="s">
        <v>45</v>
      </c>
      <c r="G461" t="s">
        <v>22</v>
      </c>
      <c r="H461" t="s">
        <v>46</v>
      </c>
      <c r="I461" t="s">
        <v>35</v>
      </c>
      <c r="J461" t="s">
        <v>1488</v>
      </c>
      <c r="L461">
        <v>2.2000000000000002</v>
      </c>
      <c r="M461">
        <v>1447000</v>
      </c>
      <c r="N461">
        <v>4.3</v>
      </c>
      <c r="O461">
        <v>2</v>
      </c>
      <c r="P461" t="s">
        <v>26</v>
      </c>
    </row>
    <row r="462" spans="1:16" x14ac:dyDescent="0.25">
      <c r="A462" t="s">
        <v>1489</v>
      </c>
      <c r="B462" t="s">
        <v>1490</v>
      </c>
      <c r="C462" t="s">
        <v>29</v>
      </c>
      <c r="D462" t="s">
        <v>30</v>
      </c>
      <c r="E462" t="s">
        <v>20</v>
      </c>
      <c r="G462" t="s">
        <v>22</v>
      </c>
      <c r="H462" t="s">
        <v>46</v>
      </c>
      <c r="I462" t="s">
        <v>57</v>
      </c>
      <c r="J462" t="s">
        <v>554</v>
      </c>
      <c r="K462" t="s">
        <v>1491</v>
      </c>
      <c r="L462">
        <v>2.7</v>
      </c>
      <c r="M462">
        <v>95000</v>
      </c>
      <c r="N462">
        <v>3.4</v>
      </c>
      <c r="O462">
        <v>32</v>
      </c>
      <c r="P462" t="s">
        <v>53</v>
      </c>
    </row>
    <row r="463" spans="1:16" x14ac:dyDescent="0.25">
      <c r="A463" t="s">
        <v>1492</v>
      </c>
      <c r="B463" t="s">
        <v>1493</v>
      </c>
      <c r="C463" t="s">
        <v>18</v>
      </c>
      <c r="D463" t="s">
        <v>50</v>
      </c>
      <c r="E463" t="s">
        <v>20</v>
      </c>
      <c r="F463" t="s">
        <v>39</v>
      </c>
      <c r="G463" t="s">
        <v>22</v>
      </c>
      <c r="H463" t="s">
        <v>34</v>
      </c>
      <c r="I463" t="s">
        <v>24</v>
      </c>
      <c r="J463" t="s">
        <v>1494</v>
      </c>
      <c r="L463">
        <v>3</v>
      </c>
      <c r="M463">
        <v>122000</v>
      </c>
      <c r="N463">
        <v>2.7</v>
      </c>
      <c r="O463">
        <v>2</v>
      </c>
      <c r="P463" t="s">
        <v>26</v>
      </c>
    </row>
    <row r="464" spans="1:16" x14ac:dyDescent="0.25">
      <c r="A464" t="s">
        <v>1495</v>
      </c>
      <c r="B464" t="s">
        <v>1496</v>
      </c>
      <c r="C464" t="s">
        <v>18</v>
      </c>
      <c r="D464" t="s">
        <v>43</v>
      </c>
      <c r="E464" t="s">
        <v>20</v>
      </c>
      <c r="F464" t="s">
        <v>128</v>
      </c>
      <c r="G464" t="s">
        <v>80</v>
      </c>
      <c r="H464" t="s">
        <v>46</v>
      </c>
      <c r="I464" t="s">
        <v>57</v>
      </c>
      <c r="J464" t="s">
        <v>1497</v>
      </c>
      <c r="K464" t="s">
        <v>1498</v>
      </c>
      <c r="L464">
        <v>1.7</v>
      </c>
      <c r="M464">
        <v>499000</v>
      </c>
      <c r="N464">
        <v>2.1</v>
      </c>
      <c r="O464">
        <v>5</v>
      </c>
      <c r="P464" t="s">
        <v>53</v>
      </c>
    </row>
    <row r="465" spans="1:16" x14ac:dyDescent="0.25">
      <c r="A465" t="s">
        <v>1499</v>
      </c>
      <c r="B465" t="s">
        <v>1500</v>
      </c>
      <c r="C465" t="s">
        <v>18</v>
      </c>
      <c r="D465" t="s">
        <v>30</v>
      </c>
      <c r="E465" t="s">
        <v>20</v>
      </c>
      <c r="F465" t="s">
        <v>21</v>
      </c>
      <c r="G465" t="s">
        <v>33</v>
      </c>
      <c r="H465" t="s">
        <v>62</v>
      </c>
      <c r="I465" t="s">
        <v>35</v>
      </c>
      <c r="J465" t="s">
        <v>112</v>
      </c>
      <c r="L465">
        <v>2.2999999999999998</v>
      </c>
      <c r="M465">
        <v>658000</v>
      </c>
      <c r="N465">
        <v>4.9000000000000004</v>
      </c>
      <c r="O465">
        <v>14</v>
      </c>
      <c r="P465" t="s">
        <v>26</v>
      </c>
    </row>
    <row r="466" spans="1:16" x14ac:dyDescent="0.25">
      <c r="A466" t="s">
        <v>1501</v>
      </c>
      <c r="B466" t="s">
        <v>1502</v>
      </c>
      <c r="C466" t="s">
        <v>29</v>
      </c>
      <c r="E466" t="s">
        <v>20</v>
      </c>
      <c r="F466" t="s">
        <v>32</v>
      </c>
      <c r="G466" t="s">
        <v>22</v>
      </c>
      <c r="H466" t="s">
        <v>46</v>
      </c>
      <c r="I466" t="s">
        <v>57</v>
      </c>
      <c r="J466" t="s">
        <v>1503</v>
      </c>
      <c r="K466" t="s">
        <v>1504</v>
      </c>
      <c r="L466">
        <v>2.5</v>
      </c>
      <c r="M466">
        <v>308000</v>
      </c>
      <c r="N466">
        <v>3.2</v>
      </c>
      <c r="O466">
        <v>10</v>
      </c>
      <c r="P466" t="s">
        <v>72</v>
      </c>
    </row>
    <row r="467" spans="1:16" x14ac:dyDescent="0.25">
      <c r="A467" t="s">
        <v>1505</v>
      </c>
      <c r="B467" t="s">
        <v>1506</v>
      </c>
      <c r="C467" t="s">
        <v>29</v>
      </c>
      <c r="D467" t="s">
        <v>50</v>
      </c>
      <c r="E467" t="s">
        <v>810</v>
      </c>
      <c r="F467" t="s">
        <v>39</v>
      </c>
      <c r="G467" t="s">
        <v>33</v>
      </c>
      <c r="H467" t="s">
        <v>23</v>
      </c>
      <c r="I467" t="s">
        <v>24</v>
      </c>
      <c r="J467" t="s">
        <v>1507</v>
      </c>
      <c r="L467">
        <v>3.1</v>
      </c>
      <c r="M467">
        <v>118000</v>
      </c>
      <c r="N467">
        <v>3.9</v>
      </c>
      <c r="O467">
        <v>6</v>
      </c>
      <c r="P467" t="s">
        <v>26</v>
      </c>
    </row>
    <row r="468" spans="1:16" x14ac:dyDescent="0.25">
      <c r="A468" t="s">
        <v>1508</v>
      </c>
      <c r="B468" t="s">
        <v>1509</v>
      </c>
      <c r="C468" t="s">
        <v>29</v>
      </c>
      <c r="D468" t="s">
        <v>43</v>
      </c>
      <c r="E468" t="s">
        <v>20</v>
      </c>
      <c r="F468" t="s">
        <v>39</v>
      </c>
      <c r="G468" t="s">
        <v>22</v>
      </c>
      <c r="H468" t="s">
        <v>46</v>
      </c>
      <c r="I468" t="s">
        <v>57</v>
      </c>
      <c r="J468" t="s">
        <v>1510</v>
      </c>
      <c r="L468">
        <v>1.5</v>
      </c>
      <c r="N468">
        <v>3.7</v>
      </c>
      <c r="O468">
        <v>4</v>
      </c>
      <c r="P468" t="s">
        <v>26</v>
      </c>
    </row>
    <row r="469" spans="1:16" x14ac:dyDescent="0.25">
      <c r="A469" t="s">
        <v>1511</v>
      </c>
      <c r="B469" t="s">
        <v>1512</v>
      </c>
      <c r="D469" t="s">
        <v>50</v>
      </c>
      <c r="E469" t="s">
        <v>20</v>
      </c>
      <c r="F469" t="s">
        <v>39</v>
      </c>
      <c r="G469" t="s">
        <v>22</v>
      </c>
      <c r="H469" t="s">
        <v>62</v>
      </c>
      <c r="J469" t="s">
        <v>1513</v>
      </c>
      <c r="L469">
        <v>4.5999999999999996</v>
      </c>
      <c r="M469">
        <v>174000</v>
      </c>
      <c r="N469">
        <v>3.1</v>
      </c>
      <c r="O469">
        <v>2</v>
      </c>
      <c r="P469" t="s">
        <v>26</v>
      </c>
    </row>
    <row r="470" spans="1:16" x14ac:dyDescent="0.25">
      <c r="A470" t="s">
        <v>1514</v>
      </c>
      <c r="B470" t="s">
        <v>1515</v>
      </c>
      <c r="C470" t="s">
        <v>18</v>
      </c>
      <c r="D470" t="s">
        <v>43</v>
      </c>
      <c r="E470" t="s">
        <v>20</v>
      </c>
      <c r="F470" t="s">
        <v>128</v>
      </c>
      <c r="G470" t="s">
        <v>22</v>
      </c>
      <c r="H470" t="s">
        <v>23</v>
      </c>
      <c r="I470" t="s">
        <v>57</v>
      </c>
      <c r="J470" t="s">
        <v>1516</v>
      </c>
      <c r="K470" t="s">
        <v>700</v>
      </c>
      <c r="L470">
        <v>3.6</v>
      </c>
      <c r="M470">
        <v>545000</v>
      </c>
      <c r="N470">
        <v>5</v>
      </c>
      <c r="O470">
        <v>29</v>
      </c>
      <c r="P470" t="s">
        <v>72</v>
      </c>
    </row>
    <row r="471" spans="1:16" x14ac:dyDescent="0.25">
      <c r="A471" t="s">
        <v>1517</v>
      </c>
      <c r="B471" t="s">
        <v>1518</v>
      </c>
      <c r="C471" t="s">
        <v>29</v>
      </c>
      <c r="D471" t="s">
        <v>19</v>
      </c>
      <c r="E471" t="s">
        <v>44</v>
      </c>
      <c r="F471" t="s">
        <v>21</v>
      </c>
      <c r="G471" t="s">
        <v>80</v>
      </c>
      <c r="H471" t="s">
        <v>23</v>
      </c>
      <c r="I471" t="s">
        <v>171</v>
      </c>
      <c r="J471" t="s">
        <v>1519</v>
      </c>
      <c r="L471">
        <v>5.0999999999999996</v>
      </c>
      <c r="M471">
        <v>898000</v>
      </c>
      <c r="N471">
        <v>3.3</v>
      </c>
      <c r="O471">
        <v>10</v>
      </c>
      <c r="P471" t="s">
        <v>26</v>
      </c>
    </row>
    <row r="472" spans="1:16" x14ac:dyDescent="0.25">
      <c r="A472" t="s">
        <v>1520</v>
      </c>
      <c r="B472" t="s">
        <v>1521</v>
      </c>
      <c r="C472" t="s">
        <v>18</v>
      </c>
      <c r="D472" t="s">
        <v>30</v>
      </c>
      <c r="E472" t="s">
        <v>31</v>
      </c>
      <c r="F472" t="s">
        <v>39</v>
      </c>
      <c r="G472" t="s">
        <v>22</v>
      </c>
      <c r="H472" t="s">
        <v>34</v>
      </c>
      <c r="I472" t="s">
        <v>57</v>
      </c>
      <c r="J472" t="s">
        <v>1522</v>
      </c>
      <c r="L472">
        <v>2.5</v>
      </c>
      <c r="M472">
        <v>130000</v>
      </c>
      <c r="N472">
        <v>1.9</v>
      </c>
      <c r="O472">
        <v>13</v>
      </c>
      <c r="P472" t="s">
        <v>26</v>
      </c>
    </row>
    <row r="473" spans="1:16" x14ac:dyDescent="0.25">
      <c r="A473" t="s">
        <v>1523</v>
      </c>
      <c r="B473" t="s">
        <v>1524</v>
      </c>
      <c r="C473" t="s">
        <v>18</v>
      </c>
      <c r="D473" t="s">
        <v>30</v>
      </c>
      <c r="E473" t="s">
        <v>44</v>
      </c>
      <c r="F473" t="s">
        <v>39</v>
      </c>
      <c r="G473" t="s">
        <v>22</v>
      </c>
      <c r="H473" t="s">
        <v>46</v>
      </c>
      <c r="I473" t="s">
        <v>24</v>
      </c>
      <c r="J473" t="s">
        <v>1525</v>
      </c>
      <c r="K473" t="s">
        <v>1526</v>
      </c>
      <c r="L473">
        <v>4.8</v>
      </c>
      <c r="M473">
        <v>115000</v>
      </c>
      <c r="N473">
        <v>2.1</v>
      </c>
      <c r="O473">
        <v>12</v>
      </c>
      <c r="P473" t="s">
        <v>53</v>
      </c>
    </row>
    <row r="474" spans="1:16" x14ac:dyDescent="0.25">
      <c r="A474" t="s">
        <v>1527</v>
      </c>
      <c r="B474" t="s">
        <v>1528</v>
      </c>
      <c r="D474" t="s">
        <v>30</v>
      </c>
      <c r="E474" t="s">
        <v>20</v>
      </c>
      <c r="F474" t="s">
        <v>39</v>
      </c>
      <c r="G474" t="s">
        <v>22</v>
      </c>
      <c r="H474" t="s">
        <v>46</v>
      </c>
      <c r="I474" t="s">
        <v>35</v>
      </c>
      <c r="J474" t="s">
        <v>1529</v>
      </c>
      <c r="L474">
        <v>4.0999999999999996</v>
      </c>
      <c r="M474">
        <v>156000</v>
      </c>
      <c r="N474">
        <v>1.9</v>
      </c>
      <c r="O474">
        <v>7</v>
      </c>
      <c r="P474" t="s">
        <v>26</v>
      </c>
    </row>
    <row r="475" spans="1:16" x14ac:dyDescent="0.25">
      <c r="A475" t="s">
        <v>1530</v>
      </c>
      <c r="B475" t="s">
        <v>1531</v>
      </c>
      <c r="C475" t="s">
        <v>29</v>
      </c>
      <c r="D475" t="s">
        <v>19</v>
      </c>
      <c r="E475" t="s">
        <v>20</v>
      </c>
      <c r="F475" t="s">
        <v>32</v>
      </c>
      <c r="G475" t="s">
        <v>80</v>
      </c>
      <c r="H475" t="s">
        <v>46</v>
      </c>
      <c r="I475" t="s">
        <v>35</v>
      </c>
      <c r="J475" t="s">
        <v>1532</v>
      </c>
      <c r="L475">
        <v>4</v>
      </c>
      <c r="M475">
        <v>250000</v>
      </c>
      <c r="N475">
        <v>2.7</v>
      </c>
      <c r="O475">
        <v>4</v>
      </c>
      <c r="P475" t="s">
        <v>26</v>
      </c>
    </row>
    <row r="476" spans="1:16" x14ac:dyDescent="0.25">
      <c r="A476" t="s">
        <v>1533</v>
      </c>
      <c r="B476" t="s">
        <v>877</v>
      </c>
      <c r="C476" t="s">
        <v>29</v>
      </c>
      <c r="D476" t="s">
        <v>30</v>
      </c>
      <c r="E476" t="s">
        <v>20</v>
      </c>
      <c r="F476" t="s">
        <v>32</v>
      </c>
      <c r="G476" t="s">
        <v>22</v>
      </c>
      <c r="H476" t="s">
        <v>46</v>
      </c>
      <c r="I476" t="s">
        <v>35</v>
      </c>
      <c r="J476" t="s">
        <v>1534</v>
      </c>
      <c r="L476">
        <v>5.2</v>
      </c>
      <c r="M476">
        <v>237000</v>
      </c>
      <c r="N476">
        <v>3.1</v>
      </c>
      <c r="O476">
        <v>13</v>
      </c>
      <c r="P476" t="s">
        <v>26</v>
      </c>
    </row>
    <row r="477" spans="1:16" x14ac:dyDescent="0.25">
      <c r="A477" t="s">
        <v>1535</v>
      </c>
      <c r="B477" t="s">
        <v>1536</v>
      </c>
      <c r="C477" t="s">
        <v>18</v>
      </c>
      <c r="D477" t="s">
        <v>50</v>
      </c>
      <c r="E477" t="s">
        <v>20</v>
      </c>
      <c r="F477" t="s">
        <v>39</v>
      </c>
      <c r="G477" t="s">
        <v>69</v>
      </c>
      <c r="H477" t="s">
        <v>23</v>
      </c>
      <c r="I477" t="s">
        <v>24</v>
      </c>
      <c r="J477" t="s">
        <v>1537</v>
      </c>
      <c r="K477" t="s">
        <v>1538</v>
      </c>
      <c r="L477">
        <v>3.8</v>
      </c>
      <c r="M477">
        <v>126000</v>
      </c>
      <c r="N477">
        <v>3.5</v>
      </c>
      <c r="O477">
        <v>3</v>
      </c>
      <c r="P477" t="s">
        <v>114</v>
      </c>
    </row>
    <row r="478" spans="1:16" x14ac:dyDescent="0.25">
      <c r="A478" t="s">
        <v>1539</v>
      </c>
      <c r="B478" t="s">
        <v>1540</v>
      </c>
      <c r="C478" t="s">
        <v>18</v>
      </c>
      <c r="D478" t="s">
        <v>79</v>
      </c>
      <c r="E478" t="s">
        <v>20</v>
      </c>
      <c r="F478" t="s">
        <v>39</v>
      </c>
      <c r="G478" t="s">
        <v>80</v>
      </c>
      <c r="H478" t="s">
        <v>34</v>
      </c>
      <c r="I478" t="s">
        <v>75</v>
      </c>
      <c r="J478" t="s">
        <v>95</v>
      </c>
      <c r="L478">
        <v>2.6</v>
      </c>
      <c r="M478">
        <v>94000</v>
      </c>
      <c r="N478">
        <v>2.4</v>
      </c>
      <c r="O478">
        <v>5</v>
      </c>
      <c r="P478" t="s">
        <v>26</v>
      </c>
    </row>
    <row r="479" spans="1:16" x14ac:dyDescent="0.25">
      <c r="A479" t="s">
        <v>1541</v>
      </c>
      <c r="B479" t="s">
        <v>1542</v>
      </c>
      <c r="C479" t="s">
        <v>18</v>
      </c>
      <c r="E479" t="s">
        <v>44</v>
      </c>
      <c r="F479" t="s">
        <v>39</v>
      </c>
      <c r="G479" t="s">
        <v>22</v>
      </c>
      <c r="H479" t="s">
        <v>62</v>
      </c>
      <c r="I479" t="s">
        <v>24</v>
      </c>
      <c r="J479" t="s">
        <v>1146</v>
      </c>
      <c r="L479">
        <v>1.3</v>
      </c>
      <c r="M479">
        <v>100000</v>
      </c>
      <c r="N479">
        <v>4.3</v>
      </c>
      <c r="O479">
        <v>4</v>
      </c>
      <c r="P479" t="s">
        <v>26</v>
      </c>
    </row>
    <row r="480" spans="1:16" x14ac:dyDescent="0.25">
      <c r="A480" t="s">
        <v>1543</v>
      </c>
      <c r="B480" t="s">
        <v>1544</v>
      </c>
      <c r="C480" t="s">
        <v>18</v>
      </c>
      <c r="D480" t="s">
        <v>43</v>
      </c>
      <c r="E480" t="s">
        <v>20</v>
      </c>
      <c r="G480" t="s">
        <v>22</v>
      </c>
      <c r="H480" t="s">
        <v>23</v>
      </c>
      <c r="I480" t="s">
        <v>171</v>
      </c>
      <c r="J480" t="s">
        <v>1545</v>
      </c>
      <c r="L480">
        <v>3.5</v>
      </c>
      <c r="N480">
        <v>2.5</v>
      </c>
      <c r="O480">
        <v>0</v>
      </c>
      <c r="P480" t="s">
        <v>26</v>
      </c>
    </row>
    <row r="481" spans="1:16" x14ac:dyDescent="0.25">
      <c r="A481" t="s">
        <v>1546</v>
      </c>
      <c r="B481" t="s">
        <v>1547</v>
      </c>
      <c r="C481" t="s">
        <v>18</v>
      </c>
      <c r="D481" t="s">
        <v>43</v>
      </c>
      <c r="E481" t="s">
        <v>20</v>
      </c>
      <c r="F481" t="s">
        <v>32</v>
      </c>
      <c r="G481" t="s">
        <v>22</v>
      </c>
      <c r="H481" t="s">
        <v>62</v>
      </c>
      <c r="I481" t="s">
        <v>24</v>
      </c>
      <c r="J481" t="s">
        <v>1548</v>
      </c>
      <c r="L481">
        <v>2.8</v>
      </c>
      <c r="M481">
        <v>277000</v>
      </c>
      <c r="N481">
        <v>2</v>
      </c>
      <c r="O481">
        <v>4</v>
      </c>
      <c r="P481" t="s">
        <v>26</v>
      </c>
    </row>
    <row r="482" spans="1:16" x14ac:dyDescent="0.25">
      <c r="A482" t="s">
        <v>1549</v>
      </c>
      <c r="B482" t="s">
        <v>65</v>
      </c>
      <c r="C482" t="s">
        <v>18</v>
      </c>
      <c r="D482" t="s">
        <v>50</v>
      </c>
      <c r="E482" t="s">
        <v>31</v>
      </c>
      <c r="F482" t="s">
        <v>32</v>
      </c>
      <c r="G482" t="s">
        <v>80</v>
      </c>
      <c r="H482" t="s">
        <v>34</v>
      </c>
      <c r="I482" t="s">
        <v>35</v>
      </c>
      <c r="J482" t="s">
        <v>1550</v>
      </c>
      <c r="K482" t="s">
        <v>1551</v>
      </c>
      <c r="L482">
        <v>3</v>
      </c>
      <c r="M482">
        <v>237000</v>
      </c>
      <c r="N482">
        <v>4.8</v>
      </c>
      <c r="O482">
        <v>21</v>
      </c>
      <c r="P482" t="s">
        <v>53</v>
      </c>
    </row>
    <row r="483" spans="1:16" x14ac:dyDescent="0.25">
      <c r="A483" t="s">
        <v>1552</v>
      </c>
      <c r="B483" t="s">
        <v>1553</v>
      </c>
      <c r="C483" t="s">
        <v>18</v>
      </c>
      <c r="E483" t="s">
        <v>20</v>
      </c>
      <c r="F483" t="s">
        <v>39</v>
      </c>
      <c r="G483" t="s">
        <v>80</v>
      </c>
      <c r="H483" t="s">
        <v>23</v>
      </c>
      <c r="I483" t="s">
        <v>35</v>
      </c>
      <c r="J483" t="s">
        <v>1554</v>
      </c>
      <c r="K483" t="s">
        <v>1555</v>
      </c>
      <c r="L483">
        <v>3.2</v>
      </c>
      <c r="M483">
        <v>114000</v>
      </c>
      <c r="N483">
        <v>4.8</v>
      </c>
      <c r="O483">
        <v>1</v>
      </c>
      <c r="P483" t="s">
        <v>72</v>
      </c>
    </row>
    <row r="484" spans="1:16" x14ac:dyDescent="0.25">
      <c r="A484" t="s">
        <v>1556</v>
      </c>
      <c r="B484" t="s">
        <v>1557</v>
      </c>
      <c r="C484" t="s">
        <v>29</v>
      </c>
      <c r="D484" t="s">
        <v>79</v>
      </c>
      <c r="E484" t="s">
        <v>20</v>
      </c>
      <c r="F484" t="s">
        <v>128</v>
      </c>
      <c r="G484" t="s">
        <v>22</v>
      </c>
      <c r="H484" t="s">
        <v>46</v>
      </c>
      <c r="I484" t="s">
        <v>57</v>
      </c>
      <c r="J484" t="s">
        <v>1558</v>
      </c>
      <c r="L484">
        <v>3.7</v>
      </c>
      <c r="M484">
        <v>412000</v>
      </c>
      <c r="N484">
        <v>4.2</v>
      </c>
      <c r="O484">
        <v>4</v>
      </c>
      <c r="P484" t="s">
        <v>26</v>
      </c>
    </row>
    <row r="485" spans="1:16" x14ac:dyDescent="0.25">
      <c r="A485" t="s">
        <v>1559</v>
      </c>
      <c r="B485" t="s">
        <v>1560</v>
      </c>
      <c r="C485" t="s">
        <v>18</v>
      </c>
      <c r="D485" t="s">
        <v>50</v>
      </c>
      <c r="F485" t="s">
        <v>21</v>
      </c>
      <c r="G485" t="s">
        <v>80</v>
      </c>
      <c r="H485" t="s">
        <v>23</v>
      </c>
      <c r="I485" t="s">
        <v>24</v>
      </c>
      <c r="J485" t="s">
        <v>1561</v>
      </c>
      <c r="K485" t="s">
        <v>1562</v>
      </c>
      <c r="L485">
        <v>3.7</v>
      </c>
      <c r="M485">
        <v>748000</v>
      </c>
      <c r="N485">
        <v>3.8</v>
      </c>
      <c r="O485">
        <v>10</v>
      </c>
      <c r="P485" t="s">
        <v>53</v>
      </c>
    </row>
    <row r="486" spans="1:16" x14ac:dyDescent="0.25">
      <c r="A486" t="s">
        <v>1563</v>
      </c>
      <c r="B486" t="s">
        <v>1564</v>
      </c>
      <c r="D486" t="s">
        <v>50</v>
      </c>
      <c r="E486" t="s">
        <v>20</v>
      </c>
      <c r="F486" t="s">
        <v>39</v>
      </c>
      <c r="G486" t="s">
        <v>80</v>
      </c>
      <c r="H486" t="s">
        <v>34</v>
      </c>
      <c r="I486" t="s">
        <v>171</v>
      </c>
      <c r="J486" t="s">
        <v>493</v>
      </c>
      <c r="L486">
        <v>1.7</v>
      </c>
      <c r="N486">
        <v>4.5999999999999996</v>
      </c>
      <c r="O486">
        <v>7</v>
      </c>
      <c r="P486" t="s">
        <v>26</v>
      </c>
    </row>
    <row r="487" spans="1:16" x14ac:dyDescent="0.25">
      <c r="A487" t="s">
        <v>1565</v>
      </c>
      <c r="B487" t="s">
        <v>1566</v>
      </c>
      <c r="C487" t="s">
        <v>18</v>
      </c>
      <c r="D487" t="s">
        <v>19</v>
      </c>
      <c r="E487" t="s">
        <v>20</v>
      </c>
      <c r="F487" t="s">
        <v>32</v>
      </c>
      <c r="G487" t="s">
        <v>33</v>
      </c>
      <c r="H487" t="s">
        <v>23</v>
      </c>
      <c r="I487" t="s">
        <v>24</v>
      </c>
      <c r="J487" t="s">
        <v>1567</v>
      </c>
      <c r="K487" t="s">
        <v>441</v>
      </c>
      <c r="L487">
        <v>3.7</v>
      </c>
      <c r="M487">
        <v>270000</v>
      </c>
      <c r="N487">
        <v>3.4</v>
      </c>
      <c r="O487">
        <v>6</v>
      </c>
      <c r="P487" t="s">
        <v>53</v>
      </c>
    </row>
    <row r="488" spans="1:16" x14ac:dyDescent="0.25">
      <c r="A488" t="s">
        <v>1568</v>
      </c>
      <c r="B488" t="s">
        <v>1569</v>
      </c>
      <c r="C488" t="s">
        <v>18</v>
      </c>
      <c r="D488" t="s">
        <v>50</v>
      </c>
      <c r="F488" t="s">
        <v>32</v>
      </c>
      <c r="G488" t="s">
        <v>22</v>
      </c>
      <c r="H488" t="s">
        <v>34</v>
      </c>
      <c r="I488" t="s">
        <v>24</v>
      </c>
      <c r="J488" t="s">
        <v>1025</v>
      </c>
      <c r="L488">
        <v>4.5</v>
      </c>
      <c r="M488">
        <v>294000</v>
      </c>
      <c r="N488">
        <v>2.8</v>
      </c>
      <c r="O488">
        <v>5</v>
      </c>
      <c r="P488" t="s">
        <v>26</v>
      </c>
    </row>
    <row r="489" spans="1:16" x14ac:dyDescent="0.25">
      <c r="A489" t="s">
        <v>1570</v>
      </c>
      <c r="B489" t="s">
        <v>28</v>
      </c>
      <c r="C489" t="s">
        <v>29</v>
      </c>
      <c r="D489" t="s">
        <v>79</v>
      </c>
      <c r="E489" t="s">
        <v>20</v>
      </c>
      <c r="F489" t="s">
        <v>39</v>
      </c>
      <c r="G489" t="s">
        <v>80</v>
      </c>
      <c r="H489" t="s">
        <v>34</v>
      </c>
      <c r="I489" t="s">
        <v>171</v>
      </c>
      <c r="J489" t="s">
        <v>1571</v>
      </c>
      <c r="L489">
        <v>3.8</v>
      </c>
      <c r="M489">
        <v>110000</v>
      </c>
      <c r="N489">
        <v>2.2999999999999998</v>
      </c>
      <c r="O489">
        <v>6</v>
      </c>
      <c r="P489" t="s">
        <v>26</v>
      </c>
    </row>
    <row r="490" spans="1:16" x14ac:dyDescent="0.25">
      <c r="A490" t="s">
        <v>1572</v>
      </c>
      <c r="B490" t="s">
        <v>1573</v>
      </c>
      <c r="C490" t="s">
        <v>18</v>
      </c>
      <c r="D490" t="s">
        <v>30</v>
      </c>
      <c r="E490" t="s">
        <v>31</v>
      </c>
      <c r="F490" t="s">
        <v>39</v>
      </c>
      <c r="G490" t="s">
        <v>22</v>
      </c>
      <c r="H490" t="s">
        <v>23</v>
      </c>
      <c r="I490" t="s">
        <v>24</v>
      </c>
      <c r="J490" t="s">
        <v>1574</v>
      </c>
      <c r="L490">
        <v>2.1</v>
      </c>
      <c r="M490">
        <v>157000</v>
      </c>
      <c r="N490">
        <v>3.1</v>
      </c>
      <c r="O490">
        <v>10</v>
      </c>
      <c r="P490" t="s">
        <v>26</v>
      </c>
    </row>
    <row r="491" spans="1:16" x14ac:dyDescent="0.25">
      <c r="A491" t="s">
        <v>1575</v>
      </c>
      <c r="B491" t="s">
        <v>1576</v>
      </c>
      <c r="C491" t="s">
        <v>29</v>
      </c>
      <c r="D491" t="s">
        <v>43</v>
      </c>
      <c r="E491" t="s">
        <v>20</v>
      </c>
      <c r="F491" t="s">
        <v>128</v>
      </c>
      <c r="G491" t="s">
        <v>22</v>
      </c>
      <c r="H491" t="s">
        <v>62</v>
      </c>
      <c r="I491" t="s">
        <v>57</v>
      </c>
      <c r="J491" t="s">
        <v>1577</v>
      </c>
      <c r="K491" t="s">
        <v>1578</v>
      </c>
      <c r="L491">
        <v>5.2</v>
      </c>
      <c r="M491">
        <v>405000</v>
      </c>
      <c r="N491">
        <v>4.2</v>
      </c>
      <c r="O491">
        <v>0</v>
      </c>
      <c r="P491" t="s">
        <v>53</v>
      </c>
    </row>
    <row r="492" spans="1:16" x14ac:dyDescent="0.25">
      <c r="A492" t="s">
        <v>1579</v>
      </c>
      <c r="B492" t="s">
        <v>699</v>
      </c>
      <c r="C492" t="s">
        <v>18</v>
      </c>
      <c r="D492" t="s">
        <v>79</v>
      </c>
      <c r="E492" t="s">
        <v>20</v>
      </c>
      <c r="F492" t="s">
        <v>21</v>
      </c>
      <c r="G492" t="s">
        <v>80</v>
      </c>
      <c r="H492" t="s">
        <v>46</v>
      </c>
      <c r="I492" t="s">
        <v>57</v>
      </c>
      <c r="J492" t="s">
        <v>1580</v>
      </c>
      <c r="L492">
        <v>5.6</v>
      </c>
      <c r="M492">
        <v>708000</v>
      </c>
      <c r="N492">
        <v>3.8</v>
      </c>
      <c r="O492">
        <v>7</v>
      </c>
      <c r="P492" t="s">
        <v>26</v>
      </c>
    </row>
    <row r="493" spans="1:16" x14ac:dyDescent="0.25">
      <c r="A493" t="s">
        <v>1581</v>
      </c>
      <c r="B493" t="s">
        <v>1582</v>
      </c>
      <c r="C493" t="s">
        <v>29</v>
      </c>
      <c r="D493" t="s">
        <v>79</v>
      </c>
      <c r="E493" t="s">
        <v>44</v>
      </c>
      <c r="F493" t="s">
        <v>128</v>
      </c>
      <c r="G493" t="s">
        <v>22</v>
      </c>
      <c r="H493" t="s">
        <v>62</v>
      </c>
      <c r="I493" t="s">
        <v>24</v>
      </c>
      <c r="J493" t="s">
        <v>1583</v>
      </c>
      <c r="L493">
        <v>2.2000000000000002</v>
      </c>
      <c r="M493">
        <v>385000</v>
      </c>
      <c r="N493">
        <v>3.1</v>
      </c>
      <c r="O493">
        <v>4</v>
      </c>
      <c r="P493" t="s">
        <v>26</v>
      </c>
    </row>
    <row r="494" spans="1:16" x14ac:dyDescent="0.25">
      <c r="A494" t="s">
        <v>1584</v>
      </c>
      <c r="B494" t="s">
        <v>1585</v>
      </c>
      <c r="C494" t="s">
        <v>18</v>
      </c>
      <c r="D494" t="s">
        <v>50</v>
      </c>
      <c r="E494" t="s">
        <v>20</v>
      </c>
      <c r="F494" t="s">
        <v>39</v>
      </c>
      <c r="G494" t="s">
        <v>69</v>
      </c>
      <c r="H494" t="s">
        <v>34</v>
      </c>
      <c r="I494" t="s">
        <v>57</v>
      </c>
      <c r="J494" t="s">
        <v>1586</v>
      </c>
      <c r="L494">
        <v>5.0999999999999996</v>
      </c>
      <c r="M494">
        <v>103000</v>
      </c>
      <c r="N494">
        <v>3.3</v>
      </c>
      <c r="O494">
        <v>12</v>
      </c>
      <c r="P494" t="s">
        <v>26</v>
      </c>
    </row>
    <row r="495" spans="1:16" x14ac:dyDescent="0.25">
      <c r="A495" t="s">
        <v>1587</v>
      </c>
      <c r="B495" t="s">
        <v>1588</v>
      </c>
      <c r="D495" t="s">
        <v>30</v>
      </c>
      <c r="E495" t="s">
        <v>20</v>
      </c>
      <c r="F495" t="s">
        <v>32</v>
      </c>
      <c r="G495" t="s">
        <v>22</v>
      </c>
      <c r="H495" t="s">
        <v>46</v>
      </c>
      <c r="I495" t="s">
        <v>57</v>
      </c>
      <c r="J495" t="s">
        <v>1254</v>
      </c>
      <c r="L495">
        <v>5.2</v>
      </c>
      <c r="M495">
        <v>212000</v>
      </c>
      <c r="N495">
        <v>2.4</v>
      </c>
      <c r="O495">
        <v>4</v>
      </c>
      <c r="P495" t="s">
        <v>26</v>
      </c>
    </row>
    <row r="496" spans="1:16" x14ac:dyDescent="0.25">
      <c r="A496" t="s">
        <v>1589</v>
      </c>
      <c r="B496" t="s">
        <v>1590</v>
      </c>
      <c r="C496" t="s">
        <v>29</v>
      </c>
      <c r="D496" t="s">
        <v>19</v>
      </c>
      <c r="E496" t="s">
        <v>20</v>
      </c>
      <c r="F496" t="s">
        <v>128</v>
      </c>
      <c r="G496" t="s">
        <v>33</v>
      </c>
      <c r="H496" t="s">
        <v>23</v>
      </c>
      <c r="I496" t="s">
        <v>35</v>
      </c>
      <c r="J496" t="s">
        <v>1591</v>
      </c>
      <c r="L496">
        <v>4.8</v>
      </c>
      <c r="M496">
        <v>481000</v>
      </c>
      <c r="N496">
        <v>2.8</v>
      </c>
      <c r="O496">
        <v>13</v>
      </c>
      <c r="P496" t="s">
        <v>26</v>
      </c>
    </row>
    <row r="497" spans="1:16" x14ac:dyDescent="0.25">
      <c r="A497" t="s">
        <v>1592</v>
      </c>
      <c r="B497" t="s">
        <v>1593</v>
      </c>
      <c r="C497" t="s">
        <v>18</v>
      </c>
      <c r="D497" t="s">
        <v>50</v>
      </c>
      <c r="E497" t="s">
        <v>20</v>
      </c>
      <c r="F497" t="s">
        <v>39</v>
      </c>
      <c r="G497" t="s">
        <v>22</v>
      </c>
      <c r="H497" t="s">
        <v>23</v>
      </c>
      <c r="I497" t="s">
        <v>24</v>
      </c>
      <c r="J497" t="s">
        <v>196</v>
      </c>
      <c r="K497" t="s">
        <v>1594</v>
      </c>
      <c r="L497">
        <v>2.4</v>
      </c>
      <c r="M497">
        <v>176000</v>
      </c>
      <c r="N497">
        <v>2.7</v>
      </c>
      <c r="O497">
        <v>8</v>
      </c>
      <c r="P497" t="s">
        <v>72</v>
      </c>
    </row>
    <row r="498" spans="1:16" x14ac:dyDescent="0.25">
      <c r="A498" t="s">
        <v>1595</v>
      </c>
      <c r="B498" t="s">
        <v>805</v>
      </c>
      <c r="C498" t="s">
        <v>18</v>
      </c>
      <c r="D498" t="s">
        <v>43</v>
      </c>
      <c r="E498" t="s">
        <v>20</v>
      </c>
      <c r="F498" t="s">
        <v>32</v>
      </c>
      <c r="G498" t="s">
        <v>22</v>
      </c>
      <c r="H498" t="s">
        <v>23</v>
      </c>
      <c r="I498" t="s">
        <v>57</v>
      </c>
      <c r="J498" t="s">
        <v>1596</v>
      </c>
      <c r="K498" t="s">
        <v>1597</v>
      </c>
      <c r="L498">
        <v>4.3</v>
      </c>
      <c r="M498">
        <v>273000</v>
      </c>
      <c r="N498">
        <v>4.8</v>
      </c>
      <c r="O498">
        <v>5</v>
      </c>
      <c r="P498" t="s">
        <v>114</v>
      </c>
    </row>
    <row r="499" spans="1:16" x14ac:dyDescent="0.25">
      <c r="A499" t="s">
        <v>1598</v>
      </c>
      <c r="B499" t="s">
        <v>1599</v>
      </c>
      <c r="C499" t="s">
        <v>18</v>
      </c>
      <c r="D499" t="s">
        <v>30</v>
      </c>
      <c r="E499" t="s">
        <v>20</v>
      </c>
      <c r="F499" t="s">
        <v>128</v>
      </c>
      <c r="G499" t="s">
        <v>22</v>
      </c>
      <c r="H499" t="s">
        <v>46</v>
      </c>
      <c r="I499" t="s">
        <v>35</v>
      </c>
      <c r="J499" t="s">
        <v>1600</v>
      </c>
      <c r="L499">
        <v>5.2</v>
      </c>
      <c r="M499">
        <v>360000</v>
      </c>
      <c r="N499">
        <v>4.7</v>
      </c>
      <c r="O499">
        <v>3</v>
      </c>
      <c r="P499" t="s">
        <v>26</v>
      </c>
    </row>
    <row r="500" spans="1:16" x14ac:dyDescent="0.25">
      <c r="A500" t="s">
        <v>1601</v>
      </c>
      <c r="B500" t="s">
        <v>1602</v>
      </c>
      <c r="C500" t="s">
        <v>18</v>
      </c>
      <c r="D500" t="s">
        <v>19</v>
      </c>
      <c r="E500" t="s">
        <v>44</v>
      </c>
      <c r="F500" t="s">
        <v>21</v>
      </c>
      <c r="G500" t="s">
        <v>80</v>
      </c>
      <c r="H500" t="s">
        <v>62</v>
      </c>
      <c r="I500" t="s">
        <v>24</v>
      </c>
      <c r="J500" t="s">
        <v>223</v>
      </c>
      <c r="L500">
        <v>1.4</v>
      </c>
      <c r="M500">
        <v>730000</v>
      </c>
      <c r="N500">
        <v>4.0999999999999996</v>
      </c>
      <c r="O500">
        <v>8</v>
      </c>
      <c r="P500" t="s">
        <v>26</v>
      </c>
    </row>
    <row r="501" spans="1:16" x14ac:dyDescent="0.25">
      <c r="A501" t="s">
        <v>1603</v>
      </c>
      <c r="B501" t="s">
        <v>1604</v>
      </c>
      <c r="D501" t="s">
        <v>30</v>
      </c>
      <c r="E501" t="s">
        <v>20</v>
      </c>
      <c r="F501" t="s">
        <v>128</v>
      </c>
      <c r="G501" t="s">
        <v>22</v>
      </c>
      <c r="H501" t="s">
        <v>34</v>
      </c>
      <c r="I501" t="s">
        <v>35</v>
      </c>
      <c r="J501" t="s">
        <v>1605</v>
      </c>
      <c r="K501" t="s">
        <v>1606</v>
      </c>
      <c r="L501">
        <v>2.9</v>
      </c>
      <c r="M501">
        <v>498000</v>
      </c>
      <c r="N501">
        <v>2.4</v>
      </c>
      <c r="O501">
        <v>12</v>
      </c>
      <c r="P501" t="s">
        <v>53</v>
      </c>
    </row>
    <row r="502" spans="1:16" x14ac:dyDescent="0.25">
      <c r="A502" t="s">
        <v>1607</v>
      </c>
      <c r="B502" t="s">
        <v>1608</v>
      </c>
      <c r="C502" t="s">
        <v>29</v>
      </c>
      <c r="D502" t="s">
        <v>30</v>
      </c>
      <c r="E502" t="s">
        <v>44</v>
      </c>
      <c r="F502" t="s">
        <v>128</v>
      </c>
      <c r="G502" t="s">
        <v>22</v>
      </c>
      <c r="H502" t="s">
        <v>23</v>
      </c>
      <c r="I502" t="s">
        <v>75</v>
      </c>
      <c r="J502" t="s">
        <v>1609</v>
      </c>
      <c r="K502" t="s">
        <v>1610</v>
      </c>
      <c r="L502">
        <v>3.1</v>
      </c>
      <c r="M502">
        <v>558000</v>
      </c>
      <c r="O502">
        <v>7</v>
      </c>
      <c r="P502" t="s">
        <v>53</v>
      </c>
    </row>
    <row r="503" spans="1:16" x14ac:dyDescent="0.25">
      <c r="A503" t="s">
        <v>1611</v>
      </c>
      <c r="B503" t="s">
        <v>1612</v>
      </c>
      <c r="C503" t="s">
        <v>29</v>
      </c>
      <c r="D503" t="s">
        <v>43</v>
      </c>
      <c r="E503" t="s">
        <v>20</v>
      </c>
      <c r="F503" t="s">
        <v>32</v>
      </c>
      <c r="G503" t="s">
        <v>22</v>
      </c>
      <c r="H503" t="s">
        <v>46</v>
      </c>
      <c r="I503" t="s">
        <v>24</v>
      </c>
      <c r="J503" t="s">
        <v>769</v>
      </c>
      <c r="L503">
        <v>3.7</v>
      </c>
      <c r="M503">
        <v>193000</v>
      </c>
      <c r="N503">
        <v>3.6</v>
      </c>
      <c r="O503">
        <v>5</v>
      </c>
      <c r="P503" t="s">
        <v>26</v>
      </c>
    </row>
    <row r="504" spans="1:16" x14ac:dyDescent="0.25">
      <c r="A504" t="s">
        <v>1613</v>
      </c>
      <c r="B504" t="s">
        <v>636</v>
      </c>
      <c r="D504" t="s">
        <v>19</v>
      </c>
      <c r="E504" t="s">
        <v>20</v>
      </c>
      <c r="F504" t="s">
        <v>39</v>
      </c>
      <c r="G504" t="s">
        <v>22</v>
      </c>
      <c r="H504" t="s">
        <v>23</v>
      </c>
      <c r="I504" t="s">
        <v>57</v>
      </c>
      <c r="J504" t="s">
        <v>1614</v>
      </c>
      <c r="L504">
        <v>2.8</v>
      </c>
      <c r="M504">
        <v>137000</v>
      </c>
      <c r="N504">
        <v>2.6</v>
      </c>
      <c r="O504">
        <v>12</v>
      </c>
      <c r="P504" t="s">
        <v>26</v>
      </c>
    </row>
    <row r="505" spans="1:16" x14ac:dyDescent="0.25">
      <c r="A505" t="s">
        <v>1615</v>
      </c>
      <c r="B505" t="s">
        <v>1616</v>
      </c>
      <c r="C505" t="s">
        <v>18</v>
      </c>
      <c r="D505" t="s">
        <v>19</v>
      </c>
      <c r="E505" t="s">
        <v>20</v>
      </c>
      <c r="F505" t="s">
        <v>39</v>
      </c>
      <c r="G505" t="s">
        <v>22</v>
      </c>
      <c r="H505" t="s">
        <v>34</v>
      </c>
      <c r="J505" t="s">
        <v>1617</v>
      </c>
      <c r="K505" t="s">
        <v>298</v>
      </c>
      <c r="L505">
        <v>5.6</v>
      </c>
      <c r="M505">
        <v>198000</v>
      </c>
      <c r="N505">
        <v>4.9000000000000004</v>
      </c>
      <c r="O505">
        <v>6</v>
      </c>
      <c r="P505" t="s">
        <v>72</v>
      </c>
    </row>
    <row r="506" spans="1:16" x14ac:dyDescent="0.25">
      <c r="A506" t="s">
        <v>1618</v>
      </c>
      <c r="B506" t="s">
        <v>1619</v>
      </c>
      <c r="C506" t="s">
        <v>18</v>
      </c>
      <c r="D506" t="s">
        <v>50</v>
      </c>
      <c r="E506" t="s">
        <v>20</v>
      </c>
      <c r="G506" t="s">
        <v>33</v>
      </c>
      <c r="H506" t="s">
        <v>46</v>
      </c>
      <c r="I506" t="s">
        <v>35</v>
      </c>
      <c r="J506" t="s">
        <v>1620</v>
      </c>
      <c r="L506">
        <v>1.9</v>
      </c>
      <c r="M506">
        <v>113000</v>
      </c>
      <c r="N506">
        <v>4.5999999999999996</v>
      </c>
      <c r="O506">
        <v>2</v>
      </c>
      <c r="P506" t="s">
        <v>26</v>
      </c>
    </row>
    <row r="507" spans="1:16" x14ac:dyDescent="0.25">
      <c r="A507" t="s">
        <v>1621</v>
      </c>
      <c r="B507" t="s">
        <v>1622</v>
      </c>
      <c r="C507" t="s">
        <v>29</v>
      </c>
      <c r="D507" t="s">
        <v>19</v>
      </c>
      <c r="E507" t="s">
        <v>20</v>
      </c>
      <c r="G507" t="s">
        <v>22</v>
      </c>
      <c r="H507" t="s">
        <v>34</v>
      </c>
      <c r="I507" t="s">
        <v>35</v>
      </c>
      <c r="J507" t="s">
        <v>1623</v>
      </c>
      <c r="L507">
        <v>2.1</v>
      </c>
      <c r="M507">
        <v>198000</v>
      </c>
      <c r="N507">
        <v>2.9</v>
      </c>
      <c r="O507">
        <v>3</v>
      </c>
      <c r="P507" t="s">
        <v>26</v>
      </c>
    </row>
    <row r="508" spans="1:16" x14ac:dyDescent="0.25">
      <c r="A508" t="s">
        <v>1624</v>
      </c>
      <c r="B508" t="s">
        <v>1625</v>
      </c>
      <c r="C508" t="s">
        <v>29</v>
      </c>
      <c r="D508" t="s">
        <v>30</v>
      </c>
      <c r="E508" t="s">
        <v>31</v>
      </c>
      <c r="F508" t="s">
        <v>128</v>
      </c>
      <c r="G508" t="s">
        <v>80</v>
      </c>
      <c r="H508" t="s">
        <v>34</v>
      </c>
      <c r="I508" t="s">
        <v>24</v>
      </c>
      <c r="J508" t="s">
        <v>1626</v>
      </c>
      <c r="L508">
        <v>5.3</v>
      </c>
      <c r="M508">
        <v>459000</v>
      </c>
      <c r="N508">
        <v>4.3</v>
      </c>
      <c r="O508">
        <v>11</v>
      </c>
      <c r="P508" t="s">
        <v>26</v>
      </c>
    </row>
    <row r="509" spans="1:16" x14ac:dyDescent="0.25">
      <c r="A509" t="s">
        <v>1627</v>
      </c>
      <c r="B509" t="s">
        <v>1628</v>
      </c>
      <c r="C509" t="s">
        <v>18</v>
      </c>
      <c r="D509" t="s">
        <v>19</v>
      </c>
      <c r="E509" t="s">
        <v>20</v>
      </c>
      <c r="F509" t="s">
        <v>21</v>
      </c>
      <c r="G509" t="s">
        <v>80</v>
      </c>
      <c r="H509" t="s">
        <v>23</v>
      </c>
      <c r="I509" t="s">
        <v>24</v>
      </c>
      <c r="J509" t="s">
        <v>1629</v>
      </c>
      <c r="K509" t="s">
        <v>1630</v>
      </c>
      <c r="L509">
        <v>3.8</v>
      </c>
      <c r="M509">
        <v>814000</v>
      </c>
      <c r="N509">
        <v>4.3</v>
      </c>
      <c r="O509">
        <v>32</v>
      </c>
      <c r="P509" t="s">
        <v>72</v>
      </c>
    </row>
    <row r="510" spans="1:16" x14ac:dyDescent="0.25">
      <c r="A510" t="s">
        <v>1631</v>
      </c>
      <c r="B510" t="s">
        <v>1632</v>
      </c>
      <c r="C510" t="s">
        <v>29</v>
      </c>
      <c r="D510" t="s">
        <v>50</v>
      </c>
      <c r="E510" t="s">
        <v>31</v>
      </c>
      <c r="F510" t="s">
        <v>32</v>
      </c>
      <c r="G510" t="s">
        <v>22</v>
      </c>
      <c r="H510" t="s">
        <v>23</v>
      </c>
      <c r="I510" t="s">
        <v>57</v>
      </c>
      <c r="J510" t="s">
        <v>1633</v>
      </c>
      <c r="K510" t="s">
        <v>202</v>
      </c>
      <c r="L510">
        <v>4.4000000000000004</v>
      </c>
      <c r="M510">
        <v>256000</v>
      </c>
      <c r="N510">
        <v>4.4000000000000004</v>
      </c>
      <c r="O510">
        <v>10</v>
      </c>
      <c r="P510" t="s">
        <v>72</v>
      </c>
    </row>
    <row r="511" spans="1:16" x14ac:dyDescent="0.25">
      <c r="A511" t="s">
        <v>1634</v>
      </c>
      <c r="B511" t="s">
        <v>1635</v>
      </c>
      <c r="C511" t="s">
        <v>29</v>
      </c>
      <c r="D511" t="s">
        <v>30</v>
      </c>
      <c r="E511" t="s">
        <v>20</v>
      </c>
      <c r="F511" t="s">
        <v>32</v>
      </c>
      <c r="G511" t="s">
        <v>69</v>
      </c>
      <c r="H511" t="s">
        <v>23</v>
      </c>
      <c r="I511" t="s">
        <v>24</v>
      </c>
      <c r="J511" t="s">
        <v>1636</v>
      </c>
      <c r="K511" t="s">
        <v>1637</v>
      </c>
      <c r="L511">
        <v>2.7</v>
      </c>
      <c r="M511">
        <v>246000</v>
      </c>
      <c r="N511">
        <v>2.2000000000000002</v>
      </c>
      <c r="O511">
        <v>5</v>
      </c>
      <c r="P511" t="s">
        <v>53</v>
      </c>
    </row>
    <row r="512" spans="1:16" x14ac:dyDescent="0.25">
      <c r="A512" t="s">
        <v>1638</v>
      </c>
      <c r="B512" t="s">
        <v>1639</v>
      </c>
      <c r="C512" t="s">
        <v>18</v>
      </c>
      <c r="D512" t="s">
        <v>50</v>
      </c>
      <c r="E512" t="s">
        <v>20</v>
      </c>
      <c r="F512" t="s">
        <v>39</v>
      </c>
      <c r="G512" t="s">
        <v>33</v>
      </c>
      <c r="H512" t="s">
        <v>23</v>
      </c>
      <c r="I512" t="s">
        <v>57</v>
      </c>
      <c r="J512" t="s">
        <v>487</v>
      </c>
      <c r="L512">
        <v>1.9</v>
      </c>
      <c r="M512">
        <v>110000</v>
      </c>
      <c r="N512">
        <v>2.1</v>
      </c>
      <c r="O512">
        <v>2</v>
      </c>
      <c r="P512" t="s">
        <v>26</v>
      </c>
    </row>
    <row r="513" spans="1:16" x14ac:dyDescent="0.25">
      <c r="A513" t="s">
        <v>1640</v>
      </c>
      <c r="B513" t="s">
        <v>1641</v>
      </c>
      <c r="C513" t="s">
        <v>18</v>
      </c>
      <c r="D513" t="s">
        <v>43</v>
      </c>
      <c r="E513" t="s">
        <v>20</v>
      </c>
      <c r="G513" t="s">
        <v>33</v>
      </c>
      <c r="H513" t="s">
        <v>34</v>
      </c>
      <c r="I513" t="s">
        <v>35</v>
      </c>
      <c r="J513" t="s">
        <v>1642</v>
      </c>
      <c r="K513" t="s">
        <v>882</v>
      </c>
      <c r="L513">
        <v>6.2</v>
      </c>
      <c r="M513">
        <v>764000</v>
      </c>
      <c r="N513">
        <v>4.3</v>
      </c>
      <c r="P513" t="s">
        <v>53</v>
      </c>
    </row>
    <row r="514" spans="1:16" x14ac:dyDescent="0.25">
      <c r="A514" t="s">
        <v>1643</v>
      </c>
      <c r="B514" t="s">
        <v>1644</v>
      </c>
      <c r="C514" t="s">
        <v>18</v>
      </c>
      <c r="D514" t="s">
        <v>79</v>
      </c>
      <c r="E514" t="s">
        <v>20</v>
      </c>
      <c r="F514" t="s">
        <v>32</v>
      </c>
      <c r="G514" t="s">
        <v>69</v>
      </c>
      <c r="H514" t="s">
        <v>23</v>
      </c>
      <c r="I514" t="s">
        <v>24</v>
      </c>
      <c r="J514" t="s">
        <v>189</v>
      </c>
      <c r="L514">
        <v>1.4</v>
      </c>
      <c r="M514">
        <v>208000</v>
      </c>
      <c r="N514">
        <v>2.8</v>
      </c>
      <c r="O514">
        <v>7</v>
      </c>
      <c r="P514" t="s">
        <v>26</v>
      </c>
    </row>
    <row r="515" spans="1:16" x14ac:dyDescent="0.25">
      <c r="A515" t="s">
        <v>1645</v>
      </c>
      <c r="B515" t="s">
        <v>105</v>
      </c>
      <c r="C515" t="s">
        <v>18</v>
      </c>
      <c r="D515" t="s">
        <v>43</v>
      </c>
      <c r="E515" t="s">
        <v>20</v>
      </c>
      <c r="G515" t="s">
        <v>22</v>
      </c>
      <c r="H515" t="s">
        <v>23</v>
      </c>
      <c r="I515" t="s">
        <v>24</v>
      </c>
      <c r="J515" t="s">
        <v>1646</v>
      </c>
      <c r="K515" t="s">
        <v>246</v>
      </c>
      <c r="L515">
        <v>3.9</v>
      </c>
      <c r="M515">
        <v>694000</v>
      </c>
      <c r="N515">
        <v>4.4000000000000004</v>
      </c>
      <c r="O515">
        <v>39</v>
      </c>
      <c r="P515" t="s">
        <v>53</v>
      </c>
    </row>
    <row r="516" spans="1:16" x14ac:dyDescent="0.25">
      <c r="A516" t="s">
        <v>1647</v>
      </c>
      <c r="B516" t="s">
        <v>582</v>
      </c>
      <c r="C516" t="s">
        <v>18</v>
      </c>
      <c r="D516" t="s">
        <v>50</v>
      </c>
      <c r="E516" t="s">
        <v>20</v>
      </c>
      <c r="F516" t="s">
        <v>128</v>
      </c>
      <c r="G516" t="s">
        <v>22</v>
      </c>
      <c r="I516" t="s">
        <v>75</v>
      </c>
      <c r="J516" t="s">
        <v>1648</v>
      </c>
      <c r="K516" t="s">
        <v>1649</v>
      </c>
      <c r="L516">
        <v>4.5</v>
      </c>
      <c r="M516">
        <v>446000</v>
      </c>
      <c r="N516">
        <v>3.5</v>
      </c>
      <c r="P516" t="s">
        <v>53</v>
      </c>
    </row>
    <row r="517" spans="1:16" x14ac:dyDescent="0.25">
      <c r="A517" t="s">
        <v>1650</v>
      </c>
      <c r="B517" t="s">
        <v>737</v>
      </c>
      <c r="D517" t="s">
        <v>79</v>
      </c>
      <c r="E517" t="s">
        <v>20</v>
      </c>
      <c r="F517" t="s">
        <v>39</v>
      </c>
      <c r="G517" t="s">
        <v>80</v>
      </c>
      <c r="H517" t="s">
        <v>62</v>
      </c>
      <c r="I517" t="s">
        <v>57</v>
      </c>
      <c r="J517" t="s">
        <v>1651</v>
      </c>
      <c r="K517" t="s">
        <v>1652</v>
      </c>
      <c r="L517">
        <v>6.1</v>
      </c>
      <c r="M517">
        <v>166000</v>
      </c>
      <c r="N517">
        <v>3.8</v>
      </c>
      <c r="O517">
        <v>1</v>
      </c>
      <c r="P517" t="s">
        <v>72</v>
      </c>
    </row>
    <row r="518" spans="1:16" x14ac:dyDescent="0.25">
      <c r="A518" t="s">
        <v>1653</v>
      </c>
      <c r="B518" t="s">
        <v>1654</v>
      </c>
      <c r="C518" t="s">
        <v>29</v>
      </c>
      <c r="D518" t="s">
        <v>79</v>
      </c>
      <c r="E518" t="s">
        <v>31</v>
      </c>
      <c r="F518" t="s">
        <v>39</v>
      </c>
      <c r="G518" t="s">
        <v>80</v>
      </c>
      <c r="H518" t="s">
        <v>46</v>
      </c>
      <c r="I518" t="s">
        <v>24</v>
      </c>
      <c r="J518" t="s">
        <v>1655</v>
      </c>
      <c r="L518">
        <v>6</v>
      </c>
      <c r="N518">
        <v>2.1</v>
      </c>
      <c r="O518">
        <v>7</v>
      </c>
      <c r="P518" t="s">
        <v>26</v>
      </c>
    </row>
    <row r="519" spans="1:16" x14ac:dyDescent="0.25">
      <c r="A519" t="s">
        <v>1656</v>
      </c>
      <c r="B519" t="s">
        <v>1657</v>
      </c>
      <c r="C519" t="s">
        <v>29</v>
      </c>
      <c r="D519" t="s">
        <v>79</v>
      </c>
      <c r="E519" t="s">
        <v>44</v>
      </c>
      <c r="F519" t="s">
        <v>128</v>
      </c>
      <c r="G519" t="s">
        <v>33</v>
      </c>
      <c r="H519" t="s">
        <v>34</v>
      </c>
      <c r="I519" t="s">
        <v>24</v>
      </c>
      <c r="J519" t="s">
        <v>219</v>
      </c>
      <c r="L519">
        <v>2.2999999999999998</v>
      </c>
      <c r="M519">
        <v>526000</v>
      </c>
      <c r="N519">
        <v>2.4</v>
      </c>
      <c r="O519">
        <v>7</v>
      </c>
      <c r="P519" t="s">
        <v>26</v>
      </c>
    </row>
    <row r="520" spans="1:16" x14ac:dyDescent="0.25">
      <c r="A520" t="s">
        <v>1658</v>
      </c>
      <c r="B520" t="s">
        <v>1659</v>
      </c>
      <c r="D520" t="s">
        <v>50</v>
      </c>
      <c r="E520" t="s">
        <v>20</v>
      </c>
      <c r="F520" t="s">
        <v>39</v>
      </c>
      <c r="G520" t="s">
        <v>33</v>
      </c>
      <c r="H520" t="s">
        <v>23</v>
      </c>
      <c r="I520" t="s">
        <v>24</v>
      </c>
      <c r="J520" t="s">
        <v>1660</v>
      </c>
      <c r="L520">
        <v>3.6</v>
      </c>
      <c r="M520">
        <v>144000</v>
      </c>
      <c r="N520">
        <v>4.7</v>
      </c>
      <c r="O520">
        <v>13</v>
      </c>
      <c r="P520" t="s">
        <v>26</v>
      </c>
    </row>
    <row r="521" spans="1:16" x14ac:dyDescent="0.25">
      <c r="A521" t="s">
        <v>1661</v>
      </c>
      <c r="B521" t="s">
        <v>559</v>
      </c>
      <c r="C521" t="s">
        <v>29</v>
      </c>
      <c r="D521" t="s">
        <v>50</v>
      </c>
      <c r="E521" t="s">
        <v>31</v>
      </c>
      <c r="F521" t="s">
        <v>39</v>
      </c>
      <c r="G521" t="s">
        <v>69</v>
      </c>
      <c r="H521" t="s">
        <v>34</v>
      </c>
      <c r="I521" t="s">
        <v>75</v>
      </c>
      <c r="J521" t="s">
        <v>1662</v>
      </c>
      <c r="L521">
        <v>5.3</v>
      </c>
      <c r="M521">
        <v>172000</v>
      </c>
      <c r="N521">
        <v>4.9000000000000004</v>
      </c>
      <c r="O521">
        <v>8</v>
      </c>
      <c r="P521" t="s">
        <v>26</v>
      </c>
    </row>
    <row r="522" spans="1:16" x14ac:dyDescent="0.25">
      <c r="A522" t="s">
        <v>1663</v>
      </c>
      <c r="B522" t="s">
        <v>1664</v>
      </c>
      <c r="C522" t="s">
        <v>29</v>
      </c>
      <c r="D522" t="s">
        <v>50</v>
      </c>
      <c r="E522" t="s">
        <v>20</v>
      </c>
      <c r="F522" t="s">
        <v>32</v>
      </c>
      <c r="G522" t="s">
        <v>80</v>
      </c>
      <c r="H522" t="s">
        <v>46</v>
      </c>
      <c r="I522" t="s">
        <v>24</v>
      </c>
      <c r="J522" t="s">
        <v>1665</v>
      </c>
      <c r="L522">
        <v>2.2999999999999998</v>
      </c>
      <c r="M522">
        <v>224000</v>
      </c>
      <c r="N522">
        <v>4.0999999999999996</v>
      </c>
      <c r="O522">
        <v>11</v>
      </c>
      <c r="P522" t="s">
        <v>26</v>
      </c>
    </row>
    <row r="523" spans="1:16" x14ac:dyDescent="0.25">
      <c r="A523" t="s">
        <v>1666</v>
      </c>
      <c r="B523" t="s">
        <v>1667</v>
      </c>
      <c r="C523" t="s">
        <v>29</v>
      </c>
      <c r="D523" t="s">
        <v>30</v>
      </c>
      <c r="E523" t="s">
        <v>31</v>
      </c>
      <c r="F523" t="s">
        <v>32</v>
      </c>
      <c r="G523" t="s">
        <v>22</v>
      </c>
      <c r="H523" t="s">
        <v>23</v>
      </c>
      <c r="I523" t="s">
        <v>57</v>
      </c>
      <c r="J523" t="s">
        <v>1668</v>
      </c>
      <c r="K523" t="s">
        <v>824</v>
      </c>
      <c r="L523">
        <v>5.4</v>
      </c>
      <c r="M523">
        <v>287000</v>
      </c>
      <c r="N523">
        <v>3.1</v>
      </c>
      <c r="O523">
        <v>9</v>
      </c>
      <c r="P523" t="s">
        <v>72</v>
      </c>
    </row>
    <row r="524" spans="1:16" x14ac:dyDescent="0.25">
      <c r="A524" t="s">
        <v>1669</v>
      </c>
      <c r="B524" t="s">
        <v>1670</v>
      </c>
      <c r="C524" t="s">
        <v>18</v>
      </c>
      <c r="D524" t="s">
        <v>19</v>
      </c>
      <c r="E524" t="s">
        <v>44</v>
      </c>
      <c r="F524" t="s">
        <v>32</v>
      </c>
      <c r="G524" t="s">
        <v>22</v>
      </c>
      <c r="H524" t="s">
        <v>23</v>
      </c>
      <c r="I524" t="s">
        <v>35</v>
      </c>
      <c r="J524" t="s">
        <v>1671</v>
      </c>
      <c r="L524">
        <v>4.9000000000000004</v>
      </c>
      <c r="M524">
        <v>318000</v>
      </c>
      <c r="N524">
        <v>4</v>
      </c>
      <c r="O524">
        <v>13</v>
      </c>
      <c r="P524" t="s">
        <v>26</v>
      </c>
    </row>
    <row r="525" spans="1:16" x14ac:dyDescent="0.25">
      <c r="A525" t="s">
        <v>1672</v>
      </c>
      <c r="B525" t="s">
        <v>1673</v>
      </c>
      <c r="C525" t="s">
        <v>18</v>
      </c>
      <c r="D525" t="s">
        <v>30</v>
      </c>
      <c r="E525" t="s">
        <v>20</v>
      </c>
      <c r="F525" t="s">
        <v>39</v>
      </c>
      <c r="G525" t="s">
        <v>33</v>
      </c>
      <c r="H525" t="s">
        <v>34</v>
      </c>
      <c r="I525" t="s">
        <v>24</v>
      </c>
      <c r="J525" t="s">
        <v>1674</v>
      </c>
      <c r="L525">
        <v>1.7</v>
      </c>
      <c r="M525">
        <v>178000</v>
      </c>
      <c r="N525">
        <v>1.8</v>
      </c>
      <c r="O525">
        <v>1</v>
      </c>
      <c r="P525" t="s">
        <v>26</v>
      </c>
    </row>
    <row r="526" spans="1:16" x14ac:dyDescent="0.25">
      <c r="A526" t="s">
        <v>1675</v>
      </c>
      <c r="B526" t="s">
        <v>1676</v>
      </c>
      <c r="C526" t="s">
        <v>29</v>
      </c>
      <c r="D526" t="s">
        <v>50</v>
      </c>
      <c r="E526" t="s">
        <v>20</v>
      </c>
      <c r="F526" t="s">
        <v>39</v>
      </c>
      <c r="G526" t="s">
        <v>80</v>
      </c>
      <c r="H526" t="s">
        <v>46</v>
      </c>
      <c r="I526" t="s">
        <v>24</v>
      </c>
      <c r="J526" t="s">
        <v>1677</v>
      </c>
      <c r="K526" t="s">
        <v>1678</v>
      </c>
      <c r="L526">
        <v>5.7</v>
      </c>
      <c r="M526">
        <v>140000</v>
      </c>
      <c r="N526">
        <v>3.9</v>
      </c>
      <c r="O526">
        <v>9</v>
      </c>
      <c r="P526" t="s">
        <v>53</v>
      </c>
    </row>
    <row r="527" spans="1:16" x14ac:dyDescent="0.25">
      <c r="A527" t="s">
        <v>197</v>
      </c>
      <c r="B527" t="s">
        <v>198</v>
      </c>
      <c r="C527" t="s">
        <v>18</v>
      </c>
      <c r="D527" t="s">
        <v>30</v>
      </c>
      <c r="E527" t="s">
        <v>20</v>
      </c>
      <c r="F527" t="s">
        <v>39</v>
      </c>
      <c r="G527" t="s">
        <v>22</v>
      </c>
      <c r="H527" t="s">
        <v>34</v>
      </c>
      <c r="I527" t="s">
        <v>24</v>
      </c>
      <c r="J527" t="s">
        <v>199</v>
      </c>
      <c r="L527">
        <v>4.3</v>
      </c>
      <c r="M527">
        <v>99000</v>
      </c>
      <c r="N527">
        <v>2.4</v>
      </c>
      <c r="O527">
        <v>8</v>
      </c>
      <c r="P527" t="s">
        <v>26</v>
      </c>
    </row>
    <row r="528" spans="1:16" x14ac:dyDescent="0.25">
      <c r="A528" t="s">
        <v>1679</v>
      </c>
      <c r="B528" t="s">
        <v>1680</v>
      </c>
      <c r="C528" t="s">
        <v>29</v>
      </c>
      <c r="D528" t="s">
        <v>30</v>
      </c>
      <c r="E528" t="s">
        <v>20</v>
      </c>
      <c r="F528" t="s">
        <v>39</v>
      </c>
      <c r="G528" t="s">
        <v>22</v>
      </c>
      <c r="H528" t="s">
        <v>34</v>
      </c>
      <c r="I528" t="s">
        <v>57</v>
      </c>
      <c r="J528" t="s">
        <v>1034</v>
      </c>
      <c r="K528" t="s">
        <v>76</v>
      </c>
      <c r="L528">
        <v>2.8</v>
      </c>
      <c r="M528">
        <v>88000</v>
      </c>
      <c r="N528">
        <v>2.4</v>
      </c>
      <c r="O528">
        <v>2</v>
      </c>
      <c r="P528" t="s">
        <v>72</v>
      </c>
    </row>
    <row r="529" spans="1:16" x14ac:dyDescent="0.25">
      <c r="A529" t="s">
        <v>1681</v>
      </c>
      <c r="B529" t="s">
        <v>1682</v>
      </c>
      <c r="C529" t="s">
        <v>18</v>
      </c>
      <c r="D529" t="s">
        <v>19</v>
      </c>
      <c r="E529" t="s">
        <v>20</v>
      </c>
      <c r="F529" t="s">
        <v>128</v>
      </c>
      <c r="G529" t="s">
        <v>69</v>
      </c>
      <c r="H529" t="s">
        <v>34</v>
      </c>
      <c r="I529" t="s">
        <v>75</v>
      </c>
      <c r="J529" t="s">
        <v>1683</v>
      </c>
      <c r="K529" t="s">
        <v>1684</v>
      </c>
      <c r="L529">
        <v>1.7</v>
      </c>
      <c r="M529">
        <v>482000</v>
      </c>
      <c r="N529">
        <v>4.2</v>
      </c>
      <c r="O529">
        <v>9</v>
      </c>
      <c r="P529" t="s">
        <v>72</v>
      </c>
    </row>
    <row r="530" spans="1:16" x14ac:dyDescent="0.25">
      <c r="A530" t="s">
        <v>1685</v>
      </c>
      <c r="B530" t="s">
        <v>1010</v>
      </c>
      <c r="C530" t="s">
        <v>18</v>
      </c>
      <c r="D530" t="s">
        <v>50</v>
      </c>
      <c r="E530" t="s">
        <v>20</v>
      </c>
      <c r="F530" t="s">
        <v>21</v>
      </c>
      <c r="G530" t="s">
        <v>22</v>
      </c>
      <c r="H530" t="s">
        <v>34</v>
      </c>
      <c r="I530" t="s">
        <v>57</v>
      </c>
      <c r="J530" t="s">
        <v>1686</v>
      </c>
      <c r="L530">
        <v>4.4000000000000004</v>
      </c>
      <c r="N530">
        <v>3.3</v>
      </c>
      <c r="O530">
        <v>2</v>
      </c>
      <c r="P530" t="s">
        <v>26</v>
      </c>
    </row>
    <row r="531" spans="1:16" x14ac:dyDescent="0.25">
      <c r="A531" t="s">
        <v>1687</v>
      </c>
      <c r="B531" t="s">
        <v>1688</v>
      </c>
      <c r="C531" t="s">
        <v>29</v>
      </c>
      <c r="D531" t="s">
        <v>30</v>
      </c>
      <c r="E531" t="s">
        <v>20</v>
      </c>
      <c r="F531" t="s">
        <v>128</v>
      </c>
      <c r="G531" t="s">
        <v>80</v>
      </c>
      <c r="H531" t="s">
        <v>34</v>
      </c>
      <c r="I531" t="s">
        <v>24</v>
      </c>
      <c r="J531" t="s">
        <v>1689</v>
      </c>
      <c r="K531" t="s">
        <v>1690</v>
      </c>
      <c r="L531">
        <v>1.7</v>
      </c>
      <c r="M531">
        <v>474000</v>
      </c>
      <c r="N531">
        <v>3.4</v>
      </c>
      <c r="O531">
        <v>2</v>
      </c>
      <c r="P531" t="s">
        <v>53</v>
      </c>
    </row>
    <row r="532" spans="1:16" x14ac:dyDescent="0.25">
      <c r="A532" t="s">
        <v>1691</v>
      </c>
      <c r="B532" t="s">
        <v>1692</v>
      </c>
      <c r="C532" t="s">
        <v>18</v>
      </c>
      <c r="D532" t="s">
        <v>50</v>
      </c>
      <c r="E532" t="s">
        <v>20</v>
      </c>
      <c r="F532" t="s">
        <v>39</v>
      </c>
      <c r="G532" t="s">
        <v>22</v>
      </c>
      <c r="I532" t="s">
        <v>24</v>
      </c>
      <c r="J532" t="s">
        <v>1693</v>
      </c>
      <c r="L532">
        <v>1.8</v>
      </c>
      <c r="M532">
        <v>144000</v>
      </c>
      <c r="N532">
        <v>3.2</v>
      </c>
      <c r="O532">
        <v>30</v>
      </c>
      <c r="P532" t="s">
        <v>26</v>
      </c>
    </row>
    <row r="533" spans="1:16" x14ac:dyDescent="0.25">
      <c r="A533" t="s">
        <v>1694</v>
      </c>
      <c r="B533" t="s">
        <v>1695</v>
      </c>
      <c r="C533" t="s">
        <v>29</v>
      </c>
      <c r="D533" t="s">
        <v>79</v>
      </c>
      <c r="E533" t="s">
        <v>20</v>
      </c>
      <c r="F533" t="s">
        <v>128</v>
      </c>
      <c r="G533" t="s">
        <v>22</v>
      </c>
      <c r="H533" t="s">
        <v>34</v>
      </c>
      <c r="I533" t="s">
        <v>24</v>
      </c>
      <c r="J533" t="s">
        <v>1696</v>
      </c>
      <c r="L533">
        <v>5.2</v>
      </c>
      <c r="M533">
        <v>558000</v>
      </c>
      <c r="N533">
        <v>2.1</v>
      </c>
      <c r="O533">
        <v>6</v>
      </c>
      <c r="P533" t="s">
        <v>26</v>
      </c>
    </row>
    <row r="534" spans="1:16" x14ac:dyDescent="0.25">
      <c r="A534" t="s">
        <v>1697</v>
      </c>
      <c r="B534" t="s">
        <v>1698</v>
      </c>
      <c r="C534" t="s">
        <v>29</v>
      </c>
      <c r="D534" t="s">
        <v>19</v>
      </c>
      <c r="E534" t="s">
        <v>20</v>
      </c>
      <c r="F534" t="s">
        <v>32</v>
      </c>
      <c r="G534" t="s">
        <v>22</v>
      </c>
      <c r="H534" t="s">
        <v>23</v>
      </c>
      <c r="I534" t="s">
        <v>24</v>
      </c>
      <c r="J534" t="s">
        <v>546</v>
      </c>
      <c r="K534" t="s">
        <v>1471</v>
      </c>
      <c r="L534">
        <v>3.9</v>
      </c>
      <c r="M534">
        <v>351000</v>
      </c>
      <c r="N534">
        <v>2.5</v>
      </c>
      <c r="O534">
        <v>12</v>
      </c>
      <c r="P534" t="s">
        <v>53</v>
      </c>
    </row>
    <row r="535" spans="1:16" x14ac:dyDescent="0.25">
      <c r="A535" t="s">
        <v>1699</v>
      </c>
      <c r="B535" t="s">
        <v>1700</v>
      </c>
      <c r="C535" t="s">
        <v>29</v>
      </c>
      <c r="D535" t="s">
        <v>30</v>
      </c>
      <c r="E535" t="s">
        <v>20</v>
      </c>
      <c r="F535" t="s">
        <v>32</v>
      </c>
      <c r="G535" t="s">
        <v>22</v>
      </c>
      <c r="H535" t="s">
        <v>34</v>
      </c>
      <c r="I535" t="s">
        <v>75</v>
      </c>
      <c r="J535" t="s">
        <v>136</v>
      </c>
      <c r="L535">
        <v>2.4</v>
      </c>
      <c r="M535">
        <v>257000</v>
      </c>
      <c r="N535">
        <v>4.2</v>
      </c>
      <c r="O535">
        <v>14</v>
      </c>
      <c r="P535" t="s">
        <v>26</v>
      </c>
    </row>
    <row r="536" spans="1:16" x14ac:dyDescent="0.25">
      <c r="A536" t="s">
        <v>1701</v>
      </c>
      <c r="B536" t="s">
        <v>1702</v>
      </c>
      <c r="C536" t="s">
        <v>18</v>
      </c>
      <c r="D536" t="s">
        <v>79</v>
      </c>
      <c r="E536" t="s">
        <v>44</v>
      </c>
      <c r="F536" t="s">
        <v>45</v>
      </c>
      <c r="G536" t="s">
        <v>69</v>
      </c>
      <c r="H536" t="s">
        <v>34</v>
      </c>
      <c r="I536" t="s">
        <v>35</v>
      </c>
      <c r="J536" t="s">
        <v>1703</v>
      </c>
      <c r="L536">
        <v>5.9</v>
      </c>
      <c r="M536">
        <v>1991000</v>
      </c>
      <c r="N536">
        <v>4.4000000000000004</v>
      </c>
      <c r="O536">
        <v>14</v>
      </c>
      <c r="P536" t="s">
        <v>26</v>
      </c>
    </row>
    <row r="537" spans="1:16" x14ac:dyDescent="0.25">
      <c r="A537" t="s">
        <v>1704</v>
      </c>
      <c r="B537" t="s">
        <v>1705</v>
      </c>
      <c r="C537" t="s">
        <v>18</v>
      </c>
      <c r="D537" t="s">
        <v>79</v>
      </c>
      <c r="E537" t="s">
        <v>20</v>
      </c>
      <c r="F537" t="s">
        <v>32</v>
      </c>
      <c r="G537" t="s">
        <v>33</v>
      </c>
      <c r="H537" t="s">
        <v>34</v>
      </c>
      <c r="I537" t="s">
        <v>57</v>
      </c>
      <c r="J537" t="s">
        <v>974</v>
      </c>
      <c r="L537">
        <v>1.6</v>
      </c>
      <c r="M537">
        <v>205000</v>
      </c>
      <c r="N537">
        <v>2.2000000000000002</v>
      </c>
      <c r="O537">
        <v>7</v>
      </c>
      <c r="P537" t="s">
        <v>26</v>
      </c>
    </row>
    <row r="538" spans="1:16" x14ac:dyDescent="0.25">
      <c r="A538" t="s">
        <v>1706</v>
      </c>
      <c r="B538" t="s">
        <v>1707</v>
      </c>
      <c r="C538" t="s">
        <v>18</v>
      </c>
      <c r="D538" t="s">
        <v>30</v>
      </c>
      <c r="E538" t="s">
        <v>20</v>
      </c>
      <c r="F538" t="s">
        <v>39</v>
      </c>
      <c r="G538" t="s">
        <v>22</v>
      </c>
      <c r="H538" t="s">
        <v>34</v>
      </c>
      <c r="I538" t="s">
        <v>35</v>
      </c>
      <c r="J538" t="s">
        <v>1708</v>
      </c>
      <c r="K538" t="s">
        <v>1709</v>
      </c>
      <c r="L538">
        <v>5.9</v>
      </c>
      <c r="M538">
        <v>136000</v>
      </c>
      <c r="N538">
        <v>2.2999999999999998</v>
      </c>
      <c r="O538">
        <v>8</v>
      </c>
      <c r="P538" t="s">
        <v>114</v>
      </c>
    </row>
    <row r="539" spans="1:16" x14ac:dyDescent="0.25">
      <c r="A539" t="s">
        <v>1710</v>
      </c>
      <c r="B539" t="s">
        <v>1711</v>
      </c>
      <c r="C539" t="s">
        <v>29</v>
      </c>
      <c r="D539" t="s">
        <v>19</v>
      </c>
      <c r="E539" t="s">
        <v>31</v>
      </c>
      <c r="F539" t="s">
        <v>32</v>
      </c>
      <c r="G539" t="s">
        <v>80</v>
      </c>
      <c r="H539" t="s">
        <v>34</v>
      </c>
      <c r="I539" t="s">
        <v>24</v>
      </c>
      <c r="J539" t="s">
        <v>1712</v>
      </c>
      <c r="K539" t="s">
        <v>1713</v>
      </c>
      <c r="L539">
        <v>1.5</v>
      </c>
      <c r="M539">
        <v>385000</v>
      </c>
      <c r="N539">
        <v>3.2</v>
      </c>
      <c r="O539">
        <v>4</v>
      </c>
      <c r="P539" t="s">
        <v>114</v>
      </c>
    </row>
    <row r="540" spans="1:16" x14ac:dyDescent="0.25">
      <c r="A540" t="s">
        <v>1714</v>
      </c>
      <c r="B540" t="s">
        <v>1715</v>
      </c>
      <c r="C540" t="s">
        <v>29</v>
      </c>
      <c r="D540" t="s">
        <v>30</v>
      </c>
      <c r="E540" t="s">
        <v>44</v>
      </c>
      <c r="F540" t="s">
        <v>32</v>
      </c>
      <c r="G540" t="s">
        <v>80</v>
      </c>
      <c r="H540" t="s">
        <v>23</v>
      </c>
      <c r="I540" t="s">
        <v>57</v>
      </c>
      <c r="J540" t="s">
        <v>1716</v>
      </c>
      <c r="L540">
        <v>1.7</v>
      </c>
      <c r="M540">
        <v>208000</v>
      </c>
      <c r="N540">
        <v>1.8</v>
      </c>
      <c r="O540">
        <v>13</v>
      </c>
      <c r="P540" t="s">
        <v>26</v>
      </c>
    </row>
    <row r="541" spans="1:16" x14ac:dyDescent="0.25">
      <c r="A541" t="s">
        <v>1717</v>
      </c>
      <c r="B541" t="s">
        <v>1718</v>
      </c>
      <c r="C541" t="s">
        <v>18</v>
      </c>
      <c r="D541" t="s">
        <v>19</v>
      </c>
      <c r="E541" t="s">
        <v>31</v>
      </c>
      <c r="F541" t="s">
        <v>32</v>
      </c>
      <c r="G541" t="s">
        <v>22</v>
      </c>
      <c r="H541" t="s">
        <v>46</v>
      </c>
      <c r="I541" t="s">
        <v>57</v>
      </c>
      <c r="J541" t="s">
        <v>1719</v>
      </c>
      <c r="L541">
        <v>2.7</v>
      </c>
      <c r="M541">
        <v>361000</v>
      </c>
      <c r="N541">
        <v>3.9</v>
      </c>
      <c r="O541">
        <v>10</v>
      </c>
      <c r="P541" t="s">
        <v>26</v>
      </c>
    </row>
    <row r="542" spans="1:16" x14ac:dyDescent="0.25">
      <c r="A542" t="s">
        <v>1720</v>
      </c>
      <c r="B542" t="s">
        <v>1721</v>
      </c>
      <c r="C542" t="s">
        <v>29</v>
      </c>
      <c r="D542" t="s">
        <v>50</v>
      </c>
      <c r="E542" t="s">
        <v>20</v>
      </c>
      <c r="F542" t="s">
        <v>21</v>
      </c>
      <c r="G542" t="s">
        <v>22</v>
      </c>
      <c r="H542" t="s">
        <v>23</v>
      </c>
      <c r="I542" t="s">
        <v>24</v>
      </c>
      <c r="J542" t="s">
        <v>1158</v>
      </c>
      <c r="L542">
        <v>2.2999999999999998</v>
      </c>
      <c r="M542">
        <v>801000</v>
      </c>
      <c r="N542">
        <v>4.7</v>
      </c>
      <c r="O542">
        <v>3</v>
      </c>
      <c r="P542" t="s">
        <v>26</v>
      </c>
    </row>
    <row r="543" spans="1:16" x14ac:dyDescent="0.25">
      <c r="A543" t="s">
        <v>1722</v>
      </c>
      <c r="B543" t="s">
        <v>1723</v>
      </c>
      <c r="C543" t="s">
        <v>18</v>
      </c>
      <c r="D543" t="s">
        <v>79</v>
      </c>
      <c r="E543" t="s">
        <v>44</v>
      </c>
      <c r="F543" t="s">
        <v>21</v>
      </c>
      <c r="G543" t="s">
        <v>80</v>
      </c>
      <c r="H543" t="s">
        <v>62</v>
      </c>
      <c r="I543" t="s">
        <v>57</v>
      </c>
      <c r="J543" t="s">
        <v>416</v>
      </c>
      <c r="L543">
        <v>1.6</v>
      </c>
      <c r="M543">
        <v>854000</v>
      </c>
      <c r="N543">
        <v>4.2</v>
      </c>
      <c r="O543">
        <v>3</v>
      </c>
      <c r="P543" t="s">
        <v>26</v>
      </c>
    </row>
    <row r="544" spans="1:16" x14ac:dyDescent="0.25">
      <c r="A544" t="s">
        <v>1724</v>
      </c>
      <c r="B544" t="s">
        <v>1725</v>
      </c>
      <c r="C544" t="s">
        <v>252</v>
      </c>
      <c r="D544" t="s">
        <v>79</v>
      </c>
      <c r="E544" t="s">
        <v>20</v>
      </c>
      <c r="F544" t="s">
        <v>32</v>
      </c>
      <c r="G544" t="s">
        <v>69</v>
      </c>
      <c r="H544" t="s">
        <v>23</v>
      </c>
      <c r="I544" t="s">
        <v>75</v>
      </c>
      <c r="J544" t="s">
        <v>963</v>
      </c>
      <c r="L544">
        <v>3.5</v>
      </c>
      <c r="M544">
        <v>219000</v>
      </c>
      <c r="N544">
        <v>4.4000000000000004</v>
      </c>
      <c r="O544">
        <v>2</v>
      </c>
      <c r="P544" t="s">
        <v>26</v>
      </c>
    </row>
    <row r="545" spans="1:16" x14ac:dyDescent="0.25">
      <c r="A545" t="s">
        <v>1726</v>
      </c>
      <c r="B545" t="s">
        <v>869</v>
      </c>
      <c r="C545" t="s">
        <v>18</v>
      </c>
      <c r="D545" t="s">
        <v>79</v>
      </c>
      <c r="E545" t="s">
        <v>20</v>
      </c>
      <c r="F545" t="s">
        <v>32</v>
      </c>
      <c r="G545" t="s">
        <v>22</v>
      </c>
      <c r="H545" t="s">
        <v>46</v>
      </c>
      <c r="I545" t="s">
        <v>24</v>
      </c>
      <c r="J545" t="s">
        <v>1085</v>
      </c>
      <c r="L545">
        <v>5.3</v>
      </c>
      <c r="M545">
        <v>189000</v>
      </c>
      <c r="N545">
        <v>4.9000000000000004</v>
      </c>
      <c r="O545">
        <v>8</v>
      </c>
      <c r="P545" t="s">
        <v>26</v>
      </c>
    </row>
    <row r="546" spans="1:16" x14ac:dyDescent="0.25">
      <c r="A546" t="s">
        <v>1727</v>
      </c>
      <c r="B546" t="s">
        <v>1728</v>
      </c>
      <c r="C546" t="s">
        <v>18</v>
      </c>
      <c r="D546" t="s">
        <v>30</v>
      </c>
      <c r="E546" t="s">
        <v>44</v>
      </c>
      <c r="F546" t="s">
        <v>39</v>
      </c>
      <c r="G546" t="s">
        <v>80</v>
      </c>
      <c r="H546" t="s">
        <v>62</v>
      </c>
      <c r="I546" t="s">
        <v>24</v>
      </c>
      <c r="J546" t="s">
        <v>1729</v>
      </c>
      <c r="L546">
        <v>2.1</v>
      </c>
      <c r="M546">
        <v>86000</v>
      </c>
      <c r="N546">
        <v>3.4</v>
      </c>
      <c r="O546">
        <v>6</v>
      </c>
      <c r="P546" t="s">
        <v>26</v>
      </c>
    </row>
    <row r="547" spans="1:16" x14ac:dyDescent="0.25">
      <c r="A547" t="s">
        <v>1730</v>
      </c>
      <c r="B547" t="s">
        <v>1731</v>
      </c>
      <c r="C547" t="s">
        <v>18</v>
      </c>
      <c r="D547" t="s">
        <v>79</v>
      </c>
      <c r="E547" t="s">
        <v>31</v>
      </c>
      <c r="F547" t="s">
        <v>21</v>
      </c>
      <c r="G547" t="s">
        <v>22</v>
      </c>
      <c r="H547" t="s">
        <v>46</v>
      </c>
      <c r="I547" t="s">
        <v>35</v>
      </c>
      <c r="J547" t="s">
        <v>1732</v>
      </c>
      <c r="K547" t="s">
        <v>99</v>
      </c>
      <c r="L547">
        <v>5.0999999999999996</v>
      </c>
      <c r="O547">
        <v>9</v>
      </c>
      <c r="P547" t="s">
        <v>72</v>
      </c>
    </row>
    <row r="548" spans="1:16" x14ac:dyDescent="0.25">
      <c r="A548" t="s">
        <v>1733</v>
      </c>
      <c r="B548" t="s">
        <v>1734</v>
      </c>
      <c r="C548" t="s">
        <v>18</v>
      </c>
      <c r="D548" t="s">
        <v>30</v>
      </c>
      <c r="E548" t="s">
        <v>20</v>
      </c>
      <c r="F548" t="s">
        <v>39</v>
      </c>
      <c r="G548" t="s">
        <v>22</v>
      </c>
      <c r="H548" t="s">
        <v>34</v>
      </c>
      <c r="I548" t="s">
        <v>75</v>
      </c>
      <c r="J548" t="s">
        <v>466</v>
      </c>
      <c r="K548" t="s">
        <v>1735</v>
      </c>
      <c r="L548">
        <v>3.7</v>
      </c>
      <c r="M548">
        <v>126000</v>
      </c>
      <c r="N548">
        <v>1.7</v>
      </c>
      <c r="O548">
        <v>8</v>
      </c>
      <c r="P548" t="s">
        <v>53</v>
      </c>
    </row>
    <row r="549" spans="1:16" x14ac:dyDescent="0.25">
      <c r="A549" t="s">
        <v>1736</v>
      </c>
      <c r="B549" t="s">
        <v>1737</v>
      </c>
      <c r="C549" t="s">
        <v>18</v>
      </c>
      <c r="D549" t="s">
        <v>50</v>
      </c>
      <c r="E549" t="s">
        <v>20</v>
      </c>
      <c r="F549" t="s">
        <v>39</v>
      </c>
      <c r="G549" t="s">
        <v>80</v>
      </c>
      <c r="H549" t="s">
        <v>46</v>
      </c>
      <c r="J549" t="s">
        <v>1738</v>
      </c>
      <c r="K549" t="s">
        <v>560</v>
      </c>
      <c r="L549">
        <v>2.5</v>
      </c>
      <c r="M549">
        <v>149000</v>
      </c>
      <c r="N549">
        <v>3</v>
      </c>
      <c r="O549">
        <v>3</v>
      </c>
      <c r="P549" t="s">
        <v>114</v>
      </c>
    </row>
    <row r="550" spans="1:16" x14ac:dyDescent="0.25">
      <c r="A550" t="s">
        <v>1739</v>
      </c>
      <c r="B550" t="s">
        <v>1740</v>
      </c>
      <c r="C550" t="s">
        <v>18</v>
      </c>
      <c r="D550" t="s">
        <v>43</v>
      </c>
      <c r="E550" t="s">
        <v>20</v>
      </c>
      <c r="F550" t="s">
        <v>32</v>
      </c>
      <c r="G550" t="s">
        <v>69</v>
      </c>
      <c r="H550" t="s">
        <v>62</v>
      </c>
      <c r="I550" t="s">
        <v>24</v>
      </c>
      <c r="J550" t="s">
        <v>1534</v>
      </c>
      <c r="L550">
        <v>5.2</v>
      </c>
      <c r="M550">
        <v>218000</v>
      </c>
      <c r="N550">
        <v>3.7</v>
      </c>
      <c r="O550">
        <v>11</v>
      </c>
      <c r="P550" t="s">
        <v>26</v>
      </c>
    </row>
    <row r="551" spans="1:16" x14ac:dyDescent="0.25">
      <c r="A551" t="s">
        <v>1741</v>
      </c>
      <c r="B551" t="s">
        <v>1742</v>
      </c>
      <c r="C551" t="s">
        <v>29</v>
      </c>
      <c r="D551" t="s">
        <v>30</v>
      </c>
      <c r="E551" t="s">
        <v>20</v>
      </c>
      <c r="F551" t="s">
        <v>39</v>
      </c>
      <c r="G551" t="s">
        <v>22</v>
      </c>
      <c r="H551" t="s">
        <v>23</v>
      </c>
      <c r="I551" t="s">
        <v>57</v>
      </c>
      <c r="J551" t="s">
        <v>1743</v>
      </c>
      <c r="K551" t="s">
        <v>1744</v>
      </c>
      <c r="L551">
        <v>1.3</v>
      </c>
      <c r="M551">
        <v>106000</v>
      </c>
      <c r="N551">
        <v>1.7</v>
      </c>
      <c r="P551" t="s">
        <v>72</v>
      </c>
    </row>
    <row r="552" spans="1:16" x14ac:dyDescent="0.25">
      <c r="A552" t="s">
        <v>1745</v>
      </c>
      <c r="B552" t="s">
        <v>1746</v>
      </c>
      <c r="C552" t="s">
        <v>29</v>
      </c>
      <c r="D552" t="s">
        <v>50</v>
      </c>
      <c r="E552" t="s">
        <v>31</v>
      </c>
      <c r="F552" t="s">
        <v>128</v>
      </c>
      <c r="G552" t="s">
        <v>22</v>
      </c>
      <c r="H552" t="s">
        <v>46</v>
      </c>
      <c r="I552" t="s">
        <v>171</v>
      </c>
      <c r="J552" t="s">
        <v>1747</v>
      </c>
      <c r="K552" t="s">
        <v>1748</v>
      </c>
      <c r="L552">
        <v>4.5</v>
      </c>
      <c r="M552">
        <v>399000</v>
      </c>
      <c r="N552">
        <v>3.4</v>
      </c>
      <c r="O552">
        <v>10</v>
      </c>
      <c r="P552" t="s">
        <v>53</v>
      </c>
    </row>
    <row r="553" spans="1:16" x14ac:dyDescent="0.25">
      <c r="A553" t="s">
        <v>1749</v>
      </c>
      <c r="B553" t="s">
        <v>1750</v>
      </c>
      <c r="C553" t="s">
        <v>18</v>
      </c>
      <c r="D553" t="s">
        <v>79</v>
      </c>
      <c r="E553" t="s">
        <v>20</v>
      </c>
      <c r="F553" t="s">
        <v>45</v>
      </c>
      <c r="G553" t="s">
        <v>33</v>
      </c>
      <c r="H553" t="s">
        <v>34</v>
      </c>
      <c r="I553" t="s">
        <v>35</v>
      </c>
      <c r="J553" t="s">
        <v>1751</v>
      </c>
      <c r="K553" t="s">
        <v>25</v>
      </c>
      <c r="L553">
        <v>4</v>
      </c>
      <c r="M553">
        <v>1795000</v>
      </c>
      <c r="N553">
        <v>4.2</v>
      </c>
      <c r="O553">
        <v>11</v>
      </c>
      <c r="P553" t="s">
        <v>53</v>
      </c>
    </row>
    <row r="554" spans="1:16" x14ac:dyDescent="0.25">
      <c r="A554" t="s">
        <v>1752</v>
      </c>
      <c r="B554" t="s">
        <v>1753</v>
      </c>
      <c r="C554" t="s">
        <v>29</v>
      </c>
      <c r="D554" t="s">
        <v>43</v>
      </c>
      <c r="E554" t="s">
        <v>20</v>
      </c>
      <c r="G554" t="s">
        <v>22</v>
      </c>
      <c r="H554" t="s">
        <v>23</v>
      </c>
      <c r="I554" t="s">
        <v>57</v>
      </c>
      <c r="J554" t="s">
        <v>1754</v>
      </c>
      <c r="L554">
        <v>2.6</v>
      </c>
      <c r="M554">
        <v>154000</v>
      </c>
      <c r="N554">
        <v>3.5</v>
      </c>
      <c r="O554">
        <v>29</v>
      </c>
      <c r="P554" t="s">
        <v>26</v>
      </c>
    </row>
    <row r="555" spans="1:16" x14ac:dyDescent="0.25">
      <c r="A555" t="s">
        <v>1755</v>
      </c>
      <c r="B555" t="s">
        <v>1756</v>
      </c>
      <c r="C555" t="s">
        <v>18</v>
      </c>
      <c r="D555" t="s">
        <v>50</v>
      </c>
      <c r="E555" t="s">
        <v>20</v>
      </c>
      <c r="F555" t="s">
        <v>128</v>
      </c>
      <c r="G555" t="s">
        <v>22</v>
      </c>
      <c r="H555" t="s">
        <v>34</v>
      </c>
      <c r="I555" t="s">
        <v>75</v>
      </c>
      <c r="J555" t="s">
        <v>1712</v>
      </c>
      <c r="K555" t="s">
        <v>784</v>
      </c>
      <c r="L555">
        <v>1.5</v>
      </c>
      <c r="M555">
        <v>583000</v>
      </c>
      <c r="N555">
        <v>4.0999999999999996</v>
      </c>
      <c r="O555">
        <v>4</v>
      </c>
      <c r="P555" t="s">
        <v>53</v>
      </c>
    </row>
    <row r="556" spans="1:16" x14ac:dyDescent="0.25">
      <c r="A556" t="s">
        <v>1757</v>
      </c>
      <c r="B556" t="s">
        <v>1758</v>
      </c>
      <c r="C556" t="s">
        <v>29</v>
      </c>
      <c r="D556" t="s">
        <v>79</v>
      </c>
      <c r="E556" t="s">
        <v>44</v>
      </c>
      <c r="F556" t="s">
        <v>128</v>
      </c>
      <c r="G556" t="s">
        <v>22</v>
      </c>
      <c r="H556" t="s">
        <v>23</v>
      </c>
      <c r="I556" t="s">
        <v>57</v>
      </c>
      <c r="J556" t="s">
        <v>1759</v>
      </c>
      <c r="K556" t="s">
        <v>1760</v>
      </c>
      <c r="L556">
        <v>5.9</v>
      </c>
      <c r="M556">
        <v>372000</v>
      </c>
      <c r="N556">
        <v>2.5</v>
      </c>
      <c r="O556">
        <v>2</v>
      </c>
      <c r="P556" t="s">
        <v>53</v>
      </c>
    </row>
    <row r="557" spans="1:16" x14ac:dyDescent="0.25">
      <c r="A557" t="s">
        <v>1761</v>
      </c>
      <c r="B557" t="s">
        <v>1762</v>
      </c>
      <c r="C557" t="s">
        <v>18</v>
      </c>
      <c r="D557" t="s">
        <v>50</v>
      </c>
      <c r="E557" t="s">
        <v>20</v>
      </c>
      <c r="F557" t="s">
        <v>32</v>
      </c>
      <c r="G557" t="s">
        <v>22</v>
      </c>
      <c r="H557" t="s">
        <v>34</v>
      </c>
      <c r="I557" t="s">
        <v>24</v>
      </c>
      <c r="J557" t="s">
        <v>1763</v>
      </c>
      <c r="L557">
        <v>2.1</v>
      </c>
      <c r="M557">
        <v>267000</v>
      </c>
      <c r="N557">
        <v>2.1</v>
      </c>
      <c r="O557">
        <v>3</v>
      </c>
      <c r="P557" t="s">
        <v>26</v>
      </c>
    </row>
    <row r="558" spans="1:16" x14ac:dyDescent="0.25">
      <c r="A558" t="s">
        <v>1764</v>
      </c>
      <c r="B558" t="s">
        <v>1765</v>
      </c>
      <c r="C558" t="s">
        <v>18</v>
      </c>
      <c r="D558" t="s">
        <v>79</v>
      </c>
      <c r="E558" t="s">
        <v>20</v>
      </c>
      <c r="F558" t="s">
        <v>128</v>
      </c>
      <c r="G558" t="s">
        <v>80</v>
      </c>
      <c r="H558" t="s">
        <v>62</v>
      </c>
      <c r="I558" t="s">
        <v>24</v>
      </c>
      <c r="J558" t="s">
        <v>811</v>
      </c>
      <c r="L558">
        <v>5</v>
      </c>
      <c r="M558">
        <v>437000</v>
      </c>
      <c r="N558">
        <v>3.9</v>
      </c>
      <c r="O558">
        <v>0</v>
      </c>
      <c r="P558" t="s">
        <v>26</v>
      </c>
    </row>
    <row r="559" spans="1:16" x14ac:dyDescent="0.25">
      <c r="A559" t="s">
        <v>1766</v>
      </c>
      <c r="B559" t="s">
        <v>1767</v>
      </c>
      <c r="C559" t="s">
        <v>18</v>
      </c>
      <c r="D559" t="s">
        <v>43</v>
      </c>
      <c r="E559" t="s">
        <v>20</v>
      </c>
      <c r="F559" t="s">
        <v>39</v>
      </c>
      <c r="G559" t="s">
        <v>33</v>
      </c>
      <c r="H559" t="s">
        <v>46</v>
      </c>
      <c r="I559" t="s">
        <v>24</v>
      </c>
      <c r="J559" t="s">
        <v>1768</v>
      </c>
      <c r="L559">
        <v>3.4</v>
      </c>
      <c r="M559">
        <v>85000</v>
      </c>
      <c r="N559">
        <v>3.5</v>
      </c>
      <c r="O559">
        <v>12</v>
      </c>
      <c r="P559" t="s">
        <v>26</v>
      </c>
    </row>
    <row r="560" spans="1:16" x14ac:dyDescent="0.25">
      <c r="A560" t="s">
        <v>1769</v>
      </c>
      <c r="B560" t="s">
        <v>1770</v>
      </c>
      <c r="C560" t="s">
        <v>29</v>
      </c>
      <c r="D560" t="s">
        <v>50</v>
      </c>
      <c r="E560" t="s">
        <v>20</v>
      </c>
      <c r="F560" t="s">
        <v>128</v>
      </c>
      <c r="G560" t="s">
        <v>80</v>
      </c>
      <c r="H560" t="s">
        <v>34</v>
      </c>
      <c r="I560" t="s">
        <v>57</v>
      </c>
      <c r="J560" t="s">
        <v>1771</v>
      </c>
      <c r="L560">
        <v>2.7</v>
      </c>
      <c r="M560">
        <v>577000</v>
      </c>
      <c r="N560">
        <v>2.2999999999999998</v>
      </c>
      <c r="O560">
        <v>0</v>
      </c>
      <c r="P560" t="s">
        <v>26</v>
      </c>
    </row>
    <row r="561" spans="1:16" x14ac:dyDescent="0.25">
      <c r="A561" t="s">
        <v>1772</v>
      </c>
      <c r="B561" t="s">
        <v>1773</v>
      </c>
      <c r="C561" t="s">
        <v>18</v>
      </c>
      <c r="D561" t="s">
        <v>19</v>
      </c>
      <c r="E561" t="s">
        <v>20</v>
      </c>
      <c r="F561" t="s">
        <v>39</v>
      </c>
      <c r="G561" t="s">
        <v>33</v>
      </c>
      <c r="H561" t="s">
        <v>34</v>
      </c>
      <c r="I561" t="s">
        <v>35</v>
      </c>
      <c r="J561" t="s">
        <v>1774</v>
      </c>
      <c r="L561">
        <v>6.2</v>
      </c>
      <c r="M561">
        <v>173000</v>
      </c>
      <c r="N561">
        <v>4.8</v>
      </c>
      <c r="O561">
        <v>4</v>
      </c>
      <c r="P561" t="s">
        <v>26</v>
      </c>
    </row>
    <row r="562" spans="1:16" x14ac:dyDescent="0.25">
      <c r="A562" t="s">
        <v>1775</v>
      </c>
      <c r="B562" t="s">
        <v>1776</v>
      </c>
      <c r="C562" t="s">
        <v>29</v>
      </c>
      <c r="D562" t="s">
        <v>30</v>
      </c>
      <c r="E562" t="s">
        <v>20</v>
      </c>
      <c r="F562" t="s">
        <v>39</v>
      </c>
      <c r="G562" t="s">
        <v>80</v>
      </c>
      <c r="H562" t="s">
        <v>34</v>
      </c>
      <c r="I562" t="s">
        <v>24</v>
      </c>
      <c r="J562" t="s">
        <v>445</v>
      </c>
      <c r="K562" t="s">
        <v>745</v>
      </c>
      <c r="L562">
        <v>1.6</v>
      </c>
      <c r="M562">
        <v>87000</v>
      </c>
      <c r="N562">
        <v>1.7</v>
      </c>
      <c r="O562">
        <v>12</v>
      </c>
      <c r="P562" t="s">
        <v>72</v>
      </c>
    </row>
    <row r="563" spans="1:16" x14ac:dyDescent="0.25">
      <c r="A563" t="s">
        <v>1777</v>
      </c>
      <c r="B563" t="s">
        <v>1778</v>
      </c>
      <c r="C563" t="s">
        <v>29</v>
      </c>
      <c r="D563" t="s">
        <v>79</v>
      </c>
      <c r="E563" t="s">
        <v>20</v>
      </c>
      <c r="F563" t="s">
        <v>128</v>
      </c>
      <c r="G563" t="s">
        <v>22</v>
      </c>
      <c r="H563" t="s">
        <v>46</v>
      </c>
      <c r="I563" t="s">
        <v>35</v>
      </c>
      <c r="J563" t="s">
        <v>1779</v>
      </c>
      <c r="L563">
        <v>6.1</v>
      </c>
      <c r="M563">
        <v>427000</v>
      </c>
      <c r="N563">
        <v>2.2999999999999998</v>
      </c>
      <c r="O563">
        <v>8</v>
      </c>
      <c r="P563" t="s">
        <v>26</v>
      </c>
    </row>
    <row r="564" spans="1:16" x14ac:dyDescent="0.25">
      <c r="A564" t="s">
        <v>1780</v>
      </c>
      <c r="B564" t="s">
        <v>999</v>
      </c>
      <c r="C564" t="s">
        <v>18</v>
      </c>
      <c r="D564" t="s">
        <v>50</v>
      </c>
      <c r="E564" t="s">
        <v>810</v>
      </c>
      <c r="G564" t="s">
        <v>33</v>
      </c>
      <c r="H564" t="s">
        <v>23</v>
      </c>
      <c r="I564" t="s">
        <v>57</v>
      </c>
      <c r="J564" t="s">
        <v>1781</v>
      </c>
      <c r="K564" t="s">
        <v>1782</v>
      </c>
      <c r="L564">
        <v>1.4</v>
      </c>
      <c r="M564">
        <v>477000</v>
      </c>
      <c r="N564">
        <v>4.8</v>
      </c>
      <c r="O564">
        <v>2</v>
      </c>
      <c r="P564" t="s">
        <v>53</v>
      </c>
    </row>
    <row r="565" spans="1:16" x14ac:dyDescent="0.25">
      <c r="A565" t="s">
        <v>1783</v>
      </c>
      <c r="B565" t="s">
        <v>1784</v>
      </c>
      <c r="C565" t="s">
        <v>18</v>
      </c>
      <c r="D565" t="s">
        <v>19</v>
      </c>
      <c r="E565" t="s">
        <v>20</v>
      </c>
      <c r="F565" t="s">
        <v>128</v>
      </c>
      <c r="G565" t="s">
        <v>22</v>
      </c>
      <c r="H565" t="s">
        <v>34</v>
      </c>
      <c r="I565" t="s">
        <v>24</v>
      </c>
      <c r="J565" t="s">
        <v>1785</v>
      </c>
      <c r="K565" t="s">
        <v>837</v>
      </c>
      <c r="L565">
        <v>4</v>
      </c>
      <c r="M565">
        <v>457000</v>
      </c>
      <c r="N565">
        <v>3.4</v>
      </c>
      <c r="O565">
        <v>14</v>
      </c>
      <c r="P565" t="s">
        <v>53</v>
      </c>
    </row>
    <row r="566" spans="1:16" x14ac:dyDescent="0.25">
      <c r="A566" t="s">
        <v>1786</v>
      </c>
      <c r="B566" t="s">
        <v>1787</v>
      </c>
      <c r="C566" t="s">
        <v>18</v>
      </c>
      <c r="D566" t="s">
        <v>30</v>
      </c>
      <c r="E566" t="s">
        <v>20</v>
      </c>
      <c r="F566" t="s">
        <v>39</v>
      </c>
      <c r="G566" t="s">
        <v>22</v>
      </c>
      <c r="H566" t="s">
        <v>62</v>
      </c>
      <c r="J566" t="s">
        <v>1788</v>
      </c>
      <c r="L566">
        <v>4.9000000000000004</v>
      </c>
      <c r="N566">
        <v>2.9</v>
      </c>
      <c r="O566">
        <v>10</v>
      </c>
      <c r="P566" t="s">
        <v>26</v>
      </c>
    </row>
    <row r="567" spans="1:16" x14ac:dyDescent="0.25">
      <c r="A567" t="s">
        <v>1789</v>
      </c>
      <c r="B567" t="s">
        <v>1790</v>
      </c>
      <c r="C567" t="s">
        <v>18</v>
      </c>
      <c r="D567" t="s">
        <v>50</v>
      </c>
      <c r="E567" t="s">
        <v>20</v>
      </c>
      <c r="F567" t="s">
        <v>32</v>
      </c>
      <c r="G567" t="s">
        <v>22</v>
      </c>
      <c r="H567" t="s">
        <v>23</v>
      </c>
      <c r="I567" t="s">
        <v>35</v>
      </c>
      <c r="J567" t="s">
        <v>1545</v>
      </c>
      <c r="L567">
        <v>3.5</v>
      </c>
      <c r="O567">
        <v>6</v>
      </c>
      <c r="P567" t="s">
        <v>26</v>
      </c>
    </row>
    <row r="568" spans="1:16" x14ac:dyDescent="0.25">
      <c r="A568" t="s">
        <v>1791</v>
      </c>
      <c r="B568" t="s">
        <v>1792</v>
      </c>
      <c r="C568" t="s">
        <v>18</v>
      </c>
      <c r="D568" t="s">
        <v>30</v>
      </c>
      <c r="E568" t="s">
        <v>20</v>
      </c>
      <c r="F568" t="s">
        <v>32</v>
      </c>
      <c r="G568" t="s">
        <v>33</v>
      </c>
      <c r="H568" t="s">
        <v>46</v>
      </c>
      <c r="I568" t="s">
        <v>24</v>
      </c>
      <c r="J568" t="s">
        <v>645</v>
      </c>
      <c r="L568">
        <v>1.6</v>
      </c>
      <c r="M568">
        <v>245000</v>
      </c>
      <c r="N568">
        <v>1.6</v>
      </c>
      <c r="O568">
        <v>6</v>
      </c>
      <c r="P568" t="s">
        <v>26</v>
      </c>
    </row>
    <row r="569" spans="1:16" x14ac:dyDescent="0.25">
      <c r="A569" t="s">
        <v>1793</v>
      </c>
      <c r="B569" t="s">
        <v>1794</v>
      </c>
      <c r="C569" t="s">
        <v>18</v>
      </c>
      <c r="D569" t="s">
        <v>79</v>
      </c>
      <c r="E569" t="s">
        <v>20</v>
      </c>
      <c r="F569" t="s">
        <v>21</v>
      </c>
      <c r="G569" t="s">
        <v>22</v>
      </c>
      <c r="H569" t="s">
        <v>34</v>
      </c>
      <c r="I569" t="s">
        <v>35</v>
      </c>
      <c r="J569" t="s">
        <v>1795</v>
      </c>
      <c r="L569">
        <v>3.1</v>
      </c>
      <c r="M569">
        <v>769000</v>
      </c>
      <c r="N569">
        <v>4.8</v>
      </c>
      <c r="O569">
        <v>3</v>
      </c>
      <c r="P569" t="s">
        <v>26</v>
      </c>
    </row>
    <row r="570" spans="1:16" x14ac:dyDescent="0.25">
      <c r="A570" t="s">
        <v>1796</v>
      </c>
      <c r="B570" t="s">
        <v>1797</v>
      </c>
      <c r="C570" t="s">
        <v>18</v>
      </c>
      <c r="D570" t="s">
        <v>19</v>
      </c>
      <c r="E570" t="s">
        <v>44</v>
      </c>
      <c r="F570" t="s">
        <v>39</v>
      </c>
      <c r="G570" t="s">
        <v>80</v>
      </c>
      <c r="H570" t="s">
        <v>34</v>
      </c>
      <c r="I570" t="s">
        <v>24</v>
      </c>
      <c r="J570" t="s">
        <v>1798</v>
      </c>
      <c r="L570">
        <v>5.3</v>
      </c>
      <c r="M570">
        <v>198000</v>
      </c>
      <c r="N570">
        <v>4.5999999999999996</v>
      </c>
      <c r="O570">
        <v>14</v>
      </c>
      <c r="P570" t="s">
        <v>26</v>
      </c>
    </row>
    <row r="571" spans="1:16" x14ac:dyDescent="0.25">
      <c r="A571" t="s">
        <v>1799</v>
      </c>
      <c r="B571" t="s">
        <v>1800</v>
      </c>
      <c r="C571" t="s">
        <v>18</v>
      </c>
      <c r="D571" t="s">
        <v>19</v>
      </c>
      <c r="E571" t="s">
        <v>20</v>
      </c>
      <c r="F571" t="s">
        <v>32</v>
      </c>
      <c r="G571" t="s">
        <v>22</v>
      </c>
      <c r="H571" t="s">
        <v>46</v>
      </c>
      <c r="I571" t="s">
        <v>24</v>
      </c>
      <c r="J571" t="s">
        <v>1677</v>
      </c>
      <c r="L571">
        <v>5.7</v>
      </c>
      <c r="M571">
        <v>354000</v>
      </c>
      <c r="N571">
        <v>4.8</v>
      </c>
      <c r="O571">
        <v>16</v>
      </c>
      <c r="P571" t="s">
        <v>26</v>
      </c>
    </row>
    <row r="572" spans="1:16" x14ac:dyDescent="0.25">
      <c r="A572" t="s">
        <v>1283</v>
      </c>
      <c r="B572" t="s">
        <v>1284</v>
      </c>
      <c r="C572" t="s">
        <v>18</v>
      </c>
      <c r="D572" t="s">
        <v>43</v>
      </c>
      <c r="E572" t="s">
        <v>44</v>
      </c>
      <c r="F572" t="s">
        <v>39</v>
      </c>
      <c r="G572" t="s">
        <v>22</v>
      </c>
      <c r="H572" t="s">
        <v>62</v>
      </c>
      <c r="I572" t="s">
        <v>24</v>
      </c>
      <c r="J572" t="s">
        <v>1285</v>
      </c>
      <c r="L572">
        <v>1.9</v>
      </c>
      <c r="M572">
        <v>109000</v>
      </c>
      <c r="N572">
        <v>4.3</v>
      </c>
      <c r="O572">
        <v>13</v>
      </c>
      <c r="P572" t="s">
        <v>26</v>
      </c>
    </row>
    <row r="573" spans="1:16" x14ac:dyDescent="0.25">
      <c r="A573" t="s">
        <v>1801</v>
      </c>
      <c r="B573" t="s">
        <v>1802</v>
      </c>
      <c r="C573" t="s">
        <v>18</v>
      </c>
      <c r="D573" t="s">
        <v>79</v>
      </c>
      <c r="F573" t="s">
        <v>21</v>
      </c>
      <c r="G573" t="s">
        <v>80</v>
      </c>
      <c r="H573" t="s">
        <v>34</v>
      </c>
      <c r="I573" t="s">
        <v>24</v>
      </c>
      <c r="J573" t="s">
        <v>1803</v>
      </c>
      <c r="K573" t="s">
        <v>1804</v>
      </c>
      <c r="L573">
        <v>5.7</v>
      </c>
      <c r="M573">
        <v>865000</v>
      </c>
      <c r="N573">
        <v>4.5</v>
      </c>
      <c r="O573">
        <v>27</v>
      </c>
      <c r="P573" t="s">
        <v>53</v>
      </c>
    </row>
    <row r="574" spans="1:16" x14ac:dyDescent="0.25">
      <c r="A574" t="s">
        <v>1805</v>
      </c>
      <c r="B574" t="s">
        <v>1806</v>
      </c>
      <c r="C574" t="s">
        <v>29</v>
      </c>
      <c r="D574" t="s">
        <v>30</v>
      </c>
      <c r="E574" t="s">
        <v>31</v>
      </c>
      <c r="F574" t="s">
        <v>32</v>
      </c>
      <c r="G574" t="s">
        <v>22</v>
      </c>
      <c r="H574" t="s">
        <v>46</v>
      </c>
      <c r="I574" t="s">
        <v>75</v>
      </c>
      <c r="J574" t="s">
        <v>1807</v>
      </c>
      <c r="L574">
        <v>4.7</v>
      </c>
      <c r="M574">
        <v>313000</v>
      </c>
      <c r="O574">
        <v>8</v>
      </c>
      <c r="P574" t="s">
        <v>26</v>
      </c>
    </row>
    <row r="575" spans="1:16" x14ac:dyDescent="0.25">
      <c r="A575" t="s">
        <v>1808</v>
      </c>
      <c r="B575" t="s">
        <v>1809</v>
      </c>
      <c r="C575" t="s">
        <v>18</v>
      </c>
      <c r="D575" t="s">
        <v>50</v>
      </c>
      <c r="E575" t="s">
        <v>20</v>
      </c>
      <c r="F575" t="s">
        <v>32</v>
      </c>
      <c r="G575" t="s">
        <v>33</v>
      </c>
      <c r="I575" t="s">
        <v>24</v>
      </c>
      <c r="J575" t="s">
        <v>1810</v>
      </c>
      <c r="K575" t="s">
        <v>1811</v>
      </c>
      <c r="L575">
        <v>2.7</v>
      </c>
      <c r="M575">
        <v>192000</v>
      </c>
      <c r="N575">
        <v>3.6</v>
      </c>
      <c r="O575">
        <v>13</v>
      </c>
      <c r="P575" t="s">
        <v>72</v>
      </c>
    </row>
    <row r="576" spans="1:16" x14ac:dyDescent="0.25">
      <c r="A576" t="s">
        <v>1812</v>
      </c>
      <c r="B576" t="s">
        <v>1813</v>
      </c>
      <c r="C576" t="s">
        <v>18</v>
      </c>
      <c r="D576" t="s">
        <v>79</v>
      </c>
      <c r="F576" t="s">
        <v>32</v>
      </c>
      <c r="G576" t="s">
        <v>33</v>
      </c>
      <c r="H576" t="s">
        <v>23</v>
      </c>
      <c r="I576" t="s">
        <v>24</v>
      </c>
      <c r="J576" t="s">
        <v>1814</v>
      </c>
      <c r="L576">
        <v>5.3</v>
      </c>
      <c r="M576">
        <v>296000</v>
      </c>
      <c r="N576">
        <v>2.6</v>
      </c>
      <c r="O576">
        <v>11</v>
      </c>
      <c r="P576" t="s">
        <v>26</v>
      </c>
    </row>
    <row r="577" spans="1:16" x14ac:dyDescent="0.25">
      <c r="A577" t="s">
        <v>1815</v>
      </c>
      <c r="B577" t="s">
        <v>1816</v>
      </c>
      <c r="C577" t="s">
        <v>29</v>
      </c>
      <c r="D577" t="s">
        <v>79</v>
      </c>
      <c r="E577" t="s">
        <v>31</v>
      </c>
      <c r="F577" t="s">
        <v>32</v>
      </c>
      <c r="G577" t="s">
        <v>80</v>
      </c>
      <c r="H577" t="s">
        <v>62</v>
      </c>
      <c r="I577" t="s">
        <v>57</v>
      </c>
      <c r="J577" t="s">
        <v>1817</v>
      </c>
      <c r="K577" t="s">
        <v>40</v>
      </c>
      <c r="L577">
        <v>4.7</v>
      </c>
      <c r="M577">
        <v>187000</v>
      </c>
      <c r="N577">
        <v>3.1</v>
      </c>
      <c r="O577">
        <v>4</v>
      </c>
      <c r="P577" t="s">
        <v>72</v>
      </c>
    </row>
    <row r="578" spans="1:16" x14ac:dyDescent="0.25">
      <c r="A578" t="s">
        <v>1818</v>
      </c>
      <c r="B578" t="s">
        <v>1262</v>
      </c>
      <c r="C578" t="s">
        <v>18</v>
      </c>
      <c r="D578" t="s">
        <v>50</v>
      </c>
      <c r="E578" t="s">
        <v>20</v>
      </c>
      <c r="G578" t="s">
        <v>22</v>
      </c>
      <c r="H578" t="s">
        <v>34</v>
      </c>
      <c r="I578" t="s">
        <v>171</v>
      </c>
      <c r="J578" t="s">
        <v>1269</v>
      </c>
      <c r="L578">
        <v>4.0999999999999996</v>
      </c>
      <c r="M578">
        <v>212000</v>
      </c>
      <c r="N578">
        <v>3.1</v>
      </c>
      <c r="O578">
        <v>9</v>
      </c>
      <c r="P578" t="s">
        <v>26</v>
      </c>
    </row>
    <row r="579" spans="1:16" x14ac:dyDescent="0.25">
      <c r="A579" t="s">
        <v>1819</v>
      </c>
      <c r="B579" t="s">
        <v>1820</v>
      </c>
      <c r="C579" t="s">
        <v>18</v>
      </c>
      <c r="D579" t="s">
        <v>30</v>
      </c>
      <c r="E579" t="s">
        <v>20</v>
      </c>
      <c r="F579" t="s">
        <v>32</v>
      </c>
      <c r="G579" t="s">
        <v>22</v>
      </c>
      <c r="I579" t="s">
        <v>24</v>
      </c>
      <c r="J579" t="s">
        <v>1743</v>
      </c>
      <c r="K579" t="s">
        <v>1821</v>
      </c>
      <c r="L579">
        <v>1.3</v>
      </c>
      <c r="M579">
        <v>248000</v>
      </c>
      <c r="N579">
        <v>2.2000000000000002</v>
      </c>
      <c r="O579">
        <v>0</v>
      </c>
      <c r="P579" t="s">
        <v>53</v>
      </c>
    </row>
    <row r="580" spans="1:16" x14ac:dyDescent="0.25">
      <c r="A580" t="s">
        <v>1822</v>
      </c>
      <c r="B580" t="s">
        <v>259</v>
      </c>
      <c r="C580" t="s">
        <v>29</v>
      </c>
      <c r="D580" t="s">
        <v>43</v>
      </c>
      <c r="E580" t="s">
        <v>20</v>
      </c>
      <c r="F580" t="s">
        <v>39</v>
      </c>
      <c r="G580" t="s">
        <v>22</v>
      </c>
      <c r="H580" t="s">
        <v>34</v>
      </c>
      <c r="I580" t="s">
        <v>57</v>
      </c>
      <c r="J580" t="s">
        <v>500</v>
      </c>
      <c r="L580">
        <v>5.5</v>
      </c>
      <c r="M580">
        <v>85000</v>
      </c>
      <c r="N580">
        <v>3.7</v>
      </c>
      <c r="O580">
        <v>0</v>
      </c>
      <c r="P580" t="s">
        <v>26</v>
      </c>
    </row>
    <row r="581" spans="1:16" x14ac:dyDescent="0.25">
      <c r="A581" t="s">
        <v>1823</v>
      </c>
      <c r="B581" t="s">
        <v>1824</v>
      </c>
      <c r="C581" t="s">
        <v>29</v>
      </c>
      <c r="D581" t="s">
        <v>50</v>
      </c>
      <c r="E581" t="s">
        <v>20</v>
      </c>
      <c r="F581" t="s">
        <v>45</v>
      </c>
      <c r="G581" t="s">
        <v>80</v>
      </c>
      <c r="H581" t="s">
        <v>62</v>
      </c>
      <c r="I581" t="s">
        <v>171</v>
      </c>
      <c r="J581" t="s">
        <v>1596</v>
      </c>
      <c r="K581" t="s">
        <v>1398</v>
      </c>
      <c r="L581">
        <v>4.3</v>
      </c>
      <c r="M581">
        <v>1058000</v>
      </c>
      <c r="N581">
        <v>4.5999999999999996</v>
      </c>
      <c r="O581">
        <v>2</v>
      </c>
      <c r="P581" t="s">
        <v>114</v>
      </c>
    </row>
    <row r="582" spans="1:16" x14ac:dyDescent="0.25">
      <c r="A582" t="s">
        <v>1825</v>
      </c>
      <c r="B582" t="s">
        <v>1826</v>
      </c>
      <c r="C582" t="s">
        <v>29</v>
      </c>
      <c r="D582" t="s">
        <v>43</v>
      </c>
      <c r="E582" t="s">
        <v>20</v>
      </c>
      <c r="F582" t="s">
        <v>32</v>
      </c>
      <c r="G582" t="s">
        <v>22</v>
      </c>
      <c r="H582" t="s">
        <v>34</v>
      </c>
      <c r="I582" t="s">
        <v>57</v>
      </c>
      <c r="J582" t="s">
        <v>1827</v>
      </c>
      <c r="K582" t="s">
        <v>654</v>
      </c>
      <c r="L582">
        <v>3.5</v>
      </c>
      <c r="M582">
        <v>272000</v>
      </c>
      <c r="N582">
        <v>3.8</v>
      </c>
      <c r="O582">
        <v>14</v>
      </c>
      <c r="P582" t="s">
        <v>53</v>
      </c>
    </row>
    <row r="583" spans="1:16" x14ac:dyDescent="0.25">
      <c r="A583" t="s">
        <v>1828</v>
      </c>
      <c r="B583" t="s">
        <v>1829</v>
      </c>
      <c r="C583" t="s">
        <v>29</v>
      </c>
      <c r="D583" t="s">
        <v>19</v>
      </c>
      <c r="E583" t="s">
        <v>20</v>
      </c>
      <c r="F583" t="s">
        <v>39</v>
      </c>
      <c r="G583" t="s">
        <v>22</v>
      </c>
      <c r="H583" t="s">
        <v>34</v>
      </c>
      <c r="I583" t="s">
        <v>35</v>
      </c>
      <c r="J583" t="s">
        <v>1830</v>
      </c>
      <c r="K583" t="s">
        <v>1831</v>
      </c>
      <c r="L583">
        <v>4.4000000000000004</v>
      </c>
      <c r="M583">
        <v>169000</v>
      </c>
      <c r="N583">
        <v>3.7</v>
      </c>
      <c r="O583">
        <v>3</v>
      </c>
      <c r="P583" t="s">
        <v>53</v>
      </c>
    </row>
    <row r="584" spans="1:16" x14ac:dyDescent="0.25">
      <c r="A584" t="s">
        <v>1832</v>
      </c>
      <c r="B584" t="s">
        <v>1833</v>
      </c>
      <c r="C584" t="s">
        <v>18</v>
      </c>
      <c r="D584" t="s">
        <v>50</v>
      </c>
      <c r="E584" t="s">
        <v>20</v>
      </c>
      <c r="F584" t="s">
        <v>39</v>
      </c>
      <c r="G584" t="s">
        <v>22</v>
      </c>
      <c r="H584" t="s">
        <v>23</v>
      </c>
      <c r="I584" t="s">
        <v>75</v>
      </c>
      <c r="J584" t="s">
        <v>1834</v>
      </c>
      <c r="L584">
        <v>1.6</v>
      </c>
      <c r="M584">
        <v>145000</v>
      </c>
      <c r="N584">
        <v>2.2000000000000002</v>
      </c>
      <c r="O584">
        <v>25</v>
      </c>
      <c r="P584" t="s">
        <v>26</v>
      </c>
    </row>
    <row r="585" spans="1:16" x14ac:dyDescent="0.25">
      <c r="A585" t="s">
        <v>1835</v>
      </c>
      <c r="B585" t="s">
        <v>1836</v>
      </c>
      <c r="C585" t="s">
        <v>18</v>
      </c>
      <c r="D585" t="s">
        <v>79</v>
      </c>
      <c r="E585" t="s">
        <v>20</v>
      </c>
      <c r="F585" t="s">
        <v>32</v>
      </c>
      <c r="G585" t="s">
        <v>80</v>
      </c>
      <c r="H585" t="s">
        <v>23</v>
      </c>
      <c r="I585" t="s">
        <v>75</v>
      </c>
      <c r="J585" t="s">
        <v>1378</v>
      </c>
      <c r="L585">
        <v>5.0999999999999996</v>
      </c>
      <c r="M585">
        <v>243000</v>
      </c>
      <c r="N585">
        <v>3.2</v>
      </c>
      <c r="O585">
        <v>3</v>
      </c>
      <c r="P585" t="s">
        <v>26</v>
      </c>
    </row>
    <row r="586" spans="1:16" x14ac:dyDescent="0.25">
      <c r="A586" t="s">
        <v>1837</v>
      </c>
      <c r="B586" t="s">
        <v>1838</v>
      </c>
      <c r="C586" t="s">
        <v>29</v>
      </c>
      <c r="D586" t="s">
        <v>43</v>
      </c>
      <c r="E586" t="s">
        <v>44</v>
      </c>
      <c r="F586" t="s">
        <v>39</v>
      </c>
      <c r="G586" t="s">
        <v>33</v>
      </c>
      <c r="H586" t="s">
        <v>34</v>
      </c>
      <c r="I586" t="s">
        <v>24</v>
      </c>
      <c r="J586" t="s">
        <v>1839</v>
      </c>
      <c r="L586">
        <v>5.7</v>
      </c>
      <c r="M586">
        <v>134000</v>
      </c>
      <c r="N586">
        <v>3.3</v>
      </c>
      <c r="O586">
        <v>40</v>
      </c>
      <c r="P586" t="s">
        <v>26</v>
      </c>
    </row>
    <row r="587" spans="1:16" x14ac:dyDescent="0.25">
      <c r="A587" t="s">
        <v>1840</v>
      </c>
      <c r="B587" t="s">
        <v>1841</v>
      </c>
      <c r="C587" t="s">
        <v>29</v>
      </c>
      <c r="D587" t="s">
        <v>50</v>
      </c>
      <c r="E587" t="s">
        <v>20</v>
      </c>
      <c r="F587" t="s">
        <v>39</v>
      </c>
      <c r="G587" t="s">
        <v>22</v>
      </c>
      <c r="H587" t="s">
        <v>34</v>
      </c>
      <c r="I587" t="s">
        <v>75</v>
      </c>
      <c r="J587" t="s">
        <v>1842</v>
      </c>
      <c r="K587" t="s">
        <v>129</v>
      </c>
      <c r="L587">
        <v>3.9</v>
      </c>
      <c r="M587">
        <v>169000</v>
      </c>
      <c r="N587">
        <v>3.3</v>
      </c>
      <c r="O587">
        <v>11</v>
      </c>
      <c r="P587" t="s">
        <v>53</v>
      </c>
    </row>
    <row r="588" spans="1:16" x14ac:dyDescent="0.25">
      <c r="A588" t="s">
        <v>1843</v>
      </c>
      <c r="B588" t="s">
        <v>1844</v>
      </c>
      <c r="C588" t="s">
        <v>29</v>
      </c>
      <c r="D588" t="s">
        <v>50</v>
      </c>
      <c r="E588" t="s">
        <v>44</v>
      </c>
      <c r="F588" t="s">
        <v>32</v>
      </c>
      <c r="G588" t="s">
        <v>80</v>
      </c>
      <c r="H588" t="s">
        <v>34</v>
      </c>
      <c r="J588" t="s">
        <v>1085</v>
      </c>
      <c r="L588">
        <v>5.3</v>
      </c>
      <c r="M588">
        <v>280000</v>
      </c>
      <c r="O588">
        <v>14</v>
      </c>
      <c r="P588" t="s">
        <v>26</v>
      </c>
    </row>
    <row r="589" spans="1:16" x14ac:dyDescent="0.25">
      <c r="A589" t="s">
        <v>1845</v>
      </c>
      <c r="B589" t="s">
        <v>1227</v>
      </c>
      <c r="C589" t="s">
        <v>18</v>
      </c>
      <c r="D589" t="s">
        <v>19</v>
      </c>
      <c r="E589" t="s">
        <v>20</v>
      </c>
      <c r="F589" t="s">
        <v>32</v>
      </c>
      <c r="G589" t="s">
        <v>80</v>
      </c>
      <c r="H589" t="s">
        <v>23</v>
      </c>
      <c r="I589" t="s">
        <v>57</v>
      </c>
      <c r="J589" t="s">
        <v>1846</v>
      </c>
      <c r="L589">
        <v>4</v>
      </c>
      <c r="M589">
        <v>301000</v>
      </c>
      <c r="N589">
        <v>4.9000000000000004</v>
      </c>
      <c r="O589">
        <v>2</v>
      </c>
      <c r="P589" t="s">
        <v>26</v>
      </c>
    </row>
    <row r="590" spans="1:16" x14ac:dyDescent="0.25">
      <c r="A590" t="s">
        <v>1847</v>
      </c>
      <c r="B590" t="s">
        <v>1848</v>
      </c>
      <c r="C590" t="s">
        <v>29</v>
      </c>
      <c r="D590" t="s">
        <v>50</v>
      </c>
      <c r="E590" t="s">
        <v>20</v>
      </c>
      <c r="F590" t="s">
        <v>39</v>
      </c>
      <c r="G590" t="s">
        <v>80</v>
      </c>
      <c r="H590" t="s">
        <v>46</v>
      </c>
      <c r="I590" t="s">
        <v>57</v>
      </c>
      <c r="J590" t="s">
        <v>1216</v>
      </c>
      <c r="K590" t="s">
        <v>1849</v>
      </c>
      <c r="L590">
        <v>2.8</v>
      </c>
      <c r="M590">
        <v>137000</v>
      </c>
      <c r="N590">
        <v>3.5</v>
      </c>
      <c r="O590">
        <v>1</v>
      </c>
      <c r="P590" t="s">
        <v>53</v>
      </c>
    </row>
    <row r="591" spans="1:16" x14ac:dyDescent="0.25">
      <c r="A591" t="s">
        <v>1850</v>
      </c>
      <c r="B591" t="s">
        <v>1851</v>
      </c>
      <c r="C591" t="s">
        <v>29</v>
      </c>
      <c r="D591" t="s">
        <v>30</v>
      </c>
      <c r="F591" t="s">
        <v>128</v>
      </c>
      <c r="G591" t="s">
        <v>22</v>
      </c>
      <c r="H591" t="s">
        <v>46</v>
      </c>
      <c r="I591" t="s">
        <v>75</v>
      </c>
      <c r="J591" t="s">
        <v>1091</v>
      </c>
      <c r="K591" t="s">
        <v>1852</v>
      </c>
      <c r="L591">
        <v>3.2</v>
      </c>
      <c r="M591">
        <v>450000</v>
      </c>
      <c r="N591">
        <v>4.5</v>
      </c>
      <c r="P591" t="s">
        <v>53</v>
      </c>
    </row>
    <row r="592" spans="1:16" x14ac:dyDescent="0.25">
      <c r="A592" t="s">
        <v>1853</v>
      </c>
      <c r="B592" t="s">
        <v>506</v>
      </c>
      <c r="C592" t="s">
        <v>18</v>
      </c>
      <c r="D592" t="s">
        <v>43</v>
      </c>
      <c r="E592" t="s">
        <v>44</v>
      </c>
      <c r="F592" t="s">
        <v>128</v>
      </c>
      <c r="G592" t="s">
        <v>33</v>
      </c>
      <c r="H592" t="s">
        <v>34</v>
      </c>
      <c r="I592" t="s">
        <v>24</v>
      </c>
      <c r="J592" t="s">
        <v>1854</v>
      </c>
      <c r="L592">
        <v>5</v>
      </c>
      <c r="M592">
        <v>421000</v>
      </c>
      <c r="N592">
        <v>3.7</v>
      </c>
      <c r="O592">
        <v>8</v>
      </c>
      <c r="P592" t="s">
        <v>26</v>
      </c>
    </row>
    <row r="593" spans="1:16" x14ac:dyDescent="0.25">
      <c r="A593" t="s">
        <v>1855</v>
      </c>
      <c r="B593" t="s">
        <v>1856</v>
      </c>
      <c r="C593" t="s">
        <v>18</v>
      </c>
      <c r="D593" t="s">
        <v>30</v>
      </c>
      <c r="E593" t="s">
        <v>20</v>
      </c>
      <c r="F593" t="s">
        <v>21</v>
      </c>
      <c r="G593" t="s">
        <v>22</v>
      </c>
      <c r="H593" t="s">
        <v>34</v>
      </c>
      <c r="I593" t="s">
        <v>24</v>
      </c>
      <c r="J593" t="s">
        <v>1857</v>
      </c>
      <c r="K593" t="s">
        <v>1394</v>
      </c>
      <c r="L593">
        <v>4.5999999999999996</v>
      </c>
      <c r="M593">
        <v>907000</v>
      </c>
      <c r="N593">
        <v>3.8</v>
      </c>
      <c r="O593">
        <v>9</v>
      </c>
      <c r="P593" t="s">
        <v>53</v>
      </c>
    </row>
    <row r="594" spans="1:16" x14ac:dyDescent="0.25">
      <c r="A594" t="s">
        <v>1858</v>
      </c>
      <c r="B594" t="s">
        <v>1859</v>
      </c>
      <c r="C594" t="s">
        <v>29</v>
      </c>
      <c r="D594" t="s">
        <v>50</v>
      </c>
      <c r="E594" t="s">
        <v>31</v>
      </c>
      <c r="F594" t="s">
        <v>45</v>
      </c>
      <c r="G594" t="s">
        <v>33</v>
      </c>
      <c r="H594" t="s">
        <v>34</v>
      </c>
      <c r="I594" t="s">
        <v>57</v>
      </c>
      <c r="J594" t="s">
        <v>1860</v>
      </c>
      <c r="L594">
        <v>5</v>
      </c>
      <c r="M594">
        <v>1429000</v>
      </c>
      <c r="N594">
        <v>3.8</v>
      </c>
      <c r="O594">
        <v>25</v>
      </c>
      <c r="P594" t="s">
        <v>26</v>
      </c>
    </row>
    <row r="595" spans="1:16" x14ac:dyDescent="0.25">
      <c r="A595" t="s">
        <v>1861</v>
      </c>
      <c r="B595" t="s">
        <v>1862</v>
      </c>
      <c r="C595" t="s">
        <v>29</v>
      </c>
      <c r="D595" t="s">
        <v>30</v>
      </c>
      <c r="F595" t="s">
        <v>39</v>
      </c>
      <c r="G595" t="s">
        <v>80</v>
      </c>
      <c r="H595" t="s">
        <v>46</v>
      </c>
      <c r="I595" t="s">
        <v>24</v>
      </c>
      <c r="J595" t="s">
        <v>881</v>
      </c>
      <c r="L595">
        <v>3.1</v>
      </c>
      <c r="M595">
        <v>159000</v>
      </c>
      <c r="N595">
        <v>3</v>
      </c>
      <c r="O595">
        <v>13</v>
      </c>
      <c r="P595" t="s">
        <v>26</v>
      </c>
    </row>
    <row r="596" spans="1:16" x14ac:dyDescent="0.25">
      <c r="A596" t="s">
        <v>1863</v>
      </c>
      <c r="B596" t="s">
        <v>471</v>
      </c>
      <c r="C596" t="s">
        <v>18</v>
      </c>
      <c r="D596" t="s">
        <v>79</v>
      </c>
      <c r="E596" t="s">
        <v>20</v>
      </c>
      <c r="F596" t="s">
        <v>21</v>
      </c>
      <c r="G596" t="s">
        <v>22</v>
      </c>
      <c r="H596" t="s">
        <v>23</v>
      </c>
      <c r="J596" t="s">
        <v>1864</v>
      </c>
      <c r="L596">
        <v>5.0999999999999996</v>
      </c>
      <c r="M596">
        <v>647000</v>
      </c>
      <c r="N596">
        <v>5</v>
      </c>
      <c r="O596">
        <v>3</v>
      </c>
      <c r="P596" t="s">
        <v>26</v>
      </c>
    </row>
    <row r="597" spans="1:16" x14ac:dyDescent="0.25">
      <c r="A597" t="s">
        <v>1865</v>
      </c>
      <c r="B597" t="s">
        <v>871</v>
      </c>
      <c r="C597" t="s">
        <v>29</v>
      </c>
      <c r="D597" t="s">
        <v>19</v>
      </c>
      <c r="E597" t="s">
        <v>44</v>
      </c>
      <c r="F597" t="s">
        <v>39</v>
      </c>
      <c r="G597" t="s">
        <v>33</v>
      </c>
      <c r="H597" t="s">
        <v>34</v>
      </c>
      <c r="I597" t="s">
        <v>57</v>
      </c>
      <c r="J597" t="s">
        <v>744</v>
      </c>
      <c r="L597">
        <v>3.1</v>
      </c>
      <c r="M597">
        <v>171000</v>
      </c>
      <c r="N597">
        <v>3.2</v>
      </c>
      <c r="O597">
        <v>8</v>
      </c>
      <c r="P597" t="s">
        <v>26</v>
      </c>
    </row>
    <row r="598" spans="1:16" x14ac:dyDescent="0.25">
      <c r="A598" t="s">
        <v>1866</v>
      </c>
      <c r="B598" t="s">
        <v>1867</v>
      </c>
      <c r="D598" t="s">
        <v>30</v>
      </c>
      <c r="E598" t="s">
        <v>20</v>
      </c>
      <c r="F598" t="s">
        <v>39</v>
      </c>
      <c r="G598" t="s">
        <v>80</v>
      </c>
      <c r="H598" t="s">
        <v>23</v>
      </c>
      <c r="I598" t="s">
        <v>24</v>
      </c>
      <c r="J598" t="s">
        <v>1846</v>
      </c>
      <c r="K598" t="s">
        <v>1510</v>
      </c>
      <c r="L598">
        <v>4</v>
      </c>
      <c r="M598">
        <v>169000</v>
      </c>
      <c r="N598">
        <v>2.9</v>
      </c>
      <c r="P598" t="s">
        <v>72</v>
      </c>
    </row>
    <row r="599" spans="1:16" x14ac:dyDescent="0.25">
      <c r="A599" t="s">
        <v>1868</v>
      </c>
      <c r="B599" t="s">
        <v>690</v>
      </c>
      <c r="C599" t="s">
        <v>18</v>
      </c>
      <c r="D599" t="s">
        <v>50</v>
      </c>
      <c r="E599" t="s">
        <v>31</v>
      </c>
      <c r="F599" t="s">
        <v>32</v>
      </c>
      <c r="G599" t="s">
        <v>33</v>
      </c>
      <c r="H599" t="s">
        <v>23</v>
      </c>
      <c r="I599" t="s">
        <v>35</v>
      </c>
      <c r="J599" t="s">
        <v>1869</v>
      </c>
      <c r="L599">
        <v>3.6</v>
      </c>
      <c r="N599">
        <v>3</v>
      </c>
      <c r="O599">
        <v>28</v>
      </c>
      <c r="P599" t="s">
        <v>26</v>
      </c>
    </row>
    <row r="600" spans="1:16" x14ac:dyDescent="0.25">
      <c r="A600" t="s">
        <v>1870</v>
      </c>
      <c r="B600" t="s">
        <v>1871</v>
      </c>
      <c r="C600" t="s">
        <v>18</v>
      </c>
      <c r="E600" t="s">
        <v>20</v>
      </c>
      <c r="F600" t="s">
        <v>21</v>
      </c>
      <c r="G600" t="s">
        <v>80</v>
      </c>
      <c r="H600" t="s">
        <v>34</v>
      </c>
      <c r="I600" t="s">
        <v>57</v>
      </c>
      <c r="J600" t="s">
        <v>1044</v>
      </c>
      <c r="L600">
        <v>6</v>
      </c>
      <c r="M600">
        <v>600000</v>
      </c>
      <c r="N600">
        <v>3.9</v>
      </c>
      <c r="O600">
        <v>11</v>
      </c>
      <c r="P600" t="s">
        <v>26</v>
      </c>
    </row>
    <row r="601" spans="1:16" x14ac:dyDescent="0.25">
      <c r="A601" t="s">
        <v>1872</v>
      </c>
      <c r="B601" t="s">
        <v>1873</v>
      </c>
      <c r="C601" t="s">
        <v>18</v>
      </c>
      <c r="D601" t="s">
        <v>79</v>
      </c>
      <c r="E601" t="s">
        <v>31</v>
      </c>
      <c r="F601" t="s">
        <v>32</v>
      </c>
      <c r="G601" t="s">
        <v>80</v>
      </c>
      <c r="H601" t="s">
        <v>46</v>
      </c>
      <c r="I601" t="s">
        <v>35</v>
      </c>
      <c r="J601" t="s">
        <v>1874</v>
      </c>
      <c r="K601" t="s">
        <v>1875</v>
      </c>
      <c r="L601">
        <v>5.4</v>
      </c>
      <c r="M601">
        <v>341000</v>
      </c>
      <c r="N601">
        <v>3.6</v>
      </c>
      <c r="O601">
        <v>12</v>
      </c>
      <c r="P601" t="s">
        <v>53</v>
      </c>
    </row>
    <row r="602" spans="1:16" x14ac:dyDescent="0.25">
      <c r="A602" t="s">
        <v>1876</v>
      </c>
      <c r="B602" t="s">
        <v>1877</v>
      </c>
      <c r="C602" t="s">
        <v>18</v>
      </c>
      <c r="D602" t="s">
        <v>43</v>
      </c>
      <c r="E602" t="s">
        <v>20</v>
      </c>
      <c r="F602" t="s">
        <v>32</v>
      </c>
      <c r="G602" t="s">
        <v>22</v>
      </c>
      <c r="H602" t="s">
        <v>23</v>
      </c>
      <c r="I602" t="s">
        <v>57</v>
      </c>
      <c r="J602" t="s">
        <v>1878</v>
      </c>
      <c r="L602">
        <v>2</v>
      </c>
      <c r="M602">
        <v>197000</v>
      </c>
      <c r="O602">
        <v>12</v>
      </c>
      <c r="P602" t="s">
        <v>26</v>
      </c>
    </row>
    <row r="603" spans="1:16" x14ac:dyDescent="0.25">
      <c r="A603" t="s">
        <v>1879</v>
      </c>
      <c r="B603" t="s">
        <v>1880</v>
      </c>
      <c r="C603" t="s">
        <v>18</v>
      </c>
      <c r="D603" t="s">
        <v>50</v>
      </c>
      <c r="E603" t="s">
        <v>20</v>
      </c>
      <c r="F603" t="s">
        <v>32</v>
      </c>
      <c r="G603" t="s">
        <v>80</v>
      </c>
      <c r="H603" t="s">
        <v>23</v>
      </c>
      <c r="I603" t="s">
        <v>24</v>
      </c>
      <c r="J603" t="s">
        <v>149</v>
      </c>
      <c r="L603">
        <v>2.5</v>
      </c>
      <c r="M603">
        <v>279000</v>
      </c>
      <c r="N603">
        <v>3.9</v>
      </c>
      <c r="O603">
        <v>10</v>
      </c>
      <c r="P603" t="s">
        <v>26</v>
      </c>
    </row>
    <row r="604" spans="1:16" x14ac:dyDescent="0.25">
      <c r="A604" t="s">
        <v>1881</v>
      </c>
      <c r="B604" t="s">
        <v>1882</v>
      </c>
      <c r="C604" t="s">
        <v>29</v>
      </c>
      <c r="D604" t="s">
        <v>79</v>
      </c>
      <c r="E604" t="s">
        <v>20</v>
      </c>
      <c r="F604" t="s">
        <v>128</v>
      </c>
      <c r="G604" t="s">
        <v>22</v>
      </c>
      <c r="H604" t="s">
        <v>34</v>
      </c>
      <c r="I604" t="s">
        <v>24</v>
      </c>
      <c r="J604" t="s">
        <v>1883</v>
      </c>
      <c r="K604" t="s">
        <v>145</v>
      </c>
      <c r="L604">
        <v>5.9</v>
      </c>
      <c r="M604">
        <v>488000</v>
      </c>
      <c r="N604">
        <v>3.6</v>
      </c>
      <c r="O604">
        <v>0</v>
      </c>
      <c r="P604" t="s">
        <v>114</v>
      </c>
    </row>
    <row r="605" spans="1:16" x14ac:dyDescent="0.25">
      <c r="A605" t="s">
        <v>1884</v>
      </c>
      <c r="B605" t="s">
        <v>1885</v>
      </c>
      <c r="C605" t="s">
        <v>29</v>
      </c>
      <c r="E605" t="s">
        <v>20</v>
      </c>
      <c r="F605" t="s">
        <v>45</v>
      </c>
      <c r="G605" t="s">
        <v>22</v>
      </c>
      <c r="H605" t="s">
        <v>23</v>
      </c>
      <c r="I605" t="s">
        <v>57</v>
      </c>
      <c r="J605" t="s">
        <v>1886</v>
      </c>
      <c r="K605" t="s">
        <v>1887</v>
      </c>
      <c r="L605">
        <v>2.1</v>
      </c>
      <c r="M605">
        <v>982000</v>
      </c>
      <c r="N605">
        <v>4</v>
      </c>
      <c r="O605">
        <v>2</v>
      </c>
      <c r="P605" t="s">
        <v>53</v>
      </c>
    </row>
    <row r="606" spans="1:16" x14ac:dyDescent="0.25">
      <c r="A606" t="s">
        <v>1888</v>
      </c>
      <c r="B606" t="s">
        <v>1889</v>
      </c>
      <c r="C606" t="s">
        <v>29</v>
      </c>
      <c r="D606" t="s">
        <v>43</v>
      </c>
      <c r="E606" t="s">
        <v>20</v>
      </c>
      <c r="F606" t="s">
        <v>128</v>
      </c>
      <c r="G606" t="s">
        <v>33</v>
      </c>
      <c r="H606" t="s">
        <v>23</v>
      </c>
      <c r="I606" t="s">
        <v>24</v>
      </c>
      <c r="J606" t="s">
        <v>1890</v>
      </c>
      <c r="K606" t="s">
        <v>1000</v>
      </c>
      <c r="L606">
        <v>3.9</v>
      </c>
      <c r="N606">
        <v>2.1</v>
      </c>
      <c r="O606">
        <v>10</v>
      </c>
      <c r="P606" t="s">
        <v>53</v>
      </c>
    </row>
    <row r="607" spans="1:16" x14ac:dyDescent="0.25">
      <c r="A607" t="s">
        <v>1891</v>
      </c>
      <c r="B607" t="s">
        <v>1892</v>
      </c>
      <c r="C607" t="s">
        <v>18</v>
      </c>
      <c r="D607" t="s">
        <v>50</v>
      </c>
      <c r="E607" t="s">
        <v>44</v>
      </c>
      <c r="G607" t="s">
        <v>22</v>
      </c>
      <c r="H607" t="s">
        <v>34</v>
      </c>
      <c r="I607" t="s">
        <v>24</v>
      </c>
      <c r="J607" t="s">
        <v>1893</v>
      </c>
      <c r="K607" t="s">
        <v>1894</v>
      </c>
      <c r="L607">
        <v>3.1</v>
      </c>
      <c r="M607">
        <v>171000</v>
      </c>
      <c r="N607">
        <v>2.1</v>
      </c>
      <c r="O607">
        <v>6</v>
      </c>
      <c r="P607" t="s">
        <v>53</v>
      </c>
    </row>
    <row r="608" spans="1:16" x14ac:dyDescent="0.25">
      <c r="A608" t="s">
        <v>1895</v>
      </c>
      <c r="B608" t="s">
        <v>1896</v>
      </c>
      <c r="C608" t="s">
        <v>18</v>
      </c>
      <c r="D608" t="s">
        <v>19</v>
      </c>
      <c r="E608" t="s">
        <v>20</v>
      </c>
      <c r="F608" t="s">
        <v>32</v>
      </c>
      <c r="G608" t="s">
        <v>22</v>
      </c>
      <c r="H608" t="s">
        <v>46</v>
      </c>
      <c r="I608" t="s">
        <v>35</v>
      </c>
      <c r="J608" t="s">
        <v>1897</v>
      </c>
      <c r="L608">
        <v>5.9</v>
      </c>
      <c r="M608">
        <v>326000</v>
      </c>
      <c r="N608">
        <v>2.1</v>
      </c>
      <c r="O608">
        <v>27</v>
      </c>
      <c r="P608" t="s">
        <v>26</v>
      </c>
    </row>
    <row r="609" spans="1:16" x14ac:dyDescent="0.25">
      <c r="A609" t="s">
        <v>1898</v>
      </c>
      <c r="B609" t="s">
        <v>1899</v>
      </c>
      <c r="C609" t="s">
        <v>29</v>
      </c>
      <c r="D609" t="s">
        <v>43</v>
      </c>
      <c r="E609" t="s">
        <v>20</v>
      </c>
      <c r="F609" t="s">
        <v>32</v>
      </c>
      <c r="G609" t="s">
        <v>69</v>
      </c>
      <c r="H609" t="s">
        <v>46</v>
      </c>
      <c r="I609" t="s">
        <v>24</v>
      </c>
      <c r="J609" t="s">
        <v>1900</v>
      </c>
      <c r="K609" t="s">
        <v>1901</v>
      </c>
      <c r="L609">
        <v>5</v>
      </c>
      <c r="M609">
        <v>273000</v>
      </c>
      <c r="N609">
        <v>2.1</v>
      </c>
      <c r="O609">
        <v>4</v>
      </c>
      <c r="P609" t="s">
        <v>72</v>
      </c>
    </row>
    <row r="610" spans="1:16" x14ac:dyDescent="0.25">
      <c r="A610" t="s">
        <v>1902</v>
      </c>
      <c r="B610" t="s">
        <v>1856</v>
      </c>
      <c r="C610" t="s">
        <v>18</v>
      </c>
      <c r="D610" t="s">
        <v>43</v>
      </c>
      <c r="E610" t="s">
        <v>20</v>
      </c>
      <c r="F610" t="s">
        <v>128</v>
      </c>
      <c r="G610" t="s">
        <v>22</v>
      </c>
      <c r="H610" t="s">
        <v>34</v>
      </c>
      <c r="I610" t="s">
        <v>24</v>
      </c>
      <c r="J610" t="s">
        <v>744</v>
      </c>
      <c r="L610">
        <v>3.1</v>
      </c>
      <c r="M610">
        <v>350000</v>
      </c>
      <c r="N610">
        <v>3.2</v>
      </c>
      <c r="O610">
        <v>12</v>
      </c>
      <c r="P610" t="s">
        <v>26</v>
      </c>
    </row>
    <row r="611" spans="1:16" x14ac:dyDescent="0.25">
      <c r="A611" t="s">
        <v>1903</v>
      </c>
      <c r="B611" t="s">
        <v>1904</v>
      </c>
      <c r="C611" t="s">
        <v>29</v>
      </c>
      <c r="D611" t="s">
        <v>30</v>
      </c>
      <c r="E611" t="s">
        <v>20</v>
      </c>
      <c r="F611" t="s">
        <v>39</v>
      </c>
      <c r="G611" t="s">
        <v>80</v>
      </c>
      <c r="H611" t="s">
        <v>34</v>
      </c>
      <c r="I611" t="s">
        <v>57</v>
      </c>
      <c r="J611" t="s">
        <v>1905</v>
      </c>
      <c r="K611" t="s">
        <v>1498</v>
      </c>
      <c r="L611">
        <v>2.2000000000000002</v>
      </c>
      <c r="M611">
        <v>156000</v>
      </c>
      <c r="N611">
        <v>2.4</v>
      </c>
      <c r="O611">
        <v>1</v>
      </c>
      <c r="P611" t="s">
        <v>53</v>
      </c>
    </row>
    <row r="612" spans="1:16" x14ac:dyDescent="0.25">
      <c r="A612" t="s">
        <v>1906</v>
      </c>
      <c r="B612" t="s">
        <v>1907</v>
      </c>
      <c r="C612" t="s">
        <v>18</v>
      </c>
      <c r="D612" t="s">
        <v>30</v>
      </c>
      <c r="E612" t="s">
        <v>20</v>
      </c>
      <c r="F612" t="s">
        <v>39</v>
      </c>
      <c r="G612" t="s">
        <v>80</v>
      </c>
      <c r="H612" t="s">
        <v>23</v>
      </c>
      <c r="I612" t="s">
        <v>24</v>
      </c>
      <c r="J612" t="s">
        <v>1908</v>
      </c>
      <c r="L612">
        <v>3.9</v>
      </c>
      <c r="M612">
        <v>139000</v>
      </c>
      <c r="N612">
        <v>2.8</v>
      </c>
      <c r="O612">
        <v>13</v>
      </c>
      <c r="P612" t="s">
        <v>26</v>
      </c>
    </row>
    <row r="613" spans="1:16" x14ac:dyDescent="0.25">
      <c r="A613" t="s">
        <v>1909</v>
      </c>
      <c r="B613" t="s">
        <v>1910</v>
      </c>
      <c r="C613" t="s">
        <v>18</v>
      </c>
      <c r="D613" t="s">
        <v>50</v>
      </c>
      <c r="E613" t="s">
        <v>20</v>
      </c>
      <c r="F613" t="s">
        <v>32</v>
      </c>
      <c r="G613" t="s">
        <v>69</v>
      </c>
      <c r="H613" t="s">
        <v>34</v>
      </c>
      <c r="I613" t="s">
        <v>57</v>
      </c>
      <c r="J613" t="s">
        <v>641</v>
      </c>
      <c r="L613">
        <v>3.3</v>
      </c>
      <c r="M613">
        <v>223000</v>
      </c>
      <c r="N613">
        <v>4</v>
      </c>
      <c r="O613">
        <v>27</v>
      </c>
      <c r="P613" t="s">
        <v>26</v>
      </c>
    </row>
    <row r="614" spans="1:16" x14ac:dyDescent="0.25">
      <c r="A614" t="s">
        <v>1911</v>
      </c>
      <c r="B614" t="s">
        <v>1912</v>
      </c>
      <c r="C614" t="s">
        <v>18</v>
      </c>
      <c r="D614" t="s">
        <v>50</v>
      </c>
      <c r="E614" t="s">
        <v>20</v>
      </c>
      <c r="F614" t="s">
        <v>21</v>
      </c>
      <c r="G614" t="s">
        <v>33</v>
      </c>
      <c r="H614" t="s">
        <v>34</v>
      </c>
      <c r="I614" t="s">
        <v>171</v>
      </c>
      <c r="J614" t="s">
        <v>1913</v>
      </c>
      <c r="L614">
        <v>6.1</v>
      </c>
      <c r="M614">
        <v>690000</v>
      </c>
      <c r="N614">
        <v>4.4000000000000004</v>
      </c>
      <c r="O614">
        <v>14</v>
      </c>
      <c r="P614" t="s">
        <v>26</v>
      </c>
    </row>
    <row r="615" spans="1:16" x14ac:dyDescent="0.25">
      <c r="A615" t="s">
        <v>1914</v>
      </c>
      <c r="B615" t="s">
        <v>1915</v>
      </c>
      <c r="C615" t="s">
        <v>29</v>
      </c>
      <c r="D615" t="s">
        <v>79</v>
      </c>
      <c r="E615" t="s">
        <v>44</v>
      </c>
      <c r="F615" t="s">
        <v>128</v>
      </c>
      <c r="G615" t="s">
        <v>80</v>
      </c>
      <c r="H615" t="s">
        <v>34</v>
      </c>
      <c r="I615" t="s">
        <v>24</v>
      </c>
      <c r="J615" t="s">
        <v>1696</v>
      </c>
      <c r="L615">
        <v>5.2</v>
      </c>
      <c r="M615">
        <v>556000</v>
      </c>
      <c r="N615">
        <v>2.9</v>
      </c>
      <c r="O615">
        <v>33</v>
      </c>
      <c r="P615" t="s">
        <v>26</v>
      </c>
    </row>
    <row r="616" spans="1:16" x14ac:dyDescent="0.25">
      <c r="A616" t="s">
        <v>1916</v>
      </c>
      <c r="B616" t="s">
        <v>1917</v>
      </c>
      <c r="C616" t="s">
        <v>18</v>
      </c>
      <c r="D616" t="s">
        <v>19</v>
      </c>
      <c r="E616" t="s">
        <v>20</v>
      </c>
      <c r="F616" t="s">
        <v>32</v>
      </c>
      <c r="G616" t="s">
        <v>80</v>
      </c>
      <c r="H616" t="s">
        <v>46</v>
      </c>
      <c r="I616" t="s">
        <v>24</v>
      </c>
      <c r="J616" t="s">
        <v>1918</v>
      </c>
      <c r="L616">
        <v>2.6</v>
      </c>
      <c r="M616">
        <v>367000</v>
      </c>
      <c r="O616">
        <v>13</v>
      </c>
      <c r="P616" t="s">
        <v>26</v>
      </c>
    </row>
    <row r="617" spans="1:16" x14ac:dyDescent="0.25">
      <c r="A617" t="s">
        <v>1919</v>
      </c>
      <c r="B617" t="s">
        <v>1920</v>
      </c>
      <c r="C617" t="s">
        <v>18</v>
      </c>
      <c r="D617" t="s">
        <v>30</v>
      </c>
      <c r="E617" t="s">
        <v>31</v>
      </c>
      <c r="F617" t="s">
        <v>39</v>
      </c>
      <c r="G617" t="s">
        <v>22</v>
      </c>
      <c r="H617" t="s">
        <v>62</v>
      </c>
      <c r="I617" t="s">
        <v>24</v>
      </c>
      <c r="J617" t="s">
        <v>1921</v>
      </c>
      <c r="L617">
        <v>6.2</v>
      </c>
      <c r="M617">
        <v>155000</v>
      </c>
      <c r="N617">
        <v>3.5</v>
      </c>
      <c r="O617">
        <v>8</v>
      </c>
      <c r="P617" t="s">
        <v>26</v>
      </c>
    </row>
    <row r="618" spans="1:16" x14ac:dyDescent="0.25">
      <c r="A618" t="s">
        <v>1922</v>
      </c>
      <c r="B618" t="s">
        <v>687</v>
      </c>
      <c r="C618" t="s">
        <v>29</v>
      </c>
      <c r="D618" t="s">
        <v>50</v>
      </c>
      <c r="E618" t="s">
        <v>31</v>
      </c>
      <c r="F618" t="s">
        <v>39</v>
      </c>
      <c r="G618" t="s">
        <v>22</v>
      </c>
      <c r="H618" t="s">
        <v>23</v>
      </c>
      <c r="I618" t="s">
        <v>24</v>
      </c>
      <c r="J618" t="s">
        <v>231</v>
      </c>
      <c r="L618">
        <v>5.6</v>
      </c>
      <c r="M618">
        <v>109000</v>
      </c>
      <c r="N618">
        <v>2.2000000000000002</v>
      </c>
      <c r="O618">
        <v>39</v>
      </c>
      <c r="P618" t="s">
        <v>26</v>
      </c>
    </row>
    <row r="619" spans="1:16" x14ac:dyDescent="0.25">
      <c r="A619" t="s">
        <v>1923</v>
      </c>
      <c r="B619" t="s">
        <v>1924</v>
      </c>
      <c r="C619" t="s">
        <v>29</v>
      </c>
      <c r="D619" t="s">
        <v>30</v>
      </c>
      <c r="E619" t="s">
        <v>20</v>
      </c>
      <c r="F619" t="s">
        <v>128</v>
      </c>
      <c r="G619" t="s">
        <v>69</v>
      </c>
      <c r="H619" t="s">
        <v>34</v>
      </c>
      <c r="I619" t="s">
        <v>75</v>
      </c>
      <c r="J619" t="s">
        <v>305</v>
      </c>
      <c r="L619">
        <v>2.5</v>
      </c>
      <c r="M619">
        <v>595000</v>
      </c>
      <c r="N619">
        <v>3.5</v>
      </c>
      <c r="O619">
        <v>35</v>
      </c>
      <c r="P619" t="s">
        <v>26</v>
      </c>
    </row>
    <row r="620" spans="1:16" x14ac:dyDescent="0.25">
      <c r="A620" t="s">
        <v>1925</v>
      </c>
      <c r="B620" t="s">
        <v>1926</v>
      </c>
      <c r="C620" t="s">
        <v>29</v>
      </c>
      <c r="D620" t="s">
        <v>30</v>
      </c>
      <c r="E620" t="s">
        <v>31</v>
      </c>
      <c r="F620" t="s">
        <v>32</v>
      </c>
      <c r="G620" t="s">
        <v>22</v>
      </c>
      <c r="H620" t="s">
        <v>46</v>
      </c>
      <c r="I620" t="s">
        <v>35</v>
      </c>
      <c r="J620" t="s">
        <v>1927</v>
      </c>
      <c r="K620" t="s">
        <v>1426</v>
      </c>
      <c r="L620">
        <v>3.6</v>
      </c>
      <c r="M620">
        <v>280000</v>
      </c>
      <c r="N620">
        <v>4.5999999999999996</v>
      </c>
      <c r="O620">
        <v>2</v>
      </c>
      <c r="P620" t="s">
        <v>53</v>
      </c>
    </row>
    <row r="621" spans="1:16" x14ac:dyDescent="0.25">
      <c r="A621" t="s">
        <v>1928</v>
      </c>
      <c r="B621" t="s">
        <v>1929</v>
      </c>
      <c r="C621" t="s">
        <v>18</v>
      </c>
      <c r="D621" t="s">
        <v>30</v>
      </c>
      <c r="E621" t="s">
        <v>20</v>
      </c>
      <c r="F621" t="s">
        <v>45</v>
      </c>
      <c r="G621" t="s">
        <v>33</v>
      </c>
      <c r="H621" t="s">
        <v>23</v>
      </c>
      <c r="I621" t="s">
        <v>57</v>
      </c>
      <c r="J621" t="s">
        <v>1930</v>
      </c>
      <c r="K621" t="s">
        <v>1771</v>
      </c>
      <c r="L621">
        <v>3.5</v>
      </c>
      <c r="M621">
        <v>1533000</v>
      </c>
      <c r="N621">
        <v>3.1</v>
      </c>
      <c r="O621">
        <v>4</v>
      </c>
      <c r="P621" t="s">
        <v>53</v>
      </c>
    </row>
    <row r="622" spans="1:16" x14ac:dyDescent="0.25">
      <c r="A622" t="s">
        <v>1931</v>
      </c>
      <c r="B622" t="s">
        <v>1932</v>
      </c>
      <c r="C622" t="s">
        <v>29</v>
      </c>
      <c r="D622" t="s">
        <v>19</v>
      </c>
      <c r="E622" t="s">
        <v>44</v>
      </c>
      <c r="F622" t="s">
        <v>32</v>
      </c>
      <c r="G622" t="s">
        <v>22</v>
      </c>
      <c r="H622" t="s">
        <v>23</v>
      </c>
      <c r="I622" t="s">
        <v>35</v>
      </c>
      <c r="J622" t="s">
        <v>1933</v>
      </c>
      <c r="K622" t="s">
        <v>1934</v>
      </c>
      <c r="L622">
        <v>2</v>
      </c>
      <c r="N622">
        <v>2.6</v>
      </c>
      <c r="O622">
        <v>14</v>
      </c>
      <c r="P622" t="s">
        <v>114</v>
      </c>
    </row>
    <row r="623" spans="1:16" x14ac:dyDescent="0.25">
      <c r="A623" t="s">
        <v>1935</v>
      </c>
      <c r="B623" t="s">
        <v>1936</v>
      </c>
      <c r="C623" t="s">
        <v>29</v>
      </c>
      <c r="D623" t="s">
        <v>30</v>
      </c>
      <c r="E623" t="s">
        <v>20</v>
      </c>
      <c r="F623" t="s">
        <v>39</v>
      </c>
      <c r="G623" t="s">
        <v>33</v>
      </c>
      <c r="H623" t="s">
        <v>34</v>
      </c>
      <c r="I623" t="s">
        <v>24</v>
      </c>
      <c r="J623" t="s">
        <v>1937</v>
      </c>
      <c r="L623">
        <v>2</v>
      </c>
      <c r="M623">
        <v>143000</v>
      </c>
      <c r="N623">
        <v>2.6</v>
      </c>
      <c r="O623">
        <v>6</v>
      </c>
      <c r="P623" t="s">
        <v>26</v>
      </c>
    </row>
    <row r="624" spans="1:16" x14ac:dyDescent="0.25">
      <c r="A624" t="s">
        <v>1938</v>
      </c>
      <c r="B624" t="s">
        <v>304</v>
      </c>
      <c r="C624" t="s">
        <v>252</v>
      </c>
      <c r="D624" t="s">
        <v>30</v>
      </c>
      <c r="E624" t="s">
        <v>20</v>
      </c>
      <c r="G624" t="s">
        <v>33</v>
      </c>
      <c r="H624" t="s">
        <v>34</v>
      </c>
      <c r="I624" t="s">
        <v>171</v>
      </c>
      <c r="J624" t="s">
        <v>1781</v>
      </c>
      <c r="L624">
        <v>1.4</v>
      </c>
      <c r="M624">
        <v>165000</v>
      </c>
      <c r="N624">
        <v>1.7</v>
      </c>
      <c r="O624">
        <v>8</v>
      </c>
      <c r="P624" t="s">
        <v>26</v>
      </c>
    </row>
    <row r="625" spans="1:16" x14ac:dyDescent="0.25">
      <c r="A625" t="s">
        <v>1939</v>
      </c>
      <c r="B625" t="s">
        <v>1940</v>
      </c>
      <c r="C625" t="s">
        <v>18</v>
      </c>
      <c r="D625" t="s">
        <v>19</v>
      </c>
      <c r="E625" t="s">
        <v>20</v>
      </c>
      <c r="F625" t="s">
        <v>32</v>
      </c>
      <c r="G625" t="s">
        <v>80</v>
      </c>
      <c r="H625" t="s">
        <v>23</v>
      </c>
      <c r="I625" t="s">
        <v>35</v>
      </c>
      <c r="J625" t="s">
        <v>1941</v>
      </c>
      <c r="L625">
        <v>4.0999999999999996</v>
      </c>
      <c r="M625">
        <v>247000</v>
      </c>
      <c r="N625">
        <v>4.4000000000000004</v>
      </c>
      <c r="O625">
        <v>23</v>
      </c>
      <c r="P625" t="s">
        <v>26</v>
      </c>
    </row>
    <row r="626" spans="1:16" x14ac:dyDescent="0.25">
      <c r="A626" t="s">
        <v>1942</v>
      </c>
      <c r="B626" t="s">
        <v>440</v>
      </c>
      <c r="C626" t="s">
        <v>18</v>
      </c>
      <c r="D626" t="s">
        <v>30</v>
      </c>
      <c r="E626" t="s">
        <v>20</v>
      </c>
      <c r="F626" t="s">
        <v>32</v>
      </c>
      <c r="G626" t="s">
        <v>80</v>
      </c>
      <c r="H626" t="s">
        <v>23</v>
      </c>
      <c r="I626" t="s">
        <v>24</v>
      </c>
      <c r="J626" t="s">
        <v>1145</v>
      </c>
      <c r="K626" t="s">
        <v>1943</v>
      </c>
      <c r="L626">
        <v>2.1</v>
      </c>
      <c r="M626">
        <v>315000</v>
      </c>
      <c r="N626">
        <v>2.4</v>
      </c>
      <c r="O626">
        <v>5</v>
      </c>
      <c r="P626" t="s">
        <v>53</v>
      </c>
    </row>
    <row r="627" spans="1:16" x14ac:dyDescent="0.25">
      <c r="A627" t="s">
        <v>1944</v>
      </c>
      <c r="B627" t="s">
        <v>1945</v>
      </c>
      <c r="C627" t="s">
        <v>18</v>
      </c>
      <c r="D627" t="s">
        <v>79</v>
      </c>
      <c r="E627" t="s">
        <v>44</v>
      </c>
      <c r="F627" t="s">
        <v>32</v>
      </c>
      <c r="G627" t="s">
        <v>80</v>
      </c>
      <c r="H627" t="s">
        <v>62</v>
      </c>
      <c r="I627" t="s">
        <v>24</v>
      </c>
      <c r="J627" t="s">
        <v>1946</v>
      </c>
      <c r="L627">
        <v>4.4000000000000004</v>
      </c>
      <c r="M627">
        <v>326000</v>
      </c>
      <c r="N627">
        <v>2.4</v>
      </c>
      <c r="O627">
        <v>13</v>
      </c>
      <c r="P627" t="s">
        <v>26</v>
      </c>
    </row>
    <row r="628" spans="1:16" x14ac:dyDescent="0.25">
      <c r="A628" t="s">
        <v>1947</v>
      </c>
      <c r="B628" t="s">
        <v>1948</v>
      </c>
      <c r="C628" t="s">
        <v>29</v>
      </c>
      <c r="D628" t="s">
        <v>79</v>
      </c>
      <c r="E628" t="s">
        <v>31</v>
      </c>
      <c r="F628" t="s">
        <v>128</v>
      </c>
      <c r="G628" t="s">
        <v>33</v>
      </c>
      <c r="H628" t="s">
        <v>23</v>
      </c>
      <c r="I628" t="s">
        <v>24</v>
      </c>
      <c r="J628" t="s">
        <v>844</v>
      </c>
      <c r="L628">
        <v>4.5999999999999996</v>
      </c>
      <c r="M628">
        <v>363000</v>
      </c>
      <c r="N628">
        <v>3.7</v>
      </c>
      <c r="O628">
        <v>4</v>
      </c>
      <c r="P628" t="s">
        <v>26</v>
      </c>
    </row>
    <row r="629" spans="1:16" x14ac:dyDescent="0.25">
      <c r="A629" t="s">
        <v>1949</v>
      </c>
      <c r="B629" t="s">
        <v>1950</v>
      </c>
      <c r="C629" t="s">
        <v>29</v>
      </c>
      <c r="D629" t="s">
        <v>30</v>
      </c>
      <c r="E629" t="s">
        <v>31</v>
      </c>
      <c r="F629" t="s">
        <v>32</v>
      </c>
      <c r="G629" t="s">
        <v>80</v>
      </c>
      <c r="H629" t="s">
        <v>23</v>
      </c>
      <c r="I629" t="s">
        <v>35</v>
      </c>
      <c r="J629" t="s">
        <v>1951</v>
      </c>
      <c r="L629">
        <v>5.9</v>
      </c>
      <c r="M629">
        <v>224000</v>
      </c>
      <c r="N629">
        <v>2.7</v>
      </c>
      <c r="O629">
        <v>10</v>
      </c>
      <c r="P629" t="s">
        <v>26</v>
      </c>
    </row>
    <row r="630" spans="1:16" x14ac:dyDescent="0.25">
      <c r="A630" t="s">
        <v>1952</v>
      </c>
      <c r="B630" t="s">
        <v>1953</v>
      </c>
      <c r="C630" t="s">
        <v>18</v>
      </c>
      <c r="D630" t="s">
        <v>50</v>
      </c>
      <c r="E630" t="s">
        <v>20</v>
      </c>
      <c r="F630" t="s">
        <v>32</v>
      </c>
      <c r="G630" t="s">
        <v>80</v>
      </c>
      <c r="H630" t="s">
        <v>34</v>
      </c>
      <c r="I630" t="s">
        <v>24</v>
      </c>
      <c r="J630" t="s">
        <v>1954</v>
      </c>
      <c r="K630" t="s">
        <v>1112</v>
      </c>
      <c r="L630">
        <v>3.8</v>
      </c>
      <c r="M630">
        <v>319000</v>
      </c>
      <c r="N630">
        <v>2.8</v>
      </c>
      <c r="O630">
        <v>8</v>
      </c>
      <c r="P630" t="s">
        <v>53</v>
      </c>
    </row>
    <row r="631" spans="1:16" x14ac:dyDescent="0.25">
      <c r="A631" t="s">
        <v>1955</v>
      </c>
      <c r="B631" t="s">
        <v>826</v>
      </c>
      <c r="C631" t="s">
        <v>18</v>
      </c>
      <c r="D631" t="s">
        <v>30</v>
      </c>
      <c r="E631" t="s">
        <v>31</v>
      </c>
      <c r="F631" t="s">
        <v>128</v>
      </c>
      <c r="G631" t="s">
        <v>80</v>
      </c>
      <c r="H631" t="s">
        <v>34</v>
      </c>
      <c r="I631" t="s">
        <v>57</v>
      </c>
      <c r="J631" t="s">
        <v>1956</v>
      </c>
      <c r="L631">
        <v>1.6</v>
      </c>
      <c r="M631">
        <v>495000</v>
      </c>
      <c r="N631">
        <v>4.0999999999999996</v>
      </c>
      <c r="O631">
        <v>1</v>
      </c>
      <c r="P631" t="s">
        <v>26</v>
      </c>
    </row>
    <row r="632" spans="1:16" x14ac:dyDescent="0.25">
      <c r="A632" t="s">
        <v>1957</v>
      </c>
      <c r="B632" t="s">
        <v>1958</v>
      </c>
      <c r="C632" t="s">
        <v>18</v>
      </c>
      <c r="D632" t="s">
        <v>30</v>
      </c>
      <c r="E632" t="s">
        <v>31</v>
      </c>
      <c r="F632" t="s">
        <v>32</v>
      </c>
      <c r="G632" t="s">
        <v>80</v>
      </c>
      <c r="H632" t="s">
        <v>34</v>
      </c>
      <c r="I632" t="s">
        <v>57</v>
      </c>
      <c r="J632" t="s">
        <v>1959</v>
      </c>
      <c r="K632" t="s">
        <v>1960</v>
      </c>
      <c r="L632">
        <v>4.4000000000000004</v>
      </c>
      <c r="M632">
        <v>336000</v>
      </c>
      <c r="N632">
        <v>3.8</v>
      </c>
      <c r="O632">
        <v>9</v>
      </c>
      <c r="P632" t="s">
        <v>53</v>
      </c>
    </row>
    <row r="633" spans="1:16" x14ac:dyDescent="0.25">
      <c r="A633" t="s">
        <v>1961</v>
      </c>
      <c r="B633" t="s">
        <v>1962</v>
      </c>
      <c r="C633" t="s">
        <v>29</v>
      </c>
      <c r="D633" t="s">
        <v>30</v>
      </c>
      <c r="E633" t="s">
        <v>44</v>
      </c>
      <c r="F633" t="s">
        <v>39</v>
      </c>
      <c r="G633" t="s">
        <v>22</v>
      </c>
      <c r="H633" t="s">
        <v>46</v>
      </c>
      <c r="I633" t="s">
        <v>57</v>
      </c>
      <c r="J633" t="s">
        <v>1963</v>
      </c>
      <c r="K633" t="s">
        <v>1964</v>
      </c>
      <c r="L633">
        <v>3.5</v>
      </c>
      <c r="M633">
        <v>146000</v>
      </c>
      <c r="N633">
        <v>2.2000000000000002</v>
      </c>
      <c r="O633">
        <v>9</v>
      </c>
      <c r="P633" t="s">
        <v>53</v>
      </c>
    </row>
    <row r="634" spans="1:16" x14ac:dyDescent="0.25">
      <c r="A634" t="s">
        <v>1965</v>
      </c>
      <c r="B634" t="s">
        <v>1966</v>
      </c>
      <c r="C634" t="s">
        <v>18</v>
      </c>
      <c r="D634" t="s">
        <v>43</v>
      </c>
      <c r="E634" t="s">
        <v>20</v>
      </c>
      <c r="F634" t="s">
        <v>39</v>
      </c>
      <c r="G634" t="s">
        <v>22</v>
      </c>
      <c r="H634" t="s">
        <v>23</v>
      </c>
      <c r="I634" t="s">
        <v>57</v>
      </c>
      <c r="J634" t="s">
        <v>1967</v>
      </c>
      <c r="L634">
        <v>5.9</v>
      </c>
      <c r="M634">
        <v>115000</v>
      </c>
      <c r="N634">
        <v>4</v>
      </c>
      <c r="O634">
        <v>11</v>
      </c>
      <c r="P634" t="s">
        <v>26</v>
      </c>
    </row>
    <row r="635" spans="1:16" x14ac:dyDescent="0.25">
      <c r="A635" t="s">
        <v>1968</v>
      </c>
      <c r="B635" t="s">
        <v>1969</v>
      </c>
      <c r="C635" t="s">
        <v>18</v>
      </c>
      <c r="D635" t="s">
        <v>79</v>
      </c>
      <c r="E635" t="s">
        <v>20</v>
      </c>
      <c r="F635" t="s">
        <v>128</v>
      </c>
      <c r="G635" t="s">
        <v>22</v>
      </c>
      <c r="H635" t="s">
        <v>46</v>
      </c>
      <c r="I635" t="s">
        <v>75</v>
      </c>
      <c r="J635" t="s">
        <v>1970</v>
      </c>
      <c r="L635">
        <v>6.1</v>
      </c>
      <c r="M635">
        <v>419000</v>
      </c>
      <c r="N635">
        <v>4.4000000000000004</v>
      </c>
      <c r="O635">
        <v>4</v>
      </c>
      <c r="P635" t="s">
        <v>26</v>
      </c>
    </row>
    <row r="636" spans="1:16" x14ac:dyDescent="0.25">
      <c r="A636" t="s">
        <v>1971</v>
      </c>
      <c r="B636" t="s">
        <v>1972</v>
      </c>
      <c r="C636" t="s">
        <v>29</v>
      </c>
      <c r="D636" t="s">
        <v>19</v>
      </c>
      <c r="E636" t="s">
        <v>20</v>
      </c>
      <c r="F636" t="s">
        <v>39</v>
      </c>
      <c r="G636" t="s">
        <v>22</v>
      </c>
      <c r="H636" t="s">
        <v>34</v>
      </c>
      <c r="I636" t="s">
        <v>24</v>
      </c>
      <c r="J636" t="s">
        <v>1693</v>
      </c>
      <c r="K636" t="s">
        <v>1146</v>
      </c>
      <c r="L636">
        <v>1.8</v>
      </c>
      <c r="M636">
        <v>166000</v>
      </c>
      <c r="N636">
        <v>2.1</v>
      </c>
      <c r="O636">
        <v>12</v>
      </c>
      <c r="P636" t="s">
        <v>53</v>
      </c>
    </row>
    <row r="637" spans="1:16" x14ac:dyDescent="0.25">
      <c r="A637" t="s">
        <v>1973</v>
      </c>
      <c r="B637" t="s">
        <v>1974</v>
      </c>
      <c r="C637" t="s">
        <v>18</v>
      </c>
      <c r="E637" t="s">
        <v>20</v>
      </c>
      <c r="F637" t="s">
        <v>21</v>
      </c>
      <c r="G637" t="s">
        <v>22</v>
      </c>
      <c r="H637" t="s">
        <v>34</v>
      </c>
      <c r="I637" t="s">
        <v>57</v>
      </c>
      <c r="J637" t="s">
        <v>235</v>
      </c>
      <c r="L637">
        <v>2.8</v>
      </c>
      <c r="M637">
        <v>785000</v>
      </c>
      <c r="N637">
        <v>3.6</v>
      </c>
      <c r="O637">
        <v>3</v>
      </c>
      <c r="P637" t="s">
        <v>26</v>
      </c>
    </row>
    <row r="638" spans="1:16" x14ac:dyDescent="0.25">
      <c r="A638" t="s">
        <v>1975</v>
      </c>
      <c r="B638" t="s">
        <v>1976</v>
      </c>
      <c r="C638" t="s">
        <v>18</v>
      </c>
      <c r="D638" t="s">
        <v>30</v>
      </c>
      <c r="E638" t="s">
        <v>44</v>
      </c>
      <c r="G638" t="s">
        <v>22</v>
      </c>
      <c r="H638" t="s">
        <v>62</v>
      </c>
      <c r="I638" t="s">
        <v>57</v>
      </c>
      <c r="J638" t="s">
        <v>996</v>
      </c>
      <c r="K638" t="s">
        <v>1977</v>
      </c>
      <c r="L638">
        <v>5.3</v>
      </c>
      <c r="M638">
        <v>92000</v>
      </c>
      <c r="N638">
        <v>2.7</v>
      </c>
      <c r="O638">
        <v>2</v>
      </c>
      <c r="P638" t="s">
        <v>53</v>
      </c>
    </row>
    <row r="639" spans="1:16" x14ac:dyDescent="0.25">
      <c r="A639" t="s">
        <v>1978</v>
      </c>
      <c r="B639" t="s">
        <v>1979</v>
      </c>
      <c r="C639" t="s">
        <v>29</v>
      </c>
      <c r="D639" t="s">
        <v>50</v>
      </c>
      <c r="E639" t="s">
        <v>44</v>
      </c>
      <c r="F639" t="s">
        <v>32</v>
      </c>
      <c r="G639" t="s">
        <v>22</v>
      </c>
      <c r="H639" t="s">
        <v>46</v>
      </c>
      <c r="I639" t="s">
        <v>57</v>
      </c>
      <c r="J639" t="s">
        <v>1980</v>
      </c>
      <c r="L639">
        <v>5.3</v>
      </c>
      <c r="M639">
        <v>217000</v>
      </c>
      <c r="N639">
        <v>3.1</v>
      </c>
      <c r="O639">
        <v>7</v>
      </c>
      <c r="P639" t="s">
        <v>26</v>
      </c>
    </row>
    <row r="640" spans="1:16" x14ac:dyDescent="0.25">
      <c r="A640" t="s">
        <v>1981</v>
      </c>
      <c r="B640" t="s">
        <v>1982</v>
      </c>
      <c r="C640" t="s">
        <v>18</v>
      </c>
      <c r="D640" t="s">
        <v>50</v>
      </c>
      <c r="E640" t="s">
        <v>20</v>
      </c>
      <c r="F640" t="s">
        <v>39</v>
      </c>
      <c r="G640" t="s">
        <v>22</v>
      </c>
      <c r="H640" t="s">
        <v>46</v>
      </c>
      <c r="I640" t="s">
        <v>57</v>
      </c>
      <c r="J640" t="s">
        <v>1983</v>
      </c>
      <c r="K640" t="s">
        <v>823</v>
      </c>
      <c r="L640">
        <v>5.3</v>
      </c>
      <c r="M640">
        <v>99000</v>
      </c>
      <c r="N640">
        <v>3.4</v>
      </c>
      <c r="O640">
        <v>9</v>
      </c>
      <c r="P640" t="s">
        <v>53</v>
      </c>
    </row>
    <row r="641" spans="1:16" x14ac:dyDescent="0.25">
      <c r="A641" t="s">
        <v>1984</v>
      </c>
      <c r="B641" t="s">
        <v>1985</v>
      </c>
      <c r="C641" t="s">
        <v>18</v>
      </c>
      <c r="D641" t="s">
        <v>50</v>
      </c>
      <c r="E641" t="s">
        <v>44</v>
      </c>
      <c r="F641" t="s">
        <v>32</v>
      </c>
      <c r="G641" t="s">
        <v>22</v>
      </c>
      <c r="H641" t="s">
        <v>34</v>
      </c>
      <c r="J641" t="s">
        <v>432</v>
      </c>
      <c r="L641">
        <v>5.9</v>
      </c>
      <c r="M641">
        <v>339000</v>
      </c>
      <c r="N641">
        <v>3.1</v>
      </c>
      <c r="O641">
        <v>7</v>
      </c>
      <c r="P641" t="s">
        <v>26</v>
      </c>
    </row>
    <row r="642" spans="1:16" x14ac:dyDescent="0.25">
      <c r="A642" t="s">
        <v>1986</v>
      </c>
      <c r="B642" t="s">
        <v>1987</v>
      </c>
      <c r="C642" t="s">
        <v>29</v>
      </c>
      <c r="D642" t="s">
        <v>50</v>
      </c>
      <c r="E642" t="s">
        <v>44</v>
      </c>
      <c r="F642" t="s">
        <v>32</v>
      </c>
      <c r="G642" t="s">
        <v>22</v>
      </c>
      <c r="H642" t="s">
        <v>23</v>
      </c>
      <c r="I642" t="s">
        <v>57</v>
      </c>
      <c r="J642" t="s">
        <v>1988</v>
      </c>
      <c r="K642" t="s">
        <v>729</v>
      </c>
      <c r="L642">
        <v>3.2</v>
      </c>
      <c r="M642">
        <v>324000</v>
      </c>
      <c r="N642">
        <v>3</v>
      </c>
      <c r="O642">
        <v>12</v>
      </c>
      <c r="P642" t="s">
        <v>53</v>
      </c>
    </row>
    <row r="643" spans="1:16" x14ac:dyDescent="0.25">
      <c r="A643" t="s">
        <v>1989</v>
      </c>
      <c r="B643" t="s">
        <v>1990</v>
      </c>
      <c r="C643" t="s">
        <v>18</v>
      </c>
      <c r="D643" t="s">
        <v>79</v>
      </c>
      <c r="E643" t="s">
        <v>20</v>
      </c>
      <c r="G643" t="s">
        <v>80</v>
      </c>
      <c r="H643" t="s">
        <v>23</v>
      </c>
      <c r="I643" t="s">
        <v>57</v>
      </c>
      <c r="J643" t="s">
        <v>335</v>
      </c>
      <c r="L643">
        <v>4.3</v>
      </c>
      <c r="M643">
        <v>199000</v>
      </c>
      <c r="N643">
        <v>3.6</v>
      </c>
      <c r="O643">
        <v>10</v>
      </c>
      <c r="P643" t="s">
        <v>26</v>
      </c>
    </row>
    <row r="644" spans="1:16" x14ac:dyDescent="0.25">
      <c r="A644" t="s">
        <v>1991</v>
      </c>
      <c r="B644" t="s">
        <v>1992</v>
      </c>
      <c r="C644" t="s">
        <v>18</v>
      </c>
      <c r="D644" t="s">
        <v>30</v>
      </c>
      <c r="E644" t="s">
        <v>20</v>
      </c>
      <c r="F644" t="s">
        <v>32</v>
      </c>
      <c r="G644" t="s">
        <v>22</v>
      </c>
      <c r="H644" t="s">
        <v>34</v>
      </c>
      <c r="I644" t="s">
        <v>57</v>
      </c>
      <c r="J644" t="s">
        <v>1993</v>
      </c>
      <c r="K644" t="s">
        <v>1994</v>
      </c>
      <c r="L644">
        <v>5.9</v>
      </c>
      <c r="M644">
        <v>207000</v>
      </c>
      <c r="N644">
        <v>2.8</v>
      </c>
      <c r="O644">
        <v>7</v>
      </c>
      <c r="P644" t="s">
        <v>53</v>
      </c>
    </row>
    <row r="645" spans="1:16" x14ac:dyDescent="0.25">
      <c r="A645" t="s">
        <v>1995</v>
      </c>
      <c r="B645" t="s">
        <v>1996</v>
      </c>
      <c r="C645" t="s">
        <v>18</v>
      </c>
      <c r="D645" t="s">
        <v>50</v>
      </c>
      <c r="E645" t="s">
        <v>20</v>
      </c>
      <c r="F645" t="s">
        <v>39</v>
      </c>
      <c r="G645" t="s">
        <v>33</v>
      </c>
      <c r="H645" t="s">
        <v>46</v>
      </c>
      <c r="J645" t="s">
        <v>1997</v>
      </c>
      <c r="L645">
        <v>2.4</v>
      </c>
      <c r="M645">
        <v>113000</v>
      </c>
      <c r="N645">
        <v>4.2</v>
      </c>
      <c r="O645">
        <v>1</v>
      </c>
      <c r="P645" t="s">
        <v>26</v>
      </c>
    </row>
    <row r="646" spans="1:16" x14ac:dyDescent="0.25">
      <c r="A646" t="s">
        <v>1998</v>
      </c>
      <c r="B646" t="s">
        <v>1999</v>
      </c>
      <c r="D646" t="s">
        <v>79</v>
      </c>
      <c r="E646" t="s">
        <v>44</v>
      </c>
      <c r="F646" t="s">
        <v>128</v>
      </c>
      <c r="G646" t="s">
        <v>22</v>
      </c>
      <c r="H646" t="s">
        <v>23</v>
      </c>
      <c r="I646" t="s">
        <v>24</v>
      </c>
      <c r="J646" t="s">
        <v>2000</v>
      </c>
      <c r="L646">
        <v>4.7</v>
      </c>
      <c r="M646">
        <v>477000</v>
      </c>
      <c r="N646">
        <v>4</v>
      </c>
      <c r="O646">
        <v>6</v>
      </c>
      <c r="P646" t="s">
        <v>26</v>
      </c>
    </row>
    <row r="647" spans="1:16" x14ac:dyDescent="0.25">
      <c r="A647" t="s">
        <v>2001</v>
      </c>
      <c r="B647" t="s">
        <v>1174</v>
      </c>
      <c r="C647" t="s">
        <v>18</v>
      </c>
      <c r="D647" t="s">
        <v>43</v>
      </c>
      <c r="E647" t="s">
        <v>44</v>
      </c>
      <c r="F647" t="s">
        <v>128</v>
      </c>
      <c r="G647" t="s">
        <v>80</v>
      </c>
      <c r="H647" t="s">
        <v>34</v>
      </c>
      <c r="I647" t="s">
        <v>57</v>
      </c>
      <c r="J647" t="s">
        <v>2002</v>
      </c>
      <c r="L647">
        <v>4.9000000000000004</v>
      </c>
      <c r="M647">
        <v>440000</v>
      </c>
      <c r="N647">
        <v>3.3</v>
      </c>
      <c r="O647">
        <v>12</v>
      </c>
      <c r="P647" t="s">
        <v>26</v>
      </c>
    </row>
    <row r="648" spans="1:16" x14ac:dyDescent="0.25">
      <c r="A648" t="s">
        <v>2003</v>
      </c>
      <c r="B648" t="s">
        <v>294</v>
      </c>
      <c r="C648" t="s">
        <v>18</v>
      </c>
      <c r="D648" t="s">
        <v>30</v>
      </c>
      <c r="E648" t="s">
        <v>20</v>
      </c>
      <c r="F648" t="s">
        <v>45</v>
      </c>
      <c r="G648" t="s">
        <v>80</v>
      </c>
      <c r="H648" t="s">
        <v>23</v>
      </c>
      <c r="I648" t="s">
        <v>57</v>
      </c>
      <c r="J648" t="s">
        <v>2004</v>
      </c>
      <c r="L648">
        <v>5</v>
      </c>
      <c r="M648">
        <v>1067000</v>
      </c>
      <c r="N648">
        <v>4.5</v>
      </c>
      <c r="O648">
        <v>6</v>
      </c>
      <c r="P648" t="s">
        <v>26</v>
      </c>
    </row>
    <row r="649" spans="1:16" x14ac:dyDescent="0.25">
      <c r="A649" t="s">
        <v>2005</v>
      </c>
      <c r="B649" t="s">
        <v>2006</v>
      </c>
      <c r="C649" t="s">
        <v>18</v>
      </c>
      <c r="D649" t="s">
        <v>50</v>
      </c>
      <c r="E649" t="s">
        <v>44</v>
      </c>
      <c r="F649" t="s">
        <v>32</v>
      </c>
      <c r="G649" t="s">
        <v>22</v>
      </c>
      <c r="H649" t="s">
        <v>62</v>
      </c>
      <c r="I649" t="s">
        <v>57</v>
      </c>
      <c r="J649" t="s">
        <v>2007</v>
      </c>
      <c r="K649" t="s">
        <v>382</v>
      </c>
      <c r="L649">
        <v>1.8</v>
      </c>
      <c r="M649">
        <v>198000</v>
      </c>
      <c r="N649">
        <v>3.2</v>
      </c>
      <c r="O649">
        <v>4</v>
      </c>
      <c r="P649" t="s">
        <v>53</v>
      </c>
    </row>
    <row r="650" spans="1:16" x14ac:dyDescent="0.25">
      <c r="A650" t="s">
        <v>2008</v>
      </c>
      <c r="B650" t="s">
        <v>2009</v>
      </c>
      <c r="C650" t="s">
        <v>18</v>
      </c>
      <c r="D650" t="s">
        <v>79</v>
      </c>
      <c r="E650" t="s">
        <v>20</v>
      </c>
      <c r="F650" t="s">
        <v>128</v>
      </c>
      <c r="G650" t="s">
        <v>22</v>
      </c>
      <c r="H650" t="s">
        <v>34</v>
      </c>
      <c r="I650" t="s">
        <v>24</v>
      </c>
      <c r="J650" t="s">
        <v>302</v>
      </c>
      <c r="L650">
        <v>2.9</v>
      </c>
      <c r="M650">
        <v>586000</v>
      </c>
      <c r="N650">
        <v>4</v>
      </c>
      <c r="O650">
        <v>5</v>
      </c>
      <c r="P650" t="s">
        <v>26</v>
      </c>
    </row>
    <row r="651" spans="1:16" x14ac:dyDescent="0.25">
      <c r="A651" t="s">
        <v>2010</v>
      </c>
      <c r="B651" t="s">
        <v>2011</v>
      </c>
      <c r="C651" t="s">
        <v>18</v>
      </c>
      <c r="D651" t="s">
        <v>19</v>
      </c>
      <c r="E651" t="s">
        <v>31</v>
      </c>
      <c r="F651" t="s">
        <v>32</v>
      </c>
      <c r="G651" t="s">
        <v>22</v>
      </c>
      <c r="H651" t="s">
        <v>62</v>
      </c>
      <c r="I651" t="s">
        <v>24</v>
      </c>
      <c r="J651" t="s">
        <v>564</v>
      </c>
      <c r="L651">
        <v>6.1</v>
      </c>
      <c r="M651">
        <v>385000</v>
      </c>
      <c r="N651">
        <v>4</v>
      </c>
      <c r="O651">
        <v>10</v>
      </c>
      <c r="P651" t="s">
        <v>26</v>
      </c>
    </row>
    <row r="652" spans="1:16" x14ac:dyDescent="0.25">
      <c r="A652" t="s">
        <v>2012</v>
      </c>
      <c r="B652" t="s">
        <v>1400</v>
      </c>
      <c r="C652" t="s">
        <v>18</v>
      </c>
      <c r="D652" t="s">
        <v>19</v>
      </c>
      <c r="E652" t="s">
        <v>20</v>
      </c>
      <c r="F652" t="s">
        <v>32</v>
      </c>
      <c r="G652" t="s">
        <v>80</v>
      </c>
      <c r="H652" t="s">
        <v>34</v>
      </c>
      <c r="I652" t="s">
        <v>24</v>
      </c>
      <c r="J652" t="s">
        <v>2013</v>
      </c>
      <c r="L652">
        <v>1.3</v>
      </c>
      <c r="M652">
        <v>300000</v>
      </c>
      <c r="N652">
        <v>2.8</v>
      </c>
      <c r="O652">
        <v>12</v>
      </c>
      <c r="P652" t="s">
        <v>26</v>
      </c>
    </row>
    <row r="653" spans="1:16" x14ac:dyDescent="0.25">
      <c r="A653" t="s">
        <v>2014</v>
      </c>
      <c r="B653" t="s">
        <v>2015</v>
      </c>
      <c r="D653" t="s">
        <v>30</v>
      </c>
      <c r="E653" t="s">
        <v>31</v>
      </c>
      <c r="F653" t="s">
        <v>39</v>
      </c>
      <c r="G653" t="s">
        <v>80</v>
      </c>
      <c r="H653" t="s">
        <v>23</v>
      </c>
      <c r="I653" t="s">
        <v>75</v>
      </c>
      <c r="J653" t="s">
        <v>2016</v>
      </c>
      <c r="L653">
        <v>1.9</v>
      </c>
      <c r="N653">
        <v>3.4</v>
      </c>
      <c r="O653">
        <v>1</v>
      </c>
      <c r="P653" t="s">
        <v>26</v>
      </c>
    </row>
    <row r="654" spans="1:16" x14ac:dyDescent="0.25">
      <c r="A654" t="s">
        <v>2017</v>
      </c>
      <c r="B654" t="s">
        <v>2018</v>
      </c>
      <c r="C654" t="s">
        <v>18</v>
      </c>
      <c r="D654" t="s">
        <v>43</v>
      </c>
      <c r="E654" t="s">
        <v>20</v>
      </c>
      <c r="F654" t="s">
        <v>128</v>
      </c>
      <c r="G654" t="s">
        <v>33</v>
      </c>
      <c r="H654" t="s">
        <v>23</v>
      </c>
      <c r="I654" t="s">
        <v>24</v>
      </c>
      <c r="J654" t="s">
        <v>1827</v>
      </c>
      <c r="L654">
        <v>3.5</v>
      </c>
      <c r="M654">
        <v>393000</v>
      </c>
      <c r="N654">
        <v>4.7</v>
      </c>
      <c r="O654">
        <v>8</v>
      </c>
      <c r="P654" t="s">
        <v>26</v>
      </c>
    </row>
    <row r="655" spans="1:16" x14ac:dyDescent="0.25">
      <c r="A655" t="s">
        <v>2019</v>
      </c>
      <c r="B655" t="s">
        <v>2020</v>
      </c>
      <c r="C655" t="s">
        <v>29</v>
      </c>
      <c r="D655" t="s">
        <v>50</v>
      </c>
      <c r="E655" t="s">
        <v>44</v>
      </c>
      <c r="F655" t="s">
        <v>39</v>
      </c>
      <c r="G655" t="s">
        <v>33</v>
      </c>
      <c r="H655" t="s">
        <v>46</v>
      </c>
      <c r="I655" t="s">
        <v>57</v>
      </c>
      <c r="J655" t="s">
        <v>227</v>
      </c>
      <c r="K655" t="s">
        <v>745</v>
      </c>
      <c r="L655">
        <v>4.5</v>
      </c>
      <c r="M655">
        <v>114000</v>
      </c>
      <c r="N655">
        <v>4.9000000000000004</v>
      </c>
      <c r="O655">
        <v>1</v>
      </c>
      <c r="P655" t="s">
        <v>53</v>
      </c>
    </row>
    <row r="656" spans="1:16" x14ac:dyDescent="0.25">
      <c r="A656" t="s">
        <v>2021</v>
      </c>
      <c r="B656" t="s">
        <v>2022</v>
      </c>
      <c r="C656" t="s">
        <v>29</v>
      </c>
      <c r="D656" t="s">
        <v>30</v>
      </c>
      <c r="E656" t="s">
        <v>31</v>
      </c>
      <c r="F656" t="s">
        <v>32</v>
      </c>
      <c r="G656" t="s">
        <v>22</v>
      </c>
      <c r="H656" t="s">
        <v>23</v>
      </c>
      <c r="I656" t="s">
        <v>24</v>
      </c>
      <c r="J656" t="s">
        <v>2023</v>
      </c>
      <c r="K656" t="s">
        <v>2024</v>
      </c>
      <c r="L656">
        <v>3.2</v>
      </c>
      <c r="M656">
        <v>182000</v>
      </c>
      <c r="N656">
        <v>1.9</v>
      </c>
      <c r="O656">
        <v>10</v>
      </c>
      <c r="P656" t="s">
        <v>53</v>
      </c>
    </row>
    <row r="657" spans="1:16" x14ac:dyDescent="0.25">
      <c r="A657" t="s">
        <v>2025</v>
      </c>
      <c r="B657" t="s">
        <v>2026</v>
      </c>
      <c r="C657" t="s">
        <v>18</v>
      </c>
      <c r="D657" t="s">
        <v>79</v>
      </c>
      <c r="E657" t="s">
        <v>20</v>
      </c>
      <c r="F657" t="s">
        <v>39</v>
      </c>
      <c r="G657" t="s">
        <v>80</v>
      </c>
      <c r="H657" t="s">
        <v>34</v>
      </c>
      <c r="J657" t="s">
        <v>1817</v>
      </c>
      <c r="L657">
        <v>4.7</v>
      </c>
      <c r="M657">
        <v>153000</v>
      </c>
      <c r="N657">
        <v>2.2999999999999998</v>
      </c>
      <c r="O657">
        <v>18</v>
      </c>
      <c r="P657" t="s">
        <v>26</v>
      </c>
    </row>
    <row r="658" spans="1:16" x14ac:dyDescent="0.25">
      <c r="A658" t="s">
        <v>2027</v>
      </c>
      <c r="B658" t="s">
        <v>2028</v>
      </c>
      <c r="C658" t="s">
        <v>18</v>
      </c>
      <c r="E658" t="s">
        <v>44</v>
      </c>
      <c r="F658" t="s">
        <v>39</v>
      </c>
      <c r="G658" t="s">
        <v>33</v>
      </c>
      <c r="H658" t="s">
        <v>46</v>
      </c>
      <c r="I658" t="s">
        <v>24</v>
      </c>
      <c r="J658" t="s">
        <v>313</v>
      </c>
      <c r="L658">
        <v>3.5</v>
      </c>
      <c r="M658">
        <v>114000</v>
      </c>
      <c r="N658">
        <v>3.2</v>
      </c>
      <c r="O658">
        <v>11</v>
      </c>
      <c r="P658" t="s">
        <v>26</v>
      </c>
    </row>
    <row r="659" spans="1:16" x14ac:dyDescent="0.25">
      <c r="A659" t="s">
        <v>2029</v>
      </c>
      <c r="B659" t="s">
        <v>2030</v>
      </c>
      <c r="C659" t="s">
        <v>18</v>
      </c>
      <c r="D659" t="s">
        <v>30</v>
      </c>
      <c r="E659" t="s">
        <v>20</v>
      </c>
      <c r="F659" t="s">
        <v>32</v>
      </c>
      <c r="G659" t="s">
        <v>69</v>
      </c>
      <c r="H659" t="s">
        <v>34</v>
      </c>
      <c r="I659" t="s">
        <v>35</v>
      </c>
      <c r="J659" t="s">
        <v>2031</v>
      </c>
      <c r="L659">
        <v>4.2</v>
      </c>
      <c r="M659">
        <v>255000</v>
      </c>
      <c r="N659">
        <v>2.2000000000000002</v>
      </c>
      <c r="O659">
        <v>26</v>
      </c>
      <c r="P659" t="s">
        <v>26</v>
      </c>
    </row>
    <row r="660" spans="1:16" x14ac:dyDescent="0.25">
      <c r="A660" t="s">
        <v>2032</v>
      </c>
      <c r="B660" t="s">
        <v>2033</v>
      </c>
      <c r="C660" t="s">
        <v>29</v>
      </c>
      <c r="D660" t="s">
        <v>19</v>
      </c>
      <c r="E660" t="s">
        <v>20</v>
      </c>
      <c r="F660" t="s">
        <v>32</v>
      </c>
      <c r="G660" t="s">
        <v>80</v>
      </c>
      <c r="H660" t="s">
        <v>62</v>
      </c>
      <c r="I660" t="s">
        <v>75</v>
      </c>
      <c r="J660" t="s">
        <v>2034</v>
      </c>
      <c r="L660">
        <v>1.4</v>
      </c>
      <c r="M660">
        <v>204000</v>
      </c>
      <c r="N660">
        <v>3.1</v>
      </c>
      <c r="O660">
        <v>0</v>
      </c>
      <c r="P660" t="s">
        <v>26</v>
      </c>
    </row>
    <row r="661" spans="1:16" x14ac:dyDescent="0.25">
      <c r="A661" t="s">
        <v>2035</v>
      </c>
      <c r="B661" t="s">
        <v>2036</v>
      </c>
      <c r="C661" t="s">
        <v>29</v>
      </c>
      <c r="D661" t="s">
        <v>30</v>
      </c>
      <c r="E661" t="s">
        <v>20</v>
      </c>
      <c r="F661" t="s">
        <v>128</v>
      </c>
      <c r="G661" t="s">
        <v>33</v>
      </c>
      <c r="H661" t="s">
        <v>46</v>
      </c>
      <c r="I661" t="s">
        <v>35</v>
      </c>
      <c r="J661" t="s">
        <v>2037</v>
      </c>
      <c r="L661">
        <v>1.9</v>
      </c>
      <c r="N661">
        <v>4.9000000000000004</v>
      </c>
      <c r="O661">
        <v>11</v>
      </c>
      <c r="P661" t="s">
        <v>26</v>
      </c>
    </row>
    <row r="662" spans="1:16" x14ac:dyDescent="0.25">
      <c r="A662" t="s">
        <v>2038</v>
      </c>
      <c r="B662" t="s">
        <v>2039</v>
      </c>
      <c r="C662" t="s">
        <v>29</v>
      </c>
      <c r="D662" t="s">
        <v>79</v>
      </c>
      <c r="E662" t="s">
        <v>20</v>
      </c>
      <c r="F662" t="s">
        <v>21</v>
      </c>
      <c r="G662" t="s">
        <v>69</v>
      </c>
      <c r="I662" t="s">
        <v>35</v>
      </c>
      <c r="J662" t="s">
        <v>1522</v>
      </c>
      <c r="L662">
        <v>2.5</v>
      </c>
      <c r="M662">
        <v>902000</v>
      </c>
      <c r="O662">
        <v>9</v>
      </c>
      <c r="P662" t="s">
        <v>26</v>
      </c>
    </row>
    <row r="663" spans="1:16" x14ac:dyDescent="0.25">
      <c r="A663" t="s">
        <v>2040</v>
      </c>
      <c r="B663" t="s">
        <v>2041</v>
      </c>
      <c r="C663" t="s">
        <v>18</v>
      </c>
      <c r="D663" t="s">
        <v>43</v>
      </c>
      <c r="E663" t="s">
        <v>20</v>
      </c>
      <c r="F663" t="s">
        <v>128</v>
      </c>
      <c r="G663" t="s">
        <v>33</v>
      </c>
      <c r="H663" t="s">
        <v>23</v>
      </c>
      <c r="I663" t="s">
        <v>75</v>
      </c>
      <c r="J663" t="s">
        <v>1123</v>
      </c>
      <c r="L663">
        <v>4.9000000000000004</v>
      </c>
      <c r="N663">
        <v>2.2999999999999998</v>
      </c>
      <c r="O663">
        <v>14</v>
      </c>
      <c r="P663" t="s">
        <v>26</v>
      </c>
    </row>
    <row r="664" spans="1:16" x14ac:dyDescent="0.25">
      <c r="A664" t="s">
        <v>2042</v>
      </c>
      <c r="B664" t="s">
        <v>2043</v>
      </c>
      <c r="C664" t="s">
        <v>18</v>
      </c>
      <c r="D664" t="s">
        <v>79</v>
      </c>
      <c r="E664" t="s">
        <v>44</v>
      </c>
      <c r="F664" t="s">
        <v>128</v>
      </c>
      <c r="G664" t="s">
        <v>22</v>
      </c>
      <c r="H664" t="s">
        <v>62</v>
      </c>
      <c r="I664" t="s">
        <v>57</v>
      </c>
      <c r="J664" t="s">
        <v>2044</v>
      </c>
      <c r="L664">
        <v>4.2</v>
      </c>
      <c r="M664">
        <v>440000</v>
      </c>
      <c r="N664">
        <v>4.5</v>
      </c>
      <c r="O664">
        <v>7</v>
      </c>
      <c r="P664" t="s">
        <v>26</v>
      </c>
    </row>
    <row r="665" spans="1:16" x14ac:dyDescent="0.25">
      <c r="A665" t="s">
        <v>2045</v>
      </c>
      <c r="B665" t="s">
        <v>2046</v>
      </c>
      <c r="C665" t="s">
        <v>29</v>
      </c>
      <c r="D665" t="s">
        <v>19</v>
      </c>
      <c r="E665" t="s">
        <v>20</v>
      </c>
      <c r="F665" t="s">
        <v>128</v>
      </c>
      <c r="G665" t="s">
        <v>69</v>
      </c>
      <c r="I665" t="s">
        <v>57</v>
      </c>
      <c r="J665" t="s">
        <v>2047</v>
      </c>
      <c r="K665" t="s">
        <v>2048</v>
      </c>
      <c r="L665">
        <v>1.3</v>
      </c>
      <c r="M665">
        <v>439000</v>
      </c>
      <c r="N665">
        <v>3.9</v>
      </c>
      <c r="O665">
        <v>11</v>
      </c>
      <c r="P665" t="s">
        <v>72</v>
      </c>
    </row>
    <row r="666" spans="1:16" x14ac:dyDescent="0.25">
      <c r="A666" t="s">
        <v>2049</v>
      </c>
      <c r="B666" t="s">
        <v>2050</v>
      </c>
      <c r="C666" t="s">
        <v>29</v>
      </c>
      <c r="D666" t="s">
        <v>30</v>
      </c>
      <c r="E666" t="s">
        <v>20</v>
      </c>
      <c r="F666" t="s">
        <v>32</v>
      </c>
      <c r="G666" t="s">
        <v>22</v>
      </c>
      <c r="H666" t="s">
        <v>34</v>
      </c>
      <c r="J666" t="s">
        <v>213</v>
      </c>
      <c r="K666" t="s">
        <v>2051</v>
      </c>
      <c r="L666">
        <v>4.8</v>
      </c>
      <c r="M666">
        <v>246000</v>
      </c>
      <c r="N666">
        <v>3.4</v>
      </c>
      <c r="O666">
        <v>1</v>
      </c>
      <c r="P666" t="s">
        <v>53</v>
      </c>
    </row>
    <row r="667" spans="1:16" x14ac:dyDescent="0.25">
      <c r="A667" t="s">
        <v>2052</v>
      </c>
      <c r="B667" t="s">
        <v>2053</v>
      </c>
      <c r="C667" t="s">
        <v>18</v>
      </c>
      <c r="D667" t="s">
        <v>50</v>
      </c>
      <c r="F667" t="s">
        <v>39</v>
      </c>
      <c r="G667" t="s">
        <v>22</v>
      </c>
      <c r="H667" t="s">
        <v>23</v>
      </c>
      <c r="I667" t="s">
        <v>57</v>
      </c>
      <c r="J667" t="s">
        <v>1642</v>
      </c>
      <c r="K667" t="s">
        <v>631</v>
      </c>
      <c r="L667">
        <v>6.2</v>
      </c>
      <c r="M667">
        <v>139000</v>
      </c>
      <c r="N667">
        <v>4</v>
      </c>
      <c r="O667">
        <v>10</v>
      </c>
      <c r="P667" t="s">
        <v>53</v>
      </c>
    </row>
    <row r="668" spans="1:16" x14ac:dyDescent="0.25">
      <c r="A668" t="s">
        <v>2054</v>
      </c>
      <c r="B668" t="s">
        <v>2055</v>
      </c>
      <c r="C668" t="s">
        <v>18</v>
      </c>
      <c r="D668" t="s">
        <v>43</v>
      </c>
      <c r="E668" t="s">
        <v>44</v>
      </c>
      <c r="F668" t="s">
        <v>32</v>
      </c>
      <c r="G668" t="s">
        <v>22</v>
      </c>
      <c r="H668" t="s">
        <v>23</v>
      </c>
      <c r="I668" t="s">
        <v>24</v>
      </c>
      <c r="J668" t="s">
        <v>2056</v>
      </c>
      <c r="L668">
        <v>3.7</v>
      </c>
      <c r="M668">
        <v>198000</v>
      </c>
      <c r="N668">
        <v>3.9</v>
      </c>
      <c r="O668">
        <v>0</v>
      </c>
      <c r="P668" t="s">
        <v>26</v>
      </c>
    </row>
    <row r="669" spans="1:16" x14ac:dyDescent="0.25">
      <c r="A669" t="s">
        <v>2057</v>
      </c>
      <c r="B669" t="s">
        <v>1014</v>
      </c>
      <c r="C669" t="s">
        <v>252</v>
      </c>
      <c r="E669" t="s">
        <v>31</v>
      </c>
      <c r="F669" t="s">
        <v>39</v>
      </c>
      <c r="G669" t="s">
        <v>69</v>
      </c>
      <c r="H669" t="s">
        <v>34</v>
      </c>
      <c r="I669" t="s">
        <v>24</v>
      </c>
      <c r="J669" t="s">
        <v>2058</v>
      </c>
      <c r="L669">
        <v>1.4</v>
      </c>
      <c r="M669">
        <v>148000</v>
      </c>
      <c r="N669">
        <v>1.8</v>
      </c>
      <c r="O669">
        <v>7</v>
      </c>
      <c r="P669" t="s">
        <v>26</v>
      </c>
    </row>
    <row r="670" spans="1:16" x14ac:dyDescent="0.25">
      <c r="A670" t="s">
        <v>2059</v>
      </c>
      <c r="B670" t="s">
        <v>2060</v>
      </c>
      <c r="C670" t="s">
        <v>18</v>
      </c>
      <c r="D670" t="s">
        <v>30</v>
      </c>
      <c r="E670" t="s">
        <v>44</v>
      </c>
      <c r="F670" t="s">
        <v>39</v>
      </c>
      <c r="G670" t="s">
        <v>22</v>
      </c>
      <c r="H670" t="s">
        <v>46</v>
      </c>
      <c r="I670" t="s">
        <v>24</v>
      </c>
      <c r="J670" t="s">
        <v>2061</v>
      </c>
      <c r="L670">
        <v>5.5</v>
      </c>
      <c r="M670">
        <v>114000</v>
      </c>
      <c r="N670">
        <v>2.7</v>
      </c>
      <c r="O670">
        <v>7</v>
      </c>
      <c r="P670" t="s">
        <v>26</v>
      </c>
    </row>
    <row r="671" spans="1:16" x14ac:dyDescent="0.25">
      <c r="A671" t="s">
        <v>2062</v>
      </c>
      <c r="B671" t="s">
        <v>2063</v>
      </c>
      <c r="C671" t="s">
        <v>29</v>
      </c>
      <c r="D671" t="s">
        <v>30</v>
      </c>
      <c r="E671" t="s">
        <v>20</v>
      </c>
      <c r="F671" t="s">
        <v>39</v>
      </c>
      <c r="G671" t="s">
        <v>33</v>
      </c>
      <c r="H671" t="s">
        <v>34</v>
      </c>
      <c r="I671" t="s">
        <v>24</v>
      </c>
      <c r="J671" t="s">
        <v>2064</v>
      </c>
      <c r="L671">
        <v>2.4</v>
      </c>
      <c r="M671">
        <v>153000</v>
      </c>
      <c r="N671">
        <v>2.9</v>
      </c>
      <c r="O671">
        <v>4</v>
      </c>
      <c r="P671" t="s">
        <v>26</v>
      </c>
    </row>
    <row r="672" spans="1:16" x14ac:dyDescent="0.25">
      <c r="A672" t="s">
        <v>2065</v>
      </c>
      <c r="B672" t="s">
        <v>101</v>
      </c>
      <c r="C672" t="s">
        <v>18</v>
      </c>
      <c r="D672" t="s">
        <v>50</v>
      </c>
      <c r="E672" t="s">
        <v>20</v>
      </c>
      <c r="F672" t="s">
        <v>39</v>
      </c>
      <c r="G672" t="s">
        <v>33</v>
      </c>
      <c r="H672" t="s">
        <v>62</v>
      </c>
      <c r="I672" t="s">
        <v>24</v>
      </c>
      <c r="J672" t="s">
        <v>2066</v>
      </c>
      <c r="L672">
        <v>3.8</v>
      </c>
      <c r="M672">
        <v>175000</v>
      </c>
      <c r="N672">
        <v>5</v>
      </c>
      <c r="O672">
        <v>6</v>
      </c>
      <c r="P672" t="s">
        <v>26</v>
      </c>
    </row>
    <row r="673" spans="1:16" x14ac:dyDescent="0.25">
      <c r="A673" t="s">
        <v>2067</v>
      </c>
      <c r="B673" t="s">
        <v>2068</v>
      </c>
      <c r="C673" t="s">
        <v>29</v>
      </c>
      <c r="D673" t="s">
        <v>79</v>
      </c>
      <c r="E673" t="s">
        <v>20</v>
      </c>
      <c r="F673" t="s">
        <v>128</v>
      </c>
      <c r="G673" t="s">
        <v>80</v>
      </c>
      <c r="H673" t="s">
        <v>34</v>
      </c>
      <c r="I673" t="s">
        <v>24</v>
      </c>
      <c r="J673" t="s">
        <v>732</v>
      </c>
      <c r="L673">
        <v>2.6</v>
      </c>
      <c r="M673">
        <v>390000</v>
      </c>
      <c r="N673">
        <v>4.8</v>
      </c>
      <c r="O673">
        <v>7</v>
      </c>
      <c r="P673" t="s">
        <v>26</v>
      </c>
    </row>
    <row r="674" spans="1:16" x14ac:dyDescent="0.25">
      <c r="A674" t="s">
        <v>2069</v>
      </c>
      <c r="B674" t="s">
        <v>2070</v>
      </c>
      <c r="C674" t="s">
        <v>18</v>
      </c>
      <c r="D674" t="s">
        <v>30</v>
      </c>
      <c r="E674" t="s">
        <v>44</v>
      </c>
      <c r="F674" t="s">
        <v>32</v>
      </c>
      <c r="G674" t="s">
        <v>80</v>
      </c>
      <c r="H674" t="s">
        <v>34</v>
      </c>
      <c r="I674" t="s">
        <v>171</v>
      </c>
      <c r="J674" t="s">
        <v>2071</v>
      </c>
      <c r="K674" t="s">
        <v>2072</v>
      </c>
      <c r="L674">
        <v>1.8</v>
      </c>
      <c r="M674">
        <v>190000</v>
      </c>
      <c r="N674">
        <v>2.6</v>
      </c>
      <c r="O674">
        <v>4</v>
      </c>
      <c r="P674" t="s">
        <v>53</v>
      </c>
    </row>
    <row r="675" spans="1:16" x14ac:dyDescent="0.25">
      <c r="A675" t="s">
        <v>2073</v>
      </c>
      <c r="B675" t="s">
        <v>2074</v>
      </c>
      <c r="C675" t="s">
        <v>29</v>
      </c>
      <c r="D675" t="s">
        <v>30</v>
      </c>
      <c r="E675" t="s">
        <v>44</v>
      </c>
      <c r="G675" t="s">
        <v>22</v>
      </c>
      <c r="H675" t="s">
        <v>34</v>
      </c>
      <c r="I675" t="s">
        <v>75</v>
      </c>
      <c r="J675" t="s">
        <v>2075</v>
      </c>
      <c r="K675" t="s">
        <v>2076</v>
      </c>
      <c r="L675">
        <v>2.7</v>
      </c>
      <c r="M675">
        <v>92000</v>
      </c>
      <c r="N675">
        <v>2.6</v>
      </c>
      <c r="O675">
        <v>32</v>
      </c>
      <c r="P675" t="s">
        <v>72</v>
      </c>
    </row>
    <row r="676" spans="1:16" x14ac:dyDescent="0.25">
      <c r="A676" t="s">
        <v>2077</v>
      </c>
      <c r="B676" t="s">
        <v>2078</v>
      </c>
      <c r="C676" t="s">
        <v>29</v>
      </c>
      <c r="D676" t="s">
        <v>19</v>
      </c>
      <c r="E676" t="s">
        <v>44</v>
      </c>
      <c r="F676" t="s">
        <v>128</v>
      </c>
      <c r="G676" t="s">
        <v>69</v>
      </c>
      <c r="H676" t="s">
        <v>46</v>
      </c>
      <c r="I676" t="s">
        <v>57</v>
      </c>
      <c r="J676" t="s">
        <v>360</v>
      </c>
      <c r="L676">
        <v>1.5</v>
      </c>
      <c r="M676">
        <v>549000</v>
      </c>
      <c r="N676">
        <v>3.3</v>
      </c>
      <c r="O676">
        <v>10</v>
      </c>
      <c r="P676" t="s">
        <v>26</v>
      </c>
    </row>
    <row r="677" spans="1:16" x14ac:dyDescent="0.25">
      <c r="A677" t="s">
        <v>2079</v>
      </c>
      <c r="B677" t="s">
        <v>2080</v>
      </c>
      <c r="C677" t="s">
        <v>18</v>
      </c>
      <c r="D677" t="s">
        <v>79</v>
      </c>
      <c r="E677" t="s">
        <v>20</v>
      </c>
      <c r="F677" t="s">
        <v>21</v>
      </c>
      <c r="G677" t="s">
        <v>80</v>
      </c>
      <c r="H677" t="s">
        <v>46</v>
      </c>
      <c r="I677" t="s">
        <v>35</v>
      </c>
      <c r="J677" t="s">
        <v>1671</v>
      </c>
      <c r="L677">
        <v>4.9000000000000004</v>
      </c>
      <c r="M677">
        <v>824000</v>
      </c>
      <c r="N677">
        <v>4</v>
      </c>
      <c r="O677">
        <v>4</v>
      </c>
      <c r="P677" t="s">
        <v>26</v>
      </c>
    </row>
    <row r="678" spans="1:16" x14ac:dyDescent="0.25">
      <c r="A678" t="s">
        <v>2081</v>
      </c>
      <c r="B678" t="s">
        <v>833</v>
      </c>
      <c r="C678" t="s">
        <v>18</v>
      </c>
      <c r="D678" t="s">
        <v>50</v>
      </c>
      <c r="E678" t="s">
        <v>20</v>
      </c>
      <c r="F678" t="s">
        <v>128</v>
      </c>
      <c r="G678" t="s">
        <v>80</v>
      </c>
      <c r="H678" t="s">
        <v>34</v>
      </c>
      <c r="I678" t="s">
        <v>24</v>
      </c>
      <c r="J678" t="s">
        <v>1586</v>
      </c>
      <c r="L678">
        <v>5.0999999999999996</v>
      </c>
      <c r="M678">
        <v>472000</v>
      </c>
      <c r="N678">
        <v>4.7</v>
      </c>
      <c r="O678">
        <v>9</v>
      </c>
      <c r="P678" t="s">
        <v>26</v>
      </c>
    </row>
    <row r="679" spans="1:16" x14ac:dyDescent="0.25">
      <c r="A679" t="s">
        <v>2082</v>
      </c>
      <c r="B679" t="s">
        <v>2083</v>
      </c>
      <c r="C679" t="s">
        <v>18</v>
      </c>
      <c r="D679" t="s">
        <v>43</v>
      </c>
      <c r="E679" t="s">
        <v>20</v>
      </c>
      <c r="F679" t="s">
        <v>32</v>
      </c>
      <c r="G679" t="s">
        <v>22</v>
      </c>
      <c r="H679" t="s">
        <v>23</v>
      </c>
      <c r="I679" t="s">
        <v>35</v>
      </c>
      <c r="J679" t="s">
        <v>2084</v>
      </c>
      <c r="K679" t="s">
        <v>2085</v>
      </c>
      <c r="L679">
        <v>5.9</v>
      </c>
      <c r="M679">
        <v>208000</v>
      </c>
      <c r="N679">
        <v>2.2000000000000002</v>
      </c>
      <c r="O679">
        <v>1</v>
      </c>
      <c r="P679" t="s">
        <v>53</v>
      </c>
    </row>
    <row r="680" spans="1:16" x14ac:dyDescent="0.25">
      <c r="A680" t="s">
        <v>2086</v>
      </c>
      <c r="B680" t="s">
        <v>2087</v>
      </c>
      <c r="C680" t="s">
        <v>29</v>
      </c>
      <c r="D680" t="s">
        <v>30</v>
      </c>
      <c r="E680" t="s">
        <v>44</v>
      </c>
      <c r="F680" t="s">
        <v>39</v>
      </c>
      <c r="G680" t="s">
        <v>22</v>
      </c>
      <c r="H680" t="s">
        <v>23</v>
      </c>
      <c r="I680" t="s">
        <v>24</v>
      </c>
      <c r="J680" t="s">
        <v>818</v>
      </c>
      <c r="K680" t="s">
        <v>978</v>
      </c>
      <c r="L680">
        <v>2.8</v>
      </c>
      <c r="M680" t="s">
        <v>2088</v>
      </c>
      <c r="N680">
        <v>1.7</v>
      </c>
      <c r="O680">
        <v>1</v>
      </c>
      <c r="P680" t="s">
        <v>53</v>
      </c>
    </row>
    <row r="681" spans="1:16" x14ac:dyDescent="0.25">
      <c r="A681" t="s">
        <v>2089</v>
      </c>
      <c r="B681" t="s">
        <v>2090</v>
      </c>
      <c r="C681" t="s">
        <v>29</v>
      </c>
      <c r="D681" t="s">
        <v>19</v>
      </c>
      <c r="E681" t="s">
        <v>31</v>
      </c>
      <c r="F681" t="s">
        <v>39</v>
      </c>
      <c r="G681" t="s">
        <v>80</v>
      </c>
      <c r="H681" t="s">
        <v>23</v>
      </c>
      <c r="I681" t="s">
        <v>57</v>
      </c>
      <c r="J681" t="s">
        <v>2091</v>
      </c>
      <c r="L681">
        <v>5.3</v>
      </c>
      <c r="M681">
        <v>198000</v>
      </c>
      <c r="O681">
        <v>13</v>
      </c>
      <c r="P681" t="s">
        <v>26</v>
      </c>
    </row>
    <row r="682" spans="1:16" x14ac:dyDescent="0.25">
      <c r="A682" t="s">
        <v>2092</v>
      </c>
      <c r="B682" t="s">
        <v>2093</v>
      </c>
      <c r="C682" t="s">
        <v>29</v>
      </c>
      <c r="D682" t="s">
        <v>50</v>
      </c>
      <c r="E682" t="s">
        <v>44</v>
      </c>
      <c r="F682" t="s">
        <v>128</v>
      </c>
      <c r="G682" t="s">
        <v>80</v>
      </c>
      <c r="H682" t="s">
        <v>34</v>
      </c>
      <c r="I682" t="s">
        <v>75</v>
      </c>
      <c r="J682" t="s">
        <v>2094</v>
      </c>
      <c r="L682">
        <v>4.4000000000000004</v>
      </c>
      <c r="M682">
        <v>483000</v>
      </c>
      <c r="N682">
        <v>2</v>
      </c>
      <c r="O682">
        <v>11</v>
      </c>
      <c r="P682" t="s">
        <v>26</v>
      </c>
    </row>
    <row r="683" spans="1:16" x14ac:dyDescent="0.25">
      <c r="A683" t="s">
        <v>2095</v>
      </c>
      <c r="B683" t="s">
        <v>2096</v>
      </c>
      <c r="C683" t="s">
        <v>18</v>
      </c>
      <c r="D683" t="s">
        <v>50</v>
      </c>
      <c r="F683" t="s">
        <v>39</v>
      </c>
      <c r="G683" t="s">
        <v>22</v>
      </c>
      <c r="H683" t="s">
        <v>34</v>
      </c>
      <c r="I683" t="s">
        <v>171</v>
      </c>
      <c r="J683" t="s">
        <v>2097</v>
      </c>
      <c r="K683" t="s">
        <v>597</v>
      </c>
      <c r="L683">
        <v>2.2999999999999998</v>
      </c>
      <c r="M683">
        <v>136000</v>
      </c>
      <c r="N683">
        <v>2.5</v>
      </c>
      <c r="O683">
        <v>11</v>
      </c>
      <c r="P683" t="s">
        <v>53</v>
      </c>
    </row>
    <row r="684" spans="1:16" x14ac:dyDescent="0.25">
      <c r="A684" t="s">
        <v>2098</v>
      </c>
      <c r="B684" t="s">
        <v>2099</v>
      </c>
      <c r="C684" t="s">
        <v>18</v>
      </c>
      <c r="D684" t="s">
        <v>30</v>
      </c>
      <c r="E684" t="s">
        <v>20</v>
      </c>
      <c r="F684" t="s">
        <v>32</v>
      </c>
      <c r="G684" t="s">
        <v>69</v>
      </c>
      <c r="H684" t="s">
        <v>23</v>
      </c>
      <c r="I684" t="s">
        <v>35</v>
      </c>
      <c r="J684" t="s">
        <v>2100</v>
      </c>
      <c r="L684">
        <v>1.3</v>
      </c>
      <c r="M684">
        <v>294000</v>
      </c>
      <c r="N684">
        <v>4.8</v>
      </c>
      <c r="O684">
        <v>14</v>
      </c>
      <c r="P684" t="s">
        <v>26</v>
      </c>
    </row>
    <row r="685" spans="1:16" x14ac:dyDescent="0.25">
      <c r="A685" t="s">
        <v>2101</v>
      </c>
      <c r="B685" t="s">
        <v>2102</v>
      </c>
      <c r="C685" t="s">
        <v>18</v>
      </c>
      <c r="D685" t="s">
        <v>30</v>
      </c>
      <c r="E685" t="s">
        <v>44</v>
      </c>
      <c r="F685" t="s">
        <v>128</v>
      </c>
      <c r="G685" t="s">
        <v>33</v>
      </c>
      <c r="H685" t="s">
        <v>34</v>
      </c>
      <c r="I685" t="s">
        <v>57</v>
      </c>
      <c r="J685" t="s">
        <v>2103</v>
      </c>
      <c r="K685" t="s">
        <v>2104</v>
      </c>
      <c r="L685">
        <v>1.9</v>
      </c>
      <c r="M685">
        <v>594000</v>
      </c>
      <c r="N685">
        <v>2.7</v>
      </c>
      <c r="O685">
        <v>3</v>
      </c>
      <c r="P685" t="s">
        <v>53</v>
      </c>
    </row>
    <row r="686" spans="1:16" x14ac:dyDescent="0.25">
      <c r="A686" t="s">
        <v>2105</v>
      </c>
      <c r="B686" t="s">
        <v>2106</v>
      </c>
      <c r="C686" t="s">
        <v>18</v>
      </c>
      <c r="D686" t="s">
        <v>43</v>
      </c>
      <c r="E686" t="s">
        <v>20</v>
      </c>
      <c r="F686" t="s">
        <v>32</v>
      </c>
      <c r="G686" t="s">
        <v>22</v>
      </c>
      <c r="I686" t="s">
        <v>35</v>
      </c>
      <c r="J686" t="s">
        <v>2107</v>
      </c>
      <c r="L686">
        <v>1.3</v>
      </c>
      <c r="M686">
        <v>246000</v>
      </c>
      <c r="N686">
        <v>4.4000000000000004</v>
      </c>
      <c r="O686">
        <v>5</v>
      </c>
      <c r="P686" t="s">
        <v>26</v>
      </c>
    </row>
    <row r="687" spans="1:16" x14ac:dyDescent="0.25">
      <c r="A687" t="s">
        <v>2108</v>
      </c>
      <c r="B687" t="s">
        <v>2109</v>
      </c>
      <c r="C687" t="s">
        <v>29</v>
      </c>
      <c r="D687" t="s">
        <v>43</v>
      </c>
      <c r="E687" t="s">
        <v>20</v>
      </c>
      <c r="F687" t="s">
        <v>128</v>
      </c>
      <c r="G687" t="s">
        <v>80</v>
      </c>
      <c r="H687" t="s">
        <v>62</v>
      </c>
      <c r="I687" t="s">
        <v>57</v>
      </c>
      <c r="J687" t="s">
        <v>2110</v>
      </c>
      <c r="L687">
        <v>5.8</v>
      </c>
      <c r="M687">
        <v>377000</v>
      </c>
      <c r="N687">
        <v>2.7</v>
      </c>
      <c r="O687">
        <v>6</v>
      </c>
      <c r="P687" t="s">
        <v>26</v>
      </c>
    </row>
    <row r="688" spans="1:16" x14ac:dyDescent="0.25">
      <c r="A688" t="s">
        <v>2111</v>
      </c>
      <c r="B688" t="s">
        <v>2112</v>
      </c>
      <c r="C688" t="s">
        <v>29</v>
      </c>
      <c r="D688" t="s">
        <v>50</v>
      </c>
      <c r="E688" t="s">
        <v>44</v>
      </c>
      <c r="F688" t="s">
        <v>39</v>
      </c>
      <c r="G688" t="s">
        <v>22</v>
      </c>
      <c r="H688" t="s">
        <v>34</v>
      </c>
      <c r="I688" t="s">
        <v>57</v>
      </c>
      <c r="J688" t="s">
        <v>2113</v>
      </c>
      <c r="L688">
        <v>5</v>
      </c>
      <c r="M688">
        <v>142000</v>
      </c>
      <c r="N688">
        <v>3</v>
      </c>
      <c r="O688">
        <v>22</v>
      </c>
      <c r="P688" t="s">
        <v>26</v>
      </c>
    </row>
    <row r="689" spans="1:16" x14ac:dyDescent="0.25">
      <c r="A689" t="s">
        <v>2114</v>
      </c>
      <c r="B689" t="s">
        <v>2115</v>
      </c>
      <c r="C689" t="s">
        <v>29</v>
      </c>
      <c r="D689" t="s">
        <v>50</v>
      </c>
      <c r="E689" t="s">
        <v>20</v>
      </c>
      <c r="F689" t="s">
        <v>32</v>
      </c>
      <c r="G689" t="s">
        <v>69</v>
      </c>
      <c r="H689" t="s">
        <v>23</v>
      </c>
      <c r="I689" t="s">
        <v>24</v>
      </c>
      <c r="J689" t="s">
        <v>2116</v>
      </c>
      <c r="L689">
        <v>4</v>
      </c>
      <c r="M689">
        <v>309000</v>
      </c>
      <c r="N689">
        <v>3.6</v>
      </c>
      <c r="O689">
        <v>7</v>
      </c>
      <c r="P689" t="s">
        <v>26</v>
      </c>
    </row>
    <row r="690" spans="1:16" x14ac:dyDescent="0.25">
      <c r="A690" t="s">
        <v>2117</v>
      </c>
      <c r="B690" t="s">
        <v>2118</v>
      </c>
      <c r="C690" t="s">
        <v>18</v>
      </c>
      <c r="D690" t="s">
        <v>79</v>
      </c>
      <c r="E690" t="s">
        <v>20</v>
      </c>
      <c r="F690" t="s">
        <v>128</v>
      </c>
      <c r="G690" t="s">
        <v>69</v>
      </c>
      <c r="H690" t="s">
        <v>23</v>
      </c>
      <c r="I690" t="s">
        <v>35</v>
      </c>
      <c r="J690" t="s">
        <v>2119</v>
      </c>
      <c r="K690" t="s">
        <v>2120</v>
      </c>
      <c r="L690">
        <v>1.6</v>
      </c>
      <c r="M690">
        <v>585000</v>
      </c>
      <c r="N690">
        <v>2.4</v>
      </c>
      <c r="O690">
        <v>7</v>
      </c>
      <c r="P690" t="s">
        <v>53</v>
      </c>
    </row>
    <row r="691" spans="1:16" x14ac:dyDescent="0.25">
      <c r="A691" t="s">
        <v>2121</v>
      </c>
      <c r="B691" t="s">
        <v>2115</v>
      </c>
      <c r="C691" t="s">
        <v>29</v>
      </c>
      <c r="D691" t="s">
        <v>79</v>
      </c>
      <c r="E691" t="s">
        <v>20</v>
      </c>
      <c r="F691" t="s">
        <v>128</v>
      </c>
      <c r="G691" t="s">
        <v>80</v>
      </c>
      <c r="H691" t="s">
        <v>23</v>
      </c>
      <c r="I691" t="s">
        <v>24</v>
      </c>
      <c r="J691" t="s">
        <v>806</v>
      </c>
      <c r="L691">
        <v>4.8</v>
      </c>
      <c r="M691">
        <v>453000</v>
      </c>
      <c r="N691">
        <v>3.1</v>
      </c>
      <c r="P691" t="s">
        <v>26</v>
      </c>
    </row>
    <row r="692" spans="1:16" x14ac:dyDescent="0.25">
      <c r="A692" t="s">
        <v>2122</v>
      </c>
      <c r="B692" t="s">
        <v>2123</v>
      </c>
      <c r="C692" t="s">
        <v>29</v>
      </c>
      <c r="D692" t="s">
        <v>43</v>
      </c>
      <c r="E692" t="s">
        <v>44</v>
      </c>
      <c r="F692" t="s">
        <v>32</v>
      </c>
      <c r="G692" t="s">
        <v>22</v>
      </c>
      <c r="H692" t="s">
        <v>34</v>
      </c>
      <c r="J692" t="s">
        <v>2124</v>
      </c>
      <c r="K692" t="s">
        <v>354</v>
      </c>
      <c r="L692">
        <v>2.4</v>
      </c>
      <c r="M692">
        <v>225000</v>
      </c>
      <c r="N692">
        <v>4.7</v>
      </c>
      <c r="O692">
        <v>12</v>
      </c>
      <c r="P692" t="s">
        <v>114</v>
      </c>
    </row>
    <row r="693" spans="1:16" x14ac:dyDescent="0.25">
      <c r="A693" t="s">
        <v>2125</v>
      </c>
      <c r="B693" t="s">
        <v>2126</v>
      </c>
      <c r="C693" t="s">
        <v>18</v>
      </c>
      <c r="D693" t="s">
        <v>79</v>
      </c>
      <c r="E693" t="s">
        <v>20</v>
      </c>
      <c r="F693" t="s">
        <v>21</v>
      </c>
      <c r="G693" t="s">
        <v>22</v>
      </c>
      <c r="H693" t="s">
        <v>34</v>
      </c>
      <c r="I693" t="s">
        <v>75</v>
      </c>
      <c r="J693" t="s">
        <v>956</v>
      </c>
      <c r="L693">
        <v>5.2</v>
      </c>
      <c r="M693">
        <v>693000</v>
      </c>
      <c r="N693">
        <v>3.4</v>
      </c>
      <c r="O693">
        <v>13</v>
      </c>
      <c r="P693" t="s">
        <v>26</v>
      </c>
    </row>
    <row r="694" spans="1:16" x14ac:dyDescent="0.25">
      <c r="A694" t="s">
        <v>2127</v>
      </c>
      <c r="B694" t="s">
        <v>471</v>
      </c>
      <c r="C694" t="s">
        <v>18</v>
      </c>
      <c r="D694" t="s">
        <v>43</v>
      </c>
      <c r="E694" t="s">
        <v>31</v>
      </c>
      <c r="F694" t="s">
        <v>32</v>
      </c>
      <c r="G694" t="s">
        <v>22</v>
      </c>
      <c r="H694" t="s">
        <v>34</v>
      </c>
      <c r="I694" t="s">
        <v>24</v>
      </c>
      <c r="J694" t="s">
        <v>475</v>
      </c>
      <c r="L694">
        <v>4.9000000000000004</v>
      </c>
      <c r="M694">
        <v>322000</v>
      </c>
      <c r="N694">
        <v>5</v>
      </c>
      <c r="O694">
        <v>0</v>
      </c>
      <c r="P694" t="s">
        <v>26</v>
      </c>
    </row>
    <row r="695" spans="1:16" x14ac:dyDescent="0.25">
      <c r="A695" t="s">
        <v>2128</v>
      </c>
      <c r="B695" t="s">
        <v>123</v>
      </c>
      <c r="C695" t="s">
        <v>29</v>
      </c>
      <c r="D695" t="s">
        <v>19</v>
      </c>
      <c r="E695" t="s">
        <v>20</v>
      </c>
      <c r="F695" t="s">
        <v>32</v>
      </c>
      <c r="G695" t="s">
        <v>22</v>
      </c>
      <c r="H695" t="s">
        <v>46</v>
      </c>
      <c r="I695" t="s">
        <v>24</v>
      </c>
      <c r="J695" t="s">
        <v>2064</v>
      </c>
      <c r="K695" t="s">
        <v>2129</v>
      </c>
      <c r="L695">
        <v>2.4</v>
      </c>
      <c r="M695">
        <v>293000</v>
      </c>
      <c r="N695">
        <v>3.7</v>
      </c>
      <c r="O695">
        <v>0</v>
      </c>
      <c r="P695" t="s">
        <v>72</v>
      </c>
    </row>
    <row r="696" spans="1:16" x14ac:dyDescent="0.25">
      <c r="A696" t="s">
        <v>2130</v>
      </c>
      <c r="B696" t="s">
        <v>2131</v>
      </c>
      <c r="C696" t="s">
        <v>29</v>
      </c>
      <c r="D696" t="s">
        <v>50</v>
      </c>
      <c r="E696" t="s">
        <v>31</v>
      </c>
      <c r="G696" t="s">
        <v>33</v>
      </c>
      <c r="H696" t="s">
        <v>34</v>
      </c>
      <c r="I696" t="s">
        <v>57</v>
      </c>
      <c r="J696" t="s">
        <v>1668</v>
      </c>
      <c r="L696">
        <v>5.4</v>
      </c>
      <c r="M696">
        <v>249000</v>
      </c>
      <c r="N696">
        <v>3.9</v>
      </c>
      <c r="O696">
        <v>14</v>
      </c>
      <c r="P696" t="s">
        <v>26</v>
      </c>
    </row>
    <row r="697" spans="1:16" x14ac:dyDescent="0.25">
      <c r="A697" t="s">
        <v>2132</v>
      </c>
      <c r="B697" t="s">
        <v>2133</v>
      </c>
      <c r="C697" t="s">
        <v>18</v>
      </c>
      <c r="D697" t="s">
        <v>30</v>
      </c>
      <c r="E697" t="s">
        <v>20</v>
      </c>
      <c r="F697" t="s">
        <v>39</v>
      </c>
      <c r="G697" t="s">
        <v>22</v>
      </c>
      <c r="H697" t="s">
        <v>34</v>
      </c>
      <c r="I697" t="s">
        <v>24</v>
      </c>
      <c r="J697" t="s">
        <v>342</v>
      </c>
      <c r="L697">
        <v>3.8</v>
      </c>
      <c r="M697">
        <v>174000</v>
      </c>
      <c r="N697">
        <v>2.1</v>
      </c>
      <c r="O697">
        <v>9</v>
      </c>
      <c r="P697" t="s">
        <v>26</v>
      </c>
    </row>
    <row r="698" spans="1:16" x14ac:dyDescent="0.25">
      <c r="A698" t="s">
        <v>2134</v>
      </c>
      <c r="B698" t="s">
        <v>647</v>
      </c>
      <c r="C698" t="s">
        <v>29</v>
      </c>
      <c r="D698" t="s">
        <v>50</v>
      </c>
      <c r="E698" t="s">
        <v>20</v>
      </c>
      <c r="F698" t="s">
        <v>32</v>
      </c>
      <c r="G698" t="s">
        <v>22</v>
      </c>
      <c r="H698" t="s">
        <v>23</v>
      </c>
      <c r="I698" t="s">
        <v>24</v>
      </c>
      <c r="J698" t="s">
        <v>2135</v>
      </c>
      <c r="L698">
        <v>1.7</v>
      </c>
      <c r="M698">
        <v>236000</v>
      </c>
      <c r="N698">
        <v>3.8</v>
      </c>
      <c r="O698">
        <v>7</v>
      </c>
      <c r="P698" t="s">
        <v>26</v>
      </c>
    </row>
    <row r="699" spans="1:16" x14ac:dyDescent="0.25">
      <c r="A699" t="s">
        <v>2136</v>
      </c>
      <c r="B699" t="s">
        <v>2137</v>
      </c>
      <c r="C699" t="s">
        <v>18</v>
      </c>
      <c r="D699" t="s">
        <v>79</v>
      </c>
      <c r="E699" t="s">
        <v>31</v>
      </c>
      <c r="F699" t="s">
        <v>39</v>
      </c>
      <c r="G699" t="s">
        <v>80</v>
      </c>
      <c r="H699" t="s">
        <v>34</v>
      </c>
      <c r="I699" t="s">
        <v>57</v>
      </c>
      <c r="J699" t="s">
        <v>1497</v>
      </c>
      <c r="L699">
        <v>1.7</v>
      </c>
      <c r="M699">
        <v>123000</v>
      </c>
      <c r="N699">
        <v>2.7</v>
      </c>
      <c r="O699">
        <v>12</v>
      </c>
      <c r="P699" t="s">
        <v>26</v>
      </c>
    </row>
    <row r="700" spans="1:16" x14ac:dyDescent="0.25">
      <c r="A700" t="s">
        <v>2138</v>
      </c>
      <c r="B700" t="s">
        <v>2139</v>
      </c>
      <c r="C700" t="s">
        <v>18</v>
      </c>
      <c r="D700" t="s">
        <v>43</v>
      </c>
      <c r="E700" t="s">
        <v>20</v>
      </c>
      <c r="F700" t="s">
        <v>128</v>
      </c>
      <c r="G700" t="s">
        <v>22</v>
      </c>
      <c r="H700" t="s">
        <v>23</v>
      </c>
      <c r="I700" t="s">
        <v>35</v>
      </c>
      <c r="J700" t="s">
        <v>1930</v>
      </c>
      <c r="L700">
        <v>3.5</v>
      </c>
      <c r="M700">
        <v>460000</v>
      </c>
      <c r="N700">
        <v>5</v>
      </c>
      <c r="O700">
        <v>1</v>
      </c>
      <c r="P700" t="s">
        <v>26</v>
      </c>
    </row>
    <row r="701" spans="1:16" x14ac:dyDescent="0.25">
      <c r="A701" t="s">
        <v>2140</v>
      </c>
      <c r="B701" t="s">
        <v>1841</v>
      </c>
      <c r="C701" t="s">
        <v>29</v>
      </c>
      <c r="D701" t="s">
        <v>30</v>
      </c>
      <c r="E701" t="s">
        <v>44</v>
      </c>
      <c r="F701" t="s">
        <v>39</v>
      </c>
      <c r="G701" t="s">
        <v>33</v>
      </c>
      <c r="H701" t="s">
        <v>34</v>
      </c>
      <c r="I701" t="s">
        <v>24</v>
      </c>
      <c r="J701" t="s">
        <v>670</v>
      </c>
      <c r="L701">
        <v>4.7</v>
      </c>
      <c r="M701">
        <v>120000</v>
      </c>
      <c r="N701">
        <v>2.4</v>
      </c>
      <c r="O701">
        <v>14</v>
      </c>
      <c r="P701" t="s">
        <v>26</v>
      </c>
    </row>
    <row r="702" spans="1:16" x14ac:dyDescent="0.25">
      <c r="A702" t="s">
        <v>2141</v>
      </c>
      <c r="B702" t="s">
        <v>2142</v>
      </c>
      <c r="C702" t="s">
        <v>18</v>
      </c>
      <c r="D702" t="s">
        <v>30</v>
      </c>
      <c r="E702" t="s">
        <v>20</v>
      </c>
      <c r="F702" t="s">
        <v>21</v>
      </c>
      <c r="G702" t="s">
        <v>22</v>
      </c>
      <c r="H702" t="s">
        <v>62</v>
      </c>
      <c r="I702" t="s">
        <v>35</v>
      </c>
      <c r="J702" t="s">
        <v>2143</v>
      </c>
      <c r="L702">
        <v>6.1</v>
      </c>
      <c r="M702">
        <v>812000</v>
      </c>
      <c r="N702">
        <v>4</v>
      </c>
      <c r="O702">
        <v>7</v>
      </c>
      <c r="P702" t="s">
        <v>26</v>
      </c>
    </row>
    <row r="703" spans="1:16" x14ac:dyDescent="0.25">
      <c r="A703" t="s">
        <v>2144</v>
      </c>
      <c r="B703" t="s">
        <v>2145</v>
      </c>
      <c r="C703" t="s">
        <v>29</v>
      </c>
      <c r="D703" t="s">
        <v>30</v>
      </c>
      <c r="E703" t="s">
        <v>20</v>
      </c>
      <c r="F703" t="s">
        <v>32</v>
      </c>
      <c r="G703" t="s">
        <v>33</v>
      </c>
      <c r="H703" t="s">
        <v>46</v>
      </c>
      <c r="I703" t="s">
        <v>75</v>
      </c>
      <c r="J703" t="s">
        <v>2146</v>
      </c>
      <c r="K703" t="s">
        <v>1744</v>
      </c>
      <c r="L703">
        <v>2.2999999999999998</v>
      </c>
      <c r="M703">
        <v>186000</v>
      </c>
      <c r="N703">
        <v>3.1</v>
      </c>
      <c r="P703" t="s">
        <v>53</v>
      </c>
    </row>
    <row r="704" spans="1:16" x14ac:dyDescent="0.25">
      <c r="A704" t="s">
        <v>2147</v>
      </c>
      <c r="B704" t="s">
        <v>2148</v>
      </c>
      <c r="C704" t="s">
        <v>18</v>
      </c>
      <c r="D704" t="s">
        <v>30</v>
      </c>
      <c r="E704" t="s">
        <v>44</v>
      </c>
      <c r="F704" t="s">
        <v>32</v>
      </c>
      <c r="G704" t="s">
        <v>22</v>
      </c>
      <c r="H704" t="s">
        <v>23</v>
      </c>
      <c r="I704" t="s">
        <v>75</v>
      </c>
      <c r="J704" t="s">
        <v>1363</v>
      </c>
      <c r="K704" t="s">
        <v>606</v>
      </c>
      <c r="L704">
        <v>5.6</v>
      </c>
      <c r="M704">
        <v>277000</v>
      </c>
      <c r="O704">
        <v>7</v>
      </c>
      <c r="P704" t="s">
        <v>72</v>
      </c>
    </row>
    <row r="705" spans="1:16" x14ac:dyDescent="0.25">
      <c r="A705" t="s">
        <v>2149</v>
      </c>
      <c r="B705" t="s">
        <v>1277</v>
      </c>
      <c r="C705" t="s">
        <v>29</v>
      </c>
      <c r="D705" t="s">
        <v>43</v>
      </c>
      <c r="E705" t="s">
        <v>20</v>
      </c>
      <c r="G705" t="s">
        <v>33</v>
      </c>
      <c r="H705" t="s">
        <v>62</v>
      </c>
      <c r="I705" t="s">
        <v>24</v>
      </c>
      <c r="J705" t="s">
        <v>2150</v>
      </c>
      <c r="L705">
        <v>5.9</v>
      </c>
      <c r="M705">
        <v>123000</v>
      </c>
      <c r="N705">
        <v>3.2</v>
      </c>
      <c r="O705">
        <v>12</v>
      </c>
      <c r="P705" t="s">
        <v>26</v>
      </c>
    </row>
    <row r="706" spans="1:16" x14ac:dyDescent="0.25">
      <c r="A706" t="s">
        <v>2151</v>
      </c>
      <c r="B706" t="s">
        <v>675</v>
      </c>
      <c r="C706" t="s">
        <v>18</v>
      </c>
      <c r="D706" t="s">
        <v>19</v>
      </c>
      <c r="E706" t="s">
        <v>20</v>
      </c>
      <c r="F706" t="s">
        <v>128</v>
      </c>
      <c r="G706" t="s">
        <v>22</v>
      </c>
      <c r="H706" t="s">
        <v>23</v>
      </c>
      <c r="I706" t="s">
        <v>24</v>
      </c>
      <c r="J706" t="s">
        <v>2152</v>
      </c>
      <c r="L706">
        <v>6</v>
      </c>
      <c r="M706">
        <v>527000</v>
      </c>
      <c r="N706">
        <v>4.4000000000000004</v>
      </c>
      <c r="O706">
        <v>14</v>
      </c>
      <c r="P706" t="s">
        <v>26</v>
      </c>
    </row>
    <row r="707" spans="1:16" x14ac:dyDescent="0.25">
      <c r="A707" t="s">
        <v>2153</v>
      </c>
      <c r="B707" t="s">
        <v>1387</v>
      </c>
      <c r="C707" t="s">
        <v>18</v>
      </c>
      <c r="D707" t="s">
        <v>50</v>
      </c>
      <c r="E707" t="s">
        <v>20</v>
      </c>
      <c r="F707" t="s">
        <v>32</v>
      </c>
      <c r="G707" t="s">
        <v>22</v>
      </c>
      <c r="H707" t="s">
        <v>34</v>
      </c>
      <c r="J707" t="s">
        <v>2154</v>
      </c>
      <c r="L707">
        <v>2.1</v>
      </c>
      <c r="M707">
        <v>273000</v>
      </c>
      <c r="N707">
        <v>3.1</v>
      </c>
      <c r="O707">
        <v>9</v>
      </c>
      <c r="P707" t="s">
        <v>26</v>
      </c>
    </row>
    <row r="708" spans="1:16" x14ac:dyDescent="0.25">
      <c r="A708" t="s">
        <v>2155</v>
      </c>
      <c r="B708" t="s">
        <v>2156</v>
      </c>
      <c r="C708" t="s">
        <v>29</v>
      </c>
      <c r="D708" t="s">
        <v>50</v>
      </c>
      <c r="E708" t="s">
        <v>44</v>
      </c>
      <c r="F708" t="s">
        <v>128</v>
      </c>
      <c r="G708" t="s">
        <v>22</v>
      </c>
      <c r="H708" t="s">
        <v>23</v>
      </c>
      <c r="I708" t="s">
        <v>57</v>
      </c>
      <c r="J708" t="s">
        <v>117</v>
      </c>
      <c r="K708" t="s">
        <v>2157</v>
      </c>
      <c r="L708">
        <v>3.9</v>
      </c>
      <c r="M708">
        <v>429000</v>
      </c>
      <c r="N708">
        <v>4.9000000000000004</v>
      </c>
      <c r="O708">
        <v>14</v>
      </c>
      <c r="P708" t="s">
        <v>72</v>
      </c>
    </row>
    <row r="709" spans="1:16" x14ac:dyDescent="0.25">
      <c r="A709" t="s">
        <v>2158</v>
      </c>
      <c r="B709" t="s">
        <v>2159</v>
      </c>
      <c r="C709" t="s">
        <v>18</v>
      </c>
      <c r="D709" t="s">
        <v>50</v>
      </c>
      <c r="E709" t="s">
        <v>20</v>
      </c>
      <c r="F709" t="s">
        <v>32</v>
      </c>
      <c r="G709" t="s">
        <v>22</v>
      </c>
      <c r="H709" t="s">
        <v>23</v>
      </c>
      <c r="I709" t="s">
        <v>57</v>
      </c>
      <c r="J709" t="s">
        <v>2160</v>
      </c>
      <c r="L709">
        <v>4.9000000000000004</v>
      </c>
      <c r="M709">
        <v>249000</v>
      </c>
      <c r="N709">
        <v>4.0999999999999996</v>
      </c>
      <c r="O709">
        <v>0</v>
      </c>
      <c r="P709" t="s">
        <v>26</v>
      </c>
    </row>
    <row r="710" spans="1:16" x14ac:dyDescent="0.25">
      <c r="A710" t="s">
        <v>2161</v>
      </c>
      <c r="B710" t="s">
        <v>2162</v>
      </c>
      <c r="C710" t="s">
        <v>18</v>
      </c>
      <c r="D710" t="s">
        <v>50</v>
      </c>
      <c r="E710" t="s">
        <v>44</v>
      </c>
      <c r="F710" t="s">
        <v>128</v>
      </c>
      <c r="G710" t="s">
        <v>22</v>
      </c>
      <c r="H710" t="s">
        <v>23</v>
      </c>
      <c r="I710" t="s">
        <v>24</v>
      </c>
      <c r="J710" t="s">
        <v>2163</v>
      </c>
      <c r="L710">
        <v>6.1</v>
      </c>
      <c r="M710">
        <v>379000</v>
      </c>
      <c r="N710">
        <v>4.9000000000000004</v>
      </c>
      <c r="O710">
        <v>4</v>
      </c>
      <c r="P710" t="s">
        <v>26</v>
      </c>
    </row>
    <row r="711" spans="1:16" x14ac:dyDescent="0.25">
      <c r="A711" t="s">
        <v>2164</v>
      </c>
      <c r="B711" t="s">
        <v>2165</v>
      </c>
      <c r="C711" t="s">
        <v>18</v>
      </c>
      <c r="D711" t="s">
        <v>50</v>
      </c>
      <c r="E711" t="s">
        <v>20</v>
      </c>
      <c r="F711" t="s">
        <v>39</v>
      </c>
      <c r="G711" t="s">
        <v>33</v>
      </c>
      <c r="H711" t="s">
        <v>62</v>
      </c>
      <c r="I711" t="s">
        <v>57</v>
      </c>
      <c r="J711" t="s">
        <v>2166</v>
      </c>
      <c r="L711">
        <v>3.7</v>
      </c>
      <c r="M711">
        <v>116000</v>
      </c>
      <c r="N711">
        <v>4.4000000000000004</v>
      </c>
      <c r="O711">
        <v>6</v>
      </c>
      <c r="P711" t="s">
        <v>26</v>
      </c>
    </row>
    <row r="712" spans="1:16" x14ac:dyDescent="0.25">
      <c r="A712" t="s">
        <v>2167</v>
      </c>
      <c r="B712" t="s">
        <v>2168</v>
      </c>
      <c r="C712" t="s">
        <v>18</v>
      </c>
      <c r="D712" t="s">
        <v>79</v>
      </c>
      <c r="E712" t="s">
        <v>20</v>
      </c>
      <c r="F712" t="s">
        <v>128</v>
      </c>
      <c r="G712" t="s">
        <v>33</v>
      </c>
      <c r="H712" t="s">
        <v>23</v>
      </c>
      <c r="I712" t="s">
        <v>24</v>
      </c>
      <c r="J712" t="s">
        <v>2169</v>
      </c>
      <c r="L712">
        <v>4.7</v>
      </c>
      <c r="M712">
        <v>449000</v>
      </c>
      <c r="N712">
        <v>3</v>
      </c>
      <c r="O712">
        <v>12</v>
      </c>
      <c r="P712" t="s">
        <v>26</v>
      </c>
    </row>
    <row r="713" spans="1:16" x14ac:dyDescent="0.25">
      <c r="A713" t="s">
        <v>2170</v>
      </c>
      <c r="B713" t="s">
        <v>2171</v>
      </c>
      <c r="C713" t="s">
        <v>29</v>
      </c>
      <c r="D713" t="s">
        <v>50</v>
      </c>
      <c r="E713" t="s">
        <v>44</v>
      </c>
      <c r="F713" t="s">
        <v>39</v>
      </c>
      <c r="G713" t="s">
        <v>22</v>
      </c>
      <c r="H713" t="s">
        <v>34</v>
      </c>
      <c r="I713" t="s">
        <v>171</v>
      </c>
      <c r="J713" t="s">
        <v>152</v>
      </c>
      <c r="K713" t="s">
        <v>282</v>
      </c>
      <c r="L713">
        <v>4</v>
      </c>
      <c r="M713">
        <v>99000</v>
      </c>
      <c r="N713">
        <v>3.9</v>
      </c>
      <c r="O713">
        <v>1</v>
      </c>
      <c r="P713" t="s">
        <v>72</v>
      </c>
    </row>
    <row r="714" spans="1:16" x14ac:dyDescent="0.25">
      <c r="A714" t="s">
        <v>2172</v>
      </c>
      <c r="B714" t="s">
        <v>2173</v>
      </c>
      <c r="C714" t="s">
        <v>29</v>
      </c>
      <c r="D714" t="s">
        <v>50</v>
      </c>
      <c r="E714" t="s">
        <v>20</v>
      </c>
      <c r="F714" t="s">
        <v>128</v>
      </c>
      <c r="G714" t="s">
        <v>33</v>
      </c>
      <c r="H714" t="s">
        <v>34</v>
      </c>
      <c r="I714" t="s">
        <v>24</v>
      </c>
      <c r="J714" t="s">
        <v>1392</v>
      </c>
      <c r="L714">
        <v>2.7</v>
      </c>
      <c r="M714">
        <v>595000</v>
      </c>
      <c r="N714">
        <v>3</v>
      </c>
      <c r="O714">
        <v>2</v>
      </c>
      <c r="P714" t="s">
        <v>26</v>
      </c>
    </row>
    <row r="715" spans="1:16" x14ac:dyDescent="0.25">
      <c r="A715" t="s">
        <v>2174</v>
      </c>
      <c r="B715" t="s">
        <v>2175</v>
      </c>
      <c r="C715" t="s">
        <v>18</v>
      </c>
      <c r="D715" t="s">
        <v>50</v>
      </c>
      <c r="E715" t="s">
        <v>20</v>
      </c>
      <c r="F715" t="s">
        <v>39</v>
      </c>
      <c r="G715" t="s">
        <v>33</v>
      </c>
      <c r="H715" t="s">
        <v>46</v>
      </c>
      <c r="I715" t="s">
        <v>24</v>
      </c>
      <c r="J715" t="s">
        <v>2176</v>
      </c>
      <c r="L715">
        <v>2.6</v>
      </c>
      <c r="M715">
        <v>108000</v>
      </c>
      <c r="N715">
        <v>2.9</v>
      </c>
      <c r="O715">
        <v>7</v>
      </c>
      <c r="P715" t="s">
        <v>26</v>
      </c>
    </row>
    <row r="716" spans="1:16" x14ac:dyDescent="0.25">
      <c r="A716" t="s">
        <v>2177</v>
      </c>
      <c r="B716" t="s">
        <v>2178</v>
      </c>
      <c r="C716" t="s">
        <v>18</v>
      </c>
      <c r="D716" t="s">
        <v>79</v>
      </c>
      <c r="E716" t="s">
        <v>20</v>
      </c>
      <c r="F716" t="s">
        <v>32</v>
      </c>
      <c r="G716" t="s">
        <v>22</v>
      </c>
      <c r="I716" t="s">
        <v>171</v>
      </c>
      <c r="J716" t="s">
        <v>2179</v>
      </c>
      <c r="L716">
        <v>1.6</v>
      </c>
      <c r="N716">
        <v>4.8</v>
      </c>
      <c r="O716">
        <v>33</v>
      </c>
      <c r="P716" t="s">
        <v>26</v>
      </c>
    </row>
    <row r="717" spans="1:16" x14ac:dyDescent="0.25">
      <c r="A717" t="s">
        <v>2180</v>
      </c>
      <c r="B717" t="s">
        <v>2181</v>
      </c>
      <c r="C717" t="s">
        <v>18</v>
      </c>
      <c r="D717" t="s">
        <v>79</v>
      </c>
      <c r="E717" t="s">
        <v>44</v>
      </c>
      <c r="F717" t="s">
        <v>39</v>
      </c>
      <c r="G717" t="s">
        <v>22</v>
      </c>
      <c r="H717" t="s">
        <v>23</v>
      </c>
      <c r="I717" t="s">
        <v>35</v>
      </c>
      <c r="J717" t="s">
        <v>2182</v>
      </c>
      <c r="K717" t="s">
        <v>1456</v>
      </c>
      <c r="L717">
        <v>1.4</v>
      </c>
      <c r="M717">
        <v>157000</v>
      </c>
      <c r="N717">
        <v>3.7</v>
      </c>
      <c r="O717">
        <v>34</v>
      </c>
      <c r="P717" t="s">
        <v>53</v>
      </c>
    </row>
    <row r="718" spans="1:16" x14ac:dyDescent="0.25">
      <c r="A718" t="s">
        <v>2183</v>
      </c>
      <c r="B718" t="s">
        <v>2184</v>
      </c>
      <c r="C718" t="s">
        <v>18</v>
      </c>
      <c r="D718" t="s">
        <v>30</v>
      </c>
      <c r="E718" t="s">
        <v>20</v>
      </c>
      <c r="F718" t="s">
        <v>128</v>
      </c>
      <c r="G718" t="s">
        <v>33</v>
      </c>
      <c r="H718" t="s">
        <v>23</v>
      </c>
      <c r="I718" t="s">
        <v>75</v>
      </c>
      <c r="J718" t="s">
        <v>2185</v>
      </c>
      <c r="K718" t="s">
        <v>2186</v>
      </c>
      <c r="L718">
        <v>4.5999999999999996</v>
      </c>
      <c r="M718">
        <v>437000</v>
      </c>
      <c r="N718">
        <v>3.9</v>
      </c>
      <c r="O718">
        <v>4</v>
      </c>
      <c r="P718" t="s">
        <v>72</v>
      </c>
    </row>
    <row r="719" spans="1:16" x14ac:dyDescent="0.25">
      <c r="A719" t="s">
        <v>2187</v>
      </c>
      <c r="B719" t="s">
        <v>2188</v>
      </c>
      <c r="C719" t="s">
        <v>29</v>
      </c>
      <c r="D719" t="s">
        <v>79</v>
      </c>
      <c r="E719" t="s">
        <v>20</v>
      </c>
      <c r="F719" t="s">
        <v>128</v>
      </c>
      <c r="G719" t="s">
        <v>22</v>
      </c>
      <c r="H719" t="s">
        <v>34</v>
      </c>
      <c r="I719" t="s">
        <v>57</v>
      </c>
      <c r="J719" t="s">
        <v>2189</v>
      </c>
      <c r="K719" t="s">
        <v>1735</v>
      </c>
      <c r="L719">
        <v>2.1</v>
      </c>
      <c r="M719">
        <v>570000</v>
      </c>
      <c r="N719">
        <v>2</v>
      </c>
      <c r="O719">
        <v>9</v>
      </c>
      <c r="P719" t="s">
        <v>72</v>
      </c>
    </row>
    <row r="720" spans="1:16" x14ac:dyDescent="0.25">
      <c r="A720" t="s">
        <v>2190</v>
      </c>
      <c r="B720" t="s">
        <v>1904</v>
      </c>
      <c r="C720" t="s">
        <v>29</v>
      </c>
      <c r="D720" t="s">
        <v>30</v>
      </c>
      <c r="E720" t="s">
        <v>44</v>
      </c>
      <c r="F720" t="s">
        <v>128</v>
      </c>
      <c r="G720" t="s">
        <v>22</v>
      </c>
      <c r="H720" t="s">
        <v>23</v>
      </c>
      <c r="I720" t="s">
        <v>57</v>
      </c>
      <c r="J720" t="s">
        <v>316</v>
      </c>
      <c r="K720" t="s">
        <v>220</v>
      </c>
      <c r="L720">
        <v>2.7</v>
      </c>
      <c r="M720">
        <v>402000</v>
      </c>
      <c r="N720">
        <v>3.2</v>
      </c>
      <c r="O720">
        <v>2</v>
      </c>
      <c r="P720" t="s">
        <v>114</v>
      </c>
    </row>
    <row r="721" spans="1:16" x14ac:dyDescent="0.25">
      <c r="A721" t="s">
        <v>2191</v>
      </c>
      <c r="B721" t="s">
        <v>552</v>
      </c>
      <c r="C721" t="s">
        <v>18</v>
      </c>
      <c r="D721" t="s">
        <v>43</v>
      </c>
      <c r="E721" t="s">
        <v>20</v>
      </c>
      <c r="F721" t="s">
        <v>32</v>
      </c>
      <c r="G721" t="s">
        <v>22</v>
      </c>
      <c r="H721" t="s">
        <v>23</v>
      </c>
      <c r="I721" t="s">
        <v>35</v>
      </c>
      <c r="J721" t="s">
        <v>2192</v>
      </c>
      <c r="K721" t="s">
        <v>2193</v>
      </c>
      <c r="L721">
        <v>3.6</v>
      </c>
      <c r="M721">
        <v>180000</v>
      </c>
      <c r="N721">
        <v>4.7</v>
      </c>
      <c r="O721">
        <v>1</v>
      </c>
      <c r="P721" t="s">
        <v>53</v>
      </c>
    </row>
    <row r="722" spans="1:16" x14ac:dyDescent="0.25">
      <c r="A722" t="s">
        <v>2194</v>
      </c>
      <c r="B722" t="s">
        <v>2195</v>
      </c>
      <c r="C722" t="s">
        <v>18</v>
      </c>
      <c r="E722" t="s">
        <v>44</v>
      </c>
      <c r="F722" t="s">
        <v>128</v>
      </c>
      <c r="G722" t="s">
        <v>69</v>
      </c>
      <c r="H722" t="s">
        <v>34</v>
      </c>
      <c r="I722" t="s">
        <v>24</v>
      </c>
      <c r="J722" t="s">
        <v>2196</v>
      </c>
      <c r="K722" t="s">
        <v>2197</v>
      </c>
      <c r="L722">
        <v>5.7</v>
      </c>
      <c r="M722">
        <v>433000</v>
      </c>
      <c r="O722">
        <v>13</v>
      </c>
      <c r="P722" t="s">
        <v>53</v>
      </c>
    </row>
    <row r="723" spans="1:16" x14ac:dyDescent="0.25">
      <c r="A723" t="s">
        <v>2198</v>
      </c>
      <c r="B723" t="s">
        <v>2199</v>
      </c>
      <c r="C723" t="s">
        <v>18</v>
      </c>
      <c r="D723" t="s">
        <v>79</v>
      </c>
      <c r="E723" t="s">
        <v>20</v>
      </c>
      <c r="F723" t="s">
        <v>32</v>
      </c>
      <c r="G723" t="s">
        <v>22</v>
      </c>
      <c r="H723" t="s">
        <v>46</v>
      </c>
      <c r="I723" t="s">
        <v>75</v>
      </c>
      <c r="J723" t="s">
        <v>2200</v>
      </c>
      <c r="L723">
        <v>1.8</v>
      </c>
      <c r="M723">
        <v>211000</v>
      </c>
      <c r="N723">
        <v>3.3</v>
      </c>
      <c r="O723">
        <v>1</v>
      </c>
      <c r="P723" t="s">
        <v>26</v>
      </c>
    </row>
    <row r="724" spans="1:16" x14ac:dyDescent="0.25">
      <c r="A724" t="s">
        <v>2201</v>
      </c>
      <c r="B724" t="s">
        <v>2202</v>
      </c>
      <c r="C724" t="s">
        <v>18</v>
      </c>
      <c r="D724" t="s">
        <v>43</v>
      </c>
      <c r="E724" t="s">
        <v>20</v>
      </c>
      <c r="F724" t="s">
        <v>39</v>
      </c>
      <c r="G724" t="s">
        <v>33</v>
      </c>
      <c r="H724" t="s">
        <v>46</v>
      </c>
      <c r="I724" t="s">
        <v>24</v>
      </c>
      <c r="J724" t="s">
        <v>411</v>
      </c>
      <c r="L724">
        <v>3.1</v>
      </c>
      <c r="M724">
        <v>100000</v>
      </c>
      <c r="N724">
        <v>3.1</v>
      </c>
      <c r="O724">
        <v>12</v>
      </c>
      <c r="P724" t="s">
        <v>26</v>
      </c>
    </row>
    <row r="725" spans="1:16" x14ac:dyDescent="0.25">
      <c r="A725" t="s">
        <v>2203</v>
      </c>
      <c r="B725" t="s">
        <v>1885</v>
      </c>
      <c r="C725" t="s">
        <v>29</v>
      </c>
      <c r="D725" t="s">
        <v>19</v>
      </c>
      <c r="E725" t="s">
        <v>20</v>
      </c>
      <c r="F725" t="s">
        <v>39</v>
      </c>
      <c r="G725" t="s">
        <v>22</v>
      </c>
      <c r="H725" t="s">
        <v>34</v>
      </c>
      <c r="I725" t="s">
        <v>24</v>
      </c>
      <c r="J725" t="s">
        <v>2204</v>
      </c>
      <c r="L725">
        <v>5.8</v>
      </c>
      <c r="M725">
        <v>114000</v>
      </c>
      <c r="N725">
        <v>3.7</v>
      </c>
      <c r="O725">
        <v>21</v>
      </c>
      <c r="P725" t="s">
        <v>26</v>
      </c>
    </row>
    <row r="726" spans="1:16" x14ac:dyDescent="0.25">
      <c r="A726" t="s">
        <v>2205</v>
      </c>
      <c r="B726" t="s">
        <v>2206</v>
      </c>
      <c r="C726" t="s">
        <v>18</v>
      </c>
      <c r="D726" t="s">
        <v>50</v>
      </c>
      <c r="E726" t="s">
        <v>20</v>
      </c>
      <c r="F726" t="s">
        <v>32</v>
      </c>
      <c r="G726" t="s">
        <v>22</v>
      </c>
      <c r="H726" t="s">
        <v>34</v>
      </c>
      <c r="I726" t="s">
        <v>24</v>
      </c>
      <c r="J726" t="s">
        <v>1176</v>
      </c>
      <c r="L726">
        <v>4.5</v>
      </c>
      <c r="M726">
        <v>182000</v>
      </c>
      <c r="N726">
        <v>4.5</v>
      </c>
      <c r="O726">
        <v>2</v>
      </c>
      <c r="P726" t="s">
        <v>26</v>
      </c>
    </row>
    <row r="727" spans="1:16" x14ac:dyDescent="0.25">
      <c r="A727" t="s">
        <v>2207</v>
      </c>
      <c r="B727" t="s">
        <v>2208</v>
      </c>
      <c r="C727" t="s">
        <v>18</v>
      </c>
      <c r="D727" t="s">
        <v>19</v>
      </c>
      <c r="E727" t="s">
        <v>20</v>
      </c>
      <c r="F727" t="s">
        <v>39</v>
      </c>
      <c r="G727" t="s">
        <v>69</v>
      </c>
      <c r="H727" t="s">
        <v>46</v>
      </c>
      <c r="I727" t="s">
        <v>24</v>
      </c>
      <c r="J727" t="s">
        <v>773</v>
      </c>
      <c r="L727">
        <v>3.7</v>
      </c>
      <c r="M727">
        <v>127000</v>
      </c>
      <c r="N727">
        <v>4</v>
      </c>
      <c r="O727">
        <v>10</v>
      </c>
      <c r="P727" t="s">
        <v>26</v>
      </c>
    </row>
    <row r="728" spans="1:16" x14ac:dyDescent="0.25">
      <c r="A728" t="s">
        <v>2209</v>
      </c>
      <c r="B728" t="s">
        <v>1778</v>
      </c>
      <c r="C728" t="s">
        <v>29</v>
      </c>
      <c r="D728" t="s">
        <v>19</v>
      </c>
      <c r="E728" t="s">
        <v>44</v>
      </c>
      <c r="F728" t="s">
        <v>128</v>
      </c>
      <c r="G728" t="s">
        <v>22</v>
      </c>
      <c r="H728" t="s">
        <v>62</v>
      </c>
      <c r="I728" t="s">
        <v>24</v>
      </c>
      <c r="J728" t="s">
        <v>2210</v>
      </c>
      <c r="K728" t="s">
        <v>2211</v>
      </c>
      <c r="L728">
        <v>3.7</v>
      </c>
      <c r="M728">
        <v>424000</v>
      </c>
      <c r="N728">
        <v>4.5999999999999996</v>
      </c>
      <c r="O728">
        <v>4</v>
      </c>
      <c r="P728" t="s">
        <v>53</v>
      </c>
    </row>
    <row r="729" spans="1:16" x14ac:dyDescent="0.25">
      <c r="A729" t="s">
        <v>2212</v>
      </c>
      <c r="B729" t="s">
        <v>977</v>
      </c>
      <c r="C729" t="s">
        <v>18</v>
      </c>
      <c r="E729" t="s">
        <v>20</v>
      </c>
      <c r="F729" t="s">
        <v>32</v>
      </c>
      <c r="G729" t="s">
        <v>22</v>
      </c>
      <c r="H729" t="s">
        <v>34</v>
      </c>
      <c r="I729" t="s">
        <v>57</v>
      </c>
      <c r="J729" t="s">
        <v>2213</v>
      </c>
      <c r="L729">
        <v>2.2999999999999998</v>
      </c>
      <c r="M729">
        <v>248000</v>
      </c>
      <c r="N729">
        <v>2.4</v>
      </c>
      <c r="O729">
        <v>0</v>
      </c>
      <c r="P729" t="s">
        <v>26</v>
      </c>
    </row>
    <row r="730" spans="1:16" x14ac:dyDescent="0.25">
      <c r="A730" t="s">
        <v>2214</v>
      </c>
      <c r="B730" t="s">
        <v>2215</v>
      </c>
      <c r="C730" t="s">
        <v>18</v>
      </c>
      <c r="D730" t="s">
        <v>50</v>
      </c>
      <c r="E730" t="s">
        <v>20</v>
      </c>
      <c r="F730" t="s">
        <v>32</v>
      </c>
      <c r="G730" t="s">
        <v>22</v>
      </c>
      <c r="H730" t="s">
        <v>34</v>
      </c>
      <c r="I730" t="s">
        <v>171</v>
      </c>
      <c r="J730" t="s">
        <v>2216</v>
      </c>
      <c r="K730" t="s">
        <v>2217</v>
      </c>
      <c r="L730">
        <v>1.4</v>
      </c>
      <c r="M730">
        <v>240000</v>
      </c>
      <c r="N730">
        <v>2.7</v>
      </c>
      <c r="O730">
        <v>12</v>
      </c>
      <c r="P730" t="s">
        <v>53</v>
      </c>
    </row>
    <row r="731" spans="1:16" x14ac:dyDescent="0.25">
      <c r="A731" t="s">
        <v>2218</v>
      </c>
      <c r="B731" t="s">
        <v>1271</v>
      </c>
      <c r="C731" t="s">
        <v>18</v>
      </c>
      <c r="D731" t="s">
        <v>43</v>
      </c>
      <c r="E731" t="s">
        <v>20</v>
      </c>
      <c r="F731" t="s">
        <v>128</v>
      </c>
      <c r="G731" t="s">
        <v>22</v>
      </c>
      <c r="I731" t="s">
        <v>35</v>
      </c>
      <c r="J731" t="s">
        <v>2219</v>
      </c>
      <c r="L731">
        <v>5.2</v>
      </c>
      <c r="M731">
        <v>502000</v>
      </c>
      <c r="N731">
        <v>3.2</v>
      </c>
      <c r="O731">
        <v>0</v>
      </c>
      <c r="P731" t="s">
        <v>26</v>
      </c>
    </row>
    <row r="732" spans="1:16" x14ac:dyDescent="0.25">
      <c r="A732" t="s">
        <v>2220</v>
      </c>
      <c r="B732" t="s">
        <v>2221</v>
      </c>
      <c r="C732" t="s">
        <v>18</v>
      </c>
      <c r="E732" t="s">
        <v>20</v>
      </c>
      <c r="F732" t="s">
        <v>128</v>
      </c>
      <c r="G732" t="s">
        <v>80</v>
      </c>
      <c r="H732" t="s">
        <v>34</v>
      </c>
      <c r="I732" t="s">
        <v>57</v>
      </c>
      <c r="J732" t="s">
        <v>628</v>
      </c>
      <c r="L732">
        <v>2.1</v>
      </c>
      <c r="M732">
        <v>585000</v>
      </c>
      <c r="N732">
        <v>2.1</v>
      </c>
      <c r="O732">
        <v>5</v>
      </c>
      <c r="P732" t="s">
        <v>26</v>
      </c>
    </row>
    <row r="733" spans="1:16" x14ac:dyDescent="0.25">
      <c r="A733" t="s">
        <v>2222</v>
      </c>
      <c r="B733" t="s">
        <v>1521</v>
      </c>
      <c r="C733" t="s">
        <v>18</v>
      </c>
      <c r="D733" t="s">
        <v>50</v>
      </c>
      <c r="E733" t="s">
        <v>44</v>
      </c>
      <c r="F733" t="s">
        <v>32</v>
      </c>
      <c r="G733" t="s">
        <v>69</v>
      </c>
      <c r="I733" t="s">
        <v>75</v>
      </c>
      <c r="J733" t="s">
        <v>2223</v>
      </c>
      <c r="K733" t="s">
        <v>2224</v>
      </c>
      <c r="L733">
        <v>4.8</v>
      </c>
      <c r="M733">
        <v>193000</v>
      </c>
      <c r="N733">
        <v>3.3</v>
      </c>
      <c r="O733">
        <v>14</v>
      </c>
      <c r="P733" t="s">
        <v>72</v>
      </c>
    </row>
    <row r="734" spans="1:16" x14ac:dyDescent="0.25">
      <c r="A734" t="s">
        <v>2225</v>
      </c>
      <c r="B734" t="s">
        <v>2226</v>
      </c>
      <c r="C734" t="s">
        <v>29</v>
      </c>
      <c r="D734" t="s">
        <v>79</v>
      </c>
      <c r="E734" t="s">
        <v>20</v>
      </c>
      <c r="F734" t="s">
        <v>128</v>
      </c>
      <c r="G734" t="s">
        <v>80</v>
      </c>
      <c r="H734" t="s">
        <v>23</v>
      </c>
      <c r="I734" t="s">
        <v>24</v>
      </c>
      <c r="J734" t="s">
        <v>1154</v>
      </c>
      <c r="K734" t="s">
        <v>823</v>
      </c>
      <c r="L734">
        <v>3.5</v>
      </c>
      <c r="M734">
        <v>539000</v>
      </c>
      <c r="N734">
        <v>2.9</v>
      </c>
      <c r="O734">
        <v>2</v>
      </c>
      <c r="P734" t="s">
        <v>72</v>
      </c>
    </row>
    <row r="735" spans="1:16" x14ac:dyDescent="0.25">
      <c r="A735" t="s">
        <v>2227</v>
      </c>
      <c r="B735" t="s">
        <v>2228</v>
      </c>
      <c r="C735" t="s">
        <v>18</v>
      </c>
      <c r="D735" t="s">
        <v>19</v>
      </c>
      <c r="E735" t="s">
        <v>20</v>
      </c>
      <c r="F735" t="s">
        <v>128</v>
      </c>
      <c r="G735" t="s">
        <v>22</v>
      </c>
      <c r="H735" t="s">
        <v>46</v>
      </c>
      <c r="I735" t="s">
        <v>24</v>
      </c>
      <c r="J735" t="s">
        <v>2229</v>
      </c>
      <c r="K735" t="s">
        <v>2230</v>
      </c>
      <c r="L735">
        <v>5.2</v>
      </c>
      <c r="M735">
        <v>631000</v>
      </c>
      <c r="N735">
        <v>4.7</v>
      </c>
      <c r="O735">
        <v>6</v>
      </c>
      <c r="P735" t="s">
        <v>72</v>
      </c>
    </row>
    <row r="736" spans="1:16" x14ac:dyDescent="0.25">
      <c r="A736" t="s">
        <v>2231</v>
      </c>
      <c r="B736" t="s">
        <v>2232</v>
      </c>
      <c r="C736" t="s">
        <v>29</v>
      </c>
      <c r="E736" t="s">
        <v>20</v>
      </c>
      <c r="G736" t="s">
        <v>33</v>
      </c>
      <c r="H736" t="s">
        <v>46</v>
      </c>
      <c r="I736" t="s">
        <v>57</v>
      </c>
      <c r="J736" t="s">
        <v>2233</v>
      </c>
      <c r="L736">
        <v>2.9</v>
      </c>
      <c r="M736">
        <v>130000</v>
      </c>
      <c r="N736">
        <v>1.6</v>
      </c>
      <c r="O736">
        <v>11</v>
      </c>
      <c r="P736" t="s">
        <v>26</v>
      </c>
    </row>
    <row r="737" spans="1:16" x14ac:dyDescent="0.25">
      <c r="A737" t="s">
        <v>2234</v>
      </c>
      <c r="B737" t="s">
        <v>2235</v>
      </c>
      <c r="C737" t="s">
        <v>29</v>
      </c>
      <c r="D737" t="s">
        <v>30</v>
      </c>
      <c r="E737" t="s">
        <v>44</v>
      </c>
      <c r="F737" t="s">
        <v>39</v>
      </c>
      <c r="G737" t="s">
        <v>80</v>
      </c>
      <c r="H737" t="s">
        <v>23</v>
      </c>
      <c r="I737" t="s">
        <v>35</v>
      </c>
      <c r="J737" t="s">
        <v>2236</v>
      </c>
      <c r="L737">
        <v>2.4</v>
      </c>
      <c r="M737">
        <v>129000</v>
      </c>
      <c r="N737">
        <v>1.6</v>
      </c>
      <c r="O737">
        <v>40</v>
      </c>
      <c r="P737" t="s">
        <v>26</v>
      </c>
    </row>
    <row r="738" spans="1:16" x14ac:dyDescent="0.25">
      <c r="A738" t="s">
        <v>2237</v>
      </c>
      <c r="B738" t="s">
        <v>2238</v>
      </c>
      <c r="C738" t="s">
        <v>29</v>
      </c>
      <c r="D738" t="s">
        <v>50</v>
      </c>
      <c r="E738" t="s">
        <v>20</v>
      </c>
      <c r="F738" t="s">
        <v>39</v>
      </c>
      <c r="G738" t="s">
        <v>22</v>
      </c>
      <c r="H738" t="s">
        <v>34</v>
      </c>
      <c r="J738" t="s">
        <v>2239</v>
      </c>
      <c r="L738">
        <v>5.5</v>
      </c>
      <c r="M738">
        <v>171000</v>
      </c>
      <c r="N738">
        <v>3.2</v>
      </c>
      <c r="O738">
        <v>19</v>
      </c>
      <c r="P738" t="s">
        <v>26</v>
      </c>
    </row>
    <row r="739" spans="1:16" x14ac:dyDescent="0.25">
      <c r="A739" t="s">
        <v>2240</v>
      </c>
      <c r="B739" t="s">
        <v>1412</v>
      </c>
      <c r="C739" t="s">
        <v>18</v>
      </c>
      <c r="D739" t="s">
        <v>79</v>
      </c>
      <c r="E739" t="s">
        <v>31</v>
      </c>
      <c r="F739" t="s">
        <v>128</v>
      </c>
      <c r="G739" t="s">
        <v>22</v>
      </c>
      <c r="I739" t="s">
        <v>24</v>
      </c>
      <c r="J739" t="s">
        <v>1849</v>
      </c>
      <c r="L739">
        <v>1.7</v>
      </c>
      <c r="M739">
        <v>562000</v>
      </c>
      <c r="N739">
        <v>3.8</v>
      </c>
      <c r="O739">
        <v>29</v>
      </c>
      <c r="P739" t="s">
        <v>26</v>
      </c>
    </row>
    <row r="740" spans="1:16" x14ac:dyDescent="0.25">
      <c r="A740" t="s">
        <v>2241</v>
      </c>
      <c r="B740" t="s">
        <v>2242</v>
      </c>
      <c r="D740" t="s">
        <v>30</v>
      </c>
      <c r="E740" t="s">
        <v>20</v>
      </c>
      <c r="F740" t="s">
        <v>128</v>
      </c>
      <c r="G740" t="s">
        <v>80</v>
      </c>
      <c r="H740" t="s">
        <v>23</v>
      </c>
      <c r="I740" t="s">
        <v>24</v>
      </c>
      <c r="J740" t="s">
        <v>2243</v>
      </c>
      <c r="L740">
        <v>4.8</v>
      </c>
      <c r="M740">
        <v>451000</v>
      </c>
      <c r="N740">
        <v>3.1</v>
      </c>
      <c r="O740">
        <v>9</v>
      </c>
      <c r="P740" t="s">
        <v>26</v>
      </c>
    </row>
    <row r="741" spans="1:16" x14ac:dyDescent="0.25">
      <c r="A741" t="s">
        <v>2244</v>
      </c>
      <c r="B741" t="s">
        <v>2245</v>
      </c>
      <c r="C741" t="s">
        <v>18</v>
      </c>
      <c r="D741" t="s">
        <v>50</v>
      </c>
      <c r="E741" t="s">
        <v>20</v>
      </c>
      <c r="F741" t="s">
        <v>32</v>
      </c>
      <c r="G741" t="s">
        <v>33</v>
      </c>
      <c r="H741" t="s">
        <v>23</v>
      </c>
      <c r="I741" t="s">
        <v>24</v>
      </c>
      <c r="J741" t="s">
        <v>654</v>
      </c>
      <c r="L741">
        <v>2.7</v>
      </c>
      <c r="M741">
        <v>267000</v>
      </c>
      <c r="N741">
        <v>3.7</v>
      </c>
      <c r="O741">
        <v>0</v>
      </c>
      <c r="P741" t="s">
        <v>26</v>
      </c>
    </row>
    <row r="742" spans="1:16" x14ac:dyDescent="0.25">
      <c r="A742" t="s">
        <v>2246</v>
      </c>
      <c r="B742" t="s">
        <v>2247</v>
      </c>
      <c r="C742" t="s">
        <v>18</v>
      </c>
      <c r="D742" t="s">
        <v>50</v>
      </c>
      <c r="E742" t="s">
        <v>20</v>
      </c>
      <c r="F742" t="s">
        <v>32</v>
      </c>
      <c r="G742" t="s">
        <v>80</v>
      </c>
      <c r="H742" t="s">
        <v>34</v>
      </c>
      <c r="I742" t="s">
        <v>24</v>
      </c>
      <c r="J742" t="s">
        <v>1883</v>
      </c>
      <c r="L742">
        <v>5.9</v>
      </c>
      <c r="M742">
        <v>339000</v>
      </c>
      <c r="N742">
        <v>2.5</v>
      </c>
      <c r="O742">
        <v>34</v>
      </c>
      <c r="P742" t="s">
        <v>26</v>
      </c>
    </row>
    <row r="743" spans="1:16" x14ac:dyDescent="0.25">
      <c r="A743" t="s">
        <v>2248</v>
      </c>
      <c r="B743" t="s">
        <v>2249</v>
      </c>
      <c r="C743" t="s">
        <v>29</v>
      </c>
      <c r="D743" t="s">
        <v>30</v>
      </c>
      <c r="F743" t="s">
        <v>39</v>
      </c>
      <c r="G743" t="s">
        <v>33</v>
      </c>
      <c r="H743" t="s">
        <v>46</v>
      </c>
      <c r="I743" t="s">
        <v>24</v>
      </c>
      <c r="J743" t="s">
        <v>1178</v>
      </c>
      <c r="L743">
        <v>4.5</v>
      </c>
      <c r="M743">
        <v>149000</v>
      </c>
      <c r="N743">
        <v>3.1</v>
      </c>
      <c r="O743">
        <v>8</v>
      </c>
      <c r="P743" t="s">
        <v>26</v>
      </c>
    </row>
    <row r="744" spans="1:16" x14ac:dyDescent="0.25">
      <c r="A744" t="s">
        <v>2250</v>
      </c>
      <c r="B744" t="s">
        <v>2251</v>
      </c>
      <c r="C744" t="s">
        <v>29</v>
      </c>
      <c r="D744" t="s">
        <v>79</v>
      </c>
      <c r="E744" t="s">
        <v>44</v>
      </c>
      <c r="F744" t="s">
        <v>39</v>
      </c>
      <c r="G744" t="s">
        <v>22</v>
      </c>
      <c r="H744" t="s">
        <v>46</v>
      </c>
      <c r="I744" t="s">
        <v>57</v>
      </c>
      <c r="J744" t="s">
        <v>855</v>
      </c>
      <c r="K744" t="s">
        <v>2252</v>
      </c>
      <c r="L744">
        <v>3.9</v>
      </c>
      <c r="M744">
        <v>100000</v>
      </c>
      <c r="N744">
        <v>4.5</v>
      </c>
      <c r="O744">
        <v>9</v>
      </c>
      <c r="P744" t="s">
        <v>53</v>
      </c>
    </row>
    <row r="745" spans="1:16" x14ac:dyDescent="0.25">
      <c r="A745" t="s">
        <v>2253</v>
      </c>
      <c r="B745" t="s">
        <v>2254</v>
      </c>
      <c r="C745" t="s">
        <v>18</v>
      </c>
      <c r="D745" t="s">
        <v>19</v>
      </c>
      <c r="E745" t="s">
        <v>20</v>
      </c>
      <c r="F745" t="s">
        <v>32</v>
      </c>
      <c r="G745" t="s">
        <v>22</v>
      </c>
      <c r="H745" t="s">
        <v>46</v>
      </c>
      <c r="I745" t="s">
        <v>35</v>
      </c>
      <c r="J745" t="s">
        <v>2255</v>
      </c>
      <c r="L745">
        <v>2.2000000000000002</v>
      </c>
      <c r="M745">
        <v>359000</v>
      </c>
      <c r="N745">
        <v>3.2</v>
      </c>
      <c r="O745">
        <v>13</v>
      </c>
      <c r="P745" t="s">
        <v>26</v>
      </c>
    </row>
    <row r="746" spans="1:16" x14ac:dyDescent="0.25">
      <c r="A746" t="s">
        <v>2256</v>
      </c>
      <c r="B746" t="s">
        <v>341</v>
      </c>
      <c r="C746" t="s">
        <v>18</v>
      </c>
      <c r="D746" t="s">
        <v>50</v>
      </c>
      <c r="E746" t="s">
        <v>20</v>
      </c>
      <c r="F746" t="s">
        <v>128</v>
      </c>
      <c r="G746" t="s">
        <v>22</v>
      </c>
      <c r="H746" t="s">
        <v>23</v>
      </c>
      <c r="I746" t="s">
        <v>75</v>
      </c>
      <c r="J746" t="s">
        <v>2257</v>
      </c>
      <c r="L746">
        <v>3.2</v>
      </c>
      <c r="M746">
        <v>483000</v>
      </c>
      <c r="O746">
        <v>0</v>
      </c>
      <c r="P746" t="s">
        <v>26</v>
      </c>
    </row>
    <row r="747" spans="1:16" x14ac:dyDescent="0.25">
      <c r="A747" t="s">
        <v>2258</v>
      </c>
      <c r="B747" t="s">
        <v>1990</v>
      </c>
      <c r="C747" t="s">
        <v>18</v>
      </c>
      <c r="D747" t="s">
        <v>30</v>
      </c>
      <c r="E747" t="s">
        <v>20</v>
      </c>
      <c r="F747" t="s">
        <v>39</v>
      </c>
      <c r="G747" t="s">
        <v>80</v>
      </c>
      <c r="H747" t="s">
        <v>46</v>
      </c>
      <c r="I747" t="s">
        <v>75</v>
      </c>
      <c r="J747" t="s">
        <v>2259</v>
      </c>
      <c r="L747">
        <v>5.3</v>
      </c>
      <c r="M747">
        <v>117000</v>
      </c>
      <c r="N747">
        <v>3.3</v>
      </c>
      <c r="O747">
        <v>10</v>
      </c>
      <c r="P747" t="s">
        <v>26</v>
      </c>
    </row>
    <row r="748" spans="1:16" x14ac:dyDescent="0.25">
      <c r="A748" t="s">
        <v>2260</v>
      </c>
      <c r="B748" t="s">
        <v>271</v>
      </c>
      <c r="C748" t="s">
        <v>29</v>
      </c>
      <c r="D748" t="s">
        <v>19</v>
      </c>
      <c r="E748" t="s">
        <v>20</v>
      </c>
      <c r="G748" t="s">
        <v>22</v>
      </c>
      <c r="H748" t="s">
        <v>34</v>
      </c>
      <c r="I748" t="s">
        <v>35</v>
      </c>
      <c r="J748" t="s">
        <v>2261</v>
      </c>
      <c r="K748" t="s">
        <v>2262</v>
      </c>
      <c r="L748">
        <v>5.7</v>
      </c>
      <c r="M748">
        <v>562000</v>
      </c>
      <c r="N748">
        <v>4.2</v>
      </c>
      <c r="O748">
        <v>10</v>
      </c>
      <c r="P748" t="s">
        <v>53</v>
      </c>
    </row>
    <row r="749" spans="1:16" x14ac:dyDescent="0.25">
      <c r="A749" t="s">
        <v>2263</v>
      </c>
      <c r="B749" t="s">
        <v>2264</v>
      </c>
      <c r="C749" t="s">
        <v>29</v>
      </c>
      <c r="D749" t="s">
        <v>50</v>
      </c>
      <c r="E749" t="s">
        <v>44</v>
      </c>
      <c r="F749" t="s">
        <v>39</v>
      </c>
      <c r="G749" t="s">
        <v>22</v>
      </c>
      <c r="H749" t="s">
        <v>46</v>
      </c>
      <c r="I749" t="s">
        <v>57</v>
      </c>
      <c r="J749" t="s">
        <v>2265</v>
      </c>
      <c r="K749" t="s">
        <v>964</v>
      </c>
      <c r="L749">
        <v>3.2</v>
      </c>
      <c r="M749">
        <v>150000</v>
      </c>
      <c r="N749">
        <v>2.9</v>
      </c>
      <c r="O749">
        <v>14</v>
      </c>
      <c r="P749" t="s">
        <v>53</v>
      </c>
    </row>
    <row r="750" spans="1:16" x14ac:dyDescent="0.25">
      <c r="A750" t="s">
        <v>2266</v>
      </c>
      <c r="B750" t="s">
        <v>2267</v>
      </c>
      <c r="C750" t="s">
        <v>18</v>
      </c>
      <c r="D750" t="s">
        <v>43</v>
      </c>
      <c r="E750" t="s">
        <v>20</v>
      </c>
      <c r="F750" t="s">
        <v>32</v>
      </c>
      <c r="G750" t="s">
        <v>22</v>
      </c>
      <c r="H750" t="s">
        <v>34</v>
      </c>
      <c r="I750" t="s">
        <v>35</v>
      </c>
      <c r="J750" t="s">
        <v>2268</v>
      </c>
      <c r="L750">
        <v>3.9</v>
      </c>
      <c r="M750">
        <v>224000</v>
      </c>
      <c r="N750">
        <v>2.2999999999999998</v>
      </c>
      <c r="P750" t="s">
        <v>26</v>
      </c>
    </row>
    <row r="751" spans="1:16" x14ac:dyDescent="0.25">
      <c r="A751" t="s">
        <v>2269</v>
      </c>
      <c r="B751" t="s">
        <v>248</v>
      </c>
      <c r="C751" t="s">
        <v>18</v>
      </c>
      <c r="D751" t="s">
        <v>43</v>
      </c>
      <c r="E751" t="s">
        <v>20</v>
      </c>
      <c r="F751" t="s">
        <v>32</v>
      </c>
      <c r="G751" t="s">
        <v>22</v>
      </c>
      <c r="H751" t="s">
        <v>46</v>
      </c>
      <c r="I751" t="s">
        <v>24</v>
      </c>
      <c r="J751" t="s">
        <v>342</v>
      </c>
      <c r="L751">
        <v>3.8</v>
      </c>
      <c r="M751">
        <v>301000</v>
      </c>
      <c r="N751">
        <v>4.5999999999999996</v>
      </c>
      <c r="O751">
        <v>9</v>
      </c>
      <c r="P751" t="s">
        <v>26</v>
      </c>
    </row>
    <row r="752" spans="1:16" x14ac:dyDescent="0.25">
      <c r="A752" t="s">
        <v>2270</v>
      </c>
      <c r="B752" t="s">
        <v>886</v>
      </c>
      <c r="C752" t="s">
        <v>18</v>
      </c>
      <c r="D752" t="s">
        <v>50</v>
      </c>
      <c r="E752" t="s">
        <v>20</v>
      </c>
      <c r="F752" t="s">
        <v>39</v>
      </c>
      <c r="G752" t="s">
        <v>80</v>
      </c>
      <c r="H752" t="s">
        <v>46</v>
      </c>
      <c r="I752" t="s">
        <v>171</v>
      </c>
      <c r="J752" t="s">
        <v>1817</v>
      </c>
      <c r="K752" t="s">
        <v>2271</v>
      </c>
      <c r="L752">
        <v>4.7</v>
      </c>
      <c r="M752">
        <v>107000</v>
      </c>
      <c r="N752">
        <v>4.4000000000000004</v>
      </c>
      <c r="O752">
        <v>20</v>
      </c>
      <c r="P752" t="s">
        <v>72</v>
      </c>
    </row>
    <row r="753" spans="1:16" x14ac:dyDescent="0.25">
      <c r="A753" t="s">
        <v>2272</v>
      </c>
      <c r="B753" t="s">
        <v>843</v>
      </c>
      <c r="C753" t="s">
        <v>18</v>
      </c>
      <c r="D753" t="s">
        <v>50</v>
      </c>
      <c r="E753" t="s">
        <v>44</v>
      </c>
      <c r="F753" t="s">
        <v>39</v>
      </c>
      <c r="G753" t="s">
        <v>22</v>
      </c>
      <c r="H753" t="s">
        <v>34</v>
      </c>
      <c r="I753" t="s">
        <v>24</v>
      </c>
      <c r="J753" t="s">
        <v>2273</v>
      </c>
      <c r="K753" t="s">
        <v>2274</v>
      </c>
      <c r="L753">
        <v>5.8</v>
      </c>
      <c r="M753">
        <v>118000</v>
      </c>
      <c r="N753">
        <v>4.7</v>
      </c>
      <c r="O753">
        <v>3</v>
      </c>
      <c r="P753" t="s">
        <v>53</v>
      </c>
    </row>
    <row r="754" spans="1:16" x14ac:dyDescent="0.25">
      <c r="A754" t="s">
        <v>2275</v>
      </c>
      <c r="B754" t="s">
        <v>2276</v>
      </c>
      <c r="C754" t="s">
        <v>18</v>
      </c>
      <c r="D754" t="s">
        <v>79</v>
      </c>
      <c r="E754" t="s">
        <v>20</v>
      </c>
      <c r="F754" t="s">
        <v>128</v>
      </c>
      <c r="G754" t="s">
        <v>80</v>
      </c>
      <c r="H754" t="s">
        <v>62</v>
      </c>
      <c r="I754" t="s">
        <v>24</v>
      </c>
      <c r="J754" t="s">
        <v>2277</v>
      </c>
      <c r="L754">
        <v>1.7</v>
      </c>
      <c r="M754">
        <v>398000</v>
      </c>
      <c r="N754">
        <v>2.5</v>
      </c>
      <c r="O754">
        <v>10</v>
      </c>
      <c r="P754" t="s">
        <v>26</v>
      </c>
    </row>
    <row r="755" spans="1:16" x14ac:dyDescent="0.25">
      <c r="A755" t="s">
        <v>2278</v>
      </c>
      <c r="B755" t="s">
        <v>2279</v>
      </c>
      <c r="C755" t="s">
        <v>18</v>
      </c>
      <c r="D755" t="s">
        <v>50</v>
      </c>
      <c r="E755" t="s">
        <v>20</v>
      </c>
      <c r="F755" t="s">
        <v>128</v>
      </c>
      <c r="G755" t="s">
        <v>69</v>
      </c>
      <c r="H755" t="s">
        <v>34</v>
      </c>
      <c r="I755" t="s">
        <v>24</v>
      </c>
      <c r="J755" t="s">
        <v>2280</v>
      </c>
      <c r="L755">
        <v>1.6</v>
      </c>
      <c r="M755">
        <v>574000</v>
      </c>
      <c r="N755">
        <v>4.4000000000000004</v>
      </c>
      <c r="O755">
        <v>12</v>
      </c>
      <c r="P755" t="s">
        <v>26</v>
      </c>
    </row>
    <row r="756" spans="1:16" x14ac:dyDescent="0.25">
      <c r="A756" t="s">
        <v>2281</v>
      </c>
      <c r="B756" t="s">
        <v>684</v>
      </c>
      <c r="C756" t="s">
        <v>29</v>
      </c>
      <c r="D756" t="s">
        <v>30</v>
      </c>
      <c r="F756" t="s">
        <v>39</v>
      </c>
      <c r="G756" t="s">
        <v>80</v>
      </c>
      <c r="H756" t="s">
        <v>23</v>
      </c>
      <c r="I756" t="s">
        <v>57</v>
      </c>
      <c r="J756" t="s">
        <v>2282</v>
      </c>
      <c r="L756">
        <v>4.5</v>
      </c>
      <c r="M756">
        <v>111000</v>
      </c>
      <c r="N756">
        <v>3.2</v>
      </c>
      <c r="O756">
        <v>0</v>
      </c>
      <c r="P756" t="s">
        <v>26</v>
      </c>
    </row>
    <row r="757" spans="1:16" x14ac:dyDescent="0.25">
      <c r="A757" t="s">
        <v>2283</v>
      </c>
      <c r="B757" t="s">
        <v>2284</v>
      </c>
      <c r="C757" t="s">
        <v>18</v>
      </c>
      <c r="D757" t="s">
        <v>50</v>
      </c>
      <c r="E757" t="s">
        <v>31</v>
      </c>
      <c r="F757" t="s">
        <v>32</v>
      </c>
      <c r="G757" t="s">
        <v>80</v>
      </c>
      <c r="H757" t="s">
        <v>23</v>
      </c>
      <c r="I757" t="s">
        <v>75</v>
      </c>
      <c r="J757" t="s">
        <v>709</v>
      </c>
      <c r="K757" t="s">
        <v>2285</v>
      </c>
      <c r="L757">
        <v>2.7</v>
      </c>
      <c r="M757">
        <v>192000</v>
      </c>
      <c r="N757">
        <v>2.5</v>
      </c>
      <c r="O757">
        <v>1</v>
      </c>
      <c r="P757" t="s">
        <v>53</v>
      </c>
    </row>
    <row r="758" spans="1:16" x14ac:dyDescent="0.25">
      <c r="A758" t="s">
        <v>2286</v>
      </c>
      <c r="B758" t="s">
        <v>1094</v>
      </c>
      <c r="C758" t="s">
        <v>18</v>
      </c>
      <c r="D758" t="s">
        <v>30</v>
      </c>
      <c r="E758" t="s">
        <v>20</v>
      </c>
      <c r="F758" t="s">
        <v>32</v>
      </c>
      <c r="G758" t="s">
        <v>80</v>
      </c>
      <c r="H758" t="s">
        <v>62</v>
      </c>
      <c r="I758" t="s">
        <v>171</v>
      </c>
      <c r="J758" t="s">
        <v>688</v>
      </c>
      <c r="K758" t="s">
        <v>2287</v>
      </c>
      <c r="L758">
        <v>6</v>
      </c>
      <c r="M758">
        <v>256000</v>
      </c>
      <c r="N758">
        <v>2.1</v>
      </c>
      <c r="O758">
        <v>35</v>
      </c>
      <c r="P758" t="s">
        <v>53</v>
      </c>
    </row>
    <row r="759" spans="1:16" x14ac:dyDescent="0.25">
      <c r="A759" t="s">
        <v>2288</v>
      </c>
      <c r="B759" t="s">
        <v>2289</v>
      </c>
      <c r="C759" t="s">
        <v>18</v>
      </c>
      <c r="E759" t="s">
        <v>20</v>
      </c>
      <c r="F759" t="s">
        <v>39</v>
      </c>
      <c r="G759" t="s">
        <v>22</v>
      </c>
      <c r="H759" t="s">
        <v>34</v>
      </c>
      <c r="I759" t="s">
        <v>75</v>
      </c>
      <c r="J759" t="s">
        <v>572</v>
      </c>
      <c r="L759">
        <v>4.5</v>
      </c>
      <c r="M759">
        <v>112000</v>
      </c>
      <c r="N759">
        <v>2.6</v>
      </c>
      <c r="O759">
        <v>19</v>
      </c>
      <c r="P759" t="s">
        <v>26</v>
      </c>
    </row>
    <row r="760" spans="1:16" x14ac:dyDescent="0.25">
      <c r="A760" t="s">
        <v>2290</v>
      </c>
      <c r="B760" t="s">
        <v>2291</v>
      </c>
      <c r="C760" t="s">
        <v>29</v>
      </c>
      <c r="D760" t="s">
        <v>19</v>
      </c>
      <c r="E760" t="s">
        <v>20</v>
      </c>
      <c r="F760" t="s">
        <v>39</v>
      </c>
      <c r="G760" t="s">
        <v>69</v>
      </c>
      <c r="H760" t="s">
        <v>34</v>
      </c>
      <c r="I760" t="s">
        <v>24</v>
      </c>
      <c r="J760" t="s">
        <v>2292</v>
      </c>
      <c r="K760" t="s">
        <v>1310</v>
      </c>
      <c r="L760">
        <v>1.8</v>
      </c>
      <c r="M760">
        <v>164000</v>
      </c>
      <c r="N760">
        <v>3.6</v>
      </c>
      <c r="O760">
        <v>9</v>
      </c>
      <c r="P760" t="s">
        <v>53</v>
      </c>
    </row>
    <row r="761" spans="1:16" x14ac:dyDescent="0.25">
      <c r="A761" t="s">
        <v>2293</v>
      </c>
      <c r="B761" t="s">
        <v>2294</v>
      </c>
      <c r="C761" t="s">
        <v>29</v>
      </c>
      <c r="D761" t="s">
        <v>30</v>
      </c>
      <c r="E761" t="s">
        <v>44</v>
      </c>
      <c r="F761" t="s">
        <v>32</v>
      </c>
      <c r="G761" t="s">
        <v>69</v>
      </c>
      <c r="H761" t="s">
        <v>23</v>
      </c>
      <c r="I761" t="s">
        <v>24</v>
      </c>
      <c r="J761" t="s">
        <v>2295</v>
      </c>
      <c r="K761" t="s">
        <v>2296</v>
      </c>
      <c r="L761">
        <v>4.5999999999999996</v>
      </c>
      <c r="M761">
        <v>312000</v>
      </c>
      <c r="O761">
        <v>14</v>
      </c>
      <c r="P761" t="s">
        <v>53</v>
      </c>
    </row>
    <row r="762" spans="1:16" x14ac:dyDescent="0.25">
      <c r="A762" t="s">
        <v>2297</v>
      </c>
      <c r="B762" t="s">
        <v>2298</v>
      </c>
      <c r="C762" t="s">
        <v>18</v>
      </c>
      <c r="D762" t="s">
        <v>30</v>
      </c>
      <c r="E762" t="s">
        <v>44</v>
      </c>
      <c r="F762" t="s">
        <v>32</v>
      </c>
      <c r="G762" t="s">
        <v>80</v>
      </c>
      <c r="H762" t="s">
        <v>34</v>
      </c>
      <c r="I762" t="s">
        <v>57</v>
      </c>
      <c r="J762" t="s">
        <v>2299</v>
      </c>
      <c r="K762" t="s">
        <v>2300</v>
      </c>
      <c r="L762">
        <v>4.9000000000000004</v>
      </c>
      <c r="M762">
        <v>195000</v>
      </c>
      <c r="N762">
        <v>1.9</v>
      </c>
      <c r="O762">
        <v>17</v>
      </c>
      <c r="P762" t="s">
        <v>72</v>
      </c>
    </row>
    <row r="763" spans="1:16" x14ac:dyDescent="0.25">
      <c r="A763" t="s">
        <v>2301</v>
      </c>
      <c r="B763" t="s">
        <v>2302</v>
      </c>
      <c r="C763" t="s">
        <v>18</v>
      </c>
      <c r="D763" t="s">
        <v>50</v>
      </c>
      <c r="E763" t="s">
        <v>20</v>
      </c>
      <c r="F763" t="s">
        <v>39</v>
      </c>
      <c r="G763" t="s">
        <v>80</v>
      </c>
      <c r="H763" t="s">
        <v>62</v>
      </c>
      <c r="I763" t="s">
        <v>24</v>
      </c>
      <c r="J763" t="s">
        <v>1803</v>
      </c>
      <c r="K763" t="s">
        <v>1344</v>
      </c>
      <c r="L763">
        <v>5.7</v>
      </c>
      <c r="M763">
        <v>102000</v>
      </c>
      <c r="N763">
        <v>4.7</v>
      </c>
      <c r="O763">
        <v>14</v>
      </c>
      <c r="P763" t="s">
        <v>53</v>
      </c>
    </row>
    <row r="764" spans="1:16" x14ac:dyDescent="0.25">
      <c r="A764" t="s">
        <v>2303</v>
      </c>
      <c r="B764" t="s">
        <v>2304</v>
      </c>
      <c r="C764" t="s">
        <v>29</v>
      </c>
      <c r="D764" t="s">
        <v>30</v>
      </c>
      <c r="E764" t="s">
        <v>31</v>
      </c>
      <c r="F764" t="s">
        <v>39</v>
      </c>
      <c r="G764" t="s">
        <v>80</v>
      </c>
      <c r="H764" t="s">
        <v>23</v>
      </c>
      <c r="I764" t="s">
        <v>57</v>
      </c>
      <c r="J764" t="s">
        <v>2305</v>
      </c>
      <c r="L764">
        <v>4.3</v>
      </c>
      <c r="M764">
        <v>108000</v>
      </c>
      <c r="N764">
        <v>2</v>
      </c>
      <c r="O764">
        <v>1</v>
      </c>
      <c r="P764" t="s">
        <v>26</v>
      </c>
    </row>
    <row r="765" spans="1:16" x14ac:dyDescent="0.25">
      <c r="A765" t="s">
        <v>2306</v>
      </c>
      <c r="B765" t="s">
        <v>2307</v>
      </c>
      <c r="C765" t="s">
        <v>29</v>
      </c>
      <c r="D765" t="s">
        <v>30</v>
      </c>
      <c r="F765" t="s">
        <v>32</v>
      </c>
      <c r="G765" t="s">
        <v>22</v>
      </c>
      <c r="H765" t="s">
        <v>34</v>
      </c>
      <c r="I765" t="s">
        <v>35</v>
      </c>
      <c r="J765" t="s">
        <v>2185</v>
      </c>
      <c r="L765">
        <v>4.5999999999999996</v>
      </c>
      <c r="M765">
        <v>252000</v>
      </c>
      <c r="N765">
        <v>3.8</v>
      </c>
      <c r="O765">
        <v>9</v>
      </c>
      <c r="P765" t="s">
        <v>26</v>
      </c>
    </row>
    <row r="766" spans="1:16" x14ac:dyDescent="0.25">
      <c r="A766" t="s">
        <v>2308</v>
      </c>
      <c r="B766" t="s">
        <v>2309</v>
      </c>
      <c r="C766" t="s">
        <v>18</v>
      </c>
      <c r="D766" t="s">
        <v>50</v>
      </c>
      <c r="E766" t="s">
        <v>20</v>
      </c>
      <c r="F766" t="s">
        <v>21</v>
      </c>
      <c r="G766" t="s">
        <v>22</v>
      </c>
      <c r="H766" t="s">
        <v>23</v>
      </c>
      <c r="I766" t="s">
        <v>35</v>
      </c>
      <c r="J766" t="s">
        <v>2310</v>
      </c>
      <c r="L766">
        <v>4.8</v>
      </c>
      <c r="M766">
        <v>801000</v>
      </c>
      <c r="N766">
        <v>4</v>
      </c>
      <c r="O766">
        <v>7</v>
      </c>
      <c r="P766" t="s">
        <v>26</v>
      </c>
    </row>
    <row r="767" spans="1:16" x14ac:dyDescent="0.25">
      <c r="A767" t="s">
        <v>2311</v>
      </c>
      <c r="B767" t="s">
        <v>2312</v>
      </c>
      <c r="C767" t="s">
        <v>29</v>
      </c>
      <c r="D767" t="s">
        <v>50</v>
      </c>
      <c r="E767" t="s">
        <v>20</v>
      </c>
      <c r="F767" t="s">
        <v>39</v>
      </c>
      <c r="G767" t="s">
        <v>22</v>
      </c>
      <c r="H767" t="s">
        <v>34</v>
      </c>
      <c r="I767" t="s">
        <v>57</v>
      </c>
      <c r="J767" t="s">
        <v>1448</v>
      </c>
      <c r="K767" t="s">
        <v>2313</v>
      </c>
      <c r="L767">
        <v>1.8</v>
      </c>
      <c r="M767">
        <v>172000</v>
      </c>
      <c r="N767">
        <v>2.9</v>
      </c>
      <c r="O767">
        <v>6</v>
      </c>
      <c r="P767" t="s">
        <v>53</v>
      </c>
    </row>
    <row r="768" spans="1:16" x14ac:dyDescent="0.25">
      <c r="A768" t="s">
        <v>2314</v>
      </c>
      <c r="B768" t="s">
        <v>2315</v>
      </c>
      <c r="C768" t="s">
        <v>29</v>
      </c>
      <c r="D768" t="s">
        <v>79</v>
      </c>
      <c r="E768" t="s">
        <v>20</v>
      </c>
      <c r="F768" t="s">
        <v>32</v>
      </c>
      <c r="G768" t="s">
        <v>22</v>
      </c>
      <c r="H768" t="s">
        <v>23</v>
      </c>
      <c r="I768" t="s">
        <v>57</v>
      </c>
      <c r="J768" t="s">
        <v>993</v>
      </c>
      <c r="L768">
        <v>3.3</v>
      </c>
      <c r="M768">
        <v>237000</v>
      </c>
      <c r="N768">
        <v>2.9</v>
      </c>
      <c r="O768">
        <v>6</v>
      </c>
      <c r="P768" t="s">
        <v>26</v>
      </c>
    </row>
    <row r="769" spans="1:16" x14ac:dyDescent="0.25">
      <c r="A769" t="s">
        <v>2316</v>
      </c>
      <c r="B769" t="s">
        <v>2317</v>
      </c>
      <c r="C769" t="s">
        <v>29</v>
      </c>
      <c r="D769" t="s">
        <v>30</v>
      </c>
      <c r="E769" t="s">
        <v>20</v>
      </c>
      <c r="F769" t="s">
        <v>39</v>
      </c>
      <c r="G769" t="s">
        <v>22</v>
      </c>
      <c r="H769" t="s">
        <v>34</v>
      </c>
      <c r="I769" t="s">
        <v>24</v>
      </c>
      <c r="J769" t="s">
        <v>1056</v>
      </c>
      <c r="L769">
        <v>4.9000000000000004</v>
      </c>
      <c r="M769">
        <v>132000</v>
      </c>
      <c r="N769">
        <v>2.4</v>
      </c>
      <c r="O769">
        <v>0</v>
      </c>
      <c r="P769" t="s">
        <v>26</v>
      </c>
    </row>
    <row r="770" spans="1:16" x14ac:dyDescent="0.25">
      <c r="A770" t="s">
        <v>2318</v>
      </c>
      <c r="B770" t="s">
        <v>2319</v>
      </c>
      <c r="C770" t="s">
        <v>18</v>
      </c>
      <c r="E770" t="s">
        <v>20</v>
      </c>
      <c r="F770" t="s">
        <v>32</v>
      </c>
      <c r="G770" t="s">
        <v>22</v>
      </c>
      <c r="H770" t="s">
        <v>23</v>
      </c>
      <c r="I770" t="s">
        <v>75</v>
      </c>
      <c r="J770" t="s">
        <v>2320</v>
      </c>
      <c r="L770">
        <v>5.7</v>
      </c>
      <c r="M770">
        <v>297000</v>
      </c>
      <c r="N770">
        <v>2.6</v>
      </c>
      <c r="O770">
        <v>11</v>
      </c>
      <c r="P770" t="s">
        <v>26</v>
      </c>
    </row>
    <row r="771" spans="1:16" x14ac:dyDescent="0.25">
      <c r="A771" t="s">
        <v>2321</v>
      </c>
      <c r="B771" t="s">
        <v>2322</v>
      </c>
      <c r="C771" t="s">
        <v>18</v>
      </c>
      <c r="D771" t="s">
        <v>30</v>
      </c>
      <c r="E771" t="s">
        <v>20</v>
      </c>
      <c r="F771" t="s">
        <v>128</v>
      </c>
      <c r="G771" t="s">
        <v>33</v>
      </c>
      <c r="H771" t="s">
        <v>23</v>
      </c>
      <c r="I771" t="s">
        <v>35</v>
      </c>
      <c r="J771" t="s">
        <v>2064</v>
      </c>
      <c r="K771" t="s">
        <v>2323</v>
      </c>
      <c r="L771">
        <v>2.4</v>
      </c>
      <c r="M771">
        <v>402000</v>
      </c>
      <c r="N771">
        <v>3.1</v>
      </c>
      <c r="O771">
        <v>12</v>
      </c>
      <c r="P771" t="s">
        <v>72</v>
      </c>
    </row>
    <row r="772" spans="1:16" x14ac:dyDescent="0.25">
      <c r="A772" t="s">
        <v>2324</v>
      </c>
      <c r="B772" t="s">
        <v>2325</v>
      </c>
      <c r="C772" t="s">
        <v>29</v>
      </c>
      <c r="D772" t="s">
        <v>30</v>
      </c>
      <c r="E772" t="s">
        <v>20</v>
      </c>
      <c r="F772" t="s">
        <v>39</v>
      </c>
      <c r="G772" t="s">
        <v>22</v>
      </c>
      <c r="H772" t="s">
        <v>46</v>
      </c>
      <c r="I772" t="s">
        <v>57</v>
      </c>
      <c r="J772" t="s">
        <v>2326</v>
      </c>
      <c r="L772">
        <v>1.3</v>
      </c>
      <c r="M772">
        <v>88000</v>
      </c>
      <c r="N772">
        <v>1.6</v>
      </c>
      <c r="O772">
        <v>13</v>
      </c>
      <c r="P772" t="s">
        <v>26</v>
      </c>
    </row>
    <row r="773" spans="1:16" x14ac:dyDescent="0.25">
      <c r="A773" t="s">
        <v>2327</v>
      </c>
      <c r="B773" t="s">
        <v>2328</v>
      </c>
      <c r="C773" t="s">
        <v>18</v>
      </c>
      <c r="D773" t="s">
        <v>43</v>
      </c>
      <c r="E773" t="s">
        <v>20</v>
      </c>
      <c r="F773" t="s">
        <v>21</v>
      </c>
      <c r="G773" t="s">
        <v>33</v>
      </c>
      <c r="H773" t="s">
        <v>23</v>
      </c>
      <c r="I773" t="s">
        <v>24</v>
      </c>
      <c r="J773" t="s">
        <v>2329</v>
      </c>
      <c r="L773">
        <v>1.4</v>
      </c>
      <c r="M773">
        <v>819000</v>
      </c>
      <c r="N773">
        <v>3.4</v>
      </c>
      <c r="O773">
        <v>31</v>
      </c>
      <c r="P773" t="s">
        <v>26</v>
      </c>
    </row>
    <row r="774" spans="1:16" x14ac:dyDescent="0.25">
      <c r="A774" t="s">
        <v>2330</v>
      </c>
      <c r="B774" t="s">
        <v>2331</v>
      </c>
      <c r="C774" t="s">
        <v>29</v>
      </c>
      <c r="E774" t="s">
        <v>20</v>
      </c>
      <c r="F774" t="s">
        <v>128</v>
      </c>
      <c r="G774" t="s">
        <v>80</v>
      </c>
      <c r="H774" t="s">
        <v>46</v>
      </c>
      <c r="I774" t="s">
        <v>35</v>
      </c>
      <c r="J774" t="s">
        <v>2332</v>
      </c>
      <c r="L774">
        <v>6.2</v>
      </c>
      <c r="M774">
        <v>419000</v>
      </c>
      <c r="O774">
        <v>8</v>
      </c>
      <c r="P774" t="s">
        <v>26</v>
      </c>
    </row>
    <row r="775" spans="1:16" x14ac:dyDescent="0.25">
      <c r="A775" t="s">
        <v>2333</v>
      </c>
      <c r="B775" t="s">
        <v>2334</v>
      </c>
      <c r="C775" t="s">
        <v>29</v>
      </c>
      <c r="E775" t="s">
        <v>31</v>
      </c>
      <c r="F775" t="s">
        <v>32</v>
      </c>
      <c r="G775" t="s">
        <v>33</v>
      </c>
      <c r="H775" t="s">
        <v>23</v>
      </c>
      <c r="I775" t="s">
        <v>24</v>
      </c>
      <c r="J775" t="s">
        <v>2335</v>
      </c>
      <c r="L775">
        <v>3</v>
      </c>
      <c r="M775">
        <v>362000</v>
      </c>
      <c r="N775">
        <v>3.8</v>
      </c>
      <c r="O775">
        <v>3</v>
      </c>
      <c r="P775" t="s">
        <v>26</v>
      </c>
    </row>
    <row r="776" spans="1:16" x14ac:dyDescent="0.25">
      <c r="A776" t="s">
        <v>2336</v>
      </c>
      <c r="B776" t="s">
        <v>2312</v>
      </c>
      <c r="C776" t="s">
        <v>29</v>
      </c>
      <c r="D776" t="s">
        <v>50</v>
      </c>
      <c r="E776" t="s">
        <v>44</v>
      </c>
      <c r="F776" t="s">
        <v>39</v>
      </c>
      <c r="G776" t="s">
        <v>69</v>
      </c>
      <c r="H776" t="s">
        <v>62</v>
      </c>
      <c r="I776" t="s">
        <v>35</v>
      </c>
      <c r="J776" t="s">
        <v>2337</v>
      </c>
      <c r="L776">
        <v>2.6</v>
      </c>
      <c r="M776">
        <v>114000</v>
      </c>
      <c r="N776">
        <v>4</v>
      </c>
      <c r="O776">
        <v>14</v>
      </c>
      <c r="P776" t="s">
        <v>26</v>
      </c>
    </row>
    <row r="777" spans="1:16" x14ac:dyDescent="0.25">
      <c r="A777" t="s">
        <v>2338</v>
      </c>
      <c r="B777" t="s">
        <v>2339</v>
      </c>
      <c r="C777" t="s">
        <v>29</v>
      </c>
      <c r="D777" t="s">
        <v>19</v>
      </c>
      <c r="E777" t="s">
        <v>20</v>
      </c>
      <c r="F777" t="s">
        <v>32</v>
      </c>
      <c r="G777" t="s">
        <v>80</v>
      </c>
      <c r="H777" t="s">
        <v>46</v>
      </c>
      <c r="I777" t="s">
        <v>35</v>
      </c>
      <c r="J777" t="s">
        <v>135</v>
      </c>
      <c r="L777">
        <v>4.2</v>
      </c>
      <c r="M777">
        <v>257000</v>
      </c>
      <c r="N777">
        <v>3.7</v>
      </c>
      <c r="O777">
        <v>14</v>
      </c>
      <c r="P777" t="s">
        <v>26</v>
      </c>
    </row>
    <row r="778" spans="1:16" x14ac:dyDescent="0.25">
      <c r="A778" t="s">
        <v>2340</v>
      </c>
      <c r="B778" t="s">
        <v>2341</v>
      </c>
      <c r="C778" t="s">
        <v>18</v>
      </c>
      <c r="D778" t="s">
        <v>79</v>
      </c>
      <c r="E778" t="s">
        <v>20</v>
      </c>
      <c r="F778" t="s">
        <v>128</v>
      </c>
      <c r="G778" t="s">
        <v>33</v>
      </c>
      <c r="H778" t="s">
        <v>62</v>
      </c>
      <c r="I778" t="s">
        <v>24</v>
      </c>
      <c r="J778" t="s">
        <v>2342</v>
      </c>
      <c r="K778" t="s">
        <v>1637</v>
      </c>
      <c r="L778">
        <v>2</v>
      </c>
      <c r="M778">
        <v>474000</v>
      </c>
      <c r="N778">
        <v>4</v>
      </c>
      <c r="O778">
        <v>12</v>
      </c>
      <c r="P778" t="s">
        <v>53</v>
      </c>
    </row>
    <row r="779" spans="1:16" x14ac:dyDescent="0.25">
      <c r="A779" t="s">
        <v>2343</v>
      </c>
      <c r="B779" t="s">
        <v>1871</v>
      </c>
      <c r="C779" t="s">
        <v>18</v>
      </c>
      <c r="D779" t="s">
        <v>79</v>
      </c>
      <c r="E779" t="s">
        <v>20</v>
      </c>
      <c r="F779" t="s">
        <v>32</v>
      </c>
      <c r="G779" t="s">
        <v>80</v>
      </c>
      <c r="H779" t="s">
        <v>34</v>
      </c>
      <c r="I779" t="s">
        <v>57</v>
      </c>
      <c r="J779" t="s">
        <v>2344</v>
      </c>
      <c r="L779">
        <v>3</v>
      </c>
      <c r="M779">
        <v>240000</v>
      </c>
      <c r="N779">
        <v>4.8</v>
      </c>
      <c r="O779">
        <v>8</v>
      </c>
      <c r="P779" t="s">
        <v>26</v>
      </c>
    </row>
    <row r="780" spans="1:16" x14ac:dyDescent="0.25">
      <c r="A780" t="s">
        <v>2345</v>
      </c>
      <c r="B780" t="s">
        <v>2346</v>
      </c>
      <c r="C780" t="s">
        <v>18</v>
      </c>
      <c r="D780" t="s">
        <v>79</v>
      </c>
      <c r="E780" t="s">
        <v>20</v>
      </c>
      <c r="F780" t="s">
        <v>32</v>
      </c>
      <c r="G780" t="s">
        <v>33</v>
      </c>
      <c r="H780" t="s">
        <v>46</v>
      </c>
      <c r="I780" t="s">
        <v>57</v>
      </c>
      <c r="J780" t="s">
        <v>2347</v>
      </c>
      <c r="L780">
        <v>5.7</v>
      </c>
      <c r="M780">
        <v>232000</v>
      </c>
      <c r="N780">
        <v>4.0999999999999996</v>
      </c>
      <c r="O780">
        <v>6</v>
      </c>
      <c r="P780" t="s">
        <v>26</v>
      </c>
    </row>
    <row r="781" spans="1:16" x14ac:dyDescent="0.25">
      <c r="A781" t="s">
        <v>2348</v>
      </c>
      <c r="B781" t="s">
        <v>2349</v>
      </c>
      <c r="C781" t="s">
        <v>29</v>
      </c>
      <c r="D781" t="s">
        <v>79</v>
      </c>
      <c r="E781" t="s">
        <v>20</v>
      </c>
      <c r="F781" t="s">
        <v>32</v>
      </c>
      <c r="G781" t="s">
        <v>69</v>
      </c>
      <c r="H781" t="s">
        <v>62</v>
      </c>
      <c r="I781" t="s">
        <v>35</v>
      </c>
      <c r="J781" t="s">
        <v>2350</v>
      </c>
      <c r="L781">
        <v>6.2</v>
      </c>
      <c r="N781">
        <v>4.8</v>
      </c>
      <c r="O781">
        <v>7</v>
      </c>
      <c r="P781" t="s">
        <v>26</v>
      </c>
    </row>
    <row r="782" spans="1:16" x14ac:dyDescent="0.25">
      <c r="A782" t="s">
        <v>2351</v>
      </c>
      <c r="B782" t="s">
        <v>2352</v>
      </c>
      <c r="C782" t="s">
        <v>29</v>
      </c>
      <c r="D782" t="s">
        <v>30</v>
      </c>
      <c r="E782" t="s">
        <v>20</v>
      </c>
      <c r="F782" t="s">
        <v>32</v>
      </c>
      <c r="G782" t="s">
        <v>80</v>
      </c>
      <c r="H782" t="s">
        <v>62</v>
      </c>
      <c r="I782" t="s">
        <v>75</v>
      </c>
      <c r="J782" t="s">
        <v>1059</v>
      </c>
      <c r="L782">
        <v>2.5</v>
      </c>
      <c r="M782">
        <v>342000</v>
      </c>
      <c r="N782">
        <v>2.8</v>
      </c>
      <c r="O782">
        <v>14</v>
      </c>
      <c r="P782" t="s">
        <v>26</v>
      </c>
    </row>
    <row r="783" spans="1:16" x14ac:dyDescent="0.25">
      <c r="A783" t="s">
        <v>2353</v>
      </c>
      <c r="B783" t="s">
        <v>2354</v>
      </c>
      <c r="C783" t="s">
        <v>18</v>
      </c>
      <c r="D783" t="s">
        <v>50</v>
      </c>
      <c r="E783" t="s">
        <v>31</v>
      </c>
      <c r="F783" t="s">
        <v>39</v>
      </c>
      <c r="G783" t="s">
        <v>22</v>
      </c>
      <c r="H783" t="s">
        <v>34</v>
      </c>
      <c r="I783" t="s">
        <v>24</v>
      </c>
      <c r="J783" t="s">
        <v>2355</v>
      </c>
      <c r="L783">
        <v>6.1</v>
      </c>
      <c r="M783">
        <v>178000</v>
      </c>
      <c r="N783">
        <v>4.3</v>
      </c>
      <c r="O783">
        <v>1</v>
      </c>
      <c r="P783" t="s">
        <v>26</v>
      </c>
    </row>
    <row r="784" spans="1:16" x14ac:dyDescent="0.25">
      <c r="A784" t="s">
        <v>2356</v>
      </c>
      <c r="B784" t="s">
        <v>2357</v>
      </c>
      <c r="C784" t="s">
        <v>29</v>
      </c>
      <c r="D784" t="s">
        <v>79</v>
      </c>
      <c r="E784" t="s">
        <v>20</v>
      </c>
      <c r="F784" t="s">
        <v>128</v>
      </c>
      <c r="G784" t="s">
        <v>22</v>
      </c>
      <c r="H784" t="s">
        <v>46</v>
      </c>
      <c r="I784" t="s">
        <v>75</v>
      </c>
      <c r="J784" t="s">
        <v>2358</v>
      </c>
      <c r="L784">
        <v>4.7</v>
      </c>
      <c r="M784">
        <v>556000</v>
      </c>
      <c r="O784">
        <v>0</v>
      </c>
      <c r="P784" t="s">
        <v>26</v>
      </c>
    </row>
    <row r="785" spans="1:16" x14ac:dyDescent="0.25">
      <c r="A785" t="s">
        <v>2359</v>
      </c>
      <c r="B785" t="s">
        <v>2360</v>
      </c>
      <c r="C785" t="s">
        <v>29</v>
      </c>
      <c r="D785" t="s">
        <v>19</v>
      </c>
      <c r="E785" t="s">
        <v>20</v>
      </c>
      <c r="F785" t="s">
        <v>32</v>
      </c>
      <c r="G785" t="s">
        <v>33</v>
      </c>
      <c r="H785" t="s">
        <v>34</v>
      </c>
      <c r="I785" t="s">
        <v>35</v>
      </c>
      <c r="J785" t="s">
        <v>2361</v>
      </c>
      <c r="L785">
        <v>3.9</v>
      </c>
      <c r="M785">
        <v>273000</v>
      </c>
      <c r="N785">
        <v>4.7</v>
      </c>
      <c r="O785">
        <v>1</v>
      </c>
      <c r="P785" t="s">
        <v>26</v>
      </c>
    </row>
    <row r="786" spans="1:16" x14ac:dyDescent="0.25">
      <c r="A786" t="s">
        <v>2362</v>
      </c>
      <c r="B786" t="s">
        <v>2363</v>
      </c>
      <c r="C786" t="s">
        <v>29</v>
      </c>
      <c r="D786" t="s">
        <v>43</v>
      </c>
      <c r="E786" t="s">
        <v>44</v>
      </c>
      <c r="F786" t="s">
        <v>21</v>
      </c>
      <c r="G786" t="s">
        <v>22</v>
      </c>
      <c r="H786" t="s">
        <v>23</v>
      </c>
      <c r="I786" t="s">
        <v>35</v>
      </c>
      <c r="J786" t="s">
        <v>2364</v>
      </c>
      <c r="K786" t="s">
        <v>2365</v>
      </c>
      <c r="L786">
        <v>6.1</v>
      </c>
      <c r="M786">
        <v>827000</v>
      </c>
      <c r="N786">
        <v>3.5</v>
      </c>
      <c r="O786">
        <v>9</v>
      </c>
      <c r="P786" t="s">
        <v>53</v>
      </c>
    </row>
    <row r="787" spans="1:16" x14ac:dyDescent="0.25">
      <c r="A787" t="s">
        <v>2366</v>
      </c>
      <c r="B787" t="s">
        <v>2367</v>
      </c>
      <c r="C787" t="s">
        <v>29</v>
      </c>
      <c r="D787" t="s">
        <v>30</v>
      </c>
      <c r="E787" t="s">
        <v>20</v>
      </c>
      <c r="F787" t="s">
        <v>128</v>
      </c>
      <c r="G787" t="s">
        <v>33</v>
      </c>
      <c r="H787" t="s">
        <v>46</v>
      </c>
      <c r="I787" t="s">
        <v>24</v>
      </c>
      <c r="J787" t="s">
        <v>867</v>
      </c>
      <c r="K787" t="s">
        <v>2368</v>
      </c>
      <c r="L787">
        <v>1.4</v>
      </c>
      <c r="M787">
        <v>375000</v>
      </c>
      <c r="N787">
        <v>3.8</v>
      </c>
      <c r="O787">
        <v>13</v>
      </c>
      <c r="P787" t="s">
        <v>53</v>
      </c>
    </row>
    <row r="788" spans="1:16" x14ac:dyDescent="0.25">
      <c r="A788" t="s">
        <v>2369</v>
      </c>
      <c r="B788" t="s">
        <v>582</v>
      </c>
      <c r="C788" t="s">
        <v>18</v>
      </c>
      <c r="D788" t="s">
        <v>30</v>
      </c>
      <c r="E788" t="s">
        <v>20</v>
      </c>
      <c r="F788" t="s">
        <v>32</v>
      </c>
      <c r="G788" t="s">
        <v>22</v>
      </c>
      <c r="H788" t="s">
        <v>34</v>
      </c>
      <c r="I788" t="s">
        <v>24</v>
      </c>
      <c r="J788" t="s">
        <v>1738</v>
      </c>
      <c r="L788">
        <v>2.5</v>
      </c>
      <c r="M788">
        <v>258000</v>
      </c>
      <c r="N788">
        <v>4.4000000000000004</v>
      </c>
      <c r="O788">
        <v>7</v>
      </c>
      <c r="P788" t="s">
        <v>26</v>
      </c>
    </row>
    <row r="789" spans="1:16" x14ac:dyDescent="0.25">
      <c r="A789" t="s">
        <v>2370</v>
      </c>
      <c r="B789" t="s">
        <v>2371</v>
      </c>
      <c r="C789" t="s">
        <v>29</v>
      </c>
      <c r="D789" t="s">
        <v>50</v>
      </c>
      <c r="F789" t="s">
        <v>21</v>
      </c>
      <c r="G789" t="s">
        <v>22</v>
      </c>
      <c r="H789" t="s">
        <v>46</v>
      </c>
      <c r="I789" t="s">
        <v>171</v>
      </c>
      <c r="J789" t="s">
        <v>2372</v>
      </c>
      <c r="L789">
        <v>3.3</v>
      </c>
      <c r="M789">
        <v>647000</v>
      </c>
      <c r="N789">
        <v>4.8</v>
      </c>
      <c r="O789">
        <v>22</v>
      </c>
      <c r="P789" t="s">
        <v>26</v>
      </c>
    </row>
    <row r="790" spans="1:16" x14ac:dyDescent="0.25">
      <c r="A790" t="s">
        <v>2373</v>
      </c>
      <c r="B790" t="s">
        <v>2374</v>
      </c>
      <c r="C790" t="s">
        <v>18</v>
      </c>
      <c r="D790" t="s">
        <v>43</v>
      </c>
      <c r="E790" t="s">
        <v>20</v>
      </c>
      <c r="F790" t="s">
        <v>32</v>
      </c>
      <c r="G790" t="s">
        <v>33</v>
      </c>
      <c r="H790" t="s">
        <v>34</v>
      </c>
      <c r="I790" t="s">
        <v>24</v>
      </c>
      <c r="J790" t="s">
        <v>2375</v>
      </c>
      <c r="K790" t="s">
        <v>2157</v>
      </c>
      <c r="L790">
        <v>3.6</v>
      </c>
      <c r="M790">
        <v>220000</v>
      </c>
      <c r="N790">
        <v>3.6</v>
      </c>
      <c r="O790">
        <v>1</v>
      </c>
      <c r="P790" t="s">
        <v>72</v>
      </c>
    </row>
    <row r="791" spans="1:16" x14ac:dyDescent="0.25">
      <c r="A791" t="s">
        <v>2376</v>
      </c>
      <c r="B791" t="s">
        <v>1031</v>
      </c>
      <c r="C791" t="s">
        <v>18</v>
      </c>
      <c r="D791" t="s">
        <v>79</v>
      </c>
      <c r="E791" t="s">
        <v>20</v>
      </c>
      <c r="F791" t="s">
        <v>128</v>
      </c>
      <c r="G791" t="s">
        <v>22</v>
      </c>
      <c r="H791" t="s">
        <v>46</v>
      </c>
      <c r="I791" t="s">
        <v>57</v>
      </c>
      <c r="J791" t="s">
        <v>404</v>
      </c>
      <c r="L791">
        <v>5.3</v>
      </c>
      <c r="M791">
        <v>557000</v>
      </c>
      <c r="N791">
        <v>4.2</v>
      </c>
      <c r="O791">
        <v>2</v>
      </c>
      <c r="P791" t="s">
        <v>26</v>
      </c>
    </row>
    <row r="792" spans="1:16" x14ac:dyDescent="0.25">
      <c r="A792" t="s">
        <v>2377</v>
      </c>
      <c r="B792" t="s">
        <v>2378</v>
      </c>
      <c r="C792" t="s">
        <v>29</v>
      </c>
      <c r="D792" t="s">
        <v>79</v>
      </c>
      <c r="E792" t="s">
        <v>20</v>
      </c>
      <c r="F792" t="s">
        <v>39</v>
      </c>
      <c r="G792" t="s">
        <v>80</v>
      </c>
      <c r="H792" t="s">
        <v>23</v>
      </c>
      <c r="J792" t="s">
        <v>621</v>
      </c>
      <c r="L792">
        <v>1.9</v>
      </c>
      <c r="M792">
        <v>101000</v>
      </c>
      <c r="N792">
        <v>2.8</v>
      </c>
      <c r="O792">
        <v>7</v>
      </c>
      <c r="P792" t="s">
        <v>26</v>
      </c>
    </row>
    <row r="793" spans="1:16" x14ac:dyDescent="0.25">
      <c r="A793" t="s">
        <v>2379</v>
      </c>
      <c r="B793" t="s">
        <v>2380</v>
      </c>
      <c r="C793" t="s">
        <v>18</v>
      </c>
      <c r="D793" t="s">
        <v>50</v>
      </c>
      <c r="E793" t="s">
        <v>20</v>
      </c>
      <c r="F793" t="s">
        <v>32</v>
      </c>
      <c r="G793" t="s">
        <v>33</v>
      </c>
      <c r="H793" t="s">
        <v>23</v>
      </c>
      <c r="I793" t="s">
        <v>24</v>
      </c>
      <c r="J793" t="s">
        <v>2381</v>
      </c>
      <c r="L793">
        <v>3.3</v>
      </c>
      <c r="M793">
        <v>246000</v>
      </c>
      <c r="N793">
        <v>5</v>
      </c>
      <c r="O793">
        <v>3</v>
      </c>
      <c r="P793" t="s">
        <v>26</v>
      </c>
    </row>
    <row r="794" spans="1:16" x14ac:dyDescent="0.25">
      <c r="A794" t="s">
        <v>2382</v>
      </c>
      <c r="B794" t="s">
        <v>2383</v>
      </c>
      <c r="D794" t="s">
        <v>79</v>
      </c>
      <c r="E794" t="s">
        <v>31</v>
      </c>
      <c r="F794" t="s">
        <v>128</v>
      </c>
      <c r="G794" t="s">
        <v>33</v>
      </c>
      <c r="H794" t="s">
        <v>46</v>
      </c>
      <c r="I794" t="s">
        <v>24</v>
      </c>
      <c r="J794" t="s">
        <v>2384</v>
      </c>
      <c r="K794" t="s">
        <v>2385</v>
      </c>
      <c r="L794">
        <v>3.4</v>
      </c>
      <c r="M794">
        <v>397000</v>
      </c>
      <c r="N794">
        <v>3.2</v>
      </c>
      <c r="O794">
        <v>12</v>
      </c>
      <c r="P794" t="s">
        <v>72</v>
      </c>
    </row>
    <row r="795" spans="1:16" x14ac:dyDescent="0.25">
      <c r="A795" t="s">
        <v>2386</v>
      </c>
      <c r="B795" t="s">
        <v>2074</v>
      </c>
      <c r="C795" t="s">
        <v>29</v>
      </c>
      <c r="D795" t="s">
        <v>19</v>
      </c>
      <c r="E795" t="s">
        <v>20</v>
      </c>
      <c r="F795" t="s">
        <v>39</v>
      </c>
      <c r="G795" t="s">
        <v>22</v>
      </c>
      <c r="H795" t="s">
        <v>23</v>
      </c>
      <c r="I795" t="s">
        <v>57</v>
      </c>
      <c r="J795" t="s">
        <v>2216</v>
      </c>
      <c r="L795">
        <v>1.4</v>
      </c>
      <c r="M795">
        <v>102000</v>
      </c>
      <c r="N795">
        <v>4.0999999999999996</v>
      </c>
      <c r="O795">
        <v>2</v>
      </c>
      <c r="P795" t="s">
        <v>26</v>
      </c>
    </row>
    <row r="796" spans="1:16" x14ac:dyDescent="0.25">
      <c r="A796" t="s">
        <v>2387</v>
      </c>
      <c r="B796" t="s">
        <v>2388</v>
      </c>
      <c r="C796" t="s">
        <v>29</v>
      </c>
      <c r="D796" t="s">
        <v>79</v>
      </c>
      <c r="E796" t="s">
        <v>20</v>
      </c>
      <c r="F796" t="s">
        <v>128</v>
      </c>
      <c r="G796" t="s">
        <v>80</v>
      </c>
      <c r="H796" t="s">
        <v>23</v>
      </c>
      <c r="I796" t="s">
        <v>57</v>
      </c>
      <c r="J796" t="s">
        <v>2389</v>
      </c>
      <c r="K796" t="s">
        <v>1606</v>
      </c>
      <c r="L796">
        <v>5.0999999999999996</v>
      </c>
      <c r="M796">
        <v>557000</v>
      </c>
      <c r="N796">
        <v>4.0999999999999996</v>
      </c>
      <c r="O796">
        <v>2</v>
      </c>
      <c r="P796" t="s">
        <v>53</v>
      </c>
    </row>
    <row r="797" spans="1:16" x14ac:dyDescent="0.25">
      <c r="A797" t="s">
        <v>2390</v>
      </c>
      <c r="B797" t="s">
        <v>2391</v>
      </c>
      <c r="C797" t="s">
        <v>29</v>
      </c>
      <c r="D797" t="s">
        <v>79</v>
      </c>
      <c r="E797" t="s">
        <v>20</v>
      </c>
      <c r="F797" t="s">
        <v>45</v>
      </c>
      <c r="G797" t="s">
        <v>22</v>
      </c>
      <c r="H797" t="s">
        <v>23</v>
      </c>
      <c r="I797" t="s">
        <v>171</v>
      </c>
      <c r="J797" t="s">
        <v>2392</v>
      </c>
      <c r="L797">
        <v>1.8</v>
      </c>
      <c r="M797">
        <v>1702000</v>
      </c>
      <c r="N797">
        <v>3.7</v>
      </c>
      <c r="O797">
        <v>0</v>
      </c>
      <c r="P797" t="s">
        <v>26</v>
      </c>
    </row>
    <row r="798" spans="1:16" x14ac:dyDescent="0.25">
      <c r="A798" t="s">
        <v>2393</v>
      </c>
      <c r="B798" t="s">
        <v>2394</v>
      </c>
      <c r="C798" t="s">
        <v>29</v>
      </c>
      <c r="D798" t="s">
        <v>79</v>
      </c>
      <c r="E798" t="s">
        <v>20</v>
      </c>
      <c r="F798" t="s">
        <v>32</v>
      </c>
      <c r="G798" t="s">
        <v>22</v>
      </c>
      <c r="H798" t="s">
        <v>23</v>
      </c>
      <c r="I798" t="s">
        <v>35</v>
      </c>
      <c r="J798" t="s">
        <v>837</v>
      </c>
      <c r="L798">
        <v>1.5</v>
      </c>
      <c r="M798">
        <v>269000</v>
      </c>
      <c r="N798">
        <v>2.2000000000000002</v>
      </c>
      <c r="P798" t="s">
        <v>26</v>
      </c>
    </row>
    <row r="799" spans="1:16" x14ac:dyDescent="0.25">
      <c r="A799" t="s">
        <v>2395</v>
      </c>
      <c r="B799" t="s">
        <v>2396</v>
      </c>
      <c r="C799" t="s">
        <v>18</v>
      </c>
      <c r="D799" t="s">
        <v>30</v>
      </c>
      <c r="E799" t="s">
        <v>20</v>
      </c>
      <c r="F799" t="s">
        <v>32</v>
      </c>
      <c r="G799" t="s">
        <v>22</v>
      </c>
      <c r="H799" t="s">
        <v>62</v>
      </c>
      <c r="I799" t="s">
        <v>35</v>
      </c>
      <c r="J799" t="s">
        <v>366</v>
      </c>
      <c r="L799">
        <v>2.2999999999999998</v>
      </c>
      <c r="M799">
        <v>216000</v>
      </c>
      <c r="N799">
        <v>2</v>
      </c>
      <c r="O799">
        <v>14</v>
      </c>
      <c r="P799" t="s">
        <v>26</v>
      </c>
    </row>
    <row r="800" spans="1:16" x14ac:dyDescent="0.25">
      <c r="A800" t="s">
        <v>2397</v>
      </c>
      <c r="B800" t="s">
        <v>2398</v>
      </c>
      <c r="C800" t="s">
        <v>18</v>
      </c>
      <c r="D800" t="s">
        <v>50</v>
      </c>
      <c r="E800" t="s">
        <v>20</v>
      </c>
      <c r="F800" t="s">
        <v>32</v>
      </c>
      <c r="G800" t="s">
        <v>22</v>
      </c>
      <c r="H800" t="s">
        <v>34</v>
      </c>
      <c r="I800" t="s">
        <v>57</v>
      </c>
      <c r="J800" t="s">
        <v>1927</v>
      </c>
      <c r="K800" t="s">
        <v>2399</v>
      </c>
      <c r="L800">
        <v>3.6</v>
      </c>
      <c r="M800">
        <v>181000</v>
      </c>
      <c r="N800">
        <v>4.0999999999999996</v>
      </c>
      <c r="O800">
        <v>36</v>
      </c>
      <c r="P800" t="s">
        <v>53</v>
      </c>
    </row>
    <row r="801" spans="1:16" x14ac:dyDescent="0.25">
      <c r="A801" t="s">
        <v>2400</v>
      </c>
      <c r="B801" t="s">
        <v>2401</v>
      </c>
      <c r="C801" t="s">
        <v>18</v>
      </c>
      <c r="D801" t="s">
        <v>43</v>
      </c>
      <c r="E801" t="s">
        <v>20</v>
      </c>
      <c r="F801" t="s">
        <v>32</v>
      </c>
      <c r="G801" t="s">
        <v>80</v>
      </c>
      <c r="H801" t="s">
        <v>46</v>
      </c>
      <c r="I801" t="s">
        <v>24</v>
      </c>
      <c r="J801" t="s">
        <v>2402</v>
      </c>
      <c r="L801">
        <v>2</v>
      </c>
      <c r="M801">
        <v>180000</v>
      </c>
      <c r="N801">
        <v>3</v>
      </c>
      <c r="O801">
        <v>27</v>
      </c>
      <c r="P801" t="s">
        <v>26</v>
      </c>
    </row>
    <row r="802" spans="1:16" x14ac:dyDescent="0.25">
      <c r="A802" t="s">
        <v>2403</v>
      </c>
      <c r="B802" t="s">
        <v>2404</v>
      </c>
      <c r="C802" t="s">
        <v>29</v>
      </c>
      <c r="D802" t="s">
        <v>43</v>
      </c>
      <c r="E802" t="s">
        <v>20</v>
      </c>
      <c r="F802" t="s">
        <v>32</v>
      </c>
      <c r="G802" t="s">
        <v>22</v>
      </c>
      <c r="H802" t="s">
        <v>34</v>
      </c>
      <c r="I802" t="s">
        <v>57</v>
      </c>
      <c r="J802" t="s">
        <v>1413</v>
      </c>
      <c r="L802">
        <v>2.2000000000000002</v>
      </c>
      <c r="M802">
        <v>235000</v>
      </c>
      <c r="N802">
        <v>4.8</v>
      </c>
      <c r="O802">
        <v>2</v>
      </c>
      <c r="P802" t="s">
        <v>26</v>
      </c>
    </row>
    <row r="803" spans="1:16" x14ac:dyDescent="0.25">
      <c r="A803" t="s">
        <v>2405</v>
      </c>
      <c r="B803" t="s">
        <v>2406</v>
      </c>
      <c r="C803" t="s">
        <v>29</v>
      </c>
      <c r="D803" t="s">
        <v>50</v>
      </c>
      <c r="E803" t="s">
        <v>20</v>
      </c>
      <c r="F803" t="s">
        <v>21</v>
      </c>
      <c r="G803" t="s">
        <v>22</v>
      </c>
      <c r="H803" t="s">
        <v>23</v>
      </c>
      <c r="I803" t="s">
        <v>35</v>
      </c>
      <c r="J803" t="s">
        <v>2407</v>
      </c>
      <c r="L803">
        <v>4.4000000000000004</v>
      </c>
      <c r="M803">
        <v>833000</v>
      </c>
      <c r="N803">
        <v>3.1</v>
      </c>
      <c r="O803">
        <v>7</v>
      </c>
      <c r="P803" t="s">
        <v>26</v>
      </c>
    </row>
    <row r="804" spans="1:16" x14ac:dyDescent="0.25">
      <c r="A804" t="s">
        <v>2408</v>
      </c>
      <c r="B804" t="s">
        <v>2409</v>
      </c>
      <c r="C804" t="s">
        <v>18</v>
      </c>
      <c r="D804" t="s">
        <v>43</v>
      </c>
      <c r="E804" t="s">
        <v>20</v>
      </c>
      <c r="F804" t="s">
        <v>32</v>
      </c>
      <c r="G804" t="s">
        <v>80</v>
      </c>
      <c r="H804" t="s">
        <v>62</v>
      </c>
      <c r="I804" t="s">
        <v>24</v>
      </c>
      <c r="J804" t="s">
        <v>76</v>
      </c>
      <c r="K804" t="s">
        <v>2410</v>
      </c>
      <c r="L804">
        <v>1.3</v>
      </c>
      <c r="M804">
        <v>194000</v>
      </c>
      <c r="N804">
        <v>4.0999999999999996</v>
      </c>
      <c r="O804">
        <v>1</v>
      </c>
      <c r="P804" t="s">
        <v>72</v>
      </c>
    </row>
    <row r="805" spans="1:16" x14ac:dyDescent="0.25">
      <c r="A805" t="s">
        <v>2411</v>
      </c>
      <c r="B805" t="s">
        <v>2412</v>
      </c>
      <c r="C805" t="s">
        <v>18</v>
      </c>
      <c r="D805" t="s">
        <v>19</v>
      </c>
      <c r="F805" t="s">
        <v>32</v>
      </c>
      <c r="G805" t="s">
        <v>22</v>
      </c>
      <c r="H805" t="s">
        <v>34</v>
      </c>
      <c r="I805" t="s">
        <v>171</v>
      </c>
      <c r="J805" t="s">
        <v>2413</v>
      </c>
      <c r="K805" t="s">
        <v>2414</v>
      </c>
      <c r="L805">
        <v>4.0999999999999996</v>
      </c>
      <c r="M805">
        <v>226000</v>
      </c>
      <c r="N805">
        <v>2.9</v>
      </c>
      <c r="O805">
        <v>13</v>
      </c>
      <c r="P805" t="s">
        <v>53</v>
      </c>
    </row>
    <row r="806" spans="1:16" x14ac:dyDescent="0.25">
      <c r="A806" t="s">
        <v>2415</v>
      </c>
      <c r="B806" t="s">
        <v>2416</v>
      </c>
      <c r="C806" t="s">
        <v>18</v>
      </c>
      <c r="D806" t="s">
        <v>30</v>
      </c>
      <c r="E806" t="s">
        <v>20</v>
      </c>
      <c r="F806" t="s">
        <v>128</v>
      </c>
      <c r="G806" t="s">
        <v>80</v>
      </c>
      <c r="H806" t="s">
        <v>34</v>
      </c>
      <c r="J806" t="s">
        <v>1477</v>
      </c>
      <c r="K806" t="s">
        <v>2417</v>
      </c>
      <c r="L806">
        <v>5.6</v>
      </c>
      <c r="M806">
        <v>370000</v>
      </c>
      <c r="N806">
        <v>3.4</v>
      </c>
      <c r="P806" t="s">
        <v>53</v>
      </c>
    </row>
    <row r="807" spans="1:16" x14ac:dyDescent="0.25">
      <c r="A807" t="s">
        <v>2418</v>
      </c>
      <c r="B807" t="s">
        <v>2419</v>
      </c>
      <c r="C807" t="s">
        <v>18</v>
      </c>
      <c r="D807" t="s">
        <v>50</v>
      </c>
      <c r="E807" t="s">
        <v>20</v>
      </c>
      <c r="F807" t="s">
        <v>32</v>
      </c>
      <c r="G807" t="s">
        <v>22</v>
      </c>
      <c r="H807" t="s">
        <v>34</v>
      </c>
      <c r="I807" t="s">
        <v>24</v>
      </c>
      <c r="J807" t="s">
        <v>1187</v>
      </c>
      <c r="L807">
        <v>3.9</v>
      </c>
      <c r="M807">
        <v>263000</v>
      </c>
      <c r="N807">
        <v>2.5</v>
      </c>
      <c r="O807">
        <v>13</v>
      </c>
      <c r="P807" t="s">
        <v>26</v>
      </c>
    </row>
    <row r="808" spans="1:16" x14ac:dyDescent="0.25">
      <c r="A808" t="s">
        <v>2420</v>
      </c>
      <c r="B808" t="s">
        <v>2421</v>
      </c>
      <c r="C808" t="s">
        <v>18</v>
      </c>
      <c r="D808" t="s">
        <v>30</v>
      </c>
      <c r="E808" t="s">
        <v>20</v>
      </c>
      <c r="F808" t="s">
        <v>32</v>
      </c>
      <c r="G808" t="s">
        <v>22</v>
      </c>
      <c r="H808" t="s">
        <v>34</v>
      </c>
      <c r="I808" t="s">
        <v>57</v>
      </c>
      <c r="J808" t="s">
        <v>2422</v>
      </c>
      <c r="K808" t="s">
        <v>2423</v>
      </c>
      <c r="L808">
        <v>1.3</v>
      </c>
      <c r="M808">
        <v>321000</v>
      </c>
      <c r="N808">
        <v>2.9</v>
      </c>
      <c r="O808">
        <v>9</v>
      </c>
      <c r="P808" t="s">
        <v>72</v>
      </c>
    </row>
    <row r="809" spans="1:16" x14ac:dyDescent="0.25">
      <c r="A809" t="s">
        <v>2424</v>
      </c>
      <c r="B809" t="s">
        <v>2425</v>
      </c>
      <c r="C809" t="s">
        <v>29</v>
      </c>
      <c r="D809" t="s">
        <v>30</v>
      </c>
      <c r="E809" t="s">
        <v>44</v>
      </c>
      <c r="F809" t="s">
        <v>128</v>
      </c>
      <c r="G809" t="s">
        <v>22</v>
      </c>
      <c r="H809" t="s">
        <v>34</v>
      </c>
      <c r="I809" t="s">
        <v>24</v>
      </c>
      <c r="J809" t="s">
        <v>2426</v>
      </c>
      <c r="L809">
        <v>5.9</v>
      </c>
      <c r="M809">
        <v>507000</v>
      </c>
      <c r="N809">
        <v>4.3</v>
      </c>
      <c r="P809" t="s">
        <v>26</v>
      </c>
    </row>
    <row r="810" spans="1:16" x14ac:dyDescent="0.25">
      <c r="A810" t="s">
        <v>2427</v>
      </c>
      <c r="B810" t="s">
        <v>86</v>
      </c>
      <c r="C810" t="s">
        <v>29</v>
      </c>
      <c r="D810" t="s">
        <v>19</v>
      </c>
      <c r="E810" t="s">
        <v>44</v>
      </c>
      <c r="F810" t="s">
        <v>32</v>
      </c>
      <c r="G810" t="s">
        <v>33</v>
      </c>
      <c r="H810" t="s">
        <v>34</v>
      </c>
      <c r="I810" t="s">
        <v>75</v>
      </c>
      <c r="J810" t="s">
        <v>1652</v>
      </c>
      <c r="L810">
        <v>2.8</v>
      </c>
      <c r="N810">
        <v>3.4</v>
      </c>
      <c r="O810">
        <v>1</v>
      </c>
      <c r="P810" t="s">
        <v>26</v>
      </c>
    </row>
    <row r="811" spans="1:16" x14ac:dyDescent="0.25">
      <c r="A811" t="s">
        <v>2428</v>
      </c>
      <c r="B811" t="s">
        <v>2429</v>
      </c>
      <c r="C811" t="s">
        <v>29</v>
      </c>
      <c r="D811" t="s">
        <v>30</v>
      </c>
      <c r="E811" t="s">
        <v>20</v>
      </c>
      <c r="F811" t="s">
        <v>32</v>
      </c>
      <c r="G811" t="s">
        <v>33</v>
      </c>
      <c r="H811" t="s">
        <v>23</v>
      </c>
      <c r="I811" t="s">
        <v>171</v>
      </c>
      <c r="J811" t="s">
        <v>2430</v>
      </c>
      <c r="L811">
        <v>2.4</v>
      </c>
      <c r="N811">
        <v>4.5999999999999996</v>
      </c>
      <c r="O811">
        <v>12</v>
      </c>
      <c r="P811" t="s">
        <v>26</v>
      </c>
    </row>
    <row r="812" spans="1:16" x14ac:dyDescent="0.25">
      <c r="A812" t="s">
        <v>2431</v>
      </c>
      <c r="B812" t="s">
        <v>2432</v>
      </c>
      <c r="C812" t="s">
        <v>29</v>
      </c>
      <c r="D812" t="s">
        <v>30</v>
      </c>
      <c r="E812" t="s">
        <v>44</v>
      </c>
      <c r="F812" t="s">
        <v>128</v>
      </c>
      <c r="G812" t="s">
        <v>80</v>
      </c>
      <c r="H812" t="s">
        <v>23</v>
      </c>
      <c r="I812" t="s">
        <v>35</v>
      </c>
      <c r="J812" t="s">
        <v>2433</v>
      </c>
      <c r="K812" t="s">
        <v>2434</v>
      </c>
      <c r="L812">
        <v>3.9</v>
      </c>
      <c r="M812">
        <v>410000</v>
      </c>
      <c r="N812">
        <v>4.2</v>
      </c>
      <c r="O812">
        <v>2</v>
      </c>
      <c r="P812" t="s">
        <v>53</v>
      </c>
    </row>
    <row r="813" spans="1:16" x14ac:dyDescent="0.25">
      <c r="A813" t="s">
        <v>2435</v>
      </c>
      <c r="B813" t="s">
        <v>2371</v>
      </c>
      <c r="C813" t="s">
        <v>29</v>
      </c>
      <c r="D813" t="s">
        <v>19</v>
      </c>
      <c r="E813" t="s">
        <v>20</v>
      </c>
      <c r="F813" t="s">
        <v>32</v>
      </c>
      <c r="G813" t="s">
        <v>69</v>
      </c>
      <c r="H813" t="s">
        <v>62</v>
      </c>
      <c r="I813" t="s">
        <v>35</v>
      </c>
      <c r="J813" t="s">
        <v>2292</v>
      </c>
      <c r="K813" t="s">
        <v>1119</v>
      </c>
      <c r="L813">
        <v>1.8</v>
      </c>
      <c r="M813">
        <v>243000</v>
      </c>
      <c r="N813">
        <v>4.7</v>
      </c>
      <c r="O813">
        <v>7</v>
      </c>
      <c r="P813" t="s">
        <v>53</v>
      </c>
    </row>
    <row r="814" spans="1:16" x14ac:dyDescent="0.25">
      <c r="A814" t="s">
        <v>2436</v>
      </c>
      <c r="B814" t="s">
        <v>2437</v>
      </c>
      <c r="C814" t="s">
        <v>29</v>
      </c>
      <c r="D814" t="s">
        <v>79</v>
      </c>
      <c r="E814" t="s">
        <v>31</v>
      </c>
      <c r="F814" t="s">
        <v>32</v>
      </c>
      <c r="G814" t="s">
        <v>33</v>
      </c>
      <c r="H814" t="s">
        <v>46</v>
      </c>
      <c r="I814" t="s">
        <v>75</v>
      </c>
      <c r="J814" t="s">
        <v>2091</v>
      </c>
      <c r="L814">
        <v>5.3</v>
      </c>
      <c r="M814">
        <v>221000</v>
      </c>
      <c r="N814">
        <v>4.3</v>
      </c>
      <c r="O814">
        <v>9</v>
      </c>
      <c r="P814" t="s">
        <v>26</v>
      </c>
    </row>
    <row r="815" spans="1:16" x14ac:dyDescent="0.25">
      <c r="A815" t="s">
        <v>2438</v>
      </c>
      <c r="B815" t="s">
        <v>1338</v>
      </c>
      <c r="C815" t="s">
        <v>29</v>
      </c>
      <c r="D815" t="s">
        <v>30</v>
      </c>
      <c r="E815" t="s">
        <v>20</v>
      </c>
      <c r="F815" t="s">
        <v>39</v>
      </c>
      <c r="G815" t="s">
        <v>22</v>
      </c>
      <c r="H815" t="s">
        <v>23</v>
      </c>
      <c r="I815" t="s">
        <v>24</v>
      </c>
      <c r="J815" t="s">
        <v>2439</v>
      </c>
      <c r="K815" t="s">
        <v>2440</v>
      </c>
      <c r="L815">
        <v>2.2000000000000002</v>
      </c>
      <c r="M815">
        <v>90000</v>
      </c>
      <c r="N815">
        <v>1.5</v>
      </c>
      <c r="O815">
        <v>11</v>
      </c>
      <c r="P815" t="s">
        <v>53</v>
      </c>
    </row>
    <row r="816" spans="1:16" x14ac:dyDescent="0.25">
      <c r="A816" t="s">
        <v>2441</v>
      </c>
      <c r="B816" t="s">
        <v>2442</v>
      </c>
      <c r="C816" t="s">
        <v>29</v>
      </c>
      <c r="D816" t="s">
        <v>30</v>
      </c>
      <c r="E816" t="s">
        <v>20</v>
      </c>
      <c r="F816" t="s">
        <v>32</v>
      </c>
      <c r="G816" t="s">
        <v>80</v>
      </c>
      <c r="H816" t="s">
        <v>23</v>
      </c>
      <c r="I816" t="s">
        <v>171</v>
      </c>
      <c r="J816" t="s">
        <v>2443</v>
      </c>
      <c r="K816" t="s">
        <v>2444</v>
      </c>
      <c r="L816">
        <v>5</v>
      </c>
      <c r="M816">
        <v>255000</v>
      </c>
      <c r="N816">
        <v>4.9000000000000004</v>
      </c>
      <c r="O816">
        <v>1</v>
      </c>
      <c r="P816" t="s">
        <v>114</v>
      </c>
    </row>
    <row r="817" spans="1:16" x14ac:dyDescent="0.25">
      <c r="A817" t="s">
        <v>2445</v>
      </c>
      <c r="B817" t="s">
        <v>2446</v>
      </c>
      <c r="C817" t="s">
        <v>29</v>
      </c>
      <c r="D817" t="s">
        <v>19</v>
      </c>
      <c r="E817" t="s">
        <v>44</v>
      </c>
      <c r="F817" t="s">
        <v>39</v>
      </c>
      <c r="G817" t="s">
        <v>22</v>
      </c>
      <c r="H817" t="s">
        <v>23</v>
      </c>
      <c r="I817" t="s">
        <v>24</v>
      </c>
      <c r="J817" t="s">
        <v>1550</v>
      </c>
      <c r="K817" t="s">
        <v>2447</v>
      </c>
      <c r="L817">
        <v>3</v>
      </c>
      <c r="M817">
        <v>198000</v>
      </c>
      <c r="N817">
        <v>3.3</v>
      </c>
      <c r="O817">
        <v>13</v>
      </c>
      <c r="P817" t="s">
        <v>53</v>
      </c>
    </row>
    <row r="818" spans="1:16" x14ac:dyDescent="0.25">
      <c r="A818" t="s">
        <v>2448</v>
      </c>
      <c r="B818" t="s">
        <v>2199</v>
      </c>
      <c r="C818" t="s">
        <v>18</v>
      </c>
      <c r="D818" t="s">
        <v>30</v>
      </c>
      <c r="E818" t="s">
        <v>20</v>
      </c>
      <c r="F818" t="s">
        <v>32</v>
      </c>
      <c r="G818" t="s">
        <v>80</v>
      </c>
      <c r="H818" t="s">
        <v>23</v>
      </c>
      <c r="I818" t="s">
        <v>24</v>
      </c>
      <c r="J818" t="s">
        <v>496</v>
      </c>
      <c r="K818" t="s">
        <v>2449</v>
      </c>
      <c r="L818">
        <v>1.9</v>
      </c>
      <c r="M818">
        <v>299000</v>
      </c>
      <c r="O818">
        <v>13</v>
      </c>
      <c r="P818" t="s">
        <v>72</v>
      </c>
    </row>
    <row r="819" spans="1:16" x14ac:dyDescent="0.25">
      <c r="A819" t="s">
        <v>2450</v>
      </c>
      <c r="B819" t="s">
        <v>1590</v>
      </c>
      <c r="C819" t="s">
        <v>29</v>
      </c>
      <c r="D819" t="s">
        <v>19</v>
      </c>
      <c r="E819" t="s">
        <v>20</v>
      </c>
      <c r="F819" t="s">
        <v>32</v>
      </c>
      <c r="G819" t="s">
        <v>69</v>
      </c>
      <c r="H819" t="s">
        <v>34</v>
      </c>
      <c r="I819" t="s">
        <v>24</v>
      </c>
      <c r="J819" t="s">
        <v>1488</v>
      </c>
      <c r="L819">
        <v>2.2000000000000002</v>
      </c>
      <c r="M819">
        <v>300000</v>
      </c>
      <c r="N819">
        <v>3.2</v>
      </c>
      <c r="O819">
        <v>13</v>
      </c>
      <c r="P819" t="s">
        <v>26</v>
      </c>
    </row>
    <row r="820" spans="1:16" x14ac:dyDescent="0.25">
      <c r="A820" t="s">
        <v>2451</v>
      </c>
      <c r="B820" t="s">
        <v>2452</v>
      </c>
      <c r="C820" t="s">
        <v>29</v>
      </c>
      <c r="D820" t="s">
        <v>50</v>
      </c>
      <c r="E820" t="s">
        <v>20</v>
      </c>
      <c r="F820" t="s">
        <v>39</v>
      </c>
      <c r="G820" t="s">
        <v>80</v>
      </c>
      <c r="H820" t="s">
        <v>23</v>
      </c>
      <c r="I820" t="s">
        <v>75</v>
      </c>
      <c r="J820" t="s">
        <v>2453</v>
      </c>
      <c r="L820">
        <v>1.5</v>
      </c>
      <c r="M820">
        <v>123000</v>
      </c>
      <c r="N820">
        <v>4.9000000000000004</v>
      </c>
      <c r="O820">
        <v>5</v>
      </c>
      <c r="P820" t="s">
        <v>26</v>
      </c>
    </row>
    <row r="821" spans="1:16" x14ac:dyDescent="0.25">
      <c r="A821" t="s">
        <v>2454</v>
      </c>
      <c r="B821" t="s">
        <v>2221</v>
      </c>
      <c r="C821" t="s">
        <v>18</v>
      </c>
      <c r="D821" t="s">
        <v>30</v>
      </c>
      <c r="E821" t="s">
        <v>20</v>
      </c>
      <c r="F821" t="s">
        <v>39</v>
      </c>
      <c r="G821" t="s">
        <v>22</v>
      </c>
      <c r="H821" t="s">
        <v>23</v>
      </c>
      <c r="I821" t="s">
        <v>24</v>
      </c>
      <c r="J821" t="s">
        <v>2455</v>
      </c>
      <c r="L821">
        <v>5.4</v>
      </c>
      <c r="M821">
        <v>166000</v>
      </c>
      <c r="N821">
        <v>1.5</v>
      </c>
      <c r="O821">
        <v>5</v>
      </c>
      <c r="P821" t="s">
        <v>26</v>
      </c>
    </row>
    <row r="822" spans="1:16" x14ac:dyDescent="0.25">
      <c r="A822" t="s">
        <v>2456</v>
      </c>
      <c r="B822" t="s">
        <v>2457</v>
      </c>
      <c r="C822" t="s">
        <v>29</v>
      </c>
      <c r="D822" t="s">
        <v>43</v>
      </c>
      <c r="E822" t="s">
        <v>44</v>
      </c>
      <c r="F822" t="s">
        <v>39</v>
      </c>
      <c r="G822" t="s">
        <v>80</v>
      </c>
      <c r="H822" t="s">
        <v>34</v>
      </c>
      <c r="I822" t="s">
        <v>75</v>
      </c>
      <c r="J822" t="s">
        <v>2458</v>
      </c>
      <c r="L822">
        <v>2.4</v>
      </c>
      <c r="N822">
        <v>5</v>
      </c>
      <c r="O822">
        <v>14</v>
      </c>
      <c r="P822" t="s">
        <v>26</v>
      </c>
    </row>
    <row r="823" spans="1:16" x14ac:dyDescent="0.25">
      <c r="A823" t="s">
        <v>2459</v>
      </c>
      <c r="B823" t="s">
        <v>1166</v>
      </c>
      <c r="C823" t="s">
        <v>29</v>
      </c>
      <c r="D823" t="s">
        <v>50</v>
      </c>
      <c r="E823" t="s">
        <v>20</v>
      </c>
      <c r="F823" t="s">
        <v>128</v>
      </c>
      <c r="G823" t="s">
        <v>69</v>
      </c>
      <c r="H823" t="s">
        <v>34</v>
      </c>
      <c r="I823" t="s">
        <v>24</v>
      </c>
      <c r="J823" t="s">
        <v>2460</v>
      </c>
      <c r="K823" t="s">
        <v>709</v>
      </c>
      <c r="L823">
        <v>3.9</v>
      </c>
      <c r="M823">
        <v>390000</v>
      </c>
      <c r="N823">
        <v>2.8</v>
      </c>
      <c r="O823">
        <v>4</v>
      </c>
      <c r="P823" t="s">
        <v>53</v>
      </c>
    </row>
    <row r="824" spans="1:16" x14ac:dyDescent="0.25">
      <c r="A824" t="s">
        <v>2461</v>
      </c>
      <c r="B824" t="s">
        <v>2462</v>
      </c>
      <c r="C824" t="s">
        <v>18</v>
      </c>
      <c r="D824" t="s">
        <v>43</v>
      </c>
      <c r="E824" t="s">
        <v>20</v>
      </c>
      <c r="F824" t="s">
        <v>32</v>
      </c>
      <c r="G824" t="s">
        <v>22</v>
      </c>
      <c r="H824" t="s">
        <v>23</v>
      </c>
      <c r="I824" t="s">
        <v>171</v>
      </c>
      <c r="J824" t="s">
        <v>2463</v>
      </c>
      <c r="K824" t="s">
        <v>2464</v>
      </c>
      <c r="L824">
        <v>6.2</v>
      </c>
      <c r="M824">
        <v>213000</v>
      </c>
      <c r="N824">
        <v>4.2</v>
      </c>
      <c r="O824">
        <v>2</v>
      </c>
      <c r="P824" t="s">
        <v>53</v>
      </c>
    </row>
    <row r="825" spans="1:16" x14ac:dyDescent="0.25">
      <c r="A825" t="s">
        <v>2465</v>
      </c>
      <c r="B825" t="s">
        <v>2325</v>
      </c>
      <c r="C825" t="s">
        <v>29</v>
      </c>
      <c r="D825" t="s">
        <v>79</v>
      </c>
      <c r="E825" t="s">
        <v>44</v>
      </c>
      <c r="F825" t="s">
        <v>32</v>
      </c>
      <c r="G825" t="s">
        <v>80</v>
      </c>
      <c r="H825" t="s">
        <v>34</v>
      </c>
      <c r="I825" t="s">
        <v>24</v>
      </c>
      <c r="J825" t="s">
        <v>1703</v>
      </c>
      <c r="L825">
        <v>5.9</v>
      </c>
      <c r="M825">
        <v>342000</v>
      </c>
      <c r="N825">
        <v>2.2000000000000002</v>
      </c>
      <c r="O825">
        <v>3</v>
      </c>
      <c r="P825" t="s">
        <v>26</v>
      </c>
    </row>
    <row r="826" spans="1:16" x14ac:dyDescent="0.25">
      <c r="A826" t="s">
        <v>2466</v>
      </c>
      <c r="B826" t="s">
        <v>2467</v>
      </c>
      <c r="C826" t="s">
        <v>18</v>
      </c>
      <c r="D826" t="s">
        <v>79</v>
      </c>
      <c r="E826" t="s">
        <v>31</v>
      </c>
      <c r="F826" t="s">
        <v>21</v>
      </c>
      <c r="G826" t="s">
        <v>33</v>
      </c>
      <c r="H826" t="s">
        <v>23</v>
      </c>
      <c r="I826" t="s">
        <v>35</v>
      </c>
      <c r="J826" t="s">
        <v>2389</v>
      </c>
      <c r="L826">
        <v>5.0999999999999996</v>
      </c>
      <c r="M826">
        <v>682000</v>
      </c>
      <c r="N826">
        <v>4</v>
      </c>
      <c r="O826">
        <v>3</v>
      </c>
      <c r="P826" t="s">
        <v>26</v>
      </c>
    </row>
    <row r="827" spans="1:16" x14ac:dyDescent="0.25">
      <c r="A827" t="s">
        <v>2468</v>
      </c>
      <c r="B827" t="s">
        <v>2469</v>
      </c>
      <c r="C827" t="s">
        <v>18</v>
      </c>
      <c r="D827" t="s">
        <v>30</v>
      </c>
      <c r="E827" t="s">
        <v>20</v>
      </c>
      <c r="F827" t="s">
        <v>39</v>
      </c>
      <c r="G827" t="s">
        <v>22</v>
      </c>
      <c r="H827" t="s">
        <v>23</v>
      </c>
      <c r="I827" t="s">
        <v>171</v>
      </c>
      <c r="J827" t="s">
        <v>2470</v>
      </c>
      <c r="K827" t="s">
        <v>2471</v>
      </c>
      <c r="L827">
        <v>4.5</v>
      </c>
      <c r="M827">
        <v>98000</v>
      </c>
      <c r="N827">
        <v>2.9</v>
      </c>
      <c r="O827">
        <v>2</v>
      </c>
      <c r="P827" t="s">
        <v>53</v>
      </c>
    </row>
    <row r="828" spans="1:16" x14ac:dyDescent="0.25">
      <c r="A828" t="s">
        <v>2472</v>
      </c>
      <c r="B828" t="s">
        <v>728</v>
      </c>
      <c r="C828" t="s">
        <v>29</v>
      </c>
      <c r="D828" t="s">
        <v>30</v>
      </c>
      <c r="E828" t="s">
        <v>20</v>
      </c>
      <c r="F828" t="s">
        <v>39</v>
      </c>
      <c r="G828" t="s">
        <v>33</v>
      </c>
      <c r="H828" t="s">
        <v>62</v>
      </c>
      <c r="I828" t="s">
        <v>24</v>
      </c>
      <c r="J828" t="s">
        <v>2061</v>
      </c>
      <c r="K828" t="s">
        <v>2473</v>
      </c>
      <c r="L828">
        <v>5.5</v>
      </c>
      <c r="M828">
        <v>86000</v>
      </c>
      <c r="N828">
        <v>3</v>
      </c>
      <c r="O828">
        <v>9</v>
      </c>
      <c r="P828" t="s">
        <v>53</v>
      </c>
    </row>
    <row r="829" spans="1:16" x14ac:dyDescent="0.25">
      <c r="A829" t="s">
        <v>2474</v>
      </c>
      <c r="B829" t="s">
        <v>2475</v>
      </c>
      <c r="C829" t="s">
        <v>18</v>
      </c>
      <c r="D829" t="s">
        <v>19</v>
      </c>
      <c r="E829" t="s">
        <v>31</v>
      </c>
      <c r="F829" t="s">
        <v>32</v>
      </c>
      <c r="G829" t="s">
        <v>22</v>
      </c>
      <c r="H829" t="s">
        <v>34</v>
      </c>
      <c r="I829" t="s">
        <v>24</v>
      </c>
      <c r="J829" t="s">
        <v>2476</v>
      </c>
      <c r="K829" t="s">
        <v>2477</v>
      </c>
      <c r="L829">
        <v>3.5</v>
      </c>
      <c r="M829">
        <v>310000</v>
      </c>
      <c r="N829">
        <v>4.5</v>
      </c>
      <c r="O829">
        <v>1</v>
      </c>
      <c r="P829" t="s">
        <v>53</v>
      </c>
    </row>
    <row r="830" spans="1:16" x14ac:dyDescent="0.25">
      <c r="A830" t="s">
        <v>2478</v>
      </c>
      <c r="B830" t="s">
        <v>1441</v>
      </c>
      <c r="C830" t="s">
        <v>29</v>
      </c>
      <c r="D830" t="s">
        <v>50</v>
      </c>
      <c r="E830" t="s">
        <v>20</v>
      </c>
      <c r="F830" t="s">
        <v>39</v>
      </c>
      <c r="G830" t="s">
        <v>22</v>
      </c>
      <c r="H830" t="s">
        <v>23</v>
      </c>
      <c r="J830" t="s">
        <v>2479</v>
      </c>
      <c r="K830" t="s">
        <v>2480</v>
      </c>
      <c r="L830">
        <v>4.4000000000000004</v>
      </c>
      <c r="M830">
        <v>153000</v>
      </c>
      <c r="N830">
        <v>3.5</v>
      </c>
      <c r="O830">
        <v>34</v>
      </c>
      <c r="P830" t="s">
        <v>72</v>
      </c>
    </row>
    <row r="831" spans="1:16" x14ac:dyDescent="0.25">
      <c r="A831" t="s">
        <v>2481</v>
      </c>
      <c r="B831" t="s">
        <v>2482</v>
      </c>
      <c r="C831" t="s">
        <v>18</v>
      </c>
      <c r="D831" t="s">
        <v>50</v>
      </c>
      <c r="E831" t="s">
        <v>20</v>
      </c>
      <c r="F831" t="s">
        <v>39</v>
      </c>
      <c r="G831" t="s">
        <v>22</v>
      </c>
      <c r="H831" t="s">
        <v>23</v>
      </c>
      <c r="I831" t="s">
        <v>35</v>
      </c>
      <c r="J831" t="s">
        <v>2483</v>
      </c>
      <c r="L831">
        <v>2.5</v>
      </c>
      <c r="M831">
        <v>164000</v>
      </c>
      <c r="N831">
        <v>3.7</v>
      </c>
      <c r="O831">
        <v>12</v>
      </c>
      <c r="P831" t="s">
        <v>26</v>
      </c>
    </row>
    <row r="832" spans="1:16" x14ac:dyDescent="0.25">
      <c r="A832" t="s">
        <v>2484</v>
      </c>
      <c r="B832" t="s">
        <v>2485</v>
      </c>
      <c r="C832" t="s">
        <v>18</v>
      </c>
      <c r="E832" t="s">
        <v>20</v>
      </c>
      <c r="F832" t="s">
        <v>128</v>
      </c>
      <c r="G832" t="s">
        <v>33</v>
      </c>
      <c r="H832" t="s">
        <v>46</v>
      </c>
      <c r="I832" t="s">
        <v>75</v>
      </c>
      <c r="J832" t="s">
        <v>1248</v>
      </c>
      <c r="L832">
        <v>3.3</v>
      </c>
      <c r="N832">
        <v>4.0999999999999996</v>
      </c>
      <c r="O832">
        <v>1</v>
      </c>
      <c r="P832" t="s">
        <v>26</v>
      </c>
    </row>
    <row r="833" spans="1:16" x14ac:dyDescent="0.25">
      <c r="A833" t="s">
        <v>2486</v>
      </c>
      <c r="B833" t="s">
        <v>319</v>
      </c>
      <c r="C833" t="s">
        <v>18</v>
      </c>
      <c r="D833" t="s">
        <v>43</v>
      </c>
      <c r="E833" t="s">
        <v>20</v>
      </c>
      <c r="F833" t="s">
        <v>32</v>
      </c>
      <c r="G833" t="s">
        <v>33</v>
      </c>
      <c r="H833" t="s">
        <v>23</v>
      </c>
      <c r="I833" t="s">
        <v>24</v>
      </c>
      <c r="J833" t="s">
        <v>2487</v>
      </c>
      <c r="L833">
        <v>1.6</v>
      </c>
      <c r="M833">
        <v>196000</v>
      </c>
      <c r="N833">
        <v>3.2</v>
      </c>
      <c r="O833">
        <v>0</v>
      </c>
      <c r="P833" t="s">
        <v>26</v>
      </c>
    </row>
    <row r="834" spans="1:16" x14ac:dyDescent="0.25">
      <c r="A834" t="s">
        <v>2488</v>
      </c>
      <c r="B834" t="s">
        <v>451</v>
      </c>
      <c r="C834" t="s">
        <v>29</v>
      </c>
      <c r="D834" t="s">
        <v>50</v>
      </c>
      <c r="E834" t="s">
        <v>20</v>
      </c>
      <c r="F834" t="s">
        <v>39</v>
      </c>
      <c r="G834" t="s">
        <v>22</v>
      </c>
      <c r="H834" t="s">
        <v>34</v>
      </c>
      <c r="I834" t="s">
        <v>24</v>
      </c>
      <c r="J834" t="s">
        <v>1678</v>
      </c>
      <c r="L834">
        <v>4.8</v>
      </c>
      <c r="M834">
        <v>113000</v>
      </c>
      <c r="O834">
        <v>12</v>
      </c>
      <c r="P834" t="s">
        <v>26</v>
      </c>
    </row>
    <row r="835" spans="1:16" x14ac:dyDescent="0.25">
      <c r="A835" t="s">
        <v>2489</v>
      </c>
      <c r="B835" t="s">
        <v>2235</v>
      </c>
      <c r="C835" t="s">
        <v>29</v>
      </c>
      <c r="D835" t="s">
        <v>50</v>
      </c>
      <c r="E835" t="s">
        <v>20</v>
      </c>
      <c r="F835" t="s">
        <v>32</v>
      </c>
      <c r="G835" t="s">
        <v>22</v>
      </c>
      <c r="H835" t="s">
        <v>34</v>
      </c>
      <c r="I835" t="s">
        <v>24</v>
      </c>
      <c r="J835" t="s">
        <v>2490</v>
      </c>
      <c r="K835" t="s">
        <v>2491</v>
      </c>
      <c r="L835">
        <v>6</v>
      </c>
      <c r="M835">
        <v>233000</v>
      </c>
      <c r="N835">
        <v>4.5999999999999996</v>
      </c>
      <c r="P835" t="s">
        <v>53</v>
      </c>
    </row>
    <row r="836" spans="1:16" x14ac:dyDescent="0.25">
      <c r="A836" t="s">
        <v>2492</v>
      </c>
      <c r="B836" t="s">
        <v>2493</v>
      </c>
      <c r="C836" t="s">
        <v>18</v>
      </c>
      <c r="D836" t="s">
        <v>50</v>
      </c>
      <c r="E836" t="s">
        <v>31</v>
      </c>
      <c r="F836" t="s">
        <v>39</v>
      </c>
      <c r="G836" t="s">
        <v>22</v>
      </c>
      <c r="H836" t="s">
        <v>34</v>
      </c>
      <c r="I836" t="s">
        <v>35</v>
      </c>
      <c r="J836" t="s">
        <v>661</v>
      </c>
      <c r="L836">
        <v>2.6</v>
      </c>
      <c r="M836">
        <v>144000</v>
      </c>
      <c r="N836">
        <v>2.1</v>
      </c>
      <c r="O836">
        <v>6</v>
      </c>
      <c r="P836" t="s">
        <v>26</v>
      </c>
    </row>
    <row r="837" spans="1:16" x14ac:dyDescent="0.25">
      <c r="A837" t="s">
        <v>2494</v>
      </c>
      <c r="B837" t="s">
        <v>2495</v>
      </c>
      <c r="C837" t="s">
        <v>29</v>
      </c>
      <c r="D837" t="s">
        <v>43</v>
      </c>
      <c r="E837" t="s">
        <v>44</v>
      </c>
      <c r="F837" t="s">
        <v>32</v>
      </c>
      <c r="G837" t="s">
        <v>80</v>
      </c>
      <c r="H837" t="s">
        <v>23</v>
      </c>
      <c r="I837" t="s">
        <v>75</v>
      </c>
      <c r="J837" t="s">
        <v>372</v>
      </c>
      <c r="K837" t="s">
        <v>2399</v>
      </c>
      <c r="L837">
        <v>3.7</v>
      </c>
      <c r="M837">
        <v>237000</v>
      </c>
      <c r="O837">
        <v>10</v>
      </c>
      <c r="P837" t="s">
        <v>53</v>
      </c>
    </row>
    <row r="838" spans="1:16" x14ac:dyDescent="0.25">
      <c r="A838" t="s">
        <v>2496</v>
      </c>
      <c r="B838" t="s">
        <v>2497</v>
      </c>
      <c r="C838" t="s">
        <v>18</v>
      </c>
      <c r="E838" t="s">
        <v>20</v>
      </c>
      <c r="G838" t="s">
        <v>22</v>
      </c>
      <c r="H838" t="s">
        <v>34</v>
      </c>
      <c r="I838" t="s">
        <v>35</v>
      </c>
      <c r="J838" t="s">
        <v>2498</v>
      </c>
      <c r="K838" t="s">
        <v>2499</v>
      </c>
      <c r="L838">
        <v>5.0999999999999996</v>
      </c>
      <c r="M838">
        <v>804000</v>
      </c>
      <c r="N838">
        <v>4.9000000000000004</v>
      </c>
      <c r="O838">
        <v>18</v>
      </c>
      <c r="P838" t="s">
        <v>72</v>
      </c>
    </row>
    <row r="839" spans="1:16" x14ac:dyDescent="0.25">
      <c r="A839" t="s">
        <v>2500</v>
      </c>
      <c r="B839" t="s">
        <v>2501</v>
      </c>
      <c r="C839" t="s">
        <v>29</v>
      </c>
      <c r="D839" t="s">
        <v>19</v>
      </c>
      <c r="E839" t="s">
        <v>31</v>
      </c>
      <c r="F839" t="s">
        <v>32</v>
      </c>
      <c r="G839" t="s">
        <v>22</v>
      </c>
      <c r="H839" t="s">
        <v>46</v>
      </c>
      <c r="I839" t="s">
        <v>75</v>
      </c>
      <c r="J839" t="s">
        <v>1830</v>
      </c>
      <c r="K839" t="s">
        <v>2502</v>
      </c>
      <c r="L839">
        <v>4.4000000000000004</v>
      </c>
      <c r="M839">
        <v>360000</v>
      </c>
      <c r="N839">
        <v>2.1</v>
      </c>
      <c r="O839">
        <v>38</v>
      </c>
      <c r="P839" t="s">
        <v>53</v>
      </c>
    </row>
    <row r="840" spans="1:16" x14ac:dyDescent="0.25">
      <c r="A840" t="s">
        <v>2503</v>
      </c>
      <c r="B840" t="s">
        <v>2504</v>
      </c>
      <c r="C840" t="s">
        <v>29</v>
      </c>
      <c r="E840" t="s">
        <v>20</v>
      </c>
      <c r="F840" t="s">
        <v>32</v>
      </c>
      <c r="G840" t="s">
        <v>69</v>
      </c>
      <c r="H840" t="s">
        <v>34</v>
      </c>
      <c r="I840" t="s">
        <v>75</v>
      </c>
      <c r="J840" t="s">
        <v>2505</v>
      </c>
      <c r="L840">
        <v>3</v>
      </c>
      <c r="M840">
        <v>295000</v>
      </c>
      <c r="N840">
        <v>2.9</v>
      </c>
      <c r="O840">
        <v>38</v>
      </c>
      <c r="P840" t="s">
        <v>26</v>
      </c>
    </row>
    <row r="841" spans="1:16" x14ac:dyDescent="0.25">
      <c r="A841" t="s">
        <v>2506</v>
      </c>
      <c r="B841" t="s">
        <v>2507</v>
      </c>
      <c r="C841" t="s">
        <v>29</v>
      </c>
      <c r="D841" t="s">
        <v>79</v>
      </c>
      <c r="E841" t="s">
        <v>20</v>
      </c>
      <c r="G841" t="s">
        <v>69</v>
      </c>
      <c r="H841" t="s">
        <v>62</v>
      </c>
      <c r="I841" t="s">
        <v>57</v>
      </c>
      <c r="J841" t="s">
        <v>2384</v>
      </c>
      <c r="L841">
        <v>3.4</v>
      </c>
      <c r="M841">
        <v>370000</v>
      </c>
      <c r="N841">
        <v>4.2</v>
      </c>
      <c r="O841">
        <v>3</v>
      </c>
      <c r="P841" t="s">
        <v>26</v>
      </c>
    </row>
    <row r="842" spans="1:16" x14ac:dyDescent="0.25">
      <c r="A842" t="s">
        <v>2508</v>
      </c>
      <c r="B842" t="s">
        <v>2509</v>
      </c>
      <c r="C842" t="s">
        <v>29</v>
      </c>
      <c r="D842" t="s">
        <v>50</v>
      </c>
      <c r="E842" t="s">
        <v>44</v>
      </c>
      <c r="F842" t="s">
        <v>39</v>
      </c>
      <c r="G842" t="s">
        <v>22</v>
      </c>
      <c r="H842" t="s">
        <v>34</v>
      </c>
      <c r="I842" t="s">
        <v>24</v>
      </c>
      <c r="J842" t="s">
        <v>2510</v>
      </c>
      <c r="K842" t="s">
        <v>2511</v>
      </c>
      <c r="L842">
        <v>2.8</v>
      </c>
      <c r="M842">
        <v>119000</v>
      </c>
      <c r="N842">
        <v>4.8</v>
      </c>
      <c r="O842">
        <v>7</v>
      </c>
      <c r="P842" t="s">
        <v>72</v>
      </c>
    </row>
    <row r="843" spans="1:16" x14ac:dyDescent="0.25">
      <c r="A843" t="s">
        <v>2512</v>
      </c>
      <c r="B843" t="s">
        <v>1996</v>
      </c>
      <c r="C843" t="s">
        <v>18</v>
      </c>
      <c r="D843" t="s">
        <v>30</v>
      </c>
      <c r="E843" t="s">
        <v>44</v>
      </c>
      <c r="F843" t="s">
        <v>21</v>
      </c>
      <c r="G843" t="s">
        <v>80</v>
      </c>
      <c r="H843" t="s">
        <v>62</v>
      </c>
      <c r="I843" t="s">
        <v>24</v>
      </c>
      <c r="J843" t="s">
        <v>2513</v>
      </c>
      <c r="L843">
        <v>1.5</v>
      </c>
      <c r="M843">
        <v>614000</v>
      </c>
      <c r="N843">
        <v>3.9</v>
      </c>
      <c r="O843">
        <v>11</v>
      </c>
      <c r="P843" t="s">
        <v>26</v>
      </c>
    </row>
    <row r="844" spans="1:16" x14ac:dyDescent="0.25">
      <c r="A844" t="s">
        <v>2514</v>
      </c>
      <c r="B844" t="s">
        <v>2515</v>
      </c>
      <c r="C844" t="s">
        <v>18</v>
      </c>
      <c r="D844" t="s">
        <v>43</v>
      </c>
      <c r="E844" t="s">
        <v>31</v>
      </c>
      <c r="G844" t="s">
        <v>22</v>
      </c>
      <c r="H844" t="s">
        <v>34</v>
      </c>
      <c r="I844" t="s">
        <v>171</v>
      </c>
      <c r="J844" t="s">
        <v>693</v>
      </c>
      <c r="L844">
        <v>1.3</v>
      </c>
      <c r="M844">
        <v>271000</v>
      </c>
      <c r="N844">
        <v>3.8</v>
      </c>
      <c r="O844">
        <v>1</v>
      </c>
      <c r="P844" t="s">
        <v>26</v>
      </c>
    </row>
    <row r="845" spans="1:16" x14ac:dyDescent="0.25">
      <c r="A845" t="s">
        <v>2516</v>
      </c>
      <c r="B845" t="s">
        <v>2517</v>
      </c>
      <c r="C845" t="s">
        <v>18</v>
      </c>
      <c r="D845" t="s">
        <v>50</v>
      </c>
      <c r="E845" t="s">
        <v>44</v>
      </c>
      <c r="F845" t="s">
        <v>39</v>
      </c>
      <c r="G845" t="s">
        <v>22</v>
      </c>
      <c r="I845" t="s">
        <v>24</v>
      </c>
      <c r="J845" t="s">
        <v>2518</v>
      </c>
      <c r="L845">
        <v>3.8</v>
      </c>
      <c r="M845">
        <v>175000</v>
      </c>
      <c r="N845">
        <v>4</v>
      </c>
      <c r="O845">
        <v>11</v>
      </c>
      <c r="P845" t="s">
        <v>26</v>
      </c>
    </row>
    <row r="846" spans="1:16" x14ac:dyDescent="0.25">
      <c r="A846" t="s">
        <v>2519</v>
      </c>
      <c r="B846" t="s">
        <v>2520</v>
      </c>
      <c r="C846" t="s">
        <v>29</v>
      </c>
      <c r="D846" t="s">
        <v>50</v>
      </c>
      <c r="E846" t="s">
        <v>20</v>
      </c>
      <c r="F846" t="s">
        <v>32</v>
      </c>
      <c r="G846" t="s">
        <v>80</v>
      </c>
      <c r="H846" t="s">
        <v>23</v>
      </c>
      <c r="I846" t="s">
        <v>57</v>
      </c>
      <c r="J846" t="s">
        <v>2521</v>
      </c>
      <c r="L846">
        <v>2.5</v>
      </c>
      <c r="M846">
        <v>239000</v>
      </c>
      <c r="N846">
        <v>2.2999999999999998</v>
      </c>
      <c r="O846">
        <v>7</v>
      </c>
      <c r="P846" t="s">
        <v>26</v>
      </c>
    </row>
    <row r="847" spans="1:16" x14ac:dyDescent="0.25">
      <c r="A847" t="s">
        <v>2522</v>
      </c>
      <c r="B847" t="s">
        <v>2028</v>
      </c>
      <c r="C847" t="s">
        <v>18</v>
      </c>
      <c r="D847" t="s">
        <v>30</v>
      </c>
      <c r="E847" t="s">
        <v>20</v>
      </c>
      <c r="F847" t="s">
        <v>39</v>
      </c>
      <c r="G847" t="s">
        <v>22</v>
      </c>
      <c r="H847" t="s">
        <v>23</v>
      </c>
      <c r="I847" t="s">
        <v>171</v>
      </c>
      <c r="J847" t="s">
        <v>182</v>
      </c>
      <c r="L847">
        <v>1.6</v>
      </c>
      <c r="M847">
        <v>163000</v>
      </c>
      <c r="N847">
        <v>3.4</v>
      </c>
      <c r="O847">
        <v>1</v>
      </c>
      <c r="P847" t="s">
        <v>26</v>
      </c>
    </row>
    <row r="848" spans="1:16" x14ac:dyDescent="0.25">
      <c r="A848" t="s">
        <v>2523</v>
      </c>
      <c r="B848" t="s">
        <v>2524</v>
      </c>
      <c r="C848" t="s">
        <v>29</v>
      </c>
      <c r="D848" t="s">
        <v>30</v>
      </c>
      <c r="E848" t="s">
        <v>44</v>
      </c>
      <c r="F848" t="s">
        <v>39</v>
      </c>
      <c r="G848" t="s">
        <v>33</v>
      </c>
      <c r="H848" t="s">
        <v>34</v>
      </c>
      <c r="I848" t="s">
        <v>171</v>
      </c>
      <c r="J848" t="s">
        <v>2525</v>
      </c>
      <c r="L848">
        <v>2</v>
      </c>
      <c r="M848">
        <v>150000</v>
      </c>
      <c r="N848">
        <v>2.2999999999999998</v>
      </c>
      <c r="O848">
        <v>6</v>
      </c>
      <c r="P848" t="s">
        <v>26</v>
      </c>
    </row>
    <row r="849" spans="1:16" x14ac:dyDescent="0.25">
      <c r="A849" t="s">
        <v>2526</v>
      </c>
      <c r="B849" t="s">
        <v>2527</v>
      </c>
      <c r="C849" t="s">
        <v>18</v>
      </c>
      <c r="D849" t="s">
        <v>30</v>
      </c>
      <c r="E849" t="s">
        <v>31</v>
      </c>
      <c r="G849" t="s">
        <v>69</v>
      </c>
      <c r="H849" t="s">
        <v>23</v>
      </c>
      <c r="I849" t="s">
        <v>24</v>
      </c>
      <c r="J849" t="s">
        <v>1391</v>
      </c>
      <c r="L849">
        <v>3.4</v>
      </c>
      <c r="M849">
        <v>163000</v>
      </c>
      <c r="N849">
        <v>1.7</v>
      </c>
      <c r="O849">
        <v>7</v>
      </c>
      <c r="P849" t="s">
        <v>26</v>
      </c>
    </row>
    <row r="850" spans="1:16" x14ac:dyDescent="0.25">
      <c r="A850" t="s">
        <v>2528</v>
      </c>
      <c r="B850" t="s">
        <v>2529</v>
      </c>
      <c r="C850" t="s">
        <v>18</v>
      </c>
      <c r="D850" t="s">
        <v>30</v>
      </c>
      <c r="E850" t="s">
        <v>20</v>
      </c>
      <c r="F850" t="s">
        <v>128</v>
      </c>
      <c r="G850" t="s">
        <v>22</v>
      </c>
      <c r="H850" t="s">
        <v>23</v>
      </c>
      <c r="I850" t="s">
        <v>24</v>
      </c>
      <c r="J850" t="s">
        <v>2530</v>
      </c>
      <c r="L850">
        <v>2.7</v>
      </c>
      <c r="M850">
        <v>474000</v>
      </c>
      <c r="N850">
        <v>3.5</v>
      </c>
      <c r="O850">
        <v>13</v>
      </c>
      <c r="P850" t="s">
        <v>26</v>
      </c>
    </row>
    <row r="851" spans="1:16" x14ac:dyDescent="0.25">
      <c r="A851" t="s">
        <v>2531</v>
      </c>
      <c r="B851" t="s">
        <v>2532</v>
      </c>
      <c r="C851" t="s">
        <v>18</v>
      </c>
      <c r="D851" t="s">
        <v>30</v>
      </c>
      <c r="E851" t="s">
        <v>20</v>
      </c>
      <c r="F851" t="s">
        <v>39</v>
      </c>
      <c r="G851" t="s">
        <v>22</v>
      </c>
      <c r="H851" t="s">
        <v>62</v>
      </c>
      <c r="I851" t="s">
        <v>24</v>
      </c>
      <c r="J851" t="s">
        <v>98</v>
      </c>
      <c r="L851">
        <v>6.2</v>
      </c>
      <c r="M851">
        <v>89000</v>
      </c>
      <c r="N851">
        <v>3.2</v>
      </c>
      <c r="P851" t="s">
        <v>26</v>
      </c>
    </row>
    <row r="852" spans="1:16" x14ac:dyDescent="0.25">
      <c r="A852" t="s">
        <v>2533</v>
      </c>
      <c r="B852" t="s">
        <v>134</v>
      </c>
      <c r="C852" t="s">
        <v>18</v>
      </c>
      <c r="D852" t="s">
        <v>30</v>
      </c>
      <c r="F852" t="s">
        <v>39</v>
      </c>
      <c r="G852" t="s">
        <v>33</v>
      </c>
      <c r="H852" t="s">
        <v>34</v>
      </c>
      <c r="I852" t="s">
        <v>24</v>
      </c>
      <c r="J852" t="s">
        <v>2534</v>
      </c>
      <c r="K852" t="s">
        <v>1015</v>
      </c>
      <c r="L852">
        <v>5.2</v>
      </c>
      <c r="M852">
        <v>127000</v>
      </c>
      <c r="N852">
        <v>2.5</v>
      </c>
      <c r="O852">
        <v>14</v>
      </c>
      <c r="P852" t="s">
        <v>72</v>
      </c>
    </row>
    <row r="853" spans="1:16" x14ac:dyDescent="0.25">
      <c r="A853" t="s">
        <v>2535</v>
      </c>
      <c r="B853" t="s">
        <v>2536</v>
      </c>
      <c r="C853" t="s">
        <v>18</v>
      </c>
      <c r="D853" t="s">
        <v>43</v>
      </c>
      <c r="E853" t="s">
        <v>20</v>
      </c>
      <c r="F853" t="s">
        <v>32</v>
      </c>
      <c r="G853" t="s">
        <v>80</v>
      </c>
      <c r="H853" t="s">
        <v>34</v>
      </c>
      <c r="I853" t="s">
        <v>24</v>
      </c>
      <c r="J853" t="s">
        <v>1282</v>
      </c>
      <c r="L853">
        <v>2</v>
      </c>
      <c r="M853">
        <v>233000</v>
      </c>
      <c r="N853">
        <v>4.2</v>
      </c>
      <c r="O853">
        <v>10</v>
      </c>
      <c r="P853" t="s">
        <v>26</v>
      </c>
    </row>
    <row r="854" spans="1:16" x14ac:dyDescent="0.25">
      <c r="A854" t="s">
        <v>2537</v>
      </c>
      <c r="B854" t="s">
        <v>2538</v>
      </c>
      <c r="C854" t="s">
        <v>18</v>
      </c>
      <c r="D854" t="s">
        <v>79</v>
      </c>
      <c r="E854" t="s">
        <v>20</v>
      </c>
      <c r="F854" t="s">
        <v>32</v>
      </c>
      <c r="G854" t="s">
        <v>22</v>
      </c>
      <c r="H854" t="s">
        <v>34</v>
      </c>
      <c r="I854" t="s">
        <v>57</v>
      </c>
      <c r="J854" t="s">
        <v>58</v>
      </c>
      <c r="L854">
        <v>2.8</v>
      </c>
      <c r="M854">
        <v>288000</v>
      </c>
      <c r="N854">
        <v>3.6</v>
      </c>
      <c r="O854">
        <v>7</v>
      </c>
      <c r="P854" t="s">
        <v>26</v>
      </c>
    </row>
    <row r="855" spans="1:16" x14ac:dyDescent="0.25">
      <c r="A855" t="s">
        <v>2539</v>
      </c>
      <c r="B855" t="s">
        <v>1670</v>
      </c>
      <c r="C855" t="s">
        <v>18</v>
      </c>
      <c r="D855" t="s">
        <v>50</v>
      </c>
      <c r="E855" t="s">
        <v>20</v>
      </c>
      <c r="F855" t="s">
        <v>39</v>
      </c>
      <c r="G855" t="s">
        <v>22</v>
      </c>
      <c r="H855" t="s">
        <v>62</v>
      </c>
      <c r="I855" t="s">
        <v>24</v>
      </c>
      <c r="J855" t="s">
        <v>844</v>
      </c>
      <c r="K855" t="s">
        <v>2540</v>
      </c>
      <c r="L855">
        <v>4.5999999999999996</v>
      </c>
      <c r="M855">
        <v>96000</v>
      </c>
      <c r="N855">
        <v>4.7</v>
      </c>
      <c r="O855">
        <v>6</v>
      </c>
      <c r="P855" t="s">
        <v>53</v>
      </c>
    </row>
    <row r="856" spans="1:16" x14ac:dyDescent="0.25">
      <c r="A856" t="s">
        <v>2541</v>
      </c>
      <c r="B856" t="s">
        <v>2542</v>
      </c>
      <c r="C856" t="s">
        <v>18</v>
      </c>
      <c r="D856" t="s">
        <v>43</v>
      </c>
      <c r="E856" t="s">
        <v>20</v>
      </c>
      <c r="F856" t="s">
        <v>21</v>
      </c>
      <c r="G856" t="s">
        <v>33</v>
      </c>
      <c r="H856" t="s">
        <v>34</v>
      </c>
      <c r="I856" t="s">
        <v>35</v>
      </c>
      <c r="J856" t="s">
        <v>1216</v>
      </c>
      <c r="L856">
        <v>2.8</v>
      </c>
      <c r="M856">
        <v>600000</v>
      </c>
      <c r="N856">
        <v>3.6</v>
      </c>
      <c r="O856">
        <v>7</v>
      </c>
      <c r="P856" t="s">
        <v>26</v>
      </c>
    </row>
    <row r="857" spans="1:16" x14ac:dyDescent="0.25">
      <c r="A857" t="s">
        <v>2543</v>
      </c>
      <c r="B857" t="s">
        <v>2544</v>
      </c>
      <c r="D857" t="s">
        <v>50</v>
      </c>
      <c r="E857" t="s">
        <v>20</v>
      </c>
      <c r="F857" t="s">
        <v>39</v>
      </c>
      <c r="G857" t="s">
        <v>22</v>
      </c>
      <c r="H857" t="s">
        <v>23</v>
      </c>
      <c r="I857" t="s">
        <v>75</v>
      </c>
      <c r="J857" t="s">
        <v>769</v>
      </c>
      <c r="K857" t="s">
        <v>2545</v>
      </c>
      <c r="L857">
        <v>3.7</v>
      </c>
      <c r="M857">
        <v>123000</v>
      </c>
      <c r="N857">
        <v>2.5</v>
      </c>
      <c r="O857">
        <v>9</v>
      </c>
      <c r="P857" t="s">
        <v>114</v>
      </c>
    </row>
    <row r="858" spans="1:16" x14ac:dyDescent="0.25">
      <c r="A858" t="s">
        <v>2546</v>
      </c>
      <c r="B858" t="s">
        <v>1802</v>
      </c>
      <c r="C858" t="s">
        <v>18</v>
      </c>
      <c r="D858" t="s">
        <v>19</v>
      </c>
      <c r="E858" t="s">
        <v>20</v>
      </c>
      <c r="F858" t="s">
        <v>128</v>
      </c>
      <c r="G858" t="s">
        <v>80</v>
      </c>
      <c r="H858" t="s">
        <v>23</v>
      </c>
      <c r="I858" t="s">
        <v>35</v>
      </c>
      <c r="J858" t="s">
        <v>2547</v>
      </c>
      <c r="K858" t="s">
        <v>2548</v>
      </c>
      <c r="L858">
        <v>3.8</v>
      </c>
      <c r="M858">
        <v>592000</v>
      </c>
      <c r="N858">
        <v>2.2000000000000002</v>
      </c>
      <c r="O858">
        <v>37</v>
      </c>
      <c r="P858" t="s">
        <v>114</v>
      </c>
    </row>
    <row r="859" spans="1:16" x14ac:dyDescent="0.25">
      <c r="A859" t="s">
        <v>2549</v>
      </c>
      <c r="B859" t="s">
        <v>2550</v>
      </c>
      <c r="C859" t="s">
        <v>29</v>
      </c>
      <c r="D859" t="s">
        <v>79</v>
      </c>
      <c r="E859" t="s">
        <v>20</v>
      </c>
      <c r="F859" t="s">
        <v>21</v>
      </c>
      <c r="G859" t="s">
        <v>22</v>
      </c>
      <c r="H859" t="s">
        <v>34</v>
      </c>
      <c r="I859" t="s">
        <v>24</v>
      </c>
      <c r="J859" t="s">
        <v>2551</v>
      </c>
      <c r="K859" t="s">
        <v>726</v>
      </c>
      <c r="L859">
        <v>4.5999999999999996</v>
      </c>
      <c r="M859">
        <v>839000</v>
      </c>
      <c r="N859">
        <v>3.6</v>
      </c>
      <c r="O859">
        <v>12</v>
      </c>
      <c r="P859" t="s">
        <v>72</v>
      </c>
    </row>
    <row r="860" spans="1:16" x14ac:dyDescent="0.25">
      <c r="A860" t="s">
        <v>2552</v>
      </c>
      <c r="B860" t="s">
        <v>2553</v>
      </c>
      <c r="C860" t="s">
        <v>18</v>
      </c>
      <c r="D860" t="s">
        <v>43</v>
      </c>
      <c r="E860" t="s">
        <v>31</v>
      </c>
      <c r="G860" t="s">
        <v>22</v>
      </c>
      <c r="H860" t="s">
        <v>23</v>
      </c>
      <c r="I860" t="s">
        <v>24</v>
      </c>
      <c r="J860" t="s">
        <v>2292</v>
      </c>
      <c r="K860" t="s">
        <v>2554</v>
      </c>
      <c r="L860">
        <v>1.8</v>
      </c>
      <c r="M860">
        <v>350000</v>
      </c>
      <c r="N860">
        <v>4.3</v>
      </c>
      <c r="O860">
        <v>4</v>
      </c>
      <c r="P860" t="s">
        <v>53</v>
      </c>
    </row>
    <row r="861" spans="1:16" x14ac:dyDescent="0.25">
      <c r="A861" t="s">
        <v>2555</v>
      </c>
      <c r="B861" t="s">
        <v>2556</v>
      </c>
      <c r="C861" t="s">
        <v>18</v>
      </c>
      <c r="D861" t="s">
        <v>50</v>
      </c>
      <c r="E861" t="s">
        <v>44</v>
      </c>
      <c r="F861" t="s">
        <v>39</v>
      </c>
      <c r="G861" t="s">
        <v>22</v>
      </c>
      <c r="H861" t="s">
        <v>34</v>
      </c>
      <c r="I861" t="s">
        <v>24</v>
      </c>
      <c r="J861" t="s">
        <v>2399</v>
      </c>
      <c r="L861">
        <v>1.6</v>
      </c>
      <c r="M861">
        <v>116000</v>
      </c>
      <c r="N861">
        <v>4.5999999999999996</v>
      </c>
      <c r="O861">
        <v>36</v>
      </c>
      <c r="P861" t="s">
        <v>26</v>
      </c>
    </row>
    <row r="862" spans="1:16" x14ac:dyDescent="0.25">
      <c r="A862" t="s">
        <v>2557</v>
      </c>
      <c r="B862" t="s">
        <v>2558</v>
      </c>
      <c r="C862" t="s">
        <v>29</v>
      </c>
      <c r="D862" t="s">
        <v>50</v>
      </c>
      <c r="E862" t="s">
        <v>20</v>
      </c>
      <c r="F862" t="s">
        <v>32</v>
      </c>
      <c r="G862" t="s">
        <v>22</v>
      </c>
      <c r="H862" t="s">
        <v>34</v>
      </c>
      <c r="I862" t="s">
        <v>35</v>
      </c>
      <c r="J862" t="s">
        <v>2559</v>
      </c>
      <c r="L862">
        <v>4.0999999999999996</v>
      </c>
      <c r="M862">
        <v>233000</v>
      </c>
      <c r="O862">
        <v>4</v>
      </c>
      <c r="P862" t="s">
        <v>26</v>
      </c>
    </row>
    <row r="863" spans="1:16" x14ac:dyDescent="0.25">
      <c r="A863" t="s">
        <v>2560</v>
      </c>
      <c r="B863" t="s">
        <v>2561</v>
      </c>
      <c r="C863" t="s">
        <v>29</v>
      </c>
      <c r="D863" t="s">
        <v>79</v>
      </c>
      <c r="E863" t="s">
        <v>20</v>
      </c>
      <c r="F863" t="s">
        <v>39</v>
      </c>
      <c r="G863" t="s">
        <v>80</v>
      </c>
      <c r="H863" t="s">
        <v>34</v>
      </c>
      <c r="I863" t="s">
        <v>35</v>
      </c>
      <c r="J863" t="s">
        <v>47</v>
      </c>
      <c r="K863" t="s">
        <v>2562</v>
      </c>
      <c r="L863">
        <v>3</v>
      </c>
      <c r="M863">
        <v>93000</v>
      </c>
      <c r="N863">
        <v>2.5</v>
      </c>
      <c r="O863">
        <v>12</v>
      </c>
      <c r="P863" t="s">
        <v>53</v>
      </c>
    </row>
    <row r="864" spans="1:16" x14ac:dyDescent="0.25">
      <c r="A864" t="s">
        <v>2563</v>
      </c>
      <c r="B864" t="s">
        <v>2564</v>
      </c>
      <c r="C864" t="s">
        <v>18</v>
      </c>
      <c r="D864" t="s">
        <v>50</v>
      </c>
      <c r="E864" t="s">
        <v>20</v>
      </c>
      <c r="F864" t="s">
        <v>128</v>
      </c>
      <c r="G864" t="s">
        <v>22</v>
      </c>
      <c r="H864" t="s">
        <v>23</v>
      </c>
      <c r="I864" t="s">
        <v>35</v>
      </c>
      <c r="J864" t="s">
        <v>2565</v>
      </c>
      <c r="L864">
        <v>1.8</v>
      </c>
      <c r="M864">
        <v>421000</v>
      </c>
      <c r="N864">
        <v>4.5</v>
      </c>
      <c r="O864">
        <v>1</v>
      </c>
      <c r="P864" t="s">
        <v>26</v>
      </c>
    </row>
    <row r="865" spans="1:16" x14ac:dyDescent="0.25">
      <c r="A865" t="s">
        <v>2566</v>
      </c>
      <c r="B865" t="s">
        <v>2567</v>
      </c>
      <c r="C865" t="s">
        <v>29</v>
      </c>
      <c r="D865" t="s">
        <v>43</v>
      </c>
      <c r="E865" t="s">
        <v>20</v>
      </c>
      <c r="F865" t="s">
        <v>39</v>
      </c>
      <c r="G865" t="s">
        <v>22</v>
      </c>
      <c r="H865" t="s">
        <v>34</v>
      </c>
      <c r="I865" t="s">
        <v>57</v>
      </c>
      <c r="J865" t="s">
        <v>2568</v>
      </c>
      <c r="L865">
        <v>1.3</v>
      </c>
      <c r="M865">
        <v>106000</v>
      </c>
      <c r="O865">
        <v>3</v>
      </c>
      <c r="P865" t="s">
        <v>26</v>
      </c>
    </row>
    <row r="866" spans="1:16" x14ac:dyDescent="0.25">
      <c r="A866" t="s">
        <v>2569</v>
      </c>
      <c r="B866" t="s">
        <v>2570</v>
      </c>
      <c r="C866" t="s">
        <v>29</v>
      </c>
      <c r="D866" t="s">
        <v>19</v>
      </c>
      <c r="E866" t="s">
        <v>31</v>
      </c>
      <c r="F866" t="s">
        <v>32</v>
      </c>
      <c r="G866" t="s">
        <v>22</v>
      </c>
      <c r="I866" t="s">
        <v>35</v>
      </c>
      <c r="J866" t="s">
        <v>2571</v>
      </c>
      <c r="L866">
        <v>3.9</v>
      </c>
      <c r="M866">
        <v>345000</v>
      </c>
      <c r="N866">
        <v>3</v>
      </c>
      <c r="O866">
        <v>2</v>
      </c>
      <c r="P866" t="s">
        <v>26</v>
      </c>
    </row>
    <row r="867" spans="1:16" x14ac:dyDescent="0.25">
      <c r="A867" t="s">
        <v>2572</v>
      </c>
      <c r="B867" t="s">
        <v>754</v>
      </c>
      <c r="C867" t="s">
        <v>29</v>
      </c>
      <c r="D867" t="s">
        <v>30</v>
      </c>
      <c r="E867" t="s">
        <v>44</v>
      </c>
      <c r="F867" t="s">
        <v>32</v>
      </c>
      <c r="G867" t="s">
        <v>22</v>
      </c>
      <c r="H867" t="s">
        <v>34</v>
      </c>
      <c r="I867" t="s">
        <v>75</v>
      </c>
      <c r="J867" t="s">
        <v>2573</v>
      </c>
      <c r="L867">
        <v>3.3</v>
      </c>
      <c r="M867">
        <v>302000</v>
      </c>
      <c r="N867">
        <v>3.8</v>
      </c>
      <c r="O867">
        <v>5</v>
      </c>
      <c r="P867" t="s">
        <v>26</v>
      </c>
    </row>
    <row r="868" spans="1:16" x14ac:dyDescent="0.25">
      <c r="A868" t="s">
        <v>2574</v>
      </c>
      <c r="B868" t="s">
        <v>2575</v>
      </c>
      <c r="C868" t="s">
        <v>18</v>
      </c>
      <c r="D868" t="s">
        <v>50</v>
      </c>
      <c r="E868" t="s">
        <v>20</v>
      </c>
      <c r="F868" t="s">
        <v>128</v>
      </c>
      <c r="G868" t="s">
        <v>69</v>
      </c>
      <c r="H868" t="s">
        <v>34</v>
      </c>
      <c r="I868" t="s">
        <v>35</v>
      </c>
      <c r="J868" t="s">
        <v>2576</v>
      </c>
      <c r="L868">
        <v>1.8</v>
      </c>
      <c r="P868" t="s">
        <v>26</v>
      </c>
    </row>
    <row r="869" spans="1:16" x14ac:dyDescent="0.25">
      <c r="A869" t="s">
        <v>2577</v>
      </c>
      <c r="B869" t="s">
        <v>2578</v>
      </c>
      <c r="C869" t="s">
        <v>18</v>
      </c>
      <c r="D869" t="s">
        <v>30</v>
      </c>
      <c r="F869" t="s">
        <v>32</v>
      </c>
      <c r="G869" t="s">
        <v>80</v>
      </c>
      <c r="H869" t="s">
        <v>46</v>
      </c>
      <c r="I869" t="s">
        <v>57</v>
      </c>
      <c r="J869" t="s">
        <v>2579</v>
      </c>
      <c r="L869">
        <v>3.7</v>
      </c>
      <c r="M869">
        <v>276000</v>
      </c>
      <c r="N869">
        <v>4.0999999999999996</v>
      </c>
      <c r="O869">
        <v>11</v>
      </c>
      <c r="P869" t="s">
        <v>26</v>
      </c>
    </row>
    <row r="870" spans="1:16" x14ac:dyDescent="0.25">
      <c r="A870" t="s">
        <v>2580</v>
      </c>
      <c r="B870" t="s">
        <v>2581</v>
      </c>
      <c r="C870" t="s">
        <v>18</v>
      </c>
      <c r="D870" t="s">
        <v>30</v>
      </c>
      <c r="E870" t="s">
        <v>20</v>
      </c>
      <c r="F870" t="s">
        <v>32</v>
      </c>
      <c r="G870" t="s">
        <v>33</v>
      </c>
      <c r="H870" t="s">
        <v>34</v>
      </c>
      <c r="I870" t="s">
        <v>24</v>
      </c>
      <c r="J870" t="s">
        <v>1097</v>
      </c>
      <c r="L870">
        <v>4.0999999999999996</v>
      </c>
      <c r="M870">
        <v>326000</v>
      </c>
      <c r="N870">
        <v>3.7</v>
      </c>
      <c r="O870">
        <v>10</v>
      </c>
      <c r="P870" t="s">
        <v>26</v>
      </c>
    </row>
    <row r="871" spans="1:16" x14ac:dyDescent="0.25">
      <c r="A871" t="s">
        <v>2582</v>
      </c>
      <c r="B871" t="s">
        <v>2583</v>
      </c>
      <c r="C871" t="s">
        <v>18</v>
      </c>
      <c r="D871" t="s">
        <v>30</v>
      </c>
      <c r="E871" t="s">
        <v>31</v>
      </c>
      <c r="F871" t="s">
        <v>21</v>
      </c>
      <c r="G871" t="s">
        <v>22</v>
      </c>
      <c r="H871" t="s">
        <v>46</v>
      </c>
      <c r="I871" t="s">
        <v>24</v>
      </c>
      <c r="J871" t="s">
        <v>2584</v>
      </c>
      <c r="L871">
        <v>2.2999999999999998</v>
      </c>
      <c r="M871">
        <v>692000</v>
      </c>
      <c r="N871">
        <v>4.2</v>
      </c>
      <c r="P871" t="s">
        <v>26</v>
      </c>
    </row>
    <row r="872" spans="1:16" x14ac:dyDescent="0.25">
      <c r="A872" t="s">
        <v>2585</v>
      </c>
      <c r="B872" t="s">
        <v>519</v>
      </c>
      <c r="C872" t="s">
        <v>29</v>
      </c>
      <c r="D872" t="s">
        <v>43</v>
      </c>
      <c r="E872" t="s">
        <v>44</v>
      </c>
      <c r="F872" t="s">
        <v>128</v>
      </c>
      <c r="G872" t="s">
        <v>33</v>
      </c>
      <c r="H872" t="s">
        <v>34</v>
      </c>
      <c r="I872" t="s">
        <v>35</v>
      </c>
      <c r="J872" t="s">
        <v>575</v>
      </c>
      <c r="L872">
        <v>1.7</v>
      </c>
      <c r="M872">
        <v>494000</v>
      </c>
      <c r="N872">
        <v>3.7</v>
      </c>
      <c r="O872">
        <v>1</v>
      </c>
      <c r="P872" t="s">
        <v>26</v>
      </c>
    </row>
    <row r="873" spans="1:16" x14ac:dyDescent="0.25">
      <c r="A873" t="s">
        <v>2586</v>
      </c>
      <c r="B873" t="s">
        <v>2587</v>
      </c>
      <c r="C873" t="s">
        <v>29</v>
      </c>
      <c r="D873" t="s">
        <v>50</v>
      </c>
      <c r="E873" t="s">
        <v>20</v>
      </c>
      <c r="F873" t="s">
        <v>21</v>
      </c>
      <c r="G873" t="s">
        <v>80</v>
      </c>
      <c r="H873" t="s">
        <v>23</v>
      </c>
      <c r="I873" t="s">
        <v>24</v>
      </c>
      <c r="J873" t="s">
        <v>1008</v>
      </c>
      <c r="L873">
        <v>4.8</v>
      </c>
      <c r="M873">
        <v>811000</v>
      </c>
      <c r="N873">
        <v>4.9000000000000004</v>
      </c>
      <c r="O873">
        <v>35</v>
      </c>
      <c r="P873" t="s">
        <v>26</v>
      </c>
    </row>
    <row r="874" spans="1:16" x14ac:dyDescent="0.25">
      <c r="A874" t="s">
        <v>2588</v>
      </c>
      <c r="B874" t="s">
        <v>2363</v>
      </c>
      <c r="C874" t="s">
        <v>29</v>
      </c>
      <c r="D874" t="s">
        <v>30</v>
      </c>
      <c r="E874" t="s">
        <v>20</v>
      </c>
      <c r="F874" t="s">
        <v>39</v>
      </c>
      <c r="G874" t="s">
        <v>22</v>
      </c>
      <c r="H874" t="s">
        <v>23</v>
      </c>
      <c r="I874" t="s">
        <v>35</v>
      </c>
      <c r="J874" t="s">
        <v>2589</v>
      </c>
      <c r="L874">
        <v>5.3</v>
      </c>
      <c r="M874">
        <v>98000</v>
      </c>
      <c r="N874">
        <v>2.4</v>
      </c>
      <c r="O874">
        <v>12</v>
      </c>
      <c r="P874" t="s">
        <v>26</v>
      </c>
    </row>
    <row r="875" spans="1:16" x14ac:dyDescent="0.25">
      <c r="A875" t="s">
        <v>2590</v>
      </c>
      <c r="B875" t="s">
        <v>2591</v>
      </c>
      <c r="C875" t="s">
        <v>29</v>
      </c>
      <c r="D875" t="s">
        <v>30</v>
      </c>
      <c r="E875" t="s">
        <v>20</v>
      </c>
      <c r="F875" t="s">
        <v>39</v>
      </c>
      <c r="G875" t="s">
        <v>80</v>
      </c>
      <c r="H875" t="s">
        <v>23</v>
      </c>
      <c r="I875" t="s">
        <v>35</v>
      </c>
      <c r="J875" t="s">
        <v>2592</v>
      </c>
      <c r="L875">
        <v>4.3</v>
      </c>
      <c r="M875">
        <v>140000</v>
      </c>
      <c r="N875">
        <v>2</v>
      </c>
      <c r="O875">
        <v>5</v>
      </c>
      <c r="P875" t="s">
        <v>26</v>
      </c>
    </row>
    <row r="876" spans="1:16" x14ac:dyDescent="0.25">
      <c r="A876" t="s">
        <v>2593</v>
      </c>
      <c r="B876" t="s">
        <v>2594</v>
      </c>
      <c r="D876" t="s">
        <v>19</v>
      </c>
      <c r="E876" t="s">
        <v>20</v>
      </c>
      <c r="F876" t="s">
        <v>39</v>
      </c>
      <c r="G876" t="s">
        <v>80</v>
      </c>
      <c r="H876" t="s">
        <v>46</v>
      </c>
      <c r="I876" t="s">
        <v>57</v>
      </c>
      <c r="J876" t="s">
        <v>2595</v>
      </c>
      <c r="L876">
        <v>3.1</v>
      </c>
      <c r="N876">
        <v>2.7</v>
      </c>
      <c r="O876">
        <v>13</v>
      </c>
      <c r="P876" t="s">
        <v>26</v>
      </c>
    </row>
    <row r="877" spans="1:16" x14ac:dyDescent="0.25">
      <c r="A877" t="s">
        <v>2596</v>
      </c>
      <c r="B877" t="s">
        <v>2597</v>
      </c>
      <c r="C877" t="s">
        <v>18</v>
      </c>
      <c r="E877" t="s">
        <v>31</v>
      </c>
      <c r="F877" t="s">
        <v>32</v>
      </c>
      <c r="G877" t="s">
        <v>69</v>
      </c>
      <c r="H877" t="s">
        <v>34</v>
      </c>
      <c r="I877" t="s">
        <v>24</v>
      </c>
      <c r="J877" t="s">
        <v>331</v>
      </c>
      <c r="L877">
        <v>5.2</v>
      </c>
      <c r="M877">
        <v>323000</v>
      </c>
      <c r="N877">
        <v>4.7</v>
      </c>
      <c r="O877">
        <v>36</v>
      </c>
      <c r="P877" t="s">
        <v>26</v>
      </c>
    </row>
    <row r="878" spans="1:16" x14ac:dyDescent="0.25">
      <c r="A878" t="s">
        <v>2598</v>
      </c>
      <c r="B878" t="s">
        <v>2599</v>
      </c>
      <c r="C878" t="s">
        <v>18</v>
      </c>
      <c r="D878" t="s">
        <v>19</v>
      </c>
      <c r="E878" t="s">
        <v>20</v>
      </c>
      <c r="F878" t="s">
        <v>21</v>
      </c>
      <c r="G878" t="s">
        <v>69</v>
      </c>
      <c r="H878" t="s">
        <v>46</v>
      </c>
      <c r="I878" t="s">
        <v>24</v>
      </c>
      <c r="J878" t="s">
        <v>2600</v>
      </c>
      <c r="L878">
        <v>3</v>
      </c>
      <c r="M878">
        <v>1007000</v>
      </c>
      <c r="N878">
        <v>4.7</v>
      </c>
      <c r="O878">
        <v>8</v>
      </c>
      <c r="P878" t="s">
        <v>26</v>
      </c>
    </row>
    <row r="879" spans="1:16" x14ac:dyDescent="0.25">
      <c r="A879" t="s">
        <v>2601</v>
      </c>
      <c r="B879" t="s">
        <v>2602</v>
      </c>
      <c r="C879" t="s">
        <v>18</v>
      </c>
      <c r="D879" t="s">
        <v>79</v>
      </c>
      <c r="E879" t="s">
        <v>31</v>
      </c>
      <c r="F879" t="s">
        <v>45</v>
      </c>
      <c r="G879" t="s">
        <v>22</v>
      </c>
      <c r="H879" t="s">
        <v>46</v>
      </c>
      <c r="I879" t="s">
        <v>75</v>
      </c>
      <c r="J879" t="s">
        <v>2603</v>
      </c>
      <c r="L879">
        <v>2.9</v>
      </c>
      <c r="M879">
        <v>1897000</v>
      </c>
      <c r="N879">
        <v>3.5</v>
      </c>
      <c r="P879" t="s">
        <v>26</v>
      </c>
    </row>
    <row r="880" spans="1:16" x14ac:dyDescent="0.25">
      <c r="A880" t="s">
        <v>2604</v>
      </c>
      <c r="B880" t="s">
        <v>2605</v>
      </c>
      <c r="C880" t="s">
        <v>18</v>
      </c>
      <c r="D880" t="s">
        <v>19</v>
      </c>
      <c r="E880" t="s">
        <v>20</v>
      </c>
      <c r="F880" t="s">
        <v>39</v>
      </c>
      <c r="G880" t="s">
        <v>80</v>
      </c>
      <c r="H880" t="s">
        <v>23</v>
      </c>
      <c r="I880" t="s">
        <v>75</v>
      </c>
      <c r="J880" t="s">
        <v>2606</v>
      </c>
      <c r="L880">
        <v>1.5</v>
      </c>
      <c r="M880">
        <v>131000</v>
      </c>
      <c r="N880">
        <v>2.1</v>
      </c>
      <c r="O880">
        <v>11</v>
      </c>
      <c r="P880" t="s">
        <v>26</v>
      </c>
    </row>
    <row r="881" spans="1:16" x14ac:dyDescent="0.25">
      <c r="A881" t="s">
        <v>2607</v>
      </c>
      <c r="B881" t="s">
        <v>2608</v>
      </c>
      <c r="C881" t="s">
        <v>29</v>
      </c>
      <c r="D881" t="s">
        <v>30</v>
      </c>
      <c r="E881" t="s">
        <v>20</v>
      </c>
      <c r="F881" t="s">
        <v>39</v>
      </c>
      <c r="G881" t="s">
        <v>80</v>
      </c>
      <c r="H881" t="s">
        <v>46</v>
      </c>
      <c r="I881" t="s">
        <v>35</v>
      </c>
      <c r="J881" t="s">
        <v>2609</v>
      </c>
      <c r="L881">
        <v>3.7</v>
      </c>
      <c r="M881">
        <v>91000</v>
      </c>
      <c r="N881">
        <v>2.9</v>
      </c>
      <c r="O881">
        <v>5</v>
      </c>
      <c r="P881" t="s">
        <v>26</v>
      </c>
    </row>
    <row r="882" spans="1:16" x14ac:dyDescent="0.25">
      <c r="A882" t="s">
        <v>2610</v>
      </c>
      <c r="B882" t="s">
        <v>2611</v>
      </c>
      <c r="C882" t="s">
        <v>18</v>
      </c>
      <c r="D882" t="s">
        <v>50</v>
      </c>
      <c r="E882" t="s">
        <v>31</v>
      </c>
      <c r="F882" t="s">
        <v>39</v>
      </c>
      <c r="G882" t="s">
        <v>22</v>
      </c>
      <c r="H882" t="s">
        <v>23</v>
      </c>
      <c r="I882" t="s">
        <v>75</v>
      </c>
      <c r="J882" t="s">
        <v>2612</v>
      </c>
      <c r="L882">
        <v>6.1</v>
      </c>
      <c r="M882">
        <v>155000</v>
      </c>
      <c r="N882">
        <v>3.5</v>
      </c>
      <c r="O882">
        <v>3</v>
      </c>
      <c r="P882" t="s">
        <v>26</v>
      </c>
    </row>
    <row r="883" spans="1:16" x14ac:dyDescent="0.25">
      <c r="A883" t="s">
        <v>2613</v>
      </c>
      <c r="B883" t="s">
        <v>2614</v>
      </c>
      <c r="C883" t="s">
        <v>18</v>
      </c>
      <c r="D883" t="s">
        <v>79</v>
      </c>
      <c r="E883" t="s">
        <v>20</v>
      </c>
      <c r="F883" t="s">
        <v>128</v>
      </c>
      <c r="G883" t="s">
        <v>80</v>
      </c>
      <c r="H883" t="s">
        <v>34</v>
      </c>
      <c r="I883" t="s">
        <v>35</v>
      </c>
      <c r="J883" t="s">
        <v>2320</v>
      </c>
      <c r="L883">
        <v>5.7</v>
      </c>
      <c r="M883">
        <v>394000</v>
      </c>
      <c r="N883">
        <v>2.4</v>
      </c>
      <c r="O883">
        <v>2</v>
      </c>
      <c r="P883" t="s">
        <v>26</v>
      </c>
    </row>
    <row r="884" spans="1:16" x14ac:dyDescent="0.25">
      <c r="A884" t="s">
        <v>2615</v>
      </c>
      <c r="B884" t="s">
        <v>2616</v>
      </c>
      <c r="C884" t="s">
        <v>18</v>
      </c>
      <c r="D884" t="s">
        <v>43</v>
      </c>
      <c r="E884" t="s">
        <v>20</v>
      </c>
      <c r="F884" t="s">
        <v>128</v>
      </c>
      <c r="G884" t="s">
        <v>22</v>
      </c>
      <c r="H884" t="s">
        <v>34</v>
      </c>
      <c r="I884" t="s">
        <v>24</v>
      </c>
      <c r="J884" t="s">
        <v>452</v>
      </c>
      <c r="K884" t="s">
        <v>2617</v>
      </c>
      <c r="L884">
        <v>3.7</v>
      </c>
      <c r="M884">
        <v>477000</v>
      </c>
      <c r="N884">
        <v>2.8</v>
      </c>
      <c r="O884">
        <v>1</v>
      </c>
      <c r="P884" t="s">
        <v>72</v>
      </c>
    </row>
    <row r="885" spans="1:16" x14ac:dyDescent="0.25">
      <c r="A885" t="s">
        <v>2618</v>
      </c>
      <c r="B885" t="s">
        <v>1851</v>
      </c>
      <c r="C885" t="s">
        <v>29</v>
      </c>
      <c r="D885" t="s">
        <v>50</v>
      </c>
      <c r="E885" t="s">
        <v>20</v>
      </c>
      <c r="G885" t="s">
        <v>22</v>
      </c>
      <c r="H885" t="s">
        <v>23</v>
      </c>
      <c r="I885" t="s">
        <v>35</v>
      </c>
      <c r="J885" t="s">
        <v>2619</v>
      </c>
      <c r="L885">
        <v>2.2999999999999998</v>
      </c>
      <c r="M885">
        <v>329000</v>
      </c>
      <c r="N885">
        <v>4</v>
      </c>
      <c r="O885">
        <v>12</v>
      </c>
      <c r="P885" t="s">
        <v>26</v>
      </c>
    </row>
    <row r="886" spans="1:16" x14ac:dyDescent="0.25">
      <c r="A886" t="s">
        <v>2620</v>
      </c>
      <c r="B886" t="s">
        <v>2621</v>
      </c>
      <c r="C886" t="s">
        <v>18</v>
      </c>
      <c r="D886" t="s">
        <v>43</v>
      </c>
      <c r="E886" t="s">
        <v>20</v>
      </c>
      <c r="F886" t="s">
        <v>32</v>
      </c>
      <c r="G886" t="s">
        <v>22</v>
      </c>
      <c r="H886" t="s">
        <v>34</v>
      </c>
      <c r="I886" t="s">
        <v>75</v>
      </c>
      <c r="J886" t="s">
        <v>2622</v>
      </c>
      <c r="L886">
        <v>2</v>
      </c>
      <c r="M886">
        <v>180000</v>
      </c>
      <c r="N886">
        <v>3.8</v>
      </c>
      <c r="P886" t="s">
        <v>26</v>
      </c>
    </row>
    <row r="887" spans="1:16" x14ac:dyDescent="0.25">
      <c r="A887" t="s">
        <v>2623</v>
      </c>
      <c r="B887" t="s">
        <v>2624</v>
      </c>
      <c r="C887" t="s">
        <v>18</v>
      </c>
      <c r="D887" t="s">
        <v>19</v>
      </c>
      <c r="E887" t="s">
        <v>20</v>
      </c>
      <c r="F887" t="s">
        <v>39</v>
      </c>
      <c r="G887" t="s">
        <v>33</v>
      </c>
      <c r="H887" t="s">
        <v>34</v>
      </c>
      <c r="I887" t="s">
        <v>24</v>
      </c>
      <c r="J887" t="s">
        <v>2625</v>
      </c>
      <c r="K887" t="s">
        <v>2626</v>
      </c>
      <c r="L887">
        <v>3.5</v>
      </c>
      <c r="M887">
        <v>114000</v>
      </c>
      <c r="N887">
        <v>3.4</v>
      </c>
      <c r="O887">
        <v>13</v>
      </c>
      <c r="P887" t="s">
        <v>72</v>
      </c>
    </row>
    <row r="888" spans="1:16" x14ac:dyDescent="0.25">
      <c r="A888" t="s">
        <v>2627</v>
      </c>
      <c r="B888" t="s">
        <v>2628</v>
      </c>
      <c r="C888" t="s">
        <v>29</v>
      </c>
      <c r="D888" t="s">
        <v>50</v>
      </c>
      <c r="E888" t="s">
        <v>31</v>
      </c>
      <c r="F888" t="s">
        <v>39</v>
      </c>
      <c r="G888" t="s">
        <v>80</v>
      </c>
      <c r="H888" t="s">
        <v>23</v>
      </c>
      <c r="I888" t="s">
        <v>57</v>
      </c>
      <c r="J888" t="s">
        <v>1651</v>
      </c>
      <c r="L888">
        <v>6.1</v>
      </c>
      <c r="M888">
        <v>157000</v>
      </c>
      <c r="N888">
        <v>3</v>
      </c>
      <c r="O888">
        <v>7</v>
      </c>
      <c r="P888" t="s">
        <v>26</v>
      </c>
    </row>
    <row r="889" spans="1:16" x14ac:dyDescent="0.25">
      <c r="A889" t="s">
        <v>2629</v>
      </c>
      <c r="B889" t="s">
        <v>2630</v>
      </c>
      <c r="C889" t="s">
        <v>29</v>
      </c>
      <c r="D889" t="s">
        <v>43</v>
      </c>
      <c r="E889" t="s">
        <v>20</v>
      </c>
      <c r="F889" t="s">
        <v>128</v>
      </c>
      <c r="G889" t="s">
        <v>33</v>
      </c>
      <c r="H889" t="s">
        <v>62</v>
      </c>
      <c r="I889" t="s">
        <v>35</v>
      </c>
      <c r="J889" t="s">
        <v>1760</v>
      </c>
      <c r="K889" t="s">
        <v>381</v>
      </c>
      <c r="L889">
        <v>4.4000000000000004</v>
      </c>
      <c r="M889">
        <v>526000</v>
      </c>
      <c r="N889">
        <v>5</v>
      </c>
      <c r="O889">
        <v>8</v>
      </c>
      <c r="P889" t="s">
        <v>53</v>
      </c>
    </row>
    <row r="890" spans="1:16" x14ac:dyDescent="0.25">
      <c r="A890" t="s">
        <v>2631</v>
      </c>
      <c r="B890" t="s">
        <v>2632</v>
      </c>
      <c r="C890" t="s">
        <v>18</v>
      </c>
      <c r="D890" t="s">
        <v>79</v>
      </c>
      <c r="E890" t="s">
        <v>20</v>
      </c>
      <c r="F890" t="s">
        <v>128</v>
      </c>
      <c r="G890" t="s">
        <v>22</v>
      </c>
      <c r="H890" t="s">
        <v>23</v>
      </c>
      <c r="I890" t="s">
        <v>57</v>
      </c>
      <c r="J890" t="s">
        <v>2633</v>
      </c>
      <c r="L890">
        <v>3.4</v>
      </c>
      <c r="M890">
        <v>388000</v>
      </c>
      <c r="N890">
        <v>4.3</v>
      </c>
      <c r="P890" t="s">
        <v>26</v>
      </c>
    </row>
    <row r="891" spans="1:16" x14ac:dyDescent="0.25">
      <c r="A891" t="s">
        <v>2634</v>
      </c>
      <c r="B891" t="s">
        <v>2635</v>
      </c>
      <c r="C891" t="s">
        <v>18</v>
      </c>
      <c r="D891" t="s">
        <v>79</v>
      </c>
      <c r="E891" t="s">
        <v>31</v>
      </c>
      <c r="G891" t="s">
        <v>22</v>
      </c>
      <c r="H891" t="s">
        <v>23</v>
      </c>
      <c r="I891" t="s">
        <v>57</v>
      </c>
      <c r="J891" t="s">
        <v>63</v>
      </c>
      <c r="L891">
        <v>5.5</v>
      </c>
      <c r="M891" t="s">
        <v>2636</v>
      </c>
      <c r="N891">
        <v>3.3</v>
      </c>
      <c r="O891">
        <v>3</v>
      </c>
      <c r="P891" t="s">
        <v>26</v>
      </c>
    </row>
    <row r="892" spans="1:16" x14ac:dyDescent="0.25">
      <c r="A892" t="s">
        <v>2637</v>
      </c>
      <c r="B892" t="s">
        <v>2638</v>
      </c>
      <c r="D892" t="s">
        <v>79</v>
      </c>
      <c r="E892" t="s">
        <v>44</v>
      </c>
      <c r="F892" t="s">
        <v>39</v>
      </c>
      <c r="G892" t="s">
        <v>69</v>
      </c>
      <c r="H892" t="s">
        <v>34</v>
      </c>
      <c r="I892" t="s">
        <v>35</v>
      </c>
      <c r="J892" t="s">
        <v>1423</v>
      </c>
      <c r="K892" t="s">
        <v>2639</v>
      </c>
      <c r="L892">
        <v>4.3</v>
      </c>
      <c r="M892">
        <v>152000</v>
      </c>
      <c r="N892">
        <v>3.6</v>
      </c>
      <c r="O892">
        <v>14</v>
      </c>
      <c r="P892" t="s">
        <v>53</v>
      </c>
    </row>
    <row r="893" spans="1:16" x14ac:dyDescent="0.25">
      <c r="A893" t="s">
        <v>2640</v>
      </c>
      <c r="B893" t="s">
        <v>2641</v>
      </c>
      <c r="C893" t="s">
        <v>29</v>
      </c>
      <c r="D893" t="s">
        <v>79</v>
      </c>
      <c r="E893" t="s">
        <v>20</v>
      </c>
      <c r="F893" t="s">
        <v>128</v>
      </c>
      <c r="G893" t="s">
        <v>33</v>
      </c>
      <c r="H893" t="s">
        <v>46</v>
      </c>
      <c r="I893" t="s">
        <v>35</v>
      </c>
      <c r="J893" t="s">
        <v>2642</v>
      </c>
      <c r="K893" t="s">
        <v>2643</v>
      </c>
      <c r="L893">
        <v>4.4000000000000004</v>
      </c>
      <c r="M893">
        <v>515000</v>
      </c>
      <c r="N893">
        <v>4.8</v>
      </c>
      <c r="O893">
        <v>5</v>
      </c>
      <c r="P893" t="s">
        <v>53</v>
      </c>
    </row>
    <row r="894" spans="1:16" x14ac:dyDescent="0.25">
      <c r="A894" t="s">
        <v>2644</v>
      </c>
      <c r="B894" t="s">
        <v>2645</v>
      </c>
      <c r="C894" t="s">
        <v>18</v>
      </c>
      <c r="D894" t="s">
        <v>79</v>
      </c>
      <c r="E894" t="s">
        <v>31</v>
      </c>
      <c r="F894" t="s">
        <v>39</v>
      </c>
      <c r="G894" t="s">
        <v>80</v>
      </c>
      <c r="H894" t="s">
        <v>23</v>
      </c>
      <c r="I894" t="s">
        <v>24</v>
      </c>
      <c r="J894" t="s">
        <v>2646</v>
      </c>
      <c r="L894">
        <v>3.7</v>
      </c>
      <c r="M894">
        <v>178000</v>
      </c>
      <c r="N894">
        <v>4.0999999999999996</v>
      </c>
      <c r="O894">
        <v>11</v>
      </c>
      <c r="P894" t="s">
        <v>26</v>
      </c>
    </row>
    <row r="895" spans="1:16" x14ac:dyDescent="0.25">
      <c r="A895" t="s">
        <v>2647</v>
      </c>
      <c r="B895" t="s">
        <v>2624</v>
      </c>
      <c r="C895" t="s">
        <v>18</v>
      </c>
      <c r="D895" t="s">
        <v>79</v>
      </c>
      <c r="F895" t="s">
        <v>128</v>
      </c>
      <c r="G895" t="s">
        <v>22</v>
      </c>
      <c r="H895" t="s">
        <v>34</v>
      </c>
      <c r="I895" t="s">
        <v>24</v>
      </c>
      <c r="J895" t="s">
        <v>1554</v>
      </c>
      <c r="K895" t="s">
        <v>2648</v>
      </c>
      <c r="L895">
        <v>3.2</v>
      </c>
      <c r="M895">
        <v>396000</v>
      </c>
      <c r="N895">
        <v>3.3</v>
      </c>
      <c r="O895">
        <v>30</v>
      </c>
      <c r="P895" t="s">
        <v>114</v>
      </c>
    </row>
    <row r="896" spans="1:16" x14ac:dyDescent="0.25">
      <c r="A896" t="s">
        <v>2649</v>
      </c>
      <c r="B896" t="s">
        <v>2650</v>
      </c>
      <c r="C896" t="s">
        <v>18</v>
      </c>
      <c r="D896" t="s">
        <v>50</v>
      </c>
      <c r="E896" t="s">
        <v>31</v>
      </c>
      <c r="F896" t="s">
        <v>39</v>
      </c>
      <c r="G896" t="s">
        <v>33</v>
      </c>
      <c r="H896" t="s">
        <v>46</v>
      </c>
      <c r="J896" t="s">
        <v>967</v>
      </c>
      <c r="L896">
        <v>1.9</v>
      </c>
      <c r="M896">
        <v>178000</v>
      </c>
      <c r="N896">
        <v>3.4</v>
      </c>
      <c r="O896">
        <v>11</v>
      </c>
      <c r="P896" t="s">
        <v>26</v>
      </c>
    </row>
    <row r="897" spans="1:16" x14ac:dyDescent="0.25">
      <c r="A897" t="s">
        <v>2651</v>
      </c>
      <c r="B897" t="s">
        <v>2652</v>
      </c>
      <c r="C897" t="s">
        <v>18</v>
      </c>
      <c r="D897" t="s">
        <v>43</v>
      </c>
      <c r="E897" t="s">
        <v>44</v>
      </c>
      <c r="F897" t="s">
        <v>128</v>
      </c>
      <c r="G897" t="s">
        <v>22</v>
      </c>
      <c r="H897" t="s">
        <v>34</v>
      </c>
      <c r="I897" t="s">
        <v>24</v>
      </c>
      <c r="J897" t="s">
        <v>2653</v>
      </c>
      <c r="L897">
        <v>4.5</v>
      </c>
      <c r="M897">
        <v>485000</v>
      </c>
      <c r="N897">
        <v>4.9000000000000004</v>
      </c>
      <c r="O897">
        <v>3</v>
      </c>
      <c r="P897" t="s">
        <v>26</v>
      </c>
    </row>
    <row r="898" spans="1:16" x14ac:dyDescent="0.25">
      <c r="A898" t="s">
        <v>2654</v>
      </c>
      <c r="B898" t="s">
        <v>2655</v>
      </c>
      <c r="C898" t="s">
        <v>18</v>
      </c>
      <c r="E898" t="s">
        <v>20</v>
      </c>
      <c r="F898" t="s">
        <v>39</v>
      </c>
      <c r="G898" t="s">
        <v>33</v>
      </c>
      <c r="H898" t="s">
        <v>34</v>
      </c>
      <c r="I898" t="s">
        <v>24</v>
      </c>
      <c r="J898" t="s">
        <v>2656</v>
      </c>
      <c r="K898" t="s">
        <v>2657</v>
      </c>
      <c r="L898">
        <v>4</v>
      </c>
      <c r="M898">
        <v>179000</v>
      </c>
      <c r="N898">
        <v>4.8</v>
      </c>
      <c r="O898">
        <v>3</v>
      </c>
      <c r="P898" t="s">
        <v>72</v>
      </c>
    </row>
    <row r="899" spans="1:16" x14ac:dyDescent="0.25">
      <c r="A899" t="s">
        <v>2658</v>
      </c>
      <c r="B899" t="s">
        <v>2659</v>
      </c>
      <c r="C899" t="s">
        <v>29</v>
      </c>
      <c r="D899" t="s">
        <v>50</v>
      </c>
      <c r="E899" t="s">
        <v>20</v>
      </c>
      <c r="F899" t="s">
        <v>32</v>
      </c>
      <c r="G899" t="s">
        <v>80</v>
      </c>
      <c r="H899" t="s">
        <v>23</v>
      </c>
      <c r="I899" t="s">
        <v>57</v>
      </c>
      <c r="J899" t="s">
        <v>738</v>
      </c>
      <c r="L899">
        <v>3.2</v>
      </c>
      <c r="M899">
        <v>267000</v>
      </c>
      <c r="N899">
        <v>4.0999999999999996</v>
      </c>
      <c r="O899">
        <v>0</v>
      </c>
      <c r="P899" t="s">
        <v>26</v>
      </c>
    </row>
    <row r="900" spans="1:16" x14ac:dyDescent="0.25">
      <c r="A900" t="s">
        <v>2660</v>
      </c>
      <c r="B900" t="s">
        <v>2661</v>
      </c>
      <c r="C900" t="s">
        <v>29</v>
      </c>
      <c r="D900" t="s">
        <v>30</v>
      </c>
      <c r="E900" t="s">
        <v>20</v>
      </c>
      <c r="F900" t="s">
        <v>128</v>
      </c>
      <c r="G900" t="s">
        <v>80</v>
      </c>
      <c r="H900" t="s">
        <v>46</v>
      </c>
      <c r="I900" t="s">
        <v>57</v>
      </c>
      <c r="J900" t="s">
        <v>2662</v>
      </c>
      <c r="K900" t="s">
        <v>2663</v>
      </c>
      <c r="L900">
        <v>3.2</v>
      </c>
      <c r="M900">
        <v>380000</v>
      </c>
      <c r="O900">
        <v>34</v>
      </c>
      <c r="P900" t="s">
        <v>53</v>
      </c>
    </row>
    <row r="901" spans="1:16" x14ac:dyDescent="0.25">
      <c r="A901" t="s">
        <v>2664</v>
      </c>
      <c r="B901" t="s">
        <v>2665</v>
      </c>
      <c r="C901" t="s">
        <v>29</v>
      </c>
      <c r="D901" t="s">
        <v>50</v>
      </c>
      <c r="E901" t="s">
        <v>20</v>
      </c>
      <c r="F901" t="s">
        <v>45</v>
      </c>
      <c r="G901" t="s">
        <v>80</v>
      </c>
      <c r="H901" t="s">
        <v>23</v>
      </c>
      <c r="I901" t="s">
        <v>24</v>
      </c>
      <c r="J901" t="s">
        <v>2666</v>
      </c>
      <c r="L901">
        <v>4.2</v>
      </c>
      <c r="M901">
        <v>1640000</v>
      </c>
      <c r="N901">
        <v>3.1</v>
      </c>
      <c r="O901">
        <v>1</v>
      </c>
      <c r="P901" t="s">
        <v>26</v>
      </c>
    </row>
    <row r="902" spans="1:16" x14ac:dyDescent="0.25">
      <c r="A902" t="s">
        <v>2667</v>
      </c>
      <c r="B902" t="s">
        <v>2668</v>
      </c>
      <c r="C902" t="s">
        <v>18</v>
      </c>
      <c r="D902" t="s">
        <v>50</v>
      </c>
      <c r="E902" t="s">
        <v>44</v>
      </c>
      <c r="F902" t="s">
        <v>39</v>
      </c>
      <c r="G902" t="s">
        <v>80</v>
      </c>
      <c r="H902" t="s">
        <v>34</v>
      </c>
      <c r="I902" t="s">
        <v>75</v>
      </c>
      <c r="J902" t="s">
        <v>1834</v>
      </c>
      <c r="L902">
        <v>1.6</v>
      </c>
      <c r="M902">
        <v>117000</v>
      </c>
      <c r="N902">
        <v>4.7</v>
      </c>
      <c r="O902">
        <v>8</v>
      </c>
      <c r="P902" t="s">
        <v>26</v>
      </c>
    </row>
    <row r="903" spans="1:16" x14ac:dyDescent="0.25">
      <c r="A903" t="s">
        <v>2669</v>
      </c>
      <c r="B903" t="s">
        <v>2670</v>
      </c>
      <c r="C903" t="s">
        <v>18</v>
      </c>
      <c r="D903" t="s">
        <v>30</v>
      </c>
      <c r="E903" t="s">
        <v>31</v>
      </c>
      <c r="F903" t="s">
        <v>39</v>
      </c>
      <c r="G903" t="s">
        <v>80</v>
      </c>
      <c r="H903" t="s">
        <v>34</v>
      </c>
      <c r="I903" t="s">
        <v>57</v>
      </c>
      <c r="J903" t="s">
        <v>2116</v>
      </c>
      <c r="L903">
        <v>4</v>
      </c>
      <c r="O903">
        <v>9</v>
      </c>
      <c r="P903" t="s">
        <v>26</v>
      </c>
    </row>
    <row r="904" spans="1:16" x14ac:dyDescent="0.25">
      <c r="A904" t="s">
        <v>2671</v>
      </c>
      <c r="B904" t="s">
        <v>2672</v>
      </c>
      <c r="C904" t="s">
        <v>29</v>
      </c>
      <c r="D904" t="s">
        <v>30</v>
      </c>
      <c r="E904" t="s">
        <v>44</v>
      </c>
      <c r="F904" t="s">
        <v>128</v>
      </c>
      <c r="G904" t="s">
        <v>80</v>
      </c>
      <c r="H904" t="s">
        <v>34</v>
      </c>
      <c r="I904" t="s">
        <v>24</v>
      </c>
      <c r="J904" t="s">
        <v>1282</v>
      </c>
      <c r="K904" t="s">
        <v>2673</v>
      </c>
      <c r="L904">
        <v>2</v>
      </c>
      <c r="M904">
        <v>426000</v>
      </c>
      <c r="N904">
        <v>2.2999999999999998</v>
      </c>
      <c r="O904">
        <v>14</v>
      </c>
      <c r="P904" t="s">
        <v>72</v>
      </c>
    </row>
    <row r="905" spans="1:16" x14ac:dyDescent="0.25">
      <c r="A905" t="s">
        <v>2674</v>
      </c>
      <c r="B905" t="s">
        <v>833</v>
      </c>
      <c r="C905" t="s">
        <v>18</v>
      </c>
      <c r="E905" t="s">
        <v>44</v>
      </c>
      <c r="F905" t="s">
        <v>32</v>
      </c>
      <c r="G905" t="s">
        <v>80</v>
      </c>
      <c r="H905" t="s">
        <v>34</v>
      </c>
      <c r="I905" t="s">
        <v>75</v>
      </c>
      <c r="J905" t="s">
        <v>2675</v>
      </c>
      <c r="L905">
        <v>2.1</v>
      </c>
      <c r="M905">
        <v>300000</v>
      </c>
      <c r="N905">
        <v>4.8</v>
      </c>
      <c r="O905">
        <v>1</v>
      </c>
      <c r="P905" t="s">
        <v>26</v>
      </c>
    </row>
    <row r="906" spans="1:16" x14ac:dyDescent="0.25">
      <c r="A906" t="s">
        <v>2676</v>
      </c>
      <c r="B906" t="s">
        <v>2677</v>
      </c>
      <c r="C906" t="s">
        <v>18</v>
      </c>
      <c r="D906" t="s">
        <v>19</v>
      </c>
      <c r="E906" t="s">
        <v>20</v>
      </c>
      <c r="F906" t="s">
        <v>32</v>
      </c>
      <c r="G906" t="s">
        <v>22</v>
      </c>
      <c r="H906" t="s">
        <v>34</v>
      </c>
      <c r="I906" t="s">
        <v>24</v>
      </c>
      <c r="J906" t="s">
        <v>2185</v>
      </c>
      <c r="K906" t="s">
        <v>2678</v>
      </c>
      <c r="L906">
        <v>4.5999999999999996</v>
      </c>
      <c r="M906">
        <v>385000</v>
      </c>
      <c r="N906">
        <v>4.0999999999999996</v>
      </c>
      <c r="O906">
        <v>1</v>
      </c>
      <c r="P906" t="s">
        <v>53</v>
      </c>
    </row>
    <row r="907" spans="1:16" x14ac:dyDescent="0.25">
      <c r="A907" t="s">
        <v>2679</v>
      </c>
      <c r="B907" t="s">
        <v>2680</v>
      </c>
      <c r="C907" t="s">
        <v>18</v>
      </c>
      <c r="D907" t="s">
        <v>50</v>
      </c>
      <c r="E907" t="s">
        <v>20</v>
      </c>
      <c r="F907" t="s">
        <v>32</v>
      </c>
      <c r="G907" t="s">
        <v>69</v>
      </c>
      <c r="H907" t="s">
        <v>34</v>
      </c>
      <c r="I907" t="s">
        <v>57</v>
      </c>
      <c r="J907" t="s">
        <v>2681</v>
      </c>
      <c r="L907">
        <v>1.8</v>
      </c>
      <c r="M907">
        <v>268000</v>
      </c>
      <c r="N907">
        <v>2.1</v>
      </c>
      <c r="O907">
        <v>0</v>
      </c>
      <c r="P907" t="s">
        <v>26</v>
      </c>
    </row>
    <row r="908" spans="1:16" x14ac:dyDescent="0.25">
      <c r="A908" t="s">
        <v>2682</v>
      </c>
      <c r="B908" t="s">
        <v>2683</v>
      </c>
      <c r="C908" t="s">
        <v>29</v>
      </c>
      <c r="D908" t="s">
        <v>19</v>
      </c>
      <c r="E908" t="s">
        <v>20</v>
      </c>
      <c r="F908" t="s">
        <v>39</v>
      </c>
      <c r="G908" t="s">
        <v>22</v>
      </c>
      <c r="H908" t="s">
        <v>34</v>
      </c>
      <c r="I908" t="s">
        <v>24</v>
      </c>
      <c r="J908" t="s">
        <v>1774</v>
      </c>
      <c r="K908" t="s">
        <v>2684</v>
      </c>
      <c r="L908">
        <v>6.2</v>
      </c>
      <c r="M908">
        <v>157000</v>
      </c>
      <c r="N908">
        <v>4</v>
      </c>
      <c r="O908">
        <v>17</v>
      </c>
      <c r="P908" t="s">
        <v>53</v>
      </c>
    </row>
    <row r="909" spans="1:16" x14ac:dyDescent="0.25">
      <c r="A909" t="s">
        <v>2685</v>
      </c>
      <c r="B909" t="s">
        <v>1953</v>
      </c>
      <c r="C909" t="s">
        <v>18</v>
      </c>
      <c r="D909" t="s">
        <v>19</v>
      </c>
      <c r="E909" t="s">
        <v>44</v>
      </c>
      <c r="F909" t="s">
        <v>21</v>
      </c>
      <c r="G909" t="s">
        <v>33</v>
      </c>
      <c r="I909" t="s">
        <v>24</v>
      </c>
      <c r="J909" t="s">
        <v>2686</v>
      </c>
      <c r="K909" t="s">
        <v>2687</v>
      </c>
      <c r="L909">
        <v>5.9</v>
      </c>
      <c r="M909">
        <v>996000</v>
      </c>
      <c r="N909">
        <v>4.4000000000000004</v>
      </c>
      <c r="O909">
        <v>2</v>
      </c>
      <c r="P909" t="s">
        <v>53</v>
      </c>
    </row>
    <row r="910" spans="1:16" x14ac:dyDescent="0.25">
      <c r="A910" t="s">
        <v>2688</v>
      </c>
      <c r="B910" t="s">
        <v>2363</v>
      </c>
      <c r="C910" t="s">
        <v>29</v>
      </c>
      <c r="D910" t="s">
        <v>79</v>
      </c>
      <c r="E910" t="s">
        <v>20</v>
      </c>
      <c r="F910" t="s">
        <v>32</v>
      </c>
      <c r="G910" t="s">
        <v>22</v>
      </c>
      <c r="H910" t="s">
        <v>46</v>
      </c>
      <c r="I910" t="s">
        <v>35</v>
      </c>
      <c r="J910" t="s">
        <v>2689</v>
      </c>
      <c r="L910">
        <v>4.7</v>
      </c>
      <c r="M910">
        <v>249000</v>
      </c>
      <c r="N910">
        <v>4.0999999999999996</v>
      </c>
      <c r="O910">
        <v>4</v>
      </c>
      <c r="P910" t="s">
        <v>26</v>
      </c>
    </row>
    <row r="911" spans="1:16" x14ac:dyDescent="0.25">
      <c r="A911" t="s">
        <v>2690</v>
      </c>
      <c r="B911" t="s">
        <v>2691</v>
      </c>
      <c r="C911" t="s">
        <v>18</v>
      </c>
      <c r="D911" t="s">
        <v>43</v>
      </c>
      <c r="F911" t="s">
        <v>21</v>
      </c>
      <c r="G911" t="s">
        <v>22</v>
      </c>
      <c r="H911" t="s">
        <v>46</v>
      </c>
      <c r="I911" t="s">
        <v>57</v>
      </c>
      <c r="J911" t="s">
        <v>2692</v>
      </c>
      <c r="L911">
        <v>4.4000000000000004</v>
      </c>
      <c r="M911">
        <v>672000</v>
      </c>
      <c r="N911">
        <v>4.0999999999999996</v>
      </c>
      <c r="O911">
        <v>8</v>
      </c>
      <c r="P911" t="s">
        <v>26</v>
      </c>
    </row>
    <row r="912" spans="1:16" x14ac:dyDescent="0.25">
      <c r="A912" t="s">
        <v>2693</v>
      </c>
      <c r="B912" t="s">
        <v>2694</v>
      </c>
      <c r="C912" t="s">
        <v>29</v>
      </c>
      <c r="D912" t="s">
        <v>19</v>
      </c>
      <c r="E912" t="s">
        <v>44</v>
      </c>
      <c r="F912" t="s">
        <v>32</v>
      </c>
      <c r="G912" t="s">
        <v>69</v>
      </c>
      <c r="H912" t="s">
        <v>23</v>
      </c>
      <c r="I912" t="s">
        <v>75</v>
      </c>
      <c r="J912" t="s">
        <v>2695</v>
      </c>
      <c r="L912">
        <v>5.6</v>
      </c>
      <c r="M912">
        <v>381000</v>
      </c>
      <c r="N912">
        <v>2.2999999999999998</v>
      </c>
      <c r="O912">
        <v>7</v>
      </c>
      <c r="P912" t="s">
        <v>26</v>
      </c>
    </row>
    <row r="913" spans="1:16" x14ac:dyDescent="0.25">
      <c r="A913" t="s">
        <v>2696</v>
      </c>
      <c r="B913" t="s">
        <v>2697</v>
      </c>
      <c r="C913" t="s">
        <v>29</v>
      </c>
      <c r="D913" t="s">
        <v>30</v>
      </c>
      <c r="E913" t="s">
        <v>31</v>
      </c>
      <c r="F913" t="s">
        <v>32</v>
      </c>
      <c r="G913" t="s">
        <v>33</v>
      </c>
      <c r="H913" t="s">
        <v>62</v>
      </c>
      <c r="I913" t="s">
        <v>24</v>
      </c>
      <c r="J913" t="s">
        <v>2698</v>
      </c>
      <c r="L913">
        <v>3.5</v>
      </c>
      <c r="M913">
        <v>247000</v>
      </c>
      <c r="N913">
        <v>1.7</v>
      </c>
      <c r="O913">
        <v>6</v>
      </c>
      <c r="P913" t="s">
        <v>26</v>
      </c>
    </row>
    <row r="914" spans="1:16" x14ac:dyDescent="0.25">
      <c r="A914" t="s">
        <v>2699</v>
      </c>
      <c r="B914" t="s">
        <v>2700</v>
      </c>
      <c r="C914" t="s">
        <v>29</v>
      </c>
      <c r="D914" t="s">
        <v>43</v>
      </c>
      <c r="E914" t="s">
        <v>20</v>
      </c>
      <c r="F914" t="s">
        <v>128</v>
      </c>
      <c r="G914" t="s">
        <v>33</v>
      </c>
      <c r="H914" t="s">
        <v>46</v>
      </c>
      <c r="I914" t="s">
        <v>57</v>
      </c>
      <c r="J914" t="s">
        <v>2701</v>
      </c>
      <c r="L914">
        <v>2.2999999999999998</v>
      </c>
      <c r="M914">
        <v>350000</v>
      </c>
      <c r="N914">
        <v>4.4000000000000004</v>
      </c>
      <c r="O914">
        <v>12</v>
      </c>
      <c r="P914" t="s">
        <v>26</v>
      </c>
    </row>
    <row r="915" spans="1:16" x14ac:dyDescent="0.25">
      <c r="A915" t="s">
        <v>2702</v>
      </c>
      <c r="B915" t="s">
        <v>799</v>
      </c>
      <c r="C915" t="s">
        <v>29</v>
      </c>
      <c r="D915" t="s">
        <v>43</v>
      </c>
      <c r="E915" t="s">
        <v>20</v>
      </c>
      <c r="F915" t="s">
        <v>128</v>
      </c>
      <c r="G915" t="s">
        <v>80</v>
      </c>
      <c r="H915" t="s">
        <v>62</v>
      </c>
      <c r="I915" t="s">
        <v>24</v>
      </c>
      <c r="J915" t="s">
        <v>1980</v>
      </c>
      <c r="L915">
        <v>5.3</v>
      </c>
      <c r="M915">
        <v>350000</v>
      </c>
      <c r="N915">
        <v>2.4</v>
      </c>
      <c r="O915">
        <v>1</v>
      </c>
      <c r="P915" t="s">
        <v>26</v>
      </c>
    </row>
    <row r="916" spans="1:16" x14ac:dyDescent="0.25">
      <c r="A916" t="s">
        <v>2703</v>
      </c>
      <c r="B916" t="s">
        <v>2704</v>
      </c>
      <c r="C916" t="s">
        <v>18</v>
      </c>
      <c r="D916" t="s">
        <v>79</v>
      </c>
      <c r="E916" t="s">
        <v>20</v>
      </c>
      <c r="F916" t="s">
        <v>39</v>
      </c>
      <c r="G916" t="s">
        <v>80</v>
      </c>
      <c r="H916" t="s">
        <v>34</v>
      </c>
      <c r="I916" t="s">
        <v>24</v>
      </c>
      <c r="J916" t="s">
        <v>2705</v>
      </c>
      <c r="L916">
        <v>1.9</v>
      </c>
      <c r="M916">
        <v>165000</v>
      </c>
      <c r="N916">
        <v>3</v>
      </c>
      <c r="O916">
        <v>0</v>
      </c>
      <c r="P916" t="s">
        <v>26</v>
      </c>
    </row>
    <row r="917" spans="1:16" x14ac:dyDescent="0.25">
      <c r="A917" t="s">
        <v>2706</v>
      </c>
      <c r="B917" t="s">
        <v>2707</v>
      </c>
      <c r="C917" t="s">
        <v>29</v>
      </c>
      <c r="E917" t="s">
        <v>20</v>
      </c>
      <c r="F917" t="s">
        <v>128</v>
      </c>
      <c r="G917" t="s">
        <v>22</v>
      </c>
      <c r="H917" t="s">
        <v>34</v>
      </c>
      <c r="J917" t="s">
        <v>2708</v>
      </c>
      <c r="L917">
        <v>3.6</v>
      </c>
      <c r="M917">
        <v>454000</v>
      </c>
      <c r="N917">
        <v>-0.4</v>
      </c>
      <c r="O917">
        <v>6</v>
      </c>
      <c r="P917" t="s">
        <v>26</v>
      </c>
    </row>
    <row r="918" spans="1:16" x14ac:dyDescent="0.25">
      <c r="A918" t="s">
        <v>2709</v>
      </c>
      <c r="B918" t="s">
        <v>1469</v>
      </c>
      <c r="D918" t="s">
        <v>19</v>
      </c>
      <c r="E918" t="s">
        <v>20</v>
      </c>
      <c r="F918" t="s">
        <v>32</v>
      </c>
      <c r="G918" t="s">
        <v>69</v>
      </c>
      <c r="H918" t="s">
        <v>34</v>
      </c>
      <c r="I918" t="s">
        <v>171</v>
      </c>
      <c r="J918" t="s">
        <v>1448</v>
      </c>
      <c r="K918" t="s">
        <v>2710</v>
      </c>
      <c r="L918">
        <v>1.8</v>
      </c>
      <c r="M918">
        <v>278000</v>
      </c>
      <c r="N918">
        <v>3.6</v>
      </c>
      <c r="O918">
        <v>1</v>
      </c>
      <c r="P918" t="s">
        <v>72</v>
      </c>
    </row>
    <row r="919" spans="1:16" x14ac:dyDescent="0.25">
      <c r="A919" t="s">
        <v>2711</v>
      </c>
      <c r="B919" t="s">
        <v>2712</v>
      </c>
      <c r="C919" t="s">
        <v>29</v>
      </c>
      <c r="D919" t="s">
        <v>43</v>
      </c>
      <c r="E919" t="s">
        <v>31</v>
      </c>
      <c r="G919" t="s">
        <v>33</v>
      </c>
      <c r="H919" t="s">
        <v>23</v>
      </c>
      <c r="I919" t="s">
        <v>35</v>
      </c>
      <c r="J919" t="s">
        <v>2713</v>
      </c>
      <c r="L919">
        <v>3.4</v>
      </c>
      <c r="M919">
        <v>165000</v>
      </c>
      <c r="N919">
        <v>3.7</v>
      </c>
      <c r="O919">
        <v>0</v>
      </c>
      <c r="P919" t="s">
        <v>26</v>
      </c>
    </row>
    <row r="920" spans="1:16" x14ac:dyDescent="0.25">
      <c r="A920" t="s">
        <v>2714</v>
      </c>
      <c r="B920" t="s">
        <v>2715</v>
      </c>
      <c r="C920" t="s">
        <v>29</v>
      </c>
      <c r="D920" t="s">
        <v>30</v>
      </c>
      <c r="E920" t="s">
        <v>20</v>
      </c>
      <c r="F920" t="s">
        <v>128</v>
      </c>
      <c r="G920" t="s">
        <v>22</v>
      </c>
      <c r="H920" t="s">
        <v>34</v>
      </c>
      <c r="I920" t="s">
        <v>35</v>
      </c>
      <c r="J920" t="s">
        <v>1567</v>
      </c>
      <c r="L920">
        <v>3.7</v>
      </c>
      <c r="M920">
        <v>393000</v>
      </c>
      <c r="N920">
        <v>2.1</v>
      </c>
      <c r="O920">
        <v>1</v>
      </c>
      <c r="P920" t="s">
        <v>26</v>
      </c>
    </row>
    <row r="921" spans="1:16" x14ac:dyDescent="0.25">
      <c r="A921" t="s">
        <v>2716</v>
      </c>
      <c r="B921" t="s">
        <v>2717</v>
      </c>
      <c r="C921" t="s">
        <v>18</v>
      </c>
      <c r="D921" t="s">
        <v>19</v>
      </c>
      <c r="E921" t="s">
        <v>20</v>
      </c>
      <c r="F921" t="s">
        <v>32</v>
      </c>
      <c r="G921" t="s">
        <v>22</v>
      </c>
      <c r="H921" t="s">
        <v>46</v>
      </c>
      <c r="I921" t="s">
        <v>75</v>
      </c>
      <c r="J921" t="s">
        <v>2718</v>
      </c>
      <c r="K921" t="s">
        <v>2719</v>
      </c>
      <c r="L921">
        <v>2.8</v>
      </c>
      <c r="M921">
        <v>261000</v>
      </c>
      <c r="N921">
        <v>4.7</v>
      </c>
      <c r="O921">
        <v>24</v>
      </c>
      <c r="P921" t="s">
        <v>53</v>
      </c>
    </row>
    <row r="922" spans="1:16" x14ac:dyDescent="0.25">
      <c r="A922" t="s">
        <v>2720</v>
      </c>
      <c r="B922" t="s">
        <v>2721</v>
      </c>
      <c r="C922" t="s">
        <v>18</v>
      </c>
      <c r="D922" t="s">
        <v>79</v>
      </c>
      <c r="E922" t="s">
        <v>31</v>
      </c>
      <c r="F922" t="s">
        <v>39</v>
      </c>
      <c r="G922" t="s">
        <v>22</v>
      </c>
      <c r="H922" t="s">
        <v>62</v>
      </c>
      <c r="I922" t="s">
        <v>57</v>
      </c>
      <c r="J922" t="s">
        <v>1668</v>
      </c>
      <c r="L922">
        <v>5.4</v>
      </c>
      <c r="M922">
        <v>87000</v>
      </c>
      <c r="N922">
        <v>2.7</v>
      </c>
      <c r="O922">
        <v>10</v>
      </c>
      <c r="P922" t="s">
        <v>26</v>
      </c>
    </row>
    <row r="923" spans="1:16" x14ac:dyDescent="0.25">
      <c r="A923" t="s">
        <v>2722</v>
      </c>
      <c r="B923" t="s">
        <v>1976</v>
      </c>
      <c r="C923" t="s">
        <v>18</v>
      </c>
      <c r="D923" t="s">
        <v>79</v>
      </c>
      <c r="E923" t="s">
        <v>20</v>
      </c>
      <c r="F923" t="s">
        <v>39</v>
      </c>
      <c r="G923" t="s">
        <v>33</v>
      </c>
      <c r="H923" t="s">
        <v>34</v>
      </c>
      <c r="I923" t="s">
        <v>24</v>
      </c>
      <c r="J923" t="s">
        <v>2723</v>
      </c>
      <c r="L923">
        <v>2.8</v>
      </c>
      <c r="M923">
        <v>105000</v>
      </c>
      <c r="O923">
        <v>4</v>
      </c>
      <c r="P923" t="s">
        <v>26</v>
      </c>
    </row>
    <row r="924" spans="1:16" x14ac:dyDescent="0.25">
      <c r="A924" t="s">
        <v>2724</v>
      </c>
      <c r="B924" t="s">
        <v>2725</v>
      </c>
      <c r="C924" t="s">
        <v>18</v>
      </c>
      <c r="D924" t="s">
        <v>79</v>
      </c>
      <c r="E924" t="s">
        <v>20</v>
      </c>
      <c r="F924" t="s">
        <v>32</v>
      </c>
      <c r="G924" t="s">
        <v>22</v>
      </c>
      <c r="H924" t="s">
        <v>46</v>
      </c>
      <c r="I924" t="s">
        <v>57</v>
      </c>
      <c r="J924" t="s">
        <v>2726</v>
      </c>
      <c r="K924" t="s">
        <v>2727</v>
      </c>
      <c r="L924">
        <v>5.8</v>
      </c>
      <c r="M924">
        <v>274000</v>
      </c>
      <c r="N924">
        <v>2.4</v>
      </c>
      <c r="O924">
        <v>7</v>
      </c>
      <c r="P924" t="s">
        <v>53</v>
      </c>
    </row>
    <row r="925" spans="1:16" x14ac:dyDescent="0.25">
      <c r="A925" t="s">
        <v>2728</v>
      </c>
      <c r="B925" t="s">
        <v>2729</v>
      </c>
      <c r="C925" t="s">
        <v>18</v>
      </c>
      <c r="D925" t="s">
        <v>79</v>
      </c>
      <c r="F925" t="s">
        <v>21</v>
      </c>
      <c r="G925" t="s">
        <v>33</v>
      </c>
      <c r="H925" t="s">
        <v>46</v>
      </c>
      <c r="I925" t="s">
        <v>57</v>
      </c>
      <c r="J925" t="s">
        <v>51</v>
      </c>
      <c r="L925">
        <v>4.9000000000000004</v>
      </c>
      <c r="M925">
        <v>818000</v>
      </c>
      <c r="N925">
        <v>3.6</v>
      </c>
      <c r="O925">
        <v>5</v>
      </c>
      <c r="P925" t="s">
        <v>26</v>
      </c>
    </row>
    <row r="926" spans="1:16" x14ac:dyDescent="0.25">
      <c r="A926" t="s">
        <v>2730</v>
      </c>
      <c r="B926" t="s">
        <v>2731</v>
      </c>
      <c r="C926" t="s">
        <v>29</v>
      </c>
      <c r="D926" t="s">
        <v>50</v>
      </c>
      <c r="E926" t="s">
        <v>44</v>
      </c>
      <c r="F926" t="s">
        <v>39</v>
      </c>
      <c r="G926" t="s">
        <v>22</v>
      </c>
      <c r="H926" t="s">
        <v>34</v>
      </c>
      <c r="I926" t="s">
        <v>35</v>
      </c>
      <c r="J926" t="s">
        <v>394</v>
      </c>
      <c r="K926" t="s">
        <v>2732</v>
      </c>
      <c r="L926">
        <v>6.1</v>
      </c>
      <c r="M926">
        <v>110000</v>
      </c>
      <c r="N926">
        <v>2.4</v>
      </c>
      <c r="O926">
        <v>4</v>
      </c>
      <c r="P926" t="s">
        <v>53</v>
      </c>
    </row>
    <row r="927" spans="1:16" x14ac:dyDescent="0.25">
      <c r="A927" t="s">
        <v>2733</v>
      </c>
      <c r="B927" t="s">
        <v>2734</v>
      </c>
      <c r="C927" t="s">
        <v>18</v>
      </c>
      <c r="D927" t="s">
        <v>19</v>
      </c>
      <c r="E927" t="s">
        <v>44</v>
      </c>
      <c r="F927" t="s">
        <v>21</v>
      </c>
      <c r="G927" t="s">
        <v>22</v>
      </c>
      <c r="H927" t="s">
        <v>46</v>
      </c>
      <c r="I927" t="s">
        <v>24</v>
      </c>
      <c r="J927" t="s">
        <v>342</v>
      </c>
      <c r="L927">
        <v>3.8</v>
      </c>
      <c r="M927">
        <v>980000</v>
      </c>
      <c r="N927">
        <v>3.1</v>
      </c>
      <c r="O927">
        <v>13</v>
      </c>
      <c r="P927" t="s">
        <v>26</v>
      </c>
    </row>
    <row r="928" spans="1:16" x14ac:dyDescent="0.25">
      <c r="A928" t="s">
        <v>2735</v>
      </c>
      <c r="B928" t="s">
        <v>1450</v>
      </c>
      <c r="C928" t="s">
        <v>29</v>
      </c>
      <c r="D928" t="s">
        <v>79</v>
      </c>
      <c r="E928" t="s">
        <v>20</v>
      </c>
      <c r="F928" t="s">
        <v>39</v>
      </c>
      <c r="G928" t="s">
        <v>33</v>
      </c>
      <c r="H928" t="s">
        <v>23</v>
      </c>
      <c r="I928" t="s">
        <v>57</v>
      </c>
      <c r="J928" t="s">
        <v>630</v>
      </c>
      <c r="L928">
        <v>4.7</v>
      </c>
      <c r="M928">
        <v>165000</v>
      </c>
      <c r="N928">
        <v>4</v>
      </c>
      <c r="O928">
        <v>6</v>
      </c>
      <c r="P928" t="s">
        <v>26</v>
      </c>
    </row>
    <row r="929" spans="1:16" x14ac:dyDescent="0.25">
      <c r="A929" t="s">
        <v>2736</v>
      </c>
      <c r="B929" t="s">
        <v>2106</v>
      </c>
      <c r="C929" t="s">
        <v>18</v>
      </c>
      <c r="D929" t="s">
        <v>19</v>
      </c>
      <c r="E929" t="s">
        <v>20</v>
      </c>
      <c r="F929" t="s">
        <v>39</v>
      </c>
      <c r="G929" t="s">
        <v>80</v>
      </c>
      <c r="H929" t="s">
        <v>23</v>
      </c>
      <c r="I929" t="s">
        <v>24</v>
      </c>
      <c r="J929" t="s">
        <v>2737</v>
      </c>
      <c r="L929">
        <v>2.7</v>
      </c>
      <c r="M929">
        <v>120000</v>
      </c>
      <c r="N929">
        <v>4</v>
      </c>
      <c r="O929">
        <v>4</v>
      </c>
      <c r="P929" t="s">
        <v>26</v>
      </c>
    </row>
    <row r="930" spans="1:16" x14ac:dyDescent="0.25">
      <c r="A930" t="s">
        <v>2738</v>
      </c>
      <c r="B930" t="s">
        <v>2739</v>
      </c>
      <c r="C930" t="s">
        <v>29</v>
      </c>
      <c r="D930" t="s">
        <v>50</v>
      </c>
      <c r="E930" t="s">
        <v>31</v>
      </c>
      <c r="F930" t="s">
        <v>32</v>
      </c>
      <c r="G930" t="s">
        <v>22</v>
      </c>
      <c r="H930" t="s">
        <v>23</v>
      </c>
      <c r="I930" t="s">
        <v>171</v>
      </c>
      <c r="J930" t="s">
        <v>1580</v>
      </c>
      <c r="K930" t="s">
        <v>2740</v>
      </c>
      <c r="L930">
        <v>5.6</v>
      </c>
      <c r="M930">
        <v>311000</v>
      </c>
      <c r="N930">
        <v>3.9</v>
      </c>
      <c r="O930">
        <v>6</v>
      </c>
      <c r="P930" t="s">
        <v>53</v>
      </c>
    </row>
    <row r="931" spans="1:16" x14ac:dyDescent="0.25">
      <c r="A931" t="s">
        <v>2741</v>
      </c>
      <c r="B931" t="s">
        <v>2742</v>
      </c>
      <c r="C931" t="s">
        <v>18</v>
      </c>
      <c r="D931" t="s">
        <v>30</v>
      </c>
      <c r="E931" t="s">
        <v>20</v>
      </c>
      <c r="F931" t="s">
        <v>21</v>
      </c>
      <c r="G931" t="s">
        <v>80</v>
      </c>
      <c r="I931" t="s">
        <v>57</v>
      </c>
      <c r="J931" t="s">
        <v>2257</v>
      </c>
      <c r="K931" t="s">
        <v>2743</v>
      </c>
      <c r="L931">
        <v>3.2</v>
      </c>
      <c r="M931">
        <v>929000</v>
      </c>
      <c r="N931">
        <v>3.2</v>
      </c>
      <c r="O931">
        <v>15</v>
      </c>
      <c r="P931" t="s">
        <v>53</v>
      </c>
    </row>
    <row r="932" spans="1:16" x14ac:dyDescent="0.25">
      <c r="A932" t="s">
        <v>2744</v>
      </c>
      <c r="B932" t="s">
        <v>2745</v>
      </c>
      <c r="C932" t="s">
        <v>18</v>
      </c>
      <c r="D932" t="s">
        <v>19</v>
      </c>
      <c r="E932" t="s">
        <v>20</v>
      </c>
      <c r="F932" t="s">
        <v>32</v>
      </c>
      <c r="G932" t="s">
        <v>80</v>
      </c>
      <c r="H932" t="s">
        <v>34</v>
      </c>
      <c r="I932" t="s">
        <v>24</v>
      </c>
      <c r="J932" t="s">
        <v>2746</v>
      </c>
      <c r="L932">
        <v>6.1</v>
      </c>
      <c r="M932">
        <v>292000</v>
      </c>
      <c r="N932">
        <v>2.2999999999999998</v>
      </c>
      <c r="P932" t="s">
        <v>26</v>
      </c>
    </row>
    <row r="933" spans="1:16" x14ac:dyDescent="0.25">
      <c r="A933" t="s">
        <v>2747</v>
      </c>
      <c r="B933" t="s">
        <v>1299</v>
      </c>
      <c r="C933" t="s">
        <v>18</v>
      </c>
      <c r="D933" t="s">
        <v>30</v>
      </c>
      <c r="E933" t="s">
        <v>31</v>
      </c>
      <c r="F933" t="s">
        <v>128</v>
      </c>
      <c r="G933" t="s">
        <v>69</v>
      </c>
      <c r="H933" t="s">
        <v>34</v>
      </c>
      <c r="I933" t="s">
        <v>24</v>
      </c>
      <c r="J933" t="s">
        <v>2748</v>
      </c>
      <c r="L933">
        <v>4.4000000000000004</v>
      </c>
      <c r="M933">
        <v>523000</v>
      </c>
      <c r="N933">
        <v>3.4</v>
      </c>
      <c r="O933">
        <v>7</v>
      </c>
      <c r="P933" t="s">
        <v>26</v>
      </c>
    </row>
    <row r="934" spans="1:16" x14ac:dyDescent="0.25">
      <c r="A934" t="s">
        <v>2749</v>
      </c>
      <c r="B934" t="s">
        <v>2750</v>
      </c>
      <c r="C934" t="s">
        <v>18</v>
      </c>
      <c r="D934" t="s">
        <v>43</v>
      </c>
      <c r="E934" t="s">
        <v>31</v>
      </c>
      <c r="F934" t="s">
        <v>39</v>
      </c>
      <c r="G934" t="s">
        <v>80</v>
      </c>
      <c r="H934" t="s">
        <v>23</v>
      </c>
      <c r="I934" t="s">
        <v>35</v>
      </c>
      <c r="J934" t="s">
        <v>2751</v>
      </c>
      <c r="L934">
        <v>3.4</v>
      </c>
      <c r="M934">
        <v>153000</v>
      </c>
      <c r="N934">
        <v>4.9000000000000004</v>
      </c>
      <c r="O934">
        <v>2</v>
      </c>
      <c r="P934" t="s">
        <v>26</v>
      </c>
    </row>
    <row r="935" spans="1:16" x14ac:dyDescent="0.25">
      <c r="A935" t="s">
        <v>2752</v>
      </c>
      <c r="B935" t="s">
        <v>2753</v>
      </c>
      <c r="C935" t="s">
        <v>18</v>
      </c>
      <c r="D935" t="s">
        <v>30</v>
      </c>
      <c r="E935" t="s">
        <v>20</v>
      </c>
      <c r="F935" t="s">
        <v>128</v>
      </c>
      <c r="G935" t="s">
        <v>33</v>
      </c>
      <c r="H935" t="s">
        <v>34</v>
      </c>
      <c r="I935" t="s">
        <v>24</v>
      </c>
      <c r="J935" t="s">
        <v>523</v>
      </c>
      <c r="L935">
        <v>4.5</v>
      </c>
      <c r="O935">
        <v>3</v>
      </c>
      <c r="P935" t="s">
        <v>26</v>
      </c>
    </row>
    <row r="936" spans="1:16" x14ac:dyDescent="0.25">
      <c r="A936" t="s">
        <v>2754</v>
      </c>
      <c r="B936" t="s">
        <v>2755</v>
      </c>
      <c r="D936" t="s">
        <v>50</v>
      </c>
      <c r="E936" t="s">
        <v>20</v>
      </c>
      <c r="F936" t="s">
        <v>39</v>
      </c>
      <c r="G936" t="s">
        <v>22</v>
      </c>
      <c r="H936" t="s">
        <v>34</v>
      </c>
      <c r="I936" t="s">
        <v>24</v>
      </c>
      <c r="J936" t="s">
        <v>2756</v>
      </c>
      <c r="L936">
        <v>3.9</v>
      </c>
      <c r="M936">
        <v>136000</v>
      </c>
      <c r="N936">
        <v>2.4</v>
      </c>
      <c r="O936">
        <v>14</v>
      </c>
      <c r="P936" t="s">
        <v>26</v>
      </c>
    </row>
    <row r="937" spans="1:16" x14ac:dyDescent="0.25">
      <c r="A937" t="s">
        <v>2757</v>
      </c>
      <c r="B937" t="s">
        <v>2758</v>
      </c>
      <c r="C937" t="s">
        <v>18</v>
      </c>
      <c r="D937" t="s">
        <v>30</v>
      </c>
      <c r="E937" t="s">
        <v>20</v>
      </c>
      <c r="F937" t="s">
        <v>39</v>
      </c>
      <c r="G937" t="s">
        <v>22</v>
      </c>
      <c r="H937" t="s">
        <v>23</v>
      </c>
      <c r="I937" t="s">
        <v>24</v>
      </c>
      <c r="J937" t="s">
        <v>2759</v>
      </c>
      <c r="K937" t="s">
        <v>2760</v>
      </c>
      <c r="L937">
        <v>4.2</v>
      </c>
      <c r="M937">
        <v>109000</v>
      </c>
      <c r="N937">
        <v>2</v>
      </c>
      <c r="O937">
        <v>9</v>
      </c>
      <c r="P937" t="s">
        <v>53</v>
      </c>
    </row>
    <row r="938" spans="1:16" x14ac:dyDescent="0.25">
      <c r="A938" t="s">
        <v>2761</v>
      </c>
      <c r="B938" t="s">
        <v>2762</v>
      </c>
      <c r="C938" t="s">
        <v>29</v>
      </c>
      <c r="D938" t="s">
        <v>19</v>
      </c>
      <c r="E938" t="s">
        <v>20</v>
      </c>
      <c r="F938" t="s">
        <v>128</v>
      </c>
      <c r="G938" t="s">
        <v>80</v>
      </c>
      <c r="H938" t="s">
        <v>62</v>
      </c>
      <c r="I938" t="s">
        <v>24</v>
      </c>
      <c r="J938" t="s">
        <v>2763</v>
      </c>
      <c r="L938">
        <v>3.1</v>
      </c>
      <c r="M938">
        <v>491000</v>
      </c>
      <c r="N938">
        <v>3.3</v>
      </c>
      <c r="O938">
        <v>6</v>
      </c>
      <c r="P938" t="s">
        <v>26</v>
      </c>
    </row>
    <row r="939" spans="1:16" x14ac:dyDescent="0.25">
      <c r="A939" t="s">
        <v>2764</v>
      </c>
      <c r="B939" t="s">
        <v>2765</v>
      </c>
      <c r="C939" t="s">
        <v>29</v>
      </c>
      <c r="D939" t="s">
        <v>30</v>
      </c>
      <c r="E939" t="s">
        <v>20</v>
      </c>
      <c r="F939" t="s">
        <v>32</v>
      </c>
      <c r="G939" t="s">
        <v>33</v>
      </c>
      <c r="H939" t="s">
        <v>34</v>
      </c>
      <c r="I939" t="s">
        <v>24</v>
      </c>
      <c r="J939" t="s">
        <v>2766</v>
      </c>
      <c r="L939">
        <v>4.5999999999999996</v>
      </c>
      <c r="M939">
        <v>273000</v>
      </c>
      <c r="N939">
        <v>3.1</v>
      </c>
      <c r="O939">
        <v>14</v>
      </c>
      <c r="P939" t="s">
        <v>26</v>
      </c>
    </row>
    <row r="940" spans="1:16" x14ac:dyDescent="0.25">
      <c r="A940" t="s">
        <v>2767</v>
      </c>
      <c r="B940" t="s">
        <v>1740</v>
      </c>
      <c r="C940" t="s">
        <v>18</v>
      </c>
      <c r="D940" t="s">
        <v>50</v>
      </c>
      <c r="E940" t="s">
        <v>31</v>
      </c>
      <c r="F940" t="s">
        <v>39</v>
      </c>
      <c r="G940" t="s">
        <v>80</v>
      </c>
      <c r="H940" t="s">
        <v>23</v>
      </c>
      <c r="I940" t="s">
        <v>57</v>
      </c>
      <c r="J940" t="s">
        <v>2768</v>
      </c>
      <c r="L940">
        <v>3.8</v>
      </c>
      <c r="M940">
        <v>138000</v>
      </c>
      <c r="N940">
        <v>2.5</v>
      </c>
      <c r="O940">
        <v>12</v>
      </c>
      <c r="P940" t="s">
        <v>26</v>
      </c>
    </row>
    <row r="941" spans="1:16" x14ac:dyDescent="0.25">
      <c r="A941" t="s">
        <v>2769</v>
      </c>
      <c r="B941" t="s">
        <v>2770</v>
      </c>
      <c r="C941" t="s">
        <v>29</v>
      </c>
      <c r="D941" t="s">
        <v>79</v>
      </c>
      <c r="E941" t="s">
        <v>20</v>
      </c>
      <c r="F941" t="s">
        <v>39</v>
      </c>
      <c r="G941" t="s">
        <v>69</v>
      </c>
      <c r="H941" t="s">
        <v>62</v>
      </c>
      <c r="I941" t="s">
        <v>57</v>
      </c>
      <c r="J941" t="s">
        <v>2771</v>
      </c>
      <c r="L941">
        <v>2.6</v>
      </c>
      <c r="M941">
        <v>146000</v>
      </c>
      <c r="N941">
        <v>4.9000000000000004</v>
      </c>
      <c r="O941">
        <v>25</v>
      </c>
      <c r="P941" t="s">
        <v>26</v>
      </c>
    </row>
    <row r="942" spans="1:16" x14ac:dyDescent="0.25">
      <c r="A942" t="s">
        <v>2772</v>
      </c>
      <c r="B942" t="s">
        <v>552</v>
      </c>
      <c r="C942" t="s">
        <v>18</v>
      </c>
      <c r="D942" t="s">
        <v>79</v>
      </c>
      <c r="E942" t="s">
        <v>44</v>
      </c>
      <c r="F942" t="s">
        <v>128</v>
      </c>
      <c r="G942" t="s">
        <v>69</v>
      </c>
      <c r="H942" t="s">
        <v>46</v>
      </c>
      <c r="I942" t="s">
        <v>24</v>
      </c>
      <c r="J942" t="s">
        <v>2154</v>
      </c>
      <c r="L942">
        <v>2.1</v>
      </c>
      <c r="M942">
        <v>397000</v>
      </c>
      <c r="O942">
        <v>3</v>
      </c>
      <c r="P942" t="s">
        <v>26</v>
      </c>
    </row>
    <row r="943" spans="1:16" x14ac:dyDescent="0.25">
      <c r="A943" t="s">
        <v>2773</v>
      </c>
      <c r="B943" t="s">
        <v>2774</v>
      </c>
      <c r="C943" t="s">
        <v>29</v>
      </c>
      <c r="D943" t="s">
        <v>43</v>
      </c>
      <c r="E943" t="s">
        <v>20</v>
      </c>
      <c r="F943" t="s">
        <v>32</v>
      </c>
      <c r="G943" t="s">
        <v>22</v>
      </c>
      <c r="H943" t="s">
        <v>34</v>
      </c>
      <c r="I943" t="s">
        <v>24</v>
      </c>
      <c r="J943" t="s">
        <v>926</v>
      </c>
      <c r="L943">
        <v>3.4</v>
      </c>
      <c r="M943">
        <v>242000</v>
      </c>
      <c r="N943">
        <v>3.3</v>
      </c>
      <c r="O943">
        <v>40</v>
      </c>
      <c r="P943" t="s">
        <v>26</v>
      </c>
    </row>
    <row r="944" spans="1:16" x14ac:dyDescent="0.25">
      <c r="A944" t="s">
        <v>2775</v>
      </c>
      <c r="B944" t="s">
        <v>2776</v>
      </c>
      <c r="C944" t="s">
        <v>29</v>
      </c>
      <c r="D944" t="s">
        <v>50</v>
      </c>
      <c r="E944" t="s">
        <v>31</v>
      </c>
      <c r="F944" t="s">
        <v>39</v>
      </c>
      <c r="G944" t="s">
        <v>22</v>
      </c>
      <c r="H944" t="s">
        <v>46</v>
      </c>
      <c r="I944" t="s">
        <v>57</v>
      </c>
      <c r="J944" t="s">
        <v>2777</v>
      </c>
      <c r="L944">
        <v>3</v>
      </c>
      <c r="M944">
        <v>86000</v>
      </c>
      <c r="N944">
        <v>5</v>
      </c>
      <c r="O944">
        <v>14</v>
      </c>
      <c r="P944" t="s">
        <v>26</v>
      </c>
    </row>
    <row r="945" spans="1:16" x14ac:dyDescent="0.25">
      <c r="A945" t="s">
        <v>2778</v>
      </c>
      <c r="B945" t="s">
        <v>2779</v>
      </c>
      <c r="C945" t="s">
        <v>29</v>
      </c>
      <c r="D945" t="s">
        <v>50</v>
      </c>
      <c r="E945" t="s">
        <v>20</v>
      </c>
      <c r="F945" t="s">
        <v>39</v>
      </c>
      <c r="G945" t="s">
        <v>33</v>
      </c>
      <c r="H945" t="s">
        <v>62</v>
      </c>
      <c r="I945" t="s">
        <v>57</v>
      </c>
      <c r="J945" t="s">
        <v>2499</v>
      </c>
      <c r="L945">
        <v>2.2000000000000002</v>
      </c>
      <c r="M945">
        <v>164000</v>
      </c>
      <c r="N945">
        <v>2</v>
      </c>
      <c r="O945">
        <v>2</v>
      </c>
      <c r="P945" t="s">
        <v>26</v>
      </c>
    </row>
    <row r="946" spans="1:16" x14ac:dyDescent="0.25">
      <c r="A946" t="s">
        <v>2780</v>
      </c>
      <c r="B946" t="s">
        <v>2781</v>
      </c>
      <c r="C946" t="s">
        <v>29</v>
      </c>
      <c r="D946" t="s">
        <v>2782</v>
      </c>
      <c r="E946" t="s">
        <v>31</v>
      </c>
      <c r="F946" t="s">
        <v>128</v>
      </c>
      <c r="G946" t="s">
        <v>22</v>
      </c>
      <c r="H946" t="s">
        <v>62</v>
      </c>
      <c r="I946" t="s">
        <v>24</v>
      </c>
      <c r="J946" t="s">
        <v>2783</v>
      </c>
      <c r="L946">
        <v>5.4</v>
      </c>
      <c r="M946">
        <v>529000</v>
      </c>
      <c r="N946">
        <v>4</v>
      </c>
      <c r="O946">
        <v>13</v>
      </c>
      <c r="P946" t="s">
        <v>26</v>
      </c>
    </row>
    <row r="947" spans="1:16" x14ac:dyDescent="0.25">
      <c r="A947" t="s">
        <v>2784</v>
      </c>
      <c r="B947" t="s">
        <v>2785</v>
      </c>
      <c r="C947" t="s">
        <v>29</v>
      </c>
      <c r="D947" t="s">
        <v>43</v>
      </c>
      <c r="E947" t="s">
        <v>20</v>
      </c>
      <c r="F947" t="s">
        <v>39</v>
      </c>
      <c r="G947" t="s">
        <v>33</v>
      </c>
      <c r="H947" t="s">
        <v>34</v>
      </c>
      <c r="I947" t="s">
        <v>35</v>
      </c>
      <c r="J947" t="s">
        <v>2786</v>
      </c>
      <c r="L947">
        <v>4.8</v>
      </c>
      <c r="M947">
        <v>105000</v>
      </c>
      <c r="N947">
        <v>2.6</v>
      </c>
      <c r="O947">
        <v>14</v>
      </c>
      <c r="P947" t="s">
        <v>26</v>
      </c>
    </row>
    <row r="948" spans="1:16" x14ac:dyDescent="0.25">
      <c r="A948" t="s">
        <v>2787</v>
      </c>
      <c r="B948" t="s">
        <v>2788</v>
      </c>
      <c r="C948" t="s">
        <v>29</v>
      </c>
      <c r="D948" t="s">
        <v>30</v>
      </c>
      <c r="E948" t="s">
        <v>20</v>
      </c>
      <c r="F948" t="s">
        <v>39</v>
      </c>
      <c r="G948" t="s">
        <v>69</v>
      </c>
      <c r="H948" t="s">
        <v>34</v>
      </c>
      <c r="I948" t="s">
        <v>75</v>
      </c>
      <c r="J948" t="s">
        <v>1385</v>
      </c>
      <c r="L948">
        <v>3.6</v>
      </c>
      <c r="M948">
        <v>131000</v>
      </c>
      <c r="O948">
        <v>10</v>
      </c>
      <c r="P948" t="s">
        <v>26</v>
      </c>
    </row>
    <row r="949" spans="1:16" x14ac:dyDescent="0.25">
      <c r="A949" t="s">
        <v>2789</v>
      </c>
      <c r="B949" t="s">
        <v>2790</v>
      </c>
      <c r="C949" t="s">
        <v>18</v>
      </c>
      <c r="D949" t="s">
        <v>30</v>
      </c>
      <c r="E949" t="s">
        <v>44</v>
      </c>
      <c r="F949" t="s">
        <v>32</v>
      </c>
      <c r="G949" t="s">
        <v>22</v>
      </c>
      <c r="H949" t="s">
        <v>62</v>
      </c>
      <c r="I949" t="s">
        <v>75</v>
      </c>
      <c r="J949" t="s">
        <v>533</v>
      </c>
      <c r="L949">
        <v>3.1</v>
      </c>
      <c r="M949">
        <v>267000</v>
      </c>
      <c r="N949">
        <v>3.2</v>
      </c>
      <c r="O949">
        <v>11</v>
      </c>
      <c r="P949" t="s">
        <v>26</v>
      </c>
    </row>
    <row r="950" spans="1:16" x14ac:dyDescent="0.25">
      <c r="A950" t="s">
        <v>2791</v>
      </c>
      <c r="B950" t="s">
        <v>2792</v>
      </c>
      <c r="C950" t="s">
        <v>29</v>
      </c>
      <c r="D950" t="s">
        <v>79</v>
      </c>
      <c r="E950" t="s">
        <v>20</v>
      </c>
      <c r="F950" t="s">
        <v>45</v>
      </c>
      <c r="G950" t="s">
        <v>22</v>
      </c>
      <c r="H950" t="s">
        <v>46</v>
      </c>
      <c r="I950" t="s">
        <v>57</v>
      </c>
      <c r="J950" t="s">
        <v>2016</v>
      </c>
      <c r="K950" t="s">
        <v>511</v>
      </c>
      <c r="L950">
        <v>1.9</v>
      </c>
      <c r="M950">
        <v>1883000</v>
      </c>
      <c r="N950">
        <v>4.5</v>
      </c>
      <c r="O950">
        <v>0</v>
      </c>
      <c r="P950" t="s">
        <v>72</v>
      </c>
    </row>
    <row r="951" spans="1:16" x14ac:dyDescent="0.25">
      <c r="A951" t="s">
        <v>2793</v>
      </c>
      <c r="B951" t="s">
        <v>2794</v>
      </c>
      <c r="D951" t="s">
        <v>50</v>
      </c>
      <c r="E951" t="s">
        <v>20</v>
      </c>
      <c r="F951" t="s">
        <v>128</v>
      </c>
      <c r="G951" t="s">
        <v>22</v>
      </c>
      <c r="H951" t="s">
        <v>46</v>
      </c>
      <c r="I951" t="s">
        <v>24</v>
      </c>
      <c r="J951" t="s">
        <v>2795</v>
      </c>
      <c r="L951">
        <v>3.9</v>
      </c>
      <c r="M951">
        <v>460000</v>
      </c>
      <c r="N951">
        <v>2.2000000000000002</v>
      </c>
      <c r="O951">
        <v>3</v>
      </c>
      <c r="P951" t="s">
        <v>26</v>
      </c>
    </row>
    <row r="952" spans="1:16" x14ac:dyDescent="0.25">
      <c r="A952" t="s">
        <v>2796</v>
      </c>
      <c r="B952" t="s">
        <v>822</v>
      </c>
      <c r="C952" t="s">
        <v>18</v>
      </c>
      <c r="D952" t="s">
        <v>50</v>
      </c>
      <c r="E952" t="s">
        <v>44</v>
      </c>
      <c r="F952" t="s">
        <v>32</v>
      </c>
      <c r="G952" t="s">
        <v>80</v>
      </c>
      <c r="H952" t="s">
        <v>23</v>
      </c>
      <c r="I952" t="s">
        <v>57</v>
      </c>
      <c r="J952" t="s">
        <v>2797</v>
      </c>
      <c r="L952">
        <v>3.2</v>
      </c>
      <c r="M952">
        <v>318000</v>
      </c>
      <c r="N952">
        <v>2.7</v>
      </c>
      <c r="O952">
        <v>6</v>
      </c>
      <c r="P952" t="s">
        <v>26</v>
      </c>
    </row>
    <row r="953" spans="1:16" x14ac:dyDescent="0.25">
      <c r="A953" t="s">
        <v>2798</v>
      </c>
      <c r="B953" t="s">
        <v>1524</v>
      </c>
      <c r="C953" t="s">
        <v>18</v>
      </c>
      <c r="D953" t="s">
        <v>43</v>
      </c>
      <c r="E953" t="s">
        <v>20</v>
      </c>
      <c r="F953" t="s">
        <v>32</v>
      </c>
      <c r="G953" t="s">
        <v>22</v>
      </c>
      <c r="I953" t="s">
        <v>24</v>
      </c>
      <c r="J953" t="s">
        <v>2799</v>
      </c>
      <c r="L953">
        <v>2.9</v>
      </c>
      <c r="M953">
        <v>220000</v>
      </c>
      <c r="N953">
        <v>4.8</v>
      </c>
      <c r="O953">
        <v>9</v>
      </c>
      <c r="P953" t="s">
        <v>26</v>
      </c>
    </row>
    <row r="954" spans="1:16" x14ac:dyDescent="0.25">
      <c r="A954" t="s">
        <v>2800</v>
      </c>
      <c r="B954" t="s">
        <v>2801</v>
      </c>
      <c r="C954" t="s">
        <v>18</v>
      </c>
      <c r="D954" t="s">
        <v>50</v>
      </c>
      <c r="E954" t="s">
        <v>20</v>
      </c>
      <c r="F954" t="s">
        <v>32</v>
      </c>
      <c r="G954" t="s">
        <v>22</v>
      </c>
      <c r="H954" t="s">
        <v>62</v>
      </c>
      <c r="I954" t="s">
        <v>35</v>
      </c>
      <c r="J954" t="s">
        <v>2802</v>
      </c>
      <c r="K954" t="s">
        <v>1875</v>
      </c>
      <c r="L954">
        <v>6.2</v>
      </c>
      <c r="M954">
        <v>189000</v>
      </c>
      <c r="N954">
        <v>4.4000000000000004</v>
      </c>
      <c r="O954">
        <v>8</v>
      </c>
      <c r="P954" t="s">
        <v>72</v>
      </c>
    </row>
    <row r="955" spans="1:16" x14ac:dyDescent="0.25">
      <c r="A955" t="s">
        <v>2803</v>
      </c>
      <c r="B955" t="s">
        <v>2804</v>
      </c>
      <c r="C955" t="s">
        <v>29</v>
      </c>
      <c r="D955" t="s">
        <v>50</v>
      </c>
      <c r="E955" t="s">
        <v>20</v>
      </c>
      <c r="F955" t="s">
        <v>32</v>
      </c>
      <c r="G955" t="s">
        <v>33</v>
      </c>
      <c r="H955" t="s">
        <v>23</v>
      </c>
      <c r="I955" t="s">
        <v>57</v>
      </c>
      <c r="J955" t="s">
        <v>1759</v>
      </c>
      <c r="L955">
        <v>5.9</v>
      </c>
      <c r="M955">
        <v>195000</v>
      </c>
      <c r="N955">
        <v>2.5</v>
      </c>
      <c r="O955">
        <v>37</v>
      </c>
      <c r="P955" t="s">
        <v>26</v>
      </c>
    </row>
    <row r="956" spans="1:16" x14ac:dyDescent="0.25">
      <c r="A956" t="s">
        <v>2805</v>
      </c>
      <c r="B956" t="s">
        <v>2806</v>
      </c>
      <c r="C956" t="s">
        <v>29</v>
      </c>
      <c r="D956" t="s">
        <v>50</v>
      </c>
      <c r="E956" t="s">
        <v>20</v>
      </c>
      <c r="F956" t="s">
        <v>32</v>
      </c>
      <c r="G956" t="s">
        <v>22</v>
      </c>
      <c r="H956" t="s">
        <v>23</v>
      </c>
      <c r="I956" t="s">
        <v>24</v>
      </c>
      <c r="J956" t="s">
        <v>2385</v>
      </c>
      <c r="K956" t="s">
        <v>2807</v>
      </c>
      <c r="L956">
        <v>1.6</v>
      </c>
      <c r="M956">
        <v>309000</v>
      </c>
      <c r="N956">
        <v>2.1</v>
      </c>
      <c r="O956">
        <v>12</v>
      </c>
      <c r="P956" t="s">
        <v>53</v>
      </c>
    </row>
    <row r="957" spans="1:16" x14ac:dyDescent="0.25">
      <c r="A957" t="s">
        <v>2808</v>
      </c>
      <c r="B957" t="s">
        <v>802</v>
      </c>
      <c r="C957" t="s">
        <v>29</v>
      </c>
      <c r="D957" t="s">
        <v>50</v>
      </c>
      <c r="E957" t="s">
        <v>20</v>
      </c>
      <c r="F957" t="s">
        <v>21</v>
      </c>
      <c r="G957" t="s">
        <v>33</v>
      </c>
      <c r="H957" t="s">
        <v>46</v>
      </c>
      <c r="I957" t="s">
        <v>35</v>
      </c>
      <c r="J957" t="s">
        <v>2809</v>
      </c>
      <c r="K957" t="s">
        <v>2810</v>
      </c>
      <c r="L957">
        <v>1.8</v>
      </c>
      <c r="M957">
        <v>778000</v>
      </c>
      <c r="N957">
        <v>4.5999999999999996</v>
      </c>
      <c r="O957">
        <v>4</v>
      </c>
      <c r="P957" t="s">
        <v>53</v>
      </c>
    </row>
    <row r="958" spans="1:16" x14ac:dyDescent="0.25">
      <c r="A958" t="s">
        <v>2811</v>
      </c>
      <c r="B958" t="s">
        <v>2812</v>
      </c>
      <c r="C958" t="s">
        <v>18</v>
      </c>
      <c r="D958" t="s">
        <v>30</v>
      </c>
      <c r="E958" t="s">
        <v>20</v>
      </c>
      <c r="F958" t="s">
        <v>128</v>
      </c>
      <c r="G958" t="s">
        <v>80</v>
      </c>
      <c r="H958" t="s">
        <v>46</v>
      </c>
      <c r="I958" t="s">
        <v>24</v>
      </c>
      <c r="J958" t="s">
        <v>2813</v>
      </c>
      <c r="L958">
        <v>5</v>
      </c>
      <c r="M958">
        <v>484000</v>
      </c>
      <c r="N958">
        <v>3.1</v>
      </c>
      <c r="O958">
        <v>9</v>
      </c>
      <c r="P958" t="s">
        <v>26</v>
      </c>
    </row>
    <row r="959" spans="1:16" x14ac:dyDescent="0.25">
      <c r="A959" t="s">
        <v>2814</v>
      </c>
      <c r="B959" t="s">
        <v>2815</v>
      </c>
      <c r="C959" t="s">
        <v>29</v>
      </c>
      <c r="D959" t="s">
        <v>79</v>
      </c>
      <c r="E959" t="s">
        <v>20</v>
      </c>
      <c r="F959" t="s">
        <v>21</v>
      </c>
      <c r="G959" t="s">
        <v>69</v>
      </c>
      <c r="H959" t="s">
        <v>34</v>
      </c>
      <c r="I959" t="s">
        <v>35</v>
      </c>
      <c r="J959" t="s">
        <v>2816</v>
      </c>
      <c r="L959">
        <v>5.8</v>
      </c>
      <c r="M959">
        <v>846000</v>
      </c>
      <c r="N959">
        <v>3.2</v>
      </c>
      <c r="O959">
        <v>11</v>
      </c>
      <c r="P959" t="s">
        <v>26</v>
      </c>
    </row>
    <row r="960" spans="1:16" x14ac:dyDescent="0.25">
      <c r="A960" t="s">
        <v>2817</v>
      </c>
      <c r="B960" t="s">
        <v>2818</v>
      </c>
      <c r="C960" t="s">
        <v>29</v>
      </c>
      <c r="E960" t="s">
        <v>20</v>
      </c>
      <c r="F960" t="s">
        <v>32</v>
      </c>
      <c r="G960" t="s">
        <v>22</v>
      </c>
      <c r="H960" t="s">
        <v>34</v>
      </c>
      <c r="I960" t="s">
        <v>24</v>
      </c>
      <c r="J960" t="s">
        <v>2819</v>
      </c>
      <c r="L960">
        <v>5.7</v>
      </c>
      <c r="M960">
        <v>281000</v>
      </c>
      <c r="N960">
        <v>4.5999999999999996</v>
      </c>
      <c r="P960" t="s">
        <v>26</v>
      </c>
    </row>
    <row r="961" spans="1:16" x14ac:dyDescent="0.25">
      <c r="A961" t="s">
        <v>2820</v>
      </c>
      <c r="B961" t="s">
        <v>2821</v>
      </c>
      <c r="C961" t="s">
        <v>29</v>
      </c>
      <c r="D961" t="s">
        <v>19</v>
      </c>
      <c r="E961" t="s">
        <v>31</v>
      </c>
      <c r="F961" t="s">
        <v>128</v>
      </c>
      <c r="G961" t="s">
        <v>22</v>
      </c>
      <c r="H961" t="s">
        <v>23</v>
      </c>
      <c r="I961" t="s">
        <v>57</v>
      </c>
      <c r="J961" t="s">
        <v>2822</v>
      </c>
      <c r="K961" t="s">
        <v>2213</v>
      </c>
      <c r="L961">
        <v>3</v>
      </c>
      <c r="M961">
        <v>459000</v>
      </c>
      <c r="N961">
        <v>4</v>
      </c>
      <c r="O961">
        <v>12</v>
      </c>
      <c r="P961" t="s">
        <v>53</v>
      </c>
    </row>
    <row r="962" spans="1:16" x14ac:dyDescent="0.25">
      <c r="A962" t="s">
        <v>2823</v>
      </c>
      <c r="B962" t="s">
        <v>2824</v>
      </c>
      <c r="C962" t="s">
        <v>18</v>
      </c>
      <c r="D962" t="s">
        <v>43</v>
      </c>
      <c r="E962" t="s">
        <v>20</v>
      </c>
      <c r="F962" t="s">
        <v>21</v>
      </c>
      <c r="G962" t="s">
        <v>80</v>
      </c>
      <c r="H962" t="s">
        <v>46</v>
      </c>
      <c r="I962" t="s">
        <v>57</v>
      </c>
      <c r="J962" t="s">
        <v>348</v>
      </c>
      <c r="L962">
        <v>4.9000000000000004</v>
      </c>
      <c r="M962">
        <v>600000</v>
      </c>
      <c r="N962">
        <v>4.4000000000000004</v>
      </c>
      <c r="O962">
        <v>9</v>
      </c>
      <c r="P962" t="s">
        <v>26</v>
      </c>
    </row>
    <row r="963" spans="1:16" x14ac:dyDescent="0.25">
      <c r="A963" t="s">
        <v>2825</v>
      </c>
      <c r="B963" t="s">
        <v>2826</v>
      </c>
      <c r="C963" t="s">
        <v>18</v>
      </c>
      <c r="D963" t="s">
        <v>50</v>
      </c>
      <c r="E963" t="s">
        <v>31</v>
      </c>
      <c r="G963" t="s">
        <v>22</v>
      </c>
      <c r="H963" t="s">
        <v>34</v>
      </c>
      <c r="I963" t="s">
        <v>24</v>
      </c>
      <c r="J963" t="s">
        <v>2827</v>
      </c>
      <c r="L963">
        <v>5.5</v>
      </c>
      <c r="M963">
        <v>348000</v>
      </c>
      <c r="N963">
        <v>3.3</v>
      </c>
      <c r="O963">
        <v>13</v>
      </c>
      <c r="P963" t="s">
        <v>26</v>
      </c>
    </row>
    <row r="964" spans="1:16" x14ac:dyDescent="0.25">
      <c r="A964" t="s">
        <v>2828</v>
      </c>
      <c r="B964" t="s">
        <v>2829</v>
      </c>
      <c r="C964" t="s">
        <v>29</v>
      </c>
      <c r="D964" t="s">
        <v>50</v>
      </c>
      <c r="E964" t="s">
        <v>20</v>
      </c>
      <c r="F964" t="s">
        <v>39</v>
      </c>
      <c r="G964" t="s">
        <v>80</v>
      </c>
      <c r="H964" t="s">
        <v>34</v>
      </c>
      <c r="I964" t="s">
        <v>57</v>
      </c>
      <c r="J964" t="s">
        <v>2771</v>
      </c>
      <c r="L964">
        <v>2.6</v>
      </c>
      <c r="M964">
        <v>176000</v>
      </c>
      <c r="N964">
        <v>3.4</v>
      </c>
      <c r="O964">
        <v>10</v>
      </c>
      <c r="P964" t="s">
        <v>26</v>
      </c>
    </row>
    <row r="965" spans="1:16" x14ac:dyDescent="0.25">
      <c r="A965" t="s">
        <v>2830</v>
      </c>
      <c r="B965" t="s">
        <v>195</v>
      </c>
      <c r="C965" t="s">
        <v>18</v>
      </c>
      <c r="D965" t="s">
        <v>43</v>
      </c>
      <c r="F965" t="s">
        <v>45</v>
      </c>
      <c r="G965" t="s">
        <v>33</v>
      </c>
      <c r="H965" t="s">
        <v>23</v>
      </c>
      <c r="I965" t="s">
        <v>24</v>
      </c>
      <c r="J965" t="s">
        <v>2831</v>
      </c>
      <c r="K965" t="s">
        <v>2832</v>
      </c>
      <c r="L965">
        <v>3</v>
      </c>
      <c r="M965">
        <v>1474000</v>
      </c>
      <c r="O965">
        <v>3</v>
      </c>
      <c r="P965" t="s">
        <v>72</v>
      </c>
    </row>
    <row r="966" spans="1:16" x14ac:dyDescent="0.25">
      <c r="A966" t="s">
        <v>2833</v>
      </c>
      <c r="B966" t="s">
        <v>2599</v>
      </c>
      <c r="C966" t="s">
        <v>18</v>
      </c>
      <c r="D966" t="s">
        <v>50</v>
      </c>
      <c r="E966" t="s">
        <v>20</v>
      </c>
      <c r="F966" t="s">
        <v>32</v>
      </c>
      <c r="G966" t="s">
        <v>33</v>
      </c>
      <c r="H966" t="s">
        <v>46</v>
      </c>
      <c r="I966" t="s">
        <v>24</v>
      </c>
      <c r="J966" t="s">
        <v>2834</v>
      </c>
      <c r="L966">
        <v>1.3</v>
      </c>
      <c r="M966">
        <v>302000</v>
      </c>
      <c r="N966">
        <v>3.2</v>
      </c>
      <c r="O966">
        <v>6</v>
      </c>
      <c r="P966" t="s">
        <v>26</v>
      </c>
    </row>
    <row r="967" spans="1:16" x14ac:dyDescent="0.25">
      <c r="A967" t="s">
        <v>2835</v>
      </c>
      <c r="B967" t="s">
        <v>2836</v>
      </c>
      <c r="C967" t="s">
        <v>29</v>
      </c>
      <c r="D967" t="s">
        <v>30</v>
      </c>
      <c r="E967" t="s">
        <v>44</v>
      </c>
      <c r="F967" t="s">
        <v>32</v>
      </c>
      <c r="G967" t="s">
        <v>22</v>
      </c>
      <c r="H967" t="s">
        <v>34</v>
      </c>
      <c r="I967" t="s">
        <v>24</v>
      </c>
      <c r="J967" t="s">
        <v>1423</v>
      </c>
      <c r="K967" t="s">
        <v>2837</v>
      </c>
      <c r="L967">
        <v>4.3</v>
      </c>
      <c r="M967">
        <v>295000</v>
      </c>
      <c r="N967">
        <v>2.4</v>
      </c>
      <c r="O967">
        <v>9</v>
      </c>
      <c r="P967" t="s">
        <v>53</v>
      </c>
    </row>
    <row r="968" spans="1:16" x14ac:dyDescent="0.25">
      <c r="A968" t="s">
        <v>2838</v>
      </c>
      <c r="B968" t="s">
        <v>1156</v>
      </c>
      <c r="C968" t="s">
        <v>29</v>
      </c>
      <c r="D968" t="s">
        <v>43</v>
      </c>
      <c r="E968" t="s">
        <v>44</v>
      </c>
      <c r="F968" t="s">
        <v>128</v>
      </c>
      <c r="G968" t="s">
        <v>33</v>
      </c>
      <c r="H968" t="s">
        <v>23</v>
      </c>
      <c r="I968" t="s">
        <v>57</v>
      </c>
      <c r="J968" t="s">
        <v>351</v>
      </c>
      <c r="L968">
        <v>5.4</v>
      </c>
      <c r="N968">
        <v>3.2</v>
      </c>
      <c r="O968">
        <v>12</v>
      </c>
      <c r="P968" t="s">
        <v>26</v>
      </c>
    </row>
    <row r="969" spans="1:16" x14ac:dyDescent="0.25">
      <c r="A969" t="s">
        <v>2839</v>
      </c>
      <c r="B969" t="s">
        <v>2840</v>
      </c>
      <c r="C969" t="s">
        <v>29</v>
      </c>
      <c r="D969" t="s">
        <v>79</v>
      </c>
      <c r="E969" t="s">
        <v>44</v>
      </c>
      <c r="F969" t="s">
        <v>39</v>
      </c>
      <c r="G969" t="s">
        <v>69</v>
      </c>
      <c r="H969" t="s">
        <v>23</v>
      </c>
      <c r="I969" t="s">
        <v>24</v>
      </c>
      <c r="J969" t="s">
        <v>1827</v>
      </c>
      <c r="K969" t="s">
        <v>1735</v>
      </c>
      <c r="L969">
        <v>3.5</v>
      </c>
      <c r="M969">
        <v>136000</v>
      </c>
      <c r="N969">
        <v>4.5</v>
      </c>
      <c r="O969">
        <v>9</v>
      </c>
      <c r="P969" t="s">
        <v>53</v>
      </c>
    </row>
    <row r="970" spans="1:16" x14ac:dyDescent="0.25">
      <c r="A970" t="s">
        <v>2841</v>
      </c>
      <c r="B970" t="s">
        <v>2842</v>
      </c>
      <c r="C970" t="s">
        <v>29</v>
      </c>
      <c r="D970" t="s">
        <v>19</v>
      </c>
      <c r="E970" t="s">
        <v>31</v>
      </c>
      <c r="F970" t="s">
        <v>32</v>
      </c>
      <c r="G970" t="s">
        <v>80</v>
      </c>
      <c r="H970" t="s">
        <v>46</v>
      </c>
      <c r="I970" t="s">
        <v>24</v>
      </c>
      <c r="J970" t="s">
        <v>2843</v>
      </c>
      <c r="K970" t="s">
        <v>1237</v>
      </c>
      <c r="L970">
        <v>2.9</v>
      </c>
      <c r="M970">
        <v>245000</v>
      </c>
      <c r="N970">
        <v>3.4</v>
      </c>
      <c r="O970">
        <v>8</v>
      </c>
      <c r="P970" t="s">
        <v>53</v>
      </c>
    </row>
    <row r="971" spans="1:16" x14ac:dyDescent="0.25">
      <c r="A971" t="s">
        <v>2844</v>
      </c>
      <c r="B971" t="s">
        <v>2845</v>
      </c>
      <c r="C971" t="s">
        <v>29</v>
      </c>
      <c r="D971" t="s">
        <v>30</v>
      </c>
      <c r="E971" t="s">
        <v>20</v>
      </c>
      <c r="F971" t="s">
        <v>128</v>
      </c>
      <c r="G971" t="s">
        <v>69</v>
      </c>
      <c r="H971" t="s">
        <v>46</v>
      </c>
      <c r="I971" t="s">
        <v>171</v>
      </c>
      <c r="J971" t="s">
        <v>2261</v>
      </c>
      <c r="L971">
        <v>5.7</v>
      </c>
      <c r="M971">
        <v>558000</v>
      </c>
      <c r="N971">
        <v>4.4000000000000004</v>
      </c>
      <c r="O971">
        <v>7</v>
      </c>
      <c r="P971" t="s">
        <v>26</v>
      </c>
    </row>
    <row r="972" spans="1:16" x14ac:dyDescent="0.25">
      <c r="A972" t="s">
        <v>2846</v>
      </c>
      <c r="B972" t="s">
        <v>2159</v>
      </c>
      <c r="C972" t="s">
        <v>18</v>
      </c>
      <c r="D972" t="s">
        <v>30</v>
      </c>
      <c r="E972" t="s">
        <v>44</v>
      </c>
      <c r="F972" t="s">
        <v>39</v>
      </c>
      <c r="G972" t="s">
        <v>22</v>
      </c>
      <c r="H972" t="s">
        <v>34</v>
      </c>
      <c r="I972" t="s">
        <v>57</v>
      </c>
      <c r="J972" t="s">
        <v>1477</v>
      </c>
      <c r="L972">
        <v>5.6</v>
      </c>
      <c r="M972">
        <v>124000</v>
      </c>
      <c r="N972">
        <v>2.5</v>
      </c>
      <c r="O972">
        <v>11</v>
      </c>
      <c r="P972" t="s">
        <v>26</v>
      </c>
    </row>
    <row r="973" spans="1:16" x14ac:dyDescent="0.25">
      <c r="A973" t="s">
        <v>2847</v>
      </c>
      <c r="B973" t="s">
        <v>2501</v>
      </c>
      <c r="C973" t="s">
        <v>29</v>
      </c>
      <c r="D973" t="s">
        <v>30</v>
      </c>
      <c r="F973" t="s">
        <v>32</v>
      </c>
      <c r="G973" t="s">
        <v>69</v>
      </c>
      <c r="H973" t="s">
        <v>23</v>
      </c>
      <c r="I973" t="s">
        <v>24</v>
      </c>
      <c r="J973" t="s">
        <v>81</v>
      </c>
      <c r="L973">
        <v>6.1</v>
      </c>
      <c r="M973">
        <v>189000</v>
      </c>
      <c r="N973">
        <v>1.5</v>
      </c>
      <c r="O973">
        <v>0</v>
      </c>
      <c r="P973" t="s">
        <v>26</v>
      </c>
    </row>
    <row r="974" spans="1:16" x14ac:dyDescent="0.25">
      <c r="A974" t="s">
        <v>2848</v>
      </c>
      <c r="B974" t="s">
        <v>2849</v>
      </c>
      <c r="C974" t="s">
        <v>29</v>
      </c>
      <c r="D974" t="s">
        <v>50</v>
      </c>
      <c r="E974" t="s">
        <v>20</v>
      </c>
      <c r="F974" t="s">
        <v>32</v>
      </c>
      <c r="G974" t="s">
        <v>22</v>
      </c>
      <c r="H974" t="s">
        <v>34</v>
      </c>
      <c r="I974" t="s">
        <v>171</v>
      </c>
      <c r="J974" t="s">
        <v>2204</v>
      </c>
      <c r="K974" t="s">
        <v>2850</v>
      </c>
      <c r="L974">
        <v>5.8</v>
      </c>
      <c r="M974">
        <v>349000</v>
      </c>
      <c r="N974">
        <v>4.3</v>
      </c>
      <c r="O974">
        <v>28</v>
      </c>
      <c r="P974" t="s">
        <v>53</v>
      </c>
    </row>
    <row r="975" spans="1:16" x14ac:dyDescent="0.25">
      <c r="A975" t="s">
        <v>2851</v>
      </c>
      <c r="B975" t="s">
        <v>2852</v>
      </c>
      <c r="C975" t="s">
        <v>18</v>
      </c>
      <c r="D975" t="s">
        <v>30</v>
      </c>
      <c r="E975" t="s">
        <v>31</v>
      </c>
      <c r="F975" t="s">
        <v>128</v>
      </c>
      <c r="G975" t="s">
        <v>80</v>
      </c>
      <c r="H975" t="s">
        <v>34</v>
      </c>
      <c r="I975" t="s">
        <v>24</v>
      </c>
      <c r="J975" t="s">
        <v>2853</v>
      </c>
      <c r="L975">
        <v>1.9</v>
      </c>
      <c r="M975">
        <v>495000</v>
      </c>
      <c r="N975">
        <v>3.2</v>
      </c>
      <c r="O975">
        <v>13</v>
      </c>
      <c r="P975" t="s">
        <v>26</v>
      </c>
    </row>
    <row r="976" spans="1:16" x14ac:dyDescent="0.25">
      <c r="A976" t="s">
        <v>2854</v>
      </c>
      <c r="B976" t="s">
        <v>2855</v>
      </c>
      <c r="C976" t="s">
        <v>18</v>
      </c>
      <c r="D976" t="s">
        <v>79</v>
      </c>
      <c r="E976" t="s">
        <v>20</v>
      </c>
      <c r="F976" t="s">
        <v>32</v>
      </c>
      <c r="G976" t="s">
        <v>22</v>
      </c>
      <c r="H976" t="s">
        <v>23</v>
      </c>
      <c r="I976" t="s">
        <v>57</v>
      </c>
      <c r="J976" t="s">
        <v>2856</v>
      </c>
      <c r="L976">
        <v>5.6</v>
      </c>
      <c r="M976">
        <v>268000</v>
      </c>
      <c r="N976">
        <v>4.9000000000000004</v>
      </c>
      <c r="O976">
        <v>1</v>
      </c>
      <c r="P976" t="s">
        <v>26</v>
      </c>
    </row>
    <row r="977" spans="1:16" x14ac:dyDescent="0.25">
      <c r="A977" t="s">
        <v>2857</v>
      </c>
      <c r="B977" t="s">
        <v>2858</v>
      </c>
      <c r="C977" t="s">
        <v>29</v>
      </c>
      <c r="D977" t="s">
        <v>19</v>
      </c>
      <c r="E977" t="s">
        <v>20</v>
      </c>
      <c r="F977" t="s">
        <v>39</v>
      </c>
      <c r="G977" t="s">
        <v>22</v>
      </c>
      <c r="H977" t="s">
        <v>46</v>
      </c>
      <c r="I977" t="s">
        <v>57</v>
      </c>
      <c r="J977" t="s">
        <v>1596</v>
      </c>
      <c r="L977">
        <v>4.3</v>
      </c>
      <c r="M977">
        <v>165000</v>
      </c>
      <c r="N977">
        <v>2.7</v>
      </c>
      <c r="O977">
        <v>6</v>
      </c>
      <c r="P977" t="s">
        <v>26</v>
      </c>
    </row>
    <row r="978" spans="1:16" x14ac:dyDescent="0.25">
      <c r="A978" t="s">
        <v>2859</v>
      </c>
      <c r="B978" t="s">
        <v>1899</v>
      </c>
      <c r="C978" t="s">
        <v>29</v>
      </c>
      <c r="D978" t="s">
        <v>43</v>
      </c>
      <c r="E978" t="s">
        <v>31</v>
      </c>
      <c r="F978" t="s">
        <v>128</v>
      </c>
      <c r="G978" t="s">
        <v>80</v>
      </c>
      <c r="H978" t="s">
        <v>23</v>
      </c>
      <c r="I978" t="s">
        <v>24</v>
      </c>
      <c r="J978" t="s">
        <v>2860</v>
      </c>
      <c r="L978">
        <v>4.2</v>
      </c>
      <c r="M978">
        <v>404000</v>
      </c>
      <c r="N978">
        <v>3</v>
      </c>
      <c r="O978">
        <v>3</v>
      </c>
      <c r="P978" t="s">
        <v>26</v>
      </c>
    </row>
    <row r="979" spans="1:16" x14ac:dyDescent="0.25">
      <c r="A979" t="s">
        <v>2861</v>
      </c>
      <c r="B979" t="s">
        <v>2862</v>
      </c>
      <c r="D979" t="s">
        <v>79</v>
      </c>
      <c r="E979" t="s">
        <v>20</v>
      </c>
      <c r="F979" t="s">
        <v>128</v>
      </c>
      <c r="G979" t="s">
        <v>22</v>
      </c>
      <c r="I979" t="s">
        <v>24</v>
      </c>
      <c r="J979" t="s">
        <v>2863</v>
      </c>
      <c r="K979" t="s">
        <v>1665</v>
      </c>
      <c r="L979">
        <v>5.8</v>
      </c>
      <c r="M979">
        <v>459000</v>
      </c>
      <c r="N979">
        <v>3.3</v>
      </c>
      <c r="O979">
        <v>14</v>
      </c>
      <c r="P979" t="s">
        <v>114</v>
      </c>
    </row>
    <row r="980" spans="1:16" x14ac:dyDescent="0.25">
      <c r="A980" t="s">
        <v>2864</v>
      </c>
      <c r="B980" t="s">
        <v>2515</v>
      </c>
      <c r="C980" t="s">
        <v>18</v>
      </c>
      <c r="D980" t="s">
        <v>43</v>
      </c>
      <c r="E980" t="s">
        <v>20</v>
      </c>
      <c r="F980" t="s">
        <v>45</v>
      </c>
      <c r="G980" t="s">
        <v>33</v>
      </c>
      <c r="H980" t="s">
        <v>46</v>
      </c>
      <c r="I980" t="s">
        <v>57</v>
      </c>
      <c r="J980" t="s">
        <v>438</v>
      </c>
      <c r="L980">
        <v>5.9</v>
      </c>
      <c r="M980">
        <v>1200000</v>
      </c>
      <c r="N980">
        <v>4.0999999999999996</v>
      </c>
      <c r="O980">
        <v>10</v>
      </c>
      <c r="P980" t="s">
        <v>26</v>
      </c>
    </row>
    <row r="981" spans="1:16" x14ac:dyDescent="0.25">
      <c r="A981" t="s">
        <v>2865</v>
      </c>
      <c r="B981" t="s">
        <v>1090</v>
      </c>
      <c r="C981" t="s">
        <v>29</v>
      </c>
      <c r="D981" t="s">
        <v>19</v>
      </c>
      <c r="E981" t="s">
        <v>20</v>
      </c>
      <c r="F981" t="s">
        <v>32</v>
      </c>
      <c r="G981" t="s">
        <v>22</v>
      </c>
      <c r="H981" t="s">
        <v>23</v>
      </c>
      <c r="I981" t="s">
        <v>24</v>
      </c>
      <c r="J981" t="s">
        <v>2866</v>
      </c>
      <c r="K981" t="s">
        <v>2867</v>
      </c>
      <c r="L981">
        <v>4.8</v>
      </c>
      <c r="M981">
        <v>385000</v>
      </c>
      <c r="O981">
        <v>40</v>
      </c>
      <c r="P981" t="s">
        <v>53</v>
      </c>
    </row>
    <row r="982" spans="1:16" x14ac:dyDescent="0.25">
      <c r="A982" t="s">
        <v>2868</v>
      </c>
      <c r="B982" t="s">
        <v>2869</v>
      </c>
      <c r="C982" t="s">
        <v>18</v>
      </c>
      <c r="D982" t="s">
        <v>50</v>
      </c>
      <c r="E982" t="s">
        <v>44</v>
      </c>
      <c r="F982" t="s">
        <v>32</v>
      </c>
      <c r="G982" t="s">
        <v>22</v>
      </c>
      <c r="H982" t="s">
        <v>62</v>
      </c>
      <c r="I982" t="s">
        <v>75</v>
      </c>
      <c r="J982" t="s">
        <v>2870</v>
      </c>
      <c r="K982" t="s">
        <v>2871</v>
      </c>
      <c r="L982">
        <v>3.2</v>
      </c>
      <c r="M982">
        <v>253000</v>
      </c>
      <c r="N982">
        <v>3.5</v>
      </c>
      <c r="P982" t="s">
        <v>72</v>
      </c>
    </row>
    <row r="983" spans="1:16" x14ac:dyDescent="0.25">
      <c r="A983" t="s">
        <v>2872</v>
      </c>
      <c r="B983" t="s">
        <v>2873</v>
      </c>
      <c r="C983" t="s">
        <v>18</v>
      </c>
      <c r="D983" t="s">
        <v>43</v>
      </c>
      <c r="E983" t="s">
        <v>20</v>
      </c>
      <c r="F983" t="s">
        <v>39</v>
      </c>
      <c r="G983" t="s">
        <v>80</v>
      </c>
      <c r="H983" t="s">
        <v>46</v>
      </c>
      <c r="I983" t="s">
        <v>35</v>
      </c>
      <c r="J983" t="s">
        <v>761</v>
      </c>
      <c r="L983">
        <v>1.3</v>
      </c>
      <c r="M983">
        <v>85000</v>
      </c>
      <c r="N983">
        <v>2.5</v>
      </c>
      <c r="O983">
        <v>0</v>
      </c>
      <c r="P983" t="s">
        <v>26</v>
      </c>
    </row>
    <row r="984" spans="1:16" x14ac:dyDescent="0.25">
      <c r="A984" t="s">
        <v>2874</v>
      </c>
      <c r="B984" t="s">
        <v>2875</v>
      </c>
      <c r="C984" t="s">
        <v>18</v>
      </c>
      <c r="D984" t="s">
        <v>43</v>
      </c>
      <c r="E984" t="s">
        <v>31</v>
      </c>
      <c r="F984" t="s">
        <v>21</v>
      </c>
      <c r="G984" t="s">
        <v>22</v>
      </c>
      <c r="H984" t="s">
        <v>34</v>
      </c>
      <c r="I984" t="s">
        <v>24</v>
      </c>
      <c r="J984" t="s">
        <v>2119</v>
      </c>
      <c r="K984" t="s">
        <v>1684</v>
      </c>
      <c r="L984">
        <v>1.6</v>
      </c>
      <c r="M984">
        <v>648000</v>
      </c>
      <c r="N984">
        <v>3.9</v>
      </c>
      <c r="O984">
        <v>1</v>
      </c>
      <c r="P984" t="s">
        <v>53</v>
      </c>
    </row>
    <row r="985" spans="1:16" x14ac:dyDescent="0.25">
      <c r="A985" t="s">
        <v>2876</v>
      </c>
      <c r="B985" t="s">
        <v>2877</v>
      </c>
      <c r="C985" t="s">
        <v>18</v>
      </c>
      <c r="D985" t="s">
        <v>79</v>
      </c>
      <c r="E985" t="s">
        <v>31</v>
      </c>
      <c r="F985" t="s">
        <v>21</v>
      </c>
      <c r="G985" t="s">
        <v>22</v>
      </c>
      <c r="H985" t="s">
        <v>23</v>
      </c>
      <c r="I985" t="s">
        <v>24</v>
      </c>
      <c r="J985" t="s">
        <v>2878</v>
      </c>
      <c r="K985" t="s">
        <v>2879</v>
      </c>
      <c r="L985">
        <v>6</v>
      </c>
      <c r="M985">
        <v>730000</v>
      </c>
      <c r="N985">
        <v>3.6</v>
      </c>
      <c r="O985">
        <v>8</v>
      </c>
      <c r="P985" t="s">
        <v>53</v>
      </c>
    </row>
    <row r="986" spans="1:16" x14ac:dyDescent="0.25">
      <c r="A986" t="s">
        <v>2880</v>
      </c>
      <c r="B986" t="s">
        <v>2881</v>
      </c>
      <c r="C986" t="s">
        <v>29</v>
      </c>
      <c r="D986" t="s">
        <v>50</v>
      </c>
      <c r="E986" t="s">
        <v>31</v>
      </c>
      <c r="G986" t="s">
        <v>22</v>
      </c>
      <c r="H986" t="s">
        <v>23</v>
      </c>
      <c r="I986" t="s">
        <v>24</v>
      </c>
      <c r="J986" t="s">
        <v>1193</v>
      </c>
      <c r="L986">
        <v>3.7</v>
      </c>
      <c r="M986">
        <v>127000</v>
      </c>
      <c r="N986">
        <v>4.4000000000000004</v>
      </c>
      <c r="O986">
        <v>12</v>
      </c>
      <c r="P986" t="s">
        <v>26</v>
      </c>
    </row>
    <row r="987" spans="1:16" x14ac:dyDescent="0.25">
      <c r="A987" t="s">
        <v>2882</v>
      </c>
      <c r="B987" t="s">
        <v>2883</v>
      </c>
      <c r="C987" t="s">
        <v>18</v>
      </c>
      <c r="D987" t="s">
        <v>50</v>
      </c>
      <c r="E987" t="s">
        <v>44</v>
      </c>
      <c r="F987" t="s">
        <v>32</v>
      </c>
      <c r="G987" t="s">
        <v>69</v>
      </c>
      <c r="H987" t="s">
        <v>34</v>
      </c>
      <c r="I987" t="s">
        <v>75</v>
      </c>
      <c r="J987" t="s">
        <v>1062</v>
      </c>
      <c r="L987">
        <v>3.2</v>
      </c>
      <c r="M987">
        <v>247000</v>
      </c>
      <c r="N987">
        <v>3.4</v>
      </c>
      <c r="O987">
        <v>7</v>
      </c>
      <c r="P987" t="s">
        <v>26</v>
      </c>
    </row>
    <row r="988" spans="1:16" x14ac:dyDescent="0.25">
      <c r="A988" t="s">
        <v>2884</v>
      </c>
      <c r="B988" t="s">
        <v>2885</v>
      </c>
      <c r="C988" t="s">
        <v>18</v>
      </c>
      <c r="D988" t="s">
        <v>43</v>
      </c>
      <c r="E988" t="s">
        <v>20</v>
      </c>
      <c r="F988" t="s">
        <v>32</v>
      </c>
      <c r="G988" t="s">
        <v>22</v>
      </c>
      <c r="H988" t="s">
        <v>34</v>
      </c>
      <c r="I988" t="s">
        <v>24</v>
      </c>
      <c r="J988" t="s">
        <v>2886</v>
      </c>
      <c r="L988">
        <v>2.6</v>
      </c>
      <c r="M988">
        <v>270000</v>
      </c>
      <c r="N988">
        <v>4.9000000000000004</v>
      </c>
      <c r="O988">
        <v>33</v>
      </c>
      <c r="P988" t="s">
        <v>26</v>
      </c>
    </row>
    <row r="989" spans="1:16" x14ac:dyDescent="0.25">
      <c r="A989" t="s">
        <v>2887</v>
      </c>
      <c r="B989" t="s">
        <v>2888</v>
      </c>
      <c r="C989" t="s">
        <v>18</v>
      </c>
      <c r="D989" t="s">
        <v>79</v>
      </c>
      <c r="E989" t="s">
        <v>20</v>
      </c>
      <c r="F989" t="s">
        <v>32</v>
      </c>
      <c r="G989" t="s">
        <v>69</v>
      </c>
      <c r="H989" t="s">
        <v>34</v>
      </c>
      <c r="I989" t="s">
        <v>35</v>
      </c>
      <c r="J989" t="s">
        <v>621</v>
      </c>
      <c r="L989">
        <v>1.9</v>
      </c>
      <c r="M989">
        <v>305000</v>
      </c>
      <c r="N989">
        <v>4.5</v>
      </c>
      <c r="O989">
        <v>9</v>
      </c>
      <c r="P989" t="s">
        <v>26</v>
      </c>
    </row>
    <row r="990" spans="1:16" x14ac:dyDescent="0.25">
      <c r="A990" t="s">
        <v>2889</v>
      </c>
      <c r="B990" t="s">
        <v>2890</v>
      </c>
      <c r="C990" t="s">
        <v>18</v>
      </c>
      <c r="D990" t="s">
        <v>30</v>
      </c>
      <c r="E990" t="s">
        <v>20</v>
      </c>
      <c r="F990" t="s">
        <v>21</v>
      </c>
      <c r="G990" t="s">
        <v>22</v>
      </c>
      <c r="H990" t="s">
        <v>23</v>
      </c>
      <c r="I990" t="s">
        <v>57</v>
      </c>
      <c r="J990" t="s">
        <v>2185</v>
      </c>
      <c r="K990" t="s">
        <v>2891</v>
      </c>
      <c r="L990">
        <v>4.5999999999999996</v>
      </c>
      <c r="M990">
        <v>645000</v>
      </c>
      <c r="N990">
        <v>3.2</v>
      </c>
      <c r="O990">
        <v>2</v>
      </c>
      <c r="P990" t="s">
        <v>53</v>
      </c>
    </row>
    <row r="991" spans="1:16" x14ac:dyDescent="0.25">
      <c r="A991" t="s">
        <v>2892</v>
      </c>
      <c r="B991" t="s">
        <v>1966</v>
      </c>
      <c r="C991" t="s">
        <v>29</v>
      </c>
      <c r="D991" t="s">
        <v>30</v>
      </c>
      <c r="E991" t="s">
        <v>31</v>
      </c>
      <c r="F991" t="s">
        <v>32</v>
      </c>
      <c r="G991" t="s">
        <v>33</v>
      </c>
      <c r="H991" t="s">
        <v>23</v>
      </c>
      <c r="J991" t="s">
        <v>2893</v>
      </c>
      <c r="L991">
        <v>5.7</v>
      </c>
      <c r="M991">
        <v>269000</v>
      </c>
      <c r="N991">
        <v>4.8</v>
      </c>
      <c r="O991">
        <v>12</v>
      </c>
      <c r="P991" t="s">
        <v>26</v>
      </c>
    </row>
    <row r="992" spans="1:16" x14ac:dyDescent="0.25">
      <c r="A992" t="s">
        <v>2894</v>
      </c>
      <c r="B992" t="s">
        <v>2895</v>
      </c>
      <c r="C992" t="s">
        <v>18</v>
      </c>
      <c r="D992" t="s">
        <v>79</v>
      </c>
      <c r="E992" t="s">
        <v>44</v>
      </c>
      <c r="F992" t="s">
        <v>128</v>
      </c>
      <c r="G992" t="s">
        <v>33</v>
      </c>
      <c r="H992" t="s">
        <v>23</v>
      </c>
      <c r="I992" t="s">
        <v>24</v>
      </c>
      <c r="J992" t="s">
        <v>70</v>
      </c>
      <c r="K992" t="s">
        <v>2896</v>
      </c>
      <c r="L992">
        <v>1.9</v>
      </c>
      <c r="M992">
        <v>361000</v>
      </c>
      <c r="N992">
        <v>2.4</v>
      </c>
      <c r="O992">
        <v>7</v>
      </c>
      <c r="P992" t="s">
        <v>72</v>
      </c>
    </row>
    <row r="993" spans="1:16" x14ac:dyDescent="0.25">
      <c r="A993" t="s">
        <v>2897</v>
      </c>
      <c r="B993" t="s">
        <v>2567</v>
      </c>
      <c r="C993" t="s">
        <v>29</v>
      </c>
      <c r="D993" t="s">
        <v>50</v>
      </c>
      <c r="E993" t="s">
        <v>44</v>
      </c>
      <c r="F993" t="s">
        <v>32</v>
      </c>
      <c r="G993" t="s">
        <v>22</v>
      </c>
      <c r="H993" t="s">
        <v>34</v>
      </c>
      <c r="J993" t="s">
        <v>1633</v>
      </c>
      <c r="L993">
        <v>4.4000000000000004</v>
      </c>
      <c r="M993">
        <v>315000</v>
      </c>
      <c r="N993">
        <v>2.2000000000000002</v>
      </c>
      <c r="O993">
        <v>9</v>
      </c>
      <c r="P993" t="s">
        <v>26</v>
      </c>
    </row>
    <row r="994" spans="1:16" x14ac:dyDescent="0.25">
      <c r="A994" t="s">
        <v>2898</v>
      </c>
      <c r="B994" t="s">
        <v>2899</v>
      </c>
      <c r="C994" t="s">
        <v>18</v>
      </c>
      <c r="D994" t="s">
        <v>79</v>
      </c>
      <c r="E994" t="s">
        <v>20</v>
      </c>
      <c r="F994" t="s">
        <v>21</v>
      </c>
      <c r="G994" t="s">
        <v>33</v>
      </c>
      <c r="H994" t="s">
        <v>23</v>
      </c>
      <c r="I994" t="s">
        <v>35</v>
      </c>
      <c r="J994" t="s">
        <v>1228</v>
      </c>
      <c r="L994">
        <v>4.9000000000000004</v>
      </c>
      <c r="M994">
        <v>895000</v>
      </c>
      <c r="N994">
        <v>4.5</v>
      </c>
      <c r="O994">
        <v>1</v>
      </c>
      <c r="P994" t="s">
        <v>26</v>
      </c>
    </row>
    <row r="995" spans="1:16" x14ac:dyDescent="0.25">
      <c r="A995" t="s">
        <v>2900</v>
      </c>
      <c r="B995" t="s">
        <v>2901</v>
      </c>
      <c r="C995" t="s">
        <v>29</v>
      </c>
      <c r="D995" t="s">
        <v>79</v>
      </c>
      <c r="E995" t="s">
        <v>44</v>
      </c>
      <c r="F995" t="s">
        <v>45</v>
      </c>
      <c r="G995" t="s">
        <v>22</v>
      </c>
      <c r="H995" t="s">
        <v>46</v>
      </c>
      <c r="I995" t="s">
        <v>24</v>
      </c>
      <c r="J995" t="s">
        <v>2902</v>
      </c>
      <c r="K995" t="s">
        <v>2903</v>
      </c>
      <c r="L995">
        <v>4</v>
      </c>
      <c r="M995">
        <v>1494000</v>
      </c>
      <c r="N995">
        <v>4.7</v>
      </c>
      <c r="O995">
        <v>9</v>
      </c>
      <c r="P995" t="s">
        <v>53</v>
      </c>
    </row>
    <row r="996" spans="1:16" x14ac:dyDescent="0.25">
      <c r="A996" t="s">
        <v>2904</v>
      </c>
      <c r="B996" t="s">
        <v>636</v>
      </c>
      <c r="C996" t="s">
        <v>18</v>
      </c>
      <c r="D996" t="s">
        <v>79</v>
      </c>
      <c r="E996" t="s">
        <v>44</v>
      </c>
      <c r="F996" t="s">
        <v>39</v>
      </c>
      <c r="G996" t="s">
        <v>22</v>
      </c>
      <c r="H996" t="s">
        <v>23</v>
      </c>
      <c r="I996" t="s">
        <v>35</v>
      </c>
      <c r="J996" t="s">
        <v>2905</v>
      </c>
      <c r="L996">
        <v>5.8</v>
      </c>
      <c r="M996">
        <v>143000</v>
      </c>
      <c r="N996">
        <v>3.6</v>
      </c>
      <c r="O996">
        <v>32</v>
      </c>
      <c r="P996" t="s">
        <v>26</v>
      </c>
    </row>
    <row r="997" spans="1:16" x14ac:dyDescent="0.25">
      <c r="A997" t="s">
        <v>1549</v>
      </c>
      <c r="B997" t="s">
        <v>65</v>
      </c>
      <c r="C997" t="s">
        <v>18</v>
      </c>
      <c r="D997" t="s">
        <v>50</v>
      </c>
      <c r="E997" t="s">
        <v>31</v>
      </c>
      <c r="G997" t="s">
        <v>80</v>
      </c>
      <c r="H997" t="s">
        <v>34</v>
      </c>
      <c r="I997" t="s">
        <v>35</v>
      </c>
      <c r="J997" t="s">
        <v>1550</v>
      </c>
      <c r="K997" t="s">
        <v>1551</v>
      </c>
      <c r="L997">
        <v>3</v>
      </c>
      <c r="M997">
        <v>237000</v>
      </c>
      <c r="N997">
        <v>4.8</v>
      </c>
      <c r="O997">
        <v>21</v>
      </c>
      <c r="P997" t="s">
        <v>53</v>
      </c>
    </row>
    <row r="998" spans="1:16" x14ac:dyDescent="0.25">
      <c r="A998" t="s">
        <v>2003</v>
      </c>
      <c r="B998" t="s">
        <v>294</v>
      </c>
      <c r="C998" t="s">
        <v>18</v>
      </c>
      <c r="D998" t="s">
        <v>30</v>
      </c>
      <c r="E998" t="s">
        <v>20</v>
      </c>
      <c r="F998" t="s">
        <v>45</v>
      </c>
      <c r="G998" t="s">
        <v>80</v>
      </c>
      <c r="H998" t="s">
        <v>23</v>
      </c>
      <c r="I998" t="s">
        <v>57</v>
      </c>
      <c r="J998" t="s">
        <v>2004</v>
      </c>
      <c r="L998">
        <v>5</v>
      </c>
      <c r="M998">
        <v>1067000</v>
      </c>
      <c r="N998">
        <v>4.5</v>
      </c>
      <c r="O998">
        <v>6</v>
      </c>
      <c r="P998" t="s">
        <v>26</v>
      </c>
    </row>
    <row r="999" spans="1:16" x14ac:dyDescent="0.25">
      <c r="A999" t="s">
        <v>2906</v>
      </c>
      <c r="B999" t="s">
        <v>2907</v>
      </c>
      <c r="C999" t="s">
        <v>18</v>
      </c>
      <c r="D999" t="s">
        <v>43</v>
      </c>
      <c r="E999" t="s">
        <v>20</v>
      </c>
      <c r="F999" t="s">
        <v>128</v>
      </c>
      <c r="G999" t="s">
        <v>22</v>
      </c>
      <c r="H999" t="s">
        <v>23</v>
      </c>
      <c r="I999" t="s">
        <v>24</v>
      </c>
      <c r="J999" t="s">
        <v>2908</v>
      </c>
      <c r="L999">
        <v>2.9</v>
      </c>
      <c r="M999">
        <v>350000</v>
      </c>
      <c r="N999">
        <v>3.3</v>
      </c>
      <c r="O999">
        <v>22</v>
      </c>
      <c r="P999" t="s">
        <v>26</v>
      </c>
    </row>
    <row r="1000" spans="1:16" x14ac:dyDescent="0.25">
      <c r="A1000" t="s">
        <v>2909</v>
      </c>
      <c r="B1000" t="s">
        <v>2910</v>
      </c>
      <c r="C1000" t="s">
        <v>29</v>
      </c>
      <c r="D1000" t="s">
        <v>19</v>
      </c>
      <c r="E1000" t="s">
        <v>44</v>
      </c>
      <c r="F1000" t="s">
        <v>128</v>
      </c>
      <c r="G1000" t="s">
        <v>22</v>
      </c>
      <c r="H1000" t="s">
        <v>46</v>
      </c>
      <c r="I1000" t="s">
        <v>35</v>
      </c>
      <c r="J1000" t="s">
        <v>2911</v>
      </c>
      <c r="L1000">
        <v>4.5999999999999996</v>
      </c>
      <c r="M1000">
        <v>415000</v>
      </c>
      <c r="N1000">
        <v>3.4</v>
      </c>
      <c r="O1000">
        <v>16</v>
      </c>
      <c r="P1000" t="s">
        <v>26</v>
      </c>
    </row>
    <row r="1001" spans="1:16" x14ac:dyDescent="0.25">
      <c r="A1001" t="s">
        <v>2912</v>
      </c>
      <c r="B1001" t="s">
        <v>2913</v>
      </c>
      <c r="C1001" t="s">
        <v>18</v>
      </c>
      <c r="D1001" t="s">
        <v>19</v>
      </c>
      <c r="E1001" t="s">
        <v>20</v>
      </c>
      <c r="F1001" t="s">
        <v>39</v>
      </c>
      <c r="G1001" t="s">
        <v>69</v>
      </c>
      <c r="H1001" t="s">
        <v>23</v>
      </c>
      <c r="J1001" t="s">
        <v>2914</v>
      </c>
      <c r="K1001" t="s">
        <v>834</v>
      </c>
      <c r="L1001">
        <v>2.8</v>
      </c>
      <c r="M1001">
        <v>114000</v>
      </c>
      <c r="N1001">
        <v>2.8</v>
      </c>
      <c r="O1001">
        <v>32</v>
      </c>
      <c r="P1001" t="s">
        <v>114</v>
      </c>
    </row>
    <row r="1002" spans="1:16" x14ac:dyDescent="0.25">
      <c r="A1002" t="s">
        <v>2915</v>
      </c>
      <c r="B1002" t="s">
        <v>663</v>
      </c>
      <c r="C1002" t="s">
        <v>29</v>
      </c>
      <c r="D1002" t="s">
        <v>43</v>
      </c>
      <c r="E1002" t="s">
        <v>44</v>
      </c>
      <c r="F1002" t="s">
        <v>128</v>
      </c>
      <c r="G1002" t="s">
        <v>22</v>
      </c>
      <c r="H1002" t="s">
        <v>46</v>
      </c>
      <c r="I1002" t="s">
        <v>24</v>
      </c>
      <c r="J1002" t="s">
        <v>2916</v>
      </c>
      <c r="K1002" t="s">
        <v>2867</v>
      </c>
      <c r="L1002">
        <v>4.3</v>
      </c>
      <c r="M1002">
        <v>409000</v>
      </c>
      <c r="N1002">
        <v>2.7</v>
      </c>
      <c r="O1002">
        <v>8</v>
      </c>
      <c r="P1002" t="s">
        <v>72</v>
      </c>
    </row>
    <row r="1003" spans="1:16" x14ac:dyDescent="0.25">
      <c r="A1003" t="s">
        <v>2917</v>
      </c>
      <c r="B1003" t="s">
        <v>2918</v>
      </c>
      <c r="C1003" t="s">
        <v>18</v>
      </c>
      <c r="D1003" t="s">
        <v>19</v>
      </c>
      <c r="F1003" t="s">
        <v>32</v>
      </c>
      <c r="G1003" t="s">
        <v>22</v>
      </c>
      <c r="H1003" t="s">
        <v>46</v>
      </c>
      <c r="I1003" t="s">
        <v>57</v>
      </c>
      <c r="J1003" t="s">
        <v>2919</v>
      </c>
      <c r="K1003" t="s">
        <v>2920</v>
      </c>
      <c r="L1003">
        <v>6</v>
      </c>
      <c r="M1003">
        <v>305000</v>
      </c>
      <c r="N1003">
        <v>2.1</v>
      </c>
      <c r="O1003">
        <v>6</v>
      </c>
      <c r="P1003" t="s">
        <v>53</v>
      </c>
    </row>
    <row r="1004" spans="1:16" x14ac:dyDescent="0.25">
      <c r="A1004" t="s">
        <v>2921</v>
      </c>
      <c r="B1004" t="s">
        <v>2922</v>
      </c>
      <c r="C1004" t="s">
        <v>18</v>
      </c>
      <c r="D1004" t="s">
        <v>79</v>
      </c>
      <c r="F1004" t="s">
        <v>32</v>
      </c>
      <c r="G1004" t="s">
        <v>22</v>
      </c>
      <c r="H1004" t="s">
        <v>46</v>
      </c>
      <c r="I1004" t="s">
        <v>57</v>
      </c>
      <c r="J1004" t="s">
        <v>456</v>
      </c>
      <c r="L1004">
        <v>5.5</v>
      </c>
      <c r="M1004">
        <v>288000</v>
      </c>
      <c r="N1004">
        <v>4.7</v>
      </c>
      <c r="O1004">
        <v>8</v>
      </c>
      <c r="P1004" t="s">
        <v>26</v>
      </c>
    </row>
    <row r="1005" spans="1:16" x14ac:dyDescent="0.25">
      <c r="A1005" t="s">
        <v>2923</v>
      </c>
      <c r="B1005" t="s">
        <v>2924</v>
      </c>
      <c r="C1005" t="s">
        <v>18</v>
      </c>
      <c r="D1005" t="s">
        <v>50</v>
      </c>
      <c r="F1005" t="s">
        <v>39</v>
      </c>
      <c r="G1005" t="s">
        <v>80</v>
      </c>
      <c r="H1005" t="s">
        <v>23</v>
      </c>
      <c r="I1005" t="s">
        <v>75</v>
      </c>
      <c r="J1005" t="s">
        <v>2920</v>
      </c>
      <c r="L1005">
        <v>3.2</v>
      </c>
      <c r="M1005">
        <v>146000</v>
      </c>
      <c r="N1005">
        <v>4.4000000000000004</v>
      </c>
      <c r="O1005">
        <v>1</v>
      </c>
      <c r="P1005" t="s">
        <v>26</v>
      </c>
    </row>
    <row r="1006" spans="1:16" x14ac:dyDescent="0.25">
      <c r="A1006" t="s">
        <v>2925</v>
      </c>
      <c r="B1006" t="s">
        <v>2926</v>
      </c>
      <c r="C1006" t="s">
        <v>18</v>
      </c>
      <c r="D1006" t="s">
        <v>19</v>
      </c>
      <c r="E1006" t="s">
        <v>31</v>
      </c>
      <c r="F1006" t="s">
        <v>21</v>
      </c>
      <c r="G1006" t="s">
        <v>33</v>
      </c>
      <c r="H1006" t="s">
        <v>34</v>
      </c>
      <c r="I1006" t="s">
        <v>24</v>
      </c>
      <c r="J1006" t="s">
        <v>661</v>
      </c>
      <c r="L1006">
        <v>2.6</v>
      </c>
      <c r="M1006">
        <v>822000</v>
      </c>
      <c r="N1006">
        <v>4.8</v>
      </c>
      <c r="O1006">
        <v>11</v>
      </c>
      <c r="P1006" t="s">
        <v>26</v>
      </c>
    </row>
    <row r="1007" spans="1:16" x14ac:dyDescent="0.25">
      <c r="A1007" t="s">
        <v>2927</v>
      </c>
      <c r="B1007" t="s">
        <v>2928</v>
      </c>
      <c r="C1007" t="s">
        <v>18</v>
      </c>
      <c r="D1007" t="s">
        <v>50</v>
      </c>
      <c r="E1007" t="s">
        <v>20</v>
      </c>
      <c r="F1007" t="s">
        <v>128</v>
      </c>
      <c r="G1007" t="s">
        <v>80</v>
      </c>
      <c r="H1007" t="s">
        <v>46</v>
      </c>
      <c r="I1007" t="s">
        <v>24</v>
      </c>
      <c r="J1007" t="s">
        <v>597</v>
      </c>
      <c r="L1007">
        <v>1.3</v>
      </c>
      <c r="M1007">
        <v>542000</v>
      </c>
      <c r="N1007">
        <v>2.4</v>
      </c>
      <c r="O1007">
        <v>2</v>
      </c>
      <c r="P1007" t="s">
        <v>26</v>
      </c>
    </row>
    <row r="1008" spans="1:16" x14ac:dyDescent="0.25">
      <c r="A1008" t="s">
        <v>2929</v>
      </c>
      <c r="B1008" t="s">
        <v>2930</v>
      </c>
      <c r="C1008" t="s">
        <v>18</v>
      </c>
      <c r="D1008" t="s">
        <v>43</v>
      </c>
      <c r="E1008" t="s">
        <v>44</v>
      </c>
      <c r="F1008" t="s">
        <v>39</v>
      </c>
      <c r="G1008" t="s">
        <v>22</v>
      </c>
      <c r="H1008" t="s">
        <v>34</v>
      </c>
      <c r="I1008" t="s">
        <v>24</v>
      </c>
      <c r="J1008" t="s">
        <v>2931</v>
      </c>
      <c r="L1008">
        <v>2.1</v>
      </c>
      <c r="M1008">
        <v>126000</v>
      </c>
      <c r="N1008">
        <v>2.2000000000000002</v>
      </c>
      <c r="O1008">
        <v>37</v>
      </c>
      <c r="P1008" t="s">
        <v>26</v>
      </c>
    </row>
    <row r="1009" spans="1:16" x14ac:dyDescent="0.25">
      <c r="A1009" t="s">
        <v>2932</v>
      </c>
      <c r="B1009" t="s">
        <v>147</v>
      </c>
      <c r="C1009" t="s">
        <v>29</v>
      </c>
      <c r="D1009" t="s">
        <v>79</v>
      </c>
      <c r="E1009" t="s">
        <v>20</v>
      </c>
      <c r="F1009" t="s">
        <v>32</v>
      </c>
      <c r="G1009" t="s">
        <v>22</v>
      </c>
      <c r="H1009" t="s">
        <v>34</v>
      </c>
      <c r="J1009" t="s">
        <v>140</v>
      </c>
      <c r="L1009">
        <v>3.1</v>
      </c>
      <c r="M1009">
        <v>208000</v>
      </c>
      <c r="N1009">
        <v>2.9</v>
      </c>
      <c r="O1009">
        <v>13</v>
      </c>
      <c r="P1009" t="s">
        <v>26</v>
      </c>
    </row>
    <row r="1010" spans="1:16" x14ac:dyDescent="0.25">
      <c r="A1010" t="s">
        <v>2933</v>
      </c>
      <c r="B1010" t="s">
        <v>2934</v>
      </c>
      <c r="C1010" t="s">
        <v>29</v>
      </c>
      <c r="D1010" t="s">
        <v>43</v>
      </c>
      <c r="F1010" t="s">
        <v>128</v>
      </c>
      <c r="G1010" t="s">
        <v>80</v>
      </c>
      <c r="H1010" t="s">
        <v>34</v>
      </c>
      <c r="I1010" t="s">
        <v>35</v>
      </c>
      <c r="J1010" t="s">
        <v>696</v>
      </c>
      <c r="L1010">
        <v>4.5</v>
      </c>
      <c r="M1010">
        <v>553000</v>
      </c>
      <c r="N1010">
        <v>3</v>
      </c>
      <c r="O1010">
        <v>3</v>
      </c>
      <c r="P1010" t="s">
        <v>26</v>
      </c>
    </row>
    <row r="1011" spans="1:16" x14ac:dyDescent="0.25">
      <c r="A1011" t="s">
        <v>2935</v>
      </c>
      <c r="B1011" t="s">
        <v>2936</v>
      </c>
      <c r="C1011" t="s">
        <v>29</v>
      </c>
      <c r="D1011" t="s">
        <v>79</v>
      </c>
      <c r="E1011" t="s">
        <v>44</v>
      </c>
      <c r="F1011" t="s">
        <v>128</v>
      </c>
      <c r="G1011" t="s">
        <v>22</v>
      </c>
      <c r="H1011" t="s">
        <v>23</v>
      </c>
      <c r="I1011" t="s">
        <v>24</v>
      </c>
      <c r="J1011" t="s">
        <v>2937</v>
      </c>
      <c r="L1011">
        <v>2.4</v>
      </c>
      <c r="N1011">
        <v>2.6</v>
      </c>
      <c r="O1011">
        <v>30</v>
      </c>
      <c r="P1011" t="s">
        <v>26</v>
      </c>
    </row>
    <row r="1012" spans="1:16" x14ac:dyDescent="0.25">
      <c r="A1012" t="s">
        <v>2938</v>
      </c>
      <c r="B1012" t="s">
        <v>2939</v>
      </c>
      <c r="C1012" t="s">
        <v>18</v>
      </c>
      <c r="E1012" t="s">
        <v>44</v>
      </c>
      <c r="F1012" t="s">
        <v>32</v>
      </c>
      <c r="G1012" t="s">
        <v>80</v>
      </c>
      <c r="H1012" t="s">
        <v>34</v>
      </c>
      <c r="I1012" t="s">
        <v>24</v>
      </c>
      <c r="J1012" t="s">
        <v>2940</v>
      </c>
      <c r="K1012" t="s">
        <v>2941</v>
      </c>
      <c r="L1012">
        <v>5.7</v>
      </c>
      <c r="M1012">
        <v>261000</v>
      </c>
      <c r="N1012">
        <v>4.2</v>
      </c>
      <c r="O1012">
        <v>4</v>
      </c>
      <c r="P1012" t="s">
        <v>72</v>
      </c>
    </row>
    <row r="1013" spans="1:16" x14ac:dyDescent="0.25">
      <c r="A1013" t="s">
        <v>2942</v>
      </c>
      <c r="B1013" t="s">
        <v>2943</v>
      </c>
      <c r="C1013" t="s">
        <v>18</v>
      </c>
      <c r="D1013" t="s">
        <v>79</v>
      </c>
      <c r="E1013" t="s">
        <v>44</v>
      </c>
      <c r="F1013" t="s">
        <v>32</v>
      </c>
      <c r="G1013" t="s">
        <v>22</v>
      </c>
      <c r="H1013" t="s">
        <v>34</v>
      </c>
      <c r="I1013" t="s">
        <v>171</v>
      </c>
      <c r="J1013" t="s">
        <v>1712</v>
      </c>
      <c r="K1013" t="s">
        <v>2944</v>
      </c>
      <c r="L1013">
        <v>1.5</v>
      </c>
      <c r="M1013">
        <v>234000</v>
      </c>
      <c r="N1013">
        <v>2.5</v>
      </c>
      <c r="O1013">
        <v>12</v>
      </c>
      <c r="P1013" t="s">
        <v>53</v>
      </c>
    </row>
    <row r="1014" spans="1:16" x14ac:dyDescent="0.25">
      <c r="A1014" t="s">
        <v>2945</v>
      </c>
      <c r="B1014" t="s">
        <v>2946</v>
      </c>
      <c r="C1014" t="s">
        <v>18</v>
      </c>
      <c r="D1014" t="s">
        <v>79</v>
      </c>
      <c r="E1014" t="s">
        <v>20</v>
      </c>
      <c r="F1014" t="s">
        <v>32</v>
      </c>
      <c r="G1014" t="s">
        <v>80</v>
      </c>
      <c r="H1014" t="s">
        <v>23</v>
      </c>
      <c r="I1014" t="s">
        <v>35</v>
      </c>
      <c r="J1014" t="s">
        <v>2617</v>
      </c>
      <c r="L1014">
        <v>2.8</v>
      </c>
      <c r="M1014">
        <v>301000</v>
      </c>
      <c r="N1014">
        <v>2.2000000000000002</v>
      </c>
      <c r="O1014">
        <v>1</v>
      </c>
      <c r="P1014" t="s">
        <v>26</v>
      </c>
    </row>
    <row r="1015" spans="1:16" x14ac:dyDescent="0.25">
      <c r="A1015" t="s">
        <v>2947</v>
      </c>
      <c r="B1015" t="s">
        <v>2181</v>
      </c>
      <c r="C1015" t="s">
        <v>18</v>
      </c>
      <c r="D1015" t="s">
        <v>43</v>
      </c>
      <c r="E1015" t="s">
        <v>44</v>
      </c>
      <c r="F1015" t="s">
        <v>21</v>
      </c>
      <c r="G1015" t="s">
        <v>80</v>
      </c>
      <c r="H1015" t="s">
        <v>23</v>
      </c>
      <c r="I1015" t="s">
        <v>35</v>
      </c>
      <c r="J1015" t="s">
        <v>507</v>
      </c>
      <c r="K1015" t="s">
        <v>2948</v>
      </c>
      <c r="L1015">
        <v>4.7</v>
      </c>
      <c r="M1015">
        <v>732000</v>
      </c>
      <c r="N1015">
        <v>3.5</v>
      </c>
      <c r="O1015">
        <v>38</v>
      </c>
      <c r="P1015" t="s">
        <v>53</v>
      </c>
    </row>
    <row r="1016" spans="1:16" x14ac:dyDescent="0.25">
      <c r="A1016" t="s">
        <v>2949</v>
      </c>
      <c r="B1016" t="s">
        <v>2950</v>
      </c>
      <c r="C1016" t="s">
        <v>29</v>
      </c>
      <c r="E1016" t="s">
        <v>44</v>
      </c>
      <c r="F1016" t="s">
        <v>32</v>
      </c>
      <c r="G1016" t="s">
        <v>22</v>
      </c>
      <c r="I1016" t="s">
        <v>35</v>
      </c>
      <c r="J1016" t="s">
        <v>655</v>
      </c>
      <c r="L1016">
        <v>1.3</v>
      </c>
      <c r="M1016">
        <v>309000</v>
      </c>
      <c r="N1016">
        <v>4.0999999999999996</v>
      </c>
      <c r="O1016">
        <v>4</v>
      </c>
      <c r="P1016" t="s">
        <v>26</v>
      </c>
    </row>
    <row r="1017" spans="1:16" x14ac:dyDescent="0.25">
      <c r="A1017" t="s">
        <v>2951</v>
      </c>
      <c r="B1017" t="s">
        <v>2952</v>
      </c>
      <c r="D1017" t="s">
        <v>50</v>
      </c>
      <c r="E1017" t="s">
        <v>44</v>
      </c>
      <c r="F1017" t="s">
        <v>39</v>
      </c>
      <c r="G1017" t="s">
        <v>22</v>
      </c>
      <c r="H1017" t="s">
        <v>34</v>
      </c>
      <c r="I1017" t="s">
        <v>57</v>
      </c>
      <c r="J1017" t="s">
        <v>1751</v>
      </c>
      <c r="K1017" t="s">
        <v>2953</v>
      </c>
      <c r="L1017">
        <v>4</v>
      </c>
      <c r="M1017">
        <v>121000</v>
      </c>
      <c r="N1017">
        <v>2.7</v>
      </c>
      <c r="O1017">
        <v>13</v>
      </c>
      <c r="P1017" t="s">
        <v>53</v>
      </c>
    </row>
    <row r="1018" spans="1:16" x14ac:dyDescent="0.25">
      <c r="A1018" t="s">
        <v>2954</v>
      </c>
      <c r="B1018" t="s">
        <v>2955</v>
      </c>
      <c r="C1018" t="s">
        <v>18</v>
      </c>
      <c r="D1018" t="s">
        <v>30</v>
      </c>
      <c r="E1018" t="s">
        <v>20</v>
      </c>
      <c r="F1018" t="s">
        <v>32</v>
      </c>
      <c r="G1018" t="s">
        <v>22</v>
      </c>
      <c r="H1018" t="s">
        <v>34</v>
      </c>
      <c r="I1018" t="s">
        <v>24</v>
      </c>
      <c r="J1018" t="s">
        <v>2956</v>
      </c>
      <c r="K1018" t="s">
        <v>2368</v>
      </c>
      <c r="L1018">
        <v>4.8</v>
      </c>
      <c r="M1018">
        <v>341000</v>
      </c>
      <c r="N1018">
        <v>3.1</v>
      </c>
      <c r="O1018">
        <v>1</v>
      </c>
      <c r="P1018" t="s">
        <v>53</v>
      </c>
    </row>
    <row r="1019" spans="1:16" x14ac:dyDescent="0.25">
      <c r="A1019" t="s">
        <v>2957</v>
      </c>
      <c r="B1019" t="s">
        <v>2958</v>
      </c>
      <c r="C1019" t="s">
        <v>18</v>
      </c>
      <c r="D1019" t="s">
        <v>43</v>
      </c>
      <c r="E1019" t="s">
        <v>20</v>
      </c>
      <c r="F1019" t="s">
        <v>21</v>
      </c>
      <c r="G1019" t="s">
        <v>22</v>
      </c>
      <c r="H1019" t="s">
        <v>46</v>
      </c>
      <c r="I1019" t="s">
        <v>24</v>
      </c>
      <c r="J1019" t="s">
        <v>2959</v>
      </c>
      <c r="K1019" t="s">
        <v>2960</v>
      </c>
      <c r="L1019">
        <v>4.5999999999999996</v>
      </c>
      <c r="M1019">
        <v>737000</v>
      </c>
      <c r="N1019">
        <v>4</v>
      </c>
      <c r="O1019">
        <v>7</v>
      </c>
      <c r="P1019" t="s">
        <v>53</v>
      </c>
    </row>
    <row r="1020" spans="1:16" x14ac:dyDescent="0.25">
      <c r="A1020" t="s">
        <v>2961</v>
      </c>
      <c r="B1020" t="s">
        <v>2962</v>
      </c>
      <c r="C1020" t="s">
        <v>29</v>
      </c>
      <c r="D1020" t="s">
        <v>43</v>
      </c>
      <c r="E1020" t="s">
        <v>20</v>
      </c>
      <c r="F1020" t="s">
        <v>21</v>
      </c>
      <c r="G1020" t="s">
        <v>69</v>
      </c>
      <c r="H1020" t="s">
        <v>23</v>
      </c>
      <c r="I1020" t="s">
        <v>24</v>
      </c>
      <c r="J1020" t="s">
        <v>898</v>
      </c>
      <c r="K1020" t="s">
        <v>2963</v>
      </c>
      <c r="L1020">
        <v>2.4</v>
      </c>
      <c r="M1020">
        <v>720000</v>
      </c>
      <c r="N1020">
        <v>4.0999999999999996</v>
      </c>
      <c r="O1020">
        <v>0</v>
      </c>
      <c r="P1020" t="s">
        <v>72</v>
      </c>
    </row>
    <row r="1021" spans="1:16" x14ac:dyDescent="0.25">
      <c r="A1021" t="s">
        <v>2964</v>
      </c>
      <c r="B1021" t="s">
        <v>2950</v>
      </c>
      <c r="C1021" t="s">
        <v>29</v>
      </c>
      <c r="D1021" t="s">
        <v>50</v>
      </c>
      <c r="E1021" t="s">
        <v>31</v>
      </c>
      <c r="F1021" t="s">
        <v>39</v>
      </c>
      <c r="G1021" t="s">
        <v>22</v>
      </c>
      <c r="H1021" t="s">
        <v>46</v>
      </c>
      <c r="I1021" t="s">
        <v>24</v>
      </c>
      <c r="J1021" t="s">
        <v>2965</v>
      </c>
      <c r="L1021">
        <v>5.5</v>
      </c>
      <c r="M1021">
        <v>157000</v>
      </c>
      <c r="N1021">
        <v>3.1</v>
      </c>
      <c r="O1021">
        <v>4</v>
      </c>
      <c r="P1021" t="s">
        <v>26</v>
      </c>
    </row>
    <row r="1022" spans="1:16" x14ac:dyDescent="0.25">
      <c r="A1022" t="s">
        <v>2966</v>
      </c>
      <c r="B1022" t="s">
        <v>2967</v>
      </c>
      <c r="C1022" t="s">
        <v>18</v>
      </c>
      <c r="D1022" t="s">
        <v>30</v>
      </c>
      <c r="E1022" t="s">
        <v>44</v>
      </c>
      <c r="F1022" t="s">
        <v>39</v>
      </c>
      <c r="G1022" t="s">
        <v>80</v>
      </c>
      <c r="H1022" t="s">
        <v>23</v>
      </c>
      <c r="I1022" t="s">
        <v>24</v>
      </c>
      <c r="J1022" t="s">
        <v>2768</v>
      </c>
      <c r="K1022" t="s">
        <v>2968</v>
      </c>
      <c r="L1022">
        <v>3.8</v>
      </c>
      <c r="M1022">
        <v>175000</v>
      </c>
      <c r="N1022">
        <v>3.3</v>
      </c>
      <c r="O1022">
        <v>1</v>
      </c>
      <c r="P1022" t="s">
        <v>53</v>
      </c>
    </row>
    <row r="1023" spans="1:16" x14ac:dyDescent="0.25">
      <c r="A1023" t="s">
        <v>2969</v>
      </c>
      <c r="B1023" t="s">
        <v>2970</v>
      </c>
      <c r="C1023" t="s">
        <v>18</v>
      </c>
      <c r="D1023" t="s">
        <v>30</v>
      </c>
      <c r="E1023" t="s">
        <v>20</v>
      </c>
      <c r="F1023" t="s">
        <v>128</v>
      </c>
      <c r="G1023" t="s">
        <v>22</v>
      </c>
      <c r="H1023" t="s">
        <v>34</v>
      </c>
      <c r="I1023" t="s">
        <v>24</v>
      </c>
      <c r="J1023" t="s">
        <v>2908</v>
      </c>
      <c r="L1023">
        <v>2.9</v>
      </c>
      <c r="M1023">
        <v>570000</v>
      </c>
      <c r="N1023">
        <v>3.1</v>
      </c>
      <c r="O1023">
        <v>14</v>
      </c>
      <c r="P1023" t="s">
        <v>26</v>
      </c>
    </row>
    <row r="1024" spans="1:16" x14ac:dyDescent="0.25">
      <c r="A1024" t="s">
        <v>2971</v>
      </c>
      <c r="B1024" t="s">
        <v>2972</v>
      </c>
      <c r="C1024" t="s">
        <v>18</v>
      </c>
      <c r="D1024" t="s">
        <v>50</v>
      </c>
      <c r="E1024" t="s">
        <v>20</v>
      </c>
      <c r="F1024" t="s">
        <v>32</v>
      </c>
      <c r="G1024" t="s">
        <v>80</v>
      </c>
      <c r="H1024" t="s">
        <v>62</v>
      </c>
      <c r="I1024" t="s">
        <v>75</v>
      </c>
      <c r="J1024" t="s">
        <v>1921</v>
      </c>
      <c r="L1024">
        <v>6.2</v>
      </c>
      <c r="M1024">
        <v>345000</v>
      </c>
      <c r="N1024">
        <v>3.5</v>
      </c>
      <c r="O1024">
        <v>11</v>
      </c>
      <c r="P1024" t="s">
        <v>26</v>
      </c>
    </row>
    <row r="1025" spans="1:16" x14ac:dyDescent="0.25">
      <c r="A1025" t="s">
        <v>2973</v>
      </c>
      <c r="B1025" t="s">
        <v>2974</v>
      </c>
      <c r="C1025" t="s">
        <v>29</v>
      </c>
      <c r="D1025" t="s">
        <v>79</v>
      </c>
      <c r="E1025" t="s">
        <v>44</v>
      </c>
      <c r="F1025" t="s">
        <v>128</v>
      </c>
      <c r="G1025" t="s">
        <v>33</v>
      </c>
      <c r="H1025" t="s">
        <v>46</v>
      </c>
      <c r="I1025" t="s">
        <v>35</v>
      </c>
      <c r="J1025" t="s">
        <v>2355</v>
      </c>
      <c r="K1025" t="s">
        <v>530</v>
      </c>
      <c r="L1025">
        <v>6.1</v>
      </c>
      <c r="M1025">
        <v>506000</v>
      </c>
      <c r="N1025">
        <v>4.8</v>
      </c>
      <c r="O1025">
        <v>12</v>
      </c>
      <c r="P1025" t="s">
        <v>72</v>
      </c>
    </row>
    <row r="1026" spans="1:16" x14ac:dyDescent="0.25">
      <c r="A1026" t="s">
        <v>2975</v>
      </c>
      <c r="B1026" t="s">
        <v>2976</v>
      </c>
      <c r="C1026" t="s">
        <v>18</v>
      </c>
      <c r="D1026" t="s">
        <v>79</v>
      </c>
      <c r="E1026" t="s">
        <v>20</v>
      </c>
      <c r="F1026" t="s">
        <v>128</v>
      </c>
      <c r="G1026" t="s">
        <v>80</v>
      </c>
      <c r="H1026" t="s">
        <v>46</v>
      </c>
      <c r="I1026" t="s">
        <v>24</v>
      </c>
      <c r="J1026" t="s">
        <v>2977</v>
      </c>
      <c r="L1026">
        <v>4.5999999999999996</v>
      </c>
      <c r="M1026">
        <v>552000</v>
      </c>
      <c r="N1026">
        <v>2.5</v>
      </c>
      <c r="O1026">
        <v>33</v>
      </c>
      <c r="P1026" t="s">
        <v>26</v>
      </c>
    </row>
    <row r="1027" spans="1:16" x14ac:dyDescent="0.25">
      <c r="A1027" t="s">
        <v>2978</v>
      </c>
      <c r="B1027" t="s">
        <v>2979</v>
      </c>
      <c r="C1027" t="s">
        <v>29</v>
      </c>
      <c r="D1027" t="s">
        <v>50</v>
      </c>
      <c r="E1027" t="s">
        <v>20</v>
      </c>
      <c r="F1027" t="s">
        <v>39</v>
      </c>
      <c r="G1027" t="s">
        <v>22</v>
      </c>
      <c r="H1027" t="s">
        <v>23</v>
      </c>
      <c r="I1027" t="s">
        <v>24</v>
      </c>
      <c r="J1027" t="s">
        <v>2980</v>
      </c>
      <c r="L1027">
        <v>3.4</v>
      </c>
      <c r="M1027">
        <v>179000</v>
      </c>
      <c r="O1027">
        <v>2</v>
      </c>
      <c r="P1027" t="s">
        <v>26</v>
      </c>
    </row>
    <row r="1028" spans="1:16" x14ac:dyDescent="0.25">
      <c r="A1028" t="s">
        <v>2981</v>
      </c>
      <c r="B1028" t="s">
        <v>2982</v>
      </c>
      <c r="C1028" t="s">
        <v>18</v>
      </c>
      <c r="D1028" t="s">
        <v>30</v>
      </c>
      <c r="E1028" t="s">
        <v>44</v>
      </c>
      <c r="F1028" t="s">
        <v>39</v>
      </c>
      <c r="G1028" t="s">
        <v>33</v>
      </c>
      <c r="H1028" t="s">
        <v>46</v>
      </c>
      <c r="I1028" t="s">
        <v>24</v>
      </c>
      <c r="J1028" t="s">
        <v>2983</v>
      </c>
      <c r="K1028" t="s">
        <v>2984</v>
      </c>
      <c r="L1028">
        <v>1.7</v>
      </c>
      <c r="M1028">
        <v>119000</v>
      </c>
      <c r="N1028">
        <v>2.9</v>
      </c>
      <c r="O1028">
        <v>0</v>
      </c>
      <c r="P1028" t="s">
        <v>53</v>
      </c>
    </row>
    <row r="1029" spans="1:16" x14ac:dyDescent="0.25">
      <c r="A1029" t="s">
        <v>2985</v>
      </c>
      <c r="B1029" t="s">
        <v>1212</v>
      </c>
      <c r="C1029" t="s">
        <v>29</v>
      </c>
      <c r="D1029" t="s">
        <v>19</v>
      </c>
      <c r="E1029" t="s">
        <v>20</v>
      </c>
      <c r="F1029" t="s">
        <v>39</v>
      </c>
      <c r="G1029" t="s">
        <v>80</v>
      </c>
      <c r="H1029" t="s">
        <v>46</v>
      </c>
      <c r="I1029" t="s">
        <v>35</v>
      </c>
      <c r="J1029" t="s">
        <v>2295</v>
      </c>
      <c r="L1029">
        <v>4.5999999999999996</v>
      </c>
      <c r="M1029">
        <v>131000</v>
      </c>
      <c r="N1029">
        <v>3.5</v>
      </c>
      <c r="O1029">
        <v>13</v>
      </c>
      <c r="P1029" t="s">
        <v>26</v>
      </c>
    </row>
    <row r="1030" spans="1:16" x14ac:dyDescent="0.25">
      <c r="A1030" t="s">
        <v>2986</v>
      </c>
      <c r="B1030" t="s">
        <v>2987</v>
      </c>
      <c r="C1030" t="s">
        <v>29</v>
      </c>
      <c r="D1030" t="s">
        <v>30</v>
      </c>
      <c r="E1030" t="s">
        <v>44</v>
      </c>
      <c r="F1030" t="s">
        <v>32</v>
      </c>
      <c r="G1030" t="s">
        <v>22</v>
      </c>
      <c r="H1030" t="s">
        <v>23</v>
      </c>
      <c r="I1030" t="s">
        <v>57</v>
      </c>
      <c r="J1030" t="s">
        <v>2988</v>
      </c>
      <c r="L1030">
        <v>4.8</v>
      </c>
      <c r="M1030">
        <v>259000</v>
      </c>
      <c r="N1030">
        <v>4.9000000000000004</v>
      </c>
      <c r="O1030">
        <v>2</v>
      </c>
      <c r="P1030" t="s">
        <v>26</v>
      </c>
    </row>
    <row r="1031" spans="1:16" x14ac:dyDescent="0.25">
      <c r="A1031" t="s">
        <v>2989</v>
      </c>
      <c r="B1031" t="s">
        <v>2990</v>
      </c>
      <c r="C1031" t="s">
        <v>18</v>
      </c>
      <c r="D1031" t="s">
        <v>30</v>
      </c>
      <c r="E1031" t="s">
        <v>20</v>
      </c>
      <c r="F1031" t="s">
        <v>32</v>
      </c>
      <c r="G1031" t="s">
        <v>33</v>
      </c>
      <c r="I1031" t="s">
        <v>24</v>
      </c>
      <c r="J1031" t="s">
        <v>2150</v>
      </c>
      <c r="K1031" t="s">
        <v>2991</v>
      </c>
      <c r="L1031">
        <v>5.9</v>
      </c>
      <c r="M1031">
        <v>324000</v>
      </c>
      <c r="O1031">
        <v>1</v>
      </c>
      <c r="P1031" t="s">
        <v>53</v>
      </c>
    </row>
    <row r="1032" spans="1:16" x14ac:dyDescent="0.25">
      <c r="A1032" t="s">
        <v>2992</v>
      </c>
      <c r="B1032" t="s">
        <v>294</v>
      </c>
      <c r="C1032" t="s">
        <v>18</v>
      </c>
      <c r="D1032" t="s">
        <v>50</v>
      </c>
      <c r="E1032" t="s">
        <v>20</v>
      </c>
      <c r="F1032" t="s">
        <v>32</v>
      </c>
      <c r="G1032" t="s">
        <v>22</v>
      </c>
      <c r="H1032" t="s">
        <v>62</v>
      </c>
      <c r="I1032" t="s">
        <v>24</v>
      </c>
      <c r="J1032" t="s">
        <v>189</v>
      </c>
      <c r="K1032" t="s">
        <v>2993</v>
      </c>
      <c r="L1032">
        <v>1.4</v>
      </c>
      <c r="M1032">
        <v>344000</v>
      </c>
      <c r="O1032">
        <v>6</v>
      </c>
      <c r="P1032" t="s">
        <v>53</v>
      </c>
    </row>
    <row r="1033" spans="1:16" x14ac:dyDescent="0.25">
      <c r="A1033" t="s">
        <v>2994</v>
      </c>
      <c r="B1033" t="s">
        <v>2446</v>
      </c>
      <c r="C1033" t="s">
        <v>29</v>
      </c>
      <c r="D1033" t="s">
        <v>43</v>
      </c>
      <c r="E1033" t="s">
        <v>20</v>
      </c>
      <c r="F1033" t="s">
        <v>128</v>
      </c>
      <c r="G1033" t="s">
        <v>22</v>
      </c>
      <c r="H1033" t="s">
        <v>46</v>
      </c>
      <c r="I1033" t="s">
        <v>57</v>
      </c>
      <c r="J1033" t="s">
        <v>1366</v>
      </c>
      <c r="L1033">
        <v>1.4</v>
      </c>
      <c r="M1033">
        <v>401000</v>
      </c>
      <c r="N1033">
        <v>2.8</v>
      </c>
      <c r="O1033">
        <v>1</v>
      </c>
      <c r="P1033" t="s">
        <v>26</v>
      </c>
    </row>
    <row r="1034" spans="1:16" x14ac:dyDescent="0.25">
      <c r="A1034" t="s">
        <v>2995</v>
      </c>
      <c r="B1034" t="s">
        <v>2996</v>
      </c>
      <c r="C1034" t="s">
        <v>18</v>
      </c>
      <c r="D1034" t="s">
        <v>79</v>
      </c>
      <c r="E1034" t="s">
        <v>20</v>
      </c>
      <c r="F1034" t="s">
        <v>128</v>
      </c>
      <c r="G1034" t="s">
        <v>80</v>
      </c>
      <c r="H1034" t="s">
        <v>46</v>
      </c>
      <c r="I1034" t="s">
        <v>24</v>
      </c>
      <c r="J1034" t="s">
        <v>2997</v>
      </c>
      <c r="L1034">
        <v>2.6</v>
      </c>
      <c r="M1034">
        <v>568000</v>
      </c>
      <c r="N1034">
        <v>3.4</v>
      </c>
      <c r="O1034">
        <v>12</v>
      </c>
      <c r="P1034" t="s">
        <v>26</v>
      </c>
    </row>
    <row r="1035" spans="1:16" x14ac:dyDescent="0.25">
      <c r="A1035" t="s">
        <v>2998</v>
      </c>
      <c r="B1035" t="s">
        <v>218</v>
      </c>
      <c r="C1035" t="s">
        <v>18</v>
      </c>
      <c r="D1035" t="s">
        <v>43</v>
      </c>
      <c r="E1035" t="s">
        <v>20</v>
      </c>
      <c r="F1035" t="s">
        <v>21</v>
      </c>
      <c r="G1035" t="s">
        <v>33</v>
      </c>
      <c r="H1035" t="s">
        <v>34</v>
      </c>
      <c r="I1035" t="s">
        <v>75</v>
      </c>
      <c r="J1035" t="s">
        <v>2893</v>
      </c>
      <c r="K1035" t="s">
        <v>2999</v>
      </c>
      <c r="L1035">
        <v>5.7</v>
      </c>
      <c r="M1035">
        <v>600000</v>
      </c>
      <c r="N1035">
        <v>5</v>
      </c>
      <c r="O1035">
        <v>1</v>
      </c>
      <c r="P1035" t="s">
        <v>72</v>
      </c>
    </row>
    <row r="1036" spans="1:16" x14ac:dyDescent="0.25">
      <c r="A1036" t="s">
        <v>3000</v>
      </c>
      <c r="B1036" t="s">
        <v>1374</v>
      </c>
      <c r="C1036" t="s">
        <v>18</v>
      </c>
      <c r="D1036" t="s">
        <v>19</v>
      </c>
      <c r="E1036" t="s">
        <v>44</v>
      </c>
      <c r="F1036" t="s">
        <v>45</v>
      </c>
      <c r="G1036" t="s">
        <v>69</v>
      </c>
      <c r="H1036" t="s">
        <v>34</v>
      </c>
      <c r="J1036" t="s">
        <v>1683</v>
      </c>
      <c r="K1036" t="s">
        <v>3001</v>
      </c>
      <c r="L1036">
        <v>1.7</v>
      </c>
      <c r="M1036">
        <v>1607000</v>
      </c>
      <c r="N1036">
        <v>4.5999999999999996</v>
      </c>
      <c r="P1036" t="s">
        <v>53</v>
      </c>
    </row>
    <row r="1037" spans="1:16" x14ac:dyDescent="0.25">
      <c r="A1037" t="s">
        <v>3002</v>
      </c>
      <c r="B1037" t="s">
        <v>1377</v>
      </c>
      <c r="C1037" t="s">
        <v>29</v>
      </c>
      <c r="D1037" t="s">
        <v>30</v>
      </c>
      <c r="F1037" t="s">
        <v>128</v>
      </c>
      <c r="G1037" t="s">
        <v>80</v>
      </c>
      <c r="H1037" t="s">
        <v>34</v>
      </c>
      <c r="I1037" t="s">
        <v>57</v>
      </c>
      <c r="J1037" t="s">
        <v>405</v>
      </c>
      <c r="K1037" t="s">
        <v>3003</v>
      </c>
      <c r="L1037">
        <v>4.0999999999999996</v>
      </c>
      <c r="M1037">
        <v>469000</v>
      </c>
      <c r="N1037">
        <v>2.7</v>
      </c>
      <c r="O1037">
        <v>6</v>
      </c>
      <c r="P1037" t="s">
        <v>53</v>
      </c>
    </row>
    <row r="1038" spans="1:16" x14ac:dyDescent="0.25">
      <c r="A1038" t="s">
        <v>3004</v>
      </c>
      <c r="B1038" t="s">
        <v>3005</v>
      </c>
      <c r="C1038" t="s">
        <v>18</v>
      </c>
      <c r="D1038" t="s">
        <v>50</v>
      </c>
      <c r="F1038" t="s">
        <v>32</v>
      </c>
      <c r="G1038" t="s">
        <v>80</v>
      </c>
      <c r="H1038" t="s">
        <v>34</v>
      </c>
      <c r="I1038" t="s">
        <v>75</v>
      </c>
      <c r="J1038" t="s">
        <v>3006</v>
      </c>
      <c r="L1038">
        <v>3.5</v>
      </c>
      <c r="M1038">
        <v>311000</v>
      </c>
      <c r="N1038">
        <v>3.4</v>
      </c>
      <c r="O1038">
        <v>37</v>
      </c>
      <c r="P1038" t="s">
        <v>26</v>
      </c>
    </row>
    <row r="1039" spans="1:16" x14ac:dyDescent="0.25">
      <c r="A1039" t="s">
        <v>3007</v>
      </c>
      <c r="B1039" t="s">
        <v>3008</v>
      </c>
      <c r="C1039" t="s">
        <v>18</v>
      </c>
      <c r="D1039" t="s">
        <v>19</v>
      </c>
      <c r="E1039" t="s">
        <v>20</v>
      </c>
      <c r="F1039" t="s">
        <v>32</v>
      </c>
      <c r="G1039" t="s">
        <v>22</v>
      </c>
      <c r="H1039" t="s">
        <v>62</v>
      </c>
      <c r="I1039" t="s">
        <v>57</v>
      </c>
      <c r="J1039" t="s">
        <v>1571</v>
      </c>
      <c r="L1039">
        <v>3.8</v>
      </c>
      <c r="M1039">
        <v>215000</v>
      </c>
      <c r="N1039">
        <v>4.8</v>
      </c>
      <c r="O1039">
        <v>37</v>
      </c>
      <c r="P1039" t="s">
        <v>26</v>
      </c>
    </row>
    <row r="1040" spans="1:16" x14ac:dyDescent="0.25">
      <c r="A1040" t="s">
        <v>3009</v>
      </c>
      <c r="B1040" t="s">
        <v>3010</v>
      </c>
      <c r="C1040" t="s">
        <v>18</v>
      </c>
      <c r="D1040" t="s">
        <v>50</v>
      </c>
      <c r="E1040" t="s">
        <v>20</v>
      </c>
      <c r="F1040" t="s">
        <v>39</v>
      </c>
      <c r="G1040" t="s">
        <v>69</v>
      </c>
      <c r="I1040" t="s">
        <v>57</v>
      </c>
      <c r="J1040" t="s">
        <v>3011</v>
      </c>
      <c r="L1040">
        <v>6</v>
      </c>
      <c r="M1040">
        <v>132000</v>
      </c>
      <c r="N1040">
        <v>2.9</v>
      </c>
      <c r="O1040">
        <v>8</v>
      </c>
      <c r="P1040" t="s">
        <v>26</v>
      </c>
    </row>
    <row r="1041" spans="1:16" x14ac:dyDescent="0.25">
      <c r="A1041" t="s">
        <v>3012</v>
      </c>
      <c r="B1041" t="s">
        <v>3013</v>
      </c>
      <c r="C1041" t="s">
        <v>29</v>
      </c>
      <c r="D1041" t="s">
        <v>30</v>
      </c>
      <c r="E1041" t="s">
        <v>44</v>
      </c>
      <c r="F1041" t="s">
        <v>32</v>
      </c>
      <c r="G1041" t="s">
        <v>33</v>
      </c>
      <c r="H1041" t="s">
        <v>46</v>
      </c>
      <c r="I1041" t="s">
        <v>24</v>
      </c>
      <c r="J1041" t="s">
        <v>3014</v>
      </c>
      <c r="L1041">
        <v>4.5</v>
      </c>
      <c r="M1041">
        <v>326000</v>
      </c>
      <c r="N1041">
        <v>4.2</v>
      </c>
      <c r="O1041">
        <v>13</v>
      </c>
      <c r="P1041" t="s">
        <v>26</v>
      </c>
    </row>
    <row r="1042" spans="1:16" x14ac:dyDescent="0.25">
      <c r="A1042" t="s">
        <v>3015</v>
      </c>
      <c r="B1042" t="s">
        <v>559</v>
      </c>
      <c r="C1042" t="s">
        <v>29</v>
      </c>
      <c r="D1042" t="s">
        <v>50</v>
      </c>
      <c r="E1042" t="s">
        <v>20</v>
      </c>
      <c r="F1042" t="s">
        <v>39</v>
      </c>
      <c r="G1042" t="s">
        <v>80</v>
      </c>
      <c r="H1042" t="s">
        <v>34</v>
      </c>
      <c r="I1042" t="s">
        <v>57</v>
      </c>
      <c r="J1042" t="s">
        <v>500</v>
      </c>
      <c r="L1042">
        <v>5.5</v>
      </c>
      <c r="M1042">
        <v>132000</v>
      </c>
      <c r="N1042">
        <v>3.4</v>
      </c>
      <c r="O1042">
        <v>1</v>
      </c>
      <c r="P1042" t="s">
        <v>26</v>
      </c>
    </row>
    <row r="1043" spans="1:16" x14ac:dyDescent="0.25">
      <c r="A1043" t="s">
        <v>3016</v>
      </c>
      <c r="B1043" t="s">
        <v>3017</v>
      </c>
      <c r="C1043" t="s">
        <v>18</v>
      </c>
      <c r="D1043" t="s">
        <v>19</v>
      </c>
      <c r="E1043" t="s">
        <v>20</v>
      </c>
      <c r="F1043" t="s">
        <v>39</v>
      </c>
      <c r="G1043" t="s">
        <v>22</v>
      </c>
      <c r="H1043" t="s">
        <v>23</v>
      </c>
      <c r="I1043" t="s">
        <v>24</v>
      </c>
      <c r="J1043" t="s">
        <v>238</v>
      </c>
      <c r="K1043" t="s">
        <v>1712</v>
      </c>
      <c r="L1043">
        <v>2.1</v>
      </c>
      <c r="M1043">
        <v>162000</v>
      </c>
      <c r="N1043">
        <v>2.1</v>
      </c>
      <c r="P1043" t="s">
        <v>72</v>
      </c>
    </row>
    <row r="1044" spans="1:16" x14ac:dyDescent="0.25">
      <c r="A1044" t="s">
        <v>3018</v>
      </c>
      <c r="B1044" t="s">
        <v>3019</v>
      </c>
      <c r="C1044" t="s">
        <v>18</v>
      </c>
      <c r="D1044" t="s">
        <v>19</v>
      </c>
      <c r="E1044" t="s">
        <v>31</v>
      </c>
      <c r="F1044" t="s">
        <v>128</v>
      </c>
      <c r="G1044" t="s">
        <v>80</v>
      </c>
      <c r="H1044" t="s">
        <v>34</v>
      </c>
      <c r="I1044" t="s">
        <v>57</v>
      </c>
      <c r="J1044" t="s">
        <v>2643</v>
      </c>
      <c r="K1044" t="s">
        <v>3020</v>
      </c>
      <c r="L1044">
        <v>3.8</v>
      </c>
      <c r="M1044">
        <v>621000</v>
      </c>
      <c r="N1044">
        <v>2.2999999999999998</v>
      </c>
      <c r="O1044">
        <v>34</v>
      </c>
      <c r="P1044" t="s">
        <v>114</v>
      </c>
    </row>
    <row r="1045" spans="1:16" x14ac:dyDescent="0.25">
      <c r="A1045" t="s">
        <v>3021</v>
      </c>
      <c r="B1045" t="s">
        <v>2412</v>
      </c>
      <c r="C1045" t="s">
        <v>18</v>
      </c>
      <c r="D1045" t="s">
        <v>19</v>
      </c>
      <c r="E1045" t="s">
        <v>20</v>
      </c>
      <c r="F1045" t="s">
        <v>32</v>
      </c>
      <c r="G1045" t="s">
        <v>22</v>
      </c>
      <c r="H1045" t="s">
        <v>23</v>
      </c>
      <c r="I1045" t="s">
        <v>24</v>
      </c>
      <c r="J1045" t="s">
        <v>2257</v>
      </c>
      <c r="L1045">
        <v>3.2</v>
      </c>
      <c r="M1045">
        <v>350000</v>
      </c>
      <c r="N1045">
        <v>2.8</v>
      </c>
      <c r="O1045">
        <v>11</v>
      </c>
      <c r="P1045" t="s">
        <v>26</v>
      </c>
    </row>
    <row r="1046" spans="1:16" x14ac:dyDescent="0.25">
      <c r="A1046" t="s">
        <v>3022</v>
      </c>
      <c r="B1046" t="s">
        <v>170</v>
      </c>
      <c r="C1046" t="s">
        <v>18</v>
      </c>
      <c r="F1046" t="s">
        <v>39</v>
      </c>
      <c r="G1046" t="s">
        <v>80</v>
      </c>
      <c r="H1046" t="s">
        <v>34</v>
      </c>
      <c r="I1046" t="s">
        <v>24</v>
      </c>
      <c r="J1046" t="s">
        <v>3023</v>
      </c>
      <c r="L1046">
        <v>5.6</v>
      </c>
      <c r="M1046">
        <v>117000</v>
      </c>
      <c r="N1046">
        <v>3.5</v>
      </c>
      <c r="O1046">
        <v>7</v>
      </c>
      <c r="P1046" t="s">
        <v>26</v>
      </c>
    </row>
    <row r="1047" spans="1:16" x14ac:dyDescent="0.25">
      <c r="A1047" t="s">
        <v>3024</v>
      </c>
      <c r="B1047" t="s">
        <v>3025</v>
      </c>
      <c r="C1047" t="s">
        <v>18</v>
      </c>
      <c r="D1047" t="s">
        <v>30</v>
      </c>
      <c r="E1047" t="s">
        <v>20</v>
      </c>
      <c r="F1047" t="s">
        <v>32</v>
      </c>
      <c r="G1047" t="s">
        <v>22</v>
      </c>
      <c r="H1047" t="s">
        <v>23</v>
      </c>
      <c r="J1047" t="s">
        <v>1224</v>
      </c>
      <c r="L1047">
        <v>5.2</v>
      </c>
      <c r="M1047">
        <v>212000</v>
      </c>
      <c r="N1047">
        <v>1.8</v>
      </c>
      <c r="O1047">
        <v>5</v>
      </c>
      <c r="P1047" t="s">
        <v>26</v>
      </c>
    </row>
    <row r="1048" spans="1:16" x14ac:dyDescent="0.25">
      <c r="A1048" t="s">
        <v>3026</v>
      </c>
      <c r="B1048" t="s">
        <v>3027</v>
      </c>
      <c r="C1048" t="s">
        <v>29</v>
      </c>
      <c r="D1048" t="s">
        <v>30</v>
      </c>
      <c r="E1048" t="s">
        <v>20</v>
      </c>
      <c r="F1048" t="s">
        <v>128</v>
      </c>
      <c r="G1048" t="s">
        <v>80</v>
      </c>
      <c r="H1048" t="s">
        <v>46</v>
      </c>
      <c r="I1048" t="s">
        <v>75</v>
      </c>
      <c r="J1048" t="s">
        <v>2230</v>
      </c>
      <c r="K1048" t="s">
        <v>2439</v>
      </c>
      <c r="L1048">
        <v>4.2</v>
      </c>
      <c r="M1048">
        <v>556000</v>
      </c>
      <c r="N1048">
        <v>4.9000000000000004</v>
      </c>
      <c r="O1048">
        <v>0</v>
      </c>
      <c r="P1048" t="s">
        <v>53</v>
      </c>
    </row>
    <row r="1049" spans="1:16" x14ac:dyDescent="0.25">
      <c r="A1049" t="s">
        <v>3028</v>
      </c>
      <c r="B1049" t="s">
        <v>3029</v>
      </c>
      <c r="C1049" t="s">
        <v>18</v>
      </c>
      <c r="D1049" t="s">
        <v>50</v>
      </c>
      <c r="E1049" t="s">
        <v>20</v>
      </c>
      <c r="F1049" t="s">
        <v>32</v>
      </c>
      <c r="G1049" t="s">
        <v>33</v>
      </c>
      <c r="H1049" t="s">
        <v>23</v>
      </c>
      <c r="J1049" t="s">
        <v>3030</v>
      </c>
      <c r="K1049" t="s">
        <v>3031</v>
      </c>
      <c r="L1049">
        <v>3.6</v>
      </c>
      <c r="M1049">
        <v>285000</v>
      </c>
      <c r="N1049">
        <v>4.4000000000000004</v>
      </c>
      <c r="O1049">
        <v>10</v>
      </c>
      <c r="P1049" t="s">
        <v>53</v>
      </c>
    </row>
    <row r="1050" spans="1:16" x14ac:dyDescent="0.25">
      <c r="A1050" t="s">
        <v>3032</v>
      </c>
      <c r="B1050" t="s">
        <v>1723</v>
      </c>
      <c r="D1050" t="s">
        <v>43</v>
      </c>
      <c r="E1050" t="s">
        <v>20</v>
      </c>
      <c r="F1050" t="s">
        <v>39</v>
      </c>
      <c r="G1050" t="s">
        <v>22</v>
      </c>
      <c r="H1050" t="s">
        <v>34</v>
      </c>
      <c r="I1050" t="s">
        <v>35</v>
      </c>
      <c r="J1050" t="s">
        <v>3033</v>
      </c>
      <c r="L1050">
        <v>3.5</v>
      </c>
      <c r="M1050">
        <v>96000</v>
      </c>
      <c r="N1050">
        <v>2.7</v>
      </c>
      <c r="O1050">
        <v>9</v>
      </c>
      <c r="P1050" t="s">
        <v>26</v>
      </c>
    </row>
    <row r="1051" spans="1:16" x14ac:dyDescent="0.25">
      <c r="A1051" t="s">
        <v>3034</v>
      </c>
      <c r="B1051" t="s">
        <v>3035</v>
      </c>
      <c r="C1051" t="s">
        <v>29</v>
      </c>
      <c r="D1051" t="s">
        <v>50</v>
      </c>
      <c r="E1051" t="s">
        <v>20</v>
      </c>
      <c r="F1051" t="s">
        <v>128</v>
      </c>
      <c r="G1051" t="s">
        <v>69</v>
      </c>
      <c r="H1051" t="s">
        <v>46</v>
      </c>
      <c r="I1051" t="s">
        <v>57</v>
      </c>
      <c r="J1051" t="s">
        <v>3036</v>
      </c>
      <c r="L1051">
        <v>5.0999999999999996</v>
      </c>
      <c r="M1051">
        <v>371000</v>
      </c>
      <c r="N1051">
        <v>3.2</v>
      </c>
      <c r="O1051">
        <v>0</v>
      </c>
      <c r="P1051" t="s">
        <v>26</v>
      </c>
    </row>
    <row r="1052" spans="1:16" x14ac:dyDescent="0.25">
      <c r="A1052" t="s">
        <v>3037</v>
      </c>
      <c r="B1052" t="s">
        <v>2341</v>
      </c>
      <c r="C1052" t="s">
        <v>18</v>
      </c>
      <c r="D1052" t="s">
        <v>50</v>
      </c>
      <c r="E1052" t="s">
        <v>31</v>
      </c>
      <c r="F1052" t="s">
        <v>39</v>
      </c>
      <c r="G1052" t="s">
        <v>33</v>
      </c>
      <c r="H1052" t="s">
        <v>34</v>
      </c>
      <c r="I1052" t="s">
        <v>57</v>
      </c>
      <c r="J1052" t="s">
        <v>706</v>
      </c>
      <c r="K1052" t="s">
        <v>3033</v>
      </c>
      <c r="L1052">
        <v>4.5999999999999996</v>
      </c>
      <c r="M1052">
        <v>154000</v>
      </c>
      <c r="N1052">
        <v>3.1</v>
      </c>
      <c r="O1052">
        <v>36</v>
      </c>
      <c r="P1052" t="s">
        <v>53</v>
      </c>
    </row>
    <row r="1053" spans="1:16" x14ac:dyDescent="0.25">
      <c r="A1053" t="s">
        <v>3038</v>
      </c>
      <c r="B1053" t="s">
        <v>3039</v>
      </c>
      <c r="D1053" t="s">
        <v>79</v>
      </c>
      <c r="E1053" t="s">
        <v>44</v>
      </c>
      <c r="F1053" t="s">
        <v>128</v>
      </c>
      <c r="G1053" t="s">
        <v>22</v>
      </c>
      <c r="H1053" t="s">
        <v>34</v>
      </c>
      <c r="I1053" t="s">
        <v>24</v>
      </c>
      <c r="J1053" t="s">
        <v>109</v>
      </c>
      <c r="L1053">
        <v>4.2</v>
      </c>
      <c r="M1053">
        <v>356000</v>
      </c>
      <c r="N1053">
        <v>3.8</v>
      </c>
      <c r="O1053">
        <v>6</v>
      </c>
      <c r="P1053" t="s">
        <v>26</v>
      </c>
    </row>
    <row r="1054" spans="1:16" x14ac:dyDescent="0.25">
      <c r="A1054" t="s">
        <v>3040</v>
      </c>
      <c r="B1054" t="s">
        <v>3041</v>
      </c>
      <c r="C1054" t="s">
        <v>18</v>
      </c>
      <c r="D1054" t="s">
        <v>43</v>
      </c>
      <c r="E1054" t="s">
        <v>31</v>
      </c>
      <c r="F1054" t="s">
        <v>32</v>
      </c>
      <c r="G1054" t="s">
        <v>80</v>
      </c>
      <c r="H1054" t="s">
        <v>62</v>
      </c>
      <c r="I1054" t="s">
        <v>75</v>
      </c>
      <c r="J1054" t="s">
        <v>827</v>
      </c>
      <c r="K1054" t="s">
        <v>3042</v>
      </c>
      <c r="L1054">
        <v>4.5999999999999996</v>
      </c>
      <c r="M1054">
        <v>271000</v>
      </c>
      <c r="N1054">
        <v>4.0999999999999996</v>
      </c>
      <c r="O1054">
        <v>26</v>
      </c>
      <c r="P1054" t="s">
        <v>53</v>
      </c>
    </row>
    <row r="1055" spans="1:16" x14ac:dyDescent="0.25">
      <c r="A1055" t="s">
        <v>3043</v>
      </c>
      <c r="B1055" t="s">
        <v>3044</v>
      </c>
      <c r="C1055" t="s">
        <v>18</v>
      </c>
      <c r="D1055" t="s">
        <v>19</v>
      </c>
      <c r="E1055" t="s">
        <v>44</v>
      </c>
      <c r="F1055" t="s">
        <v>128</v>
      </c>
      <c r="G1055" t="s">
        <v>22</v>
      </c>
      <c r="H1055" t="s">
        <v>34</v>
      </c>
      <c r="I1055" t="s">
        <v>57</v>
      </c>
      <c r="J1055" t="s">
        <v>3045</v>
      </c>
      <c r="L1055">
        <v>5</v>
      </c>
      <c r="M1055">
        <v>525000</v>
      </c>
      <c r="O1055">
        <v>12</v>
      </c>
      <c r="P1055" t="s">
        <v>26</v>
      </c>
    </row>
    <row r="1056" spans="1:16" x14ac:dyDescent="0.25">
      <c r="A1056" t="s">
        <v>3046</v>
      </c>
      <c r="B1056" t="s">
        <v>3047</v>
      </c>
      <c r="C1056" t="s">
        <v>18</v>
      </c>
      <c r="D1056" t="s">
        <v>79</v>
      </c>
      <c r="E1056" t="s">
        <v>20</v>
      </c>
      <c r="F1056" t="s">
        <v>32</v>
      </c>
      <c r="G1056" t="s">
        <v>80</v>
      </c>
      <c r="H1056" t="s">
        <v>62</v>
      </c>
      <c r="I1056" t="s">
        <v>24</v>
      </c>
      <c r="J1056" t="s">
        <v>3048</v>
      </c>
      <c r="K1056" t="s">
        <v>3049</v>
      </c>
      <c r="L1056">
        <v>1.9</v>
      </c>
      <c r="M1056">
        <v>252000</v>
      </c>
      <c r="O1056">
        <v>4</v>
      </c>
      <c r="P1056" t="s">
        <v>53</v>
      </c>
    </row>
    <row r="1057" spans="1:16" x14ac:dyDescent="0.25">
      <c r="A1057" t="s">
        <v>3050</v>
      </c>
      <c r="B1057" t="s">
        <v>2594</v>
      </c>
      <c r="C1057" t="s">
        <v>29</v>
      </c>
      <c r="D1057" t="s">
        <v>30</v>
      </c>
      <c r="E1057" t="s">
        <v>20</v>
      </c>
      <c r="F1057" t="s">
        <v>32</v>
      </c>
      <c r="G1057" t="s">
        <v>80</v>
      </c>
      <c r="H1057" t="s">
        <v>23</v>
      </c>
      <c r="I1057" t="s">
        <v>24</v>
      </c>
      <c r="J1057" t="s">
        <v>583</v>
      </c>
      <c r="K1057" t="s">
        <v>2176</v>
      </c>
      <c r="L1057">
        <v>4.0999999999999996</v>
      </c>
      <c r="M1057">
        <v>204000</v>
      </c>
      <c r="N1057">
        <v>2.5</v>
      </c>
      <c r="O1057">
        <v>1</v>
      </c>
      <c r="P1057" t="s">
        <v>72</v>
      </c>
    </row>
    <row r="1058" spans="1:16" x14ac:dyDescent="0.25">
      <c r="A1058" t="s">
        <v>3051</v>
      </c>
      <c r="B1058" t="s">
        <v>3052</v>
      </c>
      <c r="C1058" t="s">
        <v>18</v>
      </c>
      <c r="D1058" t="s">
        <v>19</v>
      </c>
      <c r="E1058" t="s">
        <v>20</v>
      </c>
      <c r="F1058" t="s">
        <v>32</v>
      </c>
      <c r="G1058" t="s">
        <v>80</v>
      </c>
      <c r="H1058" t="s">
        <v>46</v>
      </c>
      <c r="I1058" t="s">
        <v>75</v>
      </c>
      <c r="J1058" t="s">
        <v>3053</v>
      </c>
      <c r="K1058" t="s">
        <v>3054</v>
      </c>
      <c r="L1058">
        <v>2</v>
      </c>
      <c r="M1058">
        <v>229000</v>
      </c>
      <c r="O1058">
        <v>1</v>
      </c>
      <c r="P1058" t="s">
        <v>72</v>
      </c>
    </row>
    <row r="1059" spans="1:16" x14ac:dyDescent="0.25">
      <c r="A1059" t="s">
        <v>3055</v>
      </c>
      <c r="B1059" t="s">
        <v>3056</v>
      </c>
      <c r="C1059" t="s">
        <v>29</v>
      </c>
      <c r="D1059" t="s">
        <v>19</v>
      </c>
      <c r="E1059" t="s">
        <v>20</v>
      </c>
      <c r="F1059" t="s">
        <v>128</v>
      </c>
      <c r="G1059" t="s">
        <v>69</v>
      </c>
      <c r="H1059" t="s">
        <v>34</v>
      </c>
      <c r="I1059" t="s">
        <v>57</v>
      </c>
      <c r="J1059" t="s">
        <v>3057</v>
      </c>
      <c r="K1059" t="s">
        <v>158</v>
      </c>
      <c r="L1059">
        <v>5.4</v>
      </c>
      <c r="M1059">
        <v>518000</v>
      </c>
      <c r="N1059">
        <v>2.2999999999999998</v>
      </c>
      <c r="O1059">
        <v>13</v>
      </c>
      <c r="P1059" t="s">
        <v>72</v>
      </c>
    </row>
    <row r="1060" spans="1:16" x14ac:dyDescent="0.25">
      <c r="A1060" t="s">
        <v>3058</v>
      </c>
      <c r="B1060" t="s">
        <v>3059</v>
      </c>
      <c r="C1060" t="s">
        <v>18</v>
      </c>
      <c r="D1060" t="s">
        <v>43</v>
      </c>
      <c r="E1060" t="s">
        <v>20</v>
      </c>
      <c r="G1060" t="s">
        <v>22</v>
      </c>
      <c r="I1060" t="s">
        <v>24</v>
      </c>
      <c r="J1060" t="s">
        <v>921</v>
      </c>
      <c r="K1060" t="s">
        <v>576</v>
      </c>
      <c r="L1060">
        <v>1.7</v>
      </c>
      <c r="M1060">
        <v>201000</v>
      </c>
      <c r="N1060">
        <v>3.3</v>
      </c>
      <c r="O1060">
        <v>4</v>
      </c>
      <c r="P1060" t="s">
        <v>53</v>
      </c>
    </row>
    <row r="1061" spans="1:16" x14ac:dyDescent="0.25">
      <c r="A1061" t="s">
        <v>367</v>
      </c>
      <c r="B1061" t="s">
        <v>368</v>
      </c>
      <c r="D1061" t="s">
        <v>30</v>
      </c>
      <c r="E1061" t="s">
        <v>20</v>
      </c>
      <c r="F1061" t="s">
        <v>39</v>
      </c>
      <c r="G1061" t="s">
        <v>22</v>
      </c>
      <c r="H1061" t="s">
        <v>34</v>
      </c>
      <c r="I1061" t="s">
        <v>24</v>
      </c>
      <c r="J1061" t="s">
        <v>369</v>
      </c>
      <c r="L1061">
        <v>5.8</v>
      </c>
      <c r="M1061">
        <v>179000</v>
      </c>
      <c r="N1061">
        <v>1.6</v>
      </c>
      <c r="O1061">
        <v>13</v>
      </c>
      <c r="P1061" t="s">
        <v>26</v>
      </c>
    </row>
    <row r="1062" spans="1:16" x14ac:dyDescent="0.25">
      <c r="A1062" t="s">
        <v>3060</v>
      </c>
      <c r="B1062" t="s">
        <v>3061</v>
      </c>
      <c r="C1062" t="s">
        <v>29</v>
      </c>
      <c r="D1062" t="s">
        <v>50</v>
      </c>
      <c r="E1062" t="s">
        <v>44</v>
      </c>
      <c r="F1062" t="s">
        <v>32</v>
      </c>
      <c r="G1062" t="s">
        <v>80</v>
      </c>
      <c r="H1062" t="s">
        <v>23</v>
      </c>
      <c r="I1062" t="s">
        <v>57</v>
      </c>
      <c r="J1062" t="s">
        <v>3062</v>
      </c>
      <c r="L1062">
        <v>2.2999999999999998</v>
      </c>
      <c r="M1062">
        <v>188000</v>
      </c>
      <c r="N1062">
        <v>2.4</v>
      </c>
      <c r="O1062">
        <v>7</v>
      </c>
      <c r="P1062" t="s">
        <v>26</v>
      </c>
    </row>
    <row r="1063" spans="1:16" x14ac:dyDescent="0.25">
      <c r="A1063" t="s">
        <v>3063</v>
      </c>
      <c r="B1063" t="s">
        <v>1573</v>
      </c>
      <c r="C1063" t="s">
        <v>18</v>
      </c>
      <c r="D1063" t="s">
        <v>79</v>
      </c>
      <c r="E1063" t="s">
        <v>44</v>
      </c>
      <c r="F1063" t="s">
        <v>128</v>
      </c>
      <c r="G1063" t="s">
        <v>22</v>
      </c>
      <c r="H1063" t="s">
        <v>23</v>
      </c>
      <c r="I1063" t="s">
        <v>35</v>
      </c>
      <c r="J1063" t="s">
        <v>404</v>
      </c>
      <c r="K1063" t="s">
        <v>3064</v>
      </c>
      <c r="L1063">
        <v>5.3</v>
      </c>
      <c r="M1063">
        <v>514000</v>
      </c>
      <c r="N1063">
        <v>3.1</v>
      </c>
      <c r="O1063">
        <v>7</v>
      </c>
      <c r="P1063" t="s">
        <v>53</v>
      </c>
    </row>
    <row r="1064" spans="1:16" x14ac:dyDescent="0.25">
      <c r="A1064" t="s">
        <v>3065</v>
      </c>
      <c r="B1064" t="s">
        <v>1100</v>
      </c>
      <c r="C1064" t="s">
        <v>18</v>
      </c>
      <c r="D1064" t="s">
        <v>79</v>
      </c>
      <c r="E1064" t="s">
        <v>20</v>
      </c>
      <c r="G1064" t="s">
        <v>22</v>
      </c>
      <c r="H1064" t="s">
        <v>34</v>
      </c>
      <c r="I1064" t="s">
        <v>24</v>
      </c>
      <c r="J1064" t="s">
        <v>3066</v>
      </c>
      <c r="L1064">
        <v>1.9</v>
      </c>
      <c r="M1064">
        <v>745000</v>
      </c>
      <c r="O1064">
        <v>7</v>
      </c>
      <c r="P1064" t="s">
        <v>26</v>
      </c>
    </row>
    <row r="1065" spans="1:16" x14ac:dyDescent="0.25">
      <c r="A1065" t="s">
        <v>3067</v>
      </c>
      <c r="B1065" t="s">
        <v>1271</v>
      </c>
      <c r="C1065" t="s">
        <v>18</v>
      </c>
      <c r="D1065" t="s">
        <v>30</v>
      </c>
      <c r="E1065" t="s">
        <v>20</v>
      </c>
      <c r="F1065" t="s">
        <v>32</v>
      </c>
      <c r="G1065" t="s">
        <v>22</v>
      </c>
      <c r="H1065" t="s">
        <v>34</v>
      </c>
      <c r="I1065" t="s">
        <v>57</v>
      </c>
      <c r="J1065" t="s">
        <v>738</v>
      </c>
      <c r="L1065">
        <v>3.2</v>
      </c>
      <c r="M1065">
        <v>253000</v>
      </c>
      <c r="N1065">
        <v>3.6</v>
      </c>
      <c r="O1065">
        <v>6</v>
      </c>
      <c r="P1065" t="s">
        <v>26</v>
      </c>
    </row>
    <row r="1066" spans="1:16" x14ac:dyDescent="0.25">
      <c r="A1066" t="s">
        <v>3068</v>
      </c>
      <c r="B1066" t="s">
        <v>3069</v>
      </c>
      <c r="C1066" t="s">
        <v>29</v>
      </c>
      <c r="D1066" t="s">
        <v>79</v>
      </c>
      <c r="E1066" t="s">
        <v>20</v>
      </c>
      <c r="F1066" t="s">
        <v>32</v>
      </c>
      <c r="G1066" t="s">
        <v>69</v>
      </c>
      <c r="H1066" t="s">
        <v>62</v>
      </c>
      <c r="I1066" t="s">
        <v>24</v>
      </c>
      <c r="J1066" t="s">
        <v>3070</v>
      </c>
      <c r="L1066">
        <v>2.7</v>
      </c>
      <c r="M1066">
        <v>282000</v>
      </c>
      <c r="N1066">
        <v>4.7</v>
      </c>
      <c r="O1066">
        <v>9</v>
      </c>
      <c r="P1066" t="s">
        <v>26</v>
      </c>
    </row>
    <row r="1067" spans="1:16" x14ac:dyDescent="0.25">
      <c r="A1067" t="s">
        <v>3071</v>
      </c>
      <c r="B1067" t="s">
        <v>3072</v>
      </c>
      <c r="C1067" t="s">
        <v>18</v>
      </c>
      <c r="D1067" t="s">
        <v>30</v>
      </c>
      <c r="E1067" t="s">
        <v>31</v>
      </c>
      <c r="F1067" t="s">
        <v>39</v>
      </c>
      <c r="G1067" t="s">
        <v>22</v>
      </c>
      <c r="H1067" t="s">
        <v>46</v>
      </c>
      <c r="I1067" t="s">
        <v>75</v>
      </c>
      <c r="J1067" t="s">
        <v>667</v>
      </c>
      <c r="K1067" t="s">
        <v>3073</v>
      </c>
      <c r="L1067">
        <v>5</v>
      </c>
      <c r="M1067">
        <v>166000</v>
      </c>
      <c r="N1067">
        <v>3.4</v>
      </c>
      <c r="P1067" t="s">
        <v>53</v>
      </c>
    </row>
    <row r="1068" spans="1:16" x14ac:dyDescent="0.25">
      <c r="A1068" t="s">
        <v>3074</v>
      </c>
      <c r="B1068" t="s">
        <v>2587</v>
      </c>
      <c r="C1068" t="s">
        <v>29</v>
      </c>
      <c r="E1068" t="s">
        <v>20</v>
      </c>
      <c r="F1068" t="s">
        <v>39</v>
      </c>
      <c r="G1068" t="s">
        <v>80</v>
      </c>
      <c r="H1068" t="s">
        <v>34</v>
      </c>
      <c r="I1068" t="s">
        <v>35</v>
      </c>
      <c r="J1068" t="s">
        <v>3075</v>
      </c>
      <c r="L1068">
        <v>5.4</v>
      </c>
      <c r="M1068">
        <v>113000</v>
      </c>
      <c r="N1068">
        <v>2.2999999999999998</v>
      </c>
      <c r="O1068">
        <v>6</v>
      </c>
      <c r="P1068" t="s">
        <v>26</v>
      </c>
    </row>
    <row r="1069" spans="1:16" x14ac:dyDescent="0.25">
      <c r="A1069" t="s">
        <v>3076</v>
      </c>
      <c r="B1069" t="s">
        <v>3077</v>
      </c>
      <c r="C1069" t="s">
        <v>18</v>
      </c>
      <c r="D1069" t="s">
        <v>50</v>
      </c>
      <c r="E1069" t="s">
        <v>20</v>
      </c>
      <c r="F1069" t="s">
        <v>32</v>
      </c>
      <c r="G1069" t="s">
        <v>22</v>
      </c>
      <c r="H1069" t="s">
        <v>34</v>
      </c>
      <c r="I1069" t="s">
        <v>24</v>
      </c>
      <c r="J1069" t="s">
        <v>3078</v>
      </c>
      <c r="L1069">
        <v>4.7</v>
      </c>
      <c r="M1069">
        <v>325000</v>
      </c>
      <c r="N1069">
        <v>4.7</v>
      </c>
      <c r="O1069">
        <v>10</v>
      </c>
      <c r="P1069" t="s">
        <v>26</v>
      </c>
    </row>
    <row r="1070" spans="1:16" x14ac:dyDescent="0.25">
      <c r="A1070" t="s">
        <v>3079</v>
      </c>
      <c r="B1070" t="s">
        <v>3080</v>
      </c>
      <c r="C1070" t="s">
        <v>29</v>
      </c>
      <c r="D1070" t="s">
        <v>50</v>
      </c>
      <c r="F1070" t="s">
        <v>39</v>
      </c>
      <c r="G1070" t="s">
        <v>80</v>
      </c>
      <c r="H1070" t="s">
        <v>46</v>
      </c>
      <c r="I1070" t="s">
        <v>75</v>
      </c>
      <c r="J1070" t="s">
        <v>3081</v>
      </c>
      <c r="L1070">
        <v>6</v>
      </c>
      <c r="M1070">
        <v>115000</v>
      </c>
      <c r="O1070">
        <v>8</v>
      </c>
      <c r="P1070" t="s">
        <v>26</v>
      </c>
    </row>
    <row r="1071" spans="1:16" x14ac:dyDescent="0.25">
      <c r="A1071" t="s">
        <v>3082</v>
      </c>
      <c r="B1071" t="s">
        <v>3083</v>
      </c>
      <c r="C1071" t="s">
        <v>18</v>
      </c>
      <c r="D1071" t="s">
        <v>50</v>
      </c>
      <c r="E1071" t="s">
        <v>20</v>
      </c>
      <c r="F1071" t="s">
        <v>39</v>
      </c>
      <c r="G1071" t="s">
        <v>80</v>
      </c>
      <c r="H1071" t="s">
        <v>46</v>
      </c>
      <c r="I1071" t="s">
        <v>24</v>
      </c>
      <c r="J1071" t="s">
        <v>3084</v>
      </c>
      <c r="K1071" t="s">
        <v>3085</v>
      </c>
      <c r="L1071">
        <v>5.7</v>
      </c>
      <c r="M1071">
        <v>123000</v>
      </c>
      <c r="N1071">
        <v>2.4</v>
      </c>
      <c r="O1071">
        <v>7</v>
      </c>
      <c r="P1071" t="s">
        <v>114</v>
      </c>
    </row>
    <row r="1072" spans="1:16" x14ac:dyDescent="0.25">
      <c r="A1072" t="s">
        <v>3086</v>
      </c>
      <c r="B1072" t="s">
        <v>3087</v>
      </c>
      <c r="D1072" t="s">
        <v>79</v>
      </c>
      <c r="E1072" t="s">
        <v>44</v>
      </c>
      <c r="F1072" t="s">
        <v>39</v>
      </c>
      <c r="G1072" t="s">
        <v>22</v>
      </c>
      <c r="H1072" t="s">
        <v>23</v>
      </c>
      <c r="I1072" t="s">
        <v>35</v>
      </c>
      <c r="J1072" t="s">
        <v>3088</v>
      </c>
      <c r="L1072">
        <v>5.6</v>
      </c>
      <c r="M1072">
        <v>118000</v>
      </c>
      <c r="N1072">
        <v>4.5999999999999996</v>
      </c>
      <c r="O1072">
        <v>22</v>
      </c>
      <c r="P1072" t="s">
        <v>26</v>
      </c>
    </row>
    <row r="1073" spans="1:16" x14ac:dyDescent="0.25">
      <c r="A1073" t="s">
        <v>3089</v>
      </c>
      <c r="B1073" t="s">
        <v>3090</v>
      </c>
      <c r="C1073" t="s">
        <v>18</v>
      </c>
      <c r="D1073" t="s">
        <v>43</v>
      </c>
      <c r="E1073" t="s">
        <v>44</v>
      </c>
      <c r="F1073" t="s">
        <v>32</v>
      </c>
      <c r="G1073" t="s">
        <v>80</v>
      </c>
      <c r="I1073" t="s">
        <v>57</v>
      </c>
      <c r="J1073" t="s">
        <v>3091</v>
      </c>
      <c r="K1073" t="s">
        <v>3092</v>
      </c>
      <c r="L1073">
        <v>4.3</v>
      </c>
      <c r="M1073">
        <v>230000</v>
      </c>
      <c r="O1073">
        <v>2</v>
      </c>
      <c r="P1073" t="s">
        <v>72</v>
      </c>
    </row>
    <row r="1074" spans="1:16" x14ac:dyDescent="0.25">
      <c r="A1074" t="s">
        <v>3093</v>
      </c>
      <c r="B1074" t="s">
        <v>2556</v>
      </c>
      <c r="C1074" t="s">
        <v>18</v>
      </c>
      <c r="D1074" t="s">
        <v>30</v>
      </c>
      <c r="E1074" t="s">
        <v>44</v>
      </c>
      <c r="F1074" t="s">
        <v>32</v>
      </c>
      <c r="G1074" t="s">
        <v>22</v>
      </c>
      <c r="I1074" t="s">
        <v>35</v>
      </c>
      <c r="J1074" t="s">
        <v>3094</v>
      </c>
      <c r="L1074">
        <v>4.5999999999999996</v>
      </c>
      <c r="M1074">
        <v>187000</v>
      </c>
      <c r="N1074">
        <v>1.8</v>
      </c>
      <c r="O1074">
        <v>5</v>
      </c>
      <c r="P1074" t="s">
        <v>26</v>
      </c>
    </row>
    <row r="1075" spans="1:16" x14ac:dyDescent="0.25">
      <c r="A1075" t="s">
        <v>3095</v>
      </c>
      <c r="B1075" t="s">
        <v>3096</v>
      </c>
      <c r="C1075" t="s">
        <v>29</v>
      </c>
      <c r="D1075" t="s">
        <v>50</v>
      </c>
      <c r="E1075" t="s">
        <v>44</v>
      </c>
      <c r="F1075" t="s">
        <v>32</v>
      </c>
      <c r="G1075" t="s">
        <v>22</v>
      </c>
      <c r="H1075" t="s">
        <v>46</v>
      </c>
      <c r="I1075" t="s">
        <v>57</v>
      </c>
      <c r="J1075" t="s">
        <v>3097</v>
      </c>
      <c r="K1075" t="s">
        <v>3098</v>
      </c>
      <c r="L1075">
        <v>4.0999999999999996</v>
      </c>
      <c r="M1075">
        <v>248000</v>
      </c>
      <c r="N1075">
        <v>2.2000000000000002</v>
      </c>
      <c r="P1075" t="s">
        <v>53</v>
      </c>
    </row>
    <row r="1076" spans="1:16" x14ac:dyDescent="0.25">
      <c r="A1076" t="s">
        <v>3099</v>
      </c>
      <c r="B1076" t="s">
        <v>3100</v>
      </c>
      <c r="C1076" t="s">
        <v>29</v>
      </c>
      <c r="D1076" t="s">
        <v>30</v>
      </c>
      <c r="F1076" t="s">
        <v>39</v>
      </c>
      <c r="G1076" t="s">
        <v>22</v>
      </c>
      <c r="H1076" t="s">
        <v>34</v>
      </c>
      <c r="I1076" t="s">
        <v>57</v>
      </c>
      <c r="J1076" t="s">
        <v>3101</v>
      </c>
      <c r="K1076" t="s">
        <v>3102</v>
      </c>
      <c r="L1076">
        <v>3</v>
      </c>
      <c r="M1076">
        <v>95000</v>
      </c>
      <c r="N1076">
        <v>2.1</v>
      </c>
      <c r="O1076">
        <v>20</v>
      </c>
      <c r="P1076" t="s">
        <v>53</v>
      </c>
    </row>
    <row r="1077" spans="1:16" x14ac:dyDescent="0.25">
      <c r="A1077" t="s">
        <v>3103</v>
      </c>
      <c r="B1077" t="s">
        <v>3096</v>
      </c>
      <c r="C1077" t="s">
        <v>29</v>
      </c>
      <c r="D1077" t="s">
        <v>30</v>
      </c>
      <c r="E1077" t="s">
        <v>20</v>
      </c>
      <c r="F1077" t="s">
        <v>32</v>
      </c>
      <c r="G1077" t="s">
        <v>22</v>
      </c>
      <c r="H1077" t="s">
        <v>62</v>
      </c>
      <c r="I1077" t="s">
        <v>57</v>
      </c>
      <c r="J1077" t="s">
        <v>3104</v>
      </c>
      <c r="K1077" t="s">
        <v>112</v>
      </c>
      <c r="L1077">
        <v>5.4</v>
      </c>
      <c r="M1077">
        <v>347000</v>
      </c>
      <c r="N1077">
        <v>2.5</v>
      </c>
      <c r="O1077">
        <v>37</v>
      </c>
      <c r="P1077" t="s">
        <v>114</v>
      </c>
    </row>
    <row r="1078" spans="1:16" x14ac:dyDescent="0.25">
      <c r="A1078" t="s">
        <v>3105</v>
      </c>
      <c r="B1078" t="s">
        <v>3106</v>
      </c>
      <c r="C1078" t="s">
        <v>29</v>
      </c>
      <c r="D1078" t="s">
        <v>50</v>
      </c>
      <c r="E1078" t="s">
        <v>20</v>
      </c>
      <c r="F1078" t="s">
        <v>128</v>
      </c>
      <c r="G1078" t="s">
        <v>69</v>
      </c>
      <c r="H1078" t="s">
        <v>62</v>
      </c>
      <c r="I1078" t="s">
        <v>24</v>
      </c>
      <c r="J1078" t="s">
        <v>3107</v>
      </c>
      <c r="L1078">
        <v>2.5</v>
      </c>
      <c r="M1078">
        <v>555000</v>
      </c>
      <c r="N1078">
        <v>3</v>
      </c>
      <c r="O1078">
        <v>4</v>
      </c>
      <c r="P1078" t="s">
        <v>26</v>
      </c>
    </row>
    <row r="1079" spans="1:16" x14ac:dyDescent="0.25">
      <c r="A1079" t="s">
        <v>3108</v>
      </c>
      <c r="B1079" t="s">
        <v>3109</v>
      </c>
      <c r="D1079" t="s">
        <v>30</v>
      </c>
      <c r="E1079" t="s">
        <v>20</v>
      </c>
      <c r="F1079" t="s">
        <v>39</v>
      </c>
      <c r="G1079" t="s">
        <v>22</v>
      </c>
      <c r="H1079" t="s">
        <v>34</v>
      </c>
      <c r="I1079" t="s">
        <v>57</v>
      </c>
      <c r="J1079" t="s">
        <v>3110</v>
      </c>
      <c r="L1079">
        <v>4.2</v>
      </c>
      <c r="M1079">
        <v>153000</v>
      </c>
      <c r="N1079">
        <v>2.2999999999999998</v>
      </c>
      <c r="O1079">
        <v>15</v>
      </c>
      <c r="P1079" t="s">
        <v>26</v>
      </c>
    </row>
    <row r="1080" spans="1:16" x14ac:dyDescent="0.25">
      <c r="A1080" t="s">
        <v>3111</v>
      </c>
      <c r="B1080" t="s">
        <v>3112</v>
      </c>
      <c r="C1080" t="s">
        <v>29</v>
      </c>
      <c r="D1080" t="s">
        <v>50</v>
      </c>
      <c r="E1080" t="s">
        <v>20</v>
      </c>
      <c r="F1080" t="s">
        <v>32</v>
      </c>
      <c r="G1080" t="s">
        <v>80</v>
      </c>
      <c r="H1080" t="s">
        <v>46</v>
      </c>
      <c r="I1080" t="s">
        <v>57</v>
      </c>
      <c r="J1080" t="s">
        <v>196</v>
      </c>
      <c r="L1080">
        <v>2.4</v>
      </c>
      <c r="M1080">
        <v>280000</v>
      </c>
      <c r="N1080">
        <v>4.5999999999999996</v>
      </c>
      <c r="O1080">
        <v>10</v>
      </c>
      <c r="P1080" t="s">
        <v>26</v>
      </c>
    </row>
    <row r="1081" spans="1:16" x14ac:dyDescent="0.25">
      <c r="A1081" t="s">
        <v>3113</v>
      </c>
      <c r="B1081" t="s">
        <v>2322</v>
      </c>
      <c r="C1081" t="s">
        <v>18</v>
      </c>
      <c r="D1081" t="s">
        <v>19</v>
      </c>
      <c r="E1081" t="s">
        <v>20</v>
      </c>
      <c r="F1081" t="s">
        <v>21</v>
      </c>
      <c r="G1081" t="s">
        <v>22</v>
      </c>
      <c r="H1081" t="s">
        <v>23</v>
      </c>
      <c r="I1081" t="s">
        <v>57</v>
      </c>
      <c r="J1081" t="s">
        <v>3114</v>
      </c>
      <c r="L1081">
        <v>4.7</v>
      </c>
      <c r="M1081">
        <v>940000</v>
      </c>
      <c r="N1081">
        <v>4.5</v>
      </c>
      <c r="O1081">
        <v>4</v>
      </c>
      <c r="P1081" t="s">
        <v>26</v>
      </c>
    </row>
    <row r="1082" spans="1:16" x14ac:dyDescent="0.25">
      <c r="A1082" t="s">
        <v>3115</v>
      </c>
      <c r="B1082" t="s">
        <v>3116</v>
      </c>
      <c r="C1082" t="s">
        <v>18</v>
      </c>
      <c r="D1082" t="s">
        <v>30</v>
      </c>
      <c r="E1082" t="s">
        <v>31</v>
      </c>
      <c r="F1082" t="s">
        <v>39</v>
      </c>
      <c r="G1082" t="s">
        <v>80</v>
      </c>
      <c r="H1082" t="s">
        <v>46</v>
      </c>
      <c r="I1082" t="s">
        <v>24</v>
      </c>
      <c r="J1082" t="s">
        <v>3117</v>
      </c>
      <c r="L1082">
        <v>1.3</v>
      </c>
      <c r="M1082">
        <v>114000</v>
      </c>
      <c r="N1082">
        <v>1.5</v>
      </c>
      <c r="O1082">
        <v>16</v>
      </c>
      <c r="P1082" t="s">
        <v>26</v>
      </c>
    </row>
    <row r="1083" spans="1:16" x14ac:dyDescent="0.25">
      <c r="A1083" t="s">
        <v>3118</v>
      </c>
      <c r="B1083" t="s">
        <v>3119</v>
      </c>
      <c r="C1083" t="s">
        <v>18</v>
      </c>
      <c r="D1083" t="s">
        <v>19</v>
      </c>
      <c r="E1083" t="s">
        <v>31</v>
      </c>
      <c r="F1083" t="s">
        <v>21</v>
      </c>
      <c r="G1083" t="s">
        <v>22</v>
      </c>
      <c r="H1083" t="s">
        <v>34</v>
      </c>
      <c r="I1083" t="s">
        <v>57</v>
      </c>
      <c r="J1083" t="s">
        <v>2233</v>
      </c>
      <c r="K1083" t="s">
        <v>3120</v>
      </c>
      <c r="L1083">
        <v>2.9</v>
      </c>
      <c r="M1083">
        <v>1042000</v>
      </c>
      <c r="N1083">
        <v>3.8</v>
      </c>
      <c r="O1083">
        <v>6</v>
      </c>
      <c r="P1083" t="s">
        <v>53</v>
      </c>
    </row>
    <row r="1084" spans="1:16" x14ac:dyDescent="0.25">
      <c r="A1084" t="s">
        <v>3121</v>
      </c>
      <c r="B1084" t="s">
        <v>3122</v>
      </c>
      <c r="C1084" t="s">
        <v>29</v>
      </c>
      <c r="E1084" t="s">
        <v>20</v>
      </c>
      <c r="F1084" t="s">
        <v>39</v>
      </c>
      <c r="G1084" t="s">
        <v>80</v>
      </c>
      <c r="H1084" t="s">
        <v>46</v>
      </c>
      <c r="I1084" t="s">
        <v>24</v>
      </c>
      <c r="J1084" t="s">
        <v>841</v>
      </c>
      <c r="L1084">
        <v>1.5</v>
      </c>
      <c r="M1084">
        <v>140000</v>
      </c>
      <c r="N1084">
        <v>3.4</v>
      </c>
      <c r="O1084">
        <v>6</v>
      </c>
      <c r="P1084" t="s">
        <v>26</v>
      </c>
    </row>
    <row r="1085" spans="1:16" x14ac:dyDescent="0.25">
      <c r="A1085" t="s">
        <v>3123</v>
      </c>
      <c r="B1085" t="s">
        <v>3124</v>
      </c>
      <c r="C1085" t="s">
        <v>29</v>
      </c>
      <c r="D1085" t="s">
        <v>50</v>
      </c>
      <c r="E1085" t="s">
        <v>20</v>
      </c>
      <c r="F1085" t="s">
        <v>39</v>
      </c>
      <c r="G1085" t="s">
        <v>22</v>
      </c>
      <c r="H1085" t="s">
        <v>62</v>
      </c>
      <c r="I1085" t="s">
        <v>57</v>
      </c>
      <c r="J1085" t="s">
        <v>1363</v>
      </c>
      <c r="K1085" t="s">
        <v>422</v>
      </c>
      <c r="L1085">
        <v>5.6</v>
      </c>
      <c r="M1085">
        <v>149000</v>
      </c>
      <c r="N1085">
        <v>2.5</v>
      </c>
      <c r="O1085">
        <v>31</v>
      </c>
      <c r="P1085" t="s">
        <v>114</v>
      </c>
    </row>
    <row r="1086" spans="1:16" x14ac:dyDescent="0.25">
      <c r="A1086" t="s">
        <v>3125</v>
      </c>
      <c r="B1086" t="s">
        <v>3126</v>
      </c>
      <c r="C1086" t="s">
        <v>29</v>
      </c>
      <c r="D1086" t="s">
        <v>30</v>
      </c>
      <c r="E1086" t="s">
        <v>20</v>
      </c>
      <c r="F1086" t="s">
        <v>39</v>
      </c>
      <c r="G1086" t="s">
        <v>22</v>
      </c>
      <c r="H1086" t="s">
        <v>23</v>
      </c>
      <c r="I1086" t="s">
        <v>35</v>
      </c>
      <c r="J1086" t="s">
        <v>1600</v>
      </c>
      <c r="K1086" t="s">
        <v>239</v>
      </c>
      <c r="L1086">
        <v>5.2</v>
      </c>
      <c r="M1086">
        <v>137000</v>
      </c>
      <c r="N1086">
        <v>3.4</v>
      </c>
      <c r="O1086">
        <v>4</v>
      </c>
      <c r="P1086" t="s">
        <v>53</v>
      </c>
    </row>
    <row r="1087" spans="1:16" x14ac:dyDescent="0.25">
      <c r="A1087" t="s">
        <v>3127</v>
      </c>
      <c r="B1087" t="s">
        <v>3128</v>
      </c>
      <c r="C1087" t="s">
        <v>18</v>
      </c>
      <c r="D1087" t="s">
        <v>50</v>
      </c>
      <c r="E1087" t="s">
        <v>44</v>
      </c>
      <c r="F1087" t="s">
        <v>128</v>
      </c>
      <c r="G1087" t="s">
        <v>33</v>
      </c>
      <c r="H1087" t="s">
        <v>34</v>
      </c>
      <c r="I1087" t="s">
        <v>171</v>
      </c>
      <c r="J1087" t="s">
        <v>3129</v>
      </c>
      <c r="L1087">
        <v>4.5</v>
      </c>
      <c r="M1087">
        <v>553000</v>
      </c>
      <c r="N1087">
        <v>4.4000000000000004</v>
      </c>
      <c r="O1087">
        <v>7</v>
      </c>
      <c r="P1087" t="s">
        <v>26</v>
      </c>
    </row>
    <row r="1088" spans="1:16" x14ac:dyDescent="0.25">
      <c r="A1088" t="s">
        <v>3130</v>
      </c>
      <c r="B1088" t="s">
        <v>2996</v>
      </c>
      <c r="D1088" t="s">
        <v>50</v>
      </c>
      <c r="E1088" t="s">
        <v>20</v>
      </c>
      <c r="F1088" t="s">
        <v>32</v>
      </c>
      <c r="G1088" t="s">
        <v>22</v>
      </c>
      <c r="H1088" t="s">
        <v>23</v>
      </c>
      <c r="I1088" t="s">
        <v>57</v>
      </c>
      <c r="J1088" t="s">
        <v>600</v>
      </c>
      <c r="K1088" t="s">
        <v>622</v>
      </c>
      <c r="L1088">
        <v>2</v>
      </c>
      <c r="M1088">
        <v>188000</v>
      </c>
      <c r="N1088">
        <v>4.7</v>
      </c>
      <c r="O1088">
        <v>7</v>
      </c>
      <c r="P1088" t="s">
        <v>72</v>
      </c>
    </row>
    <row r="1089" spans="1:16" x14ac:dyDescent="0.25">
      <c r="A1089" t="s">
        <v>3131</v>
      </c>
      <c r="B1089" t="s">
        <v>3132</v>
      </c>
      <c r="C1089" t="s">
        <v>29</v>
      </c>
      <c r="D1089" t="s">
        <v>50</v>
      </c>
      <c r="E1089" t="s">
        <v>44</v>
      </c>
      <c r="F1089" t="s">
        <v>32</v>
      </c>
      <c r="G1089" t="s">
        <v>22</v>
      </c>
      <c r="H1089" t="s">
        <v>46</v>
      </c>
      <c r="I1089" t="s">
        <v>57</v>
      </c>
      <c r="J1089" t="s">
        <v>1488</v>
      </c>
      <c r="L1089">
        <v>2.2000000000000002</v>
      </c>
      <c r="M1089">
        <v>322000</v>
      </c>
      <c r="N1089">
        <v>3.1</v>
      </c>
      <c r="O1089">
        <v>12</v>
      </c>
      <c r="P1089" t="s">
        <v>26</v>
      </c>
    </row>
    <row r="1090" spans="1:16" x14ac:dyDescent="0.25">
      <c r="A1090" t="s">
        <v>3133</v>
      </c>
      <c r="B1090" t="s">
        <v>1547</v>
      </c>
      <c r="C1090" t="s">
        <v>18</v>
      </c>
      <c r="D1090" t="s">
        <v>50</v>
      </c>
      <c r="G1090" t="s">
        <v>69</v>
      </c>
      <c r="H1090" t="s">
        <v>34</v>
      </c>
      <c r="I1090" t="s">
        <v>24</v>
      </c>
      <c r="J1090" t="s">
        <v>3134</v>
      </c>
      <c r="L1090">
        <v>5.0999999999999996</v>
      </c>
      <c r="M1090">
        <v>259000</v>
      </c>
      <c r="N1090">
        <v>2.4</v>
      </c>
      <c r="O1090">
        <v>11</v>
      </c>
      <c r="P1090" t="s">
        <v>26</v>
      </c>
    </row>
    <row r="1091" spans="1:16" x14ac:dyDescent="0.25">
      <c r="A1091" t="s">
        <v>3135</v>
      </c>
      <c r="B1091" t="s">
        <v>3136</v>
      </c>
      <c r="C1091" t="s">
        <v>29</v>
      </c>
      <c r="D1091" t="s">
        <v>79</v>
      </c>
      <c r="E1091" t="s">
        <v>20</v>
      </c>
      <c r="F1091" t="s">
        <v>128</v>
      </c>
      <c r="G1091" t="s">
        <v>33</v>
      </c>
      <c r="H1091" t="s">
        <v>34</v>
      </c>
      <c r="I1091" t="s">
        <v>75</v>
      </c>
      <c r="J1091" t="s">
        <v>645</v>
      </c>
      <c r="L1091">
        <v>1.6</v>
      </c>
      <c r="M1091">
        <v>402000</v>
      </c>
      <c r="N1091">
        <v>2.4</v>
      </c>
      <c r="O1091">
        <v>10</v>
      </c>
      <c r="P1091" t="s">
        <v>26</v>
      </c>
    </row>
    <row r="1092" spans="1:16" x14ac:dyDescent="0.25">
      <c r="A1092" t="s">
        <v>3137</v>
      </c>
      <c r="B1092" t="s">
        <v>3138</v>
      </c>
      <c r="C1092" t="s">
        <v>18</v>
      </c>
      <c r="D1092" t="s">
        <v>50</v>
      </c>
      <c r="E1092" t="s">
        <v>20</v>
      </c>
      <c r="F1092" t="s">
        <v>128</v>
      </c>
      <c r="G1092" t="s">
        <v>33</v>
      </c>
      <c r="H1092" t="s">
        <v>23</v>
      </c>
      <c r="I1092" t="s">
        <v>35</v>
      </c>
      <c r="J1092" t="s">
        <v>3139</v>
      </c>
      <c r="K1092" t="s">
        <v>3140</v>
      </c>
      <c r="L1092">
        <v>1.9</v>
      </c>
      <c r="M1092">
        <v>536000</v>
      </c>
      <c r="N1092">
        <v>4.2</v>
      </c>
      <c r="O1092">
        <v>4</v>
      </c>
      <c r="P1092" t="s">
        <v>53</v>
      </c>
    </row>
    <row r="1093" spans="1:16" x14ac:dyDescent="0.25">
      <c r="A1093" t="s">
        <v>3141</v>
      </c>
      <c r="B1093" t="s">
        <v>3142</v>
      </c>
      <c r="C1093" t="s">
        <v>29</v>
      </c>
      <c r="D1093" t="s">
        <v>50</v>
      </c>
      <c r="E1093" t="s">
        <v>20</v>
      </c>
      <c r="F1093" t="s">
        <v>32</v>
      </c>
      <c r="G1093" t="s">
        <v>33</v>
      </c>
      <c r="H1093" t="s">
        <v>62</v>
      </c>
      <c r="I1093" t="s">
        <v>24</v>
      </c>
      <c r="J1093" t="s">
        <v>3143</v>
      </c>
      <c r="L1093">
        <v>3.7</v>
      </c>
      <c r="M1093">
        <v>238000</v>
      </c>
      <c r="N1093">
        <v>2.7</v>
      </c>
      <c r="O1093">
        <v>9</v>
      </c>
      <c r="P1093" t="s">
        <v>26</v>
      </c>
    </row>
    <row r="1094" spans="1:16" x14ac:dyDescent="0.25">
      <c r="A1094" t="s">
        <v>3144</v>
      </c>
      <c r="B1094" t="s">
        <v>3145</v>
      </c>
      <c r="C1094" t="s">
        <v>29</v>
      </c>
      <c r="D1094" t="s">
        <v>43</v>
      </c>
      <c r="E1094" t="s">
        <v>31</v>
      </c>
      <c r="G1094" t="s">
        <v>33</v>
      </c>
      <c r="H1094" t="s">
        <v>23</v>
      </c>
      <c r="I1094" t="s">
        <v>24</v>
      </c>
      <c r="J1094" t="s">
        <v>600</v>
      </c>
      <c r="L1094">
        <v>2</v>
      </c>
      <c r="M1094">
        <v>462000</v>
      </c>
      <c r="O1094">
        <v>9</v>
      </c>
      <c r="P1094" t="s">
        <v>26</v>
      </c>
    </row>
    <row r="1095" spans="1:16" x14ac:dyDescent="0.25">
      <c r="A1095" t="s">
        <v>3146</v>
      </c>
      <c r="B1095" t="s">
        <v>3147</v>
      </c>
      <c r="C1095" t="s">
        <v>29</v>
      </c>
      <c r="D1095" t="s">
        <v>79</v>
      </c>
      <c r="E1095" t="s">
        <v>20</v>
      </c>
      <c r="F1095" t="s">
        <v>32</v>
      </c>
      <c r="G1095" t="s">
        <v>22</v>
      </c>
      <c r="H1095" t="s">
        <v>62</v>
      </c>
      <c r="I1095" t="s">
        <v>35</v>
      </c>
      <c r="J1095" t="s">
        <v>51</v>
      </c>
      <c r="L1095">
        <v>4.9000000000000004</v>
      </c>
      <c r="M1095">
        <v>184000</v>
      </c>
      <c r="N1095">
        <v>2</v>
      </c>
      <c r="O1095">
        <v>4</v>
      </c>
      <c r="P1095" t="s">
        <v>26</v>
      </c>
    </row>
    <row r="1096" spans="1:16" x14ac:dyDescent="0.25">
      <c r="A1096" t="s">
        <v>3148</v>
      </c>
      <c r="B1096" t="s">
        <v>3149</v>
      </c>
      <c r="C1096" t="s">
        <v>29</v>
      </c>
      <c r="D1096" t="s">
        <v>30</v>
      </c>
      <c r="E1096" t="s">
        <v>20</v>
      </c>
      <c r="F1096" t="s">
        <v>39</v>
      </c>
      <c r="G1096" t="s">
        <v>69</v>
      </c>
      <c r="H1096" t="s">
        <v>62</v>
      </c>
      <c r="I1096" t="s">
        <v>57</v>
      </c>
      <c r="J1096" t="s">
        <v>3150</v>
      </c>
      <c r="L1096">
        <v>4.3</v>
      </c>
      <c r="M1096">
        <v>90000</v>
      </c>
      <c r="P1096" t="s">
        <v>26</v>
      </c>
    </row>
    <row r="1097" spans="1:16" x14ac:dyDescent="0.25">
      <c r="A1097" t="s">
        <v>3151</v>
      </c>
      <c r="B1097" t="s">
        <v>3152</v>
      </c>
      <c r="C1097" t="s">
        <v>29</v>
      </c>
      <c r="D1097" t="s">
        <v>79</v>
      </c>
      <c r="E1097" t="s">
        <v>20</v>
      </c>
      <c r="F1097" t="s">
        <v>32</v>
      </c>
      <c r="G1097" t="s">
        <v>22</v>
      </c>
      <c r="H1097" t="s">
        <v>23</v>
      </c>
      <c r="I1097" t="s">
        <v>35</v>
      </c>
      <c r="J1097" t="s">
        <v>2687</v>
      </c>
      <c r="L1097">
        <v>2</v>
      </c>
      <c r="M1097">
        <v>315000</v>
      </c>
      <c r="N1097">
        <v>4.3</v>
      </c>
      <c r="O1097">
        <v>3</v>
      </c>
      <c r="P1097" t="s">
        <v>26</v>
      </c>
    </row>
    <row r="1098" spans="1:16" x14ac:dyDescent="0.25">
      <c r="A1098" t="s">
        <v>3153</v>
      </c>
      <c r="B1098" t="s">
        <v>1150</v>
      </c>
      <c r="C1098" t="s">
        <v>18</v>
      </c>
      <c r="D1098" t="s">
        <v>50</v>
      </c>
      <c r="E1098" t="s">
        <v>20</v>
      </c>
      <c r="F1098" t="s">
        <v>39</v>
      </c>
      <c r="G1098" t="s">
        <v>33</v>
      </c>
      <c r="H1098" t="s">
        <v>23</v>
      </c>
      <c r="I1098" t="s">
        <v>24</v>
      </c>
      <c r="J1098" t="s">
        <v>1382</v>
      </c>
      <c r="L1098">
        <v>5.4</v>
      </c>
      <c r="M1098">
        <v>100000</v>
      </c>
      <c r="N1098">
        <v>3.7</v>
      </c>
      <c r="O1098">
        <v>18</v>
      </c>
      <c r="P1098" t="s">
        <v>26</v>
      </c>
    </row>
    <row r="1099" spans="1:16" x14ac:dyDescent="0.25">
      <c r="A1099" t="s">
        <v>3154</v>
      </c>
      <c r="B1099" t="s">
        <v>3155</v>
      </c>
      <c r="C1099" t="s">
        <v>18</v>
      </c>
      <c r="D1099" t="s">
        <v>30</v>
      </c>
      <c r="F1099" t="s">
        <v>39</v>
      </c>
      <c r="G1099" t="s">
        <v>22</v>
      </c>
      <c r="H1099" t="s">
        <v>62</v>
      </c>
      <c r="I1099" t="s">
        <v>24</v>
      </c>
      <c r="J1099" t="s">
        <v>1231</v>
      </c>
      <c r="L1099">
        <v>2.2000000000000002</v>
      </c>
      <c r="M1099">
        <v>96000</v>
      </c>
      <c r="N1099">
        <v>2.5</v>
      </c>
      <c r="O1099">
        <v>5</v>
      </c>
      <c r="P1099" t="s">
        <v>26</v>
      </c>
    </row>
    <row r="1100" spans="1:16" x14ac:dyDescent="0.25">
      <c r="A1100" t="s">
        <v>3156</v>
      </c>
      <c r="B1100" t="s">
        <v>3157</v>
      </c>
      <c r="C1100" t="s">
        <v>18</v>
      </c>
      <c r="D1100" t="s">
        <v>30</v>
      </c>
      <c r="E1100" t="s">
        <v>20</v>
      </c>
      <c r="F1100" t="s">
        <v>128</v>
      </c>
      <c r="G1100" t="s">
        <v>22</v>
      </c>
      <c r="H1100" t="s">
        <v>23</v>
      </c>
      <c r="I1100" t="s">
        <v>24</v>
      </c>
      <c r="J1100" t="s">
        <v>3158</v>
      </c>
      <c r="K1100" t="s">
        <v>1901</v>
      </c>
      <c r="L1100">
        <v>4.8</v>
      </c>
      <c r="M1100">
        <v>559000</v>
      </c>
      <c r="N1100">
        <v>3.9</v>
      </c>
      <c r="O1100">
        <v>0</v>
      </c>
      <c r="P1100" t="s">
        <v>72</v>
      </c>
    </row>
    <row r="1101" spans="1:16" x14ac:dyDescent="0.25">
      <c r="A1101" t="s">
        <v>3159</v>
      </c>
      <c r="B1101" t="s">
        <v>1482</v>
      </c>
      <c r="C1101" t="s">
        <v>18</v>
      </c>
      <c r="D1101" t="s">
        <v>50</v>
      </c>
      <c r="E1101" t="s">
        <v>44</v>
      </c>
      <c r="F1101" t="s">
        <v>128</v>
      </c>
      <c r="G1101" t="s">
        <v>22</v>
      </c>
      <c r="H1101" t="s">
        <v>23</v>
      </c>
      <c r="I1101" t="s">
        <v>24</v>
      </c>
      <c r="J1101" t="s">
        <v>901</v>
      </c>
      <c r="L1101">
        <v>6</v>
      </c>
      <c r="M1101">
        <v>546000</v>
      </c>
      <c r="O1101">
        <v>27</v>
      </c>
      <c r="P1101" t="s">
        <v>26</v>
      </c>
    </row>
    <row r="1102" spans="1:16" x14ac:dyDescent="0.25">
      <c r="A1102" t="s">
        <v>3160</v>
      </c>
      <c r="B1102" t="s">
        <v>702</v>
      </c>
      <c r="C1102" t="s">
        <v>18</v>
      </c>
      <c r="D1102" t="s">
        <v>50</v>
      </c>
      <c r="E1102" t="s">
        <v>20</v>
      </c>
      <c r="F1102" t="s">
        <v>21</v>
      </c>
      <c r="G1102" t="s">
        <v>33</v>
      </c>
      <c r="H1102" t="s">
        <v>34</v>
      </c>
      <c r="I1102" t="s">
        <v>171</v>
      </c>
      <c r="J1102" t="s">
        <v>3161</v>
      </c>
      <c r="L1102">
        <v>4.2</v>
      </c>
      <c r="M1102">
        <v>817000</v>
      </c>
      <c r="P1102" t="s">
        <v>26</v>
      </c>
    </row>
    <row r="1103" spans="1:16" x14ac:dyDescent="0.25">
      <c r="A1103" t="s">
        <v>3162</v>
      </c>
      <c r="B1103" t="s">
        <v>2325</v>
      </c>
      <c r="C1103" t="s">
        <v>29</v>
      </c>
      <c r="D1103" t="s">
        <v>50</v>
      </c>
      <c r="E1103" t="s">
        <v>20</v>
      </c>
      <c r="F1103" t="s">
        <v>39</v>
      </c>
      <c r="G1103" t="s">
        <v>22</v>
      </c>
      <c r="H1103" t="s">
        <v>23</v>
      </c>
      <c r="I1103" t="s">
        <v>35</v>
      </c>
      <c r="J1103" t="s">
        <v>3163</v>
      </c>
      <c r="L1103">
        <v>4.2</v>
      </c>
      <c r="M1103">
        <v>110000</v>
      </c>
      <c r="N1103">
        <v>2.1</v>
      </c>
      <c r="O1103">
        <v>7</v>
      </c>
      <c r="P1103" t="s">
        <v>26</v>
      </c>
    </row>
    <row r="1104" spans="1:16" x14ac:dyDescent="0.25">
      <c r="A1104" t="s">
        <v>3164</v>
      </c>
      <c r="B1104" t="s">
        <v>3165</v>
      </c>
      <c r="D1104" t="s">
        <v>79</v>
      </c>
      <c r="E1104" t="s">
        <v>44</v>
      </c>
      <c r="F1104" t="s">
        <v>128</v>
      </c>
      <c r="G1104" t="s">
        <v>22</v>
      </c>
      <c r="H1104" t="s">
        <v>34</v>
      </c>
      <c r="I1104" t="s">
        <v>75</v>
      </c>
      <c r="J1104" t="s">
        <v>863</v>
      </c>
      <c r="K1104" t="s">
        <v>3166</v>
      </c>
      <c r="L1104">
        <v>5.0999999999999996</v>
      </c>
      <c r="M1104">
        <v>416000</v>
      </c>
      <c r="N1104">
        <v>4.2</v>
      </c>
      <c r="O1104">
        <v>14</v>
      </c>
      <c r="P1104" t="s">
        <v>53</v>
      </c>
    </row>
    <row r="1105" spans="1:16" x14ac:dyDescent="0.25">
      <c r="A1105" t="s">
        <v>3167</v>
      </c>
      <c r="B1105" t="s">
        <v>3168</v>
      </c>
      <c r="C1105" t="s">
        <v>18</v>
      </c>
      <c r="D1105" t="s">
        <v>50</v>
      </c>
      <c r="E1105" t="s">
        <v>44</v>
      </c>
      <c r="F1105" t="s">
        <v>32</v>
      </c>
      <c r="G1105" t="s">
        <v>80</v>
      </c>
      <c r="H1105" t="s">
        <v>46</v>
      </c>
      <c r="I1105" t="s">
        <v>75</v>
      </c>
      <c r="J1105" t="s">
        <v>1231</v>
      </c>
      <c r="K1105" t="s">
        <v>3169</v>
      </c>
      <c r="L1105">
        <v>2.2000000000000002</v>
      </c>
      <c r="M1105">
        <v>227000</v>
      </c>
      <c r="N1105">
        <v>2.8</v>
      </c>
      <c r="O1105">
        <v>0</v>
      </c>
      <c r="P1105" t="s">
        <v>53</v>
      </c>
    </row>
    <row r="1106" spans="1:16" x14ac:dyDescent="0.25">
      <c r="A1106" t="s">
        <v>3170</v>
      </c>
      <c r="B1106" t="s">
        <v>3171</v>
      </c>
      <c r="C1106" t="s">
        <v>18</v>
      </c>
      <c r="D1106" t="s">
        <v>79</v>
      </c>
      <c r="E1106" t="s">
        <v>20</v>
      </c>
      <c r="F1106" t="s">
        <v>39</v>
      </c>
      <c r="G1106" t="s">
        <v>22</v>
      </c>
      <c r="H1106" t="s">
        <v>62</v>
      </c>
      <c r="I1106" t="s">
        <v>24</v>
      </c>
      <c r="J1106" t="s">
        <v>3172</v>
      </c>
      <c r="K1106" t="s">
        <v>975</v>
      </c>
      <c r="L1106">
        <v>1.7</v>
      </c>
      <c r="M1106">
        <v>105000</v>
      </c>
      <c r="N1106">
        <v>3.4</v>
      </c>
      <c r="O1106">
        <v>14</v>
      </c>
      <c r="P1106" t="s">
        <v>53</v>
      </c>
    </row>
    <row r="1107" spans="1:16" x14ac:dyDescent="0.25">
      <c r="A1107" t="s">
        <v>3173</v>
      </c>
      <c r="B1107" t="s">
        <v>3174</v>
      </c>
      <c r="C1107" t="s">
        <v>29</v>
      </c>
      <c r="D1107" t="s">
        <v>30</v>
      </c>
      <c r="E1107" t="s">
        <v>44</v>
      </c>
      <c r="F1107" t="s">
        <v>45</v>
      </c>
      <c r="G1107" t="s">
        <v>22</v>
      </c>
      <c r="H1107" t="s">
        <v>34</v>
      </c>
      <c r="I1107" t="s">
        <v>24</v>
      </c>
      <c r="J1107" t="s">
        <v>1623</v>
      </c>
      <c r="L1107">
        <v>2.1</v>
      </c>
      <c r="M1107">
        <v>1879000</v>
      </c>
      <c r="N1107">
        <v>3.5</v>
      </c>
      <c r="O1107">
        <v>36</v>
      </c>
      <c r="P1107" t="s">
        <v>26</v>
      </c>
    </row>
    <row r="1108" spans="1:16" x14ac:dyDescent="0.25">
      <c r="A1108" t="s">
        <v>3175</v>
      </c>
      <c r="B1108" t="s">
        <v>3176</v>
      </c>
      <c r="C1108" t="s">
        <v>29</v>
      </c>
      <c r="D1108" t="s">
        <v>30</v>
      </c>
      <c r="E1108" t="s">
        <v>44</v>
      </c>
      <c r="F1108" t="s">
        <v>39</v>
      </c>
      <c r="G1108" t="s">
        <v>80</v>
      </c>
      <c r="H1108" t="s">
        <v>34</v>
      </c>
      <c r="I1108" t="s">
        <v>171</v>
      </c>
      <c r="J1108" t="s">
        <v>302</v>
      </c>
      <c r="K1108" t="s">
        <v>2853</v>
      </c>
      <c r="L1108">
        <v>2.9</v>
      </c>
      <c r="M1108">
        <v>109000</v>
      </c>
      <c r="N1108">
        <v>3.3</v>
      </c>
      <c r="O1108">
        <v>12</v>
      </c>
      <c r="P1108" t="s">
        <v>53</v>
      </c>
    </row>
    <row r="1109" spans="1:16" x14ac:dyDescent="0.25">
      <c r="A1109" t="s">
        <v>3177</v>
      </c>
      <c r="B1109" t="s">
        <v>3178</v>
      </c>
      <c r="C1109" t="s">
        <v>18</v>
      </c>
      <c r="D1109" t="s">
        <v>50</v>
      </c>
      <c r="E1109" t="s">
        <v>20</v>
      </c>
      <c r="F1109" t="s">
        <v>32</v>
      </c>
      <c r="G1109" t="s">
        <v>22</v>
      </c>
      <c r="H1109" t="s">
        <v>34</v>
      </c>
      <c r="J1109" t="s">
        <v>3179</v>
      </c>
      <c r="K1109" t="s">
        <v>3180</v>
      </c>
      <c r="L1109">
        <v>6.1</v>
      </c>
      <c r="M1109">
        <v>295000</v>
      </c>
      <c r="N1109">
        <v>2.2000000000000002</v>
      </c>
      <c r="O1109">
        <v>1</v>
      </c>
      <c r="P1109" t="s">
        <v>53</v>
      </c>
    </row>
    <row r="1110" spans="1:16" x14ac:dyDescent="0.25">
      <c r="A1110" t="s">
        <v>3181</v>
      </c>
      <c r="B1110" t="s">
        <v>3182</v>
      </c>
      <c r="C1110" t="s">
        <v>18</v>
      </c>
      <c r="D1110" t="s">
        <v>30</v>
      </c>
      <c r="E1110" t="s">
        <v>20</v>
      </c>
      <c r="F1110" t="s">
        <v>32</v>
      </c>
      <c r="G1110" t="s">
        <v>22</v>
      </c>
      <c r="H1110" t="s">
        <v>23</v>
      </c>
      <c r="I1110" t="s">
        <v>24</v>
      </c>
      <c r="J1110" t="s">
        <v>3183</v>
      </c>
      <c r="K1110" t="s">
        <v>3184</v>
      </c>
      <c r="L1110">
        <v>1.4</v>
      </c>
      <c r="M1110" t="s">
        <v>3185</v>
      </c>
      <c r="N1110">
        <v>4</v>
      </c>
      <c r="O1110">
        <v>32</v>
      </c>
      <c r="P1110" t="s">
        <v>53</v>
      </c>
    </row>
    <row r="1111" spans="1:16" x14ac:dyDescent="0.25">
      <c r="A1111" t="s">
        <v>3186</v>
      </c>
      <c r="B1111" t="s">
        <v>3187</v>
      </c>
      <c r="C1111" t="s">
        <v>29</v>
      </c>
      <c r="D1111" t="s">
        <v>43</v>
      </c>
      <c r="E1111" t="s">
        <v>20</v>
      </c>
      <c r="F1111" t="s">
        <v>32</v>
      </c>
      <c r="G1111" t="s">
        <v>33</v>
      </c>
      <c r="H1111" t="s">
        <v>46</v>
      </c>
      <c r="I1111" t="s">
        <v>24</v>
      </c>
      <c r="J1111" t="s">
        <v>3188</v>
      </c>
      <c r="L1111">
        <v>4.5999999999999996</v>
      </c>
      <c r="M1111">
        <v>206000</v>
      </c>
      <c r="N1111">
        <v>4.4000000000000004</v>
      </c>
      <c r="O1111">
        <v>7</v>
      </c>
      <c r="P1111" t="s">
        <v>26</v>
      </c>
    </row>
    <row r="1112" spans="1:16" x14ac:dyDescent="0.25">
      <c r="A1112" t="s">
        <v>3189</v>
      </c>
      <c r="B1112" t="s">
        <v>3190</v>
      </c>
      <c r="C1112" t="s">
        <v>29</v>
      </c>
      <c r="D1112" t="s">
        <v>50</v>
      </c>
      <c r="F1112" t="s">
        <v>32</v>
      </c>
      <c r="G1112" t="s">
        <v>22</v>
      </c>
      <c r="H1112" t="s">
        <v>34</v>
      </c>
      <c r="I1112" t="s">
        <v>35</v>
      </c>
      <c r="J1112" t="s">
        <v>2031</v>
      </c>
      <c r="L1112">
        <v>4.2</v>
      </c>
      <c r="M1112">
        <v>323000</v>
      </c>
      <c r="N1112">
        <v>2.5</v>
      </c>
      <c r="O1112">
        <v>8</v>
      </c>
      <c r="P1112" t="s">
        <v>26</v>
      </c>
    </row>
    <row r="1113" spans="1:16" x14ac:dyDescent="0.25">
      <c r="A1113" t="s">
        <v>3191</v>
      </c>
      <c r="B1113" t="s">
        <v>3192</v>
      </c>
      <c r="C1113" t="s">
        <v>29</v>
      </c>
      <c r="D1113" t="s">
        <v>19</v>
      </c>
      <c r="E1113" t="s">
        <v>20</v>
      </c>
      <c r="F1113" t="s">
        <v>39</v>
      </c>
      <c r="G1113" t="s">
        <v>33</v>
      </c>
      <c r="H1113" t="s">
        <v>34</v>
      </c>
      <c r="I1113" t="s">
        <v>57</v>
      </c>
      <c r="J1113" t="s">
        <v>394</v>
      </c>
      <c r="K1113" t="s">
        <v>2337</v>
      </c>
      <c r="L1113">
        <v>6.1</v>
      </c>
      <c r="M1113">
        <v>177000</v>
      </c>
      <c r="N1113">
        <v>2.5</v>
      </c>
      <c r="O1113">
        <v>11</v>
      </c>
      <c r="P1113" t="s">
        <v>114</v>
      </c>
    </row>
    <row r="1114" spans="1:16" x14ac:dyDescent="0.25">
      <c r="A1114" t="s">
        <v>3193</v>
      </c>
      <c r="B1114" t="s">
        <v>3194</v>
      </c>
      <c r="C1114" t="s">
        <v>29</v>
      </c>
      <c r="D1114" t="s">
        <v>79</v>
      </c>
      <c r="E1114" t="s">
        <v>20</v>
      </c>
      <c r="F1114" t="s">
        <v>128</v>
      </c>
      <c r="G1114" t="s">
        <v>69</v>
      </c>
      <c r="H1114" t="s">
        <v>34</v>
      </c>
      <c r="I1114" t="s">
        <v>24</v>
      </c>
      <c r="J1114" t="s">
        <v>3195</v>
      </c>
      <c r="L1114">
        <v>5.8</v>
      </c>
      <c r="M1114">
        <v>394000</v>
      </c>
      <c r="N1114">
        <v>4</v>
      </c>
      <c r="O1114">
        <v>1</v>
      </c>
      <c r="P1114" t="s">
        <v>26</v>
      </c>
    </row>
    <row r="1115" spans="1:16" x14ac:dyDescent="0.25">
      <c r="A1115" t="s">
        <v>3196</v>
      </c>
      <c r="B1115" t="s">
        <v>3197</v>
      </c>
      <c r="C1115" t="s">
        <v>29</v>
      </c>
      <c r="D1115" t="s">
        <v>43</v>
      </c>
      <c r="E1115" t="s">
        <v>20</v>
      </c>
      <c r="F1115" t="s">
        <v>32</v>
      </c>
      <c r="G1115" t="s">
        <v>80</v>
      </c>
      <c r="H1115" t="s">
        <v>46</v>
      </c>
      <c r="I1115" t="s">
        <v>24</v>
      </c>
      <c r="J1115" t="s">
        <v>3198</v>
      </c>
      <c r="L1115">
        <v>5.3</v>
      </c>
      <c r="M1115">
        <v>239000</v>
      </c>
      <c r="N1115">
        <v>3.7</v>
      </c>
      <c r="O1115">
        <v>14</v>
      </c>
      <c r="P1115" t="s">
        <v>26</v>
      </c>
    </row>
    <row r="1116" spans="1:16" x14ac:dyDescent="0.25">
      <c r="A1116" t="s">
        <v>3199</v>
      </c>
      <c r="B1116" t="s">
        <v>574</v>
      </c>
      <c r="C1116" t="s">
        <v>29</v>
      </c>
      <c r="E1116" t="s">
        <v>20</v>
      </c>
      <c r="F1116" t="s">
        <v>39</v>
      </c>
      <c r="G1116" t="s">
        <v>33</v>
      </c>
      <c r="H1116" t="s">
        <v>62</v>
      </c>
      <c r="I1116" t="s">
        <v>35</v>
      </c>
      <c r="J1116" t="s">
        <v>2224</v>
      </c>
      <c r="L1116">
        <v>2.2999999999999998</v>
      </c>
      <c r="M1116">
        <v>127000</v>
      </c>
      <c r="N1116">
        <v>2.9</v>
      </c>
      <c r="O1116">
        <v>28</v>
      </c>
      <c r="P1116" t="s">
        <v>26</v>
      </c>
    </row>
    <row r="1117" spans="1:16" x14ac:dyDescent="0.25">
      <c r="A1117" t="s">
        <v>3200</v>
      </c>
      <c r="B1117" t="s">
        <v>3201</v>
      </c>
      <c r="C1117" t="s">
        <v>18</v>
      </c>
      <c r="D1117" t="s">
        <v>43</v>
      </c>
      <c r="E1117" t="s">
        <v>20</v>
      </c>
      <c r="F1117" t="s">
        <v>21</v>
      </c>
      <c r="G1117" t="s">
        <v>22</v>
      </c>
      <c r="H1117" t="s">
        <v>34</v>
      </c>
      <c r="I1117" t="s">
        <v>57</v>
      </c>
      <c r="J1117" t="s">
        <v>2701</v>
      </c>
      <c r="K1117" t="s">
        <v>1712</v>
      </c>
      <c r="L1117">
        <v>2.2999999999999998</v>
      </c>
      <c r="M1117">
        <v>600000</v>
      </c>
      <c r="N1117">
        <v>4.3</v>
      </c>
      <c r="O1117">
        <v>3</v>
      </c>
      <c r="P1117" t="s">
        <v>53</v>
      </c>
    </row>
    <row r="1118" spans="1:16" x14ac:dyDescent="0.25">
      <c r="A1118" t="s">
        <v>3202</v>
      </c>
      <c r="B1118" t="s">
        <v>3203</v>
      </c>
      <c r="C1118" t="s">
        <v>18</v>
      </c>
      <c r="D1118" t="s">
        <v>79</v>
      </c>
      <c r="E1118" t="s">
        <v>31</v>
      </c>
      <c r="F1118" t="s">
        <v>32</v>
      </c>
      <c r="G1118" t="s">
        <v>80</v>
      </c>
      <c r="H1118" t="s">
        <v>23</v>
      </c>
      <c r="I1118" t="s">
        <v>24</v>
      </c>
      <c r="J1118" t="s">
        <v>3030</v>
      </c>
      <c r="L1118">
        <v>3.6</v>
      </c>
      <c r="M1118">
        <v>336000</v>
      </c>
      <c r="N1118">
        <v>2.5</v>
      </c>
      <c r="O1118">
        <v>5</v>
      </c>
      <c r="P1118" t="s">
        <v>26</v>
      </c>
    </row>
    <row r="1119" spans="1:16" x14ac:dyDescent="0.25">
      <c r="A1119" t="s">
        <v>3204</v>
      </c>
      <c r="B1119" t="s">
        <v>3205</v>
      </c>
      <c r="C1119" t="s">
        <v>18</v>
      </c>
      <c r="D1119" t="s">
        <v>50</v>
      </c>
      <c r="E1119" t="s">
        <v>20</v>
      </c>
      <c r="F1119" t="s">
        <v>128</v>
      </c>
      <c r="G1119" t="s">
        <v>22</v>
      </c>
      <c r="H1119" t="s">
        <v>23</v>
      </c>
      <c r="I1119" t="s">
        <v>24</v>
      </c>
      <c r="J1119" t="s">
        <v>3206</v>
      </c>
      <c r="L1119">
        <v>5.9</v>
      </c>
      <c r="M1119">
        <v>352000</v>
      </c>
      <c r="N1119">
        <v>4.2</v>
      </c>
      <c r="O1119">
        <v>9</v>
      </c>
      <c r="P1119" t="s">
        <v>26</v>
      </c>
    </row>
    <row r="1120" spans="1:16" x14ac:dyDescent="0.25">
      <c r="A1120" t="s">
        <v>3207</v>
      </c>
      <c r="B1120" t="s">
        <v>3208</v>
      </c>
      <c r="C1120" t="s">
        <v>18</v>
      </c>
      <c r="D1120" t="s">
        <v>30</v>
      </c>
      <c r="E1120" t="s">
        <v>20</v>
      </c>
      <c r="F1120" t="s">
        <v>32</v>
      </c>
      <c r="G1120" t="s">
        <v>22</v>
      </c>
      <c r="H1120" t="s">
        <v>23</v>
      </c>
      <c r="I1120" t="s">
        <v>35</v>
      </c>
      <c r="J1120" t="s">
        <v>823</v>
      </c>
      <c r="L1120">
        <v>2</v>
      </c>
      <c r="M1120">
        <v>221000</v>
      </c>
      <c r="N1120">
        <v>2.8</v>
      </c>
      <c r="O1120">
        <v>8</v>
      </c>
      <c r="P1120" t="s">
        <v>26</v>
      </c>
    </row>
    <row r="1121" spans="1:16" x14ac:dyDescent="0.25">
      <c r="A1121" t="s">
        <v>3209</v>
      </c>
      <c r="B1121" t="s">
        <v>3210</v>
      </c>
      <c r="C1121" t="s">
        <v>29</v>
      </c>
      <c r="D1121" t="s">
        <v>30</v>
      </c>
      <c r="E1121" t="s">
        <v>20</v>
      </c>
      <c r="F1121" t="s">
        <v>128</v>
      </c>
      <c r="G1121" t="s">
        <v>80</v>
      </c>
      <c r="H1121" t="s">
        <v>23</v>
      </c>
      <c r="I1121" t="s">
        <v>35</v>
      </c>
      <c r="J1121" t="s">
        <v>2335</v>
      </c>
      <c r="L1121">
        <v>3</v>
      </c>
      <c r="M1121">
        <v>557000</v>
      </c>
      <c r="N1121">
        <v>3.4</v>
      </c>
      <c r="O1121">
        <v>1</v>
      </c>
      <c r="P1121" t="s">
        <v>26</v>
      </c>
    </row>
    <row r="1122" spans="1:16" x14ac:dyDescent="0.25">
      <c r="A1122" t="s">
        <v>3211</v>
      </c>
      <c r="B1122" t="s">
        <v>120</v>
      </c>
      <c r="C1122" t="s">
        <v>18</v>
      </c>
      <c r="D1122" t="s">
        <v>50</v>
      </c>
      <c r="E1122" t="s">
        <v>20</v>
      </c>
      <c r="F1122" t="s">
        <v>128</v>
      </c>
      <c r="G1122" t="s">
        <v>33</v>
      </c>
      <c r="H1122" t="s">
        <v>23</v>
      </c>
      <c r="I1122" t="s">
        <v>35</v>
      </c>
      <c r="J1122" t="s">
        <v>2937</v>
      </c>
      <c r="K1122" t="s">
        <v>2565</v>
      </c>
      <c r="L1122">
        <v>2.4</v>
      </c>
      <c r="M1122">
        <v>516000</v>
      </c>
      <c r="N1122">
        <v>3.7</v>
      </c>
      <c r="O1122">
        <v>2</v>
      </c>
      <c r="P1122" t="s">
        <v>53</v>
      </c>
    </row>
    <row r="1123" spans="1:16" x14ac:dyDescent="0.25">
      <c r="A1123" t="s">
        <v>3212</v>
      </c>
      <c r="B1123" t="s">
        <v>3213</v>
      </c>
      <c r="C1123" t="s">
        <v>18</v>
      </c>
      <c r="D1123" t="s">
        <v>79</v>
      </c>
      <c r="E1123" t="s">
        <v>20</v>
      </c>
      <c r="F1123" t="s">
        <v>21</v>
      </c>
      <c r="G1123" t="s">
        <v>80</v>
      </c>
      <c r="H1123" t="s">
        <v>23</v>
      </c>
      <c r="I1123" t="s">
        <v>35</v>
      </c>
      <c r="J1123" t="s">
        <v>3214</v>
      </c>
      <c r="L1123">
        <v>2.2000000000000002</v>
      </c>
      <c r="N1123">
        <v>4</v>
      </c>
      <c r="P1123" t="s">
        <v>26</v>
      </c>
    </row>
    <row r="1124" spans="1:16" x14ac:dyDescent="0.25">
      <c r="A1124" t="s">
        <v>3215</v>
      </c>
      <c r="B1124" t="s">
        <v>3216</v>
      </c>
      <c r="C1124" t="s">
        <v>29</v>
      </c>
      <c r="D1124" t="s">
        <v>19</v>
      </c>
      <c r="E1124" t="s">
        <v>20</v>
      </c>
      <c r="F1124" t="s">
        <v>32</v>
      </c>
      <c r="G1124" t="s">
        <v>33</v>
      </c>
      <c r="H1124" t="s">
        <v>23</v>
      </c>
      <c r="I1124" t="s">
        <v>57</v>
      </c>
      <c r="J1124" t="s">
        <v>1118</v>
      </c>
      <c r="K1124" t="s">
        <v>1313</v>
      </c>
      <c r="L1124">
        <v>5</v>
      </c>
      <c r="M1124">
        <v>233000</v>
      </c>
      <c r="N1124">
        <v>3.5</v>
      </c>
      <c r="O1124">
        <v>10</v>
      </c>
      <c r="P1124" t="s">
        <v>72</v>
      </c>
    </row>
    <row r="1125" spans="1:16" x14ac:dyDescent="0.25">
      <c r="A1125" t="s">
        <v>3217</v>
      </c>
      <c r="B1125" t="s">
        <v>3218</v>
      </c>
      <c r="D1125" t="s">
        <v>43</v>
      </c>
      <c r="E1125" t="s">
        <v>44</v>
      </c>
      <c r="F1125" t="s">
        <v>32</v>
      </c>
      <c r="G1125" t="s">
        <v>33</v>
      </c>
      <c r="I1125" t="s">
        <v>24</v>
      </c>
      <c r="J1125" t="s">
        <v>709</v>
      </c>
      <c r="L1125">
        <v>2.7</v>
      </c>
      <c r="M1125">
        <v>277000</v>
      </c>
      <c r="N1125">
        <v>2.9</v>
      </c>
      <c r="O1125">
        <v>32</v>
      </c>
      <c r="P1125" t="s">
        <v>26</v>
      </c>
    </row>
    <row r="1126" spans="1:16" x14ac:dyDescent="0.25">
      <c r="A1126" t="s">
        <v>3219</v>
      </c>
      <c r="B1126" t="s">
        <v>3220</v>
      </c>
      <c r="C1126" t="s">
        <v>29</v>
      </c>
      <c r="D1126" t="s">
        <v>79</v>
      </c>
      <c r="E1126" t="s">
        <v>44</v>
      </c>
      <c r="F1126" t="s">
        <v>32</v>
      </c>
      <c r="G1126" t="s">
        <v>80</v>
      </c>
      <c r="H1126" t="s">
        <v>34</v>
      </c>
      <c r="I1126" t="s">
        <v>24</v>
      </c>
      <c r="J1126" t="s">
        <v>3221</v>
      </c>
      <c r="L1126">
        <v>1.7</v>
      </c>
      <c r="N1126">
        <v>2.2000000000000002</v>
      </c>
      <c r="O1126">
        <v>7</v>
      </c>
      <c r="P1126" t="s">
        <v>26</v>
      </c>
    </row>
    <row r="1127" spans="1:16" x14ac:dyDescent="0.25">
      <c r="A1127" t="s">
        <v>3222</v>
      </c>
      <c r="B1127" t="s">
        <v>3223</v>
      </c>
      <c r="C1127" t="s">
        <v>18</v>
      </c>
      <c r="D1127" t="s">
        <v>30</v>
      </c>
      <c r="E1127" t="s">
        <v>20</v>
      </c>
      <c r="F1127" t="s">
        <v>39</v>
      </c>
      <c r="G1127" t="s">
        <v>22</v>
      </c>
      <c r="H1127" t="s">
        <v>23</v>
      </c>
      <c r="I1127" t="s">
        <v>75</v>
      </c>
      <c r="J1127" t="s">
        <v>3224</v>
      </c>
      <c r="L1127">
        <v>4</v>
      </c>
      <c r="M1127">
        <v>95000</v>
      </c>
      <c r="N1127">
        <v>2.6</v>
      </c>
      <c r="O1127">
        <v>7</v>
      </c>
      <c r="P1127" t="s">
        <v>26</v>
      </c>
    </row>
    <row r="1128" spans="1:16" x14ac:dyDescent="0.25">
      <c r="A1128" t="s">
        <v>3225</v>
      </c>
      <c r="B1128" t="s">
        <v>167</v>
      </c>
      <c r="C1128" t="s">
        <v>18</v>
      </c>
      <c r="D1128" t="s">
        <v>30</v>
      </c>
      <c r="E1128" t="s">
        <v>44</v>
      </c>
      <c r="F1128" t="s">
        <v>32</v>
      </c>
      <c r="G1128" t="s">
        <v>80</v>
      </c>
      <c r="H1128" t="s">
        <v>23</v>
      </c>
      <c r="I1128" t="s">
        <v>35</v>
      </c>
      <c r="J1128" t="s">
        <v>3226</v>
      </c>
      <c r="K1128" t="s">
        <v>3227</v>
      </c>
      <c r="L1128">
        <v>6.1</v>
      </c>
      <c r="M1128">
        <v>268000</v>
      </c>
      <c r="O1128">
        <v>6</v>
      </c>
      <c r="P1128" t="s">
        <v>53</v>
      </c>
    </row>
    <row r="1129" spans="1:16" x14ac:dyDescent="0.25">
      <c r="A1129" t="s">
        <v>3228</v>
      </c>
      <c r="B1129" t="s">
        <v>1140</v>
      </c>
      <c r="C1129" t="s">
        <v>18</v>
      </c>
      <c r="D1129" t="s">
        <v>19</v>
      </c>
      <c r="E1129" t="s">
        <v>20</v>
      </c>
      <c r="F1129" t="s">
        <v>39</v>
      </c>
      <c r="G1129" t="s">
        <v>80</v>
      </c>
      <c r="H1129" t="s">
        <v>62</v>
      </c>
      <c r="I1129" t="s">
        <v>35</v>
      </c>
      <c r="J1129" t="s">
        <v>1860</v>
      </c>
      <c r="L1129">
        <v>5</v>
      </c>
      <c r="M1129">
        <v>198000</v>
      </c>
      <c r="N1129">
        <v>4.7</v>
      </c>
      <c r="P1129" t="s">
        <v>26</v>
      </c>
    </row>
    <row r="1130" spans="1:16" x14ac:dyDescent="0.25">
      <c r="A1130" t="s">
        <v>3229</v>
      </c>
      <c r="B1130" t="s">
        <v>3100</v>
      </c>
      <c r="C1130" t="s">
        <v>29</v>
      </c>
      <c r="D1130" t="s">
        <v>19</v>
      </c>
      <c r="E1130" t="s">
        <v>20</v>
      </c>
      <c r="F1130" t="s">
        <v>32</v>
      </c>
      <c r="G1130" t="s">
        <v>80</v>
      </c>
      <c r="H1130" t="s">
        <v>46</v>
      </c>
      <c r="I1130" t="s">
        <v>75</v>
      </c>
      <c r="J1130" t="s">
        <v>2666</v>
      </c>
      <c r="K1130" t="s">
        <v>129</v>
      </c>
      <c r="L1130">
        <v>4.2</v>
      </c>
      <c r="M1130">
        <v>324000</v>
      </c>
      <c r="N1130">
        <v>2.5</v>
      </c>
      <c r="O1130">
        <v>34</v>
      </c>
      <c r="P1130" t="s">
        <v>53</v>
      </c>
    </row>
    <row r="1131" spans="1:16" x14ac:dyDescent="0.25">
      <c r="A1131" t="s">
        <v>3230</v>
      </c>
      <c r="B1131" t="s">
        <v>3231</v>
      </c>
      <c r="C1131" t="s">
        <v>18</v>
      </c>
      <c r="D1131" t="s">
        <v>19</v>
      </c>
      <c r="E1131" t="s">
        <v>20</v>
      </c>
      <c r="F1131" t="s">
        <v>39</v>
      </c>
      <c r="G1131" t="s">
        <v>80</v>
      </c>
      <c r="I1131" t="s">
        <v>57</v>
      </c>
      <c r="J1131" t="s">
        <v>3232</v>
      </c>
      <c r="L1131">
        <v>4.5999999999999996</v>
      </c>
      <c r="M1131">
        <v>155000</v>
      </c>
      <c r="N1131">
        <v>3.5</v>
      </c>
      <c r="O1131">
        <v>9</v>
      </c>
      <c r="P1131" t="s">
        <v>26</v>
      </c>
    </row>
    <row r="1132" spans="1:16" x14ac:dyDescent="0.25">
      <c r="A1132" t="s">
        <v>3233</v>
      </c>
      <c r="B1132" t="s">
        <v>1076</v>
      </c>
      <c r="C1132" t="s">
        <v>29</v>
      </c>
      <c r="E1132" t="s">
        <v>31</v>
      </c>
      <c r="F1132" t="s">
        <v>39</v>
      </c>
      <c r="G1132" t="s">
        <v>80</v>
      </c>
      <c r="H1132" t="s">
        <v>23</v>
      </c>
      <c r="I1132" t="s">
        <v>24</v>
      </c>
      <c r="J1132" t="s">
        <v>3234</v>
      </c>
      <c r="K1132" t="s">
        <v>971</v>
      </c>
      <c r="L1132">
        <v>1.5</v>
      </c>
      <c r="M1132">
        <v>93000</v>
      </c>
      <c r="N1132">
        <v>2.9</v>
      </c>
      <c r="O1132">
        <v>9</v>
      </c>
      <c r="P1132" t="s">
        <v>53</v>
      </c>
    </row>
    <row r="1133" spans="1:16" x14ac:dyDescent="0.25">
      <c r="A1133" t="s">
        <v>3235</v>
      </c>
      <c r="B1133" t="s">
        <v>3236</v>
      </c>
      <c r="C1133" t="s">
        <v>18</v>
      </c>
      <c r="D1133" t="s">
        <v>30</v>
      </c>
      <c r="E1133" t="s">
        <v>20</v>
      </c>
      <c r="F1133" t="s">
        <v>32</v>
      </c>
      <c r="G1133" t="s">
        <v>22</v>
      </c>
      <c r="H1133" t="s">
        <v>34</v>
      </c>
      <c r="J1133" t="s">
        <v>2609</v>
      </c>
      <c r="L1133">
        <v>3.7</v>
      </c>
      <c r="M1133">
        <v>278000</v>
      </c>
      <c r="N1133">
        <v>3</v>
      </c>
      <c r="O1133">
        <v>12</v>
      </c>
      <c r="P1133" t="s">
        <v>26</v>
      </c>
    </row>
    <row r="1134" spans="1:16" x14ac:dyDescent="0.25">
      <c r="A1134" t="s">
        <v>3237</v>
      </c>
      <c r="B1134" t="s">
        <v>768</v>
      </c>
      <c r="C1134" t="s">
        <v>18</v>
      </c>
      <c r="D1134" t="s">
        <v>30</v>
      </c>
      <c r="E1134" t="s">
        <v>31</v>
      </c>
      <c r="F1134" t="s">
        <v>128</v>
      </c>
      <c r="G1134" t="s">
        <v>80</v>
      </c>
      <c r="H1134" t="s">
        <v>34</v>
      </c>
      <c r="I1134" t="s">
        <v>24</v>
      </c>
      <c r="J1134" t="s">
        <v>3238</v>
      </c>
      <c r="L1134">
        <v>1.6</v>
      </c>
      <c r="M1134">
        <v>592000</v>
      </c>
      <c r="N1134">
        <v>4.5999999999999996</v>
      </c>
      <c r="O1134">
        <v>17</v>
      </c>
      <c r="P1134" t="s">
        <v>26</v>
      </c>
    </row>
    <row r="1135" spans="1:16" x14ac:dyDescent="0.25">
      <c r="A1135" t="s">
        <v>3239</v>
      </c>
      <c r="B1135" t="s">
        <v>3240</v>
      </c>
      <c r="C1135" t="s">
        <v>18</v>
      </c>
      <c r="D1135" t="s">
        <v>50</v>
      </c>
      <c r="E1135" t="s">
        <v>20</v>
      </c>
      <c r="F1135" t="s">
        <v>128</v>
      </c>
      <c r="G1135" t="s">
        <v>22</v>
      </c>
      <c r="H1135" t="s">
        <v>23</v>
      </c>
      <c r="I1135" t="s">
        <v>75</v>
      </c>
      <c r="J1135" t="s">
        <v>2034</v>
      </c>
      <c r="L1135">
        <v>1.4</v>
      </c>
      <c r="M1135">
        <v>593000</v>
      </c>
      <c r="N1135">
        <v>2</v>
      </c>
      <c r="O1135">
        <v>2</v>
      </c>
      <c r="P1135" t="s">
        <v>26</v>
      </c>
    </row>
    <row r="1136" spans="1:16" x14ac:dyDescent="0.25">
      <c r="A1136" t="s">
        <v>3241</v>
      </c>
      <c r="B1136" t="s">
        <v>414</v>
      </c>
      <c r="C1136" t="s">
        <v>29</v>
      </c>
      <c r="D1136" t="s">
        <v>19</v>
      </c>
      <c r="E1136" t="s">
        <v>20</v>
      </c>
      <c r="F1136" t="s">
        <v>39</v>
      </c>
      <c r="G1136" t="s">
        <v>80</v>
      </c>
      <c r="H1136" t="s">
        <v>34</v>
      </c>
      <c r="I1136" t="s">
        <v>24</v>
      </c>
      <c r="J1136" t="s">
        <v>850</v>
      </c>
      <c r="K1136" t="s">
        <v>3242</v>
      </c>
      <c r="L1136">
        <v>2.2000000000000002</v>
      </c>
      <c r="M1136">
        <v>144000</v>
      </c>
      <c r="N1136">
        <v>4.5</v>
      </c>
      <c r="O1136">
        <v>6</v>
      </c>
      <c r="P1136" t="s">
        <v>53</v>
      </c>
    </row>
    <row r="1137" spans="1:16" x14ac:dyDescent="0.25">
      <c r="A1137" t="s">
        <v>3243</v>
      </c>
      <c r="B1137" t="s">
        <v>509</v>
      </c>
      <c r="C1137" t="s">
        <v>29</v>
      </c>
      <c r="D1137" t="s">
        <v>19</v>
      </c>
      <c r="E1137" t="s">
        <v>31</v>
      </c>
      <c r="F1137" t="s">
        <v>128</v>
      </c>
      <c r="G1137" t="s">
        <v>80</v>
      </c>
      <c r="H1137" t="s">
        <v>23</v>
      </c>
      <c r="I1137" t="s">
        <v>57</v>
      </c>
      <c r="J1137" t="s">
        <v>2756</v>
      </c>
      <c r="L1137">
        <v>3.9</v>
      </c>
      <c r="M1137">
        <v>612000</v>
      </c>
      <c r="N1137">
        <v>2.8</v>
      </c>
      <c r="O1137">
        <v>8</v>
      </c>
      <c r="P1137" t="s">
        <v>26</v>
      </c>
    </row>
    <row r="1138" spans="1:16" x14ac:dyDescent="0.25">
      <c r="A1138" t="s">
        <v>3244</v>
      </c>
      <c r="B1138" t="s">
        <v>2126</v>
      </c>
      <c r="C1138" t="s">
        <v>18</v>
      </c>
      <c r="D1138" t="s">
        <v>19</v>
      </c>
      <c r="E1138" t="s">
        <v>44</v>
      </c>
      <c r="F1138" t="s">
        <v>39</v>
      </c>
      <c r="G1138" t="s">
        <v>22</v>
      </c>
      <c r="H1138" t="s">
        <v>23</v>
      </c>
      <c r="I1138" t="s">
        <v>24</v>
      </c>
      <c r="J1138" t="s">
        <v>3245</v>
      </c>
      <c r="K1138" t="s">
        <v>2384</v>
      </c>
      <c r="L1138">
        <v>4.3</v>
      </c>
      <c r="M1138">
        <v>198000</v>
      </c>
      <c r="N1138">
        <v>4</v>
      </c>
      <c r="O1138">
        <v>5</v>
      </c>
      <c r="P1138" t="s">
        <v>53</v>
      </c>
    </row>
    <row r="1139" spans="1:16" x14ac:dyDescent="0.25">
      <c r="A1139" t="s">
        <v>3246</v>
      </c>
      <c r="B1139" t="s">
        <v>3247</v>
      </c>
      <c r="C1139" t="s">
        <v>29</v>
      </c>
      <c r="D1139" t="s">
        <v>2782</v>
      </c>
      <c r="E1139" t="s">
        <v>44</v>
      </c>
      <c r="F1139" t="s">
        <v>128</v>
      </c>
      <c r="G1139" t="s">
        <v>22</v>
      </c>
      <c r="H1139" t="s">
        <v>62</v>
      </c>
      <c r="I1139" t="s">
        <v>24</v>
      </c>
      <c r="J1139" t="s">
        <v>2037</v>
      </c>
      <c r="K1139" t="s">
        <v>3248</v>
      </c>
      <c r="L1139">
        <v>1.9</v>
      </c>
      <c r="M1139">
        <v>521000</v>
      </c>
      <c r="N1139">
        <v>4.5</v>
      </c>
      <c r="O1139">
        <v>14</v>
      </c>
      <c r="P1139" t="s">
        <v>53</v>
      </c>
    </row>
    <row r="1140" spans="1:16" x14ac:dyDescent="0.25">
      <c r="A1140" t="s">
        <v>3249</v>
      </c>
      <c r="B1140" t="s">
        <v>3250</v>
      </c>
      <c r="C1140" t="s">
        <v>29</v>
      </c>
      <c r="E1140" t="s">
        <v>20</v>
      </c>
      <c r="F1140" t="s">
        <v>39</v>
      </c>
      <c r="G1140" t="s">
        <v>33</v>
      </c>
      <c r="H1140" t="s">
        <v>46</v>
      </c>
      <c r="I1140" t="s">
        <v>24</v>
      </c>
      <c r="J1140" t="s">
        <v>478</v>
      </c>
      <c r="L1140">
        <v>1.3</v>
      </c>
      <c r="M1140">
        <v>139000</v>
      </c>
      <c r="N1140">
        <v>2</v>
      </c>
      <c r="O1140">
        <v>8</v>
      </c>
      <c r="P1140" t="s">
        <v>26</v>
      </c>
    </row>
    <row r="1141" spans="1:16" x14ac:dyDescent="0.25">
      <c r="A1141" t="s">
        <v>3251</v>
      </c>
      <c r="B1141" t="s">
        <v>3252</v>
      </c>
      <c r="C1141" t="s">
        <v>29</v>
      </c>
      <c r="D1141" t="s">
        <v>50</v>
      </c>
      <c r="E1141" t="s">
        <v>44</v>
      </c>
      <c r="F1141" t="s">
        <v>32</v>
      </c>
      <c r="G1141" t="s">
        <v>22</v>
      </c>
      <c r="H1141" t="s">
        <v>34</v>
      </c>
      <c r="I1141" t="s">
        <v>57</v>
      </c>
      <c r="J1141" t="s">
        <v>3253</v>
      </c>
      <c r="L1141">
        <v>2.6</v>
      </c>
      <c r="M1141">
        <v>321000</v>
      </c>
      <c r="N1141">
        <v>4.4000000000000004</v>
      </c>
      <c r="O1141">
        <v>10</v>
      </c>
      <c r="P1141" t="s">
        <v>26</v>
      </c>
    </row>
    <row r="1142" spans="1:16" x14ac:dyDescent="0.25">
      <c r="A1142" t="s">
        <v>3254</v>
      </c>
      <c r="B1142" t="s">
        <v>3255</v>
      </c>
      <c r="C1142" t="s">
        <v>18</v>
      </c>
      <c r="D1142" t="s">
        <v>50</v>
      </c>
      <c r="E1142" t="s">
        <v>20</v>
      </c>
      <c r="F1142" t="s">
        <v>39</v>
      </c>
      <c r="G1142" t="s">
        <v>22</v>
      </c>
      <c r="H1142" t="s">
        <v>34</v>
      </c>
      <c r="I1142" t="s">
        <v>57</v>
      </c>
      <c r="J1142" t="s">
        <v>3256</v>
      </c>
      <c r="K1142" t="s">
        <v>3257</v>
      </c>
      <c r="L1142">
        <v>2.6</v>
      </c>
      <c r="M1142">
        <v>152000</v>
      </c>
      <c r="N1142">
        <v>3.4</v>
      </c>
      <c r="O1142">
        <v>12</v>
      </c>
      <c r="P1142" t="s">
        <v>114</v>
      </c>
    </row>
    <row r="1143" spans="1:16" x14ac:dyDescent="0.25">
      <c r="A1143" t="s">
        <v>3258</v>
      </c>
      <c r="B1143" t="s">
        <v>3259</v>
      </c>
      <c r="C1143" t="s">
        <v>18</v>
      </c>
      <c r="D1143" t="s">
        <v>50</v>
      </c>
      <c r="E1143" t="s">
        <v>20</v>
      </c>
      <c r="F1143" t="s">
        <v>39</v>
      </c>
      <c r="G1143" t="s">
        <v>33</v>
      </c>
      <c r="H1143" t="s">
        <v>23</v>
      </c>
      <c r="I1143" t="s">
        <v>75</v>
      </c>
      <c r="J1143" t="s">
        <v>1225</v>
      </c>
      <c r="L1143">
        <v>4.3</v>
      </c>
      <c r="M1143">
        <v>169000</v>
      </c>
      <c r="N1143">
        <v>2.4</v>
      </c>
      <c r="O1143">
        <v>22</v>
      </c>
      <c r="P1143" t="s">
        <v>26</v>
      </c>
    </row>
    <row r="1144" spans="1:16" x14ac:dyDescent="0.25">
      <c r="A1144" t="s">
        <v>3260</v>
      </c>
      <c r="B1144" t="s">
        <v>3261</v>
      </c>
      <c r="C1144" t="s">
        <v>18</v>
      </c>
      <c r="D1144" t="s">
        <v>79</v>
      </c>
      <c r="E1144" t="s">
        <v>20</v>
      </c>
      <c r="F1144" t="s">
        <v>32</v>
      </c>
      <c r="G1144" t="s">
        <v>69</v>
      </c>
      <c r="H1144" t="s">
        <v>62</v>
      </c>
      <c r="I1144" t="s">
        <v>171</v>
      </c>
      <c r="J1144" t="s">
        <v>2687</v>
      </c>
      <c r="K1144" t="s">
        <v>1465</v>
      </c>
      <c r="L1144">
        <v>2</v>
      </c>
      <c r="M1144">
        <v>249000</v>
      </c>
      <c r="N1144">
        <v>3.9</v>
      </c>
      <c r="O1144">
        <v>0</v>
      </c>
      <c r="P1144" t="s">
        <v>114</v>
      </c>
    </row>
    <row r="1145" spans="1:16" x14ac:dyDescent="0.25">
      <c r="A1145" t="s">
        <v>3262</v>
      </c>
      <c r="B1145" t="s">
        <v>3263</v>
      </c>
      <c r="C1145" t="s">
        <v>18</v>
      </c>
      <c r="D1145" t="s">
        <v>30</v>
      </c>
      <c r="E1145" t="s">
        <v>20</v>
      </c>
      <c r="F1145" t="s">
        <v>39</v>
      </c>
      <c r="G1145" t="s">
        <v>33</v>
      </c>
      <c r="H1145" t="s">
        <v>34</v>
      </c>
      <c r="I1145" t="s">
        <v>57</v>
      </c>
      <c r="J1145" t="s">
        <v>3264</v>
      </c>
      <c r="L1145">
        <v>2.7</v>
      </c>
      <c r="M1145">
        <v>139000</v>
      </c>
      <c r="N1145">
        <v>2.2000000000000002</v>
      </c>
      <c r="P1145" t="s">
        <v>26</v>
      </c>
    </row>
    <row r="1146" spans="1:16" x14ac:dyDescent="0.25">
      <c r="A1146" t="s">
        <v>3265</v>
      </c>
      <c r="B1146" t="s">
        <v>1560</v>
      </c>
      <c r="C1146" t="s">
        <v>18</v>
      </c>
      <c r="D1146" t="s">
        <v>50</v>
      </c>
      <c r="E1146" t="s">
        <v>20</v>
      </c>
      <c r="F1146" t="s">
        <v>32</v>
      </c>
      <c r="G1146" t="s">
        <v>80</v>
      </c>
      <c r="H1146" t="s">
        <v>62</v>
      </c>
      <c r="I1146" t="s">
        <v>57</v>
      </c>
      <c r="J1146" t="s">
        <v>3266</v>
      </c>
      <c r="L1146">
        <v>6</v>
      </c>
      <c r="M1146">
        <v>223000</v>
      </c>
      <c r="N1146">
        <v>3.2</v>
      </c>
      <c r="O1146">
        <v>6</v>
      </c>
      <c r="P1146" t="s">
        <v>26</v>
      </c>
    </row>
    <row r="1147" spans="1:16" x14ac:dyDescent="0.25">
      <c r="A1147" t="s">
        <v>3267</v>
      </c>
      <c r="B1147" t="s">
        <v>3268</v>
      </c>
      <c r="C1147" t="s">
        <v>18</v>
      </c>
      <c r="D1147" t="s">
        <v>30</v>
      </c>
      <c r="E1147" t="s">
        <v>20</v>
      </c>
      <c r="F1147" t="s">
        <v>21</v>
      </c>
      <c r="G1147" t="s">
        <v>22</v>
      </c>
      <c r="H1147" t="s">
        <v>23</v>
      </c>
      <c r="I1147" t="s">
        <v>57</v>
      </c>
      <c r="J1147" t="s">
        <v>165</v>
      </c>
      <c r="L1147">
        <v>1.7</v>
      </c>
      <c r="M1147">
        <v>655000</v>
      </c>
      <c r="N1147">
        <v>4.7</v>
      </c>
      <c r="O1147">
        <v>1</v>
      </c>
      <c r="P1147" t="s">
        <v>26</v>
      </c>
    </row>
    <row r="1148" spans="1:16" x14ac:dyDescent="0.25">
      <c r="A1148" t="s">
        <v>3269</v>
      </c>
      <c r="B1148" t="s">
        <v>1826</v>
      </c>
      <c r="C1148" t="s">
        <v>29</v>
      </c>
      <c r="D1148" t="s">
        <v>19</v>
      </c>
      <c r="E1148" t="s">
        <v>20</v>
      </c>
      <c r="F1148" t="s">
        <v>39</v>
      </c>
      <c r="G1148" t="s">
        <v>22</v>
      </c>
      <c r="H1148" t="s">
        <v>23</v>
      </c>
      <c r="I1148" t="s">
        <v>24</v>
      </c>
      <c r="J1148" t="s">
        <v>3270</v>
      </c>
      <c r="L1148">
        <v>6.2</v>
      </c>
      <c r="M1148">
        <v>107000</v>
      </c>
      <c r="N1148">
        <v>4.4000000000000004</v>
      </c>
      <c r="O1148">
        <v>9</v>
      </c>
      <c r="P1148" t="s">
        <v>26</v>
      </c>
    </row>
    <row r="1149" spans="1:16" x14ac:dyDescent="0.25">
      <c r="A1149" t="s">
        <v>3271</v>
      </c>
      <c r="B1149" t="s">
        <v>3272</v>
      </c>
      <c r="C1149" t="s">
        <v>29</v>
      </c>
      <c r="D1149" t="s">
        <v>50</v>
      </c>
      <c r="E1149" t="s">
        <v>20</v>
      </c>
      <c r="F1149" t="s">
        <v>32</v>
      </c>
      <c r="G1149" t="s">
        <v>22</v>
      </c>
      <c r="H1149" t="s">
        <v>34</v>
      </c>
      <c r="I1149" t="s">
        <v>35</v>
      </c>
      <c r="J1149" t="s">
        <v>2713</v>
      </c>
      <c r="K1149" t="s">
        <v>3273</v>
      </c>
      <c r="L1149">
        <v>3.4</v>
      </c>
      <c r="M1149">
        <v>234000</v>
      </c>
      <c r="N1149">
        <v>2.2999999999999998</v>
      </c>
      <c r="O1149">
        <v>11</v>
      </c>
      <c r="P1149" t="s">
        <v>53</v>
      </c>
    </row>
    <row r="1150" spans="1:16" x14ac:dyDescent="0.25">
      <c r="A1150" t="s">
        <v>3274</v>
      </c>
      <c r="B1150" t="s">
        <v>3275</v>
      </c>
      <c r="C1150" t="s">
        <v>18</v>
      </c>
      <c r="D1150" t="s">
        <v>19</v>
      </c>
      <c r="E1150" t="s">
        <v>44</v>
      </c>
      <c r="F1150" t="s">
        <v>128</v>
      </c>
      <c r="G1150" t="s">
        <v>22</v>
      </c>
      <c r="H1150" t="s">
        <v>46</v>
      </c>
      <c r="I1150" t="s">
        <v>35</v>
      </c>
      <c r="J1150" t="s">
        <v>3276</v>
      </c>
      <c r="L1150">
        <v>3.2</v>
      </c>
      <c r="M1150">
        <v>660000</v>
      </c>
      <c r="N1150">
        <v>4.5999999999999996</v>
      </c>
      <c r="O1150">
        <v>11</v>
      </c>
      <c r="P1150" t="s">
        <v>26</v>
      </c>
    </row>
    <row r="1151" spans="1:16" x14ac:dyDescent="0.25">
      <c r="A1151" t="s">
        <v>3277</v>
      </c>
      <c r="B1151" t="s">
        <v>3278</v>
      </c>
      <c r="C1151" t="s">
        <v>18</v>
      </c>
      <c r="D1151" t="s">
        <v>30</v>
      </c>
      <c r="E1151" t="s">
        <v>20</v>
      </c>
      <c r="F1151" t="s">
        <v>21</v>
      </c>
      <c r="G1151" t="s">
        <v>69</v>
      </c>
      <c r="H1151" t="s">
        <v>23</v>
      </c>
      <c r="I1151" t="s">
        <v>24</v>
      </c>
      <c r="J1151" t="s">
        <v>3279</v>
      </c>
      <c r="K1151" t="s">
        <v>761</v>
      </c>
      <c r="L1151">
        <v>3.3</v>
      </c>
      <c r="M1151">
        <v>878000</v>
      </c>
      <c r="N1151">
        <v>3.6</v>
      </c>
      <c r="O1151">
        <v>8</v>
      </c>
      <c r="P1151" t="s">
        <v>53</v>
      </c>
    </row>
    <row r="1152" spans="1:16" x14ac:dyDescent="0.25">
      <c r="A1152" t="s">
        <v>3280</v>
      </c>
      <c r="B1152" t="s">
        <v>3281</v>
      </c>
      <c r="C1152" t="s">
        <v>18</v>
      </c>
      <c r="D1152" t="s">
        <v>43</v>
      </c>
      <c r="E1152" t="s">
        <v>31</v>
      </c>
      <c r="F1152" t="s">
        <v>21</v>
      </c>
      <c r="G1152" t="s">
        <v>22</v>
      </c>
      <c r="H1152" t="s">
        <v>46</v>
      </c>
      <c r="I1152" t="s">
        <v>24</v>
      </c>
      <c r="J1152" t="s">
        <v>3282</v>
      </c>
      <c r="L1152">
        <v>3.4</v>
      </c>
      <c r="M1152">
        <v>610000</v>
      </c>
      <c r="O1152">
        <v>10</v>
      </c>
      <c r="P1152" t="s">
        <v>26</v>
      </c>
    </row>
    <row r="1153" spans="1:16" x14ac:dyDescent="0.25">
      <c r="A1153" t="s">
        <v>3283</v>
      </c>
      <c r="B1153" t="s">
        <v>1969</v>
      </c>
      <c r="C1153" t="s">
        <v>18</v>
      </c>
      <c r="D1153" t="s">
        <v>43</v>
      </c>
      <c r="E1153" t="s">
        <v>20</v>
      </c>
      <c r="F1153" t="s">
        <v>128</v>
      </c>
      <c r="G1153" t="s">
        <v>22</v>
      </c>
      <c r="H1153" t="s">
        <v>46</v>
      </c>
      <c r="I1153" t="s">
        <v>75</v>
      </c>
      <c r="J1153" t="s">
        <v>3284</v>
      </c>
      <c r="L1153">
        <v>2.2000000000000002</v>
      </c>
      <c r="M1153">
        <v>438000</v>
      </c>
      <c r="N1153">
        <v>3.2</v>
      </c>
      <c r="O1153">
        <v>3</v>
      </c>
      <c r="P1153" t="s">
        <v>26</v>
      </c>
    </row>
    <row r="1154" spans="1:16" x14ac:dyDescent="0.25">
      <c r="A1154" t="s">
        <v>3285</v>
      </c>
      <c r="B1154" t="s">
        <v>2020</v>
      </c>
      <c r="C1154" t="s">
        <v>29</v>
      </c>
      <c r="D1154" t="s">
        <v>30</v>
      </c>
      <c r="E1154" t="s">
        <v>20</v>
      </c>
      <c r="F1154" t="s">
        <v>39</v>
      </c>
      <c r="G1154" t="s">
        <v>22</v>
      </c>
      <c r="H1154" t="s">
        <v>34</v>
      </c>
      <c r="I1154" t="s">
        <v>57</v>
      </c>
      <c r="J1154" t="s">
        <v>285</v>
      </c>
      <c r="L1154">
        <v>4.5</v>
      </c>
      <c r="M1154">
        <v>118000</v>
      </c>
      <c r="N1154">
        <v>2.4</v>
      </c>
      <c r="O1154">
        <v>3</v>
      </c>
      <c r="P1154" t="s">
        <v>26</v>
      </c>
    </row>
    <row r="1155" spans="1:16" x14ac:dyDescent="0.25">
      <c r="A1155" t="s">
        <v>3286</v>
      </c>
      <c r="B1155" t="s">
        <v>3287</v>
      </c>
      <c r="C1155" t="s">
        <v>18</v>
      </c>
      <c r="D1155" t="s">
        <v>19</v>
      </c>
      <c r="E1155" t="s">
        <v>20</v>
      </c>
      <c r="F1155" t="s">
        <v>39</v>
      </c>
      <c r="G1155" t="s">
        <v>80</v>
      </c>
      <c r="H1155" t="s">
        <v>23</v>
      </c>
      <c r="I1155" t="s">
        <v>35</v>
      </c>
      <c r="J1155" t="s">
        <v>3288</v>
      </c>
      <c r="L1155">
        <v>3.5</v>
      </c>
      <c r="M1155">
        <v>186000</v>
      </c>
      <c r="N1155">
        <v>2.9</v>
      </c>
      <c r="O1155">
        <v>13</v>
      </c>
      <c r="P1155" t="s">
        <v>26</v>
      </c>
    </row>
    <row r="1156" spans="1:16" x14ac:dyDescent="0.25">
      <c r="A1156" t="s">
        <v>3289</v>
      </c>
      <c r="B1156" t="s">
        <v>3290</v>
      </c>
      <c r="C1156" t="s">
        <v>18</v>
      </c>
      <c r="D1156" t="s">
        <v>30</v>
      </c>
      <c r="E1156" t="s">
        <v>44</v>
      </c>
      <c r="F1156" t="s">
        <v>39</v>
      </c>
      <c r="G1156" t="s">
        <v>69</v>
      </c>
      <c r="H1156" t="s">
        <v>23</v>
      </c>
      <c r="I1156" t="s">
        <v>24</v>
      </c>
      <c r="J1156" t="s">
        <v>3291</v>
      </c>
      <c r="K1156" t="s">
        <v>227</v>
      </c>
      <c r="L1156">
        <v>6.1</v>
      </c>
      <c r="M1156">
        <v>160000</v>
      </c>
      <c r="N1156">
        <v>1.8</v>
      </c>
      <c r="O1156">
        <v>2</v>
      </c>
      <c r="P1156" t="s">
        <v>53</v>
      </c>
    </row>
    <row r="1157" spans="1:16" x14ac:dyDescent="0.25">
      <c r="A1157" t="s">
        <v>3292</v>
      </c>
      <c r="B1157" t="s">
        <v>3293</v>
      </c>
      <c r="C1157" t="s">
        <v>29</v>
      </c>
      <c r="E1157" t="s">
        <v>31</v>
      </c>
      <c r="F1157" t="s">
        <v>32</v>
      </c>
      <c r="G1157" t="s">
        <v>22</v>
      </c>
      <c r="H1157" t="s">
        <v>62</v>
      </c>
      <c r="I1157" t="s">
        <v>57</v>
      </c>
      <c r="J1157" t="s">
        <v>1429</v>
      </c>
      <c r="K1157" t="s">
        <v>3294</v>
      </c>
      <c r="L1157">
        <v>1.5</v>
      </c>
      <c r="M1157">
        <v>269000</v>
      </c>
      <c r="N1157">
        <v>4.5999999999999996</v>
      </c>
      <c r="O1157">
        <v>3</v>
      </c>
      <c r="P1157" t="s">
        <v>53</v>
      </c>
    </row>
    <row r="1158" spans="1:16" x14ac:dyDescent="0.25">
      <c r="A1158" t="s">
        <v>3295</v>
      </c>
      <c r="B1158" t="s">
        <v>3296</v>
      </c>
      <c r="C1158" t="s">
        <v>18</v>
      </c>
      <c r="D1158" t="s">
        <v>79</v>
      </c>
      <c r="E1158" t="s">
        <v>20</v>
      </c>
      <c r="F1158" t="s">
        <v>21</v>
      </c>
      <c r="G1158" t="s">
        <v>22</v>
      </c>
      <c r="H1158" t="s">
        <v>46</v>
      </c>
      <c r="I1158" t="s">
        <v>35</v>
      </c>
      <c r="J1158" t="s">
        <v>3297</v>
      </c>
      <c r="L1158">
        <v>1.7</v>
      </c>
      <c r="M1158">
        <v>796000</v>
      </c>
      <c r="N1158">
        <v>4.7</v>
      </c>
      <c r="O1158">
        <v>6</v>
      </c>
      <c r="P1158" t="s">
        <v>26</v>
      </c>
    </row>
    <row r="1159" spans="1:16" x14ac:dyDescent="0.25">
      <c r="A1159" t="s">
        <v>3298</v>
      </c>
      <c r="B1159" t="s">
        <v>3299</v>
      </c>
      <c r="C1159" t="s">
        <v>29</v>
      </c>
      <c r="D1159" t="s">
        <v>43</v>
      </c>
      <c r="F1159" t="s">
        <v>32</v>
      </c>
      <c r="G1159" t="s">
        <v>80</v>
      </c>
      <c r="H1159" t="s">
        <v>34</v>
      </c>
      <c r="I1159" t="s">
        <v>57</v>
      </c>
      <c r="J1159" t="s">
        <v>2000</v>
      </c>
      <c r="L1159">
        <v>4.7</v>
      </c>
      <c r="M1159">
        <v>285000</v>
      </c>
      <c r="N1159">
        <v>3.5</v>
      </c>
      <c r="O1159">
        <v>10</v>
      </c>
      <c r="P1159" t="s">
        <v>26</v>
      </c>
    </row>
    <row r="1160" spans="1:16" x14ac:dyDescent="0.25">
      <c r="A1160" t="s">
        <v>3300</v>
      </c>
      <c r="B1160" t="s">
        <v>3301</v>
      </c>
      <c r="C1160" t="s">
        <v>29</v>
      </c>
      <c r="D1160" t="s">
        <v>30</v>
      </c>
      <c r="F1160" t="s">
        <v>32</v>
      </c>
      <c r="G1160" t="s">
        <v>69</v>
      </c>
      <c r="H1160" t="s">
        <v>23</v>
      </c>
      <c r="I1160" t="s">
        <v>24</v>
      </c>
      <c r="J1160" t="s">
        <v>3302</v>
      </c>
      <c r="L1160">
        <v>4.9000000000000004</v>
      </c>
      <c r="M1160">
        <v>337000</v>
      </c>
      <c r="N1160">
        <v>4.2</v>
      </c>
      <c r="O1160">
        <v>4</v>
      </c>
      <c r="P1160" t="s">
        <v>26</v>
      </c>
    </row>
    <row r="1161" spans="1:16" x14ac:dyDescent="0.25">
      <c r="A1161" t="s">
        <v>3303</v>
      </c>
      <c r="B1161" t="s">
        <v>3304</v>
      </c>
      <c r="C1161" t="s">
        <v>18</v>
      </c>
      <c r="D1161" t="s">
        <v>50</v>
      </c>
      <c r="E1161" t="s">
        <v>44</v>
      </c>
      <c r="F1161" t="s">
        <v>32</v>
      </c>
      <c r="G1161" t="s">
        <v>80</v>
      </c>
      <c r="H1161" t="s">
        <v>46</v>
      </c>
      <c r="I1161" t="s">
        <v>35</v>
      </c>
      <c r="J1161" t="s">
        <v>3305</v>
      </c>
      <c r="L1161">
        <v>5</v>
      </c>
      <c r="M1161">
        <v>258000</v>
      </c>
      <c r="N1161">
        <v>2.2000000000000002</v>
      </c>
      <c r="P1161" t="s">
        <v>26</v>
      </c>
    </row>
    <row r="1162" spans="1:16" x14ac:dyDescent="0.25">
      <c r="A1162" t="s">
        <v>3306</v>
      </c>
      <c r="B1162" t="s">
        <v>3307</v>
      </c>
      <c r="C1162" t="s">
        <v>29</v>
      </c>
      <c r="D1162" t="s">
        <v>50</v>
      </c>
      <c r="E1162" t="s">
        <v>31</v>
      </c>
      <c r="F1162" t="s">
        <v>21</v>
      </c>
      <c r="G1162" t="s">
        <v>80</v>
      </c>
      <c r="H1162" t="s">
        <v>46</v>
      </c>
      <c r="I1162" t="s">
        <v>24</v>
      </c>
      <c r="J1162" t="s">
        <v>3308</v>
      </c>
      <c r="L1162">
        <v>1.8</v>
      </c>
      <c r="M1162">
        <v>800000</v>
      </c>
      <c r="N1162">
        <v>3</v>
      </c>
      <c r="O1162">
        <v>8</v>
      </c>
      <c r="P1162" t="s">
        <v>26</v>
      </c>
    </row>
    <row r="1163" spans="1:16" x14ac:dyDescent="0.25">
      <c r="A1163" t="s">
        <v>3309</v>
      </c>
      <c r="B1163" t="s">
        <v>3124</v>
      </c>
      <c r="C1163" t="s">
        <v>29</v>
      </c>
      <c r="D1163" t="s">
        <v>43</v>
      </c>
      <c r="E1163" t="s">
        <v>44</v>
      </c>
      <c r="F1163" t="s">
        <v>32</v>
      </c>
      <c r="G1163" t="s">
        <v>22</v>
      </c>
      <c r="H1163" t="s">
        <v>34</v>
      </c>
      <c r="I1163" t="s">
        <v>24</v>
      </c>
      <c r="J1163" t="s">
        <v>327</v>
      </c>
      <c r="L1163">
        <v>3.8</v>
      </c>
      <c r="M1163">
        <v>223000</v>
      </c>
      <c r="N1163">
        <v>4</v>
      </c>
      <c r="O1163">
        <v>25</v>
      </c>
      <c r="P1163" t="s">
        <v>26</v>
      </c>
    </row>
    <row r="1164" spans="1:16" x14ac:dyDescent="0.25">
      <c r="A1164" t="s">
        <v>3310</v>
      </c>
      <c r="B1164" t="s">
        <v>3311</v>
      </c>
      <c r="C1164" t="s">
        <v>29</v>
      </c>
      <c r="D1164" t="s">
        <v>50</v>
      </c>
      <c r="E1164" t="s">
        <v>20</v>
      </c>
      <c r="F1164" t="s">
        <v>128</v>
      </c>
      <c r="G1164" t="s">
        <v>33</v>
      </c>
      <c r="H1164" t="s">
        <v>34</v>
      </c>
      <c r="I1164" t="s">
        <v>35</v>
      </c>
      <c r="J1164" t="s">
        <v>165</v>
      </c>
      <c r="L1164">
        <v>1.7</v>
      </c>
      <c r="M1164">
        <v>458000</v>
      </c>
      <c r="N1164">
        <v>4.5999999999999996</v>
      </c>
      <c r="O1164">
        <v>13</v>
      </c>
      <c r="P1164" t="s">
        <v>26</v>
      </c>
    </row>
    <row r="1165" spans="1:16" x14ac:dyDescent="0.25">
      <c r="A1165" t="s">
        <v>3312</v>
      </c>
      <c r="B1165" t="s">
        <v>3313</v>
      </c>
      <c r="C1165" t="s">
        <v>29</v>
      </c>
      <c r="D1165" t="s">
        <v>50</v>
      </c>
      <c r="E1165" t="s">
        <v>20</v>
      </c>
      <c r="F1165" t="s">
        <v>128</v>
      </c>
      <c r="G1165" t="s">
        <v>80</v>
      </c>
      <c r="H1165" t="s">
        <v>46</v>
      </c>
      <c r="I1165" t="s">
        <v>57</v>
      </c>
      <c r="J1165" t="s">
        <v>3314</v>
      </c>
      <c r="K1165" t="s">
        <v>3315</v>
      </c>
      <c r="L1165">
        <v>6</v>
      </c>
      <c r="M1165">
        <v>447000</v>
      </c>
      <c r="O1165">
        <v>13</v>
      </c>
      <c r="P1165" t="s">
        <v>72</v>
      </c>
    </row>
    <row r="1166" spans="1:16" x14ac:dyDescent="0.25">
      <c r="A1166" t="s">
        <v>3316</v>
      </c>
      <c r="B1166" t="s">
        <v>3317</v>
      </c>
      <c r="C1166" t="s">
        <v>29</v>
      </c>
      <c r="D1166" t="s">
        <v>30</v>
      </c>
      <c r="E1166" t="s">
        <v>20</v>
      </c>
      <c r="F1166" t="s">
        <v>21</v>
      </c>
      <c r="G1166" t="s">
        <v>80</v>
      </c>
      <c r="H1166" t="s">
        <v>23</v>
      </c>
      <c r="I1166" t="s">
        <v>24</v>
      </c>
      <c r="J1166" t="s">
        <v>3014</v>
      </c>
      <c r="L1166">
        <v>4.5</v>
      </c>
      <c r="M1166">
        <v>688000</v>
      </c>
      <c r="N1166">
        <v>4.7</v>
      </c>
      <c r="O1166">
        <v>5</v>
      </c>
      <c r="P1166" t="s">
        <v>26</v>
      </c>
    </row>
    <row r="1167" spans="1:16" x14ac:dyDescent="0.25">
      <c r="A1167" t="s">
        <v>3318</v>
      </c>
      <c r="B1167" t="s">
        <v>3319</v>
      </c>
      <c r="C1167" t="s">
        <v>18</v>
      </c>
      <c r="D1167" t="s">
        <v>19</v>
      </c>
      <c r="E1167" t="s">
        <v>20</v>
      </c>
      <c r="F1167" t="s">
        <v>39</v>
      </c>
      <c r="G1167" t="s">
        <v>80</v>
      </c>
      <c r="H1167" t="s">
        <v>62</v>
      </c>
      <c r="I1167" t="s">
        <v>35</v>
      </c>
      <c r="J1167" t="s">
        <v>3320</v>
      </c>
      <c r="L1167">
        <v>1.7</v>
      </c>
      <c r="M1167">
        <v>160000</v>
      </c>
      <c r="N1167">
        <v>4.0999999999999996</v>
      </c>
      <c r="O1167">
        <v>14</v>
      </c>
      <c r="P1167" t="s">
        <v>26</v>
      </c>
    </row>
    <row r="1168" spans="1:16" x14ac:dyDescent="0.25">
      <c r="A1168" t="s">
        <v>3321</v>
      </c>
      <c r="B1168" t="s">
        <v>3322</v>
      </c>
      <c r="C1168" t="s">
        <v>29</v>
      </c>
      <c r="D1168" t="s">
        <v>50</v>
      </c>
      <c r="E1168" t="s">
        <v>20</v>
      </c>
      <c r="F1168" t="s">
        <v>32</v>
      </c>
      <c r="G1168" t="s">
        <v>33</v>
      </c>
      <c r="H1168" t="s">
        <v>34</v>
      </c>
      <c r="I1168" t="s">
        <v>171</v>
      </c>
      <c r="J1168" t="s">
        <v>408</v>
      </c>
      <c r="L1168">
        <v>4</v>
      </c>
      <c r="M1168">
        <v>260000</v>
      </c>
      <c r="N1168">
        <v>4.9000000000000004</v>
      </c>
      <c r="P1168" t="s">
        <v>26</v>
      </c>
    </row>
    <row r="1169" spans="1:16" x14ac:dyDescent="0.25">
      <c r="A1169" t="s">
        <v>3323</v>
      </c>
      <c r="B1169" t="s">
        <v>3008</v>
      </c>
      <c r="C1169" t="s">
        <v>18</v>
      </c>
      <c r="D1169" t="s">
        <v>30</v>
      </c>
      <c r="E1169" t="s">
        <v>31</v>
      </c>
      <c r="F1169" t="s">
        <v>128</v>
      </c>
      <c r="G1169" t="s">
        <v>22</v>
      </c>
      <c r="H1169" t="s">
        <v>23</v>
      </c>
      <c r="I1169" t="s">
        <v>75</v>
      </c>
      <c r="J1169" t="s">
        <v>182</v>
      </c>
      <c r="L1169">
        <v>1.6</v>
      </c>
      <c r="M1169">
        <v>355000</v>
      </c>
      <c r="N1169">
        <v>3.7</v>
      </c>
      <c r="O1169">
        <v>40</v>
      </c>
      <c r="P1169" t="s">
        <v>26</v>
      </c>
    </row>
    <row r="1170" spans="1:16" x14ac:dyDescent="0.25">
      <c r="A1170" t="s">
        <v>3324</v>
      </c>
      <c r="B1170" t="s">
        <v>3325</v>
      </c>
      <c r="C1170" t="s">
        <v>29</v>
      </c>
      <c r="D1170" t="s">
        <v>30</v>
      </c>
      <c r="E1170" t="s">
        <v>20</v>
      </c>
      <c r="F1170" t="s">
        <v>32</v>
      </c>
      <c r="G1170" t="s">
        <v>22</v>
      </c>
      <c r="I1170" t="s">
        <v>57</v>
      </c>
      <c r="J1170" t="s">
        <v>3326</v>
      </c>
      <c r="L1170">
        <v>2.4</v>
      </c>
      <c r="N1170">
        <v>2.7</v>
      </c>
      <c r="O1170">
        <v>7</v>
      </c>
      <c r="P1170" t="s">
        <v>26</v>
      </c>
    </row>
    <row r="1171" spans="1:16" x14ac:dyDescent="0.25">
      <c r="A1171" t="s">
        <v>3327</v>
      </c>
      <c r="B1171" t="s">
        <v>3328</v>
      </c>
      <c r="C1171" t="s">
        <v>29</v>
      </c>
      <c r="D1171" t="s">
        <v>43</v>
      </c>
      <c r="E1171" t="s">
        <v>20</v>
      </c>
      <c r="F1171" t="s">
        <v>45</v>
      </c>
      <c r="G1171" t="s">
        <v>22</v>
      </c>
      <c r="H1171" t="s">
        <v>23</v>
      </c>
      <c r="I1171" t="s">
        <v>24</v>
      </c>
      <c r="J1171" t="s">
        <v>2617</v>
      </c>
      <c r="L1171">
        <v>2.8</v>
      </c>
      <c r="M1171">
        <v>1761000</v>
      </c>
      <c r="N1171">
        <v>4</v>
      </c>
      <c r="O1171">
        <v>5</v>
      </c>
      <c r="P1171" t="s">
        <v>26</v>
      </c>
    </row>
    <row r="1172" spans="1:16" x14ac:dyDescent="0.25">
      <c r="A1172" t="s">
        <v>3329</v>
      </c>
      <c r="B1172" t="s">
        <v>1338</v>
      </c>
      <c r="C1172" t="s">
        <v>29</v>
      </c>
      <c r="D1172" t="s">
        <v>30</v>
      </c>
      <c r="E1172" t="s">
        <v>44</v>
      </c>
      <c r="F1172" t="s">
        <v>32</v>
      </c>
      <c r="G1172" t="s">
        <v>22</v>
      </c>
      <c r="H1172" t="s">
        <v>23</v>
      </c>
      <c r="I1172" t="s">
        <v>35</v>
      </c>
      <c r="J1172" t="s">
        <v>385</v>
      </c>
      <c r="K1172" t="s">
        <v>3330</v>
      </c>
      <c r="L1172">
        <v>2.8</v>
      </c>
      <c r="M1172">
        <v>301000</v>
      </c>
      <c r="N1172">
        <v>4.0999999999999996</v>
      </c>
      <c r="O1172">
        <v>0</v>
      </c>
      <c r="P1172" t="s">
        <v>53</v>
      </c>
    </row>
    <row r="1173" spans="1:16" x14ac:dyDescent="0.25">
      <c r="A1173" t="s">
        <v>3331</v>
      </c>
      <c r="B1173" t="s">
        <v>3332</v>
      </c>
      <c r="D1173" t="s">
        <v>43</v>
      </c>
      <c r="E1173" t="s">
        <v>20</v>
      </c>
      <c r="F1173" t="s">
        <v>128</v>
      </c>
      <c r="G1173" t="s">
        <v>69</v>
      </c>
      <c r="H1173" t="s">
        <v>34</v>
      </c>
      <c r="I1173" t="s">
        <v>24</v>
      </c>
      <c r="J1173" t="s">
        <v>732</v>
      </c>
      <c r="K1173" t="s">
        <v>645</v>
      </c>
      <c r="L1173">
        <v>2.6</v>
      </c>
      <c r="M1173">
        <v>544000</v>
      </c>
      <c r="N1173">
        <v>4.4000000000000004</v>
      </c>
      <c r="O1173">
        <v>12</v>
      </c>
      <c r="P1173" t="s">
        <v>72</v>
      </c>
    </row>
    <row r="1174" spans="1:16" x14ac:dyDescent="0.25">
      <c r="A1174" t="s">
        <v>3333</v>
      </c>
      <c r="B1174" t="s">
        <v>3334</v>
      </c>
      <c r="C1174" t="s">
        <v>29</v>
      </c>
      <c r="D1174" t="s">
        <v>19</v>
      </c>
      <c r="E1174" t="s">
        <v>31</v>
      </c>
      <c r="F1174" t="s">
        <v>32</v>
      </c>
      <c r="G1174" t="s">
        <v>33</v>
      </c>
      <c r="H1174" t="s">
        <v>46</v>
      </c>
      <c r="I1174" t="s">
        <v>75</v>
      </c>
      <c r="J1174" t="s">
        <v>1754</v>
      </c>
      <c r="L1174">
        <v>2.6</v>
      </c>
      <c r="M1174">
        <v>381000</v>
      </c>
      <c r="N1174">
        <v>3.7</v>
      </c>
      <c r="O1174">
        <v>9</v>
      </c>
      <c r="P1174" t="s">
        <v>26</v>
      </c>
    </row>
    <row r="1175" spans="1:16" x14ac:dyDescent="0.25">
      <c r="A1175" t="s">
        <v>3335</v>
      </c>
      <c r="B1175" t="s">
        <v>3336</v>
      </c>
      <c r="C1175" t="s">
        <v>18</v>
      </c>
      <c r="D1175" t="s">
        <v>30</v>
      </c>
      <c r="E1175" t="s">
        <v>44</v>
      </c>
      <c r="F1175" t="s">
        <v>128</v>
      </c>
      <c r="G1175" t="s">
        <v>33</v>
      </c>
      <c r="H1175" t="s">
        <v>46</v>
      </c>
      <c r="I1175" t="s">
        <v>75</v>
      </c>
      <c r="J1175" t="s">
        <v>2822</v>
      </c>
      <c r="K1175" t="s">
        <v>3337</v>
      </c>
      <c r="L1175">
        <v>3</v>
      </c>
      <c r="M1175">
        <v>558000</v>
      </c>
      <c r="N1175">
        <v>2.4</v>
      </c>
      <c r="O1175">
        <v>0</v>
      </c>
      <c r="P1175" t="s">
        <v>53</v>
      </c>
    </row>
    <row r="1176" spans="1:16" x14ac:dyDescent="0.25">
      <c r="A1176" t="s">
        <v>3338</v>
      </c>
      <c r="B1176" t="s">
        <v>3339</v>
      </c>
      <c r="C1176" t="s">
        <v>29</v>
      </c>
      <c r="D1176" t="s">
        <v>19</v>
      </c>
      <c r="F1176" t="s">
        <v>32</v>
      </c>
      <c r="G1176" t="s">
        <v>80</v>
      </c>
      <c r="H1176" t="s">
        <v>23</v>
      </c>
      <c r="I1176" t="s">
        <v>35</v>
      </c>
      <c r="J1176" t="s">
        <v>1900</v>
      </c>
      <c r="K1176" t="s">
        <v>3340</v>
      </c>
      <c r="L1176">
        <v>5</v>
      </c>
      <c r="M1176">
        <v>370000</v>
      </c>
      <c r="N1176">
        <v>3.3</v>
      </c>
      <c r="O1176">
        <v>28</v>
      </c>
      <c r="P1176" t="s">
        <v>114</v>
      </c>
    </row>
    <row r="1177" spans="1:16" x14ac:dyDescent="0.25">
      <c r="A1177" t="s">
        <v>3341</v>
      </c>
      <c r="B1177" t="s">
        <v>3342</v>
      </c>
      <c r="D1177" t="s">
        <v>43</v>
      </c>
      <c r="E1177" t="s">
        <v>20</v>
      </c>
      <c r="F1177" t="s">
        <v>39</v>
      </c>
      <c r="G1177" t="s">
        <v>22</v>
      </c>
      <c r="H1177" t="s">
        <v>34</v>
      </c>
      <c r="I1177" t="s">
        <v>57</v>
      </c>
      <c r="J1177" t="s">
        <v>776</v>
      </c>
      <c r="L1177">
        <v>2.4</v>
      </c>
      <c r="M1177">
        <v>135000</v>
      </c>
      <c r="N1177">
        <v>4.5</v>
      </c>
      <c r="O1177">
        <v>12</v>
      </c>
      <c r="P1177" t="s">
        <v>26</v>
      </c>
    </row>
    <row r="1178" spans="1:16" x14ac:dyDescent="0.25">
      <c r="A1178" t="s">
        <v>3343</v>
      </c>
      <c r="B1178" t="s">
        <v>3344</v>
      </c>
      <c r="C1178" t="s">
        <v>29</v>
      </c>
      <c r="D1178" t="s">
        <v>30</v>
      </c>
      <c r="E1178" t="s">
        <v>44</v>
      </c>
      <c r="F1178" t="s">
        <v>39</v>
      </c>
      <c r="G1178" t="s">
        <v>80</v>
      </c>
      <c r="H1178" t="s">
        <v>23</v>
      </c>
      <c r="I1178" t="s">
        <v>24</v>
      </c>
      <c r="J1178" t="s">
        <v>3345</v>
      </c>
      <c r="L1178">
        <v>5</v>
      </c>
      <c r="M1178">
        <v>91000</v>
      </c>
      <c r="N1178">
        <v>2.1</v>
      </c>
      <c r="O1178">
        <v>11</v>
      </c>
      <c r="P1178" t="s">
        <v>26</v>
      </c>
    </row>
    <row r="1179" spans="1:16" x14ac:dyDescent="0.25">
      <c r="A1179" t="s">
        <v>3346</v>
      </c>
      <c r="B1179" t="s">
        <v>3347</v>
      </c>
      <c r="C1179" t="s">
        <v>18</v>
      </c>
      <c r="E1179" t="s">
        <v>44</v>
      </c>
      <c r="F1179" t="s">
        <v>128</v>
      </c>
      <c r="G1179" t="s">
        <v>80</v>
      </c>
      <c r="H1179" t="s">
        <v>34</v>
      </c>
      <c r="I1179" t="s">
        <v>35</v>
      </c>
      <c r="J1179" t="s">
        <v>3348</v>
      </c>
      <c r="K1179" t="s">
        <v>58</v>
      </c>
      <c r="L1179">
        <v>3.6</v>
      </c>
      <c r="M1179">
        <v>443000</v>
      </c>
      <c r="N1179">
        <v>4.4000000000000004</v>
      </c>
      <c r="O1179">
        <v>7</v>
      </c>
      <c r="P1179" t="s">
        <v>53</v>
      </c>
    </row>
    <row r="1180" spans="1:16" x14ac:dyDescent="0.25">
      <c r="A1180" t="s">
        <v>3349</v>
      </c>
      <c r="B1180" t="s">
        <v>1487</v>
      </c>
      <c r="C1180" t="s">
        <v>18</v>
      </c>
      <c r="D1180" t="s">
        <v>79</v>
      </c>
      <c r="E1180" t="s">
        <v>31</v>
      </c>
      <c r="G1180" t="s">
        <v>22</v>
      </c>
      <c r="H1180" t="s">
        <v>23</v>
      </c>
      <c r="I1180" t="s">
        <v>24</v>
      </c>
      <c r="J1180" t="s">
        <v>3350</v>
      </c>
      <c r="L1180">
        <v>5.7</v>
      </c>
      <c r="M1180">
        <v>97000</v>
      </c>
      <c r="N1180">
        <v>2.9</v>
      </c>
      <c r="O1180">
        <v>11</v>
      </c>
      <c r="P1180" t="s">
        <v>26</v>
      </c>
    </row>
    <row r="1181" spans="1:16" x14ac:dyDescent="0.25">
      <c r="A1181" t="s">
        <v>3351</v>
      </c>
      <c r="B1181" t="s">
        <v>3263</v>
      </c>
      <c r="C1181" t="s">
        <v>18</v>
      </c>
      <c r="D1181" t="s">
        <v>79</v>
      </c>
      <c r="E1181" t="s">
        <v>20</v>
      </c>
      <c r="F1181" t="s">
        <v>128</v>
      </c>
      <c r="G1181" t="s">
        <v>69</v>
      </c>
      <c r="H1181" t="s">
        <v>34</v>
      </c>
      <c r="I1181" t="s">
        <v>171</v>
      </c>
      <c r="J1181" t="s">
        <v>866</v>
      </c>
      <c r="L1181">
        <v>2.4</v>
      </c>
      <c r="M1181">
        <v>466000</v>
      </c>
      <c r="N1181">
        <v>3.4</v>
      </c>
      <c r="O1181">
        <v>10</v>
      </c>
      <c r="P1181" t="s">
        <v>26</v>
      </c>
    </row>
    <row r="1182" spans="1:16" x14ac:dyDescent="0.25">
      <c r="A1182" t="s">
        <v>3352</v>
      </c>
      <c r="B1182" t="s">
        <v>1700</v>
      </c>
      <c r="C1182" t="s">
        <v>29</v>
      </c>
      <c r="D1182" t="s">
        <v>79</v>
      </c>
      <c r="E1182" t="s">
        <v>31</v>
      </c>
      <c r="F1182" t="s">
        <v>128</v>
      </c>
      <c r="G1182" t="s">
        <v>80</v>
      </c>
      <c r="H1182" t="s">
        <v>23</v>
      </c>
      <c r="I1182" t="s">
        <v>35</v>
      </c>
      <c r="J1182" t="s">
        <v>3353</v>
      </c>
      <c r="K1182" t="s">
        <v>478</v>
      </c>
      <c r="L1182">
        <v>5.8</v>
      </c>
      <c r="M1182">
        <v>586000</v>
      </c>
      <c r="N1182">
        <v>4.7</v>
      </c>
      <c r="O1182">
        <v>12</v>
      </c>
      <c r="P1182" t="s">
        <v>72</v>
      </c>
    </row>
    <row r="1183" spans="1:16" x14ac:dyDescent="0.25">
      <c r="A1183" t="s">
        <v>3354</v>
      </c>
      <c r="B1183" t="s">
        <v>1233</v>
      </c>
      <c r="C1183" t="s">
        <v>29</v>
      </c>
      <c r="D1183" t="s">
        <v>30</v>
      </c>
      <c r="E1183" t="s">
        <v>20</v>
      </c>
      <c r="F1183" t="s">
        <v>39</v>
      </c>
      <c r="G1183" t="s">
        <v>22</v>
      </c>
      <c r="H1183" t="s">
        <v>34</v>
      </c>
      <c r="I1183" t="s">
        <v>35</v>
      </c>
      <c r="J1183" t="s">
        <v>369</v>
      </c>
      <c r="L1183">
        <v>5.8</v>
      </c>
      <c r="M1183">
        <v>164000</v>
      </c>
      <c r="N1183">
        <v>2.2999999999999998</v>
      </c>
      <c r="O1183">
        <v>1</v>
      </c>
      <c r="P1183" t="s">
        <v>26</v>
      </c>
    </row>
    <row r="1184" spans="1:16" x14ac:dyDescent="0.25">
      <c r="A1184" t="s">
        <v>3355</v>
      </c>
      <c r="B1184" t="s">
        <v>3356</v>
      </c>
      <c r="C1184" t="s">
        <v>18</v>
      </c>
      <c r="D1184" t="s">
        <v>30</v>
      </c>
      <c r="E1184" t="s">
        <v>44</v>
      </c>
      <c r="G1184" t="s">
        <v>33</v>
      </c>
      <c r="H1184" t="s">
        <v>23</v>
      </c>
      <c r="I1184" t="s">
        <v>24</v>
      </c>
      <c r="J1184" t="s">
        <v>2277</v>
      </c>
      <c r="K1184" t="s">
        <v>3357</v>
      </c>
      <c r="L1184">
        <v>1.7</v>
      </c>
      <c r="M1184">
        <v>349000</v>
      </c>
      <c r="N1184">
        <v>4.2</v>
      </c>
      <c r="O1184">
        <v>9</v>
      </c>
      <c r="P1184" t="s">
        <v>53</v>
      </c>
    </row>
    <row r="1185" spans="1:16" x14ac:dyDescent="0.25">
      <c r="A1185" t="s">
        <v>3358</v>
      </c>
      <c r="B1185" t="s">
        <v>3359</v>
      </c>
      <c r="D1185" t="s">
        <v>19</v>
      </c>
      <c r="E1185" t="s">
        <v>31</v>
      </c>
      <c r="F1185" t="s">
        <v>39</v>
      </c>
      <c r="G1185" t="s">
        <v>80</v>
      </c>
      <c r="H1185" t="s">
        <v>46</v>
      </c>
      <c r="I1185" t="s">
        <v>24</v>
      </c>
      <c r="J1185" t="s">
        <v>987</v>
      </c>
      <c r="L1185">
        <v>4.5999999999999996</v>
      </c>
      <c r="M1185">
        <v>198000</v>
      </c>
      <c r="N1185">
        <v>4.5</v>
      </c>
      <c r="O1185">
        <v>32</v>
      </c>
      <c r="P1185" t="s">
        <v>26</v>
      </c>
    </row>
    <row r="1186" spans="1:16" x14ac:dyDescent="0.25">
      <c r="A1186" t="s">
        <v>3360</v>
      </c>
      <c r="B1186" t="s">
        <v>3361</v>
      </c>
      <c r="C1186" t="s">
        <v>29</v>
      </c>
      <c r="E1186" t="s">
        <v>20</v>
      </c>
      <c r="F1186" t="s">
        <v>21</v>
      </c>
      <c r="G1186" t="s">
        <v>22</v>
      </c>
      <c r="H1186" t="s">
        <v>62</v>
      </c>
      <c r="I1186" t="s">
        <v>57</v>
      </c>
      <c r="J1186" t="s">
        <v>1300</v>
      </c>
      <c r="L1186">
        <v>4.0999999999999996</v>
      </c>
      <c r="M1186">
        <v>720000</v>
      </c>
      <c r="N1186">
        <v>4.7</v>
      </c>
      <c r="O1186">
        <v>11</v>
      </c>
      <c r="P1186" t="s">
        <v>26</v>
      </c>
    </row>
    <row r="1187" spans="1:16" x14ac:dyDescent="0.25">
      <c r="A1187" t="s">
        <v>3362</v>
      </c>
      <c r="B1187" t="s">
        <v>3363</v>
      </c>
      <c r="C1187" t="s">
        <v>18</v>
      </c>
      <c r="D1187" t="s">
        <v>50</v>
      </c>
      <c r="E1187" t="s">
        <v>20</v>
      </c>
      <c r="F1187" t="s">
        <v>32</v>
      </c>
      <c r="G1187" t="s">
        <v>69</v>
      </c>
      <c r="H1187" t="s">
        <v>34</v>
      </c>
      <c r="I1187" t="s">
        <v>24</v>
      </c>
      <c r="J1187" t="s">
        <v>2686</v>
      </c>
      <c r="L1187">
        <v>5.9</v>
      </c>
      <c r="M1187">
        <v>283000</v>
      </c>
      <c r="N1187">
        <v>4.5</v>
      </c>
      <c r="O1187">
        <v>0</v>
      </c>
      <c r="P1187" t="s">
        <v>26</v>
      </c>
    </row>
    <row r="1188" spans="1:16" x14ac:dyDescent="0.25">
      <c r="A1188" t="s">
        <v>3364</v>
      </c>
      <c r="B1188" t="s">
        <v>3365</v>
      </c>
      <c r="C1188" t="s">
        <v>18</v>
      </c>
      <c r="D1188" t="s">
        <v>19</v>
      </c>
      <c r="E1188" t="s">
        <v>20</v>
      </c>
      <c r="F1188" t="s">
        <v>32</v>
      </c>
      <c r="G1188" t="s">
        <v>22</v>
      </c>
      <c r="H1188" t="s">
        <v>23</v>
      </c>
      <c r="I1188" t="s">
        <v>57</v>
      </c>
      <c r="J1188" t="s">
        <v>136</v>
      </c>
      <c r="K1188" t="s">
        <v>3366</v>
      </c>
      <c r="L1188">
        <v>2.4</v>
      </c>
      <c r="M1188">
        <v>384000</v>
      </c>
      <c r="N1188">
        <v>3.3</v>
      </c>
      <c r="O1188">
        <v>10</v>
      </c>
      <c r="P1188" t="s">
        <v>53</v>
      </c>
    </row>
    <row r="1189" spans="1:16" x14ac:dyDescent="0.25">
      <c r="A1189" t="s">
        <v>3367</v>
      </c>
      <c r="B1189" t="s">
        <v>3368</v>
      </c>
      <c r="C1189" t="s">
        <v>18</v>
      </c>
      <c r="D1189" t="s">
        <v>79</v>
      </c>
      <c r="E1189" t="s">
        <v>31</v>
      </c>
      <c r="F1189" t="s">
        <v>32</v>
      </c>
      <c r="G1189" t="s">
        <v>80</v>
      </c>
      <c r="H1189" t="s">
        <v>23</v>
      </c>
      <c r="I1189" t="s">
        <v>57</v>
      </c>
      <c r="J1189" t="s">
        <v>3369</v>
      </c>
      <c r="L1189">
        <v>2.2000000000000002</v>
      </c>
      <c r="M1189">
        <v>254000</v>
      </c>
      <c r="O1189">
        <v>6</v>
      </c>
      <c r="P1189" t="s">
        <v>26</v>
      </c>
    </row>
    <row r="1190" spans="1:16" x14ac:dyDescent="0.25">
      <c r="A1190" t="s">
        <v>3370</v>
      </c>
      <c r="B1190" t="s">
        <v>3371</v>
      </c>
      <c r="C1190" t="s">
        <v>29</v>
      </c>
      <c r="D1190" t="s">
        <v>79</v>
      </c>
      <c r="E1190" t="s">
        <v>20</v>
      </c>
      <c r="F1190" t="s">
        <v>21</v>
      </c>
      <c r="G1190" t="s">
        <v>22</v>
      </c>
      <c r="H1190" t="s">
        <v>46</v>
      </c>
      <c r="I1190" t="s">
        <v>35</v>
      </c>
      <c r="J1190" t="s">
        <v>1839</v>
      </c>
      <c r="L1190">
        <v>5.7</v>
      </c>
      <c r="M1190">
        <v>881000</v>
      </c>
      <c r="N1190">
        <v>3.9</v>
      </c>
      <c r="O1190">
        <v>11</v>
      </c>
      <c r="P1190" t="s">
        <v>26</v>
      </c>
    </row>
    <row r="1191" spans="1:16" x14ac:dyDescent="0.25">
      <c r="A1191" t="s">
        <v>3372</v>
      </c>
      <c r="B1191" t="s">
        <v>3373</v>
      </c>
      <c r="D1191" t="s">
        <v>79</v>
      </c>
      <c r="E1191" t="s">
        <v>20</v>
      </c>
      <c r="F1191" t="s">
        <v>39</v>
      </c>
      <c r="G1191" t="s">
        <v>80</v>
      </c>
      <c r="H1191" t="s">
        <v>34</v>
      </c>
      <c r="I1191" t="s">
        <v>24</v>
      </c>
      <c r="J1191" t="s">
        <v>2230</v>
      </c>
      <c r="L1191">
        <v>4.2</v>
      </c>
      <c r="M1191">
        <v>112000</v>
      </c>
      <c r="N1191">
        <v>3.3</v>
      </c>
      <c r="O1191">
        <v>4</v>
      </c>
      <c r="P1191" t="s">
        <v>26</v>
      </c>
    </row>
    <row r="1192" spans="1:16" x14ac:dyDescent="0.25">
      <c r="A1192" t="s">
        <v>3374</v>
      </c>
      <c r="B1192" t="s">
        <v>3375</v>
      </c>
      <c r="C1192" t="s">
        <v>18</v>
      </c>
      <c r="D1192" t="s">
        <v>30</v>
      </c>
      <c r="E1192" t="s">
        <v>31</v>
      </c>
      <c r="F1192" t="s">
        <v>32</v>
      </c>
      <c r="G1192" t="s">
        <v>80</v>
      </c>
      <c r="H1192" t="s">
        <v>34</v>
      </c>
      <c r="I1192" t="s">
        <v>35</v>
      </c>
      <c r="J1192" t="s">
        <v>2959</v>
      </c>
      <c r="K1192" t="s">
        <v>3376</v>
      </c>
      <c r="L1192">
        <v>4.5999999999999996</v>
      </c>
      <c r="M1192">
        <v>276000</v>
      </c>
      <c r="N1192">
        <v>2.2000000000000002</v>
      </c>
      <c r="O1192">
        <v>21</v>
      </c>
      <c r="P1192" t="s">
        <v>72</v>
      </c>
    </row>
    <row r="1193" spans="1:16" x14ac:dyDescent="0.25">
      <c r="A1193" t="s">
        <v>3377</v>
      </c>
      <c r="B1193" t="s">
        <v>3378</v>
      </c>
      <c r="C1193" t="s">
        <v>18</v>
      </c>
      <c r="D1193" t="s">
        <v>30</v>
      </c>
      <c r="E1193" t="s">
        <v>20</v>
      </c>
      <c r="F1193" t="s">
        <v>39</v>
      </c>
      <c r="G1193" t="s">
        <v>80</v>
      </c>
      <c r="H1193" t="s">
        <v>34</v>
      </c>
      <c r="I1193" t="s">
        <v>24</v>
      </c>
      <c r="J1193" t="s">
        <v>1154</v>
      </c>
      <c r="L1193">
        <v>3.5</v>
      </c>
      <c r="M1193">
        <v>144000</v>
      </c>
      <c r="N1193">
        <v>2.8</v>
      </c>
      <c r="O1193">
        <v>6</v>
      </c>
      <c r="P1193" t="s">
        <v>26</v>
      </c>
    </row>
    <row r="1194" spans="1:16" x14ac:dyDescent="0.25">
      <c r="A1194" t="s">
        <v>3379</v>
      </c>
      <c r="B1194" t="s">
        <v>3380</v>
      </c>
      <c r="C1194" t="s">
        <v>18</v>
      </c>
      <c r="D1194" t="s">
        <v>43</v>
      </c>
      <c r="E1194" t="s">
        <v>44</v>
      </c>
      <c r="F1194" t="s">
        <v>39</v>
      </c>
      <c r="G1194" t="s">
        <v>80</v>
      </c>
      <c r="H1194" t="s">
        <v>23</v>
      </c>
      <c r="I1194" t="s">
        <v>57</v>
      </c>
      <c r="J1194" t="s">
        <v>1760</v>
      </c>
      <c r="K1194" t="s">
        <v>2968</v>
      </c>
      <c r="L1194">
        <v>4.4000000000000004</v>
      </c>
      <c r="M1194">
        <v>141000</v>
      </c>
      <c r="N1194">
        <v>4.5</v>
      </c>
      <c r="O1194">
        <v>4</v>
      </c>
      <c r="P1194" t="s">
        <v>53</v>
      </c>
    </row>
    <row r="1195" spans="1:16" x14ac:dyDescent="0.25">
      <c r="A1195" t="s">
        <v>3381</v>
      </c>
      <c r="B1195" t="s">
        <v>3382</v>
      </c>
      <c r="C1195" t="s">
        <v>29</v>
      </c>
      <c r="D1195" t="s">
        <v>19</v>
      </c>
      <c r="E1195" t="s">
        <v>44</v>
      </c>
      <c r="F1195" t="s">
        <v>32</v>
      </c>
      <c r="G1195" t="s">
        <v>33</v>
      </c>
      <c r="H1195" t="s">
        <v>46</v>
      </c>
      <c r="I1195" t="s">
        <v>35</v>
      </c>
      <c r="J1195" t="s">
        <v>3383</v>
      </c>
      <c r="L1195">
        <v>3.2</v>
      </c>
      <c r="M1195">
        <v>385000</v>
      </c>
      <c r="N1195">
        <v>3.3</v>
      </c>
      <c r="O1195">
        <v>1</v>
      </c>
      <c r="P1195" t="s">
        <v>26</v>
      </c>
    </row>
    <row r="1196" spans="1:16" x14ac:dyDescent="0.25">
      <c r="A1196" t="s">
        <v>3384</v>
      </c>
      <c r="B1196" t="s">
        <v>3385</v>
      </c>
      <c r="C1196" t="s">
        <v>18</v>
      </c>
      <c r="F1196" t="s">
        <v>128</v>
      </c>
      <c r="G1196" t="s">
        <v>80</v>
      </c>
      <c r="H1196" t="s">
        <v>46</v>
      </c>
      <c r="I1196" t="s">
        <v>35</v>
      </c>
      <c r="J1196" t="s">
        <v>1477</v>
      </c>
      <c r="L1196">
        <v>5.6</v>
      </c>
      <c r="M1196">
        <v>350000</v>
      </c>
      <c r="N1196">
        <v>3.2</v>
      </c>
      <c r="O1196">
        <v>2</v>
      </c>
      <c r="P1196" t="s">
        <v>26</v>
      </c>
    </row>
    <row r="1197" spans="1:16" x14ac:dyDescent="0.25">
      <c r="A1197" t="s">
        <v>3386</v>
      </c>
      <c r="B1197" t="s">
        <v>3387</v>
      </c>
      <c r="C1197" t="s">
        <v>29</v>
      </c>
      <c r="D1197" t="s">
        <v>50</v>
      </c>
      <c r="E1197" t="s">
        <v>20</v>
      </c>
      <c r="F1197" t="s">
        <v>39</v>
      </c>
      <c r="G1197" t="s">
        <v>22</v>
      </c>
      <c r="H1197" t="s">
        <v>62</v>
      </c>
      <c r="I1197" t="s">
        <v>24</v>
      </c>
      <c r="J1197" t="s">
        <v>1379</v>
      </c>
      <c r="L1197">
        <v>1.6</v>
      </c>
      <c r="M1197">
        <v>162000</v>
      </c>
      <c r="N1197">
        <v>2.6</v>
      </c>
      <c r="O1197">
        <v>9</v>
      </c>
      <c r="P1197" t="s">
        <v>26</v>
      </c>
    </row>
    <row r="1198" spans="1:16" x14ac:dyDescent="0.25">
      <c r="A1198" t="s">
        <v>3388</v>
      </c>
      <c r="B1198" t="s">
        <v>3389</v>
      </c>
      <c r="C1198" t="s">
        <v>18</v>
      </c>
      <c r="D1198" t="s">
        <v>50</v>
      </c>
      <c r="F1198" t="s">
        <v>128</v>
      </c>
      <c r="G1198" t="s">
        <v>22</v>
      </c>
      <c r="H1198" t="s">
        <v>23</v>
      </c>
      <c r="I1198" t="s">
        <v>24</v>
      </c>
      <c r="J1198" t="s">
        <v>2751</v>
      </c>
      <c r="K1198" t="s">
        <v>3390</v>
      </c>
      <c r="L1198">
        <v>3.4</v>
      </c>
      <c r="M1198">
        <v>521000</v>
      </c>
      <c r="O1198">
        <v>4</v>
      </c>
      <c r="P1198" t="s">
        <v>114</v>
      </c>
    </row>
    <row r="1199" spans="1:16" x14ac:dyDescent="0.25">
      <c r="A1199" t="s">
        <v>3391</v>
      </c>
      <c r="B1199" t="s">
        <v>3392</v>
      </c>
      <c r="C1199" t="s">
        <v>29</v>
      </c>
      <c r="D1199" t="s">
        <v>50</v>
      </c>
      <c r="E1199" t="s">
        <v>44</v>
      </c>
      <c r="F1199" t="s">
        <v>39</v>
      </c>
      <c r="G1199" t="s">
        <v>80</v>
      </c>
      <c r="H1199" t="s">
        <v>62</v>
      </c>
      <c r="I1199" t="s">
        <v>75</v>
      </c>
      <c r="J1199" t="s">
        <v>132</v>
      </c>
      <c r="K1199" t="s">
        <v>3393</v>
      </c>
      <c r="L1199">
        <v>2.6</v>
      </c>
      <c r="M1199">
        <v>167000</v>
      </c>
      <c r="N1199">
        <v>4.7</v>
      </c>
      <c r="P1199" t="s">
        <v>114</v>
      </c>
    </row>
    <row r="1200" spans="1:16" x14ac:dyDescent="0.25">
      <c r="A1200" t="s">
        <v>3394</v>
      </c>
      <c r="B1200" t="s">
        <v>3395</v>
      </c>
      <c r="C1200" t="s">
        <v>29</v>
      </c>
      <c r="E1200" t="s">
        <v>20</v>
      </c>
      <c r="F1200" t="s">
        <v>21</v>
      </c>
      <c r="G1200" t="s">
        <v>69</v>
      </c>
      <c r="H1200" t="s">
        <v>46</v>
      </c>
      <c r="I1200" t="s">
        <v>35</v>
      </c>
      <c r="J1200" t="s">
        <v>3396</v>
      </c>
      <c r="L1200">
        <v>2.4</v>
      </c>
      <c r="M1200">
        <v>854000</v>
      </c>
      <c r="N1200">
        <v>4.5999999999999996</v>
      </c>
      <c r="O1200">
        <v>12</v>
      </c>
      <c r="P1200" t="s">
        <v>26</v>
      </c>
    </row>
    <row r="1201" spans="1:16" x14ac:dyDescent="0.25">
      <c r="A1201" t="s">
        <v>3397</v>
      </c>
      <c r="B1201" t="s">
        <v>2645</v>
      </c>
      <c r="C1201" t="s">
        <v>18</v>
      </c>
      <c r="D1201" t="s">
        <v>185</v>
      </c>
      <c r="E1201" t="s">
        <v>31</v>
      </c>
      <c r="F1201" t="s">
        <v>21</v>
      </c>
      <c r="G1201" t="s">
        <v>22</v>
      </c>
      <c r="H1201" t="s">
        <v>23</v>
      </c>
      <c r="I1201" t="s">
        <v>57</v>
      </c>
      <c r="J1201" t="s">
        <v>2292</v>
      </c>
      <c r="L1201">
        <v>1.8</v>
      </c>
      <c r="M1201">
        <v>826000</v>
      </c>
      <c r="N1201">
        <v>4.4000000000000004</v>
      </c>
      <c r="O1201">
        <v>35</v>
      </c>
      <c r="P1201" t="s">
        <v>26</v>
      </c>
    </row>
    <row r="1202" spans="1:16" x14ac:dyDescent="0.25">
      <c r="A1202" t="s">
        <v>3398</v>
      </c>
      <c r="B1202" t="s">
        <v>3399</v>
      </c>
      <c r="C1202" t="s">
        <v>18</v>
      </c>
      <c r="D1202" t="s">
        <v>19</v>
      </c>
      <c r="E1202" t="s">
        <v>20</v>
      </c>
      <c r="F1202" t="s">
        <v>128</v>
      </c>
      <c r="G1202" t="s">
        <v>80</v>
      </c>
      <c r="H1202" t="s">
        <v>23</v>
      </c>
      <c r="I1202" t="s">
        <v>24</v>
      </c>
      <c r="J1202" t="s">
        <v>3400</v>
      </c>
      <c r="L1202">
        <v>1.6</v>
      </c>
      <c r="M1202">
        <v>660000</v>
      </c>
      <c r="N1202">
        <v>3.6</v>
      </c>
      <c r="O1202">
        <v>3</v>
      </c>
      <c r="P1202" t="s">
        <v>26</v>
      </c>
    </row>
    <row r="1203" spans="1:16" x14ac:dyDescent="0.25">
      <c r="A1203" t="s">
        <v>3401</v>
      </c>
      <c r="B1203" t="s">
        <v>3402</v>
      </c>
      <c r="C1203" t="s">
        <v>18</v>
      </c>
      <c r="D1203" t="s">
        <v>19</v>
      </c>
      <c r="E1203" t="s">
        <v>20</v>
      </c>
      <c r="F1203" t="s">
        <v>32</v>
      </c>
      <c r="G1203" t="s">
        <v>69</v>
      </c>
      <c r="H1203" t="s">
        <v>34</v>
      </c>
      <c r="I1203" t="s">
        <v>57</v>
      </c>
      <c r="J1203" t="s">
        <v>709</v>
      </c>
      <c r="L1203">
        <v>2.7</v>
      </c>
      <c r="M1203">
        <v>306000</v>
      </c>
      <c r="N1203">
        <v>5</v>
      </c>
      <c r="O1203">
        <v>0</v>
      </c>
      <c r="P1203" t="s">
        <v>26</v>
      </c>
    </row>
    <row r="1204" spans="1:16" x14ac:dyDescent="0.25">
      <c r="A1204" t="s">
        <v>3403</v>
      </c>
      <c r="B1204" t="s">
        <v>3404</v>
      </c>
      <c r="C1204" t="s">
        <v>18</v>
      </c>
      <c r="D1204" t="s">
        <v>43</v>
      </c>
      <c r="E1204" t="s">
        <v>20</v>
      </c>
      <c r="F1204" t="s">
        <v>39</v>
      </c>
      <c r="G1204" t="s">
        <v>69</v>
      </c>
      <c r="H1204" t="s">
        <v>46</v>
      </c>
      <c r="I1204" t="s">
        <v>75</v>
      </c>
      <c r="J1204" t="s">
        <v>2870</v>
      </c>
      <c r="L1204">
        <v>3.2</v>
      </c>
      <c r="M1204">
        <v>88000</v>
      </c>
      <c r="N1204">
        <v>2.2999999999999998</v>
      </c>
      <c r="O1204">
        <v>7</v>
      </c>
      <c r="P1204" t="s">
        <v>26</v>
      </c>
    </row>
    <row r="1205" spans="1:16" x14ac:dyDescent="0.25">
      <c r="A1205" t="s">
        <v>3405</v>
      </c>
      <c r="B1205" t="s">
        <v>3406</v>
      </c>
      <c r="C1205" t="s">
        <v>18</v>
      </c>
      <c r="D1205" t="s">
        <v>79</v>
      </c>
      <c r="E1205" t="s">
        <v>31</v>
      </c>
      <c r="F1205" t="s">
        <v>21</v>
      </c>
      <c r="G1205" t="s">
        <v>33</v>
      </c>
      <c r="H1205" t="s">
        <v>23</v>
      </c>
      <c r="I1205" t="s">
        <v>75</v>
      </c>
      <c r="J1205" t="s">
        <v>2476</v>
      </c>
      <c r="L1205">
        <v>3.5</v>
      </c>
      <c r="M1205">
        <v>907000</v>
      </c>
      <c r="N1205">
        <v>3.7</v>
      </c>
      <c r="O1205">
        <v>4</v>
      </c>
      <c r="P1205" t="s">
        <v>26</v>
      </c>
    </row>
    <row r="1206" spans="1:16" x14ac:dyDescent="0.25">
      <c r="A1206" t="s">
        <v>3407</v>
      </c>
      <c r="B1206" t="s">
        <v>3408</v>
      </c>
      <c r="C1206" t="s">
        <v>18</v>
      </c>
      <c r="D1206" t="s">
        <v>50</v>
      </c>
      <c r="F1206" t="s">
        <v>45</v>
      </c>
      <c r="G1206" t="s">
        <v>22</v>
      </c>
      <c r="H1206" t="s">
        <v>23</v>
      </c>
      <c r="I1206" t="s">
        <v>24</v>
      </c>
      <c r="J1206" t="s">
        <v>66</v>
      </c>
      <c r="L1206">
        <v>2.1</v>
      </c>
      <c r="M1206">
        <v>1464000</v>
      </c>
      <c r="N1206">
        <v>3.9</v>
      </c>
      <c r="O1206">
        <v>13</v>
      </c>
      <c r="P1206" t="s">
        <v>26</v>
      </c>
    </row>
    <row r="1207" spans="1:16" x14ac:dyDescent="0.25">
      <c r="A1207" t="s">
        <v>3409</v>
      </c>
      <c r="B1207" t="s">
        <v>582</v>
      </c>
      <c r="C1207" t="s">
        <v>18</v>
      </c>
      <c r="D1207" t="s">
        <v>19</v>
      </c>
      <c r="E1207" t="s">
        <v>31</v>
      </c>
      <c r="F1207" t="s">
        <v>32</v>
      </c>
      <c r="G1207" t="s">
        <v>69</v>
      </c>
      <c r="H1207" t="s">
        <v>46</v>
      </c>
      <c r="I1207" t="s">
        <v>35</v>
      </c>
      <c r="J1207" t="s">
        <v>2110</v>
      </c>
      <c r="L1207">
        <v>5.8</v>
      </c>
      <c r="M1207">
        <v>215000</v>
      </c>
      <c r="N1207">
        <v>3.4</v>
      </c>
      <c r="O1207">
        <v>1</v>
      </c>
      <c r="P1207" t="s">
        <v>26</v>
      </c>
    </row>
    <row r="1208" spans="1:16" x14ac:dyDescent="0.25">
      <c r="A1208" t="s">
        <v>3410</v>
      </c>
      <c r="B1208" t="s">
        <v>447</v>
      </c>
      <c r="C1208" t="s">
        <v>18</v>
      </c>
      <c r="D1208" t="s">
        <v>79</v>
      </c>
      <c r="E1208" t="s">
        <v>31</v>
      </c>
      <c r="F1208" t="s">
        <v>39</v>
      </c>
      <c r="G1208" t="s">
        <v>22</v>
      </c>
      <c r="H1208" t="s">
        <v>46</v>
      </c>
      <c r="I1208" t="s">
        <v>57</v>
      </c>
      <c r="J1208" t="s">
        <v>2013</v>
      </c>
      <c r="L1208">
        <v>1.3</v>
      </c>
      <c r="M1208">
        <v>90000</v>
      </c>
      <c r="N1208">
        <v>2.8</v>
      </c>
      <c r="O1208">
        <v>13</v>
      </c>
      <c r="P1208" t="s">
        <v>26</v>
      </c>
    </row>
    <row r="1209" spans="1:16" x14ac:dyDescent="0.25">
      <c r="A1209" t="s">
        <v>3411</v>
      </c>
      <c r="B1209" t="s">
        <v>248</v>
      </c>
      <c r="C1209" t="s">
        <v>18</v>
      </c>
      <c r="D1209" t="s">
        <v>30</v>
      </c>
      <c r="E1209" t="s">
        <v>20</v>
      </c>
      <c r="F1209" t="s">
        <v>39</v>
      </c>
      <c r="G1209" t="s">
        <v>22</v>
      </c>
      <c r="H1209" t="s">
        <v>34</v>
      </c>
      <c r="I1209" t="s">
        <v>35</v>
      </c>
      <c r="J1209" t="s">
        <v>3412</v>
      </c>
      <c r="L1209">
        <v>5.2</v>
      </c>
      <c r="M1209">
        <v>86000</v>
      </c>
      <c r="O1209">
        <v>5</v>
      </c>
      <c r="P1209" t="s">
        <v>26</v>
      </c>
    </row>
    <row r="1210" spans="1:16" x14ac:dyDescent="0.25">
      <c r="A1210" t="s">
        <v>3413</v>
      </c>
      <c r="B1210" t="s">
        <v>3414</v>
      </c>
      <c r="C1210" t="s">
        <v>18</v>
      </c>
      <c r="D1210" t="s">
        <v>50</v>
      </c>
      <c r="E1210" t="s">
        <v>20</v>
      </c>
      <c r="F1210" t="s">
        <v>32</v>
      </c>
      <c r="G1210" t="s">
        <v>22</v>
      </c>
      <c r="H1210" t="s">
        <v>46</v>
      </c>
      <c r="I1210" t="s">
        <v>24</v>
      </c>
      <c r="J1210" t="s">
        <v>1034</v>
      </c>
      <c r="K1210" t="s">
        <v>3221</v>
      </c>
      <c r="L1210">
        <v>2.8</v>
      </c>
      <c r="M1210">
        <v>230000</v>
      </c>
      <c r="N1210">
        <v>5</v>
      </c>
      <c r="P1210" t="s">
        <v>53</v>
      </c>
    </row>
    <row r="1211" spans="1:16" x14ac:dyDescent="0.25">
      <c r="A1211" t="s">
        <v>3415</v>
      </c>
      <c r="B1211" t="s">
        <v>341</v>
      </c>
      <c r="C1211" t="s">
        <v>18</v>
      </c>
      <c r="D1211" t="s">
        <v>19</v>
      </c>
      <c r="E1211" t="s">
        <v>44</v>
      </c>
      <c r="F1211" t="s">
        <v>32</v>
      </c>
      <c r="G1211" t="s">
        <v>22</v>
      </c>
      <c r="H1211" t="s">
        <v>34</v>
      </c>
      <c r="I1211" t="s">
        <v>57</v>
      </c>
      <c r="J1211" t="s">
        <v>2746</v>
      </c>
      <c r="L1211">
        <v>6.1</v>
      </c>
      <c r="M1211">
        <v>368000</v>
      </c>
      <c r="N1211">
        <v>3.4</v>
      </c>
      <c r="O1211">
        <v>12</v>
      </c>
      <c r="P1211" t="s">
        <v>26</v>
      </c>
    </row>
    <row r="1212" spans="1:16" x14ac:dyDescent="0.25">
      <c r="A1212" t="s">
        <v>3416</v>
      </c>
      <c r="B1212" t="s">
        <v>3417</v>
      </c>
      <c r="C1212" t="s">
        <v>29</v>
      </c>
      <c r="D1212" t="s">
        <v>79</v>
      </c>
      <c r="E1212" t="s">
        <v>20</v>
      </c>
      <c r="F1212" t="s">
        <v>128</v>
      </c>
      <c r="G1212" t="s">
        <v>33</v>
      </c>
      <c r="H1212" t="s">
        <v>34</v>
      </c>
      <c r="I1212" t="s">
        <v>35</v>
      </c>
      <c r="J1212" t="s">
        <v>213</v>
      </c>
      <c r="L1212">
        <v>4.8</v>
      </c>
      <c r="M1212">
        <v>420000</v>
      </c>
      <c r="N1212">
        <v>2.7</v>
      </c>
      <c r="O1212">
        <v>20</v>
      </c>
      <c r="P1212" t="s">
        <v>26</v>
      </c>
    </row>
    <row r="1213" spans="1:16" x14ac:dyDescent="0.25">
      <c r="A1213" t="s">
        <v>3418</v>
      </c>
      <c r="B1213" t="s">
        <v>3419</v>
      </c>
      <c r="D1213" t="s">
        <v>19</v>
      </c>
      <c r="E1213" t="s">
        <v>20</v>
      </c>
      <c r="F1213" t="s">
        <v>128</v>
      </c>
      <c r="G1213" t="s">
        <v>33</v>
      </c>
      <c r="H1213" t="s">
        <v>23</v>
      </c>
      <c r="I1213" t="s">
        <v>57</v>
      </c>
      <c r="J1213" t="s">
        <v>98</v>
      </c>
      <c r="L1213">
        <v>6.2</v>
      </c>
      <c r="M1213">
        <v>474000</v>
      </c>
      <c r="N1213">
        <v>4.5</v>
      </c>
      <c r="O1213">
        <v>5</v>
      </c>
      <c r="P1213" t="s">
        <v>26</v>
      </c>
    </row>
    <row r="1214" spans="1:16" x14ac:dyDescent="0.25">
      <c r="A1214" t="s">
        <v>3420</v>
      </c>
      <c r="B1214" t="s">
        <v>2396</v>
      </c>
      <c r="C1214" t="s">
        <v>18</v>
      </c>
      <c r="D1214" t="s">
        <v>79</v>
      </c>
      <c r="E1214" t="s">
        <v>44</v>
      </c>
      <c r="F1214" t="s">
        <v>32</v>
      </c>
      <c r="G1214" t="s">
        <v>22</v>
      </c>
      <c r="H1214" t="s">
        <v>23</v>
      </c>
      <c r="I1214" t="s">
        <v>171</v>
      </c>
      <c r="J1214" t="s">
        <v>3421</v>
      </c>
      <c r="L1214">
        <v>6</v>
      </c>
      <c r="M1214">
        <v>283000</v>
      </c>
      <c r="N1214">
        <v>4.9000000000000004</v>
      </c>
      <c r="O1214">
        <v>10</v>
      </c>
      <c r="P1214" t="s">
        <v>26</v>
      </c>
    </row>
    <row r="1215" spans="1:16" x14ac:dyDescent="0.25">
      <c r="A1215" t="s">
        <v>3422</v>
      </c>
      <c r="B1215" t="s">
        <v>2419</v>
      </c>
      <c r="D1215" t="s">
        <v>43</v>
      </c>
      <c r="E1215" t="s">
        <v>20</v>
      </c>
      <c r="F1215" t="s">
        <v>32</v>
      </c>
      <c r="G1215" t="s">
        <v>80</v>
      </c>
      <c r="H1215" t="s">
        <v>34</v>
      </c>
      <c r="I1215" t="s">
        <v>57</v>
      </c>
      <c r="J1215" t="s">
        <v>469</v>
      </c>
      <c r="L1215">
        <v>4.8</v>
      </c>
      <c r="M1215">
        <v>222000</v>
      </c>
      <c r="N1215">
        <v>5</v>
      </c>
      <c r="O1215">
        <v>0</v>
      </c>
      <c r="P1215" t="s">
        <v>26</v>
      </c>
    </row>
    <row r="1216" spans="1:16" x14ac:dyDescent="0.25">
      <c r="A1216" t="s">
        <v>3423</v>
      </c>
      <c r="B1216" t="s">
        <v>2159</v>
      </c>
      <c r="D1216" t="s">
        <v>50</v>
      </c>
      <c r="E1216" t="s">
        <v>44</v>
      </c>
      <c r="F1216" t="s">
        <v>39</v>
      </c>
      <c r="G1216" t="s">
        <v>22</v>
      </c>
      <c r="H1216" t="s">
        <v>46</v>
      </c>
      <c r="I1216" t="s">
        <v>35</v>
      </c>
      <c r="J1216" t="s">
        <v>165</v>
      </c>
      <c r="L1216">
        <v>1.7</v>
      </c>
      <c r="M1216">
        <v>144000</v>
      </c>
      <c r="N1216">
        <v>3.1</v>
      </c>
      <c r="O1216">
        <v>14</v>
      </c>
      <c r="P1216" t="s">
        <v>26</v>
      </c>
    </row>
    <row r="1217" spans="1:16" x14ac:dyDescent="0.25">
      <c r="A1217" t="s">
        <v>3424</v>
      </c>
      <c r="B1217" t="s">
        <v>3425</v>
      </c>
      <c r="C1217" t="s">
        <v>29</v>
      </c>
      <c r="D1217" t="s">
        <v>79</v>
      </c>
      <c r="F1217" t="s">
        <v>39</v>
      </c>
      <c r="G1217" t="s">
        <v>22</v>
      </c>
      <c r="H1217" t="s">
        <v>23</v>
      </c>
      <c r="I1217" t="s">
        <v>24</v>
      </c>
      <c r="J1217" t="s">
        <v>3273</v>
      </c>
      <c r="L1217">
        <v>2.9</v>
      </c>
      <c r="M1217">
        <v>129000</v>
      </c>
      <c r="N1217">
        <v>4.5999999999999996</v>
      </c>
      <c r="O1217">
        <v>14</v>
      </c>
      <c r="P1217" t="s">
        <v>26</v>
      </c>
    </row>
    <row r="1218" spans="1:16" x14ac:dyDescent="0.25">
      <c r="A1218" t="s">
        <v>3426</v>
      </c>
      <c r="B1218" t="s">
        <v>3106</v>
      </c>
      <c r="C1218" t="s">
        <v>29</v>
      </c>
      <c r="D1218" t="s">
        <v>50</v>
      </c>
      <c r="E1218" t="s">
        <v>20</v>
      </c>
      <c r="F1218" t="s">
        <v>39</v>
      </c>
      <c r="G1218" t="s">
        <v>80</v>
      </c>
      <c r="H1218" t="s">
        <v>23</v>
      </c>
      <c r="I1218" t="s">
        <v>57</v>
      </c>
      <c r="J1218" t="s">
        <v>2827</v>
      </c>
      <c r="K1218" t="s">
        <v>838</v>
      </c>
      <c r="L1218">
        <v>5.5</v>
      </c>
      <c r="N1218">
        <v>2.2000000000000002</v>
      </c>
      <c r="O1218">
        <v>11</v>
      </c>
      <c r="P1218" t="s">
        <v>53</v>
      </c>
    </row>
    <row r="1219" spans="1:16" x14ac:dyDescent="0.25">
      <c r="A1219" t="s">
        <v>3427</v>
      </c>
      <c r="B1219" t="s">
        <v>3428</v>
      </c>
      <c r="D1219" t="s">
        <v>30</v>
      </c>
      <c r="E1219" t="s">
        <v>20</v>
      </c>
      <c r="F1219" t="s">
        <v>39</v>
      </c>
      <c r="G1219" t="s">
        <v>80</v>
      </c>
      <c r="H1219" t="s">
        <v>46</v>
      </c>
      <c r="I1219" t="s">
        <v>57</v>
      </c>
      <c r="J1219" t="s">
        <v>1561</v>
      </c>
      <c r="K1219" t="s">
        <v>3429</v>
      </c>
      <c r="L1219">
        <v>3.7</v>
      </c>
      <c r="M1219">
        <v>154000</v>
      </c>
      <c r="N1219">
        <v>1.6</v>
      </c>
      <c r="O1219">
        <v>10</v>
      </c>
      <c r="P1219" t="s">
        <v>53</v>
      </c>
    </row>
    <row r="1220" spans="1:16" x14ac:dyDescent="0.25">
      <c r="A1220" t="s">
        <v>3430</v>
      </c>
      <c r="B1220" t="s">
        <v>188</v>
      </c>
      <c r="C1220" t="s">
        <v>29</v>
      </c>
      <c r="D1220" t="s">
        <v>30</v>
      </c>
      <c r="E1220" t="s">
        <v>20</v>
      </c>
      <c r="F1220" t="s">
        <v>32</v>
      </c>
      <c r="G1220" t="s">
        <v>22</v>
      </c>
      <c r="H1220" t="s">
        <v>46</v>
      </c>
      <c r="I1220" t="s">
        <v>35</v>
      </c>
      <c r="J1220" t="s">
        <v>3431</v>
      </c>
      <c r="K1220" t="s">
        <v>1091</v>
      </c>
      <c r="L1220">
        <v>4.5</v>
      </c>
      <c r="M1220">
        <v>272000</v>
      </c>
      <c r="N1220">
        <v>2.1</v>
      </c>
      <c r="O1220">
        <v>29</v>
      </c>
      <c r="P1220" t="s">
        <v>72</v>
      </c>
    </row>
    <row r="1221" spans="1:16" x14ac:dyDescent="0.25">
      <c r="A1221" t="s">
        <v>3432</v>
      </c>
      <c r="B1221" t="s">
        <v>3433</v>
      </c>
      <c r="C1221" t="s">
        <v>18</v>
      </c>
      <c r="D1221" t="s">
        <v>19</v>
      </c>
      <c r="E1221" t="s">
        <v>31</v>
      </c>
      <c r="F1221" t="s">
        <v>39</v>
      </c>
      <c r="G1221" t="s">
        <v>22</v>
      </c>
      <c r="H1221" t="s">
        <v>23</v>
      </c>
      <c r="I1221" t="s">
        <v>24</v>
      </c>
      <c r="J1221" t="s">
        <v>3434</v>
      </c>
      <c r="L1221">
        <v>5.7</v>
      </c>
      <c r="M1221">
        <v>155000</v>
      </c>
      <c r="N1221">
        <v>3.5</v>
      </c>
      <c r="P1221" t="s">
        <v>26</v>
      </c>
    </row>
    <row r="1222" spans="1:16" x14ac:dyDescent="0.25">
      <c r="A1222" t="s">
        <v>3435</v>
      </c>
      <c r="B1222" t="s">
        <v>3436</v>
      </c>
      <c r="C1222" t="s">
        <v>29</v>
      </c>
      <c r="D1222" t="s">
        <v>19</v>
      </c>
      <c r="E1222" t="s">
        <v>44</v>
      </c>
      <c r="F1222" t="s">
        <v>128</v>
      </c>
      <c r="G1222" t="s">
        <v>22</v>
      </c>
      <c r="H1222" t="s">
        <v>46</v>
      </c>
      <c r="I1222" t="s">
        <v>57</v>
      </c>
      <c r="J1222" t="s">
        <v>1834</v>
      </c>
      <c r="K1222" t="s">
        <v>1310</v>
      </c>
      <c r="L1222">
        <v>1.6</v>
      </c>
      <c r="M1222">
        <v>451000</v>
      </c>
      <c r="N1222">
        <v>4.8</v>
      </c>
      <c r="O1222">
        <v>9</v>
      </c>
      <c r="P1222" t="s">
        <v>72</v>
      </c>
    </row>
    <row r="1223" spans="1:16" x14ac:dyDescent="0.25">
      <c r="A1223" t="s">
        <v>3437</v>
      </c>
      <c r="B1223" t="s">
        <v>3438</v>
      </c>
      <c r="C1223" t="s">
        <v>29</v>
      </c>
      <c r="D1223" t="s">
        <v>50</v>
      </c>
      <c r="E1223" t="s">
        <v>20</v>
      </c>
      <c r="F1223" t="s">
        <v>45</v>
      </c>
      <c r="G1223" t="s">
        <v>22</v>
      </c>
      <c r="H1223" t="s">
        <v>34</v>
      </c>
      <c r="I1223" t="s">
        <v>75</v>
      </c>
      <c r="J1223" t="s">
        <v>208</v>
      </c>
      <c r="L1223">
        <v>5.0999999999999996</v>
      </c>
      <c r="M1223">
        <v>1307000</v>
      </c>
      <c r="N1223">
        <v>4.9000000000000004</v>
      </c>
      <c r="O1223">
        <v>31</v>
      </c>
      <c r="P1223" t="s">
        <v>26</v>
      </c>
    </row>
    <row r="1224" spans="1:16" x14ac:dyDescent="0.25">
      <c r="A1224" t="s">
        <v>3439</v>
      </c>
      <c r="B1224" t="s">
        <v>2388</v>
      </c>
      <c r="C1224" t="s">
        <v>29</v>
      </c>
      <c r="D1224" t="s">
        <v>30</v>
      </c>
      <c r="E1224" t="s">
        <v>44</v>
      </c>
      <c r="F1224" t="s">
        <v>32</v>
      </c>
      <c r="G1224" t="s">
        <v>33</v>
      </c>
      <c r="H1224" t="s">
        <v>23</v>
      </c>
      <c r="I1224" t="s">
        <v>24</v>
      </c>
      <c r="J1224" t="s">
        <v>1154</v>
      </c>
      <c r="K1224" t="s">
        <v>3440</v>
      </c>
      <c r="L1224">
        <v>3.5</v>
      </c>
      <c r="M1224">
        <v>293000</v>
      </c>
      <c r="N1224">
        <v>2.5</v>
      </c>
      <c r="O1224">
        <v>3</v>
      </c>
      <c r="P1224" t="s">
        <v>53</v>
      </c>
    </row>
    <row r="1225" spans="1:16" x14ac:dyDescent="0.25">
      <c r="A1225" t="s">
        <v>3441</v>
      </c>
      <c r="B1225" t="s">
        <v>3442</v>
      </c>
      <c r="C1225" t="s">
        <v>29</v>
      </c>
      <c r="D1225" t="s">
        <v>79</v>
      </c>
      <c r="E1225" t="s">
        <v>44</v>
      </c>
      <c r="F1225" t="s">
        <v>39</v>
      </c>
      <c r="G1225" t="s">
        <v>33</v>
      </c>
      <c r="H1225" t="s">
        <v>46</v>
      </c>
      <c r="I1225" t="s">
        <v>24</v>
      </c>
      <c r="J1225" t="s">
        <v>3443</v>
      </c>
      <c r="L1225">
        <v>4.4000000000000004</v>
      </c>
      <c r="M1225">
        <v>105000</v>
      </c>
      <c r="N1225">
        <v>2.9</v>
      </c>
      <c r="O1225">
        <v>10</v>
      </c>
      <c r="P1225" t="s">
        <v>26</v>
      </c>
    </row>
    <row r="1226" spans="1:16" x14ac:dyDescent="0.25">
      <c r="A1226" t="s">
        <v>3444</v>
      </c>
      <c r="B1226" t="s">
        <v>3445</v>
      </c>
      <c r="C1226" t="s">
        <v>29</v>
      </c>
      <c r="D1226" t="s">
        <v>30</v>
      </c>
      <c r="E1226" t="s">
        <v>20</v>
      </c>
      <c r="F1226" t="s">
        <v>32</v>
      </c>
      <c r="G1226" t="s">
        <v>33</v>
      </c>
      <c r="H1226" t="s">
        <v>46</v>
      </c>
      <c r="I1226" t="s">
        <v>57</v>
      </c>
      <c r="J1226" t="s">
        <v>2257</v>
      </c>
      <c r="K1226" t="s">
        <v>2255</v>
      </c>
      <c r="L1226">
        <v>3.2</v>
      </c>
      <c r="M1226">
        <v>346000</v>
      </c>
      <c r="N1226">
        <v>4</v>
      </c>
      <c r="O1226">
        <v>1</v>
      </c>
      <c r="P1226" t="s">
        <v>53</v>
      </c>
    </row>
    <row r="1227" spans="1:16" x14ac:dyDescent="0.25">
      <c r="A1227" t="s">
        <v>3446</v>
      </c>
      <c r="B1227" t="s">
        <v>3447</v>
      </c>
      <c r="C1227" t="s">
        <v>29</v>
      </c>
      <c r="D1227" t="s">
        <v>43</v>
      </c>
      <c r="E1227" t="s">
        <v>20</v>
      </c>
      <c r="F1227" t="s">
        <v>39</v>
      </c>
      <c r="G1227" t="s">
        <v>80</v>
      </c>
      <c r="H1227" t="s">
        <v>34</v>
      </c>
      <c r="I1227" t="s">
        <v>57</v>
      </c>
      <c r="J1227" t="s">
        <v>3448</v>
      </c>
      <c r="L1227">
        <v>5.7</v>
      </c>
      <c r="M1227">
        <v>131000</v>
      </c>
      <c r="N1227">
        <v>3.6</v>
      </c>
      <c r="O1227">
        <v>9</v>
      </c>
      <c r="P1227" t="s">
        <v>26</v>
      </c>
    </row>
    <row r="1228" spans="1:16" x14ac:dyDescent="0.25">
      <c r="A1228" t="s">
        <v>3449</v>
      </c>
      <c r="B1228" t="s">
        <v>2208</v>
      </c>
      <c r="C1228" t="s">
        <v>18</v>
      </c>
      <c r="D1228" t="s">
        <v>19</v>
      </c>
      <c r="E1228" t="s">
        <v>20</v>
      </c>
      <c r="F1228" t="s">
        <v>32</v>
      </c>
      <c r="G1228" t="s">
        <v>22</v>
      </c>
      <c r="H1228" t="s">
        <v>23</v>
      </c>
      <c r="I1228" t="s">
        <v>35</v>
      </c>
      <c r="J1228" t="s">
        <v>3450</v>
      </c>
      <c r="K1228" t="s">
        <v>3451</v>
      </c>
      <c r="L1228">
        <v>3</v>
      </c>
      <c r="M1228">
        <v>281000</v>
      </c>
      <c r="N1228">
        <v>5</v>
      </c>
      <c r="O1228">
        <v>1</v>
      </c>
      <c r="P1228" t="s">
        <v>53</v>
      </c>
    </row>
    <row r="1229" spans="1:16" x14ac:dyDescent="0.25">
      <c r="A1229" t="s">
        <v>3452</v>
      </c>
      <c r="B1229" t="s">
        <v>1335</v>
      </c>
      <c r="C1229" t="s">
        <v>29</v>
      </c>
      <c r="D1229" t="s">
        <v>50</v>
      </c>
      <c r="E1229" t="s">
        <v>44</v>
      </c>
      <c r="F1229" t="s">
        <v>32</v>
      </c>
      <c r="G1229" t="s">
        <v>22</v>
      </c>
      <c r="H1229" t="s">
        <v>23</v>
      </c>
      <c r="I1229" t="s">
        <v>35</v>
      </c>
      <c r="J1229" t="s">
        <v>3453</v>
      </c>
      <c r="L1229">
        <v>2</v>
      </c>
      <c r="M1229">
        <v>213000</v>
      </c>
      <c r="N1229">
        <v>4.0999999999999996</v>
      </c>
      <c r="O1229">
        <v>11</v>
      </c>
      <c r="P1229" t="s">
        <v>26</v>
      </c>
    </row>
    <row r="1230" spans="1:16" x14ac:dyDescent="0.25">
      <c r="A1230" t="s">
        <v>3454</v>
      </c>
      <c r="B1230" t="s">
        <v>1702</v>
      </c>
      <c r="C1230" t="s">
        <v>18</v>
      </c>
      <c r="E1230" t="s">
        <v>44</v>
      </c>
      <c r="F1230" t="s">
        <v>32</v>
      </c>
      <c r="G1230" t="s">
        <v>80</v>
      </c>
      <c r="H1230" t="s">
        <v>34</v>
      </c>
      <c r="I1230" t="s">
        <v>24</v>
      </c>
      <c r="J1230" t="s">
        <v>3455</v>
      </c>
      <c r="L1230">
        <v>3.5</v>
      </c>
      <c r="M1230">
        <v>230000</v>
      </c>
      <c r="N1230">
        <v>4.5</v>
      </c>
      <c r="O1230">
        <v>28</v>
      </c>
      <c r="P1230" t="s">
        <v>26</v>
      </c>
    </row>
    <row r="1231" spans="1:16" x14ac:dyDescent="0.25">
      <c r="A1231" t="s">
        <v>3456</v>
      </c>
      <c r="B1231" t="s">
        <v>3457</v>
      </c>
      <c r="C1231" t="s">
        <v>18</v>
      </c>
      <c r="D1231" t="s">
        <v>19</v>
      </c>
      <c r="E1231" t="s">
        <v>31</v>
      </c>
      <c r="F1231" t="s">
        <v>128</v>
      </c>
      <c r="G1231" t="s">
        <v>22</v>
      </c>
      <c r="H1231" t="s">
        <v>34</v>
      </c>
      <c r="I1231" t="s">
        <v>57</v>
      </c>
      <c r="J1231" t="s">
        <v>2726</v>
      </c>
      <c r="K1231" t="s">
        <v>3458</v>
      </c>
      <c r="L1231">
        <v>5.8</v>
      </c>
      <c r="M1231">
        <v>514000</v>
      </c>
      <c r="N1231">
        <v>3.6</v>
      </c>
      <c r="O1231">
        <v>9</v>
      </c>
      <c r="P1231" t="s">
        <v>72</v>
      </c>
    </row>
    <row r="1232" spans="1:16" x14ac:dyDescent="0.25">
      <c r="A1232" t="s">
        <v>3459</v>
      </c>
      <c r="B1232" t="s">
        <v>3460</v>
      </c>
      <c r="C1232" t="s">
        <v>18</v>
      </c>
      <c r="D1232" t="s">
        <v>79</v>
      </c>
      <c r="E1232" t="s">
        <v>44</v>
      </c>
      <c r="F1232" t="s">
        <v>21</v>
      </c>
      <c r="G1232" t="s">
        <v>33</v>
      </c>
      <c r="H1232" t="s">
        <v>34</v>
      </c>
      <c r="I1232" t="s">
        <v>57</v>
      </c>
      <c r="J1232" t="s">
        <v>2853</v>
      </c>
      <c r="L1232">
        <v>1.9</v>
      </c>
      <c r="M1232">
        <v>878000</v>
      </c>
      <c r="N1232">
        <v>4.9000000000000004</v>
      </c>
      <c r="O1232">
        <v>11</v>
      </c>
      <c r="P1232" t="s">
        <v>26</v>
      </c>
    </row>
    <row r="1233" spans="1:16" x14ac:dyDescent="0.25">
      <c r="A1233" t="s">
        <v>3461</v>
      </c>
      <c r="B1233" t="s">
        <v>3462</v>
      </c>
      <c r="C1233" t="s">
        <v>29</v>
      </c>
      <c r="D1233" t="s">
        <v>30</v>
      </c>
      <c r="E1233" t="s">
        <v>20</v>
      </c>
      <c r="F1233" t="s">
        <v>39</v>
      </c>
      <c r="G1233" t="s">
        <v>22</v>
      </c>
      <c r="H1233" t="s">
        <v>23</v>
      </c>
      <c r="I1233" t="s">
        <v>57</v>
      </c>
      <c r="J1233" t="s">
        <v>3463</v>
      </c>
      <c r="L1233">
        <v>5.8</v>
      </c>
      <c r="M1233">
        <v>111000</v>
      </c>
      <c r="N1233">
        <v>2</v>
      </c>
      <c r="O1233">
        <v>2</v>
      </c>
      <c r="P1233" t="s">
        <v>26</v>
      </c>
    </row>
    <row r="1234" spans="1:16" x14ac:dyDescent="0.25">
      <c r="A1234" t="s">
        <v>3464</v>
      </c>
      <c r="B1234" t="s">
        <v>248</v>
      </c>
      <c r="C1234" t="s">
        <v>18</v>
      </c>
      <c r="D1234" t="s">
        <v>50</v>
      </c>
      <c r="E1234" t="s">
        <v>44</v>
      </c>
      <c r="G1234" t="s">
        <v>22</v>
      </c>
      <c r="H1234" t="s">
        <v>46</v>
      </c>
      <c r="I1234" t="s">
        <v>75</v>
      </c>
      <c r="J1234" t="s">
        <v>3465</v>
      </c>
      <c r="L1234">
        <v>3.9</v>
      </c>
      <c r="M1234">
        <v>312000</v>
      </c>
      <c r="N1234">
        <v>4.4000000000000004</v>
      </c>
      <c r="O1234">
        <v>9</v>
      </c>
      <c r="P1234" t="s">
        <v>26</v>
      </c>
    </row>
    <row r="1235" spans="1:16" x14ac:dyDescent="0.25">
      <c r="A1235" t="s">
        <v>3466</v>
      </c>
      <c r="B1235" t="s">
        <v>1826</v>
      </c>
      <c r="C1235" t="s">
        <v>29</v>
      </c>
      <c r="D1235" t="s">
        <v>50</v>
      </c>
      <c r="F1235" t="s">
        <v>21</v>
      </c>
      <c r="G1235" t="s">
        <v>22</v>
      </c>
      <c r="H1235" t="s">
        <v>34</v>
      </c>
      <c r="I1235" t="s">
        <v>171</v>
      </c>
      <c r="J1235" t="s">
        <v>2626</v>
      </c>
      <c r="K1235" t="s">
        <v>3467</v>
      </c>
      <c r="L1235">
        <v>2.2000000000000002</v>
      </c>
      <c r="M1235">
        <v>857000</v>
      </c>
      <c r="N1235">
        <v>3.9</v>
      </c>
      <c r="O1235">
        <v>4</v>
      </c>
      <c r="P1235" t="s">
        <v>53</v>
      </c>
    </row>
    <row r="1236" spans="1:16" x14ac:dyDescent="0.25">
      <c r="A1236" t="s">
        <v>3468</v>
      </c>
      <c r="B1236" t="s">
        <v>3469</v>
      </c>
      <c r="C1236" t="s">
        <v>29</v>
      </c>
      <c r="D1236" t="s">
        <v>30</v>
      </c>
      <c r="E1236" t="s">
        <v>31</v>
      </c>
      <c r="F1236" t="s">
        <v>21</v>
      </c>
      <c r="G1236" t="s">
        <v>33</v>
      </c>
      <c r="H1236" t="s">
        <v>34</v>
      </c>
      <c r="I1236" t="s">
        <v>57</v>
      </c>
      <c r="J1236" t="s">
        <v>3470</v>
      </c>
      <c r="K1236" t="s">
        <v>497</v>
      </c>
      <c r="L1236">
        <v>2.2999999999999998</v>
      </c>
      <c r="M1236">
        <v>859000</v>
      </c>
      <c r="N1236">
        <v>3.6</v>
      </c>
      <c r="O1236">
        <v>1</v>
      </c>
      <c r="P1236" t="s">
        <v>53</v>
      </c>
    </row>
    <row r="1237" spans="1:16" x14ac:dyDescent="0.25">
      <c r="A1237" t="s">
        <v>3471</v>
      </c>
      <c r="B1237" t="s">
        <v>1387</v>
      </c>
      <c r="D1237" t="s">
        <v>79</v>
      </c>
      <c r="F1237" t="s">
        <v>39</v>
      </c>
      <c r="G1237" t="s">
        <v>80</v>
      </c>
      <c r="H1237" t="s">
        <v>34</v>
      </c>
      <c r="I1237" t="s">
        <v>57</v>
      </c>
      <c r="J1237" t="s">
        <v>3472</v>
      </c>
      <c r="L1237">
        <v>3.7</v>
      </c>
      <c r="M1237">
        <v>105000</v>
      </c>
      <c r="N1237">
        <v>2.5</v>
      </c>
      <c r="O1237">
        <v>28</v>
      </c>
      <c r="P1237" t="s">
        <v>26</v>
      </c>
    </row>
    <row r="1238" spans="1:16" x14ac:dyDescent="0.25">
      <c r="A1238" t="s">
        <v>3473</v>
      </c>
      <c r="B1238" t="s">
        <v>1219</v>
      </c>
      <c r="C1238" t="s">
        <v>18</v>
      </c>
      <c r="E1238" t="s">
        <v>44</v>
      </c>
      <c r="F1238" t="s">
        <v>39</v>
      </c>
      <c r="G1238" t="s">
        <v>22</v>
      </c>
      <c r="H1238" t="s">
        <v>46</v>
      </c>
      <c r="I1238" t="s">
        <v>24</v>
      </c>
      <c r="J1238" t="s">
        <v>3474</v>
      </c>
      <c r="L1238">
        <v>3</v>
      </c>
      <c r="M1238">
        <v>87000</v>
      </c>
      <c r="N1238">
        <v>3.9</v>
      </c>
      <c r="O1238">
        <v>2</v>
      </c>
      <c r="P1238" t="s">
        <v>26</v>
      </c>
    </row>
    <row r="1239" spans="1:16" x14ac:dyDescent="0.25">
      <c r="A1239" t="s">
        <v>3475</v>
      </c>
      <c r="B1239" t="s">
        <v>1731</v>
      </c>
      <c r="C1239" t="s">
        <v>18</v>
      </c>
      <c r="D1239" t="s">
        <v>30</v>
      </c>
      <c r="E1239" t="s">
        <v>20</v>
      </c>
      <c r="F1239" t="s">
        <v>39</v>
      </c>
      <c r="G1239" t="s">
        <v>80</v>
      </c>
      <c r="H1239" t="s">
        <v>23</v>
      </c>
      <c r="J1239" t="s">
        <v>279</v>
      </c>
      <c r="L1239">
        <v>2.9</v>
      </c>
      <c r="M1239">
        <v>93000</v>
      </c>
      <c r="N1239">
        <v>3.4</v>
      </c>
      <c r="O1239">
        <v>5</v>
      </c>
      <c r="P1239" t="s">
        <v>26</v>
      </c>
    </row>
    <row r="1240" spans="1:16" x14ac:dyDescent="0.25">
      <c r="A1240" t="s">
        <v>3476</v>
      </c>
      <c r="B1240" t="s">
        <v>3477</v>
      </c>
      <c r="C1240" t="s">
        <v>18</v>
      </c>
      <c r="D1240" t="s">
        <v>30</v>
      </c>
      <c r="E1240" t="s">
        <v>44</v>
      </c>
      <c r="F1240" t="s">
        <v>21</v>
      </c>
      <c r="G1240" t="s">
        <v>22</v>
      </c>
      <c r="H1240" t="s">
        <v>23</v>
      </c>
      <c r="I1240" t="s">
        <v>57</v>
      </c>
      <c r="J1240" t="s">
        <v>2223</v>
      </c>
      <c r="K1240" t="s">
        <v>3478</v>
      </c>
      <c r="L1240">
        <v>4.8</v>
      </c>
      <c r="M1240">
        <v>812000</v>
      </c>
      <c r="N1240">
        <v>3.2</v>
      </c>
      <c r="O1240">
        <v>3</v>
      </c>
      <c r="P1240" t="s">
        <v>114</v>
      </c>
    </row>
    <row r="1241" spans="1:16" x14ac:dyDescent="0.25">
      <c r="A1241" t="s">
        <v>3479</v>
      </c>
      <c r="B1241" t="s">
        <v>3480</v>
      </c>
      <c r="C1241" t="s">
        <v>29</v>
      </c>
      <c r="D1241" t="s">
        <v>30</v>
      </c>
      <c r="E1241" t="s">
        <v>20</v>
      </c>
      <c r="F1241" t="s">
        <v>39</v>
      </c>
      <c r="G1241" t="s">
        <v>22</v>
      </c>
      <c r="H1241" t="s">
        <v>62</v>
      </c>
      <c r="I1241" t="s">
        <v>24</v>
      </c>
      <c r="J1241" t="s">
        <v>1913</v>
      </c>
      <c r="L1241">
        <v>6.1</v>
      </c>
      <c r="M1241">
        <v>148000</v>
      </c>
      <c r="N1241">
        <v>1.9</v>
      </c>
      <c r="O1241">
        <v>3</v>
      </c>
      <c r="P1241" t="s">
        <v>26</v>
      </c>
    </row>
    <row r="1242" spans="1:16" x14ac:dyDescent="0.25">
      <c r="A1242" t="s">
        <v>3481</v>
      </c>
      <c r="B1242" t="s">
        <v>3482</v>
      </c>
      <c r="C1242" t="s">
        <v>18</v>
      </c>
      <c r="D1242" t="s">
        <v>50</v>
      </c>
      <c r="E1242" t="s">
        <v>20</v>
      </c>
      <c r="F1242" t="s">
        <v>32</v>
      </c>
      <c r="G1242" t="s">
        <v>69</v>
      </c>
      <c r="H1242" t="s">
        <v>34</v>
      </c>
      <c r="I1242" t="s">
        <v>24</v>
      </c>
      <c r="J1242" t="s">
        <v>2565</v>
      </c>
      <c r="L1242">
        <v>1.8</v>
      </c>
      <c r="M1242">
        <v>289000</v>
      </c>
      <c r="N1242">
        <v>3.1</v>
      </c>
      <c r="O1242">
        <v>14</v>
      </c>
      <c r="P1242" t="s">
        <v>26</v>
      </c>
    </row>
    <row r="1243" spans="1:16" x14ac:dyDescent="0.25">
      <c r="A1243" t="s">
        <v>3483</v>
      </c>
      <c r="B1243" t="s">
        <v>2184</v>
      </c>
      <c r="C1243" t="s">
        <v>18</v>
      </c>
      <c r="D1243" t="s">
        <v>50</v>
      </c>
      <c r="E1243" t="s">
        <v>44</v>
      </c>
      <c r="F1243" t="s">
        <v>39</v>
      </c>
      <c r="G1243" t="s">
        <v>33</v>
      </c>
      <c r="H1243" t="s">
        <v>62</v>
      </c>
      <c r="I1243" t="s">
        <v>24</v>
      </c>
      <c r="J1243" t="s">
        <v>3484</v>
      </c>
      <c r="K1243" t="s">
        <v>3485</v>
      </c>
      <c r="L1243">
        <v>3.5</v>
      </c>
      <c r="M1243">
        <v>89000</v>
      </c>
      <c r="O1243">
        <v>6</v>
      </c>
      <c r="P1243" t="s">
        <v>53</v>
      </c>
    </row>
    <row r="1244" spans="1:16" x14ac:dyDescent="0.25">
      <c r="A1244" t="s">
        <v>3486</v>
      </c>
      <c r="B1244" t="s">
        <v>3487</v>
      </c>
      <c r="C1244" t="s">
        <v>29</v>
      </c>
      <c r="E1244" t="s">
        <v>20</v>
      </c>
      <c r="F1244" t="s">
        <v>32</v>
      </c>
      <c r="G1244" t="s">
        <v>22</v>
      </c>
      <c r="H1244" t="s">
        <v>23</v>
      </c>
      <c r="I1244" t="s">
        <v>24</v>
      </c>
      <c r="J1244" t="s">
        <v>3488</v>
      </c>
      <c r="L1244">
        <v>3.6</v>
      </c>
      <c r="M1244">
        <v>267000</v>
      </c>
      <c r="N1244">
        <v>3</v>
      </c>
      <c r="O1244">
        <v>6</v>
      </c>
      <c r="P1244" t="s">
        <v>26</v>
      </c>
    </row>
    <row r="1245" spans="1:16" x14ac:dyDescent="0.25">
      <c r="A1245" t="s">
        <v>3489</v>
      </c>
      <c r="B1245" t="s">
        <v>3490</v>
      </c>
      <c r="C1245" t="s">
        <v>29</v>
      </c>
      <c r="D1245" t="s">
        <v>19</v>
      </c>
      <c r="E1245" t="s">
        <v>20</v>
      </c>
      <c r="F1245" t="s">
        <v>39</v>
      </c>
      <c r="G1245" t="s">
        <v>22</v>
      </c>
      <c r="H1245" t="s">
        <v>46</v>
      </c>
      <c r="I1245" t="s">
        <v>24</v>
      </c>
      <c r="J1245" t="s">
        <v>1369</v>
      </c>
      <c r="L1245">
        <v>4.8</v>
      </c>
      <c r="M1245">
        <v>196000</v>
      </c>
      <c r="N1245">
        <v>2.2000000000000002</v>
      </c>
      <c r="O1245">
        <v>2</v>
      </c>
      <c r="P1245" t="s">
        <v>26</v>
      </c>
    </row>
    <row r="1246" spans="1:16" x14ac:dyDescent="0.25">
      <c r="A1246" t="s">
        <v>3491</v>
      </c>
      <c r="B1246" t="s">
        <v>3492</v>
      </c>
      <c r="C1246" t="s">
        <v>18</v>
      </c>
      <c r="D1246" t="s">
        <v>30</v>
      </c>
      <c r="E1246" t="s">
        <v>20</v>
      </c>
      <c r="F1246" t="s">
        <v>21</v>
      </c>
      <c r="G1246" t="s">
        <v>80</v>
      </c>
      <c r="H1246" t="s">
        <v>62</v>
      </c>
      <c r="I1246" t="s">
        <v>57</v>
      </c>
      <c r="J1246" t="s">
        <v>3493</v>
      </c>
      <c r="L1246">
        <v>2</v>
      </c>
      <c r="M1246">
        <v>907000</v>
      </c>
      <c r="N1246">
        <v>4.0999999999999996</v>
      </c>
      <c r="O1246">
        <v>8</v>
      </c>
      <c r="P1246" t="s">
        <v>26</v>
      </c>
    </row>
    <row r="1247" spans="1:16" x14ac:dyDescent="0.25">
      <c r="A1247" t="s">
        <v>3494</v>
      </c>
      <c r="B1247" t="s">
        <v>3495</v>
      </c>
      <c r="C1247" t="s">
        <v>29</v>
      </c>
      <c r="D1247" t="s">
        <v>43</v>
      </c>
      <c r="E1247" t="s">
        <v>44</v>
      </c>
      <c r="F1247" t="s">
        <v>128</v>
      </c>
      <c r="G1247" t="s">
        <v>80</v>
      </c>
      <c r="H1247" t="s">
        <v>34</v>
      </c>
      <c r="J1247" t="s">
        <v>3496</v>
      </c>
      <c r="L1247">
        <v>5.5</v>
      </c>
      <c r="M1247">
        <v>350000</v>
      </c>
      <c r="N1247">
        <v>3.5</v>
      </c>
      <c r="O1247">
        <v>7</v>
      </c>
      <c r="P1247" t="s">
        <v>26</v>
      </c>
    </row>
    <row r="1248" spans="1:16" x14ac:dyDescent="0.25">
      <c r="A1248" t="s">
        <v>3497</v>
      </c>
      <c r="B1248" t="s">
        <v>3498</v>
      </c>
      <c r="C1248" t="s">
        <v>18</v>
      </c>
      <c r="D1248" t="s">
        <v>30</v>
      </c>
      <c r="E1248" t="s">
        <v>44</v>
      </c>
      <c r="F1248" t="s">
        <v>32</v>
      </c>
      <c r="G1248" t="s">
        <v>80</v>
      </c>
      <c r="H1248" t="s">
        <v>23</v>
      </c>
      <c r="I1248" t="s">
        <v>24</v>
      </c>
      <c r="J1248" t="s">
        <v>2723</v>
      </c>
      <c r="K1248" t="s">
        <v>3499</v>
      </c>
      <c r="L1248">
        <v>2.8</v>
      </c>
      <c r="M1248">
        <v>332000</v>
      </c>
      <c r="N1248">
        <v>2.6</v>
      </c>
      <c r="O1248">
        <v>1</v>
      </c>
      <c r="P1248" t="s">
        <v>114</v>
      </c>
    </row>
    <row r="1249" spans="1:16" x14ac:dyDescent="0.25">
      <c r="A1249" t="s">
        <v>3500</v>
      </c>
      <c r="B1249" t="s">
        <v>513</v>
      </c>
      <c r="C1249" t="s">
        <v>18</v>
      </c>
      <c r="F1249" t="s">
        <v>32</v>
      </c>
      <c r="G1249" t="s">
        <v>69</v>
      </c>
      <c r="H1249" t="s">
        <v>34</v>
      </c>
      <c r="I1249" t="s">
        <v>35</v>
      </c>
      <c r="J1249" t="s">
        <v>3198</v>
      </c>
      <c r="L1249">
        <v>5.3</v>
      </c>
      <c r="M1249">
        <v>318000</v>
      </c>
      <c r="N1249">
        <v>3.1</v>
      </c>
      <c r="O1249">
        <v>3</v>
      </c>
      <c r="P1249" t="s">
        <v>26</v>
      </c>
    </row>
    <row r="1250" spans="1:16" x14ac:dyDescent="0.25">
      <c r="A1250" t="s">
        <v>3501</v>
      </c>
      <c r="B1250" t="s">
        <v>3502</v>
      </c>
      <c r="C1250" t="s">
        <v>18</v>
      </c>
      <c r="D1250" t="s">
        <v>79</v>
      </c>
      <c r="E1250" t="s">
        <v>20</v>
      </c>
      <c r="F1250" t="s">
        <v>39</v>
      </c>
      <c r="G1250" t="s">
        <v>69</v>
      </c>
      <c r="H1250" t="s">
        <v>23</v>
      </c>
      <c r="I1250" t="s">
        <v>24</v>
      </c>
      <c r="J1250" t="s">
        <v>3503</v>
      </c>
      <c r="K1250" t="s">
        <v>975</v>
      </c>
      <c r="L1250">
        <v>5.2</v>
      </c>
      <c r="M1250">
        <v>178000</v>
      </c>
      <c r="N1250">
        <v>3.8</v>
      </c>
      <c r="O1250">
        <v>0</v>
      </c>
      <c r="P1250" t="s">
        <v>53</v>
      </c>
    </row>
    <row r="1251" spans="1:16" x14ac:dyDescent="0.25">
      <c r="A1251" t="s">
        <v>3504</v>
      </c>
      <c r="B1251" t="s">
        <v>3505</v>
      </c>
      <c r="C1251" t="s">
        <v>18</v>
      </c>
      <c r="D1251" t="s">
        <v>30</v>
      </c>
      <c r="E1251" t="s">
        <v>44</v>
      </c>
      <c r="F1251" t="s">
        <v>128</v>
      </c>
      <c r="G1251" t="s">
        <v>22</v>
      </c>
      <c r="H1251" t="s">
        <v>34</v>
      </c>
      <c r="I1251" t="s">
        <v>57</v>
      </c>
      <c r="J1251" t="s">
        <v>3506</v>
      </c>
      <c r="L1251">
        <v>2.7</v>
      </c>
      <c r="M1251">
        <v>536000</v>
      </c>
      <c r="N1251">
        <v>4</v>
      </c>
      <c r="O1251">
        <v>30</v>
      </c>
      <c r="P1251" t="s">
        <v>26</v>
      </c>
    </row>
    <row r="1252" spans="1:16" x14ac:dyDescent="0.25">
      <c r="A1252" t="s">
        <v>3507</v>
      </c>
      <c r="B1252" t="s">
        <v>3508</v>
      </c>
      <c r="C1252" t="s">
        <v>18</v>
      </c>
      <c r="D1252" t="s">
        <v>19</v>
      </c>
      <c r="E1252" t="s">
        <v>20</v>
      </c>
      <c r="F1252" t="s">
        <v>21</v>
      </c>
      <c r="G1252" t="s">
        <v>22</v>
      </c>
      <c r="H1252" t="s">
        <v>46</v>
      </c>
      <c r="I1252" t="s">
        <v>35</v>
      </c>
      <c r="J1252" t="s">
        <v>2299</v>
      </c>
      <c r="K1252" t="s">
        <v>199</v>
      </c>
      <c r="L1252">
        <v>4.9000000000000004</v>
      </c>
      <c r="M1252">
        <v>722000</v>
      </c>
      <c r="N1252">
        <v>5</v>
      </c>
      <c r="O1252">
        <v>8</v>
      </c>
      <c r="P1252" t="s">
        <v>72</v>
      </c>
    </row>
    <row r="1253" spans="1:16" x14ac:dyDescent="0.25">
      <c r="A1253" t="s">
        <v>3509</v>
      </c>
      <c r="B1253" t="s">
        <v>3510</v>
      </c>
      <c r="C1253" t="s">
        <v>18</v>
      </c>
      <c r="D1253" t="s">
        <v>50</v>
      </c>
      <c r="E1253" t="s">
        <v>31</v>
      </c>
      <c r="F1253" t="s">
        <v>21</v>
      </c>
      <c r="G1253" t="s">
        <v>22</v>
      </c>
      <c r="H1253" t="s">
        <v>46</v>
      </c>
      <c r="I1253" t="s">
        <v>35</v>
      </c>
      <c r="J1253" t="s">
        <v>1532</v>
      </c>
      <c r="K1253" t="s">
        <v>2853</v>
      </c>
      <c r="L1253">
        <v>4</v>
      </c>
      <c r="M1253">
        <v>819000</v>
      </c>
      <c r="N1253">
        <v>3.6</v>
      </c>
      <c r="O1253">
        <v>10</v>
      </c>
      <c r="P1253" t="s">
        <v>53</v>
      </c>
    </row>
    <row r="1254" spans="1:16" x14ac:dyDescent="0.25">
      <c r="A1254" t="s">
        <v>3511</v>
      </c>
      <c r="B1254" t="s">
        <v>1443</v>
      </c>
      <c r="C1254" t="s">
        <v>18</v>
      </c>
      <c r="D1254" t="s">
        <v>19</v>
      </c>
      <c r="E1254" t="s">
        <v>20</v>
      </c>
      <c r="F1254" t="s">
        <v>32</v>
      </c>
      <c r="G1254" t="s">
        <v>80</v>
      </c>
      <c r="I1254" t="s">
        <v>75</v>
      </c>
      <c r="J1254" t="s">
        <v>2584</v>
      </c>
      <c r="K1254" t="s">
        <v>3366</v>
      </c>
      <c r="L1254">
        <v>2.2999999999999998</v>
      </c>
      <c r="N1254">
        <v>4.5999999999999996</v>
      </c>
      <c r="O1254">
        <v>10</v>
      </c>
      <c r="P1254" t="s">
        <v>53</v>
      </c>
    </row>
    <row r="1255" spans="1:16" x14ac:dyDescent="0.25">
      <c r="A1255" t="s">
        <v>3512</v>
      </c>
      <c r="B1255" t="s">
        <v>3513</v>
      </c>
      <c r="C1255" t="s">
        <v>29</v>
      </c>
      <c r="D1255" t="s">
        <v>30</v>
      </c>
      <c r="E1255" t="s">
        <v>31</v>
      </c>
      <c r="F1255" t="s">
        <v>128</v>
      </c>
      <c r="G1255" t="s">
        <v>22</v>
      </c>
      <c r="H1255" t="s">
        <v>34</v>
      </c>
      <c r="I1255" t="s">
        <v>57</v>
      </c>
      <c r="J1255" t="s">
        <v>2713</v>
      </c>
      <c r="K1255" t="s">
        <v>3514</v>
      </c>
      <c r="L1255">
        <v>3.4</v>
      </c>
      <c r="M1255">
        <v>541000</v>
      </c>
      <c r="N1255">
        <v>4.3</v>
      </c>
      <c r="O1255">
        <v>1</v>
      </c>
      <c r="P1255" t="s">
        <v>26</v>
      </c>
    </row>
    <row r="1256" spans="1:16" x14ac:dyDescent="0.25">
      <c r="A1256" t="s">
        <v>3515</v>
      </c>
      <c r="B1256" t="s">
        <v>3516</v>
      </c>
      <c r="C1256" t="s">
        <v>29</v>
      </c>
      <c r="D1256" t="s">
        <v>79</v>
      </c>
      <c r="E1256" t="s">
        <v>20</v>
      </c>
      <c r="F1256" t="s">
        <v>32</v>
      </c>
      <c r="G1256" t="s">
        <v>80</v>
      </c>
      <c r="H1256" t="s">
        <v>62</v>
      </c>
      <c r="I1256" t="s">
        <v>24</v>
      </c>
      <c r="J1256" t="s">
        <v>3517</v>
      </c>
      <c r="L1256">
        <v>5.2</v>
      </c>
      <c r="M1256">
        <v>257000</v>
      </c>
      <c r="N1256">
        <v>4.3</v>
      </c>
      <c r="O1256">
        <v>13</v>
      </c>
      <c r="P1256" t="s">
        <v>26</v>
      </c>
    </row>
    <row r="1257" spans="1:16" x14ac:dyDescent="0.25">
      <c r="A1257" t="s">
        <v>3518</v>
      </c>
      <c r="B1257" t="s">
        <v>3519</v>
      </c>
      <c r="C1257" t="s">
        <v>29</v>
      </c>
      <c r="D1257" t="s">
        <v>79</v>
      </c>
      <c r="E1257" t="s">
        <v>20</v>
      </c>
      <c r="F1257" t="s">
        <v>128</v>
      </c>
      <c r="G1257" t="s">
        <v>22</v>
      </c>
      <c r="H1257" t="s">
        <v>34</v>
      </c>
      <c r="I1257" t="s">
        <v>35</v>
      </c>
      <c r="J1257" t="s">
        <v>3520</v>
      </c>
      <c r="L1257">
        <v>5.3</v>
      </c>
      <c r="M1257">
        <v>445000</v>
      </c>
      <c r="N1257">
        <v>4.5999999999999996</v>
      </c>
      <c r="O1257">
        <v>7</v>
      </c>
      <c r="P1257" t="s">
        <v>26</v>
      </c>
    </row>
    <row r="1258" spans="1:16" x14ac:dyDescent="0.25">
      <c r="A1258" t="s">
        <v>3521</v>
      </c>
      <c r="B1258" t="s">
        <v>3522</v>
      </c>
      <c r="C1258" t="s">
        <v>18</v>
      </c>
      <c r="D1258" t="s">
        <v>79</v>
      </c>
      <c r="E1258" t="s">
        <v>20</v>
      </c>
      <c r="F1258" t="s">
        <v>128</v>
      </c>
      <c r="G1258" t="s">
        <v>80</v>
      </c>
      <c r="H1258" t="s">
        <v>34</v>
      </c>
      <c r="I1258" t="s">
        <v>24</v>
      </c>
      <c r="J1258" t="s">
        <v>2490</v>
      </c>
      <c r="L1258">
        <v>6</v>
      </c>
      <c r="N1258">
        <v>4.5</v>
      </c>
      <c r="O1258">
        <v>13</v>
      </c>
      <c r="P1258" t="s">
        <v>26</v>
      </c>
    </row>
    <row r="1259" spans="1:16" x14ac:dyDescent="0.25">
      <c r="A1259" t="s">
        <v>3523</v>
      </c>
      <c r="B1259" t="s">
        <v>3524</v>
      </c>
      <c r="C1259" t="s">
        <v>29</v>
      </c>
      <c r="D1259" t="s">
        <v>43</v>
      </c>
      <c r="E1259" t="s">
        <v>20</v>
      </c>
      <c r="F1259" t="s">
        <v>21</v>
      </c>
      <c r="G1259" t="s">
        <v>22</v>
      </c>
      <c r="H1259" t="s">
        <v>46</v>
      </c>
      <c r="I1259" t="s">
        <v>24</v>
      </c>
      <c r="J1259" t="s">
        <v>732</v>
      </c>
      <c r="L1259">
        <v>2.6</v>
      </c>
      <c r="M1259">
        <v>730000</v>
      </c>
      <c r="N1259">
        <v>4.4000000000000004</v>
      </c>
      <c r="O1259">
        <v>4</v>
      </c>
      <c r="P1259" t="s">
        <v>26</v>
      </c>
    </row>
    <row r="1260" spans="1:16" x14ac:dyDescent="0.25">
      <c r="A1260" t="s">
        <v>3525</v>
      </c>
      <c r="B1260" t="s">
        <v>3526</v>
      </c>
      <c r="C1260" t="s">
        <v>29</v>
      </c>
      <c r="D1260" t="s">
        <v>79</v>
      </c>
      <c r="E1260" t="s">
        <v>20</v>
      </c>
      <c r="F1260" t="s">
        <v>21</v>
      </c>
      <c r="G1260" t="s">
        <v>33</v>
      </c>
      <c r="H1260" t="s">
        <v>34</v>
      </c>
      <c r="I1260" t="s">
        <v>24</v>
      </c>
      <c r="J1260" t="s">
        <v>691</v>
      </c>
      <c r="L1260">
        <v>5.9</v>
      </c>
      <c r="M1260">
        <v>608000</v>
      </c>
      <c r="N1260">
        <v>3.5</v>
      </c>
      <c r="O1260">
        <v>7</v>
      </c>
      <c r="P1260" t="s">
        <v>26</v>
      </c>
    </row>
    <row r="1261" spans="1:16" x14ac:dyDescent="0.25">
      <c r="A1261" t="s">
        <v>3527</v>
      </c>
      <c r="B1261" t="s">
        <v>3528</v>
      </c>
      <c r="C1261" t="s">
        <v>29</v>
      </c>
      <c r="D1261" t="s">
        <v>43</v>
      </c>
      <c r="G1261" t="s">
        <v>33</v>
      </c>
      <c r="H1261" t="s">
        <v>34</v>
      </c>
      <c r="I1261" t="s">
        <v>75</v>
      </c>
      <c r="J1261" t="s">
        <v>3529</v>
      </c>
      <c r="L1261">
        <v>5.8</v>
      </c>
      <c r="M1261">
        <v>311000</v>
      </c>
      <c r="N1261">
        <v>3.1</v>
      </c>
      <c r="O1261">
        <v>7</v>
      </c>
      <c r="P1261" t="s">
        <v>26</v>
      </c>
    </row>
    <row r="1262" spans="1:16" x14ac:dyDescent="0.25">
      <c r="A1262" t="s">
        <v>3530</v>
      </c>
      <c r="B1262" t="s">
        <v>3531</v>
      </c>
      <c r="C1262" t="s">
        <v>18</v>
      </c>
      <c r="D1262" t="s">
        <v>79</v>
      </c>
      <c r="E1262" t="s">
        <v>20</v>
      </c>
      <c r="F1262" t="s">
        <v>32</v>
      </c>
      <c r="G1262" t="s">
        <v>22</v>
      </c>
      <c r="H1262" t="s">
        <v>23</v>
      </c>
      <c r="I1262" t="s">
        <v>57</v>
      </c>
      <c r="J1262" t="s">
        <v>3532</v>
      </c>
      <c r="L1262">
        <v>5.0999999999999996</v>
      </c>
      <c r="N1262">
        <v>3.6</v>
      </c>
      <c r="O1262">
        <v>4</v>
      </c>
      <c r="P1262" t="s">
        <v>26</v>
      </c>
    </row>
    <row r="1263" spans="1:16" x14ac:dyDescent="0.25">
      <c r="A1263" t="s">
        <v>3533</v>
      </c>
      <c r="B1263" t="s">
        <v>3534</v>
      </c>
      <c r="C1263" t="s">
        <v>18</v>
      </c>
      <c r="D1263" t="s">
        <v>19</v>
      </c>
      <c r="E1263" t="s">
        <v>44</v>
      </c>
      <c r="F1263" t="s">
        <v>128</v>
      </c>
      <c r="G1263" t="s">
        <v>22</v>
      </c>
      <c r="H1263" t="s">
        <v>34</v>
      </c>
      <c r="I1263" t="s">
        <v>75</v>
      </c>
      <c r="J1263" t="s">
        <v>1459</v>
      </c>
      <c r="L1263">
        <v>5.8</v>
      </c>
      <c r="M1263">
        <v>521000</v>
      </c>
      <c r="N1263">
        <v>3.6</v>
      </c>
      <c r="O1263">
        <v>8</v>
      </c>
      <c r="P1263" t="s">
        <v>26</v>
      </c>
    </row>
    <row r="1264" spans="1:16" x14ac:dyDescent="0.25">
      <c r="A1264" t="s">
        <v>3535</v>
      </c>
      <c r="B1264" t="s">
        <v>2238</v>
      </c>
      <c r="C1264" t="s">
        <v>29</v>
      </c>
      <c r="D1264" t="s">
        <v>61</v>
      </c>
      <c r="F1264" t="s">
        <v>39</v>
      </c>
      <c r="G1264" t="s">
        <v>80</v>
      </c>
      <c r="H1264" t="s">
        <v>23</v>
      </c>
      <c r="I1264" t="s">
        <v>24</v>
      </c>
      <c r="J1264" t="s">
        <v>1846</v>
      </c>
      <c r="K1264" t="s">
        <v>2491</v>
      </c>
      <c r="L1264">
        <v>4</v>
      </c>
      <c r="M1264">
        <v>198000</v>
      </c>
      <c r="N1264">
        <v>4.4000000000000004</v>
      </c>
      <c r="O1264">
        <v>24</v>
      </c>
      <c r="P1264" t="s">
        <v>72</v>
      </c>
    </row>
    <row r="1265" spans="1:16" x14ac:dyDescent="0.25">
      <c r="A1265" t="s">
        <v>3536</v>
      </c>
      <c r="B1265" t="s">
        <v>3537</v>
      </c>
      <c r="C1265" t="s">
        <v>18</v>
      </c>
      <c r="D1265" t="s">
        <v>30</v>
      </c>
      <c r="F1265" t="s">
        <v>32</v>
      </c>
      <c r="G1265" t="s">
        <v>69</v>
      </c>
      <c r="H1265" t="s">
        <v>23</v>
      </c>
      <c r="I1265" t="s">
        <v>35</v>
      </c>
      <c r="J1265" t="s">
        <v>3538</v>
      </c>
      <c r="K1265" t="s">
        <v>3539</v>
      </c>
      <c r="L1265">
        <v>5</v>
      </c>
      <c r="M1265">
        <v>252000</v>
      </c>
      <c r="N1265">
        <v>3.6</v>
      </c>
      <c r="O1265">
        <v>7</v>
      </c>
      <c r="P1265" t="s">
        <v>53</v>
      </c>
    </row>
    <row r="1266" spans="1:16" x14ac:dyDescent="0.25">
      <c r="A1266" t="s">
        <v>3540</v>
      </c>
      <c r="B1266" t="s">
        <v>3541</v>
      </c>
      <c r="C1266" t="s">
        <v>29</v>
      </c>
      <c r="D1266" t="s">
        <v>43</v>
      </c>
      <c r="E1266" t="s">
        <v>20</v>
      </c>
      <c r="F1266" t="s">
        <v>39</v>
      </c>
      <c r="G1266" t="s">
        <v>33</v>
      </c>
      <c r="H1266" t="s">
        <v>34</v>
      </c>
      <c r="J1266" t="s">
        <v>1810</v>
      </c>
      <c r="L1266">
        <v>2.7</v>
      </c>
      <c r="M1266">
        <v>98000</v>
      </c>
      <c r="N1266">
        <v>3.1</v>
      </c>
      <c r="O1266">
        <v>17</v>
      </c>
      <c r="P1266" t="s">
        <v>26</v>
      </c>
    </row>
    <row r="1267" spans="1:16" x14ac:dyDescent="0.25">
      <c r="A1267" t="s">
        <v>3542</v>
      </c>
      <c r="B1267" t="s">
        <v>3543</v>
      </c>
      <c r="C1267" t="s">
        <v>29</v>
      </c>
      <c r="D1267" t="s">
        <v>43</v>
      </c>
      <c r="E1267" t="s">
        <v>20</v>
      </c>
      <c r="F1267" t="s">
        <v>32</v>
      </c>
      <c r="G1267" t="s">
        <v>22</v>
      </c>
      <c r="H1267" t="s">
        <v>34</v>
      </c>
      <c r="I1267" t="s">
        <v>57</v>
      </c>
      <c r="J1267" t="s">
        <v>3544</v>
      </c>
      <c r="K1267" t="s">
        <v>3545</v>
      </c>
      <c r="L1267">
        <v>2.5</v>
      </c>
      <c r="M1267">
        <v>286000</v>
      </c>
      <c r="N1267">
        <v>3.7</v>
      </c>
      <c r="O1267">
        <v>10</v>
      </c>
      <c r="P1267" t="s">
        <v>53</v>
      </c>
    </row>
    <row r="1268" spans="1:16" x14ac:dyDescent="0.25">
      <c r="A1268" t="s">
        <v>3546</v>
      </c>
      <c r="B1268" t="s">
        <v>3547</v>
      </c>
      <c r="C1268" t="s">
        <v>29</v>
      </c>
      <c r="D1268" t="s">
        <v>50</v>
      </c>
      <c r="E1268" t="s">
        <v>44</v>
      </c>
      <c r="F1268" t="s">
        <v>32</v>
      </c>
      <c r="G1268" t="s">
        <v>22</v>
      </c>
      <c r="H1268" t="s">
        <v>23</v>
      </c>
      <c r="I1268" t="s">
        <v>24</v>
      </c>
      <c r="J1268" t="s">
        <v>2534</v>
      </c>
      <c r="K1268" t="s">
        <v>3548</v>
      </c>
      <c r="L1268">
        <v>5.2</v>
      </c>
      <c r="M1268">
        <v>324000</v>
      </c>
      <c r="N1268">
        <v>2.5</v>
      </c>
      <c r="O1268">
        <v>9</v>
      </c>
      <c r="P1268" t="s">
        <v>53</v>
      </c>
    </row>
    <row r="1269" spans="1:16" x14ac:dyDescent="0.25">
      <c r="A1269" t="s">
        <v>3549</v>
      </c>
      <c r="B1269" t="s">
        <v>3550</v>
      </c>
      <c r="C1269" t="s">
        <v>29</v>
      </c>
      <c r="D1269" t="s">
        <v>50</v>
      </c>
      <c r="E1269" t="s">
        <v>20</v>
      </c>
      <c r="G1269" t="s">
        <v>22</v>
      </c>
      <c r="H1269" t="s">
        <v>34</v>
      </c>
      <c r="I1269" t="s">
        <v>35</v>
      </c>
      <c r="J1269" t="s">
        <v>3412</v>
      </c>
      <c r="K1269" t="s">
        <v>3551</v>
      </c>
      <c r="L1269">
        <v>5.2</v>
      </c>
      <c r="M1269">
        <v>145000</v>
      </c>
      <c r="N1269">
        <v>3</v>
      </c>
      <c r="O1269">
        <v>0</v>
      </c>
      <c r="P1269" t="s">
        <v>53</v>
      </c>
    </row>
    <row r="1270" spans="1:16" x14ac:dyDescent="0.25">
      <c r="A1270" t="s">
        <v>3552</v>
      </c>
      <c r="B1270" t="s">
        <v>3553</v>
      </c>
      <c r="C1270" t="s">
        <v>29</v>
      </c>
      <c r="D1270" t="s">
        <v>19</v>
      </c>
      <c r="E1270" t="s">
        <v>20</v>
      </c>
      <c r="F1270" t="s">
        <v>32</v>
      </c>
      <c r="G1270" t="s">
        <v>69</v>
      </c>
      <c r="H1270" t="s">
        <v>23</v>
      </c>
      <c r="I1270" t="s">
        <v>57</v>
      </c>
      <c r="J1270" t="s">
        <v>2822</v>
      </c>
      <c r="L1270">
        <v>3</v>
      </c>
      <c r="M1270">
        <v>385000</v>
      </c>
      <c r="N1270">
        <v>4.5999999999999996</v>
      </c>
      <c r="P1270" t="s">
        <v>26</v>
      </c>
    </row>
    <row r="1271" spans="1:16" x14ac:dyDescent="0.25">
      <c r="A1271" t="s">
        <v>3554</v>
      </c>
      <c r="B1271" t="s">
        <v>1493</v>
      </c>
      <c r="C1271" t="s">
        <v>18</v>
      </c>
      <c r="D1271" t="s">
        <v>43</v>
      </c>
      <c r="E1271" t="s">
        <v>31</v>
      </c>
      <c r="F1271" t="s">
        <v>21</v>
      </c>
      <c r="G1271" t="s">
        <v>22</v>
      </c>
      <c r="H1271" t="s">
        <v>23</v>
      </c>
      <c r="I1271" t="s">
        <v>35</v>
      </c>
      <c r="J1271" t="s">
        <v>408</v>
      </c>
      <c r="K1271" t="s">
        <v>3555</v>
      </c>
      <c r="L1271">
        <v>4</v>
      </c>
      <c r="M1271">
        <v>606000</v>
      </c>
      <c r="N1271">
        <v>4.7</v>
      </c>
      <c r="O1271">
        <v>2</v>
      </c>
      <c r="P1271" t="s">
        <v>53</v>
      </c>
    </row>
    <row r="1272" spans="1:16" x14ac:dyDescent="0.25">
      <c r="A1272" t="s">
        <v>3556</v>
      </c>
      <c r="B1272" t="s">
        <v>2367</v>
      </c>
      <c r="C1272" t="s">
        <v>29</v>
      </c>
      <c r="D1272" t="s">
        <v>50</v>
      </c>
      <c r="E1272" t="s">
        <v>31</v>
      </c>
      <c r="F1272" t="s">
        <v>32</v>
      </c>
      <c r="G1272" t="s">
        <v>22</v>
      </c>
      <c r="H1272" t="s">
        <v>34</v>
      </c>
      <c r="I1272" t="s">
        <v>57</v>
      </c>
      <c r="J1272" t="s">
        <v>3557</v>
      </c>
      <c r="K1272" t="s">
        <v>3558</v>
      </c>
      <c r="L1272">
        <v>2</v>
      </c>
      <c r="M1272">
        <v>196000</v>
      </c>
      <c r="N1272">
        <v>2.2000000000000002</v>
      </c>
      <c r="O1272">
        <v>8</v>
      </c>
      <c r="P1272" t="s">
        <v>53</v>
      </c>
    </row>
    <row r="1273" spans="1:16" x14ac:dyDescent="0.25">
      <c r="A1273" t="s">
        <v>3559</v>
      </c>
      <c r="B1273" t="s">
        <v>3560</v>
      </c>
      <c r="C1273" t="s">
        <v>29</v>
      </c>
      <c r="D1273" t="s">
        <v>19</v>
      </c>
      <c r="E1273" t="s">
        <v>44</v>
      </c>
      <c r="F1273" t="s">
        <v>128</v>
      </c>
      <c r="G1273" t="s">
        <v>80</v>
      </c>
      <c r="H1273" t="s">
        <v>23</v>
      </c>
      <c r="I1273" t="s">
        <v>24</v>
      </c>
      <c r="J1273" t="s">
        <v>3561</v>
      </c>
      <c r="K1273" t="s">
        <v>3562</v>
      </c>
      <c r="L1273">
        <v>2</v>
      </c>
      <c r="M1273">
        <v>379000</v>
      </c>
      <c r="N1273">
        <v>3.6</v>
      </c>
      <c r="O1273">
        <v>14</v>
      </c>
      <c r="P1273" t="s">
        <v>53</v>
      </c>
    </row>
    <row r="1274" spans="1:16" x14ac:dyDescent="0.25">
      <c r="A1274" t="s">
        <v>3563</v>
      </c>
      <c r="B1274" t="s">
        <v>3564</v>
      </c>
      <c r="C1274" t="s">
        <v>29</v>
      </c>
      <c r="E1274" t="s">
        <v>44</v>
      </c>
      <c r="F1274" t="s">
        <v>39</v>
      </c>
      <c r="G1274" t="s">
        <v>33</v>
      </c>
      <c r="H1274" t="s">
        <v>23</v>
      </c>
      <c r="I1274" t="s">
        <v>24</v>
      </c>
      <c r="J1274" t="s">
        <v>3565</v>
      </c>
      <c r="L1274">
        <v>4</v>
      </c>
      <c r="M1274">
        <v>144000</v>
      </c>
      <c r="N1274">
        <v>2.8</v>
      </c>
      <c r="O1274">
        <v>1</v>
      </c>
      <c r="P1274" t="s">
        <v>26</v>
      </c>
    </row>
    <row r="1275" spans="1:16" x14ac:dyDescent="0.25">
      <c r="A1275" t="s">
        <v>3566</v>
      </c>
      <c r="B1275" t="s">
        <v>3567</v>
      </c>
      <c r="C1275" t="s">
        <v>18</v>
      </c>
      <c r="D1275" t="s">
        <v>50</v>
      </c>
      <c r="E1275" t="s">
        <v>20</v>
      </c>
      <c r="F1275" t="s">
        <v>39</v>
      </c>
      <c r="G1275" t="s">
        <v>22</v>
      </c>
      <c r="H1275" t="s">
        <v>34</v>
      </c>
      <c r="I1275" t="s">
        <v>35</v>
      </c>
      <c r="J1275" t="s">
        <v>3568</v>
      </c>
      <c r="K1275" t="s">
        <v>3569</v>
      </c>
      <c r="L1275">
        <v>1.8</v>
      </c>
      <c r="M1275">
        <v>129000</v>
      </c>
      <c r="N1275">
        <v>4.2</v>
      </c>
      <c r="O1275">
        <v>17</v>
      </c>
      <c r="P1275" t="s">
        <v>72</v>
      </c>
    </row>
    <row r="1276" spans="1:16" x14ac:dyDescent="0.25">
      <c r="A1276" t="s">
        <v>3570</v>
      </c>
      <c r="B1276" t="s">
        <v>1291</v>
      </c>
      <c r="C1276" t="s">
        <v>18</v>
      </c>
      <c r="D1276" t="s">
        <v>50</v>
      </c>
      <c r="E1276" t="s">
        <v>20</v>
      </c>
      <c r="F1276" t="s">
        <v>39</v>
      </c>
      <c r="G1276" t="s">
        <v>33</v>
      </c>
      <c r="H1276" t="s">
        <v>46</v>
      </c>
      <c r="I1276" t="s">
        <v>171</v>
      </c>
      <c r="J1276" t="s">
        <v>1231</v>
      </c>
      <c r="K1276" t="s">
        <v>1217</v>
      </c>
      <c r="L1276">
        <v>2.2000000000000002</v>
      </c>
      <c r="M1276">
        <v>131000</v>
      </c>
      <c r="N1276">
        <v>4.4000000000000004</v>
      </c>
      <c r="O1276">
        <v>23</v>
      </c>
      <c r="P1276" t="s">
        <v>114</v>
      </c>
    </row>
    <row r="1277" spans="1:16" x14ac:dyDescent="0.25">
      <c r="A1277" t="s">
        <v>3571</v>
      </c>
      <c r="B1277" t="s">
        <v>3572</v>
      </c>
      <c r="C1277" t="s">
        <v>18</v>
      </c>
      <c r="D1277" t="s">
        <v>50</v>
      </c>
      <c r="E1277" t="s">
        <v>20</v>
      </c>
      <c r="F1277" t="s">
        <v>39</v>
      </c>
      <c r="G1277" t="s">
        <v>22</v>
      </c>
      <c r="H1277" t="s">
        <v>23</v>
      </c>
      <c r="I1277" t="s">
        <v>57</v>
      </c>
      <c r="J1277" t="s">
        <v>3302</v>
      </c>
      <c r="L1277">
        <v>4.9000000000000004</v>
      </c>
      <c r="M1277">
        <v>97000</v>
      </c>
      <c r="N1277">
        <v>3.5</v>
      </c>
      <c r="O1277">
        <v>12</v>
      </c>
      <c r="P1277" t="s">
        <v>26</v>
      </c>
    </row>
    <row r="1278" spans="1:16" x14ac:dyDescent="0.25">
      <c r="A1278" t="s">
        <v>3573</v>
      </c>
      <c r="B1278" t="s">
        <v>734</v>
      </c>
      <c r="C1278" t="s">
        <v>18</v>
      </c>
      <c r="D1278" t="s">
        <v>30</v>
      </c>
      <c r="E1278" t="s">
        <v>20</v>
      </c>
      <c r="F1278" t="s">
        <v>39</v>
      </c>
      <c r="G1278" t="s">
        <v>22</v>
      </c>
      <c r="H1278" t="s">
        <v>23</v>
      </c>
      <c r="I1278" t="s">
        <v>24</v>
      </c>
      <c r="J1278" t="s">
        <v>1605</v>
      </c>
      <c r="K1278" t="s">
        <v>3574</v>
      </c>
      <c r="L1278">
        <v>2.9</v>
      </c>
      <c r="M1278">
        <v>163000</v>
      </c>
      <c r="N1278">
        <v>2.1</v>
      </c>
      <c r="O1278">
        <v>9</v>
      </c>
      <c r="P1278" t="s">
        <v>53</v>
      </c>
    </row>
    <row r="1279" spans="1:16" x14ac:dyDescent="0.25">
      <c r="A1279" t="s">
        <v>3575</v>
      </c>
      <c r="B1279" t="s">
        <v>3576</v>
      </c>
      <c r="C1279" t="s">
        <v>29</v>
      </c>
      <c r="D1279" t="s">
        <v>50</v>
      </c>
      <c r="E1279" t="s">
        <v>20</v>
      </c>
      <c r="F1279" t="s">
        <v>32</v>
      </c>
      <c r="G1279" t="s">
        <v>22</v>
      </c>
      <c r="H1279" t="s">
        <v>34</v>
      </c>
      <c r="I1279" t="s">
        <v>57</v>
      </c>
      <c r="J1279" t="s">
        <v>2499</v>
      </c>
      <c r="L1279">
        <v>2.2000000000000002</v>
      </c>
      <c r="M1279">
        <v>336000</v>
      </c>
      <c r="N1279">
        <v>2.8</v>
      </c>
      <c r="O1279">
        <v>18</v>
      </c>
      <c r="P1279" t="s">
        <v>26</v>
      </c>
    </row>
    <row r="1280" spans="1:16" x14ac:dyDescent="0.25">
      <c r="A1280" t="s">
        <v>3577</v>
      </c>
      <c r="B1280" t="s">
        <v>3578</v>
      </c>
      <c r="C1280" t="s">
        <v>18</v>
      </c>
      <c r="D1280" t="s">
        <v>50</v>
      </c>
      <c r="E1280" t="s">
        <v>20</v>
      </c>
      <c r="F1280" t="s">
        <v>32</v>
      </c>
      <c r="G1280" t="s">
        <v>69</v>
      </c>
      <c r="H1280" t="s">
        <v>34</v>
      </c>
      <c r="I1280" t="s">
        <v>57</v>
      </c>
      <c r="J1280" t="s">
        <v>1118</v>
      </c>
      <c r="L1280">
        <v>5</v>
      </c>
      <c r="M1280">
        <v>295000</v>
      </c>
      <c r="N1280">
        <v>3.6</v>
      </c>
      <c r="O1280">
        <v>8</v>
      </c>
      <c r="P1280" t="s">
        <v>26</v>
      </c>
    </row>
    <row r="1281" spans="1:16" x14ac:dyDescent="0.25">
      <c r="A1281" t="s">
        <v>3579</v>
      </c>
      <c r="B1281" t="s">
        <v>1659</v>
      </c>
      <c r="C1281" t="s">
        <v>29</v>
      </c>
      <c r="D1281" t="s">
        <v>43</v>
      </c>
      <c r="E1281" t="s">
        <v>20</v>
      </c>
      <c r="F1281" t="s">
        <v>32</v>
      </c>
      <c r="G1281" t="s">
        <v>22</v>
      </c>
      <c r="H1281" t="s">
        <v>34</v>
      </c>
      <c r="I1281" t="s">
        <v>75</v>
      </c>
      <c r="J1281" t="s">
        <v>3580</v>
      </c>
      <c r="K1281" t="s">
        <v>3581</v>
      </c>
      <c r="L1281">
        <v>1.7</v>
      </c>
      <c r="M1281">
        <v>273000</v>
      </c>
      <c r="N1281">
        <v>3.8</v>
      </c>
      <c r="O1281">
        <v>6</v>
      </c>
      <c r="P1281" t="s">
        <v>72</v>
      </c>
    </row>
    <row r="1282" spans="1:16" x14ac:dyDescent="0.25">
      <c r="A1282" t="s">
        <v>3582</v>
      </c>
      <c r="B1282" t="s">
        <v>3583</v>
      </c>
      <c r="C1282" t="s">
        <v>29</v>
      </c>
      <c r="D1282" t="s">
        <v>50</v>
      </c>
      <c r="E1282" t="s">
        <v>44</v>
      </c>
      <c r="F1282" t="s">
        <v>128</v>
      </c>
      <c r="G1282" t="s">
        <v>22</v>
      </c>
      <c r="H1282" t="s">
        <v>46</v>
      </c>
      <c r="I1282" t="s">
        <v>35</v>
      </c>
      <c r="J1282" t="s">
        <v>3195</v>
      </c>
      <c r="K1282" t="s">
        <v>3584</v>
      </c>
      <c r="L1282">
        <v>5.8</v>
      </c>
      <c r="N1282">
        <v>2.9</v>
      </c>
      <c r="O1282">
        <v>8</v>
      </c>
      <c r="P1282" t="s">
        <v>114</v>
      </c>
    </row>
    <row r="1283" spans="1:16" x14ac:dyDescent="0.25">
      <c r="A1283" t="s">
        <v>3585</v>
      </c>
      <c r="B1283" t="s">
        <v>3586</v>
      </c>
      <c r="D1283" t="s">
        <v>79</v>
      </c>
      <c r="E1283" t="s">
        <v>20</v>
      </c>
      <c r="F1283" t="s">
        <v>39</v>
      </c>
      <c r="G1283" t="s">
        <v>22</v>
      </c>
      <c r="H1283" t="s">
        <v>62</v>
      </c>
      <c r="I1283" t="s">
        <v>35</v>
      </c>
      <c r="J1283" t="s">
        <v>3587</v>
      </c>
      <c r="L1283">
        <v>2.4</v>
      </c>
      <c r="M1283">
        <v>151000</v>
      </c>
      <c r="N1283">
        <v>2</v>
      </c>
      <c r="O1283">
        <v>0</v>
      </c>
      <c r="P1283" t="s">
        <v>26</v>
      </c>
    </row>
    <row r="1284" spans="1:16" x14ac:dyDescent="0.25">
      <c r="A1284" t="s">
        <v>3588</v>
      </c>
      <c r="B1284" t="s">
        <v>1711</v>
      </c>
      <c r="C1284" t="s">
        <v>29</v>
      </c>
      <c r="D1284" t="s">
        <v>79</v>
      </c>
      <c r="E1284" t="s">
        <v>20</v>
      </c>
      <c r="F1284" t="s">
        <v>128</v>
      </c>
      <c r="G1284" t="s">
        <v>33</v>
      </c>
      <c r="H1284" t="s">
        <v>23</v>
      </c>
      <c r="I1284" t="s">
        <v>24</v>
      </c>
      <c r="J1284" t="s">
        <v>1760</v>
      </c>
      <c r="L1284">
        <v>4.4000000000000004</v>
      </c>
      <c r="M1284">
        <v>451000</v>
      </c>
      <c r="N1284">
        <v>2.8</v>
      </c>
      <c r="O1284">
        <v>14</v>
      </c>
      <c r="P1284" t="s">
        <v>26</v>
      </c>
    </row>
    <row r="1285" spans="1:16" x14ac:dyDescent="0.25">
      <c r="A1285" t="s">
        <v>3589</v>
      </c>
      <c r="B1285" t="s">
        <v>1889</v>
      </c>
      <c r="C1285" t="s">
        <v>29</v>
      </c>
      <c r="D1285" t="s">
        <v>79</v>
      </c>
      <c r="E1285" t="s">
        <v>20</v>
      </c>
      <c r="F1285" t="s">
        <v>128</v>
      </c>
      <c r="G1285" t="s">
        <v>22</v>
      </c>
      <c r="H1285" t="s">
        <v>23</v>
      </c>
      <c r="I1285" t="s">
        <v>35</v>
      </c>
      <c r="J1285" t="s">
        <v>3590</v>
      </c>
      <c r="L1285">
        <v>6</v>
      </c>
      <c r="M1285">
        <v>444000</v>
      </c>
      <c r="N1285">
        <v>4.5999999999999996</v>
      </c>
      <c r="O1285">
        <v>18</v>
      </c>
      <c r="P1285" t="s">
        <v>26</v>
      </c>
    </row>
    <row r="1286" spans="1:16" x14ac:dyDescent="0.25">
      <c r="A1286" t="s">
        <v>3591</v>
      </c>
      <c r="B1286" t="s">
        <v>3592</v>
      </c>
      <c r="D1286" t="s">
        <v>19</v>
      </c>
      <c r="E1286" t="s">
        <v>31</v>
      </c>
      <c r="F1286" t="s">
        <v>39</v>
      </c>
      <c r="G1286" t="s">
        <v>80</v>
      </c>
      <c r="H1286" t="s">
        <v>62</v>
      </c>
      <c r="I1286" t="s">
        <v>24</v>
      </c>
      <c r="J1286" t="s">
        <v>3593</v>
      </c>
      <c r="K1286" t="s">
        <v>3098</v>
      </c>
      <c r="L1286">
        <v>5.0999999999999996</v>
      </c>
      <c r="M1286">
        <v>102000</v>
      </c>
      <c r="N1286">
        <v>2.2999999999999998</v>
      </c>
      <c r="O1286">
        <v>2</v>
      </c>
      <c r="P1286" t="s">
        <v>53</v>
      </c>
    </row>
    <row r="1287" spans="1:16" x14ac:dyDescent="0.25">
      <c r="A1287" t="s">
        <v>3594</v>
      </c>
      <c r="B1287" t="s">
        <v>3299</v>
      </c>
      <c r="C1287" t="s">
        <v>29</v>
      </c>
      <c r="D1287" t="s">
        <v>43</v>
      </c>
      <c r="E1287" t="s">
        <v>20</v>
      </c>
      <c r="F1287" t="s">
        <v>39</v>
      </c>
      <c r="G1287" t="s">
        <v>33</v>
      </c>
      <c r="H1287" t="s">
        <v>23</v>
      </c>
      <c r="I1287" t="s">
        <v>57</v>
      </c>
      <c r="J1287" t="s">
        <v>2698</v>
      </c>
      <c r="L1287">
        <v>3.5</v>
      </c>
      <c r="M1287">
        <v>88000</v>
      </c>
      <c r="N1287">
        <v>4.2</v>
      </c>
      <c r="O1287">
        <v>9</v>
      </c>
      <c r="P1287" t="s">
        <v>26</v>
      </c>
    </row>
    <row r="1288" spans="1:16" x14ac:dyDescent="0.25">
      <c r="A1288" t="s">
        <v>3595</v>
      </c>
      <c r="B1288" t="s">
        <v>2987</v>
      </c>
      <c r="C1288" t="s">
        <v>29</v>
      </c>
      <c r="D1288" t="s">
        <v>30</v>
      </c>
      <c r="E1288" t="s">
        <v>20</v>
      </c>
      <c r="F1288" t="s">
        <v>32</v>
      </c>
      <c r="G1288" t="s">
        <v>22</v>
      </c>
      <c r="H1288" t="s">
        <v>46</v>
      </c>
      <c r="J1288" t="s">
        <v>2285</v>
      </c>
      <c r="K1288" t="s">
        <v>239</v>
      </c>
      <c r="L1288">
        <v>1.7</v>
      </c>
      <c r="N1288">
        <v>2.4</v>
      </c>
      <c r="O1288">
        <v>6</v>
      </c>
      <c r="P1288" t="s">
        <v>53</v>
      </c>
    </row>
    <row r="1289" spans="1:16" x14ac:dyDescent="0.25">
      <c r="A1289" t="s">
        <v>3596</v>
      </c>
      <c r="B1289" t="s">
        <v>393</v>
      </c>
      <c r="C1289" t="s">
        <v>18</v>
      </c>
      <c r="D1289" t="s">
        <v>30</v>
      </c>
      <c r="E1289" t="s">
        <v>20</v>
      </c>
      <c r="F1289" t="s">
        <v>39</v>
      </c>
      <c r="G1289" t="s">
        <v>69</v>
      </c>
      <c r="H1289" t="s">
        <v>34</v>
      </c>
      <c r="I1289" t="s">
        <v>35</v>
      </c>
      <c r="J1289" t="s">
        <v>339</v>
      </c>
      <c r="L1289">
        <v>2.2999999999999998</v>
      </c>
      <c r="M1289">
        <v>109000</v>
      </c>
      <c r="N1289">
        <v>1.7</v>
      </c>
      <c r="O1289">
        <v>5</v>
      </c>
      <c r="P1289" t="s">
        <v>26</v>
      </c>
    </row>
    <row r="1290" spans="1:16" x14ac:dyDescent="0.25">
      <c r="A1290" t="s">
        <v>3597</v>
      </c>
      <c r="B1290" t="s">
        <v>3598</v>
      </c>
      <c r="C1290" t="s">
        <v>18</v>
      </c>
      <c r="D1290" t="s">
        <v>30</v>
      </c>
      <c r="E1290" t="s">
        <v>20</v>
      </c>
      <c r="F1290" t="s">
        <v>32</v>
      </c>
      <c r="G1290" t="s">
        <v>80</v>
      </c>
      <c r="H1290" t="s">
        <v>23</v>
      </c>
      <c r="I1290" t="s">
        <v>24</v>
      </c>
      <c r="J1290" t="s">
        <v>242</v>
      </c>
      <c r="K1290" t="s">
        <v>3599</v>
      </c>
      <c r="L1290">
        <v>4.4000000000000004</v>
      </c>
      <c r="M1290">
        <v>208000</v>
      </c>
      <c r="N1290">
        <v>2.1</v>
      </c>
      <c r="P1290" t="s">
        <v>53</v>
      </c>
    </row>
    <row r="1291" spans="1:16" x14ac:dyDescent="0.25">
      <c r="A1291" t="s">
        <v>3600</v>
      </c>
      <c r="B1291" t="s">
        <v>3601</v>
      </c>
      <c r="C1291" t="s">
        <v>18</v>
      </c>
      <c r="D1291" t="s">
        <v>50</v>
      </c>
      <c r="E1291" t="s">
        <v>20</v>
      </c>
      <c r="F1291" t="s">
        <v>39</v>
      </c>
      <c r="G1291" t="s">
        <v>22</v>
      </c>
      <c r="H1291" t="s">
        <v>46</v>
      </c>
      <c r="I1291" t="s">
        <v>24</v>
      </c>
      <c r="J1291" t="s">
        <v>441</v>
      </c>
      <c r="L1291">
        <v>2.8</v>
      </c>
      <c r="M1291">
        <v>104000</v>
      </c>
      <c r="O1291">
        <v>4</v>
      </c>
      <c r="P1291" t="s">
        <v>26</v>
      </c>
    </row>
    <row r="1292" spans="1:16" x14ac:dyDescent="0.25">
      <c r="A1292" t="s">
        <v>3602</v>
      </c>
      <c r="B1292" t="s">
        <v>3603</v>
      </c>
      <c r="C1292" t="s">
        <v>29</v>
      </c>
      <c r="D1292" t="s">
        <v>50</v>
      </c>
      <c r="E1292" t="s">
        <v>20</v>
      </c>
      <c r="F1292" t="s">
        <v>32</v>
      </c>
      <c r="G1292" t="s">
        <v>22</v>
      </c>
      <c r="H1292" t="s">
        <v>62</v>
      </c>
      <c r="I1292" t="s">
        <v>24</v>
      </c>
      <c r="J1292" t="s">
        <v>3604</v>
      </c>
      <c r="L1292">
        <v>5.2</v>
      </c>
      <c r="N1292">
        <v>3.2</v>
      </c>
      <c r="O1292">
        <v>21</v>
      </c>
      <c r="P1292" t="s">
        <v>26</v>
      </c>
    </row>
    <row r="1293" spans="1:16" x14ac:dyDescent="0.25">
      <c r="A1293" t="s">
        <v>3605</v>
      </c>
      <c r="B1293" t="s">
        <v>3147</v>
      </c>
      <c r="C1293" t="s">
        <v>29</v>
      </c>
      <c r="D1293" t="s">
        <v>50</v>
      </c>
      <c r="E1293" t="s">
        <v>20</v>
      </c>
      <c r="F1293" t="s">
        <v>32</v>
      </c>
      <c r="G1293" t="s">
        <v>80</v>
      </c>
      <c r="H1293" t="s">
        <v>23</v>
      </c>
      <c r="I1293" t="s">
        <v>57</v>
      </c>
      <c r="J1293" t="s">
        <v>3606</v>
      </c>
      <c r="L1293">
        <v>1.3</v>
      </c>
      <c r="M1293">
        <v>209000</v>
      </c>
      <c r="N1293">
        <v>2.4</v>
      </c>
      <c r="O1293">
        <v>12</v>
      </c>
      <c r="P1293" t="s">
        <v>26</v>
      </c>
    </row>
    <row r="1294" spans="1:16" x14ac:dyDescent="0.25">
      <c r="A1294" t="s">
        <v>3607</v>
      </c>
      <c r="B1294" t="s">
        <v>3608</v>
      </c>
      <c r="C1294" t="s">
        <v>18</v>
      </c>
      <c r="D1294" t="s">
        <v>43</v>
      </c>
      <c r="E1294" t="s">
        <v>20</v>
      </c>
      <c r="F1294" t="s">
        <v>32</v>
      </c>
      <c r="G1294" t="s">
        <v>22</v>
      </c>
      <c r="H1294" t="s">
        <v>46</v>
      </c>
      <c r="I1294" t="s">
        <v>35</v>
      </c>
      <c r="J1294" t="s">
        <v>2525</v>
      </c>
      <c r="L1294">
        <v>2</v>
      </c>
      <c r="M1294">
        <v>201000</v>
      </c>
      <c r="N1294">
        <v>4.2</v>
      </c>
      <c r="O1294">
        <v>37</v>
      </c>
      <c r="P1294" t="s">
        <v>26</v>
      </c>
    </row>
    <row r="1295" spans="1:16" x14ac:dyDescent="0.25">
      <c r="A1295" t="s">
        <v>3609</v>
      </c>
      <c r="B1295" t="s">
        <v>3610</v>
      </c>
      <c r="C1295" t="s">
        <v>18</v>
      </c>
      <c r="D1295" t="s">
        <v>50</v>
      </c>
      <c r="E1295" t="s">
        <v>44</v>
      </c>
      <c r="F1295" t="s">
        <v>39</v>
      </c>
      <c r="G1295" t="s">
        <v>22</v>
      </c>
      <c r="H1295" t="s">
        <v>23</v>
      </c>
      <c r="I1295" t="s">
        <v>24</v>
      </c>
      <c r="J1295" t="s">
        <v>1303</v>
      </c>
      <c r="L1295">
        <v>5.7</v>
      </c>
      <c r="M1295">
        <v>166000</v>
      </c>
      <c r="N1295">
        <v>2.2999999999999998</v>
      </c>
      <c r="O1295">
        <v>14</v>
      </c>
      <c r="P1295" t="s">
        <v>26</v>
      </c>
    </row>
    <row r="1296" spans="1:16" x14ac:dyDescent="0.25">
      <c r="A1296" t="s">
        <v>3611</v>
      </c>
      <c r="B1296" t="s">
        <v>3152</v>
      </c>
      <c r="C1296" t="s">
        <v>29</v>
      </c>
      <c r="D1296" t="s">
        <v>30</v>
      </c>
      <c r="E1296" t="s">
        <v>20</v>
      </c>
      <c r="F1296" t="s">
        <v>39</v>
      </c>
      <c r="G1296" t="s">
        <v>22</v>
      </c>
      <c r="H1296" t="s">
        <v>23</v>
      </c>
      <c r="I1296" t="s">
        <v>57</v>
      </c>
      <c r="J1296" t="s">
        <v>3612</v>
      </c>
      <c r="K1296" t="s">
        <v>276</v>
      </c>
      <c r="L1296">
        <v>4.4000000000000004</v>
      </c>
      <c r="M1296">
        <v>124000</v>
      </c>
      <c r="N1296">
        <v>2</v>
      </c>
      <c r="O1296">
        <v>4</v>
      </c>
      <c r="P1296" t="s">
        <v>53</v>
      </c>
    </row>
    <row r="1297" spans="1:16" x14ac:dyDescent="0.25">
      <c r="A1297" t="s">
        <v>3613</v>
      </c>
      <c r="B1297" t="s">
        <v>3614</v>
      </c>
      <c r="C1297" t="s">
        <v>18</v>
      </c>
      <c r="D1297" t="s">
        <v>30</v>
      </c>
      <c r="E1297" t="s">
        <v>20</v>
      </c>
      <c r="F1297" t="s">
        <v>32</v>
      </c>
      <c r="G1297" t="s">
        <v>22</v>
      </c>
      <c r="H1297" t="s">
        <v>46</v>
      </c>
      <c r="I1297" t="s">
        <v>24</v>
      </c>
      <c r="J1297" t="s">
        <v>3150</v>
      </c>
      <c r="K1297" t="s">
        <v>2573</v>
      </c>
      <c r="L1297">
        <v>4.3</v>
      </c>
      <c r="M1297">
        <v>212000</v>
      </c>
      <c r="N1297">
        <v>2.1</v>
      </c>
      <c r="O1297">
        <v>9</v>
      </c>
      <c r="P1297" t="s">
        <v>53</v>
      </c>
    </row>
    <row r="1298" spans="1:16" x14ac:dyDescent="0.25">
      <c r="A1298" t="s">
        <v>3615</v>
      </c>
      <c r="B1298" t="s">
        <v>495</v>
      </c>
      <c r="C1298" t="s">
        <v>29</v>
      </c>
      <c r="D1298" t="s">
        <v>50</v>
      </c>
      <c r="E1298" t="s">
        <v>44</v>
      </c>
      <c r="F1298" t="s">
        <v>39</v>
      </c>
      <c r="G1298" t="s">
        <v>22</v>
      </c>
      <c r="H1298" t="s">
        <v>23</v>
      </c>
      <c r="I1298" t="s">
        <v>24</v>
      </c>
      <c r="J1298" t="s">
        <v>3448</v>
      </c>
      <c r="L1298">
        <v>5.7</v>
      </c>
      <c r="M1298">
        <v>92000</v>
      </c>
      <c r="N1298">
        <v>3.1</v>
      </c>
      <c r="O1298">
        <v>1</v>
      </c>
      <c r="P1298" t="s">
        <v>26</v>
      </c>
    </row>
    <row r="1299" spans="1:16" x14ac:dyDescent="0.25">
      <c r="A1299" t="s">
        <v>3616</v>
      </c>
      <c r="B1299" t="s">
        <v>3617</v>
      </c>
      <c r="C1299" t="s">
        <v>18</v>
      </c>
      <c r="D1299" t="s">
        <v>79</v>
      </c>
      <c r="E1299" t="s">
        <v>31</v>
      </c>
      <c r="F1299" t="s">
        <v>32</v>
      </c>
      <c r="G1299" t="s">
        <v>80</v>
      </c>
      <c r="H1299" t="s">
        <v>46</v>
      </c>
      <c r="I1299" t="s">
        <v>35</v>
      </c>
      <c r="J1299" t="s">
        <v>3618</v>
      </c>
      <c r="K1299" t="s">
        <v>3619</v>
      </c>
      <c r="L1299">
        <v>3.8</v>
      </c>
      <c r="M1299">
        <v>208000</v>
      </c>
      <c r="N1299">
        <v>2.9</v>
      </c>
      <c r="O1299">
        <v>1</v>
      </c>
      <c r="P1299" t="s">
        <v>53</v>
      </c>
    </row>
    <row r="1300" spans="1:16" x14ac:dyDescent="0.25">
      <c r="A1300" t="s">
        <v>3620</v>
      </c>
      <c r="B1300" t="s">
        <v>1829</v>
      </c>
      <c r="C1300" t="s">
        <v>29</v>
      </c>
      <c r="D1300" t="s">
        <v>79</v>
      </c>
      <c r="E1300" t="s">
        <v>20</v>
      </c>
      <c r="G1300" t="s">
        <v>22</v>
      </c>
      <c r="H1300" t="s">
        <v>23</v>
      </c>
      <c r="I1300" t="s">
        <v>75</v>
      </c>
      <c r="J1300" t="s">
        <v>3224</v>
      </c>
      <c r="K1300" t="s">
        <v>1578</v>
      </c>
      <c r="L1300">
        <v>4</v>
      </c>
      <c r="M1300">
        <v>380000</v>
      </c>
      <c r="N1300">
        <v>2.8</v>
      </c>
      <c r="O1300">
        <v>7</v>
      </c>
      <c r="P1300" t="s">
        <v>72</v>
      </c>
    </row>
    <row r="1301" spans="1:16" x14ac:dyDescent="0.25">
      <c r="A1301" t="s">
        <v>3621</v>
      </c>
      <c r="B1301" t="s">
        <v>1992</v>
      </c>
      <c r="C1301" t="s">
        <v>18</v>
      </c>
      <c r="D1301" t="s">
        <v>30</v>
      </c>
      <c r="E1301" t="s">
        <v>20</v>
      </c>
      <c r="F1301" t="s">
        <v>39</v>
      </c>
      <c r="G1301" t="s">
        <v>80</v>
      </c>
      <c r="H1301" t="s">
        <v>46</v>
      </c>
      <c r="I1301" t="s">
        <v>57</v>
      </c>
      <c r="J1301" t="s">
        <v>3622</v>
      </c>
      <c r="L1301">
        <v>4</v>
      </c>
      <c r="M1301">
        <v>118000</v>
      </c>
      <c r="N1301">
        <v>2.1</v>
      </c>
      <c r="O1301">
        <v>3</v>
      </c>
      <c r="P1301" t="s">
        <v>26</v>
      </c>
    </row>
    <row r="1302" spans="1:16" x14ac:dyDescent="0.25">
      <c r="A1302" t="s">
        <v>3623</v>
      </c>
      <c r="B1302" t="s">
        <v>3624</v>
      </c>
      <c r="C1302" t="s">
        <v>29</v>
      </c>
      <c r="D1302" t="s">
        <v>19</v>
      </c>
      <c r="E1302" t="s">
        <v>20</v>
      </c>
      <c r="F1302" t="s">
        <v>32</v>
      </c>
      <c r="G1302" t="s">
        <v>69</v>
      </c>
      <c r="H1302" t="s">
        <v>23</v>
      </c>
      <c r="I1302" t="s">
        <v>24</v>
      </c>
      <c r="J1302" t="s">
        <v>3625</v>
      </c>
      <c r="K1302" t="s">
        <v>1456</v>
      </c>
      <c r="L1302">
        <v>5.5</v>
      </c>
      <c r="M1302">
        <v>299000</v>
      </c>
      <c r="N1302">
        <v>3</v>
      </c>
      <c r="O1302">
        <v>4</v>
      </c>
      <c r="P1302" t="s">
        <v>53</v>
      </c>
    </row>
    <row r="1303" spans="1:16" x14ac:dyDescent="0.25">
      <c r="A1303" t="s">
        <v>3626</v>
      </c>
      <c r="B1303" t="s">
        <v>3627</v>
      </c>
      <c r="C1303" t="s">
        <v>29</v>
      </c>
      <c r="D1303" t="s">
        <v>50</v>
      </c>
      <c r="E1303" t="s">
        <v>31</v>
      </c>
      <c r="F1303" t="s">
        <v>39</v>
      </c>
      <c r="G1303" t="s">
        <v>22</v>
      </c>
      <c r="H1303" t="s">
        <v>34</v>
      </c>
      <c r="I1303" t="s">
        <v>57</v>
      </c>
      <c r="J1303" t="s">
        <v>3628</v>
      </c>
      <c r="L1303">
        <v>3.1</v>
      </c>
      <c r="M1303">
        <v>113000</v>
      </c>
      <c r="N1303">
        <v>4.0999999999999996</v>
      </c>
      <c r="O1303">
        <v>2</v>
      </c>
      <c r="P1303" t="s">
        <v>26</v>
      </c>
    </row>
    <row r="1304" spans="1:16" x14ac:dyDescent="0.25">
      <c r="A1304" t="s">
        <v>3629</v>
      </c>
      <c r="B1304" t="s">
        <v>2429</v>
      </c>
      <c r="C1304" t="s">
        <v>29</v>
      </c>
      <c r="D1304" t="s">
        <v>79</v>
      </c>
      <c r="E1304" t="s">
        <v>20</v>
      </c>
      <c r="F1304" t="s">
        <v>128</v>
      </c>
      <c r="G1304" t="s">
        <v>22</v>
      </c>
      <c r="H1304" t="s">
        <v>23</v>
      </c>
      <c r="I1304" t="s">
        <v>75</v>
      </c>
      <c r="J1304" t="s">
        <v>2197</v>
      </c>
      <c r="L1304">
        <v>5.2</v>
      </c>
      <c r="M1304">
        <v>361000</v>
      </c>
      <c r="N1304">
        <v>3.2</v>
      </c>
      <c r="O1304">
        <v>4</v>
      </c>
      <c r="P1304" t="s">
        <v>26</v>
      </c>
    </row>
    <row r="1305" spans="1:16" x14ac:dyDescent="0.25">
      <c r="A1305" t="s">
        <v>3630</v>
      </c>
      <c r="B1305" t="s">
        <v>999</v>
      </c>
      <c r="C1305" t="s">
        <v>18</v>
      </c>
      <c r="D1305" t="s">
        <v>50</v>
      </c>
      <c r="E1305" t="s">
        <v>31</v>
      </c>
      <c r="F1305" t="s">
        <v>32</v>
      </c>
      <c r="G1305" t="s">
        <v>22</v>
      </c>
      <c r="H1305" t="s">
        <v>23</v>
      </c>
      <c r="I1305" t="s">
        <v>171</v>
      </c>
      <c r="J1305" t="s">
        <v>2568</v>
      </c>
      <c r="L1305">
        <v>1.3</v>
      </c>
      <c r="M1305">
        <v>187000</v>
      </c>
      <c r="N1305">
        <v>4.8</v>
      </c>
      <c r="O1305">
        <v>9</v>
      </c>
      <c r="P1305" t="s">
        <v>26</v>
      </c>
    </row>
    <row r="1306" spans="1:16" x14ac:dyDescent="0.25">
      <c r="A1306" t="s">
        <v>3631</v>
      </c>
      <c r="B1306" t="s">
        <v>3490</v>
      </c>
      <c r="C1306" t="s">
        <v>29</v>
      </c>
      <c r="D1306" t="s">
        <v>19</v>
      </c>
      <c r="E1306" t="s">
        <v>20</v>
      </c>
      <c r="F1306" t="s">
        <v>39</v>
      </c>
      <c r="G1306" t="s">
        <v>33</v>
      </c>
      <c r="H1306" t="s">
        <v>23</v>
      </c>
      <c r="I1306" t="s">
        <v>24</v>
      </c>
      <c r="J1306" t="s">
        <v>2686</v>
      </c>
      <c r="L1306">
        <v>5.9</v>
      </c>
      <c r="M1306">
        <v>96000</v>
      </c>
      <c r="N1306">
        <v>2</v>
      </c>
      <c r="O1306">
        <v>6</v>
      </c>
      <c r="P1306" t="s">
        <v>26</v>
      </c>
    </row>
    <row r="1307" spans="1:16" x14ac:dyDescent="0.25">
      <c r="A1307" t="s">
        <v>3632</v>
      </c>
      <c r="B1307" t="s">
        <v>3633</v>
      </c>
      <c r="D1307" t="s">
        <v>30</v>
      </c>
      <c r="E1307" t="s">
        <v>20</v>
      </c>
      <c r="F1307" t="s">
        <v>39</v>
      </c>
      <c r="G1307" t="s">
        <v>80</v>
      </c>
      <c r="H1307" t="s">
        <v>46</v>
      </c>
      <c r="I1307" t="s">
        <v>171</v>
      </c>
      <c r="J1307" t="s">
        <v>3634</v>
      </c>
      <c r="K1307" t="s">
        <v>2684</v>
      </c>
      <c r="L1307">
        <v>5</v>
      </c>
      <c r="M1307">
        <v>157000</v>
      </c>
      <c r="N1307">
        <v>1.5</v>
      </c>
      <c r="O1307">
        <v>3</v>
      </c>
      <c r="P1307" t="s">
        <v>72</v>
      </c>
    </row>
    <row r="1308" spans="1:16" x14ac:dyDescent="0.25">
      <c r="A1308" t="s">
        <v>3635</v>
      </c>
      <c r="B1308" t="s">
        <v>3636</v>
      </c>
      <c r="C1308" t="s">
        <v>29</v>
      </c>
      <c r="D1308" t="s">
        <v>19</v>
      </c>
      <c r="E1308" t="s">
        <v>44</v>
      </c>
      <c r="F1308" t="s">
        <v>32</v>
      </c>
      <c r="G1308" t="s">
        <v>80</v>
      </c>
      <c r="H1308" t="s">
        <v>23</v>
      </c>
      <c r="I1308" t="s">
        <v>57</v>
      </c>
      <c r="J1308" t="s">
        <v>1864</v>
      </c>
      <c r="K1308" t="s">
        <v>3637</v>
      </c>
      <c r="L1308">
        <v>5.0999999999999996</v>
      </c>
      <c r="M1308">
        <v>261000</v>
      </c>
      <c r="N1308">
        <v>4.0999999999999996</v>
      </c>
      <c r="O1308">
        <v>2</v>
      </c>
      <c r="P1308" t="s">
        <v>114</v>
      </c>
    </row>
    <row r="1309" spans="1:16" x14ac:dyDescent="0.25">
      <c r="A1309" t="s">
        <v>3638</v>
      </c>
      <c r="B1309" t="s">
        <v>3639</v>
      </c>
      <c r="C1309" t="s">
        <v>18</v>
      </c>
      <c r="D1309" t="s">
        <v>30</v>
      </c>
      <c r="E1309" t="s">
        <v>20</v>
      </c>
      <c r="F1309" t="s">
        <v>32</v>
      </c>
      <c r="G1309" t="s">
        <v>22</v>
      </c>
      <c r="H1309" t="s">
        <v>46</v>
      </c>
      <c r="I1309" t="s">
        <v>24</v>
      </c>
      <c r="J1309" t="s">
        <v>3640</v>
      </c>
      <c r="L1309">
        <v>3.9</v>
      </c>
      <c r="M1309">
        <v>273000</v>
      </c>
      <c r="N1309">
        <v>2.2000000000000002</v>
      </c>
      <c r="O1309">
        <v>2</v>
      </c>
      <c r="P1309" t="s">
        <v>26</v>
      </c>
    </row>
    <row r="1310" spans="1:16" x14ac:dyDescent="0.25">
      <c r="A1310" t="s">
        <v>3641</v>
      </c>
      <c r="B1310" t="s">
        <v>3642</v>
      </c>
      <c r="C1310" t="s">
        <v>18</v>
      </c>
      <c r="D1310" t="s">
        <v>19</v>
      </c>
      <c r="E1310" t="s">
        <v>20</v>
      </c>
      <c r="F1310" t="s">
        <v>21</v>
      </c>
      <c r="G1310" t="s">
        <v>80</v>
      </c>
      <c r="I1310" t="s">
        <v>24</v>
      </c>
      <c r="J1310" t="s">
        <v>3643</v>
      </c>
      <c r="L1310">
        <v>5.4</v>
      </c>
      <c r="M1310">
        <v>807000</v>
      </c>
      <c r="N1310">
        <v>4</v>
      </c>
      <c r="O1310">
        <v>38</v>
      </c>
      <c r="P1310" t="s">
        <v>26</v>
      </c>
    </row>
    <row r="1311" spans="1:16" x14ac:dyDescent="0.25">
      <c r="A1311" t="s">
        <v>3644</v>
      </c>
      <c r="B1311" t="s">
        <v>3201</v>
      </c>
      <c r="C1311" t="s">
        <v>18</v>
      </c>
      <c r="D1311" t="s">
        <v>30</v>
      </c>
      <c r="E1311" t="s">
        <v>20</v>
      </c>
      <c r="F1311" t="s">
        <v>39</v>
      </c>
      <c r="G1311" t="s">
        <v>22</v>
      </c>
      <c r="H1311" t="s">
        <v>46</v>
      </c>
      <c r="J1311" t="s">
        <v>2066</v>
      </c>
      <c r="L1311">
        <v>3.8</v>
      </c>
      <c r="M1311">
        <v>119000</v>
      </c>
      <c r="N1311">
        <v>2.9</v>
      </c>
      <c r="O1311">
        <v>7</v>
      </c>
      <c r="P1311" t="s">
        <v>26</v>
      </c>
    </row>
    <row r="1312" spans="1:16" x14ac:dyDescent="0.25">
      <c r="A1312" t="s">
        <v>3645</v>
      </c>
      <c r="B1312" t="s">
        <v>3646</v>
      </c>
      <c r="C1312" t="s">
        <v>18</v>
      </c>
      <c r="D1312" t="s">
        <v>50</v>
      </c>
      <c r="E1312" t="s">
        <v>20</v>
      </c>
      <c r="F1312" t="s">
        <v>32</v>
      </c>
      <c r="G1312" t="s">
        <v>69</v>
      </c>
      <c r="H1312" t="s">
        <v>46</v>
      </c>
      <c r="I1312" t="s">
        <v>24</v>
      </c>
      <c r="J1312" t="s">
        <v>3647</v>
      </c>
      <c r="L1312">
        <v>1.5</v>
      </c>
      <c r="M1312">
        <v>187000</v>
      </c>
      <c r="N1312">
        <v>4.0999999999999996</v>
      </c>
      <c r="O1312">
        <v>8</v>
      </c>
      <c r="P1312" t="s">
        <v>26</v>
      </c>
    </row>
    <row r="1313" spans="1:16" x14ac:dyDescent="0.25">
      <c r="A1313" t="s">
        <v>3648</v>
      </c>
      <c r="B1313" t="s">
        <v>3649</v>
      </c>
      <c r="C1313" t="s">
        <v>29</v>
      </c>
      <c r="D1313" t="s">
        <v>50</v>
      </c>
      <c r="E1313" t="s">
        <v>31</v>
      </c>
      <c r="F1313" t="s">
        <v>39</v>
      </c>
      <c r="G1313" t="s">
        <v>69</v>
      </c>
      <c r="H1313" t="s">
        <v>23</v>
      </c>
      <c r="I1313" t="s">
        <v>24</v>
      </c>
      <c r="J1313" t="s">
        <v>651</v>
      </c>
      <c r="L1313">
        <v>2.9</v>
      </c>
      <c r="M1313">
        <v>97000</v>
      </c>
      <c r="N1313">
        <v>2</v>
      </c>
      <c r="O1313">
        <v>2</v>
      </c>
      <c r="P1313" t="s">
        <v>26</v>
      </c>
    </row>
    <row r="1314" spans="1:16" x14ac:dyDescent="0.25">
      <c r="A1314" t="s">
        <v>3650</v>
      </c>
      <c r="B1314" t="s">
        <v>3651</v>
      </c>
      <c r="C1314" t="s">
        <v>29</v>
      </c>
      <c r="D1314" t="s">
        <v>30</v>
      </c>
      <c r="E1314" t="s">
        <v>20</v>
      </c>
      <c r="F1314" t="s">
        <v>39</v>
      </c>
      <c r="G1314" t="s">
        <v>69</v>
      </c>
      <c r="I1314" t="s">
        <v>24</v>
      </c>
      <c r="J1314" t="s">
        <v>783</v>
      </c>
      <c r="L1314">
        <v>1.7</v>
      </c>
      <c r="M1314">
        <v>107000</v>
      </c>
      <c r="N1314">
        <v>2.5</v>
      </c>
      <c r="O1314">
        <v>30</v>
      </c>
      <c r="P1314" t="s">
        <v>26</v>
      </c>
    </row>
    <row r="1315" spans="1:16" x14ac:dyDescent="0.25">
      <c r="A1315" t="s">
        <v>3652</v>
      </c>
      <c r="B1315" t="s">
        <v>3653</v>
      </c>
      <c r="C1315" t="s">
        <v>29</v>
      </c>
      <c r="D1315" t="s">
        <v>30</v>
      </c>
      <c r="E1315" t="s">
        <v>20</v>
      </c>
      <c r="F1315" t="s">
        <v>39</v>
      </c>
      <c r="G1315" t="s">
        <v>22</v>
      </c>
      <c r="H1315" t="s">
        <v>23</v>
      </c>
      <c r="I1315" t="s">
        <v>24</v>
      </c>
      <c r="J1315" t="s">
        <v>1397</v>
      </c>
      <c r="K1315" t="s">
        <v>3654</v>
      </c>
      <c r="L1315">
        <v>6.1</v>
      </c>
      <c r="M1315">
        <v>178000</v>
      </c>
      <c r="N1315">
        <v>2.8</v>
      </c>
      <c r="O1315">
        <v>9</v>
      </c>
      <c r="P1315" t="s">
        <v>72</v>
      </c>
    </row>
    <row r="1316" spans="1:16" x14ac:dyDescent="0.25">
      <c r="A1316" t="s">
        <v>3655</v>
      </c>
      <c r="B1316" t="s">
        <v>3656</v>
      </c>
      <c r="C1316" t="s">
        <v>29</v>
      </c>
      <c r="D1316" t="s">
        <v>43</v>
      </c>
      <c r="E1316" t="s">
        <v>20</v>
      </c>
      <c r="F1316" t="s">
        <v>128</v>
      </c>
      <c r="G1316" t="s">
        <v>22</v>
      </c>
      <c r="H1316" t="s">
        <v>23</v>
      </c>
      <c r="I1316" t="s">
        <v>24</v>
      </c>
      <c r="J1316" t="s">
        <v>3584</v>
      </c>
      <c r="K1316" t="s">
        <v>3657</v>
      </c>
      <c r="L1316">
        <v>4.9000000000000004</v>
      </c>
      <c r="M1316">
        <v>406000</v>
      </c>
      <c r="N1316">
        <v>3.3</v>
      </c>
      <c r="O1316">
        <v>19</v>
      </c>
      <c r="P1316" t="s">
        <v>53</v>
      </c>
    </row>
    <row r="1317" spans="1:16" x14ac:dyDescent="0.25">
      <c r="A1317" t="s">
        <v>3658</v>
      </c>
      <c r="B1317" t="s">
        <v>1108</v>
      </c>
      <c r="C1317" t="s">
        <v>18</v>
      </c>
      <c r="D1317" t="s">
        <v>19</v>
      </c>
      <c r="E1317" t="s">
        <v>20</v>
      </c>
      <c r="F1317" t="s">
        <v>32</v>
      </c>
      <c r="G1317" t="s">
        <v>22</v>
      </c>
      <c r="H1317" t="s">
        <v>34</v>
      </c>
      <c r="I1317" t="s">
        <v>24</v>
      </c>
      <c r="J1317" t="s">
        <v>3659</v>
      </c>
      <c r="L1317">
        <v>3.8</v>
      </c>
      <c r="M1317">
        <v>319000</v>
      </c>
      <c r="N1317">
        <v>3</v>
      </c>
      <c r="O1317">
        <v>9</v>
      </c>
      <c r="P1317" t="s">
        <v>26</v>
      </c>
    </row>
    <row r="1318" spans="1:16" x14ac:dyDescent="0.25">
      <c r="A1318" t="s">
        <v>3660</v>
      </c>
      <c r="B1318" t="s">
        <v>3661</v>
      </c>
      <c r="C1318" t="s">
        <v>18</v>
      </c>
      <c r="D1318" t="s">
        <v>43</v>
      </c>
      <c r="E1318" t="s">
        <v>31</v>
      </c>
      <c r="F1318" t="s">
        <v>128</v>
      </c>
      <c r="G1318" t="s">
        <v>33</v>
      </c>
      <c r="H1318" t="s">
        <v>34</v>
      </c>
      <c r="I1318" t="s">
        <v>171</v>
      </c>
      <c r="J1318" t="s">
        <v>887</v>
      </c>
      <c r="L1318">
        <v>4.3</v>
      </c>
      <c r="M1318">
        <v>543000</v>
      </c>
      <c r="N1318">
        <v>4.0999999999999996</v>
      </c>
      <c r="O1318">
        <v>28</v>
      </c>
      <c r="P1318" t="s">
        <v>26</v>
      </c>
    </row>
    <row r="1319" spans="1:16" x14ac:dyDescent="0.25">
      <c r="A1319" t="s">
        <v>3662</v>
      </c>
      <c r="B1319" t="s">
        <v>3663</v>
      </c>
      <c r="C1319" t="s">
        <v>29</v>
      </c>
      <c r="D1319" t="s">
        <v>79</v>
      </c>
      <c r="E1319" t="s">
        <v>44</v>
      </c>
      <c r="F1319" t="s">
        <v>21</v>
      </c>
      <c r="G1319" t="s">
        <v>22</v>
      </c>
      <c r="H1319" t="s">
        <v>46</v>
      </c>
      <c r="I1319" t="s">
        <v>24</v>
      </c>
      <c r="J1319" t="s">
        <v>3664</v>
      </c>
      <c r="L1319">
        <v>3.6</v>
      </c>
      <c r="M1319">
        <v>769000</v>
      </c>
      <c r="N1319">
        <v>3.1</v>
      </c>
      <c r="O1319">
        <v>11</v>
      </c>
      <c r="P1319" t="s">
        <v>26</v>
      </c>
    </row>
    <row r="1320" spans="1:16" x14ac:dyDescent="0.25">
      <c r="A1320" t="s">
        <v>3665</v>
      </c>
      <c r="B1320" t="s">
        <v>3666</v>
      </c>
      <c r="C1320" t="s">
        <v>29</v>
      </c>
      <c r="D1320" t="s">
        <v>30</v>
      </c>
      <c r="E1320" t="s">
        <v>31</v>
      </c>
      <c r="F1320" t="s">
        <v>39</v>
      </c>
      <c r="G1320" t="s">
        <v>80</v>
      </c>
      <c r="H1320" t="s">
        <v>23</v>
      </c>
      <c r="I1320" t="s">
        <v>24</v>
      </c>
      <c r="J1320" t="s">
        <v>1883</v>
      </c>
      <c r="K1320" t="s">
        <v>3667</v>
      </c>
      <c r="L1320">
        <v>5.9</v>
      </c>
      <c r="M1320">
        <v>170000</v>
      </c>
      <c r="N1320">
        <v>2.6</v>
      </c>
      <c r="O1320">
        <v>13</v>
      </c>
      <c r="P1320" t="s">
        <v>53</v>
      </c>
    </row>
    <row r="1321" spans="1:16" x14ac:dyDescent="0.25">
      <c r="A1321" t="s">
        <v>3668</v>
      </c>
      <c r="B1321" t="s">
        <v>3669</v>
      </c>
      <c r="C1321" t="s">
        <v>29</v>
      </c>
      <c r="D1321" t="s">
        <v>30</v>
      </c>
      <c r="E1321" t="s">
        <v>20</v>
      </c>
      <c r="F1321" t="s">
        <v>39</v>
      </c>
      <c r="G1321" t="s">
        <v>22</v>
      </c>
      <c r="H1321" t="s">
        <v>23</v>
      </c>
      <c r="I1321" t="s">
        <v>57</v>
      </c>
      <c r="J1321" t="s">
        <v>3670</v>
      </c>
      <c r="K1321" t="s">
        <v>3671</v>
      </c>
      <c r="L1321">
        <v>2.5</v>
      </c>
      <c r="M1321">
        <v>138000</v>
      </c>
      <c r="N1321">
        <v>2.1</v>
      </c>
      <c r="O1321">
        <v>7</v>
      </c>
      <c r="P1321" t="s">
        <v>53</v>
      </c>
    </row>
    <row r="1322" spans="1:16" x14ac:dyDescent="0.25">
      <c r="A1322" t="s">
        <v>3672</v>
      </c>
      <c r="B1322" t="s">
        <v>3673</v>
      </c>
      <c r="C1322" t="s">
        <v>29</v>
      </c>
      <c r="D1322" t="s">
        <v>30</v>
      </c>
      <c r="E1322" t="s">
        <v>31</v>
      </c>
      <c r="F1322" t="s">
        <v>39</v>
      </c>
      <c r="G1322" t="s">
        <v>22</v>
      </c>
      <c r="I1322" t="s">
        <v>35</v>
      </c>
      <c r="J1322" t="s">
        <v>3674</v>
      </c>
      <c r="K1322" t="s">
        <v>963</v>
      </c>
      <c r="L1322">
        <v>6.1</v>
      </c>
      <c r="M1322">
        <v>92000</v>
      </c>
      <c r="O1322">
        <v>3</v>
      </c>
      <c r="P1322" t="s">
        <v>72</v>
      </c>
    </row>
    <row r="1323" spans="1:16" x14ac:dyDescent="0.25">
      <c r="A1323" t="s">
        <v>3675</v>
      </c>
      <c r="B1323" t="s">
        <v>3676</v>
      </c>
      <c r="C1323" t="s">
        <v>18</v>
      </c>
      <c r="D1323" t="s">
        <v>79</v>
      </c>
      <c r="E1323" t="s">
        <v>20</v>
      </c>
      <c r="F1323" t="s">
        <v>128</v>
      </c>
      <c r="G1323" t="s">
        <v>22</v>
      </c>
      <c r="H1323" t="s">
        <v>62</v>
      </c>
      <c r="I1323" t="s">
        <v>57</v>
      </c>
      <c r="J1323" t="s">
        <v>1908</v>
      </c>
      <c r="L1323">
        <v>3.9</v>
      </c>
      <c r="N1323">
        <v>5</v>
      </c>
      <c r="O1323">
        <v>5</v>
      </c>
      <c r="P1323" t="s">
        <v>26</v>
      </c>
    </row>
    <row r="1324" spans="1:16" x14ac:dyDescent="0.25">
      <c r="A1324" t="s">
        <v>3677</v>
      </c>
      <c r="B1324" t="s">
        <v>3678</v>
      </c>
      <c r="C1324" t="s">
        <v>29</v>
      </c>
      <c r="D1324" t="s">
        <v>43</v>
      </c>
      <c r="E1324" t="s">
        <v>44</v>
      </c>
      <c r="F1324" t="s">
        <v>32</v>
      </c>
      <c r="G1324" t="s">
        <v>80</v>
      </c>
      <c r="H1324" t="s">
        <v>34</v>
      </c>
      <c r="I1324" t="s">
        <v>24</v>
      </c>
      <c r="J1324" t="s">
        <v>129</v>
      </c>
      <c r="K1324" t="s">
        <v>1744</v>
      </c>
      <c r="L1324">
        <v>1.3</v>
      </c>
      <c r="M1324">
        <v>289000</v>
      </c>
      <c r="N1324">
        <v>3.5</v>
      </c>
      <c r="O1324">
        <v>10</v>
      </c>
      <c r="P1324" t="s">
        <v>53</v>
      </c>
    </row>
    <row r="1325" spans="1:16" x14ac:dyDescent="0.25">
      <c r="A1325" t="s">
        <v>3679</v>
      </c>
      <c r="B1325" t="s">
        <v>612</v>
      </c>
      <c r="C1325" t="s">
        <v>18</v>
      </c>
      <c r="D1325" t="s">
        <v>30</v>
      </c>
      <c r="E1325" t="s">
        <v>20</v>
      </c>
      <c r="F1325" t="s">
        <v>39</v>
      </c>
      <c r="G1325" t="s">
        <v>22</v>
      </c>
      <c r="H1325" t="s">
        <v>34</v>
      </c>
      <c r="I1325" t="s">
        <v>57</v>
      </c>
      <c r="J1325" t="s">
        <v>1273</v>
      </c>
      <c r="L1325">
        <v>1.8</v>
      </c>
      <c r="M1325">
        <v>147000</v>
      </c>
      <c r="N1325">
        <v>3.1</v>
      </c>
      <c r="P1325" t="s">
        <v>26</v>
      </c>
    </row>
    <row r="1326" spans="1:16" x14ac:dyDescent="0.25">
      <c r="A1326" t="s">
        <v>3680</v>
      </c>
      <c r="B1326" t="s">
        <v>3255</v>
      </c>
      <c r="C1326" t="s">
        <v>18</v>
      </c>
      <c r="D1326" t="s">
        <v>43</v>
      </c>
      <c r="E1326" t="s">
        <v>20</v>
      </c>
      <c r="F1326" t="s">
        <v>21</v>
      </c>
      <c r="G1326" t="s">
        <v>22</v>
      </c>
      <c r="H1326" t="s">
        <v>46</v>
      </c>
      <c r="I1326" t="s">
        <v>24</v>
      </c>
      <c r="J1326" t="s">
        <v>3681</v>
      </c>
      <c r="L1326">
        <v>3.4</v>
      </c>
      <c r="M1326">
        <v>646000</v>
      </c>
      <c r="N1326">
        <v>3.9</v>
      </c>
      <c r="O1326">
        <v>4</v>
      </c>
      <c r="P1326" t="s">
        <v>26</v>
      </c>
    </row>
    <row r="1327" spans="1:16" x14ac:dyDescent="0.25">
      <c r="A1327" t="s">
        <v>3682</v>
      </c>
      <c r="B1327" t="s">
        <v>3683</v>
      </c>
      <c r="C1327" t="s">
        <v>29</v>
      </c>
      <c r="D1327" t="s">
        <v>30</v>
      </c>
      <c r="E1327" t="s">
        <v>20</v>
      </c>
      <c r="F1327" t="s">
        <v>128</v>
      </c>
      <c r="G1327" t="s">
        <v>22</v>
      </c>
      <c r="H1327" t="s">
        <v>23</v>
      </c>
      <c r="I1327" t="s">
        <v>24</v>
      </c>
      <c r="J1327" t="s">
        <v>3684</v>
      </c>
      <c r="L1327">
        <v>5.5</v>
      </c>
      <c r="M1327">
        <v>425000</v>
      </c>
      <c r="N1327">
        <v>4.2</v>
      </c>
      <c r="O1327">
        <v>5</v>
      </c>
      <c r="P1327" t="s">
        <v>26</v>
      </c>
    </row>
    <row r="1328" spans="1:16" x14ac:dyDescent="0.25">
      <c r="A1328" t="s">
        <v>3685</v>
      </c>
      <c r="B1328" t="s">
        <v>973</v>
      </c>
      <c r="C1328" t="s">
        <v>29</v>
      </c>
      <c r="D1328" t="s">
        <v>43</v>
      </c>
      <c r="E1328" t="s">
        <v>20</v>
      </c>
      <c r="F1328" t="s">
        <v>32</v>
      </c>
      <c r="G1328" t="s">
        <v>22</v>
      </c>
      <c r="H1328" t="s">
        <v>23</v>
      </c>
      <c r="I1328" t="s">
        <v>24</v>
      </c>
      <c r="J1328" t="s">
        <v>1693</v>
      </c>
      <c r="L1328">
        <v>1.8</v>
      </c>
      <c r="M1328">
        <v>291000</v>
      </c>
      <c r="O1328">
        <v>3</v>
      </c>
      <c r="P1328" t="s">
        <v>26</v>
      </c>
    </row>
    <row r="1329" spans="1:16" x14ac:dyDescent="0.25">
      <c r="A1329" t="s">
        <v>3686</v>
      </c>
      <c r="B1329" t="s">
        <v>2842</v>
      </c>
      <c r="C1329" t="s">
        <v>29</v>
      </c>
      <c r="D1329" t="s">
        <v>30</v>
      </c>
      <c r="E1329" t="s">
        <v>20</v>
      </c>
      <c r="F1329" t="s">
        <v>39</v>
      </c>
      <c r="G1329" t="s">
        <v>22</v>
      </c>
      <c r="H1329" t="s">
        <v>23</v>
      </c>
      <c r="I1329" t="s">
        <v>75</v>
      </c>
      <c r="J1329" t="s">
        <v>2521</v>
      </c>
      <c r="L1329">
        <v>2.5</v>
      </c>
      <c r="M1329">
        <v>93000</v>
      </c>
      <c r="N1329">
        <v>2.6</v>
      </c>
      <c r="O1329">
        <v>34</v>
      </c>
      <c r="P1329" t="s">
        <v>26</v>
      </c>
    </row>
    <row r="1330" spans="1:16" x14ac:dyDescent="0.25">
      <c r="A1330" t="s">
        <v>3687</v>
      </c>
      <c r="B1330" t="s">
        <v>2665</v>
      </c>
      <c r="C1330" t="s">
        <v>29</v>
      </c>
      <c r="D1330" t="s">
        <v>50</v>
      </c>
      <c r="E1330" t="s">
        <v>31</v>
      </c>
      <c r="F1330" t="s">
        <v>39</v>
      </c>
      <c r="G1330" t="s">
        <v>22</v>
      </c>
      <c r="H1330" t="s">
        <v>34</v>
      </c>
      <c r="I1330" t="s">
        <v>35</v>
      </c>
      <c r="J1330" t="s">
        <v>3688</v>
      </c>
      <c r="L1330">
        <v>3.2</v>
      </c>
      <c r="M1330">
        <v>173000</v>
      </c>
      <c r="N1330">
        <v>3.3</v>
      </c>
      <c r="O1330">
        <v>5</v>
      </c>
      <c r="P1330" t="s">
        <v>26</v>
      </c>
    </row>
    <row r="1331" spans="1:16" x14ac:dyDescent="0.25">
      <c r="A1331" t="s">
        <v>3689</v>
      </c>
      <c r="B1331" t="s">
        <v>772</v>
      </c>
      <c r="C1331" t="s">
        <v>18</v>
      </c>
      <c r="D1331" t="s">
        <v>79</v>
      </c>
      <c r="E1331" t="s">
        <v>31</v>
      </c>
      <c r="F1331" t="s">
        <v>128</v>
      </c>
      <c r="G1331" t="s">
        <v>33</v>
      </c>
      <c r="H1331" t="s">
        <v>46</v>
      </c>
      <c r="I1331" t="s">
        <v>35</v>
      </c>
      <c r="J1331" t="s">
        <v>3690</v>
      </c>
      <c r="L1331">
        <v>1.8</v>
      </c>
      <c r="M1331">
        <v>468000</v>
      </c>
      <c r="N1331">
        <v>3</v>
      </c>
      <c r="O1331">
        <v>2</v>
      </c>
      <c r="P1331" t="s">
        <v>26</v>
      </c>
    </row>
    <row r="1332" spans="1:16" x14ac:dyDescent="0.25">
      <c r="A1332" t="s">
        <v>3691</v>
      </c>
      <c r="B1332" t="s">
        <v>3692</v>
      </c>
      <c r="C1332" t="s">
        <v>29</v>
      </c>
      <c r="D1332" t="s">
        <v>50</v>
      </c>
      <c r="E1332" t="s">
        <v>20</v>
      </c>
      <c r="F1332" t="s">
        <v>32</v>
      </c>
      <c r="G1332" t="s">
        <v>22</v>
      </c>
      <c r="H1332" t="s">
        <v>34</v>
      </c>
      <c r="I1332" t="s">
        <v>24</v>
      </c>
      <c r="J1332" t="s">
        <v>3693</v>
      </c>
      <c r="K1332" t="s">
        <v>3694</v>
      </c>
      <c r="L1332">
        <v>6.1</v>
      </c>
      <c r="M1332">
        <v>207000</v>
      </c>
      <c r="N1332">
        <v>3.4</v>
      </c>
      <c r="O1332">
        <v>1</v>
      </c>
      <c r="P1332" t="s">
        <v>114</v>
      </c>
    </row>
    <row r="1333" spans="1:16" x14ac:dyDescent="0.25">
      <c r="A1333" t="s">
        <v>3695</v>
      </c>
      <c r="B1333" t="s">
        <v>3696</v>
      </c>
      <c r="C1333" t="s">
        <v>29</v>
      </c>
      <c r="D1333" t="s">
        <v>79</v>
      </c>
      <c r="E1333" t="s">
        <v>20</v>
      </c>
      <c r="F1333" t="s">
        <v>128</v>
      </c>
      <c r="G1333" t="s">
        <v>80</v>
      </c>
      <c r="H1333" t="s">
        <v>34</v>
      </c>
      <c r="I1333" t="s">
        <v>57</v>
      </c>
      <c r="J1333" t="s">
        <v>667</v>
      </c>
      <c r="L1333">
        <v>5</v>
      </c>
      <c r="M1333">
        <v>359000</v>
      </c>
      <c r="N1333">
        <v>3.6</v>
      </c>
      <c r="P1333" t="s">
        <v>26</v>
      </c>
    </row>
    <row r="1334" spans="1:16" x14ac:dyDescent="0.25">
      <c r="A1334" t="s">
        <v>3697</v>
      </c>
      <c r="B1334" t="s">
        <v>3698</v>
      </c>
      <c r="C1334" t="s">
        <v>29</v>
      </c>
      <c r="D1334" t="s">
        <v>50</v>
      </c>
      <c r="E1334" t="s">
        <v>20</v>
      </c>
      <c r="F1334" t="s">
        <v>21</v>
      </c>
      <c r="G1334" t="s">
        <v>22</v>
      </c>
      <c r="H1334" t="s">
        <v>23</v>
      </c>
      <c r="I1334" t="s">
        <v>171</v>
      </c>
      <c r="J1334" t="s">
        <v>1172</v>
      </c>
      <c r="L1334">
        <v>4.4000000000000004</v>
      </c>
      <c r="M1334">
        <v>914000</v>
      </c>
      <c r="N1334">
        <v>3.5</v>
      </c>
      <c r="O1334">
        <v>2</v>
      </c>
      <c r="P1334" t="s">
        <v>26</v>
      </c>
    </row>
    <row r="1335" spans="1:16" x14ac:dyDescent="0.25">
      <c r="A1335" t="s">
        <v>3699</v>
      </c>
      <c r="B1335" t="s">
        <v>3700</v>
      </c>
      <c r="C1335" t="s">
        <v>18</v>
      </c>
      <c r="D1335" t="s">
        <v>30</v>
      </c>
      <c r="E1335" t="s">
        <v>44</v>
      </c>
      <c r="F1335" t="s">
        <v>32</v>
      </c>
      <c r="G1335" t="s">
        <v>22</v>
      </c>
      <c r="H1335" t="s">
        <v>34</v>
      </c>
      <c r="I1335" t="s">
        <v>24</v>
      </c>
      <c r="J1335" t="s">
        <v>818</v>
      </c>
      <c r="K1335" t="s">
        <v>911</v>
      </c>
      <c r="L1335">
        <v>2.8</v>
      </c>
      <c r="M1335">
        <v>209000</v>
      </c>
      <c r="N1335">
        <v>1.6</v>
      </c>
      <c r="O1335">
        <v>0</v>
      </c>
      <c r="P1335" t="s">
        <v>114</v>
      </c>
    </row>
    <row r="1336" spans="1:16" x14ac:dyDescent="0.25">
      <c r="A1336" t="s">
        <v>3701</v>
      </c>
      <c r="B1336" t="s">
        <v>3702</v>
      </c>
      <c r="C1336" t="s">
        <v>29</v>
      </c>
      <c r="D1336" t="s">
        <v>30</v>
      </c>
      <c r="E1336" t="s">
        <v>20</v>
      </c>
      <c r="F1336" t="s">
        <v>32</v>
      </c>
      <c r="G1336" t="s">
        <v>22</v>
      </c>
      <c r="H1336" t="s">
        <v>23</v>
      </c>
      <c r="I1336" t="s">
        <v>24</v>
      </c>
      <c r="J1336" t="s">
        <v>1228</v>
      </c>
      <c r="L1336">
        <v>4.9000000000000004</v>
      </c>
      <c r="M1336">
        <v>312000</v>
      </c>
      <c r="N1336">
        <v>4.0999999999999996</v>
      </c>
      <c r="O1336">
        <v>19</v>
      </c>
      <c r="P1336" t="s">
        <v>26</v>
      </c>
    </row>
    <row r="1337" spans="1:16" x14ac:dyDescent="0.25">
      <c r="A1337" t="s">
        <v>3703</v>
      </c>
      <c r="B1337" t="s">
        <v>3704</v>
      </c>
      <c r="C1337" t="s">
        <v>18</v>
      </c>
      <c r="D1337" t="s">
        <v>30</v>
      </c>
      <c r="E1337" t="s">
        <v>20</v>
      </c>
      <c r="F1337" t="s">
        <v>32</v>
      </c>
      <c r="G1337" t="s">
        <v>33</v>
      </c>
      <c r="H1337" t="s">
        <v>46</v>
      </c>
      <c r="I1337" t="s">
        <v>24</v>
      </c>
      <c r="J1337" t="s">
        <v>478</v>
      </c>
      <c r="L1337">
        <v>1.3</v>
      </c>
      <c r="M1337">
        <v>208000</v>
      </c>
      <c r="N1337">
        <v>2.5</v>
      </c>
      <c r="O1337">
        <v>0</v>
      </c>
      <c r="P1337" t="s">
        <v>26</v>
      </c>
    </row>
    <row r="1338" spans="1:16" x14ac:dyDescent="0.25">
      <c r="A1338" t="s">
        <v>3705</v>
      </c>
      <c r="B1338" t="s">
        <v>3706</v>
      </c>
      <c r="C1338" t="s">
        <v>18</v>
      </c>
      <c r="D1338" t="s">
        <v>43</v>
      </c>
      <c r="E1338" t="s">
        <v>20</v>
      </c>
      <c r="F1338" t="s">
        <v>21</v>
      </c>
      <c r="G1338" t="s">
        <v>33</v>
      </c>
      <c r="H1338" t="s">
        <v>23</v>
      </c>
      <c r="I1338" t="s">
        <v>57</v>
      </c>
      <c r="J1338" t="s">
        <v>2064</v>
      </c>
      <c r="L1338">
        <v>2.4</v>
      </c>
      <c r="M1338">
        <v>796000</v>
      </c>
      <c r="N1338">
        <v>4</v>
      </c>
      <c r="P1338" t="s">
        <v>26</v>
      </c>
    </row>
    <row r="1339" spans="1:16" x14ac:dyDescent="0.25">
      <c r="A1339" t="s">
        <v>3707</v>
      </c>
      <c r="B1339" t="s">
        <v>3708</v>
      </c>
      <c r="C1339" t="s">
        <v>18</v>
      </c>
      <c r="E1339" t="s">
        <v>20</v>
      </c>
      <c r="F1339" t="s">
        <v>32</v>
      </c>
      <c r="G1339" t="s">
        <v>33</v>
      </c>
      <c r="H1339" t="s">
        <v>23</v>
      </c>
      <c r="I1339" t="s">
        <v>57</v>
      </c>
      <c r="J1339" t="s">
        <v>2417</v>
      </c>
      <c r="L1339">
        <v>3</v>
      </c>
      <c r="M1339">
        <v>180000</v>
      </c>
      <c r="N1339">
        <v>5</v>
      </c>
      <c r="O1339">
        <v>40</v>
      </c>
      <c r="P1339" t="s">
        <v>26</v>
      </c>
    </row>
    <row r="1340" spans="1:16" x14ac:dyDescent="0.25">
      <c r="A1340" t="s">
        <v>3709</v>
      </c>
      <c r="B1340" t="s">
        <v>3710</v>
      </c>
      <c r="C1340" t="s">
        <v>29</v>
      </c>
      <c r="D1340" t="s">
        <v>43</v>
      </c>
      <c r="E1340" t="s">
        <v>31</v>
      </c>
      <c r="G1340" t="s">
        <v>33</v>
      </c>
      <c r="H1340" t="s">
        <v>23</v>
      </c>
      <c r="I1340" t="s">
        <v>35</v>
      </c>
      <c r="J1340" t="s">
        <v>2783</v>
      </c>
      <c r="L1340">
        <v>5.4</v>
      </c>
      <c r="M1340">
        <v>714000</v>
      </c>
      <c r="N1340">
        <v>3.7</v>
      </c>
      <c r="O1340">
        <v>16</v>
      </c>
      <c r="P1340" t="s">
        <v>26</v>
      </c>
    </row>
    <row r="1341" spans="1:16" x14ac:dyDescent="0.25">
      <c r="A1341" t="s">
        <v>3711</v>
      </c>
      <c r="B1341" t="s">
        <v>734</v>
      </c>
      <c r="C1341" t="s">
        <v>18</v>
      </c>
      <c r="D1341" t="s">
        <v>19</v>
      </c>
      <c r="E1341" t="s">
        <v>20</v>
      </c>
      <c r="F1341" t="s">
        <v>39</v>
      </c>
      <c r="G1341" t="s">
        <v>22</v>
      </c>
      <c r="H1341" t="s">
        <v>23</v>
      </c>
      <c r="I1341" t="s">
        <v>35</v>
      </c>
      <c r="J1341" t="s">
        <v>3712</v>
      </c>
      <c r="K1341" t="s">
        <v>3713</v>
      </c>
      <c r="L1341">
        <v>2</v>
      </c>
      <c r="M1341">
        <v>122000</v>
      </c>
      <c r="N1341">
        <v>2.5</v>
      </c>
      <c r="O1341">
        <v>33</v>
      </c>
      <c r="P1341" t="s">
        <v>72</v>
      </c>
    </row>
    <row r="1342" spans="1:16" x14ac:dyDescent="0.25">
      <c r="A1342" t="s">
        <v>3714</v>
      </c>
      <c r="B1342" t="s">
        <v>3715</v>
      </c>
      <c r="C1342" t="s">
        <v>18</v>
      </c>
      <c r="D1342" t="s">
        <v>30</v>
      </c>
      <c r="E1342" t="s">
        <v>20</v>
      </c>
      <c r="F1342" t="s">
        <v>45</v>
      </c>
      <c r="G1342" t="s">
        <v>80</v>
      </c>
      <c r="H1342" t="s">
        <v>23</v>
      </c>
      <c r="I1342" t="s">
        <v>24</v>
      </c>
      <c r="J1342" t="s">
        <v>2471</v>
      </c>
      <c r="L1342">
        <v>3.3</v>
      </c>
      <c r="M1342">
        <v>1226000</v>
      </c>
      <c r="N1342">
        <v>3.8</v>
      </c>
      <c r="O1342">
        <v>5</v>
      </c>
      <c r="P1342" t="s">
        <v>26</v>
      </c>
    </row>
    <row r="1343" spans="1:16" x14ac:dyDescent="0.25">
      <c r="A1343" t="s">
        <v>3716</v>
      </c>
      <c r="B1343" t="s">
        <v>3700</v>
      </c>
      <c r="C1343" t="s">
        <v>18</v>
      </c>
      <c r="D1343" t="s">
        <v>50</v>
      </c>
      <c r="E1343" t="s">
        <v>20</v>
      </c>
      <c r="F1343" t="s">
        <v>39</v>
      </c>
      <c r="G1343" t="s">
        <v>22</v>
      </c>
      <c r="H1343" t="s">
        <v>46</v>
      </c>
      <c r="I1343" t="s">
        <v>35</v>
      </c>
      <c r="J1343" t="s">
        <v>3139</v>
      </c>
      <c r="L1343">
        <v>1.9</v>
      </c>
      <c r="M1343">
        <v>149000</v>
      </c>
      <c r="N1343">
        <v>2.1</v>
      </c>
      <c r="O1343">
        <v>4</v>
      </c>
      <c r="P1343" t="s">
        <v>26</v>
      </c>
    </row>
    <row r="1344" spans="1:16" x14ac:dyDescent="0.25">
      <c r="A1344" t="s">
        <v>3717</v>
      </c>
      <c r="B1344" t="s">
        <v>3718</v>
      </c>
      <c r="C1344" t="s">
        <v>18</v>
      </c>
      <c r="D1344" t="s">
        <v>19</v>
      </c>
      <c r="E1344" t="s">
        <v>44</v>
      </c>
      <c r="F1344" t="s">
        <v>32</v>
      </c>
      <c r="G1344" t="s">
        <v>80</v>
      </c>
      <c r="H1344" t="s">
        <v>23</v>
      </c>
      <c r="I1344" t="s">
        <v>57</v>
      </c>
      <c r="J1344" t="s">
        <v>3719</v>
      </c>
      <c r="L1344">
        <v>3.3</v>
      </c>
      <c r="M1344">
        <v>356000</v>
      </c>
      <c r="N1344">
        <v>3.2</v>
      </c>
      <c r="O1344">
        <v>13</v>
      </c>
      <c r="P1344" t="s">
        <v>26</v>
      </c>
    </row>
    <row r="1345" spans="1:16" x14ac:dyDescent="0.25">
      <c r="A1345" t="s">
        <v>3720</v>
      </c>
      <c r="B1345" t="s">
        <v>195</v>
      </c>
      <c r="C1345" t="s">
        <v>18</v>
      </c>
      <c r="D1345" t="s">
        <v>30</v>
      </c>
      <c r="E1345" t="s">
        <v>20</v>
      </c>
      <c r="F1345" t="s">
        <v>39</v>
      </c>
      <c r="G1345" t="s">
        <v>69</v>
      </c>
      <c r="H1345" t="s">
        <v>46</v>
      </c>
      <c r="I1345" t="s">
        <v>57</v>
      </c>
      <c r="J1345" t="s">
        <v>3721</v>
      </c>
      <c r="K1345" t="s">
        <v>3722</v>
      </c>
      <c r="L1345">
        <v>1.4</v>
      </c>
      <c r="M1345">
        <v>101000</v>
      </c>
      <c r="N1345">
        <v>1.5</v>
      </c>
      <c r="P1345" t="s">
        <v>53</v>
      </c>
    </row>
    <row r="1346" spans="1:16" x14ac:dyDescent="0.25">
      <c r="A1346" t="s">
        <v>3723</v>
      </c>
      <c r="B1346" t="s">
        <v>3724</v>
      </c>
      <c r="C1346" t="s">
        <v>18</v>
      </c>
      <c r="D1346" t="s">
        <v>79</v>
      </c>
      <c r="E1346" t="s">
        <v>20</v>
      </c>
      <c r="F1346" t="s">
        <v>39</v>
      </c>
      <c r="G1346" t="s">
        <v>22</v>
      </c>
      <c r="H1346" t="s">
        <v>23</v>
      </c>
      <c r="I1346" t="s">
        <v>57</v>
      </c>
      <c r="J1346" t="s">
        <v>2911</v>
      </c>
      <c r="L1346">
        <v>4.5999999999999996</v>
      </c>
      <c r="M1346">
        <v>103000</v>
      </c>
      <c r="N1346">
        <v>2.5</v>
      </c>
      <c r="O1346">
        <v>9</v>
      </c>
      <c r="P1346" t="s">
        <v>26</v>
      </c>
    </row>
    <row r="1347" spans="1:16" x14ac:dyDescent="0.25">
      <c r="A1347" t="s">
        <v>3725</v>
      </c>
      <c r="B1347" t="s">
        <v>2284</v>
      </c>
      <c r="C1347" t="s">
        <v>18</v>
      </c>
      <c r="D1347" t="s">
        <v>19</v>
      </c>
      <c r="E1347" t="s">
        <v>20</v>
      </c>
      <c r="F1347" t="s">
        <v>39</v>
      </c>
      <c r="G1347" t="s">
        <v>80</v>
      </c>
      <c r="H1347" t="s">
        <v>23</v>
      </c>
      <c r="J1347" t="s">
        <v>345</v>
      </c>
      <c r="K1347" t="s">
        <v>3726</v>
      </c>
      <c r="L1347">
        <v>6.2</v>
      </c>
      <c r="M1347">
        <v>143000</v>
      </c>
      <c r="N1347">
        <v>3.4</v>
      </c>
      <c r="O1347">
        <v>1</v>
      </c>
      <c r="P1347" t="s">
        <v>53</v>
      </c>
    </row>
    <row r="1348" spans="1:16" x14ac:dyDescent="0.25">
      <c r="A1348" t="s">
        <v>3727</v>
      </c>
      <c r="B1348" t="s">
        <v>2173</v>
      </c>
      <c r="C1348" t="s">
        <v>29</v>
      </c>
      <c r="D1348" t="s">
        <v>50</v>
      </c>
      <c r="E1348" t="s">
        <v>20</v>
      </c>
      <c r="F1348" t="s">
        <v>39</v>
      </c>
      <c r="G1348" t="s">
        <v>33</v>
      </c>
      <c r="H1348" t="s">
        <v>34</v>
      </c>
      <c r="I1348" t="s">
        <v>171</v>
      </c>
      <c r="J1348" t="s">
        <v>1814</v>
      </c>
      <c r="L1348">
        <v>5.3</v>
      </c>
      <c r="M1348">
        <v>121000</v>
      </c>
      <c r="N1348">
        <v>3</v>
      </c>
      <c r="O1348">
        <v>2</v>
      </c>
      <c r="P1348" t="s">
        <v>26</v>
      </c>
    </row>
    <row r="1349" spans="1:16" x14ac:dyDescent="0.25">
      <c r="A1349" t="s">
        <v>3728</v>
      </c>
      <c r="B1349" t="s">
        <v>3729</v>
      </c>
      <c r="C1349" t="s">
        <v>29</v>
      </c>
      <c r="E1349" t="s">
        <v>20</v>
      </c>
      <c r="F1349" t="s">
        <v>39</v>
      </c>
      <c r="G1349" t="s">
        <v>22</v>
      </c>
      <c r="H1349" t="s">
        <v>23</v>
      </c>
      <c r="I1349" t="s">
        <v>24</v>
      </c>
      <c r="J1349" t="s">
        <v>2160</v>
      </c>
      <c r="L1349">
        <v>4.9000000000000004</v>
      </c>
      <c r="N1349">
        <v>3.1</v>
      </c>
      <c r="O1349">
        <v>4</v>
      </c>
      <c r="P1349" t="s">
        <v>26</v>
      </c>
    </row>
    <row r="1350" spans="1:16" x14ac:dyDescent="0.25">
      <c r="A1350" t="s">
        <v>3730</v>
      </c>
      <c r="B1350" t="s">
        <v>3731</v>
      </c>
      <c r="C1350" t="s">
        <v>18</v>
      </c>
      <c r="D1350" t="s">
        <v>43</v>
      </c>
      <c r="E1350" t="s">
        <v>44</v>
      </c>
      <c r="F1350" t="s">
        <v>128</v>
      </c>
      <c r="G1350" t="s">
        <v>22</v>
      </c>
      <c r="H1350" t="s">
        <v>23</v>
      </c>
      <c r="I1350" t="s">
        <v>57</v>
      </c>
      <c r="J1350" t="s">
        <v>2937</v>
      </c>
      <c r="L1350">
        <v>2.4</v>
      </c>
      <c r="M1350">
        <v>452000</v>
      </c>
      <c r="N1350">
        <v>2.2999999999999998</v>
      </c>
      <c r="O1350">
        <v>9</v>
      </c>
      <c r="P1350" t="s">
        <v>26</v>
      </c>
    </row>
    <row r="1351" spans="1:16" x14ac:dyDescent="0.25">
      <c r="A1351" t="s">
        <v>3732</v>
      </c>
      <c r="B1351" t="s">
        <v>3733</v>
      </c>
      <c r="C1351" t="s">
        <v>18</v>
      </c>
      <c r="D1351" t="s">
        <v>50</v>
      </c>
      <c r="E1351" t="s">
        <v>20</v>
      </c>
      <c r="F1351" t="s">
        <v>39</v>
      </c>
      <c r="G1351" t="s">
        <v>22</v>
      </c>
      <c r="H1351" t="s">
        <v>23</v>
      </c>
      <c r="I1351" t="s">
        <v>24</v>
      </c>
      <c r="J1351" t="s">
        <v>3734</v>
      </c>
      <c r="L1351">
        <v>3.8</v>
      </c>
      <c r="M1351">
        <v>155000</v>
      </c>
      <c r="N1351">
        <v>4.8</v>
      </c>
      <c r="O1351">
        <v>6</v>
      </c>
      <c r="P1351" t="s">
        <v>26</v>
      </c>
    </row>
    <row r="1352" spans="1:16" x14ac:dyDescent="0.25">
      <c r="A1352" t="s">
        <v>3735</v>
      </c>
      <c r="B1352" t="s">
        <v>3560</v>
      </c>
      <c r="C1352" t="s">
        <v>18</v>
      </c>
      <c r="D1352" t="s">
        <v>79</v>
      </c>
      <c r="E1352" t="s">
        <v>44</v>
      </c>
      <c r="F1352" t="s">
        <v>39</v>
      </c>
      <c r="G1352" t="s">
        <v>80</v>
      </c>
      <c r="H1352" t="s">
        <v>62</v>
      </c>
      <c r="I1352" t="s">
        <v>57</v>
      </c>
      <c r="J1352" t="s">
        <v>3736</v>
      </c>
      <c r="L1352">
        <v>4.7</v>
      </c>
      <c r="M1352">
        <v>92000</v>
      </c>
      <c r="N1352">
        <v>2.1</v>
      </c>
      <c r="P1352" t="s">
        <v>26</v>
      </c>
    </row>
    <row r="1353" spans="1:16" x14ac:dyDescent="0.25">
      <c r="A1353" t="s">
        <v>3737</v>
      </c>
      <c r="B1353" t="s">
        <v>3738</v>
      </c>
      <c r="C1353" t="s">
        <v>29</v>
      </c>
      <c r="D1353" t="s">
        <v>43</v>
      </c>
      <c r="E1353" t="s">
        <v>44</v>
      </c>
      <c r="F1353" t="s">
        <v>21</v>
      </c>
      <c r="G1353" t="s">
        <v>69</v>
      </c>
      <c r="I1353" t="s">
        <v>57</v>
      </c>
      <c r="J1353" t="s">
        <v>2863</v>
      </c>
      <c r="L1353">
        <v>5.8</v>
      </c>
      <c r="M1353">
        <v>640000</v>
      </c>
      <c r="N1353">
        <v>4.9000000000000004</v>
      </c>
      <c r="P1353" t="s">
        <v>26</v>
      </c>
    </row>
    <row r="1354" spans="1:16" x14ac:dyDescent="0.25">
      <c r="A1354" t="s">
        <v>3739</v>
      </c>
      <c r="B1354" t="s">
        <v>3041</v>
      </c>
      <c r="C1354" t="s">
        <v>18</v>
      </c>
      <c r="D1354" t="s">
        <v>50</v>
      </c>
      <c r="E1354" t="s">
        <v>20</v>
      </c>
      <c r="F1354" t="s">
        <v>32</v>
      </c>
      <c r="G1354" t="s">
        <v>69</v>
      </c>
      <c r="H1354" t="s">
        <v>23</v>
      </c>
      <c r="I1354" t="s">
        <v>24</v>
      </c>
      <c r="J1354" t="s">
        <v>3740</v>
      </c>
      <c r="L1354">
        <v>3.3</v>
      </c>
      <c r="M1354">
        <v>236000</v>
      </c>
      <c r="N1354">
        <v>4.2</v>
      </c>
      <c r="O1354">
        <v>6</v>
      </c>
      <c r="P1354" t="s">
        <v>26</v>
      </c>
    </row>
    <row r="1355" spans="1:16" x14ac:dyDescent="0.25">
      <c r="A1355" t="s">
        <v>3741</v>
      </c>
      <c r="B1355" t="s">
        <v>3742</v>
      </c>
      <c r="C1355" t="s">
        <v>29</v>
      </c>
      <c r="D1355" t="s">
        <v>79</v>
      </c>
      <c r="E1355" t="s">
        <v>44</v>
      </c>
      <c r="F1355" t="s">
        <v>32</v>
      </c>
      <c r="G1355" t="s">
        <v>22</v>
      </c>
      <c r="H1355" t="s">
        <v>62</v>
      </c>
      <c r="I1355" t="s">
        <v>24</v>
      </c>
      <c r="J1355" t="s">
        <v>3073</v>
      </c>
      <c r="K1355" t="s">
        <v>2216</v>
      </c>
      <c r="L1355">
        <v>3.6</v>
      </c>
      <c r="M1355">
        <v>343000</v>
      </c>
      <c r="N1355">
        <v>2.2999999999999998</v>
      </c>
      <c r="O1355">
        <v>10</v>
      </c>
      <c r="P1355" t="s">
        <v>53</v>
      </c>
    </row>
    <row r="1356" spans="1:16" x14ac:dyDescent="0.25">
      <c r="A1356" t="s">
        <v>3743</v>
      </c>
      <c r="B1356" t="s">
        <v>2883</v>
      </c>
      <c r="C1356" t="s">
        <v>18</v>
      </c>
      <c r="D1356" t="s">
        <v>30</v>
      </c>
      <c r="E1356" t="s">
        <v>20</v>
      </c>
      <c r="F1356" t="s">
        <v>39</v>
      </c>
      <c r="G1356" t="s">
        <v>22</v>
      </c>
      <c r="H1356" t="s">
        <v>23</v>
      </c>
      <c r="I1356" t="s">
        <v>24</v>
      </c>
      <c r="J1356" t="s">
        <v>1260</v>
      </c>
      <c r="L1356">
        <v>2.2000000000000002</v>
      </c>
      <c r="M1356">
        <v>112000</v>
      </c>
      <c r="N1356">
        <v>1.9</v>
      </c>
      <c r="O1356">
        <v>17</v>
      </c>
      <c r="P1356" t="s">
        <v>26</v>
      </c>
    </row>
    <row r="1357" spans="1:16" x14ac:dyDescent="0.25">
      <c r="A1357" t="s">
        <v>3744</v>
      </c>
      <c r="B1357" t="s">
        <v>1950</v>
      </c>
      <c r="C1357" t="s">
        <v>29</v>
      </c>
      <c r="E1357" t="s">
        <v>20</v>
      </c>
      <c r="F1357" t="s">
        <v>39</v>
      </c>
      <c r="G1357" t="s">
        <v>22</v>
      </c>
      <c r="H1357" t="s">
        <v>34</v>
      </c>
      <c r="I1357" t="s">
        <v>24</v>
      </c>
      <c r="J1357" t="s">
        <v>3745</v>
      </c>
      <c r="L1357">
        <v>2.2999999999999998</v>
      </c>
      <c r="M1357">
        <v>109000</v>
      </c>
      <c r="N1357">
        <v>3.4</v>
      </c>
      <c r="O1357">
        <v>12</v>
      </c>
      <c r="P1357" t="s">
        <v>26</v>
      </c>
    </row>
    <row r="1358" spans="1:16" x14ac:dyDescent="0.25">
      <c r="A1358" t="s">
        <v>3746</v>
      </c>
      <c r="B1358" t="s">
        <v>3747</v>
      </c>
      <c r="C1358" t="s">
        <v>18</v>
      </c>
      <c r="D1358" t="s">
        <v>43</v>
      </c>
      <c r="E1358" t="s">
        <v>44</v>
      </c>
      <c r="F1358" t="s">
        <v>45</v>
      </c>
      <c r="G1358" t="s">
        <v>22</v>
      </c>
      <c r="H1358" t="s">
        <v>34</v>
      </c>
      <c r="I1358" t="s">
        <v>57</v>
      </c>
      <c r="J1358" t="s">
        <v>3748</v>
      </c>
      <c r="L1358">
        <v>2.1</v>
      </c>
      <c r="M1358">
        <v>1472000</v>
      </c>
      <c r="N1358">
        <v>4.8</v>
      </c>
      <c r="O1358">
        <v>13</v>
      </c>
      <c r="P1358" t="s">
        <v>26</v>
      </c>
    </row>
    <row r="1359" spans="1:16" x14ac:dyDescent="0.25">
      <c r="A1359" t="s">
        <v>3749</v>
      </c>
      <c r="B1359" t="s">
        <v>1569</v>
      </c>
      <c r="C1359" t="s">
        <v>18</v>
      </c>
      <c r="D1359" t="s">
        <v>43</v>
      </c>
      <c r="E1359" t="s">
        <v>44</v>
      </c>
      <c r="F1359" t="s">
        <v>32</v>
      </c>
      <c r="G1359" t="s">
        <v>22</v>
      </c>
      <c r="H1359" t="s">
        <v>23</v>
      </c>
      <c r="I1359" t="s">
        <v>24</v>
      </c>
      <c r="J1359" t="s">
        <v>2843</v>
      </c>
      <c r="L1359">
        <v>2.9</v>
      </c>
      <c r="M1359">
        <v>292000</v>
      </c>
      <c r="N1359">
        <v>4.3</v>
      </c>
      <c r="O1359">
        <v>0</v>
      </c>
      <c r="P1359" t="s">
        <v>26</v>
      </c>
    </row>
    <row r="1360" spans="1:16" x14ac:dyDescent="0.25">
      <c r="A1360" t="s">
        <v>3750</v>
      </c>
      <c r="B1360" t="s">
        <v>3715</v>
      </c>
      <c r="C1360" t="s">
        <v>18</v>
      </c>
      <c r="D1360" t="s">
        <v>19</v>
      </c>
      <c r="E1360" t="s">
        <v>44</v>
      </c>
      <c r="F1360" t="s">
        <v>32</v>
      </c>
      <c r="G1360" t="s">
        <v>33</v>
      </c>
      <c r="H1360" t="s">
        <v>34</v>
      </c>
      <c r="I1360" t="s">
        <v>57</v>
      </c>
      <c r="J1360" t="s">
        <v>3590</v>
      </c>
      <c r="K1360" t="s">
        <v>943</v>
      </c>
      <c r="L1360">
        <v>6</v>
      </c>
      <c r="M1360">
        <v>225000</v>
      </c>
      <c r="N1360">
        <v>4.9000000000000004</v>
      </c>
      <c r="O1360">
        <v>14</v>
      </c>
      <c r="P1360" t="s">
        <v>53</v>
      </c>
    </row>
    <row r="1361" spans="1:16" x14ac:dyDescent="0.25">
      <c r="A1361" t="s">
        <v>3751</v>
      </c>
      <c r="B1361" t="s">
        <v>3752</v>
      </c>
      <c r="C1361" t="s">
        <v>18</v>
      </c>
      <c r="D1361" t="s">
        <v>50</v>
      </c>
      <c r="E1361" t="s">
        <v>44</v>
      </c>
      <c r="G1361" t="s">
        <v>69</v>
      </c>
      <c r="H1361" t="s">
        <v>23</v>
      </c>
      <c r="I1361" t="s">
        <v>24</v>
      </c>
      <c r="J1361" t="s">
        <v>238</v>
      </c>
      <c r="L1361">
        <v>2.1</v>
      </c>
      <c r="M1361">
        <v>170000</v>
      </c>
      <c r="N1361">
        <v>4.0999999999999996</v>
      </c>
      <c r="O1361">
        <v>7</v>
      </c>
      <c r="P1361" t="s">
        <v>26</v>
      </c>
    </row>
    <row r="1362" spans="1:16" x14ac:dyDescent="0.25">
      <c r="A1362" t="s">
        <v>3753</v>
      </c>
      <c r="B1362" t="s">
        <v>3408</v>
      </c>
      <c r="C1362" t="s">
        <v>18</v>
      </c>
      <c r="D1362" t="s">
        <v>30</v>
      </c>
      <c r="E1362" t="s">
        <v>31</v>
      </c>
      <c r="F1362" t="s">
        <v>21</v>
      </c>
      <c r="G1362" t="s">
        <v>33</v>
      </c>
      <c r="H1362" t="s">
        <v>23</v>
      </c>
      <c r="I1362" t="s">
        <v>24</v>
      </c>
      <c r="J1362" t="s">
        <v>3754</v>
      </c>
      <c r="L1362">
        <v>2.6</v>
      </c>
      <c r="M1362">
        <v>948000</v>
      </c>
      <c r="N1362">
        <v>3.1</v>
      </c>
      <c r="O1362">
        <v>3</v>
      </c>
      <c r="P1362" t="s">
        <v>26</v>
      </c>
    </row>
    <row r="1363" spans="1:16" x14ac:dyDescent="0.25">
      <c r="A1363" t="s">
        <v>3755</v>
      </c>
      <c r="B1363" t="s">
        <v>2349</v>
      </c>
      <c r="C1363" t="s">
        <v>29</v>
      </c>
      <c r="D1363" t="s">
        <v>30</v>
      </c>
      <c r="E1363" t="s">
        <v>20</v>
      </c>
      <c r="F1363" t="s">
        <v>32</v>
      </c>
      <c r="G1363" t="s">
        <v>22</v>
      </c>
      <c r="H1363" t="s">
        <v>46</v>
      </c>
      <c r="I1363" t="s">
        <v>24</v>
      </c>
      <c r="J1363" t="s">
        <v>2094</v>
      </c>
      <c r="K1363" t="s">
        <v>638</v>
      </c>
      <c r="L1363">
        <v>4.4000000000000004</v>
      </c>
      <c r="M1363">
        <v>341000</v>
      </c>
      <c r="N1363">
        <v>2.5</v>
      </c>
      <c r="O1363">
        <v>3</v>
      </c>
      <c r="P1363" t="s">
        <v>53</v>
      </c>
    </row>
    <row r="1364" spans="1:16" x14ac:dyDescent="0.25">
      <c r="A1364" t="s">
        <v>3756</v>
      </c>
      <c r="B1364" t="s">
        <v>3757</v>
      </c>
      <c r="C1364" t="s">
        <v>18</v>
      </c>
      <c r="D1364" t="s">
        <v>79</v>
      </c>
      <c r="E1364" t="s">
        <v>20</v>
      </c>
      <c r="F1364" t="s">
        <v>32</v>
      </c>
      <c r="G1364" t="s">
        <v>33</v>
      </c>
      <c r="H1364" t="s">
        <v>62</v>
      </c>
      <c r="I1364" t="s">
        <v>57</v>
      </c>
      <c r="J1364" t="s">
        <v>3758</v>
      </c>
      <c r="L1364">
        <v>2.8</v>
      </c>
      <c r="M1364">
        <v>205000</v>
      </c>
      <c r="N1364">
        <v>2.8</v>
      </c>
      <c r="O1364">
        <v>6</v>
      </c>
      <c r="P1364" t="s">
        <v>26</v>
      </c>
    </row>
    <row r="1365" spans="1:16" x14ac:dyDescent="0.25">
      <c r="A1365" t="s">
        <v>3759</v>
      </c>
      <c r="B1365" t="s">
        <v>3760</v>
      </c>
      <c r="C1365" t="s">
        <v>29</v>
      </c>
      <c r="D1365" t="s">
        <v>19</v>
      </c>
      <c r="E1365" t="s">
        <v>31</v>
      </c>
      <c r="F1365" t="s">
        <v>21</v>
      </c>
      <c r="G1365" t="s">
        <v>22</v>
      </c>
      <c r="H1365" t="s">
        <v>23</v>
      </c>
      <c r="I1365" t="s">
        <v>57</v>
      </c>
      <c r="J1365" t="s">
        <v>428</v>
      </c>
      <c r="L1365">
        <v>3.1</v>
      </c>
      <c r="M1365">
        <v>964000</v>
      </c>
      <c r="N1365">
        <v>3.1</v>
      </c>
      <c r="O1365">
        <v>7</v>
      </c>
      <c r="P1365" t="s">
        <v>26</v>
      </c>
    </row>
    <row r="1366" spans="1:16" x14ac:dyDescent="0.25">
      <c r="A1366" t="s">
        <v>3761</v>
      </c>
      <c r="B1366" t="s">
        <v>271</v>
      </c>
      <c r="C1366" t="s">
        <v>29</v>
      </c>
      <c r="D1366" t="s">
        <v>50</v>
      </c>
      <c r="E1366" t="s">
        <v>31</v>
      </c>
      <c r="F1366" t="s">
        <v>32</v>
      </c>
      <c r="G1366" t="s">
        <v>22</v>
      </c>
      <c r="H1366" t="s">
        <v>46</v>
      </c>
      <c r="I1366" t="s">
        <v>24</v>
      </c>
      <c r="J1366" t="s">
        <v>970</v>
      </c>
      <c r="K1366" t="s">
        <v>3762</v>
      </c>
      <c r="L1366">
        <v>1.4</v>
      </c>
      <c r="M1366">
        <v>305000</v>
      </c>
      <c r="N1366">
        <v>4.8</v>
      </c>
      <c r="O1366">
        <v>3</v>
      </c>
      <c r="P1366" t="s">
        <v>53</v>
      </c>
    </row>
    <row r="1367" spans="1:16" x14ac:dyDescent="0.25">
      <c r="A1367" t="s">
        <v>3763</v>
      </c>
      <c r="B1367" t="s">
        <v>3614</v>
      </c>
      <c r="C1367" t="s">
        <v>18</v>
      </c>
      <c r="D1367" t="s">
        <v>43</v>
      </c>
      <c r="E1367" t="s">
        <v>20</v>
      </c>
      <c r="F1367" t="s">
        <v>39</v>
      </c>
      <c r="G1367" t="s">
        <v>22</v>
      </c>
      <c r="H1367" t="s">
        <v>46</v>
      </c>
      <c r="I1367" t="s">
        <v>24</v>
      </c>
      <c r="J1367" t="s">
        <v>3764</v>
      </c>
      <c r="L1367">
        <v>4.7</v>
      </c>
      <c r="M1367">
        <v>150000</v>
      </c>
      <c r="N1367">
        <v>2.2999999999999998</v>
      </c>
      <c r="O1367">
        <v>11</v>
      </c>
      <c r="P1367" t="s">
        <v>26</v>
      </c>
    </row>
    <row r="1368" spans="1:16" x14ac:dyDescent="0.25">
      <c r="A1368" t="s">
        <v>3765</v>
      </c>
      <c r="B1368" t="s">
        <v>3059</v>
      </c>
      <c r="C1368" t="s">
        <v>18</v>
      </c>
      <c r="D1368" t="s">
        <v>79</v>
      </c>
      <c r="E1368" t="s">
        <v>44</v>
      </c>
      <c r="F1368" t="s">
        <v>32</v>
      </c>
      <c r="G1368" t="s">
        <v>33</v>
      </c>
      <c r="H1368" t="s">
        <v>23</v>
      </c>
      <c r="I1368" t="s">
        <v>35</v>
      </c>
      <c r="J1368" t="s">
        <v>103</v>
      </c>
      <c r="L1368">
        <v>2.2999999999999998</v>
      </c>
      <c r="M1368">
        <v>256000</v>
      </c>
      <c r="N1368">
        <v>2.5</v>
      </c>
      <c r="O1368">
        <v>13</v>
      </c>
      <c r="P1368" t="s">
        <v>26</v>
      </c>
    </row>
    <row r="1369" spans="1:16" x14ac:dyDescent="0.25">
      <c r="A1369" t="s">
        <v>3766</v>
      </c>
      <c r="B1369" t="s">
        <v>3767</v>
      </c>
      <c r="C1369" t="s">
        <v>18</v>
      </c>
      <c r="D1369" t="s">
        <v>43</v>
      </c>
      <c r="E1369" t="s">
        <v>20</v>
      </c>
      <c r="F1369" t="s">
        <v>21</v>
      </c>
      <c r="G1369" t="s">
        <v>69</v>
      </c>
      <c r="H1369" t="s">
        <v>34</v>
      </c>
      <c r="I1369" t="s">
        <v>75</v>
      </c>
      <c r="J1369" t="s">
        <v>3768</v>
      </c>
      <c r="L1369">
        <v>5.7</v>
      </c>
      <c r="M1369">
        <v>731000</v>
      </c>
      <c r="N1369">
        <v>4.2</v>
      </c>
      <c r="O1369">
        <v>0</v>
      </c>
      <c r="P1369" t="s">
        <v>26</v>
      </c>
    </row>
    <row r="1370" spans="1:16" x14ac:dyDescent="0.25">
      <c r="A1370" t="s">
        <v>3769</v>
      </c>
      <c r="B1370" t="s">
        <v>3770</v>
      </c>
      <c r="C1370" t="s">
        <v>18</v>
      </c>
      <c r="D1370" t="s">
        <v>43</v>
      </c>
      <c r="E1370" t="s">
        <v>20</v>
      </c>
      <c r="F1370" t="s">
        <v>128</v>
      </c>
      <c r="G1370" t="s">
        <v>33</v>
      </c>
      <c r="H1370" t="s">
        <v>34</v>
      </c>
      <c r="I1370" t="s">
        <v>35</v>
      </c>
      <c r="J1370" t="s">
        <v>3771</v>
      </c>
      <c r="L1370">
        <v>6.2</v>
      </c>
      <c r="M1370">
        <v>463000</v>
      </c>
      <c r="N1370">
        <v>2.6</v>
      </c>
      <c r="O1370">
        <v>3</v>
      </c>
      <c r="P1370" t="s">
        <v>26</v>
      </c>
    </row>
    <row r="1371" spans="1:16" x14ac:dyDescent="0.25">
      <c r="A1371" t="s">
        <v>3772</v>
      </c>
      <c r="B1371" t="s">
        <v>3773</v>
      </c>
      <c r="C1371" t="s">
        <v>29</v>
      </c>
      <c r="D1371" t="s">
        <v>30</v>
      </c>
      <c r="E1371" t="s">
        <v>20</v>
      </c>
      <c r="F1371" t="s">
        <v>39</v>
      </c>
      <c r="G1371" t="s">
        <v>22</v>
      </c>
      <c r="H1371" t="s">
        <v>34</v>
      </c>
      <c r="I1371" t="s">
        <v>75</v>
      </c>
      <c r="J1371" t="s">
        <v>1062</v>
      </c>
      <c r="K1371" t="s">
        <v>3774</v>
      </c>
      <c r="L1371">
        <v>3.2</v>
      </c>
      <c r="M1371">
        <v>126000</v>
      </c>
      <c r="N1371">
        <v>3.3</v>
      </c>
      <c r="O1371">
        <v>12</v>
      </c>
      <c r="P1371" t="s">
        <v>53</v>
      </c>
    </row>
    <row r="1372" spans="1:16" x14ac:dyDescent="0.25">
      <c r="A1372" t="s">
        <v>3775</v>
      </c>
      <c r="B1372" t="s">
        <v>3776</v>
      </c>
      <c r="C1372" t="s">
        <v>18</v>
      </c>
      <c r="D1372" t="s">
        <v>2782</v>
      </c>
      <c r="E1372" t="s">
        <v>20</v>
      </c>
      <c r="F1372" t="s">
        <v>32</v>
      </c>
      <c r="G1372" t="s">
        <v>22</v>
      </c>
      <c r="H1372" t="s">
        <v>34</v>
      </c>
      <c r="I1372" t="s">
        <v>75</v>
      </c>
      <c r="J1372" t="s">
        <v>1554</v>
      </c>
      <c r="K1372" t="s">
        <v>3777</v>
      </c>
      <c r="L1372">
        <v>3.2</v>
      </c>
      <c r="M1372">
        <v>222000</v>
      </c>
      <c r="N1372">
        <v>2.2999999999999998</v>
      </c>
      <c r="O1372">
        <v>8</v>
      </c>
      <c r="P1372" t="s">
        <v>72</v>
      </c>
    </row>
    <row r="1373" spans="1:16" x14ac:dyDescent="0.25">
      <c r="A1373" t="s">
        <v>3778</v>
      </c>
      <c r="B1373" t="s">
        <v>1521</v>
      </c>
      <c r="C1373" t="s">
        <v>18</v>
      </c>
      <c r="D1373" t="s">
        <v>30</v>
      </c>
      <c r="E1373" t="s">
        <v>20</v>
      </c>
      <c r="F1373" t="s">
        <v>21</v>
      </c>
      <c r="G1373" t="s">
        <v>69</v>
      </c>
      <c r="H1373" t="s">
        <v>34</v>
      </c>
      <c r="I1373" t="s">
        <v>35</v>
      </c>
      <c r="J1373" t="s">
        <v>3302</v>
      </c>
      <c r="K1373" t="s">
        <v>2740</v>
      </c>
      <c r="L1373">
        <v>4.9000000000000004</v>
      </c>
      <c r="M1373">
        <v>843000</v>
      </c>
      <c r="N1373">
        <v>4.4000000000000004</v>
      </c>
      <c r="O1373">
        <v>3</v>
      </c>
      <c r="P1373" t="s">
        <v>53</v>
      </c>
    </row>
    <row r="1374" spans="1:16" x14ac:dyDescent="0.25">
      <c r="A1374" t="s">
        <v>3779</v>
      </c>
      <c r="B1374" t="s">
        <v>2621</v>
      </c>
      <c r="C1374" t="s">
        <v>18</v>
      </c>
      <c r="D1374" t="s">
        <v>79</v>
      </c>
      <c r="E1374" t="s">
        <v>20</v>
      </c>
      <c r="F1374" t="s">
        <v>21</v>
      </c>
      <c r="G1374" t="s">
        <v>22</v>
      </c>
      <c r="H1374" t="s">
        <v>23</v>
      </c>
      <c r="I1374" t="s">
        <v>57</v>
      </c>
      <c r="J1374" t="s">
        <v>1967</v>
      </c>
      <c r="L1374">
        <v>5.9</v>
      </c>
      <c r="M1374">
        <v>727000</v>
      </c>
      <c r="N1374">
        <v>3.6</v>
      </c>
      <c r="O1374">
        <v>6</v>
      </c>
      <c r="P1374" t="s">
        <v>26</v>
      </c>
    </row>
    <row r="1375" spans="1:16" x14ac:dyDescent="0.25">
      <c r="A1375" t="s">
        <v>3780</v>
      </c>
      <c r="B1375" t="s">
        <v>3781</v>
      </c>
      <c r="C1375" t="s">
        <v>18</v>
      </c>
      <c r="E1375" t="s">
        <v>20</v>
      </c>
      <c r="F1375" t="s">
        <v>32</v>
      </c>
      <c r="G1375" t="s">
        <v>22</v>
      </c>
      <c r="H1375" t="s">
        <v>46</v>
      </c>
      <c r="I1375" t="s">
        <v>24</v>
      </c>
      <c r="J1375" t="s">
        <v>3782</v>
      </c>
      <c r="L1375">
        <v>1.4</v>
      </c>
      <c r="M1375">
        <v>322000</v>
      </c>
      <c r="N1375">
        <v>5</v>
      </c>
      <c r="O1375">
        <v>8</v>
      </c>
      <c r="P1375" t="s">
        <v>26</v>
      </c>
    </row>
    <row r="1376" spans="1:16" x14ac:dyDescent="0.25">
      <c r="A1376" t="s">
        <v>3783</v>
      </c>
      <c r="B1376" t="s">
        <v>3784</v>
      </c>
      <c r="C1376" t="s">
        <v>18</v>
      </c>
      <c r="D1376" t="s">
        <v>19</v>
      </c>
      <c r="F1376" t="s">
        <v>39</v>
      </c>
      <c r="G1376" t="s">
        <v>33</v>
      </c>
      <c r="H1376" t="s">
        <v>46</v>
      </c>
      <c r="I1376" t="s">
        <v>75</v>
      </c>
      <c r="J1376" t="s">
        <v>3785</v>
      </c>
      <c r="L1376">
        <v>5.4</v>
      </c>
      <c r="M1376">
        <v>125000</v>
      </c>
      <c r="O1376">
        <v>0</v>
      </c>
      <c r="P1376" t="s">
        <v>26</v>
      </c>
    </row>
    <row r="1377" spans="1:16" x14ac:dyDescent="0.25">
      <c r="A1377" t="s">
        <v>3786</v>
      </c>
      <c r="B1377" t="s">
        <v>3787</v>
      </c>
      <c r="C1377" t="s">
        <v>18</v>
      </c>
      <c r="D1377" t="s">
        <v>79</v>
      </c>
      <c r="F1377" t="s">
        <v>128</v>
      </c>
      <c r="G1377" t="s">
        <v>22</v>
      </c>
      <c r="H1377" t="s">
        <v>62</v>
      </c>
      <c r="I1377" t="s">
        <v>35</v>
      </c>
      <c r="J1377" t="s">
        <v>1309</v>
      </c>
      <c r="L1377">
        <v>3.5</v>
      </c>
      <c r="M1377">
        <v>489000</v>
      </c>
      <c r="N1377">
        <v>2.1</v>
      </c>
      <c r="O1377">
        <v>8</v>
      </c>
      <c r="P1377" t="s">
        <v>26</v>
      </c>
    </row>
    <row r="1378" spans="1:16" x14ac:dyDescent="0.25">
      <c r="A1378" t="s">
        <v>3788</v>
      </c>
      <c r="B1378" t="s">
        <v>2852</v>
      </c>
      <c r="C1378" t="s">
        <v>18</v>
      </c>
      <c r="D1378" t="s">
        <v>50</v>
      </c>
      <c r="E1378" t="s">
        <v>20</v>
      </c>
      <c r="F1378" t="s">
        <v>128</v>
      </c>
      <c r="G1378" t="s">
        <v>33</v>
      </c>
      <c r="H1378" t="s">
        <v>23</v>
      </c>
      <c r="I1378" t="s">
        <v>24</v>
      </c>
      <c r="J1378" t="s">
        <v>472</v>
      </c>
      <c r="K1378" t="s">
        <v>1243</v>
      </c>
      <c r="L1378">
        <v>5.3</v>
      </c>
      <c r="M1378">
        <v>425000</v>
      </c>
      <c r="N1378">
        <v>3.8</v>
      </c>
      <c r="O1378">
        <v>1</v>
      </c>
      <c r="P1378" t="s">
        <v>53</v>
      </c>
    </row>
    <row r="1379" spans="1:16" x14ac:dyDescent="0.25">
      <c r="A1379" t="s">
        <v>3789</v>
      </c>
      <c r="B1379" t="s">
        <v>3787</v>
      </c>
      <c r="C1379" t="s">
        <v>252</v>
      </c>
      <c r="D1379" t="s">
        <v>79</v>
      </c>
      <c r="E1379" t="s">
        <v>44</v>
      </c>
      <c r="F1379" t="s">
        <v>45</v>
      </c>
      <c r="G1379" t="s">
        <v>33</v>
      </c>
      <c r="H1379" t="s">
        <v>23</v>
      </c>
      <c r="I1379" t="s">
        <v>57</v>
      </c>
      <c r="J1379" t="s">
        <v>3062</v>
      </c>
      <c r="L1379">
        <v>2.2999999999999998</v>
      </c>
      <c r="M1379">
        <v>1310000</v>
      </c>
      <c r="N1379">
        <v>4.2</v>
      </c>
      <c r="O1379">
        <v>1</v>
      </c>
      <c r="P1379" t="s">
        <v>26</v>
      </c>
    </row>
    <row r="1380" spans="1:16" x14ac:dyDescent="0.25">
      <c r="A1380" t="s">
        <v>3790</v>
      </c>
      <c r="B1380" t="s">
        <v>3791</v>
      </c>
      <c r="C1380" t="s">
        <v>29</v>
      </c>
      <c r="D1380" t="s">
        <v>30</v>
      </c>
      <c r="E1380" t="s">
        <v>31</v>
      </c>
      <c r="F1380" t="s">
        <v>39</v>
      </c>
      <c r="G1380" t="s">
        <v>22</v>
      </c>
      <c r="H1380" t="s">
        <v>23</v>
      </c>
      <c r="I1380" t="s">
        <v>171</v>
      </c>
      <c r="J1380" t="s">
        <v>3792</v>
      </c>
      <c r="L1380">
        <v>3.2</v>
      </c>
      <c r="M1380">
        <v>118000</v>
      </c>
      <c r="N1380">
        <v>2.9</v>
      </c>
      <c r="O1380">
        <v>0</v>
      </c>
      <c r="P1380" t="s">
        <v>26</v>
      </c>
    </row>
    <row r="1381" spans="1:16" x14ac:dyDescent="0.25">
      <c r="A1381" t="s">
        <v>3793</v>
      </c>
      <c r="B1381" t="s">
        <v>3794</v>
      </c>
      <c r="C1381" t="s">
        <v>18</v>
      </c>
      <c r="D1381" t="s">
        <v>19</v>
      </c>
      <c r="E1381" t="s">
        <v>20</v>
      </c>
      <c r="F1381" t="s">
        <v>21</v>
      </c>
      <c r="G1381" t="s">
        <v>33</v>
      </c>
      <c r="H1381" t="s">
        <v>23</v>
      </c>
      <c r="I1381" t="s">
        <v>171</v>
      </c>
      <c r="J1381" t="s">
        <v>658</v>
      </c>
      <c r="L1381">
        <v>5.7</v>
      </c>
      <c r="M1381">
        <v>929000</v>
      </c>
      <c r="N1381">
        <v>3.8</v>
      </c>
      <c r="O1381">
        <v>0</v>
      </c>
      <c r="P1381" t="s">
        <v>26</v>
      </c>
    </row>
    <row r="1382" spans="1:16" x14ac:dyDescent="0.25">
      <c r="A1382" t="s">
        <v>3795</v>
      </c>
      <c r="B1382" t="s">
        <v>2165</v>
      </c>
      <c r="D1382" t="s">
        <v>19</v>
      </c>
      <c r="E1382" t="s">
        <v>31</v>
      </c>
      <c r="F1382" t="s">
        <v>32</v>
      </c>
      <c r="G1382" t="s">
        <v>22</v>
      </c>
      <c r="I1382" t="s">
        <v>57</v>
      </c>
      <c r="J1382" t="s">
        <v>442</v>
      </c>
      <c r="K1382" t="s">
        <v>3796</v>
      </c>
      <c r="L1382">
        <v>1.6</v>
      </c>
      <c r="M1382">
        <v>359000</v>
      </c>
      <c r="N1382">
        <v>3.4</v>
      </c>
      <c r="O1382">
        <v>3</v>
      </c>
      <c r="P1382" t="s">
        <v>53</v>
      </c>
    </row>
    <row r="1383" spans="1:16" x14ac:dyDescent="0.25">
      <c r="A1383" t="s">
        <v>3797</v>
      </c>
      <c r="B1383" t="s">
        <v>3798</v>
      </c>
      <c r="C1383" t="s">
        <v>18</v>
      </c>
      <c r="D1383" t="s">
        <v>43</v>
      </c>
      <c r="E1383" t="s">
        <v>20</v>
      </c>
      <c r="F1383" t="s">
        <v>128</v>
      </c>
      <c r="G1383" t="s">
        <v>80</v>
      </c>
      <c r="H1383" t="s">
        <v>34</v>
      </c>
      <c r="I1383" t="s">
        <v>57</v>
      </c>
      <c r="J1383" t="s">
        <v>2609</v>
      </c>
      <c r="L1383">
        <v>3.7</v>
      </c>
      <c r="M1383">
        <v>350000</v>
      </c>
      <c r="N1383">
        <v>3.8</v>
      </c>
      <c r="P1383" t="s">
        <v>26</v>
      </c>
    </row>
    <row r="1384" spans="1:16" x14ac:dyDescent="0.25">
      <c r="A1384" t="s">
        <v>3799</v>
      </c>
      <c r="B1384" t="s">
        <v>3800</v>
      </c>
      <c r="C1384" t="s">
        <v>29</v>
      </c>
      <c r="D1384" t="s">
        <v>79</v>
      </c>
      <c r="F1384" t="s">
        <v>21</v>
      </c>
      <c r="G1384" t="s">
        <v>80</v>
      </c>
      <c r="H1384" t="s">
        <v>23</v>
      </c>
      <c r="I1384" t="s">
        <v>57</v>
      </c>
      <c r="J1384" t="s">
        <v>3801</v>
      </c>
      <c r="L1384">
        <v>2.9</v>
      </c>
      <c r="M1384">
        <v>756000</v>
      </c>
      <c r="N1384">
        <v>3.4</v>
      </c>
      <c r="O1384">
        <v>1</v>
      </c>
      <c r="P1384" t="s">
        <v>26</v>
      </c>
    </row>
    <row r="1385" spans="1:16" x14ac:dyDescent="0.25">
      <c r="A1385" t="s">
        <v>3802</v>
      </c>
      <c r="B1385" t="s">
        <v>2053</v>
      </c>
      <c r="C1385" t="s">
        <v>18</v>
      </c>
      <c r="D1385" t="s">
        <v>30</v>
      </c>
      <c r="E1385" t="s">
        <v>20</v>
      </c>
      <c r="F1385" t="s">
        <v>39</v>
      </c>
      <c r="G1385" t="s">
        <v>80</v>
      </c>
      <c r="H1385" t="s">
        <v>23</v>
      </c>
      <c r="I1385" t="s">
        <v>75</v>
      </c>
      <c r="J1385" t="s">
        <v>3238</v>
      </c>
      <c r="L1385">
        <v>1.6</v>
      </c>
      <c r="M1385">
        <v>98000</v>
      </c>
      <c r="N1385">
        <v>1.5</v>
      </c>
      <c r="O1385">
        <v>10</v>
      </c>
      <c r="P1385" t="s">
        <v>26</v>
      </c>
    </row>
    <row r="1386" spans="1:16" x14ac:dyDescent="0.25">
      <c r="A1386" t="s">
        <v>3803</v>
      </c>
      <c r="B1386" t="s">
        <v>516</v>
      </c>
      <c r="C1386" t="s">
        <v>18</v>
      </c>
      <c r="D1386" t="s">
        <v>30</v>
      </c>
      <c r="E1386" t="s">
        <v>44</v>
      </c>
      <c r="F1386" t="s">
        <v>128</v>
      </c>
      <c r="G1386" t="s">
        <v>22</v>
      </c>
      <c r="H1386" t="s">
        <v>23</v>
      </c>
      <c r="J1386" t="s">
        <v>3804</v>
      </c>
      <c r="K1386" t="s">
        <v>3805</v>
      </c>
      <c r="L1386">
        <v>1.8</v>
      </c>
      <c r="M1386">
        <v>553000</v>
      </c>
      <c r="N1386">
        <v>4.5999999999999996</v>
      </c>
      <c r="O1386">
        <v>38</v>
      </c>
      <c r="P1386" t="s">
        <v>72</v>
      </c>
    </row>
    <row r="1387" spans="1:16" x14ac:dyDescent="0.25">
      <c r="A1387" t="s">
        <v>3806</v>
      </c>
      <c r="B1387" t="s">
        <v>3106</v>
      </c>
      <c r="C1387" t="s">
        <v>29</v>
      </c>
      <c r="D1387" t="s">
        <v>30</v>
      </c>
      <c r="E1387" t="s">
        <v>20</v>
      </c>
      <c r="F1387" t="s">
        <v>32</v>
      </c>
      <c r="G1387" t="s">
        <v>33</v>
      </c>
      <c r="H1387" t="s">
        <v>34</v>
      </c>
      <c r="I1387" t="s">
        <v>24</v>
      </c>
      <c r="J1387" t="s">
        <v>2211</v>
      </c>
      <c r="L1387">
        <v>3.1</v>
      </c>
      <c r="M1387">
        <v>247000</v>
      </c>
      <c r="N1387">
        <v>1.5</v>
      </c>
      <c r="O1387">
        <v>9</v>
      </c>
      <c r="P1387" t="s">
        <v>26</v>
      </c>
    </row>
    <row r="1388" spans="1:16" x14ac:dyDescent="0.25">
      <c r="A1388" t="s">
        <v>3807</v>
      </c>
      <c r="B1388" t="s">
        <v>3808</v>
      </c>
      <c r="C1388" t="s">
        <v>18</v>
      </c>
      <c r="D1388" t="s">
        <v>79</v>
      </c>
      <c r="E1388" t="s">
        <v>44</v>
      </c>
      <c r="F1388" t="s">
        <v>39</v>
      </c>
      <c r="G1388" t="s">
        <v>80</v>
      </c>
      <c r="H1388" t="s">
        <v>34</v>
      </c>
      <c r="I1388" t="s">
        <v>75</v>
      </c>
      <c r="J1388" t="s">
        <v>3809</v>
      </c>
      <c r="K1388" t="s">
        <v>3804</v>
      </c>
      <c r="L1388">
        <v>4.2</v>
      </c>
      <c r="M1388">
        <v>156000</v>
      </c>
      <c r="N1388">
        <v>4.9000000000000004</v>
      </c>
      <c r="O1388">
        <v>5</v>
      </c>
      <c r="P1388" t="s">
        <v>53</v>
      </c>
    </row>
    <row r="1389" spans="1:16" x14ac:dyDescent="0.25">
      <c r="A1389" t="s">
        <v>3810</v>
      </c>
      <c r="B1389" t="s">
        <v>1374</v>
      </c>
      <c r="C1389" t="s">
        <v>18</v>
      </c>
      <c r="D1389" t="s">
        <v>30</v>
      </c>
      <c r="E1389" t="s">
        <v>20</v>
      </c>
      <c r="F1389" t="s">
        <v>32</v>
      </c>
      <c r="G1389" t="s">
        <v>22</v>
      </c>
      <c r="H1389" t="s">
        <v>46</v>
      </c>
      <c r="I1389" t="s">
        <v>24</v>
      </c>
      <c r="J1389" t="s">
        <v>3097</v>
      </c>
      <c r="L1389">
        <v>4.0999999999999996</v>
      </c>
      <c r="M1389">
        <v>330000</v>
      </c>
      <c r="N1389">
        <v>3.1</v>
      </c>
      <c r="O1389">
        <v>2</v>
      </c>
      <c r="P1389" t="s">
        <v>26</v>
      </c>
    </row>
    <row r="1390" spans="1:16" x14ac:dyDescent="0.25">
      <c r="A1390" t="s">
        <v>3811</v>
      </c>
      <c r="B1390" t="s">
        <v>3812</v>
      </c>
      <c r="C1390" t="s">
        <v>29</v>
      </c>
      <c r="D1390" t="s">
        <v>50</v>
      </c>
      <c r="F1390" t="s">
        <v>32</v>
      </c>
      <c r="G1390" t="s">
        <v>22</v>
      </c>
      <c r="H1390" t="s">
        <v>34</v>
      </c>
      <c r="I1390" t="s">
        <v>75</v>
      </c>
      <c r="J1390" t="s">
        <v>2505</v>
      </c>
      <c r="K1390" t="s">
        <v>3813</v>
      </c>
      <c r="L1390">
        <v>3</v>
      </c>
      <c r="M1390">
        <v>277000</v>
      </c>
      <c r="N1390">
        <v>3.8</v>
      </c>
      <c r="O1390">
        <v>1</v>
      </c>
      <c r="P1390" t="s">
        <v>72</v>
      </c>
    </row>
    <row r="1391" spans="1:16" x14ac:dyDescent="0.25">
      <c r="A1391" t="s">
        <v>3814</v>
      </c>
      <c r="B1391" t="s">
        <v>2707</v>
      </c>
      <c r="C1391" t="s">
        <v>29</v>
      </c>
      <c r="D1391" t="s">
        <v>79</v>
      </c>
      <c r="E1391" t="s">
        <v>31</v>
      </c>
      <c r="F1391" t="s">
        <v>128</v>
      </c>
      <c r="G1391" t="s">
        <v>22</v>
      </c>
      <c r="H1391" t="s">
        <v>23</v>
      </c>
      <c r="I1391" t="s">
        <v>57</v>
      </c>
      <c r="J1391" t="s">
        <v>974</v>
      </c>
      <c r="K1391" t="s">
        <v>125</v>
      </c>
      <c r="L1391">
        <v>1.6</v>
      </c>
      <c r="M1391">
        <v>446000</v>
      </c>
      <c r="N1391">
        <v>3.2</v>
      </c>
      <c r="O1391">
        <v>4</v>
      </c>
      <c r="P1391" t="s">
        <v>114</v>
      </c>
    </row>
    <row r="1392" spans="1:16" x14ac:dyDescent="0.25">
      <c r="A1392" t="s">
        <v>3815</v>
      </c>
      <c r="B1392" t="s">
        <v>3816</v>
      </c>
      <c r="C1392" t="s">
        <v>29</v>
      </c>
      <c r="D1392" t="s">
        <v>50</v>
      </c>
      <c r="E1392" t="s">
        <v>20</v>
      </c>
      <c r="F1392" t="s">
        <v>32</v>
      </c>
      <c r="G1392" t="s">
        <v>22</v>
      </c>
      <c r="I1392" t="s">
        <v>24</v>
      </c>
      <c r="J1392" t="s">
        <v>253</v>
      </c>
      <c r="L1392">
        <v>3.5</v>
      </c>
      <c r="M1392">
        <v>180000</v>
      </c>
      <c r="O1392">
        <v>6</v>
      </c>
      <c r="P1392" t="s">
        <v>26</v>
      </c>
    </row>
    <row r="1393" spans="1:16" x14ac:dyDescent="0.25">
      <c r="A1393" t="s">
        <v>3817</v>
      </c>
      <c r="B1393" t="s">
        <v>2245</v>
      </c>
      <c r="C1393" t="s">
        <v>18</v>
      </c>
      <c r="D1393" t="s">
        <v>50</v>
      </c>
      <c r="E1393" t="s">
        <v>20</v>
      </c>
      <c r="F1393" t="s">
        <v>128</v>
      </c>
      <c r="G1393" t="s">
        <v>69</v>
      </c>
      <c r="H1393" t="s">
        <v>34</v>
      </c>
      <c r="I1393" t="s">
        <v>57</v>
      </c>
      <c r="J1393" t="s">
        <v>830</v>
      </c>
      <c r="K1393" t="s">
        <v>3818</v>
      </c>
      <c r="L1393">
        <v>5.2</v>
      </c>
      <c r="M1393">
        <v>429000</v>
      </c>
      <c r="N1393">
        <v>3.9</v>
      </c>
      <c r="P1393" t="s">
        <v>53</v>
      </c>
    </row>
    <row r="1394" spans="1:16" x14ac:dyDescent="0.25">
      <c r="A1394" t="s">
        <v>3819</v>
      </c>
      <c r="B1394" t="s">
        <v>3820</v>
      </c>
      <c r="C1394" t="s">
        <v>18</v>
      </c>
      <c r="D1394" t="s">
        <v>43</v>
      </c>
      <c r="E1394" t="s">
        <v>20</v>
      </c>
      <c r="F1394" t="s">
        <v>128</v>
      </c>
      <c r="G1394" t="s">
        <v>80</v>
      </c>
      <c r="H1394" t="s">
        <v>46</v>
      </c>
      <c r="I1394" t="s">
        <v>24</v>
      </c>
      <c r="J1394" t="s">
        <v>3821</v>
      </c>
      <c r="L1394">
        <v>4.8</v>
      </c>
      <c r="M1394">
        <v>493000</v>
      </c>
      <c r="N1394">
        <v>5</v>
      </c>
      <c r="O1394">
        <v>9</v>
      </c>
      <c r="P1394" t="s">
        <v>26</v>
      </c>
    </row>
    <row r="1395" spans="1:16" x14ac:dyDescent="0.25">
      <c r="A1395" t="s">
        <v>3822</v>
      </c>
      <c r="B1395" t="s">
        <v>3823</v>
      </c>
      <c r="C1395" t="s">
        <v>29</v>
      </c>
      <c r="D1395" t="s">
        <v>30</v>
      </c>
      <c r="E1395" t="s">
        <v>20</v>
      </c>
      <c r="F1395" t="s">
        <v>32</v>
      </c>
      <c r="G1395" t="s">
        <v>22</v>
      </c>
      <c r="H1395" t="s">
        <v>23</v>
      </c>
      <c r="I1395" t="s">
        <v>171</v>
      </c>
      <c r="J1395" t="s">
        <v>216</v>
      </c>
      <c r="K1395" t="s">
        <v>755</v>
      </c>
      <c r="L1395">
        <v>4.4000000000000004</v>
      </c>
      <c r="M1395">
        <v>320000</v>
      </c>
      <c r="N1395">
        <v>2.2999999999999998</v>
      </c>
      <c r="O1395">
        <v>8</v>
      </c>
      <c r="P1395" t="s">
        <v>72</v>
      </c>
    </row>
    <row r="1396" spans="1:16" x14ac:dyDescent="0.25">
      <c r="A1396" t="s">
        <v>3824</v>
      </c>
      <c r="B1396" t="s">
        <v>3299</v>
      </c>
      <c r="C1396" t="s">
        <v>29</v>
      </c>
      <c r="D1396" t="s">
        <v>79</v>
      </c>
      <c r="E1396" t="s">
        <v>20</v>
      </c>
      <c r="F1396" t="s">
        <v>21</v>
      </c>
      <c r="G1396" t="s">
        <v>33</v>
      </c>
      <c r="H1396" t="s">
        <v>46</v>
      </c>
      <c r="I1396" t="s">
        <v>35</v>
      </c>
      <c r="J1396" t="s">
        <v>3825</v>
      </c>
      <c r="L1396">
        <v>5.6</v>
      </c>
      <c r="M1396">
        <v>783000</v>
      </c>
      <c r="N1396">
        <v>4.7</v>
      </c>
      <c r="O1396">
        <v>14</v>
      </c>
      <c r="P1396" t="s">
        <v>26</v>
      </c>
    </row>
    <row r="1397" spans="1:16" x14ac:dyDescent="0.25">
      <c r="A1397" t="s">
        <v>3826</v>
      </c>
      <c r="B1397" t="s">
        <v>3827</v>
      </c>
      <c r="C1397" t="s">
        <v>18</v>
      </c>
      <c r="D1397" t="s">
        <v>30</v>
      </c>
      <c r="E1397" t="s">
        <v>44</v>
      </c>
      <c r="F1397" t="s">
        <v>32</v>
      </c>
      <c r="G1397" t="s">
        <v>69</v>
      </c>
      <c r="H1397" t="s">
        <v>34</v>
      </c>
      <c r="I1397" t="s">
        <v>171</v>
      </c>
      <c r="J1397" t="s">
        <v>3828</v>
      </c>
      <c r="K1397" t="s">
        <v>3829</v>
      </c>
      <c r="L1397">
        <v>2.7</v>
      </c>
      <c r="M1397">
        <v>344000</v>
      </c>
      <c r="N1397">
        <v>4.0999999999999996</v>
      </c>
      <c r="O1397">
        <v>7</v>
      </c>
      <c r="P1397" t="s">
        <v>53</v>
      </c>
    </row>
    <row r="1398" spans="1:16" x14ac:dyDescent="0.25">
      <c r="A1398" t="s">
        <v>3830</v>
      </c>
      <c r="B1398" t="s">
        <v>3831</v>
      </c>
      <c r="C1398" t="s">
        <v>29</v>
      </c>
      <c r="D1398" t="s">
        <v>30</v>
      </c>
      <c r="E1398" t="s">
        <v>20</v>
      </c>
      <c r="F1398" t="s">
        <v>128</v>
      </c>
      <c r="G1398" t="s">
        <v>80</v>
      </c>
      <c r="H1398" t="s">
        <v>62</v>
      </c>
      <c r="I1398" t="s">
        <v>24</v>
      </c>
      <c r="J1398" t="s">
        <v>3832</v>
      </c>
      <c r="K1398" t="s">
        <v>597</v>
      </c>
      <c r="L1398">
        <v>3</v>
      </c>
      <c r="M1398">
        <v>362000</v>
      </c>
      <c r="N1398">
        <v>3.7</v>
      </c>
      <c r="O1398">
        <v>5</v>
      </c>
      <c r="P1398" t="s">
        <v>53</v>
      </c>
    </row>
    <row r="1399" spans="1:16" x14ac:dyDescent="0.25">
      <c r="A1399" t="s">
        <v>3833</v>
      </c>
      <c r="B1399" t="s">
        <v>3834</v>
      </c>
      <c r="C1399" t="s">
        <v>29</v>
      </c>
      <c r="D1399" t="s">
        <v>79</v>
      </c>
      <c r="E1399" t="s">
        <v>20</v>
      </c>
      <c r="F1399" t="s">
        <v>128</v>
      </c>
      <c r="G1399" t="s">
        <v>22</v>
      </c>
      <c r="H1399" t="s">
        <v>34</v>
      </c>
      <c r="I1399" t="s">
        <v>24</v>
      </c>
      <c r="J1399" t="s">
        <v>3835</v>
      </c>
      <c r="L1399">
        <v>3.1</v>
      </c>
      <c r="M1399">
        <v>545000</v>
      </c>
      <c r="N1399">
        <v>4.4000000000000004</v>
      </c>
      <c r="O1399">
        <v>14</v>
      </c>
      <c r="P1399" t="s">
        <v>26</v>
      </c>
    </row>
    <row r="1400" spans="1:16" x14ac:dyDescent="0.25">
      <c r="A1400" t="s">
        <v>3836</v>
      </c>
      <c r="B1400" t="s">
        <v>1137</v>
      </c>
      <c r="C1400" t="s">
        <v>18</v>
      </c>
      <c r="D1400" t="s">
        <v>79</v>
      </c>
      <c r="E1400" t="s">
        <v>44</v>
      </c>
      <c r="F1400" t="s">
        <v>39</v>
      </c>
      <c r="G1400" t="s">
        <v>33</v>
      </c>
      <c r="H1400" t="s">
        <v>62</v>
      </c>
      <c r="I1400" t="s">
        <v>24</v>
      </c>
      <c r="J1400" t="s">
        <v>3837</v>
      </c>
      <c r="L1400">
        <v>3.6</v>
      </c>
      <c r="M1400">
        <v>90000</v>
      </c>
      <c r="N1400">
        <v>3.4</v>
      </c>
      <c r="O1400">
        <v>18</v>
      </c>
      <c r="P1400" t="s">
        <v>26</v>
      </c>
    </row>
    <row r="1401" spans="1:16" x14ac:dyDescent="0.25">
      <c r="A1401" t="s">
        <v>3838</v>
      </c>
      <c r="B1401" t="s">
        <v>2742</v>
      </c>
      <c r="C1401" t="s">
        <v>18</v>
      </c>
      <c r="D1401" t="s">
        <v>19</v>
      </c>
      <c r="E1401" t="s">
        <v>20</v>
      </c>
      <c r="F1401" t="s">
        <v>39</v>
      </c>
      <c r="G1401" t="s">
        <v>22</v>
      </c>
      <c r="H1401" t="s">
        <v>34</v>
      </c>
      <c r="I1401" t="s">
        <v>57</v>
      </c>
      <c r="J1401" t="s">
        <v>2274</v>
      </c>
      <c r="K1401" t="s">
        <v>981</v>
      </c>
      <c r="L1401">
        <v>5.0999999999999996</v>
      </c>
      <c r="N1401">
        <v>2.8</v>
      </c>
      <c r="O1401">
        <v>3</v>
      </c>
      <c r="P1401" t="s">
        <v>53</v>
      </c>
    </row>
    <row r="1402" spans="1:16" x14ac:dyDescent="0.25">
      <c r="A1402" t="s">
        <v>3839</v>
      </c>
      <c r="B1402" t="s">
        <v>3840</v>
      </c>
      <c r="C1402" t="s">
        <v>29</v>
      </c>
      <c r="D1402" t="s">
        <v>19</v>
      </c>
      <c r="E1402" t="s">
        <v>20</v>
      </c>
      <c r="F1402" t="s">
        <v>39</v>
      </c>
      <c r="G1402" t="s">
        <v>80</v>
      </c>
      <c r="H1402" t="s">
        <v>34</v>
      </c>
      <c r="I1402" t="s">
        <v>57</v>
      </c>
      <c r="J1402" t="s">
        <v>3841</v>
      </c>
      <c r="L1402">
        <v>5.5</v>
      </c>
      <c r="M1402">
        <v>110000</v>
      </c>
      <c r="N1402">
        <v>2.2000000000000002</v>
      </c>
      <c r="O1402">
        <v>15</v>
      </c>
      <c r="P1402" t="s">
        <v>26</v>
      </c>
    </row>
    <row r="1403" spans="1:16" x14ac:dyDescent="0.25">
      <c r="A1403" t="s">
        <v>3842</v>
      </c>
      <c r="B1403" t="s">
        <v>241</v>
      </c>
      <c r="D1403" t="s">
        <v>50</v>
      </c>
      <c r="E1403" t="s">
        <v>20</v>
      </c>
      <c r="F1403" t="s">
        <v>128</v>
      </c>
      <c r="G1403" t="s">
        <v>80</v>
      </c>
      <c r="H1403" t="s">
        <v>34</v>
      </c>
      <c r="I1403" t="s">
        <v>35</v>
      </c>
      <c r="J1403" t="s">
        <v>800</v>
      </c>
      <c r="L1403">
        <v>5.9</v>
      </c>
      <c r="M1403">
        <v>570000</v>
      </c>
      <c r="N1403">
        <v>4.0999999999999996</v>
      </c>
      <c r="O1403">
        <v>7</v>
      </c>
      <c r="P1403" t="s">
        <v>26</v>
      </c>
    </row>
    <row r="1404" spans="1:16" x14ac:dyDescent="0.25">
      <c r="A1404" t="s">
        <v>3843</v>
      </c>
      <c r="B1404" t="s">
        <v>3844</v>
      </c>
      <c r="C1404" t="s">
        <v>18</v>
      </c>
      <c r="D1404" t="s">
        <v>50</v>
      </c>
      <c r="E1404" t="s">
        <v>20</v>
      </c>
      <c r="F1404" t="s">
        <v>128</v>
      </c>
      <c r="G1404" t="s">
        <v>33</v>
      </c>
      <c r="H1404" t="s">
        <v>46</v>
      </c>
      <c r="I1404" t="s">
        <v>75</v>
      </c>
      <c r="J1404" t="s">
        <v>2186</v>
      </c>
      <c r="K1404" t="s">
        <v>118</v>
      </c>
      <c r="L1404">
        <v>3.8</v>
      </c>
      <c r="M1404">
        <v>368000</v>
      </c>
      <c r="N1404">
        <v>4.2</v>
      </c>
      <c r="O1404">
        <v>11</v>
      </c>
      <c r="P1404" t="s">
        <v>53</v>
      </c>
    </row>
    <row r="1405" spans="1:16" x14ac:dyDescent="0.25">
      <c r="A1405" t="s">
        <v>3845</v>
      </c>
      <c r="B1405" t="s">
        <v>2406</v>
      </c>
      <c r="C1405" t="s">
        <v>29</v>
      </c>
      <c r="D1405" t="s">
        <v>19</v>
      </c>
      <c r="E1405" t="s">
        <v>20</v>
      </c>
      <c r="F1405" t="s">
        <v>32</v>
      </c>
      <c r="G1405" t="s">
        <v>22</v>
      </c>
      <c r="H1405" t="s">
        <v>62</v>
      </c>
      <c r="I1405" t="s">
        <v>57</v>
      </c>
      <c r="J1405" t="s">
        <v>1729</v>
      </c>
      <c r="L1405">
        <v>2.1</v>
      </c>
      <c r="M1405">
        <v>211000</v>
      </c>
      <c r="N1405">
        <v>4.5999999999999996</v>
      </c>
      <c r="O1405">
        <v>30</v>
      </c>
      <c r="P1405" t="s">
        <v>26</v>
      </c>
    </row>
    <row r="1406" spans="1:16" x14ac:dyDescent="0.25">
      <c r="A1406" t="s">
        <v>3846</v>
      </c>
      <c r="B1406" t="s">
        <v>3847</v>
      </c>
      <c r="C1406" t="s">
        <v>29</v>
      </c>
      <c r="D1406" t="s">
        <v>50</v>
      </c>
      <c r="E1406" t="s">
        <v>20</v>
      </c>
      <c r="F1406" t="s">
        <v>128</v>
      </c>
      <c r="G1406" t="s">
        <v>33</v>
      </c>
      <c r="H1406" t="s">
        <v>34</v>
      </c>
      <c r="I1406" t="s">
        <v>57</v>
      </c>
      <c r="J1406" t="s">
        <v>3848</v>
      </c>
      <c r="L1406">
        <v>2.6</v>
      </c>
      <c r="M1406">
        <v>473000</v>
      </c>
      <c r="N1406">
        <v>3</v>
      </c>
      <c r="O1406">
        <v>9</v>
      </c>
      <c r="P1406" t="s">
        <v>26</v>
      </c>
    </row>
    <row r="1407" spans="1:16" x14ac:dyDescent="0.25">
      <c r="A1407" t="s">
        <v>3849</v>
      </c>
      <c r="B1407" t="s">
        <v>3510</v>
      </c>
      <c r="C1407" t="s">
        <v>18</v>
      </c>
      <c r="D1407" t="s">
        <v>30</v>
      </c>
      <c r="E1407" t="s">
        <v>20</v>
      </c>
      <c r="F1407" t="s">
        <v>21</v>
      </c>
      <c r="G1407" t="s">
        <v>80</v>
      </c>
      <c r="H1407" t="s">
        <v>46</v>
      </c>
      <c r="I1407" t="s">
        <v>35</v>
      </c>
      <c r="J1407" t="s">
        <v>2783</v>
      </c>
      <c r="L1407">
        <v>5.4</v>
      </c>
      <c r="M1407">
        <v>841000</v>
      </c>
      <c r="N1407">
        <v>4.7</v>
      </c>
      <c r="O1407">
        <v>6</v>
      </c>
      <c r="P1407" t="s">
        <v>26</v>
      </c>
    </row>
    <row r="1408" spans="1:16" x14ac:dyDescent="0.25">
      <c r="A1408" t="s">
        <v>3850</v>
      </c>
      <c r="B1408" t="s">
        <v>3851</v>
      </c>
      <c r="C1408" t="s">
        <v>29</v>
      </c>
      <c r="D1408" t="s">
        <v>79</v>
      </c>
      <c r="E1408" t="s">
        <v>31</v>
      </c>
      <c r="F1408" t="s">
        <v>128</v>
      </c>
      <c r="G1408" t="s">
        <v>69</v>
      </c>
      <c r="H1408" t="s">
        <v>34</v>
      </c>
      <c r="I1408" t="s">
        <v>57</v>
      </c>
      <c r="J1408" t="s">
        <v>3852</v>
      </c>
      <c r="L1408">
        <v>3.4</v>
      </c>
      <c r="M1408">
        <v>407000</v>
      </c>
      <c r="N1408">
        <v>3.7</v>
      </c>
      <c r="O1408">
        <v>5</v>
      </c>
      <c r="P1408" t="s">
        <v>26</v>
      </c>
    </row>
    <row r="1409" spans="1:16" x14ac:dyDescent="0.25">
      <c r="A1409" t="s">
        <v>3853</v>
      </c>
      <c r="B1409" t="s">
        <v>3854</v>
      </c>
      <c r="C1409" t="s">
        <v>29</v>
      </c>
      <c r="E1409" t="s">
        <v>20</v>
      </c>
      <c r="F1409" t="s">
        <v>32</v>
      </c>
      <c r="G1409" t="s">
        <v>22</v>
      </c>
      <c r="H1409" t="s">
        <v>34</v>
      </c>
      <c r="I1409" t="s">
        <v>171</v>
      </c>
      <c r="J1409" t="s">
        <v>155</v>
      </c>
      <c r="K1409" t="s">
        <v>3855</v>
      </c>
      <c r="L1409">
        <v>3.1</v>
      </c>
      <c r="M1409">
        <v>197000</v>
      </c>
      <c r="N1409">
        <v>3.8</v>
      </c>
      <c r="O1409">
        <v>5</v>
      </c>
      <c r="P1409" t="s">
        <v>72</v>
      </c>
    </row>
    <row r="1410" spans="1:16" x14ac:dyDescent="0.25">
      <c r="A1410" t="s">
        <v>3856</v>
      </c>
      <c r="B1410" t="s">
        <v>1036</v>
      </c>
      <c r="C1410" t="s">
        <v>29</v>
      </c>
      <c r="D1410" t="s">
        <v>30</v>
      </c>
      <c r="E1410" t="s">
        <v>20</v>
      </c>
      <c r="F1410" t="s">
        <v>32</v>
      </c>
      <c r="G1410" t="s">
        <v>22</v>
      </c>
      <c r="H1410" t="s">
        <v>34</v>
      </c>
      <c r="I1410" t="s">
        <v>24</v>
      </c>
      <c r="J1410" t="s">
        <v>2831</v>
      </c>
      <c r="K1410" t="s">
        <v>3857</v>
      </c>
      <c r="L1410">
        <v>3</v>
      </c>
      <c r="M1410">
        <v>290000</v>
      </c>
      <c r="N1410">
        <v>4.0999999999999996</v>
      </c>
      <c r="O1410">
        <v>1</v>
      </c>
      <c r="P1410" t="s">
        <v>72</v>
      </c>
    </row>
    <row r="1411" spans="1:16" x14ac:dyDescent="0.25">
      <c r="A1411" t="s">
        <v>3858</v>
      </c>
      <c r="B1411" t="s">
        <v>3859</v>
      </c>
      <c r="C1411" t="s">
        <v>29</v>
      </c>
      <c r="D1411" t="s">
        <v>30</v>
      </c>
      <c r="E1411" t="s">
        <v>31</v>
      </c>
      <c r="F1411" t="s">
        <v>39</v>
      </c>
      <c r="G1411" t="s">
        <v>22</v>
      </c>
      <c r="H1411" t="s">
        <v>34</v>
      </c>
      <c r="I1411" t="s">
        <v>24</v>
      </c>
      <c r="J1411" t="s">
        <v>3860</v>
      </c>
      <c r="L1411">
        <v>4.4000000000000004</v>
      </c>
      <c r="M1411">
        <v>177000</v>
      </c>
      <c r="N1411">
        <v>2.4</v>
      </c>
      <c r="O1411">
        <v>6</v>
      </c>
      <c r="P1411" t="s">
        <v>26</v>
      </c>
    </row>
    <row r="1412" spans="1:16" x14ac:dyDescent="0.25">
      <c r="A1412" t="s">
        <v>3861</v>
      </c>
      <c r="B1412" t="s">
        <v>690</v>
      </c>
      <c r="C1412" t="s">
        <v>18</v>
      </c>
      <c r="D1412" t="s">
        <v>19</v>
      </c>
      <c r="E1412" t="s">
        <v>20</v>
      </c>
      <c r="F1412" t="s">
        <v>39</v>
      </c>
      <c r="G1412" t="s">
        <v>22</v>
      </c>
      <c r="H1412" t="s">
        <v>23</v>
      </c>
      <c r="I1412" t="s">
        <v>24</v>
      </c>
      <c r="J1412" t="s">
        <v>594</v>
      </c>
      <c r="L1412">
        <v>2.6</v>
      </c>
      <c r="M1412">
        <v>134000</v>
      </c>
      <c r="N1412">
        <v>2.9</v>
      </c>
      <c r="O1412">
        <v>4</v>
      </c>
      <c r="P1412" t="s">
        <v>26</v>
      </c>
    </row>
    <row r="1413" spans="1:16" x14ac:dyDescent="0.25">
      <c r="A1413" t="s">
        <v>3862</v>
      </c>
      <c r="B1413" t="s">
        <v>3863</v>
      </c>
      <c r="C1413" t="s">
        <v>18</v>
      </c>
      <c r="D1413" t="s">
        <v>50</v>
      </c>
      <c r="E1413" t="s">
        <v>20</v>
      </c>
      <c r="F1413" t="s">
        <v>39</v>
      </c>
      <c r="G1413" t="s">
        <v>80</v>
      </c>
      <c r="H1413" t="s">
        <v>34</v>
      </c>
      <c r="I1413" t="s">
        <v>24</v>
      </c>
      <c r="J1413" t="s">
        <v>3864</v>
      </c>
      <c r="K1413" t="s">
        <v>2809</v>
      </c>
      <c r="L1413">
        <v>3.3</v>
      </c>
      <c r="M1413">
        <v>107000</v>
      </c>
      <c r="N1413">
        <v>2.9</v>
      </c>
      <c r="O1413">
        <v>9</v>
      </c>
      <c r="P1413" t="s">
        <v>53</v>
      </c>
    </row>
    <row r="1414" spans="1:16" x14ac:dyDescent="0.25">
      <c r="A1414" t="s">
        <v>3865</v>
      </c>
      <c r="B1414" t="s">
        <v>3866</v>
      </c>
      <c r="C1414" t="s">
        <v>29</v>
      </c>
      <c r="D1414" t="s">
        <v>79</v>
      </c>
      <c r="E1414" t="s">
        <v>20</v>
      </c>
      <c r="F1414" t="s">
        <v>21</v>
      </c>
      <c r="G1414" t="s">
        <v>33</v>
      </c>
      <c r="H1414" t="s">
        <v>46</v>
      </c>
      <c r="I1414" t="s">
        <v>57</v>
      </c>
      <c r="J1414" t="s">
        <v>1167</v>
      </c>
      <c r="L1414">
        <v>3.3</v>
      </c>
      <c r="M1414">
        <v>946000</v>
      </c>
      <c r="N1414">
        <v>4.3</v>
      </c>
      <c r="O1414">
        <v>3</v>
      </c>
      <c r="P1414" t="s">
        <v>26</v>
      </c>
    </row>
    <row r="1415" spans="1:16" x14ac:dyDescent="0.25">
      <c r="A1415" t="s">
        <v>3867</v>
      </c>
      <c r="B1415" t="s">
        <v>3868</v>
      </c>
      <c r="C1415" t="s">
        <v>29</v>
      </c>
      <c r="D1415" t="s">
        <v>43</v>
      </c>
      <c r="E1415" t="s">
        <v>44</v>
      </c>
      <c r="F1415" t="s">
        <v>45</v>
      </c>
      <c r="G1415" t="s">
        <v>80</v>
      </c>
      <c r="H1415" t="s">
        <v>46</v>
      </c>
      <c r="I1415" t="s">
        <v>24</v>
      </c>
      <c r="J1415" t="s">
        <v>3869</v>
      </c>
      <c r="L1415">
        <v>4.9000000000000004</v>
      </c>
      <c r="M1415">
        <v>1085000</v>
      </c>
      <c r="N1415">
        <v>3.3</v>
      </c>
      <c r="O1415">
        <v>3</v>
      </c>
      <c r="P1415" t="s">
        <v>26</v>
      </c>
    </row>
    <row r="1416" spans="1:16" x14ac:dyDescent="0.25">
      <c r="A1416" t="s">
        <v>3870</v>
      </c>
      <c r="B1416" t="s">
        <v>3871</v>
      </c>
      <c r="C1416" t="s">
        <v>18</v>
      </c>
      <c r="D1416" t="s">
        <v>43</v>
      </c>
      <c r="E1416" t="s">
        <v>44</v>
      </c>
      <c r="F1416" t="s">
        <v>39</v>
      </c>
      <c r="G1416" t="s">
        <v>22</v>
      </c>
      <c r="H1416" t="s">
        <v>46</v>
      </c>
      <c r="I1416" t="s">
        <v>75</v>
      </c>
      <c r="J1416" t="s">
        <v>1134</v>
      </c>
      <c r="K1416" t="s">
        <v>3872</v>
      </c>
      <c r="L1416">
        <v>5</v>
      </c>
      <c r="M1416">
        <v>152000</v>
      </c>
      <c r="N1416">
        <v>2.5</v>
      </c>
      <c r="O1416">
        <v>14</v>
      </c>
      <c r="P1416" t="s">
        <v>53</v>
      </c>
    </row>
    <row r="1417" spans="1:16" x14ac:dyDescent="0.25">
      <c r="A1417" t="s">
        <v>3873</v>
      </c>
      <c r="B1417" t="s">
        <v>3874</v>
      </c>
      <c r="C1417" t="s">
        <v>29</v>
      </c>
      <c r="E1417" t="s">
        <v>44</v>
      </c>
      <c r="F1417" t="s">
        <v>39</v>
      </c>
      <c r="G1417" t="s">
        <v>80</v>
      </c>
      <c r="H1417" t="s">
        <v>34</v>
      </c>
      <c r="I1417" t="s">
        <v>24</v>
      </c>
      <c r="J1417" t="s">
        <v>339</v>
      </c>
      <c r="K1417" t="s">
        <v>3875</v>
      </c>
      <c r="L1417">
        <v>2.2999999999999998</v>
      </c>
      <c r="M1417">
        <v>113000</v>
      </c>
      <c r="N1417">
        <v>4</v>
      </c>
      <c r="O1417">
        <v>6</v>
      </c>
      <c r="P1417" t="s">
        <v>53</v>
      </c>
    </row>
    <row r="1418" spans="1:16" x14ac:dyDescent="0.25">
      <c r="A1418" t="s">
        <v>3876</v>
      </c>
      <c r="B1418" t="s">
        <v>210</v>
      </c>
      <c r="C1418" t="s">
        <v>29</v>
      </c>
      <c r="D1418" t="s">
        <v>30</v>
      </c>
      <c r="E1418" t="s">
        <v>31</v>
      </c>
      <c r="G1418" t="s">
        <v>22</v>
      </c>
      <c r="H1418" t="s">
        <v>34</v>
      </c>
      <c r="I1418" t="s">
        <v>24</v>
      </c>
      <c r="J1418" t="s">
        <v>1798</v>
      </c>
      <c r="L1418">
        <v>5.3</v>
      </c>
      <c r="M1418">
        <v>123000</v>
      </c>
      <c r="N1418">
        <v>1.7</v>
      </c>
      <c r="O1418">
        <v>13</v>
      </c>
      <c r="P1418" t="s">
        <v>26</v>
      </c>
    </row>
    <row r="1419" spans="1:16" x14ac:dyDescent="0.25">
      <c r="A1419" t="s">
        <v>3877</v>
      </c>
      <c r="B1419" t="s">
        <v>3878</v>
      </c>
      <c r="C1419" t="s">
        <v>18</v>
      </c>
      <c r="D1419" t="s">
        <v>79</v>
      </c>
      <c r="E1419" t="s">
        <v>20</v>
      </c>
      <c r="F1419" t="s">
        <v>32</v>
      </c>
      <c r="G1419" t="s">
        <v>22</v>
      </c>
      <c r="H1419" t="s">
        <v>23</v>
      </c>
      <c r="I1419" t="s">
        <v>24</v>
      </c>
      <c r="J1419" t="s">
        <v>2483</v>
      </c>
      <c r="L1419">
        <v>2.5</v>
      </c>
      <c r="M1419">
        <v>307000</v>
      </c>
      <c r="N1419">
        <v>4.5</v>
      </c>
      <c r="O1419">
        <v>13</v>
      </c>
      <c r="P1419" t="s">
        <v>26</v>
      </c>
    </row>
    <row r="1420" spans="1:16" x14ac:dyDescent="0.25">
      <c r="A1420" t="s">
        <v>3879</v>
      </c>
      <c r="B1420" t="s">
        <v>3880</v>
      </c>
      <c r="C1420" t="s">
        <v>29</v>
      </c>
      <c r="D1420" t="s">
        <v>30</v>
      </c>
      <c r="E1420" t="s">
        <v>20</v>
      </c>
      <c r="F1420" t="s">
        <v>39</v>
      </c>
      <c r="G1420" t="s">
        <v>33</v>
      </c>
      <c r="H1420" t="s">
        <v>23</v>
      </c>
      <c r="I1420" t="s">
        <v>24</v>
      </c>
      <c r="J1420" t="s">
        <v>3881</v>
      </c>
      <c r="K1420" t="s">
        <v>2104</v>
      </c>
      <c r="L1420">
        <v>4.9000000000000004</v>
      </c>
      <c r="M1420">
        <v>127000</v>
      </c>
      <c r="N1420">
        <v>1.7</v>
      </c>
      <c r="P1420" t="s">
        <v>53</v>
      </c>
    </row>
    <row r="1421" spans="1:16" x14ac:dyDescent="0.25">
      <c r="A1421" t="s">
        <v>3882</v>
      </c>
      <c r="B1421" t="s">
        <v>2553</v>
      </c>
      <c r="C1421" t="s">
        <v>18</v>
      </c>
      <c r="D1421" t="s">
        <v>79</v>
      </c>
      <c r="E1421" t="s">
        <v>44</v>
      </c>
      <c r="F1421" t="s">
        <v>32</v>
      </c>
      <c r="G1421" t="s">
        <v>22</v>
      </c>
      <c r="H1421" t="s">
        <v>46</v>
      </c>
      <c r="I1421" t="s">
        <v>75</v>
      </c>
      <c r="J1421" t="s">
        <v>2071</v>
      </c>
      <c r="K1421" t="s">
        <v>2120</v>
      </c>
      <c r="L1421">
        <v>1.8</v>
      </c>
      <c r="M1421">
        <v>260000</v>
      </c>
      <c r="N1421">
        <v>4.3</v>
      </c>
      <c r="O1421">
        <v>12</v>
      </c>
      <c r="P1421" t="s">
        <v>53</v>
      </c>
    </row>
    <row r="1422" spans="1:16" x14ac:dyDescent="0.25">
      <c r="A1422" t="s">
        <v>3883</v>
      </c>
      <c r="B1422" t="s">
        <v>3884</v>
      </c>
      <c r="C1422" t="s">
        <v>29</v>
      </c>
      <c r="D1422" t="s">
        <v>30</v>
      </c>
      <c r="E1422" t="s">
        <v>20</v>
      </c>
      <c r="F1422" t="s">
        <v>39</v>
      </c>
      <c r="G1422" t="s">
        <v>22</v>
      </c>
      <c r="H1422" t="s">
        <v>23</v>
      </c>
      <c r="I1422" t="s">
        <v>57</v>
      </c>
      <c r="J1422" t="s">
        <v>3273</v>
      </c>
      <c r="L1422">
        <v>2.9</v>
      </c>
      <c r="M1422">
        <v>153000</v>
      </c>
      <c r="N1422">
        <v>3.3</v>
      </c>
      <c r="O1422">
        <v>7</v>
      </c>
      <c r="P1422" t="s">
        <v>26</v>
      </c>
    </row>
    <row r="1423" spans="1:16" x14ac:dyDescent="0.25">
      <c r="A1423" t="s">
        <v>3885</v>
      </c>
      <c r="B1423" t="s">
        <v>3886</v>
      </c>
      <c r="C1423" t="s">
        <v>18</v>
      </c>
      <c r="D1423" t="s">
        <v>30</v>
      </c>
      <c r="F1423" t="s">
        <v>39</v>
      </c>
      <c r="G1423" t="s">
        <v>33</v>
      </c>
      <c r="H1423" t="s">
        <v>34</v>
      </c>
      <c r="I1423" t="s">
        <v>35</v>
      </c>
      <c r="J1423" t="s">
        <v>3887</v>
      </c>
      <c r="L1423">
        <v>3.1</v>
      </c>
      <c r="M1423">
        <v>137000</v>
      </c>
      <c r="N1423">
        <v>1.5</v>
      </c>
      <c r="O1423">
        <v>13</v>
      </c>
      <c r="P1423" t="s">
        <v>26</v>
      </c>
    </row>
    <row r="1424" spans="1:16" x14ac:dyDescent="0.25">
      <c r="A1424" t="s">
        <v>3888</v>
      </c>
      <c r="B1424" t="s">
        <v>2873</v>
      </c>
      <c r="C1424" t="s">
        <v>18</v>
      </c>
      <c r="D1424" t="s">
        <v>30</v>
      </c>
      <c r="E1424" t="s">
        <v>31</v>
      </c>
      <c r="F1424" t="s">
        <v>128</v>
      </c>
      <c r="G1424" t="s">
        <v>80</v>
      </c>
      <c r="H1424" t="s">
        <v>62</v>
      </c>
      <c r="I1424" t="s">
        <v>57</v>
      </c>
      <c r="J1424" t="s">
        <v>3889</v>
      </c>
      <c r="K1424" t="s">
        <v>3890</v>
      </c>
      <c r="L1424">
        <v>5.2</v>
      </c>
      <c r="M1424">
        <v>487000</v>
      </c>
      <c r="N1424">
        <v>4.3</v>
      </c>
      <c r="O1424">
        <v>38</v>
      </c>
      <c r="P1424" t="s">
        <v>53</v>
      </c>
    </row>
    <row r="1425" spans="1:16" x14ac:dyDescent="0.25">
      <c r="A1425" t="s">
        <v>3891</v>
      </c>
      <c r="B1425" t="s">
        <v>1528</v>
      </c>
      <c r="C1425" t="s">
        <v>18</v>
      </c>
      <c r="D1425" t="s">
        <v>30</v>
      </c>
      <c r="E1425" t="s">
        <v>20</v>
      </c>
      <c r="F1425" t="s">
        <v>128</v>
      </c>
      <c r="G1425" t="s">
        <v>80</v>
      </c>
      <c r="H1425" t="s">
        <v>23</v>
      </c>
      <c r="I1425" t="s">
        <v>24</v>
      </c>
      <c r="J1425" t="s">
        <v>621</v>
      </c>
      <c r="L1425">
        <v>1.9</v>
      </c>
      <c r="M1425">
        <v>391000</v>
      </c>
      <c r="N1425">
        <v>3.2</v>
      </c>
      <c r="O1425">
        <v>3</v>
      </c>
      <c r="P1425" t="s">
        <v>26</v>
      </c>
    </row>
    <row r="1426" spans="1:16" x14ac:dyDescent="0.25">
      <c r="A1426" t="s">
        <v>3892</v>
      </c>
      <c r="B1426" t="s">
        <v>3893</v>
      </c>
      <c r="C1426" t="s">
        <v>29</v>
      </c>
      <c r="D1426" t="s">
        <v>79</v>
      </c>
      <c r="E1426" t="s">
        <v>20</v>
      </c>
      <c r="F1426" t="s">
        <v>128</v>
      </c>
      <c r="G1426" t="s">
        <v>33</v>
      </c>
      <c r="H1426" t="s">
        <v>23</v>
      </c>
      <c r="I1426" t="s">
        <v>57</v>
      </c>
      <c r="J1426" t="s">
        <v>3488</v>
      </c>
      <c r="L1426">
        <v>3.6</v>
      </c>
      <c r="M1426">
        <v>525000</v>
      </c>
      <c r="N1426">
        <v>3.4</v>
      </c>
      <c r="O1426">
        <v>34</v>
      </c>
      <c r="P1426" t="s">
        <v>26</v>
      </c>
    </row>
    <row r="1427" spans="1:16" x14ac:dyDescent="0.25">
      <c r="A1427" t="s">
        <v>3894</v>
      </c>
      <c r="B1427" t="s">
        <v>3895</v>
      </c>
      <c r="C1427" t="s">
        <v>29</v>
      </c>
      <c r="D1427" t="s">
        <v>50</v>
      </c>
      <c r="E1427" t="s">
        <v>20</v>
      </c>
      <c r="F1427" t="s">
        <v>128</v>
      </c>
      <c r="G1427" t="s">
        <v>69</v>
      </c>
      <c r="I1427" t="s">
        <v>24</v>
      </c>
      <c r="J1427" t="s">
        <v>2718</v>
      </c>
      <c r="L1427">
        <v>2.8</v>
      </c>
      <c r="M1427">
        <v>571000</v>
      </c>
      <c r="N1427">
        <v>2.6</v>
      </c>
      <c r="O1427">
        <v>8</v>
      </c>
      <c r="P1427" t="s">
        <v>26</v>
      </c>
    </row>
    <row r="1428" spans="1:16" x14ac:dyDescent="0.25">
      <c r="A1428" t="s">
        <v>3896</v>
      </c>
      <c r="B1428" t="s">
        <v>3897</v>
      </c>
      <c r="C1428" t="s">
        <v>29</v>
      </c>
      <c r="D1428" t="s">
        <v>43</v>
      </c>
      <c r="E1428" t="s">
        <v>31</v>
      </c>
      <c r="F1428" t="s">
        <v>128</v>
      </c>
      <c r="G1428" t="s">
        <v>80</v>
      </c>
      <c r="H1428" t="s">
        <v>46</v>
      </c>
      <c r="I1428" t="s">
        <v>24</v>
      </c>
      <c r="J1428" t="s">
        <v>693</v>
      </c>
      <c r="L1428">
        <v>1.3</v>
      </c>
      <c r="M1428">
        <v>371000</v>
      </c>
      <c r="N1428">
        <v>4.7</v>
      </c>
      <c r="O1428">
        <v>6</v>
      </c>
      <c r="P1428" t="s">
        <v>26</v>
      </c>
    </row>
    <row r="1429" spans="1:16" x14ac:dyDescent="0.25">
      <c r="A1429" t="s">
        <v>3898</v>
      </c>
      <c r="B1429" t="s">
        <v>3899</v>
      </c>
      <c r="C1429" t="s">
        <v>18</v>
      </c>
      <c r="D1429" t="s">
        <v>50</v>
      </c>
      <c r="E1429" t="s">
        <v>31</v>
      </c>
      <c r="F1429" t="s">
        <v>128</v>
      </c>
      <c r="G1429" t="s">
        <v>22</v>
      </c>
      <c r="H1429" t="s">
        <v>46</v>
      </c>
      <c r="I1429" t="s">
        <v>75</v>
      </c>
      <c r="J1429" t="s">
        <v>654</v>
      </c>
      <c r="K1429" t="s">
        <v>2410</v>
      </c>
      <c r="L1429">
        <v>2.7</v>
      </c>
      <c r="M1429">
        <v>412000</v>
      </c>
      <c r="N1429">
        <v>3.2</v>
      </c>
      <c r="O1429">
        <v>2</v>
      </c>
      <c r="P1429" t="s">
        <v>53</v>
      </c>
    </row>
    <row r="1430" spans="1:16" x14ac:dyDescent="0.25">
      <c r="A1430" t="s">
        <v>3900</v>
      </c>
      <c r="B1430" t="s">
        <v>3901</v>
      </c>
      <c r="C1430" t="s">
        <v>29</v>
      </c>
      <c r="D1430" t="s">
        <v>43</v>
      </c>
      <c r="E1430" t="s">
        <v>31</v>
      </c>
      <c r="F1430" t="s">
        <v>128</v>
      </c>
      <c r="G1430" t="s">
        <v>80</v>
      </c>
      <c r="H1430" t="s">
        <v>46</v>
      </c>
      <c r="I1430" t="s">
        <v>75</v>
      </c>
      <c r="J1430" t="s">
        <v>2756</v>
      </c>
      <c r="L1430">
        <v>3.9</v>
      </c>
      <c r="M1430">
        <v>438000</v>
      </c>
      <c r="N1430">
        <v>2</v>
      </c>
      <c r="O1430">
        <v>10</v>
      </c>
      <c r="P1430" t="s">
        <v>26</v>
      </c>
    </row>
    <row r="1431" spans="1:16" x14ac:dyDescent="0.25">
      <c r="A1431" t="s">
        <v>3902</v>
      </c>
      <c r="B1431" t="s">
        <v>3903</v>
      </c>
      <c r="C1431" t="s">
        <v>29</v>
      </c>
      <c r="D1431" t="s">
        <v>50</v>
      </c>
      <c r="E1431" t="s">
        <v>44</v>
      </c>
      <c r="F1431" t="s">
        <v>128</v>
      </c>
      <c r="G1431" t="s">
        <v>80</v>
      </c>
      <c r="H1431" t="s">
        <v>23</v>
      </c>
      <c r="I1431" t="s">
        <v>57</v>
      </c>
      <c r="J1431" t="s">
        <v>749</v>
      </c>
      <c r="L1431">
        <v>2.2000000000000002</v>
      </c>
      <c r="M1431">
        <v>457000</v>
      </c>
      <c r="N1431">
        <v>4.2</v>
      </c>
      <c r="O1431">
        <v>2</v>
      </c>
      <c r="P1431" t="s">
        <v>26</v>
      </c>
    </row>
    <row r="1432" spans="1:16" x14ac:dyDescent="0.25">
      <c r="A1432" t="s">
        <v>3904</v>
      </c>
      <c r="B1432" t="s">
        <v>3884</v>
      </c>
      <c r="C1432" t="s">
        <v>29</v>
      </c>
      <c r="D1432" t="s">
        <v>43</v>
      </c>
      <c r="E1432" t="s">
        <v>31</v>
      </c>
      <c r="F1432" t="s">
        <v>32</v>
      </c>
      <c r="G1432" t="s">
        <v>69</v>
      </c>
      <c r="H1432" t="s">
        <v>46</v>
      </c>
      <c r="I1432" t="s">
        <v>24</v>
      </c>
      <c r="J1432" t="s">
        <v>3905</v>
      </c>
      <c r="L1432">
        <v>1.6</v>
      </c>
      <c r="M1432">
        <v>194000</v>
      </c>
      <c r="N1432">
        <v>2.6</v>
      </c>
      <c r="O1432">
        <v>15</v>
      </c>
      <c r="P1432" t="s">
        <v>26</v>
      </c>
    </row>
    <row r="1433" spans="1:16" x14ac:dyDescent="0.25">
      <c r="A1433" t="s">
        <v>3906</v>
      </c>
      <c r="B1433" t="s">
        <v>3907</v>
      </c>
      <c r="C1433" t="s">
        <v>29</v>
      </c>
      <c r="D1433" t="s">
        <v>30</v>
      </c>
      <c r="E1433" t="s">
        <v>31</v>
      </c>
      <c r="F1433" t="s">
        <v>128</v>
      </c>
      <c r="G1433" t="s">
        <v>22</v>
      </c>
      <c r="H1433" t="s">
        <v>23</v>
      </c>
      <c r="I1433" t="s">
        <v>57</v>
      </c>
      <c r="J1433" t="s">
        <v>658</v>
      </c>
      <c r="L1433">
        <v>5.7</v>
      </c>
      <c r="M1433">
        <v>362000</v>
      </c>
      <c r="N1433">
        <v>4.4000000000000004</v>
      </c>
      <c r="O1433">
        <v>8</v>
      </c>
      <c r="P1433" t="s">
        <v>26</v>
      </c>
    </row>
    <row r="1434" spans="1:16" x14ac:dyDescent="0.25">
      <c r="A1434" t="s">
        <v>3908</v>
      </c>
      <c r="B1434" t="s">
        <v>3909</v>
      </c>
      <c r="C1434" t="s">
        <v>18</v>
      </c>
      <c r="D1434" t="s">
        <v>79</v>
      </c>
      <c r="E1434" t="s">
        <v>31</v>
      </c>
      <c r="F1434" t="s">
        <v>39</v>
      </c>
      <c r="G1434" t="s">
        <v>22</v>
      </c>
      <c r="H1434" t="s">
        <v>23</v>
      </c>
      <c r="I1434" t="s">
        <v>57</v>
      </c>
      <c r="J1434" t="s">
        <v>2329</v>
      </c>
      <c r="L1434">
        <v>1.4</v>
      </c>
      <c r="M1434">
        <v>129000</v>
      </c>
      <c r="N1434">
        <v>2.4</v>
      </c>
      <c r="P1434" t="s">
        <v>26</v>
      </c>
    </row>
    <row r="1435" spans="1:16" x14ac:dyDescent="0.25">
      <c r="A1435" t="s">
        <v>3910</v>
      </c>
      <c r="B1435" t="s">
        <v>3911</v>
      </c>
      <c r="C1435" t="s">
        <v>18</v>
      </c>
      <c r="D1435" t="s">
        <v>30</v>
      </c>
      <c r="E1435" t="s">
        <v>44</v>
      </c>
      <c r="F1435" t="s">
        <v>128</v>
      </c>
      <c r="G1435" t="s">
        <v>22</v>
      </c>
      <c r="H1435" t="s">
        <v>46</v>
      </c>
      <c r="I1435" t="s">
        <v>24</v>
      </c>
      <c r="J1435" t="s">
        <v>3912</v>
      </c>
      <c r="K1435" t="s">
        <v>504</v>
      </c>
      <c r="L1435">
        <v>4.7</v>
      </c>
      <c r="M1435">
        <v>515000</v>
      </c>
      <c r="N1435">
        <v>3.7</v>
      </c>
      <c r="O1435">
        <v>2</v>
      </c>
      <c r="P1435" t="s">
        <v>53</v>
      </c>
    </row>
    <row r="1436" spans="1:16" x14ac:dyDescent="0.25">
      <c r="A1436" t="s">
        <v>3913</v>
      </c>
      <c r="B1436" t="s">
        <v>2862</v>
      </c>
      <c r="C1436" t="s">
        <v>18</v>
      </c>
      <c r="D1436" t="s">
        <v>79</v>
      </c>
      <c r="E1436" t="s">
        <v>31</v>
      </c>
      <c r="F1436" t="s">
        <v>21</v>
      </c>
      <c r="G1436" t="s">
        <v>69</v>
      </c>
      <c r="H1436" t="s">
        <v>23</v>
      </c>
      <c r="I1436" t="s">
        <v>35</v>
      </c>
      <c r="J1436" t="s">
        <v>3914</v>
      </c>
      <c r="K1436" t="s">
        <v>3713</v>
      </c>
      <c r="L1436">
        <v>5.0999999999999996</v>
      </c>
      <c r="N1436">
        <v>3.2</v>
      </c>
      <c r="O1436">
        <v>12</v>
      </c>
      <c r="P1436" t="s">
        <v>53</v>
      </c>
    </row>
    <row r="1437" spans="1:16" x14ac:dyDescent="0.25">
      <c r="A1437" t="s">
        <v>3915</v>
      </c>
      <c r="B1437" t="s">
        <v>3916</v>
      </c>
      <c r="C1437" t="s">
        <v>18</v>
      </c>
      <c r="D1437" t="s">
        <v>50</v>
      </c>
      <c r="E1437" t="s">
        <v>20</v>
      </c>
      <c r="F1437" t="s">
        <v>39</v>
      </c>
      <c r="G1437" t="s">
        <v>22</v>
      </c>
      <c r="H1437" t="s">
        <v>34</v>
      </c>
      <c r="I1437" t="s">
        <v>24</v>
      </c>
      <c r="J1437" t="s">
        <v>867</v>
      </c>
      <c r="L1437">
        <v>1.4</v>
      </c>
      <c r="M1437">
        <v>171000</v>
      </c>
      <c r="N1437">
        <v>3.7</v>
      </c>
      <c r="O1437">
        <v>1</v>
      </c>
      <c r="P1437" t="s">
        <v>26</v>
      </c>
    </row>
    <row r="1438" spans="1:16" x14ac:dyDescent="0.25">
      <c r="A1438" t="s">
        <v>3917</v>
      </c>
      <c r="B1438" t="s">
        <v>3918</v>
      </c>
      <c r="C1438" t="s">
        <v>18</v>
      </c>
      <c r="D1438" t="s">
        <v>50</v>
      </c>
      <c r="E1438" t="s">
        <v>31</v>
      </c>
      <c r="F1438" t="s">
        <v>21</v>
      </c>
      <c r="G1438" t="s">
        <v>69</v>
      </c>
      <c r="H1438" t="s">
        <v>34</v>
      </c>
      <c r="I1438" t="s">
        <v>24</v>
      </c>
      <c r="J1438" t="s">
        <v>3919</v>
      </c>
      <c r="L1438">
        <v>5.2</v>
      </c>
      <c r="M1438">
        <v>719000</v>
      </c>
      <c r="N1438">
        <v>3.5</v>
      </c>
      <c r="O1438">
        <v>4</v>
      </c>
      <c r="P1438" t="s">
        <v>26</v>
      </c>
    </row>
    <row r="1439" spans="1:16" x14ac:dyDescent="0.25">
      <c r="A1439" t="s">
        <v>3920</v>
      </c>
      <c r="B1439" t="s">
        <v>2208</v>
      </c>
      <c r="C1439" t="s">
        <v>18</v>
      </c>
      <c r="D1439" t="s">
        <v>50</v>
      </c>
      <c r="E1439" t="s">
        <v>20</v>
      </c>
      <c r="F1439" t="s">
        <v>32</v>
      </c>
      <c r="G1439" t="s">
        <v>22</v>
      </c>
      <c r="H1439" t="s">
        <v>34</v>
      </c>
      <c r="I1439" t="s">
        <v>35</v>
      </c>
      <c r="J1439" t="s">
        <v>3921</v>
      </c>
      <c r="L1439">
        <v>3.4</v>
      </c>
      <c r="N1439">
        <v>4.3</v>
      </c>
      <c r="O1439">
        <v>14</v>
      </c>
      <c r="P1439" t="s">
        <v>26</v>
      </c>
    </row>
    <row r="1440" spans="1:16" x14ac:dyDescent="0.25">
      <c r="A1440" t="s">
        <v>3922</v>
      </c>
      <c r="B1440" t="s">
        <v>1873</v>
      </c>
      <c r="C1440" t="s">
        <v>18</v>
      </c>
      <c r="D1440" t="s">
        <v>30</v>
      </c>
      <c r="E1440" t="s">
        <v>44</v>
      </c>
      <c r="F1440" t="s">
        <v>21</v>
      </c>
      <c r="G1440" t="s">
        <v>80</v>
      </c>
      <c r="I1440" t="s">
        <v>57</v>
      </c>
      <c r="J1440" t="s">
        <v>2850</v>
      </c>
      <c r="L1440">
        <v>4.4000000000000004</v>
      </c>
      <c r="M1440">
        <v>687000</v>
      </c>
      <c r="N1440">
        <v>4.8</v>
      </c>
      <c r="O1440">
        <v>13</v>
      </c>
      <c r="P1440" t="s">
        <v>26</v>
      </c>
    </row>
    <row r="1441" spans="1:16" x14ac:dyDescent="0.25">
      <c r="A1441" t="s">
        <v>3923</v>
      </c>
      <c r="B1441" t="s">
        <v>3924</v>
      </c>
      <c r="C1441" t="s">
        <v>18</v>
      </c>
      <c r="D1441" t="s">
        <v>30</v>
      </c>
      <c r="E1441" t="s">
        <v>44</v>
      </c>
      <c r="F1441" t="s">
        <v>21</v>
      </c>
      <c r="G1441" t="s">
        <v>22</v>
      </c>
      <c r="H1441" t="s">
        <v>34</v>
      </c>
      <c r="I1441" t="s">
        <v>24</v>
      </c>
      <c r="J1441" t="s">
        <v>3925</v>
      </c>
      <c r="L1441">
        <v>2.2999999999999998</v>
      </c>
      <c r="M1441">
        <v>766000</v>
      </c>
      <c r="N1441">
        <v>4.5</v>
      </c>
      <c r="O1441">
        <v>29</v>
      </c>
      <c r="P1441" t="s">
        <v>26</v>
      </c>
    </row>
    <row r="1442" spans="1:16" x14ac:dyDescent="0.25">
      <c r="A1442" t="s">
        <v>3926</v>
      </c>
      <c r="B1442" t="s">
        <v>3927</v>
      </c>
      <c r="C1442" t="s">
        <v>29</v>
      </c>
      <c r="D1442" t="s">
        <v>19</v>
      </c>
      <c r="E1442" t="s">
        <v>20</v>
      </c>
      <c r="F1442" t="s">
        <v>32</v>
      </c>
      <c r="G1442" t="s">
        <v>33</v>
      </c>
      <c r="H1442" t="s">
        <v>34</v>
      </c>
      <c r="I1442" t="s">
        <v>24</v>
      </c>
      <c r="J1442" t="s">
        <v>2280</v>
      </c>
      <c r="K1442" t="s">
        <v>3928</v>
      </c>
      <c r="L1442">
        <v>1.6</v>
      </c>
      <c r="M1442">
        <v>385000</v>
      </c>
      <c r="N1442">
        <v>4.3</v>
      </c>
      <c r="O1442">
        <v>9</v>
      </c>
      <c r="P1442" t="s">
        <v>53</v>
      </c>
    </row>
    <row r="1443" spans="1:16" x14ac:dyDescent="0.25">
      <c r="A1443" t="s">
        <v>3929</v>
      </c>
      <c r="B1443" t="s">
        <v>934</v>
      </c>
      <c r="C1443" t="s">
        <v>18</v>
      </c>
      <c r="D1443" t="s">
        <v>79</v>
      </c>
      <c r="E1443" t="s">
        <v>31</v>
      </c>
      <c r="F1443" t="s">
        <v>21</v>
      </c>
      <c r="G1443" t="s">
        <v>80</v>
      </c>
      <c r="H1443" t="s">
        <v>23</v>
      </c>
      <c r="I1443" t="s">
        <v>171</v>
      </c>
      <c r="J1443" t="s">
        <v>2606</v>
      </c>
      <c r="L1443">
        <v>1.5</v>
      </c>
      <c r="M1443">
        <v>847000</v>
      </c>
      <c r="N1443">
        <v>4</v>
      </c>
      <c r="O1443">
        <v>7</v>
      </c>
      <c r="P1443" t="s">
        <v>26</v>
      </c>
    </row>
    <row r="1444" spans="1:16" x14ac:dyDescent="0.25">
      <c r="A1444" t="s">
        <v>3930</v>
      </c>
      <c r="B1444" t="s">
        <v>3524</v>
      </c>
      <c r="C1444" t="s">
        <v>29</v>
      </c>
      <c r="D1444" t="s">
        <v>43</v>
      </c>
      <c r="E1444" t="s">
        <v>20</v>
      </c>
      <c r="F1444" t="s">
        <v>128</v>
      </c>
      <c r="G1444" t="s">
        <v>22</v>
      </c>
      <c r="H1444" t="s">
        <v>62</v>
      </c>
      <c r="I1444" t="s">
        <v>57</v>
      </c>
      <c r="J1444" t="s">
        <v>3931</v>
      </c>
      <c r="L1444">
        <v>3.1</v>
      </c>
      <c r="M1444">
        <v>459000</v>
      </c>
      <c r="N1444">
        <v>3</v>
      </c>
      <c r="P1444" t="s">
        <v>26</v>
      </c>
    </row>
    <row r="1445" spans="1:16" x14ac:dyDescent="0.25">
      <c r="A1445" t="s">
        <v>3932</v>
      </c>
      <c r="B1445" t="s">
        <v>116</v>
      </c>
      <c r="C1445" t="s">
        <v>18</v>
      </c>
      <c r="D1445" t="s">
        <v>50</v>
      </c>
      <c r="E1445" t="s">
        <v>20</v>
      </c>
      <c r="F1445" t="s">
        <v>32</v>
      </c>
      <c r="G1445" t="s">
        <v>80</v>
      </c>
      <c r="H1445" t="s">
        <v>62</v>
      </c>
      <c r="I1445" t="s">
        <v>57</v>
      </c>
      <c r="J1445" t="s">
        <v>102</v>
      </c>
      <c r="L1445">
        <v>4.3</v>
      </c>
      <c r="M1445">
        <v>309000</v>
      </c>
      <c r="N1445">
        <v>2.8</v>
      </c>
      <c r="O1445">
        <v>9</v>
      </c>
      <c r="P1445" t="s">
        <v>26</v>
      </c>
    </row>
    <row r="1446" spans="1:16" x14ac:dyDescent="0.25">
      <c r="A1446" t="s">
        <v>3933</v>
      </c>
      <c r="B1446" t="s">
        <v>3934</v>
      </c>
      <c r="C1446" t="s">
        <v>29</v>
      </c>
      <c r="D1446" t="s">
        <v>30</v>
      </c>
      <c r="E1446" t="s">
        <v>20</v>
      </c>
      <c r="F1446" t="s">
        <v>128</v>
      </c>
      <c r="G1446" t="s">
        <v>22</v>
      </c>
      <c r="H1446" t="s">
        <v>23</v>
      </c>
      <c r="J1446" t="s">
        <v>2210</v>
      </c>
      <c r="K1446" t="s">
        <v>2157</v>
      </c>
      <c r="L1446">
        <v>3.7</v>
      </c>
      <c r="M1446">
        <v>509000</v>
      </c>
      <c r="N1446">
        <v>4.5</v>
      </c>
      <c r="P1446" t="s">
        <v>53</v>
      </c>
    </row>
    <row r="1447" spans="1:16" x14ac:dyDescent="0.25">
      <c r="A1447" t="s">
        <v>3935</v>
      </c>
      <c r="B1447" t="s">
        <v>822</v>
      </c>
      <c r="C1447" t="s">
        <v>18</v>
      </c>
      <c r="D1447" t="s">
        <v>43</v>
      </c>
      <c r="E1447" t="s">
        <v>20</v>
      </c>
      <c r="F1447" t="s">
        <v>128</v>
      </c>
      <c r="G1447" t="s">
        <v>69</v>
      </c>
      <c r="H1447" t="s">
        <v>23</v>
      </c>
      <c r="I1447" t="s">
        <v>75</v>
      </c>
      <c r="J1447" t="s">
        <v>2097</v>
      </c>
      <c r="L1447">
        <v>2.2999999999999998</v>
      </c>
      <c r="M1447">
        <v>350000</v>
      </c>
      <c r="N1447">
        <v>3.1</v>
      </c>
      <c r="O1447">
        <v>3</v>
      </c>
      <c r="P1447" t="s">
        <v>26</v>
      </c>
    </row>
    <row r="1448" spans="1:16" x14ac:dyDescent="0.25">
      <c r="A1448" t="s">
        <v>3936</v>
      </c>
      <c r="B1448" t="s">
        <v>3937</v>
      </c>
      <c r="C1448" t="s">
        <v>29</v>
      </c>
      <c r="D1448" t="s">
        <v>79</v>
      </c>
      <c r="E1448" t="s">
        <v>20</v>
      </c>
      <c r="F1448" t="s">
        <v>128</v>
      </c>
      <c r="G1448" t="s">
        <v>22</v>
      </c>
      <c r="H1448" t="s">
        <v>34</v>
      </c>
      <c r="I1448" t="s">
        <v>24</v>
      </c>
      <c r="J1448" t="s">
        <v>2530</v>
      </c>
      <c r="L1448">
        <v>2.7</v>
      </c>
      <c r="M1448">
        <v>566000</v>
      </c>
      <c r="N1448">
        <v>4.8</v>
      </c>
      <c r="O1448">
        <v>1</v>
      </c>
      <c r="P1448" t="s">
        <v>26</v>
      </c>
    </row>
    <row r="1449" spans="1:16" x14ac:dyDescent="0.25">
      <c r="A1449" t="s">
        <v>3938</v>
      </c>
      <c r="B1449" t="s">
        <v>3939</v>
      </c>
      <c r="C1449" t="s">
        <v>18</v>
      </c>
      <c r="D1449" t="s">
        <v>30</v>
      </c>
      <c r="F1449" t="s">
        <v>39</v>
      </c>
      <c r="G1449" t="s">
        <v>69</v>
      </c>
      <c r="H1449" t="s">
        <v>23</v>
      </c>
      <c r="I1449" t="s">
        <v>24</v>
      </c>
      <c r="J1449" t="s">
        <v>219</v>
      </c>
      <c r="L1449">
        <v>2.2999999999999998</v>
      </c>
      <c r="M1449">
        <v>87000</v>
      </c>
      <c r="N1449">
        <v>2.2000000000000002</v>
      </c>
      <c r="O1449">
        <v>2</v>
      </c>
      <c r="P1449" t="s">
        <v>26</v>
      </c>
    </row>
    <row r="1450" spans="1:16" x14ac:dyDescent="0.25">
      <c r="A1450" t="s">
        <v>3940</v>
      </c>
      <c r="B1450" t="s">
        <v>3941</v>
      </c>
      <c r="C1450" t="s">
        <v>18</v>
      </c>
      <c r="D1450" t="s">
        <v>30</v>
      </c>
      <c r="E1450" t="s">
        <v>20</v>
      </c>
      <c r="F1450" t="s">
        <v>39</v>
      </c>
      <c r="G1450" t="s">
        <v>33</v>
      </c>
      <c r="H1450" t="s">
        <v>23</v>
      </c>
      <c r="I1450" t="s">
        <v>24</v>
      </c>
      <c r="J1450" t="s">
        <v>3942</v>
      </c>
      <c r="K1450" t="s">
        <v>3943</v>
      </c>
      <c r="L1450">
        <v>3.1</v>
      </c>
      <c r="M1450">
        <v>103000</v>
      </c>
      <c r="N1450">
        <v>3.4</v>
      </c>
      <c r="O1450">
        <v>7</v>
      </c>
      <c r="P1450" t="s">
        <v>53</v>
      </c>
    </row>
    <row r="1451" spans="1:16" x14ac:dyDescent="0.25">
      <c r="A1451" t="s">
        <v>3944</v>
      </c>
      <c r="B1451" t="s">
        <v>2093</v>
      </c>
      <c r="C1451" t="s">
        <v>29</v>
      </c>
      <c r="D1451" t="s">
        <v>50</v>
      </c>
      <c r="E1451" t="s">
        <v>44</v>
      </c>
      <c r="F1451" t="s">
        <v>39</v>
      </c>
      <c r="G1451" t="s">
        <v>69</v>
      </c>
      <c r="H1451" t="s">
        <v>23</v>
      </c>
      <c r="I1451" t="s">
        <v>57</v>
      </c>
      <c r="J1451" t="s">
        <v>3945</v>
      </c>
      <c r="K1451" t="s">
        <v>2430</v>
      </c>
      <c r="L1451">
        <v>5.9</v>
      </c>
      <c r="M1451">
        <v>115000</v>
      </c>
      <c r="N1451">
        <v>2.1</v>
      </c>
      <c r="O1451">
        <v>9</v>
      </c>
      <c r="P1451" t="s">
        <v>53</v>
      </c>
    </row>
    <row r="1452" spans="1:16" x14ac:dyDescent="0.25">
      <c r="A1452" t="s">
        <v>3946</v>
      </c>
      <c r="B1452" t="s">
        <v>3947</v>
      </c>
      <c r="C1452" t="s">
        <v>18</v>
      </c>
      <c r="D1452" t="s">
        <v>43</v>
      </c>
      <c r="E1452" t="s">
        <v>20</v>
      </c>
      <c r="F1452" t="s">
        <v>32</v>
      </c>
      <c r="G1452" t="s">
        <v>33</v>
      </c>
      <c r="H1452" t="s">
        <v>23</v>
      </c>
      <c r="I1452" t="s">
        <v>171</v>
      </c>
      <c r="J1452" t="s">
        <v>2034</v>
      </c>
      <c r="K1452" t="s">
        <v>3948</v>
      </c>
      <c r="L1452">
        <v>1.4</v>
      </c>
      <c r="M1452">
        <v>229000</v>
      </c>
      <c r="N1452">
        <v>3.3</v>
      </c>
      <c r="O1452">
        <v>3</v>
      </c>
      <c r="P1452" t="s">
        <v>53</v>
      </c>
    </row>
    <row r="1453" spans="1:16" x14ac:dyDescent="0.25">
      <c r="A1453" t="s">
        <v>3949</v>
      </c>
      <c r="B1453" t="s">
        <v>3950</v>
      </c>
      <c r="C1453" t="s">
        <v>18</v>
      </c>
      <c r="D1453" t="s">
        <v>43</v>
      </c>
      <c r="E1453" t="s">
        <v>20</v>
      </c>
      <c r="F1453" t="s">
        <v>21</v>
      </c>
      <c r="G1453" t="s">
        <v>22</v>
      </c>
      <c r="H1453" t="s">
        <v>46</v>
      </c>
      <c r="I1453" t="s">
        <v>24</v>
      </c>
      <c r="J1453" t="s">
        <v>3640</v>
      </c>
      <c r="L1453">
        <v>3.9</v>
      </c>
      <c r="M1453">
        <v>646000</v>
      </c>
      <c r="N1453">
        <v>3.7</v>
      </c>
      <c r="O1453">
        <v>13</v>
      </c>
      <c r="P1453" t="s">
        <v>26</v>
      </c>
    </row>
    <row r="1454" spans="1:16" x14ac:dyDescent="0.25">
      <c r="A1454" t="s">
        <v>3951</v>
      </c>
      <c r="B1454" t="s">
        <v>3952</v>
      </c>
      <c r="C1454" t="s">
        <v>18</v>
      </c>
      <c r="D1454" t="s">
        <v>79</v>
      </c>
      <c r="E1454" t="s">
        <v>20</v>
      </c>
      <c r="F1454" t="s">
        <v>128</v>
      </c>
      <c r="G1454" t="s">
        <v>80</v>
      </c>
      <c r="H1454" t="s">
        <v>23</v>
      </c>
      <c r="I1454" t="s">
        <v>57</v>
      </c>
      <c r="J1454" t="s">
        <v>3953</v>
      </c>
      <c r="L1454">
        <v>2.6</v>
      </c>
      <c r="M1454">
        <v>446000</v>
      </c>
      <c r="N1454">
        <v>3.8</v>
      </c>
      <c r="P1454" t="s">
        <v>26</v>
      </c>
    </row>
    <row r="1455" spans="1:16" x14ac:dyDescent="0.25">
      <c r="A1455" t="s">
        <v>3954</v>
      </c>
      <c r="B1455" t="s">
        <v>3955</v>
      </c>
      <c r="C1455" t="s">
        <v>18</v>
      </c>
      <c r="D1455" t="s">
        <v>43</v>
      </c>
      <c r="E1455" t="s">
        <v>31</v>
      </c>
      <c r="F1455" t="s">
        <v>32</v>
      </c>
      <c r="G1455" t="s">
        <v>22</v>
      </c>
      <c r="H1455" t="s">
        <v>34</v>
      </c>
      <c r="I1455" t="s">
        <v>24</v>
      </c>
      <c r="J1455" t="s">
        <v>2287</v>
      </c>
      <c r="K1455" t="s">
        <v>425</v>
      </c>
      <c r="L1455">
        <v>2.6</v>
      </c>
      <c r="M1455">
        <v>283000</v>
      </c>
      <c r="N1455">
        <v>2</v>
      </c>
      <c r="O1455">
        <v>6</v>
      </c>
      <c r="P1455" t="s">
        <v>53</v>
      </c>
    </row>
    <row r="1456" spans="1:16" x14ac:dyDescent="0.25">
      <c r="A1456" t="s">
        <v>3956</v>
      </c>
      <c r="B1456" t="s">
        <v>3957</v>
      </c>
      <c r="C1456" t="s">
        <v>18</v>
      </c>
      <c r="D1456" t="s">
        <v>50</v>
      </c>
      <c r="E1456" t="s">
        <v>31</v>
      </c>
      <c r="F1456" t="s">
        <v>39</v>
      </c>
      <c r="G1456" t="s">
        <v>22</v>
      </c>
      <c r="H1456" t="s">
        <v>23</v>
      </c>
      <c r="I1456" t="s">
        <v>24</v>
      </c>
      <c r="J1456" t="s">
        <v>3958</v>
      </c>
      <c r="L1456">
        <v>6.2</v>
      </c>
      <c r="M1456">
        <v>173000</v>
      </c>
      <c r="N1456">
        <v>2.7</v>
      </c>
      <c r="O1456">
        <v>5</v>
      </c>
      <c r="P1456" t="s">
        <v>26</v>
      </c>
    </row>
    <row r="1457" spans="1:16" x14ac:dyDescent="0.25">
      <c r="A1457" t="s">
        <v>3959</v>
      </c>
      <c r="B1457" t="s">
        <v>3960</v>
      </c>
      <c r="C1457" t="s">
        <v>18</v>
      </c>
      <c r="D1457" t="s">
        <v>30</v>
      </c>
      <c r="E1457" t="s">
        <v>31</v>
      </c>
      <c r="F1457" t="s">
        <v>32</v>
      </c>
      <c r="G1457" t="s">
        <v>22</v>
      </c>
      <c r="H1457" t="s">
        <v>34</v>
      </c>
      <c r="I1457" t="s">
        <v>57</v>
      </c>
      <c r="J1457" t="s">
        <v>3961</v>
      </c>
      <c r="K1457" t="s">
        <v>1432</v>
      </c>
      <c r="L1457">
        <v>3.1</v>
      </c>
      <c r="M1457">
        <v>261000</v>
      </c>
      <c r="N1457">
        <v>4.7</v>
      </c>
      <c r="O1457">
        <v>11</v>
      </c>
      <c r="P1457" t="s">
        <v>53</v>
      </c>
    </row>
    <row r="1458" spans="1:16" x14ac:dyDescent="0.25">
      <c r="A1458" t="s">
        <v>3962</v>
      </c>
      <c r="B1458" t="s">
        <v>3963</v>
      </c>
      <c r="C1458" t="s">
        <v>29</v>
      </c>
      <c r="D1458" t="s">
        <v>30</v>
      </c>
      <c r="E1458" t="s">
        <v>31</v>
      </c>
      <c r="F1458" t="s">
        <v>39</v>
      </c>
      <c r="G1458" t="s">
        <v>33</v>
      </c>
      <c r="H1458" t="s">
        <v>46</v>
      </c>
      <c r="I1458" t="s">
        <v>57</v>
      </c>
      <c r="J1458" t="s">
        <v>3964</v>
      </c>
      <c r="L1458">
        <v>4.5</v>
      </c>
      <c r="M1458">
        <v>164000</v>
      </c>
      <c r="N1458">
        <v>3</v>
      </c>
      <c r="O1458">
        <v>2</v>
      </c>
      <c r="P1458" t="s">
        <v>26</v>
      </c>
    </row>
    <row r="1459" spans="1:16" x14ac:dyDescent="0.25">
      <c r="A1459" t="s">
        <v>3965</v>
      </c>
      <c r="B1459" t="s">
        <v>3966</v>
      </c>
      <c r="C1459" t="s">
        <v>29</v>
      </c>
      <c r="D1459" t="s">
        <v>19</v>
      </c>
      <c r="E1459" t="s">
        <v>20</v>
      </c>
      <c r="F1459" t="s">
        <v>32</v>
      </c>
      <c r="G1459" t="s">
        <v>22</v>
      </c>
      <c r="H1459" t="s">
        <v>23</v>
      </c>
      <c r="I1459" t="s">
        <v>24</v>
      </c>
      <c r="J1459" t="s">
        <v>369</v>
      </c>
      <c r="L1459">
        <v>5.8</v>
      </c>
      <c r="M1459">
        <v>312000</v>
      </c>
      <c r="N1459">
        <v>3.9</v>
      </c>
      <c r="O1459">
        <v>8</v>
      </c>
      <c r="P1459" t="s">
        <v>26</v>
      </c>
    </row>
    <row r="1460" spans="1:16" x14ac:dyDescent="0.25">
      <c r="A1460" t="s">
        <v>3967</v>
      </c>
      <c r="B1460" t="s">
        <v>3968</v>
      </c>
      <c r="C1460" t="s">
        <v>18</v>
      </c>
      <c r="D1460" t="s">
        <v>43</v>
      </c>
      <c r="E1460" t="s">
        <v>20</v>
      </c>
      <c r="G1460" t="s">
        <v>80</v>
      </c>
      <c r="H1460" t="s">
        <v>46</v>
      </c>
      <c r="I1460" t="s">
        <v>24</v>
      </c>
      <c r="J1460" t="s">
        <v>3969</v>
      </c>
      <c r="L1460">
        <v>2.7</v>
      </c>
      <c r="M1460">
        <v>237000</v>
      </c>
      <c r="N1460">
        <v>2.2000000000000002</v>
      </c>
      <c r="O1460">
        <v>4</v>
      </c>
      <c r="P1460" t="s">
        <v>26</v>
      </c>
    </row>
    <row r="1461" spans="1:16" x14ac:dyDescent="0.25">
      <c r="A1461" t="s">
        <v>3970</v>
      </c>
      <c r="B1461" t="s">
        <v>3971</v>
      </c>
      <c r="C1461" t="s">
        <v>18</v>
      </c>
      <c r="D1461" t="s">
        <v>30</v>
      </c>
      <c r="E1461" t="s">
        <v>20</v>
      </c>
      <c r="F1461" t="s">
        <v>39</v>
      </c>
      <c r="G1461" t="s">
        <v>22</v>
      </c>
      <c r="H1461" t="s">
        <v>23</v>
      </c>
      <c r="I1461" t="s">
        <v>35</v>
      </c>
      <c r="J1461" t="s">
        <v>3972</v>
      </c>
      <c r="K1461" t="s">
        <v>3973</v>
      </c>
      <c r="L1461">
        <v>5</v>
      </c>
      <c r="M1461">
        <v>127000</v>
      </c>
      <c r="N1461">
        <v>3.2</v>
      </c>
      <c r="O1461">
        <v>6</v>
      </c>
      <c r="P1461" t="s">
        <v>114</v>
      </c>
    </row>
    <row r="1462" spans="1:16" x14ac:dyDescent="0.25">
      <c r="A1462" t="s">
        <v>3974</v>
      </c>
      <c r="B1462" t="s">
        <v>1094</v>
      </c>
      <c r="C1462" t="s">
        <v>18</v>
      </c>
      <c r="D1462" t="s">
        <v>50</v>
      </c>
      <c r="E1462" t="s">
        <v>20</v>
      </c>
      <c r="F1462" t="s">
        <v>39</v>
      </c>
      <c r="G1462" t="s">
        <v>22</v>
      </c>
      <c r="H1462" t="s">
        <v>46</v>
      </c>
      <c r="I1462" t="s">
        <v>35</v>
      </c>
      <c r="J1462" t="s">
        <v>3520</v>
      </c>
      <c r="L1462">
        <v>5.3</v>
      </c>
      <c r="M1462">
        <v>134000</v>
      </c>
      <c r="N1462">
        <v>2.7</v>
      </c>
      <c r="O1462">
        <v>16</v>
      </c>
      <c r="P1462" t="s">
        <v>26</v>
      </c>
    </row>
    <row r="1463" spans="1:16" x14ac:dyDescent="0.25">
      <c r="A1463" t="s">
        <v>3975</v>
      </c>
      <c r="B1463" t="s">
        <v>3976</v>
      </c>
      <c r="C1463" t="s">
        <v>29</v>
      </c>
      <c r="D1463" t="s">
        <v>43</v>
      </c>
      <c r="E1463" t="s">
        <v>44</v>
      </c>
      <c r="F1463" t="s">
        <v>32</v>
      </c>
      <c r="G1463" t="s">
        <v>22</v>
      </c>
      <c r="H1463" t="s">
        <v>34</v>
      </c>
      <c r="I1463" t="s">
        <v>24</v>
      </c>
      <c r="J1463" t="s">
        <v>2344</v>
      </c>
      <c r="K1463" t="s">
        <v>622</v>
      </c>
      <c r="L1463">
        <v>3</v>
      </c>
      <c r="M1463">
        <v>189000</v>
      </c>
      <c r="N1463">
        <v>4.0999999999999996</v>
      </c>
      <c r="O1463">
        <v>2</v>
      </c>
      <c r="P1463" t="s">
        <v>53</v>
      </c>
    </row>
    <row r="1464" spans="1:16" x14ac:dyDescent="0.25">
      <c r="A1464" t="s">
        <v>3977</v>
      </c>
      <c r="B1464" t="s">
        <v>3978</v>
      </c>
      <c r="C1464" t="s">
        <v>18</v>
      </c>
      <c r="D1464" t="s">
        <v>79</v>
      </c>
      <c r="E1464" t="s">
        <v>20</v>
      </c>
      <c r="F1464" t="s">
        <v>32</v>
      </c>
      <c r="G1464" t="s">
        <v>80</v>
      </c>
      <c r="H1464" t="s">
        <v>23</v>
      </c>
      <c r="I1464" t="s">
        <v>24</v>
      </c>
      <c r="J1464" t="s">
        <v>3979</v>
      </c>
      <c r="L1464">
        <v>4.7</v>
      </c>
      <c r="M1464">
        <v>242000</v>
      </c>
      <c r="N1464">
        <v>4.8</v>
      </c>
      <c r="O1464">
        <v>3</v>
      </c>
      <c r="P1464" t="s">
        <v>26</v>
      </c>
    </row>
    <row r="1465" spans="1:16" x14ac:dyDescent="0.25">
      <c r="A1465" t="s">
        <v>3980</v>
      </c>
      <c r="B1465" t="s">
        <v>3981</v>
      </c>
      <c r="C1465" t="s">
        <v>18</v>
      </c>
      <c r="D1465" t="s">
        <v>19</v>
      </c>
      <c r="E1465" t="s">
        <v>20</v>
      </c>
      <c r="F1465" t="s">
        <v>21</v>
      </c>
      <c r="G1465" t="s">
        <v>80</v>
      </c>
      <c r="H1465" t="s">
        <v>34</v>
      </c>
      <c r="I1465" t="s">
        <v>57</v>
      </c>
      <c r="J1465" t="s">
        <v>3982</v>
      </c>
      <c r="K1465" t="s">
        <v>527</v>
      </c>
      <c r="L1465">
        <v>2.5</v>
      </c>
      <c r="M1465">
        <v>862000</v>
      </c>
      <c r="N1465">
        <v>3.6</v>
      </c>
      <c r="O1465">
        <v>28</v>
      </c>
      <c r="P1465" t="s">
        <v>53</v>
      </c>
    </row>
    <row r="1466" spans="1:16" x14ac:dyDescent="0.25">
      <c r="A1466" t="s">
        <v>3983</v>
      </c>
      <c r="B1466" t="s">
        <v>3984</v>
      </c>
      <c r="C1466" t="s">
        <v>18</v>
      </c>
      <c r="D1466" t="s">
        <v>30</v>
      </c>
      <c r="E1466" t="s">
        <v>20</v>
      </c>
      <c r="F1466" t="s">
        <v>32</v>
      </c>
      <c r="G1466" t="s">
        <v>80</v>
      </c>
      <c r="H1466" t="s">
        <v>23</v>
      </c>
      <c r="I1466" t="s">
        <v>24</v>
      </c>
      <c r="J1466" t="s">
        <v>3985</v>
      </c>
      <c r="K1466" t="s">
        <v>3986</v>
      </c>
      <c r="L1466">
        <v>4.0999999999999996</v>
      </c>
      <c r="M1466">
        <v>272000</v>
      </c>
      <c r="N1466">
        <v>4.5</v>
      </c>
      <c r="O1466">
        <v>8</v>
      </c>
      <c r="P1466" t="s">
        <v>53</v>
      </c>
    </row>
    <row r="1467" spans="1:16" x14ac:dyDescent="0.25">
      <c r="A1467" t="s">
        <v>3987</v>
      </c>
      <c r="B1467" t="s">
        <v>437</v>
      </c>
      <c r="C1467" t="s">
        <v>29</v>
      </c>
      <c r="D1467" t="s">
        <v>30</v>
      </c>
      <c r="E1467" t="s">
        <v>20</v>
      </c>
      <c r="F1467" t="s">
        <v>32</v>
      </c>
      <c r="G1467" t="s">
        <v>22</v>
      </c>
      <c r="H1467" t="s">
        <v>62</v>
      </c>
      <c r="J1467" t="s">
        <v>1732</v>
      </c>
      <c r="K1467" t="s">
        <v>1538</v>
      </c>
      <c r="L1467">
        <v>5.0999999999999996</v>
      </c>
      <c r="M1467">
        <v>336000</v>
      </c>
      <c r="N1467">
        <v>2.8</v>
      </c>
      <c r="O1467">
        <v>7</v>
      </c>
      <c r="P1467" t="s">
        <v>53</v>
      </c>
    </row>
    <row r="1468" spans="1:16" x14ac:dyDescent="0.25">
      <c r="A1468" t="s">
        <v>3988</v>
      </c>
      <c r="B1468" t="s">
        <v>3989</v>
      </c>
      <c r="C1468" t="s">
        <v>29</v>
      </c>
      <c r="D1468" t="s">
        <v>19</v>
      </c>
      <c r="E1468" t="s">
        <v>44</v>
      </c>
      <c r="F1468" t="s">
        <v>39</v>
      </c>
      <c r="G1468" t="s">
        <v>33</v>
      </c>
      <c r="H1468" t="s">
        <v>62</v>
      </c>
      <c r="I1468" t="s">
        <v>24</v>
      </c>
      <c r="J1468" t="s">
        <v>3990</v>
      </c>
      <c r="L1468">
        <v>4.3</v>
      </c>
      <c r="M1468">
        <v>198000</v>
      </c>
      <c r="N1468">
        <v>3.3</v>
      </c>
      <c r="O1468">
        <v>12</v>
      </c>
      <c r="P1468" t="s">
        <v>26</v>
      </c>
    </row>
    <row r="1469" spans="1:16" x14ac:dyDescent="0.25">
      <c r="A1469" t="s">
        <v>3991</v>
      </c>
      <c r="B1469" t="s">
        <v>3992</v>
      </c>
      <c r="C1469" t="s">
        <v>18</v>
      </c>
      <c r="D1469" t="s">
        <v>30</v>
      </c>
      <c r="E1469" t="s">
        <v>44</v>
      </c>
      <c r="F1469" t="s">
        <v>32</v>
      </c>
      <c r="G1469" t="s">
        <v>80</v>
      </c>
      <c r="H1469" t="s">
        <v>23</v>
      </c>
      <c r="I1469" t="s">
        <v>75</v>
      </c>
      <c r="J1469" t="s">
        <v>3993</v>
      </c>
      <c r="K1469" t="s">
        <v>3297</v>
      </c>
      <c r="L1469">
        <v>2.4</v>
      </c>
      <c r="M1469">
        <v>248000</v>
      </c>
      <c r="N1469">
        <v>2.5</v>
      </c>
      <c r="O1469">
        <v>28</v>
      </c>
      <c r="P1469" t="s">
        <v>53</v>
      </c>
    </row>
    <row r="1470" spans="1:16" x14ac:dyDescent="0.25">
      <c r="A1470" t="s">
        <v>3994</v>
      </c>
      <c r="B1470" t="s">
        <v>1500</v>
      </c>
      <c r="C1470" t="s">
        <v>18</v>
      </c>
      <c r="D1470" t="s">
        <v>30</v>
      </c>
      <c r="E1470" t="s">
        <v>20</v>
      </c>
      <c r="F1470" t="s">
        <v>32</v>
      </c>
      <c r="G1470" t="s">
        <v>69</v>
      </c>
      <c r="H1470" t="s">
        <v>23</v>
      </c>
      <c r="I1470" t="s">
        <v>57</v>
      </c>
      <c r="J1470" t="s">
        <v>1193</v>
      </c>
      <c r="L1470">
        <v>3.7</v>
      </c>
      <c r="M1470">
        <v>277000</v>
      </c>
      <c r="N1470">
        <v>4.4000000000000004</v>
      </c>
      <c r="P1470" t="s">
        <v>26</v>
      </c>
    </row>
    <row r="1471" spans="1:16" x14ac:dyDescent="0.25">
      <c r="A1471" t="s">
        <v>3995</v>
      </c>
      <c r="B1471" t="s">
        <v>3996</v>
      </c>
      <c r="C1471" t="s">
        <v>29</v>
      </c>
      <c r="D1471" t="s">
        <v>30</v>
      </c>
      <c r="E1471" t="s">
        <v>44</v>
      </c>
      <c r="F1471" t="s">
        <v>32</v>
      </c>
      <c r="G1471" t="s">
        <v>69</v>
      </c>
      <c r="H1471" t="s">
        <v>23</v>
      </c>
      <c r="I1471" t="s">
        <v>57</v>
      </c>
      <c r="J1471" t="s">
        <v>1418</v>
      </c>
      <c r="L1471">
        <v>5.0999999999999996</v>
      </c>
      <c r="M1471">
        <v>268000</v>
      </c>
      <c r="N1471">
        <v>4.3</v>
      </c>
      <c r="O1471">
        <v>0</v>
      </c>
      <c r="P1471" t="s">
        <v>26</v>
      </c>
    </row>
    <row r="1472" spans="1:16" x14ac:dyDescent="0.25">
      <c r="A1472" t="s">
        <v>3997</v>
      </c>
      <c r="B1472" t="s">
        <v>3998</v>
      </c>
      <c r="C1472" t="s">
        <v>29</v>
      </c>
      <c r="D1472" t="s">
        <v>19</v>
      </c>
      <c r="E1472" t="s">
        <v>31</v>
      </c>
      <c r="F1472" t="s">
        <v>32</v>
      </c>
      <c r="G1472" t="s">
        <v>22</v>
      </c>
      <c r="H1472" t="s">
        <v>23</v>
      </c>
      <c r="I1472" t="s">
        <v>57</v>
      </c>
      <c r="J1472" t="s">
        <v>3999</v>
      </c>
      <c r="L1472">
        <v>3</v>
      </c>
      <c r="M1472">
        <v>340000</v>
      </c>
      <c r="N1472">
        <v>2.2999999999999998</v>
      </c>
      <c r="O1472">
        <v>7</v>
      </c>
      <c r="P1472" t="s">
        <v>26</v>
      </c>
    </row>
    <row r="1473" spans="1:16" x14ac:dyDescent="0.25">
      <c r="A1473" t="s">
        <v>4000</v>
      </c>
      <c r="B1473" t="s">
        <v>4001</v>
      </c>
      <c r="C1473" t="s">
        <v>18</v>
      </c>
      <c r="D1473" t="s">
        <v>79</v>
      </c>
      <c r="E1473" t="s">
        <v>20</v>
      </c>
      <c r="F1473" t="s">
        <v>32</v>
      </c>
      <c r="G1473" t="s">
        <v>80</v>
      </c>
      <c r="H1473" t="s">
        <v>62</v>
      </c>
      <c r="I1473" t="s">
        <v>24</v>
      </c>
      <c r="J1473" t="s">
        <v>4002</v>
      </c>
      <c r="K1473" t="s">
        <v>1330</v>
      </c>
      <c r="L1473">
        <v>4.7</v>
      </c>
      <c r="M1473">
        <v>327000</v>
      </c>
      <c r="N1473">
        <v>2.9</v>
      </c>
      <c r="O1473">
        <v>25</v>
      </c>
      <c r="P1473" t="s">
        <v>53</v>
      </c>
    </row>
    <row r="1474" spans="1:16" x14ac:dyDescent="0.25">
      <c r="A1474" t="s">
        <v>4003</v>
      </c>
      <c r="B1474" t="s">
        <v>4004</v>
      </c>
      <c r="C1474" t="s">
        <v>29</v>
      </c>
      <c r="D1474" t="s">
        <v>19</v>
      </c>
      <c r="E1474" t="s">
        <v>31</v>
      </c>
      <c r="F1474" t="s">
        <v>21</v>
      </c>
      <c r="G1474" t="s">
        <v>80</v>
      </c>
      <c r="H1474" t="s">
        <v>34</v>
      </c>
      <c r="I1474" t="s">
        <v>35</v>
      </c>
      <c r="J1474" t="s">
        <v>1683</v>
      </c>
      <c r="L1474">
        <v>1.7</v>
      </c>
      <c r="M1474">
        <v>920000</v>
      </c>
      <c r="N1474">
        <v>4.8</v>
      </c>
      <c r="O1474">
        <v>7</v>
      </c>
      <c r="P1474" t="s">
        <v>26</v>
      </c>
    </row>
    <row r="1475" spans="1:16" x14ac:dyDescent="0.25">
      <c r="A1475" t="s">
        <v>4005</v>
      </c>
      <c r="B1475" t="s">
        <v>4006</v>
      </c>
      <c r="C1475" t="s">
        <v>18</v>
      </c>
      <c r="D1475" t="s">
        <v>30</v>
      </c>
      <c r="E1475" t="s">
        <v>20</v>
      </c>
      <c r="F1475" t="s">
        <v>39</v>
      </c>
      <c r="G1475" t="s">
        <v>22</v>
      </c>
      <c r="H1475" t="s">
        <v>23</v>
      </c>
      <c r="I1475" t="s">
        <v>24</v>
      </c>
      <c r="J1475" t="s">
        <v>4007</v>
      </c>
      <c r="L1475">
        <v>5.3</v>
      </c>
      <c r="M1475">
        <v>88000</v>
      </c>
      <c r="N1475">
        <v>2.6</v>
      </c>
      <c r="O1475">
        <v>11</v>
      </c>
      <c r="P1475" t="s">
        <v>26</v>
      </c>
    </row>
    <row r="1476" spans="1:16" x14ac:dyDescent="0.25">
      <c r="A1476" t="s">
        <v>4008</v>
      </c>
      <c r="B1476" t="s">
        <v>4009</v>
      </c>
      <c r="C1476" t="s">
        <v>29</v>
      </c>
      <c r="D1476" t="s">
        <v>79</v>
      </c>
      <c r="E1476" t="s">
        <v>20</v>
      </c>
      <c r="F1476" t="s">
        <v>128</v>
      </c>
      <c r="G1476" t="s">
        <v>69</v>
      </c>
      <c r="H1476" t="s">
        <v>23</v>
      </c>
      <c r="I1476" t="s">
        <v>24</v>
      </c>
      <c r="J1476" t="s">
        <v>2534</v>
      </c>
      <c r="L1476">
        <v>5.2</v>
      </c>
      <c r="M1476">
        <v>571000</v>
      </c>
      <c r="N1476">
        <v>3</v>
      </c>
      <c r="O1476">
        <v>0</v>
      </c>
      <c r="P1476" t="s">
        <v>26</v>
      </c>
    </row>
    <row r="1477" spans="1:16" x14ac:dyDescent="0.25">
      <c r="A1477" t="s">
        <v>4010</v>
      </c>
      <c r="B1477" t="s">
        <v>3119</v>
      </c>
      <c r="C1477" t="s">
        <v>18</v>
      </c>
      <c r="D1477" t="s">
        <v>30</v>
      </c>
      <c r="E1477" t="s">
        <v>20</v>
      </c>
      <c r="F1477" t="s">
        <v>32</v>
      </c>
      <c r="G1477" t="s">
        <v>80</v>
      </c>
      <c r="H1477" t="s">
        <v>23</v>
      </c>
      <c r="I1477" t="s">
        <v>24</v>
      </c>
      <c r="J1477" t="s">
        <v>4011</v>
      </c>
      <c r="L1477">
        <v>5.0999999999999996</v>
      </c>
      <c r="M1477">
        <v>317000</v>
      </c>
      <c r="N1477">
        <v>2.7</v>
      </c>
      <c r="O1477">
        <v>12</v>
      </c>
      <c r="P1477" t="s">
        <v>26</v>
      </c>
    </row>
    <row r="1478" spans="1:16" x14ac:dyDescent="0.25">
      <c r="A1478" t="s">
        <v>4012</v>
      </c>
      <c r="B1478" t="s">
        <v>4013</v>
      </c>
      <c r="C1478" t="s">
        <v>29</v>
      </c>
      <c r="D1478" t="s">
        <v>79</v>
      </c>
      <c r="E1478" t="s">
        <v>31</v>
      </c>
      <c r="F1478" t="s">
        <v>32</v>
      </c>
      <c r="G1478" t="s">
        <v>33</v>
      </c>
      <c r="H1478" t="s">
        <v>23</v>
      </c>
      <c r="I1478" t="s">
        <v>24</v>
      </c>
      <c r="J1478" t="s">
        <v>2565</v>
      </c>
      <c r="K1478" t="s">
        <v>4014</v>
      </c>
      <c r="L1478">
        <v>1.8</v>
      </c>
      <c r="M1478">
        <v>283000</v>
      </c>
      <c r="N1478">
        <v>4.5999999999999996</v>
      </c>
      <c r="O1478">
        <v>30</v>
      </c>
      <c r="P1478" t="s">
        <v>72</v>
      </c>
    </row>
    <row r="1479" spans="1:16" x14ac:dyDescent="0.25">
      <c r="A1479" t="s">
        <v>4015</v>
      </c>
      <c r="B1479" t="s">
        <v>522</v>
      </c>
      <c r="C1479" t="s">
        <v>18</v>
      </c>
      <c r="D1479" t="s">
        <v>43</v>
      </c>
      <c r="E1479" t="s">
        <v>20</v>
      </c>
      <c r="F1479" t="s">
        <v>128</v>
      </c>
      <c r="G1479" t="s">
        <v>33</v>
      </c>
      <c r="H1479" t="s">
        <v>23</v>
      </c>
      <c r="I1479" t="s">
        <v>35</v>
      </c>
      <c r="J1479" t="s">
        <v>1347</v>
      </c>
      <c r="L1479">
        <v>4.5999999999999996</v>
      </c>
      <c r="M1479">
        <v>370000</v>
      </c>
      <c r="N1479">
        <v>3.3</v>
      </c>
      <c r="O1479">
        <v>19</v>
      </c>
      <c r="P1479" t="s">
        <v>26</v>
      </c>
    </row>
    <row r="1480" spans="1:16" x14ac:dyDescent="0.25">
      <c r="A1480" t="s">
        <v>4016</v>
      </c>
      <c r="B1480" t="s">
        <v>4017</v>
      </c>
      <c r="C1480" t="s">
        <v>18</v>
      </c>
      <c r="D1480" t="s">
        <v>50</v>
      </c>
      <c r="G1480" t="s">
        <v>33</v>
      </c>
      <c r="H1480" t="s">
        <v>46</v>
      </c>
      <c r="I1480" t="s">
        <v>35</v>
      </c>
      <c r="J1480" t="s">
        <v>957</v>
      </c>
      <c r="L1480">
        <v>4</v>
      </c>
      <c r="M1480">
        <v>228000</v>
      </c>
      <c r="N1480">
        <v>3</v>
      </c>
      <c r="O1480">
        <v>7</v>
      </c>
      <c r="P1480" t="s">
        <v>26</v>
      </c>
    </row>
    <row r="1481" spans="1:16" x14ac:dyDescent="0.25">
      <c r="A1481" t="s">
        <v>4018</v>
      </c>
      <c r="B1481" t="s">
        <v>4019</v>
      </c>
      <c r="C1481" t="s">
        <v>18</v>
      </c>
      <c r="D1481" t="s">
        <v>79</v>
      </c>
      <c r="E1481" t="s">
        <v>20</v>
      </c>
      <c r="F1481" t="s">
        <v>21</v>
      </c>
      <c r="G1481" t="s">
        <v>22</v>
      </c>
      <c r="H1481" t="s">
        <v>23</v>
      </c>
      <c r="I1481" t="s">
        <v>57</v>
      </c>
      <c r="J1481" t="s">
        <v>4020</v>
      </c>
      <c r="L1481">
        <v>4.5</v>
      </c>
      <c r="M1481">
        <v>823000</v>
      </c>
      <c r="N1481">
        <v>3.2</v>
      </c>
      <c r="O1481">
        <v>1</v>
      </c>
      <c r="P1481" t="s">
        <v>26</v>
      </c>
    </row>
    <row r="1482" spans="1:16" x14ac:dyDescent="0.25">
      <c r="A1482" t="s">
        <v>4021</v>
      </c>
      <c r="B1482" t="s">
        <v>1144</v>
      </c>
      <c r="C1482" t="s">
        <v>18</v>
      </c>
      <c r="E1482" t="s">
        <v>20</v>
      </c>
      <c r="F1482" t="s">
        <v>32</v>
      </c>
      <c r="G1482" t="s">
        <v>69</v>
      </c>
      <c r="H1482" t="s">
        <v>23</v>
      </c>
      <c r="I1482" t="s">
        <v>24</v>
      </c>
      <c r="J1482" t="s">
        <v>4022</v>
      </c>
      <c r="L1482">
        <v>3.5</v>
      </c>
      <c r="M1482">
        <v>288000</v>
      </c>
      <c r="N1482">
        <v>2.9</v>
      </c>
      <c r="O1482">
        <v>6</v>
      </c>
      <c r="P1482" t="s">
        <v>26</v>
      </c>
    </row>
    <row r="1483" spans="1:16" x14ac:dyDescent="0.25">
      <c r="A1483" t="s">
        <v>4023</v>
      </c>
      <c r="B1483" t="s">
        <v>3138</v>
      </c>
      <c r="C1483" t="s">
        <v>18</v>
      </c>
      <c r="D1483" t="s">
        <v>79</v>
      </c>
      <c r="E1483" t="s">
        <v>20</v>
      </c>
      <c r="F1483" t="s">
        <v>32</v>
      </c>
      <c r="G1483" t="s">
        <v>69</v>
      </c>
      <c r="H1483" t="s">
        <v>34</v>
      </c>
      <c r="I1483" t="s">
        <v>35</v>
      </c>
      <c r="J1483" t="s">
        <v>2056</v>
      </c>
      <c r="L1483">
        <v>3.7</v>
      </c>
      <c r="M1483">
        <v>312000</v>
      </c>
      <c r="N1483">
        <v>4.8</v>
      </c>
      <c r="O1483">
        <v>36</v>
      </c>
      <c r="P1483" t="s">
        <v>26</v>
      </c>
    </row>
    <row r="1484" spans="1:16" x14ac:dyDescent="0.25">
      <c r="A1484" t="s">
        <v>4024</v>
      </c>
      <c r="B1484" t="s">
        <v>3460</v>
      </c>
      <c r="C1484" t="s">
        <v>18</v>
      </c>
      <c r="D1484" t="s">
        <v>50</v>
      </c>
      <c r="E1484" t="s">
        <v>20</v>
      </c>
      <c r="F1484" t="s">
        <v>128</v>
      </c>
      <c r="G1484" t="s">
        <v>33</v>
      </c>
      <c r="H1484" t="s">
        <v>23</v>
      </c>
      <c r="I1484" t="s">
        <v>24</v>
      </c>
      <c r="J1484" t="s">
        <v>441</v>
      </c>
      <c r="L1484">
        <v>2.8</v>
      </c>
      <c r="M1484">
        <v>360000</v>
      </c>
      <c r="N1484">
        <v>4.9000000000000004</v>
      </c>
      <c r="O1484">
        <v>1</v>
      </c>
      <c r="P1484" t="s">
        <v>26</v>
      </c>
    </row>
    <row r="1485" spans="1:16" x14ac:dyDescent="0.25">
      <c r="A1485" t="s">
        <v>4025</v>
      </c>
      <c r="B1485" t="s">
        <v>123</v>
      </c>
      <c r="C1485" t="s">
        <v>29</v>
      </c>
      <c r="D1485" t="s">
        <v>50</v>
      </c>
      <c r="E1485" t="s">
        <v>20</v>
      </c>
      <c r="G1485" t="s">
        <v>33</v>
      </c>
      <c r="H1485" t="s">
        <v>46</v>
      </c>
      <c r="I1485" t="s">
        <v>35</v>
      </c>
      <c r="J1485" t="s">
        <v>4026</v>
      </c>
      <c r="L1485">
        <v>5.5</v>
      </c>
      <c r="M1485">
        <v>427000</v>
      </c>
      <c r="N1485">
        <v>4.2</v>
      </c>
      <c r="O1485">
        <v>4</v>
      </c>
      <c r="P1485" t="s">
        <v>26</v>
      </c>
    </row>
    <row r="1486" spans="1:16" x14ac:dyDescent="0.25">
      <c r="A1486" t="s">
        <v>4027</v>
      </c>
      <c r="B1486" t="s">
        <v>4028</v>
      </c>
      <c r="C1486" t="s">
        <v>18</v>
      </c>
      <c r="D1486" t="s">
        <v>50</v>
      </c>
      <c r="E1486" t="s">
        <v>20</v>
      </c>
      <c r="F1486" t="s">
        <v>39</v>
      </c>
      <c r="G1486" t="s">
        <v>33</v>
      </c>
      <c r="H1486" t="s">
        <v>23</v>
      </c>
      <c r="I1486" t="s">
        <v>57</v>
      </c>
      <c r="J1486" t="s">
        <v>309</v>
      </c>
      <c r="K1486" t="s">
        <v>4029</v>
      </c>
      <c r="L1486">
        <v>5.6</v>
      </c>
      <c r="M1486">
        <v>174000</v>
      </c>
      <c r="N1486">
        <v>4.9000000000000004</v>
      </c>
      <c r="O1486">
        <v>13</v>
      </c>
      <c r="P1486" t="s">
        <v>53</v>
      </c>
    </row>
    <row r="1487" spans="1:16" x14ac:dyDescent="0.25">
      <c r="A1487" t="s">
        <v>4030</v>
      </c>
      <c r="B1487" t="s">
        <v>4031</v>
      </c>
      <c r="C1487" t="s">
        <v>18</v>
      </c>
      <c r="D1487" t="s">
        <v>50</v>
      </c>
      <c r="E1487" t="s">
        <v>810</v>
      </c>
      <c r="F1487" t="s">
        <v>128</v>
      </c>
      <c r="G1487" t="s">
        <v>33</v>
      </c>
      <c r="H1487" t="s">
        <v>46</v>
      </c>
      <c r="I1487" t="s">
        <v>75</v>
      </c>
      <c r="J1487" t="s">
        <v>4032</v>
      </c>
      <c r="L1487">
        <v>1.8</v>
      </c>
      <c r="M1487">
        <v>416000</v>
      </c>
      <c r="N1487">
        <v>3.1</v>
      </c>
      <c r="O1487">
        <v>30</v>
      </c>
      <c r="P1487" t="s">
        <v>26</v>
      </c>
    </row>
    <row r="1488" spans="1:16" x14ac:dyDescent="0.25">
      <c r="A1488" t="s">
        <v>4033</v>
      </c>
      <c r="B1488" t="s">
        <v>4034</v>
      </c>
      <c r="D1488" t="s">
        <v>79</v>
      </c>
      <c r="E1488" t="s">
        <v>20</v>
      </c>
      <c r="F1488" t="s">
        <v>39</v>
      </c>
      <c r="G1488" t="s">
        <v>80</v>
      </c>
      <c r="H1488" t="s">
        <v>46</v>
      </c>
      <c r="I1488" t="s">
        <v>35</v>
      </c>
      <c r="J1488" t="s">
        <v>3782</v>
      </c>
      <c r="K1488" t="s">
        <v>2449</v>
      </c>
      <c r="L1488">
        <v>1.4</v>
      </c>
      <c r="M1488">
        <v>150000</v>
      </c>
      <c r="N1488">
        <v>4.0999999999999996</v>
      </c>
      <c r="O1488">
        <v>7</v>
      </c>
      <c r="P1488" t="s">
        <v>53</v>
      </c>
    </row>
    <row r="1489" spans="1:16" x14ac:dyDescent="0.25">
      <c r="A1489" t="s">
        <v>4035</v>
      </c>
      <c r="B1489" t="s">
        <v>4036</v>
      </c>
      <c r="C1489" t="s">
        <v>18</v>
      </c>
      <c r="D1489" t="s">
        <v>43</v>
      </c>
      <c r="E1489" t="s">
        <v>20</v>
      </c>
      <c r="F1489" t="s">
        <v>39</v>
      </c>
      <c r="G1489" t="s">
        <v>80</v>
      </c>
      <c r="H1489" t="s">
        <v>34</v>
      </c>
      <c r="I1489" t="s">
        <v>57</v>
      </c>
      <c r="J1489" t="s">
        <v>2491</v>
      </c>
      <c r="L1489">
        <v>1.3</v>
      </c>
      <c r="M1489">
        <v>85000</v>
      </c>
      <c r="N1489">
        <v>4.8</v>
      </c>
      <c r="O1489">
        <v>1</v>
      </c>
      <c r="P1489" t="s">
        <v>26</v>
      </c>
    </row>
    <row r="1490" spans="1:16" x14ac:dyDescent="0.25">
      <c r="A1490" t="s">
        <v>4037</v>
      </c>
      <c r="B1490" t="s">
        <v>4038</v>
      </c>
      <c r="C1490" t="s">
        <v>18</v>
      </c>
      <c r="D1490" t="s">
        <v>79</v>
      </c>
      <c r="E1490" t="s">
        <v>20</v>
      </c>
      <c r="F1490" t="s">
        <v>32</v>
      </c>
      <c r="G1490" t="s">
        <v>33</v>
      </c>
      <c r="H1490" t="s">
        <v>46</v>
      </c>
      <c r="I1490" t="s">
        <v>57</v>
      </c>
      <c r="J1490" t="s">
        <v>888</v>
      </c>
      <c r="L1490">
        <v>2.8</v>
      </c>
      <c r="M1490">
        <v>333000</v>
      </c>
      <c r="N1490">
        <v>4.8</v>
      </c>
      <c r="O1490">
        <v>5</v>
      </c>
      <c r="P1490" t="s">
        <v>26</v>
      </c>
    </row>
    <row r="1491" spans="1:16" x14ac:dyDescent="0.25">
      <c r="A1491" t="s">
        <v>4039</v>
      </c>
      <c r="B1491" t="s">
        <v>4040</v>
      </c>
      <c r="C1491" t="s">
        <v>18</v>
      </c>
      <c r="D1491" t="s">
        <v>43</v>
      </c>
      <c r="E1491" t="s">
        <v>20</v>
      </c>
      <c r="F1491" t="s">
        <v>39</v>
      </c>
      <c r="G1491" t="s">
        <v>22</v>
      </c>
      <c r="H1491" t="s">
        <v>46</v>
      </c>
      <c r="I1491" t="s">
        <v>75</v>
      </c>
      <c r="J1491" t="s">
        <v>4041</v>
      </c>
      <c r="L1491">
        <v>1.3</v>
      </c>
      <c r="M1491">
        <v>129000</v>
      </c>
      <c r="N1491">
        <v>2.8</v>
      </c>
      <c r="O1491">
        <v>1</v>
      </c>
      <c r="P1491" t="s">
        <v>26</v>
      </c>
    </row>
    <row r="1492" spans="1:16" x14ac:dyDescent="0.25">
      <c r="A1492" t="s">
        <v>4042</v>
      </c>
      <c r="B1492" t="s">
        <v>2168</v>
      </c>
      <c r="C1492" t="s">
        <v>18</v>
      </c>
      <c r="D1492" t="s">
        <v>50</v>
      </c>
      <c r="E1492" t="s">
        <v>31</v>
      </c>
      <c r="F1492" t="s">
        <v>128</v>
      </c>
      <c r="G1492" t="s">
        <v>80</v>
      </c>
      <c r="H1492" t="s">
        <v>23</v>
      </c>
      <c r="I1492" t="s">
        <v>24</v>
      </c>
      <c r="J1492" t="s">
        <v>3969</v>
      </c>
      <c r="L1492">
        <v>2.7</v>
      </c>
      <c r="M1492">
        <v>515000</v>
      </c>
      <c r="N1492">
        <v>2.6</v>
      </c>
      <c r="O1492">
        <v>11</v>
      </c>
      <c r="P1492" t="s">
        <v>26</v>
      </c>
    </row>
    <row r="1493" spans="1:16" x14ac:dyDescent="0.25">
      <c r="A1493" t="s">
        <v>4043</v>
      </c>
      <c r="B1493" t="s">
        <v>509</v>
      </c>
      <c r="C1493" t="s">
        <v>29</v>
      </c>
      <c r="D1493" t="s">
        <v>50</v>
      </c>
      <c r="E1493" t="s">
        <v>20</v>
      </c>
      <c r="F1493" t="s">
        <v>39</v>
      </c>
      <c r="G1493" t="s">
        <v>33</v>
      </c>
      <c r="H1493" t="s">
        <v>34</v>
      </c>
      <c r="I1493" t="s">
        <v>35</v>
      </c>
      <c r="J1493" t="s">
        <v>4044</v>
      </c>
      <c r="L1493">
        <v>2.8</v>
      </c>
      <c r="M1493">
        <v>131000</v>
      </c>
      <c r="N1493">
        <v>2.7</v>
      </c>
      <c r="O1493">
        <v>13</v>
      </c>
      <c r="P1493" t="s">
        <v>26</v>
      </c>
    </row>
    <row r="1494" spans="1:16" x14ac:dyDescent="0.25">
      <c r="A1494" t="s">
        <v>4045</v>
      </c>
      <c r="B1494" t="s">
        <v>4046</v>
      </c>
      <c r="C1494" t="s">
        <v>18</v>
      </c>
      <c r="D1494" t="s">
        <v>19</v>
      </c>
      <c r="E1494" t="s">
        <v>44</v>
      </c>
      <c r="F1494" t="s">
        <v>128</v>
      </c>
      <c r="G1494" t="s">
        <v>33</v>
      </c>
      <c r="H1494" t="s">
        <v>34</v>
      </c>
      <c r="I1494" t="s">
        <v>35</v>
      </c>
      <c r="J1494" t="s">
        <v>3253</v>
      </c>
      <c r="L1494">
        <v>2.6</v>
      </c>
      <c r="M1494">
        <v>660000</v>
      </c>
      <c r="N1494">
        <v>4.0999999999999996</v>
      </c>
      <c r="O1494">
        <v>6</v>
      </c>
      <c r="P1494" t="s">
        <v>26</v>
      </c>
    </row>
    <row r="1495" spans="1:16" x14ac:dyDescent="0.25">
      <c r="A1495" t="s">
        <v>4047</v>
      </c>
      <c r="B1495" t="s">
        <v>4048</v>
      </c>
      <c r="C1495" t="s">
        <v>18</v>
      </c>
      <c r="D1495" t="s">
        <v>30</v>
      </c>
      <c r="E1495" t="s">
        <v>20</v>
      </c>
      <c r="F1495" t="s">
        <v>39</v>
      </c>
      <c r="G1495" t="s">
        <v>80</v>
      </c>
      <c r="H1495" t="s">
        <v>46</v>
      </c>
      <c r="I1495" t="s">
        <v>24</v>
      </c>
      <c r="J1495" t="s">
        <v>4049</v>
      </c>
      <c r="K1495" t="s">
        <v>1526</v>
      </c>
      <c r="L1495">
        <v>5.0999999999999996</v>
      </c>
      <c r="M1495">
        <v>120000</v>
      </c>
      <c r="N1495">
        <v>3.1</v>
      </c>
      <c r="O1495">
        <v>2</v>
      </c>
      <c r="P1495" t="s">
        <v>72</v>
      </c>
    </row>
    <row r="1496" spans="1:16" x14ac:dyDescent="0.25">
      <c r="A1496" t="s">
        <v>4050</v>
      </c>
      <c r="B1496" t="s">
        <v>942</v>
      </c>
      <c r="C1496" t="s">
        <v>18</v>
      </c>
      <c r="D1496" t="s">
        <v>30</v>
      </c>
      <c r="E1496" t="s">
        <v>20</v>
      </c>
      <c r="F1496" t="s">
        <v>128</v>
      </c>
      <c r="G1496" t="s">
        <v>33</v>
      </c>
      <c r="H1496" t="s">
        <v>46</v>
      </c>
      <c r="I1496" t="s">
        <v>24</v>
      </c>
      <c r="J1496" t="s">
        <v>866</v>
      </c>
      <c r="K1496" t="s">
        <v>4051</v>
      </c>
      <c r="L1496">
        <v>2.4</v>
      </c>
      <c r="M1496">
        <v>524000</v>
      </c>
      <c r="N1496">
        <v>3.1</v>
      </c>
      <c r="P1496" t="s">
        <v>53</v>
      </c>
    </row>
    <row r="1497" spans="1:16" x14ac:dyDescent="0.25">
      <c r="A1497" t="s">
        <v>4052</v>
      </c>
      <c r="B1497" t="s">
        <v>4053</v>
      </c>
      <c r="C1497" t="s">
        <v>18</v>
      </c>
      <c r="D1497" t="s">
        <v>79</v>
      </c>
      <c r="E1497" t="s">
        <v>20</v>
      </c>
      <c r="F1497" t="s">
        <v>39</v>
      </c>
      <c r="G1497" t="s">
        <v>22</v>
      </c>
      <c r="H1497" t="s">
        <v>34</v>
      </c>
      <c r="I1497" t="s">
        <v>57</v>
      </c>
      <c r="J1497" t="s">
        <v>4054</v>
      </c>
      <c r="L1497">
        <v>6.2</v>
      </c>
      <c r="M1497">
        <v>125000</v>
      </c>
      <c r="N1497">
        <v>5</v>
      </c>
      <c r="O1497">
        <v>3</v>
      </c>
      <c r="P1497" t="s">
        <v>26</v>
      </c>
    </row>
    <row r="1498" spans="1:16" x14ac:dyDescent="0.25">
      <c r="A1498" t="s">
        <v>4055</v>
      </c>
      <c r="B1498" t="s">
        <v>1163</v>
      </c>
      <c r="C1498" t="s">
        <v>18</v>
      </c>
      <c r="D1498" t="s">
        <v>79</v>
      </c>
      <c r="F1498" t="s">
        <v>128</v>
      </c>
      <c r="G1498" t="s">
        <v>80</v>
      </c>
      <c r="H1498" t="s">
        <v>23</v>
      </c>
      <c r="I1498" t="s">
        <v>57</v>
      </c>
      <c r="J1498" t="s">
        <v>256</v>
      </c>
      <c r="L1498">
        <v>4.3</v>
      </c>
      <c r="M1498">
        <v>406000</v>
      </c>
      <c r="N1498">
        <v>3</v>
      </c>
      <c r="O1498">
        <v>10</v>
      </c>
      <c r="P1498" t="s">
        <v>26</v>
      </c>
    </row>
    <row r="1499" spans="1:16" x14ac:dyDescent="0.25">
      <c r="A1499" t="s">
        <v>4056</v>
      </c>
      <c r="B1499" t="s">
        <v>1374</v>
      </c>
      <c r="C1499" t="s">
        <v>18</v>
      </c>
      <c r="D1499" t="s">
        <v>79</v>
      </c>
      <c r="E1499" t="s">
        <v>20</v>
      </c>
      <c r="F1499" t="s">
        <v>39</v>
      </c>
      <c r="G1499" t="s">
        <v>22</v>
      </c>
      <c r="I1499" t="s">
        <v>75</v>
      </c>
      <c r="J1499" t="s">
        <v>1102</v>
      </c>
      <c r="L1499">
        <v>2.5</v>
      </c>
      <c r="M1499">
        <v>115000</v>
      </c>
      <c r="N1499">
        <v>3.4</v>
      </c>
      <c r="O1499">
        <v>11</v>
      </c>
      <c r="P1499" t="s">
        <v>26</v>
      </c>
    </row>
    <row r="1500" spans="1:16" x14ac:dyDescent="0.25">
      <c r="A1500" t="s">
        <v>4057</v>
      </c>
      <c r="B1500" t="s">
        <v>4058</v>
      </c>
      <c r="C1500" t="s">
        <v>18</v>
      </c>
      <c r="D1500" t="s">
        <v>79</v>
      </c>
      <c r="E1500" t="s">
        <v>20</v>
      </c>
      <c r="F1500" t="s">
        <v>128</v>
      </c>
      <c r="G1500" t="s">
        <v>22</v>
      </c>
      <c r="H1500" t="s">
        <v>23</v>
      </c>
      <c r="I1500" t="s">
        <v>57</v>
      </c>
      <c r="J1500" t="s">
        <v>1151</v>
      </c>
      <c r="K1500" t="s">
        <v>1145</v>
      </c>
      <c r="L1500">
        <v>3.9</v>
      </c>
      <c r="M1500">
        <v>357000</v>
      </c>
      <c r="N1500">
        <v>2.9</v>
      </c>
      <c r="O1500">
        <v>11</v>
      </c>
      <c r="P1500" t="s">
        <v>53</v>
      </c>
    </row>
    <row r="1501" spans="1:16" x14ac:dyDescent="0.25">
      <c r="A1501" t="s">
        <v>4059</v>
      </c>
      <c r="B1501" t="s">
        <v>2053</v>
      </c>
      <c r="C1501" t="s">
        <v>18</v>
      </c>
      <c r="D1501" t="s">
        <v>30</v>
      </c>
      <c r="E1501" t="s">
        <v>44</v>
      </c>
      <c r="F1501" t="s">
        <v>32</v>
      </c>
      <c r="G1501" t="s">
        <v>33</v>
      </c>
      <c r="H1501" t="s">
        <v>46</v>
      </c>
      <c r="I1501" t="s">
        <v>24</v>
      </c>
      <c r="J1501" t="s">
        <v>3238</v>
      </c>
      <c r="K1501" t="s">
        <v>4060</v>
      </c>
      <c r="L1501">
        <v>1.6</v>
      </c>
      <c r="M1501">
        <v>274000</v>
      </c>
      <c r="N1501">
        <v>4</v>
      </c>
      <c r="O1501">
        <v>13</v>
      </c>
      <c r="P1501" t="s">
        <v>53</v>
      </c>
    </row>
    <row r="1502" spans="1:16" x14ac:dyDescent="0.25">
      <c r="A1502" t="s">
        <v>4061</v>
      </c>
      <c r="B1502" t="s">
        <v>1904</v>
      </c>
      <c r="C1502" t="s">
        <v>29</v>
      </c>
      <c r="D1502" t="s">
        <v>79</v>
      </c>
      <c r="E1502" t="s">
        <v>20</v>
      </c>
      <c r="F1502" t="s">
        <v>32</v>
      </c>
      <c r="G1502" t="s">
        <v>80</v>
      </c>
      <c r="H1502" t="s">
        <v>34</v>
      </c>
      <c r="I1502" t="s">
        <v>24</v>
      </c>
      <c r="J1502" t="s">
        <v>4062</v>
      </c>
      <c r="L1502">
        <v>6.1</v>
      </c>
      <c r="P1502" t="s">
        <v>26</v>
      </c>
    </row>
    <row r="1503" spans="1:16" x14ac:dyDescent="0.25">
      <c r="A1503" t="s">
        <v>4063</v>
      </c>
      <c r="B1503" t="s">
        <v>1420</v>
      </c>
      <c r="C1503" t="s">
        <v>18</v>
      </c>
      <c r="D1503" t="s">
        <v>43</v>
      </c>
      <c r="E1503" t="s">
        <v>31</v>
      </c>
      <c r="F1503" t="s">
        <v>32</v>
      </c>
      <c r="G1503" t="s">
        <v>80</v>
      </c>
      <c r="H1503" t="s">
        <v>23</v>
      </c>
      <c r="I1503" t="s">
        <v>75</v>
      </c>
      <c r="J1503" t="s">
        <v>2708</v>
      </c>
      <c r="L1503">
        <v>3.6</v>
      </c>
      <c r="N1503">
        <v>3.8</v>
      </c>
      <c r="O1503">
        <v>13</v>
      </c>
      <c r="P1503" t="s">
        <v>26</v>
      </c>
    </row>
    <row r="1504" spans="1:16" x14ac:dyDescent="0.25">
      <c r="A1504" t="s">
        <v>4064</v>
      </c>
      <c r="B1504" t="s">
        <v>2139</v>
      </c>
      <c r="C1504" t="s">
        <v>18</v>
      </c>
      <c r="D1504" t="s">
        <v>30</v>
      </c>
      <c r="E1504" t="s">
        <v>20</v>
      </c>
      <c r="F1504" t="s">
        <v>32</v>
      </c>
      <c r="G1504" t="s">
        <v>22</v>
      </c>
      <c r="H1504" t="s">
        <v>23</v>
      </c>
      <c r="I1504" t="s">
        <v>35</v>
      </c>
      <c r="J1504" t="s">
        <v>4065</v>
      </c>
      <c r="L1504">
        <v>3.8</v>
      </c>
      <c r="N1504">
        <v>3.2</v>
      </c>
      <c r="O1504">
        <v>29</v>
      </c>
      <c r="P1504" t="s">
        <v>26</v>
      </c>
    </row>
    <row r="1505" spans="1:16" x14ac:dyDescent="0.25">
      <c r="A1505" t="s">
        <v>4066</v>
      </c>
      <c r="B1505" t="s">
        <v>4067</v>
      </c>
      <c r="C1505" t="s">
        <v>18</v>
      </c>
      <c r="D1505" t="s">
        <v>50</v>
      </c>
      <c r="E1505" t="s">
        <v>44</v>
      </c>
      <c r="F1505" t="s">
        <v>39</v>
      </c>
      <c r="G1505" t="s">
        <v>22</v>
      </c>
      <c r="H1505" t="s">
        <v>34</v>
      </c>
      <c r="I1505" t="s">
        <v>35</v>
      </c>
      <c r="J1505" t="s">
        <v>1413</v>
      </c>
      <c r="L1505">
        <v>2.2000000000000002</v>
      </c>
      <c r="M1505">
        <v>167000</v>
      </c>
      <c r="N1505">
        <v>3.5</v>
      </c>
      <c r="P1505" t="s">
        <v>26</v>
      </c>
    </row>
    <row r="1506" spans="1:16" x14ac:dyDescent="0.25">
      <c r="A1506" t="s">
        <v>4068</v>
      </c>
      <c r="B1506" t="s">
        <v>4069</v>
      </c>
      <c r="C1506" t="s">
        <v>29</v>
      </c>
      <c r="D1506" t="s">
        <v>43</v>
      </c>
      <c r="E1506" t="s">
        <v>20</v>
      </c>
      <c r="F1506" t="s">
        <v>128</v>
      </c>
      <c r="G1506" t="s">
        <v>22</v>
      </c>
      <c r="H1506" t="s">
        <v>34</v>
      </c>
      <c r="I1506" t="s">
        <v>24</v>
      </c>
      <c r="J1506" t="s">
        <v>1184</v>
      </c>
      <c r="K1506" t="s">
        <v>4070</v>
      </c>
      <c r="L1506">
        <v>1.6</v>
      </c>
      <c r="M1506">
        <v>406000</v>
      </c>
      <c r="N1506">
        <v>2.7</v>
      </c>
      <c r="O1506">
        <v>0</v>
      </c>
      <c r="P1506" t="s">
        <v>72</v>
      </c>
    </row>
    <row r="1507" spans="1:16" x14ac:dyDescent="0.25">
      <c r="A1507" t="s">
        <v>4071</v>
      </c>
      <c r="B1507" t="s">
        <v>1312</v>
      </c>
      <c r="C1507" t="s">
        <v>29</v>
      </c>
      <c r="D1507" t="s">
        <v>50</v>
      </c>
      <c r="E1507" t="s">
        <v>31</v>
      </c>
      <c r="F1507" t="s">
        <v>45</v>
      </c>
      <c r="G1507" t="s">
        <v>33</v>
      </c>
      <c r="H1507" t="s">
        <v>46</v>
      </c>
      <c r="I1507" t="s">
        <v>24</v>
      </c>
      <c r="J1507" t="s">
        <v>4072</v>
      </c>
      <c r="L1507">
        <v>5.7</v>
      </c>
      <c r="M1507">
        <v>1272000</v>
      </c>
      <c r="N1507">
        <v>4.2</v>
      </c>
      <c r="O1507">
        <v>8</v>
      </c>
      <c r="P1507" t="s">
        <v>26</v>
      </c>
    </row>
    <row r="1508" spans="1:16" x14ac:dyDescent="0.25">
      <c r="A1508" t="s">
        <v>4073</v>
      </c>
      <c r="B1508" t="s">
        <v>434</v>
      </c>
      <c r="C1508" t="s">
        <v>29</v>
      </c>
      <c r="D1508" t="s">
        <v>50</v>
      </c>
      <c r="E1508" t="s">
        <v>20</v>
      </c>
      <c r="F1508" t="s">
        <v>39</v>
      </c>
      <c r="G1508" t="s">
        <v>22</v>
      </c>
      <c r="H1508" t="s">
        <v>46</v>
      </c>
      <c r="I1508" t="s">
        <v>24</v>
      </c>
      <c r="J1508" t="s">
        <v>292</v>
      </c>
      <c r="L1508">
        <v>2.7</v>
      </c>
      <c r="M1508">
        <v>158000</v>
      </c>
      <c r="N1508">
        <v>3.9</v>
      </c>
      <c r="O1508">
        <v>4</v>
      </c>
      <c r="P1508" t="s">
        <v>26</v>
      </c>
    </row>
    <row r="1509" spans="1:16" x14ac:dyDescent="0.25">
      <c r="A1509" t="s">
        <v>4074</v>
      </c>
      <c r="B1509" t="s">
        <v>4075</v>
      </c>
      <c r="C1509" t="s">
        <v>29</v>
      </c>
      <c r="D1509" t="s">
        <v>50</v>
      </c>
      <c r="F1509" t="s">
        <v>39</v>
      </c>
      <c r="G1509" t="s">
        <v>22</v>
      </c>
      <c r="H1509" t="s">
        <v>34</v>
      </c>
      <c r="I1509" t="s">
        <v>57</v>
      </c>
      <c r="J1509" t="s">
        <v>4076</v>
      </c>
      <c r="K1509" t="s">
        <v>3340</v>
      </c>
      <c r="L1509">
        <v>5.8</v>
      </c>
      <c r="M1509">
        <v>103000</v>
      </c>
      <c r="N1509">
        <v>3.7</v>
      </c>
      <c r="O1509">
        <v>30</v>
      </c>
      <c r="P1509" t="s">
        <v>53</v>
      </c>
    </row>
    <row r="1510" spans="1:16" x14ac:dyDescent="0.25">
      <c r="A1510" t="s">
        <v>4077</v>
      </c>
      <c r="B1510" t="s">
        <v>4078</v>
      </c>
      <c r="C1510" t="s">
        <v>29</v>
      </c>
      <c r="D1510" t="s">
        <v>79</v>
      </c>
      <c r="E1510" t="s">
        <v>44</v>
      </c>
      <c r="F1510" t="s">
        <v>32</v>
      </c>
      <c r="G1510" t="s">
        <v>80</v>
      </c>
      <c r="H1510" t="s">
        <v>34</v>
      </c>
      <c r="I1510" t="s">
        <v>24</v>
      </c>
      <c r="J1510" t="s">
        <v>1846</v>
      </c>
      <c r="L1510">
        <v>4</v>
      </c>
      <c r="M1510">
        <v>300000</v>
      </c>
      <c r="N1510">
        <v>3.1</v>
      </c>
      <c r="O1510">
        <v>14</v>
      </c>
      <c r="P1510" t="s">
        <v>26</v>
      </c>
    </row>
    <row r="1511" spans="1:16" x14ac:dyDescent="0.25">
      <c r="A1511" t="s">
        <v>4079</v>
      </c>
      <c r="B1511" t="s">
        <v>1291</v>
      </c>
      <c r="C1511" t="s">
        <v>18</v>
      </c>
      <c r="D1511" t="s">
        <v>30</v>
      </c>
      <c r="E1511" t="s">
        <v>20</v>
      </c>
      <c r="F1511" t="s">
        <v>128</v>
      </c>
      <c r="G1511" t="s">
        <v>33</v>
      </c>
      <c r="H1511" t="s">
        <v>62</v>
      </c>
      <c r="J1511" t="s">
        <v>4080</v>
      </c>
      <c r="L1511">
        <v>2.4</v>
      </c>
      <c r="M1511">
        <v>414000</v>
      </c>
      <c r="N1511">
        <v>3.6</v>
      </c>
      <c r="O1511">
        <v>2</v>
      </c>
      <c r="P1511" t="s">
        <v>26</v>
      </c>
    </row>
    <row r="1512" spans="1:16" x14ac:dyDescent="0.25">
      <c r="A1512" t="s">
        <v>4081</v>
      </c>
      <c r="B1512" t="s">
        <v>4082</v>
      </c>
      <c r="C1512" t="s">
        <v>29</v>
      </c>
      <c r="D1512" t="s">
        <v>50</v>
      </c>
      <c r="E1512" t="s">
        <v>20</v>
      </c>
      <c r="F1512" t="s">
        <v>45</v>
      </c>
      <c r="G1512" t="s">
        <v>80</v>
      </c>
      <c r="H1512" t="s">
        <v>34</v>
      </c>
      <c r="I1512" t="s">
        <v>35</v>
      </c>
      <c r="J1512" t="s">
        <v>2559</v>
      </c>
      <c r="L1512">
        <v>4.0999999999999996</v>
      </c>
      <c r="M1512">
        <v>1670000</v>
      </c>
      <c r="N1512">
        <v>3.3</v>
      </c>
      <c r="O1512">
        <v>0</v>
      </c>
      <c r="P1512" t="s">
        <v>26</v>
      </c>
    </row>
    <row r="1513" spans="1:16" x14ac:dyDescent="0.25">
      <c r="A1513" t="s">
        <v>4083</v>
      </c>
      <c r="B1513" t="s">
        <v>4084</v>
      </c>
      <c r="C1513" t="s">
        <v>18</v>
      </c>
      <c r="D1513" t="s">
        <v>79</v>
      </c>
      <c r="E1513" t="s">
        <v>20</v>
      </c>
      <c r="F1513" t="s">
        <v>128</v>
      </c>
      <c r="G1513" t="s">
        <v>80</v>
      </c>
      <c r="H1513" t="s">
        <v>23</v>
      </c>
      <c r="I1513" t="s">
        <v>24</v>
      </c>
      <c r="J1513" t="s">
        <v>4085</v>
      </c>
      <c r="L1513">
        <v>5.4</v>
      </c>
      <c r="M1513">
        <v>560000</v>
      </c>
      <c r="N1513">
        <v>3</v>
      </c>
      <c r="O1513">
        <v>8</v>
      </c>
      <c r="P1513" t="s">
        <v>26</v>
      </c>
    </row>
    <row r="1514" spans="1:16" x14ac:dyDescent="0.25">
      <c r="A1514" t="s">
        <v>4086</v>
      </c>
      <c r="B1514" t="s">
        <v>4087</v>
      </c>
      <c r="D1514" t="s">
        <v>50</v>
      </c>
      <c r="E1514" t="s">
        <v>44</v>
      </c>
      <c r="F1514" t="s">
        <v>32</v>
      </c>
      <c r="G1514" t="s">
        <v>22</v>
      </c>
      <c r="H1514" t="s">
        <v>34</v>
      </c>
      <c r="I1514" t="s">
        <v>24</v>
      </c>
      <c r="J1514" t="s">
        <v>4088</v>
      </c>
      <c r="L1514">
        <v>3.7</v>
      </c>
      <c r="M1514">
        <v>319000</v>
      </c>
      <c r="N1514">
        <v>4.9000000000000004</v>
      </c>
      <c r="O1514">
        <v>12</v>
      </c>
      <c r="P1514" t="s">
        <v>26</v>
      </c>
    </row>
    <row r="1515" spans="1:16" x14ac:dyDescent="0.25">
      <c r="A1515" t="s">
        <v>4089</v>
      </c>
      <c r="B1515" t="s">
        <v>4090</v>
      </c>
      <c r="C1515" t="s">
        <v>18</v>
      </c>
      <c r="D1515" t="s">
        <v>30</v>
      </c>
      <c r="E1515" t="s">
        <v>20</v>
      </c>
      <c r="F1515" t="s">
        <v>32</v>
      </c>
      <c r="G1515" t="s">
        <v>22</v>
      </c>
      <c r="H1515" t="s">
        <v>23</v>
      </c>
      <c r="I1515" t="s">
        <v>171</v>
      </c>
      <c r="J1515" t="s">
        <v>3120</v>
      </c>
      <c r="K1515" t="s">
        <v>4091</v>
      </c>
      <c r="L1515">
        <v>1.5</v>
      </c>
      <c r="M1515">
        <v>186000</v>
      </c>
      <c r="N1515">
        <v>1.7</v>
      </c>
      <c r="O1515">
        <v>39</v>
      </c>
      <c r="P1515" t="s">
        <v>53</v>
      </c>
    </row>
    <row r="1516" spans="1:16" x14ac:dyDescent="0.25">
      <c r="A1516" t="s">
        <v>4092</v>
      </c>
      <c r="B1516" t="s">
        <v>4093</v>
      </c>
      <c r="C1516" t="s">
        <v>18</v>
      </c>
      <c r="D1516" t="s">
        <v>19</v>
      </c>
      <c r="E1516" t="s">
        <v>20</v>
      </c>
      <c r="F1516" t="s">
        <v>39</v>
      </c>
      <c r="G1516" t="s">
        <v>22</v>
      </c>
      <c r="H1516" t="s">
        <v>34</v>
      </c>
      <c r="I1516" t="s">
        <v>35</v>
      </c>
      <c r="J1516" t="s">
        <v>4094</v>
      </c>
      <c r="L1516">
        <v>6</v>
      </c>
      <c r="M1516">
        <v>164000</v>
      </c>
      <c r="O1516">
        <v>13</v>
      </c>
      <c r="P1516" t="s">
        <v>26</v>
      </c>
    </row>
    <row r="1517" spans="1:16" x14ac:dyDescent="0.25">
      <c r="A1517" t="s">
        <v>4095</v>
      </c>
      <c r="B1517" t="s">
        <v>1150</v>
      </c>
      <c r="C1517" t="s">
        <v>18</v>
      </c>
      <c r="D1517" t="s">
        <v>30</v>
      </c>
      <c r="E1517" t="s">
        <v>20</v>
      </c>
      <c r="F1517" t="s">
        <v>32</v>
      </c>
      <c r="G1517" t="s">
        <v>22</v>
      </c>
      <c r="H1517" t="s">
        <v>46</v>
      </c>
      <c r="I1517" t="s">
        <v>57</v>
      </c>
      <c r="J1517" t="s">
        <v>4096</v>
      </c>
      <c r="K1517" t="s">
        <v>1398</v>
      </c>
      <c r="L1517">
        <v>6.1</v>
      </c>
      <c r="M1517">
        <v>247000</v>
      </c>
      <c r="N1517">
        <v>1.8</v>
      </c>
      <c r="O1517">
        <v>8</v>
      </c>
      <c r="P1517" t="s">
        <v>53</v>
      </c>
    </row>
    <row r="1518" spans="1:16" x14ac:dyDescent="0.25">
      <c r="A1518" t="s">
        <v>4097</v>
      </c>
      <c r="B1518" t="s">
        <v>1027</v>
      </c>
      <c r="C1518" t="s">
        <v>29</v>
      </c>
      <c r="D1518" t="s">
        <v>19</v>
      </c>
      <c r="E1518" t="s">
        <v>44</v>
      </c>
      <c r="F1518" t="s">
        <v>39</v>
      </c>
      <c r="G1518" t="s">
        <v>69</v>
      </c>
      <c r="H1518" t="s">
        <v>62</v>
      </c>
      <c r="I1518" t="s">
        <v>24</v>
      </c>
      <c r="J1518" t="s">
        <v>1336</v>
      </c>
      <c r="K1518" t="s">
        <v>3320</v>
      </c>
      <c r="L1518">
        <v>2.9</v>
      </c>
      <c r="M1518">
        <v>152000</v>
      </c>
      <c r="N1518">
        <v>3</v>
      </c>
      <c r="O1518">
        <v>11</v>
      </c>
      <c r="P1518" t="s">
        <v>53</v>
      </c>
    </row>
    <row r="1519" spans="1:16" x14ac:dyDescent="0.25">
      <c r="A1519" t="s">
        <v>4098</v>
      </c>
      <c r="B1519" t="s">
        <v>4099</v>
      </c>
      <c r="C1519" t="s">
        <v>18</v>
      </c>
      <c r="D1519" t="s">
        <v>43</v>
      </c>
      <c r="E1519" t="s">
        <v>31</v>
      </c>
      <c r="F1519" t="s">
        <v>128</v>
      </c>
      <c r="G1519" t="s">
        <v>69</v>
      </c>
      <c r="H1519" t="s">
        <v>34</v>
      </c>
      <c r="I1519" t="s">
        <v>57</v>
      </c>
      <c r="J1519" t="s">
        <v>338</v>
      </c>
      <c r="L1519">
        <v>4.3</v>
      </c>
      <c r="M1519">
        <v>417000</v>
      </c>
      <c r="N1519">
        <v>3.5</v>
      </c>
      <c r="O1519">
        <v>7</v>
      </c>
      <c r="P1519" t="s">
        <v>26</v>
      </c>
    </row>
    <row r="1520" spans="1:16" x14ac:dyDescent="0.25">
      <c r="A1520" t="s">
        <v>4100</v>
      </c>
      <c r="B1520" t="s">
        <v>1371</v>
      </c>
      <c r="D1520" t="s">
        <v>50</v>
      </c>
      <c r="E1520" t="s">
        <v>20</v>
      </c>
      <c r="F1520" t="s">
        <v>128</v>
      </c>
      <c r="G1520" t="s">
        <v>69</v>
      </c>
      <c r="H1520" t="s">
        <v>34</v>
      </c>
      <c r="I1520" t="s">
        <v>24</v>
      </c>
      <c r="J1520" t="s">
        <v>3619</v>
      </c>
      <c r="L1520">
        <v>2.8</v>
      </c>
      <c r="M1520">
        <v>582000</v>
      </c>
      <c r="N1520">
        <v>4.7</v>
      </c>
      <c r="O1520">
        <v>3</v>
      </c>
      <c r="P1520" t="s">
        <v>26</v>
      </c>
    </row>
    <row r="1521" spans="1:16" x14ac:dyDescent="0.25">
      <c r="A1521" t="s">
        <v>4101</v>
      </c>
      <c r="B1521" t="s">
        <v>4102</v>
      </c>
      <c r="C1521" t="s">
        <v>29</v>
      </c>
      <c r="D1521" t="s">
        <v>50</v>
      </c>
      <c r="E1521" t="s">
        <v>31</v>
      </c>
      <c r="F1521" t="s">
        <v>39</v>
      </c>
      <c r="G1521" t="s">
        <v>80</v>
      </c>
      <c r="H1521" t="s">
        <v>23</v>
      </c>
      <c r="I1521" t="s">
        <v>24</v>
      </c>
      <c r="J1521" t="s">
        <v>2342</v>
      </c>
      <c r="K1521" t="s">
        <v>4103</v>
      </c>
      <c r="L1521">
        <v>2</v>
      </c>
      <c r="M1521">
        <v>174000</v>
      </c>
      <c r="N1521">
        <v>4.8</v>
      </c>
      <c r="O1521">
        <v>28</v>
      </c>
      <c r="P1521" t="s">
        <v>53</v>
      </c>
    </row>
    <row r="1522" spans="1:16" x14ac:dyDescent="0.25">
      <c r="A1522" t="s">
        <v>4104</v>
      </c>
      <c r="B1522" t="s">
        <v>4105</v>
      </c>
      <c r="C1522" t="s">
        <v>18</v>
      </c>
      <c r="D1522" t="s">
        <v>30</v>
      </c>
      <c r="E1522" t="s">
        <v>20</v>
      </c>
      <c r="F1522" t="s">
        <v>39</v>
      </c>
      <c r="G1522" t="s">
        <v>22</v>
      </c>
      <c r="H1522" t="s">
        <v>34</v>
      </c>
      <c r="I1522" t="s">
        <v>57</v>
      </c>
      <c r="J1522" t="s">
        <v>354</v>
      </c>
      <c r="K1522" t="s">
        <v>4106</v>
      </c>
      <c r="L1522">
        <v>1.4</v>
      </c>
      <c r="M1522">
        <v>160000</v>
      </c>
      <c r="N1522">
        <v>3.4</v>
      </c>
      <c r="O1522">
        <v>40</v>
      </c>
      <c r="P1522" t="s">
        <v>53</v>
      </c>
    </row>
    <row r="1523" spans="1:16" x14ac:dyDescent="0.25">
      <c r="A1523" t="s">
        <v>4107</v>
      </c>
      <c r="B1523" t="s">
        <v>574</v>
      </c>
      <c r="C1523" t="s">
        <v>29</v>
      </c>
      <c r="D1523" t="s">
        <v>30</v>
      </c>
      <c r="E1523" t="s">
        <v>44</v>
      </c>
      <c r="F1523" t="s">
        <v>39</v>
      </c>
      <c r="G1523" t="s">
        <v>80</v>
      </c>
      <c r="H1523" t="s">
        <v>34</v>
      </c>
      <c r="I1523" t="s">
        <v>35</v>
      </c>
      <c r="J1523" t="s">
        <v>3179</v>
      </c>
      <c r="K1523" t="s">
        <v>4108</v>
      </c>
      <c r="L1523">
        <v>6.1</v>
      </c>
      <c r="M1523">
        <v>109000</v>
      </c>
      <c r="N1523">
        <v>1.5</v>
      </c>
      <c r="O1523">
        <v>22</v>
      </c>
      <c r="P1523" t="s">
        <v>53</v>
      </c>
    </row>
    <row r="1524" spans="1:16" x14ac:dyDescent="0.25">
      <c r="A1524" t="s">
        <v>4109</v>
      </c>
      <c r="B1524" t="s">
        <v>4110</v>
      </c>
      <c r="C1524" t="s">
        <v>18</v>
      </c>
      <c r="D1524" t="s">
        <v>43</v>
      </c>
      <c r="E1524" t="s">
        <v>20</v>
      </c>
      <c r="F1524" t="s">
        <v>128</v>
      </c>
      <c r="G1524" t="s">
        <v>69</v>
      </c>
      <c r="H1524" t="s">
        <v>23</v>
      </c>
      <c r="I1524" t="s">
        <v>24</v>
      </c>
      <c r="J1524" t="s">
        <v>1522</v>
      </c>
      <c r="K1524" t="s">
        <v>4111</v>
      </c>
      <c r="L1524">
        <v>2.5</v>
      </c>
      <c r="M1524">
        <v>456000</v>
      </c>
      <c r="N1524">
        <v>3.9</v>
      </c>
      <c r="P1524" t="s">
        <v>72</v>
      </c>
    </row>
    <row r="1525" spans="1:16" x14ac:dyDescent="0.25">
      <c r="A1525" t="s">
        <v>4112</v>
      </c>
      <c r="B1525" t="s">
        <v>4113</v>
      </c>
      <c r="C1525" t="s">
        <v>18</v>
      </c>
      <c r="D1525" t="s">
        <v>30</v>
      </c>
      <c r="E1525" t="s">
        <v>20</v>
      </c>
      <c r="F1525" t="s">
        <v>32</v>
      </c>
      <c r="G1525" t="s">
        <v>80</v>
      </c>
      <c r="H1525" t="s">
        <v>34</v>
      </c>
      <c r="J1525" t="s">
        <v>773</v>
      </c>
      <c r="L1525">
        <v>3.7</v>
      </c>
      <c r="M1525">
        <v>240000</v>
      </c>
      <c r="N1525">
        <v>1.7</v>
      </c>
      <c r="O1525">
        <v>4</v>
      </c>
      <c r="P1525" t="s">
        <v>26</v>
      </c>
    </row>
    <row r="1526" spans="1:16" x14ac:dyDescent="0.25">
      <c r="A1526" t="s">
        <v>4114</v>
      </c>
      <c r="B1526" t="s">
        <v>83</v>
      </c>
      <c r="C1526" t="s">
        <v>29</v>
      </c>
      <c r="D1526" t="s">
        <v>30</v>
      </c>
      <c r="E1526" t="s">
        <v>44</v>
      </c>
      <c r="F1526" t="s">
        <v>128</v>
      </c>
      <c r="G1526" t="s">
        <v>22</v>
      </c>
      <c r="H1526" t="s">
        <v>62</v>
      </c>
      <c r="I1526" t="s">
        <v>35</v>
      </c>
      <c r="J1526" t="s">
        <v>2510</v>
      </c>
      <c r="K1526" t="s">
        <v>2993</v>
      </c>
      <c r="L1526">
        <v>2.8</v>
      </c>
      <c r="N1526">
        <v>4.8</v>
      </c>
      <c r="O1526">
        <v>13</v>
      </c>
      <c r="P1526" t="s">
        <v>53</v>
      </c>
    </row>
    <row r="1527" spans="1:16" x14ac:dyDescent="0.25">
      <c r="A1527" t="s">
        <v>4115</v>
      </c>
      <c r="B1527" t="s">
        <v>4116</v>
      </c>
      <c r="C1527" t="s">
        <v>18</v>
      </c>
      <c r="D1527" t="s">
        <v>30</v>
      </c>
      <c r="E1527" t="s">
        <v>20</v>
      </c>
      <c r="F1527" t="s">
        <v>32</v>
      </c>
      <c r="G1527" t="s">
        <v>22</v>
      </c>
      <c r="H1527" t="s">
        <v>34</v>
      </c>
      <c r="I1527" t="s">
        <v>35</v>
      </c>
      <c r="J1527" t="s">
        <v>850</v>
      </c>
      <c r="L1527">
        <v>2.2000000000000002</v>
      </c>
      <c r="M1527">
        <v>265000</v>
      </c>
      <c r="N1527">
        <v>2.1</v>
      </c>
      <c r="O1527">
        <v>11</v>
      </c>
      <c r="P1527" t="s">
        <v>26</v>
      </c>
    </row>
    <row r="1528" spans="1:16" x14ac:dyDescent="0.25">
      <c r="A1528" t="s">
        <v>4117</v>
      </c>
      <c r="B1528" t="s">
        <v>4118</v>
      </c>
      <c r="C1528" t="s">
        <v>18</v>
      </c>
      <c r="D1528" t="s">
        <v>43</v>
      </c>
      <c r="E1528" t="s">
        <v>20</v>
      </c>
      <c r="F1528" t="s">
        <v>39</v>
      </c>
      <c r="G1528" t="s">
        <v>22</v>
      </c>
      <c r="H1528" t="s">
        <v>46</v>
      </c>
      <c r="I1528" t="s">
        <v>57</v>
      </c>
      <c r="J1528" t="s">
        <v>1886</v>
      </c>
      <c r="K1528" t="s">
        <v>4119</v>
      </c>
      <c r="L1528">
        <v>2.1</v>
      </c>
      <c r="M1528">
        <v>140000</v>
      </c>
      <c r="N1528">
        <v>4.5</v>
      </c>
      <c r="O1528">
        <v>12</v>
      </c>
      <c r="P1528" t="s">
        <v>53</v>
      </c>
    </row>
    <row r="1529" spans="1:16" x14ac:dyDescent="0.25">
      <c r="A1529" t="s">
        <v>4120</v>
      </c>
      <c r="B1529" t="s">
        <v>4121</v>
      </c>
      <c r="C1529" t="s">
        <v>18</v>
      </c>
      <c r="D1529" t="s">
        <v>30</v>
      </c>
      <c r="E1529" t="s">
        <v>20</v>
      </c>
      <c r="F1529" t="s">
        <v>39</v>
      </c>
      <c r="G1529" t="s">
        <v>33</v>
      </c>
      <c r="H1529" t="s">
        <v>23</v>
      </c>
      <c r="I1529" t="s">
        <v>24</v>
      </c>
      <c r="J1529" t="s">
        <v>722</v>
      </c>
      <c r="K1529" t="s">
        <v>4122</v>
      </c>
      <c r="L1529">
        <v>3.5</v>
      </c>
      <c r="M1529">
        <v>171000</v>
      </c>
      <c r="N1529">
        <v>2.8</v>
      </c>
      <c r="O1529">
        <v>9</v>
      </c>
      <c r="P1529" t="s">
        <v>72</v>
      </c>
    </row>
    <row r="1530" spans="1:16" x14ac:dyDescent="0.25">
      <c r="A1530" t="s">
        <v>4123</v>
      </c>
      <c r="B1530" t="s">
        <v>4124</v>
      </c>
      <c r="C1530" t="s">
        <v>18</v>
      </c>
      <c r="D1530" t="s">
        <v>30</v>
      </c>
      <c r="E1530" t="s">
        <v>31</v>
      </c>
      <c r="F1530" t="s">
        <v>128</v>
      </c>
      <c r="G1530" t="s">
        <v>22</v>
      </c>
      <c r="H1530" t="s">
        <v>34</v>
      </c>
      <c r="I1530" t="s">
        <v>57</v>
      </c>
      <c r="J1530" t="s">
        <v>1869</v>
      </c>
      <c r="K1530" t="s">
        <v>3253</v>
      </c>
      <c r="L1530">
        <v>3.6</v>
      </c>
      <c r="M1530">
        <v>398000</v>
      </c>
      <c r="N1530">
        <v>4.4000000000000004</v>
      </c>
      <c r="O1530">
        <v>12</v>
      </c>
      <c r="P1530" t="s">
        <v>53</v>
      </c>
    </row>
    <row r="1531" spans="1:16" x14ac:dyDescent="0.25">
      <c r="A1531" t="s">
        <v>4125</v>
      </c>
      <c r="B1531" t="s">
        <v>4126</v>
      </c>
      <c r="C1531" t="s">
        <v>18</v>
      </c>
      <c r="D1531" t="s">
        <v>19</v>
      </c>
      <c r="E1531" t="s">
        <v>31</v>
      </c>
      <c r="F1531" t="s">
        <v>39</v>
      </c>
      <c r="G1531" t="s">
        <v>80</v>
      </c>
      <c r="H1531" t="s">
        <v>46</v>
      </c>
      <c r="I1531" t="s">
        <v>24</v>
      </c>
      <c r="J1531" t="s">
        <v>2786</v>
      </c>
      <c r="L1531">
        <v>4.8</v>
      </c>
      <c r="M1531">
        <v>174000</v>
      </c>
      <c r="N1531">
        <v>4.4000000000000004</v>
      </c>
      <c r="O1531">
        <v>0</v>
      </c>
      <c r="P1531" t="s">
        <v>26</v>
      </c>
    </row>
    <row r="1532" spans="1:16" x14ac:dyDescent="0.25">
      <c r="A1532" t="s">
        <v>4127</v>
      </c>
      <c r="B1532" t="s">
        <v>4128</v>
      </c>
      <c r="C1532" t="s">
        <v>18</v>
      </c>
      <c r="D1532" t="s">
        <v>19</v>
      </c>
      <c r="E1532" t="s">
        <v>20</v>
      </c>
      <c r="F1532" t="s">
        <v>21</v>
      </c>
      <c r="G1532" t="s">
        <v>22</v>
      </c>
      <c r="H1532" t="s">
        <v>23</v>
      </c>
      <c r="I1532" t="s">
        <v>24</v>
      </c>
      <c r="J1532" t="s">
        <v>2870</v>
      </c>
      <c r="L1532">
        <v>3.2</v>
      </c>
      <c r="M1532">
        <v>1024000</v>
      </c>
      <c r="N1532">
        <v>3.6</v>
      </c>
      <c r="O1532">
        <v>13</v>
      </c>
      <c r="P1532" t="s">
        <v>26</v>
      </c>
    </row>
    <row r="1533" spans="1:16" x14ac:dyDescent="0.25">
      <c r="A1533" t="s">
        <v>4129</v>
      </c>
      <c r="B1533" t="s">
        <v>4130</v>
      </c>
      <c r="C1533" t="s">
        <v>18</v>
      </c>
      <c r="D1533" t="s">
        <v>79</v>
      </c>
      <c r="E1533" t="s">
        <v>44</v>
      </c>
      <c r="F1533" t="s">
        <v>128</v>
      </c>
      <c r="G1533" t="s">
        <v>33</v>
      </c>
      <c r="I1533" t="s">
        <v>75</v>
      </c>
      <c r="J1533" t="s">
        <v>106</v>
      </c>
      <c r="L1533">
        <v>2.2000000000000002</v>
      </c>
      <c r="M1533">
        <v>410000</v>
      </c>
      <c r="N1533">
        <v>2.2000000000000002</v>
      </c>
      <c r="O1533">
        <v>14</v>
      </c>
      <c r="P1533" t="s">
        <v>26</v>
      </c>
    </row>
    <row r="1534" spans="1:16" x14ac:dyDescent="0.25">
      <c r="A1534" t="s">
        <v>4131</v>
      </c>
      <c r="B1534" t="s">
        <v>1721</v>
      </c>
      <c r="C1534" t="s">
        <v>29</v>
      </c>
      <c r="D1534" t="s">
        <v>50</v>
      </c>
      <c r="E1534" t="s">
        <v>20</v>
      </c>
      <c r="F1534" t="s">
        <v>32</v>
      </c>
      <c r="G1534" t="s">
        <v>80</v>
      </c>
      <c r="H1534" t="s">
        <v>23</v>
      </c>
      <c r="I1534" t="s">
        <v>24</v>
      </c>
      <c r="J1534" t="s">
        <v>4132</v>
      </c>
      <c r="K1534" t="s">
        <v>4133</v>
      </c>
      <c r="L1534">
        <v>5.8</v>
      </c>
      <c r="M1534">
        <v>217000</v>
      </c>
      <c r="N1534">
        <v>3.4</v>
      </c>
      <c r="P1534" t="s">
        <v>53</v>
      </c>
    </row>
    <row r="1535" spans="1:16" x14ac:dyDescent="0.25">
      <c r="A1535" t="s">
        <v>4134</v>
      </c>
      <c r="B1535" t="s">
        <v>948</v>
      </c>
      <c r="C1535" t="s">
        <v>29</v>
      </c>
      <c r="D1535" t="s">
        <v>50</v>
      </c>
      <c r="E1535" t="s">
        <v>31</v>
      </c>
      <c r="F1535" t="s">
        <v>128</v>
      </c>
      <c r="G1535" t="s">
        <v>80</v>
      </c>
      <c r="H1535" t="s">
        <v>62</v>
      </c>
      <c r="I1535" t="s">
        <v>24</v>
      </c>
      <c r="J1535" t="s">
        <v>275</v>
      </c>
      <c r="K1535" t="s">
        <v>4135</v>
      </c>
      <c r="L1535">
        <v>5.8</v>
      </c>
      <c r="M1535">
        <v>488000</v>
      </c>
      <c r="N1535">
        <v>4.5</v>
      </c>
      <c r="O1535">
        <v>5</v>
      </c>
      <c r="P1535" t="s">
        <v>53</v>
      </c>
    </row>
    <row r="1536" spans="1:16" x14ac:dyDescent="0.25">
      <c r="A1536" t="s">
        <v>4136</v>
      </c>
      <c r="B1536" t="s">
        <v>962</v>
      </c>
      <c r="C1536" t="s">
        <v>18</v>
      </c>
      <c r="D1536" t="s">
        <v>43</v>
      </c>
      <c r="E1536" t="s">
        <v>20</v>
      </c>
      <c r="F1536" t="s">
        <v>21</v>
      </c>
      <c r="G1536" t="s">
        <v>22</v>
      </c>
      <c r="H1536" t="s">
        <v>23</v>
      </c>
      <c r="I1536" t="s">
        <v>24</v>
      </c>
      <c r="J1536" t="s">
        <v>3345</v>
      </c>
      <c r="K1536" t="s">
        <v>3054</v>
      </c>
      <c r="L1536">
        <v>5</v>
      </c>
      <c r="M1536">
        <v>714000</v>
      </c>
      <c r="N1536">
        <v>3.2</v>
      </c>
      <c r="O1536">
        <v>9</v>
      </c>
      <c r="P1536" t="s">
        <v>53</v>
      </c>
    </row>
    <row r="1537" spans="1:16" x14ac:dyDescent="0.25">
      <c r="A1537" t="s">
        <v>4137</v>
      </c>
      <c r="B1537" t="s">
        <v>4138</v>
      </c>
      <c r="C1537" t="s">
        <v>29</v>
      </c>
      <c r="D1537" t="s">
        <v>43</v>
      </c>
      <c r="E1537" t="s">
        <v>31</v>
      </c>
      <c r="F1537" t="s">
        <v>128</v>
      </c>
      <c r="G1537" t="s">
        <v>33</v>
      </c>
      <c r="H1537" t="s">
        <v>34</v>
      </c>
      <c r="I1537" t="s">
        <v>24</v>
      </c>
      <c r="J1537" t="s">
        <v>3183</v>
      </c>
      <c r="L1537">
        <v>1.4</v>
      </c>
      <c r="N1537">
        <v>4.3</v>
      </c>
      <c r="O1537">
        <v>12</v>
      </c>
      <c r="P1537" t="s">
        <v>26</v>
      </c>
    </row>
    <row r="1538" spans="1:16" x14ac:dyDescent="0.25">
      <c r="A1538" t="s">
        <v>4139</v>
      </c>
      <c r="B1538" t="s">
        <v>4140</v>
      </c>
      <c r="D1538" t="s">
        <v>43</v>
      </c>
      <c r="E1538" t="s">
        <v>20</v>
      </c>
      <c r="F1538" t="s">
        <v>39</v>
      </c>
      <c r="G1538" t="s">
        <v>22</v>
      </c>
      <c r="H1538" t="s">
        <v>46</v>
      </c>
      <c r="I1538" t="s">
        <v>35</v>
      </c>
      <c r="J1538" t="s">
        <v>1993</v>
      </c>
      <c r="L1538">
        <v>5.9</v>
      </c>
      <c r="M1538">
        <v>103000</v>
      </c>
      <c r="N1538">
        <v>3.9</v>
      </c>
      <c r="O1538">
        <v>5</v>
      </c>
      <c r="P1538" t="s">
        <v>26</v>
      </c>
    </row>
    <row r="1539" spans="1:16" x14ac:dyDescent="0.25">
      <c r="A1539" t="s">
        <v>4141</v>
      </c>
      <c r="B1539" t="s">
        <v>4142</v>
      </c>
      <c r="C1539" t="s">
        <v>18</v>
      </c>
      <c r="D1539" t="s">
        <v>50</v>
      </c>
      <c r="E1539" t="s">
        <v>20</v>
      </c>
      <c r="F1539" t="s">
        <v>45</v>
      </c>
      <c r="G1539" t="s">
        <v>22</v>
      </c>
      <c r="H1539" t="s">
        <v>34</v>
      </c>
      <c r="I1539" t="s">
        <v>24</v>
      </c>
      <c r="J1539" t="s">
        <v>2443</v>
      </c>
      <c r="K1539" t="s">
        <v>2663</v>
      </c>
      <c r="L1539">
        <v>5</v>
      </c>
      <c r="M1539">
        <v>987000</v>
      </c>
      <c r="N1539">
        <v>3.5</v>
      </c>
      <c r="O1539">
        <v>14</v>
      </c>
      <c r="P1539" t="s">
        <v>53</v>
      </c>
    </row>
    <row r="1540" spans="1:16" x14ac:dyDescent="0.25">
      <c r="A1540" t="s">
        <v>4143</v>
      </c>
      <c r="B1540" t="s">
        <v>4144</v>
      </c>
      <c r="C1540" t="s">
        <v>18</v>
      </c>
      <c r="D1540" t="s">
        <v>79</v>
      </c>
      <c r="E1540" t="s">
        <v>20</v>
      </c>
      <c r="F1540" t="s">
        <v>32</v>
      </c>
      <c r="G1540" t="s">
        <v>80</v>
      </c>
      <c r="H1540" t="s">
        <v>34</v>
      </c>
      <c r="I1540" t="s">
        <v>57</v>
      </c>
      <c r="J1540" t="s">
        <v>3684</v>
      </c>
      <c r="K1540" t="s">
        <v>4145</v>
      </c>
      <c r="L1540">
        <v>5.5</v>
      </c>
      <c r="M1540">
        <v>313000</v>
      </c>
      <c r="N1540">
        <v>4.5</v>
      </c>
      <c r="O1540">
        <v>13</v>
      </c>
      <c r="P1540" t="s">
        <v>53</v>
      </c>
    </row>
    <row r="1541" spans="1:16" x14ac:dyDescent="0.25">
      <c r="A1541" t="s">
        <v>4146</v>
      </c>
      <c r="B1541" t="s">
        <v>2383</v>
      </c>
      <c r="C1541" t="s">
        <v>29</v>
      </c>
      <c r="D1541" t="s">
        <v>43</v>
      </c>
      <c r="F1541" t="s">
        <v>39</v>
      </c>
      <c r="G1541" t="s">
        <v>22</v>
      </c>
      <c r="H1541" t="s">
        <v>23</v>
      </c>
      <c r="I1541" t="s">
        <v>24</v>
      </c>
      <c r="J1541" t="s">
        <v>2505</v>
      </c>
      <c r="L1541">
        <v>3</v>
      </c>
      <c r="M1541">
        <v>132000</v>
      </c>
      <c r="N1541">
        <v>2.2999999999999998</v>
      </c>
      <c r="O1541">
        <v>4</v>
      </c>
      <c r="P1541" t="s">
        <v>26</v>
      </c>
    </row>
    <row r="1542" spans="1:16" x14ac:dyDescent="0.25">
      <c r="A1542" t="s">
        <v>4147</v>
      </c>
      <c r="B1542" t="s">
        <v>2599</v>
      </c>
      <c r="C1542" t="s">
        <v>18</v>
      </c>
      <c r="D1542" t="s">
        <v>19</v>
      </c>
      <c r="E1542" t="s">
        <v>20</v>
      </c>
      <c r="F1542" t="s">
        <v>128</v>
      </c>
      <c r="G1542" t="s">
        <v>80</v>
      </c>
      <c r="H1542" t="s">
        <v>34</v>
      </c>
      <c r="I1542" t="s">
        <v>24</v>
      </c>
      <c r="J1542" t="s">
        <v>1464</v>
      </c>
      <c r="K1542" t="s">
        <v>4148</v>
      </c>
      <c r="L1542">
        <v>2.6</v>
      </c>
      <c r="M1542">
        <v>496000</v>
      </c>
      <c r="N1542">
        <v>4.4000000000000004</v>
      </c>
      <c r="O1542">
        <v>10</v>
      </c>
      <c r="P1542" t="s">
        <v>53</v>
      </c>
    </row>
    <row r="1543" spans="1:16" x14ac:dyDescent="0.25">
      <c r="A1543" t="s">
        <v>4149</v>
      </c>
      <c r="B1543" t="s">
        <v>4150</v>
      </c>
      <c r="C1543" t="s">
        <v>29</v>
      </c>
      <c r="D1543" t="s">
        <v>19</v>
      </c>
      <c r="E1543" t="s">
        <v>20</v>
      </c>
      <c r="F1543" t="s">
        <v>45</v>
      </c>
      <c r="G1543" t="s">
        <v>80</v>
      </c>
      <c r="H1543" t="s">
        <v>34</v>
      </c>
      <c r="I1543" t="s">
        <v>57</v>
      </c>
      <c r="J1543" t="s">
        <v>4151</v>
      </c>
      <c r="L1543">
        <v>5</v>
      </c>
      <c r="M1543">
        <v>1959000</v>
      </c>
      <c r="N1543">
        <v>4.5999999999999996</v>
      </c>
      <c r="O1543">
        <v>5</v>
      </c>
      <c r="P1543" t="s">
        <v>26</v>
      </c>
    </row>
    <row r="1544" spans="1:16" x14ac:dyDescent="0.25">
      <c r="A1544" t="s">
        <v>4152</v>
      </c>
      <c r="B1544" t="s">
        <v>4153</v>
      </c>
      <c r="C1544" t="s">
        <v>18</v>
      </c>
      <c r="D1544" t="s">
        <v>50</v>
      </c>
      <c r="E1544" t="s">
        <v>31</v>
      </c>
      <c r="F1544" t="s">
        <v>21</v>
      </c>
      <c r="G1544" t="s">
        <v>80</v>
      </c>
      <c r="H1544" t="s">
        <v>34</v>
      </c>
      <c r="I1544" t="s">
        <v>75</v>
      </c>
      <c r="J1544" t="s">
        <v>1012</v>
      </c>
      <c r="L1544">
        <v>4</v>
      </c>
      <c r="M1544">
        <v>835000</v>
      </c>
      <c r="N1544">
        <v>4.2</v>
      </c>
      <c r="O1544">
        <v>13</v>
      </c>
      <c r="P1544" t="s">
        <v>26</v>
      </c>
    </row>
    <row r="1545" spans="1:16" x14ac:dyDescent="0.25">
      <c r="A1545" t="s">
        <v>4154</v>
      </c>
      <c r="B1545" t="s">
        <v>1250</v>
      </c>
      <c r="C1545" t="s">
        <v>29</v>
      </c>
      <c r="D1545" t="s">
        <v>50</v>
      </c>
      <c r="E1545" t="s">
        <v>20</v>
      </c>
      <c r="F1545" t="s">
        <v>39</v>
      </c>
      <c r="G1545" t="s">
        <v>80</v>
      </c>
      <c r="H1545" t="s">
        <v>34</v>
      </c>
      <c r="I1545" t="s">
        <v>24</v>
      </c>
      <c r="J1545" t="s">
        <v>1779</v>
      </c>
      <c r="K1545" t="s">
        <v>2681</v>
      </c>
      <c r="L1545">
        <v>6.1</v>
      </c>
      <c r="M1545">
        <v>139000</v>
      </c>
      <c r="N1545">
        <v>4</v>
      </c>
      <c r="O1545">
        <v>8</v>
      </c>
      <c r="P1545" t="s">
        <v>53</v>
      </c>
    </row>
    <row r="1546" spans="1:16" x14ac:dyDescent="0.25">
      <c r="A1546" t="s">
        <v>4155</v>
      </c>
      <c r="B1546" t="s">
        <v>4156</v>
      </c>
      <c r="C1546" t="s">
        <v>18</v>
      </c>
      <c r="D1546" t="s">
        <v>79</v>
      </c>
      <c r="E1546" t="s">
        <v>31</v>
      </c>
      <c r="F1546" t="s">
        <v>21</v>
      </c>
      <c r="G1546" t="s">
        <v>80</v>
      </c>
      <c r="H1546" t="s">
        <v>34</v>
      </c>
      <c r="I1546" t="s">
        <v>57</v>
      </c>
      <c r="J1546" t="s">
        <v>2701</v>
      </c>
      <c r="K1546" t="s">
        <v>4060</v>
      </c>
      <c r="L1546">
        <v>2.2999999999999998</v>
      </c>
      <c r="M1546">
        <v>677000</v>
      </c>
      <c r="N1546">
        <v>3.9</v>
      </c>
      <c r="O1546">
        <v>3</v>
      </c>
      <c r="P1546" t="s">
        <v>53</v>
      </c>
    </row>
    <row r="1547" spans="1:16" x14ac:dyDescent="0.25">
      <c r="A1547" t="s">
        <v>4157</v>
      </c>
      <c r="B1547" t="s">
        <v>4158</v>
      </c>
      <c r="C1547" t="s">
        <v>29</v>
      </c>
      <c r="D1547" t="s">
        <v>43</v>
      </c>
      <c r="E1547" t="s">
        <v>20</v>
      </c>
      <c r="F1547" t="s">
        <v>32</v>
      </c>
      <c r="G1547" t="s">
        <v>33</v>
      </c>
      <c r="H1547" t="s">
        <v>23</v>
      </c>
      <c r="I1547" t="s">
        <v>57</v>
      </c>
      <c r="J1547" t="s">
        <v>1857</v>
      </c>
      <c r="K1547" t="s">
        <v>2743</v>
      </c>
      <c r="L1547">
        <v>4.5999999999999996</v>
      </c>
      <c r="M1547">
        <v>321000</v>
      </c>
      <c r="N1547">
        <v>3</v>
      </c>
      <c r="O1547">
        <v>10</v>
      </c>
      <c r="P1547" t="s">
        <v>53</v>
      </c>
    </row>
    <row r="1548" spans="1:16" x14ac:dyDescent="0.25">
      <c r="A1548" t="s">
        <v>4159</v>
      </c>
      <c r="B1548" t="s">
        <v>4160</v>
      </c>
      <c r="C1548" t="s">
        <v>29</v>
      </c>
      <c r="D1548" t="s">
        <v>43</v>
      </c>
      <c r="E1548" t="s">
        <v>20</v>
      </c>
      <c r="F1548" t="s">
        <v>21</v>
      </c>
      <c r="G1548" t="s">
        <v>69</v>
      </c>
      <c r="H1548" t="s">
        <v>23</v>
      </c>
      <c r="I1548" t="s">
        <v>24</v>
      </c>
      <c r="J1548" t="s">
        <v>4161</v>
      </c>
      <c r="L1548">
        <v>5.6</v>
      </c>
      <c r="M1548">
        <v>600000</v>
      </c>
      <c r="N1548">
        <v>3.4</v>
      </c>
      <c r="O1548">
        <v>1</v>
      </c>
      <c r="P1548" t="s">
        <v>26</v>
      </c>
    </row>
    <row r="1549" spans="1:16" x14ac:dyDescent="0.25">
      <c r="A1549" t="s">
        <v>4162</v>
      </c>
      <c r="B1549" t="s">
        <v>4163</v>
      </c>
      <c r="C1549" t="s">
        <v>29</v>
      </c>
      <c r="D1549" t="s">
        <v>43</v>
      </c>
      <c r="E1549" t="s">
        <v>20</v>
      </c>
      <c r="F1549" t="s">
        <v>128</v>
      </c>
      <c r="G1549" t="s">
        <v>22</v>
      </c>
      <c r="H1549" t="s">
        <v>46</v>
      </c>
      <c r="I1549" t="s">
        <v>24</v>
      </c>
      <c r="J1549" t="s">
        <v>921</v>
      </c>
      <c r="L1549">
        <v>1.7</v>
      </c>
      <c r="M1549">
        <v>407000</v>
      </c>
      <c r="N1549">
        <v>4.3</v>
      </c>
      <c r="O1549">
        <v>6</v>
      </c>
      <c r="P1549" t="s">
        <v>26</v>
      </c>
    </row>
    <row r="1550" spans="1:16" x14ac:dyDescent="0.25">
      <c r="A1550" t="s">
        <v>4164</v>
      </c>
      <c r="B1550" t="s">
        <v>4165</v>
      </c>
      <c r="C1550" t="s">
        <v>18</v>
      </c>
      <c r="D1550" t="s">
        <v>50</v>
      </c>
      <c r="E1550" t="s">
        <v>20</v>
      </c>
      <c r="F1550" t="s">
        <v>39</v>
      </c>
      <c r="G1550" t="s">
        <v>22</v>
      </c>
      <c r="H1550" t="s">
        <v>34</v>
      </c>
      <c r="I1550" t="s">
        <v>57</v>
      </c>
      <c r="J1550" t="s">
        <v>4166</v>
      </c>
      <c r="L1550">
        <v>5.5</v>
      </c>
      <c r="M1550">
        <v>89000</v>
      </c>
      <c r="N1550">
        <v>4.8</v>
      </c>
      <c r="O1550">
        <v>13</v>
      </c>
      <c r="P1550" t="s">
        <v>26</v>
      </c>
    </row>
    <row r="1551" spans="1:16" x14ac:dyDescent="0.25">
      <c r="A1551" t="s">
        <v>4167</v>
      </c>
      <c r="B1551" t="s">
        <v>1259</v>
      </c>
      <c r="C1551" t="s">
        <v>29</v>
      </c>
      <c r="D1551" t="s">
        <v>30</v>
      </c>
      <c r="E1551" t="s">
        <v>20</v>
      </c>
      <c r="F1551" t="s">
        <v>39</v>
      </c>
      <c r="G1551" t="s">
        <v>80</v>
      </c>
      <c r="H1551" t="s">
        <v>23</v>
      </c>
      <c r="I1551" t="s">
        <v>35</v>
      </c>
      <c r="J1551" t="s">
        <v>3470</v>
      </c>
      <c r="L1551">
        <v>2.2999999999999998</v>
      </c>
      <c r="M1551">
        <v>100000</v>
      </c>
      <c r="N1551">
        <v>2.5</v>
      </c>
      <c r="O1551">
        <v>8</v>
      </c>
      <c r="P1551" t="s">
        <v>26</v>
      </c>
    </row>
    <row r="1552" spans="1:16" x14ac:dyDescent="0.25">
      <c r="A1552" t="s">
        <v>4168</v>
      </c>
      <c r="B1552" t="s">
        <v>2063</v>
      </c>
      <c r="C1552" t="s">
        <v>29</v>
      </c>
      <c r="D1552" t="s">
        <v>79</v>
      </c>
      <c r="E1552" t="s">
        <v>20</v>
      </c>
      <c r="F1552" t="s">
        <v>128</v>
      </c>
      <c r="G1552" t="s">
        <v>80</v>
      </c>
      <c r="H1552" t="s">
        <v>34</v>
      </c>
      <c r="I1552" t="s">
        <v>24</v>
      </c>
      <c r="J1552" t="s">
        <v>4169</v>
      </c>
      <c r="K1552" t="s">
        <v>1188</v>
      </c>
      <c r="L1552">
        <v>5.0999999999999996</v>
      </c>
      <c r="N1552">
        <v>4.9000000000000004</v>
      </c>
      <c r="P1552" t="s">
        <v>114</v>
      </c>
    </row>
    <row r="1553" spans="1:16" x14ac:dyDescent="0.25">
      <c r="A1553" t="s">
        <v>4170</v>
      </c>
      <c r="B1553" t="s">
        <v>4171</v>
      </c>
      <c r="C1553" t="s">
        <v>18</v>
      </c>
      <c r="D1553" t="s">
        <v>19</v>
      </c>
      <c r="E1553" t="s">
        <v>20</v>
      </c>
      <c r="F1553" t="s">
        <v>39</v>
      </c>
      <c r="G1553" t="s">
        <v>22</v>
      </c>
      <c r="H1553" t="s">
        <v>46</v>
      </c>
      <c r="I1553" t="s">
        <v>24</v>
      </c>
      <c r="J1553" t="s">
        <v>63</v>
      </c>
      <c r="L1553">
        <v>5.5</v>
      </c>
      <c r="M1553">
        <v>171000</v>
      </c>
      <c r="N1553">
        <v>4.8</v>
      </c>
      <c r="O1553">
        <v>30</v>
      </c>
      <c r="P1553" t="s">
        <v>26</v>
      </c>
    </row>
    <row r="1554" spans="1:16" x14ac:dyDescent="0.25">
      <c r="A1554" t="s">
        <v>4172</v>
      </c>
      <c r="B1554" t="s">
        <v>4173</v>
      </c>
      <c r="C1554" t="s">
        <v>18</v>
      </c>
      <c r="D1554" t="s">
        <v>19</v>
      </c>
      <c r="E1554" t="s">
        <v>20</v>
      </c>
      <c r="F1554" t="s">
        <v>32</v>
      </c>
      <c r="G1554" t="s">
        <v>22</v>
      </c>
      <c r="H1554" t="s">
        <v>23</v>
      </c>
      <c r="I1554" t="s">
        <v>24</v>
      </c>
      <c r="J1554" t="s">
        <v>70</v>
      </c>
      <c r="L1554">
        <v>1.9</v>
      </c>
      <c r="M1554">
        <v>266000</v>
      </c>
      <c r="N1554">
        <v>2.4</v>
      </c>
      <c r="O1554">
        <v>12</v>
      </c>
      <c r="P1554" t="s">
        <v>26</v>
      </c>
    </row>
    <row r="1555" spans="1:16" x14ac:dyDescent="0.25">
      <c r="A1555" t="s">
        <v>4174</v>
      </c>
      <c r="B1555" t="s">
        <v>4175</v>
      </c>
      <c r="C1555" t="s">
        <v>18</v>
      </c>
      <c r="D1555" t="s">
        <v>50</v>
      </c>
      <c r="E1555" t="s">
        <v>20</v>
      </c>
      <c r="F1555" t="s">
        <v>128</v>
      </c>
      <c r="G1555" t="s">
        <v>22</v>
      </c>
      <c r="H1555" t="s">
        <v>23</v>
      </c>
      <c r="I1555" t="s">
        <v>24</v>
      </c>
      <c r="J1555" t="s">
        <v>4176</v>
      </c>
      <c r="K1555" t="s">
        <v>4177</v>
      </c>
      <c r="L1555">
        <v>3.6</v>
      </c>
      <c r="M1555">
        <v>381000</v>
      </c>
      <c r="N1555">
        <v>2</v>
      </c>
      <c r="O1555">
        <v>17</v>
      </c>
      <c r="P1555" t="s">
        <v>53</v>
      </c>
    </row>
    <row r="1556" spans="1:16" x14ac:dyDescent="0.25">
      <c r="A1556" t="s">
        <v>4178</v>
      </c>
      <c r="B1556" t="s">
        <v>2602</v>
      </c>
      <c r="C1556" t="s">
        <v>18</v>
      </c>
      <c r="D1556" t="s">
        <v>30</v>
      </c>
      <c r="E1556" t="s">
        <v>20</v>
      </c>
      <c r="F1556" t="s">
        <v>39</v>
      </c>
      <c r="G1556" t="s">
        <v>33</v>
      </c>
      <c r="H1556" t="s">
        <v>34</v>
      </c>
      <c r="I1556" t="s">
        <v>57</v>
      </c>
      <c r="J1556" t="s">
        <v>3684</v>
      </c>
      <c r="L1556">
        <v>5.5</v>
      </c>
      <c r="M1556">
        <v>142000</v>
      </c>
      <c r="N1556">
        <v>3.1</v>
      </c>
      <c r="O1556">
        <v>11</v>
      </c>
      <c r="P1556" t="s">
        <v>26</v>
      </c>
    </row>
    <row r="1557" spans="1:16" x14ac:dyDescent="0.25">
      <c r="A1557" t="s">
        <v>4179</v>
      </c>
      <c r="B1557" t="s">
        <v>4180</v>
      </c>
      <c r="C1557" t="s">
        <v>29</v>
      </c>
      <c r="F1557" t="s">
        <v>128</v>
      </c>
      <c r="G1557" t="s">
        <v>22</v>
      </c>
      <c r="H1557" t="s">
        <v>34</v>
      </c>
      <c r="I1557" t="s">
        <v>24</v>
      </c>
      <c r="J1557" t="s">
        <v>428</v>
      </c>
      <c r="K1557" t="s">
        <v>4181</v>
      </c>
      <c r="L1557">
        <v>3.1</v>
      </c>
      <c r="M1557">
        <v>552000</v>
      </c>
      <c r="N1557">
        <v>2.4</v>
      </c>
      <c r="O1557">
        <v>9</v>
      </c>
      <c r="P1557" t="s">
        <v>53</v>
      </c>
    </row>
    <row r="1558" spans="1:16" x14ac:dyDescent="0.25">
      <c r="A1558" t="s">
        <v>4182</v>
      </c>
      <c r="B1558" t="s">
        <v>1291</v>
      </c>
      <c r="C1558" t="s">
        <v>18</v>
      </c>
      <c r="D1558" t="s">
        <v>19</v>
      </c>
      <c r="E1558" t="s">
        <v>20</v>
      </c>
      <c r="F1558" t="s">
        <v>32</v>
      </c>
      <c r="G1558" t="s">
        <v>80</v>
      </c>
      <c r="H1558" t="s">
        <v>34</v>
      </c>
      <c r="I1558" t="s">
        <v>24</v>
      </c>
      <c r="J1558" t="s">
        <v>1779</v>
      </c>
      <c r="L1558">
        <v>6.1</v>
      </c>
      <c r="M1558">
        <v>323000</v>
      </c>
      <c r="N1558">
        <v>4.3</v>
      </c>
      <c r="O1558">
        <v>7</v>
      </c>
      <c r="P1558" t="s">
        <v>26</v>
      </c>
    </row>
    <row r="1559" spans="1:16" x14ac:dyDescent="0.25">
      <c r="A1559" t="s">
        <v>4183</v>
      </c>
      <c r="B1559" t="s">
        <v>1352</v>
      </c>
      <c r="C1559" t="s">
        <v>18</v>
      </c>
      <c r="D1559" t="s">
        <v>30</v>
      </c>
      <c r="E1559" t="s">
        <v>31</v>
      </c>
      <c r="F1559" t="s">
        <v>21</v>
      </c>
      <c r="G1559" t="s">
        <v>22</v>
      </c>
      <c r="H1559" t="s">
        <v>46</v>
      </c>
      <c r="I1559" t="s">
        <v>24</v>
      </c>
      <c r="J1559" t="s">
        <v>4184</v>
      </c>
      <c r="L1559">
        <v>2.1</v>
      </c>
      <c r="M1559">
        <v>935000</v>
      </c>
      <c r="N1559">
        <v>4.7</v>
      </c>
      <c r="O1559">
        <v>6</v>
      </c>
      <c r="P1559" t="s">
        <v>26</v>
      </c>
    </row>
    <row r="1560" spans="1:16" x14ac:dyDescent="0.25">
      <c r="A1560" t="s">
        <v>4185</v>
      </c>
      <c r="B1560" t="s">
        <v>4186</v>
      </c>
      <c r="C1560" t="s">
        <v>29</v>
      </c>
      <c r="D1560" t="s">
        <v>30</v>
      </c>
      <c r="E1560" t="s">
        <v>44</v>
      </c>
      <c r="F1560" t="s">
        <v>39</v>
      </c>
      <c r="G1560" t="s">
        <v>69</v>
      </c>
      <c r="I1560" t="s">
        <v>24</v>
      </c>
      <c r="J1560" t="s">
        <v>4187</v>
      </c>
      <c r="L1560">
        <v>5.4</v>
      </c>
      <c r="M1560">
        <v>85000</v>
      </c>
      <c r="N1560">
        <v>2.8</v>
      </c>
      <c r="O1560">
        <v>4</v>
      </c>
      <c r="P1560" t="s">
        <v>26</v>
      </c>
    </row>
    <row r="1561" spans="1:16" x14ac:dyDescent="0.25">
      <c r="A1561" t="s">
        <v>4188</v>
      </c>
      <c r="B1561" t="s">
        <v>836</v>
      </c>
      <c r="C1561" t="s">
        <v>18</v>
      </c>
      <c r="D1561" t="s">
        <v>79</v>
      </c>
      <c r="E1561" t="s">
        <v>20</v>
      </c>
      <c r="F1561" t="s">
        <v>39</v>
      </c>
      <c r="G1561" t="s">
        <v>80</v>
      </c>
      <c r="H1561" t="s">
        <v>62</v>
      </c>
      <c r="I1561" t="s">
        <v>57</v>
      </c>
      <c r="J1561" t="s">
        <v>4189</v>
      </c>
      <c r="K1561" t="s">
        <v>4190</v>
      </c>
      <c r="L1561">
        <v>6</v>
      </c>
      <c r="M1561">
        <v>124000</v>
      </c>
      <c r="N1561">
        <v>3.2</v>
      </c>
      <c r="O1561">
        <v>13</v>
      </c>
      <c r="P1561" t="s">
        <v>53</v>
      </c>
    </row>
    <row r="1562" spans="1:16" x14ac:dyDescent="0.25">
      <c r="A1562" t="s">
        <v>4191</v>
      </c>
      <c r="B1562" t="s">
        <v>2462</v>
      </c>
      <c r="C1562" t="s">
        <v>18</v>
      </c>
      <c r="D1562" t="s">
        <v>19</v>
      </c>
      <c r="E1562" t="s">
        <v>20</v>
      </c>
      <c r="F1562" t="s">
        <v>32</v>
      </c>
      <c r="G1562" t="s">
        <v>33</v>
      </c>
      <c r="H1562" t="s">
        <v>34</v>
      </c>
      <c r="I1562" t="s">
        <v>24</v>
      </c>
      <c r="J1562" t="s">
        <v>4192</v>
      </c>
      <c r="K1562" t="s">
        <v>4193</v>
      </c>
      <c r="L1562">
        <v>5.6</v>
      </c>
      <c r="M1562">
        <v>384000</v>
      </c>
      <c r="N1562">
        <v>3</v>
      </c>
      <c r="P1562" t="s">
        <v>53</v>
      </c>
    </row>
    <row r="1563" spans="1:16" x14ac:dyDescent="0.25">
      <c r="A1563" t="s">
        <v>4194</v>
      </c>
      <c r="B1563" t="s">
        <v>4195</v>
      </c>
      <c r="C1563" t="s">
        <v>29</v>
      </c>
      <c r="D1563" t="s">
        <v>50</v>
      </c>
      <c r="E1563" t="s">
        <v>20</v>
      </c>
      <c r="F1563" t="s">
        <v>39</v>
      </c>
      <c r="G1563" t="s">
        <v>22</v>
      </c>
      <c r="H1563" t="s">
        <v>23</v>
      </c>
      <c r="I1563" t="s">
        <v>75</v>
      </c>
      <c r="J1563" t="s">
        <v>4041</v>
      </c>
      <c r="L1563">
        <v>1.3</v>
      </c>
      <c r="M1563">
        <v>132000</v>
      </c>
      <c r="N1563">
        <v>4.5</v>
      </c>
      <c r="O1563">
        <v>2</v>
      </c>
      <c r="P1563" t="s">
        <v>26</v>
      </c>
    </row>
    <row r="1564" spans="1:16" x14ac:dyDescent="0.25">
      <c r="A1564" t="s">
        <v>4196</v>
      </c>
      <c r="B1564" t="s">
        <v>4197</v>
      </c>
      <c r="C1564" t="s">
        <v>29</v>
      </c>
      <c r="D1564" t="s">
        <v>30</v>
      </c>
      <c r="E1564" t="s">
        <v>20</v>
      </c>
      <c r="F1564" t="s">
        <v>32</v>
      </c>
      <c r="G1564" t="s">
        <v>69</v>
      </c>
      <c r="H1564" t="s">
        <v>23</v>
      </c>
      <c r="I1564" t="s">
        <v>35</v>
      </c>
      <c r="J1564" t="s">
        <v>2662</v>
      </c>
      <c r="K1564" t="s">
        <v>4198</v>
      </c>
      <c r="L1564">
        <v>3.2</v>
      </c>
      <c r="M1564">
        <v>277000</v>
      </c>
      <c r="N1564">
        <v>3.1</v>
      </c>
      <c r="O1564">
        <v>9</v>
      </c>
      <c r="P1564" t="s">
        <v>53</v>
      </c>
    </row>
    <row r="1565" spans="1:16" x14ac:dyDescent="0.25">
      <c r="A1565" t="s">
        <v>4199</v>
      </c>
      <c r="B1565" t="s">
        <v>4200</v>
      </c>
      <c r="C1565" t="s">
        <v>29</v>
      </c>
      <c r="D1565" t="s">
        <v>79</v>
      </c>
      <c r="E1565" t="s">
        <v>44</v>
      </c>
      <c r="F1565" t="s">
        <v>128</v>
      </c>
      <c r="G1565" t="s">
        <v>22</v>
      </c>
      <c r="H1565" t="s">
        <v>34</v>
      </c>
      <c r="I1565" t="s">
        <v>75</v>
      </c>
      <c r="J1565" t="s">
        <v>4201</v>
      </c>
      <c r="L1565">
        <v>5.9</v>
      </c>
      <c r="M1565">
        <v>530000</v>
      </c>
      <c r="N1565">
        <v>3.5</v>
      </c>
      <c r="O1565">
        <v>0</v>
      </c>
      <c r="P1565" t="s">
        <v>26</v>
      </c>
    </row>
    <row r="1566" spans="1:16" x14ac:dyDescent="0.25">
      <c r="A1566" t="s">
        <v>4202</v>
      </c>
      <c r="B1566" t="s">
        <v>4203</v>
      </c>
      <c r="C1566" t="s">
        <v>18</v>
      </c>
      <c r="D1566" t="s">
        <v>79</v>
      </c>
      <c r="E1566" t="s">
        <v>20</v>
      </c>
      <c r="F1566" t="s">
        <v>39</v>
      </c>
      <c r="G1566" t="s">
        <v>22</v>
      </c>
      <c r="H1566" t="s">
        <v>46</v>
      </c>
      <c r="I1566" t="s">
        <v>57</v>
      </c>
      <c r="J1566" t="s">
        <v>1779</v>
      </c>
      <c r="L1566">
        <v>6.1</v>
      </c>
      <c r="M1566">
        <v>94000</v>
      </c>
      <c r="N1566">
        <v>2.4</v>
      </c>
      <c r="O1566">
        <v>9</v>
      </c>
      <c r="P1566" t="s">
        <v>26</v>
      </c>
    </row>
    <row r="1567" spans="1:16" x14ac:dyDescent="0.25">
      <c r="A1567" t="s">
        <v>4204</v>
      </c>
      <c r="B1567" t="s">
        <v>3361</v>
      </c>
      <c r="C1567" t="s">
        <v>29</v>
      </c>
      <c r="D1567" t="s">
        <v>79</v>
      </c>
      <c r="E1567" t="s">
        <v>44</v>
      </c>
      <c r="F1567" t="s">
        <v>32</v>
      </c>
      <c r="G1567" t="s">
        <v>80</v>
      </c>
      <c r="H1567" t="s">
        <v>46</v>
      </c>
      <c r="I1567" t="s">
        <v>24</v>
      </c>
      <c r="J1567" t="s">
        <v>2547</v>
      </c>
      <c r="L1567">
        <v>3.8</v>
      </c>
      <c r="M1567">
        <v>252000</v>
      </c>
      <c r="N1567">
        <v>2.6</v>
      </c>
      <c r="O1567">
        <v>12</v>
      </c>
      <c r="P1567" t="s">
        <v>26</v>
      </c>
    </row>
    <row r="1568" spans="1:16" x14ac:dyDescent="0.25">
      <c r="A1568" t="s">
        <v>4205</v>
      </c>
      <c r="B1568" t="s">
        <v>4206</v>
      </c>
      <c r="C1568" t="s">
        <v>29</v>
      </c>
      <c r="D1568" t="s">
        <v>79</v>
      </c>
      <c r="E1568" t="s">
        <v>31</v>
      </c>
      <c r="F1568" t="s">
        <v>21</v>
      </c>
      <c r="G1568" t="s">
        <v>80</v>
      </c>
      <c r="H1568" t="s">
        <v>46</v>
      </c>
      <c r="I1568" t="s">
        <v>57</v>
      </c>
      <c r="J1568" t="s">
        <v>3545</v>
      </c>
      <c r="L1568">
        <v>1.4</v>
      </c>
      <c r="M1568">
        <v>811000</v>
      </c>
      <c r="N1568">
        <v>4</v>
      </c>
      <c r="O1568">
        <v>9</v>
      </c>
      <c r="P1568" t="s">
        <v>26</v>
      </c>
    </row>
    <row r="1569" spans="1:16" x14ac:dyDescent="0.25">
      <c r="A1569" t="s">
        <v>4207</v>
      </c>
      <c r="B1569" t="s">
        <v>2156</v>
      </c>
      <c r="C1569" t="s">
        <v>29</v>
      </c>
      <c r="D1569" t="s">
        <v>43</v>
      </c>
      <c r="E1569" t="s">
        <v>31</v>
      </c>
      <c r="F1569" t="s">
        <v>128</v>
      </c>
      <c r="G1569" t="s">
        <v>22</v>
      </c>
      <c r="H1569" t="s">
        <v>46</v>
      </c>
      <c r="I1569" t="s">
        <v>24</v>
      </c>
      <c r="J1569" t="s">
        <v>4208</v>
      </c>
      <c r="L1569">
        <v>2.9</v>
      </c>
      <c r="N1569">
        <v>4.4000000000000004</v>
      </c>
      <c r="O1569">
        <v>12</v>
      </c>
      <c r="P1569" t="s">
        <v>26</v>
      </c>
    </row>
    <row r="1570" spans="1:16" x14ac:dyDescent="0.25">
      <c r="A1570" t="s">
        <v>4209</v>
      </c>
      <c r="B1570" t="s">
        <v>4210</v>
      </c>
      <c r="C1570" t="s">
        <v>29</v>
      </c>
      <c r="D1570" t="s">
        <v>30</v>
      </c>
      <c r="E1570" t="s">
        <v>31</v>
      </c>
      <c r="F1570" t="s">
        <v>32</v>
      </c>
      <c r="G1570" t="s">
        <v>69</v>
      </c>
      <c r="H1570" t="s">
        <v>23</v>
      </c>
      <c r="I1570" t="s">
        <v>35</v>
      </c>
      <c r="J1570" t="s">
        <v>1513</v>
      </c>
      <c r="K1570" t="s">
        <v>1022</v>
      </c>
      <c r="L1570">
        <v>4.5999999999999996</v>
      </c>
      <c r="M1570">
        <v>242000</v>
      </c>
      <c r="N1570">
        <v>2.4</v>
      </c>
      <c r="O1570">
        <v>10</v>
      </c>
      <c r="P1570" t="s">
        <v>114</v>
      </c>
    </row>
    <row r="1571" spans="1:16" x14ac:dyDescent="0.25">
      <c r="A1571" t="s">
        <v>4211</v>
      </c>
      <c r="B1571" t="s">
        <v>4212</v>
      </c>
      <c r="C1571" t="s">
        <v>18</v>
      </c>
      <c r="E1571" t="s">
        <v>31</v>
      </c>
      <c r="F1571" t="s">
        <v>39</v>
      </c>
      <c r="G1571" t="s">
        <v>69</v>
      </c>
      <c r="H1571" t="s">
        <v>34</v>
      </c>
      <c r="I1571" t="s">
        <v>24</v>
      </c>
      <c r="J1571" t="s">
        <v>4088</v>
      </c>
      <c r="L1571">
        <v>3.7</v>
      </c>
      <c r="M1571">
        <v>129000</v>
      </c>
      <c r="N1571">
        <v>2.5</v>
      </c>
      <c r="O1571">
        <v>13</v>
      </c>
      <c r="P1571" t="s">
        <v>26</v>
      </c>
    </row>
    <row r="1572" spans="1:16" x14ac:dyDescent="0.25">
      <c r="A1572" t="s">
        <v>4213</v>
      </c>
      <c r="B1572" t="s">
        <v>1374</v>
      </c>
      <c r="C1572" t="s">
        <v>18</v>
      </c>
      <c r="D1572" t="s">
        <v>30</v>
      </c>
      <c r="E1572" t="s">
        <v>31</v>
      </c>
      <c r="F1572" t="s">
        <v>21</v>
      </c>
      <c r="G1572" t="s">
        <v>22</v>
      </c>
      <c r="H1572" t="s">
        <v>46</v>
      </c>
      <c r="I1572" t="s">
        <v>24</v>
      </c>
      <c r="J1572" t="s">
        <v>3104</v>
      </c>
      <c r="K1572" t="s">
        <v>4214</v>
      </c>
      <c r="L1572">
        <v>5.4</v>
      </c>
      <c r="M1572">
        <v>708000</v>
      </c>
      <c r="N1572">
        <v>4.9000000000000004</v>
      </c>
      <c r="O1572">
        <v>12</v>
      </c>
      <c r="P1572" t="s">
        <v>53</v>
      </c>
    </row>
    <row r="1573" spans="1:16" x14ac:dyDescent="0.25">
      <c r="A1573" t="s">
        <v>4215</v>
      </c>
      <c r="B1573" t="s">
        <v>4216</v>
      </c>
      <c r="C1573" t="s">
        <v>18</v>
      </c>
      <c r="D1573" t="s">
        <v>43</v>
      </c>
      <c r="E1573" t="s">
        <v>20</v>
      </c>
      <c r="F1573" t="s">
        <v>39</v>
      </c>
      <c r="G1573" t="s">
        <v>22</v>
      </c>
      <c r="H1573" t="s">
        <v>62</v>
      </c>
      <c r="I1573" t="s">
        <v>24</v>
      </c>
      <c r="J1573" t="s">
        <v>2687</v>
      </c>
      <c r="L1573">
        <v>2</v>
      </c>
      <c r="M1573">
        <v>105000</v>
      </c>
      <c r="N1573">
        <v>4.2</v>
      </c>
      <c r="O1573">
        <v>2</v>
      </c>
      <c r="P1573" t="s">
        <v>26</v>
      </c>
    </row>
    <row r="1574" spans="1:16" x14ac:dyDescent="0.25">
      <c r="A1574" t="s">
        <v>4217</v>
      </c>
      <c r="B1574" t="s">
        <v>3760</v>
      </c>
      <c r="C1574" t="s">
        <v>29</v>
      </c>
      <c r="D1574" t="s">
        <v>30</v>
      </c>
      <c r="E1574" t="s">
        <v>20</v>
      </c>
      <c r="F1574" t="s">
        <v>39</v>
      </c>
      <c r="G1574" t="s">
        <v>22</v>
      </c>
      <c r="H1574" t="s">
        <v>46</v>
      </c>
      <c r="I1574" t="s">
        <v>35</v>
      </c>
      <c r="J1574" t="s">
        <v>2385</v>
      </c>
      <c r="K1574" t="s">
        <v>3257</v>
      </c>
      <c r="L1574">
        <v>1.6</v>
      </c>
      <c r="M1574">
        <v>145000</v>
      </c>
      <c r="N1574">
        <v>2.5</v>
      </c>
      <c r="O1574">
        <v>10</v>
      </c>
      <c r="P1574" t="s">
        <v>72</v>
      </c>
    </row>
    <row r="1575" spans="1:16" x14ac:dyDescent="0.25">
      <c r="A1575" t="s">
        <v>4218</v>
      </c>
      <c r="B1575" t="s">
        <v>4219</v>
      </c>
      <c r="C1575" t="s">
        <v>29</v>
      </c>
      <c r="E1575" t="s">
        <v>31</v>
      </c>
      <c r="F1575" t="s">
        <v>128</v>
      </c>
      <c r="G1575" t="s">
        <v>33</v>
      </c>
      <c r="H1575" t="s">
        <v>46</v>
      </c>
      <c r="I1575" t="s">
        <v>35</v>
      </c>
      <c r="J1575" t="s">
        <v>2763</v>
      </c>
      <c r="K1575" t="s">
        <v>4220</v>
      </c>
      <c r="L1575">
        <v>3.1</v>
      </c>
      <c r="M1575">
        <v>426000</v>
      </c>
      <c r="N1575">
        <v>4.2</v>
      </c>
      <c r="O1575">
        <v>13</v>
      </c>
      <c r="P1575" t="s">
        <v>72</v>
      </c>
    </row>
    <row r="1576" spans="1:16" x14ac:dyDescent="0.25">
      <c r="A1576" t="s">
        <v>4221</v>
      </c>
      <c r="B1576" t="s">
        <v>4222</v>
      </c>
      <c r="C1576" t="s">
        <v>29</v>
      </c>
      <c r="D1576" t="s">
        <v>30</v>
      </c>
      <c r="E1576" t="s">
        <v>20</v>
      </c>
      <c r="G1576" t="s">
        <v>80</v>
      </c>
      <c r="H1576" t="s">
        <v>46</v>
      </c>
      <c r="I1576" t="s">
        <v>57</v>
      </c>
      <c r="J1576" t="s">
        <v>719</v>
      </c>
      <c r="K1576" t="s">
        <v>2698</v>
      </c>
      <c r="L1576">
        <v>5.6</v>
      </c>
      <c r="M1576">
        <v>218000</v>
      </c>
      <c r="N1576">
        <v>1.9</v>
      </c>
      <c r="O1576">
        <v>13</v>
      </c>
      <c r="P1576" t="s">
        <v>53</v>
      </c>
    </row>
    <row r="1577" spans="1:16" x14ac:dyDescent="0.25">
      <c r="A1577" t="s">
        <v>4223</v>
      </c>
      <c r="B1577" t="s">
        <v>2750</v>
      </c>
      <c r="C1577" t="s">
        <v>18</v>
      </c>
      <c r="D1577" t="s">
        <v>50</v>
      </c>
      <c r="E1577" t="s">
        <v>20</v>
      </c>
      <c r="F1577" t="s">
        <v>45</v>
      </c>
      <c r="G1577" t="s">
        <v>33</v>
      </c>
      <c r="H1577" t="s">
        <v>34</v>
      </c>
      <c r="I1577" t="s">
        <v>24</v>
      </c>
      <c r="J1577" t="s">
        <v>158</v>
      </c>
      <c r="L1577">
        <v>2.8</v>
      </c>
      <c r="M1577">
        <v>1516000</v>
      </c>
      <c r="N1577">
        <v>4.4000000000000004</v>
      </c>
      <c r="O1577">
        <v>7</v>
      </c>
      <c r="P1577" t="s">
        <v>26</v>
      </c>
    </row>
    <row r="1578" spans="1:16" x14ac:dyDescent="0.25">
      <c r="A1578" t="s">
        <v>4224</v>
      </c>
      <c r="B1578" t="s">
        <v>4225</v>
      </c>
      <c r="C1578" t="s">
        <v>29</v>
      </c>
      <c r="D1578" t="s">
        <v>43</v>
      </c>
      <c r="F1578" t="s">
        <v>32</v>
      </c>
      <c r="G1578" t="s">
        <v>69</v>
      </c>
      <c r="H1578" t="s">
        <v>46</v>
      </c>
      <c r="I1578" t="s">
        <v>35</v>
      </c>
      <c r="J1578" t="s">
        <v>3852</v>
      </c>
      <c r="K1578" t="s">
        <v>3754</v>
      </c>
      <c r="L1578">
        <v>3.4</v>
      </c>
      <c r="M1578">
        <v>180000</v>
      </c>
      <c r="N1578">
        <v>3.2</v>
      </c>
      <c r="O1578">
        <v>14</v>
      </c>
      <c r="P1578" t="s">
        <v>114</v>
      </c>
    </row>
    <row r="1579" spans="1:16" x14ac:dyDescent="0.25">
      <c r="A1579" t="s">
        <v>4226</v>
      </c>
      <c r="B1579" t="s">
        <v>4227</v>
      </c>
      <c r="C1579" t="s">
        <v>18</v>
      </c>
      <c r="D1579" t="s">
        <v>79</v>
      </c>
      <c r="E1579" t="s">
        <v>31</v>
      </c>
      <c r="F1579" t="s">
        <v>32</v>
      </c>
      <c r="G1579" t="s">
        <v>80</v>
      </c>
      <c r="H1579" t="s">
        <v>46</v>
      </c>
      <c r="I1579" t="s">
        <v>24</v>
      </c>
      <c r="J1579" t="s">
        <v>2666</v>
      </c>
      <c r="L1579">
        <v>4.2</v>
      </c>
      <c r="M1579">
        <v>250000</v>
      </c>
      <c r="N1579">
        <v>4.5999999999999996</v>
      </c>
      <c r="O1579">
        <v>16</v>
      </c>
      <c r="P1579" t="s">
        <v>26</v>
      </c>
    </row>
    <row r="1580" spans="1:16" x14ac:dyDescent="0.25">
      <c r="A1580" t="s">
        <v>4228</v>
      </c>
      <c r="B1580" t="s">
        <v>2378</v>
      </c>
      <c r="C1580" t="s">
        <v>29</v>
      </c>
      <c r="D1580" t="s">
        <v>30</v>
      </c>
      <c r="E1580" t="s">
        <v>20</v>
      </c>
      <c r="F1580" t="s">
        <v>39</v>
      </c>
      <c r="G1580" t="s">
        <v>80</v>
      </c>
      <c r="H1580" t="s">
        <v>46</v>
      </c>
      <c r="I1580" t="s">
        <v>24</v>
      </c>
      <c r="J1580" t="s">
        <v>4229</v>
      </c>
      <c r="L1580">
        <v>4</v>
      </c>
      <c r="M1580">
        <v>146000</v>
      </c>
      <c r="O1580">
        <v>12</v>
      </c>
      <c r="P1580" t="s">
        <v>26</v>
      </c>
    </row>
    <row r="1581" spans="1:16" x14ac:dyDescent="0.25">
      <c r="A1581" t="s">
        <v>4230</v>
      </c>
      <c r="B1581" t="s">
        <v>2829</v>
      </c>
      <c r="C1581" t="s">
        <v>29</v>
      </c>
      <c r="D1581" t="s">
        <v>19</v>
      </c>
      <c r="E1581" t="s">
        <v>20</v>
      </c>
      <c r="F1581" t="s">
        <v>32</v>
      </c>
      <c r="G1581" t="s">
        <v>80</v>
      </c>
      <c r="H1581" t="s">
        <v>34</v>
      </c>
      <c r="I1581" t="s">
        <v>24</v>
      </c>
      <c r="J1581" t="s">
        <v>1620</v>
      </c>
      <c r="K1581" t="s">
        <v>4231</v>
      </c>
      <c r="L1581">
        <v>1.9</v>
      </c>
      <c r="M1581">
        <v>301000</v>
      </c>
      <c r="N1581">
        <v>2.5</v>
      </c>
      <c r="O1581">
        <v>0</v>
      </c>
      <c r="P1581" t="s">
        <v>53</v>
      </c>
    </row>
    <row r="1582" spans="1:16" x14ac:dyDescent="0.25">
      <c r="A1582" t="s">
        <v>4232</v>
      </c>
      <c r="B1582" t="s">
        <v>728</v>
      </c>
      <c r="C1582" t="s">
        <v>29</v>
      </c>
      <c r="D1582" t="s">
        <v>19</v>
      </c>
      <c r="E1582" t="s">
        <v>44</v>
      </c>
      <c r="F1582" t="s">
        <v>32</v>
      </c>
      <c r="G1582" t="s">
        <v>33</v>
      </c>
      <c r="H1582" t="s">
        <v>34</v>
      </c>
      <c r="I1582" t="s">
        <v>35</v>
      </c>
      <c r="J1582" t="s">
        <v>4233</v>
      </c>
      <c r="K1582" t="s">
        <v>3758</v>
      </c>
      <c r="L1582">
        <v>3.8</v>
      </c>
      <c r="M1582">
        <v>244000</v>
      </c>
      <c r="N1582">
        <v>2.8</v>
      </c>
      <c r="O1582">
        <v>6</v>
      </c>
      <c r="P1582" t="s">
        <v>72</v>
      </c>
    </row>
    <row r="1583" spans="1:16" x14ac:dyDescent="0.25">
      <c r="A1583" t="s">
        <v>4234</v>
      </c>
      <c r="B1583" t="s">
        <v>4235</v>
      </c>
      <c r="C1583" t="s">
        <v>18</v>
      </c>
      <c r="D1583" t="s">
        <v>30</v>
      </c>
      <c r="E1583" t="s">
        <v>20</v>
      </c>
      <c r="F1583" t="s">
        <v>128</v>
      </c>
      <c r="G1583" t="s">
        <v>22</v>
      </c>
      <c r="H1583" t="s">
        <v>23</v>
      </c>
      <c r="I1583" t="s">
        <v>24</v>
      </c>
      <c r="J1583" t="s">
        <v>3273</v>
      </c>
      <c r="K1583" t="s">
        <v>4236</v>
      </c>
      <c r="L1583">
        <v>2.9</v>
      </c>
      <c r="M1583">
        <v>398000</v>
      </c>
      <c r="N1583">
        <v>2.8</v>
      </c>
      <c r="O1583">
        <v>20</v>
      </c>
      <c r="P1583" t="s">
        <v>53</v>
      </c>
    </row>
    <row r="1584" spans="1:16" x14ac:dyDescent="0.25">
      <c r="A1584" t="s">
        <v>4237</v>
      </c>
      <c r="B1584" t="s">
        <v>4238</v>
      </c>
      <c r="C1584" t="s">
        <v>18</v>
      </c>
      <c r="D1584" t="s">
        <v>43</v>
      </c>
      <c r="E1584" t="s">
        <v>20</v>
      </c>
      <c r="F1584" t="s">
        <v>128</v>
      </c>
      <c r="G1584" t="s">
        <v>22</v>
      </c>
      <c r="H1584" t="s">
        <v>46</v>
      </c>
      <c r="J1584" t="s">
        <v>109</v>
      </c>
      <c r="L1584">
        <v>4.2</v>
      </c>
      <c r="M1584">
        <v>398000</v>
      </c>
      <c r="N1584">
        <v>4.5</v>
      </c>
      <c r="O1584">
        <v>5</v>
      </c>
      <c r="P1584" t="s">
        <v>26</v>
      </c>
    </row>
    <row r="1585" spans="1:16" x14ac:dyDescent="0.25">
      <c r="A1585" t="s">
        <v>4239</v>
      </c>
      <c r="B1585" t="s">
        <v>1233</v>
      </c>
      <c r="C1585" t="s">
        <v>29</v>
      </c>
      <c r="D1585" t="s">
        <v>50</v>
      </c>
      <c r="E1585" t="s">
        <v>20</v>
      </c>
      <c r="F1585" t="s">
        <v>32</v>
      </c>
      <c r="G1585" t="s">
        <v>80</v>
      </c>
      <c r="H1585" t="s">
        <v>34</v>
      </c>
      <c r="I1585" t="s">
        <v>75</v>
      </c>
      <c r="J1585" t="s">
        <v>3117</v>
      </c>
      <c r="L1585">
        <v>1.3</v>
      </c>
      <c r="M1585">
        <v>192000</v>
      </c>
      <c r="N1585">
        <v>2.2000000000000002</v>
      </c>
      <c r="O1585">
        <v>4</v>
      </c>
      <c r="P1585" t="s">
        <v>26</v>
      </c>
    </row>
    <row r="1586" spans="1:16" x14ac:dyDescent="0.25">
      <c r="A1586" t="s">
        <v>4240</v>
      </c>
      <c r="B1586" t="s">
        <v>2238</v>
      </c>
      <c r="C1586" t="s">
        <v>29</v>
      </c>
      <c r="D1586" t="s">
        <v>30</v>
      </c>
      <c r="E1586" t="s">
        <v>20</v>
      </c>
      <c r="F1586" t="s">
        <v>39</v>
      </c>
      <c r="G1586" t="s">
        <v>33</v>
      </c>
      <c r="H1586" t="s">
        <v>46</v>
      </c>
      <c r="I1586" t="s">
        <v>24</v>
      </c>
      <c r="J1586" t="s">
        <v>560</v>
      </c>
      <c r="L1586">
        <v>1.7</v>
      </c>
      <c r="M1586">
        <v>130000</v>
      </c>
      <c r="N1586">
        <v>3.2</v>
      </c>
      <c r="O1586">
        <v>16</v>
      </c>
      <c r="P1586" t="s">
        <v>26</v>
      </c>
    </row>
    <row r="1587" spans="1:16" x14ac:dyDescent="0.25">
      <c r="A1587" t="s">
        <v>4241</v>
      </c>
      <c r="B1587" t="s">
        <v>1088</v>
      </c>
      <c r="C1587" t="s">
        <v>29</v>
      </c>
      <c r="D1587" t="s">
        <v>30</v>
      </c>
      <c r="E1587" t="s">
        <v>20</v>
      </c>
      <c r="F1587" t="s">
        <v>32</v>
      </c>
      <c r="G1587" t="s">
        <v>22</v>
      </c>
      <c r="H1587" t="s">
        <v>62</v>
      </c>
      <c r="I1587" t="s">
        <v>24</v>
      </c>
      <c r="J1587" t="s">
        <v>4242</v>
      </c>
      <c r="L1587">
        <v>2</v>
      </c>
      <c r="M1587">
        <v>290000</v>
      </c>
      <c r="N1587">
        <v>4.4000000000000004</v>
      </c>
      <c r="O1587">
        <v>13</v>
      </c>
      <c r="P1587" t="s">
        <v>26</v>
      </c>
    </row>
    <row r="1588" spans="1:16" x14ac:dyDescent="0.25">
      <c r="A1588" t="s">
        <v>4243</v>
      </c>
      <c r="B1588" t="s">
        <v>1512</v>
      </c>
      <c r="C1588" t="s">
        <v>29</v>
      </c>
      <c r="D1588" t="s">
        <v>50</v>
      </c>
      <c r="E1588" t="s">
        <v>20</v>
      </c>
      <c r="F1588" t="s">
        <v>128</v>
      </c>
      <c r="G1588" t="s">
        <v>33</v>
      </c>
      <c r="H1588" t="s">
        <v>34</v>
      </c>
      <c r="I1588" t="s">
        <v>35</v>
      </c>
      <c r="J1588" t="s">
        <v>696</v>
      </c>
      <c r="L1588">
        <v>4.5</v>
      </c>
      <c r="M1588">
        <v>568000</v>
      </c>
      <c r="N1588">
        <v>4.9000000000000004</v>
      </c>
      <c r="P1588" t="s">
        <v>26</v>
      </c>
    </row>
    <row r="1589" spans="1:16" x14ac:dyDescent="0.25">
      <c r="A1589" t="s">
        <v>4244</v>
      </c>
      <c r="B1589" t="s">
        <v>3428</v>
      </c>
      <c r="C1589" t="s">
        <v>18</v>
      </c>
      <c r="D1589" t="s">
        <v>43</v>
      </c>
      <c r="E1589" t="s">
        <v>44</v>
      </c>
      <c r="F1589" t="s">
        <v>128</v>
      </c>
      <c r="G1589" t="s">
        <v>33</v>
      </c>
      <c r="H1589" t="s">
        <v>34</v>
      </c>
      <c r="I1589" t="s">
        <v>57</v>
      </c>
      <c r="J1589" t="s">
        <v>1479</v>
      </c>
      <c r="K1589" t="s">
        <v>4245</v>
      </c>
      <c r="L1589">
        <v>3</v>
      </c>
      <c r="M1589">
        <v>412000</v>
      </c>
      <c r="N1589">
        <v>4.4000000000000004</v>
      </c>
      <c r="O1589">
        <v>2</v>
      </c>
      <c r="P1589" t="s">
        <v>53</v>
      </c>
    </row>
    <row r="1590" spans="1:16" x14ac:dyDescent="0.25">
      <c r="A1590" t="s">
        <v>4246</v>
      </c>
      <c r="B1590" t="s">
        <v>4247</v>
      </c>
      <c r="C1590" t="s">
        <v>18</v>
      </c>
      <c r="D1590" t="s">
        <v>79</v>
      </c>
      <c r="E1590" t="s">
        <v>31</v>
      </c>
      <c r="F1590" t="s">
        <v>128</v>
      </c>
      <c r="G1590" t="s">
        <v>22</v>
      </c>
      <c r="H1590" t="s">
        <v>46</v>
      </c>
      <c r="I1590" t="s">
        <v>24</v>
      </c>
      <c r="J1590" t="s">
        <v>1220</v>
      </c>
      <c r="K1590" t="s">
        <v>412</v>
      </c>
      <c r="L1590">
        <v>2.2999999999999998</v>
      </c>
      <c r="M1590">
        <v>580000</v>
      </c>
      <c r="N1590">
        <v>2.7</v>
      </c>
      <c r="O1590">
        <v>28</v>
      </c>
      <c r="P1590" t="s">
        <v>53</v>
      </c>
    </row>
    <row r="1591" spans="1:16" x14ac:dyDescent="0.25">
      <c r="A1591" t="s">
        <v>4248</v>
      </c>
      <c r="B1591" t="s">
        <v>2446</v>
      </c>
      <c r="C1591" t="s">
        <v>29</v>
      </c>
      <c r="D1591" t="s">
        <v>30</v>
      </c>
      <c r="E1591" t="s">
        <v>20</v>
      </c>
      <c r="F1591" t="s">
        <v>128</v>
      </c>
      <c r="G1591" t="s">
        <v>22</v>
      </c>
      <c r="H1591" t="s">
        <v>62</v>
      </c>
      <c r="I1591" t="s">
        <v>24</v>
      </c>
      <c r="J1591" t="s">
        <v>4249</v>
      </c>
      <c r="L1591">
        <v>5.9</v>
      </c>
      <c r="M1591">
        <v>398000</v>
      </c>
      <c r="N1591">
        <v>5</v>
      </c>
      <c r="O1591">
        <v>5</v>
      </c>
      <c r="P1591" t="s">
        <v>26</v>
      </c>
    </row>
    <row r="1592" spans="1:16" x14ac:dyDescent="0.25">
      <c r="A1592" t="s">
        <v>4250</v>
      </c>
      <c r="B1592" t="s">
        <v>2123</v>
      </c>
      <c r="C1592" t="s">
        <v>29</v>
      </c>
      <c r="D1592" t="s">
        <v>19</v>
      </c>
      <c r="E1592" t="s">
        <v>20</v>
      </c>
      <c r="F1592" t="s">
        <v>39</v>
      </c>
      <c r="G1592" t="s">
        <v>33</v>
      </c>
      <c r="H1592" t="s">
        <v>62</v>
      </c>
      <c r="I1592" t="s">
        <v>57</v>
      </c>
      <c r="J1592" t="s">
        <v>3348</v>
      </c>
      <c r="L1592">
        <v>3.6</v>
      </c>
      <c r="M1592">
        <v>119000</v>
      </c>
      <c r="N1592">
        <v>4.7</v>
      </c>
      <c r="O1592">
        <v>12</v>
      </c>
      <c r="P1592" t="s">
        <v>26</v>
      </c>
    </row>
    <row r="1593" spans="1:16" x14ac:dyDescent="0.25">
      <c r="A1593" t="s">
        <v>4251</v>
      </c>
      <c r="B1593" t="s">
        <v>2202</v>
      </c>
      <c r="C1593" t="s">
        <v>18</v>
      </c>
      <c r="D1593" t="s">
        <v>30</v>
      </c>
      <c r="E1593" t="s">
        <v>31</v>
      </c>
      <c r="F1593" t="s">
        <v>39</v>
      </c>
      <c r="G1593" t="s">
        <v>33</v>
      </c>
      <c r="H1593" t="s">
        <v>34</v>
      </c>
      <c r="I1593" t="s">
        <v>75</v>
      </c>
      <c r="J1593" t="s">
        <v>2355</v>
      </c>
      <c r="L1593">
        <v>6.1</v>
      </c>
      <c r="M1593">
        <v>113000</v>
      </c>
      <c r="N1593">
        <v>2.4</v>
      </c>
      <c r="P1593" t="s">
        <v>26</v>
      </c>
    </row>
    <row r="1594" spans="1:16" x14ac:dyDescent="0.25">
      <c r="A1594" t="s">
        <v>4252</v>
      </c>
      <c r="B1594" t="s">
        <v>4253</v>
      </c>
      <c r="C1594" t="s">
        <v>18</v>
      </c>
      <c r="D1594" t="s">
        <v>30</v>
      </c>
      <c r="E1594" t="s">
        <v>20</v>
      </c>
      <c r="F1594" t="s">
        <v>32</v>
      </c>
      <c r="G1594" t="s">
        <v>69</v>
      </c>
      <c r="H1594" t="s">
        <v>46</v>
      </c>
      <c r="I1594" t="s">
        <v>171</v>
      </c>
      <c r="J1594" t="s">
        <v>4254</v>
      </c>
      <c r="K1594" t="s">
        <v>425</v>
      </c>
      <c r="L1594">
        <v>5.2</v>
      </c>
      <c r="M1594">
        <v>318000</v>
      </c>
      <c r="N1594">
        <v>2.8</v>
      </c>
      <c r="O1594">
        <v>14</v>
      </c>
      <c r="P1594" t="s">
        <v>114</v>
      </c>
    </row>
    <row r="1595" spans="1:16" x14ac:dyDescent="0.25">
      <c r="A1595" t="s">
        <v>4255</v>
      </c>
      <c r="B1595" t="s">
        <v>919</v>
      </c>
      <c r="C1595" t="s">
        <v>29</v>
      </c>
      <c r="D1595" t="s">
        <v>30</v>
      </c>
      <c r="E1595" t="s">
        <v>31</v>
      </c>
      <c r="F1595" t="s">
        <v>39</v>
      </c>
      <c r="G1595" t="s">
        <v>22</v>
      </c>
      <c r="H1595" t="s">
        <v>34</v>
      </c>
      <c r="I1595" t="s">
        <v>35</v>
      </c>
      <c r="J1595" t="s">
        <v>1240</v>
      </c>
      <c r="L1595">
        <v>2.6</v>
      </c>
      <c r="M1595">
        <v>123000</v>
      </c>
      <c r="N1595">
        <v>1.6</v>
      </c>
      <c r="O1595">
        <v>28</v>
      </c>
      <c r="P1595" t="s">
        <v>26</v>
      </c>
    </row>
    <row r="1596" spans="1:16" x14ac:dyDescent="0.25">
      <c r="A1596" t="s">
        <v>4256</v>
      </c>
      <c r="B1596" t="s">
        <v>4257</v>
      </c>
      <c r="C1596" t="s">
        <v>18</v>
      </c>
      <c r="D1596" t="s">
        <v>19</v>
      </c>
      <c r="E1596" t="s">
        <v>20</v>
      </c>
      <c r="F1596" t="s">
        <v>128</v>
      </c>
      <c r="G1596" t="s">
        <v>80</v>
      </c>
      <c r="H1596" t="s">
        <v>62</v>
      </c>
      <c r="I1596" t="s">
        <v>24</v>
      </c>
      <c r="J1596" t="s">
        <v>4258</v>
      </c>
      <c r="L1596">
        <v>4.3</v>
      </c>
      <c r="M1596">
        <v>660000</v>
      </c>
      <c r="O1596">
        <v>13</v>
      </c>
      <c r="P1596" t="s">
        <v>26</v>
      </c>
    </row>
    <row r="1597" spans="1:16" x14ac:dyDescent="0.25">
      <c r="A1597" t="s">
        <v>4259</v>
      </c>
      <c r="B1597" t="s">
        <v>4260</v>
      </c>
      <c r="C1597" t="s">
        <v>29</v>
      </c>
      <c r="D1597" t="s">
        <v>19</v>
      </c>
      <c r="E1597" t="s">
        <v>20</v>
      </c>
      <c r="F1597" t="s">
        <v>128</v>
      </c>
      <c r="G1597" t="s">
        <v>69</v>
      </c>
      <c r="H1597" t="s">
        <v>46</v>
      </c>
      <c r="I1597" t="s">
        <v>57</v>
      </c>
      <c r="J1597" t="s">
        <v>2505</v>
      </c>
      <c r="L1597">
        <v>3</v>
      </c>
      <c r="M1597">
        <v>619000</v>
      </c>
      <c r="N1597">
        <v>4.5999999999999996</v>
      </c>
      <c r="O1597">
        <v>1</v>
      </c>
      <c r="P1597" t="s">
        <v>26</v>
      </c>
    </row>
    <row r="1598" spans="1:16" x14ac:dyDescent="0.25">
      <c r="A1598" t="s">
        <v>4261</v>
      </c>
      <c r="B1598" t="s">
        <v>4262</v>
      </c>
      <c r="C1598" t="s">
        <v>29</v>
      </c>
      <c r="D1598" t="s">
        <v>30</v>
      </c>
      <c r="E1598" t="s">
        <v>31</v>
      </c>
      <c r="F1598" t="s">
        <v>21</v>
      </c>
      <c r="G1598" t="s">
        <v>80</v>
      </c>
      <c r="H1598" t="s">
        <v>46</v>
      </c>
      <c r="J1598" t="s">
        <v>3972</v>
      </c>
      <c r="K1598" t="s">
        <v>2217</v>
      </c>
      <c r="L1598">
        <v>5</v>
      </c>
      <c r="M1598">
        <v>725000</v>
      </c>
      <c r="N1598">
        <v>3.4</v>
      </c>
      <c r="O1598">
        <v>5</v>
      </c>
      <c r="P1598" t="s">
        <v>72</v>
      </c>
    </row>
    <row r="1599" spans="1:16" x14ac:dyDescent="0.25">
      <c r="A1599" t="s">
        <v>4263</v>
      </c>
      <c r="B1599" t="s">
        <v>3482</v>
      </c>
      <c r="C1599" t="s">
        <v>18</v>
      </c>
      <c r="D1599" t="s">
        <v>79</v>
      </c>
      <c r="E1599" t="s">
        <v>44</v>
      </c>
      <c r="F1599" t="s">
        <v>128</v>
      </c>
      <c r="G1599" t="s">
        <v>33</v>
      </c>
      <c r="H1599" t="s">
        <v>23</v>
      </c>
      <c r="I1599" t="s">
        <v>75</v>
      </c>
      <c r="J1599" t="s">
        <v>4264</v>
      </c>
      <c r="K1599" t="s">
        <v>3726</v>
      </c>
      <c r="L1599">
        <v>6</v>
      </c>
      <c r="M1599">
        <v>517000</v>
      </c>
      <c r="N1599">
        <v>2.8</v>
      </c>
      <c r="O1599">
        <v>12</v>
      </c>
      <c r="P1599" t="s">
        <v>53</v>
      </c>
    </row>
    <row r="1600" spans="1:16" x14ac:dyDescent="0.25">
      <c r="A1600" t="s">
        <v>4265</v>
      </c>
      <c r="B1600" t="s">
        <v>4266</v>
      </c>
      <c r="C1600" t="s">
        <v>18</v>
      </c>
      <c r="D1600" t="s">
        <v>79</v>
      </c>
      <c r="E1600" t="s">
        <v>20</v>
      </c>
      <c r="F1600" t="s">
        <v>45</v>
      </c>
      <c r="G1600" t="s">
        <v>22</v>
      </c>
      <c r="H1600" t="s">
        <v>46</v>
      </c>
      <c r="I1600" t="s">
        <v>35</v>
      </c>
      <c r="J1600" t="s">
        <v>1098</v>
      </c>
      <c r="L1600">
        <v>3.5</v>
      </c>
      <c r="M1600">
        <v>1697000</v>
      </c>
      <c r="N1600">
        <v>4.2</v>
      </c>
      <c r="O1600">
        <v>11</v>
      </c>
      <c r="P1600" t="s">
        <v>26</v>
      </c>
    </row>
    <row r="1601" spans="1:16" x14ac:dyDescent="0.25">
      <c r="A1601" t="s">
        <v>4267</v>
      </c>
      <c r="B1601" t="s">
        <v>4268</v>
      </c>
      <c r="C1601" t="s">
        <v>18</v>
      </c>
      <c r="D1601" t="s">
        <v>19</v>
      </c>
      <c r="E1601" t="s">
        <v>20</v>
      </c>
      <c r="F1601" t="s">
        <v>32</v>
      </c>
      <c r="G1601" t="s">
        <v>33</v>
      </c>
      <c r="H1601" t="s">
        <v>23</v>
      </c>
      <c r="I1601" t="s">
        <v>24</v>
      </c>
      <c r="J1601" t="s">
        <v>4269</v>
      </c>
      <c r="L1601">
        <v>3</v>
      </c>
      <c r="M1601">
        <v>369000</v>
      </c>
      <c r="N1601">
        <v>2.5</v>
      </c>
      <c r="O1601">
        <v>1</v>
      </c>
      <c r="P1601" t="s">
        <v>26</v>
      </c>
    </row>
    <row r="1602" spans="1:16" x14ac:dyDescent="0.25">
      <c r="A1602" t="s">
        <v>4270</v>
      </c>
      <c r="B1602" t="s">
        <v>4271</v>
      </c>
      <c r="C1602" t="s">
        <v>29</v>
      </c>
      <c r="E1602" t="s">
        <v>44</v>
      </c>
      <c r="F1602" t="s">
        <v>32</v>
      </c>
      <c r="G1602" t="s">
        <v>80</v>
      </c>
      <c r="H1602" t="s">
        <v>23</v>
      </c>
      <c r="I1602" t="s">
        <v>75</v>
      </c>
      <c r="J1602" t="s">
        <v>1459</v>
      </c>
      <c r="L1602">
        <v>5.8</v>
      </c>
      <c r="M1602">
        <v>266000</v>
      </c>
      <c r="N1602">
        <v>4.5</v>
      </c>
      <c r="O1602">
        <v>0</v>
      </c>
      <c r="P1602" t="s">
        <v>26</v>
      </c>
    </row>
    <row r="1603" spans="1:16" x14ac:dyDescent="0.25">
      <c r="A1603" t="s">
        <v>4272</v>
      </c>
      <c r="B1603" t="s">
        <v>4273</v>
      </c>
      <c r="C1603" t="s">
        <v>29</v>
      </c>
      <c r="D1603" t="s">
        <v>79</v>
      </c>
      <c r="E1603" t="s">
        <v>44</v>
      </c>
      <c r="F1603" t="s">
        <v>39</v>
      </c>
      <c r="G1603" t="s">
        <v>33</v>
      </c>
      <c r="H1603" t="s">
        <v>62</v>
      </c>
      <c r="I1603" t="s">
        <v>24</v>
      </c>
      <c r="J1603" t="s">
        <v>4085</v>
      </c>
      <c r="L1603">
        <v>5.4</v>
      </c>
      <c r="M1603">
        <v>167000</v>
      </c>
      <c r="N1603">
        <v>4.3</v>
      </c>
      <c r="O1603">
        <v>0</v>
      </c>
      <c r="P1603" t="s">
        <v>26</v>
      </c>
    </row>
    <row r="1604" spans="1:16" x14ac:dyDescent="0.25">
      <c r="A1604" t="s">
        <v>4274</v>
      </c>
      <c r="B1604" t="s">
        <v>4275</v>
      </c>
      <c r="C1604" t="s">
        <v>29</v>
      </c>
      <c r="D1604" t="s">
        <v>43</v>
      </c>
      <c r="E1604" t="s">
        <v>20</v>
      </c>
      <c r="F1604" t="s">
        <v>128</v>
      </c>
      <c r="G1604" t="s">
        <v>80</v>
      </c>
      <c r="H1604" t="s">
        <v>62</v>
      </c>
      <c r="I1604" t="s">
        <v>35</v>
      </c>
      <c r="J1604" t="s">
        <v>289</v>
      </c>
      <c r="L1604">
        <v>5</v>
      </c>
      <c r="M1604">
        <v>486000</v>
      </c>
      <c r="N1604">
        <v>3.3</v>
      </c>
      <c r="O1604">
        <v>14</v>
      </c>
      <c r="P1604" t="s">
        <v>26</v>
      </c>
    </row>
    <row r="1605" spans="1:16" x14ac:dyDescent="0.25">
      <c r="A1605" t="s">
        <v>4276</v>
      </c>
      <c r="B1605" t="s">
        <v>4277</v>
      </c>
      <c r="C1605" t="s">
        <v>18</v>
      </c>
      <c r="D1605" t="s">
        <v>50</v>
      </c>
      <c r="E1605" t="s">
        <v>20</v>
      </c>
      <c r="F1605" t="s">
        <v>32</v>
      </c>
      <c r="G1605" t="s">
        <v>80</v>
      </c>
      <c r="H1605" t="s">
        <v>34</v>
      </c>
      <c r="I1605" t="s">
        <v>57</v>
      </c>
      <c r="J1605" t="s">
        <v>4278</v>
      </c>
      <c r="L1605">
        <v>2.4</v>
      </c>
      <c r="M1605">
        <v>283000</v>
      </c>
      <c r="P1605" t="s">
        <v>26</v>
      </c>
    </row>
    <row r="1606" spans="1:16" x14ac:dyDescent="0.25">
      <c r="A1606" t="s">
        <v>4279</v>
      </c>
      <c r="B1606" t="s">
        <v>3138</v>
      </c>
      <c r="C1606" t="s">
        <v>18</v>
      </c>
      <c r="D1606" t="s">
        <v>30</v>
      </c>
      <c r="E1606" t="s">
        <v>20</v>
      </c>
      <c r="G1606" t="s">
        <v>80</v>
      </c>
      <c r="H1606" t="s">
        <v>23</v>
      </c>
      <c r="I1606" t="s">
        <v>35</v>
      </c>
      <c r="J1606" t="s">
        <v>4280</v>
      </c>
      <c r="K1606" t="s">
        <v>4281</v>
      </c>
      <c r="L1606">
        <v>2.6</v>
      </c>
      <c r="M1606">
        <v>133000</v>
      </c>
      <c r="N1606">
        <v>2.5</v>
      </c>
      <c r="O1606">
        <v>12</v>
      </c>
      <c r="P1606" t="s">
        <v>72</v>
      </c>
    </row>
    <row r="1607" spans="1:16" x14ac:dyDescent="0.25">
      <c r="A1607" t="s">
        <v>4282</v>
      </c>
      <c r="B1607" t="s">
        <v>3145</v>
      </c>
      <c r="C1607" t="s">
        <v>29</v>
      </c>
      <c r="D1607" t="s">
        <v>30</v>
      </c>
      <c r="E1607" t="s">
        <v>44</v>
      </c>
      <c r="F1607" t="s">
        <v>39</v>
      </c>
      <c r="G1607" t="s">
        <v>80</v>
      </c>
      <c r="H1607" t="s">
        <v>34</v>
      </c>
      <c r="I1607" t="s">
        <v>57</v>
      </c>
      <c r="J1607" t="s">
        <v>1597</v>
      </c>
      <c r="K1607" t="s">
        <v>220</v>
      </c>
      <c r="L1607">
        <v>1.3</v>
      </c>
      <c r="M1607">
        <v>131000</v>
      </c>
      <c r="N1607">
        <v>3.3</v>
      </c>
      <c r="P1607" t="s">
        <v>53</v>
      </c>
    </row>
    <row r="1608" spans="1:16" x14ac:dyDescent="0.25">
      <c r="A1608" t="s">
        <v>4283</v>
      </c>
      <c r="B1608" t="s">
        <v>4284</v>
      </c>
      <c r="D1608" t="s">
        <v>79</v>
      </c>
      <c r="E1608" t="s">
        <v>44</v>
      </c>
      <c r="F1608" t="s">
        <v>128</v>
      </c>
      <c r="G1608" t="s">
        <v>80</v>
      </c>
      <c r="H1608" t="s">
        <v>62</v>
      </c>
      <c r="I1608" t="s">
        <v>57</v>
      </c>
      <c r="J1608" t="s">
        <v>1600</v>
      </c>
      <c r="K1608" t="s">
        <v>4285</v>
      </c>
      <c r="L1608">
        <v>5.2</v>
      </c>
      <c r="M1608">
        <v>474000</v>
      </c>
      <c r="N1608">
        <v>3</v>
      </c>
      <c r="O1608">
        <v>1</v>
      </c>
      <c r="P1608" t="s">
        <v>53</v>
      </c>
    </row>
    <row r="1609" spans="1:16" x14ac:dyDescent="0.25">
      <c r="A1609" t="s">
        <v>4286</v>
      </c>
      <c r="B1609" t="s">
        <v>4287</v>
      </c>
      <c r="C1609" t="s">
        <v>18</v>
      </c>
      <c r="D1609" t="s">
        <v>19</v>
      </c>
      <c r="E1609" t="s">
        <v>20</v>
      </c>
      <c r="F1609" t="s">
        <v>32</v>
      </c>
      <c r="G1609" t="s">
        <v>22</v>
      </c>
      <c r="H1609" t="s">
        <v>23</v>
      </c>
      <c r="I1609" t="s">
        <v>57</v>
      </c>
      <c r="J1609" t="s">
        <v>4288</v>
      </c>
      <c r="K1609" t="s">
        <v>4289</v>
      </c>
      <c r="L1609">
        <v>5</v>
      </c>
      <c r="M1609">
        <v>279000</v>
      </c>
      <c r="N1609">
        <v>2.8</v>
      </c>
      <c r="O1609">
        <v>8</v>
      </c>
      <c r="P1609" t="s">
        <v>72</v>
      </c>
    </row>
    <row r="1610" spans="1:16" x14ac:dyDescent="0.25">
      <c r="A1610" t="s">
        <v>4290</v>
      </c>
      <c r="B1610" t="s">
        <v>4291</v>
      </c>
      <c r="C1610" t="s">
        <v>18</v>
      </c>
      <c r="D1610" t="s">
        <v>43</v>
      </c>
      <c r="E1610" t="s">
        <v>20</v>
      </c>
      <c r="F1610" t="s">
        <v>32</v>
      </c>
      <c r="G1610" t="s">
        <v>80</v>
      </c>
      <c r="H1610" t="s">
        <v>46</v>
      </c>
      <c r="I1610" t="s">
        <v>24</v>
      </c>
      <c r="J1610" t="s">
        <v>4249</v>
      </c>
      <c r="L1610">
        <v>5.9</v>
      </c>
      <c r="M1610">
        <v>279000</v>
      </c>
      <c r="N1610">
        <v>2.1</v>
      </c>
      <c r="O1610">
        <v>1</v>
      </c>
      <c r="P1610" t="s">
        <v>26</v>
      </c>
    </row>
    <row r="1611" spans="1:16" x14ac:dyDescent="0.25">
      <c r="A1611" t="s">
        <v>4292</v>
      </c>
      <c r="B1611" t="s">
        <v>2485</v>
      </c>
      <c r="C1611" t="s">
        <v>18</v>
      </c>
      <c r="D1611" t="s">
        <v>43</v>
      </c>
      <c r="E1611" t="s">
        <v>20</v>
      </c>
      <c r="F1611" t="s">
        <v>39</v>
      </c>
      <c r="G1611" t="s">
        <v>33</v>
      </c>
      <c r="H1611" t="s">
        <v>62</v>
      </c>
      <c r="I1611" t="s">
        <v>57</v>
      </c>
      <c r="J1611" t="s">
        <v>3945</v>
      </c>
      <c r="K1611" t="s">
        <v>1709</v>
      </c>
      <c r="L1611">
        <v>5.9</v>
      </c>
      <c r="M1611">
        <v>137000</v>
      </c>
      <c r="N1611">
        <v>4.8</v>
      </c>
      <c r="O1611">
        <v>26</v>
      </c>
      <c r="P1611" t="s">
        <v>53</v>
      </c>
    </row>
    <row r="1612" spans="1:16" x14ac:dyDescent="0.25">
      <c r="A1612" t="s">
        <v>4293</v>
      </c>
      <c r="B1612" t="s">
        <v>3304</v>
      </c>
      <c r="C1612" t="s">
        <v>18</v>
      </c>
      <c r="D1612" t="s">
        <v>50</v>
      </c>
      <c r="E1612" t="s">
        <v>20</v>
      </c>
      <c r="F1612" t="s">
        <v>32</v>
      </c>
      <c r="G1612" t="s">
        <v>22</v>
      </c>
      <c r="I1612" t="s">
        <v>24</v>
      </c>
      <c r="J1612" t="s">
        <v>1834</v>
      </c>
      <c r="L1612">
        <v>1.6</v>
      </c>
      <c r="M1612">
        <v>238000</v>
      </c>
      <c r="N1612">
        <v>4</v>
      </c>
      <c r="O1612">
        <v>11</v>
      </c>
      <c r="P1612" t="s">
        <v>26</v>
      </c>
    </row>
    <row r="1613" spans="1:16" x14ac:dyDescent="0.25">
      <c r="A1613" t="s">
        <v>4294</v>
      </c>
      <c r="B1613" t="s">
        <v>1144</v>
      </c>
      <c r="C1613" t="s">
        <v>18</v>
      </c>
      <c r="D1613" t="s">
        <v>43</v>
      </c>
      <c r="E1613" t="s">
        <v>20</v>
      </c>
      <c r="F1613" t="s">
        <v>128</v>
      </c>
      <c r="G1613" t="s">
        <v>33</v>
      </c>
      <c r="H1613" t="s">
        <v>34</v>
      </c>
      <c r="I1613" t="s">
        <v>24</v>
      </c>
      <c r="J1613" t="s">
        <v>4295</v>
      </c>
      <c r="L1613">
        <v>5.5</v>
      </c>
      <c r="M1613">
        <v>503000</v>
      </c>
      <c r="N1613">
        <v>4.3</v>
      </c>
      <c r="O1613">
        <v>3</v>
      </c>
      <c r="P1613" t="s">
        <v>26</v>
      </c>
    </row>
    <row r="1614" spans="1:16" x14ac:dyDescent="0.25">
      <c r="A1614" t="s">
        <v>4296</v>
      </c>
      <c r="B1614" t="s">
        <v>4297</v>
      </c>
      <c r="C1614" t="s">
        <v>29</v>
      </c>
      <c r="D1614" t="s">
        <v>30</v>
      </c>
      <c r="E1614" t="s">
        <v>31</v>
      </c>
      <c r="F1614" t="s">
        <v>128</v>
      </c>
      <c r="G1614" t="s">
        <v>22</v>
      </c>
      <c r="H1614" t="s">
        <v>34</v>
      </c>
      <c r="I1614" t="s">
        <v>75</v>
      </c>
      <c r="J1614" t="s">
        <v>2355</v>
      </c>
      <c r="L1614">
        <v>6.1</v>
      </c>
      <c r="N1614">
        <v>3.6</v>
      </c>
      <c r="O1614">
        <v>3</v>
      </c>
      <c r="P1614" t="s">
        <v>26</v>
      </c>
    </row>
    <row r="1615" spans="1:16" x14ac:dyDescent="0.25">
      <c r="A1615" t="s">
        <v>4298</v>
      </c>
      <c r="B1615" t="s">
        <v>4299</v>
      </c>
      <c r="C1615" t="s">
        <v>18</v>
      </c>
      <c r="D1615" t="s">
        <v>50</v>
      </c>
      <c r="E1615" t="s">
        <v>20</v>
      </c>
      <c r="F1615" t="s">
        <v>39</v>
      </c>
      <c r="G1615" t="s">
        <v>80</v>
      </c>
      <c r="H1615" t="s">
        <v>34</v>
      </c>
      <c r="I1615" t="s">
        <v>57</v>
      </c>
      <c r="J1615" t="s">
        <v>165</v>
      </c>
      <c r="L1615">
        <v>1.7</v>
      </c>
      <c r="M1615">
        <v>172000</v>
      </c>
      <c r="N1615">
        <v>3.3</v>
      </c>
      <c r="O1615">
        <v>2</v>
      </c>
      <c r="P1615" t="s">
        <v>26</v>
      </c>
    </row>
    <row r="1616" spans="1:16" x14ac:dyDescent="0.25">
      <c r="A1616" t="s">
        <v>4300</v>
      </c>
      <c r="B1616" t="s">
        <v>4301</v>
      </c>
      <c r="C1616" t="s">
        <v>29</v>
      </c>
      <c r="D1616" t="s">
        <v>19</v>
      </c>
      <c r="E1616" t="s">
        <v>20</v>
      </c>
      <c r="F1616" t="s">
        <v>128</v>
      </c>
      <c r="G1616" t="s">
        <v>33</v>
      </c>
      <c r="H1616" t="s">
        <v>34</v>
      </c>
      <c r="I1616" t="s">
        <v>24</v>
      </c>
      <c r="J1616" t="s">
        <v>4302</v>
      </c>
      <c r="L1616">
        <v>3.7</v>
      </c>
      <c r="M1616">
        <v>423000</v>
      </c>
      <c r="N1616">
        <v>3.5</v>
      </c>
      <c r="O1616">
        <v>1</v>
      </c>
      <c r="P1616" t="s">
        <v>26</v>
      </c>
    </row>
    <row r="1617" spans="1:16" x14ac:dyDescent="0.25">
      <c r="A1617" t="s">
        <v>4303</v>
      </c>
      <c r="B1617" t="s">
        <v>4304</v>
      </c>
      <c r="C1617" t="s">
        <v>18</v>
      </c>
      <c r="D1617" t="s">
        <v>79</v>
      </c>
      <c r="E1617" t="s">
        <v>20</v>
      </c>
      <c r="F1617" t="s">
        <v>128</v>
      </c>
      <c r="G1617" t="s">
        <v>22</v>
      </c>
      <c r="H1617" t="s">
        <v>62</v>
      </c>
      <c r="I1617" t="s">
        <v>24</v>
      </c>
      <c r="J1617" t="s">
        <v>2802</v>
      </c>
      <c r="L1617">
        <v>6.2</v>
      </c>
      <c r="M1617">
        <v>354000</v>
      </c>
      <c r="N1617">
        <v>2</v>
      </c>
      <c r="O1617">
        <v>3</v>
      </c>
      <c r="P1617" t="s">
        <v>26</v>
      </c>
    </row>
    <row r="1618" spans="1:16" x14ac:dyDescent="0.25">
      <c r="A1618" t="s">
        <v>4305</v>
      </c>
      <c r="B1618" t="s">
        <v>4306</v>
      </c>
      <c r="E1618" t="s">
        <v>20</v>
      </c>
      <c r="F1618" t="s">
        <v>32</v>
      </c>
      <c r="G1618" t="s">
        <v>22</v>
      </c>
      <c r="H1618" t="s">
        <v>34</v>
      </c>
      <c r="I1618" t="s">
        <v>24</v>
      </c>
      <c r="J1618" t="s">
        <v>4307</v>
      </c>
      <c r="L1618">
        <v>3.1</v>
      </c>
      <c r="M1618">
        <v>256000</v>
      </c>
      <c r="N1618">
        <v>3.8</v>
      </c>
      <c r="O1618">
        <v>2</v>
      </c>
      <c r="P1618" t="s">
        <v>26</v>
      </c>
    </row>
    <row r="1619" spans="1:16" x14ac:dyDescent="0.25">
      <c r="A1619" t="s">
        <v>4308</v>
      </c>
      <c r="B1619" t="s">
        <v>451</v>
      </c>
      <c r="C1619" t="s">
        <v>29</v>
      </c>
      <c r="D1619" t="s">
        <v>43</v>
      </c>
      <c r="E1619" t="s">
        <v>20</v>
      </c>
      <c r="F1619" t="s">
        <v>45</v>
      </c>
      <c r="G1619" t="s">
        <v>80</v>
      </c>
      <c r="H1619" t="s">
        <v>23</v>
      </c>
      <c r="I1619" t="s">
        <v>75</v>
      </c>
      <c r="J1619" t="s">
        <v>4309</v>
      </c>
      <c r="L1619">
        <v>3.1</v>
      </c>
      <c r="M1619">
        <v>1703000</v>
      </c>
      <c r="N1619">
        <v>4.2</v>
      </c>
      <c r="O1619">
        <v>2</v>
      </c>
      <c r="P1619" t="s">
        <v>26</v>
      </c>
    </row>
    <row r="1620" spans="1:16" x14ac:dyDescent="0.25">
      <c r="A1620" t="s">
        <v>4310</v>
      </c>
      <c r="B1620" t="s">
        <v>1859</v>
      </c>
      <c r="C1620" t="s">
        <v>29</v>
      </c>
      <c r="D1620" t="s">
        <v>43</v>
      </c>
      <c r="E1620" t="s">
        <v>31</v>
      </c>
      <c r="F1620" t="s">
        <v>128</v>
      </c>
      <c r="G1620" t="s">
        <v>33</v>
      </c>
      <c r="H1620" t="s">
        <v>62</v>
      </c>
      <c r="I1620" t="s">
        <v>57</v>
      </c>
      <c r="J1620" t="s">
        <v>1671</v>
      </c>
      <c r="L1620">
        <v>4.9000000000000004</v>
      </c>
      <c r="M1620">
        <v>355000</v>
      </c>
      <c r="N1620">
        <v>2.2000000000000002</v>
      </c>
      <c r="O1620">
        <v>6</v>
      </c>
      <c r="P1620" t="s">
        <v>26</v>
      </c>
    </row>
    <row r="1621" spans="1:16" x14ac:dyDescent="0.25">
      <c r="A1621" t="s">
        <v>4311</v>
      </c>
      <c r="B1621" t="s">
        <v>4312</v>
      </c>
      <c r="C1621" t="s">
        <v>18</v>
      </c>
      <c r="D1621" t="s">
        <v>30</v>
      </c>
      <c r="E1621" t="s">
        <v>20</v>
      </c>
      <c r="F1621" t="s">
        <v>39</v>
      </c>
      <c r="G1621" t="s">
        <v>22</v>
      </c>
      <c r="H1621" t="s">
        <v>23</v>
      </c>
      <c r="I1621" t="s">
        <v>24</v>
      </c>
      <c r="J1621" t="s">
        <v>4313</v>
      </c>
      <c r="K1621" t="s">
        <v>4314</v>
      </c>
      <c r="L1621">
        <v>5.3</v>
      </c>
      <c r="M1621">
        <v>152000</v>
      </c>
      <c r="N1621">
        <v>1.7</v>
      </c>
      <c r="O1621">
        <v>0</v>
      </c>
      <c r="P1621" t="s">
        <v>53</v>
      </c>
    </row>
    <row r="1622" spans="1:16" x14ac:dyDescent="0.25">
      <c r="A1622" t="s">
        <v>4315</v>
      </c>
      <c r="B1622" t="s">
        <v>2704</v>
      </c>
      <c r="C1622" t="s">
        <v>18</v>
      </c>
      <c r="E1622" t="s">
        <v>20</v>
      </c>
      <c r="F1622" t="s">
        <v>21</v>
      </c>
      <c r="G1622" t="s">
        <v>80</v>
      </c>
      <c r="H1622" t="s">
        <v>46</v>
      </c>
      <c r="I1622" t="s">
        <v>57</v>
      </c>
      <c r="J1622" t="s">
        <v>744</v>
      </c>
      <c r="K1622" t="s">
        <v>4316</v>
      </c>
      <c r="L1622">
        <v>3.1</v>
      </c>
      <c r="M1622">
        <v>777000</v>
      </c>
      <c r="N1622">
        <v>4.4000000000000004</v>
      </c>
      <c r="O1622">
        <v>6</v>
      </c>
      <c r="P1622" t="s">
        <v>72</v>
      </c>
    </row>
    <row r="1623" spans="1:16" x14ac:dyDescent="0.25">
      <c r="A1623" t="s">
        <v>4317</v>
      </c>
      <c r="B1623" t="s">
        <v>4318</v>
      </c>
      <c r="C1623" t="s">
        <v>29</v>
      </c>
      <c r="D1623" t="s">
        <v>79</v>
      </c>
      <c r="E1623" t="s">
        <v>20</v>
      </c>
      <c r="F1623" t="s">
        <v>128</v>
      </c>
      <c r="G1623" t="s">
        <v>80</v>
      </c>
      <c r="H1623" t="s">
        <v>23</v>
      </c>
      <c r="I1623" t="s">
        <v>24</v>
      </c>
      <c r="J1623" t="s">
        <v>175</v>
      </c>
      <c r="K1623" t="s">
        <v>4319</v>
      </c>
      <c r="L1623">
        <v>5.8</v>
      </c>
      <c r="N1623">
        <v>3.8</v>
      </c>
      <c r="O1623">
        <v>3</v>
      </c>
      <c r="P1623" t="s">
        <v>72</v>
      </c>
    </row>
    <row r="1624" spans="1:16" x14ac:dyDescent="0.25">
      <c r="A1624" t="s">
        <v>4320</v>
      </c>
      <c r="B1624" t="s">
        <v>4321</v>
      </c>
      <c r="C1624" t="s">
        <v>18</v>
      </c>
      <c r="D1624" t="s">
        <v>50</v>
      </c>
      <c r="E1624" t="s">
        <v>20</v>
      </c>
      <c r="F1624" t="s">
        <v>39</v>
      </c>
      <c r="G1624" t="s">
        <v>22</v>
      </c>
      <c r="H1624" t="s">
        <v>23</v>
      </c>
      <c r="I1624" t="s">
        <v>24</v>
      </c>
      <c r="J1624" t="s">
        <v>4322</v>
      </c>
      <c r="L1624">
        <v>3.4</v>
      </c>
      <c r="M1624">
        <v>163000</v>
      </c>
      <c r="N1624">
        <v>3.7</v>
      </c>
      <c r="O1624">
        <v>26</v>
      </c>
      <c r="P1624" t="s">
        <v>26</v>
      </c>
    </row>
    <row r="1625" spans="1:16" x14ac:dyDescent="0.25">
      <c r="A1625" t="s">
        <v>4323</v>
      </c>
      <c r="B1625" t="s">
        <v>1490</v>
      </c>
      <c r="C1625" t="s">
        <v>29</v>
      </c>
      <c r="D1625" t="s">
        <v>50</v>
      </c>
      <c r="E1625" t="s">
        <v>44</v>
      </c>
      <c r="F1625" t="s">
        <v>128</v>
      </c>
      <c r="G1625" t="s">
        <v>33</v>
      </c>
      <c r="H1625" t="s">
        <v>23</v>
      </c>
      <c r="I1625" t="s">
        <v>24</v>
      </c>
      <c r="J1625" t="s">
        <v>545</v>
      </c>
      <c r="K1625" t="s">
        <v>4324</v>
      </c>
      <c r="L1625">
        <v>4.7</v>
      </c>
      <c r="M1625">
        <v>543000</v>
      </c>
      <c r="N1625">
        <v>2.6</v>
      </c>
      <c r="P1625" t="s">
        <v>53</v>
      </c>
    </row>
    <row r="1626" spans="1:16" x14ac:dyDescent="0.25">
      <c r="A1626" t="s">
        <v>4325</v>
      </c>
      <c r="B1626" t="s">
        <v>2774</v>
      </c>
      <c r="C1626" t="s">
        <v>29</v>
      </c>
      <c r="D1626" t="s">
        <v>19</v>
      </c>
      <c r="E1626" t="s">
        <v>44</v>
      </c>
      <c r="F1626" t="s">
        <v>128</v>
      </c>
      <c r="G1626" t="s">
        <v>33</v>
      </c>
      <c r="H1626" t="s">
        <v>46</v>
      </c>
      <c r="I1626" t="s">
        <v>24</v>
      </c>
      <c r="J1626" t="s">
        <v>4326</v>
      </c>
      <c r="L1626">
        <v>2.2999999999999998</v>
      </c>
      <c r="M1626">
        <v>630000</v>
      </c>
      <c r="N1626">
        <v>4.8</v>
      </c>
      <c r="O1626">
        <v>14</v>
      </c>
      <c r="P1626" t="s">
        <v>26</v>
      </c>
    </row>
    <row r="1627" spans="1:16" x14ac:dyDescent="0.25">
      <c r="A1627" t="s">
        <v>4327</v>
      </c>
      <c r="B1627" t="s">
        <v>4328</v>
      </c>
      <c r="C1627" t="s">
        <v>29</v>
      </c>
      <c r="D1627" t="s">
        <v>43</v>
      </c>
      <c r="E1627" t="s">
        <v>31</v>
      </c>
      <c r="F1627" t="s">
        <v>128</v>
      </c>
      <c r="G1627" t="s">
        <v>69</v>
      </c>
      <c r="H1627" t="s">
        <v>46</v>
      </c>
      <c r="I1627" t="s">
        <v>57</v>
      </c>
      <c r="J1627" t="s">
        <v>2216</v>
      </c>
      <c r="L1627">
        <v>1.4</v>
      </c>
      <c r="M1627">
        <v>516000</v>
      </c>
      <c r="N1627">
        <v>3.2</v>
      </c>
      <c r="O1627">
        <v>5</v>
      </c>
      <c r="P1627" t="s">
        <v>26</v>
      </c>
    </row>
    <row r="1628" spans="1:16" x14ac:dyDescent="0.25">
      <c r="A1628" t="s">
        <v>4329</v>
      </c>
      <c r="B1628" t="s">
        <v>4330</v>
      </c>
      <c r="C1628" t="s">
        <v>18</v>
      </c>
      <c r="D1628" t="s">
        <v>30</v>
      </c>
      <c r="F1628" t="s">
        <v>32</v>
      </c>
      <c r="G1628" t="s">
        <v>80</v>
      </c>
      <c r="H1628" t="s">
        <v>34</v>
      </c>
      <c r="I1628" t="s">
        <v>24</v>
      </c>
      <c r="J1628" t="s">
        <v>3719</v>
      </c>
      <c r="L1628">
        <v>3.3</v>
      </c>
      <c r="M1628">
        <v>244000</v>
      </c>
      <c r="N1628">
        <v>3.4</v>
      </c>
      <c r="O1628">
        <v>2</v>
      </c>
      <c r="P1628" t="s">
        <v>26</v>
      </c>
    </row>
    <row r="1629" spans="1:16" x14ac:dyDescent="0.25">
      <c r="A1629" t="s">
        <v>4331</v>
      </c>
      <c r="B1629" t="s">
        <v>4332</v>
      </c>
      <c r="C1629" t="s">
        <v>18</v>
      </c>
      <c r="E1629" t="s">
        <v>20</v>
      </c>
      <c r="F1629" t="s">
        <v>32</v>
      </c>
      <c r="G1629" t="s">
        <v>33</v>
      </c>
      <c r="H1629" t="s">
        <v>23</v>
      </c>
      <c r="I1629" t="s">
        <v>57</v>
      </c>
      <c r="J1629" t="s">
        <v>4333</v>
      </c>
      <c r="L1629">
        <v>5.8</v>
      </c>
      <c r="M1629">
        <v>334000</v>
      </c>
      <c r="N1629">
        <v>3</v>
      </c>
      <c r="O1629">
        <v>1</v>
      </c>
      <c r="P1629" t="s">
        <v>26</v>
      </c>
    </row>
    <row r="1630" spans="1:16" x14ac:dyDescent="0.25">
      <c r="A1630" t="s">
        <v>4334</v>
      </c>
      <c r="B1630" t="s">
        <v>980</v>
      </c>
      <c r="C1630" t="s">
        <v>18</v>
      </c>
      <c r="D1630" t="s">
        <v>30</v>
      </c>
      <c r="E1630" t="s">
        <v>44</v>
      </c>
      <c r="F1630" t="s">
        <v>21</v>
      </c>
      <c r="G1630" t="s">
        <v>80</v>
      </c>
      <c r="H1630" t="s">
        <v>23</v>
      </c>
      <c r="I1630" t="s">
        <v>24</v>
      </c>
      <c r="J1630" t="s">
        <v>1350</v>
      </c>
      <c r="L1630">
        <v>3.6</v>
      </c>
      <c r="M1630">
        <v>674000</v>
      </c>
      <c r="N1630">
        <v>3.2</v>
      </c>
      <c r="O1630">
        <v>7</v>
      </c>
      <c r="P1630" t="s">
        <v>26</v>
      </c>
    </row>
    <row r="1631" spans="1:16" x14ac:dyDescent="0.25">
      <c r="A1631" t="s">
        <v>4335</v>
      </c>
      <c r="B1631" t="s">
        <v>4336</v>
      </c>
      <c r="C1631" t="s">
        <v>29</v>
      </c>
      <c r="D1631" t="s">
        <v>50</v>
      </c>
      <c r="E1631" t="s">
        <v>20</v>
      </c>
      <c r="F1631" t="s">
        <v>39</v>
      </c>
      <c r="G1631" t="s">
        <v>80</v>
      </c>
      <c r="H1631" t="s">
        <v>23</v>
      </c>
      <c r="I1631" t="s">
        <v>171</v>
      </c>
      <c r="J1631" t="s">
        <v>466</v>
      </c>
      <c r="L1631">
        <v>3.7</v>
      </c>
      <c r="M1631">
        <v>152000</v>
      </c>
      <c r="N1631">
        <v>3.5</v>
      </c>
      <c r="O1631">
        <v>11</v>
      </c>
      <c r="P1631" t="s">
        <v>26</v>
      </c>
    </row>
    <row r="1632" spans="1:16" x14ac:dyDescent="0.25">
      <c r="A1632" t="s">
        <v>4337</v>
      </c>
      <c r="B1632" t="s">
        <v>4338</v>
      </c>
      <c r="C1632" t="s">
        <v>29</v>
      </c>
      <c r="D1632" t="s">
        <v>30</v>
      </c>
      <c r="E1632" t="s">
        <v>44</v>
      </c>
      <c r="F1632" t="s">
        <v>39</v>
      </c>
      <c r="G1632" t="s">
        <v>33</v>
      </c>
      <c r="H1632" t="s">
        <v>23</v>
      </c>
      <c r="I1632" t="s">
        <v>24</v>
      </c>
      <c r="J1632" t="s">
        <v>4339</v>
      </c>
      <c r="K1632" t="s">
        <v>266</v>
      </c>
      <c r="L1632">
        <v>5.0999999999999996</v>
      </c>
      <c r="M1632">
        <v>141000</v>
      </c>
      <c r="N1632">
        <v>1.7</v>
      </c>
      <c r="O1632">
        <v>35</v>
      </c>
      <c r="P1632" t="s">
        <v>53</v>
      </c>
    </row>
    <row r="1633" spans="1:16" x14ac:dyDescent="0.25">
      <c r="A1633" t="s">
        <v>4340</v>
      </c>
      <c r="B1633" t="s">
        <v>4341</v>
      </c>
      <c r="C1633" t="s">
        <v>18</v>
      </c>
      <c r="D1633" t="s">
        <v>30</v>
      </c>
      <c r="E1633" t="s">
        <v>20</v>
      </c>
      <c r="F1633" t="s">
        <v>32</v>
      </c>
      <c r="G1633" t="s">
        <v>80</v>
      </c>
      <c r="H1633" t="s">
        <v>23</v>
      </c>
      <c r="I1633" t="s">
        <v>57</v>
      </c>
      <c r="J1633" t="s">
        <v>2350</v>
      </c>
      <c r="L1633">
        <v>6.2</v>
      </c>
      <c r="M1633">
        <v>300000</v>
      </c>
      <c r="N1633">
        <v>4.0999999999999996</v>
      </c>
      <c r="O1633">
        <v>5</v>
      </c>
      <c r="P1633" t="s">
        <v>26</v>
      </c>
    </row>
    <row r="1634" spans="1:16" x14ac:dyDescent="0.25">
      <c r="A1634" t="s">
        <v>4342</v>
      </c>
      <c r="B1634" t="s">
        <v>2591</v>
      </c>
      <c r="C1634" t="s">
        <v>29</v>
      </c>
      <c r="D1634" t="s">
        <v>50</v>
      </c>
      <c r="E1634" t="s">
        <v>20</v>
      </c>
      <c r="F1634" t="s">
        <v>32</v>
      </c>
      <c r="G1634" t="s">
        <v>80</v>
      </c>
      <c r="H1634" t="s">
        <v>46</v>
      </c>
      <c r="I1634" t="s">
        <v>35</v>
      </c>
      <c r="J1634" t="s">
        <v>1392</v>
      </c>
      <c r="L1634">
        <v>2.7</v>
      </c>
      <c r="M1634">
        <v>315000</v>
      </c>
      <c r="N1634">
        <v>2.1</v>
      </c>
      <c r="O1634">
        <v>4</v>
      </c>
      <c r="P1634" t="s">
        <v>26</v>
      </c>
    </row>
    <row r="1635" spans="1:16" x14ac:dyDescent="0.25">
      <c r="A1635" t="s">
        <v>4343</v>
      </c>
      <c r="B1635" t="s">
        <v>4118</v>
      </c>
      <c r="C1635" t="s">
        <v>18</v>
      </c>
      <c r="D1635" t="s">
        <v>50</v>
      </c>
      <c r="E1635" t="s">
        <v>20</v>
      </c>
      <c r="F1635" t="s">
        <v>39</v>
      </c>
      <c r="G1635" t="s">
        <v>22</v>
      </c>
      <c r="H1635" t="s">
        <v>62</v>
      </c>
      <c r="I1635" t="s">
        <v>171</v>
      </c>
      <c r="J1635" t="s">
        <v>4026</v>
      </c>
      <c r="L1635">
        <v>5.5</v>
      </c>
      <c r="M1635">
        <v>168000</v>
      </c>
      <c r="N1635">
        <v>2.8</v>
      </c>
      <c r="O1635">
        <v>7</v>
      </c>
      <c r="P1635" t="s">
        <v>26</v>
      </c>
    </row>
    <row r="1636" spans="1:16" x14ac:dyDescent="0.25">
      <c r="A1636" t="s">
        <v>4344</v>
      </c>
      <c r="B1636" t="s">
        <v>3742</v>
      </c>
      <c r="C1636" t="s">
        <v>29</v>
      </c>
      <c r="D1636" t="s">
        <v>30</v>
      </c>
      <c r="E1636" t="s">
        <v>31</v>
      </c>
      <c r="F1636" t="s">
        <v>39</v>
      </c>
      <c r="G1636" t="s">
        <v>69</v>
      </c>
      <c r="H1636" t="s">
        <v>46</v>
      </c>
      <c r="I1636" t="s">
        <v>75</v>
      </c>
      <c r="J1636" t="s">
        <v>3921</v>
      </c>
      <c r="L1636">
        <v>3.4</v>
      </c>
      <c r="M1636">
        <v>87000</v>
      </c>
      <c r="N1636">
        <v>3.5</v>
      </c>
      <c r="O1636">
        <v>0</v>
      </c>
      <c r="P1636" t="s">
        <v>26</v>
      </c>
    </row>
    <row r="1637" spans="1:16" x14ac:dyDescent="0.25">
      <c r="A1637" t="s">
        <v>4345</v>
      </c>
      <c r="B1637" t="s">
        <v>833</v>
      </c>
      <c r="C1637" t="s">
        <v>18</v>
      </c>
      <c r="D1637" t="s">
        <v>30</v>
      </c>
      <c r="E1637" t="s">
        <v>44</v>
      </c>
      <c r="F1637" t="s">
        <v>39</v>
      </c>
      <c r="G1637" t="s">
        <v>22</v>
      </c>
      <c r="H1637" t="s">
        <v>46</v>
      </c>
      <c r="I1637" t="s">
        <v>24</v>
      </c>
      <c r="J1637" t="s">
        <v>4346</v>
      </c>
      <c r="K1637" t="s">
        <v>4347</v>
      </c>
      <c r="L1637">
        <v>6.1</v>
      </c>
      <c r="M1637">
        <v>151000</v>
      </c>
      <c r="N1637">
        <v>2.6</v>
      </c>
      <c r="O1637">
        <v>9</v>
      </c>
      <c r="P1637" t="s">
        <v>72</v>
      </c>
    </row>
    <row r="1638" spans="1:16" x14ac:dyDescent="0.25">
      <c r="A1638" t="s">
        <v>4348</v>
      </c>
      <c r="B1638" t="s">
        <v>4349</v>
      </c>
      <c r="C1638" t="s">
        <v>29</v>
      </c>
      <c r="D1638" t="s">
        <v>79</v>
      </c>
      <c r="E1638" t="s">
        <v>31</v>
      </c>
      <c r="F1638" t="s">
        <v>39</v>
      </c>
      <c r="G1638" t="s">
        <v>33</v>
      </c>
      <c r="H1638" t="s">
        <v>23</v>
      </c>
      <c r="I1638" t="s">
        <v>24</v>
      </c>
      <c r="J1638" t="s">
        <v>275</v>
      </c>
      <c r="L1638">
        <v>5.8</v>
      </c>
      <c r="M1638">
        <v>92000</v>
      </c>
      <c r="N1638">
        <v>4.2</v>
      </c>
      <c r="O1638">
        <v>6</v>
      </c>
      <c r="P1638" t="s">
        <v>26</v>
      </c>
    </row>
    <row r="1639" spans="1:16" x14ac:dyDescent="0.25">
      <c r="A1639" t="s">
        <v>4350</v>
      </c>
      <c r="B1639" t="s">
        <v>4351</v>
      </c>
      <c r="C1639" t="s">
        <v>29</v>
      </c>
      <c r="D1639" t="s">
        <v>79</v>
      </c>
      <c r="E1639" t="s">
        <v>20</v>
      </c>
      <c r="F1639" t="s">
        <v>21</v>
      </c>
      <c r="G1639" t="s">
        <v>22</v>
      </c>
      <c r="I1639" t="s">
        <v>35</v>
      </c>
      <c r="J1639" t="s">
        <v>4352</v>
      </c>
      <c r="L1639">
        <v>3.6</v>
      </c>
      <c r="M1639">
        <v>673000</v>
      </c>
      <c r="N1639">
        <v>4</v>
      </c>
      <c r="O1639">
        <v>4</v>
      </c>
      <c r="P1639" t="s">
        <v>26</v>
      </c>
    </row>
    <row r="1640" spans="1:16" x14ac:dyDescent="0.25">
      <c r="A1640" t="s">
        <v>4353</v>
      </c>
      <c r="B1640" t="s">
        <v>4354</v>
      </c>
      <c r="C1640" t="s">
        <v>29</v>
      </c>
      <c r="D1640" t="s">
        <v>30</v>
      </c>
      <c r="E1640" t="s">
        <v>44</v>
      </c>
      <c r="F1640" t="s">
        <v>32</v>
      </c>
      <c r="G1640" t="s">
        <v>22</v>
      </c>
      <c r="H1640" t="s">
        <v>23</v>
      </c>
      <c r="I1640" t="s">
        <v>24</v>
      </c>
      <c r="J1640" t="s">
        <v>219</v>
      </c>
      <c r="K1640" t="s">
        <v>4355</v>
      </c>
      <c r="L1640">
        <v>2.2999999999999998</v>
      </c>
      <c r="M1640">
        <v>292000</v>
      </c>
      <c r="N1640">
        <v>3</v>
      </c>
      <c r="O1640">
        <v>1</v>
      </c>
      <c r="P1640" t="s">
        <v>53</v>
      </c>
    </row>
    <row r="1641" spans="1:16" x14ac:dyDescent="0.25">
      <c r="A1641" t="s">
        <v>4356</v>
      </c>
      <c r="B1641" t="s">
        <v>3851</v>
      </c>
      <c r="C1641" t="s">
        <v>29</v>
      </c>
      <c r="D1641" t="s">
        <v>19</v>
      </c>
      <c r="E1641" t="s">
        <v>31</v>
      </c>
      <c r="G1641" t="s">
        <v>22</v>
      </c>
      <c r="H1641" t="s">
        <v>34</v>
      </c>
      <c r="I1641" t="s">
        <v>57</v>
      </c>
      <c r="J1641" t="s">
        <v>1846</v>
      </c>
      <c r="K1641" t="s">
        <v>1684</v>
      </c>
      <c r="L1641">
        <v>4</v>
      </c>
      <c r="M1641">
        <v>127000</v>
      </c>
      <c r="N1641">
        <v>3.1</v>
      </c>
      <c r="O1641">
        <v>21</v>
      </c>
      <c r="P1641" t="s">
        <v>53</v>
      </c>
    </row>
    <row r="1642" spans="1:16" x14ac:dyDescent="0.25">
      <c r="A1642" t="s">
        <v>4357</v>
      </c>
      <c r="B1642" t="s">
        <v>1862</v>
      </c>
      <c r="C1642" t="s">
        <v>29</v>
      </c>
      <c r="D1642" t="s">
        <v>79</v>
      </c>
      <c r="E1642" t="s">
        <v>44</v>
      </c>
      <c r="F1642" t="s">
        <v>21</v>
      </c>
      <c r="G1642" t="s">
        <v>69</v>
      </c>
      <c r="H1642" t="s">
        <v>46</v>
      </c>
      <c r="I1642" t="s">
        <v>75</v>
      </c>
      <c r="J1642" t="s">
        <v>4358</v>
      </c>
      <c r="K1642" t="s">
        <v>2689</v>
      </c>
      <c r="L1642">
        <v>5.9</v>
      </c>
      <c r="M1642">
        <v>804000</v>
      </c>
      <c r="N1642">
        <v>3.8</v>
      </c>
      <c r="O1642">
        <v>2</v>
      </c>
      <c r="P1642" t="s">
        <v>53</v>
      </c>
    </row>
    <row r="1643" spans="1:16" x14ac:dyDescent="0.25">
      <c r="A1643" t="s">
        <v>4359</v>
      </c>
      <c r="B1643" t="s">
        <v>977</v>
      </c>
      <c r="C1643" t="s">
        <v>18</v>
      </c>
      <c r="D1643" t="s">
        <v>50</v>
      </c>
      <c r="E1643" t="s">
        <v>20</v>
      </c>
      <c r="F1643" t="s">
        <v>32</v>
      </c>
      <c r="G1643" t="s">
        <v>22</v>
      </c>
      <c r="H1643" t="s">
        <v>34</v>
      </c>
      <c r="I1643" t="s">
        <v>24</v>
      </c>
      <c r="J1643" t="s">
        <v>4360</v>
      </c>
      <c r="K1643" t="s">
        <v>4361</v>
      </c>
      <c r="L1643">
        <v>2.2999999999999998</v>
      </c>
      <c r="M1643">
        <v>349000</v>
      </c>
      <c r="N1643">
        <v>2.2999999999999998</v>
      </c>
      <c r="O1643">
        <v>7</v>
      </c>
      <c r="P1643" t="s">
        <v>53</v>
      </c>
    </row>
    <row r="1644" spans="1:16" x14ac:dyDescent="0.25">
      <c r="A1644" t="s">
        <v>4362</v>
      </c>
      <c r="B1644" t="s">
        <v>4363</v>
      </c>
      <c r="C1644" t="s">
        <v>18</v>
      </c>
      <c r="D1644" t="s">
        <v>19</v>
      </c>
      <c r="E1644" t="s">
        <v>20</v>
      </c>
      <c r="F1644" t="s">
        <v>39</v>
      </c>
      <c r="G1644" t="s">
        <v>22</v>
      </c>
      <c r="H1644" t="s">
        <v>34</v>
      </c>
      <c r="I1644" t="s">
        <v>24</v>
      </c>
      <c r="J1644" t="s">
        <v>1392</v>
      </c>
      <c r="L1644">
        <v>2.7</v>
      </c>
      <c r="M1644">
        <v>161000</v>
      </c>
      <c r="N1644">
        <v>3</v>
      </c>
      <c r="O1644">
        <v>12</v>
      </c>
      <c r="P1644" t="s">
        <v>26</v>
      </c>
    </row>
    <row r="1645" spans="1:16" x14ac:dyDescent="0.25">
      <c r="A1645" t="s">
        <v>4364</v>
      </c>
      <c r="B1645" t="s">
        <v>3290</v>
      </c>
      <c r="C1645" t="s">
        <v>18</v>
      </c>
      <c r="D1645" t="s">
        <v>30</v>
      </c>
      <c r="E1645" t="s">
        <v>20</v>
      </c>
      <c r="F1645" t="s">
        <v>39</v>
      </c>
      <c r="G1645" t="s">
        <v>33</v>
      </c>
      <c r="H1645" t="s">
        <v>23</v>
      </c>
      <c r="I1645" t="s">
        <v>24</v>
      </c>
      <c r="J1645" t="s">
        <v>4365</v>
      </c>
      <c r="K1645" t="s">
        <v>4366</v>
      </c>
      <c r="L1645">
        <v>1.6</v>
      </c>
      <c r="N1645">
        <v>3.1</v>
      </c>
      <c r="O1645">
        <v>4</v>
      </c>
      <c r="P1645" t="s">
        <v>53</v>
      </c>
    </row>
    <row r="1646" spans="1:16" x14ac:dyDescent="0.25">
      <c r="A1646" t="s">
        <v>4367</v>
      </c>
      <c r="B1646" t="s">
        <v>4368</v>
      </c>
      <c r="C1646" t="s">
        <v>29</v>
      </c>
      <c r="D1646" t="s">
        <v>79</v>
      </c>
      <c r="E1646" t="s">
        <v>20</v>
      </c>
      <c r="F1646" t="s">
        <v>128</v>
      </c>
      <c r="G1646" t="s">
        <v>33</v>
      </c>
      <c r="H1646" t="s">
        <v>23</v>
      </c>
      <c r="I1646" t="s">
        <v>57</v>
      </c>
      <c r="J1646" t="s">
        <v>1578</v>
      </c>
      <c r="L1646">
        <v>2.9</v>
      </c>
      <c r="M1646">
        <v>371000</v>
      </c>
      <c r="O1646">
        <v>24</v>
      </c>
      <c r="P1646" t="s">
        <v>26</v>
      </c>
    </row>
    <row r="1647" spans="1:16" x14ac:dyDescent="0.25">
      <c r="A1647" t="s">
        <v>4369</v>
      </c>
      <c r="B1647" t="s">
        <v>4370</v>
      </c>
      <c r="C1647" t="s">
        <v>18</v>
      </c>
      <c r="D1647" t="s">
        <v>79</v>
      </c>
      <c r="E1647" t="s">
        <v>20</v>
      </c>
      <c r="F1647" t="s">
        <v>21</v>
      </c>
      <c r="G1647" t="s">
        <v>22</v>
      </c>
      <c r="H1647" t="s">
        <v>34</v>
      </c>
      <c r="I1647" t="s">
        <v>171</v>
      </c>
      <c r="J1647" t="s">
        <v>1360</v>
      </c>
      <c r="L1647">
        <v>5.0999999999999996</v>
      </c>
      <c r="M1647">
        <v>741000</v>
      </c>
      <c r="N1647">
        <v>3.1</v>
      </c>
      <c r="O1647">
        <v>9</v>
      </c>
      <c r="P1647" t="s">
        <v>26</v>
      </c>
    </row>
    <row r="1648" spans="1:16" x14ac:dyDescent="0.25">
      <c r="A1648" t="s">
        <v>4371</v>
      </c>
      <c r="B1648" t="s">
        <v>4372</v>
      </c>
      <c r="D1648" t="s">
        <v>30</v>
      </c>
      <c r="E1648" t="s">
        <v>20</v>
      </c>
      <c r="F1648" t="s">
        <v>32</v>
      </c>
      <c r="G1648" t="s">
        <v>80</v>
      </c>
      <c r="H1648" t="s">
        <v>34</v>
      </c>
      <c r="I1648" t="s">
        <v>57</v>
      </c>
      <c r="J1648" t="s">
        <v>4373</v>
      </c>
      <c r="K1648" t="s">
        <v>487</v>
      </c>
      <c r="L1648">
        <v>3.3</v>
      </c>
      <c r="M1648">
        <v>228000</v>
      </c>
      <c r="N1648">
        <v>2.6</v>
      </c>
      <c r="O1648">
        <v>4</v>
      </c>
      <c r="P1648" t="s">
        <v>53</v>
      </c>
    </row>
    <row r="1649" spans="1:16" x14ac:dyDescent="0.25">
      <c r="A1649" t="s">
        <v>4374</v>
      </c>
      <c r="B1649" t="s">
        <v>4375</v>
      </c>
      <c r="C1649" t="s">
        <v>29</v>
      </c>
      <c r="D1649" t="s">
        <v>50</v>
      </c>
      <c r="E1649" t="s">
        <v>20</v>
      </c>
      <c r="F1649" t="s">
        <v>32</v>
      </c>
      <c r="G1649" t="s">
        <v>33</v>
      </c>
      <c r="H1649" t="s">
        <v>23</v>
      </c>
      <c r="I1649" t="s">
        <v>24</v>
      </c>
      <c r="J1649" t="s">
        <v>1059</v>
      </c>
      <c r="K1649" t="s">
        <v>4316</v>
      </c>
      <c r="L1649">
        <v>2.5</v>
      </c>
      <c r="M1649">
        <v>212000</v>
      </c>
      <c r="N1649">
        <v>4.7</v>
      </c>
      <c r="O1649">
        <v>2</v>
      </c>
      <c r="P1649" t="s">
        <v>53</v>
      </c>
    </row>
    <row r="1650" spans="1:16" x14ac:dyDescent="0.25">
      <c r="A1650" t="s">
        <v>4376</v>
      </c>
      <c r="B1650" t="s">
        <v>4377</v>
      </c>
      <c r="C1650" t="s">
        <v>18</v>
      </c>
      <c r="D1650" t="s">
        <v>30</v>
      </c>
      <c r="E1650" t="s">
        <v>20</v>
      </c>
      <c r="F1650" t="s">
        <v>32</v>
      </c>
      <c r="G1650" t="s">
        <v>33</v>
      </c>
      <c r="H1650" t="s">
        <v>23</v>
      </c>
      <c r="I1650" t="s">
        <v>75</v>
      </c>
      <c r="J1650" t="s">
        <v>3163</v>
      </c>
      <c r="L1650">
        <v>4.2</v>
      </c>
      <c r="M1650">
        <v>264000</v>
      </c>
      <c r="N1650">
        <v>4.7</v>
      </c>
      <c r="O1650">
        <v>33</v>
      </c>
      <c r="P1650" t="s">
        <v>26</v>
      </c>
    </row>
    <row r="1651" spans="1:16" x14ac:dyDescent="0.25">
      <c r="A1651" t="s">
        <v>4378</v>
      </c>
      <c r="B1651" t="s">
        <v>3336</v>
      </c>
      <c r="C1651" t="s">
        <v>18</v>
      </c>
      <c r="D1651" t="s">
        <v>43</v>
      </c>
      <c r="E1651" t="s">
        <v>20</v>
      </c>
      <c r="F1651" t="s">
        <v>32</v>
      </c>
      <c r="G1651" t="s">
        <v>22</v>
      </c>
      <c r="H1651" t="s">
        <v>34</v>
      </c>
      <c r="I1651" t="s">
        <v>75</v>
      </c>
      <c r="J1651" t="s">
        <v>4379</v>
      </c>
      <c r="L1651">
        <v>4.5</v>
      </c>
      <c r="M1651">
        <v>180000</v>
      </c>
      <c r="N1651">
        <v>3.3</v>
      </c>
      <c r="O1651">
        <v>0</v>
      </c>
      <c r="P1651" t="s">
        <v>26</v>
      </c>
    </row>
    <row r="1652" spans="1:16" x14ac:dyDescent="0.25">
      <c r="A1652" t="s">
        <v>4380</v>
      </c>
      <c r="B1652" t="s">
        <v>3878</v>
      </c>
      <c r="C1652" t="s">
        <v>18</v>
      </c>
      <c r="D1652" t="s">
        <v>30</v>
      </c>
      <c r="E1652" t="s">
        <v>20</v>
      </c>
      <c r="F1652" t="s">
        <v>21</v>
      </c>
      <c r="G1652" t="s">
        <v>80</v>
      </c>
      <c r="H1652" t="s">
        <v>23</v>
      </c>
      <c r="I1652" t="s">
        <v>57</v>
      </c>
      <c r="J1652" t="s">
        <v>4381</v>
      </c>
      <c r="L1652">
        <v>4.0999999999999996</v>
      </c>
      <c r="M1652">
        <v>834000</v>
      </c>
      <c r="N1652">
        <v>4.8</v>
      </c>
      <c r="P1652" t="s">
        <v>26</v>
      </c>
    </row>
    <row r="1653" spans="1:16" x14ac:dyDescent="0.25">
      <c r="A1653" t="s">
        <v>4382</v>
      </c>
      <c r="B1653" t="s">
        <v>3651</v>
      </c>
      <c r="C1653" t="s">
        <v>29</v>
      </c>
      <c r="D1653" t="s">
        <v>30</v>
      </c>
      <c r="F1653" t="s">
        <v>128</v>
      </c>
      <c r="G1653" t="s">
        <v>22</v>
      </c>
      <c r="H1653" t="s">
        <v>62</v>
      </c>
      <c r="I1653" t="s">
        <v>57</v>
      </c>
      <c r="J1653" t="s">
        <v>4383</v>
      </c>
      <c r="K1653" t="s">
        <v>4384</v>
      </c>
      <c r="L1653">
        <v>4.5</v>
      </c>
      <c r="M1653">
        <v>489000</v>
      </c>
      <c r="N1653">
        <v>2.9</v>
      </c>
      <c r="P1653" t="s">
        <v>53</v>
      </c>
    </row>
    <row r="1654" spans="1:16" x14ac:dyDescent="0.25">
      <c r="A1654" t="s">
        <v>4385</v>
      </c>
      <c r="B1654" t="s">
        <v>4386</v>
      </c>
      <c r="C1654" t="s">
        <v>18</v>
      </c>
      <c r="D1654" t="s">
        <v>50</v>
      </c>
      <c r="E1654" t="s">
        <v>20</v>
      </c>
      <c r="G1654" t="s">
        <v>22</v>
      </c>
      <c r="H1654" t="s">
        <v>34</v>
      </c>
      <c r="I1654" t="s">
        <v>24</v>
      </c>
      <c r="J1654" t="s">
        <v>4387</v>
      </c>
      <c r="L1654">
        <v>4.5</v>
      </c>
      <c r="M1654">
        <v>167000</v>
      </c>
      <c r="N1654">
        <v>2.1</v>
      </c>
      <c r="O1654">
        <v>17</v>
      </c>
      <c r="P1654" t="s">
        <v>26</v>
      </c>
    </row>
    <row r="1655" spans="1:16" x14ac:dyDescent="0.25">
      <c r="A1655" t="s">
        <v>4388</v>
      </c>
      <c r="B1655" t="s">
        <v>4389</v>
      </c>
      <c r="C1655" t="s">
        <v>29</v>
      </c>
      <c r="D1655" t="s">
        <v>30</v>
      </c>
      <c r="E1655" t="s">
        <v>20</v>
      </c>
      <c r="F1655" t="s">
        <v>39</v>
      </c>
      <c r="G1655" t="s">
        <v>69</v>
      </c>
      <c r="H1655" t="s">
        <v>62</v>
      </c>
      <c r="I1655" t="s">
        <v>171</v>
      </c>
      <c r="J1655" t="s">
        <v>4390</v>
      </c>
      <c r="K1655" t="s">
        <v>3238</v>
      </c>
      <c r="L1655">
        <v>2.5</v>
      </c>
      <c r="M1655">
        <v>86000</v>
      </c>
      <c r="O1655">
        <v>7</v>
      </c>
      <c r="P1655" t="s">
        <v>53</v>
      </c>
    </row>
    <row r="1656" spans="1:16" x14ac:dyDescent="0.25">
      <c r="A1656" t="s">
        <v>4391</v>
      </c>
      <c r="B1656" t="s">
        <v>2039</v>
      </c>
      <c r="C1656" t="s">
        <v>29</v>
      </c>
      <c r="D1656" t="s">
        <v>19</v>
      </c>
      <c r="E1656" t="s">
        <v>31</v>
      </c>
      <c r="F1656" t="s">
        <v>39</v>
      </c>
      <c r="G1656" t="s">
        <v>80</v>
      </c>
      <c r="H1656" t="s">
        <v>34</v>
      </c>
      <c r="I1656" t="s">
        <v>171</v>
      </c>
      <c r="J1656" t="s">
        <v>4187</v>
      </c>
      <c r="K1656" t="s">
        <v>3568</v>
      </c>
      <c r="L1656">
        <v>5.4</v>
      </c>
      <c r="M1656">
        <v>174000</v>
      </c>
      <c r="N1656">
        <v>2.2999999999999998</v>
      </c>
      <c r="O1656">
        <v>39</v>
      </c>
      <c r="P1656" t="s">
        <v>72</v>
      </c>
    </row>
    <row r="1657" spans="1:16" x14ac:dyDescent="0.25">
      <c r="A1657" t="s">
        <v>4392</v>
      </c>
      <c r="B1657" t="s">
        <v>3633</v>
      </c>
      <c r="C1657" t="s">
        <v>18</v>
      </c>
      <c r="D1657" t="s">
        <v>79</v>
      </c>
      <c r="E1657" t="s">
        <v>20</v>
      </c>
      <c r="F1657" t="s">
        <v>32</v>
      </c>
      <c r="G1657" t="s">
        <v>22</v>
      </c>
      <c r="H1657" t="s">
        <v>34</v>
      </c>
      <c r="I1657" t="s">
        <v>35</v>
      </c>
      <c r="J1657" t="s">
        <v>1003</v>
      </c>
      <c r="L1657">
        <v>3</v>
      </c>
      <c r="M1657">
        <v>196000</v>
      </c>
      <c r="N1657">
        <v>2.8</v>
      </c>
      <c r="O1657">
        <v>14</v>
      </c>
      <c r="P1657" t="s">
        <v>26</v>
      </c>
    </row>
    <row r="1658" spans="1:16" x14ac:dyDescent="0.25">
      <c r="A1658" t="s">
        <v>4393</v>
      </c>
      <c r="B1658" t="s">
        <v>4394</v>
      </c>
      <c r="C1658" t="s">
        <v>18</v>
      </c>
      <c r="D1658" t="s">
        <v>43</v>
      </c>
      <c r="E1658" t="s">
        <v>31</v>
      </c>
      <c r="F1658" t="s">
        <v>39</v>
      </c>
      <c r="G1658" t="s">
        <v>22</v>
      </c>
      <c r="I1658" t="s">
        <v>35</v>
      </c>
      <c r="J1658" t="s">
        <v>3188</v>
      </c>
      <c r="L1658">
        <v>4.5999999999999996</v>
      </c>
      <c r="M1658">
        <v>145000</v>
      </c>
      <c r="N1658">
        <v>2.8</v>
      </c>
      <c r="O1658">
        <v>6</v>
      </c>
      <c r="P1658" t="s">
        <v>26</v>
      </c>
    </row>
    <row r="1659" spans="1:16" x14ac:dyDescent="0.25">
      <c r="A1659" t="s">
        <v>4395</v>
      </c>
      <c r="B1659" t="s">
        <v>3968</v>
      </c>
      <c r="C1659" t="s">
        <v>18</v>
      </c>
      <c r="D1659" t="s">
        <v>50</v>
      </c>
      <c r="E1659" t="s">
        <v>31</v>
      </c>
      <c r="F1659" t="s">
        <v>32</v>
      </c>
      <c r="G1659" t="s">
        <v>22</v>
      </c>
      <c r="H1659" t="s">
        <v>46</v>
      </c>
      <c r="I1659" t="s">
        <v>57</v>
      </c>
      <c r="J1659" t="s">
        <v>3348</v>
      </c>
      <c r="L1659">
        <v>3.6</v>
      </c>
      <c r="M1659">
        <v>248000</v>
      </c>
      <c r="N1659">
        <v>3.8</v>
      </c>
      <c r="O1659">
        <v>15</v>
      </c>
      <c r="P1659" t="s">
        <v>26</v>
      </c>
    </row>
    <row r="1660" spans="1:16" x14ac:dyDescent="0.25">
      <c r="A1660" t="s">
        <v>4396</v>
      </c>
      <c r="B1660" t="s">
        <v>1639</v>
      </c>
      <c r="C1660" t="s">
        <v>18</v>
      </c>
      <c r="D1660" t="s">
        <v>43</v>
      </c>
      <c r="E1660" t="s">
        <v>20</v>
      </c>
      <c r="F1660" t="s">
        <v>32</v>
      </c>
      <c r="G1660" t="s">
        <v>22</v>
      </c>
      <c r="H1660" t="s">
        <v>23</v>
      </c>
      <c r="I1660" t="s">
        <v>24</v>
      </c>
      <c r="J1660" t="s">
        <v>1372</v>
      </c>
      <c r="L1660">
        <v>2.7</v>
      </c>
      <c r="M1660">
        <v>269000</v>
      </c>
      <c r="N1660">
        <v>3.1</v>
      </c>
      <c r="O1660">
        <v>8</v>
      </c>
      <c r="P1660" t="s">
        <v>26</v>
      </c>
    </row>
    <row r="1661" spans="1:16" x14ac:dyDescent="0.25">
      <c r="A1661" t="s">
        <v>4397</v>
      </c>
      <c r="B1661" t="s">
        <v>4398</v>
      </c>
      <c r="C1661" t="s">
        <v>18</v>
      </c>
      <c r="D1661" t="s">
        <v>19</v>
      </c>
      <c r="E1661" t="s">
        <v>20</v>
      </c>
      <c r="F1661" t="s">
        <v>128</v>
      </c>
      <c r="G1661" t="s">
        <v>80</v>
      </c>
      <c r="H1661" t="s">
        <v>23</v>
      </c>
      <c r="I1661" t="s">
        <v>75</v>
      </c>
      <c r="J1661" t="s">
        <v>4399</v>
      </c>
      <c r="K1661" t="s">
        <v>4400</v>
      </c>
      <c r="L1661">
        <v>5.6</v>
      </c>
      <c r="M1661">
        <v>544000</v>
      </c>
      <c r="N1661">
        <v>3.8</v>
      </c>
      <c r="O1661">
        <v>9</v>
      </c>
      <c r="P1661" t="s">
        <v>53</v>
      </c>
    </row>
    <row r="1662" spans="1:16" x14ac:dyDescent="0.25">
      <c r="A1662" t="s">
        <v>4401</v>
      </c>
      <c r="B1662" t="s">
        <v>3259</v>
      </c>
      <c r="C1662" t="s">
        <v>18</v>
      </c>
      <c r="D1662" t="s">
        <v>79</v>
      </c>
      <c r="E1662" t="s">
        <v>20</v>
      </c>
      <c r="F1662" t="s">
        <v>32</v>
      </c>
      <c r="G1662" t="s">
        <v>80</v>
      </c>
      <c r="H1662" t="s">
        <v>23</v>
      </c>
      <c r="I1662" t="s">
        <v>75</v>
      </c>
      <c r="J1662" t="s">
        <v>1313</v>
      </c>
      <c r="L1662">
        <v>1.9</v>
      </c>
      <c r="M1662">
        <v>271000</v>
      </c>
      <c r="N1662">
        <v>2</v>
      </c>
      <c r="O1662">
        <v>36</v>
      </c>
      <c r="P1662" t="s">
        <v>26</v>
      </c>
    </row>
    <row r="1663" spans="1:16" x14ac:dyDescent="0.25">
      <c r="A1663" t="s">
        <v>4402</v>
      </c>
      <c r="B1663" t="s">
        <v>4403</v>
      </c>
      <c r="C1663" t="s">
        <v>29</v>
      </c>
      <c r="D1663" t="s">
        <v>30</v>
      </c>
      <c r="E1663" t="s">
        <v>44</v>
      </c>
      <c r="F1663" t="s">
        <v>21</v>
      </c>
      <c r="G1663" t="s">
        <v>22</v>
      </c>
      <c r="H1663" t="s">
        <v>34</v>
      </c>
      <c r="I1663" t="s">
        <v>171</v>
      </c>
      <c r="J1663" t="s">
        <v>4404</v>
      </c>
      <c r="L1663">
        <v>2.9</v>
      </c>
      <c r="M1663">
        <v>777000</v>
      </c>
      <c r="N1663">
        <v>3.2</v>
      </c>
      <c r="O1663">
        <v>12</v>
      </c>
      <c r="P1663" t="s">
        <v>26</v>
      </c>
    </row>
    <row r="1664" spans="1:16" x14ac:dyDescent="0.25">
      <c r="A1664" t="s">
        <v>4405</v>
      </c>
      <c r="B1664" t="s">
        <v>4406</v>
      </c>
      <c r="C1664" t="s">
        <v>18</v>
      </c>
      <c r="D1664" t="s">
        <v>50</v>
      </c>
      <c r="E1664" t="s">
        <v>44</v>
      </c>
      <c r="F1664" t="s">
        <v>39</v>
      </c>
      <c r="G1664" t="s">
        <v>22</v>
      </c>
      <c r="H1664" t="s">
        <v>34</v>
      </c>
      <c r="I1664" t="s">
        <v>24</v>
      </c>
      <c r="J1664" t="s">
        <v>3881</v>
      </c>
      <c r="K1664" t="s">
        <v>3506</v>
      </c>
      <c r="L1664">
        <v>4.9000000000000004</v>
      </c>
      <c r="M1664">
        <v>147000</v>
      </c>
      <c r="N1664">
        <v>3.3</v>
      </c>
      <c r="O1664">
        <v>7</v>
      </c>
      <c r="P1664" t="s">
        <v>53</v>
      </c>
    </row>
    <row r="1665" spans="1:16" x14ac:dyDescent="0.25">
      <c r="A1665" t="s">
        <v>4407</v>
      </c>
      <c r="B1665" t="s">
        <v>4408</v>
      </c>
      <c r="C1665" t="s">
        <v>18</v>
      </c>
      <c r="D1665" t="s">
        <v>19</v>
      </c>
      <c r="E1665" t="s">
        <v>20</v>
      </c>
      <c r="F1665" t="s">
        <v>39</v>
      </c>
      <c r="G1665" t="s">
        <v>80</v>
      </c>
      <c r="H1665" t="s">
        <v>46</v>
      </c>
      <c r="I1665" t="s">
        <v>24</v>
      </c>
      <c r="J1665" t="s">
        <v>4409</v>
      </c>
      <c r="L1665">
        <v>2.7</v>
      </c>
      <c r="M1665">
        <v>116000</v>
      </c>
      <c r="N1665">
        <v>3.2</v>
      </c>
      <c r="P1665" t="s">
        <v>26</v>
      </c>
    </row>
    <row r="1666" spans="1:16" x14ac:dyDescent="0.25">
      <c r="A1666" t="s">
        <v>4410</v>
      </c>
      <c r="B1666" t="s">
        <v>4411</v>
      </c>
      <c r="C1666" t="s">
        <v>18</v>
      </c>
      <c r="D1666" t="s">
        <v>30</v>
      </c>
      <c r="E1666" t="s">
        <v>44</v>
      </c>
      <c r="F1666" t="s">
        <v>128</v>
      </c>
      <c r="G1666" t="s">
        <v>33</v>
      </c>
      <c r="I1666" t="s">
        <v>57</v>
      </c>
      <c r="J1666" t="s">
        <v>1158</v>
      </c>
      <c r="K1666" t="s">
        <v>1366</v>
      </c>
      <c r="L1666">
        <v>2.2999999999999998</v>
      </c>
      <c r="M1666">
        <v>442000</v>
      </c>
      <c r="O1666">
        <v>10</v>
      </c>
      <c r="P1666" t="s">
        <v>53</v>
      </c>
    </row>
    <row r="1667" spans="1:16" x14ac:dyDescent="0.25">
      <c r="A1667" t="s">
        <v>4412</v>
      </c>
      <c r="B1667" t="s">
        <v>4413</v>
      </c>
      <c r="C1667" t="s">
        <v>29</v>
      </c>
      <c r="D1667" t="s">
        <v>43</v>
      </c>
      <c r="E1667" t="s">
        <v>44</v>
      </c>
      <c r="F1667" t="s">
        <v>128</v>
      </c>
      <c r="G1667" t="s">
        <v>33</v>
      </c>
      <c r="H1667" t="s">
        <v>34</v>
      </c>
      <c r="I1667" t="s">
        <v>24</v>
      </c>
      <c r="J1667" t="s">
        <v>4414</v>
      </c>
      <c r="L1667">
        <v>2.7</v>
      </c>
      <c r="M1667">
        <v>384000</v>
      </c>
      <c r="N1667">
        <v>3.4</v>
      </c>
      <c r="O1667">
        <v>5</v>
      </c>
      <c r="P1667" t="s">
        <v>26</v>
      </c>
    </row>
    <row r="1668" spans="1:16" x14ac:dyDescent="0.25">
      <c r="A1668" t="s">
        <v>4415</v>
      </c>
      <c r="B1668" t="s">
        <v>1284</v>
      </c>
      <c r="C1668" t="s">
        <v>18</v>
      </c>
      <c r="D1668" t="s">
        <v>50</v>
      </c>
      <c r="E1668" t="s">
        <v>31</v>
      </c>
      <c r="F1668" t="s">
        <v>32</v>
      </c>
      <c r="G1668" t="s">
        <v>80</v>
      </c>
      <c r="H1668" t="s">
        <v>34</v>
      </c>
      <c r="I1668" t="s">
        <v>24</v>
      </c>
      <c r="J1668" t="s">
        <v>4416</v>
      </c>
      <c r="L1668">
        <v>5.2</v>
      </c>
      <c r="M1668">
        <v>235000</v>
      </c>
      <c r="N1668">
        <v>3.8</v>
      </c>
      <c r="O1668">
        <v>24</v>
      </c>
      <c r="P1668" t="s">
        <v>26</v>
      </c>
    </row>
    <row r="1669" spans="1:16" x14ac:dyDescent="0.25">
      <c r="A1669" t="s">
        <v>4417</v>
      </c>
      <c r="B1669" t="s">
        <v>4418</v>
      </c>
      <c r="C1669" t="s">
        <v>18</v>
      </c>
      <c r="D1669" t="s">
        <v>79</v>
      </c>
      <c r="E1669" t="s">
        <v>20</v>
      </c>
      <c r="F1669" t="s">
        <v>39</v>
      </c>
      <c r="G1669" t="s">
        <v>33</v>
      </c>
      <c r="H1669" t="s">
        <v>34</v>
      </c>
      <c r="I1669" t="s">
        <v>35</v>
      </c>
      <c r="J1669" t="s">
        <v>4419</v>
      </c>
      <c r="K1669" t="s">
        <v>4065</v>
      </c>
      <c r="L1669">
        <v>6</v>
      </c>
      <c r="M1669">
        <v>131000</v>
      </c>
      <c r="N1669">
        <v>4.2</v>
      </c>
      <c r="O1669">
        <v>30</v>
      </c>
      <c r="P1669" t="s">
        <v>53</v>
      </c>
    </row>
    <row r="1670" spans="1:16" x14ac:dyDescent="0.25">
      <c r="A1670" t="s">
        <v>4420</v>
      </c>
      <c r="B1670" t="s">
        <v>4421</v>
      </c>
      <c r="C1670" t="s">
        <v>29</v>
      </c>
      <c r="D1670" t="s">
        <v>50</v>
      </c>
      <c r="E1670" t="s">
        <v>20</v>
      </c>
      <c r="F1670" t="s">
        <v>32</v>
      </c>
      <c r="G1670" t="s">
        <v>80</v>
      </c>
      <c r="H1670" t="s">
        <v>23</v>
      </c>
      <c r="J1670" t="s">
        <v>1651</v>
      </c>
      <c r="L1670">
        <v>6.1</v>
      </c>
      <c r="M1670">
        <v>303000</v>
      </c>
      <c r="N1670">
        <v>3.3</v>
      </c>
      <c r="O1670">
        <v>8</v>
      </c>
      <c r="P1670" t="s">
        <v>26</v>
      </c>
    </row>
    <row r="1671" spans="1:16" x14ac:dyDescent="0.25">
      <c r="A1671" t="s">
        <v>4422</v>
      </c>
      <c r="B1671" t="s">
        <v>4423</v>
      </c>
      <c r="C1671" t="s">
        <v>29</v>
      </c>
      <c r="D1671" t="s">
        <v>50</v>
      </c>
      <c r="E1671" t="s">
        <v>20</v>
      </c>
      <c r="F1671" t="s">
        <v>39</v>
      </c>
      <c r="G1671" t="s">
        <v>33</v>
      </c>
      <c r="H1671" t="s">
        <v>23</v>
      </c>
      <c r="I1671" t="s">
        <v>24</v>
      </c>
      <c r="J1671" t="s">
        <v>1550</v>
      </c>
      <c r="L1671">
        <v>3</v>
      </c>
      <c r="M1671">
        <v>159000</v>
      </c>
      <c r="N1671">
        <v>2.2999999999999998</v>
      </c>
      <c r="O1671">
        <v>11</v>
      </c>
      <c r="P1671" t="s">
        <v>26</v>
      </c>
    </row>
    <row r="1672" spans="1:16" x14ac:dyDescent="0.25">
      <c r="A1672" t="s">
        <v>4424</v>
      </c>
      <c r="B1672" t="s">
        <v>2753</v>
      </c>
      <c r="D1672" t="s">
        <v>30</v>
      </c>
      <c r="E1672" t="s">
        <v>20</v>
      </c>
      <c r="F1672" t="s">
        <v>39</v>
      </c>
      <c r="G1672" t="s">
        <v>22</v>
      </c>
      <c r="H1672" t="s">
        <v>46</v>
      </c>
      <c r="I1672" t="s">
        <v>24</v>
      </c>
      <c r="J1672" t="s">
        <v>4425</v>
      </c>
      <c r="K1672" t="s">
        <v>2963</v>
      </c>
      <c r="L1672">
        <v>2.2000000000000002</v>
      </c>
      <c r="M1672">
        <v>86000</v>
      </c>
      <c r="N1672">
        <v>2.6</v>
      </c>
      <c r="O1672">
        <v>14</v>
      </c>
      <c r="P1672" t="s">
        <v>53</v>
      </c>
    </row>
    <row r="1673" spans="1:16" x14ac:dyDescent="0.25">
      <c r="A1673" t="s">
        <v>4426</v>
      </c>
      <c r="B1673" t="s">
        <v>4427</v>
      </c>
      <c r="C1673" t="s">
        <v>18</v>
      </c>
      <c r="D1673" t="s">
        <v>19</v>
      </c>
      <c r="E1673" t="s">
        <v>20</v>
      </c>
      <c r="F1673" t="s">
        <v>32</v>
      </c>
      <c r="G1673" t="s">
        <v>69</v>
      </c>
      <c r="H1673" t="s">
        <v>23</v>
      </c>
      <c r="I1673" t="s">
        <v>24</v>
      </c>
      <c r="J1673" t="s">
        <v>1526</v>
      </c>
      <c r="L1673">
        <v>3.6</v>
      </c>
      <c r="M1673">
        <v>318000</v>
      </c>
      <c r="N1673">
        <v>3.4</v>
      </c>
      <c r="O1673">
        <v>21</v>
      </c>
      <c r="P1673" t="s">
        <v>26</v>
      </c>
    </row>
    <row r="1674" spans="1:16" x14ac:dyDescent="0.25">
      <c r="A1674" t="s">
        <v>4428</v>
      </c>
      <c r="B1674" t="s">
        <v>4429</v>
      </c>
      <c r="C1674" t="s">
        <v>29</v>
      </c>
      <c r="D1674" t="s">
        <v>50</v>
      </c>
      <c r="E1674" t="s">
        <v>20</v>
      </c>
      <c r="F1674" t="s">
        <v>32</v>
      </c>
      <c r="G1674" t="s">
        <v>33</v>
      </c>
      <c r="H1674" t="s">
        <v>62</v>
      </c>
      <c r="I1674" t="s">
        <v>75</v>
      </c>
      <c r="J1674" t="s">
        <v>1743</v>
      </c>
      <c r="K1674" t="s">
        <v>4430</v>
      </c>
      <c r="L1674">
        <v>1.3</v>
      </c>
      <c r="M1674">
        <v>311000</v>
      </c>
      <c r="N1674">
        <v>4.8</v>
      </c>
      <c r="O1674">
        <v>14</v>
      </c>
      <c r="P1674" t="s">
        <v>53</v>
      </c>
    </row>
    <row r="1675" spans="1:16" x14ac:dyDescent="0.25">
      <c r="A1675" t="s">
        <v>4431</v>
      </c>
      <c r="B1675" t="s">
        <v>4432</v>
      </c>
      <c r="C1675" t="s">
        <v>18</v>
      </c>
      <c r="D1675" t="s">
        <v>30</v>
      </c>
      <c r="E1675" t="s">
        <v>20</v>
      </c>
      <c r="F1675" t="s">
        <v>32</v>
      </c>
      <c r="G1675" t="s">
        <v>33</v>
      </c>
      <c r="H1675" t="s">
        <v>46</v>
      </c>
      <c r="I1675" t="s">
        <v>57</v>
      </c>
      <c r="J1675" t="s">
        <v>2344</v>
      </c>
      <c r="L1675">
        <v>3</v>
      </c>
      <c r="M1675">
        <v>230000</v>
      </c>
      <c r="N1675">
        <v>2.7</v>
      </c>
      <c r="O1675">
        <v>0</v>
      </c>
      <c r="P1675" t="s">
        <v>26</v>
      </c>
    </row>
    <row r="1676" spans="1:16" x14ac:dyDescent="0.25">
      <c r="A1676" t="s">
        <v>4433</v>
      </c>
      <c r="B1676" t="s">
        <v>4434</v>
      </c>
      <c r="C1676" t="s">
        <v>18</v>
      </c>
      <c r="D1676" t="s">
        <v>79</v>
      </c>
      <c r="E1676" t="s">
        <v>20</v>
      </c>
      <c r="F1676" t="s">
        <v>32</v>
      </c>
      <c r="G1676" t="s">
        <v>22</v>
      </c>
      <c r="H1676" t="s">
        <v>23</v>
      </c>
      <c r="I1676" t="s">
        <v>35</v>
      </c>
      <c r="J1676" t="s">
        <v>1671</v>
      </c>
      <c r="K1676" t="s">
        <v>2810</v>
      </c>
      <c r="L1676">
        <v>4.9000000000000004</v>
      </c>
      <c r="M1676">
        <v>349000</v>
      </c>
      <c r="N1676">
        <v>3.6</v>
      </c>
      <c r="O1676">
        <v>9</v>
      </c>
      <c r="P1676" t="s">
        <v>72</v>
      </c>
    </row>
    <row r="1677" spans="1:16" x14ac:dyDescent="0.25">
      <c r="A1677" t="s">
        <v>4435</v>
      </c>
      <c r="B1677" t="s">
        <v>4436</v>
      </c>
      <c r="C1677" t="s">
        <v>18</v>
      </c>
      <c r="D1677" t="s">
        <v>79</v>
      </c>
      <c r="E1677" t="s">
        <v>44</v>
      </c>
      <c r="F1677" t="s">
        <v>128</v>
      </c>
      <c r="G1677" t="s">
        <v>22</v>
      </c>
      <c r="H1677" t="s">
        <v>46</v>
      </c>
      <c r="I1677" t="s">
        <v>24</v>
      </c>
      <c r="J1677" t="s">
        <v>4437</v>
      </c>
      <c r="L1677">
        <v>5.6</v>
      </c>
      <c r="M1677">
        <v>592000</v>
      </c>
      <c r="N1677">
        <v>3.5</v>
      </c>
      <c r="O1677">
        <v>7</v>
      </c>
      <c r="P1677" t="s">
        <v>26</v>
      </c>
    </row>
    <row r="1678" spans="1:16" x14ac:dyDescent="0.25">
      <c r="A1678" t="s">
        <v>4438</v>
      </c>
      <c r="B1678" t="s">
        <v>4439</v>
      </c>
      <c r="D1678" t="s">
        <v>50</v>
      </c>
      <c r="E1678" t="s">
        <v>20</v>
      </c>
      <c r="F1678" t="s">
        <v>32</v>
      </c>
      <c r="G1678" t="s">
        <v>22</v>
      </c>
      <c r="H1678" t="s">
        <v>62</v>
      </c>
      <c r="I1678" t="s">
        <v>24</v>
      </c>
      <c r="J1678" t="s">
        <v>3179</v>
      </c>
      <c r="K1678" t="s">
        <v>3472</v>
      </c>
      <c r="L1678">
        <v>6.1</v>
      </c>
      <c r="M1678">
        <v>307000</v>
      </c>
      <c r="N1678">
        <v>2.2999999999999998</v>
      </c>
      <c r="O1678">
        <v>6</v>
      </c>
      <c r="P1678" t="s">
        <v>53</v>
      </c>
    </row>
    <row r="1679" spans="1:16" x14ac:dyDescent="0.25">
      <c r="A1679" t="s">
        <v>4440</v>
      </c>
      <c r="B1679" t="s">
        <v>4441</v>
      </c>
      <c r="C1679" t="s">
        <v>18</v>
      </c>
      <c r="D1679" t="s">
        <v>43</v>
      </c>
      <c r="E1679" t="s">
        <v>20</v>
      </c>
      <c r="F1679" t="s">
        <v>32</v>
      </c>
      <c r="G1679" t="s">
        <v>22</v>
      </c>
      <c r="H1679" t="s">
        <v>23</v>
      </c>
      <c r="I1679" t="s">
        <v>24</v>
      </c>
      <c r="J1679" t="s">
        <v>1993</v>
      </c>
      <c r="L1679">
        <v>5.9</v>
      </c>
      <c r="M1679">
        <v>263000</v>
      </c>
      <c r="N1679">
        <v>4.5</v>
      </c>
      <c r="O1679">
        <v>13</v>
      </c>
      <c r="P1679" t="s">
        <v>26</v>
      </c>
    </row>
    <row r="1680" spans="1:16" x14ac:dyDescent="0.25">
      <c r="A1680" t="s">
        <v>4442</v>
      </c>
      <c r="B1680" t="s">
        <v>4443</v>
      </c>
      <c r="C1680" t="s">
        <v>18</v>
      </c>
      <c r="D1680" t="s">
        <v>50</v>
      </c>
      <c r="E1680" t="s">
        <v>44</v>
      </c>
      <c r="F1680" t="s">
        <v>32</v>
      </c>
      <c r="G1680" t="s">
        <v>22</v>
      </c>
      <c r="H1680" t="s">
        <v>46</v>
      </c>
      <c r="J1680" t="s">
        <v>507</v>
      </c>
      <c r="K1680" t="s">
        <v>3101</v>
      </c>
      <c r="L1680">
        <v>4.7</v>
      </c>
      <c r="M1680">
        <v>211000</v>
      </c>
      <c r="N1680">
        <v>4.0999999999999996</v>
      </c>
      <c r="O1680">
        <v>1</v>
      </c>
      <c r="P1680" t="s">
        <v>53</v>
      </c>
    </row>
    <row r="1681" spans="1:16" x14ac:dyDescent="0.25">
      <c r="A1681" t="s">
        <v>4444</v>
      </c>
      <c r="B1681" t="s">
        <v>4445</v>
      </c>
      <c r="C1681" t="s">
        <v>18</v>
      </c>
      <c r="D1681" t="s">
        <v>19</v>
      </c>
      <c r="E1681" t="s">
        <v>31</v>
      </c>
      <c r="F1681" t="s">
        <v>32</v>
      </c>
      <c r="G1681" t="s">
        <v>80</v>
      </c>
      <c r="H1681" t="s">
        <v>46</v>
      </c>
      <c r="I1681" t="s">
        <v>35</v>
      </c>
      <c r="J1681" t="s">
        <v>3606</v>
      </c>
      <c r="L1681">
        <v>1.3</v>
      </c>
      <c r="M1681">
        <v>358000</v>
      </c>
      <c r="N1681">
        <v>2.6</v>
      </c>
      <c r="O1681">
        <v>24</v>
      </c>
      <c r="P1681" t="s">
        <v>26</v>
      </c>
    </row>
    <row r="1682" spans="1:16" x14ac:dyDescent="0.25">
      <c r="A1682" t="s">
        <v>4446</v>
      </c>
      <c r="B1682" t="s">
        <v>4447</v>
      </c>
      <c r="C1682" t="s">
        <v>18</v>
      </c>
      <c r="E1682" t="s">
        <v>20</v>
      </c>
      <c r="F1682" t="s">
        <v>32</v>
      </c>
      <c r="G1682" t="s">
        <v>22</v>
      </c>
      <c r="H1682" t="s">
        <v>34</v>
      </c>
      <c r="I1682" t="s">
        <v>57</v>
      </c>
      <c r="J1682" t="s">
        <v>3647</v>
      </c>
      <c r="L1682">
        <v>1.5</v>
      </c>
      <c r="M1682">
        <v>270000</v>
      </c>
      <c r="N1682">
        <v>4.3</v>
      </c>
      <c r="O1682">
        <v>15</v>
      </c>
      <c r="P1682" t="s">
        <v>26</v>
      </c>
    </row>
    <row r="1683" spans="1:16" x14ac:dyDescent="0.25">
      <c r="A1683" t="s">
        <v>4448</v>
      </c>
      <c r="B1683" t="s">
        <v>4449</v>
      </c>
      <c r="D1683" t="s">
        <v>30</v>
      </c>
      <c r="E1683" t="s">
        <v>20</v>
      </c>
      <c r="F1683" t="s">
        <v>128</v>
      </c>
      <c r="G1683" t="s">
        <v>22</v>
      </c>
      <c r="H1683" t="s">
        <v>23</v>
      </c>
      <c r="I1683" t="s">
        <v>35</v>
      </c>
      <c r="J1683" t="s">
        <v>1025</v>
      </c>
      <c r="L1683">
        <v>4.5</v>
      </c>
      <c r="M1683">
        <v>365000</v>
      </c>
      <c r="N1683">
        <v>3.3</v>
      </c>
      <c r="O1683">
        <v>1</v>
      </c>
      <c r="P1683" t="s">
        <v>26</v>
      </c>
    </row>
    <row r="1684" spans="1:16" x14ac:dyDescent="0.25">
      <c r="A1684" t="s">
        <v>4450</v>
      </c>
      <c r="B1684" t="s">
        <v>4451</v>
      </c>
      <c r="C1684" t="s">
        <v>18</v>
      </c>
      <c r="D1684" t="s">
        <v>19</v>
      </c>
      <c r="E1684" t="s">
        <v>20</v>
      </c>
      <c r="F1684" t="s">
        <v>128</v>
      </c>
      <c r="G1684" t="s">
        <v>80</v>
      </c>
      <c r="H1684" t="s">
        <v>46</v>
      </c>
      <c r="I1684" t="s">
        <v>24</v>
      </c>
      <c r="J1684" t="s">
        <v>3634</v>
      </c>
      <c r="K1684" t="s">
        <v>4452</v>
      </c>
      <c r="L1684">
        <v>5</v>
      </c>
      <c r="M1684">
        <v>441000</v>
      </c>
      <c r="N1684">
        <v>4.2</v>
      </c>
      <c r="O1684">
        <v>1</v>
      </c>
      <c r="P1684" t="s">
        <v>114</v>
      </c>
    </row>
    <row r="1685" spans="1:16" x14ac:dyDescent="0.25">
      <c r="A1685" t="s">
        <v>4453</v>
      </c>
      <c r="B1685" t="s">
        <v>2729</v>
      </c>
      <c r="C1685" t="s">
        <v>18</v>
      </c>
      <c r="D1685" t="s">
        <v>30</v>
      </c>
      <c r="E1685" t="s">
        <v>44</v>
      </c>
      <c r="F1685" t="s">
        <v>39</v>
      </c>
      <c r="G1685" t="s">
        <v>80</v>
      </c>
      <c r="H1685" t="s">
        <v>46</v>
      </c>
      <c r="I1685" t="s">
        <v>75</v>
      </c>
      <c r="J1685" t="s">
        <v>4454</v>
      </c>
      <c r="K1685" t="s">
        <v>2119</v>
      </c>
      <c r="L1685">
        <v>4</v>
      </c>
      <c r="M1685">
        <v>119000</v>
      </c>
      <c r="O1685">
        <v>6</v>
      </c>
      <c r="P1685" t="s">
        <v>53</v>
      </c>
    </row>
    <row r="1686" spans="1:16" x14ac:dyDescent="0.25">
      <c r="A1686" t="s">
        <v>4455</v>
      </c>
      <c r="B1686" t="s">
        <v>4456</v>
      </c>
      <c r="C1686" t="s">
        <v>18</v>
      </c>
      <c r="D1686" t="s">
        <v>50</v>
      </c>
      <c r="E1686" t="s">
        <v>20</v>
      </c>
      <c r="F1686" t="s">
        <v>39</v>
      </c>
      <c r="G1686" t="s">
        <v>22</v>
      </c>
      <c r="H1686" t="s">
        <v>23</v>
      </c>
      <c r="I1686" t="s">
        <v>24</v>
      </c>
      <c r="J1686" t="s">
        <v>1738</v>
      </c>
      <c r="L1686">
        <v>2.5</v>
      </c>
      <c r="M1686">
        <v>86000</v>
      </c>
      <c r="N1686">
        <v>3.6</v>
      </c>
      <c r="O1686">
        <v>1</v>
      </c>
      <c r="P1686" t="s">
        <v>26</v>
      </c>
    </row>
    <row r="1687" spans="1:16" x14ac:dyDescent="0.25">
      <c r="A1687" t="s">
        <v>4457</v>
      </c>
      <c r="B1687" t="s">
        <v>4458</v>
      </c>
      <c r="D1687" t="s">
        <v>862</v>
      </c>
      <c r="E1687" t="s">
        <v>20</v>
      </c>
      <c r="F1687" t="s">
        <v>39</v>
      </c>
      <c r="G1687" t="s">
        <v>69</v>
      </c>
      <c r="H1687" t="s">
        <v>23</v>
      </c>
      <c r="I1687" t="s">
        <v>24</v>
      </c>
      <c r="J1687" t="s">
        <v>2718</v>
      </c>
      <c r="K1687" t="s">
        <v>3796</v>
      </c>
      <c r="L1687">
        <v>2.8</v>
      </c>
      <c r="M1687">
        <v>105000</v>
      </c>
      <c r="N1687">
        <v>3.2</v>
      </c>
      <c r="O1687">
        <v>4</v>
      </c>
      <c r="P1687" t="s">
        <v>72</v>
      </c>
    </row>
    <row r="1688" spans="1:16" x14ac:dyDescent="0.25">
      <c r="A1688" t="s">
        <v>4459</v>
      </c>
      <c r="B1688" t="s">
        <v>4460</v>
      </c>
      <c r="C1688" t="s">
        <v>18</v>
      </c>
      <c r="D1688" t="s">
        <v>30</v>
      </c>
      <c r="F1688" t="s">
        <v>32</v>
      </c>
      <c r="G1688" t="s">
        <v>33</v>
      </c>
      <c r="I1688" t="s">
        <v>24</v>
      </c>
      <c r="J1688" t="s">
        <v>2802</v>
      </c>
      <c r="K1688" t="s">
        <v>4461</v>
      </c>
      <c r="L1688">
        <v>6.2</v>
      </c>
      <c r="M1688">
        <v>204000</v>
      </c>
      <c r="N1688">
        <v>1.6</v>
      </c>
      <c r="O1688">
        <v>2</v>
      </c>
      <c r="P1688" t="s">
        <v>53</v>
      </c>
    </row>
    <row r="1689" spans="1:16" x14ac:dyDescent="0.25">
      <c r="A1689" t="s">
        <v>4462</v>
      </c>
      <c r="B1689" t="s">
        <v>4463</v>
      </c>
      <c r="C1689" t="s">
        <v>18</v>
      </c>
      <c r="D1689" t="s">
        <v>43</v>
      </c>
      <c r="E1689" t="s">
        <v>20</v>
      </c>
      <c r="G1689" t="s">
        <v>69</v>
      </c>
      <c r="H1689" t="s">
        <v>46</v>
      </c>
      <c r="I1689" t="s">
        <v>35</v>
      </c>
      <c r="J1689" t="s">
        <v>1154</v>
      </c>
      <c r="L1689">
        <v>3.5</v>
      </c>
      <c r="M1689">
        <v>303000</v>
      </c>
      <c r="N1689">
        <v>4.4000000000000004</v>
      </c>
      <c r="O1689">
        <v>4</v>
      </c>
      <c r="P1689" t="s">
        <v>26</v>
      </c>
    </row>
    <row r="1690" spans="1:16" x14ac:dyDescent="0.25">
      <c r="A1690" t="s">
        <v>4464</v>
      </c>
      <c r="B1690" t="s">
        <v>333</v>
      </c>
      <c r="C1690" t="s">
        <v>18</v>
      </c>
      <c r="D1690" t="s">
        <v>30</v>
      </c>
      <c r="E1690" t="s">
        <v>20</v>
      </c>
      <c r="F1690" t="s">
        <v>39</v>
      </c>
      <c r="G1690" t="s">
        <v>22</v>
      </c>
      <c r="H1690" t="s">
        <v>46</v>
      </c>
      <c r="I1690" t="s">
        <v>35</v>
      </c>
      <c r="J1690" t="s">
        <v>2589</v>
      </c>
      <c r="K1690" t="s">
        <v>824</v>
      </c>
      <c r="L1690">
        <v>5.3</v>
      </c>
      <c r="M1690">
        <v>95000</v>
      </c>
      <c r="N1690">
        <v>2.5</v>
      </c>
      <c r="O1690">
        <v>15</v>
      </c>
      <c r="P1690" t="s">
        <v>53</v>
      </c>
    </row>
    <row r="1691" spans="1:16" x14ac:dyDescent="0.25">
      <c r="A1691" t="s">
        <v>4465</v>
      </c>
      <c r="B1691" t="s">
        <v>4466</v>
      </c>
      <c r="C1691" t="s">
        <v>18</v>
      </c>
      <c r="D1691" t="s">
        <v>79</v>
      </c>
      <c r="E1691" t="s">
        <v>20</v>
      </c>
      <c r="F1691" t="s">
        <v>21</v>
      </c>
      <c r="G1691" t="s">
        <v>22</v>
      </c>
      <c r="H1691" t="s">
        <v>34</v>
      </c>
      <c r="I1691" t="s">
        <v>57</v>
      </c>
      <c r="J1691" t="s">
        <v>4166</v>
      </c>
      <c r="L1691">
        <v>5.5</v>
      </c>
      <c r="M1691">
        <v>871000</v>
      </c>
      <c r="N1691">
        <v>3.2</v>
      </c>
      <c r="O1691">
        <v>35</v>
      </c>
      <c r="P1691" t="s">
        <v>26</v>
      </c>
    </row>
    <row r="1692" spans="1:16" x14ac:dyDescent="0.25">
      <c r="A1692" t="s">
        <v>4467</v>
      </c>
      <c r="B1692" t="s">
        <v>4468</v>
      </c>
      <c r="C1692" t="s">
        <v>18</v>
      </c>
      <c r="D1692" t="s">
        <v>43</v>
      </c>
      <c r="F1692" t="s">
        <v>32</v>
      </c>
      <c r="G1692" t="s">
        <v>22</v>
      </c>
      <c r="H1692" t="s">
        <v>62</v>
      </c>
      <c r="I1692" t="s">
        <v>35</v>
      </c>
      <c r="J1692" t="s">
        <v>4469</v>
      </c>
      <c r="L1692">
        <v>5.7</v>
      </c>
      <c r="M1692">
        <v>283000</v>
      </c>
      <c r="N1692">
        <v>3.5</v>
      </c>
      <c r="O1692">
        <v>3</v>
      </c>
      <c r="P1692" t="s">
        <v>26</v>
      </c>
    </row>
    <row r="1693" spans="1:16" x14ac:dyDescent="0.25">
      <c r="A1693" t="s">
        <v>4470</v>
      </c>
      <c r="B1693" t="s">
        <v>2137</v>
      </c>
      <c r="C1693" t="s">
        <v>18</v>
      </c>
      <c r="D1693" t="s">
        <v>30</v>
      </c>
      <c r="E1693" t="s">
        <v>44</v>
      </c>
      <c r="F1693" t="s">
        <v>39</v>
      </c>
      <c r="G1693" t="s">
        <v>22</v>
      </c>
      <c r="H1693" t="s">
        <v>23</v>
      </c>
      <c r="I1693" t="s">
        <v>57</v>
      </c>
      <c r="J1693" t="s">
        <v>1347</v>
      </c>
      <c r="L1693">
        <v>4.5999999999999996</v>
      </c>
      <c r="M1693">
        <v>174000</v>
      </c>
      <c r="N1693">
        <v>1.8</v>
      </c>
      <c r="O1693">
        <v>10</v>
      </c>
      <c r="P1693" t="s">
        <v>26</v>
      </c>
    </row>
    <row r="1694" spans="1:16" x14ac:dyDescent="0.25">
      <c r="A1694" t="s">
        <v>4471</v>
      </c>
      <c r="B1694" t="s">
        <v>4472</v>
      </c>
      <c r="C1694" t="s">
        <v>18</v>
      </c>
      <c r="D1694" t="s">
        <v>50</v>
      </c>
      <c r="E1694" t="s">
        <v>20</v>
      </c>
      <c r="F1694" t="s">
        <v>128</v>
      </c>
      <c r="G1694" t="s">
        <v>22</v>
      </c>
      <c r="H1694" t="s">
        <v>23</v>
      </c>
      <c r="I1694" t="s">
        <v>24</v>
      </c>
      <c r="J1694" t="s">
        <v>1567</v>
      </c>
      <c r="L1694">
        <v>3.7</v>
      </c>
      <c r="M1694">
        <v>366000</v>
      </c>
      <c r="N1694">
        <v>4.3</v>
      </c>
      <c r="O1694">
        <v>6</v>
      </c>
      <c r="P1694" t="s">
        <v>26</v>
      </c>
    </row>
    <row r="1695" spans="1:16" x14ac:dyDescent="0.25">
      <c r="A1695" t="s">
        <v>4473</v>
      </c>
      <c r="B1695" t="s">
        <v>1962</v>
      </c>
      <c r="C1695" t="s">
        <v>29</v>
      </c>
      <c r="D1695" t="s">
        <v>50</v>
      </c>
      <c r="E1695" t="s">
        <v>20</v>
      </c>
      <c r="F1695" t="s">
        <v>32</v>
      </c>
      <c r="G1695" t="s">
        <v>80</v>
      </c>
      <c r="H1695" t="s">
        <v>34</v>
      </c>
      <c r="I1695" t="s">
        <v>75</v>
      </c>
      <c r="J1695" t="s">
        <v>58</v>
      </c>
      <c r="K1695" t="s">
        <v>4474</v>
      </c>
      <c r="L1695">
        <v>2.8</v>
      </c>
      <c r="M1695">
        <v>296000</v>
      </c>
      <c r="N1695">
        <v>3.2</v>
      </c>
      <c r="P1695" t="s">
        <v>53</v>
      </c>
    </row>
    <row r="1696" spans="1:16" x14ac:dyDescent="0.25">
      <c r="A1696" t="s">
        <v>4475</v>
      </c>
      <c r="B1696" t="s">
        <v>4476</v>
      </c>
      <c r="C1696" t="s">
        <v>18</v>
      </c>
      <c r="D1696" t="s">
        <v>50</v>
      </c>
      <c r="E1696" t="s">
        <v>20</v>
      </c>
      <c r="F1696" t="s">
        <v>32</v>
      </c>
      <c r="G1696" t="s">
        <v>33</v>
      </c>
      <c r="H1696" t="s">
        <v>34</v>
      </c>
      <c r="I1696" t="s">
        <v>24</v>
      </c>
      <c r="J1696" t="s">
        <v>613</v>
      </c>
      <c r="L1696">
        <v>26.4</v>
      </c>
      <c r="M1696">
        <v>343000</v>
      </c>
      <c r="N1696">
        <v>4.5</v>
      </c>
      <c r="P1696" t="s">
        <v>26</v>
      </c>
    </row>
    <row r="1697" spans="1:16" x14ac:dyDescent="0.25">
      <c r="A1697" t="s">
        <v>4477</v>
      </c>
      <c r="B1697" t="s">
        <v>599</v>
      </c>
      <c r="C1697" t="s">
        <v>29</v>
      </c>
      <c r="D1697" t="s">
        <v>30</v>
      </c>
      <c r="E1697" t="s">
        <v>44</v>
      </c>
      <c r="F1697" t="s">
        <v>21</v>
      </c>
      <c r="G1697" t="s">
        <v>80</v>
      </c>
      <c r="H1697" t="s">
        <v>23</v>
      </c>
      <c r="I1697" t="s">
        <v>24</v>
      </c>
      <c r="J1697" t="s">
        <v>4339</v>
      </c>
      <c r="K1697" t="s">
        <v>3120</v>
      </c>
      <c r="L1697">
        <v>5.0999999999999996</v>
      </c>
      <c r="M1697">
        <v>944000</v>
      </c>
      <c r="N1697">
        <v>4</v>
      </c>
      <c r="O1697">
        <v>0</v>
      </c>
      <c r="P1697" t="s">
        <v>53</v>
      </c>
    </row>
    <row r="1698" spans="1:16" x14ac:dyDescent="0.25">
      <c r="A1698" t="s">
        <v>4478</v>
      </c>
      <c r="B1698" t="s">
        <v>3844</v>
      </c>
      <c r="C1698" t="s">
        <v>18</v>
      </c>
      <c r="D1698" t="s">
        <v>30</v>
      </c>
      <c r="E1698" t="s">
        <v>20</v>
      </c>
      <c r="F1698" t="s">
        <v>32</v>
      </c>
      <c r="G1698" t="s">
        <v>22</v>
      </c>
      <c r="H1698" t="s">
        <v>46</v>
      </c>
      <c r="I1698" t="s">
        <v>35</v>
      </c>
      <c r="J1698" t="s">
        <v>654</v>
      </c>
      <c r="L1698">
        <v>2.7</v>
      </c>
      <c r="M1698">
        <v>186000</v>
      </c>
      <c r="N1698">
        <v>3.4</v>
      </c>
      <c r="O1698">
        <v>11</v>
      </c>
      <c r="P1698" t="s">
        <v>26</v>
      </c>
    </row>
    <row r="1699" spans="1:16" x14ac:dyDescent="0.25">
      <c r="A1699" t="s">
        <v>4479</v>
      </c>
      <c r="B1699" t="s">
        <v>4480</v>
      </c>
      <c r="C1699" t="s">
        <v>18</v>
      </c>
      <c r="D1699" t="s">
        <v>19</v>
      </c>
      <c r="E1699" t="s">
        <v>44</v>
      </c>
      <c r="F1699" t="s">
        <v>128</v>
      </c>
      <c r="G1699" t="s">
        <v>22</v>
      </c>
      <c r="H1699" t="s">
        <v>34</v>
      </c>
      <c r="I1699" t="s">
        <v>171</v>
      </c>
      <c r="J1699" t="s">
        <v>2579</v>
      </c>
      <c r="L1699">
        <v>3.7</v>
      </c>
      <c r="M1699">
        <v>481000</v>
      </c>
      <c r="O1699">
        <v>8</v>
      </c>
      <c r="P1699" t="s">
        <v>26</v>
      </c>
    </row>
    <row r="1700" spans="1:16" x14ac:dyDescent="0.25">
      <c r="A1700" t="s">
        <v>4481</v>
      </c>
      <c r="B1700" t="s">
        <v>4482</v>
      </c>
      <c r="C1700" t="s">
        <v>29</v>
      </c>
      <c r="D1700" t="s">
        <v>79</v>
      </c>
      <c r="E1700" t="s">
        <v>20</v>
      </c>
      <c r="F1700" t="s">
        <v>39</v>
      </c>
      <c r="G1700" t="s">
        <v>69</v>
      </c>
      <c r="H1700" t="s">
        <v>46</v>
      </c>
      <c r="I1700" t="s">
        <v>24</v>
      </c>
      <c r="J1700" t="s">
        <v>4483</v>
      </c>
      <c r="L1700">
        <v>6.2</v>
      </c>
      <c r="M1700">
        <v>99000</v>
      </c>
      <c r="N1700">
        <v>4.7</v>
      </c>
      <c r="O1700">
        <v>31</v>
      </c>
      <c r="P1700" t="s">
        <v>26</v>
      </c>
    </row>
    <row r="1701" spans="1:16" x14ac:dyDescent="0.25">
      <c r="A1701" t="s">
        <v>4484</v>
      </c>
      <c r="B1701" t="s">
        <v>3387</v>
      </c>
      <c r="C1701" t="s">
        <v>29</v>
      </c>
      <c r="D1701" t="s">
        <v>30</v>
      </c>
      <c r="E1701" t="s">
        <v>20</v>
      </c>
      <c r="F1701" t="s">
        <v>32</v>
      </c>
      <c r="G1701" t="s">
        <v>22</v>
      </c>
      <c r="H1701" t="s">
        <v>46</v>
      </c>
      <c r="I1701" t="s">
        <v>24</v>
      </c>
      <c r="J1701" t="s">
        <v>1216</v>
      </c>
      <c r="K1701" t="s">
        <v>3453</v>
      </c>
      <c r="L1701">
        <v>2.8</v>
      </c>
      <c r="M1701">
        <v>295000</v>
      </c>
      <c r="N1701">
        <v>4.5</v>
      </c>
      <c r="O1701">
        <v>12</v>
      </c>
      <c r="P1701" t="s">
        <v>53</v>
      </c>
    </row>
    <row r="1702" spans="1:16" x14ac:dyDescent="0.25">
      <c r="A1702" t="s">
        <v>4485</v>
      </c>
      <c r="B1702" t="s">
        <v>4486</v>
      </c>
      <c r="C1702" t="s">
        <v>18</v>
      </c>
      <c r="D1702" t="s">
        <v>79</v>
      </c>
      <c r="E1702" t="s">
        <v>20</v>
      </c>
      <c r="F1702" t="s">
        <v>32</v>
      </c>
      <c r="G1702" t="s">
        <v>22</v>
      </c>
      <c r="H1702" t="s">
        <v>23</v>
      </c>
      <c r="I1702" t="s">
        <v>24</v>
      </c>
      <c r="J1702" t="s">
        <v>4487</v>
      </c>
      <c r="L1702">
        <v>4.3</v>
      </c>
      <c r="M1702">
        <v>317000</v>
      </c>
      <c r="N1702">
        <v>3.3</v>
      </c>
      <c r="O1702">
        <v>11</v>
      </c>
      <c r="P1702" t="s">
        <v>26</v>
      </c>
    </row>
    <row r="1703" spans="1:16" x14ac:dyDescent="0.25">
      <c r="A1703" t="s">
        <v>4488</v>
      </c>
      <c r="B1703" t="s">
        <v>4489</v>
      </c>
      <c r="C1703" t="s">
        <v>18</v>
      </c>
      <c r="D1703" t="s">
        <v>19</v>
      </c>
      <c r="E1703" t="s">
        <v>31</v>
      </c>
      <c r="F1703" t="s">
        <v>45</v>
      </c>
      <c r="G1703" t="s">
        <v>33</v>
      </c>
      <c r="H1703" t="s">
        <v>23</v>
      </c>
      <c r="I1703" t="s">
        <v>24</v>
      </c>
      <c r="J1703" t="s">
        <v>4490</v>
      </c>
      <c r="L1703">
        <v>4</v>
      </c>
      <c r="M1703">
        <v>1141000</v>
      </c>
      <c r="N1703">
        <v>4.8</v>
      </c>
      <c r="O1703">
        <v>8</v>
      </c>
      <c r="P1703" t="s">
        <v>26</v>
      </c>
    </row>
    <row r="1704" spans="1:16" x14ac:dyDescent="0.25">
      <c r="A1704" t="s">
        <v>4491</v>
      </c>
      <c r="B1704" t="s">
        <v>251</v>
      </c>
      <c r="C1704" t="s">
        <v>18</v>
      </c>
      <c r="D1704" t="s">
        <v>30</v>
      </c>
      <c r="E1704" t="s">
        <v>44</v>
      </c>
      <c r="F1704" t="s">
        <v>39</v>
      </c>
      <c r="G1704" t="s">
        <v>22</v>
      </c>
      <c r="I1704" t="s">
        <v>35</v>
      </c>
      <c r="J1704" t="s">
        <v>4492</v>
      </c>
      <c r="K1704" t="s">
        <v>4493</v>
      </c>
      <c r="L1704">
        <v>6</v>
      </c>
      <c r="M1704">
        <v>178000</v>
      </c>
      <c r="N1704">
        <v>2.9</v>
      </c>
      <c r="O1704">
        <v>7</v>
      </c>
      <c r="P1704" t="s">
        <v>72</v>
      </c>
    </row>
    <row r="1705" spans="1:16" x14ac:dyDescent="0.25">
      <c r="A1705" t="s">
        <v>4494</v>
      </c>
      <c r="B1705" t="s">
        <v>4495</v>
      </c>
      <c r="C1705" t="s">
        <v>29</v>
      </c>
      <c r="D1705" t="s">
        <v>43</v>
      </c>
      <c r="E1705" t="s">
        <v>20</v>
      </c>
      <c r="G1705" t="s">
        <v>22</v>
      </c>
      <c r="H1705" t="s">
        <v>34</v>
      </c>
      <c r="I1705" t="s">
        <v>57</v>
      </c>
      <c r="J1705" t="s">
        <v>4490</v>
      </c>
      <c r="L1705">
        <v>4</v>
      </c>
      <c r="M1705">
        <v>300000</v>
      </c>
      <c r="N1705">
        <v>2.5</v>
      </c>
      <c r="O1705">
        <v>5</v>
      </c>
      <c r="P1705" t="s">
        <v>26</v>
      </c>
    </row>
    <row r="1706" spans="1:16" x14ac:dyDescent="0.25">
      <c r="A1706" t="s">
        <v>4496</v>
      </c>
      <c r="B1706" t="s">
        <v>3916</v>
      </c>
      <c r="C1706" t="s">
        <v>18</v>
      </c>
      <c r="D1706" t="s">
        <v>50</v>
      </c>
      <c r="E1706" t="s">
        <v>20</v>
      </c>
      <c r="F1706" t="s">
        <v>128</v>
      </c>
      <c r="G1706" t="s">
        <v>33</v>
      </c>
      <c r="I1706" t="s">
        <v>24</v>
      </c>
      <c r="J1706" t="s">
        <v>797</v>
      </c>
      <c r="L1706">
        <v>2.2999999999999998</v>
      </c>
      <c r="N1706">
        <v>4.8</v>
      </c>
      <c r="O1706">
        <v>14</v>
      </c>
      <c r="P1706" t="s">
        <v>26</v>
      </c>
    </row>
    <row r="1707" spans="1:16" x14ac:dyDescent="0.25">
      <c r="A1707" t="s">
        <v>4497</v>
      </c>
      <c r="B1707" t="s">
        <v>4498</v>
      </c>
      <c r="C1707" t="s">
        <v>29</v>
      </c>
      <c r="D1707" t="s">
        <v>50</v>
      </c>
      <c r="E1707" t="s">
        <v>20</v>
      </c>
      <c r="F1707" t="s">
        <v>32</v>
      </c>
      <c r="G1707" t="s">
        <v>33</v>
      </c>
      <c r="H1707" t="s">
        <v>23</v>
      </c>
      <c r="I1707" t="s">
        <v>57</v>
      </c>
      <c r="J1707" t="s">
        <v>4166</v>
      </c>
      <c r="K1707" t="s">
        <v>1372</v>
      </c>
      <c r="L1707">
        <v>5.5</v>
      </c>
      <c r="M1707">
        <v>208000</v>
      </c>
      <c r="N1707">
        <v>2.7</v>
      </c>
      <c r="O1707">
        <v>0</v>
      </c>
      <c r="P1707" t="s">
        <v>72</v>
      </c>
    </row>
    <row r="1708" spans="1:16" x14ac:dyDescent="0.25">
      <c r="A1708" t="s">
        <v>4499</v>
      </c>
      <c r="B1708" t="s">
        <v>1824</v>
      </c>
      <c r="C1708" t="s">
        <v>29</v>
      </c>
      <c r="D1708" t="s">
        <v>79</v>
      </c>
      <c r="E1708" t="s">
        <v>20</v>
      </c>
      <c r="F1708" t="s">
        <v>39</v>
      </c>
      <c r="G1708" t="s">
        <v>22</v>
      </c>
      <c r="I1708" t="s">
        <v>24</v>
      </c>
      <c r="J1708" t="s">
        <v>4500</v>
      </c>
      <c r="L1708">
        <v>2.4</v>
      </c>
      <c r="M1708">
        <v>121000</v>
      </c>
      <c r="N1708">
        <v>3.8</v>
      </c>
      <c r="O1708">
        <v>1</v>
      </c>
      <c r="P1708" t="s">
        <v>26</v>
      </c>
    </row>
    <row r="1709" spans="1:16" x14ac:dyDescent="0.25">
      <c r="A1709" t="s">
        <v>4501</v>
      </c>
      <c r="B1709" t="s">
        <v>4502</v>
      </c>
      <c r="C1709" t="s">
        <v>18</v>
      </c>
      <c r="D1709" t="s">
        <v>43</v>
      </c>
      <c r="E1709" t="s">
        <v>44</v>
      </c>
      <c r="F1709" t="s">
        <v>39</v>
      </c>
      <c r="G1709" t="s">
        <v>80</v>
      </c>
      <c r="H1709" t="s">
        <v>46</v>
      </c>
      <c r="I1709" t="s">
        <v>75</v>
      </c>
      <c r="J1709" t="s">
        <v>4503</v>
      </c>
      <c r="L1709">
        <v>1.5</v>
      </c>
      <c r="M1709">
        <v>129000</v>
      </c>
      <c r="N1709">
        <v>3.4</v>
      </c>
      <c r="O1709">
        <v>13</v>
      </c>
      <c r="P1709" t="s">
        <v>26</v>
      </c>
    </row>
    <row r="1710" spans="1:16" x14ac:dyDescent="0.25">
      <c r="A1710" t="s">
        <v>4504</v>
      </c>
      <c r="B1710" t="s">
        <v>4505</v>
      </c>
      <c r="C1710" t="s">
        <v>18</v>
      </c>
      <c r="D1710" t="s">
        <v>30</v>
      </c>
      <c r="E1710" t="s">
        <v>20</v>
      </c>
      <c r="F1710" t="s">
        <v>39</v>
      </c>
      <c r="G1710" t="s">
        <v>22</v>
      </c>
      <c r="H1710" t="s">
        <v>46</v>
      </c>
      <c r="I1710" t="s">
        <v>57</v>
      </c>
      <c r="J1710" t="s">
        <v>4506</v>
      </c>
      <c r="L1710">
        <v>6.2</v>
      </c>
      <c r="M1710">
        <v>86000</v>
      </c>
      <c r="N1710">
        <v>2</v>
      </c>
      <c r="O1710">
        <v>21</v>
      </c>
      <c r="P1710" t="s">
        <v>26</v>
      </c>
    </row>
    <row r="1711" spans="1:16" x14ac:dyDescent="0.25">
      <c r="A1711" t="s">
        <v>4507</v>
      </c>
      <c r="B1711" t="s">
        <v>4508</v>
      </c>
      <c r="C1711" t="s">
        <v>29</v>
      </c>
      <c r="D1711" t="s">
        <v>43</v>
      </c>
      <c r="E1711" t="s">
        <v>44</v>
      </c>
      <c r="F1711" t="s">
        <v>32</v>
      </c>
      <c r="G1711" t="s">
        <v>33</v>
      </c>
      <c r="H1711" t="s">
        <v>34</v>
      </c>
      <c r="I1711" t="s">
        <v>24</v>
      </c>
      <c r="J1711" t="s">
        <v>3690</v>
      </c>
      <c r="K1711" t="s">
        <v>478</v>
      </c>
      <c r="L1711">
        <v>1.8</v>
      </c>
      <c r="M1711">
        <v>235000</v>
      </c>
      <c r="N1711">
        <v>3.4</v>
      </c>
      <c r="O1711">
        <v>3</v>
      </c>
      <c r="P1711" t="s">
        <v>53</v>
      </c>
    </row>
    <row r="1712" spans="1:16" x14ac:dyDescent="0.25">
      <c r="A1712" t="s">
        <v>4509</v>
      </c>
      <c r="B1712" t="s">
        <v>1415</v>
      </c>
      <c r="C1712" t="s">
        <v>29</v>
      </c>
      <c r="D1712" t="s">
        <v>30</v>
      </c>
      <c r="E1712" t="s">
        <v>20</v>
      </c>
      <c r="F1712" t="s">
        <v>39</v>
      </c>
      <c r="G1712" t="s">
        <v>22</v>
      </c>
      <c r="H1712" t="s">
        <v>62</v>
      </c>
      <c r="I1712" t="s">
        <v>35</v>
      </c>
      <c r="J1712" t="s">
        <v>1890</v>
      </c>
      <c r="L1712">
        <v>3.9</v>
      </c>
      <c r="M1712">
        <v>130000</v>
      </c>
      <c r="N1712">
        <v>3.1</v>
      </c>
      <c r="O1712">
        <v>5</v>
      </c>
      <c r="P1712" t="s">
        <v>26</v>
      </c>
    </row>
    <row r="1713" spans="1:16" x14ac:dyDescent="0.25">
      <c r="A1713" t="s">
        <v>4510</v>
      </c>
      <c r="B1713" t="s">
        <v>4511</v>
      </c>
      <c r="C1713" t="s">
        <v>18</v>
      </c>
      <c r="D1713" t="s">
        <v>30</v>
      </c>
      <c r="F1713" t="s">
        <v>32</v>
      </c>
      <c r="G1713" t="s">
        <v>80</v>
      </c>
      <c r="H1713" t="s">
        <v>34</v>
      </c>
      <c r="I1713" t="s">
        <v>24</v>
      </c>
      <c r="J1713" t="s">
        <v>3931</v>
      </c>
      <c r="L1713">
        <v>3.1</v>
      </c>
      <c r="M1713">
        <v>333000</v>
      </c>
      <c r="N1713">
        <v>4.4000000000000004</v>
      </c>
      <c r="O1713">
        <v>10</v>
      </c>
      <c r="P1713" t="s">
        <v>26</v>
      </c>
    </row>
    <row r="1714" spans="1:16" x14ac:dyDescent="0.25">
      <c r="A1714" t="s">
        <v>4512</v>
      </c>
      <c r="B1714" t="s">
        <v>1676</v>
      </c>
      <c r="C1714" t="s">
        <v>29</v>
      </c>
      <c r="D1714" t="s">
        <v>50</v>
      </c>
      <c r="E1714" t="s">
        <v>20</v>
      </c>
      <c r="F1714" t="s">
        <v>39</v>
      </c>
      <c r="G1714" t="s">
        <v>22</v>
      </c>
      <c r="H1714" t="s">
        <v>34</v>
      </c>
      <c r="I1714" t="s">
        <v>24</v>
      </c>
      <c r="J1714" t="s">
        <v>1760</v>
      </c>
      <c r="K1714" t="s">
        <v>4513</v>
      </c>
      <c r="L1714">
        <v>4.4000000000000004</v>
      </c>
      <c r="M1714">
        <v>122000</v>
      </c>
      <c r="N1714">
        <v>4.3</v>
      </c>
      <c r="O1714">
        <v>0</v>
      </c>
      <c r="P1714" t="s">
        <v>53</v>
      </c>
    </row>
    <row r="1715" spans="1:16" x14ac:dyDescent="0.25">
      <c r="A1715" t="s">
        <v>4514</v>
      </c>
      <c r="B1715" t="s">
        <v>4515</v>
      </c>
      <c r="C1715" t="s">
        <v>18</v>
      </c>
      <c r="D1715" t="s">
        <v>50</v>
      </c>
      <c r="E1715" t="s">
        <v>20</v>
      </c>
      <c r="F1715" t="s">
        <v>32</v>
      </c>
      <c r="G1715" t="s">
        <v>22</v>
      </c>
      <c r="H1715" t="s">
        <v>34</v>
      </c>
      <c r="I1715" t="s">
        <v>75</v>
      </c>
      <c r="J1715" t="s">
        <v>2937</v>
      </c>
      <c r="L1715">
        <v>2.4</v>
      </c>
      <c r="M1715">
        <v>185000</v>
      </c>
      <c r="N1715">
        <v>2.5</v>
      </c>
      <c r="O1715">
        <v>5</v>
      </c>
      <c r="P1715" t="s">
        <v>26</v>
      </c>
    </row>
    <row r="1716" spans="1:16" x14ac:dyDescent="0.25">
      <c r="A1716" t="s">
        <v>4516</v>
      </c>
      <c r="B1716" t="s">
        <v>4517</v>
      </c>
      <c r="C1716" t="s">
        <v>29</v>
      </c>
      <c r="D1716" t="s">
        <v>79</v>
      </c>
      <c r="E1716" t="s">
        <v>31</v>
      </c>
      <c r="F1716" t="s">
        <v>45</v>
      </c>
      <c r="G1716" t="s">
        <v>33</v>
      </c>
      <c r="H1716" t="s">
        <v>34</v>
      </c>
      <c r="I1716" t="s">
        <v>24</v>
      </c>
      <c r="J1716" t="s">
        <v>4518</v>
      </c>
      <c r="L1716">
        <v>4.7</v>
      </c>
      <c r="M1716">
        <v>1356000</v>
      </c>
      <c r="N1716">
        <v>4</v>
      </c>
      <c r="O1716">
        <v>16</v>
      </c>
      <c r="P1716" t="s">
        <v>26</v>
      </c>
    </row>
    <row r="1717" spans="1:16" x14ac:dyDescent="0.25">
      <c r="A1717" t="s">
        <v>4519</v>
      </c>
      <c r="B1717" t="s">
        <v>760</v>
      </c>
      <c r="C1717" t="s">
        <v>29</v>
      </c>
      <c r="D1717" t="s">
        <v>79</v>
      </c>
      <c r="E1717" t="s">
        <v>20</v>
      </c>
      <c r="F1717" t="s">
        <v>39</v>
      </c>
      <c r="G1717" t="s">
        <v>22</v>
      </c>
      <c r="H1717" t="s">
        <v>62</v>
      </c>
      <c r="I1717" t="s">
        <v>35</v>
      </c>
      <c r="J1717" t="s">
        <v>4520</v>
      </c>
      <c r="L1717">
        <v>2.9</v>
      </c>
      <c r="O1717">
        <v>6</v>
      </c>
      <c r="P1717" t="s">
        <v>26</v>
      </c>
    </row>
    <row r="1718" spans="1:16" x14ac:dyDescent="0.25">
      <c r="A1718" t="s">
        <v>4521</v>
      </c>
      <c r="B1718" t="s">
        <v>4522</v>
      </c>
      <c r="C1718" t="s">
        <v>29</v>
      </c>
      <c r="D1718" t="s">
        <v>19</v>
      </c>
      <c r="E1718" t="s">
        <v>20</v>
      </c>
      <c r="F1718" t="s">
        <v>21</v>
      </c>
      <c r="G1718" t="s">
        <v>22</v>
      </c>
      <c r="H1718" t="s">
        <v>46</v>
      </c>
      <c r="I1718" t="s">
        <v>35</v>
      </c>
      <c r="J1718" t="s">
        <v>4523</v>
      </c>
      <c r="L1718">
        <v>4</v>
      </c>
      <c r="M1718">
        <v>1029000</v>
      </c>
      <c r="N1718">
        <v>3.5</v>
      </c>
      <c r="O1718">
        <v>28</v>
      </c>
      <c r="P1718" t="s">
        <v>26</v>
      </c>
    </row>
    <row r="1719" spans="1:16" x14ac:dyDescent="0.25">
      <c r="A1719" t="s">
        <v>4524</v>
      </c>
      <c r="B1719" t="s">
        <v>3313</v>
      </c>
      <c r="C1719" t="s">
        <v>29</v>
      </c>
      <c r="E1719" t="s">
        <v>20</v>
      </c>
      <c r="F1719" t="s">
        <v>128</v>
      </c>
      <c r="G1719" t="s">
        <v>80</v>
      </c>
      <c r="H1719" t="s">
        <v>34</v>
      </c>
      <c r="I1719" t="s">
        <v>35</v>
      </c>
      <c r="J1719" t="s">
        <v>4525</v>
      </c>
      <c r="K1719" t="s">
        <v>1480</v>
      </c>
      <c r="L1719">
        <v>3</v>
      </c>
      <c r="M1719">
        <v>507000</v>
      </c>
      <c r="N1719">
        <v>4.2</v>
      </c>
      <c r="O1719">
        <v>14</v>
      </c>
      <c r="P1719" t="s">
        <v>53</v>
      </c>
    </row>
    <row r="1720" spans="1:16" x14ac:dyDescent="0.25">
      <c r="A1720" t="s">
        <v>4526</v>
      </c>
      <c r="B1720" t="s">
        <v>4527</v>
      </c>
      <c r="C1720" t="s">
        <v>18</v>
      </c>
      <c r="D1720" t="s">
        <v>79</v>
      </c>
      <c r="E1720" t="s">
        <v>20</v>
      </c>
      <c r="F1720" t="s">
        <v>45</v>
      </c>
      <c r="G1720" t="s">
        <v>22</v>
      </c>
      <c r="H1720" t="s">
        <v>46</v>
      </c>
      <c r="I1720" t="s">
        <v>75</v>
      </c>
      <c r="J1720" t="s">
        <v>2347</v>
      </c>
      <c r="L1720">
        <v>5.7</v>
      </c>
      <c r="M1720">
        <v>1072000</v>
      </c>
      <c r="N1720">
        <v>4.5999999999999996</v>
      </c>
      <c r="O1720">
        <v>12</v>
      </c>
      <c r="P1720" t="s">
        <v>26</v>
      </c>
    </row>
    <row r="1721" spans="1:16" x14ac:dyDescent="0.25">
      <c r="A1721" t="s">
        <v>4528</v>
      </c>
      <c r="B1721" t="s">
        <v>657</v>
      </c>
      <c r="C1721" t="s">
        <v>18</v>
      </c>
      <c r="D1721" t="s">
        <v>43</v>
      </c>
      <c r="E1721" t="s">
        <v>31</v>
      </c>
      <c r="F1721" t="s">
        <v>128</v>
      </c>
      <c r="G1721" t="s">
        <v>80</v>
      </c>
      <c r="H1721" t="s">
        <v>23</v>
      </c>
      <c r="I1721" t="s">
        <v>24</v>
      </c>
      <c r="J1721" t="s">
        <v>3396</v>
      </c>
      <c r="L1721">
        <v>2.4</v>
      </c>
      <c r="M1721">
        <v>350000</v>
      </c>
      <c r="N1721">
        <v>4.2</v>
      </c>
      <c r="O1721">
        <v>1</v>
      </c>
      <c r="P1721" t="s">
        <v>26</v>
      </c>
    </row>
    <row r="1722" spans="1:16" x14ac:dyDescent="0.25">
      <c r="A1722" t="s">
        <v>4529</v>
      </c>
      <c r="B1722" t="s">
        <v>574</v>
      </c>
      <c r="C1722" t="s">
        <v>29</v>
      </c>
      <c r="D1722" t="s">
        <v>50</v>
      </c>
      <c r="E1722" t="s">
        <v>31</v>
      </c>
      <c r="F1722" t="s">
        <v>128</v>
      </c>
      <c r="G1722" t="s">
        <v>22</v>
      </c>
      <c r="H1722" t="s">
        <v>23</v>
      </c>
      <c r="J1722" t="s">
        <v>1554</v>
      </c>
      <c r="L1722">
        <v>3.2</v>
      </c>
      <c r="M1722">
        <v>395000</v>
      </c>
      <c r="N1722">
        <v>4.8</v>
      </c>
      <c r="O1722">
        <v>5</v>
      </c>
      <c r="P1722" t="s">
        <v>26</v>
      </c>
    </row>
    <row r="1723" spans="1:16" x14ac:dyDescent="0.25">
      <c r="A1723" t="s">
        <v>4530</v>
      </c>
      <c r="B1723" t="s">
        <v>4531</v>
      </c>
      <c r="C1723" t="s">
        <v>18</v>
      </c>
      <c r="D1723" t="s">
        <v>30</v>
      </c>
      <c r="E1723" t="s">
        <v>31</v>
      </c>
      <c r="F1723" t="s">
        <v>32</v>
      </c>
      <c r="G1723" t="s">
        <v>22</v>
      </c>
      <c r="H1723" t="s">
        <v>23</v>
      </c>
      <c r="I1723" t="s">
        <v>24</v>
      </c>
      <c r="J1723" t="s">
        <v>3593</v>
      </c>
      <c r="K1723" t="s">
        <v>1963</v>
      </c>
      <c r="L1723">
        <v>5.0999999999999996</v>
      </c>
      <c r="M1723">
        <v>204000</v>
      </c>
      <c r="N1723">
        <v>2.1</v>
      </c>
      <c r="O1723">
        <v>5</v>
      </c>
      <c r="P1723" t="s">
        <v>114</v>
      </c>
    </row>
    <row r="1724" spans="1:16" x14ac:dyDescent="0.25">
      <c r="A1724" t="s">
        <v>4532</v>
      </c>
      <c r="B1724" t="s">
        <v>4533</v>
      </c>
      <c r="C1724" t="s">
        <v>29</v>
      </c>
      <c r="D1724" t="s">
        <v>43</v>
      </c>
      <c r="E1724" t="s">
        <v>20</v>
      </c>
      <c r="F1724" t="s">
        <v>39</v>
      </c>
      <c r="G1724" t="s">
        <v>69</v>
      </c>
      <c r="H1724" t="s">
        <v>34</v>
      </c>
      <c r="I1724" t="s">
        <v>24</v>
      </c>
      <c r="J1724" t="s">
        <v>3890</v>
      </c>
      <c r="L1724">
        <v>2.4</v>
      </c>
      <c r="M1724">
        <v>102000</v>
      </c>
      <c r="N1724">
        <v>4.8</v>
      </c>
      <c r="O1724">
        <v>0</v>
      </c>
      <c r="P1724" t="s">
        <v>26</v>
      </c>
    </row>
    <row r="1725" spans="1:16" x14ac:dyDescent="0.25">
      <c r="A1725" t="s">
        <v>4534</v>
      </c>
      <c r="B1725" t="s">
        <v>4411</v>
      </c>
      <c r="C1725" t="s">
        <v>18</v>
      </c>
      <c r="D1725" t="s">
        <v>19</v>
      </c>
      <c r="E1725" t="s">
        <v>44</v>
      </c>
      <c r="F1725" t="s">
        <v>32</v>
      </c>
      <c r="G1725" t="s">
        <v>22</v>
      </c>
      <c r="H1725" t="s">
        <v>34</v>
      </c>
      <c r="I1725" t="s">
        <v>75</v>
      </c>
      <c r="J1725" t="s">
        <v>4535</v>
      </c>
      <c r="L1725">
        <v>5.0999999999999996</v>
      </c>
      <c r="N1725">
        <v>4.7</v>
      </c>
      <c r="O1725">
        <v>2</v>
      </c>
      <c r="P1725" t="s">
        <v>26</v>
      </c>
    </row>
    <row r="1726" spans="1:16" x14ac:dyDescent="0.25">
      <c r="A1726" t="s">
        <v>4536</v>
      </c>
      <c r="B1726" t="s">
        <v>4537</v>
      </c>
      <c r="C1726" t="s">
        <v>18</v>
      </c>
      <c r="D1726" t="s">
        <v>19</v>
      </c>
      <c r="E1726" t="s">
        <v>20</v>
      </c>
      <c r="F1726" t="s">
        <v>39</v>
      </c>
      <c r="G1726" t="s">
        <v>33</v>
      </c>
      <c r="H1726" t="s">
        <v>46</v>
      </c>
      <c r="I1726" t="s">
        <v>24</v>
      </c>
      <c r="J1726" t="s">
        <v>2633</v>
      </c>
      <c r="L1726">
        <v>3.4</v>
      </c>
      <c r="M1726">
        <v>197000</v>
      </c>
      <c r="N1726">
        <v>2.5</v>
      </c>
      <c r="O1726">
        <v>13</v>
      </c>
      <c r="P1726" t="s">
        <v>26</v>
      </c>
    </row>
    <row r="1727" spans="1:16" x14ac:dyDescent="0.25">
      <c r="A1727" t="s">
        <v>4538</v>
      </c>
      <c r="B1727" t="s">
        <v>4539</v>
      </c>
      <c r="C1727" t="s">
        <v>18</v>
      </c>
      <c r="D1727" t="s">
        <v>50</v>
      </c>
      <c r="E1727" t="s">
        <v>44</v>
      </c>
      <c r="F1727" t="s">
        <v>39</v>
      </c>
      <c r="G1727" t="s">
        <v>22</v>
      </c>
      <c r="H1727" t="s">
        <v>23</v>
      </c>
      <c r="I1727" t="s">
        <v>57</v>
      </c>
      <c r="J1727" t="s">
        <v>4540</v>
      </c>
      <c r="L1727">
        <v>5</v>
      </c>
      <c r="M1727">
        <v>117000</v>
      </c>
      <c r="N1727">
        <v>3</v>
      </c>
      <c r="P1727" t="s">
        <v>26</v>
      </c>
    </row>
    <row r="1728" spans="1:16" x14ac:dyDescent="0.25">
      <c r="A1728" t="s">
        <v>4541</v>
      </c>
      <c r="B1728" t="s">
        <v>4542</v>
      </c>
      <c r="C1728" t="s">
        <v>18</v>
      </c>
      <c r="D1728" t="s">
        <v>19</v>
      </c>
      <c r="E1728" t="s">
        <v>20</v>
      </c>
      <c r="F1728" t="s">
        <v>128</v>
      </c>
      <c r="G1728" t="s">
        <v>80</v>
      </c>
      <c r="H1728" t="s">
        <v>23</v>
      </c>
      <c r="J1728" t="s">
        <v>4543</v>
      </c>
      <c r="L1728">
        <v>3.4</v>
      </c>
      <c r="M1728">
        <v>556000</v>
      </c>
      <c r="N1728">
        <v>3.1</v>
      </c>
      <c r="O1728">
        <v>12</v>
      </c>
      <c r="P1728" t="s">
        <v>26</v>
      </c>
    </row>
    <row r="1729" spans="1:16" x14ac:dyDescent="0.25">
      <c r="A1729" t="s">
        <v>4544</v>
      </c>
      <c r="B1729" t="s">
        <v>4545</v>
      </c>
      <c r="C1729" t="s">
        <v>29</v>
      </c>
      <c r="D1729" t="s">
        <v>30</v>
      </c>
      <c r="E1729" t="s">
        <v>20</v>
      </c>
      <c r="F1729" t="s">
        <v>39</v>
      </c>
      <c r="G1729" t="s">
        <v>80</v>
      </c>
      <c r="H1729" t="s">
        <v>23</v>
      </c>
      <c r="I1729" t="s">
        <v>24</v>
      </c>
      <c r="J1729" t="s">
        <v>168</v>
      </c>
      <c r="L1729">
        <v>1.6</v>
      </c>
      <c r="M1729">
        <v>88000</v>
      </c>
      <c r="N1729">
        <v>3.5</v>
      </c>
      <c r="O1729">
        <v>14</v>
      </c>
      <c r="P1729" t="s">
        <v>26</v>
      </c>
    </row>
    <row r="1730" spans="1:16" x14ac:dyDescent="0.25">
      <c r="A1730" t="s">
        <v>4546</v>
      </c>
      <c r="B1730" t="s">
        <v>1305</v>
      </c>
      <c r="D1730" t="s">
        <v>79</v>
      </c>
      <c r="E1730" t="s">
        <v>44</v>
      </c>
      <c r="F1730" t="s">
        <v>32</v>
      </c>
      <c r="G1730" t="s">
        <v>22</v>
      </c>
      <c r="H1730" t="s">
        <v>23</v>
      </c>
      <c r="I1730" t="s">
        <v>24</v>
      </c>
      <c r="J1730" t="s">
        <v>3003</v>
      </c>
      <c r="L1730">
        <v>3.1</v>
      </c>
      <c r="M1730">
        <v>331000</v>
      </c>
      <c r="N1730">
        <v>2.5</v>
      </c>
      <c r="O1730">
        <v>9</v>
      </c>
      <c r="P1730" t="s">
        <v>26</v>
      </c>
    </row>
    <row r="1731" spans="1:16" x14ac:dyDescent="0.25">
      <c r="A1731" t="s">
        <v>4547</v>
      </c>
      <c r="B1731" t="s">
        <v>1308</v>
      </c>
      <c r="C1731" t="s">
        <v>18</v>
      </c>
      <c r="D1731" t="s">
        <v>43</v>
      </c>
      <c r="E1731" t="s">
        <v>20</v>
      </c>
      <c r="F1731" t="s">
        <v>128</v>
      </c>
      <c r="G1731" t="s">
        <v>22</v>
      </c>
      <c r="H1731" t="s">
        <v>23</v>
      </c>
      <c r="I1731" t="s">
        <v>35</v>
      </c>
      <c r="J1731" t="s">
        <v>4548</v>
      </c>
      <c r="L1731">
        <v>4.8</v>
      </c>
      <c r="M1731">
        <v>446000</v>
      </c>
      <c r="N1731">
        <v>3.1</v>
      </c>
      <c r="O1731">
        <v>5</v>
      </c>
      <c r="P1731" t="s">
        <v>26</v>
      </c>
    </row>
    <row r="1732" spans="1:16" x14ac:dyDescent="0.25">
      <c r="A1732" t="s">
        <v>4549</v>
      </c>
      <c r="B1732" t="s">
        <v>4550</v>
      </c>
      <c r="C1732" t="s">
        <v>18</v>
      </c>
      <c r="D1732" t="s">
        <v>50</v>
      </c>
      <c r="E1732" t="s">
        <v>20</v>
      </c>
      <c r="F1732" t="s">
        <v>128</v>
      </c>
      <c r="G1732" t="s">
        <v>22</v>
      </c>
      <c r="H1732" t="s">
        <v>62</v>
      </c>
      <c r="I1732" t="s">
        <v>24</v>
      </c>
      <c r="J1732" t="s">
        <v>1864</v>
      </c>
      <c r="K1732" t="s">
        <v>3925</v>
      </c>
      <c r="L1732">
        <v>5.0999999999999996</v>
      </c>
      <c r="M1732">
        <v>365000</v>
      </c>
      <c r="N1732">
        <v>2.5</v>
      </c>
      <c r="O1732">
        <v>4</v>
      </c>
      <c r="P1732" t="s">
        <v>114</v>
      </c>
    </row>
    <row r="1733" spans="1:16" x14ac:dyDescent="0.25">
      <c r="A1733" t="s">
        <v>4551</v>
      </c>
      <c r="B1733" t="s">
        <v>1144</v>
      </c>
      <c r="C1733" t="s">
        <v>18</v>
      </c>
      <c r="D1733" t="s">
        <v>50</v>
      </c>
      <c r="E1733" t="s">
        <v>31</v>
      </c>
      <c r="F1733" t="s">
        <v>21</v>
      </c>
      <c r="G1733" t="s">
        <v>22</v>
      </c>
      <c r="H1733" t="s">
        <v>62</v>
      </c>
      <c r="I1733" t="s">
        <v>57</v>
      </c>
      <c r="J1733" t="s">
        <v>1651</v>
      </c>
      <c r="L1733">
        <v>6.1</v>
      </c>
      <c r="M1733">
        <v>870000</v>
      </c>
      <c r="N1733">
        <v>4</v>
      </c>
      <c r="O1733">
        <v>8</v>
      </c>
      <c r="P1733" t="s">
        <v>26</v>
      </c>
    </row>
    <row r="1734" spans="1:16" x14ac:dyDescent="0.25">
      <c r="A1734" t="s">
        <v>4552</v>
      </c>
      <c r="B1734" t="s">
        <v>4553</v>
      </c>
      <c r="C1734" t="s">
        <v>29</v>
      </c>
      <c r="D1734" t="s">
        <v>30</v>
      </c>
      <c r="E1734" t="s">
        <v>20</v>
      </c>
      <c r="F1734" t="s">
        <v>32</v>
      </c>
      <c r="G1734" t="s">
        <v>22</v>
      </c>
      <c r="H1734" t="s">
        <v>34</v>
      </c>
      <c r="I1734" t="s">
        <v>35</v>
      </c>
      <c r="J1734" t="s">
        <v>4554</v>
      </c>
      <c r="L1734">
        <v>2.9</v>
      </c>
      <c r="M1734">
        <v>186000</v>
      </c>
      <c r="N1734">
        <v>1.5</v>
      </c>
      <c r="O1734">
        <v>13</v>
      </c>
      <c r="P1734" t="s">
        <v>26</v>
      </c>
    </row>
    <row r="1735" spans="1:16" x14ac:dyDescent="0.25">
      <c r="A1735" t="s">
        <v>4555</v>
      </c>
      <c r="B1735" t="s">
        <v>4297</v>
      </c>
      <c r="C1735" t="s">
        <v>29</v>
      </c>
      <c r="D1735" t="s">
        <v>50</v>
      </c>
      <c r="F1735" t="s">
        <v>39</v>
      </c>
      <c r="G1735" t="s">
        <v>22</v>
      </c>
      <c r="H1735" t="s">
        <v>23</v>
      </c>
      <c r="I1735" t="s">
        <v>75</v>
      </c>
      <c r="J1735" t="s">
        <v>4556</v>
      </c>
      <c r="L1735">
        <v>6.1</v>
      </c>
      <c r="M1735">
        <v>92000</v>
      </c>
      <c r="N1735">
        <v>3.9</v>
      </c>
      <c r="O1735">
        <v>7</v>
      </c>
      <c r="P1735" t="s">
        <v>26</v>
      </c>
    </row>
    <row r="1736" spans="1:16" x14ac:dyDescent="0.25">
      <c r="A1736" t="s">
        <v>4557</v>
      </c>
      <c r="B1736" t="s">
        <v>992</v>
      </c>
      <c r="C1736" t="s">
        <v>29</v>
      </c>
      <c r="D1736" t="s">
        <v>19</v>
      </c>
      <c r="E1736" t="s">
        <v>20</v>
      </c>
      <c r="F1736" t="s">
        <v>32</v>
      </c>
      <c r="G1736" t="s">
        <v>22</v>
      </c>
      <c r="H1736" t="s">
        <v>34</v>
      </c>
      <c r="I1736" t="s">
        <v>24</v>
      </c>
      <c r="J1736" t="s">
        <v>564</v>
      </c>
      <c r="L1736">
        <v>6.1</v>
      </c>
      <c r="M1736">
        <v>283000</v>
      </c>
      <c r="N1736">
        <v>4.2</v>
      </c>
      <c r="O1736">
        <v>12</v>
      </c>
      <c r="P1736" t="s">
        <v>26</v>
      </c>
    </row>
    <row r="1737" spans="1:16" x14ac:dyDescent="0.25">
      <c r="A1737" t="s">
        <v>4558</v>
      </c>
      <c r="B1737" t="s">
        <v>4559</v>
      </c>
      <c r="C1737" t="s">
        <v>18</v>
      </c>
      <c r="D1737" t="s">
        <v>30</v>
      </c>
      <c r="E1737" t="s">
        <v>20</v>
      </c>
      <c r="F1737" t="s">
        <v>39</v>
      </c>
      <c r="G1737" t="s">
        <v>33</v>
      </c>
      <c r="I1737" t="s">
        <v>24</v>
      </c>
      <c r="J1737" t="s">
        <v>2210</v>
      </c>
      <c r="K1737" t="s">
        <v>3754</v>
      </c>
      <c r="L1737">
        <v>3.7</v>
      </c>
      <c r="M1737">
        <v>139000</v>
      </c>
      <c r="N1737">
        <v>2.5</v>
      </c>
      <c r="P1737" t="s">
        <v>72</v>
      </c>
    </row>
    <row r="1738" spans="1:16" x14ac:dyDescent="0.25">
      <c r="A1738" t="s">
        <v>4560</v>
      </c>
      <c r="B1738" t="s">
        <v>4561</v>
      </c>
      <c r="C1738" t="s">
        <v>29</v>
      </c>
      <c r="D1738" t="s">
        <v>50</v>
      </c>
      <c r="E1738" t="s">
        <v>44</v>
      </c>
      <c r="F1738" t="s">
        <v>39</v>
      </c>
      <c r="G1738" t="s">
        <v>22</v>
      </c>
      <c r="I1738" t="s">
        <v>24</v>
      </c>
      <c r="J1738" t="s">
        <v>4316</v>
      </c>
      <c r="K1738" t="s">
        <v>1562</v>
      </c>
      <c r="L1738">
        <v>2</v>
      </c>
      <c r="M1738">
        <v>97000</v>
      </c>
      <c r="N1738">
        <v>2.7</v>
      </c>
      <c r="O1738">
        <v>12</v>
      </c>
      <c r="P1738" t="s">
        <v>53</v>
      </c>
    </row>
    <row r="1739" spans="1:16" x14ac:dyDescent="0.25">
      <c r="A1739" t="s">
        <v>4562</v>
      </c>
      <c r="B1739" t="s">
        <v>4486</v>
      </c>
      <c r="C1739" t="s">
        <v>18</v>
      </c>
      <c r="D1739" t="s">
        <v>43</v>
      </c>
      <c r="E1739" t="s">
        <v>20</v>
      </c>
      <c r="F1739" t="s">
        <v>32</v>
      </c>
      <c r="G1739" t="s">
        <v>22</v>
      </c>
      <c r="H1739" t="s">
        <v>23</v>
      </c>
      <c r="I1739" t="s">
        <v>24</v>
      </c>
      <c r="J1739" t="s">
        <v>2103</v>
      </c>
      <c r="L1739">
        <v>1.9</v>
      </c>
      <c r="M1739">
        <v>213000</v>
      </c>
      <c r="N1739">
        <v>4.7</v>
      </c>
      <c r="O1739">
        <v>23</v>
      </c>
      <c r="P1739" t="s">
        <v>26</v>
      </c>
    </row>
    <row r="1740" spans="1:16" x14ac:dyDescent="0.25">
      <c r="A1740" t="s">
        <v>4563</v>
      </c>
      <c r="B1740" t="s">
        <v>4564</v>
      </c>
      <c r="C1740" t="s">
        <v>29</v>
      </c>
      <c r="D1740" t="s">
        <v>43</v>
      </c>
      <c r="E1740" t="s">
        <v>31</v>
      </c>
      <c r="F1740" t="s">
        <v>21</v>
      </c>
      <c r="G1740" t="s">
        <v>69</v>
      </c>
      <c r="H1740" t="s">
        <v>34</v>
      </c>
      <c r="I1740" t="s">
        <v>57</v>
      </c>
      <c r="J1740" t="s">
        <v>411</v>
      </c>
      <c r="L1740">
        <v>3.1</v>
      </c>
      <c r="M1740">
        <v>651000</v>
      </c>
      <c r="N1740">
        <v>4.9000000000000004</v>
      </c>
      <c r="O1740">
        <v>0</v>
      </c>
      <c r="P1740" t="s">
        <v>26</v>
      </c>
    </row>
    <row r="1741" spans="1:16" x14ac:dyDescent="0.25">
      <c r="A1741" t="s">
        <v>4565</v>
      </c>
      <c r="B1741" t="s">
        <v>4566</v>
      </c>
      <c r="C1741" t="s">
        <v>18</v>
      </c>
      <c r="D1741" t="s">
        <v>50</v>
      </c>
      <c r="E1741" t="s">
        <v>20</v>
      </c>
      <c r="F1741" t="s">
        <v>32</v>
      </c>
      <c r="G1741" t="s">
        <v>22</v>
      </c>
      <c r="H1741" t="s">
        <v>23</v>
      </c>
      <c r="I1741" t="s">
        <v>24</v>
      </c>
      <c r="J1741" t="s">
        <v>4567</v>
      </c>
      <c r="L1741">
        <v>4.2</v>
      </c>
      <c r="M1741">
        <v>226000</v>
      </c>
      <c r="N1741">
        <v>2.8</v>
      </c>
      <c r="O1741">
        <v>14</v>
      </c>
      <c r="P1741" t="s">
        <v>26</v>
      </c>
    </row>
    <row r="1742" spans="1:16" x14ac:dyDescent="0.25">
      <c r="A1742" t="s">
        <v>4568</v>
      </c>
      <c r="B1742" t="s">
        <v>4569</v>
      </c>
      <c r="C1742" t="s">
        <v>29</v>
      </c>
      <c r="D1742" t="s">
        <v>19</v>
      </c>
      <c r="E1742" t="s">
        <v>20</v>
      </c>
      <c r="F1742" t="s">
        <v>32</v>
      </c>
      <c r="G1742" t="s">
        <v>33</v>
      </c>
      <c r="H1742" t="s">
        <v>23</v>
      </c>
      <c r="J1742" t="s">
        <v>1798</v>
      </c>
      <c r="L1742">
        <v>5.3</v>
      </c>
      <c r="M1742">
        <v>260000</v>
      </c>
      <c r="N1742">
        <v>4.2</v>
      </c>
      <c r="O1742">
        <v>6</v>
      </c>
      <c r="P1742" t="s">
        <v>26</v>
      </c>
    </row>
    <row r="1743" spans="1:16" x14ac:dyDescent="0.25">
      <c r="A1743" t="s">
        <v>4570</v>
      </c>
      <c r="B1743" t="s">
        <v>4571</v>
      </c>
      <c r="C1743" t="s">
        <v>18</v>
      </c>
      <c r="D1743" t="s">
        <v>79</v>
      </c>
      <c r="E1743" t="s">
        <v>31</v>
      </c>
      <c r="F1743" t="s">
        <v>32</v>
      </c>
      <c r="G1743" t="s">
        <v>80</v>
      </c>
      <c r="H1743" t="s">
        <v>23</v>
      </c>
      <c r="I1743" t="s">
        <v>24</v>
      </c>
      <c r="J1743" t="s">
        <v>2589</v>
      </c>
      <c r="L1743">
        <v>5.3</v>
      </c>
      <c r="M1743">
        <v>214000</v>
      </c>
      <c r="N1743">
        <v>4.5</v>
      </c>
      <c r="O1743">
        <v>6</v>
      </c>
      <c r="P1743" t="s">
        <v>26</v>
      </c>
    </row>
    <row r="1744" spans="1:16" x14ac:dyDescent="0.25">
      <c r="A1744" t="s">
        <v>4572</v>
      </c>
      <c r="B1744" t="s">
        <v>4573</v>
      </c>
      <c r="C1744" t="s">
        <v>18</v>
      </c>
      <c r="D1744" t="s">
        <v>19</v>
      </c>
      <c r="E1744" t="s">
        <v>44</v>
      </c>
      <c r="F1744" t="s">
        <v>39</v>
      </c>
      <c r="G1744" t="s">
        <v>33</v>
      </c>
      <c r="H1744" t="s">
        <v>23</v>
      </c>
      <c r="I1744" t="s">
        <v>57</v>
      </c>
      <c r="J1744" t="s">
        <v>4319</v>
      </c>
      <c r="L1744">
        <v>3</v>
      </c>
      <c r="M1744">
        <v>170000</v>
      </c>
      <c r="N1744">
        <v>3.1</v>
      </c>
      <c r="O1744">
        <v>1</v>
      </c>
      <c r="P1744" t="s">
        <v>26</v>
      </c>
    </row>
    <row r="1745" spans="1:16" x14ac:dyDescent="0.25">
      <c r="A1745" t="s">
        <v>4574</v>
      </c>
      <c r="B1745" t="s">
        <v>4575</v>
      </c>
      <c r="C1745" t="s">
        <v>18</v>
      </c>
      <c r="D1745" t="s">
        <v>50</v>
      </c>
      <c r="E1745" t="s">
        <v>44</v>
      </c>
      <c r="F1745" t="s">
        <v>32</v>
      </c>
      <c r="G1745" t="s">
        <v>22</v>
      </c>
      <c r="H1745" t="s">
        <v>34</v>
      </c>
      <c r="I1745" t="s">
        <v>57</v>
      </c>
      <c r="J1745" t="s">
        <v>2414</v>
      </c>
      <c r="L1745">
        <v>3.5</v>
      </c>
      <c r="M1745">
        <v>266000</v>
      </c>
      <c r="N1745">
        <v>3.5</v>
      </c>
      <c r="O1745">
        <v>4</v>
      </c>
      <c r="P1745" t="s">
        <v>26</v>
      </c>
    </row>
    <row r="1746" spans="1:16" x14ac:dyDescent="0.25">
      <c r="A1746" t="s">
        <v>4576</v>
      </c>
      <c r="B1746" t="s">
        <v>4577</v>
      </c>
      <c r="C1746" t="s">
        <v>18</v>
      </c>
      <c r="D1746" t="s">
        <v>30</v>
      </c>
      <c r="E1746" t="s">
        <v>44</v>
      </c>
      <c r="F1746" t="s">
        <v>32</v>
      </c>
      <c r="G1746" t="s">
        <v>22</v>
      </c>
      <c r="H1746" t="s">
        <v>23</v>
      </c>
      <c r="I1746" t="s">
        <v>35</v>
      </c>
      <c r="J1746" t="s">
        <v>3390</v>
      </c>
      <c r="K1746" t="s">
        <v>4578</v>
      </c>
      <c r="L1746">
        <v>2.6</v>
      </c>
      <c r="M1746">
        <v>323000</v>
      </c>
      <c r="N1746">
        <v>3.9</v>
      </c>
      <c r="O1746">
        <v>7</v>
      </c>
      <c r="P1746" t="s">
        <v>53</v>
      </c>
    </row>
    <row r="1747" spans="1:16" x14ac:dyDescent="0.25">
      <c r="A1747" t="s">
        <v>4579</v>
      </c>
      <c r="B1747" t="s">
        <v>4580</v>
      </c>
      <c r="C1747" t="s">
        <v>18</v>
      </c>
      <c r="D1747" t="s">
        <v>30</v>
      </c>
      <c r="E1747" t="s">
        <v>20</v>
      </c>
      <c r="F1747" t="s">
        <v>39</v>
      </c>
      <c r="G1747" t="s">
        <v>22</v>
      </c>
      <c r="H1747" t="s">
        <v>34</v>
      </c>
      <c r="I1747" t="s">
        <v>24</v>
      </c>
      <c r="J1747" t="s">
        <v>4281</v>
      </c>
      <c r="K1747" t="s">
        <v>453</v>
      </c>
      <c r="L1747">
        <v>1.7</v>
      </c>
      <c r="M1747">
        <v>157000</v>
      </c>
      <c r="N1747">
        <v>1.9</v>
      </c>
      <c r="O1747">
        <v>38</v>
      </c>
      <c r="P1747" t="s">
        <v>72</v>
      </c>
    </row>
    <row r="1748" spans="1:16" x14ac:dyDescent="0.25">
      <c r="A1748" t="s">
        <v>4581</v>
      </c>
      <c r="B1748" t="s">
        <v>399</v>
      </c>
      <c r="C1748" t="s">
        <v>18</v>
      </c>
      <c r="D1748" t="s">
        <v>50</v>
      </c>
      <c r="E1748" t="s">
        <v>20</v>
      </c>
      <c r="F1748" t="s">
        <v>128</v>
      </c>
      <c r="G1748" t="s">
        <v>22</v>
      </c>
      <c r="H1748" t="s">
        <v>34</v>
      </c>
      <c r="I1748" t="s">
        <v>35</v>
      </c>
      <c r="J1748" t="s">
        <v>4582</v>
      </c>
      <c r="K1748" t="s">
        <v>1479</v>
      </c>
      <c r="L1748">
        <v>6.2</v>
      </c>
      <c r="M1748">
        <v>539000</v>
      </c>
      <c r="O1748">
        <v>10</v>
      </c>
      <c r="P1748" t="s">
        <v>72</v>
      </c>
    </row>
    <row r="1749" spans="1:16" x14ac:dyDescent="0.25">
      <c r="A1749" t="s">
        <v>4583</v>
      </c>
      <c r="B1749" t="s">
        <v>4584</v>
      </c>
      <c r="C1749" t="s">
        <v>29</v>
      </c>
      <c r="D1749" t="s">
        <v>50</v>
      </c>
      <c r="E1749" t="s">
        <v>20</v>
      </c>
      <c r="F1749" t="s">
        <v>32</v>
      </c>
      <c r="G1749" t="s">
        <v>80</v>
      </c>
      <c r="H1749" t="s">
        <v>23</v>
      </c>
      <c r="I1749" t="s">
        <v>24</v>
      </c>
      <c r="J1749" t="s">
        <v>4400</v>
      </c>
      <c r="L1749">
        <v>3.1</v>
      </c>
      <c r="M1749">
        <v>331000</v>
      </c>
      <c r="N1749">
        <v>4.5</v>
      </c>
      <c r="O1749">
        <v>0</v>
      </c>
      <c r="P1749" t="s">
        <v>26</v>
      </c>
    </row>
    <row r="1750" spans="1:16" x14ac:dyDescent="0.25">
      <c r="A1750" t="s">
        <v>4585</v>
      </c>
      <c r="B1750" t="s">
        <v>4564</v>
      </c>
      <c r="C1750" t="s">
        <v>29</v>
      </c>
      <c r="D1750" t="s">
        <v>79</v>
      </c>
      <c r="E1750" t="s">
        <v>44</v>
      </c>
      <c r="F1750" t="s">
        <v>32</v>
      </c>
      <c r="G1750" t="s">
        <v>22</v>
      </c>
      <c r="H1750" t="s">
        <v>23</v>
      </c>
      <c r="I1750" t="s">
        <v>24</v>
      </c>
      <c r="J1750" t="s">
        <v>1842</v>
      </c>
      <c r="L1750">
        <v>3.9</v>
      </c>
      <c r="M1750">
        <v>284000</v>
      </c>
      <c r="N1750">
        <v>4.8</v>
      </c>
      <c r="O1750">
        <v>11</v>
      </c>
      <c r="P1750" t="s">
        <v>26</v>
      </c>
    </row>
    <row r="1751" spans="1:16" x14ac:dyDescent="0.25">
      <c r="A1751" t="s">
        <v>4586</v>
      </c>
      <c r="B1751" t="s">
        <v>1639</v>
      </c>
      <c r="C1751" t="s">
        <v>18</v>
      </c>
      <c r="D1751" t="s">
        <v>30</v>
      </c>
      <c r="E1751" t="s">
        <v>20</v>
      </c>
      <c r="F1751" t="s">
        <v>32</v>
      </c>
      <c r="G1751" t="s">
        <v>80</v>
      </c>
      <c r="H1751" t="s">
        <v>23</v>
      </c>
      <c r="I1751" t="s">
        <v>171</v>
      </c>
      <c r="J1751" t="s">
        <v>4587</v>
      </c>
      <c r="K1751" t="s">
        <v>4588</v>
      </c>
      <c r="L1751">
        <v>1.6</v>
      </c>
      <c r="M1751">
        <v>185000</v>
      </c>
      <c r="N1751">
        <v>2.8</v>
      </c>
      <c r="O1751">
        <v>9</v>
      </c>
      <c r="P1751" t="s">
        <v>72</v>
      </c>
    </row>
    <row r="1752" spans="1:16" x14ac:dyDescent="0.25">
      <c r="A1752" t="s">
        <v>4589</v>
      </c>
      <c r="B1752" t="s">
        <v>3550</v>
      </c>
      <c r="C1752" t="s">
        <v>29</v>
      </c>
      <c r="D1752" t="s">
        <v>50</v>
      </c>
      <c r="E1752" t="s">
        <v>20</v>
      </c>
      <c r="F1752" t="s">
        <v>39</v>
      </c>
      <c r="G1752" t="s">
        <v>22</v>
      </c>
      <c r="H1752" t="s">
        <v>23</v>
      </c>
      <c r="I1752" t="s">
        <v>35</v>
      </c>
      <c r="J1752" t="s">
        <v>858</v>
      </c>
      <c r="L1752">
        <v>2.4</v>
      </c>
      <c r="M1752">
        <v>145000</v>
      </c>
      <c r="N1752">
        <v>2.2000000000000002</v>
      </c>
      <c r="O1752">
        <v>6</v>
      </c>
      <c r="P1752" t="s">
        <v>26</v>
      </c>
    </row>
    <row r="1753" spans="1:16" x14ac:dyDescent="0.25">
      <c r="A1753" t="s">
        <v>4590</v>
      </c>
      <c r="B1753" t="s">
        <v>4591</v>
      </c>
      <c r="C1753" t="s">
        <v>29</v>
      </c>
      <c r="D1753" t="s">
        <v>50</v>
      </c>
      <c r="E1753" t="s">
        <v>20</v>
      </c>
      <c r="F1753" t="s">
        <v>39</v>
      </c>
      <c r="G1753" t="s">
        <v>80</v>
      </c>
      <c r="H1753" t="s">
        <v>62</v>
      </c>
      <c r="I1753" t="s">
        <v>57</v>
      </c>
      <c r="J1753" t="s">
        <v>1803</v>
      </c>
      <c r="L1753">
        <v>5.7</v>
      </c>
      <c r="M1753">
        <v>117000</v>
      </c>
      <c r="N1753">
        <v>2.8</v>
      </c>
      <c r="O1753">
        <v>0</v>
      </c>
      <c r="P1753" t="s">
        <v>26</v>
      </c>
    </row>
    <row r="1754" spans="1:16" x14ac:dyDescent="0.25">
      <c r="A1754" t="s">
        <v>4592</v>
      </c>
      <c r="B1754" t="s">
        <v>4593</v>
      </c>
      <c r="C1754" t="s">
        <v>29</v>
      </c>
      <c r="D1754" t="s">
        <v>50</v>
      </c>
      <c r="E1754" t="s">
        <v>31</v>
      </c>
      <c r="F1754" t="s">
        <v>128</v>
      </c>
      <c r="G1754" t="s">
        <v>69</v>
      </c>
      <c r="H1754" t="s">
        <v>34</v>
      </c>
      <c r="I1754" t="s">
        <v>24</v>
      </c>
      <c r="J1754" t="s">
        <v>235</v>
      </c>
      <c r="L1754">
        <v>2.8</v>
      </c>
      <c r="M1754">
        <v>524000</v>
      </c>
      <c r="N1754">
        <v>4.4000000000000004</v>
      </c>
      <c r="O1754">
        <v>6</v>
      </c>
      <c r="P1754" t="s">
        <v>26</v>
      </c>
    </row>
    <row r="1755" spans="1:16" x14ac:dyDescent="0.25">
      <c r="A1755" t="s">
        <v>4594</v>
      </c>
      <c r="B1755" t="s">
        <v>3052</v>
      </c>
      <c r="C1755" t="s">
        <v>18</v>
      </c>
      <c r="D1755" t="s">
        <v>30</v>
      </c>
      <c r="E1755" t="s">
        <v>44</v>
      </c>
      <c r="F1755" t="s">
        <v>32</v>
      </c>
      <c r="G1755" t="s">
        <v>33</v>
      </c>
      <c r="H1755" t="s">
        <v>23</v>
      </c>
      <c r="I1755" t="s">
        <v>24</v>
      </c>
      <c r="J1755" t="s">
        <v>1251</v>
      </c>
      <c r="K1755" t="s">
        <v>4595</v>
      </c>
      <c r="L1755">
        <v>4.0999999999999996</v>
      </c>
      <c r="M1755">
        <v>345000</v>
      </c>
      <c r="N1755">
        <v>2.4</v>
      </c>
      <c r="O1755">
        <v>7</v>
      </c>
      <c r="P1755" t="s">
        <v>53</v>
      </c>
    </row>
    <row r="1756" spans="1:16" x14ac:dyDescent="0.25">
      <c r="A1756" t="s">
        <v>4596</v>
      </c>
      <c r="B1756" t="s">
        <v>2493</v>
      </c>
      <c r="C1756" t="s">
        <v>18</v>
      </c>
      <c r="D1756" t="s">
        <v>43</v>
      </c>
      <c r="E1756" t="s">
        <v>44</v>
      </c>
      <c r="F1756" t="s">
        <v>32</v>
      </c>
      <c r="G1756" t="s">
        <v>33</v>
      </c>
      <c r="H1756" t="s">
        <v>62</v>
      </c>
      <c r="I1756" t="s">
        <v>35</v>
      </c>
      <c r="J1756" t="s">
        <v>4597</v>
      </c>
      <c r="K1756" t="s">
        <v>4598</v>
      </c>
      <c r="L1756">
        <v>4.5</v>
      </c>
      <c r="N1756">
        <v>4.7</v>
      </c>
      <c r="O1756">
        <v>11</v>
      </c>
      <c r="P1756" t="s">
        <v>114</v>
      </c>
    </row>
    <row r="1757" spans="1:16" x14ac:dyDescent="0.25">
      <c r="A1757" t="s">
        <v>4599</v>
      </c>
      <c r="B1757" t="s">
        <v>4600</v>
      </c>
      <c r="C1757" t="s">
        <v>29</v>
      </c>
      <c r="D1757" t="s">
        <v>30</v>
      </c>
      <c r="E1757" t="s">
        <v>44</v>
      </c>
      <c r="F1757" t="s">
        <v>39</v>
      </c>
      <c r="G1757" t="s">
        <v>22</v>
      </c>
      <c r="H1757" t="s">
        <v>46</v>
      </c>
      <c r="I1757" t="s">
        <v>57</v>
      </c>
      <c r="J1757" t="s">
        <v>1038</v>
      </c>
      <c r="K1757" t="s">
        <v>4601</v>
      </c>
      <c r="L1757">
        <v>3.2</v>
      </c>
      <c r="M1757">
        <v>138000</v>
      </c>
      <c r="N1757">
        <v>3.3</v>
      </c>
      <c r="O1757">
        <v>10</v>
      </c>
      <c r="P1757" t="s">
        <v>53</v>
      </c>
    </row>
    <row r="1758" spans="1:16" x14ac:dyDescent="0.25">
      <c r="A1758" t="s">
        <v>4602</v>
      </c>
      <c r="B1758" t="s">
        <v>1982</v>
      </c>
      <c r="C1758" t="s">
        <v>18</v>
      </c>
      <c r="E1758" t="s">
        <v>20</v>
      </c>
      <c r="F1758" t="s">
        <v>39</v>
      </c>
      <c r="G1758" t="s">
        <v>22</v>
      </c>
      <c r="H1758" t="s">
        <v>23</v>
      </c>
      <c r="I1758" t="s">
        <v>57</v>
      </c>
      <c r="J1758" t="s">
        <v>2433</v>
      </c>
      <c r="L1758">
        <v>3.9</v>
      </c>
      <c r="M1758">
        <v>113000</v>
      </c>
      <c r="N1758">
        <v>4.8</v>
      </c>
      <c r="O1758">
        <v>14</v>
      </c>
      <c r="P1758" t="s">
        <v>26</v>
      </c>
    </row>
    <row r="1759" spans="1:16" x14ac:dyDescent="0.25">
      <c r="A1759" t="s">
        <v>4603</v>
      </c>
      <c r="B1759" t="s">
        <v>4604</v>
      </c>
      <c r="C1759" t="s">
        <v>29</v>
      </c>
      <c r="D1759" t="s">
        <v>50</v>
      </c>
      <c r="E1759" t="s">
        <v>20</v>
      </c>
      <c r="F1759" t="s">
        <v>39</v>
      </c>
      <c r="G1759" t="s">
        <v>22</v>
      </c>
      <c r="H1759" t="s">
        <v>23</v>
      </c>
      <c r="I1759" t="s">
        <v>57</v>
      </c>
      <c r="J1759" t="s">
        <v>4605</v>
      </c>
      <c r="K1759" t="s">
        <v>3581</v>
      </c>
      <c r="L1759">
        <v>1.7</v>
      </c>
      <c r="M1759">
        <v>163000</v>
      </c>
      <c r="N1759">
        <v>4.5</v>
      </c>
      <c r="O1759">
        <v>37</v>
      </c>
      <c r="P1759" t="s">
        <v>53</v>
      </c>
    </row>
    <row r="1760" spans="1:16" x14ac:dyDescent="0.25">
      <c r="A1760" t="s">
        <v>4606</v>
      </c>
      <c r="B1760" t="s">
        <v>440</v>
      </c>
      <c r="C1760" t="s">
        <v>18</v>
      </c>
      <c r="D1760" t="s">
        <v>30</v>
      </c>
      <c r="E1760" t="s">
        <v>44</v>
      </c>
      <c r="F1760" t="s">
        <v>32</v>
      </c>
      <c r="G1760" t="s">
        <v>22</v>
      </c>
      <c r="H1760" t="s">
        <v>34</v>
      </c>
      <c r="I1760" t="s">
        <v>35</v>
      </c>
      <c r="J1760" t="s">
        <v>2686</v>
      </c>
      <c r="K1760" t="s">
        <v>4607</v>
      </c>
      <c r="L1760">
        <v>5.9</v>
      </c>
      <c r="M1760">
        <v>293000</v>
      </c>
      <c r="N1760">
        <v>3.3</v>
      </c>
      <c r="O1760">
        <v>11</v>
      </c>
      <c r="P1760" t="s">
        <v>53</v>
      </c>
    </row>
    <row r="1761" spans="1:16" x14ac:dyDescent="0.25">
      <c r="A1761" t="s">
        <v>4608</v>
      </c>
      <c r="B1761" t="s">
        <v>4609</v>
      </c>
      <c r="C1761" t="s">
        <v>29</v>
      </c>
      <c r="D1761" t="s">
        <v>50</v>
      </c>
      <c r="F1761" t="s">
        <v>128</v>
      </c>
      <c r="G1761" t="s">
        <v>22</v>
      </c>
      <c r="H1761" t="s">
        <v>23</v>
      </c>
      <c r="I1761" t="s">
        <v>24</v>
      </c>
      <c r="J1761" t="s">
        <v>2402</v>
      </c>
      <c r="L1761">
        <v>2</v>
      </c>
      <c r="M1761">
        <v>414000</v>
      </c>
      <c r="N1761">
        <v>2.2999999999999998</v>
      </c>
      <c r="O1761">
        <v>12</v>
      </c>
      <c r="P1761" t="s">
        <v>26</v>
      </c>
    </row>
    <row r="1762" spans="1:16" x14ac:dyDescent="0.25">
      <c r="A1762" t="s">
        <v>4610</v>
      </c>
      <c r="B1762" t="s">
        <v>3263</v>
      </c>
      <c r="C1762" t="s">
        <v>18</v>
      </c>
      <c r="D1762" t="s">
        <v>50</v>
      </c>
      <c r="E1762" t="s">
        <v>20</v>
      </c>
      <c r="F1762" t="s">
        <v>39</v>
      </c>
      <c r="G1762" t="s">
        <v>22</v>
      </c>
      <c r="H1762" t="s">
        <v>46</v>
      </c>
      <c r="I1762" t="s">
        <v>24</v>
      </c>
      <c r="J1762" t="s">
        <v>530</v>
      </c>
      <c r="K1762" t="s">
        <v>4611</v>
      </c>
      <c r="L1762">
        <v>2.1</v>
      </c>
      <c r="M1762">
        <v>169000</v>
      </c>
      <c r="N1762">
        <v>2.1</v>
      </c>
      <c r="O1762">
        <v>4</v>
      </c>
      <c r="P1762" t="s">
        <v>72</v>
      </c>
    </row>
    <row r="1763" spans="1:16" x14ac:dyDescent="0.25">
      <c r="A1763" t="s">
        <v>4612</v>
      </c>
      <c r="B1763" t="s">
        <v>1371</v>
      </c>
      <c r="C1763" t="s">
        <v>29</v>
      </c>
      <c r="D1763" t="s">
        <v>19</v>
      </c>
      <c r="E1763" t="s">
        <v>20</v>
      </c>
      <c r="F1763" t="s">
        <v>32</v>
      </c>
      <c r="G1763" t="s">
        <v>33</v>
      </c>
      <c r="H1763" t="s">
        <v>34</v>
      </c>
      <c r="I1763" t="s">
        <v>57</v>
      </c>
      <c r="J1763" t="s">
        <v>3470</v>
      </c>
      <c r="L1763">
        <v>2.2999999999999998</v>
      </c>
      <c r="M1763">
        <v>385000</v>
      </c>
      <c r="N1763">
        <v>3.2</v>
      </c>
      <c r="O1763">
        <v>13</v>
      </c>
      <c r="P1763" t="s">
        <v>26</v>
      </c>
    </row>
    <row r="1764" spans="1:16" x14ac:dyDescent="0.25">
      <c r="A1764" t="s">
        <v>4613</v>
      </c>
      <c r="B1764" t="s">
        <v>4614</v>
      </c>
      <c r="C1764" t="s">
        <v>18</v>
      </c>
      <c r="D1764" t="s">
        <v>43</v>
      </c>
      <c r="E1764" t="s">
        <v>44</v>
      </c>
      <c r="F1764" t="s">
        <v>128</v>
      </c>
      <c r="G1764" t="s">
        <v>33</v>
      </c>
      <c r="H1764" t="s">
        <v>62</v>
      </c>
      <c r="J1764" t="s">
        <v>442</v>
      </c>
      <c r="L1764">
        <v>1.6</v>
      </c>
      <c r="M1764">
        <v>352000</v>
      </c>
      <c r="N1764">
        <v>2.7</v>
      </c>
      <c r="O1764">
        <v>8</v>
      </c>
      <c r="P1764" t="s">
        <v>26</v>
      </c>
    </row>
    <row r="1765" spans="1:16" x14ac:dyDescent="0.25">
      <c r="A1765" t="s">
        <v>4510</v>
      </c>
      <c r="B1765" t="s">
        <v>4511</v>
      </c>
      <c r="C1765" t="s">
        <v>18</v>
      </c>
      <c r="D1765" t="s">
        <v>30</v>
      </c>
      <c r="E1765" t="s">
        <v>20</v>
      </c>
      <c r="F1765" t="s">
        <v>32</v>
      </c>
      <c r="G1765" t="s">
        <v>80</v>
      </c>
      <c r="H1765" t="s">
        <v>34</v>
      </c>
      <c r="I1765" t="s">
        <v>24</v>
      </c>
      <c r="J1765" t="s">
        <v>3931</v>
      </c>
      <c r="L1765">
        <v>3.1</v>
      </c>
      <c r="M1765">
        <v>333000</v>
      </c>
      <c r="N1765">
        <v>4.4000000000000004</v>
      </c>
      <c r="O1765">
        <v>10</v>
      </c>
      <c r="P1765" t="s">
        <v>26</v>
      </c>
    </row>
    <row r="1766" spans="1:16" x14ac:dyDescent="0.25">
      <c r="A1766" t="s">
        <v>4615</v>
      </c>
      <c r="B1766" t="s">
        <v>1737</v>
      </c>
      <c r="C1766" t="s">
        <v>18</v>
      </c>
      <c r="D1766" t="s">
        <v>43</v>
      </c>
      <c r="E1766" t="s">
        <v>20</v>
      </c>
      <c r="F1766" t="s">
        <v>39</v>
      </c>
      <c r="G1766" t="s">
        <v>22</v>
      </c>
      <c r="H1766" t="s">
        <v>62</v>
      </c>
      <c r="I1766" t="s">
        <v>57</v>
      </c>
      <c r="J1766" t="s">
        <v>1629</v>
      </c>
      <c r="L1766">
        <v>3.8</v>
      </c>
      <c r="M1766">
        <v>97000</v>
      </c>
      <c r="N1766">
        <v>3.4</v>
      </c>
      <c r="O1766">
        <v>7</v>
      </c>
      <c r="P1766" t="s">
        <v>26</v>
      </c>
    </row>
    <row r="1767" spans="1:16" x14ac:dyDescent="0.25">
      <c r="A1767" t="s">
        <v>4616</v>
      </c>
      <c r="B1767" t="s">
        <v>4617</v>
      </c>
      <c r="C1767" t="s">
        <v>29</v>
      </c>
      <c r="D1767" t="s">
        <v>79</v>
      </c>
      <c r="E1767" t="s">
        <v>20</v>
      </c>
      <c r="F1767" t="s">
        <v>32</v>
      </c>
      <c r="G1767" t="s">
        <v>33</v>
      </c>
      <c r="H1767" t="s">
        <v>34</v>
      </c>
      <c r="I1767" t="s">
        <v>35</v>
      </c>
      <c r="J1767" t="s">
        <v>4108</v>
      </c>
      <c r="L1767">
        <v>3.8</v>
      </c>
      <c r="M1767">
        <v>233000</v>
      </c>
      <c r="N1767">
        <v>2.4</v>
      </c>
      <c r="O1767">
        <v>1</v>
      </c>
      <c r="P1767" t="s">
        <v>26</v>
      </c>
    </row>
    <row r="1768" spans="1:16" x14ac:dyDescent="0.25">
      <c r="A1768" t="s">
        <v>4618</v>
      </c>
      <c r="B1768" t="s">
        <v>4619</v>
      </c>
      <c r="C1768" t="s">
        <v>18</v>
      </c>
      <c r="D1768" t="s">
        <v>30</v>
      </c>
      <c r="E1768" t="s">
        <v>20</v>
      </c>
      <c r="F1768" t="s">
        <v>39</v>
      </c>
      <c r="G1768" t="s">
        <v>80</v>
      </c>
      <c r="H1768" t="s">
        <v>23</v>
      </c>
      <c r="I1768" t="s">
        <v>24</v>
      </c>
      <c r="J1768" t="s">
        <v>1709</v>
      </c>
      <c r="K1768" t="s">
        <v>216</v>
      </c>
      <c r="L1768">
        <v>5</v>
      </c>
      <c r="M1768">
        <v>86000</v>
      </c>
      <c r="N1768">
        <v>2.9</v>
      </c>
      <c r="O1768">
        <v>4</v>
      </c>
      <c r="P1768" t="s">
        <v>53</v>
      </c>
    </row>
    <row r="1769" spans="1:16" x14ac:dyDescent="0.25">
      <c r="A1769" t="s">
        <v>4620</v>
      </c>
      <c r="B1769" t="s">
        <v>4621</v>
      </c>
      <c r="C1769" t="s">
        <v>18</v>
      </c>
      <c r="D1769" t="s">
        <v>79</v>
      </c>
      <c r="E1769" t="s">
        <v>31</v>
      </c>
      <c r="G1769" t="s">
        <v>80</v>
      </c>
      <c r="H1769" t="s">
        <v>34</v>
      </c>
      <c r="I1769" t="s">
        <v>35</v>
      </c>
      <c r="J1769" t="s">
        <v>630</v>
      </c>
      <c r="L1769">
        <v>4.7</v>
      </c>
      <c r="M1769">
        <v>957000</v>
      </c>
      <c r="N1769">
        <v>4.0999999999999996</v>
      </c>
      <c r="O1769">
        <v>13</v>
      </c>
      <c r="P1769" t="s">
        <v>26</v>
      </c>
    </row>
    <row r="1770" spans="1:16" x14ac:dyDescent="0.25">
      <c r="A1770" t="s">
        <v>4622</v>
      </c>
      <c r="B1770" t="s">
        <v>2485</v>
      </c>
      <c r="C1770" t="s">
        <v>18</v>
      </c>
      <c r="D1770" t="s">
        <v>30</v>
      </c>
      <c r="E1770" t="s">
        <v>20</v>
      </c>
      <c r="F1770" t="s">
        <v>32</v>
      </c>
      <c r="G1770" t="s">
        <v>22</v>
      </c>
      <c r="H1770" t="s">
        <v>23</v>
      </c>
      <c r="I1770" t="s">
        <v>24</v>
      </c>
      <c r="J1770" t="s">
        <v>533</v>
      </c>
      <c r="L1770">
        <v>3.1</v>
      </c>
      <c r="M1770">
        <v>225000</v>
      </c>
      <c r="N1770">
        <v>1.8</v>
      </c>
      <c r="O1770">
        <v>0</v>
      </c>
      <c r="P1770" t="s">
        <v>26</v>
      </c>
    </row>
    <row r="1771" spans="1:16" x14ac:dyDescent="0.25">
      <c r="A1771" t="s">
        <v>4623</v>
      </c>
      <c r="B1771" t="s">
        <v>3147</v>
      </c>
      <c r="D1771" t="s">
        <v>50</v>
      </c>
      <c r="E1771" t="s">
        <v>44</v>
      </c>
      <c r="G1771" t="s">
        <v>80</v>
      </c>
      <c r="H1771" t="s">
        <v>46</v>
      </c>
      <c r="I1771" t="s">
        <v>57</v>
      </c>
      <c r="J1771" t="s">
        <v>4624</v>
      </c>
      <c r="K1771" t="s">
        <v>4625</v>
      </c>
      <c r="L1771">
        <v>4.2</v>
      </c>
      <c r="M1771">
        <v>741000</v>
      </c>
      <c r="N1771">
        <v>4.0999999999999996</v>
      </c>
      <c r="O1771">
        <v>8</v>
      </c>
      <c r="P1771" t="s">
        <v>72</v>
      </c>
    </row>
    <row r="1772" spans="1:16" x14ac:dyDescent="0.25">
      <c r="A1772" t="s">
        <v>4626</v>
      </c>
      <c r="B1772" t="s">
        <v>4627</v>
      </c>
      <c r="C1772" t="s">
        <v>18</v>
      </c>
      <c r="D1772" t="s">
        <v>50</v>
      </c>
      <c r="E1772" t="s">
        <v>20</v>
      </c>
      <c r="F1772" t="s">
        <v>32</v>
      </c>
      <c r="G1772" t="s">
        <v>69</v>
      </c>
      <c r="H1772" t="s">
        <v>34</v>
      </c>
      <c r="I1772" t="s">
        <v>35</v>
      </c>
      <c r="J1772" t="s">
        <v>1243</v>
      </c>
      <c r="K1772" t="s">
        <v>4628</v>
      </c>
      <c r="L1772">
        <v>1.8</v>
      </c>
      <c r="N1772">
        <v>3.8</v>
      </c>
      <c r="O1772">
        <v>8</v>
      </c>
      <c r="P1772" t="s">
        <v>53</v>
      </c>
    </row>
    <row r="1773" spans="1:16" x14ac:dyDescent="0.25">
      <c r="A1773" t="s">
        <v>4629</v>
      </c>
      <c r="B1773" t="s">
        <v>4630</v>
      </c>
      <c r="C1773" t="s">
        <v>18</v>
      </c>
      <c r="D1773" t="s">
        <v>79</v>
      </c>
      <c r="E1773" t="s">
        <v>20</v>
      </c>
      <c r="F1773" t="s">
        <v>21</v>
      </c>
      <c r="G1773" t="s">
        <v>22</v>
      </c>
      <c r="H1773" t="s">
        <v>46</v>
      </c>
      <c r="I1773" t="s">
        <v>75</v>
      </c>
      <c r="J1773" t="s">
        <v>4631</v>
      </c>
      <c r="L1773">
        <v>3.6</v>
      </c>
      <c r="M1773">
        <v>705000</v>
      </c>
      <c r="N1773">
        <v>4.5</v>
      </c>
      <c r="O1773">
        <v>8</v>
      </c>
      <c r="P1773" t="s">
        <v>26</v>
      </c>
    </row>
    <row r="1774" spans="1:16" x14ac:dyDescent="0.25">
      <c r="A1774" t="s">
        <v>4632</v>
      </c>
      <c r="B1774" t="s">
        <v>4633</v>
      </c>
      <c r="C1774" t="s">
        <v>18</v>
      </c>
      <c r="E1774" t="s">
        <v>20</v>
      </c>
      <c r="F1774" t="s">
        <v>39</v>
      </c>
      <c r="G1774" t="s">
        <v>33</v>
      </c>
      <c r="H1774" t="s">
        <v>23</v>
      </c>
      <c r="J1774" t="s">
        <v>2870</v>
      </c>
      <c r="L1774">
        <v>3.2</v>
      </c>
      <c r="M1774">
        <v>86000</v>
      </c>
      <c r="N1774">
        <v>3.4</v>
      </c>
      <c r="O1774">
        <v>34</v>
      </c>
      <c r="P1774" t="s">
        <v>26</v>
      </c>
    </row>
    <row r="1775" spans="1:16" x14ac:dyDescent="0.25">
      <c r="A1775" t="s">
        <v>4634</v>
      </c>
      <c r="B1775" t="s">
        <v>3287</v>
      </c>
      <c r="C1775" t="s">
        <v>18</v>
      </c>
      <c r="D1775" t="s">
        <v>79</v>
      </c>
      <c r="E1775" t="s">
        <v>44</v>
      </c>
      <c r="F1775" t="s">
        <v>128</v>
      </c>
      <c r="G1775" t="s">
        <v>22</v>
      </c>
      <c r="H1775" t="s">
        <v>23</v>
      </c>
      <c r="I1775" t="s">
        <v>24</v>
      </c>
      <c r="J1775" t="s">
        <v>4635</v>
      </c>
      <c r="K1775" t="s">
        <v>2447</v>
      </c>
      <c r="L1775">
        <v>4.4000000000000004</v>
      </c>
      <c r="M1775">
        <v>359000</v>
      </c>
      <c r="N1775">
        <v>4</v>
      </c>
      <c r="O1775">
        <v>8</v>
      </c>
      <c r="P1775" t="s">
        <v>72</v>
      </c>
    </row>
    <row r="1776" spans="1:16" x14ac:dyDescent="0.25">
      <c r="A1776" t="s">
        <v>4636</v>
      </c>
      <c r="B1776" t="s">
        <v>368</v>
      </c>
      <c r="C1776" t="s">
        <v>29</v>
      </c>
      <c r="D1776" t="s">
        <v>43</v>
      </c>
      <c r="E1776" t="s">
        <v>44</v>
      </c>
      <c r="G1776" t="s">
        <v>22</v>
      </c>
      <c r="I1776" t="s">
        <v>24</v>
      </c>
      <c r="J1776" t="s">
        <v>4637</v>
      </c>
      <c r="L1776">
        <v>5.5</v>
      </c>
      <c r="M1776">
        <v>180000</v>
      </c>
      <c r="N1776">
        <v>2.2999999999999998</v>
      </c>
      <c r="O1776">
        <v>12</v>
      </c>
      <c r="P1776" t="s">
        <v>26</v>
      </c>
    </row>
    <row r="1777" spans="1:16" x14ac:dyDescent="0.25">
      <c r="A1777" t="s">
        <v>4638</v>
      </c>
      <c r="B1777" t="s">
        <v>4639</v>
      </c>
      <c r="C1777" t="s">
        <v>29</v>
      </c>
      <c r="D1777" t="s">
        <v>19</v>
      </c>
      <c r="E1777" t="s">
        <v>20</v>
      </c>
      <c r="G1777" t="s">
        <v>22</v>
      </c>
      <c r="H1777" t="s">
        <v>34</v>
      </c>
      <c r="I1777" t="s">
        <v>24</v>
      </c>
      <c r="J1777" t="s">
        <v>3264</v>
      </c>
      <c r="L1777">
        <v>2.7</v>
      </c>
      <c r="N1777">
        <v>4.3</v>
      </c>
      <c r="O1777">
        <v>9</v>
      </c>
      <c r="P1777" t="s">
        <v>26</v>
      </c>
    </row>
    <row r="1778" spans="1:16" x14ac:dyDescent="0.25">
      <c r="A1778" t="s">
        <v>4640</v>
      </c>
      <c r="B1778" t="s">
        <v>4641</v>
      </c>
      <c r="C1778" t="s">
        <v>18</v>
      </c>
      <c r="D1778" t="s">
        <v>30</v>
      </c>
      <c r="E1778" t="s">
        <v>20</v>
      </c>
      <c r="F1778" t="s">
        <v>39</v>
      </c>
      <c r="G1778" t="s">
        <v>80</v>
      </c>
      <c r="H1778" t="s">
        <v>62</v>
      </c>
      <c r="I1778" t="s">
        <v>171</v>
      </c>
      <c r="J1778" t="s">
        <v>4642</v>
      </c>
      <c r="L1778">
        <v>4.0999999999999996</v>
      </c>
      <c r="M1778">
        <v>153000</v>
      </c>
      <c r="N1778">
        <v>3.5</v>
      </c>
      <c r="O1778">
        <v>2</v>
      </c>
      <c r="P1778" t="s">
        <v>26</v>
      </c>
    </row>
    <row r="1779" spans="1:16" x14ac:dyDescent="0.25">
      <c r="A1779" t="s">
        <v>4643</v>
      </c>
      <c r="B1779" t="s">
        <v>4644</v>
      </c>
      <c r="C1779" t="s">
        <v>18</v>
      </c>
      <c r="D1779" t="s">
        <v>30</v>
      </c>
      <c r="E1779" t="s">
        <v>20</v>
      </c>
      <c r="F1779" t="s">
        <v>32</v>
      </c>
      <c r="G1779" t="s">
        <v>22</v>
      </c>
      <c r="I1779" t="s">
        <v>57</v>
      </c>
      <c r="J1779" t="s">
        <v>2287</v>
      </c>
      <c r="L1779">
        <v>2.6</v>
      </c>
      <c r="M1779">
        <v>199000</v>
      </c>
      <c r="N1779">
        <v>3.1</v>
      </c>
      <c r="O1779">
        <v>11</v>
      </c>
      <c r="P1779" t="s">
        <v>26</v>
      </c>
    </row>
    <row r="1780" spans="1:16" x14ac:dyDescent="0.25">
      <c r="A1780" t="s">
        <v>4645</v>
      </c>
      <c r="B1780" t="s">
        <v>4646</v>
      </c>
      <c r="C1780" t="s">
        <v>29</v>
      </c>
      <c r="D1780" t="s">
        <v>43</v>
      </c>
      <c r="F1780" t="s">
        <v>128</v>
      </c>
      <c r="G1780" t="s">
        <v>22</v>
      </c>
      <c r="H1780" t="s">
        <v>62</v>
      </c>
      <c r="I1780" t="s">
        <v>57</v>
      </c>
      <c r="J1780" t="s">
        <v>1583</v>
      </c>
      <c r="L1780">
        <v>2.2000000000000002</v>
      </c>
      <c r="M1780">
        <v>497000</v>
      </c>
      <c r="N1780">
        <v>4.4000000000000004</v>
      </c>
      <c r="O1780">
        <v>10</v>
      </c>
      <c r="P1780" t="s">
        <v>26</v>
      </c>
    </row>
    <row r="1781" spans="1:16" x14ac:dyDescent="0.25">
      <c r="A1781" t="s">
        <v>4647</v>
      </c>
      <c r="B1781" t="s">
        <v>1417</v>
      </c>
      <c r="C1781" t="s">
        <v>18</v>
      </c>
      <c r="D1781" t="s">
        <v>79</v>
      </c>
      <c r="E1781" t="s">
        <v>31</v>
      </c>
      <c r="F1781" t="s">
        <v>32</v>
      </c>
      <c r="G1781" t="s">
        <v>69</v>
      </c>
      <c r="H1781" t="s">
        <v>46</v>
      </c>
      <c r="I1781" t="s">
        <v>24</v>
      </c>
      <c r="J1781" t="s">
        <v>1015</v>
      </c>
      <c r="K1781" t="s">
        <v>4648</v>
      </c>
      <c r="L1781">
        <v>1.4</v>
      </c>
      <c r="M1781">
        <v>323000</v>
      </c>
      <c r="N1781">
        <v>3.3</v>
      </c>
      <c r="O1781">
        <v>3</v>
      </c>
      <c r="P1781" t="s">
        <v>72</v>
      </c>
    </row>
    <row r="1782" spans="1:16" x14ac:dyDescent="0.25">
      <c r="A1782" t="s">
        <v>4649</v>
      </c>
      <c r="B1782" t="s">
        <v>4650</v>
      </c>
      <c r="C1782" t="s">
        <v>18</v>
      </c>
      <c r="D1782" t="s">
        <v>19</v>
      </c>
      <c r="E1782" t="s">
        <v>31</v>
      </c>
      <c r="F1782" t="s">
        <v>32</v>
      </c>
      <c r="G1782" t="s">
        <v>22</v>
      </c>
      <c r="H1782" t="s">
        <v>62</v>
      </c>
      <c r="I1782" t="s">
        <v>24</v>
      </c>
      <c r="J1782" t="s">
        <v>4651</v>
      </c>
      <c r="K1782" t="s">
        <v>1610</v>
      </c>
      <c r="L1782">
        <v>2.1</v>
      </c>
      <c r="M1782">
        <v>341000</v>
      </c>
      <c r="N1782">
        <v>2.4</v>
      </c>
      <c r="O1782">
        <v>3</v>
      </c>
      <c r="P1782" t="s">
        <v>53</v>
      </c>
    </row>
    <row r="1783" spans="1:16" x14ac:dyDescent="0.25">
      <c r="A1783" t="s">
        <v>4652</v>
      </c>
      <c r="B1783" t="s">
        <v>666</v>
      </c>
      <c r="C1783" t="s">
        <v>18</v>
      </c>
      <c r="D1783" t="s">
        <v>50</v>
      </c>
      <c r="E1783" t="s">
        <v>44</v>
      </c>
      <c r="F1783" t="s">
        <v>32</v>
      </c>
      <c r="G1783" t="s">
        <v>22</v>
      </c>
      <c r="H1783" t="s">
        <v>34</v>
      </c>
      <c r="I1783" t="s">
        <v>57</v>
      </c>
      <c r="J1783" t="s">
        <v>4653</v>
      </c>
      <c r="L1783">
        <v>5.9</v>
      </c>
      <c r="M1783">
        <v>320000</v>
      </c>
      <c r="N1783">
        <v>2.4</v>
      </c>
      <c r="O1783">
        <v>5</v>
      </c>
      <c r="P1783" t="s">
        <v>26</v>
      </c>
    </row>
    <row r="1784" spans="1:16" x14ac:dyDescent="0.25">
      <c r="A1784" t="s">
        <v>4654</v>
      </c>
      <c r="B1784" t="s">
        <v>4655</v>
      </c>
      <c r="C1784" t="s">
        <v>29</v>
      </c>
      <c r="D1784" t="s">
        <v>30</v>
      </c>
      <c r="E1784" t="s">
        <v>20</v>
      </c>
      <c r="F1784" t="s">
        <v>32</v>
      </c>
      <c r="G1784" t="s">
        <v>80</v>
      </c>
      <c r="H1784" t="s">
        <v>62</v>
      </c>
      <c r="I1784" t="s">
        <v>24</v>
      </c>
      <c r="J1784" t="s">
        <v>1439</v>
      </c>
      <c r="L1784">
        <v>1.8</v>
      </c>
      <c r="M1784">
        <v>243000</v>
      </c>
      <c r="N1784">
        <v>2</v>
      </c>
      <c r="O1784">
        <v>7</v>
      </c>
      <c r="P1784" t="s">
        <v>26</v>
      </c>
    </row>
    <row r="1785" spans="1:16" x14ac:dyDescent="0.25">
      <c r="A1785" t="s">
        <v>4656</v>
      </c>
      <c r="B1785" t="s">
        <v>4657</v>
      </c>
      <c r="C1785" t="s">
        <v>29</v>
      </c>
      <c r="D1785" t="s">
        <v>19</v>
      </c>
      <c r="E1785" t="s">
        <v>20</v>
      </c>
      <c r="F1785" t="s">
        <v>32</v>
      </c>
      <c r="G1785" t="s">
        <v>80</v>
      </c>
      <c r="H1785" t="s">
        <v>34</v>
      </c>
      <c r="I1785" t="s">
        <v>24</v>
      </c>
      <c r="J1785" t="s">
        <v>4658</v>
      </c>
      <c r="K1785" t="s">
        <v>3860</v>
      </c>
      <c r="L1785">
        <v>5.3</v>
      </c>
      <c r="M1785">
        <v>314000</v>
      </c>
      <c r="N1785">
        <v>2.1</v>
      </c>
      <c r="O1785">
        <v>23</v>
      </c>
      <c r="P1785" t="s">
        <v>72</v>
      </c>
    </row>
    <row r="1786" spans="1:16" x14ac:dyDescent="0.25">
      <c r="A1786" t="s">
        <v>4659</v>
      </c>
      <c r="B1786" t="s">
        <v>3911</v>
      </c>
      <c r="C1786" t="s">
        <v>18</v>
      </c>
      <c r="E1786" t="s">
        <v>44</v>
      </c>
      <c r="F1786" t="s">
        <v>39</v>
      </c>
      <c r="G1786" t="s">
        <v>22</v>
      </c>
      <c r="H1786" t="s">
        <v>46</v>
      </c>
      <c r="I1786" t="s">
        <v>35</v>
      </c>
      <c r="J1786" t="s">
        <v>135</v>
      </c>
      <c r="L1786">
        <v>4.2</v>
      </c>
      <c r="M1786">
        <v>131000</v>
      </c>
      <c r="N1786">
        <v>4.5</v>
      </c>
      <c r="O1786">
        <v>6</v>
      </c>
      <c r="P1786" t="s">
        <v>26</v>
      </c>
    </row>
    <row r="1787" spans="1:16" x14ac:dyDescent="0.25">
      <c r="A1787" t="s">
        <v>4660</v>
      </c>
      <c r="B1787" t="s">
        <v>4661</v>
      </c>
      <c r="C1787" t="s">
        <v>29</v>
      </c>
      <c r="D1787" t="s">
        <v>2782</v>
      </c>
      <c r="E1787" t="s">
        <v>20</v>
      </c>
      <c r="F1787" t="s">
        <v>128</v>
      </c>
      <c r="G1787" t="s">
        <v>80</v>
      </c>
      <c r="H1787" t="s">
        <v>34</v>
      </c>
      <c r="I1787" t="s">
        <v>35</v>
      </c>
      <c r="J1787" t="s">
        <v>2031</v>
      </c>
      <c r="L1787">
        <v>4.2</v>
      </c>
      <c r="M1787">
        <v>501000</v>
      </c>
      <c r="N1787">
        <v>4.3</v>
      </c>
      <c r="O1787">
        <v>12</v>
      </c>
      <c r="P1787" t="s">
        <v>26</v>
      </c>
    </row>
    <row r="1788" spans="1:16" x14ac:dyDescent="0.25">
      <c r="A1788" t="s">
        <v>4662</v>
      </c>
      <c r="B1788" t="s">
        <v>4663</v>
      </c>
      <c r="C1788" t="s">
        <v>18</v>
      </c>
      <c r="D1788" t="s">
        <v>30</v>
      </c>
      <c r="E1788" t="s">
        <v>20</v>
      </c>
      <c r="F1788" t="s">
        <v>39</v>
      </c>
      <c r="G1788" t="s">
        <v>80</v>
      </c>
      <c r="H1788" t="s">
        <v>34</v>
      </c>
      <c r="I1788" t="s">
        <v>24</v>
      </c>
      <c r="J1788" t="s">
        <v>2200</v>
      </c>
      <c r="L1788">
        <v>1.8</v>
      </c>
      <c r="M1788">
        <v>87000</v>
      </c>
      <c r="N1788">
        <v>2.1</v>
      </c>
      <c r="O1788">
        <v>3</v>
      </c>
      <c r="P1788" t="s">
        <v>26</v>
      </c>
    </row>
    <row r="1789" spans="1:16" x14ac:dyDescent="0.25">
      <c r="A1789" t="s">
        <v>4664</v>
      </c>
      <c r="B1789" t="s">
        <v>3155</v>
      </c>
      <c r="C1789" t="s">
        <v>18</v>
      </c>
      <c r="D1789" t="s">
        <v>30</v>
      </c>
      <c r="E1789" t="s">
        <v>20</v>
      </c>
      <c r="F1789" t="s">
        <v>39</v>
      </c>
      <c r="G1789" t="s">
        <v>22</v>
      </c>
      <c r="H1789" t="s">
        <v>23</v>
      </c>
      <c r="I1789" t="s">
        <v>57</v>
      </c>
      <c r="J1789" t="s">
        <v>4665</v>
      </c>
      <c r="L1789">
        <v>4.2</v>
      </c>
      <c r="M1789">
        <v>160000</v>
      </c>
      <c r="N1789">
        <v>2.8</v>
      </c>
      <c r="O1789">
        <v>4</v>
      </c>
      <c r="P1789" t="s">
        <v>26</v>
      </c>
    </row>
    <row r="1790" spans="1:16" x14ac:dyDescent="0.25">
      <c r="A1790" t="s">
        <v>4666</v>
      </c>
      <c r="B1790" t="s">
        <v>440</v>
      </c>
      <c r="C1790" t="s">
        <v>18</v>
      </c>
      <c r="D1790" t="s">
        <v>19</v>
      </c>
      <c r="E1790" t="s">
        <v>20</v>
      </c>
      <c r="F1790" t="s">
        <v>39</v>
      </c>
      <c r="G1790" t="s">
        <v>22</v>
      </c>
      <c r="H1790" t="s">
        <v>23</v>
      </c>
      <c r="I1790" t="s">
        <v>24</v>
      </c>
      <c r="J1790" t="s">
        <v>2453</v>
      </c>
      <c r="K1790" t="s">
        <v>3548</v>
      </c>
      <c r="L1790">
        <v>1.5</v>
      </c>
      <c r="M1790">
        <v>192000</v>
      </c>
      <c r="N1790">
        <v>2.8</v>
      </c>
      <c r="O1790">
        <v>5</v>
      </c>
      <c r="P1790" t="s">
        <v>72</v>
      </c>
    </row>
    <row r="1791" spans="1:16" x14ac:dyDescent="0.25">
      <c r="A1791" t="s">
        <v>1211</v>
      </c>
      <c r="B1791" t="s">
        <v>1212</v>
      </c>
      <c r="C1791" t="s">
        <v>29</v>
      </c>
      <c r="D1791" t="s">
        <v>19</v>
      </c>
      <c r="E1791" t="s">
        <v>44</v>
      </c>
      <c r="F1791" t="s">
        <v>128</v>
      </c>
      <c r="G1791" t="s">
        <v>33</v>
      </c>
      <c r="H1791" t="s">
        <v>62</v>
      </c>
      <c r="I1791" t="s">
        <v>57</v>
      </c>
      <c r="J1791" t="s">
        <v>1213</v>
      </c>
      <c r="L1791">
        <v>5.5</v>
      </c>
      <c r="M1791">
        <v>463000</v>
      </c>
      <c r="N1791">
        <v>3.8</v>
      </c>
      <c r="O1791">
        <v>10</v>
      </c>
      <c r="P1791" t="s">
        <v>26</v>
      </c>
    </row>
    <row r="1792" spans="1:16" x14ac:dyDescent="0.25">
      <c r="A1792" t="s">
        <v>4667</v>
      </c>
      <c r="B1792" t="s">
        <v>3608</v>
      </c>
      <c r="C1792" t="s">
        <v>18</v>
      </c>
      <c r="D1792" t="s">
        <v>19</v>
      </c>
      <c r="E1792" t="s">
        <v>20</v>
      </c>
      <c r="F1792" t="s">
        <v>128</v>
      </c>
      <c r="G1792" t="s">
        <v>22</v>
      </c>
      <c r="H1792" t="s">
        <v>46</v>
      </c>
      <c r="I1792" t="s">
        <v>24</v>
      </c>
      <c r="J1792" t="s">
        <v>4668</v>
      </c>
      <c r="K1792" t="s">
        <v>2453</v>
      </c>
      <c r="L1792">
        <v>2.2000000000000002</v>
      </c>
      <c r="M1792">
        <v>598000</v>
      </c>
      <c r="N1792">
        <v>3.4</v>
      </c>
      <c r="O1792">
        <v>2</v>
      </c>
      <c r="P1792" t="s">
        <v>72</v>
      </c>
    </row>
    <row r="1793" spans="1:16" x14ac:dyDescent="0.25">
      <c r="A1793" t="s">
        <v>4669</v>
      </c>
      <c r="B1793" t="s">
        <v>4670</v>
      </c>
      <c r="C1793" t="s">
        <v>18</v>
      </c>
      <c r="D1793" t="s">
        <v>30</v>
      </c>
      <c r="E1793" t="s">
        <v>20</v>
      </c>
      <c r="F1793" t="s">
        <v>128</v>
      </c>
      <c r="G1793" t="s">
        <v>22</v>
      </c>
      <c r="H1793" t="s">
        <v>23</v>
      </c>
      <c r="I1793" t="s">
        <v>24</v>
      </c>
      <c r="J1793" t="s">
        <v>1970</v>
      </c>
      <c r="L1793">
        <v>6.1</v>
      </c>
      <c r="M1793">
        <v>355000</v>
      </c>
      <c r="N1793">
        <v>3.2</v>
      </c>
      <c r="O1793">
        <v>8</v>
      </c>
      <c r="P1793" t="s">
        <v>26</v>
      </c>
    </row>
    <row r="1794" spans="1:16" x14ac:dyDescent="0.25">
      <c r="A1794" t="s">
        <v>4671</v>
      </c>
      <c r="B1794" t="s">
        <v>4672</v>
      </c>
      <c r="C1794" t="s">
        <v>18</v>
      </c>
      <c r="D1794" t="s">
        <v>43</v>
      </c>
      <c r="E1794" t="s">
        <v>31</v>
      </c>
      <c r="F1794" t="s">
        <v>32</v>
      </c>
      <c r="G1794" t="s">
        <v>33</v>
      </c>
      <c r="H1794" t="s">
        <v>23</v>
      </c>
      <c r="I1794" t="s">
        <v>57</v>
      </c>
      <c r="J1794" t="s">
        <v>1203</v>
      </c>
      <c r="L1794">
        <v>4.4000000000000004</v>
      </c>
      <c r="M1794">
        <v>298000</v>
      </c>
      <c r="N1794">
        <v>2.5</v>
      </c>
      <c r="O1794">
        <v>29</v>
      </c>
      <c r="P1794" t="s">
        <v>26</v>
      </c>
    </row>
    <row r="1795" spans="1:16" x14ac:dyDescent="0.25">
      <c r="A1795" t="s">
        <v>4673</v>
      </c>
      <c r="B1795" t="s">
        <v>4674</v>
      </c>
      <c r="C1795" t="s">
        <v>18</v>
      </c>
      <c r="D1795" t="s">
        <v>50</v>
      </c>
      <c r="E1795" t="s">
        <v>44</v>
      </c>
      <c r="F1795" t="s">
        <v>32</v>
      </c>
      <c r="G1795" t="s">
        <v>33</v>
      </c>
      <c r="H1795" t="s">
        <v>23</v>
      </c>
      <c r="I1795" t="s">
        <v>57</v>
      </c>
      <c r="J1795" t="s">
        <v>2094</v>
      </c>
      <c r="K1795" t="s">
        <v>542</v>
      </c>
      <c r="L1795">
        <v>4.4000000000000004</v>
      </c>
      <c r="M1795">
        <v>222000</v>
      </c>
      <c r="N1795">
        <v>3.9</v>
      </c>
      <c r="O1795">
        <v>2</v>
      </c>
      <c r="P1795" t="s">
        <v>53</v>
      </c>
    </row>
    <row r="1796" spans="1:16" x14ac:dyDescent="0.25">
      <c r="A1796" t="s">
        <v>4675</v>
      </c>
      <c r="B1796" t="s">
        <v>4676</v>
      </c>
      <c r="C1796" t="s">
        <v>29</v>
      </c>
      <c r="D1796" t="s">
        <v>79</v>
      </c>
      <c r="E1796" t="s">
        <v>44</v>
      </c>
      <c r="F1796" t="s">
        <v>32</v>
      </c>
      <c r="G1796" t="s">
        <v>22</v>
      </c>
      <c r="H1796" t="s">
        <v>23</v>
      </c>
      <c r="I1796" t="s">
        <v>35</v>
      </c>
      <c r="J1796" t="s">
        <v>3919</v>
      </c>
      <c r="K1796" t="s">
        <v>2440</v>
      </c>
      <c r="L1796">
        <v>5.2</v>
      </c>
      <c r="M1796">
        <v>230000</v>
      </c>
      <c r="N1796">
        <v>3.4</v>
      </c>
      <c r="O1796">
        <v>11</v>
      </c>
      <c r="P1796" t="s">
        <v>53</v>
      </c>
    </row>
    <row r="1797" spans="1:16" x14ac:dyDescent="0.25">
      <c r="A1797" t="s">
        <v>4677</v>
      </c>
      <c r="B1797" t="s">
        <v>4678</v>
      </c>
      <c r="C1797" t="s">
        <v>29</v>
      </c>
      <c r="D1797" t="s">
        <v>79</v>
      </c>
      <c r="E1797" t="s">
        <v>20</v>
      </c>
      <c r="F1797" t="s">
        <v>32</v>
      </c>
      <c r="G1797" t="s">
        <v>80</v>
      </c>
      <c r="H1797" t="s">
        <v>46</v>
      </c>
      <c r="I1797" t="s">
        <v>24</v>
      </c>
      <c r="J1797" t="s">
        <v>2143</v>
      </c>
      <c r="L1797">
        <v>6.1</v>
      </c>
      <c r="M1797">
        <v>318000</v>
      </c>
      <c r="O1797">
        <v>0</v>
      </c>
      <c r="P1797" t="s">
        <v>26</v>
      </c>
    </row>
    <row r="1798" spans="1:16" x14ac:dyDescent="0.25">
      <c r="A1798" t="s">
        <v>4679</v>
      </c>
      <c r="B1798" t="s">
        <v>4680</v>
      </c>
      <c r="C1798" t="s">
        <v>29</v>
      </c>
      <c r="D1798" t="s">
        <v>30</v>
      </c>
      <c r="E1798" t="s">
        <v>20</v>
      </c>
      <c r="F1798" t="s">
        <v>128</v>
      </c>
      <c r="G1798" t="s">
        <v>69</v>
      </c>
      <c r="H1798" t="s">
        <v>46</v>
      </c>
      <c r="I1798" t="s">
        <v>75</v>
      </c>
      <c r="J1798" t="s">
        <v>4681</v>
      </c>
      <c r="K1798" t="s">
        <v>2329</v>
      </c>
      <c r="L1798">
        <v>2.7</v>
      </c>
      <c r="M1798">
        <v>592000</v>
      </c>
      <c r="N1798">
        <v>2.4</v>
      </c>
      <c r="O1798">
        <v>7</v>
      </c>
      <c r="P1798" t="s">
        <v>53</v>
      </c>
    </row>
    <row r="1799" spans="1:16" x14ac:dyDescent="0.25">
      <c r="A1799" t="s">
        <v>4682</v>
      </c>
      <c r="B1799" t="s">
        <v>4683</v>
      </c>
      <c r="C1799" t="s">
        <v>29</v>
      </c>
      <c r="D1799" t="s">
        <v>79</v>
      </c>
      <c r="E1799" t="s">
        <v>20</v>
      </c>
      <c r="F1799" t="s">
        <v>128</v>
      </c>
      <c r="G1799" t="s">
        <v>80</v>
      </c>
      <c r="H1799" t="s">
        <v>34</v>
      </c>
      <c r="I1799" t="s">
        <v>57</v>
      </c>
      <c r="J1799" t="s">
        <v>4684</v>
      </c>
      <c r="L1799">
        <v>5</v>
      </c>
      <c r="M1799">
        <v>571000</v>
      </c>
      <c r="N1799">
        <v>4.5999999999999996</v>
      </c>
      <c r="O1799">
        <v>16</v>
      </c>
      <c r="P1799" t="s">
        <v>26</v>
      </c>
    </row>
    <row r="1800" spans="1:16" x14ac:dyDescent="0.25">
      <c r="A1800" t="s">
        <v>4685</v>
      </c>
      <c r="B1800" t="s">
        <v>3738</v>
      </c>
      <c r="C1800" t="s">
        <v>29</v>
      </c>
      <c r="D1800" t="s">
        <v>19</v>
      </c>
      <c r="E1800" t="s">
        <v>20</v>
      </c>
      <c r="G1800" t="s">
        <v>33</v>
      </c>
      <c r="H1800" t="s">
        <v>23</v>
      </c>
      <c r="I1800" t="s">
        <v>24</v>
      </c>
      <c r="J1800" t="s">
        <v>36</v>
      </c>
      <c r="L1800">
        <v>5.7</v>
      </c>
      <c r="M1800">
        <v>158000</v>
      </c>
      <c r="N1800">
        <v>4.5</v>
      </c>
      <c r="O1800">
        <v>8</v>
      </c>
      <c r="P1800" t="s">
        <v>26</v>
      </c>
    </row>
    <row r="1801" spans="1:16" x14ac:dyDescent="0.25">
      <c r="A1801" t="s">
        <v>4686</v>
      </c>
      <c r="B1801" t="s">
        <v>4687</v>
      </c>
      <c r="C1801" t="s">
        <v>29</v>
      </c>
      <c r="D1801" t="s">
        <v>79</v>
      </c>
      <c r="E1801" t="s">
        <v>20</v>
      </c>
      <c r="F1801" t="s">
        <v>128</v>
      </c>
      <c r="G1801" t="s">
        <v>22</v>
      </c>
      <c r="H1801" t="s">
        <v>46</v>
      </c>
      <c r="I1801" t="s">
        <v>75</v>
      </c>
      <c r="J1801" t="s">
        <v>327</v>
      </c>
      <c r="L1801">
        <v>3.8</v>
      </c>
      <c r="M1801">
        <v>445000</v>
      </c>
      <c r="N1801">
        <v>3.6</v>
      </c>
      <c r="O1801">
        <v>2</v>
      </c>
      <c r="P1801" t="s">
        <v>26</v>
      </c>
    </row>
    <row r="1802" spans="1:16" x14ac:dyDescent="0.25">
      <c r="A1802" t="s">
        <v>4688</v>
      </c>
      <c r="B1802" t="s">
        <v>4689</v>
      </c>
      <c r="D1802" t="s">
        <v>30</v>
      </c>
      <c r="E1802" t="s">
        <v>20</v>
      </c>
      <c r="F1802" t="s">
        <v>39</v>
      </c>
      <c r="G1802" t="s">
        <v>33</v>
      </c>
      <c r="H1802" t="s">
        <v>23</v>
      </c>
      <c r="I1802" t="s">
        <v>75</v>
      </c>
      <c r="J1802" t="s">
        <v>2473</v>
      </c>
      <c r="K1802" t="s">
        <v>1901</v>
      </c>
      <c r="L1802">
        <v>1.5</v>
      </c>
      <c r="M1802">
        <v>111000</v>
      </c>
      <c r="N1802">
        <v>1.9</v>
      </c>
      <c r="O1802">
        <v>12</v>
      </c>
      <c r="P1802" t="s">
        <v>72</v>
      </c>
    </row>
    <row r="1803" spans="1:16" x14ac:dyDescent="0.25">
      <c r="A1803" t="s">
        <v>4690</v>
      </c>
      <c r="B1803" t="s">
        <v>3770</v>
      </c>
      <c r="C1803" t="s">
        <v>18</v>
      </c>
      <c r="D1803" t="s">
        <v>79</v>
      </c>
      <c r="E1803" t="s">
        <v>20</v>
      </c>
      <c r="F1803" t="s">
        <v>128</v>
      </c>
      <c r="G1803" t="s">
        <v>22</v>
      </c>
      <c r="H1803" t="s">
        <v>23</v>
      </c>
      <c r="I1803" t="s">
        <v>57</v>
      </c>
      <c r="J1803" t="s">
        <v>2417</v>
      </c>
      <c r="L1803">
        <v>3</v>
      </c>
      <c r="M1803">
        <v>395000</v>
      </c>
      <c r="N1803">
        <v>2</v>
      </c>
      <c r="O1803">
        <v>4</v>
      </c>
      <c r="P1803" t="s">
        <v>26</v>
      </c>
    </row>
    <row r="1804" spans="1:16" x14ac:dyDescent="0.25">
      <c r="A1804" t="s">
        <v>4691</v>
      </c>
      <c r="B1804" t="s">
        <v>4692</v>
      </c>
      <c r="C1804" t="s">
        <v>18</v>
      </c>
      <c r="D1804" t="s">
        <v>30</v>
      </c>
      <c r="E1804" t="s">
        <v>20</v>
      </c>
      <c r="F1804" t="s">
        <v>32</v>
      </c>
      <c r="G1804" t="s">
        <v>69</v>
      </c>
      <c r="H1804" t="s">
        <v>46</v>
      </c>
      <c r="I1804" t="s">
        <v>35</v>
      </c>
      <c r="J1804" t="s">
        <v>3345</v>
      </c>
      <c r="L1804">
        <v>5</v>
      </c>
      <c r="M1804">
        <v>221000</v>
      </c>
      <c r="N1804">
        <v>2.7</v>
      </c>
      <c r="O1804">
        <v>14</v>
      </c>
      <c r="P1804" t="s">
        <v>26</v>
      </c>
    </row>
    <row r="1805" spans="1:16" x14ac:dyDescent="0.25">
      <c r="A1805" t="s">
        <v>4693</v>
      </c>
      <c r="B1805" t="s">
        <v>4694</v>
      </c>
      <c r="C1805" t="s">
        <v>29</v>
      </c>
      <c r="E1805" t="s">
        <v>20</v>
      </c>
      <c r="F1805" t="s">
        <v>39</v>
      </c>
      <c r="G1805" t="s">
        <v>22</v>
      </c>
      <c r="H1805" t="s">
        <v>46</v>
      </c>
      <c r="I1805" t="s">
        <v>24</v>
      </c>
      <c r="J1805" t="s">
        <v>1795</v>
      </c>
      <c r="L1805">
        <v>3.1</v>
      </c>
      <c r="M1805">
        <v>112000</v>
      </c>
      <c r="N1805">
        <v>4.8</v>
      </c>
      <c r="O1805">
        <v>11</v>
      </c>
      <c r="P1805" t="s">
        <v>26</v>
      </c>
    </row>
    <row r="1806" spans="1:16" x14ac:dyDescent="0.25">
      <c r="A1806" t="s">
        <v>4695</v>
      </c>
      <c r="B1806" t="s">
        <v>4696</v>
      </c>
      <c r="C1806" t="s">
        <v>29</v>
      </c>
      <c r="D1806" t="s">
        <v>4697</v>
      </c>
      <c r="E1806" t="s">
        <v>20</v>
      </c>
      <c r="F1806" t="s">
        <v>39</v>
      </c>
      <c r="G1806" t="s">
        <v>80</v>
      </c>
      <c r="H1806" t="s">
        <v>34</v>
      </c>
      <c r="I1806" t="s">
        <v>75</v>
      </c>
      <c r="J1806" t="s">
        <v>1025</v>
      </c>
      <c r="L1806">
        <v>4.5</v>
      </c>
      <c r="M1806">
        <v>130000</v>
      </c>
      <c r="N1806">
        <v>3.5</v>
      </c>
      <c r="O1806">
        <v>6</v>
      </c>
      <c r="P1806" t="s">
        <v>26</v>
      </c>
    </row>
    <row r="1807" spans="1:16" x14ac:dyDescent="0.25">
      <c r="A1807" t="s">
        <v>4698</v>
      </c>
      <c r="B1807" t="s">
        <v>4699</v>
      </c>
      <c r="C1807" t="s">
        <v>29</v>
      </c>
      <c r="D1807" t="s">
        <v>50</v>
      </c>
      <c r="E1807" t="s">
        <v>20</v>
      </c>
      <c r="F1807" t="s">
        <v>39</v>
      </c>
      <c r="G1807" t="s">
        <v>33</v>
      </c>
      <c r="H1807" t="s">
        <v>46</v>
      </c>
      <c r="I1807" t="s">
        <v>24</v>
      </c>
      <c r="J1807" t="s">
        <v>709</v>
      </c>
      <c r="K1807" t="s">
        <v>3805</v>
      </c>
      <c r="L1807">
        <v>2.7</v>
      </c>
      <c r="M1807">
        <v>111000</v>
      </c>
      <c r="N1807">
        <v>3.1</v>
      </c>
      <c r="O1807">
        <v>2</v>
      </c>
      <c r="P1807" t="s">
        <v>53</v>
      </c>
    </row>
    <row r="1808" spans="1:16" x14ac:dyDescent="0.25">
      <c r="A1808" t="s">
        <v>4700</v>
      </c>
      <c r="B1808" t="s">
        <v>4701</v>
      </c>
      <c r="C1808" t="s">
        <v>18</v>
      </c>
      <c r="D1808" t="s">
        <v>30</v>
      </c>
      <c r="E1808" t="s">
        <v>20</v>
      </c>
      <c r="F1808" t="s">
        <v>21</v>
      </c>
      <c r="G1808" t="s">
        <v>22</v>
      </c>
      <c r="H1808" t="s">
        <v>46</v>
      </c>
      <c r="I1808" t="s">
        <v>24</v>
      </c>
      <c r="J1808" t="s">
        <v>84</v>
      </c>
      <c r="L1808">
        <v>2.1</v>
      </c>
      <c r="M1808">
        <v>930000</v>
      </c>
      <c r="N1808">
        <v>3.3</v>
      </c>
      <c r="O1808">
        <v>4</v>
      </c>
      <c r="P1808" t="s">
        <v>26</v>
      </c>
    </row>
    <row r="1809" spans="1:16" x14ac:dyDescent="0.25">
      <c r="A1809" t="s">
        <v>4702</v>
      </c>
      <c r="B1809" t="s">
        <v>4703</v>
      </c>
      <c r="C1809" t="s">
        <v>18</v>
      </c>
      <c r="D1809" t="s">
        <v>79</v>
      </c>
      <c r="E1809" t="s">
        <v>20</v>
      </c>
      <c r="F1809" t="s">
        <v>39</v>
      </c>
      <c r="G1809" t="s">
        <v>22</v>
      </c>
      <c r="H1809" t="s">
        <v>23</v>
      </c>
      <c r="I1809" t="s">
        <v>24</v>
      </c>
      <c r="J1809" t="s">
        <v>1696</v>
      </c>
      <c r="L1809">
        <v>5.2</v>
      </c>
      <c r="M1809">
        <v>119000</v>
      </c>
      <c r="N1809">
        <v>3.8</v>
      </c>
      <c r="O1809">
        <v>0</v>
      </c>
      <c r="P1809" t="s">
        <v>26</v>
      </c>
    </row>
    <row r="1810" spans="1:16" x14ac:dyDescent="0.25">
      <c r="A1810" t="s">
        <v>4704</v>
      </c>
      <c r="B1810" t="s">
        <v>1024</v>
      </c>
      <c r="C1810" t="s">
        <v>29</v>
      </c>
      <c r="D1810" t="s">
        <v>30</v>
      </c>
      <c r="E1810" t="s">
        <v>20</v>
      </c>
      <c r="F1810" t="s">
        <v>32</v>
      </c>
      <c r="G1810" t="s">
        <v>80</v>
      </c>
      <c r="H1810" t="s">
        <v>34</v>
      </c>
      <c r="I1810" t="s">
        <v>24</v>
      </c>
      <c r="J1810" t="s">
        <v>1857</v>
      </c>
      <c r="K1810" t="s">
        <v>4705</v>
      </c>
      <c r="L1810">
        <v>4.5999999999999996</v>
      </c>
      <c r="M1810">
        <v>243000</v>
      </c>
      <c r="N1810">
        <v>2.2999999999999998</v>
      </c>
      <c r="O1810">
        <v>40</v>
      </c>
      <c r="P1810" t="s">
        <v>72</v>
      </c>
    </row>
    <row r="1811" spans="1:16" x14ac:dyDescent="0.25">
      <c r="A1811" t="s">
        <v>4706</v>
      </c>
      <c r="B1811" t="s">
        <v>2895</v>
      </c>
      <c r="D1811" t="s">
        <v>19</v>
      </c>
      <c r="E1811" t="s">
        <v>44</v>
      </c>
      <c r="F1811" t="s">
        <v>128</v>
      </c>
      <c r="G1811" t="s">
        <v>22</v>
      </c>
      <c r="H1811" t="s">
        <v>46</v>
      </c>
      <c r="I1811" t="s">
        <v>57</v>
      </c>
      <c r="J1811" t="s">
        <v>3320</v>
      </c>
      <c r="L1811">
        <v>1.7</v>
      </c>
      <c r="M1811">
        <v>423000</v>
      </c>
      <c r="N1811">
        <v>3.2</v>
      </c>
      <c r="O1811">
        <v>6</v>
      </c>
      <c r="P1811" t="s">
        <v>26</v>
      </c>
    </row>
    <row r="1812" spans="1:16" x14ac:dyDescent="0.25">
      <c r="A1812" t="s">
        <v>4707</v>
      </c>
      <c r="B1812" t="s">
        <v>4708</v>
      </c>
      <c r="C1812" t="s">
        <v>18</v>
      </c>
      <c r="D1812" t="s">
        <v>79</v>
      </c>
      <c r="E1812" t="s">
        <v>20</v>
      </c>
      <c r="F1812" t="s">
        <v>39</v>
      </c>
      <c r="G1812" t="s">
        <v>69</v>
      </c>
      <c r="H1812" t="s">
        <v>34</v>
      </c>
      <c r="I1812" t="s">
        <v>57</v>
      </c>
      <c r="J1812" t="s">
        <v>1091</v>
      </c>
      <c r="L1812">
        <v>3.2</v>
      </c>
      <c r="M1812">
        <v>107000</v>
      </c>
      <c r="N1812">
        <v>2.8</v>
      </c>
      <c r="O1812">
        <v>13</v>
      </c>
      <c r="P1812" t="s">
        <v>26</v>
      </c>
    </row>
    <row r="1813" spans="1:16" x14ac:dyDescent="0.25">
      <c r="A1813" t="s">
        <v>4709</v>
      </c>
      <c r="B1813" t="s">
        <v>4710</v>
      </c>
      <c r="C1813" t="s">
        <v>29</v>
      </c>
      <c r="D1813" t="s">
        <v>19</v>
      </c>
      <c r="E1813" t="s">
        <v>20</v>
      </c>
      <c r="G1813" t="s">
        <v>22</v>
      </c>
      <c r="H1813" t="s">
        <v>62</v>
      </c>
      <c r="I1813" t="s">
        <v>57</v>
      </c>
      <c r="J1813" t="s">
        <v>4231</v>
      </c>
      <c r="L1813">
        <v>1.3</v>
      </c>
      <c r="M1813">
        <v>314000</v>
      </c>
      <c r="N1813">
        <v>3.6</v>
      </c>
      <c r="O1813">
        <v>35</v>
      </c>
      <c r="P1813" t="s">
        <v>26</v>
      </c>
    </row>
    <row r="1814" spans="1:16" x14ac:dyDescent="0.25">
      <c r="A1814" t="s">
        <v>4711</v>
      </c>
      <c r="B1814" t="s">
        <v>4712</v>
      </c>
      <c r="D1814" t="s">
        <v>50</v>
      </c>
      <c r="E1814" t="s">
        <v>20</v>
      </c>
      <c r="F1814" t="s">
        <v>39</v>
      </c>
      <c r="G1814" t="s">
        <v>33</v>
      </c>
      <c r="H1814" t="s">
        <v>34</v>
      </c>
      <c r="I1814" t="s">
        <v>24</v>
      </c>
      <c r="J1814" t="s">
        <v>4713</v>
      </c>
      <c r="K1814" t="s">
        <v>4714</v>
      </c>
      <c r="L1814">
        <v>5.6</v>
      </c>
      <c r="M1814">
        <v>126000</v>
      </c>
      <c r="O1814">
        <v>13</v>
      </c>
      <c r="P1814" t="s">
        <v>53</v>
      </c>
    </row>
    <row r="1815" spans="1:16" x14ac:dyDescent="0.25">
      <c r="A1815" t="s">
        <v>4715</v>
      </c>
      <c r="B1815" t="s">
        <v>4716</v>
      </c>
      <c r="C1815" t="s">
        <v>29</v>
      </c>
      <c r="D1815" t="s">
        <v>79</v>
      </c>
      <c r="E1815" t="s">
        <v>20</v>
      </c>
      <c r="F1815" t="s">
        <v>128</v>
      </c>
      <c r="G1815" t="s">
        <v>22</v>
      </c>
      <c r="I1815" t="s">
        <v>24</v>
      </c>
      <c r="J1815" t="s">
        <v>1849</v>
      </c>
      <c r="K1815" t="s">
        <v>3458</v>
      </c>
      <c r="L1815">
        <v>1.7</v>
      </c>
      <c r="M1815">
        <v>385000</v>
      </c>
      <c r="N1815">
        <v>4.5999999999999996</v>
      </c>
      <c r="O1815">
        <v>11</v>
      </c>
      <c r="P1815" t="s">
        <v>53</v>
      </c>
    </row>
    <row r="1816" spans="1:16" x14ac:dyDescent="0.25">
      <c r="A1816" t="s">
        <v>4717</v>
      </c>
      <c r="B1816" t="s">
        <v>2621</v>
      </c>
      <c r="D1816" t="s">
        <v>79</v>
      </c>
      <c r="E1816" t="s">
        <v>20</v>
      </c>
      <c r="F1816" t="s">
        <v>32</v>
      </c>
      <c r="G1816" t="s">
        <v>33</v>
      </c>
      <c r="H1816" t="s">
        <v>23</v>
      </c>
      <c r="I1816" t="s">
        <v>57</v>
      </c>
      <c r="J1816" t="s">
        <v>1339</v>
      </c>
      <c r="K1816" t="s">
        <v>622</v>
      </c>
      <c r="L1816">
        <v>2.1</v>
      </c>
      <c r="N1816">
        <v>4.5</v>
      </c>
      <c r="O1816">
        <v>5</v>
      </c>
      <c r="P1816" t="s">
        <v>53</v>
      </c>
    </row>
    <row r="1817" spans="1:16" x14ac:dyDescent="0.25">
      <c r="A1817" t="s">
        <v>4718</v>
      </c>
      <c r="B1817" t="s">
        <v>4719</v>
      </c>
      <c r="C1817" t="s">
        <v>29</v>
      </c>
      <c r="D1817" t="s">
        <v>79</v>
      </c>
      <c r="E1817" t="s">
        <v>20</v>
      </c>
      <c r="F1817" t="s">
        <v>32</v>
      </c>
      <c r="G1817" t="s">
        <v>22</v>
      </c>
      <c r="H1817" t="s">
        <v>46</v>
      </c>
      <c r="I1817" t="s">
        <v>75</v>
      </c>
      <c r="J1817" t="s">
        <v>2233</v>
      </c>
      <c r="L1817">
        <v>2.9</v>
      </c>
      <c r="M1817">
        <v>307000</v>
      </c>
      <c r="N1817">
        <v>4.7</v>
      </c>
      <c r="O1817">
        <v>6</v>
      </c>
      <c r="P1817" t="s">
        <v>26</v>
      </c>
    </row>
    <row r="1818" spans="1:16" x14ac:dyDescent="0.25">
      <c r="A1818" t="s">
        <v>4720</v>
      </c>
      <c r="B1818" t="s">
        <v>4721</v>
      </c>
      <c r="C1818" t="s">
        <v>29</v>
      </c>
      <c r="D1818" t="s">
        <v>30</v>
      </c>
      <c r="E1818" t="s">
        <v>31</v>
      </c>
      <c r="F1818" t="s">
        <v>32</v>
      </c>
      <c r="G1818" t="s">
        <v>22</v>
      </c>
      <c r="I1818" t="s">
        <v>35</v>
      </c>
      <c r="J1818" t="s">
        <v>3098</v>
      </c>
      <c r="L1818">
        <v>2.7</v>
      </c>
      <c r="M1818">
        <v>205000</v>
      </c>
      <c r="O1818">
        <v>3</v>
      </c>
      <c r="P1818" t="s">
        <v>26</v>
      </c>
    </row>
    <row r="1819" spans="1:16" x14ac:dyDescent="0.25">
      <c r="A1819" t="s">
        <v>4722</v>
      </c>
      <c r="B1819" t="s">
        <v>4723</v>
      </c>
      <c r="C1819" t="s">
        <v>18</v>
      </c>
      <c r="D1819" t="s">
        <v>19</v>
      </c>
      <c r="E1819" t="s">
        <v>20</v>
      </c>
      <c r="F1819" t="s">
        <v>21</v>
      </c>
      <c r="G1819" t="s">
        <v>22</v>
      </c>
      <c r="H1819" t="s">
        <v>23</v>
      </c>
      <c r="I1819" t="s">
        <v>24</v>
      </c>
      <c r="J1819" t="s">
        <v>741</v>
      </c>
      <c r="L1819">
        <v>3.2</v>
      </c>
      <c r="M1819">
        <v>865000</v>
      </c>
      <c r="N1819">
        <v>4.3</v>
      </c>
      <c r="O1819">
        <v>11</v>
      </c>
      <c r="P1819" t="s">
        <v>26</v>
      </c>
    </row>
    <row r="1820" spans="1:16" x14ac:dyDescent="0.25">
      <c r="A1820" t="s">
        <v>4724</v>
      </c>
      <c r="B1820" t="s">
        <v>1174</v>
      </c>
      <c r="C1820" t="s">
        <v>18</v>
      </c>
      <c r="D1820" t="s">
        <v>79</v>
      </c>
      <c r="E1820" t="s">
        <v>20</v>
      </c>
      <c r="F1820" t="s">
        <v>32</v>
      </c>
      <c r="G1820" t="s">
        <v>22</v>
      </c>
      <c r="H1820" t="s">
        <v>23</v>
      </c>
      <c r="I1820" t="s">
        <v>75</v>
      </c>
      <c r="J1820" t="s">
        <v>411</v>
      </c>
      <c r="L1820">
        <v>3.1</v>
      </c>
      <c r="M1820">
        <v>286000</v>
      </c>
      <c r="N1820">
        <v>3.4</v>
      </c>
      <c r="O1820">
        <v>14</v>
      </c>
      <c r="P1820" t="s">
        <v>26</v>
      </c>
    </row>
    <row r="1821" spans="1:16" x14ac:dyDescent="0.25">
      <c r="A1821" t="s">
        <v>4725</v>
      </c>
      <c r="B1821" t="s">
        <v>4726</v>
      </c>
      <c r="C1821" t="s">
        <v>18</v>
      </c>
      <c r="D1821" t="s">
        <v>19</v>
      </c>
      <c r="E1821" t="s">
        <v>20</v>
      </c>
      <c r="F1821" t="s">
        <v>39</v>
      </c>
      <c r="G1821" t="s">
        <v>33</v>
      </c>
      <c r="H1821" t="s">
        <v>46</v>
      </c>
      <c r="I1821" t="s">
        <v>35</v>
      </c>
      <c r="J1821" t="s">
        <v>3619</v>
      </c>
      <c r="L1821">
        <v>2.8</v>
      </c>
      <c r="M1821">
        <v>144000</v>
      </c>
      <c r="N1821">
        <v>4.2</v>
      </c>
      <c r="O1821">
        <v>3</v>
      </c>
      <c r="P1821" t="s">
        <v>26</v>
      </c>
    </row>
    <row r="1822" spans="1:16" x14ac:dyDescent="0.25">
      <c r="A1822" t="s">
        <v>4727</v>
      </c>
      <c r="B1822" t="s">
        <v>4728</v>
      </c>
      <c r="C1822" t="s">
        <v>18</v>
      </c>
      <c r="D1822" t="s">
        <v>30</v>
      </c>
      <c r="E1822" t="s">
        <v>20</v>
      </c>
      <c r="F1822" t="s">
        <v>32</v>
      </c>
      <c r="G1822" t="s">
        <v>22</v>
      </c>
      <c r="H1822" t="s">
        <v>23</v>
      </c>
      <c r="I1822" t="s">
        <v>35</v>
      </c>
      <c r="J1822" t="s">
        <v>4729</v>
      </c>
      <c r="K1822" t="s">
        <v>1894</v>
      </c>
      <c r="L1822">
        <v>2.5</v>
      </c>
      <c r="M1822">
        <v>194000</v>
      </c>
      <c r="N1822">
        <v>2.9</v>
      </c>
      <c r="O1822">
        <v>0</v>
      </c>
      <c r="P1822" t="s">
        <v>53</v>
      </c>
    </row>
    <row r="1823" spans="1:16" x14ac:dyDescent="0.25">
      <c r="A1823" t="s">
        <v>4730</v>
      </c>
      <c r="B1823" t="s">
        <v>4731</v>
      </c>
      <c r="C1823" t="s">
        <v>18</v>
      </c>
      <c r="D1823" t="s">
        <v>50</v>
      </c>
      <c r="E1823" t="s">
        <v>20</v>
      </c>
      <c r="F1823" t="s">
        <v>32</v>
      </c>
      <c r="G1823" t="s">
        <v>80</v>
      </c>
      <c r="H1823" t="s">
        <v>23</v>
      </c>
      <c r="I1823" t="s">
        <v>57</v>
      </c>
      <c r="J1823" t="s">
        <v>1748</v>
      </c>
      <c r="K1823" t="s">
        <v>4668</v>
      </c>
      <c r="L1823">
        <v>3.3</v>
      </c>
      <c r="N1823">
        <v>3</v>
      </c>
      <c r="O1823">
        <v>4</v>
      </c>
      <c r="P1823" t="s">
        <v>53</v>
      </c>
    </row>
    <row r="1824" spans="1:16" x14ac:dyDescent="0.25">
      <c r="A1824" t="s">
        <v>4732</v>
      </c>
      <c r="B1824" t="s">
        <v>4733</v>
      </c>
      <c r="C1824" t="s">
        <v>29</v>
      </c>
      <c r="D1824" t="s">
        <v>30</v>
      </c>
      <c r="E1824" t="s">
        <v>20</v>
      </c>
      <c r="F1824" t="s">
        <v>39</v>
      </c>
      <c r="G1824" t="s">
        <v>33</v>
      </c>
      <c r="H1824" t="s">
        <v>34</v>
      </c>
      <c r="I1824" t="s">
        <v>75</v>
      </c>
      <c r="J1824" t="s">
        <v>3688</v>
      </c>
      <c r="K1824" t="s">
        <v>2548</v>
      </c>
      <c r="L1824">
        <v>3.2</v>
      </c>
      <c r="M1824">
        <v>85000</v>
      </c>
      <c r="N1824">
        <v>2.2000000000000002</v>
      </c>
      <c r="O1824">
        <v>5</v>
      </c>
      <c r="P1824" t="s">
        <v>114</v>
      </c>
    </row>
    <row r="1825" spans="1:16" x14ac:dyDescent="0.25">
      <c r="A1825" t="s">
        <v>4734</v>
      </c>
      <c r="B1825" t="s">
        <v>4735</v>
      </c>
      <c r="C1825" t="s">
        <v>29</v>
      </c>
      <c r="D1825" t="s">
        <v>50</v>
      </c>
      <c r="E1825" t="s">
        <v>20</v>
      </c>
      <c r="F1825" t="s">
        <v>21</v>
      </c>
      <c r="G1825" t="s">
        <v>22</v>
      </c>
      <c r="H1825" t="s">
        <v>23</v>
      </c>
      <c r="I1825" t="s">
        <v>57</v>
      </c>
      <c r="J1825" t="s">
        <v>3158</v>
      </c>
      <c r="K1825" t="s">
        <v>235</v>
      </c>
      <c r="L1825">
        <v>4.8</v>
      </c>
      <c r="M1825">
        <v>795000</v>
      </c>
      <c r="N1825">
        <v>4</v>
      </c>
      <c r="O1825">
        <v>3</v>
      </c>
      <c r="P1825" t="s">
        <v>53</v>
      </c>
    </row>
    <row r="1826" spans="1:16" x14ac:dyDescent="0.25">
      <c r="A1826" t="s">
        <v>4736</v>
      </c>
      <c r="B1826" t="s">
        <v>4716</v>
      </c>
      <c r="C1826" t="s">
        <v>29</v>
      </c>
      <c r="D1826" t="s">
        <v>19</v>
      </c>
      <c r="E1826" t="s">
        <v>20</v>
      </c>
      <c r="F1826" t="s">
        <v>39</v>
      </c>
      <c r="G1826" t="s">
        <v>80</v>
      </c>
      <c r="H1826" t="s">
        <v>23</v>
      </c>
      <c r="I1826" t="s">
        <v>57</v>
      </c>
      <c r="J1826" t="s">
        <v>4737</v>
      </c>
      <c r="K1826" t="s">
        <v>2473</v>
      </c>
      <c r="L1826">
        <v>4.3</v>
      </c>
      <c r="M1826">
        <v>114000</v>
      </c>
      <c r="N1826">
        <v>2.9</v>
      </c>
      <c r="O1826">
        <v>10</v>
      </c>
      <c r="P1826" t="s">
        <v>53</v>
      </c>
    </row>
    <row r="1827" spans="1:16" x14ac:dyDescent="0.25">
      <c r="A1827" t="s">
        <v>4738</v>
      </c>
      <c r="B1827" t="s">
        <v>2532</v>
      </c>
      <c r="C1827" t="s">
        <v>18</v>
      </c>
      <c r="D1827" t="s">
        <v>50</v>
      </c>
      <c r="E1827" t="s">
        <v>44</v>
      </c>
      <c r="F1827" t="s">
        <v>21</v>
      </c>
      <c r="G1827" t="s">
        <v>69</v>
      </c>
      <c r="I1827" t="s">
        <v>35</v>
      </c>
      <c r="J1827" t="s">
        <v>1294</v>
      </c>
      <c r="L1827">
        <v>1.7</v>
      </c>
      <c r="M1827">
        <v>612000</v>
      </c>
      <c r="N1827">
        <v>4.8</v>
      </c>
      <c r="O1827">
        <v>2</v>
      </c>
      <c r="P1827" t="s">
        <v>26</v>
      </c>
    </row>
    <row r="1828" spans="1:16" x14ac:dyDescent="0.25">
      <c r="A1828" t="s">
        <v>4739</v>
      </c>
      <c r="B1828" t="s">
        <v>3808</v>
      </c>
      <c r="C1828" t="s">
        <v>18</v>
      </c>
      <c r="D1828" t="s">
        <v>43</v>
      </c>
      <c r="E1828" t="s">
        <v>20</v>
      </c>
      <c r="F1828" t="s">
        <v>39</v>
      </c>
      <c r="G1828" t="s">
        <v>69</v>
      </c>
      <c r="H1828" t="s">
        <v>46</v>
      </c>
      <c r="J1828" t="s">
        <v>4740</v>
      </c>
      <c r="L1828">
        <v>4.0999999999999996</v>
      </c>
      <c r="M1828">
        <v>124000</v>
      </c>
      <c r="N1828">
        <v>2.2999999999999998</v>
      </c>
      <c r="O1828">
        <v>3</v>
      </c>
      <c r="P1828" t="s">
        <v>26</v>
      </c>
    </row>
    <row r="1829" spans="1:16" x14ac:dyDescent="0.25">
      <c r="A1829" t="s">
        <v>4741</v>
      </c>
      <c r="B1829" t="s">
        <v>2501</v>
      </c>
      <c r="C1829" t="s">
        <v>29</v>
      </c>
      <c r="D1829" t="s">
        <v>79</v>
      </c>
      <c r="E1829" t="s">
        <v>20</v>
      </c>
      <c r="G1829" t="s">
        <v>22</v>
      </c>
      <c r="H1829" t="s">
        <v>23</v>
      </c>
      <c r="I1829" t="s">
        <v>24</v>
      </c>
      <c r="J1829" t="s">
        <v>4742</v>
      </c>
      <c r="L1829">
        <v>5</v>
      </c>
      <c r="M1829">
        <v>163000</v>
      </c>
      <c r="N1829">
        <v>4.7</v>
      </c>
      <c r="O1829">
        <v>6</v>
      </c>
      <c r="P1829" t="s">
        <v>26</v>
      </c>
    </row>
    <row r="1830" spans="1:16" x14ac:dyDescent="0.25">
      <c r="A1830" t="s">
        <v>4743</v>
      </c>
      <c r="B1830" t="s">
        <v>4744</v>
      </c>
      <c r="C1830" t="s">
        <v>29</v>
      </c>
      <c r="D1830" t="s">
        <v>19</v>
      </c>
      <c r="E1830" t="s">
        <v>20</v>
      </c>
      <c r="F1830" t="s">
        <v>32</v>
      </c>
      <c r="G1830" t="s">
        <v>22</v>
      </c>
      <c r="H1830" t="s">
        <v>23</v>
      </c>
      <c r="I1830" t="s">
        <v>57</v>
      </c>
      <c r="J1830" t="s">
        <v>1817</v>
      </c>
      <c r="K1830" t="s">
        <v>4745</v>
      </c>
      <c r="L1830">
        <v>4.7</v>
      </c>
      <c r="M1830">
        <v>276000</v>
      </c>
      <c r="N1830">
        <v>2.2999999999999998</v>
      </c>
      <c r="O1830">
        <v>6</v>
      </c>
      <c r="P1830" t="s">
        <v>53</v>
      </c>
    </row>
    <row r="1831" spans="1:16" x14ac:dyDescent="0.25">
      <c r="A1831" t="s">
        <v>4746</v>
      </c>
      <c r="B1831" t="s">
        <v>4747</v>
      </c>
      <c r="C1831" t="s">
        <v>18</v>
      </c>
      <c r="D1831" t="s">
        <v>50</v>
      </c>
      <c r="E1831" t="s">
        <v>31</v>
      </c>
      <c r="F1831" t="s">
        <v>39</v>
      </c>
      <c r="G1831" t="s">
        <v>22</v>
      </c>
      <c r="H1831" t="s">
        <v>23</v>
      </c>
      <c r="J1831" t="s">
        <v>3684</v>
      </c>
      <c r="K1831" t="s">
        <v>4748</v>
      </c>
      <c r="L1831">
        <v>5.5</v>
      </c>
      <c r="M1831">
        <v>122000</v>
      </c>
      <c r="N1831">
        <v>3</v>
      </c>
      <c r="O1831">
        <v>5</v>
      </c>
      <c r="P1831" t="s">
        <v>72</v>
      </c>
    </row>
    <row r="1832" spans="1:16" x14ac:dyDescent="0.25">
      <c r="A1832" t="s">
        <v>4749</v>
      </c>
      <c r="B1832" t="s">
        <v>3460</v>
      </c>
      <c r="C1832" t="s">
        <v>18</v>
      </c>
      <c r="D1832" t="s">
        <v>43</v>
      </c>
      <c r="E1832" t="s">
        <v>20</v>
      </c>
      <c r="F1832" t="s">
        <v>32</v>
      </c>
      <c r="G1832" t="s">
        <v>22</v>
      </c>
      <c r="H1832" t="s">
        <v>46</v>
      </c>
      <c r="I1832" t="s">
        <v>57</v>
      </c>
      <c r="J1832" t="s">
        <v>4750</v>
      </c>
      <c r="L1832">
        <v>5.3</v>
      </c>
      <c r="M1832">
        <v>282000</v>
      </c>
      <c r="N1832">
        <v>4.3</v>
      </c>
      <c r="O1832">
        <v>6</v>
      </c>
      <c r="P1832" t="s">
        <v>26</v>
      </c>
    </row>
    <row r="1833" spans="1:16" x14ac:dyDescent="0.25">
      <c r="A1833" t="s">
        <v>4751</v>
      </c>
      <c r="B1833" t="s">
        <v>3096</v>
      </c>
      <c r="C1833" t="s">
        <v>29</v>
      </c>
      <c r="D1833" t="s">
        <v>43</v>
      </c>
      <c r="E1833" t="s">
        <v>20</v>
      </c>
      <c r="F1833" t="s">
        <v>128</v>
      </c>
      <c r="G1833" t="s">
        <v>22</v>
      </c>
      <c r="H1833" t="s">
        <v>34</v>
      </c>
      <c r="I1833" t="s">
        <v>24</v>
      </c>
      <c r="J1833" t="s">
        <v>4752</v>
      </c>
      <c r="L1833">
        <v>5.9</v>
      </c>
      <c r="M1833">
        <v>427000</v>
      </c>
      <c r="N1833">
        <v>4.7</v>
      </c>
      <c r="O1833">
        <v>2</v>
      </c>
      <c r="P1833" t="s">
        <v>26</v>
      </c>
    </row>
    <row r="1834" spans="1:16" x14ac:dyDescent="0.25">
      <c r="A1834" t="s">
        <v>4753</v>
      </c>
      <c r="B1834" t="s">
        <v>4754</v>
      </c>
      <c r="C1834" t="s">
        <v>18</v>
      </c>
      <c r="D1834" t="s">
        <v>30</v>
      </c>
      <c r="E1834" t="s">
        <v>44</v>
      </c>
      <c r="F1834" t="s">
        <v>39</v>
      </c>
      <c r="G1834" t="s">
        <v>80</v>
      </c>
      <c r="H1834" t="s">
        <v>34</v>
      </c>
      <c r="I1834" t="s">
        <v>35</v>
      </c>
      <c r="J1834" t="s">
        <v>4383</v>
      </c>
      <c r="K1834" t="s">
        <v>2066</v>
      </c>
      <c r="L1834">
        <v>4.5</v>
      </c>
      <c r="N1834">
        <v>3.3</v>
      </c>
      <c r="O1834">
        <v>6</v>
      </c>
      <c r="P1834" t="s">
        <v>53</v>
      </c>
    </row>
    <row r="1835" spans="1:16" x14ac:dyDescent="0.25">
      <c r="A1835" t="s">
        <v>4755</v>
      </c>
      <c r="B1835" t="s">
        <v>4756</v>
      </c>
      <c r="C1835" t="s">
        <v>18</v>
      </c>
      <c r="D1835" t="s">
        <v>79</v>
      </c>
      <c r="E1835" t="s">
        <v>20</v>
      </c>
      <c r="F1835" t="s">
        <v>128</v>
      </c>
      <c r="G1835" t="s">
        <v>22</v>
      </c>
      <c r="H1835" t="s">
        <v>34</v>
      </c>
      <c r="I1835" t="s">
        <v>35</v>
      </c>
      <c r="J1835" t="s">
        <v>1774</v>
      </c>
      <c r="K1835" t="s">
        <v>4757</v>
      </c>
      <c r="L1835">
        <v>6.2</v>
      </c>
      <c r="M1835">
        <v>411000</v>
      </c>
      <c r="N1835">
        <v>2.9</v>
      </c>
      <c r="O1835">
        <v>26</v>
      </c>
      <c r="P1835" t="s">
        <v>72</v>
      </c>
    </row>
    <row r="1836" spans="1:16" x14ac:dyDescent="0.25">
      <c r="A1836" t="s">
        <v>4758</v>
      </c>
      <c r="B1836" t="s">
        <v>4759</v>
      </c>
      <c r="C1836" t="s">
        <v>18</v>
      </c>
      <c r="D1836" t="s">
        <v>43</v>
      </c>
      <c r="E1836" t="s">
        <v>20</v>
      </c>
      <c r="F1836" t="s">
        <v>128</v>
      </c>
      <c r="G1836" t="s">
        <v>80</v>
      </c>
      <c r="H1836" t="s">
        <v>46</v>
      </c>
      <c r="I1836" t="s">
        <v>57</v>
      </c>
      <c r="J1836" t="s">
        <v>4409</v>
      </c>
      <c r="K1836" t="s">
        <v>4760</v>
      </c>
      <c r="L1836">
        <v>2.7</v>
      </c>
      <c r="M1836">
        <v>480000</v>
      </c>
      <c r="N1836">
        <v>2.5</v>
      </c>
      <c r="O1836">
        <v>7</v>
      </c>
      <c r="P1836" t="s">
        <v>53</v>
      </c>
    </row>
    <row r="1837" spans="1:16" x14ac:dyDescent="0.25">
      <c r="A1837" t="s">
        <v>4761</v>
      </c>
      <c r="B1837" t="s">
        <v>4531</v>
      </c>
      <c r="C1837" t="s">
        <v>18</v>
      </c>
      <c r="D1837" t="s">
        <v>19</v>
      </c>
      <c r="E1837" t="s">
        <v>20</v>
      </c>
      <c r="F1837" t="s">
        <v>32</v>
      </c>
      <c r="G1837" t="s">
        <v>80</v>
      </c>
      <c r="H1837" t="s">
        <v>62</v>
      </c>
      <c r="I1837" t="s">
        <v>35</v>
      </c>
      <c r="J1837" t="s">
        <v>366</v>
      </c>
      <c r="K1837" t="s">
        <v>3713</v>
      </c>
      <c r="L1837">
        <v>2.2999999999999998</v>
      </c>
      <c r="M1837">
        <v>278000</v>
      </c>
      <c r="N1837">
        <v>3.3</v>
      </c>
      <c r="O1837">
        <v>4</v>
      </c>
      <c r="P1837" t="s">
        <v>72</v>
      </c>
    </row>
    <row r="1838" spans="1:16" x14ac:dyDescent="0.25">
      <c r="A1838" t="s">
        <v>4762</v>
      </c>
      <c r="B1838" t="s">
        <v>4763</v>
      </c>
      <c r="C1838" t="s">
        <v>29</v>
      </c>
      <c r="D1838" t="s">
        <v>43</v>
      </c>
      <c r="E1838" t="s">
        <v>44</v>
      </c>
      <c r="G1838" t="s">
        <v>33</v>
      </c>
      <c r="H1838" t="s">
        <v>23</v>
      </c>
      <c r="J1838" t="s">
        <v>4764</v>
      </c>
      <c r="L1838">
        <v>3.9</v>
      </c>
      <c r="M1838">
        <v>513000</v>
      </c>
      <c r="N1838">
        <v>4.4000000000000004</v>
      </c>
      <c r="O1838">
        <v>8</v>
      </c>
      <c r="P1838" t="s">
        <v>26</v>
      </c>
    </row>
    <row r="1839" spans="1:16" x14ac:dyDescent="0.25">
      <c r="A1839" t="s">
        <v>4765</v>
      </c>
      <c r="B1839" t="s">
        <v>4766</v>
      </c>
      <c r="C1839" t="s">
        <v>18</v>
      </c>
      <c r="D1839" t="s">
        <v>19</v>
      </c>
      <c r="E1839" t="s">
        <v>20</v>
      </c>
      <c r="F1839" t="s">
        <v>39</v>
      </c>
      <c r="G1839" t="s">
        <v>22</v>
      </c>
      <c r="H1839" t="s">
        <v>34</v>
      </c>
      <c r="I1839" t="s">
        <v>57</v>
      </c>
      <c r="J1839" t="s">
        <v>4767</v>
      </c>
      <c r="K1839" t="s">
        <v>1313</v>
      </c>
      <c r="L1839">
        <v>3.7</v>
      </c>
      <c r="M1839">
        <v>178000</v>
      </c>
      <c r="N1839">
        <v>3.9</v>
      </c>
      <c r="O1839">
        <v>13</v>
      </c>
      <c r="P1839" t="s">
        <v>53</v>
      </c>
    </row>
    <row r="1840" spans="1:16" x14ac:dyDescent="0.25">
      <c r="A1840" t="s">
        <v>4768</v>
      </c>
      <c r="B1840" t="s">
        <v>4769</v>
      </c>
      <c r="C1840" t="s">
        <v>18</v>
      </c>
      <c r="D1840" t="s">
        <v>79</v>
      </c>
      <c r="E1840" t="s">
        <v>20</v>
      </c>
      <c r="F1840" t="s">
        <v>39</v>
      </c>
      <c r="G1840" t="s">
        <v>33</v>
      </c>
      <c r="H1840" t="s">
        <v>46</v>
      </c>
      <c r="I1840" t="s">
        <v>24</v>
      </c>
      <c r="J1840" t="s">
        <v>1477</v>
      </c>
      <c r="K1840" t="s">
        <v>2299</v>
      </c>
      <c r="L1840">
        <v>5.6</v>
      </c>
      <c r="M1840">
        <v>110000</v>
      </c>
      <c r="N1840">
        <v>3.6</v>
      </c>
      <c r="O1840">
        <v>8</v>
      </c>
      <c r="P1840" t="s">
        <v>53</v>
      </c>
    </row>
    <row r="1841" spans="1:16" x14ac:dyDescent="0.25">
      <c r="A1841" t="s">
        <v>4770</v>
      </c>
      <c r="B1841" t="s">
        <v>4771</v>
      </c>
      <c r="D1841" t="s">
        <v>30</v>
      </c>
      <c r="E1841" t="s">
        <v>31</v>
      </c>
      <c r="F1841" t="s">
        <v>128</v>
      </c>
      <c r="G1841" t="s">
        <v>22</v>
      </c>
      <c r="H1841" t="s">
        <v>34</v>
      </c>
      <c r="I1841" t="s">
        <v>57</v>
      </c>
      <c r="J1841" t="s">
        <v>4772</v>
      </c>
      <c r="L1841">
        <v>3.7</v>
      </c>
      <c r="M1841">
        <v>594000</v>
      </c>
      <c r="N1841">
        <v>2.9</v>
      </c>
      <c r="P1841" t="s">
        <v>26</v>
      </c>
    </row>
    <row r="1842" spans="1:16" x14ac:dyDescent="0.25">
      <c r="A1842" t="s">
        <v>4773</v>
      </c>
      <c r="B1842" t="s">
        <v>4774</v>
      </c>
      <c r="C1842" t="s">
        <v>18</v>
      </c>
      <c r="D1842" t="s">
        <v>79</v>
      </c>
      <c r="E1842" t="s">
        <v>44</v>
      </c>
      <c r="F1842" t="s">
        <v>32</v>
      </c>
      <c r="G1842" t="s">
        <v>22</v>
      </c>
      <c r="H1842" t="s">
        <v>23</v>
      </c>
      <c r="I1842" t="s">
        <v>24</v>
      </c>
      <c r="J1842" t="s">
        <v>4775</v>
      </c>
      <c r="L1842">
        <v>4.0999999999999996</v>
      </c>
      <c r="M1842">
        <v>275000</v>
      </c>
      <c r="N1842">
        <v>3.7</v>
      </c>
      <c r="O1842">
        <v>8</v>
      </c>
      <c r="P1842" t="s">
        <v>26</v>
      </c>
    </row>
    <row r="1843" spans="1:16" x14ac:dyDescent="0.25">
      <c r="A1843" t="s">
        <v>4776</v>
      </c>
      <c r="B1843" t="s">
        <v>4777</v>
      </c>
      <c r="C1843" t="s">
        <v>18</v>
      </c>
      <c r="D1843" t="s">
        <v>19</v>
      </c>
      <c r="E1843" t="s">
        <v>44</v>
      </c>
      <c r="F1843" t="s">
        <v>21</v>
      </c>
      <c r="G1843" t="s">
        <v>33</v>
      </c>
      <c r="I1843" t="s">
        <v>75</v>
      </c>
      <c r="J1843" t="s">
        <v>4778</v>
      </c>
      <c r="K1843" t="s">
        <v>4578</v>
      </c>
      <c r="L1843">
        <v>1.3</v>
      </c>
      <c r="M1843">
        <v>1045000</v>
      </c>
      <c r="N1843">
        <v>4.0999999999999996</v>
      </c>
      <c r="O1843">
        <v>3</v>
      </c>
      <c r="P1843" t="s">
        <v>53</v>
      </c>
    </row>
    <row r="1844" spans="1:16" x14ac:dyDescent="0.25">
      <c r="A1844" t="s">
        <v>4779</v>
      </c>
      <c r="B1844" t="s">
        <v>319</v>
      </c>
      <c r="C1844" t="s">
        <v>18</v>
      </c>
      <c r="D1844" t="s">
        <v>79</v>
      </c>
      <c r="E1844" t="s">
        <v>20</v>
      </c>
      <c r="F1844" t="s">
        <v>45</v>
      </c>
      <c r="G1844" t="s">
        <v>80</v>
      </c>
      <c r="H1844" t="s">
        <v>46</v>
      </c>
      <c r="I1844" t="s">
        <v>24</v>
      </c>
      <c r="J1844" t="s">
        <v>507</v>
      </c>
      <c r="L1844">
        <v>4.7</v>
      </c>
      <c r="M1844">
        <v>1278000</v>
      </c>
      <c r="N1844">
        <v>3.3</v>
      </c>
      <c r="O1844">
        <v>39</v>
      </c>
      <c r="P1844" t="s">
        <v>26</v>
      </c>
    </row>
    <row r="1845" spans="1:16" x14ac:dyDescent="0.25">
      <c r="A1845" t="s">
        <v>4780</v>
      </c>
      <c r="B1845" t="s">
        <v>1542</v>
      </c>
      <c r="C1845" t="s">
        <v>18</v>
      </c>
      <c r="D1845" t="s">
        <v>43</v>
      </c>
      <c r="E1845" t="s">
        <v>20</v>
      </c>
      <c r="F1845" t="s">
        <v>39</v>
      </c>
      <c r="G1845" t="s">
        <v>80</v>
      </c>
      <c r="I1845" t="s">
        <v>57</v>
      </c>
      <c r="J1845" t="s">
        <v>70</v>
      </c>
      <c r="K1845" t="s">
        <v>4781</v>
      </c>
      <c r="L1845">
        <v>1.9</v>
      </c>
      <c r="M1845">
        <v>148000</v>
      </c>
      <c r="N1845">
        <v>4.8</v>
      </c>
      <c r="O1845">
        <v>35</v>
      </c>
      <c r="P1845" t="s">
        <v>53</v>
      </c>
    </row>
    <row r="1846" spans="1:16" x14ac:dyDescent="0.25">
      <c r="A1846" t="s">
        <v>4782</v>
      </c>
      <c r="B1846" t="s">
        <v>4542</v>
      </c>
      <c r="C1846" t="s">
        <v>18</v>
      </c>
      <c r="D1846" t="s">
        <v>50</v>
      </c>
      <c r="E1846" t="s">
        <v>31</v>
      </c>
      <c r="F1846" t="s">
        <v>39</v>
      </c>
      <c r="G1846" t="s">
        <v>22</v>
      </c>
      <c r="H1846" t="s">
        <v>34</v>
      </c>
      <c r="I1846" t="s">
        <v>35</v>
      </c>
      <c r="J1846" t="s">
        <v>4783</v>
      </c>
      <c r="L1846">
        <v>5.5</v>
      </c>
      <c r="M1846">
        <v>159000</v>
      </c>
      <c r="N1846">
        <v>2.1</v>
      </c>
      <c r="O1846">
        <v>4</v>
      </c>
      <c r="P1846" t="s">
        <v>26</v>
      </c>
    </row>
    <row r="1847" spans="1:16" x14ac:dyDescent="0.25">
      <c r="A1847" t="s">
        <v>4784</v>
      </c>
      <c r="B1847" t="s">
        <v>4785</v>
      </c>
      <c r="C1847" t="s">
        <v>18</v>
      </c>
      <c r="D1847" t="s">
        <v>19</v>
      </c>
      <c r="E1847" t="s">
        <v>20</v>
      </c>
      <c r="F1847" t="s">
        <v>32</v>
      </c>
      <c r="G1847" t="s">
        <v>22</v>
      </c>
      <c r="H1847" t="s">
        <v>34</v>
      </c>
      <c r="I1847" t="s">
        <v>75</v>
      </c>
      <c r="J1847" t="s">
        <v>4786</v>
      </c>
      <c r="L1847">
        <v>1.5</v>
      </c>
      <c r="M1847">
        <v>336000</v>
      </c>
      <c r="N1847">
        <v>2.4</v>
      </c>
      <c r="O1847">
        <v>8</v>
      </c>
      <c r="P1847" t="s">
        <v>26</v>
      </c>
    </row>
    <row r="1848" spans="1:16" x14ac:dyDescent="0.25">
      <c r="A1848" t="s">
        <v>4787</v>
      </c>
      <c r="B1848" t="s">
        <v>1867</v>
      </c>
      <c r="C1848" t="s">
        <v>18</v>
      </c>
      <c r="D1848" t="s">
        <v>19</v>
      </c>
      <c r="E1848" t="s">
        <v>20</v>
      </c>
      <c r="F1848" t="s">
        <v>128</v>
      </c>
      <c r="G1848" t="s">
        <v>22</v>
      </c>
      <c r="H1848" t="s">
        <v>23</v>
      </c>
      <c r="I1848" t="s">
        <v>75</v>
      </c>
      <c r="J1848" t="s">
        <v>1600</v>
      </c>
      <c r="L1848">
        <v>5.2</v>
      </c>
      <c r="N1848">
        <v>4.9000000000000004</v>
      </c>
      <c r="O1848">
        <v>33</v>
      </c>
      <c r="P1848" t="s">
        <v>26</v>
      </c>
    </row>
    <row r="1849" spans="1:16" x14ac:dyDescent="0.25">
      <c r="A1849" t="s">
        <v>4788</v>
      </c>
      <c r="B1849" t="s">
        <v>4789</v>
      </c>
      <c r="C1849" t="s">
        <v>18</v>
      </c>
      <c r="D1849" t="s">
        <v>43</v>
      </c>
      <c r="E1849" t="s">
        <v>44</v>
      </c>
      <c r="F1849" t="s">
        <v>128</v>
      </c>
      <c r="G1849" t="s">
        <v>22</v>
      </c>
      <c r="H1849" t="s">
        <v>46</v>
      </c>
      <c r="I1849" t="s">
        <v>57</v>
      </c>
      <c r="J1849" t="s">
        <v>4790</v>
      </c>
      <c r="L1849">
        <v>2.8</v>
      </c>
      <c r="M1849">
        <v>350000</v>
      </c>
      <c r="N1849">
        <v>3</v>
      </c>
      <c r="O1849">
        <v>14</v>
      </c>
      <c r="P1849" t="s">
        <v>26</v>
      </c>
    </row>
    <row r="1850" spans="1:16" x14ac:dyDescent="0.25">
      <c r="A1850" t="s">
        <v>4791</v>
      </c>
      <c r="B1850" t="s">
        <v>4792</v>
      </c>
      <c r="C1850" t="s">
        <v>18</v>
      </c>
      <c r="D1850" t="s">
        <v>30</v>
      </c>
      <c r="E1850" t="s">
        <v>31</v>
      </c>
      <c r="F1850" t="s">
        <v>21</v>
      </c>
      <c r="G1850" t="s">
        <v>33</v>
      </c>
      <c r="H1850" t="s">
        <v>34</v>
      </c>
      <c r="I1850" t="s">
        <v>24</v>
      </c>
      <c r="J1850" t="s">
        <v>4793</v>
      </c>
      <c r="L1850">
        <v>6.2</v>
      </c>
      <c r="M1850">
        <v>922000</v>
      </c>
      <c r="N1850">
        <v>4.5</v>
      </c>
      <c r="O1850">
        <v>18</v>
      </c>
      <c r="P1850" t="s">
        <v>26</v>
      </c>
    </row>
    <row r="1851" spans="1:16" x14ac:dyDescent="0.25">
      <c r="A1851" t="s">
        <v>4794</v>
      </c>
      <c r="B1851" t="s">
        <v>4795</v>
      </c>
      <c r="C1851" t="s">
        <v>18</v>
      </c>
      <c r="D1851" t="s">
        <v>19</v>
      </c>
      <c r="E1851" t="s">
        <v>20</v>
      </c>
      <c r="F1851" t="s">
        <v>39</v>
      </c>
      <c r="G1851" t="s">
        <v>22</v>
      </c>
      <c r="H1851" t="s">
        <v>23</v>
      </c>
      <c r="I1851" t="s">
        <v>57</v>
      </c>
      <c r="J1851" t="s">
        <v>4796</v>
      </c>
      <c r="L1851">
        <v>5.4</v>
      </c>
      <c r="M1851">
        <v>133000</v>
      </c>
      <c r="N1851">
        <v>4.8</v>
      </c>
      <c r="O1851">
        <v>9</v>
      </c>
      <c r="P1851" t="s">
        <v>26</v>
      </c>
    </row>
    <row r="1852" spans="1:16" x14ac:dyDescent="0.25">
      <c r="A1852" t="s">
        <v>4797</v>
      </c>
      <c r="B1852" t="s">
        <v>4798</v>
      </c>
      <c r="C1852" t="s">
        <v>29</v>
      </c>
      <c r="D1852" t="s">
        <v>43</v>
      </c>
      <c r="E1852" t="s">
        <v>44</v>
      </c>
      <c r="F1852" t="s">
        <v>32</v>
      </c>
      <c r="G1852" t="s">
        <v>22</v>
      </c>
      <c r="H1852" t="s">
        <v>23</v>
      </c>
      <c r="I1852" t="s">
        <v>57</v>
      </c>
      <c r="J1852" t="s">
        <v>3565</v>
      </c>
      <c r="L1852">
        <v>4</v>
      </c>
      <c r="M1852">
        <v>230000</v>
      </c>
      <c r="N1852">
        <v>2.9</v>
      </c>
      <c r="O1852">
        <v>26</v>
      </c>
      <c r="P1852" t="s">
        <v>26</v>
      </c>
    </row>
    <row r="1853" spans="1:16" x14ac:dyDescent="0.25">
      <c r="A1853" t="s">
        <v>4799</v>
      </c>
      <c r="B1853" t="s">
        <v>4800</v>
      </c>
      <c r="C1853" t="s">
        <v>29</v>
      </c>
      <c r="D1853" t="s">
        <v>30</v>
      </c>
      <c r="E1853" t="s">
        <v>31</v>
      </c>
      <c r="F1853" t="s">
        <v>128</v>
      </c>
      <c r="G1853" t="s">
        <v>33</v>
      </c>
      <c r="H1853" t="s">
        <v>46</v>
      </c>
      <c r="I1853" t="s">
        <v>57</v>
      </c>
      <c r="J1853" t="s">
        <v>3161</v>
      </c>
      <c r="L1853">
        <v>4.2</v>
      </c>
      <c r="M1853">
        <v>431000</v>
      </c>
      <c r="N1853">
        <v>3.6</v>
      </c>
      <c r="O1853">
        <v>0</v>
      </c>
      <c r="P1853" t="s">
        <v>26</v>
      </c>
    </row>
    <row r="1854" spans="1:16" x14ac:dyDescent="0.25">
      <c r="A1854" t="s">
        <v>4801</v>
      </c>
      <c r="B1854" t="s">
        <v>4522</v>
      </c>
      <c r="C1854" t="s">
        <v>29</v>
      </c>
      <c r="D1854" t="s">
        <v>79</v>
      </c>
      <c r="E1854" t="s">
        <v>44</v>
      </c>
      <c r="F1854" t="s">
        <v>39</v>
      </c>
      <c r="G1854" t="s">
        <v>69</v>
      </c>
      <c r="I1854" t="s">
        <v>57</v>
      </c>
      <c r="J1854" t="s">
        <v>249</v>
      </c>
      <c r="L1854">
        <v>5.3</v>
      </c>
      <c r="M1854">
        <v>149000</v>
      </c>
      <c r="N1854">
        <v>3.6</v>
      </c>
      <c r="O1854">
        <v>2</v>
      </c>
      <c r="P1854" t="s">
        <v>26</v>
      </c>
    </row>
    <row r="1855" spans="1:16" x14ac:dyDescent="0.25">
      <c r="A1855" t="s">
        <v>4802</v>
      </c>
      <c r="B1855" t="s">
        <v>1253</v>
      </c>
      <c r="C1855" t="s">
        <v>29</v>
      </c>
      <c r="D1855" t="s">
        <v>79</v>
      </c>
      <c r="E1855" t="s">
        <v>20</v>
      </c>
      <c r="F1855" t="s">
        <v>32</v>
      </c>
      <c r="G1855" t="s">
        <v>33</v>
      </c>
      <c r="H1855" t="s">
        <v>23</v>
      </c>
      <c r="J1855" t="s">
        <v>854</v>
      </c>
      <c r="L1855">
        <v>6</v>
      </c>
      <c r="M1855">
        <v>271000</v>
      </c>
      <c r="N1855">
        <v>3.2</v>
      </c>
      <c r="O1855">
        <v>14</v>
      </c>
      <c r="P1855" t="s">
        <v>26</v>
      </c>
    </row>
    <row r="1856" spans="1:16" x14ac:dyDescent="0.25">
      <c r="A1856" t="s">
        <v>4803</v>
      </c>
      <c r="B1856" t="s">
        <v>4804</v>
      </c>
      <c r="C1856" t="s">
        <v>29</v>
      </c>
      <c r="D1856" t="s">
        <v>79</v>
      </c>
      <c r="E1856" t="s">
        <v>20</v>
      </c>
      <c r="F1856" t="s">
        <v>32</v>
      </c>
      <c r="G1856" t="s">
        <v>80</v>
      </c>
      <c r="H1856" t="s">
        <v>23</v>
      </c>
      <c r="I1856" t="s">
        <v>57</v>
      </c>
      <c r="J1856" t="s">
        <v>4805</v>
      </c>
      <c r="L1856">
        <v>5.9</v>
      </c>
      <c r="M1856">
        <v>251000</v>
      </c>
      <c r="N1856">
        <v>3.3</v>
      </c>
      <c r="O1856">
        <v>10</v>
      </c>
      <c r="P1856" t="s">
        <v>26</v>
      </c>
    </row>
    <row r="1857" spans="1:16" x14ac:dyDescent="0.25">
      <c r="A1857" t="s">
        <v>4806</v>
      </c>
      <c r="B1857" t="s">
        <v>4807</v>
      </c>
      <c r="C1857" t="s">
        <v>29</v>
      </c>
      <c r="D1857" t="s">
        <v>79</v>
      </c>
      <c r="E1857" t="s">
        <v>31</v>
      </c>
      <c r="F1857" t="s">
        <v>21</v>
      </c>
      <c r="G1857" t="s">
        <v>22</v>
      </c>
      <c r="H1857" t="s">
        <v>23</v>
      </c>
      <c r="I1857" t="s">
        <v>35</v>
      </c>
      <c r="J1857" t="s">
        <v>1391</v>
      </c>
      <c r="K1857" t="s">
        <v>4808</v>
      </c>
      <c r="L1857">
        <v>3.4</v>
      </c>
      <c r="M1857">
        <v>779000</v>
      </c>
      <c r="N1857">
        <v>3.5</v>
      </c>
      <c r="O1857">
        <v>6</v>
      </c>
      <c r="P1857" t="s">
        <v>53</v>
      </c>
    </row>
    <row r="1858" spans="1:16" x14ac:dyDescent="0.25">
      <c r="A1858" t="s">
        <v>4809</v>
      </c>
      <c r="B1858" t="s">
        <v>3531</v>
      </c>
      <c r="C1858" t="s">
        <v>18</v>
      </c>
      <c r="D1858" t="s">
        <v>43</v>
      </c>
      <c r="E1858" t="s">
        <v>31</v>
      </c>
      <c r="F1858" t="s">
        <v>21</v>
      </c>
      <c r="G1858" t="s">
        <v>22</v>
      </c>
      <c r="H1858" t="s">
        <v>62</v>
      </c>
      <c r="I1858" t="s">
        <v>75</v>
      </c>
      <c r="J1858" t="s">
        <v>99</v>
      </c>
      <c r="K1858" t="s">
        <v>3042</v>
      </c>
      <c r="L1858">
        <v>2.2000000000000002</v>
      </c>
      <c r="M1858">
        <v>635000</v>
      </c>
      <c r="N1858">
        <v>3.7</v>
      </c>
      <c r="O1858">
        <v>8</v>
      </c>
      <c r="P1858" t="s">
        <v>53</v>
      </c>
    </row>
    <row r="1859" spans="1:16" x14ac:dyDescent="0.25">
      <c r="A1859" t="s">
        <v>4810</v>
      </c>
      <c r="B1859" t="s">
        <v>2624</v>
      </c>
      <c r="C1859" t="s">
        <v>18</v>
      </c>
      <c r="D1859" t="s">
        <v>50</v>
      </c>
      <c r="E1859" t="s">
        <v>20</v>
      </c>
      <c r="F1859" t="s">
        <v>39</v>
      </c>
      <c r="G1859" t="s">
        <v>69</v>
      </c>
      <c r="H1859" t="s">
        <v>23</v>
      </c>
      <c r="I1859" t="s">
        <v>57</v>
      </c>
      <c r="J1859" t="s">
        <v>4007</v>
      </c>
      <c r="L1859">
        <v>5.3</v>
      </c>
      <c r="M1859">
        <v>171000</v>
      </c>
      <c r="N1859">
        <v>4</v>
      </c>
      <c r="P1859" t="s">
        <v>26</v>
      </c>
    </row>
    <row r="1860" spans="1:16" x14ac:dyDescent="0.25">
      <c r="A1860" t="s">
        <v>4811</v>
      </c>
      <c r="B1860" t="s">
        <v>3272</v>
      </c>
      <c r="C1860" t="s">
        <v>29</v>
      </c>
      <c r="D1860" t="s">
        <v>19</v>
      </c>
      <c r="E1860" t="s">
        <v>44</v>
      </c>
      <c r="F1860" t="s">
        <v>32</v>
      </c>
      <c r="G1860" t="s">
        <v>22</v>
      </c>
      <c r="H1860" t="s">
        <v>23</v>
      </c>
      <c r="I1860" t="s">
        <v>57</v>
      </c>
      <c r="J1860" t="s">
        <v>4258</v>
      </c>
      <c r="K1860" t="s">
        <v>4812</v>
      </c>
      <c r="L1860">
        <v>4.3</v>
      </c>
      <c r="M1860">
        <v>298000</v>
      </c>
      <c r="N1860">
        <v>3</v>
      </c>
      <c r="O1860">
        <v>13</v>
      </c>
      <c r="P1860" t="s">
        <v>53</v>
      </c>
    </row>
    <row r="1861" spans="1:16" x14ac:dyDescent="0.25">
      <c r="A1861" t="s">
        <v>4813</v>
      </c>
      <c r="B1861" t="s">
        <v>4769</v>
      </c>
      <c r="C1861" t="s">
        <v>18</v>
      </c>
      <c r="D1861" t="s">
        <v>30</v>
      </c>
      <c r="E1861" t="s">
        <v>44</v>
      </c>
      <c r="F1861" t="s">
        <v>39</v>
      </c>
      <c r="G1861" t="s">
        <v>80</v>
      </c>
      <c r="H1861" t="s">
        <v>34</v>
      </c>
      <c r="I1861" t="s">
        <v>24</v>
      </c>
      <c r="J1861" t="s">
        <v>1333</v>
      </c>
      <c r="K1861" t="s">
        <v>1456</v>
      </c>
      <c r="L1861">
        <v>5</v>
      </c>
      <c r="M1861">
        <v>129000</v>
      </c>
      <c r="O1861">
        <v>9</v>
      </c>
      <c r="P1861" t="s">
        <v>53</v>
      </c>
    </row>
    <row r="1862" spans="1:16" x14ac:dyDescent="0.25">
      <c r="A1862" t="s">
        <v>4814</v>
      </c>
      <c r="B1862" t="s">
        <v>4815</v>
      </c>
      <c r="C1862" t="s">
        <v>18</v>
      </c>
      <c r="D1862" t="s">
        <v>43</v>
      </c>
      <c r="E1862" t="s">
        <v>20</v>
      </c>
      <c r="F1862" t="s">
        <v>32</v>
      </c>
      <c r="G1862" t="s">
        <v>80</v>
      </c>
      <c r="H1862" t="s">
        <v>34</v>
      </c>
      <c r="I1862" t="s">
        <v>35</v>
      </c>
      <c r="J1862" t="s">
        <v>3062</v>
      </c>
      <c r="L1862">
        <v>2.2999999999999998</v>
      </c>
      <c r="M1862">
        <v>182000</v>
      </c>
      <c r="N1862">
        <v>3.3</v>
      </c>
      <c r="O1862">
        <v>4</v>
      </c>
      <c r="P1862" t="s">
        <v>26</v>
      </c>
    </row>
    <row r="1863" spans="1:16" x14ac:dyDescent="0.25">
      <c r="A1863" t="s">
        <v>4816</v>
      </c>
      <c r="B1863" t="s">
        <v>4817</v>
      </c>
      <c r="C1863" t="s">
        <v>29</v>
      </c>
      <c r="D1863" t="s">
        <v>19</v>
      </c>
      <c r="E1863" t="s">
        <v>44</v>
      </c>
      <c r="F1863" t="s">
        <v>32</v>
      </c>
      <c r="G1863" t="s">
        <v>33</v>
      </c>
      <c r="H1863" t="s">
        <v>34</v>
      </c>
      <c r="I1863" t="s">
        <v>24</v>
      </c>
      <c r="J1863" t="s">
        <v>546</v>
      </c>
      <c r="L1863">
        <v>3.9</v>
      </c>
      <c r="M1863">
        <v>267000</v>
      </c>
      <c r="N1863">
        <v>4.8</v>
      </c>
      <c r="O1863">
        <v>7</v>
      </c>
      <c r="P1863" t="s">
        <v>26</v>
      </c>
    </row>
    <row r="1864" spans="1:16" x14ac:dyDescent="0.25">
      <c r="A1864" t="s">
        <v>4818</v>
      </c>
      <c r="B1864" t="s">
        <v>4819</v>
      </c>
      <c r="C1864" t="s">
        <v>29</v>
      </c>
      <c r="D1864" t="s">
        <v>30</v>
      </c>
      <c r="E1864" t="s">
        <v>20</v>
      </c>
      <c r="F1864" t="s">
        <v>32</v>
      </c>
      <c r="G1864" t="s">
        <v>22</v>
      </c>
      <c r="H1864" t="s">
        <v>62</v>
      </c>
      <c r="I1864" t="s">
        <v>75</v>
      </c>
      <c r="J1864" t="s">
        <v>2355</v>
      </c>
      <c r="K1864" t="s">
        <v>676</v>
      </c>
      <c r="L1864">
        <v>6.1</v>
      </c>
      <c r="M1864">
        <v>230000</v>
      </c>
      <c r="O1864">
        <v>1</v>
      </c>
      <c r="P1864" t="s">
        <v>53</v>
      </c>
    </row>
    <row r="1865" spans="1:16" x14ac:dyDescent="0.25">
      <c r="A1865" t="s">
        <v>4820</v>
      </c>
      <c r="B1865" t="s">
        <v>4821</v>
      </c>
      <c r="C1865" t="s">
        <v>29</v>
      </c>
      <c r="D1865" t="s">
        <v>79</v>
      </c>
      <c r="E1865" t="s">
        <v>44</v>
      </c>
      <c r="F1865" t="s">
        <v>32</v>
      </c>
      <c r="G1865" t="s">
        <v>22</v>
      </c>
      <c r="H1865" t="s">
        <v>62</v>
      </c>
      <c r="I1865" t="s">
        <v>57</v>
      </c>
      <c r="J1865" t="s">
        <v>4822</v>
      </c>
      <c r="L1865">
        <v>3.4</v>
      </c>
      <c r="M1865">
        <v>190000</v>
      </c>
      <c r="N1865">
        <v>3</v>
      </c>
      <c r="O1865">
        <v>2</v>
      </c>
      <c r="P1865" t="s">
        <v>26</v>
      </c>
    </row>
    <row r="1866" spans="1:16" x14ac:dyDescent="0.25">
      <c r="A1866" t="s">
        <v>4823</v>
      </c>
      <c r="B1866" t="s">
        <v>3168</v>
      </c>
      <c r="C1866" t="s">
        <v>18</v>
      </c>
      <c r="D1866" t="s">
        <v>19</v>
      </c>
      <c r="E1866" t="s">
        <v>20</v>
      </c>
      <c r="F1866" t="s">
        <v>32</v>
      </c>
      <c r="G1866" t="s">
        <v>80</v>
      </c>
      <c r="H1866" t="s">
        <v>46</v>
      </c>
      <c r="I1866" t="s">
        <v>24</v>
      </c>
      <c r="J1866" t="s">
        <v>3276</v>
      </c>
      <c r="K1866" t="s">
        <v>192</v>
      </c>
      <c r="L1866">
        <v>3.2</v>
      </c>
      <c r="M1866">
        <v>336000</v>
      </c>
      <c r="O1866">
        <v>14</v>
      </c>
      <c r="P1866" t="s">
        <v>53</v>
      </c>
    </row>
    <row r="1867" spans="1:16" x14ac:dyDescent="0.25">
      <c r="A1867" t="s">
        <v>4824</v>
      </c>
      <c r="B1867" t="s">
        <v>4825</v>
      </c>
      <c r="C1867" t="s">
        <v>29</v>
      </c>
      <c r="D1867" t="s">
        <v>43</v>
      </c>
      <c r="E1867" t="s">
        <v>20</v>
      </c>
      <c r="F1867" t="s">
        <v>39</v>
      </c>
      <c r="G1867" t="s">
        <v>33</v>
      </c>
      <c r="H1867" t="s">
        <v>62</v>
      </c>
      <c r="I1867" t="s">
        <v>24</v>
      </c>
      <c r="J1867" t="s">
        <v>4826</v>
      </c>
      <c r="L1867">
        <v>1.5</v>
      </c>
      <c r="M1867">
        <v>149000</v>
      </c>
      <c r="N1867">
        <v>3</v>
      </c>
      <c r="O1867">
        <v>8</v>
      </c>
      <c r="P1867" t="s">
        <v>26</v>
      </c>
    </row>
    <row r="1868" spans="1:16" x14ac:dyDescent="0.25">
      <c r="A1868" t="s">
        <v>4827</v>
      </c>
      <c r="B1868" t="s">
        <v>4828</v>
      </c>
      <c r="C1868" t="s">
        <v>18</v>
      </c>
      <c r="D1868" t="s">
        <v>79</v>
      </c>
      <c r="E1868" t="s">
        <v>20</v>
      </c>
      <c r="F1868" t="s">
        <v>32</v>
      </c>
      <c r="G1868" t="s">
        <v>22</v>
      </c>
      <c r="H1868" t="s">
        <v>34</v>
      </c>
      <c r="I1868" t="s">
        <v>35</v>
      </c>
      <c r="J1868" t="s">
        <v>199</v>
      </c>
      <c r="L1868">
        <v>4.3</v>
      </c>
      <c r="M1868">
        <v>192000</v>
      </c>
      <c r="N1868">
        <v>3.8</v>
      </c>
      <c r="O1868">
        <v>3</v>
      </c>
      <c r="P1868" t="s">
        <v>26</v>
      </c>
    </row>
    <row r="1869" spans="1:16" x14ac:dyDescent="0.25">
      <c r="A1869" t="s">
        <v>4829</v>
      </c>
      <c r="B1869" t="s">
        <v>4830</v>
      </c>
      <c r="C1869" t="s">
        <v>29</v>
      </c>
      <c r="D1869" t="s">
        <v>50</v>
      </c>
      <c r="E1869" t="s">
        <v>20</v>
      </c>
      <c r="F1869" t="s">
        <v>39</v>
      </c>
      <c r="G1869" t="s">
        <v>22</v>
      </c>
      <c r="H1869" t="s">
        <v>62</v>
      </c>
      <c r="J1869" t="s">
        <v>4831</v>
      </c>
      <c r="L1869">
        <v>3.8</v>
      </c>
      <c r="M1869">
        <v>158000</v>
      </c>
      <c r="N1869">
        <v>4.5</v>
      </c>
      <c r="O1869">
        <v>40</v>
      </c>
      <c r="P1869" t="s">
        <v>26</v>
      </c>
    </row>
    <row r="1870" spans="1:16" x14ac:dyDescent="0.25">
      <c r="A1870" t="s">
        <v>4832</v>
      </c>
      <c r="B1870" t="s">
        <v>2599</v>
      </c>
      <c r="C1870" t="s">
        <v>18</v>
      </c>
      <c r="D1870" t="s">
        <v>19</v>
      </c>
      <c r="F1870" t="s">
        <v>128</v>
      </c>
      <c r="G1870" t="s">
        <v>80</v>
      </c>
      <c r="H1870" t="s">
        <v>34</v>
      </c>
      <c r="I1870" t="s">
        <v>57</v>
      </c>
      <c r="J1870" t="s">
        <v>2143</v>
      </c>
      <c r="L1870">
        <v>6.1</v>
      </c>
      <c r="N1870">
        <v>4</v>
      </c>
      <c r="O1870">
        <v>8</v>
      </c>
      <c r="P1870" t="s">
        <v>26</v>
      </c>
    </row>
    <row r="1871" spans="1:16" x14ac:dyDescent="0.25">
      <c r="A1871" t="s">
        <v>4833</v>
      </c>
      <c r="B1871" t="s">
        <v>207</v>
      </c>
      <c r="C1871" t="s">
        <v>29</v>
      </c>
      <c r="D1871" t="s">
        <v>30</v>
      </c>
      <c r="E1871" t="s">
        <v>20</v>
      </c>
      <c r="F1871" t="s">
        <v>39</v>
      </c>
      <c r="G1871" t="s">
        <v>22</v>
      </c>
      <c r="H1871" t="s">
        <v>23</v>
      </c>
      <c r="I1871" t="s">
        <v>57</v>
      </c>
      <c r="J1871" t="s">
        <v>4834</v>
      </c>
      <c r="L1871">
        <v>4.3</v>
      </c>
      <c r="M1871">
        <v>161000</v>
      </c>
      <c r="N1871">
        <v>3.1</v>
      </c>
      <c r="O1871">
        <v>11</v>
      </c>
      <c r="P1871" t="s">
        <v>26</v>
      </c>
    </row>
    <row r="1872" spans="1:16" x14ac:dyDescent="0.25">
      <c r="A1872" t="s">
        <v>4835</v>
      </c>
      <c r="B1872" t="s">
        <v>4836</v>
      </c>
      <c r="C1872" t="s">
        <v>29</v>
      </c>
      <c r="D1872" t="s">
        <v>43</v>
      </c>
      <c r="E1872" t="s">
        <v>44</v>
      </c>
      <c r="F1872" t="s">
        <v>128</v>
      </c>
      <c r="G1872" t="s">
        <v>22</v>
      </c>
      <c r="H1872" t="s">
        <v>23</v>
      </c>
      <c r="I1872" t="s">
        <v>24</v>
      </c>
      <c r="J1872" t="s">
        <v>4837</v>
      </c>
      <c r="L1872">
        <v>1.7</v>
      </c>
      <c r="M1872">
        <v>389000</v>
      </c>
      <c r="N1872">
        <v>2</v>
      </c>
      <c r="O1872">
        <v>7</v>
      </c>
      <c r="P1872" t="s">
        <v>26</v>
      </c>
    </row>
    <row r="1873" spans="1:16" x14ac:dyDescent="0.25">
      <c r="A1873" t="s">
        <v>4838</v>
      </c>
      <c r="B1873" t="s">
        <v>4839</v>
      </c>
      <c r="C1873" t="s">
        <v>29</v>
      </c>
      <c r="D1873" t="s">
        <v>79</v>
      </c>
      <c r="E1873" t="s">
        <v>44</v>
      </c>
      <c r="F1873" t="s">
        <v>39</v>
      </c>
      <c r="G1873" t="s">
        <v>22</v>
      </c>
      <c r="H1873" t="s">
        <v>62</v>
      </c>
      <c r="I1873" t="s">
        <v>24</v>
      </c>
      <c r="J1873" t="s">
        <v>4840</v>
      </c>
      <c r="L1873">
        <v>4.5999999999999996</v>
      </c>
      <c r="M1873">
        <v>100000</v>
      </c>
      <c r="N1873">
        <v>2.7</v>
      </c>
      <c r="O1873">
        <v>6</v>
      </c>
      <c r="P1873" t="s">
        <v>26</v>
      </c>
    </row>
    <row r="1874" spans="1:16" x14ac:dyDescent="0.25">
      <c r="A1874" t="s">
        <v>4841</v>
      </c>
      <c r="B1874" t="s">
        <v>4842</v>
      </c>
      <c r="C1874" t="s">
        <v>29</v>
      </c>
      <c r="D1874" t="s">
        <v>19</v>
      </c>
      <c r="E1874" t="s">
        <v>20</v>
      </c>
      <c r="F1874" t="s">
        <v>32</v>
      </c>
      <c r="G1874" t="s">
        <v>22</v>
      </c>
      <c r="H1874" t="s">
        <v>34</v>
      </c>
      <c r="I1874" t="s">
        <v>24</v>
      </c>
      <c r="J1874" t="s">
        <v>794</v>
      </c>
      <c r="L1874">
        <v>2.6</v>
      </c>
      <c r="M1874">
        <v>237000</v>
      </c>
      <c r="N1874">
        <v>2.9</v>
      </c>
      <c r="O1874">
        <v>7</v>
      </c>
      <c r="P1874" t="s">
        <v>26</v>
      </c>
    </row>
    <row r="1875" spans="1:16" x14ac:dyDescent="0.25">
      <c r="A1875" t="s">
        <v>4843</v>
      </c>
      <c r="B1875" t="s">
        <v>4844</v>
      </c>
      <c r="C1875" t="s">
        <v>29</v>
      </c>
      <c r="D1875" t="s">
        <v>79</v>
      </c>
      <c r="E1875" t="s">
        <v>20</v>
      </c>
      <c r="F1875" t="s">
        <v>45</v>
      </c>
      <c r="G1875" t="s">
        <v>22</v>
      </c>
      <c r="H1875" t="s">
        <v>23</v>
      </c>
      <c r="I1875" t="s">
        <v>57</v>
      </c>
      <c r="J1875" t="s">
        <v>4845</v>
      </c>
      <c r="L1875">
        <v>4.0999999999999996</v>
      </c>
      <c r="M1875">
        <v>1594000</v>
      </c>
      <c r="N1875">
        <v>3.9</v>
      </c>
      <c r="O1875">
        <v>13</v>
      </c>
      <c r="P1875" t="s">
        <v>26</v>
      </c>
    </row>
    <row r="1876" spans="1:16" x14ac:dyDescent="0.25">
      <c r="A1876" t="s">
        <v>4846</v>
      </c>
      <c r="B1876" t="s">
        <v>4847</v>
      </c>
      <c r="C1876" t="s">
        <v>29</v>
      </c>
      <c r="D1876" t="s">
        <v>30</v>
      </c>
      <c r="E1876" t="s">
        <v>31</v>
      </c>
      <c r="F1876" t="s">
        <v>32</v>
      </c>
      <c r="G1876" t="s">
        <v>80</v>
      </c>
      <c r="H1876" t="s">
        <v>62</v>
      </c>
      <c r="I1876" t="s">
        <v>24</v>
      </c>
      <c r="J1876" t="s">
        <v>2600</v>
      </c>
      <c r="L1876">
        <v>3</v>
      </c>
      <c r="M1876">
        <v>216000</v>
      </c>
      <c r="N1876">
        <v>2.8</v>
      </c>
      <c r="O1876">
        <v>40</v>
      </c>
      <c r="P1876" t="s">
        <v>26</v>
      </c>
    </row>
    <row r="1877" spans="1:16" x14ac:dyDescent="0.25">
      <c r="A1877" t="s">
        <v>4848</v>
      </c>
      <c r="B1877" t="s">
        <v>4130</v>
      </c>
      <c r="C1877" t="s">
        <v>18</v>
      </c>
      <c r="D1877" t="s">
        <v>79</v>
      </c>
      <c r="E1877" t="s">
        <v>44</v>
      </c>
      <c r="F1877" t="s">
        <v>21</v>
      </c>
      <c r="G1877" t="s">
        <v>69</v>
      </c>
      <c r="H1877" t="s">
        <v>62</v>
      </c>
      <c r="I1877" t="s">
        <v>35</v>
      </c>
      <c r="J1877" t="s">
        <v>4169</v>
      </c>
      <c r="L1877">
        <v>5.0999999999999996</v>
      </c>
      <c r="M1877">
        <v>797000</v>
      </c>
      <c r="N1877">
        <v>3.8</v>
      </c>
      <c r="O1877">
        <v>13</v>
      </c>
      <c r="P1877" t="s">
        <v>26</v>
      </c>
    </row>
    <row r="1878" spans="1:16" x14ac:dyDescent="0.25">
      <c r="A1878" t="s">
        <v>4849</v>
      </c>
      <c r="B1878" t="s">
        <v>399</v>
      </c>
      <c r="C1878" t="s">
        <v>18</v>
      </c>
      <c r="D1878" t="s">
        <v>30</v>
      </c>
      <c r="E1878" t="s">
        <v>20</v>
      </c>
      <c r="F1878" t="s">
        <v>39</v>
      </c>
      <c r="G1878" t="s">
        <v>22</v>
      </c>
      <c r="H1878" t="s">
        <v>46</v>
      </c>
      <c r="J1878" t="s">
        <v>2337</v>
      </c>
      <c r="L1878">
        <v>2.6</v>
      </c>
      <c r="M1878">
        <v>107000</v>
      </c>
      <c r="N1878">
        <v>1.9</v>
      </c>
      <c r="O1878">
        <v>1</v>
      </c>
      <c r="P1878" t="s">
        <v>26</v>
      </c>
    </row>
    <row r="1879" spans="1:16" x14ac:dyDescent="0.25">
      <c r="A1879" t="s">
        <v>4850</v>
      </c>
      <c r="B1879" t="s">
        <v>1639</v>
      </c>
      <c r="C1879" t="s">
        <v>18</v>
      </c>
      <c r="E1879" t="s">
        <v>20</v>
      </c>
      <c r="F1879" t="s">
        <v>32</v>
      </c>
      <c r="G1879" t="s">
        <v>80</v>
      </c>
      <c r="H1879" t="s">
        <v>46</v>
      </c>
      <c r="J1879" t="s">
        <v>1852</v>
      </c>
      <c r="L1879">
        <v>2.2999999999999998</v>
      </c>
      <c r="M1879">
        <v>205000</v>
      </c>
      <c r="N1879">
        <v>3.9</v>
      </c>
      <c r="O1879">
        <v>1</v>
      </c>
      <c r="P1879" t="s">
        <v>26</v>
      </c>
    </row>
    <row r="1880" spans="1:16" x14ac:dyDescent="0.25">
      <c r="A1880" t="s">
        <v>4851</v>
      </c>
      <c r="B1880" t="s">
        <v>763</v>
      </c>
      <c r="C1880" t="s">
        <v>29</v>
      </c>
      <c r="E1880" t="s">
        <v>20</v>
      </c>
      <c r="F1880" t="s">
        <v>128</v>
      </c>
      <c r="G1880" t="s">
        <v>33</v>
      </c>
      <c r="H1880" t="s">
        <v>46</v>
      </c>
      <c r="I1880" t="s">
        <v>57</v>
      </c>
      <c r="J1880" t="s">
        <v>4852</v>
      </c>
      <c r="L1880">
        <v>5.8</v>
      </c>
      <c r="M1880">
        <v>450000</v>
      </c>
      <c r="N1880">
        <v>2.2999999999999998</v>
      </c>
      <c r="O1880">
        <v>7</v>
      </c>
      <c r="P1880" t="s">
        <v>26</v>
      </c>
    </row>
    <row r="1881" spans="1:16" x14ac:dyDescent="0.25">
      <c r="A1881" t="s">
        <v>4853</v>
      </c>
      <c r="B1881" t="s">
        <v>4854</v>
      </c>
      <c r="C1881" t="s">
        <v>29</v>
      </c>
      <c r="D1881" t="s">
        <v>30</v>
      </c>
      <c r="E1881" t="s">
        <v>20</v>
      </c>
      <c r="F1881" t="s">
        <v>39</v>
      </c>
      <c r="G1881" t="s">
        <v>69</v>
      </c>
      <c r="H1881" t="s">
        <v>46</v>
      </c>
      <c r="I1881" t="s">
        <v>57</v>
      </c>
      <c r="J1881" t="s">
        <v>1269</v>
      </c>
      <c r="K1881" t="s">
        <v>2414</v>
      </c>
      <c r="L1881">
        <v>4.0999999999999996</v>
      </c>
      <c r="N1881">
        <v>2</v>
      </c>
      <c r="O1881">
        <v>5</v>
      </c>
      <c r="P1881" t="s">
        <v>53</v>
      </c>
    </row>
    <row r="1882" spans="1:16" x14ac:dyDescent="0.25">
      <c r="A1882" t="s">
        <v>4855</v>
      </c>
      <c r="B1882" t="s">
        <v>2245</v>
      </c>
      <c r="C1882" t="s">
        <v>18</v>
      </c>
      <c r="D1882" t="s">
        <v>79</v>
      </c>
      <c r="E1882" t="s">
        <v>20</v>
      </c>
      <c r="F1882" t="s">
        <v>32</v>
      </c>
      <c r="G1882" t="s">
        <v>22</v>
      </c>
      <c r="H1882" t="s">
        <v>46</v>
      </c>
      <c r="I1882" t="s">
        <v>24</v>
      </c>
      <c r="J1882" t="s">
        <v>3565</v>
      </c>
      <c r="K1882" t="s">
        <v>4856</v>
      </c>
      <c r="L1882">
        <v>4</v>
      </c>
      <c r="M1882">
        <v>243000</v>
      </c>
      <c r="N1882">
        <v>5</v>
      </c>
      <c r="O1882">
        <v>2</v>
      </c>
      <c r="P1882" t="s">
        <v>53</v>
      </c>
    </row>
    <row r="1883" spans="1:16" x14ac:dyDescent="0.25">
      <c r="A1883" t="s">
        <v>4857</v>
      </c>
      <c r="B1883" t="s">
        <v>410</v>
      </c>
      <c r="C1883" t="s">
        <v>29</v>
      </c>
      <c r="D1883" t="s">
        <v>19</v>
      </c>
      <c r="E1883" t="s">
        <v>20</v>
      </c>
      <c r="F1883" t="s">
        <v>32</v>
      </c>
      <c r="G1883" t="s">
        <v>22</v>
      </c>
      <c r="H1883" t="s">
        <v>34</v>
      </c>
      <c r="I1883" t="s">
        <v>57</v>
      </c>
      <c r="J1883" t="s">
        <v>1175</v>
      </c>
      <c r="L1883">
        <v>5.0999999999999996</v>
      </c>
      <c r="M1883">
        <v>266000</v>
      </c>
      <c r="O1883">
        <v>13</v>
      </c>
      <c r="P1883" t="s">
        <v>26</v>
      </c>
    </row>
    <row r="1884" spans="1:16" x14ac:dyDescent="0.25">
      <c r="A1884" t="s">
        <v>4858</v>
      </c>
      <c r="B1884" t="s">
        <v>4859</v>
      </c>
      <c r="C1884" t="s">
        <v>18</v>
      </c>
      <c r="D1884" t="s">
        <v>30</v>
      </c>
      <c r="E1884" t="s">
        <v>44</v>
      </c>
      <c r="F1884" t="s">
        <v>39</v>
      </c>
      <c r="G1884" t="s">
        <v>33</v>
      </c>
      <c r="H1884" t="s">
        <v>46</v>
      </c>
      <c r="I1884" t="s">
        <v>24</v>
      </c>
      <c r="J1884" t="s">
        <v>1534</v>
      </c>
      <c r="K1884" t="s">
        <v>4860</v>
      </c>
      <c r="L1884">
        <v>5.2</v>
      </c>
      <c r="M1884">
        <v>89000</v>
      </c>
      <c r="N1884">
        <v>2.4</v>
      </c>
      <c r="O1884">
        <v>2</v>
      </c>
      <c r="P1884" t="s">
        <v>53</v>
      </c>
    </row>
    <row r="1885" spans="1:16" x14ac:dyDescent="0.25">
      <c r="A1885" t="s">
        <v>4861</v>
      </c>
      <c r="B1885" t="s">
        <v>1979</v>
      </c>
      <c r="C1885" t="s">
        <v>29</v>
      </c>
      <c r="D1885" t="s">
        <v>19</v>
      </c>
      <c r="E1885" t="s">
        <v>31</v>
      </c>
      <c r="F1885" t="s">
        <v>39</v>
      </c>
      <c r="G1885" t="s">
        <v>22</v>
      </c>
      <c r="H1885" t="s">
        <v>23</v>
      </c>
      <c r="I1885" t="s">
        <v>57</v>
      </c>
      <c r="J1885" t="s">
        <v>1803</v>
      </c>
      <c r="L1885">
        <v>5.7</v>
      </c>
      <c r="M1885">
        <v>194000</v>
      </c>
      <c r="N1885">
        <v>2.8</v>
      </c>
      <c r="O1885">
        <v>8</v>
      </c>
      <c r="P1885" t="s">
        <v>26</v>
      </c>
    </row>
    <row r="1886" spans="1:16" x14ac:dyDescent="0.25">
      <c r="A1886" t="s">
        <v>4862</v>
      </c>
      <c r="B1886" t="s">
        <v>4262</v>
      </c>
      <c r="C1886" t="s">
        <v>29</v>
      </c>
      <c r="D1886" t="s">
        <v>50</v>
      </c>
      <c r="E1886" t="s">
        <v>44</v>
      </c>
      <c r="G1886" t="s">
        <v>80</v>
      </c>
      <c r="H1886" t="s">
        <v>34</v>
      </c>
      <c r="I1886" t="s">
        <v>24</v>
      </c>
      <c r="J1886" t="s">
        <v>4231</v>
      </c>
      <c r="L1886">
        <v>1.3</v>
      </c>
      <c r="M1886">
        <v>325000</v>
      </c>
      <c r="N1886">
        <v>4.7</v>
      </c>
      <c r="O1886">
        <v>10</v>
      </c>
      <c r="P1886" t="s">
        <v>26</v>
      </c>
    </row>
    <row r="1887" spans="1:16" x14ac:dyDescent="0.25">
      <c r="A1887" t="s">
        <v>4863</v>
      </c>
      <c r="B1887" t="s">
        <v>4864</v>
      </c>
      <c r="C1887" t="s">
        <v>29</v>
      </c>
      <c r="D1887" t="s">
        <v>50</v>
      </c>
      <c r="E1887" t="s">
        <v>31</v>
      </c>
      <c r="F1887" t="s">
        <v>39</v>
      </c>
      <c r="G1887" t="s">
        <v>69</v>
      </c>
      <c r="H1887" t="s">
        <v>23</v>
      </c>
      <c r="I1887" t="s">
        <v>57</v>
      </c>
      <c r="J1887" t="s">
        <v>4865</v>
      </c>
      <c r="L1887">
        <v>4.2</v>
      </c>
      <c r="M1887">
        <v>89000</v>
      </c>
      <c r="N1887">
        <v>4.5</v>
      </c>
      <c r="O1887">
        <v>2</v>
      </c>
      <c r="P1887" t="s">
        <v>26</v>
      </c>
    </row>
    <row r="1888" spans="1:16" x14ac:dyDescent="0.25">
      <c r="A1888" t="s">
        <v>4866</v>
      </c>
      <c r="B1888" t="s">
        <v>4867</v>
      </c>
      <c r="C1888" t="s">
        <v>18</v>
      </c>
      <c r="D1888" t="s">
        <v>30</v>
      </c>
      <c r="E1888" t="s">
        <v>20</v>
      </c>
      <c r="F1888" t="s">
        <v>128</v>
      </c>
      <c r="G1888" t="s">
        <v>80</v>
      </c>
      <c r="H1888" t="s">
        <v>23</v>
      </c>
      <c r="I1888" t="s">
        <v>57</v>
      </c>
      <c r="J1888" t="s">
        <v>4868</v>
      </c>
      <c r="L1888">
        <v>6.2</v>
      </c>
      <c r="M1888">
        <v>394000</v>
      </c>
      <c r="N1888">
        <v>2.6</v>
      </c>
      <c r="O1888">
        <v>10</v>
      </c>
      <c r="P1888" t="s">
        <v>26</v>
      </c>
    </row>
    <row r="1889" spans="1:16" x14ac:dyDescent="0.25">
      <c r="A1889" t="s">
        <v>4869</v>
      </c>
      <c r="B1889" t="s">
        <v>4870</v>
      </c>
      <c r="C1889" t="s">
        <v>29</v>
      </c>
      <c r="D1889" t="s">
        <v>43</v>
      </c>
      <c r="E1889" t="s">
        <v>20</v>
      </c>
      <c r="F1889" t="s">
        <v>32</v>
      </c>
      <c r="G1889" t="s">
        <v>33</v>
      </c>
      <c r="H1889" t="s">
        <v>62</v>
      </c>
      <c r="I1889" t="s">
        <v>57</v>
      </c>
      <c r="J1889" t="s">
        <v>904</v>
      </c>
      <c r="L1889">
        <v>4</v>
      </c>
      <c r="M1889">
        <v>180000</v>
      </c>
      <c r="N1889">
        <v>3.1</v>
      </c>
      <c r="O1889">
        <v>0</v>
      </c>
      <c r="P1889" t="s">
        <v>26</v>
      </c>
    </row>
    <row r="1890" spans="1:16" x14ac:dyDescent="0.25">
      <c r="A1890" t="s">
        <v>4871</v>
      </c>
      <c r="B1890" t="s">
        <v>4872</v>
      </c>
      <c r="C1890" t="s">
        <v>29</v>
      </c>
      <c r="D1890" t="s">
        <v>50</v>
      </c>
      <c r="E1890" t="s">
        <v>20</v>
      </c>
      <c r="F1890" t="s">
        <v>32</v>
      </c>
      <c r="G1890" t="s">
        <v>22</v>
      </c>
      <c r="H1890" t="s">
        <v>23</v>
      </c>
      <c r="I1890" t="s">
        <v>24</v>
      </c>
      <c r="J1890" t="s">
        <v>4169</v>
      </c>
      <c r="L1890">
        <v>5.0999999999999996</v>
      </c>
      <c r="M1890">
        <v>327000</v>
      </c>
      <c r="P1890" t="s">
        <v>26</v>
      </c>
    </row>
    <row r="1891" spans="1:16" x14ac:dyDescent="0.25">
      <c r="A1891" t="s">
        <v>4873</v>
      </c>
      <c r="B1891" t="s">
        <v>4874</v>
      </c>
      <c r="C1891" t="s">
        <v>18</v>
      </c>
      <c r="D1891" t="s">
        <v>79</v>
      </c>
      <c r="E1891" t="s">
        <v>20</v>
      </c>
      <c r="F1891" t="s">
        <v>128</v>
      </c>
      <c r="G1891" t="s">
        <v>80</v>
      </c>
      <c r="H1891" t="s">
        <v>46</v>
      </c>
      <c r="I1891" t="s">
        <v>24</v>
      </c>
      <c r="J1891" t="s">
        <v>921</v>
      </c>
      <c r="K1891" t="s">
        <v>4875</v>
      </c>
      <c r="L1891">
        <v>1.7</v>
      </c>
      <c r="M1891">
        <v>393000</v>
      </c>
      <c r="N1891">
        <v>4.4000000000000004</v>
      </c>
      <c r="O1891">
        <v>5</v>
      </c>
      <c r="P1891" t="s">
        <v>53</v>
      </c>
    </row>
    <row r="1892" spans="1:16" x14ac:dyDescent="0.25">
      <c r="A1892" t="s">
        <v>4876</v>
      </c>
      <c r="B1892" t="s">
        <v>4877</v>
      </c>
      <c r="C1892" t="s">
        <v>18</v>
      </c>
      <c r="D1892" t="s">
        <v>50</v>
      </c>
      <c r="F1892" t="s">
        <v>32</v>
      </c>
      <c r="G1892" t="s">
        <v>80</v>
      </c>
      <c r="H1892" t="s">
        <v>34</v>
      </c>
      <c r="I1892" t="s">
        <v>24</v>
      </c>
      <c r="J1892" t="s">
        <v>2695</v>
      </c>
      <c r="K1892" t="s">
        <v>405</v>
      </c>
      <c r="L1892">
        <v>5.6</v>
      </c>
      <c r="M1892">
        <v>237000</v>
      </c>
      <c r="N1892">
        <v>3.3</v>
      </c>
      <c r="O1892">
        <v>3</v>
      </c>
      <c r="P1892" t="s">
        <v>53</v>
      </c>
    </row>
    <row r="1893" spans="1:16" x14ac:dyDescent="0.25">
      <c r="A1893" t="s">
        <v>4878</v>
      </c>
      <c r="B1893" t="s">
        <v>4879</v>
      </c>
      <c r="C1893" t="s">
        <v>18</v>
      </c>
      <c r="D1893" t="s">
        <v>79</v>
      </c>
      <c r="E1893" t="s">
        <v>20</v>
      </c>
      <c r="F1893" t="s">
        <v>32</v>
      </c>
      <c r="G1893" t="s">
        <v>33</v>
      </c>
      <c r="H1893" t="s">
        <v>23</v>
      </c>
      <c r="I1893" t="s">
        <v>57</v>
      </c>
      <c r="J1893" t="s">
        <v>4880</v>
      </c>
      <c r="K1893" t="s">
        <v>4400</v>
      </c>
      <c r="L1893">
        <v>6.1</v>
      </c>
      <c r="M1893">
        <v>263000</v>
      </c>
      <c r="N1893">
        <v>4.5999999999999996</v>
      </c>
      <c r="O1893">
        <v>7</v>
      </c>
      <c r="P1893" t="s">
        <v>53</v>
      </c>
    </row>
    <row r="1894" spans="1:16" x14ac:dyDescent="0.25">
      <c r="A1894" t="s">
        <v>4881</v>
      </c>
      <c r="B1894" t="s">
        <v>4882</v>
      </c>
      <c r="D1894" t="s">
        <v>50</v>
      </c>
      <c r="E1894" t="s">
        <v>44</v>
      </c>
      <c r="F1894" t="s">
        <v>32</v>
      </c>
      <c r="G1894" t="s">
        <v>69</v>
      </c>
      <c r="H1894" t="s">
        <v>62</v>
      </c>
      <c r="I1894" t="s">
        <v>57</v>
      </c>
      <c r="J1894" t="s">
        <v>2878</v>
      </c>
      <c r="K1894" t="s">
        <v>4883</v>
      </c>
      <c r="L1894">
        <v>6</v>
      </c>
      <c r="M1894">
        <v>193000</v>
      </c>
      <c r="N1894">
        <v>3.1</v>
      </c>
      <c r="O1894">
        <v>38</v>
      </c>
      <c r="P1894" t="s">
        <v>53</v>
      </c>
    </row>
    <row r="1895" spans="1:16" x14ac:dyDescent="0.25">
      <c r="A1895" t="s">
        <v>4884</v>
      </c>
      <c r="B1895" t="s">
        <v>4885</v>
      </c>
      <c r="C1895" t="s">
        <v>29</v>
      </c>
      <c r="D1895" t="s">
        <v>30</v>
      </c>
      <c r="E1895" t="s">
        <v>44</v>
      </c>
      <c r="F1895" t="s">
        <v>128</v>
      </c>
      <c r="G1895" t="s">
        <v>22</v>
      </c>
      <c r="H1895" t="s">
        <v>34</v>
      </c>
      <c r="I1895" t="s">
        <v>24</v>
      </c>
      <c r="J1895" t="s">
        <v>872</v>
      </c>
      <c r="L1895">
        <v>3.8</v>
      </c>
      <c r="M1895">
        <v>536000</v>
      </c>
      <c r="N1895">
        <v>4</v>
      </c>
      <c r="O1895">
        <v>10</v>
      </c>
      <c r="P1895" t="s">
        <v>26</v>
      </c>
    </row>
    <row r="1896" spans="1:16" x14ac:dyDescent="0.25">
      <c r="A1896" t="s">
        <v>4886</v>
      </c>
      <c r="B1896" t="s">
        <v>4661</v>
      </c>
      <c r="C1896" t="s">
        <v>29</v>
      </c>
      <c r="D1896" t="s">
        <v>79</v>
      </c>
      <c r="E1896" t="s">
        <v>44</v>
      </c>
      <c r="F1896" t="s">
        <v>39</v>
      </c>
      <c r="G1896" t="s">
        <v>33</v>
      </c>
      <c r="H1896" t="s">
        <v>34</v>
      </c>
      <c r="I1896" t="s">
        <v>35</v>
      </c>
      <c r="J1896" t="s">
        <v>3150</v>
      </c>
      <c r="L1896">
        <v>4.3</v>
      </c>
      <c r="M1896">
        <v>118000</v>
      </c>
      <c r="N1896">
        <v>2.5</v>
      </c>
      <c r="O1896">
        <v>36</v>
      </c>
      <c r="P1896" t="s">
        <v>26</v>
      </c>
    </row>
    <row r="1897" spans="1:16" x14ac:dyDescent="0.25">
      <c r="A1897" t="s">
        <v>4887</v>
      </c>
      <c r="B1897" t="s">
        <v>4888</v>
      </c>
      <c r="C1897" t="s">
        <v>18</v>
      </c>
      <c r="E1897" t="s">
        <v>20</v>
      </c>
      <c r="F1897" t="s">
        <v>45</v>
      </c>
      <c r="G1897" t="s">
        <v>22</v>
      </c>
      <c r="H1897" t="s">
        <v>23</v>
      </c>
      <c r="I1897" t="s">
        <v>24</v>
      </c>
      <c r="J1897" t="s">
        <v>1534</v>
      </c>
      <c r="K1897" t="s">
        <v>1606</v>
      </c>
      <c r="L1897">
        <v>5.2</v>
      </c>
      <c r="M1897">
        <v>1877000</v>
      </c>
      <c r="N1897">
        <v>3.1</v>
      </c>
      <c r="O1897">
        <v>1</v>
      </c>
      <c r="P1897" t="s">
        <v>53</v>
      </c>
    </row>
    <row r="1898" spans="1:16" x14ac:dyDescent="0.25">
      <c r="A1898" t="s">
        <v>4889</v>
      </c>
      <c r="B1898" t="s">
        <v>1673</v>
      </c>
      <c r="C1898" t="s">
        <v>18</v>
      </c>
      <c r="D1898" t="s">
        <v>79</v>
      </c>
      <c r="E1898" t="s">
        <v>20</v>
      </c>
      <c r="F1898" t="s">
        <v>45</v>
      </c>
      <c r="G1898" t="s">
        <v>33</v>
      </c>
      <c r="H1898" t="s">
        <v>46</v>
      </c>
      <c r="I1898" t="s">
        <v>57</v>
      </c>
      <c r="J1898" t="s">
        <v>249</v>
      </c>
      <c r="L1898">
        <v>5.3</v>
      </c>
      <c r="M1898">
        <v>1439000</v>
      </c>
      <c r="N1898">
        <v>4.0999999999999996</v>
      </c>
      <c r="O1898">
        <v>1</v>
      </c>
      <c r="P1898" t="s">
        <v>26</v>
      </c>
    </row>
    <row r="1899" spans="1:16" x14ac:dyDescent="0.25">
      <c r="A1899" t="s">
        <v>4890</v>
      </c>
      <c r="B1899" t="s">
        <v>3859</v>
      </c>
      <c r="C1899" t="s">
        <v>18</v>
      </c>
      <c r="D1899" t="s">
        <v>43</v>
      </c>
      <c r="E1899" t="s">
        <v>31</v>
      </c>
      <c r="F1899" t="s">
        <v>32</v>
      </c>
      <c r="G1899" t="s">
        <v>80</v>
      </c>
      <c r="H1899" t="s">
        <v>23</v>
      </c>
      <c r="I1899" t="s">
        <v>24</v>
      </c>
      <c r="J1899" t="s">
        <v>4891</v>
      </c>
      <c r="K1899" t="s">
        <v>4611</v>
      </c>
      <c r="L1899">
        <v>4.8</v>
      </c>
      <c r="M1899">
        <v>180000</v>
      </c>
      <c r="N1899">
        <v>2.9</v>
      </c>
      <c r="O1899">
        <v>14</v>
      </c>
      <c r="P1899" t="s">
        <v>53</v>
      </c>
    </row>
    <row r="1900" spans="1:16" x14ac:dyDescent="0.25">
      <c r="A1900" t="s">
        <v>4892</v>
      </c>
      <c r="B1900" t="s">
        <v>1381</v>
      </c>
      <c r="C1900" t="s">
        <v>18</v>
      </c>
      <c r="D1900" t="s">
        <v>50</v>
      </c>
      <c r="E1900" t="s">
        <v>20</v>
      </c>
      <c r="F1900" t="s">
        <v>39</v>
      </c>
      <c r="G1900" t="s">
        <v>33</v>
      </c>
      <c r="H1900" t="s">
        <v>46</v>
      </c>
      <c r="J1900" t="s">
        <v>1034</v>
      </c>
      <c r="L1900">
        <v>2.8</v>
      </c>
      <c r="M1900">
        <v>130000</v>
      </c>
      <c r="N1900">
        <v>2.9</v>
      </c>
      <c r="O1900">
        <v>21</v>
      </c>
      <c r="P1900" t="s">
        <v>26</v>
      </c>
    </row>
    <row r="1901" spans="1:16" x14ac:dyDescent="0.25">
      <c r="A1901" t="s">
        <v>4893</v>
      </c>
      <c r="B1901" t="s">
        <v>2734</v>
      </c>
      <c r="C1901" t="s">
        <v>18</v>
      </c>
      <c r="D1901" t="s">
        <v>79</v>
      </c>
      <c r="E1901" t="s">
        <v>20</v>
      </c>
      <c r="F1901" t="s">
        <v>39</v>
      </c>
      <c r="G1901" t="s">
        <v>80</v>
      </c>
      <c r="H1901" t="s">
        <v>34</v>
      </c>
      <c r="I1901" t="s">
        <v>24</v>
      </c>
      <c r="J1901" t="s">
        <v>4894</v>
      </c>
      <c r="K1901" t="s">
        <v>3169</v>
      </c>
      <c r="L1901">
        <v>4.5</v>
      </c>
      <c r="M1901">
        <v>117000</v>
      </c>
      <c r="N1901">
        <v>3.5</v>
      </c>
      <c r="O1901">
        <v>12</v>
      </c>
      <c r="P1901" t="s">
        <v>53</v>
      </c>
    </row>
    <row r="1902" spans="1:16" x14ac:dyDescent="0.25">
      <c r="A1902" t="s">
        <v>4895</v>
      </c>
      <c r="B1902" t="s">
        <v>2139</v>
      </c>
      <c r="C1902" t="s">
        <v>18</v>
      </c>
      <c r="D1902" t="s">
        <v>43</v>
      </c>
      <c r="E1902" t="s">
        <v>20</v>
      </c>
      <c r="F1902" t="s">
        <v>39</v>
      </c>
      <c r="G1902" t="s">
        <v>69</v>
      </c>
      <c r="H1902" t="s">
        <v>46</v>
      </c>
      <c r="I1902" t="s">
        <v>24</v>
      </c>
      <c r="J1902" t="s">
        <v>2402</v>
      </c>
      <c r="L1902">
        <v>2</v>
      </c>
      <c r="M1902">
        <v>114000</v>
      </c>
      <c r="N1902">
        <v>2.1</v>
      </c>
      <c r="O1902">
        <v>11</v>
      </c>
      <c r="P1902" t="s">
        <v>26</v>
      </c>
    </row>
    <row r="1903" spans="1:16" x14ac:dyDescent="0.25">
      <c r="A1903" t="s">
        <v>4896</v>
      </c>
      <c r="B1903" t="s">
        <v>421</v>
      </c>
      <c r="D1903" t="s">
        <v>79</v>
      </c>
      <c r="E1903" t="s">
        <v>20</v>
      </c>
      <c r="F1903" t="s">
        <v>39</v>
      </c>
      <c r="G1903" t="s">
        <v>80</v>
      </c>
      <c r="H1903" t="s">
        <v>34</v>
      </c>
      <c r="I1903" t="s">
        <v>24</v>
      </c>
      <c r="J1903" t="s">
        <v>4897</v>
      </c>
      <c r="K1903" t="s">
        <v>3472</v>
      </c>
      <c r="L1903">
        <v>5.8</v>
      </c>
      <c r="M1903">
        <v>168000</v>
      </c>
      <c r="N1903">
        <v>4.8</v>
      </c>
      <c r="O1903">
        <v>33</v>
      </c>
      <c r="P1903" t="s">
        <v>53</v>
      </c>
    </row>
    <row r="1904" spans="1:16" x14ac:dyDescent="0.25">
      <c r="A1904" t="s">
        <v>4898</v>
      </c>
      <c r="B1904" t="s">
        <v>4899</v>
      </c>
      <c r="C1904" t="s">
        <v>29</v>
      </c>
      <c r="D1904" t="s">
        <v>30</v>
      </c>
      <c r="F1904" t="s">
        <v>39</v>
      </c>
      <c r="G1904" t="s">
        <v>33</v>
      </c>
      <c r="H1904" t="s">
        <v>23</v>
      </c>
      <c r="I1904" t="s">
        <v>24</v>
      </c>
      <c r="J1904" t="s">
        <v>2701</v>
      </c>
      <c r="K1904" t="s">
        <v>354</v>
      </c>
      <c r="L1904">
        <v>2.2999999999999998</v>
      </c>
      <c r="N1904">
        <v>3</v>
      </c>
      <c r="O1904">
        <v>1</v>
      </c>
      <c r="P1904" t="s">
        <v>53</v>
      </c>
    </row>
    <row r="1905" spans="1:16" x14ac:dyDescent="0.25">
      <c r="A1905" t="s">
        <v>4900</v>
      </c>
      <c r="B1905" t="s">
        <v>4901</v>
      </c>
      <c r="C1905" t="s">
        <v>29</v>
      </c>
      <c r="D1905" t="s">
        <v>43</v>
      </c>
      <c r="E1905" t="s">
        <v>20</v>
      </c>
      <c r="F1905" t="s">
        <v>32</v>
      </c>
      <c r="G1905" t="s">
        <v>22</v>
      </c>
      <c r="H1905" t="s">
        <v>46</v>
      </c>
      <c r="I1905" t="s">
        <v>35</v>
      </c>
      <c r="J1905" t="s">
        <v>4902</v>
      </c>
      <c r="L1905">
        <v>3</v>
      </c>
      <c r="M1905">
        <v>224000</v>
      </c>
      <c r="N1905">
        <v>4.8</v>
      </c>
      <c r="O1905">
        <v>2</v>
      </c>
      <c r="P1905" t="s">
        <v>26</v>
      </c>
    </row>
    <row r="1906" spans="1:16" x14ac:dyDescent="0.25">
      <c r="A1906" t="s">
        <v>4903</v>
      </c>
      <c r="B1906" t="s">
        <v>4904</v>
      </c>
      <c r="C1906" t="s">
        <v>18</v>
      </c>
      <c r="D1906" t="s">
        <v>30</v>
      </c>
      <c r="E1906" t="s">
        <v>20</v>
      </c>
      <c r="F1906" t="s">
        <v>39</v>
      </c>
      <c r="G1906" t="s">
        <v>80</v>
      </c>
      <c r="H1906" t="s">
        <v>34</v>
      </c>
      <c r="I1906" t="s">
        <v>57</v>
      </c>
      <c r="J1906" t="s">
        <v>4905</v>
      </c>
      <c r="L1906">
        <v>6.1</v>
      </c>
      <c r="M1906">
        <v>154000</v>
      </c>
      <c r="N1906">
        <v>2.2000000000000002</v>
      </c>
      <c r="O1906">
        <v>0</v>
      </c>
      <c r="P1906" t="s">
        <v>26</v>
      </c>
    </row>
    <row r="1907" spans="1:16" x14ac:dyDescent="0.25">
      <c r="A1907" t="s">
        <v>4906</v>
      </c>
      <c r="B1907" t="s">
        <v>4907</v>
      </c>
      <c r="C1907" t="s">
        <v>18</v>
      </c>
      <c r="D1907" t="s">
        <v>79</v>
      </c>
      <c r="E1907" t="s">
        <v>44</v>
      </c>
      <c r="F1907" t="s">
        <v>39</v>
      </c>
      <c r="G1907" t="s">
        <v>33</v>
      </c>
      <c r="H1907" t="s">
        <v>46</v>
      </c>
      <c r="J1907" t="s">
        <v>3499</v>
      </c>
      <c r="L1907">
        <v>1.5</v>
      </c>
      <c r="M1907">
        <v>170000</v>
      </c>
      <c r="N1907">
        <v>2.2999999999999998</v>
      </c>
      <c r="O1907">
        <v>9</v>
      </c>
      <c r="P1907" t="s">
        <v>26</v>
      </c>
    </row>
    <row r="1908" spans="1:16" x14ac:dyDescent="0.25">
      <c r="A1908" t="s">
        <v>4908</v>
      </c>
      <c r="B1908" t="s">
        <v>4909</v>
      </c>
      <c r="C1908" t="s">
        <v>18</v>
      </c>
      <c r="D1908" t="s">
        <v>43</v>
      </c>
      <c r="E1908" t="s">
        <v>20</v>
      </c>
      <c r="F1908" t="s">
        <v>128</v>
      </c>
      <c r="G1908" t="s">
        <v>22</v>
      </c>
      <c r="H1908" t="s">
        <v>23</v>
      </c>
      <c r="I1908" t="s">
        <v>57</v>
      </c>
      <c r="J1908" t="s">
        <v>3195</v>
      </c>
      <c r="L1908">
        <v>5.8</v>
      </c>
      <c r="M1908">
        <v>352000</v>
      </c>
      <c r="N1908">
        <v>3.5</v>
      </c>
      <c r="O1908">
        <v>14</v>
      </c>
      <c r="P1908" t="s">
        <v>26</v>
      </c>
    </row>
    <row r="1909" spans="1:16" x14ac:dyDescent="0.25">
      <c r="A1909" t="s">
        <v>4910</v>
      </c>
      <c r="B1909" t="s">
        <v>4911</v>
      </c>
      <c r="C1909" t="s">
        <v>18</v>
      </c>
      <c r="D1909" t="s">
        <v>30</v>
      </c>
      <c r="E1909" t="s">
        <v>20</v>
      </c>
      <c r="G1909" t="s">
        <v>22</v>
      </c>
      <c r="H1909" t="s">
        <v>23</v>
      </c>
      <c r="I1909" t="s">
        <v>24</v>
      </c>
      <c r="J1909" t="s">
        <v>1754</v>
      </c>
      <c r="K1909" t="s">
        <v>4119</v>
      </c>
      <c r="L1909">
        <v>2.6</v>
      </c>
      <c r="M1909">
        <v>141000</v>
      </c>
      <c r="N1909">
        <v>1.9</v>
      </c>
      <c r="O1909">
        <v>31</v>
      </c>
      <c r="P1909" t="s">
        <v>72</v>
      </c>
    </row>
    <row r="1910" spans="1:16" x14ac:dyDescent="0.25">
      <c r="A1910" t="s">
        <v>4912</v>
      </c>
      <c r="B1910" t="s">
        <v>4913</v>
      </c>
      <c r="C1910" t="s">
        <v>29</v>
      </c>
      <c r="D1910" t="s">
        <v>50</v>
      </c>
      <c r="E1910" t="s">
        <v>44</v>
      </c>
      <c r="F1910" t="s">
        <v>39</v>
      </c>
      <c r="G1910" t="s">
        <v>69</v>
      </c>
      <c r="H1910" t="s">
        <v>62</v>
      </c>
      <c r="I1910" t="s">
        <v>35</v>
      </c>
      <c r="J1910" t="s">
        <v>609</v>
      </c>
      <c r="L1910">
        <v>4.4000000000000004</v>
      </c>
      <c r="M1910">
        <v>149000</v>
      </c>
      <c r="N1910">
        <v>3.7</v>
      </c>
      <c r="O1910">
        <v>8</v>
      </c>
      <c r="P1910" t="s">
        <v>26</v>
      </c>
    </row>
    <row r="1911" spans="1:16" x14ac:dyDescent="0.25">
      <c r="A1911" t="s">
        <v>4914</v>
      </c>
      <c r="B1911" t="s">
        <v>4915</v>
      </c>
      <c r="C1911" t="s">
        <v>18</v>
      </c>
      <c r="D1911" t="s">
        <v>50</v>
      </c>
      <c r="E1911" t="s">
        <v>20</v>
      </c>
      <c r="G1911" t="s">
        <v>80</v>
      </c>
      <c r="H1911" t="s">
        <v>62</v>
      </c>
      <c r="I1911" t="s">
        <v>57</v>
      </c>
      <c r="J1911" t="s">
        <v>3226</v>
      </c>
      <c r="K1911" t="s">
        <v>4916</v>
      </c>
      <c r="L1911">
        <v>6.1</v>
      </c>
      <c r="M1911">
        <v>1185000</v>
      </c>
      <c r="N1911">
        <v>4.7</v>
      </c>
      <c r="O1911">
        <v>25</v>
      </c>
      <c r="P1911" t="s">
        <v>72</v>
      </c>
    </row>
    <row r="1912" spans="1:16" x14ac:dyDescent="0.25">
      <c r="A1912" t="s">
        <v>4917</v>
      </c>
      <c r="B1912" t="s">
        <v>1932</v>
      </c>
      <c r="C1912" t="s">
        <v>29</v>
      </c>
      <c r="D1912" t="s">
        <v>79</v>
      </c>
      <c r="E1912" t="s">
        <v>44</v>
      </c>
      <c r="G1912" t="s">
        <v>22</v>
      </c>
      <c r="H1912" t="s">
        <v>46</v>
      </c>
      <c r="I1912" t="s">
        <v>35</v>
      </c>
      <c r="J1912" t="s">
        <v>1360</v>
      </c>
      <c r="L1912">
        <v>5.0999999999999996</v>
      </c>
      <c r="M1912">
        <v>623000</v>
      </c>
      <c r="N1912">
        <v>3.8</v>
      </c>
      <c r="O1912">
        <v>4</v>
      </c>
      <c r="P1912" t="s">
        <v>26</v>
      </c>
    </row>
    <row r="1913" spans="1:16" x14ac:dyDescent="0.25">
      <c r="A1913" t="s">
        <v>4918</v>
      </c>
      <c r="B1913" t="s">
        <v>954</v>
      </c>
      <c r="C1913" t="s">
        <v>18</v>
      </c>
      <c r="D1913" t="s">
        <v>79</v>
      </c>
      <c r="E1913" t="s">
        <v>20</v>
      </c>
      <c r="F1913" t="s">
        <v>128</v>
      </c>
      <c r="G1913" t="s">
        <v>80</v>
      </c>
      <c r="H1913" t="s">
        <v>34</v>
      </c>
      <c r="I1913" t="s">
        <v>57</v>
      </c>
      <c r="J1913" t="s">
        <v>949</v>
      </c>
      <c r="L1913">
        <v>3.6</v>
      </c>
      <c r="M1913">
        <v>475000</v>
      </c>
      <c r="N1913">
        <v>4.8</v>
      </c>
      <c r="O1913">
        <v>6</v>
      </c>
      <c r="P1913" t="s">
        <v>26</v>
      </c>
    </row>
    <row r="1914" spans="1:16" x14ac:dyDescent="0.25">
      <c r="A1914" t="s">
        <v>4919</v>
      </c>
      <c r="B1914" t="s">
        <v>4920</v>
      </c>
      <c r="C1914" t="s">
        <v>18</v>
      </c>
      <c r="D1914" t="s">
        <v>79</v>
      </c>
      <c r="E1914" t="s">
        <v>31</v>
      </c>
      <c r="F1914" t="s">
        <v>32</v>
      </c>
      <c r="G1914" t="s">
        <v>80</v>
      </c>
      <c r="H1914" t="s">
        <v>34</v>
      </c>
      <c r="I1914" t="s">
        <v>24</v>
      </c>
      <c r="J1914" t="s">
        <v>1738</v>
      </c>
      <c r="L1914">
        <v>2.5</v>
      </c>
      <c r="M1914">
        <v>332000</v>
      </c>
      <c r="N1914">
        <v>4.5</v>
      </c>
      <c r="O1914">
        <v>1</v>
      </c>
      <c r="P1914" t="s">
        <v>26</v>
      </c>
    </row>
    <row r="1915" spans="1:16" x14ac:dyDescent="0.25">
      <c r="A1915" t="s">
        <v>4921</v>
      </c>
      <c r="B1915" t="s">
        <v>4922</v>
      </c>
      <c r="C1915" t="s">
        <v>18</v>
      </c>
      <c r="D1915" t="s">
        <v>19</v>
      </c>
      <c r="E1915" t="s">
        <v>20</v>
      </c>
      <c r="F1915" t="s">
        <v>128</v>
      </c>
      <c r="G1915" t="s">
        <v>22</v>
      </c>
      <c r="H1915" t="s">
        <v>23</v>
      </c>
      <c r="I1915" t="s">
        <v>57</v>
      </c>
      <c r="J1915" t="s">
        <v>4923</v>
      </c>
      <c r="K1915" t="s">
        <v>1029</v>
      </c>
      <c r="L1915">
        <v>5.5</v>
      </c>
      <c r="M1915">
        <v>534000</v>
      </c>
      <c r="N1915">
        <v>5</v>
      </c>
      <c r="O1915">
        <v>13</v>
      </c>
      <c r="P1915" t="s">
        <v>72</v>
      </c>
    </row>
    <row r="1916" spans="1:16" x14ac:dyDescent="0.25">
      <c r="A1916" t="s">
        <v>4924</v>
      </c>
      <c r="B1916" t="s">
        <v>380</v>
      </c>
      <c r="C1916" t="s">
        <v>29</v>
      </c>
      <c r="D1916" t="s">
        <v>30</v>
      </c>
      <c r="E1916" t="s">
        <v>20</v>
      </c>
      <c r="F1916" t="s">
        <v>39</v>
      </c>
      <c r="G1916" t="s">
        <v>33</v>
      </c>
      <c r="H1916" t="s">
        <v>62</v>
      </c>
      <c r="I1916" t="s">
        <v>24</v>
      </c>
      <c r="J1916" t="s">
        <v>1954</v>
      </c>
      <c r="K1916" t="s">
        <v>4214</v>
      </c>
      <c r="L1916">
        <v>3.8</v>
      </c>
      <c r="M1916">
        <v>178000</v>
      </c>
      <c r="N1916">
        <v>2</v>
      </c>
      <c r="O1916">
        <v>39</v>
      </c>
      <c r="P1916" t="s">
        <v>72</v>
      </c>
    </row>
    <row r="1917" spans="1:16" x14ac:dyDescent="0.25">
      <c r="A1917" t="s">
        <v>4925</v>
      </c>
      <c r="B1917" t="s">
        <v>4926</v>
      </c>
      <c r="C1917" t="s">
        <v>29</v>
      </c>
      <c r="D1917" t="s">
        <v>79</v>
      </c>
      <c r="E1917" t="s">
        <v>20</v>
      </c>
      <c r="F1917" t="s">
        <v>128</v>
      </c>
      <c r="G1917" t="s">
        <v>80</v>
      </c>
      <c r="H1917" t="s">
        <v>46</v>
      </c>
      <c r="I1917" t="s">
        <v>24</v>
      </c>
      <c r="J1917" t="s">
        <v>4927</v>
      </c>
      <c r="L1917">
        <v>3.3</v>
      </c>
      <c r="M1917">
        <v>385000</v>
      </c>
      <c r="N1917">
        <v>3.4</v>
      </c>
      <c r="O1917">
        <v>3</v>
      </c>
      <c r="P1917" t="s">
        <v>26</v>
      </c>
    </row>
    <row r="1918" spans="1:16" x14ac:dyDescent="0.25">
      <c r="A1918" t="s">
        <v>4928</v>
      </c>
      <c r="B1918" t="s">
        <v>2312</v>
      </c>
      <c r="C1918" t="s">
        <v>29</v>
      </c>
      <c r="D1918" t="s">
        <v>19</v>
      </c>
      <c r="E1918" t="s">
        <v>20</v>
      </c>
      <c r="F1918" t="s">
        <v>45</v>
      </c>
      <c r="G1918" t="s">
        <v>80</v>
      </c>
      <c r="H1918" t="s">
        <v>34</v>
      </c>
      <c r="I1918" t="s">
        <v>24</v>
      </c>
      <c r="J1918" t="s">
        <v>3764</v>
      </c>
      <c r="L1918">
        <v>4.7</v>
      </c>
      <c r="M1918">
        <v>1956000</v>
      </c>
      <c r="N1918">
        <v>4.5999999999999996</v>
      </c>
      <c r="O1918">
        <v>12</v>
      </c>
      <c r="P1918" t="s">
        <v>26</v>
      </c>
    </row>
    <row r="1919" spans="1:16" x14ac:dyDescent="0.25">
      <c r="A1919" t="s">
        <v>4929</v>
      </c>
      <c r="B1919" t="s">
        <v>4930</v>
      </c>
      <c r="C1919" t="s">
        <v>29</v>
      </c>
      <c r="D1919" t="s">
        <v>19</v>
      </c>
      <c r="E1919" t="s">
        <v>20</v>
      </c>
      <c r="F1919" t="s">
        <v>32</v>
      </c>
      <c r="G1919" t="s">
        <v>22</v>
      </c>
      <c r="H1919" t="s">
        <v>62</v>
      </c>
      <c r="I1919" t="s">
        <v>57</v>
      </c>
      <c r="J1919" t="s">
        <v>1596</v>
      </c>
      <c r="L1919">
        <v>4.3</v>
      </c>
      <c r="M1919">
        <v>340000</v>
      </c>
      <c r="N1919">
        <v>4.9000000000000004</v>
      </c>
      <c r="O1919">
        <v>2</v>
      </c>
      <c r="P1919" t="s">
        <v>26</v>
      </c>
    </row>
    <row r="1920" spans="1:16" x14ac:dyDescent="0.25">
      <c r="A1920" t="s">
        <v>4931</v>
      </c>
      <c r="B1920" t="s">
        <v>4932</v>
      </c>
      <c r="C1920" t="s">
        <v>18</v>
      </c>
      <c r="D1920" t="s">
        <v>30</v>
      </c>
      <c r="E1920" t="s">
        <v>44</v>
      </c>
      <c r="F1920" t="s">
        <v>39</v>
      </c>
      <c r="G1920" t="s">
        <v>33</v>
      </c>
      <c r="H1920" t="s">
        <v>23</v>
      </c>
      <c r="I1920" t="s">
        <v>24</v>
      </c>
      <c r="J1920" t="s">
        <v>904</v>
      </c>
      <c r="K1920" t="s">
        <v>4933</v>
      </c>
      <c r="L1920">
        <v>4</v>
      </c>
      <c r="M1920">
        <v>101000</v>
      </c>
      <c r="N1920">
        <v>2.5</v>
      </c>
      <c r="O1920">
        <v>26</v>
      </c>
      <c r="P1920" t="s">
        <v>72</v>
      </c>
    </row>
    <row r="1921" spans="1:16" x14ac:dyDescent="0.25">
      <c r="A1921" t="s">
        <v>4934</v>
      </c>
      <c r="B1921" t="s">
        <v>4935</v>
      </c>
      <c r="C1921" t="s">
        <v>29</v>
      </c>
      <c r="D1921" t="s">
        <v>79</v>
      </c>
      <c r="E1921" t="s">
        <v>20</v>
      </c>
      <c r="F1921" t="s">
        <v>39</v>
      </c>
      <c r="G1921" t="s">
        <v>33</v>
      </c>
      <c r="H1921" t="s">
        <v>46</v>
      </c>
      <c r="J1921" t="s">
        <v>4936</v>
      </c>
      <c r="K1921" t="s">
        <v>4705</v>
      </c>
      <c r="L1921">
        <v>5.9</v>
      </c>
      <c r="M1921">
        <v>136000</v>
      </c>
      <c r="N1921">
        <v>2.1</v>
      </c>
      <c r="O1921">
        <v>25</v>
      </c>
      <c r="P1921" t="s">
        <v>114</v>
      </c>
    </row>
    <row r="1922" spans="1:16" x14ac:dyDescent="0.25">
      <c r="A1922" t="s">
        <v>4937</v>
      </c>
      <c r="B1922" t="s">
        <v>4938</v>
      </c>
      <c r="C1922" t="s">
        <v>29</v>
      </c>
      <c r="D1922" t="s">
        <v>50</v>
      </c>
      <c r="E1922" t="s">
        <v>20</v>
      </c>
      <c r="F1922" t="s">
        <v>32</v>
      </c>
      <c r="G1922" t="s">
        <v>22</v>
      </c>
      <c r="H1922" t="s">
        <v>62</v>
      </c>
      <c r="I1922" t="s">
        <v>35</v>
      </c>
      <c r="J1922" t="s">
        <v>4939</v>
      </c>
      <c r="L1922">
        <v>6.1</v>
      </c>
      <c r="N1922">
        <v>4.0999999999999996</v>
      </c>
      <c r="O1922">
        <v>2</v>
      </c>
      <c r="P1922" t="s">
        <v>26</v>
      </c>
    </row>
    <row r="1923" spans="1:16" x14ac:dyDescent="0.25">
      <c r="A1923" t="s">
        <v>4940</v>
      </c>
      <c r="B1923" t="s">
        <v>4941</v>
      </c>
      <c r="C1923" t="s">
        <v>29</v>
      </c>
      <c r="D1923" t="s">
        <v>43</v>
      </c>
      <c r="E1923" t="s">
        <v>44</v>
      </c>
      <c r="F1923" t="s">
        <v>32</v>
      </c>
      <c r="G1923" t="s">
        <v>22</v>
      </c>
      <c r="H1923" t="s">
        <v>34</v>
      </c>
      <c r="I1923" t="s">
        <v>57</v>
      </c>
      <c r="J1923" t="s">
        <v>1141</v>
      </c>
      <c r="K1923" t="s">
        <v>911</v>
      </c>
      <c r="L1923">
        <v>5.8</v>
      </c>
      <c r="M1923">
        <v>298000</v>
      </c>
      <c r="N1923">
        <v>3.7</v>
      </c>
      <c r="O1923">
        <v>5</v>
      </c>
      <c r="P1923" t="s">
        <v>114</v>
      </c>
    </row>
    <row r="1924" spans="1:16" x14ac:dyDescent="0.25">
      <c r="A1924" t="s">
        <v>4942</v>
      </c>
      <c r="B1924" t="s">
        <v>4943</v>
      </c>
      <c r="C1924" t="s">
        <v>18</v>
      </c>
      <c r="D1924" t="s">
        <v>30</v>
      </c>
      <c r="E1924" t="s">
        <v>31</v>
      </c>
      <c r="F1924" t="s">
        <v>39</v>
      </c>
      <c r="G1924" t="s">
        <v>80</v>
      </c>
      <c r="H1924" t="s">
        <v>34</v>
      </c>
      <c r="I1924" t="s">
        <v>24</v>
      </c>
      <c r="J1924" t="s">
        <v>1037</v>
      </c>
      <c r="L1924">
        <v>3.9</v>
      </c>
      <c r="M1924">
        <v>174000</v>
      </c>
      <c r="N1924">
        <v>2.5</v>
      </c>
      <c r="O1924">
        <v>14</v>
      </c>
      <c r="P1924" t="s">
        <v>26</v>
      </c>
    </row>
    <row r="1925" spans="1:16" x14ac:dyDescent="0.25">
      <c r="A1925" t="s">
        <v>4944</v>
      </c>
      <c r="B1925" t="s">
        <v>4945</v>
      </c>
      <c r="C1925" t="s">
        <v>18</v>
      </c>
      <c r="D1925" t="s">
        <v>30</v>
      </c>
      <c r="E1925" t="s">
        <v>20</v>
      </c>
      <c r="F1925" t="s">
        <v>39</v>
      </c>
      <c r="G1925" t="s">
        <v>22</v>
      </c>
      <c r="H1925" t="s">
        <v>46</v>
      </c>
      <c r="I1925" t="s">
        <v>75</v>
      </c>
      <c r="J1925" t="s">
        <v>2612</v>
      </c>
      <c r="L1925">
        <v>6.1</v>
      </c>
      <c r="M1925">
        <v>174000</v>
      </c>
      <c r="N1925">
        <v>3.1</v>
      </c>
      <c r="O1925">
        <v>14</v>
      </c>
      <c r="P1925" t="s">
        <v>26</v>
      </c>
    </row>
    <row r="1926" spans="1:16" x14ac:dyDescent="0.25">
      <c r="A1926" t="s">
        <v>4946</v>
      </c>
      <c r="B1926" t="s">
        <v>4443</v>
      </c>
      <c r="C1926" t="s">
        <v>18</v>
      </c>
      <c r="D1926" t="s">
        <v>30</v>
      </c>
      <c r="E1926" t="s">
        <v>31</v>
      </c>
      <c r="F1926" t="s">
        <v>21</v>
      </c>
      <c r="G1926" t="s">
        <v>69</v>
      </c>
      <c r="H1926" t="s">
        <v>23</v>
      </c>
      <c r="I1926" t="s">
        <v>57</v>
      </c>
      <c r="J1926" t="s">
        <v>4947</v>
      </c>
      <c r="L1926">
        <v>2.1</v>
      </c>
      <c r="M1926">
        <v>733000</v>
      </c>
      <c r="N1926">
        <v>3.7</v>
      </c>
      <c r="O1926">
        <v>5</v>
      </c>
      <c r="P1926" t="s">
        <v>26</v>
      </c>
    </row>
    <row r="1927" spans="1:16" x14ac:dyDescent="0.25">
      <c r="A1927" t="s">
        <v>4948</v>
      </c>
      <c r="B1927" t="s">
        <v>4949</v>
      </c>
      <c r="C1927" t="s">
        <v>29</v>
      </c>
      <c r="D1927" t="s">
        <v>79</v>
      </c>
      <c r="E1927" t="s">
        <v>44</v>
      </c>
      <c r="F1927" t="s">
        <v>39</v>
      </c>
      <c r="G1927" t="s">
        <v>22</v>
      </c>
      <c r="H1927" t="s">
        <v>46</v>
      </c>
      <c r="J1927" t="s">
        <v>4950</v>
      </c>
      <c r="K1927" t="s">
        <v>1605</v>
      </c>
      <c r="L1927">
        <v>5.7</v>
      </c>
      <c r="M1927">
        <v>112000</v>
      </c>
      <c r="N1927">
        <v>3.9</v>
      </c>
      <c r="O1927">
        <v>12</v>
      </c>
      <c r="P1927" t="s">
        <v>53</v>
      </c>
    </row>
    <row r="1928" spans="1:16" x14ac:dyDescent="0.25">
      <c r="A1928" t="s">
        <v>4951</v>
      </c>
      <c r="B1928" t="s">
        <v>2053</v>
      </c>
      <c r="C1928" t="s">
        <v>18</v>
      </c>
      <c r="D1928" t="s">
        <v>43</v>
      </c>
      <c r="E1928" t="s">
        <v>20</v>
      </c>
      <c r="F1928" t="s">
        <v>128</v>
      </c>
      <c r="G1928" t="s">
        <v>22</v>
      </c>
      <c r="H1928" t="s">
        <v>23</v>
      </c>
      <c r="I1928" t="s">
        <v>57</v>
      </c>
      <c r="J1928" t="s">
        <v>4952</v>
      </c>
      <c r="L1928">
        <v>3.4</v>
      </c>
      <c r="M1928">
        <v>437000</v>
      </c>
      <c r="N1928">
        <v>3.8</v>
      </c>
      <c r="O1928">
        <v>0</v>
      </c>
      <c r="P1928" t="s">
        <v>26</v>
      </c>
    </row>
    <row r="1929" spans="1:16" x14ac:dyDescent="0.25">
      <c r="A1929" t="s">
        <v>4953</v>
      </c>
      <c r="B1929" t="s">
        <v>4710</v>
      </c>
      <c r="C1929" t="s">
        <v>29</v>
      </c>
      <c r="E1929" t="s">
        <v>31</v>
      </c>
      <c r="F1929" t="s">
        <v>39</v>
      </c>
      <c r="G1929" t="s">
        <v>80</v>
      </c>
      <c r="H1929" t="s">
        <v>62</v>
      </c>
      <c r="I1929" t="s">
        <v>24</v>
      </c>
      <c r="J1929" t="s">
        <v>2476</v>
      </c>
      <c r="L1929">
        <v>3.5</v>
      </c>
      <c r="M1929">
        <v>104000</v>
      </c>
      <c r="N1929">
        <v>3.3</v>
      </c>
      <c r="O1929">
        <v>0</v>
      </c>
      <c r="P1929" t="s">
        <v>26</v>
      </c>
    </row>
    <row r="1930" spans="1:16" x14ac:dyDescent="0.25">
      <c r="A1930" t="s">
        <v>4954</v>
      </c>
      <c r="B1930" t="s">
        <v>1972</v>
      </c>
      <c r="C1930" t="s">
        <v>29</v>
      </c>
      <c r="D1930" t="s">
        <v>79</v>
      </c>
      <c r="E1930" t="s">
        <v>20</v>
      </c>
      <c r="F1930" t="s">
        <v>21</v>
      </c>
      <c r="G1930" t="s">
        <v>80</v>
      </c>
      <c r="H1930" t="s">
        <v>23</v>
      </c>
      <c r="I1930" t="s">
        <v>35</v>
      </c>
      <c r="J1930" t="s">
        <v>135</v>
      </c>
      <c r="L1930">
        <v>4.2</v>
      </c>
      <c r="M1930">
        <v>655000</v>
      </c>
      <c r="N1930">
        <v>3.6</v>
      </c>
      <c r="O1930">
        <v>8</v>
      </c>
      <c r="P1930" t="s">
        <v>26</v>
      </c>
    </row>
    <row r="1931" spans="1:16" x14ac:dyDescent="0.25">
      <c r="A1931" t="s">
        <v>4955</v>
      </c>
      <c r="B1931" t="s">
        <v>1487</v>
      </c>
      <c r="C1931" t="s">
        <v>18</v>
      </c>
      <c r="D1931" t="s">
        <v>19</v>
      </c>
      <c r="E1931" t="s">
        <v>20</v>
      </c>
      <c r="F1931" t="s">
        <v>21</v>
      </c>
      <c r="G1931" t="s">
        <v>22</v>
      </c>
      <c r="H1931" t="s">
        <v>34</v>
      </c>
      <c r="I1931" t="s">
        <v>75</v>
      </c>
      <c r="J1931" t="s">
        <v>175</v>
      </c>
      <c r="K1931" t="s">
        <v>4956</v>
      </c>
      <c r="L1931">
        <v>5.8</v>
      </c>
      <c r="M1931">
        <v>902000</v>
      </c>
      <c r="N1931">
        <v>4.0999999999999996</v>
      </c>
      <c r="O1931">
        <v>7</v>
      </c>
      <c r="P1931" t="s">
        <v>53</v>
      </c>
    </row>
    <row r="1932" spans="1:16" x14ac:dyDescent="0.25">
      <c r="A1932" t="s">
        <v>4957</v>
      </c>
      <c r="B1932" t="s">
        <v>3981</v>
      </c>
      <c r="C1932" t="s">
        <v>18</v>
      </c>
      <c r="D1932" t="s">
        <v>19</v>
      </c>
      <c r="E1932" t="s">
        <v>20</v>
      </c>
      <c r="F1932" t="s">
        <v>128</v>
      </c>
      <c r="G1932" t="s">
        <v>33</v>
      </c>
      <c r="H1932" t="s">
        <v>23</v>
      </c>
      <c r="I1932" t="s">
        <v>24</v>
      </c>
      <c r="J1932" t="s">
        <v>1504</v>
      </c>
      <c r="L1932">
        <v>1.9</v>
      </c>
      <c r="M1932">
        <v>554000</v>
      </c>
      <c r="N1932">
        <v>5</v>
      </c>
      <c r="O1932">
        <v>10</v>
      </c>
      <c r="P1932" t="s">
        <v>26</v>
      </c>
    </row>
    <row r="1933" spans="1:16" x14ac:dyDescent="0.25">
      <c r="A1933" t="s">
        <v>4958</v>
      </c>
      <c r="B1933" t="s">
        <v>4959</v>
      </c>
      <c r="C1933" t="s">
        <v>18</v>
      </c>
      <c r="D1933" t="s">
        <v>43</v>
      </c>
      <c r="E1933" t="s">
        <v>20</v>
      </c>
      <c r="F1933" t="s">
        <v>32</v>
      </c>
      <c r="G1933" t="s">
        <v>80</v>
      </c>
      <c r="H1933" t="s">
        <v>23</v>
      </c>
      <c r="I1933" t="s">
        <v>24</v>
      </c>
      <c r="J1933" t="s">
        <v>2977</v>
      </c>
      <c r="L1933">
        <v>4.5999999999999996</v>
      </c>
      <c r="M1933">
        <v>180000</v>
      </c>
      <c r="N1933">
        <v>3</v>
      </c>
      <c r="O1933">
        <v>4</v>
      </c>
      <c r="P1933" t="s">
        <v>26</v>
      </c>
    </row>
    <row r="1934" spans="1:16" x14ac:dyDescent="0.25">
      <c r="A1934" t="s">
        <v>4960</v>
      </c>
      <c r="B1934" t="s">
        <v>4961</v>
      </c>
      <c r="C1934" t="s">
        <v>29</v>
      </c>
      <c r="D1934" t="s">
        <v>50</v>
      </c>
      <c r="E1934" t="s">
        <v>44</v>
      </c>
      <c r="F1934" t="s">
        <v>39</v>
      </c>
      <c r="G1934" t="s">
        <v>22</v>
      </c>
      <c r="H1934" t="s">
        <v>34</v>
      </c>
      <c r="I1934" t="s">
        <v>35</v>
      </c>
      <c r="J1934" t="s">
        <v>4474</v>
      </c>
      <c r="L1934">
        <v>2.2000000000000002</v>
      </c>
      <c r="M1934">
        <v>123000</v>
      </c>
      <c r="N1934">
        <v>4.0999999999999996</v>
      </c>
      <c r="O1934">
        <v>33</v>
      </c>
      <c r="P1934" t="s">
        <v>26</v>
      </c>
    </row>
    <row r="1935" spans="1:16" x14ac:dyDescent="0.25">
      <c r="A1935" t="s">
        <v>4962</v>
      </c>
      <c r="B1935" t="s">
        <v>4963</v>
      </c>
      <c r="C1935" t="s">
        <v>18</v>
      </c>
      <c r="D1935" t="s">
        <v>43</v>
      </c>
      <c r="E1935" t="s">
        <v>20</v>
      </c>
      <c r="F1935" t="s">
        <v>128</v>
      </c>
      <c r="G1935" t="s">
        <v>33</v>
      </c>
      <c r="H1935" t="s">
        <v>34</v>
      </c>
      <c r="I1935" t="s">
        <v>171</v>
      </c>
      <c r="J1935" t="s">
        <v>4029</v>
      </c>
      <c r="L1935">
        <v>4.4000000000000004</v>
      </c>
      <c r="M1935">
        <v>466000</v>
      </c>
      <c r="N1935">
        <v>4.9000000000000004</v>
      </c>
      <c r="O1935">
        <v>10</v>
      </c>
      <c r="P1935" t="s">
        <v>26</v>
      </c>
    </row>
    <row r="1936" spans="1:16" x14ac:dyDescent="0.25">
      <c r="A1936" t="s">
        <v>4964</v>
      </c>
      <c r="B1936" t="s">
        <v>4965</v>
      </c>
      <c r="C1936" t="s">
        <v>18</v>
      </c>
      <c r="D1936" t="s">
        <v>50</v>
      </c>
      <c r="E1936" t="s">
        <v>31</v>
      </c>
      <c r="F1936" t="s">
        <v>128</v>
      </c>
      <c r="G1936" t="s">
        <v>22</v>
      </c>
      <c r="H1936" t="s">
        <v>23</v>
      </c>
      <c r="I1936" t="s">
        <v>75</v>
      </c>
      <c r="J1936" t="s">
        <v>1333</v>
      </c>
      <c r="L1936">
        <v>5</v>
      </c>
      <c r="M1936">
        <v>383000</v>
      </c>
      <c r="N1936">
        <v>2.9</v>
      </c>
      <c r="O1936">
        <v>1</v>
      </c>
      <c r="P1936" t="s">
        <v>26</v>
      </c>
    </row>
    <row r="1937" spans="1:16" x14ac:dyDescent="0.25">
      <c r="A1937" t="s">
        <v>4966</v>
      </c>
      <c r="B1937" t="s">
        <v>786</v>
      </c>
      <c r="C1937" t="s">
        <v>18</v>
      </c>
      <c r="D1937" t="s">
        <v>30</v>
      </c>
      <c r="E1937" t="s">
        <v>20</v>
      </c>
      <c r="F1937" t="s">
        <v>39</v>
      </c>
      <c r="G1937" t="s">
        <v>80</v>
      </c>
      <c r="H1937" t="s">
        <v>34</v>
      </c>
      <c r="I1937" t="s">
        <v>24</v>
      </c>
      <c r="J1937" t="s">
        <v>1785</v>
      </c>
      <c r="L1937">
        <v>4</v>
      </c>
      <c r="M1937">
        <v>134000</v>
      </c>
      <c r="N1937">
        <v>2.1</v>
      </c>
      <c r="O1937">
        <v>1</v>
      </c>
      <c r="P1937" t="s">
        <v>26</v>
      </c>
    </row>
    <row r="1938" spans="1:16" x14ac:dyDescent="0.25">
      <c r="A1938" t="s">
        <v>4967</v>
      </c>
      <c r="B1938" t="s">
        <v>4968</v>
      </c>
      <c r="C1938" t="s">
        <v>29</v>
      </c>
      <c r="D1938" t="s">
        <v>19</v>
      </c>
      <c r="E1938" t="s">
        <v>20</v>
      </c>
      <c r="F1938" t="s">
        <v>21</v>
      </c>
      <c r="G1938" t="s">
        <v>80</v>
      </c>
      <c r="H1938" t="s">
        <v>34</v>
      </c>
      <c r="J1938" t="s">
        <v>135</v>
      </c>
      <c r="L1938">
        <v>4.2</v>
      </c>
      <c r="M1938">
        <v>889000</v>
      </c>
      <c r="N1938">
        <v>3.9</v>
      </c>
      <c r="O1938">
        <v>7</v>
      </c>
      <c r="P1938" t="s">
        <v>26</v>
      </c>
    </row>
    <row r="1939" spans="1:16" x14ac:dyDescent="0.25">
      <c r="A1939" t="s">
        <v>4969</v>
      </c>
      <c r="B1939" t="s">
        <v>4970</v>
      </c>
      <c r="C1939" t="s">
        <v>18</v>
      </c>
      <c r="D1939" t="s">
        <v>79</v>
      </c>
      <c r="E1939" t="s">
        <v>20</v>
      </c>
      <c r="F1939" t="s">
        <v>32</v>
      </c>
      <c r="G1939" t="s">
        <v>22</v>
      </c>
      <c r="H1939" t="s">
        <v>46</v>
      </c>
      <c r="I1939" t="s">
        <v>24</v>
      </c>
      <c r="J1939" t="s">
        <v>3740</v>
      </c>
      <c r="L1939">
        <v>3.3</v>
      </c>
      <c r="N1939">
        <v>3.5</v>
      </c>
      <c r="O1939">
        <v>6</v>
      </c>
      <c r="P1939" t="s">
        <v>26</v>
      </c>
    </row>
    <row r="1940" spans="1:16" x14ac:dyDescent="0.25">
      <c r="A1940" t="s">
        <v>4971</v>
      </c>
      <c r="B1940" t="s">
        <v>288</v>
      </c>
      <c r="C1940" t="s">
        <v>18</v>
      </c>
      <c r="D1940" t="s">
        <v>50</v>
      </c>
      <c r="E1940" t="s">
        <v>20</v>
      </c>
      <c r="G1940" t="s">
        <v>22</v>
      </c>
      <c r="H1940" t="s">
        <v>34</v>
      </c>
      <c r="I1940" t="s">
        <v>24</v>
      </c>
      <c r="J1940" t="s">
        <v>4972</v>
      </c>
      <c r="L1940">
        <v>1.4</v>
      </c>
      <c r="N1940">
        <v>2.2000000000000002</v>
      </c>
      <c r="O1940">
        <v>10</v>
      </c>
      <c r="P1940" t="s">
        <v>26</v>
      </c>
    </row>
    <row r="1941" spans="1:16" x14ac:dyDescent="0.25">
      <c r="A1941" t="s">
        <v>4973</v>
      </c>
      <c r="B1941" t="s">
        <v>4974</v>
      </c>
      <c r="C1941" t="s">
        <v>18</v>
      </c>
      <c r="D1941" t="s">
        <v>30</v>
      </c>
      <c r="E1941" t="s">
        <v>810</v>
      </c>
      <c r="F1941" t="s">
        <v>32</v>
      </c>
      <c r="G1941" t="s">
        <v>80</v>
      </c>
      <c r="H1941" t="s">
        <v>62</v>
      </c>
      <c r="I1941" t="s">
        <v>57</v>
      </c>
      <c r="J1941" t="s">
        <v>4404</v>
      </c>
      <c r="K1941" t="s">
        <v>823</v>
      </c>
      <c r="L1941">
        <v>2.9</v>
      </c>
      <c r="M1941">
        <v>348000</v>
      </c>
      <c r="N1941">
        <v>3.3</v>
      </c>
      <c r="O1941">
        <v>34</v>
      </c>
      <c r="P1941" t="s">
        <v>72</v>
      </c>
    </row>
    <row r="1942" spans="1:16" x14ac:dyDescent="0.25">
      <c r="A1942" t="s">
        <v>4975</v>
      </c>
      <c r="B1942" t="s">
        <v>4976</v>
      </c>
      <c r="C1942" t="s">
        <v>29</v>
      </c>
      <c r="D1942" t="s">
        <v>30</v>
      </c>
      <c r="E1942" t="s">
        <v>20</v>
      </c>
      <c r="F1942" t="s">
        <v>32</v>
      </c>
      <c r="G1942" t="s">
        <v>22</v>
      </c>
      <c r="H1942" t="s">
        <v>34</v>
      </c>
      <c r="I1942" t="s">
        <v>75</v>
      </c>
      <c r="J1942" t="s">
        <v>1333</v>
      </c>
      <c r="K1942" t="s">
        <v>4977</v>
      </c>
      <c r="L1942">
        <v>5</v>
      </c>
      <c r="M1942">
        <v>227000</v>
      </c>
      <c r="N1942">
        <v>1.7</v>
      </c>
      <c r="O1942">
        <v>21</v>
      </c>
      <c r="P1942" t="s">
        <v>53</v>
      </c>
    </row>
    <row r="1943" spans="1:16" x14ac:dyDescent="0.25">
      <c r="A1943" t="s">
        <v>4978</v>
      </c>
      <c r="B1943" t="s">
        <v>4979</v>
      </c>
      <c r="C1943" t="s">
        <v>18</v>
      </c>
      <c r="D1943" t="s">
        <v>19</v>
      </c>
      <c r="E1943" t="s">
        <v>20</v>
      </c>
      <c r="F1943" t="s">
        <v>32</v>
      </c>
      <c r="G1943" t="s">
        <v>80</v>
      </c>
      <c r="H1943" t="s">
        <v>46</v>
      </c>
      <c r="I1943" t="s">
        <v>24</v>
      </c>
      <c r="J1943" t="s">
        <v>4665</v>
      </c>
      <c r="L1943">
        <v>4.2</v>
      </c>
      <c r="N1943">
        <v>2.6</v>
      </c>
      <c r="O1943">
        <v>14</v>
      </c>
      <c r="P1943" t="s">
        <v>26</v>
      </c>
    </row>
    <row r="1944" spans="1:16" x14ac:dyDescent="0.25">
      <c r="A1944" t="s">
        <v>4980</v>
      </c>
      <c r="B1944" t="s">
        <v>4318</v>
      </c>
      <c r="C1944" t="s">
        <v>29</v>
      </c>
      <c r="D1944" t="s">
        <v>30</v>
      </c>
      <c r="E1944" t="s">
        <v>31</v>
      </c>
      <c r="F1944" t="s">
        <v>128</v>
      </c>
      <c r="G1944" t="s">
        <v>22</v>
      </c>
      <c r="H1944" t="s">
        <v>34</v>
      </c>
      <c r="I1944" t="s">
        <v>24</v>
      </c>
      <c r="J1944" t="s">
        <v>2097</v>
      </c>
      <c r="L1944">
        <v>2.2999999999999998</v>
      </c>
      <c r="M1944">
        <v>575000</v>
      </c>
      <c r="N1944">
        <v>2.2000000000000002</v>
      </c>
      <c r="P1944" t="s">
        <v>26</v>
      </c>
    </row>
    <row r="1945" spans="1:16" x14ac:dyDescent="0.25">
      <c r="A1945" t="s">
        <v>4981</v>
      </c>
      <c r="B1945" t="s">
        <v>4982</v>
      </c>
      <c r="C1945" t="s">
        <v>29</v>
      </c>
      <c r="D1945" t="s">
        <v>50</v>
      </c>
      <c r="F1945" t="s">
        <v>128</v>
      </c>
      <c r="G1945" t="s">
        <v>33</v>
      </c>
      <c r="H1945" t="s">
        <v>46</v>
      </c>
      <c r="I1945" t="s">
        <v>24</v>
      </c>
      <c r="J1945" t="s">
        <v>1372</v>
      </c>
      <c r="L1945">
        <v>2.7</v>
      </c>
      <c r="M1945">
        <v>420000</v>
      </c>
      <c r="N1945">
        <v>4</v>
      </c>
      <c r="O1945">
        <v>12</v>
      </c>
      <c r="P1945" t="s">
        <v>26</v>
      </c>
    </row>
    <row r="1946" spans="1:16" x14ac:dyDescent="0.25">
      <c r="A1946" t="s">
        <v>4983</v>
      </c>
      <c r="B1946" t="s">
        <v>3356</v>
      </c>
      <c r="C1946" t="s">
        <v>18</v>
      </c>
      <c r="D1946" t="s">
        <v>19</v>
      </c>
      <c r="E1946" t="s">
        <v>20</v>
      </c>
      <c r="F1946" t="s">
        <v>32</v>
      </c>
      <c r="G1946" t="s">
        <v>80</v>
      </c>
      <c r="H1946" t="s">
        <v>34</v>
      </c>
      <c r="J1946" t="s">
        <v>415</v>
      </c>
      <c r="L1946">
        <v>3.7</v>
      </c>
      <c r="M1946">
        <v>348000</v>
      </c>
      <c r="N1946">
        <v>2.2000000000000002</v>
      </c>
      <c r="O1946">
        <v>1</v>
      </c>
      <c r="P1946" t="s">
        <v>26</v>
      </c>
    </row>
    <row r="1947" spans="1:16" x14ac:dyDescent="0.25">
      <c r="A1947" t="s">
        <v>4984</v>
      </c>
      <c r="B1947" t="s">
        <v>4621</v>
      </c>
      <c r="C1947" t="s">
        <v>18</v>
      </c>
      <c r="D1947" t="s">
        <v>30</v>
      </c>
      <c r="E1947" t="s">
        <v>20</v>
      </c>
      <c r="F1947" t="s">
        <v>39</v>
      </c>
      <c r="G1947" t="s">
        <v>22</v>
      </c>
      <c r="H1947" t="s">
        <v>23</v>
      </c>
      <c r="I1947" t="s">
        <v>57</v>
      </c>
      <c r="J1947" t="s">
        <v>3396</v>
      </c>
      <c r="K1947" t="s">
        <v>4985</v>
      </c>
      <c r="L1947">
        <v>2.4</v>
      </c>
      <c r="M1947">
        <v>178000</v>
      </c>
      <c r="N1947">
        <v>2.6</v>
      </c>
      <c r="O1947">
        <v>22</v>
      </c>
      <c r="P1947" t="s">
        <v>72</v>
      </c>
    </row>
    <row r="1948" spans="1:16" x14ac:dyDescent="0.25">
      <c r="A1948" t="s">
        <v>4986</v>
      </c>
      <c r="B1948" t="s">
        <v>4987</v>
      </c>
      <c r="C1948" t="s">
        <v>18</v>
      </c>
      <c r="D1948" t="s">
        <v>43</v>
      </c>
      <c r="E1948" t="s">
        <v>31</v>
      </c>
      <c r="F1948" t="s">
        <v>32</v>
      </c>
      <c r="G1948" t="s">
        <v>80</v>
      </c>
      <c r="H1948" t="s">
        <v>34</v>
      </c>
      <c r="I1948" t="s">
        <v>57</v>
      </c>
      <c r="J1948" t="s">
        <v>2233</v>
      </c>
      <c r="L1948">
        <v>2.9</v>
      </c>
      <c r="M1948">
        <v>241000</v>
      </c>
      <c r="N1948">
        <v>3.4</v>
      </c>
      <c r="O1948">
        <v>3</v>
      </c>
      <c r="P1948" t="s">
        <v>26</v>
      </c>
    </row>
    <row r="1949" spans="1:16" x14ac:dyDescent="0.25">
      <c r="A1949" t="s">
        <v>4988</v>
      </c>
      <c r="B1949" t="s">
        <v>4989</v>
      </c>
      <c r="C1949" t="s">
        <v>29</v>
      </c>
      <c r="D1949" t="s">
        <v>30</v>
      </c>
      <c r="E1949" t="s">
        <v>20</v>
      </c>
      <c r="F1949" t="s">
        <v>32</v>
      </c>
      <c r="G1949" t="s">
        <v>22</v>
      </c>
      <c r="H1949" t="s">
        <v>23</v>
      </c>
      <c r="I1949" t="s">
        <v>24</v>
      </c>
      <c r="J1949" t="s">
        <v>432</v>
      </c>
      <c r="L1949">
        <v>5.9</v>
      </c>
      <c r="M1949">
        <v>328000</v>
      </c>
      <c r="N1949">
        <v>4.2</v>
      </c>
      <c r="O1949">
        <v>8</v>
      </c>
      <c r="P1949" t="s">
        <v>26</v>
      </c>
    </row>
    <row r="1950" spans="1:16" x14ac:dyDescent="0.25">
      <c r="A1950" t="s">
        <v>4990</v>
      </c>
      <c r="B1950" t="s">
        <v>4991</v>
      </c>
      <c r="C1950" t="s">
        <v>18</v>
      </c>
      <c r="D1950" t="s">
        <v>50</v>
      </c>
      <c r="E1950" t="s">
        <v>20</v>
      </c>
      <c r="F1950" t="s">
        <v>32</v>
      </c>
      <c r="G1950" t="s">
        <v>80</v>
      </c>
      <c r="H1950" t="s">
        <v>34</v>
      </c>
      <c r="I1950" t="s">
        <v>171</v>
      </c>
      <c r="J1950" t="s">
        <v>4992</v>
      </c>
      <c r="L1950">
        <v>2.9</v>
      </c>
      <c r="M1950">
        <v>196000</v>
      </c>
      <c r="N1950">
        <v>2.8</v>
      </c>
      <c r="O1950">
        <v>18</v>
      </c>
      <c r="P1950" t="s">
        <v>26</v>
      </c>
    </row>
    <row r="1951" spans="1:16" x14ac:dyDescent="0.25">
      <c r="A1951" t="s">
        <v>4993</v>
      </c>
      <c r="B1951" t="s">
        <v>3526</v>
      </c>
      <c r="C1951" t="s">
        <v>29</v>
      </c>
      <c r="D1951" t="s">
        <v>50</v>
      </c>
      <c r="E1951" t="s">
        <v>31</v>
      </c>
      <c r="F1951" t="s">
        <v>39</v>
      </c>
      <c r="G1951" t="s">
        <v>33</v>
      </c>
      <c r="H1951" t="s">
        <v>23</v>
      </c>
      <c r="I1951" t="s">
        <v>35</v>
      </c>
      <c r="J1951" t="s">
        <v>4994</v>
      </c>
      <c r="L1951">
        <v>3.5</v>
      </c>
      <c r="M1951">
        <v>168000</v>
      </c>
      <c r="N1951">
        <v>3.7</v>
      </c>
      <c r="O1951">
        <v>20</v>
      </c>
      <c r="P1951" t="s">
        <v>26</v>
      </c>
    </row>
    <row r="1952" spans="1:16" x14ac:dyDescent="0.25">
      <c r="A1952" t="s">
        <v>4995</v>
      </c>
      <c r="B1952" t="s">
        <v>2515</v>
      </c>
      <c r="C1952" t="s">
        <v>18</v>
      </c>
      <c r="D1952" t="s">
        <v>79</v>
      </c>
      <c r="E1952" t="s">
        <v>44</v>
      </c>
      <c r="F1952" t="s">
        <v>32</v>
      </c>
      <c r="G1952" t="s">
        <v>22</v>
      </c>
      <c r="H1952" t="s">
        <v>34</v>
      </c>
      <c r="I1952" t="s">
        <v>75</v>
      </c>
      <c r="J1952" t="s">
        <v>112</v>
      </c>
      <c r="K1952" t="s">
        <v>2182</v>
      </c>
      <c r="L1952">
        <v>2.2999999999999998</v>
      </c>
      <c r="M1952">
        <v>214000</v>
      </c>
      <c r="N1952">
        <v>3.1</v>
      </c>
      <c r="O1952">
        <v>0</v>
      </c>
      <c r="P1952" t="s">
        <v>114</v>
      </c>
    </row>
    <row r="1953" spans="1:16" x14ac:dyDescent="0.25">
      <c r="A1953" t="s">
        <v>4996</v>
      </c>
      <c r="B1953" t="s">
        <v>4997</v>
      </c>
      <c r="D1953" t="s">
        <v>50</v>
      </c>
      <c r="E1953" t="s">
        <v>20</v>
      </c>
      <c r="F1953" t="s">
        <v>128</v>
      </c>
      <c r="G1953" t="s">
        <v>22</v>
      </c>
      <c r="H1953" t="s">
        <v>23</v>
      </c>
      <c r="I1953" t="s">
        <v>24</v>
      </c>
      <c r="J1953" t="s">
        <v>1534</v>
      </c>
      <c r="L1953">
        <v>5.2</v>
      </c>
      <c r="M1953">
        <v>379000</v>
      </c>
      <c r="N1953">
        <v>2.6</v>
      </c>
      <c r="O1953">
        <v>6</v>
      </c>
      <c r="P1953" t="s">
        <v>26</v>
      </c>
    </row>
    <row r="1954" spans="1:16" x14ac:dyDescent="0.25">
      <c r="A1954" t="s">
        <v>4998</v>
      </c>
      <c r="B1954" t="s">
        <v>4999</v>
      </c>
      <c r="C1954" t="s">
        <v>29</v>
      </c>
      <c r="D1954" t="s">
        <v>79</v>
      </c>
      <c r="E1954" t="s">
        <v>20</v>
      </c>
      <c r="F1954" t="s">
        <v>32</v>
      </c>
      <c r="G1954" t="s">
        <v>22</v>
      </c>
      <c r="H1954" t="s">
        <v>23</v>
      </c>
      <c r="I1954" t="s">
        <v>24</v>
      </c>
      <c r="J1954" t="s">
        <v>1046</v>
      </c>
      <c r="L1954">
        <v>1.9</v>
      </c>
      <c r="M1954">
        <v>298000</v>
      </c>
      <c r="N1954">
        <v>4.4000000000000004</v>
      </c>
      <c r="O1954">
        <v>12</v>
      </c>
      <c r="P1954" t="s">
        <v>26</v>
      </c>
    </row>
    <row r="1955" spans="1:16" x14ac:dyDescent="0.25">
      <c r="A1955" t="s">
        <v>5000</v>
      </c>
      <c r="B1955" t="s">
        <v>1877</v>
      </c>
      <c r="C1955" t="s">
        <v>18</v>
      </c>
      <c r="D1955" t="s">
        <v>19</v>
      </c>
      <c r="E1955" t="s">
        <v>20</v>
      </c>
      <c r="F1955" t="s">
        <v>39</v>
      </c>
      <c r="G1955" t="s">
        <v>80</v>
      </c>
      <c r="H1955" t="s">
        <v>23</v>
      </c>
      <c r="I1955" t="s">
        <v>57</v>
      </c>
      <c r="J1955" t="s">
        <v>452</v>
      </c>
      <c r="L1955">
        <v>3.7</v>
      </c>
      <c r="M1955">
        <v>134000</v>
      </c>
      <c r="N1955">
        <v>3.4</v>
      </c>
      <c r="P1955" t="s">
        <v>26</v>
      </c>
    </row>
    <row r="1956" spans="1:16" x14ac:dyDescent="0.25">
      <c r="A1956" t="s">
        <v>5001</v>
      </c>
      <c r="B1956" t="s">
        <v>5002</v>
      </c>
      <c r="C1956" t="s">
        <v>18</v>
      </c>
      <c r="D1956" t="s">
        <v>50</v>
      </c>
      <c r="E1956" t="s">
        <v>44</v>
      </c>
      <c r="F1956" t="s">
        <v>39</v>
      </c>
      <c r="G1956" t="s">
        <v>22</v>
      </c>
      <c r="H1956" t="s">
        <v>23</v>
      </c>
      <c r="I1956" t="s">
        <v>24</v>
      </c>
      <c r="J1956" t="s">
        <v>1439</v>
      </c>
      <c r="K1956" t="s">
        <v>5003</v>
      </c>
      <c r="L1956">
        <v>1.8</v>
      </c>
      <c r="M1956">
        <v>148000</v>
      </c>
      <c r="N1956">
        <v>3.9</v>
      </c>
      <c r="O1956">
        <v>5</v>
      </c>
      <c r="P1956" t="s">
        <v>72</v>
      </c>
    </row>
    <row r="1957" spans="1:16" x14ac:dyDescent="0.25">
      <c r="A1957" t="s">
        <v>5004</v>
      </c>
      <c r="B1957" t="s">
        <v>434</v>
      </c>
      <c r="C1957" t="s">
        <v>29</v>
      </c>
      <c r="D1957" t="s">
        <v>19</v>
      </c>
      <c r="E1957" t="s">
        <v>20</v>
      </c>
      <c r="F1957" t="s">
        <v>128</v>
      </c>
      <c r="G1957" t="s">
        <v>80</v>
      </c>
      <c r="H1957" t="s">
        <v>34</v>
      </c>
      <c r="I1957" t="s">
        <v>75</v>
      </c>
      <c r="J1957" t="s">
        <v>2766</v>
      </c>
      <c r="L1957">
        <v>4.5999999999999996</v>
      </c>
      <c r="M1957">
        <v>660000</v>
      </c>
      <c r="N1957">
        <v>3.3</v>
      </c>
      <c r="O1957">
        <v>14</v>
      </c>
      <c r="P1957" t="s">
        <v>26</v>
      </c>
    </row>
    <row r="1958" spans="1:16" x14ac:dyDescent="0.25">
      <c r="A1958" t="s">
        <v>5005</v>
      </c>
      <c r="B1958" t="s">
        <v>337</v>
      </c>
      <c r="C1958" t="s">
        <v>29</v>
      </c>
      <c r="D1958" t="s">
        <v>50</v>
      </c>
      <c r="E1958" t="s">
        <v>20</v>
      </c>
      <c r="F1958" t="s">
        <v>32</v>
      </c>
      <c r="G1958" t="s">
        <v>22</v>
      </c>
      <c r="H1958" t="s">
        <v>23</v>
      </c>
      <c r="I1958" t="s">
        <v>24</v>
      </c>
      <c r="J1958" t="s">
        <v>5006</v>
      </c>
      <c r="K1958" t="s">
        <v>1392</v>
      </c>
      <c r="L1958">
        <v>5</v>
      </c>
      <c r="M1958">
        <v>181000</v>
      </c>
      <c r="N1958">
        <v>4.0999999999999996</v>
      </c>
      <c r="O1958">
        <v>17</v>
      </c>
      <c r="P1958" t="s">
        <v>72</v>
      </c>
    </row>
    <row r="1959" spans="1:16" x14ac:dyDescent="0.25">
      <c r="A1959" t="s">
        <v>5007</v>
      </c>
      <c r="B1959" t="s">
        <v>5008</v>
      </c>
      <c r="C1959" t="s">
        <v>29</v>
      </c>
      <c r="D1959" t="s">
        <v>43</v>
      </c>
      <c r="E1959" t="s">
        <v>20</v>
      </c>
      <c r="F1959" t="s">
        <v>128</v>
      </c>
      <c r="G1959" t="s">
        <v>80</v>
      </c>
      <c r="H1959" t="s">
        <v>46</v>
      </c>
      <c r="I1959" t="s">
        <v>24</v>
      </c>
      <c r="J1959" t="s">
        <v>5009</v>
      </c>
      <c r="L1959">
        <v>4.2</v>
      </c>
      <c r="M1959">
        <v>480000</v>
      </c>
      <c r="N1959">
        <v>4</v>
      </c>
      <c r="O1959">
        <v>1</v>
      </c>
      <c r="P1959" t="s">
        <v>26</v>
      </c>
    </row>
    <row r="1960" spans="1:16" x14ac:dyDescent="0.25">
      <c r="A1960" t="s">
        <v>5010</v>
      </c>
      <c r="B1960" t="s">
        <v>2976</v>
      </c>
      <c r="C1960" t="s">
        <v>18</v>
      </c>
      <c r="D1960" t="s">
        <v>30</v>
      </c>
      <c r="E1960" t="s">
        <v>20</v>
      </c>
      <c r="F1960" t="s">
        <v>32</v>
      </c>
      <c r="G1960" t="s">
        <v>22</v>
      </c>
      <c r="H1960" t="s">
        <v>23</v>
      </c>
      <c r="I1960" t="s">
        <v>24</v>
      </c>
      <c r="J1960" t="s">
        <v>2110</v>
      </c>
      <c r="K1960" t="s">
        <v>894</v>
      </c>
      <c r="L1960">
        <v>5.8</v>
      </c>
      <c r="M1960">
        <v>289000</v>
      </c>
      <c r="N1960">
        <v>4.5999999999999996</v>
      </c>
      <c r="O1960">
        <v>25</v>
      </c>
      <c r="P1960" t="s">
        <v>53</v>
      </c>
    </row>
    <row r="1961" spans="1:16" x14ac:dyDescent="0.25">
      <c r="A1961" t="s">
        <v>5011</v>
      </c>
      <c r="B1961" t="s">
        <v>5012</v>
      </c>
      <c r="C1961" t="s">
        <v>29</v>
      </c>
      <c r="D1961" t="s">
        <v>79</v>
      </c>
      <c r="E1961" t="s">
        <v>20</v>
      </c>
      <c r="F1961" t="s">
        <v>39</v>
      </c>
      <c r="G1961" t="s">
        <v>80</v>
      </c>
      <c r="H1961" t="s">
        <v>34</v>
      </c>
      <c r="J1961" t="s">
        <v>205</v>
      </c>
      <c r="K1961" t="s">
        <v>5013</v>
      </c>
      <c r="L1961">
        <v>3.9</v>
      </c>
      <c r="M1961">
        <v>139000</v>
      </c>
      <c r="N1961">
        <v>2</v>
      </c>
      <c r="O1961">
        <v>1</v>
      </c>
      <c r="P1961" t="s">
        <v>53</v>
      </c>
    </row>
    <row r="1962" spans="1:16" x14ac:dyDescent="0.25">
      <c r="A1962" t="s">
        <v>5014</v>
      </c>
      <c r="B1962" t="s">
        <v>5015</v>
      </c>
      <c r="C1962" t="s">
        <v>29</v>
      </c>
      <c r="D1962" t="s">
        <v>30</v>
      </c>
      <c r="E1962" t="s">
        <v>20</v>
      </c>
      <c r="F1962" t="s">
        <v>39</v>
      </c>
      <c r="G1962" t="s">
        <v>22</v>
      </c>
      <c r="H1962" t="s">
        <v>34</v>
      </c>
      <c r="I1962" t="s">
        <v>24</v>
      </c>
      <c r="J1962" t="s">
        <v>5016</v>
      </c>
      <c r="K1962" t="s">
        <v>5017</v>
      </c>
      <c r="L1962">
        <v>1.6</v>
      </c>
      <c r="M1962">
        <v>176000</v>
      </c>
      <c r="N1962">
        <v>2.6</v>
      </c>
      <c r="O1962">
        <v>7</v>
      </c>
      <c r="P1962" t="s">
        <v>53</v>
      </c>
    </row>
    <row r="1963" spans="1:16" x14ac:dyDescent="0.25">
      <c r="A1963" t="s">
        <v>5018</v>
      </c>
      <c r="B1963" t="s">
        <v>5019</v>
      </c>
      <c r="C1963" t="s">
        <v>18</v>
      </c>
      <c r="D1963" t="s">
        <v>50</v>
      </c>
      <c r="E1963" t="s">
        <v>20</v>
      </c>
      <c r="F1963" t="s">
        <v>32</v>
      </c>
      <c r="G1963" t="s">
        <v>80</v>
      </c>
      <c r="H1963" t="s">
        <v>23</v>
      </c>
      <c r="I1963" t="s">
        <v>35</v>
      </c>
      <c r="J1963" t="s">
        <v>4714</v>
      </c>
      <c r="K1963" t="s">
        <v>4681</v>
      </c>
      <c r="L1963">
        <v>3.7</v>
      </c>
      <c r="M1963">
        <v>185000</v>
      </c>
      <c r="N1963">
        <v>2.4</v>
      </c>
      <c r="O1963">
        <v>6</v>
      </c>
      <c r="P1963" t="s">
        <v>53</v>
      </c>
    </row>
    <row r="1964" spans="1:16" x14ac:dyDescent="0.25">
      <c r="A1964" t="s">
        <v>5020</v>
      </c>
      <c r="B1964" t="s">
        <v>1277</v>
      </c>
      <c r="C1964" t="s">
        <v>29</v>
      </c>
      <c r="D1964" t="s">
        <v>43</v>
      </c>
      <c r="E1964" t="s">
        <v>20</v>
      </c>
      <c r="F1964" t="s">
        <v>39</v>
      </c>
      <c r="G1964" t="s">
        <v>33</v>
      </c>
      <c r="H1964" t="s">
        <v>23</v>
      </c>
      <c r="I1964" t="s">
        <v>35</v>
      </c>
      <c r="J1964" t="s">
        <v>3214</v>
      </c>
      <c r="L1964">
        <v>2.2000000000000002</v>
      </c>
      <c r="N1964">
        <v>5</v>
      </c>
      <c r="O1964">
        <v>2</v>
      </c>
      <c r="P1964" t="s">
        <v>26</v>
      </c>
    </row>
    <row r="1965" spans="1:16" x14ac:dyDescent="0.25">
      <c r="A1965" t="s">
        <v>5021</v>
      </c>
      <c r="B1965" t="s">
        <v>1014</v>
      </c>
      <c r="C1965" t="s">
        <v>18</v>
      </c>
      <c r="D1965" t="s">
        <v>50</v>
      </c>
      <c r="E1965" t="s">
        <v>31</v>
      </c>
      <c r="F1965" t="s">
        <v>32</v>
      </c>
      <c r="G1965" t="s">
        <v>33</v>
      </c>
      <c r="H1965" t="s">
        <v>23</v>
      </c>
      <c r="I1965" t="s">
        <v>171</v>
      </c>
      <c r="J1965" t="s">
        <v>5022</v>
      </c>
      <c r="L1965">
        <v>5.8</v>
      </c>
      <c r="M1965">
        <v>320000</v>
      </c>
      <c r="N1965">
        <v>4.5999999999999996</v>
      </c>
      <c r="O1965">
        <v>8</v>
      </c>
      <c r="P1965" t="s">
        <v>26</v>
      </c>
    </row>
    <row r="1966" spans="1:16" x14ac:dyDescent="0.25">
      <c r="A1966" t="s">
        <v>5023</v>
      </c>
      <c r="B1966" t="s">
        <v>5024</v>
      </c>
      <c r="C1966" t="s">
        <v>18</v>
      </c>
      <c r="D1966" t="s">
        <v>43</v>
      </c>
      <c r="E1966" t="s">
        <v>44</v>
      </c>
      <c r="F1966" t="s">
        <v>128</v>
      </c>
      <c r="G1966" t="s">
        <v>33</v>
      </c>
      <c r="H1966" t="s">
        <v>46</v>
      </c>
      <c r="I1966" t="s">
        <v>75</v>
      </c>
      <c r="J1966" t="s">
        <v>5025</v>
      </c>
      <c r="K1966" t="s">
        <v>1471</v>
      </c>
      <c r="L1966">
        <v>2.8</v>
      </c>
      <c r="M1966">
        <v>366000</v>
      </c>
      <c r="N1966">
        <v>3.5</v>
      </c>
      <c r="P1966" t="s">
        <v>53</v>
      </c>
    </row>
    <row r="1967" spans="1:16" x14ac:dyDescent="0.25">
      <c r="A1967" t="s">
        <v>5026</v>
      </c>
      <c r="B1967" t="s">
        <v>1281</v>
      </c>
      <c r="C1967" t="s">
        <v>29</v>
      </c>
      <c r="D1967" t="s">
        <v>50</v>
      </c>
      <c r="E1967" t="s">
        <v>44</v>
      </c>
      <c r="F1967" t="s">
        <v>39</v>
      </c>
      <c r="G1967" t="s">
        <v>80</v>
      </c>
      <c r="H1967" t="s">
        <v>46</v>
      </c>
      <c r="I1967" t="s">
        <v>35</v>
      </c>
      <c r="J1967" t="s">
        <v>791</v>
      </c>
      <c r="K1967" t="s">
        <v>2458</v>
      </c>
      <c r="L1967">
        <v>5.4</v>
      </c>
      <c r="M1967">
        <v>165000</v>
      </c>
      <c r="N1967">
        <v>3.4</v>
      </c>
      <c r="O1967">
        <v>11</v>
      </c>
      <c r="P1967" t="s">
        <v>53</v>
      </c>
    </row>
    <row r="1968" spans="1:16" x14ac:dyDescent="0.25">
      <c r="A1968" t="s">
        <v>5027</v>
      </c>
      <c r="B1968" t="s">
        <v>2785</v>
      </c>
      <c r="C1968" t="s">
        <v>29</v>
      </c>
      <c r="D1968" t="s">
        <v>50</v>
      </c>
      <c r="E1968" t="s">
        <v>44</v>
      </c>
      <c r="F1968" t="s">
        <v>128</v>
      </c>
      <c r="G1968" t="s">
        <v>22</v>
      </c>
      <c r="H1968" t="s">
        <v>23</v>
      </c>
      <c r="I1968" t="s">
        <v>75</v>
      </c>
      <c r="J1968" t="s">
        <v>3081</v>
      </c>
      <c r="L1968">
        <v>6</v>
      </c>
      <c r="M1968">
        <v>449000</v>
      </c>
      <c r="N1968">
        <v>2.9</v>
      </c>
      <c r="O1968">
        <v>3</v>
      </c>
      <c r="P1968" t="s">
        <v>26</v>
      </c>
    </row>
    <row r="1969" spans="1:16" x14ac:dyDescent="0.25">
      <c r="A1969" t="s">
        <v>5028</v>
      </c>
      <c r="B1969" t="s">
        <v>5029</v>
      </c>
      <c r="C1969" t="s">
        <v>18</v>
      </c>
      <c r="D1969" t="s">
        <v>79</v>
      </c>
      <c r="E1969" t="s">
        <v>20</v>
      </c>
      <c r="F1969" t="s">
        <v>128</v>
      </c>
      <c r="G1969" t="s">
        <v>69</v>
      </c>
      <c r="I1969" t="s">
        <v>24</v>
      </c>
      <c r="J1969" t="s">
        <v>5030</v>
      </c>
      <c r="L1969">
        <v>5.5</v>
      </c>
      <c r="M1969">
        <v>417000</v>
      </c>
      <c r="N1969">
        <v>4.3</v>
      </c>
      <c r="O1969">
        <v>30</v>
      </c>
      <c r="P1969" t="s">
        <v>26</v>
      </c>
    </row>
    <row r="1970" spans="1:16" x14ac:dyDescent="0.25">
      <c r="A1970" t="s">
        <v>5031</v>
      </c>
      <c r="B1970" t="s">
        <v>653</v>
      </c>
      <c r="C1970" t="s">
        <v>29</v>
      </c>
      <c r="D1970" t="s">
        <v>30</v>
      </c>
      <c r="E1970" t="s">
        <v>20</v>
      </c>
      <c r="F1970" t="s">
        <v>21</v>
      </c>
      <c r="G1970" t="s">
        <v>22</v>
      </c>
      <c r="H1970" t="s">
        <v>23</v>
      </c>
      <c r="I1970" t="s">
        <v>57</v>
      </c>
      <c r="J1970" t="s">
        <v>5032</v>
      </c>
      <c r="L1970">
        <v>3.5</v>
      </c>
      <c r="M1970">
        <v>906000</v>
      </c>
      <c r="N1970">
        <v>4.9000000000000004</v>
      </c>
      <c r="O1970">
        <v>13</v>
      </c>
      <c r="P1970" t="s">
        <v>26</v>
      </c>
    </row>
    <row r="1971" spans="1:16" x14ac:dyDescent="0.25">
      <c r="A1971" t="s">
        <v>5033</v>
      </c>
      <c r="B1971" t="s">
        <v>5034</v>
      </c>
      <c r="C1971" t="s">
        <v>18</v>
      </c>
      <c r="D1971" t="s">
        <v>79</v>
      </c>
      <c r="E1971" t="s">
        <v>20</v>
      </c>
      <c r="F1971" t="s">
        <v>32</v>
      </c>
      <c r="G1971" t="s">
        <v>80</v>
      </c>
      <c r="H1971" t="s">
        <v>34</v>
      </c>
      <c r="I1971" t="s">
        <v>35</v>
      </c>
      <c r="J1971" t="s">
        <v>5035</v>
      </c>
      <c r="L1971">
        <v>3.4</v>
      </c>
      <c r="M1971">
        <v>238000</v>
      </c>
      <c r="N1971">
        <v>2.5</v>
      </c>
      <c r="O1971">
        <v>6</v>
      </c>
      <c r="P1971" t="s">
        <v>26</v>
      </c>
    </row>
    <row r="1972" spans="1:16" x14ac:dyDescent="0.25">
      <c r="A1972" t="s">
        <v>5036</v>
      </c>
      <c r="B1972" t="s">
        <v>1873</v>
      </c>
      <c r="C1972" t="s">
        <v>18</v>
      </c>
      <c r="D1972" t="s">
        <v>43</v>
      </c>
      <c r="E1972" t="s">
        <v>20</v>
      </c>
      <c r="F1972" t="s">
        <v>128</v>
      </c>
      <c r="G1972" t="s">
        <v>69</v>
      </c>
      <c r="H1972" t="s">
        <v>62</v>
      </c>
      <c r="I1972" t="s">
        <v>24</v>
      </c>
      <c r="J1972" t="s">
        <v>2223</v>
      </c>
      <c r="L1972">
        <v>4.8</v>
      </c>
      <c r="M1972">
        <v>434000</v>
      </c>
      <c r="N1972">
        <v>2.2000000000000002</v>
      </c>
      <c r="O1972">
        <v>6</v>
      </c>
      <c r="P1972" t="s">
        <v>26</v>
      </c>
    </row>
    <row r="1973" spans="1:16" x14ac:dyDescent="0.25">
      <c r="A1973" t="s">
        <v>5037</v>
      </c>
      <c r="B1973" t="s">
        <v>5038</v>
      </c>
      <c r="C1973" t="s">
        <v>18</v>
      </c>
      <c r="D1973" t="s">
        <v>30</v>
      </c>
      <c r="E1973" t="s">
        <v>20</v>
      </c>
      <c r="F1973" t="s">
        <v>39</v>
      </c>
      <c r="G1973" t="s">
        <v>22</v>
      </c>
      <c r="H1973" t="s">
        <v>23</v>
      </c>
      <c r="I1973" t="s">
        <v>35</v>
      </c>
      <c r="J1973" t="s">
        <v>2997</v>
      </c>
      <c r="K1973" t="s">
        <v>5039</v>
      </c>
      <c r="L1973">
        <v>2.6</v>
      </c>
      <c r="M1973">
        <v>152000</v>
      </c>
      <c r="N1973">
        <v>1.9</v>
      </c>
      <c r="O1973">
        <v>2</v>
      </c>
      <c r="P1973" t="s">
        <v>53</v>
      </c>
    </row>
    <row r="1974" spans="1:16" x14ac:dyDescent="0.25">
      <c r="A1974" t="s">
        <v>5040</v>
      </c>
      <c r="B1974" t="s">
        <v>5041</v>
      </c>
      <c r="C1974" t="s">
        <v>18</v>
      </c>
      <c r="D1974" t="s">
        <v>50</v>
      </c>
      <c r="F1974" t="s">
        <v>21</v>
      </c>
      <c r="G1974" t="s">
        <v>33</v>
      </c>
      <c r="H1974" t="s">
        <v>34</v>
      </c>
      <c r="I1974" t="s">
        <v>57</v>
      </c>
      <c r="J1974" t="s">
        <v>2573</v>
      </c>
      <c r="K1974" t="s">
        <v>1503</v>
      </c>
      <c r="L1974">
        <v>3.3</v>
      </c>
      <c r="M1974">
        <v>895000</v>
      </c>
      <c r="N1974">
        <v>3.1</v>
      </c>
      <c r="O1974">
        <v>5</v>
      </c>
      <c r="P1974" t="s">
        <v>53</v>
      </c>
    </row>
    <row r="1975" spans="1:16" x14ac:dyDescent="0.25">
      <c r="A1975" t="s">
        <v>5042</v>
      </c>
      <c r="B1975" t="s">
        <v>4432</v>
      </c>
      <c r="C1975" t="s">
        <v>18</v>
      </c>
      <c r="D1975" t="s">
        <v>30</v>
      </c>
      <c r="E1975" t="s">
        <v>20</v>
      </c>
      <c r="F1975" t="s">
        <v>32</v>
      </c>
      <c r="G1975" t="s">
        <v>80</v>
      </c>
      <c r="H1975" t="s">
        <v>23</v>
      </c>
      <c r="I1975" t="s">
        <v>35</v>
      </c>
      <c r="J1975" t="s">
        <v>3544</v>
      </c>
      <c r="L1975">
        <v>2.5</v>
      </c>
      <c r="M1975">
        <v>289000</v>
      </c>
      <c r="N1975">
        <v>3</v>
      </c>
      <c r="O1975">
        <v>2</v>
      </c>
      <c r="P1975" t="s">
        <v>26</v>
      </c>
    </row>
    <row r="1976" spans="1:16" x14ac:dyDescent="0.25">
      <c r="A1976" t="s">
        <v>5043</v>
      </c>
      <c r="B1976" t="s">
        <v>4935</v>
      </c>
      <c r="C1976" t="s">
        <v>29</v>
      </c>
      <c r="D1976" t="s">
        <v>79</v>
      </c>
      <c r="E1976" t="s">
        <v>20</v>
      </c>
      <c r="F1976" t="s">
        <v>32</v>
      </c>
      <c r="G1976" t="s">
        <v>22</v>
      </c>
      <c r="H1976" t="s">
        <v>23</v>
      </c>
      <c r="I1976" t="s">
        <v>24</v>
      </c>
      <c r="J1976" t="s">
        <v>2879</v>
      </c>
      <c r="L1976">
        <v>4.9000000000000004</v>
      </c>
      <c r="M1976">
        <v>341000</v>
      </c>
      <c r="N1976">
        <v>3.8</v>
      </c>
      <c r="O1976">
        <v>1</v>
      </c>
      <c r="P1976" t="s">
        <v>26</v>
      </c>
    </row>
    <row r="1977" spans="1:16" x14ac:dyDescent="0.25">
      <c r="A1977" t="s">
        <v>5044</v>
      </c>
      <c r="B1977" t="s">
        <v>5045</v>
      </c>
      <c r="C1977" t="s">
        <v>29</v>
      </c>
      <c r="D1977" t="s">
        <v>43</v>
      </c>
      <c r="E1977" t="s">
        <v>20</v>
      </c>
      <c r="G1977" t="s">
        <v>22</v>
      </c>
      <c r="H1977" t="s">
        <v>34</v>
      </c>
      <c r="I1977" t="s">
        <v>75</v>
      </c>
      <c r="J1977" t="s">
        <v>3958</v>
      </c>
      <c r="L1977">
        <v>6.2</v>
      </c>
      <c r="M1977">
        <v>978000</v>
      </c>
      <c r="N1977">
        <v>3.2</v>
      </c>
      <c r="O1977">
        <v>1</v>
      </c>
      <c r="P1977" t="s">
        <v>26</v>
      </c>
    </row>
    <row r="1978" spans="1:16" x14ac:dyDescent="0.25">
      <c r="A1978" t="s">
        <v>5046</v>
      </c>
      <c r="B1978" t="s">
        <v>5047</v>
      </c>
      <c r="C1978" t="s">
        <v>18</v>
      </c>
      <c r="D1978" t="s">
        <v>79</v>
      </c>
      <c r="E1978" t="s">
        <v>31</v>
      </c>
      <c r="F1978" t="s">
        <v>32</v>
      </c>
      <c r="G1978" t="s">
        <v>22</v>
      </c>
      <c r="I1978" t="s">
        <v>171</v>
      </c>
      <c r="J1978" t="s">
        <v>2129</v>
      </c>
      <c r="K1978" t="s">
        <v>1327</v>
      </c>
      <c r="L1978">
        <v>1.9</v>
      </c>
      <c r="M1978">
        <v>347000</v>
      </c>
      <c r="N1978">
        <v>3.2</v>
      </c>
      <c r="O1978">
        <v>37</v>
      </c>
      <c r="P1978" t="s">
        <v>53</v>
      </c>
    </row>
    <row r="1979" spans="1:16" x14ac:dyDescent="0.25">
      <c r="A1979" t="s">
        <v>5048</v>
      </c>
      <c r="B1979" t="s">
        <v>5049</v>
      </c>
      <c r="C1979" t="s">
        <v>29</v>
      </c>
      <c r="D1979" t="s">
        <v>79</v>
      </c>
      <c r="E1979" t="s">
        <v>44</v>
      </c>
      <c r="F1979" t="s">
        <v>128</v>
      </c>
      <c r="G1979" t="s">
        <v>22</v>
      </c>
      <c r="H1979" t="s">
        <v>46</v>
      </c>
      <c r="I1979" t="s">
        <v>24</v>
      </c>
      <c r="J1979" t="s">
        <v>1353</v>
      </c>
      <c r="L1979">
        <v>23.2</v>
      </c>
      <c r="M1979">
        <v>557000</v>
      </c>
      <c r="N1979">
        <v>2.1</v>
      </c>
      <c r="O1979">
        <v>1</v>
      </c>
      <c r="P1979" t="s">
        <v>26</v>
      </c>
    </row>
    <row r="1980" spans="1:16" x14ac:dyDescent="0.25">
      <c r="A1980" t="s">
        <v>5050</v>
      </c>
      <c r="B1980" t="s">
        <v>5051</v>
      </c>
      <c r="C1980" t="s">
        <v>29</v>
      </c>
      <c r="D1980" t="s">
        <v>43</v>
      </c>
      <c r="E1980" t="s">
        <v>20</v>
      </c>
      <c r="F1980" t="s">
        <v>32</v>
      </c>
      <c r="G1980" t="s">
        <v>22</v>
      </c>
      <c r="H1980" t="s">
        <v>62</v>
      </c>
      <c r="I1980" t="s">
        <v>24</v>
      </c>
      <c r="J1980" t="s">
        <v>5052</v>
      </c>
      <c r="L1980">
        <v>5.0999999999999996</v>
      </c>
      <c r="M1980">
        <v>267000</v>
      </c>
      <c r="N1980">
        <v>5</v>
      </c>
      <c r="O1980">
        <v>8</v>
      </c>
      <c r="P1980" t="s">
        <v>26</v>
      </c>
    </row>
    <row r="1981" spans="1:16" x14ac:dyDescent="0.25">
      <c r="A1981" t="s">
        <v>5053</v>
      </c>
      <c r="B1981" t="s">
        <v>5054</v>
      </c>
      <c r="C1981" t="s">
        <v>29</v>
      </c>
      <c r="D1981" t="s">
        <v>19</v>
      </c>
      <c r="E1981" t="s">
        <v>44</v>
      </c>
      <c r="F1981" t="s">
        <v>32</v>
      </c>
      <c r="G1981" t="s">
        <v>80</v>
      </c>
      <c r="H1981" t="s">
        <v>23</v>
      </c>
      <c r="I1981" t="s">
        <v>24</v>
      </c>
      <c r="J1981" t="s">
        <v>5055</v>
      </c>
      <c r="L1981">
        <v>4.0999999999999996</v>
      </c>
      <c r="M1981">
        <v>323000</v>
      </c>
      <c r="N1981">
        <v>3.5</v>
      </c>
      <c r="O1981">
        <v>0</v>
      </c>
      <c r="P1981" t="s">
        <v>26</v>
      </c>
    </row>
    <row r="1982" spans="1:16" x14ac:dyDescent="0.25">
      <c r="A1982" t="s">
        <v>5056</v>
      </c>
      <c r="B1982" t="s">
        <v>5057</v>
      </c>
      <c r="C1982" t="s">
        <v>29</v>
      </c>
      <c r="D1982" t="s">
        <v>30</v>
      </c>
      <c r="E1982" t="s">
        <v>20</v>
      </c>
      <c r="F1982" t="s">
        <v>32</v>
      </c>
      <c r="G1982" t="s">
        <v>33</v>
      </c>
      <c r="H1982" t="s">
        <v>34</v>
      </c>
      <c r="I1982" t="s">
        <v>24</v>
      </c>
      <c r="J1982" t="s">
        <v>4026</v>
      </c>
      <c r="L1982">
        <v>5.5</v>
      </c>
      <c r="M1982">
        <v>230000</v>
      </c>
      <c r="N1982">
        <v>2.9</v>
      </c>
      <c r="O1982">
        <v>9</v>
      </c>
      <c r="P1982" t="s">
        <v>26</v>
      </c>
    </row>
    <row r="1983" spans="1:16" x14ac:dyDescent="0.25">
      <c r="A1983" t="s">
        <v>5058</v>
      </c>
      <c r="B1983" t="s">
        <v>5059</v>
      </c>
      <c r="C1983" t="s">
        <v>29</v>
      </c>
      <c r="E1983" t="s">
        <v>20</v>
      </c>
      <c r="F1983" t="s">
        <v>32</v>
      </c>
      <c r="G1983" t="s">
        <v>33</v>
      </c>
      <c r="H1983" t="s">
        <v>23</v>
      </c>
      <c r="I1983" t="s">
        <v>57</v>
      </c>
      <c r="J1983" t="s">
        <v>580</v>
      </c>
      <c r="K1983" t="s">
        <v>4181</v>
      </c>
      <c r="L1983">
        <v>3.8</v>
      </c>
      <c r="M1983">
        <v>281000</v>
      </c>
      <c r="N1983">
        <v>3.7</v>
      </c>
      <c r="O1983">
        <v>14</v>
      </c>
      <c r="P1983" t="s">
        <v>53</v>
      </c>
    </row>
    <row r="1984" spans="1:16" x14ac:dyDescent="0.25">
      <c r="A1984" t="s">
        <v>5060</v>
      </c>
      <c r="B1984" t="s">
        <v>1625</v>
      </c>
      <c r="C1984" t="s">
        <v>29</v>
      </c>
      <c r="D1984" t="s">
        <v>50</v>
      </c>
      <c r="E1984" t="s">
        <v>20</v>
      </c>
      <c r="F1984" t="s">
        <v>21</v>
      </c>
      <c r="G1984" t="s">
        <v>69</v>
      </c>
      <c r="H1984" t="s">
        <v>23</v>
      </c>
      <c r="I1984" t="s">
        <v>24</v>
      </c>
      <c r="J1984" t="s">
        <v>1175</v>
      </c>
      <c r="L1984">
        <v>5.0999999999999996</v>
      </c>
      <c r="M1984">
        <v>844000</v>
      </c>
      <c r="N1984">
        <v>3.2</v>
      </c>
      <c r="O1984">
        <v>18</v>
      </c>
      <c r="P1984" t="s">
        <v>26</v>
      </c>
    </row>
    <row r="1985" spans="1:16" x14ac:dyDescent="0.25">
      <c r="A1985" t="s">
        <v>5061</v>
      </c>
      <c r="B1985" t="s">
        <v>4171</v>
      </c>
      <c r="C1985" t="s">
        <v>18</v>
      </c>
      <c r="D1985" t="s">
        <v>50</v>
      </c>
      <c r="E1985" t="s">
        <v>44</v>
      </c>
      <c r="F1985" t="s">
        <v>128</v>
      </c>
      <c r="G1985" t="s">
        <v>22</v>
      </c>
      <c r="H1985" t="s">
        <v>23</v>
      </c>
      <c r="I1985" t="s">
        <v>35</v>
      </c>
      <c r="J1985" t="s">
        <v>1339</v>
      </c>
      <c r="L1985">
        <v>2.1</v>
      </c>
      <c r="M1985">
        <v>568000</v>
      </c>
      <c r="N1985">
        <v>2.5</v>
      </c>
      <c r="O1985">
        <v>12</v>
      </c>
      <c r="P1985" t="s">
        <v>26</v>
      </c>
    </row>
    <row r="1986" spans="1:16" x14ac:dyDescent="0.25">
      <c r="A1986" t="s">
        <v>5062</v>
      </c>
      <c r="B1986" t="s">
        <v>5063</v>
      </c>
      <c r="C1986" t="s">
        <v>18</v>
      </c>
      <c r="D1986" t="s">
        <v>79</v>
      </c>
      <c r="E1986" t="s">
        <v>31</v>
      </c>
      <c r="F1986" t="s">
        <v>32</v>
      </c>
      <c r="G1986" t="s">
        <v>80</v>
      </c>
      <c r="H1986" t="s">
        <v>34</v>
      </c>
      <c r="J1986" t="s">
        <v>4379</v>
      </c>
      <c r="L1986">
        <v>4.5</v>
      </c>
      <c r="M1986">
        <v>306000</v>
      </c>
      <c r="N1986">
        <v>4.5</v>
      </c>
      <c r="O1986">
        <v>37</v>
      </c>
      <c r="P1986" t="s">
        <v>26</v>
      </c>
    </row>
    <row r="1987" spans="1:16" x14ac:dyDescent="0.25">
      <c r="A1987" t="s">
        <v>5064</v>
      </c>
      <c r="B1987" t="s">
        <v>602</v>
      </c>
      <c r="C1987" t="s">
        <v>29</v>
      </c>
      <c r="D1987" t="s">
        <v>50</v>
      </c>
      <c r="E1987" t="s">
        <v>20</v>
      </c>
      <c r="F1987" t="s">
        <v>32</v>
      </c>
      <c r="G1987" t="s">
        <v>69</v>
      </c>
      <c r="H1987" t="s">
        <v>23</v>
      </c>
      <c r="I1987" t="s">
        <v>35</v>
      </c>
      <c r="J1987" t="s">
        <v>5065</v>
      </c>
      <c r="K1987" t="s">
        <v>520</v>
      </c>
      <c r="L1987">
        <v>2.9</v>
      </c>
      <c r="M1987">
        <v>326000</v>
      </c>
      <c r="O1987">
        <v>6</v>
      </c>
      <c r="P1987" t="s">
        <v>53</v>
      </c>
    </row>
    <row r="1988" spans="1:16" x14ac:dyDescent="0.25">
      <c r="A1988" t="s">
        <v>5066</v>
      </c>
      <c r="B1988" t="s">
        <v>4911</v>
      </c>
      <c r="C1988" t="s">
        <v>18</v>
      </c>
      <c r="D1988" t="s">
        <v>30</v>
      </c>
      <c r="F1988" t="s">
        <v>39</v>
      </c>
      <c r="G1988" t="s">
        <v>33</v>
      </c>
      <c r="H1988" t="s">
        <v>46</v>
      </c>
      <c r="I1988" t="s">
        <v>35</v>
      </c>
      <c r="J1988" t="s">
        <v>5067</v>
      </c>
      <c r="K1988" t="s">
        <v>3818</v>
      </c>
      <c r="L1988">
        <v>5.9</v>
      </c>
      <c r="M1988">
        <v>137000</v>
      </c>
      <c r="N1988">
        <v>3</v>
      </c>
      <c r="O1988">
        <v>5</v>
      </c>
      <c r="P1988" t="s">
        <v>53</v>
      </c>
    </row>
    <row r="1989" spans="1:16" x14ac:dyDescent="0.25">
      <c r="A1989" t="s">
        <v>5068</v>
      </c>
      <c r="B1989" t="s">
        <v>5069</v>
      </c>
      <c r="C1989" t="s">
        <v>18</v>
      </c>
      <c r="D1989" t="s">
        <v>50</v>
      </c>
      <c r="E1989" t="s">
        <v>20</v>
      </c>
      <c r="F1989" t="s">
        <v>32</v>
      </c>
      <c r="G1989" t="s">
        <v>22</v>
      </c>
      <c r="H1989" t="s">
        <v>34</v>
      </c>
      <c r="I1989" t="s">
        <v>24</v>
      </c>
      <c r="J1989" t="s">
        <v>5070</v>
      </c>
      <c r="L1989">
        <v>5.6</v>
      </c>
      <c r="M1989">
        <v>228000</v>
      </c>
      <c r="N1989">
        <v>4</v>
      </c>
      <c r="O1989">
        <v>10</v>
      </c>
      <c r="P1989" t="s">
        <v>26</v>
      </c>
    </row>
    <row r="1990" spans="1:16" x14ac:dyDescent="0.25">
      <c r="A1990" t="s">
        <v>5071</v>
      </c>
      <c r="B1990" t="s">
        <v>1536</v>
      </c>
      <c r="C1990" t="s">
        <v>18</v>
      </c>
      <c r="D1990" t="s">
        <v>43</v>
      </c>
      <c r="E1990" t="s">
        <v>20</v>
      </c>
      <c r="F1990" t="s">
        <v>32</v>
      </c>
      <c r="G1990" t="s">
        <v>22</v>
      </c>
      <c r="H1990" t="s">
        <v>34</v>
      </c>
      <c r="I1990" t="s">
        <v>24</v>
      </c>
      <c r="J1990" t="s">
        <v>36</v>
      </c>
      <c r="K1990" t="s">
        <v>1123</v>
      </c>
      <c r="L1990">
        <v>5.7</v>
      </c>
      <c r="M1990">
        <v>291000</v>
      </c>
      <c r="O1990">
        <v>5</v>
      </c>
      <c r="P1990" t="s">
        <v>53</v>
      </c>
    </row>
    <row r="1991" spans="1:16" x14ac:dyDescent="0.25">
      <c r="A1991" t="s">
        <v>5072</v>
      </c>
      <c r="B1991" t="s">
        <v>5073</v>
      </c>
      <c r="C1991" t="s">
        <v>29</v>
      </c>
      <c r="D1991" t="s">
        <v>30</v>
      </c>
      <c r="F1991" t="s">
        <v>39</v>
      </c>
      <c r="G1991" t="s">
        <v>22</v>
      </c>
      <c r="H1991" t="s">
        <v>23</v>
      </c>
      <c r="I1991" t="s">
        <v>57</v>
      </c>
      <c r="J1991" t="s">
        <v>5074</v>
      </c>
      <c r="L1991">
        <v>5.7</v>
      </c>
      <c r="M1991">
        <v>138000</v>
      </c>
      <c r="N1991">
        <v>2.6</v>
      </c>
      <c r="O1991">
        <v>26</v>
      </c>
      <c r="P1991" t="s">
        <v>26</v>
      </c>
    </row>
    <row r="1992" spans="1:16" x14ac:dyDescent="0.25">
      <c r="A1992" t="s">
        <v>5075</v>
      </c>
      <c r="B1992" t="s">
        <v>5076</v>
      </c>
      <c r="C1992" t="s">
        <v>18</v>
      </c>
      <c r="D1992" t="s">
        <v>79</v>
      </c>
      <c r="E1992" t="s">
        <v>31</v>
      </c>
      <c r="F1992" t="s">
        <v>128</v>
      </c>
      <c r="G1992" t="s">
        <v>33</v>
      </c>
      <c r="H1992" t="s">
        <v>46</v>
      </c>
      <c r="I1992" t="s">
        <v>24</v>
      </c>
      <c r="J1992" t="s">
        <v>5077</v>
      </c>
      <c r="K1992" t="s">
        <v>172</v>
      </c>
      <c r="L1992">
        <v>5.3</v>
      </c>
      <c r="M1992">
        <v>472000</v>
      </c>
      <c r="N1992">
        <v>2.5</v>
      </c>
      <c r="O1992">
        <v>36</v>
      </c>
      <c r="P1992" t="s">
        <v>53</v>
      </c>
    </row>
    <row r="1993" spans="1:16" x14ac:dyDescent="0.25">
      <c r="A1993" t="s">
        <v>5078</v>
      </c>
      <c r="B1993" t="s">
        <v>5079</v>
      </c>
      <c r="C1993" t="s">
        <v>29</v>
      </c>
      <c r="D1993" t="s">
        <v>19</v>
      </c>
      <c r="E1993" t="s">
        <v>20</v>
      </c>
      <c r="F1993" t="s">
        <v>128</v>
      </c>
      <c r="G1993" t="s">
        <v>22</v>
      </c>
      <c r="H1993" t="s">
        <v>23</v>
      </c>
      <c r="J1993" t="s">
        <v>4111</v>
      </c>
      <c r="K1993" t="s">
        <v>5080</v>
      </c>
      <c r="L1993">
        <v>1.6</v>
      </c>
      <c r="M1993">
        <v>533000</v>
      </c>
      <c r="N1993">
        <v>4.9000000000000004</v>
      </c>
      <c r="O1993">
        <v>13</v>
      </c>
      <c r="P1993" t="s">
        <v>53</v>
      </c>
    </row>
    <row r="1994" spans="1:16" x14ac:dyDescent="0.25">
      <c r="A1994" t="s">
        <v>5081</v>
      </c>
      <c r="B1994" t="s">
        <v>3710</v>
      </c>
      <c r="C1994" t="s">
        <v>29</v>
      </c>
      <c r="D1994" t="s">
        <v>50</v>
      </c>
      <c r="E1994" t="s">
        <v>31</v>
      </c>
      <c r="F1994" t="s">
        <v>39</v>
      </c>
      <c r="G1994" t="s">
        <v>22</v>
      </c>
      <c r="H1994" t="s">
        <v>34</v>
      </c>
      <c r="I1994" t="s">
        <v>24</v>
      </c>
      <c r="J1994" t="s">
        <v>4713</v>
      </c>
      <c r="L1994">
        <v>5.6</v>
      </c>
      <c r="M1994">
        <v>119000</v>
      </c>
      <c r="N1994">
        <v>2.5</v>
      </c>
      <c r="O1994">
        <v>7</v>
      </c>
      <c r="P1994" t="s">
        <v>26</v>
      </c>
    </row>
    <row r="1995" spans="1:16" x14ac:dyDescent="0.25">
      <c r="A1995" t="s">
        <v>5082</v>
      </c>
      <c r="B1995" t="s">
        <v>4559</v>
      </c>
      <c r="C1995" t="s">
        <v>18</v>
      </c>
      <c r="D1995" t="s">
        <v>19</v>
      </c>
      <c r="E1995" t="s">
        <v>20</v>
      </c>
      <c r="F1995" t="s">
        <v>39</v>
      </c>
      <c r="G1995" t="s">
        <v>22</v>
      </c>
      <c r="H1995" t="s">
        <v>34</v>
      </c>
      <c r="I1995" t="s">
        <v>35</v>
      </c>
      <c r="J1995" t="s">
        <v>827</v>
      </c>
      <c r="L1995">
        <v>4.5999999999999996</v>
      </c>
      <c r="M1995">
        <v>185000</v>
      </c>
      <c r="N1995">
        <v>2.8</v>
      </c>
      <c r="O1995">
        <v>7</v>
      </c>
      <c r="P1995" t="s">
        <v>26</v>
      </c>
    </row>
    <row r="1996" spans="1:16" x14ac:dyDescent="0.25">
      <c r="A1996" t="s">
        <v>5083</v>
      </c>
      <c r="B1996" t="s">
        <v>5084</v>
      </c>
      <c r="C1996" t="s">
        <v>18</v>
      </c>
      <c r="D1996" t="s">
        <v>30</v>
      </c>
      <c r="E1996" t="s">
        <v>44</v>
      </c>
      <c r="F1996" t="s">
        <v>39</v>
      </c>
      <c r="G1996" t="s">
        <v>22</v>
      </c>
      <c r="H1996" t="s">
        <v>34</v>
      </c>
      <c r="I1996" t="s">
        <v>35</v>
      </c>
      <c r="J1996" t="s">
        <v>3590</v>
      </c>
      <c r="L1996">
        <v>6</v>
      </c>
      <c r="M1996">
        <v>113000</v>
      </c>
      <c r="N1996">
        <v>2.6</v>
      </c>
      <c r="O1996">
        <v>8</v>
      </c>
      <c r="P1996" t="s">
        <v>26</v>
      </c>
    </row>
    <row r="1997" spans="1:16" x14ac:dyDescent="0.25">
      <c r="A1997" t="s">
        <v>5085</v>
      </c>
      <c r="B1997" t="s">
        <v>5086</v>
      </c>
      <c r="C1997" t="s">
        <v>29</v>
      </c>
      <c r="E1997" t="s">
        <v>20</v>
      </c>
      <c r="F1997" t="s">
        <v>32</v>
      </c>
      <c r="G1997" t="s">
        <v>22</v>
      </c>
      <c r="H1997" t="s">
        <v>34</v>
      </c>
      <c r="I1997" t="s">
        <v>35</v>
      </c>
      <c r="J1997" t="s">
        <v>523</v>
      </c>
      <c r="L1997">
        <v>4.5</v>
      </c>
      <c r="M1997">
        <v>309000</v>
      </c>
      <c r="N1997">
        <v>4.8</v>
      </c>
      <c r="O1997">
        <v>40</v>
      </c>
      <c r="P1997" t="s">
        <v>26</v>
      </c>
    </row>
    <row r="1998" spans="1:16" x14ac:dyDescent="0.25">
      <c r="A1998" t="s">
        <v>5087</v>
      </c>
      <c r="B1998" t="s">
        <v>5088</v>
      </c>
      <c r="C1998" t="s">
        <v>29</v>
      </c>
      <c r="D1998" t="s">
        <v>79</v>
      </c>
      <c r="E1998" t="s">
        <v>20</v>
      </c>
      <c r="F1998" t="s">
        <v>45</v>
      </c>
      <c r="G1998" t="s">
        <v>22</v>
      </c>
      <c r="H1998" t="s">
        <v>62</v>
      </c>
      <c r="I1998" t="s">
        <v>24</v>
      </c>
      <c r="J1998" t="s">
        <v>148</v>
      </c>
      <c r="L1998">
        <v>5.5</v>
      </c>
      <c r="M1998">
        <v>1192000</v>
      </c>
      <c r="O1998">
        <v>7</v>
      </c>
      <c r="P1998" t="s">
        <v>26</v>
      </c>
    </row>
    <row r="1999" spans="1:16" x14ac:dyDescent="0.25">
      <c r="A1999" t="s">
        <v>5089</v>
      </c>
      <c r="B1999" t="s">
        <v>5090</v>
      </c>
      <c r="C1999" t="s">
        <v>29</v>
      </c>
      <c r="D1999" t="s">
        <v>79</v>
      </c>
      <c r="E1999" t="s">
        <v>31</v>
      </c>
      <c r="F1999" t="s">
        <v>32</v>
      </c>
      <c r="G1999" t="s">
        <v>80</v>
      </c>
      <c r="H1999" t="s">
        <v>23</v>
      </c>
      <c r="I1999" t="s">
        <v>171</v>
      </c>
      <c r="J1999" t="s">
        <v>5091</v>
      </c>
      <c r="L1999">
        <v>2.6</v>
      </c>
      <c r="M1999">
        <v>302000</v>
      </c>
      <c r="N1999">
        <v>4.2</v>
      </c>
      <c r="O1999">
        <v>12</v>
      </c>
      <c r="P1999" t="s">
        <v>26</v>
      </c>
    </row>
    <row r="2000" spans="1:16" x14ac:dyDescent="0.25">
      <c r="A2000" t="s">
        <v>5092</v>
      </c>
      <c r="B2000" t="s">
        <v>5093</v>
      </c>
      <c r="C2000" t="s">
        <v>18</v>
      </c>
      <c r="D2000" t="s">
        <v>50</v>
      </c>
      <c r="E2000" t="s">
        <v>44</v>
      </c>
      <c r="F2000" t="s">
        <v>128</v>
      </c>
      <c r="G2000" t="s">
        <v>22</v>
      </c>
      <c r="H2000" t="s">
        <v>46</v>
      </c>
      <c r="I2000" t="s">
        <v>24</v>
      </c>
      <c r="J2000" t="s">
        <v>3848</v>
      </c>
      <c r="K2000" t="s">
        <v>2968</v>
      </c>
      <c r="L2000">
        <v>2.6</v>
      </c>
      <c r="M2000">
        <v>412000</v>
      </c>
      <c r="N2000">
        <v>4.2</v>
      </c>
      <c r="O2000">
        <v>5</v>
      </c>
      <c r="P2000" t="s">
        <v>72</v>
      </c>
    </row>
    <row r="2001" spans="1:16" x14ac:dyDescent="0.25">
      <c r="A2001" t="s">
        <v>5094</v>
      </c>
      <c r="B2001" t="s">
        <v>5095</v>
      </c>
      <c r="C2001" t="s">
        <v>18</v>
      </c>
      <c r="D2001" t="s">
        <v>50</v>
      </c>
      <c r="E2001" t="s">
        <v>44</v>
      </c>
      <c r="F2001" t="s">
        <v>39</v>
      </c>
      <c r="G2001" t="s">
        <v>80</v>
      </c>
      <c r="H2001" t="s">
        <v>34</v>
      </c>
      <c r="I2001" t="s">
        <v>35</v>
      </c>
      <c r="J2001" t="s">
        <v>4309</v>
      </c>
      <c r="K2001" t="s">
        <v>1119</v>
      </c>
      <c r="L2001">
        <v>3.1</v>
      </c>
      <c r="M2001">
        <v>106000</v>
      </c>
      <c r="N2001">
        <v>4.2</v>
      </c>
      <c r="O2001">
        <v>12</v>
      </c>
      <c r="P2001" t="s">
        <v>72</v>
      </c>
    </row>
    <row r="2002" spans="1:16" x14ac:dyDescent="0.25">
      <c r="A2002" t="s">
        <v>5096</v>
      </c>
      <c r="B2002" t="s">
        <v>5097</v>
      </c>
      <c r="C2002" t="s">
        <v>18</v>
      </c>
      <c r="D2002" t="s">
        <v>79</v>
      </c>
      <c r="E2002" t="s">
        <v>20</v>
      </c>
      <c r="F2002" t="s">
        <v>32</v>
      </c>
      <c r="G2002" t="s">
        <v>22</v>
      </c>
      <c r="H2002" t="s">
        <v>23</v>
      </c>
      <c r="I2002" t="s">
        <v>35</v>
      </c>
      <c r="J2002" t="s">
        <v>539</v>
      </c>
      <c r="K2002" t="s">
        <v>812</v>
      </c>
      <c r="L2002">
        <v>2.8</v>
      </c>
      <c r="M2002">
        <v>292000</v>
      </c>
      <c r="N2002">
        <v>2.8</v>
      </c>
      <c r="O2002">
        <v>5</v>
      </c>
      <c r="P2002" t="s">
        <v>72</v>
      </c>
    </row>
    <row r="2003" spans="1:16" x14ac:dyDescent="0.25">
      <c r="A2003" t="s">
        <v>5098</v>
      </c>
      <c r="B2003" t="s">
        <v>2226</v>
      </c>
      <c r="C2003" t="s">
        <v>29</v>
      </c>
      <c r="D2003" t="s">
        <v>43</v>
      </c>
      <c r="E2003" t="s">
        <v>20</v>
      </c>
      <c r="F2003" t="s">
        <v>128</v>
      </c>
      <c r="G2003" t="s">
        <v>22</v>
      </c>
      <c r="H2003" t="s">
        <v>23</v>
      </c>
      <c r="I2003" t="s">
        <v>24</v>
      </c>
      <c r="J2003" t="s">
        <v>338</v>
      </c>
      <c r="L2003">
        <v>4.3</v>
      </c>
      <c r="M2003">
        <v>350000</v>
      </c>
      <c r="N2003">
        <v>4.4000000000000004</v>
      </c>
      <c r="O2003">
        <v>4</v>
      </c>
      <c r="P2003" t="s">
        <v>26</v>
      </c>
    </row>
    <row r="2004" spans="1:16" x14ac:dyDescent="0.25">
      <c r="A2004" t="s">
        <v>5099</v>
      </c>
      <c r="B2004" t="s">
        <v>5100</v>
      </c>
      <c r="C2004" t="s">
        <v>29</v>
      </c>
      <c r="D2004" t="s">
        <v>43</v>
      </c>
      <c r="E2004" t="s">
        <v>20</v>
      </c>
      <c r="F2004" t="s">
        <v>32</v>
      </c>
      <c r="G2004" t="s">
        <v>22</v>
      </c>
      <c r="H2004" t="s">
        <v>46</v>
      </c>
      <c r="I2004" t="s">
        <v>75</v>
      </c>
      <c r="J2004" t="s">
        <v>351</v>
      </c>
      <c r="L2004">
        <v>5.4</v>
      </c>
      <c r="M2004">
        <v>250000</v>
      </c>
      <c r="N2004">
        <v>4.4000000000000004</v>
      </c>
      <c r="O2004">
        <v>14</v>
      </c>
      <c r="P2004" t="s">
        <v>26</v>
      </c>
    </row>
    <row r="2005" spans="1:16" x14ac:dyDescent="0.25">
      <c r="A2005" t="s">
        <v>5101</v>
      </c>
      <c r="B2005" t="s">
        <v>123</v>
      </c>
      <c r="C2005" t="s">
        <v>29</v>
      </c>
      <c r="D2005" t="s">
        <v>19</v>
      </c>
      <c r="F2005" t="s">
        <v>32</v>
      </c>
      <c r="G2005" t="s">
        <v>33</v>
      </c>
      <c r="H2005" t="s">
        <v>46</v>
      </c>
      <c r="I2005" t="s">
        <v>24</v>
      </c>
      <c r="J2005" t="s">
        <v>475</v>
      </c>
      <c r="K2005" t="s">
        <v>1038</v>
      </c>
      <c r="L2005">
        <v>4.9000000000000004</v>
      </c>
      <c r="M2005">
        <v>327000</v>
      </c>
      <c r="N2005">
        <v>4.9000000000000004</v>
      </c>
      <c r="O2005">
        <v>7</v>
      </c>
      <c r="P2005" t="s">
        <v>72</v>
      </c>
    </row>
    <row r="2006" spans="1:16" x14ac:dyDescent="0.25">
      <c r="A2006" t="s">
        <v>5102</v>
      </c>
      <c r="B2006" t="s">
        <v>2990</v>
      </c>
      <c r="C2006" t="s">
        <v>18</v>
      </c>
      <c r="D2006" t="s">
        <v>79</v>
      </c>
      <c r="E2006" t="s">
        <v>44</v>
      </c>
      <c r="F2006" t="s">
        <v>128</v>
      </c>
      <c r="G2006" t="s">
        <v>33</v>
      </c>
      <c r="H2006" t="s">
        <v>34</v>
      </c>
      <c r="I2006" t="s">
        <v>35</v>
      </c>
      <c r="J2006" t="s">
        <v>2402</v>
      </c>
      <c r="K2006" t="s">
        <v>1684</v>
      </c>
      <c r="L2006">
        <v>2</v>
      </c>
      <c r="M2006">
        <v>556000</v>
      </c>
      <c r="N2006">
        <v>4.8</v>
      </c>
      <c r="O2006">
        <v>7</v>
      </c>
      <c r="P2006" t="s">
        <v>53</v>
      </c>
    </row>
    <row r="2007" spans="1:16" x14ac:dyDescent="0.25">
      <c r="A2007" t="s">
        <v>5103</v>
      </c>
      <c r="B2007" t="s">
        <v>5104</v>
      </c>
      <c r="C2007" t="s">
        <v>18</v>
      </c>
      <c r="D2007" t="s">
        <v>30</v>
      </c>
      <c r="E2007" t="s">
        <v>20</v>
      </c>
      <c r="F2007" t="s">
        <v>39</v>
      </c>
      <c r="G2007" t="s">
        <v>22</v>
      </c>
      <c r="H2007" t="s">
        <v>34</v>
      </c>
      <c r="I2007" t="s">
        <v>35</v>
      </c>
      <c r="J2007" t="s">
        <v>2285</v>
      </c>
      <c r="L2007">
        <v>1.7</v>
      </c>
      <c r="M2007">
        <v>169000</v>
      </c>
      <c r="N2007">
        <v>2.8</v>
      </c>
      <c r="O2007">
        <v>7</v>
      </c>
      <c r="P2007" t="s">
        <v>26</v>
      </c>
    </row>
    <row r="2008" spans="1:16" x14ac:dyDescent="0.25">
      <c r="A2008" t="s">
        <v>5105</v>
      </c>
      <c r="B2008" t="s">
        <v>5106</v>
      </c>
      <c r="C2008" t="s">
        <v>18</v>
      </c>
      <c r="D2008" t="s">
        <v>79</v>
      </c>
      <c r="E2008" t="s">
        <v>20</v>
      </c>
      <c r="F2008" t="s">
        <v>128</v>
      </c>
      <c r="G2008" t="s">
        <v>22</v>
      </c>
      <c r="H2008" t="s">
        <v>34</v>
      </c>
      <c r="I2008" t="s">
        <v>75</v>
      </c>
      <c r="J2008" t="s">
        <v>5107</v>
      </c>
      <c r="K2008" t="s">
        <v>1375</v>
      </c>
      <c r="L2008">
        <v>4.4000000000000004</v>
      </c>
      <c r="M2008">
        <v>369000</v>
      </c>
      <c r="N2008">
        <v>4.7</v>
      </c>
      <c r="O2008">
        <v>7</v>
      </c>
      <c r="P2008" t="s">
        <v>53</v>
      </c>
    </row>
    <row r="2009" spans="1:16" x14ac:dyDescent="0.25">
      <c r="A2009" t="s">
        <v>5108</v>
      </c>
      <c r="B2009" t="s">
        <v>5109</v>
      </c>
      <c r="C2009" t="s">
        <v>29</v>
      </c>
      <c r="D2009" t="s">
        <v>19</v>
      </c>
      <c r="E2009" t="s">
        <v>44</v>
      </c>
      <c r="F2009" t="s">
        <v>32</v>
      </c>
      <c r="G2009" t="s">
        <v>69</v>
      </c>
      <c r="H2009" t="s">
        <v>23</v>
      </c>
      <c r="I2009" t="s">
        <v>57</v>
      </c>
      <c r="J2009" t="s">
        <v>5110</v>
      </c>
      <c r="L2009">
        <v>4.7</v>
      </c>
      <c r="M2009">
        <v>385000</v>
      </c>
      <c r="N2009">
        <v>4.9000000000000004</v>
      </c>
      <c r="O2009">
        <v>21</v>
      </c>
      <c r="P2009" t="s">
        <v>26</v>
      </c>
    </row>
    <row r="2010" spans="1:16" x14ac:dyDescent="0.25">
      <c r="A2010" t="s">
        <v>5111</v>
      </c>
      <c r="B2010" t="s">
        <v>326</v>
      </c>
      <c r="C2010" t="s">
        <v>29</v>
      </c>
      <c r="D2010" t="s">
        <v>50</v>
      </c>
      <c r="F2010" t="s">
        <v>32</v>
      </c>
      <c r="G2010" t="s">
        <v>69</v>
      </c>
      <c r="H2010" t="s">
        <v>62</v>
      </c>
      <c r="I2010" t="s">
        <v>24</v>
      </c>
      <c r="J2010" t="s">
        <v>5112</v>
      </c>
      <c r="K2010" t="s">
        <v>867</v>
      </c>
      <c r="L2010">
        <v>2.4</v>
      </c>
      <c r="M2010">
        <v>275000</v>
      </c>
      <c r="N2010">
        <v>4</v>
      </c>
      <c r="O2010">
        <v>8</v>
      </c>
      <c r="P2010" t="s">
        <v>53</v>
      </c>
    </row>
    <row r="2011" spans="1:16" x14ac:dyDescent="0.25">
      <c r="A2011" t="s">
        <v>5113</v>
      </c>
      <c r="B2011" t="s">
        <v>2090</v>
      </c>
      <c r="C2011" t="s">
        <v>29</v>
      </c>
      <c r="D2011" t="s">
        <v>50</v>
      </c>
      <c r="E2011" t="s">
        <v>20</v>
      </c>
      <c r="F2011" t="s">
        <v>32</v>
      </c>
      <c r="G2011" t="s">
        <v>22</v>
      </c>
      <c r="H2011" t="s">
        <v>46</v>
      </c>
      <c r="I2011" t="s">
        <v>24</v>
      </c>
      <c r="J2011" t="s">
        <v>1534</v>
      </c>
      <c r="L2011">
        <v>5.2</v>
      </c>
      <c r="M2011">
        <v>196000</v>
      </c>
      <c r="N2011">
        <v>4.2</v>
      </c>
      <c r="O2011">
        <v>6</v>
      </c>
      <c r="P2011" t="s">
        <v>26</v>
      </c>
    </row>
    <row r="2012" spans="1:16" x14ac:dyDescent="0.25">
      <c r="A2012" t="s">
        <v>5114</v>
      </c>
      <c r="B2012" t="s">
        <v>3924</v>
      </c>
      <c r="C2012" t="s">
        <v>18</v>
      </c>
      <c r="D2012" t="s">
        <v>79</v>
      </c>
      <c r="E2012" t="s">
        <v>20</v>
      </c>
      <c r="F2012" t="s">
        <v>32</v>
      </c>
      <c r="G2012" t="s">
        <v>22</v>
      </c>
      <c r="H2012" t="s">
        <v>23</v>
      </c>
      <c r="I2012" t="s">
        <v>35</v>
      </c>
      <c r="J2012" t="s">
        <v>5115</v>
      </c>
      <c r="L2012">
        <v>3.3</v>
      </c>
      <c r="M2012">
        <v>331000</v>
      </c>
      <c r="N2012">
        <v>3.2</v>
      </c>
      <c r="O2012">
        <v>12</v>
      </c>
      <c r="P2012" t="s">
        <v>26</v>
      </c>
    </row>
    <row r="2013" spans="1:16" x14ac:dyDescent="0.25">
      <c r="A2013" t="s">
        <v>5116</v>
      </c>
      <c r="B2013" t="s">
        <v>1976</v>
      </c>
      <c r="C2013" t="s">
        <v>18</v>
      </c>
      <c r="D2013" t="s">
        <v>19</v>
      </c>
      <c r="E2013" t="s">
        <v>20</v>
      </c>
      <c r="F2013" t="s">
        <v>39</v>
      </c>
      <c r="G2013" t="s">
        <v>33</v>
      </c>
      <c r="H2013" t="s">
        <v>23</v>
      </c>
      <c r="I2013" t="s">
        <v>35</v>
      </c>
      <c r="J2013" t="s">
        <v>5117</v>
      </c>
      <c r="L2013">
        <v>3.7</v>
      </c>
      <c r="N2013">
        <v>3.6</v>
      </c>
      <c r="O2013">
        <v>16</v>
      </c>
      <c r="P2013" t="s">
        <v>26</v>
      </c>
    </row>
    <row r="2014" spans="1:16" x14ac:dyDescent="0.25">
      <c r="A2014" t="s">
        <v>5118</v>
      </c>
      <c r="B2014" t="s">
        <v>5100</v>
      </c>
      <c r="C2014" t="s">
        <v>29</v>
      </c>
      <c r="D2014" t="s">
        <v>50</v>
      </c>
      <c r="E2014" t="s">
        <v>20</v>
      </c>
      <c r="F2014" t="s">
        <v>32</v>
      </c>
      <c r="G2014" t="s">
        <v>69</v>
      </c>
      <c r="H2014" t="s">
        <v>34</v>
      </c>
      <c r="I2014" t="s">
        <v>24</v>
      </c>
      <c r="J2014" t="s">
        <v>4729</v>
      </c>
      <c r="L2014">
        <v>2.5</v>
      </c>
      <c r="M2014">
        <v>276000</v>
      </c>
      <c r="N2014">
        <v>4.5999999999999996</v>
      </c>
      <c r="O2014">
        <v>6</v>
      </c>
      <c r="P2014" t="s">
        <v>26</v>
      </c>
    </row>
    <row r="2015" spans="1:16" x14ac:dyDescent="0.25">
      <c r="A2015" t="s">
        <v>5119</v>
      </c>
      <c r="B2015" t="s">
        <v>3083</v>
      </c>
      <c r="C2015" t="s">
        <v>18</v>
      </c>
      <c r="D2015" t="s">
        <v>79</v>
      </c>
      <c r="E2015" t="s">
        <v>20</v>
      </c>
      <c r="F2015" t="s">
        <v>39</v>
      </c>
      <c r="G2015" t="s">
        <v>22</v>
      </c>
      <c r="H2015" t="s">
        <v>46</v>
      </c>
      <c r="I2015" t="s">
        <v>35</v>
      </c>
      <c r="J2015" t="s">
        <v>263</v>
      </c>
      <c r="L2015">
        <v>4.9000000000000004</v>
      </c>
      <c r="M2015">
        <v>178000</v>
      </c>
      <c r="N2015">
        <v>4</v>
      </c>
      <c r="O2015">
        <v>13</v>
      </c>
      <c r="P2015" t="s">
        <v>26</v>
      </c>
    </row>
    <row r="2016" spans="1:16" x14ac:dyDescent="0.25">
      <c r="A2016" t="s">
        <v>5120</v>
      </c>
      <c r="B2016" t="s">
        <v>2131</v>
      </c>
      <c r="C2016" t="s">
        <v>29</v>
      </c>
      <c r="D2016" t="s">
        <v>79</v>
      </c>
      <c r="E2016" t="s">
        <v>31</v>
      </c>
      <c r="F2016" t="s">
        <v>128</v>
      </c>
      <c r="G2016" t="s">
        <v>22</v>
      </c>
      <c r="H2016" t="s">
        <v>34</v>
      </c>
      <c r="I2016" t="s">
        <v>24</v>
      </c>
      <c r="J2016" t="s">
        <v>1834</v>
      </c>
      <c r="L2016">
        <v>1.6</v>
      </c>
      <c r="M2016">
        <v>545000</v>
      </c>
      <c r="N2016">
        <v>3.4</v>
      </c>
      <c r="O2016">
        <v>10</v>
      </c>
      <c r="P2016" t="s">
        <v>26</v>
      </c>
    </row>
    <row r="2017" spans="1:16" x14ac:dyDescent="0.25">
      <c r="A2017" t="s">
        <v>5121</v>
      </c>
      <c r="B2017" t="s">
        <v>5122</v>
      </c>
      <c r="C2017" t="s">
        <v>18</v>
      </c>
      <c r="D2017" t="s">
        <v>50</v>
      </c>
      <c r="E2017" t="s">
        <v>20</v>
      </c>
      <c r="F2017" t="s">
        <v>32</v>
      </c>
      <c r="G2017" t="s">
        <v>22</v>
      </c>
      <c r="H2017" t="s">
        <v>23</v>
      </c>
      <c r="I2017" t="s">
        <v>75</v>
      </c>
      <c r="J2017" t="s">
        <v>5123</v>
      </c>
      <c r="K2017" t="s">
        <v>560</v>
      </c>
      <c r="L2017">
        <v>2.4</v>
      </c>
      <c r="M2017">
        <v>264000</v>
      </c>
      <c r="N2017">
        <v>2.2000000000000002</v>
      </c>
      <c r="O2017">
        <v>7</v>
      </c>
      <c r="P2017" t="s">
        <v>72</v>
      </c>
    </row>
    <row r="2018" spans="1:16" x14ac:dyDescent="0.25">
      <c r="A2018" t="s">
        <v>5124</v>
      </c>
      <c r="B2018" t="s">
        <v>5125</v>
      </c>
      <c r="C2018" t="s">
        <v>29</v>
      </c>
      <c r="E2018" t="s">
        <v>20</v>
      </c>
      <c r="F2018" t="s">
        <v>39</v>
      </c>
      <c r="G2018" t="s">
        <v>80</v>
      </c>
      <c r="H2018" t="s">
        <v>23</v>
      </c>
      <c r="J2018" t="s">
        <v>1558</v>
      </c>
      <c r="K2018" t="s">
        <v>504</v>
      </c>
      <c r="L2018">
        <v>3.7</v>
      </c>
      <c r="M2018">
        <v>95000</v>
      </c>
      <c r="N2018">
        <v>2.7</v>
      </c>
      <c r="O2018">
        <v>1</v>
      </c>
      <c r="P2018" t="s">
        <v>114</v>
      </c>
    </row>
    <row r="2019" spans="1:16" x14ac:dyDescent="0.25">
      <c r="A2019" t="s">
        <v>5126</v>
      </c>
      <c r="B2019" t="s">
        <v>3781</v>
      </c>
      <c r="C2019" t="s">
        <v>18</v>
      </c>
      <c r="D2019" t="s">
        <v>43</v>
      </c>
      <c r="E2019" t="s">
        <v>20</v>
      </c>
      <c r="F2019" t="s">
        <v>39</v>
      </c>
      <c r="G2019" t="s">
        <v>80</v>
      </c>
      <c r="H2019" t="s">
        <v>46</v>
      </c>
      <c r="I2019" t="s">
        <v>24</v>
      </c>
      <c r="J2019" t="s">
        <v>4151</v>
      </c>
      <c r="L2019">
        <v>5</v>
      </c>
      <c r="M2019">
        <v>130000</v>
      </c>
      <c r="N2019">
        <v>4.0999999999999996</v>
      </c>
      <c r="O2019">
        <v>4</v>
      </c>
      <c r="P2019" t="s">
        <v>26</v>
      </c>
    </row>
    <row r="2020" spans="1:16" x14ac:dyDescent="0.25">
      <c r="A2020" t="s">
        <v>5127</v>
      </c>
      <c r="B2020" t="s">
        <v>3916</v>
      </c>
      <c r="C2020" t="s">
        <v>18</v>
      </c>
      <c r="D2020" t="s">
        <v>19</v>
      </c>
      <c r="E2020" t="s">
        <v>20</v>
      </c>
      <c r="F2020" t="s">
        <v>21</v>
      </c>
      <c r="G2020" t="s">
        <v>80</v>
      </c>
      <c r="H2020" t="s">
        <v>34</v>
      </c>
      <c r="I2020" t="s">
        <v>35</v>
      </c>
      <c r="J2020" t="s">
        <v>5128</v>
      </c>
      <c r="K2020" t="s">
        <v>2807</v>
      </c>
      <c r="L2020">
        <v>5.2</v>
      </c>
      <c r="M2020">
        <v>1045000</v>
      </c>
      <c r="N2020">
        <v>4</v>
      </c>
      <c r="O2020">
        <v>30</v>
      </c>
      <c r="P2020" t="s">
        <v>53</v>
      </c>
    </row>
    <row r="2021" spans="1:16" x14ac:dyDescent="0.25">
      <c r="A2021" t="s">
        <v>5129</v>
      </c>
      <c r="B2021" t="s">
        <v>5130</v>
      </c>
      <c r="C2021" t="s">
        <v>29</v>
      </c>
      <c r="D2021" t="s">
        <v>79</v>
      </c>
      <c r="E2021" t="s">
        <v>20</v>
      </c>
      <c r="F2021" t="s">
        <v>128</v>
      </c>
      <c r="G2021" t="s">
        <v>33</v>
      </c>
      <c r="H2021" t="s">
        <v>34</v>
      </c>
      <c r="I2021" t="s">
        <v>24</v>
      </c>
      <c r="J2021" t="s">
        <v>4249</v>
      </c>
      <c r="L2021">
        <v>5.9</v>
      </c>
      <c r="M2021">
        <v>479000</v>
      </c>
      <c r="N2021">
        <v>2.5</v>
      </c>
      <c r="O2021">
        <v>4</v>
      </c>
      <c r="P2021" t="s">
        <v>26</v>
      </c>
    </row>
    <row r="2022" spans="1:16" x14ac:dyDescent="0.25">
      <c r="A2022" t="s">
        <v>5131</v>
      </c>
      <c r="B2022" t="s">
        <v>1381</v>
      </c>
      <c r="C2022" t="s">
        <v>18</v>
      </c>
      <c r="E2022" t="s">
        <v>31</v>
      </c>
      <c r="F2022" t="s">
        <v>39</v>
      </c>
      <c r="G2022" t="s">
        <v>22</v>
      </c>
      <c r="H2022" t="s">
        <v>23</v>
      </c>
      <c r="I2022" t="s">
        <v>24</v>
      </c>
      <c r="J2022" t="s">
        <v>4742</v>
      </c>
      <c r="L2022">
        <v>5</v>
      </c>
      <c r="M2022">
        <v>126000</v>
      </c>
      <c r="N2022">
        <v>3.1</v>
      </c>
      <c r="O2022">
        <v>25</v>
      </c>
      <c r="P2022" t="s">
        <v>26</v>
      </c>
    </row>
    <row r="2023" spans="1:16" x14ac:dyDescent="0.25">
      <c r="A2023" t="s">
        <v>5132</v>
      </c>
      <c r="B2023" t="s">
        <v>5133</v>
      </c>
      <c r="C2023" t="s">
        <v>18</v>
      </c>
      <c r="D2023" t="s">
        <v>30</v>
      </c>
      <c r="E2023" t="s">
        <v>20</v>
      </c>
      <c r="G2023" t="s">
        <v>22</v>
      </c>
      <c r="H2023" t="s">
        <v>23</v>
      </c>
      <c r="J2023" t="s">
        <v>5134</v>
      </c>
      <c r="L2023">
        <v>2.9</v>
      </c>
      <c r="M2023">
        <v>169000</v>
      </c>
      <c r="N2023">
        <v>2.8</v>
      </c>
      <c r="O2023">
        <v>8</v>
      </c>
      <c r="P2023" t="s">
        <v>26</v>
      </c>
    </row>
    <row r="2024" spans="1:16" x14ac:dyDescent="0.25">
      <c r="A2024" t="s">
        <v>5135</v>
      </c>
      <c r="B2024" t="s">
        <v>5136</v>
      </c>
      <c r="C2024" t="s">
        <v>29</v>
      </c>
      <c r="D2024" t="s">
        <v>50</v>
      </c>
      <c r="E2024" t="s">
        <v>20</v>
      </c>
      <c r="F2024" t="s">
        <v>128</v>
      </c>
      <c r="G2024" t="s">
        <v>22</v>
      </c>
      <c r="H2024" t="s">
        <v>62</v>
      </c>
      <c r="I2024" t="s">
        <v>57</v>
      </c>
      <c r="J2024" t="s">
        <v>5137</v>
      </c>
      <c r="K2024" t="s">
        <v>5138</v>
      </c>
      <c r="L2024">
        <v>6.1</v>
      </c>
      <c r="M2024">
        <v>514000</v>
      </c>
      <c r="N2024">
        <v>3</v>
      </c>
      <c r="O2024">
        <v>0</v>
      </c>
      <c r="P2024" t="s">
        <v>53</v>
      </c>
    </row>
    <row r="2025" spans="1:16" x14ac:dyDescent="0.25">
      <c r="A2025" t="s">
        <v>5139</v>
      </c>
      <c r="B2025" t="s">
        <v>5140</v>
      </c>
      <c r="C2025" t="s">
        <v>18</v>
      </c>
      <c r="D2025" t="s">
        <v>30</v>
      </c>
      <c r="E2025" t="s">
        <v>44</v>
      </c>
      <c r="F2025" t="s">
        <v>128</v>
      </c>
      <c r="G2025" t="s">
        <v>69</v>
      </c>
      <c r="H2025" t="s">
        <v>23</v>
      </c>
      <c r="I2025" t="s">
        <v>24</v>
      </c>
      <c r="J2025" t="s">
        <v>2344</v>
      </c>
      <c r="L2025">
        <v>3</v>
      </c>
      <c r="M2025">
        <v>532000</v>
      </c>
      <c r="N2025">
        <v>4.9000000000000004</v>
      </c>
      <c r="O2025">
        <v>2</v>
      </c>
      <c r="P2025" t="s">
        <v>26</v>
      </c>
    </row>
    <row r="2026" spans="1:16" x14ac:dyDescent="0.25">
      <c r="A2026" t="s">
        <v>5141</v>
      </c>
      <c r="B2026" t="s">
        <v>2630</v>
      </c>
      <c r="C2026" t="s">
        <v>29</v>
      </c>
      <c r="D2026" t="s">
        <v>30</v>
      </c>
      <c r="E2026" t="s">
        <v>31</v>
      </c>
      <c r="G2026" t="s">
        <v>22</v>
      </c>
      <c r="H2026" t="s">
        <v>23</v>
      </c>
      <c r="I2026" t="s">
        <v>24</v>
      </c>
      <c r="J2026" t="s">
        <v>2751</v>
      </c>
      <c r="L2026">
        <v>3.4</v>
      </c>
      <c r="M2026">
        <v>306000</v>
      </c>
      <c r="N2026">
        <v>2.9</v>
      </c>
      <c r="O2026">
        <v>1</v>
      </c>
      <c r="P2026" t="s">
        <v>26</v>
      </c>
    </row>
    <row r="2027" spans="1:16" x14ac:dyDescent="0.25">
      <c r="A2027" t="s">
        <v>5142</v>
      </c>
      <c r="B2027" t="s">
        <v>5059</v>
      </c>
      <c r="C2027" t="s">
        <v>29</v>
      </c>
      <c r="D2027" t="s">
        <v>19</v>
      </c>
      <c r="E2027" t="s">
        <v>20</v>
      </c>
      <c r="F2027" t="s">
        <v>21</v>
      </c>
      <c r="G2027" t="s">
        <v>22</v>
      </c>
      <c r="H2027" t="s">
        <v>23</v>
      </c>
      <c r="I2027" t="s">
        <v>24</v>
      </c>
      <c r="J2027" t="s">
        <v>1763</v>
      </c>
      <c r="K2027" t="s">
        <v>5143</v>
      </c>
      <c r="L2027">
        <v>2.1</v>
      </c>
      <c r="M2027" t="s">
        <v>5144</v>
      </c>
      <c r="N2027">
        <v>3.2</v>
      </c>
      <c r="O2027">
        <v>5</v>
      </c>
      <c r="P2027" t="s">
        <v>53</v>
      </c>
    </row>
    <row r="2028" spans="1:16" x14ac:dyDescent="0.25">
      <c r="A2028" t="s">
        <v>5145</v>
      </c>
      <c r="B2028" t="s">
        <v>5146</v>
      </c>
      <c r="C2028" t="s">
        <v>18</v>
      </c>
      <c r="D2028" t="s">
        <v>19</v>
      </c>
      <c r="E2028" t="s">
        <v>31</v>
      </c>
      <c r="F2028" t="s">
        <v>39</v>
      </c>
      <c r="G2028" t="s">
        <v>22</v>
      </c>
      <c r="H2028" t="s">
        <v>34</v>
      </c>
      <c r="I2028" t="s">
        <v>24</v>
      </c>
      <c r="J2028" t="s">
        <v>920</v>
      </c>
      <c r="K2028" t="s">
        <v>1545</v>
      </c>
      <c r="L2028">
        <v>4.7</v>
      </c>
      <c r="M2028">
        <v>198000</v>
      </c>
      <c r="N2028">
        <v>2.7</v>
      </c>
      <c r="O2028">
        <v>0</v>
      </c>
      <c r="P2028" t="s">
        <v>114</v>
      </c>
    </row>
    <row r="2029" spans="1:16" x14ac:dyDescent="0.25">
      <c r="A2029" t="s">
        <v>5147</v>
      </c>
      <c r="B2029" t="s">
        <v>5148</v>
      </c>
      <c r="C2029" t="s">
        <v>29</v>
      </c>
      <c r="D2029" t="s">
        <v>19</v>
      </c>
      <c r="E2029" t="s">
        <v>20</v>
      </c>
      <c r="F2029" t="s">
        <v>39</v>
      </c>
      <c r="G2029" t="s">
        <v>80</v>
      </c>
      <c r="H2029" t="s">
        <v>23</v>
      </c>
      <c r="I2029" t="s">
        <v>35</v>
      </c>
      <c r="J2029" t="s">
        <v>2375</v>
      </c>
      <c r="L2029">
        <v>3.6</v>
      </c>
      <c r="M2029">
        <v>176000</v>
      </c>
      <c r="N2029">
        <v>3.8</v>
      </c>
      <c r="O2029">
        <v>1</v>
      </c>
      <c r="P2029" t="s">
        <v>26</v>
      </c>
    </row>
    <row r="2030" spans="1:16" x14ac:dyDescent="0.25">
      <c r="A2030" t="s">
        <v>5149</v>
      </c>
      <c r="B2030" t="s">
        <v>5150</v>
      </c>
      <c r="C2030" t="s">
        <v>18</v>
      </c>
      <c r="D2030" t="s">
        <v>19</v>
      </c>
      <c r="F2030" t="s">
        <v>128</v>
      </c>
      <c r="G2030" t="s">
        <v>22</v>
      </c>
      <c r="H2030" t="s">
        <v>23</v>
      </c>
      <c r="J2030" t="s">
        <v>4540</v>
      </c>
      <c r="L2030">
        <v>5</v>
      </c>
      <c r="M2030">
        <v>660000</v>
      </c>
      <c r="N2030">
        <v>4.7</v>
      </c>
      <c r="O2030">
        <v>27</v>
      </c>
      <c r="P2030" t="s">
        <v>26</v>
      </c>
    </row>
    <row r="2031" spans="1:16" x14ac:dyDescent="0.25">
      <c r="A2031" t="s">
        <v>5151</v>
      </c>
      <c r="B2031" t="s">
        <v>5152</v>
      </c>
      <c r="C2031" t="s">
        <v>29</v>
      </c>
      <c r="D2031" t="s">
        <v>79</v>
      </c>
      <c r="E2031" t="s">
        <v>20</v>
      </c>
      <c r="F2031" t="s">
        <v>128</v>
      </c>
      <c r="G2031" t="s">
        <v>80</v>
      </c>
      <c r="H2031" t="s">
        <v>46</v>
      </c>
      <c r="J2031" t="s">
        <v>1760</v>
      </c>
      <c r="K2031" t="s">
        <v>441</v>
      </c>
      <c r="L2031">
        <v>4.4000000000000004</v>
      </c>
      <c r="M2031">
        <v>589000</v>
      </c>
      <c r="N2031">
        <v>4.9000000000000004</v>
      </c>
      <c r="O2031">
        <v>0</v>
      </c>
      <c r="P2031" t="s">
        <v>53</v>
      </c>
    </row>
    <row r="2032" spans="1:16" x14ac:dyDescent="0.25">
      <c r="A2032" t="s">
        <v>5153</v>
      </c>
      <c r="B2032" t="s">
        <v>5154</v>
      </c>
      <c r="C2032" t="s">
        <v>29</v>
      </c>
      <c r="D2032" t="s">
        <v>30</v>
      </c>
      <c r="E2032" t="s">
        <v>31</v>
      </c>
      <c r="F2032" t="s">
        <v>32</v>
      </c>
      <c r="G2032" t="s">
        <v>80</v>
      </c>
      <c r="I2032" t="s">
        <v>24</v>
      </c>
      <c r="J2032" t="s">
        <v>5155</v>
      </c>
      <c r="L2032">
        <v>6.2</v>
      </c>
      <c r="M2032">
        <v>295000</v>
      </c>
      <c r="N2032">
        <v>3.2</v>
      </c>
      <c r="O2032">
        <v>11</v>
      </c>
      <c r="P2032" t="s">
        <v>26</v>
      </c>
    </row>
    <row r="2033" spans="1:16" x14ac:dyDescent="0.25">
      <c r="A2033" t="s">
        <v>5156</v>
      </c>
      <c r="B2033" t="s">
        <v>5157</v>
      </c>
      <c r="C2033" t="s">
        <v>29</v>
      </c>
      <c r="D2033" t="s">
        <v>30</v>
      </c>
      <c r="E2033" t="s">
        <v>20</v>
      </c>
      <c r="F2033" t="s">
        <v>128</v>
      </c>
      <c r="G2033" t="s">
        <v>69</v>
      </c>
      <c r="H2033" t="s">
        <v>23</v>
      </c>
      <c r="I2033" t="s">
        <v>35</v>
      </c>
      <c r="J2033" t="s">
        <v>1571</v>
      </c>
      <c r="K2033" t="s">
        <v>1690</v>
      </c>
      <c r="L2033">
        <v>3.8</v>
      </c>
      <c r="M2033">
        <v>545000</v>
      </c>
      <c r="N2033">
        <v>2.2999999999999998</v>
      </c>
      <c r="O2033">
        <v>35</v>
      </c>
      <c r="P2033" t="s">
        <v>114</v>
      </c>
    </row>
    <row r="2034" spans="1:16" x14ac:dyDescent="0.25">
      <c r="A2034" t="s">
        <v>5158</v>
      </c>
      <c r="B2034" t="s">
        <v>5159</v>
      </c>
      <c r="C2034" t="s">
        <v>18</v>
      </c>
      <c r="D2034" t="s">
        <v>30</v>
      </c>
      <c r="E2034" t="s">
        <v>44</v>
      </c>
      <c r="F2034" t="s">
        <v>39</v>
      </c>
      <c r="G2034" t="s">
        <v>80</v>
      </c>
      <c r="I2034" t="s">
        <v>35</v>
      </c>
      <c r="J2034" t="s">
        <v>2870</v>
      </c>
      <c r="L2034">
        <v>3.2</v>
      </c>
      <c r="M2034">
        <v>127000</v>
      </c>
      <c r="N2034">
        <v>3.1</v>
      </c>
      <c r="P2034" t="s">
        <v>26</v>
      </c>
    </row>
    <row r="2035" spans="1:16" x14ac:dyDescent="0.25">
      <c r="A2035" t="s">
        <v>5160</v>
      </c>
      <c r="B2035" t="s">
        <v>3564</v>
      </c>
      <c r="C2035" t="s">
        <v>29</v>
      </c>
      <c r="D2035" t="s">
        <v>50</v>
      </c>
      <c r="F2035" t="s">
        <v>128</v>
      </c>
      <c r="G2035" t="s">
        <v>69</v>
      </c>
      <c r="H2035" t="s">
        <v>23</v>
      </c>
      <c r="I2035" t="s">
        <v>35</v>
      </c>
      <c r="J2035" t="s">
        <v>3964</v>
      </c>
      <c r="K2035" t="s">
        <v>2562</v>
      </c>
      <c r="L2035">
        <v>4.5</v>
      </c>
      <c r="M2035">
        <v>415000</v>
      </c>
      <c r="N2035">
        <v>3</v>
      </c>
      <c r="O2035">
        <v>2</v>
      </c>
      <c r="P2035" t="s">
        <v>53</v>
      </c>
    </row>
    <row r="2036" spans="1:16" x14ac:dyDescent="0.25">
      <c r="A2036" t="s">
        <v>5161</v>
      </c>
      <c r="B2036" t="s">
        <v>3414</v>
      </c>
      <c r="C2036" t="s">
        <v>18</v>
      </c>
      <c r="D2036" t="s">
        <v>19</v>
      </c>
      <c r="E2036" t="s">
        <v>20</v>
      </c>
      <c r="F2036" t="s">
        <v>128</v>
      </c>
      <c r="G2036" t="s">
        <v>80</v>
      </c>
      <c r="I2036" t="s">
        <v>35</v>
      </c>
      <c r="J2036" t="s">
        <v>2905</v>
      </c>
      <c r="L2036">
        <v>5.8</v>
      </c>
      <c r="M2036">
        <v>554000</v>
      </c>
      <c r="N2036">
        <v>4.8</v>
      </c>
      <c r="P2036" t="s">
        <v>26</v>
      </c>
    </row>
    <row r="2037" spans="1:16" x14ac:dyDescent="0.25">
      <c r="A2037" t="s">
        <v>5162</v>
      </c>
      <c r="B2037" t="s">
        <v>5163</v>
      </c>
      <c r="C2037" t="s">
        <v>18</v>
      </c>
      <c r="D2037" t="s">
        <v>79</v>
      </c>
      <c r="E2037" t="s">
        <v>44</v>
      </c>
      <c r="F2037" t="s">
        <v>128</v>
      </c>
      <c r="G2037" t="s">
        <v>22</v>
      </c>
      <c r="H2037" t="s">
        <v>34</v>
      </c>
      <c r="I2037" t="s">
        <v>35</v>
      </c>
      <c r="J2037" t="s">
        <v>3792</v>
      </c>
      <c r="K2037" t="s">
        <v>1997</v>
      </c>
      <c r="L2037">
        <v>3.2</v>
      </c>
      <c r="M2037">
        <v>487000</v>
      </c>
      <c r="P2037" t="s">
        <v>53</v>
      </c>
    </row>
    <row r="2038" spans="1:16" x14ac:dyDescent="0.25">
      <c r="A2038" t="s">
        <v>5164</v>
      </c>
      <c r="B2038" t="s">
        <v>5165</v>
      </c>
      <c r="C2038" t="s">
        <v>18</v>
      </c>
      <c r="E2038" t="s">
        <v>20</v>
      </c>
      <c r="F2038" t="s">
        <v>39</v>
      </c>
      <c r="G2038" t="s">
        <v>80</v>
      </c>
      <c r="H2038" t="s">
        <v>34</v>
      </c>
      <c r="I2038" t="s">
        <v>75</v>
      </c>
      <c r="J2038" t="s">
        <v>2886</v>
      </c>
      <c r="L2038">
        <v>2.6</v>
      </c>
      <c r="M2038">
        <v>151000</v>
      </c>
      <c r="N2038">
        <v>2.4</v>
      </c>
      <c r="O2038">
        <v>6</v>
      </c>
      <c r="P2038" t="s">
        <v>26</v>
      </c>
    </row>
    <row r="2039" spans="1:16" x14ac:dyDescent="0.25">
      <c r="A2039" t="s">
        <v>5166</v>
      </c>
      <c r="B2039" t="s">
        <v>5167</v>
      </c>
      <c r="C2039" t="s">
        <v>29</v>
      </c>
      <c r="D2039" t="s">
        <v>30</v>
      </c>
      <c r="E2039" t="s">
        <v>44</v>
      </c>
      <c r="F2039" t="s">
        <v>39</v>
      </c>
      <c r="G2039" t="s">
        <v>33</v>
      </c>
      <c r="I2039" t="s">
        <v>24</v>
      </c>
      <c r="J2039" t="s">
        <v>4454</v>
      </c>
      <c r="L2039">
        <v>4</v>
      </c>
      <c r="M2039">
        <v>110000</v>
      </c>
      <c r="N2039">
        <v>2.6</v>
      </c>
      <c r="O2039">
        <v>29</v>
      </c>
      <c r="P2039" t="s">
        <v>26</v>
      </c>
    </row>
    <row r="2040" spans="1:16" x14ac:dyDescent="0.25">
      <c r="A2040" t="s">
        <v>5168</v>
      </c>
      <c r="B2040" t="s">
        <v>5169</v>
      </c>
      <c r="C2040" t="s">
        <v>29</v>
      </c>
      <c r="D2040" t="s">
        <v>43</v>
      </c>
      <c r="E2040" t="s">
        <v>20</v>
      </c>
      <c r="F2040" t="s">
        <v>32</v>
      </c>
      <c r="G2040" t="s">
        <v>80</v>
      </c>
      <c r="H2040" t="s">
        <v>34</v>
      </c>
      <c r="I2040" t="s">
        <v>24</v>
      </c>
      <c r="J2040" t="s">
        <v>5170</v>
      </c>
      <c r="L2040">
        <v>4.2</v>
      </c>
      <c r="M2040">
        <v>296000</v>
      </c>
      <c r="N2040">
        <v>4.8</v>
      </c>
      <c r="O2040">
        <v>1</v>
      </c>
      <c r="P2040" t="s">
        <v>26</v>
      </c>
    </row>
    <row r="2041" spans="1:16" x14ac:dyDescent="0.25">
      <c r="A2041" t="s">
        <v>5171</v>
      </c>
      <c r="B2041" t="s">
        <v>886</v>
      </c>
      <c r="C2041" t="s">
        <v>18</v>
      </c>
      <c r="D2041" t="s">
        <v>30</v>
      </c>
      <c r="E2041" t="s">
        <v>20</v>
      </c>
      <c r="F2041" t="s">
        <v>39</v>
      </c>
      <c r="G2041" t="s">
        <v>80</v>
      </c>
      <c r="H2041" t="s">
        <v>23</v>
      </c>
      <c r="I2041" t="s">
        <v>35</v>
      </c>
      <c r="J2041" t="s">
        <v>2487</v>
      </c>
      <c r="L2041">
        <v>1.6</v>
      </c>
      <c r="M2041">
        <v>139000</v>
      </c>
      <c r="N2041">
        <v>1.6</v>
      </c>
      <c r="O2041">
        <v>13</v>
      </c>
      <c r="P2041" t="s">
        <v>26</v>
      </c>
    </row>
    <row r="2042" spans="1:16" x14ac:dyDescent="0.25">
      <c r="A2042" t="s">
        <v>5172</v>
      </c>
      <c r="B2042" t="s">
        <v>5173</v>
      </c>
      <c r="C2042" t="s">
        <v>18</v>
      </c>
      <c r="D2042" t="s">
        <v>50</v>
      </c>
      <c r="E2042" t="s">
        <v>20</v>
      </c>
      <c r="F2042" t="s">
        <v>39</v>
      </c>
      <c r="G2042" t="s">
        <v>80</v>
      </c>
      <c r="H2042" t="s">
        <v>46</v>
      </c>
      <c r="I2042" t="s">
        <v>24</v>
      </c>
      <c r="J2042" t="s">
        <v>4658</v>
      </c>
      <c r="K2042" t="s">
        <v>745</v>
      </c>
      <c r="L2042">
        <v>5.3</v>
      </c>
      <c r="M2042">
        <v>102000</v>
      </c>
      <c r="O2042">
        <v>10</v>
      </c>
      <c r="P2042" t="s">
        <v>53</v>
      </c>
    </row>
    <row r="2043" spans="1:16" x14ac:dyDescent="0.25">
      <c r="A2043" t="s">
        <v>1870</v>
      </c>
      <c r="B2043" t="s">
        <v>1871</v>
      </c>
      <c r="C2043" t="s">
        <v>18</v>
      </c>
      <c r="D2043" t="s">
        <v>43</v>
      </c>
      <c r="E2043" t="s">
        <v>20</v>
      </c>
      <c r="F2043" t="s">
        <v>21</v>
      </c>
      <c r="G2043" t="s">
        <v>80</v>
      </c>
      <c r="H2043" t="s">
        <v>34</v>
      </c>
      <c r="I2043" t="s">
        <v>57</v>
      </c>
      <c r="J2043" t="s">
        <v>1044</v>
      </c>
      <c r="L2043">
        <v>6</v>
      </c>
      <c r="M2043">
        <v>600000</v>
      </c>
      <c r="N2043">
        <v>3.9</v>
      </c>
      <c r="O2043">
        <v>11</v>
      </c>
      <c r="P2043" t="s">
        <v>26</v>
      </c>
    </row>
    <row r="2044" spans="1:16" x14ac:dyDescent="0.25">
      <c r="A2044" t="s">
        <v>5174</v>
      </c>
      <c r="B2044" t="s">
        <v>4418</v>
      </c>
      <c r="C2044" t="s">
        <v>18</v>
      </c>
      <c r="D2044" t="s">
        <v>79</v>
      </c>
      <c r="E2044" t="s">
        <v>44</v>
      </c>
      <c r="F2044" t="s">
        <v>128</v>
      </c>
      <c r="G2044" t="s">
        <v>80</v>
      </c>
      <c r="H2044" t="s">
        <v>46</v>
      </c>
      <c r="I2044" t="s">
        <v>75</v>
      </c>
      <c r="J2044" t="s">
        <v>5175</v>
      </c>
      <c r="L2044">
        <v>3.4</v>
      </c>
      <c r="M2044">
        <v>498000</v>
      </c>
      <c r="N2044">
        <v>2.2000000000000002</v>
      </c>
      <c r="O2044">
        <v>11</v>
      </c>
      <c r="P2044" t="s">
        <v>26</v>
      </c>
    </row>
    <row r="2045" spans="1:16" x14ac:dyDescent="0.25">
      <c r="A2045" t="s">
        <v>5176</v>
      </c>
      <c r="B2045" t="s">
        <v>2670</v>
      </c>
      <c r="C2045" t="s">
        <v>18</v>
      </c>
      <c r="D2045" t="s">
        <v>19</v>
      </c>
      <c r="E2045" t="s">
        <v>31</v>
      </c>
      <c r="F2045" t="s">
        <v>32</v>
      </c>
      <c r="G2045" t="s">
        <v>22</v>
      </c>
      <c r="H2045" t="s">
        <v>34</v>
      </c>
      <c r="J2045" t="s">
        <v>3188</v>
      </c>
      <c r="L2045">
        <v>4.5999999999999996</v>
      </c>
      <c r="M2045">
        <v>240000</v>
      </c>
      <c r="O2045">
        <v>7</v>
      </c>
      <c r="P2045" t="s">
        <v>26</v>
      </c>
    </row>
    <row r="2046" spans="1:16" x14ac:dyDescent="0.25">
      <c r="A2046" t="s">
        <v>5177</v>
      </c>
      <c r="B2046" t="s">
        <v>5178</v>
      </c>
      <c r="C2046" t="s">
        <v>18</v>
      </c>
      <c r="D2046" t="s">
        <v>43</v>
      </c>
      <c r="E2046" t="s">
        <v>31</v>
      </c>
      <c r="F2046" t="s">
        <v>45</v>
      </c>
      <c r="G2046" t="s">
        <v>33</v>
      </c>
      <c r="H2046" t="s">
        <v>34</v>
      </c>
      <c r="I2046" t="s">
        <v>24</v>
      </c>
      <c r="J2046" t="s">
        <v>863</v>
      </c>
      <c r="K2046" t="s">
        <v>47</v>
      </c>
      <c r="L2046">
        <v>5.0999999999999996</v>
      </c>
      <c r="M2046">
        <v>1346000</v>
      </c>
      <c r="N2046">
        <v>3.1</v>
      </c>
      <c r="O2046">
        <v>11</v>
      </c>
      <c r="P2046" t="s">
        <v>72</v>
      </c>
    </row>
    <row r="2047" spans="1:16" x14ac:dyDescent="0.25">
      <c r="A2047" t="s">
        <v>5179</v>
      </c>
      <c r="B2047" t="s">
        <v>3939</v>
      </c>
      <c r="C2047" t="s">
        <v>18</v>
      </c>
      <c r="D2047" t="s">
        <v>50</v>
      </c>
      <c r="E2047" t="s">
        <v>20</v>
      </c>
      <c r="F2047" t="s">
        <v>39</v>
      </c>
      <c r="G2047" t="s">
        <v>22</v>
      </c>
      <c r="H2047" t="s">
        <v>23</v>
      </c>
      <c r="I2047" t="s">
        <v>57</v>
      </c>
      <c r="J2047" t="s">
        <v>5067</v>
      </c>
      <c r="K2047" t="s">
        <v>2135</v>
      </c>
      <c r="L2047">
        <v>5.9</v>
      </c>
      <c r="M2047">
        <v>116000</v>
      </c>
      <c r="N2047">
        <v>3.7</v>
      </c>
      <c r="O2047">
        <v>4</v>
      </c>
      <c r="P2047" t="s">
        <v>53</v>
      </c>
    </row>
    <row r="2048" spans="1:16" x14ac:dyDescent="0.25">
      <c r="A2048" t="s">
        <v>5180</v>
      </c>
      <c r="B2048" t="s">
        <v>2354</v>
      </c>
      <c r="C2048" t="s">
        <v>18</v>
      </c>
      <c r="D2048" t="s">
        <v>30</v>
      </c>
      <c r="F2048" t="s">
        <v>39</v>
      </c>
      <c r="G2048" t="s">
        <v>69</v>
      </c>
      <c r="H2048" t="s">
        <v>34</v>
      </c>
      <c r="I2048" t="s">
        <v>35</v>
      </c>
      <c r="J2048" t="s">
        <v>1379</v>
      </c>
      <c r="K2048" t="s">
        <v>228</v>
      </c>
      <c r="L2048">
        <v>1.6</v>
      </c>
      <c r="M2048">
        <v>106000</v>
      </c>
      <c r="N2048">
        <v>2.8</v>
      </c>
      <c r="O2048">
        <v>13</v>
      </c>
      <c r="P2048" t="s">
        <v>53</v>
      </c>
    </row>
    <row r="2049" spans="1:16" x14ac:dyDescent="0.25">
      <c r="A2049" t="s">
        <v>5181</v>
      </c>
      <c r="B2049" t="s">
        <v>1833</v>
      </c>
      <c r="D2049" t="s">
        <v>43</v>
      </c>
      <c r="E2049" t="s">
        <v>44</v>
      </c>
      <c r="F2049" t="s">
        <v>21</v>
      </c>
      <c r="G2049" t="s">
        <v>69</v>
      </c>
      <c r="H2049" t="s">
        <v>62</v>
      </c>
      <c r="I2049" t="s">
        <v>24</v>
      </c>
      <c r="J2049" t="s">
        <v>165</v>
      </c>
      <c r="L2049">
        <v>1.7</v>
      </c>
      <c r="M2049">
        <v>600000</v>
      </c>
      <c r="N2049">
        <v>4.5999999999999996</v>
      </c>
      <c r="O2049">
        <v>10</v>
      </c>
      <c r="P2049" t="s">
        <v>26</v>
      </c>
    </row>
    <row r="2050" spans="1:16" x14ac:dyDescent="0.25">
      <c r="A2050" t="s">
        <v>5182</v>
      </c>
      <c r="B2050" t="s">
        <v>5183</v>
      </c>
      <c r="C2050" t="s">
        <v>29</v>
      </c>
      <c r="D2050" t="s">
        <v>19</v>
      </c>
      <c r="E2050" t="s">
        <v>20</v>
      </c>
      <c r="G2050" t="s">
        <v>80</v>
      </c>
      <c r="H2050" t="s">
        <v>46</v>
      </c>
      <c r="I2050" t="s">
        <v>24</v>
      </c>
      <c r="J2050" t="s">
        <v>4269</v>
      </c>
      <c r="L2050">
        <v>3</v>
      </c>
      <c r="N2050">
        <v>3</v>
      </c>
      <c r="O2050">
        <v>3</v>
      </c>
      <c r="P2050" t="s">
        <v>26</v>
      </c>
    </row>
    <row r="2051" spans="1:16" x14ac:dyDescent="0.25">
      <c r="A2051" t="s">
        <v>5184</v>
      </c>
      <c r="B2051" t="s">
        <v>3586</v>
      </c>
      <c r="C2051" t="s">
        <v>18</v>
      </c>
      <c r="D2051" t="s">
        <v>30</v>
      </c>
      <c r="E2051" t="s">
        <v>20</v>
      </c>
      <c r="F2051" t="s">
        <v>32</v>
      </c>
      <c r="G2051" t="s">
        <v>80</v>
      </c>
      <c r="H2051" t="s">
        <v>34</v>
      </c>
      <c r="I2051" t="s">
        <v>57</v>
      </c>
      <c r="J2051" t="s">
        <v>2031</v>
      </c>
      <c r="K2051" t="s">
        <v>2941</v>
      </c>
      <c r="L2051">
        <v>4.2</v>
      </c>
      <c r="M2051">
        <v>315000</v>
      </c>
      <c r="N2051">
        <v>3</v>
      </c>
      <c r="O2051">
        <v>14</v>
      </c>
      <c r="P2051" t="s">
        <v>53</v>
      </c>
    </row>
    <row r="2052" spans="1:16" x14ac:dyDescent="0.25">
      <c r="A2052" t="s">
        <v>5185</v>
      </c>
      <c r="B2052" t="s">
        <v>5186</v>
      </c>
      <c r="C2052" t="s">
        <v>29</v>
      </c>
      <c r="D2052" t="s">
        <v>30</v>
      </c>
      <c r="E2052" t="s">
        <v>44</v>
      </c>
      <c r="F2052" t="s">
        <v>39</v>
      </c>
      <c r="G2052" t="s">
        <v>22</v>
      </c>
      <c r="H2052" t="s">
        <v>34</v>
      </c>
      <c r="I2052" t="s">
        <v>35</v>
      </c>
      <c r="J2052" t="s">
        <v>3179</v>
      </c>
      <c r="K2052" t="s">
        <v>5187</v>
      </c>
      <c r="L2052">
        <v>6.1</v>
      </c>
      <c r="M2052">
        <v>137000</v>
      </c>
      <c r="N2052">
        <v>2.2999999999999998</v>
      </c>
      <c r="O2052">
        <v>11</v>
      </c>
      <c r="P2052" t="s">
        <v>53</v>
      </c>
    </row>
    <row r="2053" spans="1:16" x14ac:dyDescent="0.25">
      <c r="A2053" t="s">
        <v>5188</v>
      </c>
      <c r="B2053" t="s">
        <v>2677</v>
      </c>
      <c r="C2053" t="s">
        <v>18</v>
      </c>
      <c r="D2053" t="s">
        <v>50</v>
      </c>
      <c r="E2053" t="s">
        <v>44</v>
      </c>
      <c r="F2053" t="s">
        <v>128</v>
      </c>
      <c r="G2053" t="s">
        <v>80</v>
      </c>
      <c r="H2053" t="s">
        <v>34</v>
      </c>
      <c r="I2053" t="s">
        <v>35</v>
      </c>
      <c r="J2053" t="s">
        <v>5189</v>
      </c>
      <c r="K2053" t="s">
        <v>1210</v>
      </c>
      <c r="L2053">
        <v>3.4</v>
      </c>
      <c r="M2053">
        <v>393000</v>
      </c>
      <c r="N2053">
        <v>3.8</v>
      </c>
      <c r="O2053">
        <v>0</v>
      </c>
      <c r="P2053" t="s">
        <v>53</v>
      </c>
    </row>
    <row r="2054" spans="1:16" x14ac:dyDescent="0.25">
      <c r="A2054" t="s">
        <v>5190</v>
      </c>
      <c r="B2054" t="s">
        <v>3583</v>
      </c>
      <c r="C2054" t="s">
        <v>29</v>
      </c>
      <c r="D2054" t="s">
        <v>30</v>
      </c>
      <c r="E2054" t="s">
        <v>20</v>
      </c>
      <c r="F2054" t="s">
        <v>32</v>
      </c>
      <c r="G2054" t="s">
        <v>33</v>
      </c>
      <c r="H2054" t="s">
        <v>23</v>
      </c>
      <c r="I2054" t="s">
        <v>35</v>
      </c>
      <c r="J2054" t="s">
        <v>2997</v>
      </c>
      <c r="L2054">
        <v>2.6</v>
      </c>
      <c r="M2054">
        <v>235000</v>
      </c>
      <c r="N2054">
        <v>2.4</v>
      </c>
      <c r="O2054">
        <v>8</v>
      </c>
      <c r="P2054" t="s">
        <v>26</v>
      </c>
    </row>
    <row r="2055" spans="1:16" x14ac:dyDescent="0.25">
      <c r="A2055" t="s">
        <v>5191</v>
      </c>
      <c r="B2055" t="s">
        <v>2276</v>
      </c>
      <c r="C2055" t="s">
        <v>18</v>
      </c>
      <c r="D2055" t="s">
        <v>30</v>
      </c>
      <c r="E2055" t="s">
        <v>20</v>
      </c>
      <c r="G2055" t="s">
        <v>33</v>
      </c>
      <c r="H2055" t="s">
        <v>62</v>
      </c>
      <c r="I2055" t="s">
        <v>57</v>
      </c>
      <c r="J2055" t="s">
        <v>5192</v>
      </c>
      <c r="L2055">
        <v>2.5</v>
      </c>
      <c r="M2055">
        <v>285000</v>
      </c>
      <c r="N2055">
        <v>4.2</v>
      </c>
      <c r="O2055">
        <v>17</v>
      </c>
      <c r="P2055" t="s">
        <v>26</v>
      </c>
    </row>
    <row r="2056" spans="1:16" x14ac:dyDescent="0.25">
      <c r="A2056" t="s">
        <v>5193</v>
      </c>
      <c r="B2056" t="s">
        <v>5194</v>
      </c>
      <c r="C2056" t="s">
        <v>18</v>
      </c>
      <c r="D2056" t="s">
        <v>30</v>
      </c>
      <c r="E2056" t="s">
        <v>20</v>
      </c>
      <c r="F2056" t="s">
        <v>39</v>
      </c>
      <c r="G2056" t="s">
        <v>22</v>
      </c>
      <c r="H2056" t="s">
        <v>23</v>
      </c>
      <c r="I2056" t="s">
        <v>57</v>
      </c>
      <c r="J2056" t="s">
        <v>1273</v>
      </c>
      <c r="K2056" t="s">
        <v>5195</v>
      </c>
      <c r="L2056">
        <v>1.8</v>
      </c>
      <c r="M2056">
        <v>177000</v>
      </c>
      <c r="N2056">
        <v>2.2000000000000002</v>
      </c>
      <c r="O2056">
        <v>4</v>
      </c>
      <c r="P2056" t="s">
        <v>53</v>
      </c>
    </row>
    <row r="2057" spans="1:16" x14ac:dyDescent="0.25">
      <c r="A2057" t="s">
        <v>5196</v>
      </c>
      <c r="B2057" t="s">
        <v>4110</v>
      </c>
      <c r="C2057" t="s">
        <v>18</v>
      </c>
      <c r="D2057" t="s">
        <v>50</v>
      </c>
      <c r="E2057" t="s">
        <v>20</v>
      </c>
      <c r="F2057" t="s">
        <v>32</v>
      </c>
      <c r="G2057" t="s">
        <v>22</v>
      </c>
      <c r="H2057" t="s">
        <v>62</v>
      </c>
      <c r="I2057" t="s">
        <v>24</v>
      </c>
      <c r="J2057" t="s">
        <v>2914</v>
      </c>
      <c r="L2057">
        <v>2.8</v>
      </c>
      <c r="M2057">
        <v>324000</v>
      </c>
      <c r="N2057">
        <v>2.1</v>
      </c>
      <c r="O2057">
        <v>40</v>
      </c>
      <c r="P2057" t="s">
        <v>26</v>
      </c>
    </row>
    <row r="2058" spans="1:16" x14ac:dyDescent="0.25">
      <c r="A2058" t="s">
        <v>5197</v>
      </c>
      <c r="B2058" t="s">
        <v>5198</v>
      </c>
      <c r="C2058" t="s">
        <v>29</v>
      </c>
      <c r="D2058" t="s">
        <v>50</v>
      </c>
      <c r="E2058" t="s">
        <v>31</v>
      </c>
      <c r="F2058" t="s">
        <v>39</v>
      </c>
      <c r="G2058" t="s">
        <v>22</v>
      </c>
      <c r="H2058" t="s">
        <v>46</v>
      </c>
      <c r="I2058" t="s">
        <v>24</v>
      </c>
      <c r="J2058" t="s">
        <v>564</v>
      </c>
      <c r="K2058" t="s">
        <v>2223</v>
      </c>
      <c r="L2058">
        <v>6.1</v>
      </c>
      <c r="M2058">
        <v>114000</v>
      </c>
      <c r="N2058">
        <v>2.2999999999999998</v>
      </c>
      <c r="O2058">
        <v>7</v>
      </c>
      <c r="P2058" t="s">
        <v>53</v>
      </c>
    </row>
    <row r="2059" spans="1:16" x14ac:dyDescent="0.25">
      <c r="A2059" t="s">
        <v>5199</v>
      </c>
      <c r="B2059" t="s">
        <v>5200</v>
      </c>
      <c r="C2059" t="s">
        <v>18</v>
      </c>
      <c r="D2059" t="s">
        <v>30</v>
      </c>
      <c r="E2059" t="s">
        <v>20</v>
      </c>
      <c r="F2059" t="s">
        <v>39</v>
      </c>
      <c r="G2059" t="s">
        <v>22</v>
      </c>
      <c r="H2059" t="s">
        <v>46</v>
      </c>
      <c r="I2059" t="s">
        <v>24</v>
      </c>
      <c r="J2059" t="s">
        <v>1748</v>
      </c>
      <c r="L2059">
        <v>3.3</v>
      </c>
      <c r="M2059">
        <v>139000</v>
      </c>
      <c r="O2059">
        <v>6</v>
      </c>
      <c r="P2059" t="s">
        <v>26</v>
      </c>
    </row>
    <row r="2060" spans="1:16" x14ac:dyDescent="0.25">
      <c r="A2060" t="s">
        <v>5201</v>
      </c>
      <c r="B2060" t="s">
        <v>5202</v>
      </c>
      <c r="C2060" t="s">
        <v>29</v>
      </c>
      <c r="D2060" t="s">
        <v>43</v>
      </c>
      <c r="E2060" t="s">
        <v>20</v>
      </c>
      <c r="F2060" t="s">
        <v>128</v>
      </c>
      <c r="G2060" t="s">
        <v>69</v>
      </c>
      <c r="H2060" t="s">
        <v>23</v>
      </c>
      <c r="I2060" t="s">
        <v>24</v>
      </c>
      <c r="J2060" t="s">
        <v>5203</v>
      </c>
      <c r="L2060">
        <v>4.5999999999999996</v>
      </c>
      <c r="M2060">
        <v>407000</v>
      </c>
      <c r="N2060">
        <v>2.9</v>
      </c>
      <c r="O2060">
        <v>11</v>
      </c>
      <c r="P2060" t="s">
        <v>26</v>
      </c>
    </row>
    <row r="2061" spans="1:16" x14ac:dyDescent="0.25">
      <c r="A2061" t="s">
        <v>5204</v>
      </c>
      <c r="B2061" t="s">
        <v>5205</v>
      </c>
      <c r="C2061" t="s">
        <v>29</v>
      </c>
      <c r="D2061" t="s">
        <v>79</v>
      </c>
      <c r="E2061" t="s">
        <v>44</v>
      </c>
      <c r="F2061" t="s">
        <v>128</v>
      </c>
      <c r="G2061" t="s">
        <v>69</v>
      </c>
      <c r="H2061" t="s">
        <v>34</v>
      </c>
      <c r="I2061" t="s">
        <v>24</v>
      </c>
      <c r="J2061" t="s">
        <v>1330</v>
      </c>
      <c r="L2061">
        <v>2</v>
      </c>
      <c r="M2061">
        <v>582000</v>
      </c>
      <c r="N2061">
        <v>4.4000000000000004</v>
      </c>
      <c r="O2061">
        <v>10</v>
      </c>
      <c r="P2061" t="s">
        <v>26</v>
      </c>
    </row>
    <row r="2062" spans="1:16" x14ac:dyDescent="0.25">
      <c r="A2062" t="s">
        <v>5206</v>
      </c>
      <c r="B2062" t="s">
        <v>2055</v>
      </c>
      <c r="C2062" t="s">
        <v>18</v>
      </c>
      <c r="D2062" t="s">
        <v>79</v>
      </c>
      <c r="E2062" t="s">
        <v>20</v>
      </c>
      <c r="F2062" t="s">
        <v>39</v>
      </c>
      <c r="G2062" t="s">
        <v>69</v>
      </c>
      <c r="H2062" t="s">
        <v>23</v>
      </c>
      <c r="I2062" t="s">
        <v>57</v>
      </c>
      <c r="J2062" t="s">
        <v>2843</v>
      </c>
      <c r="L2062">
        <v>2.9</v>
      </c>
      <c r="N2062">
        <v>3.3</v>
      </c>
      <c r="O2062">
        <v>37</v>
      </c>
      <c r="P2062" t="s">
        <v>26</v>
      </c>
    </row>
    <row r="2063" spans="1:16" x14ac:dyDescent="0.25">
      <c r="A2063" t="s">
        <v>5207</v>
      </c>
      <c r="B2063" t="s">
        <v>255</v>
      </c>
      <c r="C2063" t="s">
        <v>29</v>
      </c>
      <c r="D2063" t="s">
        <v>30</v>
      </c>
      <c r="E2063" t="s">
        <v>44</v>
      </c>
      <c r="F2063" t="s">
        <v>39</v>
      </c>
      <c r="G2063" t="s">
        <v>22</v>
      </c>
      <c r="H2063" t="s">
        <v>62</v>
      </c>
      <c r="I2063" t="s">
        <v>24</v>
      </c>
      <c r="J2063" t="s">
        <v>5208</v>
      </c>
      <c r="L2063">
        <v>2.6</v>
      </c>
      <c r="M2063">
        <v>86000</v>
      </c>
      <c r="O2063">
        <v>23</v>
      </c>
      <c r="P2063" t="s">
        <v>26</v>
      </c>
    </row>
    <row r="2064" spans="1:16" x14ac:dyDescent="0.25">
      <c r="A2064" t="s">
        <v>5209</v>
      </c>
      <c r="B2064" t="s">
        <v>5210</v>
      </c>
      <c r="C2064" t="s">
        <v>18</v>
      </c>
      <c r="D2064" t="s">
        <v>50</v>
      </c>
      <c r="E2064" t="s">
        <v>20</v>
      </c>
      <c r="G2064" t="s">
        <v>69</v>
      </c>
      <c r="H2064" t="s">
        <v>34</v>
      </c>
      <c r="I2064" t="s">
        <v>35</v>
      </c>
      <c r="J2064" t="s">
        <v>5211</v>
      </c>
      <c r="L2064">
        <v>3.9</v>
      </c>
      <c r="M2064">
        <v>163000</v>
      </c>
      <c r="N2064">
        <v>2.8</v>
      </c>
      <c r="O2064">
        <v>13</v>
      </c>
      <c r="P2064" t="s">
        <v>26</v>
      </c>
    </row>
    <row r="2065" spans="1:16" x14ac:dyDescent="0.25">
      <c r="A2065" t="s">
        <v>5212</v>
      </c>
      <c r="B2065" t="s">
        <v>1487</v>
      </c>
      <c r="C2065" t="s">
        <v>18</v>
      </c>
      <c r="D2065" t="s">
        <v>50</v>
      </c>
      <c r="E2065" t="s">
        <v>31</v>
      </c>
      <c r="F2065" t="s">
        <v>32</v>
      </c>
      <c r="G2065" t="s">
        <v>80</v>
      </c>
      <c r="H2065" t="s">
        <v>34</v>
      </c>
      <c r="I2065" t="s">
        <v>57</v>
      </c>
      <c r="J2065" t="s">
        <v>2809</v>
      </c>
      <c r="L2065">
        <v>1.8</v>
      </c>
      <c r="M2065">
        <v>296000</v>
      </c>
      <c r="N2065">
        <v>3.5</v>
      </c>
      <c r="P2065" t="s">
        <v>26</v>
      </c>
    </row>
    <row r="2066" spans="1:16" x14ac:dyDescent="0.25">
      <c r="A2066" t="s">
        <v>5213</v>
      </c>
      <c r="B2066" t="s">
        <v>4421</v>
      </c>
      <c r="D2066" t="s">
        <v>19</v>
      </c>
      <c r="E2066" t="s">
        <v>20</v>
      </c>
      <c r="F2066" t="s">
        <v>128</v>
      </c>
      <c r="G2066" t="s">
        <v>80</v>
      </c>
      <c r="H2066" t="s">
        <v>23</v>
      </c>
      <c r="J2066" t="s">
        <v>1257</v>
      </c>
      <c r="L2066">
        <v>4.4000000000000004</v>
      </c>
      <c r="M2066">
        <v>615000</v>
      </c>
      <c r="N2066">
        <v>4.5</v>
      </c>
      <c r="O2066">
        <v>10</v>
      </c>
      <c r="P2066" t="s">
        <v>26</v>
      </c>
    </row>
    <row r="2067" spans="1:16" x14ac:dyDescent="0.25">
      <c r="A2067" t="s">
        <v>5214</v>
      </c>
      <c r="B2067" t="s">
        <v>4839</v>
      </c>
      <c r="C2067" t="s">
        <v>29</v>
      </c>
      <c r="D2067" t="s">
        <v>30</v>
      </c>
      <c r="E2067" t="s">
        <v>20</v>
      </c>
      <c r="F2067" t="s">
        <v>39</v>
      </c>
      <c r="G2067" t="s">
        <v>22</v>
      </c>
      <c r="H2067" t="s">
        <v>23</v>
      </c>
      <c r="I2067" t="s">
        <v>75</v>
      </c>
      <c r="J2067" t="s">
        <v>3719</v>
      </c>
      <c r="L2067">
        <v>3.3</v>
      </c>
      <c r="M2067">
        <v>123000</v>
      </c>
      <c r="N2067">
        <v>2.7</v>
      </c>
      <c r="O2067">
        <v>0</v>
      </c>
      <c r="P2067" t="s">
        <v>26</v>
      </c>
    </row>
    <row r="2068" spans="1:16" x14ac:dyDescent="0.25">
      <c r="A2068" t="s">
        <v>5215</v>
      </c>
      <c r="B2068" t="s">
        <v>3252</v>
      </c>
      <c r="C2068" t="s">
        <v>29</v>
      </c>
      <c r="D2068" t="s">
        <v>79</v>
      </c>
      <c r="E2068" t="s">
        <v>20</v>
      </c>
      <c r="F2068" t="s">
        <v>128</v>
      </c>
      <c r="G2068" t="s">
        <v>69</v>
      </c>
      <c r="H2068" t="s">
        <v>46</v>
      </c>
      <c r="I2068" t="s">
        <v>24</v>
      </c>
      <c r="J2068" t="s">
        <v>3288</v>
      </c>
      <c r="L2068">
        <v>3.5</v>
      </c>
      <c r="M2068">
        <v>361000</v>
      </c>
      <c r="N2068">
        <v>3.2</v>
      </c>
      <c r="O2068">
        <v>11</v>
      </c>
      <c r="P2068" t="s">
        <v>26</v>
      </c>
    </row>
    <row r="2069" spans="1:16" x14ac:dyDescent="0.25">
      <c r="A2069" t="s">
        <v>5216</v>
      </c>
      <c r="B2069" t="s">
        <v>3387</v>
      </c>
      <c r="C2069" t="s">
        <v>29</v>
      </c>
      <c r="D2069" t="s">
        <v>50</v>
      </c>
      <c r="E2069" t="s">
        <v>20</v>
      </c>
      <c r="F2069" t="s">
        <v>128</v>
      </c>
      <c r="G2069" t="s">
        <v>22</v>
      </c>
      <c r="H2069" t="s">
        <v>62</v>
      </c>
      <c r="I2069" t="s">
        <v>171</v>
      </c>
      <c r="J2069" t="s">
        <v>661</v>
      </c>
      <c r="L2069">
        <v>2.6</v>
      </c>
      <c r="M2069">
        <v>475000</v>
      </c>
      <c r="N2069">
        <v>4.0999999999999996</v>
      </c>
      <c r="P2069" t="s">
        <v>26</v>
      </c>
    </row>
    <row r="2070" spans="1:16" x14ac:dyDescent="0.25">
      <c r="A2070" t="s">
        <v>5217</v>
      </c>
      <c r="B2070" t="s">
        <v>5218</v>
      </c>
      <c r="C2070" t="s">
        <v>18</v>
      </c>
      <c r="D2070" t="s">
        <v>79</v>
      </c>
      <c r="E2070" t="s">
        <v>20</v>
      </c>
      <c r="F2070" t="s">
        <v>32</v>
      </c>
      <c r="G2070" t="s">
        <v>22</v>
      </c>
      <c r="H2070" t="s">
        <v>46</v>
      </c>
      <c r="I2070" t="s">
        <v>35</v>
      </c>
      <c r="J2070" t="s">
        <v>946</v>
      </c>
      <c r="K2070" t="s">
        <v>5219</v>
      </c>
      <c r="L2070">
        <v>5.8</v>
      </c>
      <c r="M2070">
        <v>297000</v>
      </c>
      <c r="N2070">
        <v>3.7</v>
      </c>
      <c r="O2070">
        <v>6</v>
      </c>
      <c r="P2070" t="s">
        <v>72</v>
      </c>
    </row>
    <row r="2071" spans="1:16" x14ac:dyDescent="0.25">
      <c r="A2071" t="s">
        <v>5220</v>
      </c>
      <c r="B2071" t="s">
        <v>5221</v>
      </c>
      <c r="C2071" t="s">
        <v>18</v>
      </c>
      <c r="D2071" t="s">
        <v>50</v>
      </c>
      <c r="E2071" t="s">
        <v>44</v>
      </c>
      <c r="F2071" t="s">
        <v>39</v>
      </c>
      <c r="G2071" t="s">
        <v>33</v>
      </c>
      <c r="H2071" t="s">
        <v>46</v>
      </c>
      <c r="I2071" t="s">
        <v>24</v>
      </c>
      <c r="J2071" t="s">
        <v>844</v>
      </c>
      <c r="L2071">
        <v>4.5999999999999996</v>
      </c>
      <c r="M2071">
        <v>93000</v>
      </c>
      <c r="N2071">
        <v>4.2</v>
      </c>
      <c r="O2071">
        <v>4</v>
      </c>
      <c r="P2071" t="s">
        <v>26</v>
      </c>
    </row>
    <row r="2072" spans="1:16" x14ac:dyDescent="0.25">
      <c r="A2072" t="s">
        <v>5222</v>
      </c>
      <c r="B2072" t="s">
        <v>2659</v>
      </c>
      <c r="C2072" t="s">
        <v>29</v>
      </c>
      <c r="D2072" t="s">
        <v>19</v>
      </c>
      <c r="E2072" t="s">
        <v>20</v>
      </c>
      <c r="F2072" t="s">
        <v>39</v>
      </c>
      <c r="G2072" t="s">
        <v>33</v>
      </c>
      <c r="H2072" t="s">
        <v>23</v>
      </c>
      <c r="I2072" t="s">
        <v>171</v>
      </c>
      <c r="J2072" t="s">
        <v>1827</v>
      </c>
      <c r="K2072" t="s">
        <v>1357</v>
      </c>
      <c r="L2072">
        <v>3.5</v>
      </c>
      <c r="M2072">
        <v>134000</v>
      </c>
      <c r="N2072">
        <v>4.0999999999999996</v>
      </c>
      <c r="O2072">
        <v>0</v>
      </c>
      <c r="P2072" t="s">
        <v>53</v>
      </c>
    </row>
    <row r="2073" spans="1:16" x14ac:dyDescent="0.25">
      <c r="A2073" t="s">
        <v>5223</v>
      </c>
      <c r="B2073" t="s">
        <v>1010</v>
      </c>
      <c r="C2073" t="s">
        <v>18</v>
      </c>
      <c r="D2073" t="s">
        <v>30</v>
      </c>
      <c r="E2073" t="s">
        <v>44</v>
      </c>
      <c r="F2073" t="s">
        <v>39</v>
      </c>
      <c r="G2073" t="s">
        <v>80</v>
      </c>
      <c r="H2073" t="s">
        <v>62</v>
      </c>
      <c r="I2073" t="s">
        <v>35</v>
      </c>
      <c r="J2073" t="s">
        <v>1008</v>
      </c>
      <c r="K2073" t="s">
        <v>3754</v>
      </c>
      <c r="L2073">
        <v>4.8</v>
      </c>
      <c r="N2073">
        <v>2.5</v>
      </c>
      <c r="O2073">
        <v>3</v>
      </c>
      <c r="P2073" t="s">
        <v>53</v>
      </c>
    </row>
    <row r="2074" spans="1:16" x14ac:dyDescent="0.25">
      <c r="A2074" t="s">
        <v>5224</v>
      </c>
      <c r="B2074" t="s">
        <v>1806</v>
      </c>
      <c r="C2074" t="s">
        <v>29</v>
      </c>
      <c r="D2074" t="s">
        <v>19</v>
      </c>
      <c r="E2074" t="s">
        <v>20</v>
      </c>
      <c r="F2074" t="s">
        <v>128</v>
      </c>
      <c r="G2074" t="s">
        <v>33</v>
      </c>
      <c r="H2074" t="s">
        <v>23</v>
      </c>
      <c r="I2074" t="s">
        <v>75</v>
      </c>
      <c r="J2074" t="s">
        <v>5225</v>
      </c>
      <c r="L2074">
        <v>4.4000000000000004</v>
      </c>
      <c r="M2074">
        <v>504000</v>
      </c>
      <c r="N2074">
        <v>4</v>
      </c>
      <c r="O2074">
        <v>9</v>
      </c>
      <c r="P2074" t="s">
        <v>26</v>
      </c>
    </row>
    <row r="2075" spans="1:16" x14ac:dyDescent="0.25">
      <c r="A2075" t="s">
        <v>5226</v>
      </c>
      <c r="B2075" t="s">
        <v>5227</v>
      </c>
      <c r="C2075" t="s">
        <v>29</v>
      </c>
      <c r="D2075" t="s">
        <v>50</v>
      </c>
      <c r="E2075" t="s">
        <v>20</v>
      </c>
      <c r="F2075" t="s">
        <v>21</v>
      </c>
      <c r="G2075" t="s">
        <v>22</v>
      </c>
      <c r="H2075" t="s">
        <v>34</v>
      </c>
      <c r="I2075" t="s">
        <v>24</v>
      </c>
      <c r="J2075" t="s">
        <v>5228</v>
      </c>
      <c r="L2075">
        <v>5.9</v>
      </c>
      <c r="M2075">
        <v>752000</v>
      </c>
      <c r="N2075">
        <v>4.0999999999999996</v>
      </c>
      <c r="O2075">
        <v>11</v>
      </c>
      <c r="P2075" t="s">
        <v>26</v>
      </c>
    </row>
    <row r="2076" spans="1:16" x14ac:dyDescent="0.25">
      <c r="A2076" t="s">
        <v>5229</v>
      </c>
      <c r="B2076" t="s">
        <v>5230</v>
      </c>
      <c r="C2076" t="s">
        <v>29</v>
      </c>
      <c r="D2076" t="s">
        <v>19</v>
      </c>
      <c r="E2076" t="s">
        <v>44</v>
      </c>
      <c r="F2076" t="s">
        <v>32</v>
      </c>
      <c r="G2076" t="s">
        <v>22</v>
      </c>
      <c r="H2076" t="s">
        <v>23</v>
      </c>
      <c r="I2076" t="s">
        <v>171</v>
      </c>
      <c r="J2076" t="s">
        <v>5231</v>
      </c>
      <c r="L2076">
        <v>3.9</v>
      </c>
      <c r="M2076">
        <v>305000</v>
      </c>
      <c r="N2076">
        <v>3</v>
      </c>
      <c r="O2076">
        <v>36</v>
      </c>
      <c r="P2076" t="s">
        <v>26</v>
      </c>
    </row>
    <row r="2077" spans="1:16" x14ac:dyDescent="0.25">
      <c r="A2077" t="s">
        <v>5232</v>
      </c>
      <c r="B2077" t="s">
        <v>3572</v>
      </c>
      <c r="D2077" t="s">
        <v>19</v>
      </c>
      <c r="E2077" t="s">
        <v>20</v>
      </c>
      <c r="F2077" t="s">
        <v>39</v>
      </c>
      <c r="G2077" t="s">
        <v>80</v>
      </c>
      <c r="H2077" t="s">
        <v>23</v>
      </c>
      <c r="I2077" t="s">
        <v>24</v>
      </c>
      <c r="J2077" t="s">
        <v>2230</v>
      </c>
      <c r="L2077">
        <v>4.2</v>
      </c>
      <c r="M2077">
        <v>179000</v>
      </c>
      <c r="N2077">
        <v>2.5</v>
      </c>
      <c r="O2077">
        <v>0</v>
      </c>
      <c r="P2077" t="s">
        <v>26</v>
      </c>
    </row>
    <row r="2078" spans="1:16" x14ac:dyDescent="0.25">
      <c r="A2078" t="s">
        <v>5233</v>
      </c>
      <c r="B2078" t="s">
        <v>4150</v>
      </c>
      <c r="D2078" t="s">
        <v>19</v>
      </c>
      <c r="E2078" t="s">
        <v>44</v>
      </c>
      <c r="F2078" t="s">
        <v>32</v>
      </c>
      <c r="G2078" t="s">
        <v>22</v>
      </c>
      <c r="H2078" t="s">
        <v>34</v>
      </c>
      <c r="I2078" t="s">
        <v>57</v>
      </c>
      <c r="J2078" t="s">
        <v>2084</v>
      </c>
      <c r="K2078" t="s">
        <v>3740</v>
      </c>
      <c r="L2078">
        <v>5.9</v>
      </c>
      <c r="M2078">
        <v>247000</v>
      </c>
      <c r="N2078">
        <v>2.5</v>
      </c>
      <c r="O2078">
        <v>13</v>
      </c>
      <c r="P2078" t="s">
        <v>53</v>
      </c>
    </row>
    <row r="2079" spans="1:16" x14ac:dyDescent="0.25">
      <c r="A2079" t="s">
        <v>5234</v>
      </c>
      <c r="B2079" t="s">
        <v>3047</v>
      </c>
      <c r="C2079" t="s">
        <v>18</v>
      </c>
      <c r="D2079" t="s">
        <v>19</v>
      </c>
      <c r="E2079" t="s">
        <v>44</v>
      </c>
      <c r="F2079" t="s">
        <v>21</v>
      </c>
      <c r="G2079" t="s">
        <v>22</v>
      </c>
      <c r="H2079" t="s">
        <v>46</v>
      </c>
      <c r="I2079" t="s">
        <v>75</v>
      </c>
      <c r="J2079" t="s">
        <v>4007</v>
      </c>
      <c r="K2079" t="s">
        <v>2675</v>
      </c>
      <c r="L2079">
        <v>5.3</v>
      </c>
      <c r="M2079">
        <v>1045000</v>
      </c>
      <c r="N2079">
        <v>3.5</v>
      </c>
      <c r="O2079">
        <v>5</v>
      </c>
      <c r="P2079" t="s">
        <v>53</v>
      </c>
    </row>
    <row r="2080" spans="1:16" x14ac:dyDescent="0.25">
      <c r="A2080" t="s">
        <v>5235</v>
      </c>
      <c r="B2080" t="s">
        <v>5236</v>
      </c>
      <c r="C2080" t="s">
        <v>18</v>
      </c>
      <c r="D2080" t="s">
        <v>50</v>
      </c>
      <c r="E2080" t="s">
        <v>20</v>
      </c>
      <c r="F2080" t="s">
        <v>32</v>
      </c>
      <c r="G2080" t="s">
        <v>80</v>
      </c>
      <c r="I2080" t="s">
        <v>57</v>
      </c>
      <c r="J2080" t="s">
        <v>1008</v>
      </c>
      <c r="L2080">
        <v>4.8</v>
      </c>
      <c r="M2080">
        <v>250000</v>
      </c>
      <c r="N2080">
        <v>2.8</v>
      </c>
      <c r="O2080">
        <v>4</v>
      </c>
      <c r="P2080" t="s">
        <v>26</v>
      </c>
    </row>
    <row r="2081" spans="1:16" x14ac:dyDescent="0.25">
      <c r="A2081" t="s">
        <v>5237</v>
      </c>
      <c r="B2081" t="s">
        <v>1564</v>
      </c>
      <c r="C2081" t="s">
        <v>29</v>
      </c>
      <c r="D2081" t="s">
        <v>79</v>
      </c>
      <c r="E2081" t="s">
        <v>20</v>
      </c>
      <c r="F2081" t="s">
        <v>32</v>
      </c>
      <c r="G2081" t="s">
        <v>22</v>
      </c>
      <c r="I2081" t="s">
        <v>24</v>
      </c>
      <c r="J2081" t="s">
        <v>5238</v>
      </c>
      <c r="L2081">
        <v>3.9</v>
      </c>
      <c r="M2081">
        <v>202000</v>
      </c>
      <c r="N2081">
        <v>3.7</v>
      </c>
      <c r="O2081">
        <v>13</v>
      </c>
      <c r="P2081" t="s">
        <v>26</v>
      </c>
    </row>
    <row r="2082" spans="1:16" x14ac:dyDescent="0.25">
      <c r="A2082" t="s">
        <v>5239</v>
      </c>
      <c r="B2082" t="s">
        <v>1297</v>
      </c>
      <c r="C2082" t="s">
        <v>29</v>
      </c>
      <c r="D2082" t="s">
        <v>50</v>
      </c>
      <c r="E2082" t="s">
        <v>20</v>
      </c>
      <c r="F2082" t="s">
        <v>39</v>
      </c>
      <c r="G2082" t="s">
        <v>33</v>
      </c>
      <c r="H2082" t="s">
        <v>46</v>
      </c>
      <c r="I2082" t="s">
        <v>57</v>
      </c>
      <c r="J2082" t="s">
        <v>1392</v>
      </c>
      <c r="L2082">
        <v>2.7</v>
      </c>
      <c r="M2082">
        <v>138000</v>
      </c>
      <c r="N2082">
        <v>3.9</v>
      </c>
      <c r="O2082">
        <v>24</v>
      </c>
      <c r="P2082" t="s">
        <v>26</v>
      </c>
    </row>
    <row r="2083" spans="1:16" x14ac:dyDescent="0.25">
      <c r="A2083" t="s">
        <v>5240</v>
      </c>
      <c r="B2083" t="s">
        <v>4943</v>
      </c>
      <c r="C2083" t="s">
        <v>18</v>
      </c>
      <c r="D2083" t="s">
        <v>50</v>
      </c>
      <c r="E2083" t="s">
        <v>20</v>
      </c>
      <c r="F2083" t="s">
        <v>128</v>
      </c>
      <c r="G2083" t="s">
        <v>22</v>
      </c>
      <c r="H2083" t="s">
        <v>34</v>
      </c>
      <c r="I2083" t="s">
        <v>57</v>
      </c>
      <c r="J2083" t="s">
        <v>3064</v>
      </c>
      <c r="K2083" t="s">
        <v>1594</v>
      </c>
      <c r="L2083">
        <v>1.5</v>
      </c>
      <c r="M2083">
        <v>546000</v>
      </c>
      <c r="N2083">
        <v>2.7</v>
      </c>
      <c r="O2083">
        <v>3</v>
      </c>
      <c r="P2083" t="s">
        <v>72</v>
      </c>
    </row>
    <row r="2084" spans="1:16" x14ac:dyDescent="0.25">
      <c r="A2084" t="s">
        <v>5241</v>
      </c>
      <c r="B2084" t="s">
        <v>5086</v>
      </c>
      <c r="C2084" t="s">
        <v>29</v>
      </c>
      <c r="D2084" t="s">
        <v>50</v>
      </c>
      <c r="E2084" t="s">
        <v>31</v>
      </c>
      <c r="F2084" t="s">
        <v>39</v>
      </c>
      <c r="G2084" t="s">
        <v>80</v>
      </c>
      <c r="H2084" t="s">
        <v>23</v>
      </c>
      <c r="I2084" t="s">
        <v>35</v>
      </c>
      <c r="J2084" t="s">
        <v>5242</v>
      </c>
      <c r="L2084">
        <v>2.8</v>
      </c>
      <c r="M2084">
        <v>127000</v>
      </c>
      <c r="N2084">
        <v>2</v>
      </c>
      <c r="O2084">
        <v>14</v>
      </c>
      <c r="P2084" t="s">
        <v>26</v>
      </c>
    </row>
    <row r="2085" spans="1:16" x14ac:dyDescent="0.25">
      <c r="A2085" t="s">
        <v>5243</v>
      </c>
      <c r="B2085" t="s">
        <v>1698</v>
      </c>
      <c r="C2085" t="s">
        <v>29</v>
      </c>
      <c r="D2085" t="s">
        <v>30</v>
      </c>
      <c r="E2085" t="s">
        <v>44</v>
      </c>
      <c r="F2085" t="s">
        <v>39</v>
      </c>
      <c r="G2085" t="s">
        <v>80</v>
      </c>
      <c r="H2085" t="s">
        <v>34</v>
      </c>
      <c r="I2085" t="s">
        <v>24</v>
      </c>
      <c r="J2085" t="s">
        <v>1494</v>
      </c>
      <c r="K2085" t="s">
        <v>5244</v>
      </c>
      <c r="L2085">
        <v>3</v>
      </c>
      <c r="M2085">
        <v>93000</v>
      </c>
      <c r="N2085">
        <v>2.4</v>
      </c>
      <c r="O2085">
        <v>37</v>
      </c>
      <c r="P2085" t="s">
        <v>53</v>
      </c>
    </row>
    <row r="2086" spans="1:16" x14ac:dyDescent="0.25">
      <c r="A2086" t="s">
        <v>5245</v>
      </c>
      <c r="B2086" t="s">
        <v>5246</v>
      </c>
      <c r="C2086" t="s">
        <v>29</v>
      </c>
      <c r="D2086" t="s">
        <v>79</v>
      </c>
      <c r="E2086" t="s">
        <v>31</v>
      </c>
      <c r="F2086" t="s">
        <v>32</v>
      </c>
      <c r="G2086" t="s">
        <v>80</v>
      </c>
      <c r="H2086" t="s">
        <v>34</v>
      </c>
      <c r="I2086" t="s">
        <v>75</v>
      </c>
      <c r="J2086" t="s">
        <v>1056</v>
      </c>
      <c r="L2086">
        <v>4.9000000000000004</v>
      </c>
      <c r="M2086">
        <v>207000</v>
      </c>
      <c r="N2086">
        <v>4.3</v>
      </c>
      <c r="O2086">
        <v>10</v>
      </c>
      <c r="P2086" t="s">
        <v>26</v>
      </c>
    </row>
    <row r="2087" spans="1:16" x14ac:dyDescent="0.25">
      <c r="A2087" t="s">
        <v>5247</v>
      </c>
      <c r="B2087" t="s">
        <v>5248</v>
      </c>
      <c r="C2087" t="s">
        <v>18</v>
      </c>
      <c r="D2087" t="s">
        <v>30</v>
      </c>
      <c r="E2087" t="s">
        <v>31</v>
      </c>
      <c r="F2087" t="s">
        <v>128</v>
      </c>
      <c r="G2087" t="s">
        <v>80</v>
      </c>
      <c r="H2087" t="s">
        <v>46</v>
      </c>
      <c r="I2087" t="s">
        <v>24</v>
      </c>
      <c r="J2087" t="s">
        <v>2197</v>
      </c>
      <c r="K2087" t="s">
        <v>1464</v>
      </c>
      <c r="L2087">
        <v>5.2</v>
      </c>
      <c r="M2087">
        <v>559000</v>
      </c>
      <c r="N2087">
        <v>2.9</v>
      </c>
      <c r="O2087">
        <v>3</v>
      </c>
      <c r="P2087" t="s">
        <v>53</v>
      </c>
    </row>
    <row r="2088" spans="1:16" x14ac:dyDescent="0.25">
      <c r="A2088" t="s">
        <v>5249</v>
      </c>
      <c r="B2088" t="s">
        <v>1374</v>
      </c>
      <c r="C2088" t="s">
        <v>18</v>
      </c>
      <c r="D2088" t="s">
        <v>79</v>
      </c>
      <c r="E2088" t="s">
        <v>20</v>
      </c>
      <c r="F2088" t="s">
        <v>39</v>
      </c>
      <c r="G2088" t="s">
        <v>22</v>
      </c>
      <c r="H2088" t="s">
        <v>23</v>
      </c>
      <c r="I2088" t="s">
        <v>24</v>
      </c>
      <c r="J2088" t="s">
        <v>5250</v>
      </c>
      <c r="L2088">
        <v>6.2</v>
      </c>
      <c r="M2088">
        <v>132000</v>
      </c>
      <c r="N2088">
        <v>2.6</v>
      </c>
      <c r="O2088">
        <v>13</v>
      </c>
      <c r="P2088" t="s">
        <v>26</v>
      </c>
    </row>
    <row r="2089" spans="1:16" x14ac:dyDescent="0.25">
      <c r="A2089" t="s">
        <v>5251</v>
      </c>
      <c r="B2089" t="s">
        <v>5059</v>
      </c>
      <c r="C2089" t="s">
        <v>29</v>
      </c>
      <c r="D2089" t="s">
        <v>79</v>
      </c>
      <c r="E2089" t="s">
        <v>20</v>
      </c>
      <c r="F2089" t="s">
        <v>45</v>
      </c>
      <c r="G2089" t="s">
        <v>22</v>
      </c>
      <c r="H2089" t="s">
        <v>46</v>
      </c>
      <c r="I2089" t="s">
        <v>57</v>
      </c>
      <c r="J2089" t="s">
        <v>5252</v>
      </c>
      <c r="L2089">
        <v>4.0999999999999996</v>
      </c>
      <c r="M2089">
        <v>1240000</v>
      </c>
      <c r="N2089">
        <v>3.9</v>
      </c>
      <c r="O2089">
        <v>9</v>
      </c>
      <c r="P2089" t="s">
        <v>26</v>
      </c>
    </row>
    <row r="2090" spans="1:16" x14ac:dyDescent="0.25">
      <c r="A2090" t="s">
        <v>5253</v>
      </c>
      <c r="B2090" t="s">
        <v>5254</v>
      </c>
      <c r="C2090" t="s">
        <v>18</v>
      </c>
      <c r="D2090" t="s">
        <v>79</v>
      </c>
      <c r="E2090" t="s">
        <v>31</v>
      </c>
      <c r="F2090" t="s">
        <v>32</v>
      </c>
      <c r="G2090" t="s">
        <v>33</v>
      </c>
      <c r="H2090" t="s">
        <v>62</v>
      </c>
      <c r="I2090" t="s">
        <v>24</v>
      </c>
      <c r="J2090" t="s">
        <v>3224</v>
      </c>
      <c r="L2090">
        <v>4</v>
      </c>
      <c r="M2090">
        <v>283000</v>
      </c>
      <c r="N2090">
        <v>3.3</v>
      </c>
      <c r="O2090">
        <v>19</v>
      </c>
      <c r="P2090" t="s">
        <v>26</v>
      </c>
    </row>
    <row r="2091" spans="1:16" x14ac:dyDescent="0.25">
      <c r="A2091" t="s">
        <v>5255</v>
      </c>
      <c r="B2091" t="s">
        <v>2616</v>
      </c>
      <c r="D2091" t="s">
        <v>79</v>
      </c>
      <c r="E2091" t="s">
        <v>44</v>
      </c>
      <c r="F2091" t="s">
        <v>32</v>
      </c>
      <c r="G2091" t="s">
        <v>22</v>
      </c>
      <c r="H2091" t="s">
        <v>23</v>
      </c>
      <c r="I2091" t="s">
        <v>75</v>
      </c>
      <c r="J2091" t="s">
        <v>366</v>
      </c>
      <c r="L2091">
        <v>2.2999999999999998</v>
      </c>
      <c r="M2091">
        <v>302000</v>
      </c>
      <c r="N2091">
        <v>2.9</v>
      </c>
      <c r="O2091">
        <v>9</v>
      </c>
      <c r="P2091" t="s">
        <v>26</v>
      </c>
    </row>
    <row r="2092" spans="1:16" x14ac:dyDescent="0.25">
      <c r="A2092" t="s">
        <v>5256</v>
      </c>
      <c r="B2092" t="s">
        <v>5257</v>
      </c>
      <c r="C2092" t="s">
        <v>18</v>
      </c>
      <c r="D2092" t="s">
        <v>30</v>
      </c>
      <c r="E2092" t="s">
        <v>20</v>
      </c>
      <c r="F2092" t="s">
        <v>32</v>
      </c>
      <c r="G2092" t="s">
        <v>22</v>
      </c>
      <c r="H2092" t="s">
        <v>23</v>
      </c>
      <c r="I2092" t="s">
        <v>35</v>
      </c>
      <c r="J2092" t="s">
        <v>5258</v>
      </c>
      <c r="K2092" t="s">
        <v>328</v>
      </c>
      <c r="L2092">
        <v>2.4</v>
      </c>
      <c r="N2092">
        <v>2.6</v>
      </c>
      <c r="O2092">
        <v>11</v>
      </c>
      <c r="P2092" t="s">
        <v>53</v>
      </c>
    </row>
    <row r="2093" spans="1:16" x14ac:dyDescent="0.25">
      <c r="A2093" t="s">
        <v>5259</v>
      </c>
      <c r="B2093" t="s">
        <v>4909</v>
      </c>
      <c r="C2093" t="s">
        <v>18</v>
      </c>
      <c r="D2093" t="s">
        <v>30</v>
      </c>
      <c r="E2093" t="s">
        <v>20</v>
      </c>
      <c r="F2093" t="s">
        <v>39</v>
      </c>
      <c r="G2093" t="s">
        <v>22</v>
      </c>
      <c r="H2093" t="s">
        <v>34</v>
      </c>
      <c r="I2093" t="s">
        <v>171</v>
      </c>
      <c r="J2093" t="s">
        <v>1857</v>
      </c>
      <c r="L2093">
        <v>4.5999999999999996</v>
      </c>
      <c r="M2093">
        <v>165000</v>
      </c>
      <c r="N2093">
        <v>2.2999999999999998</v>
      </c>
      <c r="O2093">
        <v>10</v>
      </c>
      <c r="P2093" t="s">
        <v>26</v>
      </c>
    </row>
    <row r="2094" spans="1:16" x14ac:dyDescent="0.25">
      <c r="A2094" t="s">
        <v>5260</v>
      </c>
      <c r="B2094" t="s">
        <v>4672</v>
      </c>
      <c r="C2094" t="s">
        <v>18</v>
      </c>
      <c r="D2094" t="s">
        <v>43</v>
      </c>
      <c r="E2094" t="s">
        <v>31</v>
      </c>
      <c r="F2094" t="s">
        <v>21</v>
      </c>
      <c r="G2094" t="s">
        <v>33</v>
      </c>
      <c r="H2094" t="s">
        <v>34</v>
      </c>
      <c r="I2094" t="s">
        <v>75</v>
      </c>
      <c r="J2094" t="s">
        <v>4360</v>
      </c>
      <c r="L2094">
        <v>2.2999999999999998</v>
      </c>
      <c r="M2094">
        <v>830000</v>
      </c>
      <c r="N2094">
        <v>3.7</v>
      </c>
      <c r="P2094" t="s">
        <v>26</v>
      </c>
    </row>
    <row r="2095" spans="1:16" x14ac:dyDescent="0.25">
      <c r="A2095" t="s">
        <v>5261</v>
      </c>
      <c r="B2095" t="s">
        <v>396</v>
      </c>
      <c r="C2095" t="s">
        <v>29</v>
      </c>
      <c r="D2095" t="s">
        <v>50</v>
      </c>
      <c r="E2095" t="s">
        <v>31</v>
      </c>
      <c r="F2095" t="s">
        <v>32</v>
      </c>
      <c r="G2095" t="s">
        <v>80</v>
      </c>
      <c r="H2095" t="s">
        <v>34</v>
      </c>
      <c r="I2095" t="s">
        <v>24</v>
      </c>
      <c r="J2095" t="s">
        <v>5262</v>
      </c>
      <c r="L2095">
        <v>4.2</v>
      </c>
      <c r="M2095">
        <v>290000</v>
      </c>
      <c r="N2095">
        <v>2.8</v>
      </c>
      <c r="O2095">
        <v>4</v>
      </c>
      <c r="P2095" t="s">
        <v>26</v>
      </c>
    </row>
    <row r="2096" spans="1:16" x14ac:dyDescent="0.25">
      <c r="A2096" t="s">
        <v>5263</v>
      </c>
      <c r="B2096" t="s">
        <v>5264</v>
      </c>
      <c r="C2096" t="s">
        <v>18</v>
      </c>
      <c r="D2096" t="s">
        <v>19</v>
      </c>
      <c r="E2096" t="s">
        <v>20</v>
      </c>
      <c r="F2096" t="s">
        <v>32</v>
      </c>
      <c r="G2096" t="s">
        <v>33</v>
      </c>
      <c r="I2096" t="s">
        <v>24</v>
      </c>
      <c r="J2096" t="s">
        <v>996</v>
      </c>
      <c r="K2096" t="s">
        <v>2186</v>
      </c>
      <c r="L2096">
        <v>5.3</v>
      </c>
      <c r="M2096">
        <v>385000</v>
      </c>
      <c r="N2096">
        <v>4.9000000000000004</v>
      </c>
      <c r="O2096">
        <v>33</v>
      </c>
      <c r="P2096" t="s">
        <v>72</v>
      </c>
    </row>
    <row r="2097" spans="1:16" x14ac:dyDescent="0.25">
      <c r="A2097" t="s">
        <v>5265</v>
      </c>
      <c r="B2097" t="s">
        <v>5266</v>
      </c>
      <c r="C2097" t="s">
        <v>29</v>
      </c>
      <c r="D2097" t="s">
        <v>50</v>
      </c>
      <c r="E2097" t="s">
        <v>44</v>
      </c>
      <c r="F2097" t="s">
        <v>32</v>
      </c>
      <c r="G2097" t="s">
        <v>69</v>
      </c>
      <c r="H2097" t="s">
        <v>34</v>
      </c>
      <c r="I2097" t="s">
        <v>57</v>
      </c>
      <c r="J2097" t="s">
        <v>2116</v>
      </c>
      <c r="K2097" t="s">
        <v>3049</v>
      </c>
      <c r="L2097">
        <v>4</v>
      </c>
      <c r="M2097">
        <v>260000</v>
      </c>
      <c r="N2097">
        <v>2.2000000000000002</v>
      </c>
      <c r="O2097">
        <v>4</v>
      </c>
      <c r="P2097" t="s">
        <v>53</v>
      </c>
    </row>
    <row r="2098" spans="1:16" x14ac:dyDescent="0.25">
      <c r="A2098" t="s">
        <v>5267</v>
      </c>
      <c r="B2098" t="s">
        <v>5268</v>
      </c>
      <c r="C2098" t="s">
        <v>18</v>
      </c>
      <c r="D2098" t="s">
        <v>19</v>
      </c>
      <c r="E2098" t="s">
        <v>44</v>
      </c>
      <c r="F2098" t="s">
        <v>39</v>
      </c>
      <c r="G2098" t="s">
        <v>22</v>
      </c>
      <c r="H2098" t="s">
        <v>62</v>
      </c>
      <c r="I2098" t="s">
        <v>35</v>
      </c>
      <c r="J2098" t="s">
        <v>5269</v>
      </c>
      <c r="L2098">
        <v>4.5</v>
      </c>
      <c r="M2098">
        <v>190000</v>
      </c>
      <c r="N2098">
        <v>4.7</v>
      </c>
      <c r="O2098">
        <v>13</v>
      </c>
      <c r="P2098" t="s">
        <v>26</v>
      </c>
    </row>
    <row r="2099" spans="1:16" x14ac:dyDescent="0.25">
      <c r="A2099" t="s">
        <v>5270</v>
      </c>
      <c r="B2099" t="s">
        <v>5271</v>
      </c>
      <c r="C2099" t="s">
        <v>18</v>
      </c>
      <c r="D2099" t="s">
        <v>50</v>
      </c>
      <c r="E2099" t="s">
        <v>44</v>
      </c>
      <c r="F2099" t="s">
        <v>39</v>
      </c>
      <c r="G2099" t="s">
        <v>22</v>
      </c>
      <c r="H2099" t="s">
        <v>46</v>
      </c>
      <c r="I2099" t="s">
        <v>57</v>
      </c>
      <c r="J2099" t="s">
        <v>3568</v>
      </c>
      <c r="L2099">
        <v>1.8</v>
      </c>
      <c r="M2099">
        <v>126000</v>
      </c>
      <c r="N2099">
        <v>4</v>
      </c>
      <c r="O2099">
        <v>6</v>
      </c>
      <c r="P2099" t="s">
        <v>26</v>
      </c>
    </row>
    <row r="2100" spans="1:16" x14ac:dyDescent="0.25">
      <c r="A2100" t="s">
        <v>5272</v>
      </c>
      <c r="B2100" t="s">
        <v>1265</v>
      </c>
      <c r="C2100" t="s">
        <v>29</v>
      </c>
      <c r="E2100" t="s">
        <v>20</v>
      </c>
      <c r="F2100" t="s">
        <v>32</v>
      </c>
      <c r="G2100" t="s">
        <v>22</v>
      </c>
      <c r="H2100" t="s">
        <v>62</v>
      </c>
      <c r="I2100" t="s">
        <v>35</v>
      </c>
      <c r="J2100" t="s">
        <v>335</v>
      </c>
      <c r="L2100">
        <v>4.3</v>
      </c>
      <c r="M2100">
        <v>181000</v>
      </c>
      <c r="N2100">
        <v>3.3</v>
      </c>
      <c r="O2100">
        <v>24</v>
      </c>
      <c r="P2100" t="s">
        <v>26</v>
      </c>
    </row>
    <row r="2101" spans="1:16" x14ac:dyDescent="0.25">
      <c r="A2101" t="s">
        <v>5273</v>
      </c>
      <c r="B2101" t="s">
        <v>5274</v>
      </c>
      <c r="C2101" t="s">
        <v>18</v>
      </c>
      <c r="D2101" t="s">
        <v>30</v>
      </c>
      <c r="E2101" t="s">
        <v>44</v>
      </c>
      <c r="F2101" t="s">
        <v>39</v>
      </c>
      <c r="G2101" t="s">
        <v>80</v>
      </c>
      <c r="H2101" t="s">
        <v>34</v>
      </c>
      <c r="I2101" t="s">
        <v>57</v>
      </c>
      <c r="J2101" t="s">
        <v>3532</v>
      </c>
      <c r="L2101">
        <v>5.0999999999999996</v>
      </c>
      <c r="M2101">
        <v>129000</v>
      </c>
      <c r="N2101">
        <v>3.2</v>
      </c>
      <c r="O2101">
        <v>5</v>
      </c>
      <c r="P2101" t="s">
        <v>53</v>
      </c>
    </row>
    <row r="2102" spans="1:16" x14ac:dyDescent="0.25">
      <c r="A2102" t="s">
        <v>5275</v>
      </c>
      <c r="B2102" t="s">
        <v>5276</v>
      </c>
      <c r="C2102" t="s">
        <v>29</v>
      </c>
      <c r="D2102" t="s">
        <v>30</v>
      </c>
      <c r="E2102" t="s">
        <v>20</v>
      </c>
      <c r="F2102" t="s">
        <v>32</v>
      </c>
      <c r="G2102" t="s">
        <v>69</v>
      </c>
      <c r="H2102" t="s">
        <v>34</v>
      </c>
      <c r="I2102" t="s">
        <v>24</v>
      </c>
      <c r="J2102" t="s">
        <v>5277</v>
      </c>
      <c r="L2102">
        <v>3.4</v>
      </c>
      <c r="N2102">
        <v>3.8</v>
      </c>
      <c r="O2102">
        <v>10</v>
      </c>
      <c r="P2102" t="s">
        <v>26</v>
      </c>
    </row>
    <row r="2103" spans="1:16" x14ac:dyDescent="0.25">
      <c r="A2103" t="s">
        <v>5278</v>
      </c>
      <c r="B2103" t="s">
        <v>2529</v>
      </c>
      <c r="C2103" t="s">
        <v>18</v>
      </c>
      <c r="D2103" t="s">
        <v>43</v>
      </c>
      <c r="E2103" t="s">
        <v>20</v>
      </c>
      <c r="F2103" t="s">
        <v>128</v>
      </c>
      <c r="G2103" t="s">
        <v>80</v>
      </c>
      <c r="H2103" t="s">
        <v>46</v>
      </c>
      <c r="I2103" t="s">
        <v>24</v>
      </c>
      <c r="J2103" t="s">
        <v>2518</v>
      </c>
      <c r="L2103">
        <v>3.8</v>
      </c>
      <c r="M2103">
        <v>406000</v>
      </c>
      <c r="N2103">
        <v>3.7</v>
      </c>
      <c r="O2103">
        <v>15</v>
      </c>
      <c r="P2103" t="s">
        <v>26</v>
      </c>
    </row>
    <row r="2104" spans="1:16" x14ac:dyDescent="0.25">
      <c r="A2104" t="s">
        <v>5279</v>
      </c>
      <c r="B2104" t="s">
        <v>1540</v>
      </c>
      <c r="C2104" t="s">
        <v>18</v>
      </c>
      <c r="D2104" t="s">
        <v>50</v>
      </c>
      <c r="E2104" t="s">
        <v>31</v>
      </c>
      <c r="F2104" t="s">
        <v>32</v>
      </c>
      <c r="G2104" t="s">
        <v>33</v>
      </c>
      <c r="H2104" t="s">
        <v>23</v>
      </c>
      <c r="I2104" t="s">
        <v>35</v>
      </c>
      <c r="J2104" t="s">
        <v>5280</v>
      </c>
      <c r="L2104">
        <v>4</v>
      </c>
      <c r="M2104">
        <v>230000</v>
      </c>
      <c r="N2104">
        <v>3.5</v>
      </c>
      <c r="O2104">
        <v>6</v>
      </c>
      <c r="P2104" t="s">
        <v>26</v>
      </c>
    </row>
    <row r="2105" spans="1:16" x14ac:dyDescent="0.25">
      <c r="A2105" t="s">
        <v>5281</v>
      </c>
      <c r="B2105" t="s">
        <v>5282</v>
      </c>
      <c r="C2105" t="s">
        <v>18</v>
      </c>
      <c r="E2105" t="s">
        <v>20</v>
      </c>
      <c r="F2105" t="s">
        <v>39</v>
      </c>
      <c r="G2105" t="s">
        <v>69</v>
      </c>
      <c r="H2105" t="s">
        <v>46</v>
      </c>
      <c r="I2105" t="s">
        <v>57</v>
      </c>
      <c r="J2105" t="s">
        <v>124</v>
      </c>
      <c r="K2105" t="s">
        <v>729</v>
      </c>
      <c r="L2105">
        <v>1.6</v>
      </c>
      <c r="M2105">
        <v>85000</v>
      </c>
      <c r="N2105">
        <v>2.8</v>
      </c>
      <c r="O2105">
        <v>22</v>
      </c>
      <c r="P2105" t="s">
        <v>53</v>
      </c>
    </row>
    <row r="2106" spans="1:16" x14ac:dyDescent="0.25">
      <c r="A2106" t="s">
        <v>5283</v>
      </c>
      <c r="B2106" t="s">
        <v>4842</v>
      </c>
      <c r="C2106" t="s">
        <v>29</v>
      </c>
      <c r="D2106" t="s">
        <v>30</v>
      </c>
      <c r="E2106" t="s">
        <v>20</v>
      </c>
      <c r="F2106" t="s">
        <v>32</v>
      </c>
      <c r="G2106" t="s">
        <v>22</v>
      </c>
      <c r="H2106" t="s">
        <v>34</v>
      </c>
      <c r="I2106" t="s">
        <v>57</v>
      </c>
      <c r="J2106" t="s">
        <v>4837</v>
      </c>
      <c r="L2106">
        <v>1.7</v>
      </c>
      <c r="M2106">
        <v>246000</v>
      </c>
      <c r="N2106">
        <v>2.9</v>
      </c>
      <c r="O2106">
        <v>9</v>
      </c>
      <c r="P2106" t="s">
        <v>26</v>
      </c>
    </row>
    <row r="2107" spans="1:16" x14ac:dyDescent="0.25">
      <c r="A2107" t="s">
        <v>5284</v>
      </c>
      <c r="B2107" t="s">
        <v>131</v>
      </c>
      <c r="C2107" t="s">
        <v>29</v>
      </c>
      <c r="D2107" t="s">
        <v>43</v>
      </c>
      <c r="E2107" t="s">
        <v>20</v>
      </c>
      <c r="F2107" t="s">
        <v>21</v>
      </c>
      <c r="G2107" t="s">
        <v>22</v>
      </c>
      <c r="H2107" t="s">
        <v>46</v>
      </c>
      <c r="I2107" t="s">
        <v>24</v>
      </c>
      <c r="J2107" t="s">
        <v>1890</v>
      </c>
      <c r="L2107">
        <v>3.9</v>
      </c>
      <c r="M2107">
        <v>600000</v>
      </c>
      <c r="N2107">
        <v>3.6</v>
      </c>
      <c r="O2107">
        <v>10</v>
      </c>
      <c r="P2107" t="s">
        <v>26</v>
      </c>
    </row>
    <row r="2108" spans="1:16" x14ac:dyDescent="0.25">
      <c r="A2108" t="s">
        <v>5285</v>
      </c>
      <c r="B2108" t="s">
        <v>5286</v>
      </c>
      <c r="C2108" t="s">
        <v>18</v>
      </c>
      <c r="D2108" t="s">
        <v>79</v>
      </c>
      <c r="F2108" t="s">
        <v>128</v>
      </c>
      <c r="G2108" t="s">
        <v>22</v>
      </c>
      <c r="H2108" t="s">
        <v>34</v>
      </c>
      <c r="I2108" t="s">
        <v>57</v>
      </c>
      <c r="J2108" t="s">
        <v>3568</v>
      </c>
      <c r="L2108">
        <v>1.8</v>
      </c>
      <c r="M2108">
        <v>515000</v>
      </c>
      <c r="N2108">
        <v>2</v>
      </c>
      <c r="O2108">
        <v>12</v>
      </c>
      <c r="P2108" t="s">
        <v>26</v>
      </c>
    </row>
    <row r="2109" spans="1:16" x14ac:dyDescent="0.25">
      <c r="A2109" t="s">
        <v>5287</v>
      </c>
      <c r="B2109" t="s">
        <v>3989</v>
      </c>
      <c r="C2109" t="s">
        <v>29</v>
      </c>
      <c r="D2109" t="s">
        <v>30</v>
      </c>
      <c r="E2109" t="s">
        <v>44</v>
      </c>
      <c r="F2109" t="s">
        <v>32</v>
      </c>
      <c r="G2109" t="s">
        <v>69</v>
      </c>
      <c r="H2109" t="s">
        <v>34</v>
      </c>
      <c r="I2109" t="s">
        <v>57</v>
      </c>
      <c r="J2109" t="s">
        <v>3818</v>
      </c>
      <c r="K2109" t="s">
        <v>1119</v>
      </c>
      <c r="L2109">
        <v>3.5</v>
      </c>
      <c r="M2109">
        <v>242000</v>
      </c>
      <c r="N2109">
        <v>2.5</v>
      </c>
      <c r="O2109">
        <v>10</v>
      </c>
      <c r="P2109" t="s">
        <v>114</v>
      </c>
    </row>
    <row r="2110" spans="1:16" x14ac:dyDescent="0.25">
      <c r="A2110" t="s">
        <v>5288</v>
      </c>
      <c r="B2110" t="s">
        <v>5289</v>
      </c>
      <c r="C2110" t="s">
        <v>29</v>
      </c>
      <c r="E2110" t="s">
        <v>44</v>
      </c>
      <c r="F2110" t="s">
        <v>32</v>
      </c>
      <c r="G2110" t="s">
        <v>33</v>
      </c>
      <c r="H2110" t="s">
        <v>46</v>
      </c>
      <c r="I2110" t="s">
        <v>24</v>
      </c>
      <c r="J2110" t="s">
        <v>3493</v>
      </c>
      <c r="L2110">
        <v>2</v>
      </c>
      <c r="M2110">
        <v>268000</v>
      </c>
      <c r="N2110">
        <v>4.8</v>
      </c>
      <c r="O2110">
        <v>13</v>
      </c>
      <c r="P2110" t="s">
        <v>26</v>
      </c>
    </row>
    <row r="2111" spans="1:16" x14ac:dyDescent="0.25">
      <c r="A2111" t="s">
        <v>5290</v>
      </c>
      <c r="B2111" t="s">
        <v>5291</v>
      </c>
      <c r="C2111" t="s">
        <v>29</v>
      </c>
      <c r="D2111" t="s">
        <v>19</v>
      </c>
      <c r="E2111" t="s">
        <v>20</v>
      </c>
      <c r="F2111" t="s">
        <v>128</v>
      </c>
      <c r="G2111" t="s">
        <v>80</v>
      </c>
      <c r="H2111" t="s">
        <v>46</v>
      </c>
      <c r="I2111" t="s">
        <v>24</v>
      </c>
      <c r="J2111" t="s">
        <v>5292</v>
      </c>
      <c r="L2111">
        <v>3.5</v>
      </c>
      <c r="M2111">
        <v>468000</v>
      </c>
      <c r="O2111">
        <v>3</v>
      </c>
      <c r="P2111" t="s">
        <v>26</v>
      </c>
    </row>
    <row r="2112" spans="1:16" x14ac:dyDescent="0.25">
      <c r="A2112" t="s">
        <v>5293</v>
      </c>
      <c r="B2112" t="s">
        <v>1111</v>
      </c>
      <c r="C2112" t="s">
        <v>29</v>
      </c>
      <c r="D2112" t="s">
        <v>50</v>
      </c>
      <c r="E2112" t="s">
        <v>20</v>
      </c>
      <c r="F2112" t="s">
        <v>32</v>
      </c>
      <c r="G2112" t="s">
        <v>69</v>
      </c>
      <c r="H2112" t="s">
        <v>23</v>
      </c>
      <c r="I2112" t="s">
        <v>35</v>
      </c>
      <c r="J2112" t="s">
        <v>5294</v>
      </c>
      <c r="L2112">
        <v>4.7</v>
      </c>
      <c r="M2112">
        <v>327000</v>
      </c>
      <c r="N2112">
        <v>3</v>
      </c>
      <c r="O2112">
        <v>9</v>
      </c>
      <c r="P2112" t="s">
        <v>26</v>
      </c>
    </row>
    <row r="2113" spans="1:16" x14ac:dyDescent="0.25">
      <c r="A2113" t="s">
        <v>5295</v>
      </c>
      <c r="B2113" t="s">
        <v>5296</v>
      </c>
      <c r="C2113" t="s">
        <v>252</v>
      </c>
      <c r="D2113" t="s">
        <v>19</v>
      </c>
      <c r="E2113" t="s">
        <v>31</v>
      </c>
      <c r="F2113" t="s">
        <v>39</v>
      </c>
      <c r="G2113" t="s">
        <v>22</v>
      </c>
      <c r="H2113" t="s">
        <v>46</v>
      </c>
      <c r="J2113" t="s">
        <v>997</v>
      </c>
      <c r="L2113">
        <v>2.1</v>
      </c>
      <c r="M2113">
        <v>180000</v>
      </c>
      <c r="N2113">
        <v>3.3</v>
      </c>
      <c r="O2113">
        <v>12</v>
      </c>
      <c r="P2113" t="s">
        <v>26</v>
      </c>
    </row>
    <row r="2114" spans="1:16" x14ac:dyDescent="0.25">
      <c r="A2114" t="s">
        <v>5297</v>
      </c>
      <c r="B2114" t="s">
        <v>3663</v>
      </c>
      <c r="C2114" t="s">
        <v>29</v>
      </c>
      <c r="D2114" t="s">
        <v>43</v>
      </c>
      <c r="E2114" t="s">
        <v>31</v>
      </c>
      <c r="F2114" t="s">
        <v>39</v>
      </c>
      <c r="G2114" t="s">
        <v>80</v>
      </c>
      <c r="H2114" t="s">
        <v>34</v>
      </c>
      <c r="I2114" t="s">
        <v>24</v>
      </c>
      <c r="J2114" t="s">
        <v>5298</v>
      </c>
      <c r="L2114">
        <v>3.5</v>
      </c>
      <c r="M2114">
        <v>151000</v>
      </c>
      <c r="N2114">
        <v>4.2</v>
      </c>
      <c r="O2114">
        <v>7</v>
      </c>
      <c r="P2114" t="s">
        <v>26</v>
      </c>
    </row>
    <row r="2115" spans="1:16" x14ac:dyDescent="0.25">
      <c r="A2115" t="s">
        <v>5299</v>
      </c>
      <c r="B2115" t="s">
        <v>4351</v>
      </c>
      <c r="C2115" t="s">
        <v>29</v>
      </c>
      <c r="D2115" t="s">
        <v>79</v>
      </c>
      <c r="E2115" t="s">
        <v>20</v>
      </c>
      <c r="F2115" t="s">
        <v>128</v>
      </c>
      <c r="G2115" t="s">
        <v>33</v>
      </c>
      <c r="H2115" t="s">
        <v>23</v>
      </c>
      <c r="I2115" t="s">
        <v>24</v>
      </c>
      <c r="J2115" t="s">
        <v>3253</v>
      </c>
      <c r="L2115">
        <v>2.6</v>
      </c>
      <c r="M2115">
        <v>354000</v>
      </c>
      <c r="N2115">
        <v>2.4</v>
      </c>
      <c r="O2115">
        <v>1</v>
      </c>
      <c r="P2115" t="s">
        <v>26</v>
      </c>
    </row>
    <row r="2116" spans="1:16" x14ac:dyDescent="0.25">
      <c r="A2116" t="s">
        <v>5300</v>
      </c>
      <c r="B2116" t="s">
        <v>5301</v>
      </c>
      <c r="C2116" t="s">
        <v>29</v>
      </c>
      <c r="D2116" t="s">
        <v>79</v>
      </c>
      <c r="E2116" t="s">
        <v>20</v>
      </c>
      <c r="F2116" t="s">
        <v>21</v>
      </c>
      <c r="G2116" t="s">
        <v>22</v>
      </c>
      <c r="H2116" t="s">
        <v>23</v>
      </c>
      <c r="I2116" t="s">
        <v>24</v>
      </c>
      <c r="J2116" t="s">
        <v>5302</v>
      </c>
      <c r="L2116">
        <v>2.8</v>
      </c>
      <c r="M2116">
        <v>874000</v>
      </c>
      <c r="N2116">
        <v>3.2</v>
      </c>
      <c r="O2116">
        <v>10</v>
      </c>
      <c r="P2116" t="s">
        <v>26</v>
      </c>
    </row>
    <row r="2117" spans="1:16" x14ac:dyDescent="0.25">
      <c r="A2117" t="s">
        <v>5303</v>
      </c>
      <c r="B2117" t="s">
        <v>281</v>
      </c>
      <c r="C2117" t="s">
        <v>29</v>
      </c>
      <c r="D2117" t="s">
        <v>30</v>
      </c>
      <c r="E2117" t="s">
        <v>20</v>
      </c>
      <c r="F2117" t="s">
        <v>39</v>
      </c>
      <c r="G2117" t="s">
        <v>22</v>
      </c>
      <c r="H2117" t="s">
        <v>62</v>
      </c>
      <c r="I2117" t="s">
        <v>24</v>
      </c>
      <c r="J2117" t="s">
        <v>3855</v>
      </c>
      <c r="K2117" t="s">
        <v>4361</v>
      </c>
      <c r="L2117">
        <v>1.7</v>
      </c>
      <c r="M2117">
        <v>92000</v>
      </c>
      <c r="N2117">
        <v>1.9</v>
      </c>
      <c r="O2117">
        <v>8</v>
      </c>
      <c r="P2117" t="s">
        <v>53</v>
      </c>
    </row>
    <row r="2118" spans="1:16" x14ac:dyDescent="0.25">
      <c r="A2118" t="s">
        <v>5304</v>
      </c>
      <c r="B2118" t="s">
        <v>5305</v>
      </c>
      <c r="C2118" t="s">
        <v>18</v>
      </c>
      <c r="D2118" t="s">
        <v>43</v>
      </c>
      <c r="E2118" t="s">
        <v>31</v>
      </c>
      <c r="F2118" t="s">
        <v>39</v>
      </c>
      <c r="G2118" t="s">
        <v>22</v>
      </c>
      <c r="H2118" t="s">
        <v>34</v>
      </c>
      <c r="I2118" t="s">
        <v>57</v>
      </c>
      <c r="J2118" t="s">
        <v>4181</v>
      </c>
      <c r="L2118">
        <v>1.5</v>
      </c>
      <c r="M2118">
        <v>119000</v>
      </c>
      <c r="N2118">
        <v>2.5</v>
      </c>
      <c r="O2118">
        <v>6</v>
      </c>
      <c r="P2118" t="s">
        <v>26</v>
      </c>
    </row>
    <row r="2119" spans="1:16" x14ac:dyDescent="0.25">
      <c r="A2119" t="s">
        <v>5306</v>
      </c>
      <c r="B2119" t="s">
        <v>4349</v>
      </c>
      <c r="C2119" t="s">
        <v>29</v>
      </c>
      <c r="D2119" t="s">
        <v>19</v>
      </c>
      <c r="E2119" t="s">
        <v>20</v>
      </c>
      <c r="F2119" t="s">
        <v>128</v>
      </c>
      <c r="G2119" t="s">
        <v>80</v>
      </c>
      <c r="H2119" t="s">
        <v>23</v>
      </c>
      <c r="I2119" t="s">
        <v>24</v>
      </c>
      <c r="J2119" t="s">
        <v>121</v>
      </c>
      <c r="L2119">
        <v>2.4</v>
      </c>
      <c r="N2119">
        <v>4.2</v>
      </c>
      <c r="P2119" t="s">
        <v>26</v>
      </c>
    </row>
    <row r="2120" spans="1:16" x14ac:dyDescent="0.25">
      <c r="A2120" t="s">
        <v>5307</v>
      </c>
      <c r="B2120" t="s">
        <v>2979</v>
      </c>
      <c r="C2120" t="s">
        <v>29</v>
      </c>
      <c r="D2120" t="s">
        <v>79</v>
      </c>
      <c r="E2120" t="s">
        <v>31</v>
      </c>
      <c r="F2120" t="s">
        <v>21</v>
      </c>
      <c r="G2120" t="s">
        <v>33</v>
      </c>
      <c r="H2120" t="s">
        <v>34</v>
      </c>
      <c r="I2120" t="s">
        <v>24</v>
      </c>
      <c r="J2120" t="s">
        <v>1237</v>
      </c>
      <c r="L2120">
        <v>1.7</v>
      </c>
      <c r="M2120">
        <v>840000</v>
      </c>
      <c r="N2120">
        <v>4.0999999999999996</v>
      </c>
      <c r="O2120">
        <v>7</v>
      </c>
      <c r="P2120" t="s">
        <v>26</v>
      </c>
    </row>
    <row r="2121" spans="1:16" x14ac:dyDescent="0.25">
      <c r="A2121" t="s">
        <v>5308</v>
      </c>
      <c r="B2121" t="s">
        <v>3109</v>
      </c>
      <c r="C2121" t="s">
        <v>29</v>
      </c>
      <c r="D2121" t="s">
        <v>30</v>
      </c>
      <c r="E2121" t="s">
        <v>20</v>
      </c>
      <c r="F2121" t="s">
        <v>39</v>
      </c>
      <c r="G2121" t="s">
        <v>22</v>
      </c>
      <c r="H2121" t="s">
        <v>34</v>
      </c>
      <c r="I2121" t="s">
        <v>35</v>
      </c>
      <c r="J2121" t="s">
        <v>2274</v>
      </c>
      <c r="K2121" t="s">
        <v>5309</v>
      </c>
      <c r="L2121">
        <v>5.0999999999999996</v>
      </c>
      <c r="M2121">
        <v>99000</v>
      </c>
      <c r="N2121">
        <v>1.9</v>
      </c>
      <c r="O2121">
        <v>38</v>
      </c>
      <c r="P2121" t="s">
        <v>53</v>
      </c>
    </row>
    <row r="2122" spans="1:16" x14ac:dyDescent="0.25">
      <c r="A2122" t="s">
        <v>5310</v>
      </c>
      <c r="B2122" t="s">
        <v>1335</v>
      </c>
      <c r="C2122" t="s">
        <v>29</v>
      </c>
      <c r="D2122" t="s">
        <v>79</v>
      </c>
      <c r="E2122" t="s">
        <v>20</v>
      </c>
      <c r="F2122" t="s">
        <v>32</v>
      </c>
      <c r="G2122" t="s">
        <v>69</v>
      </c>
      <c r="H2122" t="s">
        <v>34</v>
      </c>
      <c r="I2122" t="s">
        <v>35</v>
      </c>
      <c r="J2122" t="s">
        <v>1620</v>
      </c>
      <c r="K2122" t="s">
        <v>2491</v>
      </c>
      <c r="L2122">
        <v>1.9</v>
      </c>
      <c r="M2122">
        <v>182000</v>
      </c>
      <c r="N2122">
        <v>2.5</v>
      </c>
      <c r="O2122">
        <v>4</v>
      </c>
      <c r="P2122" t="s">
        <v>72</v>
      </c>
    </row>
    <row r="2123" spans="1:16" x14ac:dyDescent="0.25">
      <c r="A2123" t="s">
        <v>5311</v>
      </c>
      <c r="B2123" t="s">
        <v>5038</v>
      </c>
      <c r="C2123" t="s">
        <v>18</v>
      </c>
      <c r="D2123" t="s">
        <v>30</v>
      </c>
      <c r="F2123" t="s">
        <v>39</v>
      </c>
      <c r="G2123" t="s">
        <v>69</v>
      </c>
      <c r="H2123" t="s">
        <v>34</v>
      </c>
      <c r="I2123" t="s">
        <v>75</v>
      </c>
      <c r="J2123" t="s">
        <v>5312</v>
      </c>
      <c r="L2123">
        <v>4.3</v>
      </c>
      <c r="M2123">
        <v>131000</v>
      </c>
      <c r="N2123">
        <v>2.7</v>
      </c>
      <c r="O2123">
        <v>11</v>
      </c>
      <c r="P2123" t="s">
        <v>26</v>
      </c>
    </row>
    <row r="2124" spans="1:16" x14ac:dyDescent="0.25">
      <c r="A2124" t="s">
        <v>5313</v>
      </c>
      <c r="B2124" t="s">
        <v>3834</v>
      </c>
      <c r="C2124" t="s">
        <v>29</v>
      </c>
      <c r="D2124" t="s">
        <v>43</v>
      </c>
      <c r="F2124" t="s">
        <v>128</v>
      </c>
      <c r="G2124" t="s">
        <v>22</v>
      </c>
      <c r="H2124" t="s">
        <v>23</v>
      </c>
      <c r="I2124" t="s">
        <v>24</v>
      </c>
      <c r="J2124" t="s">
        <v>422</v>
      </c>
      <c r="K2124" t="s">
        <v>1712</v>
      </c>
      <c r="L2124">
        <v>3.5</v>
      </c>
      <c r="M2124">
        <v>595000</v>
      </c>
      <c r="N2124">
        <v>3.5</v>
      </c>
      <c r="O2124">
        <v>11</v>
      </c>
      <c r="P2124" t="s">
        <v>114</v>
      </c>
    </row>
    <row r="2125" spans="1:16" x14ac:dyDescent="0.25">
      <c r="A2125" t="s">
        <v>5314</v>
      </c>
      <c r="B2125" t="s">
        <v>5315</v>
      </c>
      <c r="D2125" t="s">
        <v>19</v>
      </c>
      <c r="E2125" t="s">
        <v>20</v>
      </c>
      <c r="F2125" t="s">
        <v>39</v>
      </c>
      <c r="G2125" t="s">
        <v>22</v>
      </c>
      <c r="H2125" t="s">
        <v>23</v>
      </c>
      <c r="I2125" t="s">
        <v>35</v>
      </c>
      <c r="J2125" t="s">
        <v>1138</v>
      </c>
      <c r="K2125" t="s">
        <v>5316</v>
      </c>
      <c r="L2125">
        <v>4.2</v>
      </c>
      <c r="M2125">
        <v>198000</v>
      </c>
      <c r="N2125">
        <v>4.5999999999999996</v>
      </c>
      <c r="O2125">
        <v>6</v>
      </c>
      <c r="P2125" t="s">
        <v>53</v>
      </c>
    </row>
    <row r="2126" spans="1:16" x14ac:dyDescent="0.25">
      <c r="A2126" t="s">
        <v>5317</v>
      </c>
      <c r="B2126" t="s">
        <v>2284</v>
      </c>
      <c r="C2126" t="s">
        <v>18</v>
      </c>
      <c r="D2126" t="s">
        <v>30</v>
      </c>
      <c r="E2126" t="s">
        <v>20</v>
      </c>
      <c r="F2126" t="s">
        <v>39</v>
      </c>
      <c r="G2126" t="s">
        <v>80</v>
      </c>
      <c r="H2126" t="s">
        <v>23</v>
      </c>
      <c r="I2126" t="s">
        <v>171</v>
      </c>
      <c r="J2126" t="s">
        <v>2124</v>
      </c>
      <c r="K2126" t="s">
        <v>4119</v>
      </c>
      <c r="L2126">
        <v>2.4</v>
      </c>
      <c r="M2126">
        <v>171000</v>
      </c>
      <c r="N2126">
        <v>2.2000000000000002</v>
      </c>
      <c r="O2126">
        <v>26</v>
      </c>
      <c r="P2126" t="s">
        <v>72</v>
      </c>
    </row>
    <row r="2127" spans="1:16" x14ac:dyDescent="0.25">
      <c r="A2127" t="s">
        <v>5318</v>
      </c>
      <c r="B2127" t="s">
        <v>4655</v>
      </c>
      <c r="C2127" t="s">
        <v>29</v>
      </c>
      <c r="D2127" t="s">
        <v>30</v>
      </c>
      <c r="E2127" t="s">
        <v>20</v>
      </c>
      <c r="F2127" t="s">
        <v>128</v>
      </c>
      <c r="G2127" t="s">
        <v>22</v>
      </c>
      <c r="H2127" t="s">
        <v>23</v>
      </c>
      <c r="I2127" t="s">
        <v>171</v>
      </c>
      <c r="J2127" t="s">
        <v>1098</v>
      </c>
      <c r="K2127" t="s">
        <v>550</v>
      </c>
      <c r="L2127">
        <v>3.5</v>
      </c>
      <c r="M2127">
        <v>567000</v>
      </c>
      <c r="N2127">
        <v>3.6</v>
      </c>
      <c r="O2127">
        <v>8</v>
      </c>
      <c r="P2127" t="s">
        <v>114</v>
      </c>
    </row>
    <row r="2128" spans="1:16" x14ac:dyDescent="0.25">
      <c r="A2128" t="s">
        <v>5319</v>
      </c>
      <c r="B2128" t="s">
        <v>2501</v>
      </c>
      <c r="C2128" t="s">
        <v>29</v>
      </c>
      <c r="E2128" t="s">
        <v>44</v>
      </c>
      <c r="F2128" t="s">
        <v>39</v>
      </c>
      <c r="G2128" t="s">
        <v>22</v>
      </c>
      <c r="I2128" t="s">
        <v>57</v>
      </c>
      <c r="J2128" t="s">
        <v>3745</v>
      </c>
      <c r="L2128">
        <v>2.2999999999999998</v>
      </c>
      <c r="M2128">
        <v>124000</v>
      </c>
      <c r="N2128">
        <v>2.2999999999999998</v>
      </c>
      <c r="O2128">
        <v>5</v>
      </c>
      <c r="P2128" t="s">
        <v>26</v>
      </c>
    </row>
    <row r="2129" spans="1:16" x14ac:dyDescent="0.25">
      <c r="A2129" t="s">
        <v>5320</v>
      </c>
      <c r="B2129" t="s">
        <v>5321</v>
      </c>
      <c r="C2129" t="s">
        <v>18</v>
      </c>
      <c r="D2129" t="s">
        <v>79</v>
      </c>
      <c r="E2129" t="s">
        <v>20</v>
      </c>
      <c r="F2129" t="s">
        <v>21</v>
      </c>
      <c r="G2129" t="s">
        <v>69</v>
      </c>
      <c r="H2129" t="s">
        <v>46</v>
      </c>
      <c r="I2129" t="s">
        <v>24</v>
      </c>
      <c r="J2129" t="s">
        <v>2210</v>
      </c>
      <c r="K2129" t="s">
        <v>905</v>
      </c>
      <c r="L2129">
        <v>3.7</v>
      </c>
      <c r="M2129">
        <v>919000</v>
      </c>
      <c r="N2129">
        <v>4.0999999999999996</v>
      </c>
      <c r="O2129">
        <v>4</v>
      </c>
      <c r="P2129" t="s">
        <v>114</v>
      </c>
    </row>
    <row r="2130" spans="1:16" x14ac:dyDescent="0.25">
      <c r="A2130" t="s">
        <v>5322</v>
      </c>
      <c r="B2130" t="s">
        <v>5323</v>
      </c>
      <c r="C2130" t="s">
        <v>18</v>
      </c>
      <c r="D2130" t="s">
        <v>50</v>
      </c>
      <c r="E2130" t="s">
        <v>20</v>
      </c>
      <c r="F2130" t="s">
        <v>45</v>
      </c>
      <c r="G2130" t="s">
        <v>69</v>
      </c>
      <c r="H2130" t="s">
        <v>23</v>
      </c>
      <c r="J2130" t="s">
        <v>5280</v>
      </c>
      <c r="L2130">
        <v>4</v>
      </c>
      <c r="M2130">
        <v>1943000</v>
      </c>
      <c r="N2130">
        <v>3.4</v>
      </c>
      <c r="O2130">
        <v>5</v>
      </c>
      <c r="P2130" t="s">
        <v>26</v>
      </c>
    </row>
    <row r="2131" spans="1:16" x14ac:dyDescent="0.25">
      <c r="A2131" t="s">
        <v>5324</v>
      </c>
      <c r="B2131" t="s">
        <v>1352</v>
      </c>
      <c r="C2131" t="s">
        <v>29</v>
      </c>
      <c r="D2131" t="s">
        <v>50</v>
      </c>
      <c r="E2131" t="s">
        <v>20</v>
      </c>
      <c r="F2131" t="s">
        <v>39</v>
      </c>
      <c r="G2131" t="s">
        <v>80</v>
      </c>
      <c r="H2131" t="s">
        <v>46</v>
      </c>
      <c r="I2131" t="s">
        <v>24</v>
      </c>
      <c r="J2131" t="s">
        <v>2257</v>
      </c>
      <c r="L2131">
        <v>3.2</v>
      </c>
      <c r="M2131">
        <v>118000</v>
      </c>
      <c r="N2131">
        <v>4.8</v>
      </c>
      <c r="O2131">
        <v>14</v>
      </c>
      <c r="P2131" t="s">
        <v>26</v>
      </c>
    </row>
    <row r="2132" spans="1:16" x14ac:dyDescent="0.25">
      <c r="A2132" t="s">
        <v>5325</v>
      </c>
      <c r="B2132" t="s">
        <v>989</v>
      </c>
      <c r="C2132" t="s">
        <v>29</v>
      </c>
      <c r="D2132" t="s">
        <v>43</v>
      </c>
      <c r="E2132" t="s">
        <v>20</v>
      </c>
      <c r="F2132" t="s">
        <v>32</v>
      </c>
      <c r="G2132" t="s">
        <v>33</v>
      </c>
      <c r="H2132" t="s">
        <v>23</v>
      </c>
      <c r="I2132" t="s">
        <v>57</v>
      </c>
      <c r="J2132" t="s">
        <v>748</v>
      </c>
      <c r="K2132" t="s">
        <v>5326</v>
      </c>
      <c r="L2132">
        <v>4.5999999999999996</v>
      </c>
      <c r="M2132">
        <v>289000</v>
      </c>
      <c r="N2132">
        <v>3.1</v>
      </c>
      <c r="O2132">
        <v>1</v>
      </c>
      <c r="P2132" t="s">
        <v>114</v>
      </c>
    </row>
    <row r="2133" spans="1:16" x14ac:dyDescent="0.25">
      <c r="A2133" t="s">
        <v>5327</v>
      </c>
      <c r="B2133" t="s">
        <v>5328</v>
      </c>
      <c r="C2133" t="s">
        <v>29</v>
      </c>
      <c r="D2133" t="s">
        <v>79</v>
      </c>
      <c r="E2133" t="s">
        <v>20</v>
      </c>
      <c r="F2133" t="s">
        <v>32</v>
      </c>
      <c r="G2133" t="s">
        <v>22</v>
      </c>
      <c r="H2133" t="s">
        <v>34</v>
      </c>
      <c r="I2133" t="s">
        <v>24</v>
      </c>
      <c r="J2133" t="s">
        <v>5329</v>
      </c>
      <c r="L2133">
        <v>3.9</v>
      </c>
      <c r="M2133">
        <v>212000</v>
      </c>
      <c r="N2133">
        <v>2.8</v>
      </c>
      <c r="O2133">
        <v>0</v>
      </c>
      <c r="P2133" t="s">
        <v>26</v>
      </c>
    </row>
    <row r="2134" spans="1:16" x14ac:dyDescent="0.25">
      <c r="A2134" t="s">
        <v>5330</v>
      </c>
      <c r="B2134" t="s">
        <v>768</v>
      </c>
      <c r="C2134" t="s">
        <v>18</v>
      </c>
      <c r="E2134" t="s">
        <v>20</v>
      </c>
      <c r="F2134" t="s">
        <v>21</v>
      </c>
      <c r="G2134" t="s">
        <v>33</v>
      </c>
      <c r="H2134" t="s">
        <v>46</v>
      </c>
      <c r="I2134" t="s">
        <v>57</v>
      </c>
      <c r="J2134" t="s">
        <v>3619</v>
      </c>
      <c r="K2134" t="s">
        <v>5331</v>
      </c>
      <c r="L2134">
        <v>2.8</v>
      </c>
      <c r="M2134">
        <v>690000</v>
      </c>
      <c r="N2134">
        <v>4.4000000000000004</v>
      </c>
      <c r="P2134" t="s">
        <v>53</v>
      </c>
    </row>
    <row r="2135" spans="1:16" x14ac:dyDescent="0.25">
      <c r="A2135" t="s">
        <v>5332</v>
      </c>
      <c r="B2135" t="s">
        <v>5333</v>
      </c>
      <c r="C2135" t="s">
        <v>18</v>
      </c>
      <c r="D2135" t="s">
        <v>30</v>
      </c>
      <c r="E2135" t="s">
        <v>44</v>
      </c>
      <c r="F2135" t="s">
        <v>32</v>
      </c>
      <c r="G2135" t="s">
        <v>80</v>
      </c>
      <c r="H2135" t="s">
        <v>34</v>
      </c>
      <c r="I2135" t="s">
        <v>57</v>
      </c>
      <c r="J2135" t="s">
        <v>2920</v>
      </c>
      <c r="K2135" t="s">
        <v>2983</v>
      </c>
      <c r="L2135">
        <v>3.2</v>
      </c>
      <c r="M2135">
        <v>201000</v>
      </c>
      <c r="N2135">
        <v>1.5</v>
      </c>
      <c r="O2135">
        <v>11</v>
      </c>
      <c r="P2135" t="s">
        <v>53</v>
      </c>
    </row>
    <row r="2136" spans="1:16" x14ac:dyDescent="0.25">
      <c r="A2136" t="s">
        <v>5334</v>
      </c>
      <c r="B2136" t="s">
        <v>5335</v>
      </c>
      <c r="C2136" t="s">
        <v>18</v>
      </c>
      <c r="D2136" t="s">
        <v>79</v>
      </c>
      <c r="E2136" t="s">
        <v>20</v>
      </c>
      <c r="F2136" t="s">
        <v>32</v>
      </c>
      <c r="G2136" t="s">
        <v>69</v>
      </c>
      <c r="H2136" t="s">
        <v>34</v>
      </c>
      <c r="I2136" t="s">
        <v>24</v>
      </c>
      <c r="J2136" t="s">
        <v>4184</v>
      </c>
      <c r="L2136">
        <v>2.1</v>
      </c>
      <c r="M2136">
        <v>225000</v>
      </c>
      <c r="N2136">
        <v>4.7</v>
      </c>
      <c r="O2136">
        <v>2</v>
      </c>
      <c r="P2136" t="s">
        <v>26</v>
      </c>
    </row>
    <row r="2137" spans="1:16" x14ac:dyDescent="0.25">
      <c r="A2137" t="s">
        <v>5336</v>
      </c>
      <c r="B2137" t="s">
        <v>1125</v>
      </c>
      <c r="C2137" t="s">
        <v>18</v>
      </c>
      <c r="D2137" t="s">
        <v>50</v>
      </c>
      <c r="E2137" t="s">
        <v>20</v>
      </c>
      <c r="F2137" t="s">
        <v>21</v>
      </c>
      <c r="G2137" t="s">
        <v>33</v>
      </c>
      <c r="H2137" t="s">
        <v>62</v>
      </c>
      <c r="I2137" t="s">
        <v>24</v>
      </c>
      <c r="J2137" t="s">
        <v>4651</v>
      </c>
      <c r="K2137" t="s">
        <v>5337</v>
      </c>
      <c r="L2137">
        <v>2.1</v>
      </c>
      <c r="M2137">
        <v>890000</v>
      </c>
      <c r="N2137">
        <v>3.2</v>
      </c>
      <c r="O2137">
        <v>0</v>
      </c>
      <c r="P2137" t="s">
        <v>72</v>
      </c>
    </row>
    <row r="2138" spans="1:16" x14ac:dyDescent="0.25">
      <c r="A2138" t="s">
        <v>5338</v>
      </c>
      <c r="B2138" t="s">
        <v>5339</v>
      </c>
      <c r="C2138" t="s">
        <v>18</v>
      </c>
      <c r="D2138" t="s">
        <v>79</v>
      </c>
      <c r="E2138" t="s">
        <v>44</v>
      </c>
      <c r="F2138" t="s">
        <v>39</v>
      </c>
      <c r="G2138" t="s">
        <v>69</v>
      </c>
      <c r="H2138" t="s">
        <v>46</v>
      </c>
      <c r="I2138" t="s">
        <v>24</v>
      </c>
      <c r="J2138" t="s">
        <v>4062</v>
      </c>
      <c r="L2138">
        <v>6.1</v>
      </c>
      <c r="N2138">
        <v>2.2999999999999998</v>
      </c>
      <c r="O2138">
        <v>1</v>
      </c>
      <c r="P2138" t="s">
        <v>26</v>
      </c>
    </row>
    <row r="2139" spans="1:16" x14ac:dyDescent="0.25">
      <c r="A2139" t="s">
        <v>5340</v>
      </c>
      <c r="B2139" t="s">
        <v>5341</v>
      </c>
      <c r="C2139" t="s">
        <v>29</v>
      </c>
      <c r="D2139" t="s">
        <v>30</v>
      </c>
      <c r="E2139" t="s">
        <v>20</v>
      </c>
      <c r="F2139" t="s">
        <v>39</v>
      </c>
      <c r="G2139" t="s">
        <v>33</v>
      </c>
      <c r="H2139" t="s">
        <v>46</v>
      </c>
      <c r="I2139" t="s">
        <v>171</v>
      </c>
      <c r="J2139" t="s">
        <v>2559</v>
      </c>
      <c r="K2139" t="s">
        <v>2600</v>
      </c>
      <c r="L2139">
        <v>4.0999999999999996</v>
      </c>
      <c r="M2139">
        <v>149000</v>
      </c>
      <c r="N2139">
        <v>2.9</v>
      </c>
      <c r="O2139">
        <v>5</v>
      </c>
      <c r="P2139" t="s">
        <v>53</v>
      </c>
    </row>
    <row r="2140" spans="1:16" x14ac:dyDescent="0.25">
      <c r="A2140" t="s">
        <v>5342</v>
      </c>
      <c r="B2140" t="s">
        <v>5343</v>
      </c>
      <c r="C2140" t="s">
        <v>29</v>
      </c>
      <c r="D2140" t="s">
        <v>30</v>
      </c>
      <c r="E2140" t="s">
        <v>31</v>
      </c>
      <c r="F2140" t="s">
        <v>32</v>
      </c>
      <c r="G2140" t="s">
        <v>22</v>
      </c>
      <c r="H2140" t="s">
        <v>34</v>
      </c>
      <c r="I2140" t="s">
        <v>35</v>
      </c>
      <c r="J2140" t="s">
        <v>859</v>
      </c>
      <c r="K2140" t="s">
        <v>638</v>
      </c>
      <c r="L2140">
        <v>1.3</v>
      </c>
      <c r="M2140">
        <v>190000</v>
      </c>
      <c r="N2140">
        <v>1.6</v>
      </c>
      <c r="O2140">
        <v>2</v>
      </c>
      <c r="P2140" t="s">
        <v>53</v>
      </c>
    </row>
    <row r="2141" spans="1:16" x14ac:dyDescent="0.25">
      <c r="A2141" t="s">
        <v>5344</v>
      </c>
      <c r="B2141" t="s">
        <v>5236</v>
      </c>
      <c r="C2141" t="s">
        <v>18</v>
      </c>
      <c r="D2141" t="s">
        <v>50</v>
      </c>
      <c r="E2141" t="s">
        <v>20</v>
      </c>
      <c r="F2141" t="s">
        <v>32</v>
      </c>
      <c r="G2141" t="s">
        <v>22</v>
      </c>
      <c r="H2141" t="s">
        <v>46</v>
      </c>
      <c r="I2141" t="s">
        <v>171</v>
      </c>
      <c r="J2141" t="s">
        <v>1614</v>
      </c>
      <c r="L2141">
        <v>2.8</v>
      </c>
      <c r="M2141">
        <v>212000</v>
      </c>
      <c r="N2141">
        <v>3.4</v>
      </c>
      <c r="O2141">
        <v>35</v>
      </c>
      <c r="P2141" t="s">
        <v>26</v>
      </c>
    </row>
    <row r="2142" spans="1:16" x14ac:dyDescent="0.25">
      <c r="A2142" t="s">
        <v>5345</v>
      </c>
      <c r="B2142" t="s">
        <v>5346</v>
      </c>
      <c r="C2142" t="s">
        <v>18</v>
      </c>
      <c r="D2142" t="s">
        <v>50</v>
      </c>
      <c r="E2142" t="s">
        <v>44</v>
      </c>
      <c r="F2142" t="s">
        <v>21</v>
      </c>
      <c r="G2142" t="s">
        <v>22</v>
      </c>
      <c r="H2142" t="s">
        <v>46</v>
      </c>
      <c r="I2142" t="s">
        <v>57</v>
      </c>
      <c r="J2142" t="s">
        <v>4373</v>
      </c>
      <c r="L2142">
        <v>3.3</v>
      </c>
      <c r="M2142">
        <v>732000</v>
      </c>
      <c r="N2142">
        <v>3.9</v>
      </c>
      <c r="O2142">
        <v>6</v>
      </c>
      <c r="P2142" t="s">
        <v>26</v>
      </c>
    </row>
    <row r="2143" spans="1:16" x14ac:dyDescent="0.25">
      <c r="A2143" t="s">
        <v>5347</v>
      </c>
      <c r="B2143" t="s">
        <v>5348</v>
      </c>
      <c r="C2143" t="s">
        <v>29</v>
      </c>
      <c r="D2143" t="s">
        <v>79</v>
      </c>
      <c r="E2143" t="s">
        <v>20</v>
      </c>
      <c r="F2143" t="s">
        <v>32</v>
      </c>
      <c r="G2143" t="s">
        <v>22</v>
      </c>
      <c r="H2143" t="s">
        <v>34</v>
      </c>
      <c r="I2143" t="s">
        <v>35</v>
      </c>
      <c r="J2143" t="s">
        <v>2375</v>
      </c>
      <c r="L2143">
        <v>3.6</v>
      </c>
      <c r="M2143">
        <v>263000</v>
      </c>
      <c r="N2143">
        <v>5</v>
      </c>
      <c r="O2143">
        <v>14</v>
      </c>
      <c r="P2143" t="s">
        <v>26</v>
      </c>
    </row>
    <row r="2144" spans="1:16" x14ac:dyDescent="0.25">
      <c r="A2144" t="s">
        <v>5349</v>
      </c>
      <c r="B2144" t="s">
        <v>5350</v>
      </c>
      <c r="C2144" t="s">
        <v>29</v>
      </c>
      <c r="D2144" t="s">
        <v>30</v>
      </c>
      <c r="F2144" t="s">
        <v>39</v>
      </c>
      <c r="G2144" t="s">
        <v>80</v>
      </c>
      <c r="H2144" t="s">
        <v>46</v>
      </c>
      <c r="I2144" t="s">
        <v>24</v>
      </c>
      <c r="J2144" t="s">
        <v>5351</v>
      </c>
      <c r="K2144" t="s">
        <v>224</v>
      </c>
      <c r="L2144">
        <v>2.7</v>
      </c>
      <c r="M2144">
        <v>98000</v>
      </c>
      <c r="N2144">
        <v>1.7</v>
      </c>
      <c r="O2144">
        <v>3</v>
      </c>
      <c r="P2144" t="s">
        <v>53</v>
      </c>
    </row>
    <row r="2145" spans="1:16" x14ac:dyDescent="0.25">
      <c r="A2145" t="s">
        <v>5352</v>
      </c>
      <c r="B2145" t="s">
        <v>1588</v>
      </c>
      <c r="C2145" t="s">
        <v>29</v>
      </c>
      <c r="D2145" t="s">
        <v>30</v>
      </c>
      <c r="E2145" t="s">
        <v>20</v>
      </c>
      <c r="F2145" t="s">
        <v>21</v>
      </c>
      <c r="G2145" t="s">
        <v>80</v>
      </c>
      <c r="H2145" t="s">
        <v>23</v>
      </c>
      <c r="I2145" t="s">
        <v>24</v>
      </c>
      <c r="J2145" t="s">
        <v>1537</v>
      </c>
      <c r="K2145" t="s">
        <v>3748</v>
      </c>
      <c r="L2145">
        <v>3.8</v>
      </c>
      <c r="M2145">
        <v>806000</v>
      </c>
      <c r="N2145">
        <v>4</v>
      </c>
      <c r="O2145">
        <v>4</v>
      </c>
      <c r="P2145" t="s">
        <v>53</v>
      </c>
    </row>
    <row r="2146" spans="1:16" x14ac:dyDescent="0.25">
      <c r="A2146" t="s">
        <v>5353</v>
      </c>
      <c r="B2146" t="s">
        <v>2039</v>
      </c>
      <c r="C2146" t="s">
        <v>29</v>
      </c>
      <c r="D2146" t="s">
        <v>79</v>
      </c>
      <c r="E2146" t="s">
        <v>31</v>
      </c>
      <c r="F2146" t="s">
        <v>32</v>
      </c>
      <c r="G2146" t="s">
        <v>33</v>
      </c>
      <c r="H2146" t="s">
        <v>62</v>
      </c>
      <c r="I2146" t="s">
        <v>35</v>
      </c>
      <c r="J2146" t="s">
        <v>112</v>
      </c>
      <c r="L2146">
        <v>2.2999999999999998</v>
      </c>
      <c r="M2146">
        <v>253000</v>
      </c>
      <c r="N2146">
        <v>3.6</v>
      </c>
      <c r="O2146">
        <v>14</v>
      </c>
      <c r="P2146" t="s">
        <v>26</v>
      </c>
    </row>
    <row r="2147" spans="1:16" x14ac:dyDescent="0.25">
      <c r="A2147" t="s">
        <v>5354</v>
      </c>
      <c r="B2147" t="s">
        <v>5355</v>
      </c>
      <c r="C2147" t="s">
        <v>18</v>
      </c>
      <c r="E2147" t="s">
        <v>20</v>
      </c>
      <c r="F2147" t="s">
        <v>21</v>
      </c>
      <c r="G2147" t="s">
        <v>22</v>
      </c>
      <c r="H2147" t="s">
        <v>23</v>
      </c>
      <c r="I2147" t="s">
        <v>57</v>
      </c>
      <c r="J2147" t="s">
        <v>2460</v>
      </c>
      <c r="K2147" t="s">
        <v>5356</v>
      </c>
      <c r="L2147">
        <v>3.9</v>
      </c>
      <c r="M2147">
        <v>647000</v>
      </c>
      <c r="N2147">
        <v>4.0999999999999996</v>
      </c>
      <c r="O2147">
        <v>9</v>
      </c>
      <c r="P2147" t="s">
        <v>53</v>
      </c>
    </row>
    <row r="2148" spans="1:16" x14ac:dyDescent="0.25">
      <c r="A2148" t="s">
        <v>5357</v>
      </c>
      <c r="B2148" t="s">
        <v>5358</v>
      </c>
      <c r="C2148" t="s">
        <v>18</v>
      </c>
      <c r="D2148" t="s">
        <v>19</v>
      </c>
      <c r="E2148" t="s">
        <v>44</v>
      </c>
      <c r="F2148" t="s">
        <v>39</v>
      </c>
      <c r="G2148" t="s">
        <v>22</v>
      </c>
      <c r="H2148" t="s">
        <v>46</v>
      </c>
      <c r="I2148" t="s">
        <v>24</v>
      </c>
      <c r="J2148" t="s">
        <v>1814</v>
      </c>
      <c r="L2148">
        <v>5.3</v>
      </c>
      <c r="M2148">
        <v>159000</v>
      </c>
      <c r="N2148">
        <v>4.0999999999999996</v>
      </c>
      <c r="O2148">
        <v>13</v>
      </c>
      <c r="P2148" t="s">
        <v>26</v>
      </c>
    </row>
    <row r="2149" spans="1:16" x14ac:dyDescent="0.25">
      <c r="A2149" t="s">
        <v>5359</v>
      </c>
      <c r="B2149" t="s">
        <v>5360</v>
      </c>
      <c r="C2149" t="s">
        <v>29</v>
      </c>
      <c r="D2149" t="s">
        <v>50</v>
      </c>
      <c r="E2149" t="s">
        <v>31</v>
      </c>
      <c r="F2149" t="s">
        <v>128</v>
      </c>
      <c r="G2149" t="s">
        <v>80</v>
      </c>
      <c r="H2149" t="s">
        <v>46</v>
      </c>
      <c r="I2149" t="s">
        <v>57</v>
      </c>
      <c r="J2149" t="s">
        <v>5361</v>
      </c>
      <c r="K2149" t="s">
        <v>5362</v>
      </c>
      <c r="L2149">
        <v>4.2</v>
      </c>
      <c r="M2149">
        <v>580000</v>
      </c>
      <c r="N2149">
        <v>3.6</v>
      </c>
      <c r="O2149">
        <v>12</v>
      </c>
      <c r="P2149" t="s">
        <v>53</v>
      </c>
    </row>
    <row r="2150" spans="1:16" x14ac:dyDescent="0.25">
      <c r="A2150" t="s">
        <v>5363</v>
      </c>
      <c r="B2150" t="s">
        <v>3874</v>
      </c>
      <c r="C2150" t="s">
        <v>29</v>
      </c>
      <c r="D2150" t="s">
        <v>50</v>
      </c>
      <c r="E2150" t="s">
        <v>20</v>
      </c>
      <c r="F2150" t="s">
        <v>39</v>
      </c>
      <c r="G2150" t="s">
        <v>33</v>
      </c>
      <c r="H2150" t="s">
        <v>23</v>
      </c>
      <c r="I2150" t="s">
        <v>57</v>
      </c>
      <c r="J2150" t="s">
        <v>5364</v>
      </c>
      <c r="L2150">
        <v>5.0999999999999996</v>
      </c>
      <c r="M2150">
        <v>87000</v>
      </c>
      <c r="N2150">
        <v>2.1</v>
      </c>
      <c r="O2150">
        <v>0</v>
      </c>
      <c r="P2150" t="s">
        <v>26</v>
      </c>
    </row>
    <row r="2151" spans="1:16" x14ac:dyDescent="0.25">
      <c r="A2151" t="s">
        <v>5365</v>
      </c>
      <c r="B2151" t="s">
        <v>5366</v>
      </c>
      <c r="C2151" t="s">
        <v>29</v>
      </c>
      <c r="D2151" t="s">
        <v>30</v>
      </c>
      <c r="E2151" t="s">
        <v>20</v>
      </c>
      <c r="F2151" t="s">
        <v>32</v>
      </c>
      <c r="G2151" t="s">
        <v>33</v>
      </c>
      <c r="H2151" t="s">
        <v>46</v>
      </c>
      <c r="I2151" t="s">
        <v>24</v>
      </c>
      <c r="J2151" t="s">
        <v>5367</v>
      </c>
      <c r="L2151">
        <v>5.6</v>
      </c>
      <c r="M2151">
        <v>275000</v>
      </c>
      <c r="N2151">
        <v>4.3</v>
      </c>
      <c r="O2151">
        <v>0</v>
      </c>
      <c r="P2151" t="s">
        <v>26</v>
      </c>
    </row>
    <row r="2152" spans="1:16" x14ac:dyDescent="0.25">
      <c r="A2152" t="s">
        <v>5368</v>
      </c>
      <c r="B2152" t="s">
        <v>5369</v>
      </c>
      <c r="C2152" t="s">
        <v>29</v>
      </c>
      <c r="D2152" t="s">
        <v>79</v>
      </c>
      <c r="E2152" t="s">
        <v>44</v>
      </c>
      <c r="F2152" t="s">
        <v>32</v>
      </c>
      <c r="G2152" t="s">
        <v>22</v>
      </c>
      <c r="H2152" t="s">
        <v>34</v>
      </c>
      <c r="I2152" t="s">
        <v>35</v>
      </c>
      <c r="J2152" t="s">
        <v>5370</v>
      </c>
      <c r="L2152">
        <v>5.6</v>
      </c>
      <c r="M2152">
        <v>297000</v>
      </c>
      <c r="N2152">
        <v>4.9000000000000004</v>
      </c>
      <c r="O2152">
        <v>30</v>
      </c>
      <c r="P2152" t="s">
        <v>26</v>
      </c>
    </row>
    <row r="2153" spans="1:16" x14ac:dyDescent="0.25">
      <c r="A2153" t="s">
        <v>5371</v>
      </c>
      <c r="B2153" t="s">
        <v>191</v>
      </c>
      <c r="C2153" t="s">
        <v>18</v>
      </c>
      <c r="D2153" t="s">
        <v>43</v>
      </c>
      <c r="E2153" t="s">
        <v>31</v>
      </c>
      <c r="F2153" t="s">
        <v>32</v>
      </c>
      <c r="G2153" t="s">
        <v>80</v>
      </c>
      <c r="H2153" t="s">
        <v>23</v>
      </c>
      <c r="I2153" t="s">
        <v>24</v>
      </c>
      <c r="J2153" t="s">
        <v>4020</v>
      </c>
      <c r="K2153" t="s">
        <v>5372</v>
      </c>
      <c r="L2153">
        <v>4.5</v>
      </c>
      <c r="M2153">
        <v>180000</v>
      </c>
      <c r="N2153">
        <v>4.5999999999999996</v>
      </c>
      <c r="O2153">
        <v>25</v>
      </c>
      <c r="P2153" t="s">
        <v>72</v>
      </c>
    </row>
    <row r="2154" spans="1:16" x14ac:dyDescent="0.25">
      <c r="A2154" t="s">
        <v>5373</v>
      </c>
      <c r="B2154" t="s">
        <v>5374</v>
      </c>
      <c r="C2154" t="s">
        <v>29</v>
      </c>
      <c r="D2154" t="s">
        <v>19</v>
      </c>
      <c r="E2154" t="s">
        <v>20</v>
      </c>
      <c r="F2154" t="s">
        <v>39</v>
      </c>
      <c r="G2154" t="s">
        <v>33</v>
      </c>
      <c r="H2154" t="s">
        <v>23</v>
      </c>
      <c r="I2154" t="s">
        <v>57</v>
      </c>
      <c r="J2154" t="s">
        <v>2233</v>
      </c>
      <c r="L2154">
        <v>2.9</v>
      </c>
      <c r="M2154">
        <v>116000</v>
      </c>
      <c r="N2154">
        <v>3.4</v>
      </c>
      <c r="O2154">
        <v>0</v>
      </c>
      <c r="P2154" t="s">
        <v>26</v>
      </c>
    </row>
    <row r="2155" spans="1:16" x14ac:dyDescent="0.25">
      <c r="A2155" t="s">
        <v>5375</v>
      </c>
      <c r="B2155" t="s">
        <v>1680</v>
      </c>
      <c r="C2155" t="s">
        <v>29</v>
      </c>
      <c r="D2155" t="s">
        <v>50</v>
      </c>
      <c r="E2155" t="s">
        <v>20</v>
      </c>
      <c r="F2155" t="s">
        <v>39</v>
      </c>
      <c r="G2155" t="s">
        <v>69</v>
      </c>
      <c r="H2155" t="s">
        <v>23</v>
      </c>
      <c r="I2155" t="s">
        <v>57</v>
      </c>
      <c r="J2155" t="s">
        <v>5376</v>
      </c>
      <c r="K2155" t="s">
        <v>1744</v>
      </c>
      <c r="L2155">
        <v>5.2</v>
      </c>
      <c r="M2155">
        <v>99000</v>
      </c>
      <c r="N2155">
        <v>4.3</v>
      </c>
      <c r="O2155">
        <v>12</v>
      </c>
      <c r="P2155" t="s">
        <v>53</v>
      </c>
    </row>
    <row r="2156" spans="1:16" x14ac:dyDescent="0.25">
      <c r="A2156" t="s">
        <v>5377</v>
      </c>
      <c r="B2156" t="s">
        <v>4763</v>
      </c>
      <c r="C2156" t="s">
        <v>29</v>
      </c>
      <c r="D2156" t="s">
        <v>30</v>
      </c>
      <c r="E2156" t="s">
        <v>20</v>
      </c>
      <c r="F2156" t="s">
        <v>39</v>
      </c>
      <c r="G2156" t="s">
        <v>22</v>
      </c>
      <c r="H2156" t="s">
        <v>23</v>
      </c>
      <c r="I2156" t="s">
        <v>57</v>
      </c>
      <c r="J2156" t="s">
        <v>3117</v>
      </c>
      <c r="K2156" t="s">
        <v>4578</v>
      </c>
      <c r="L2156">
        <v>1.3</v>
      </c>
      <c r="M2156">
        <v>120000</v>
      </c>
      <c r="N2156">
        <v>2.8</v>
      </c>
      <c r="O2156">
        <v>4</v>
      </c>
      <c r="P2156" t="s">
        <v>53</v>
      </c>
    </row>
    <row r="2157" spans="1:16" x14ac:dyDescent="0.25">
      <c r="A2157" t="s">
        <v>5378</v>
      </c>
      <c r="B2157" t="s">
        <v>131</v>
      </c>
      <c r="C2157" t="s">
        <v>29</v>
      </c>
      <c r="D2157" t="s">
        <v>50</v>
      </c>
      <c r="E2157" t="s">
        <v>20</v>
      </c>
      <c r="F2157" t="s">
        <v>32</v>
      </c>
      <c r="G2157" t="s">
        <v>33</v>
      </c>
      <c r="H2157" t="s">
        <v>23</v>
      </c>
      <c r="I2157" t="s">
        <v>57</v>
      </c>
      <c r="J2157" t="s">
        <v>4748</v>
      </c>
      <c r="K2157" t="s">
        <v>2024</v>
      </c>
      <c r="L2157">
        <v>3</v>
      </c>
      <c r="M2157">
        <v>245000</v>
      </c>
      <c r="N2157">
        <v>4.5999999999999996</v>
      </c>
      <c r="O2157">
        <v>5</v>
      </c>
      <c r="P2157" t="s">
        <v>53</v>
      </c>
    </row>
    <row r="2158" spans="1:16" x14ac:dyDescent="0.25">
      <c r="A2158" t="s">
        <v>5379</v>
      </c>
      <c r="B2158" t="s">
        <v>5380</v>
      </c>
      <c r="C2158" t="s">
        <v>29</v>
      </c>
      <c r="D2158" t="s">
        <v>50</v>
      </c>
      <c r="E2158" t="s">
        <v>20</v>
      </c>
      <c r="F2158" t="s">
        <v>128</v>
      </c>
      <c r="G2158" t="s">
        <v>22</v>
      </c>
      <c r="H2158" t="s">
        <v>46</v>
      </c>
      <c r="I2158" t="s">
        <v>24</v>
      </c>
      <c r="J2158" t="s">
        <v>2584</v>
      </c>
      <c r="L2158">
        <v>2.2999999999999998</v>
      </c>
      <c r="M2158">
        <v>595000</v>
      </c>
      <c r="N2158">
        <v>4</v>
      </c>
      <c r="O2158">
        <v>10</v>
      </c>
      <c r="P2158" t="s">
        <v>26</v>
      </c>
    </row>
    <row r="2159" spans="1:16" x14ac:dyDescent="0.25">
      <c r="A2159" t="s">
        <v>5381</v>
      </c>
      <c r="B2159" t="s">
        <v>4577</v>
      </c>
      <c r="C2159" t="s">
        <v>18</v>
      </c>
      <c r="D2159" t="s">
        <v>79</v>
      </c>
      <c r="E2159" t="s">
        <v>44</v>
      </c>
      <c r="F2159" t="s">
        <v>128</v>
      </c>
      <c r="G2159" t="s">
        <v>22</v>
      </c>
      <c r="H2159" t="s">
        <v>34</v>
      </c>
      <c r="I2159" t="s">
        <v>171</v>
      </c>
      <c r="J2159" t="s">
        <v>5382</v>
      </c>
      <c r="L2159">
        <v>5.5</v>
      </c>
      <c r="M2159">
        <v>497000</v>
      </c>
      <c r="N2159">
        <v>2.5</v>
      </c>
      <c r="O2159">
        <v>2</v>
      </c>
      <c r="P2159" t="s">
        <v>26</v>
      </c>
    </row>
    <row r="2160" spans="1:16" x14ac:dyDescent="0.25">
      <c r="A2160" t="s">
        <v>5383</v>
      </c>
      <c r="B2160" t="s">
        <v>763</v>
      </c>
      <c r="C2160" t="s">
        <v>29</v>
      </c>
      <c r="D2160" t="s">
        <v>19</v>
      </c>
      <c r="E2160" t="s">
        <v>20</v>
      </c>
      <c r="F2160" t="s">
        <v>128</v>
      </c>
      <c r="G2160" t="s">
        <v>80</v>
      </c>
      <c r="H2160" t="s">
        <v>23</v>
      </c>
      <c r="I2160" t="s">
        <v>57</v>
      </c>
      <c r="J2160" t="s">
        <v>891</v>
      </c>
      <c r="K2160" t="s">
        <v>1109</v>
      </c>
      <c r="L2160">
        <v>4.0999999999999996</v>
      </c>
      <c r="M2160">
        <v>461000</v>
      </c>
      <c r="N2160">
        <v>3.8</v>
      </c>
      <c r="O2160">
        <v>40</v>
      </c>
      <c r="P2160" t="s">
        <v>53</v>
      </c>
    </row>
    <row r="2161" spans="1:16" x14ac:dyDescent="0.25">
      <c r="A2161" t="s">
        <v>5384</v>
      </c>
      <c r="B2161" t="s">
        <v>4712</v>
      </c>
      <c r="D2161" t="s">
        <v>50</v>
      </c>
      <c r="F2161" t="s">
        <v>39</v>
      </c>
      <c r="G2161" t="s">
        <v>80</v>
      </c>
      <c r="H2161" t="s">
        <v>34</v>
      </c>
      <c r="I2161" t="s">
        <v>35</v>
      </c>
      <c r="J2161" t="s">
        <v>2518</v>
      </c>
      <c r="L2161">
        <v>3.8</v>
      </c>
      <c r="M2161">
        <v>94000</v>
      </c>
      <c r="N2161">
        <v>3.5</v>
      </c>
      <c r="O2161">
        <v>0</v>
      </c>
      <c r="P2161" t="s">
        <v>26</v>
      </c>
    </row>
    <row r="2162" spans="1:16" x14ac:dyDescent="0.25">
      <c r="A2162" t="s">
        <v>5385</v>
      </c>
      <c r="B2162" t="s">
        <v>1420</v>
      </c>
      <c r="C2162" t="s">
        <v>18</v>
      </c>
      <c r="D2162" t="s">
        <v>19</v>
      </c>
      <c r="E2162" t="s">
        <v>31</v>
      </c>
      <c r="F2162" t="s">
        <v>128</v>
      </c>
      <c r="G2162" t="s">
        <v>33</v>
      </c>
      <c r="H2162" t="s">
        <v>23</v>
      </c>
      <c r="I2162" t="s">
        <v>57</v>
      </c>
      <c r="J2162" t="s">
        <v>2113</v>
      </c>
      <c r="K2162" t="s">
        <v>5032</v>
      </c>
      <c r="L2162">
        <v>5</v>
      </c>
      <c r="N2162">
        <v>2.7</v>
      </c>
      <c r="O2162">
        <v>13</v>
      </c>
      <c r="P2162" t="s">
        <v>72</v>
      </c>
    </row>
    <row r="2163" spans="1:16" x14ac:dyDescent="0.25">
      <c r="A2163" t="s">
        <v>5386</v>
      </c>
      <c r="B2163" t="s">
        <v>5387</v>
      </c>
      <c r="C2163" t="s">
        <v>18</v>
      </c>
      <c r="D2163" t="s">
        <v>30</v>
      </c>
      <c r="E2163" t="s">
        <v>44</v>
      </c>
      <c r="F2163" t="s">
        <v>39</v>
      </c>
      <c r="G2163" t="s">
        <v>33</v>
      </c>
      <c r="H2163" t="s">
        <v>46</v>
      </c>
      <c r="I2163" t="s">
        <v>35</v>
      </c>
      <c r="J2163" t="s">
        <v>129</v>
      </c>
      <c r="K2163" t="s">
        <v>5388</v>
      </c>
      <c r="L2163">
        <v>1.3</v>
      </c>
      <c r="M2163">
        <v>120000</v>
      </c>
      <c r="N2163">
        <v>2.8</v>
      </c>
      <c r="O2163">
        <v>31</v>
      </c>
      <c r="P2163" t="s">
        <v>53</v>
      </c>
    </row>
    <row r="2164" spans="1:16" x14ac:dyDescent="0.25">
      <c r="A2164" t="s">
        <v>5389</v>
      </c>
      <c r="B2164" t="s">
        <v>5390</v>
      </c>
      <c r="C2164" t="s">
        <v>18</v>
      </c>
      <c r="D2164" t="s">
        <v>50</v>
      </c>
      <c r="E2164" t="s">
        <v>20</v>
      </c>
      <c r="F2164" t="s">
        <v>39</v>
      </c>
      <c r="G2164" t="s">
        <v>22</v>
      </c>
      <c r="H2164" t="s">
        <v>34</v>
      </c>
      <c r="I2164" t="s">
        <v>24</v>
      </c>
      <c r="J2164" t="s">
        <v>3101</v>
      </c>
      <c r="L2164">
        <v>3</v>
      </c>
      <c r="M2164">
        <v>137000</v>
      </c>
      <c r="N2164">
        <v>4.5</v>
      </c>
      <c r="O2164">
        <v>13</v>
      </c>
      <c r="P2164" t="s">
        <v>26</v>
      </c>
    </row>
    <row r="2165" spans="1:16" x14ac:dyDescent="0.25">
      <c r="A2165" t="s">
        <v>5391</v>
      </c>
      <c r="B2165" t="s">
        <v>3808</v>
      </c>
      <c r="C2165" t="s">
        <v>18</v>
      </c>
      <c r="D2165" t="s">
        <v>43</v>
      </c>
      <c r="E2165" t="s">
        <v>44</v>
      </c>
      <c r="F2165" t="s">
        <v>39</v>
      </c>
      <c r="G2165" t="s">
        <v>69</v>
      </c>
      <c r="H2165" t="s">
        <v>62</v>
      </c>
      <c r="I2165" t="s">
        <v>57</v>
      </c>
      <c r="J2165" t="s">
        <v>158</v>
      </c>
      <c r="L2165">
        <v>2.8</v>
      </c>
      <c r="M2165">
        <v>91000</v>
      </c>
      <c r="O2165">
        <v>12</v>
      </c>
      <c r="P2165" t="s">
        <v>26</v>
      </c>
    </row>
    <row r="2166" spans="1:16" x14ac:dyDescent="0.25">
      <c r="A2166" t="s">
        <v>5392</v>
      </c>
      <c r="B2166" t="s">
        <v>5173</v>
      </c>
      <c r="C2166" t="s">
        <v>18</v>
      </c>
      <c r="D2166" t="s">
        <v>79</v>
      </c>
      <c r="E2166" t="s">
        <v>31</v>
      </c>
      <c r="F2166" t="s">
        <v>39</v>
      </c>
      <c r="G2166" t="s">
        <v>80</v>
      </c>
      <c r="H2166" t="s">
        <v>34</v>
      </c>
      <c r="I2166" t="s">
        <v>35</v>
      </c>
      <c r="J2166" t="s">
        <v>815</v>
      </c>
      <c r="K2166" t="s">
        <v>5393</v>
      </c>
      <c r="L2166">
        <v>1.5</v>
      </c>
      <c r="M2166">
        <v>150000</v>
      </c>
      <c r="N2166">
        <v>4.9000000000000004</v>
      </c>
      <c r="O2166">
        <v>7</v>
      </c>
      <c r="P2166" t="s">
        <v>53</v>
      </c>
    </row>
    <row r="2167" spans="1:16" x14ac:dyDescent="0.25">
      <c r="A2167" t="s">
        <v>5394</v>
      </c>
      <c r="B2167" t="s">
        <v>5395</v>
      </c>
      <c r="C2167" t="s">
        <v>18</v>
      </c>
      <c r="D2167" t="s">
        <v>30</v>
      </c>
      <c r="E2167" t="s">
        <v>20</v>
      </c>
      <c r="F2167" t="s">
        <v>32</v>
      </c>
      <c r="G2167" t="s">
        <v>22</v>
      </c>
      <c r="H2167" t="s">
        <v>23</v>
      </c>
      <c r="I2167" t="s">
        <v>57</v>
      </c>
      <c r="J2167" t="s">
        <v>2265</v>
      </c>
      <c r="K2167" t="s">
        <v>113</v>
      </c>
      <c r="L2167">
        <v>3.2</v>
      </c>
      <c r="M2167">
        <v>327000</v>
      </c>
      <c r="N2167">
        <v>3.5</v>
      </c>
      <c r="O2167">
        <v>0</v>
      </c>
      <c r="P2167" t="s">
        <v>53</v>
      </c>
    </row>
    <row r="2168" spans="1:16" x14ac:dyDescent="0.25">
      <c r="A2168" t="s">
        <v>5396</v>
      </c>
      <c r="B2168" t="s">
        <v>5397</v>
      </c>
      <c r="C2168" t="s">
        <v>29</v>
      </c>
      <c r="D2168" t="s">
        <v>30</v>
      </c>
      <c r="E2168" t="s">
        <v>44</v>
      </c>
      <c r="F2168" t="s">
        <v>128</v>
      </c>
      <c r="G2168" t="s">
        <v>22</v>
      </c>
      <c r="H2168" t="s">
        <v>46</v>
      </c>
      <c r="I2168" t="s">
        <v>35</v>
      </c>
      <c r="J2168" t="s">
        <v>4658</v>
      </c>
      <c r="L2168">
        <v>5.3</v>
      </c>
      <c r="M2168">
        <v>590000</v>
      </c>
      <c r="N2168">
        <v>3.5</v>
      </c>
      <c r="O2168">
        <v>19</v>
      </c>
      <c r="P2168" t="s">
        <v>26</v>
      </c>
    </row>
    <row r="2169" spans="1:16" x14ac:dyDescent="0.25">
      <c r="A2169" t="s">
        <v>5398</v>
      </c>
      <c r="B2169" t="s">
        <v>1506</v>
      </c>
      <c r="C2169" t="s">
        <v>29</v>
      </c>
      <c r="D2169" t="s">
        <v>50</v>
      </c>
      <c r="E2169" t="s">
        <v>20</v>
      </c>
      <c r="F2169" t="s">
        <v>32</v>
      </c>
      <c r="G2169" t="s">
        <v>22</v>
      </c>
      <c r="H2169" t="s">
        <v>34</v>
      </c>
      <c r="I2169" t="s">
        <v>57</v>
      </c>
      <c r="J2169" t="s">
        <v>4992</v>
      </c>
      <c r="L2169">
        <v>2.9</v>
      </c>
      <c r="M2169">
        <v>182000</v>
      </c>
      <c r="N2169">
        <v>4.0999999999999996</v>
      </c>
      <c r="O2169">
        <v>39</v>
      </c>
      <c r="P2169" t="s">
        <v>26</v>
      </c>
    </row>
    <row r="2170" spans="1:16" x14ac:dyDescent="0.25">
      <c r="A2170" t="s">
        <v>5399</v>
      </c>
      <c r="B2170" t="s">
        <v>4036</v>
      </c>
      <c r="C2170" t="s">
        <v>18</v>
      </c>
      <c r="D2170" t="s">
        <v>30</v>
      </c>
      <c r="E2170" t="s">
        <v>20</v>
      </c>
      <c r="F2170" t="s">
        <v>128</v>
      </c>
      <c r="G2170" t="s">
        <v>80</v>
      </c>
      <c r="H2170" t="s">
        <v>34</v>
      </c>
      <c r="I2170" t="s">
        <v>57</v>
      </c>
      <c r="J2170" t="s">
        <v>1392</v>
      </c>
      <c r="K2170" t="s">
        <v>1046</v>
      </c>
      <c r="L2170">
        <v>2.7</v>
      </c>
      <c r="M2170">
        <v>545000</v>
      </c>
      <c r="N2170">
        <v>5</v>
      </c>
      <c r="O2170">
        <v>28</v>
      </c>
      <c r="P2170" t="s">
        <v>114</v>
      </c>
    </row>
    <row r="2171" spans="1:16" x14ac:dyDescent="0.25">
      <c r="A2171" t="s">
        <v>5400</v>
      </c>
      <c r="B2171" t="s">
        <v>5401</v>
      </c>
      <c r="C2171" t="s">
        <v>18</v>
      </c>
      <c r="D2171" t="s">
        <v>50</v>
      </c>
      <c r="E2171" t="s">
        <v>20</v>
      </c>
      <c r="F2171" t="s">
        <v>21</v>
      </c>
      <c r="G2171" t="s">
        <v>22</v>
      </c>
      <c r="H2171" t="s">
        <v>46</v>
      </c>
      <c r="I2171" t="s">
        <v>24</v>
      </c>
      <c r="J2171" t="s">
        <v>560</v>
      </c>
      <c r="L2171">
        <v>1.7</v>
      </c>
      <c r="M2171">
        <v>779000</v>
      </c>
      <c r="N2171">
        <v>5</v>
      </c>
      <c r="O2171">
        <v>11</v>
      </c>
      <c r="P2171" t="s">
        <v>26</v>
      </c>
    </row>
    <row r="2172" spans="1:16" x14ac:dyDescent="0.25">
      <c r="A2172" t="s">
        <v>5402</v>
      </c>
      <c r="B2172" t="s">
        <v>954</v>
      </c>
      <c r="C2172" t="s">
        <v>18</v>
      </c>
      <c r="D2172" t="s">
        <v>79</v>
      </c>
      <c r="E2172" t="s">
        <v>44</v>
      </c>
      <c r="F2172" t="s">
        <v>32</v>
      </c>
      <c r="G2172" t="s">
        <v>22</v>
      </c>
      <c r="H2172" t="s">
        <v>46</v>
      </c>
      <c r="I2172" t="s">
        <v>35</v>
      </c>
      <c r="J2172" t="s">
        <v>2965</v>
      </c>
      <c r="L2172">
        <v>5.5</v>
      </c>
      <c r="M2172">
        <v>219000</v>
      </c>
      <c r="N2172">
        <v>4.9000000000000004</v>
      </c>
      <c r="O2172">
        <v>4</v>
      </c>
      <c r="P2172" t="s">
        <v>26</v>
      </c>
    </row>
    <row r="2173" spans="1:16" x14ac:dyDescent="0.25">
      <c r="A2173" t="s">
        <v>5403</v>
      </c>
      <c r="B2173" t="s">
        <v>2918</v>
      </c>
      <c r="C2173" t="s">
        <v>18</v>
      </c>
      <c r="D2173" t="s">
        <v>43</v>
      </c>
      <c r="E2173" t="s">
        <v>31</v>
      </c>
      <c r="F2173" t="s">
        <v>39</v>
      </c>
      <c r="G2173" t="s">
        <v>80</v>
      </c>
      <c r="H2173" t="s">
        <v>62</v>
      </c>
      <c r="I2173" t="s">
        <v>35</v>
      </c>
      <c r="J2173" t="s">
        <v>2110</v>
      </c>
      <c r="L2173">
        <v>5.8</v>
      </c>
      <c r="M2173">
        <v>109000</v>
      </c>
      <c r="N2173">
        <v>4.8</v>
      </c>
      <c r="P2173" t="s">
        <v>26</v>
      </c>
    </row>
    <row r="2174" spans="1:16" x14ac:dyDescent="0.25">
      <c r="A2174" t="s">
        <v>5404</v>
      </c>
      <c r="B2174" t="s">
        <v>5405</v>
      </c>
      <c r="C2174" t="s">
        <v>29</v>
      </c>
      <c r="D2174" t="s">
        <v>50</v>
      </c>
      <c r="F2174" t="s">
        <v>32</v>
      </c>
      <c r="G2174" t="s">
        <v>22</v>
      </c>
      <c r="H2174" t="s">
        <v>62</v>
      </c>
      <c r="I2174" t="s">
        <v>57</v>
      </c>
      <c r="J2174" t="s">
        <v>129</v>
      </c>
      <c r="L2174">
        <v>1.3</v>
      </c>
      <c r="N2174">
        <v>4.8</v>
      </c>
      <c r="O2174">
        <v>0</v>
      </c>
      <c r="P2174" t="s">
        <v>26</v>
      </c>
    </row>
    <row r="2175" spans="1:16" x14ac:dyDescent="0.25">
      <c r="A2175" t="s">
        <v>5406</v>
      </c>
      <c r="B2175" t="s">
        <v>4694</v>
      </c>
      <c r="C2175" t="s">
        <v>29</v>
      </c>
      <c r="D2175" t="s">
        <v>50</v>
      </c>
      <c r="E2175" t="s">
        <v>44</v>
      </c>
      <c r="F2175" t="s">
        <v>39</v>
      </c>
      <c r="G2175" t="s">
        <v>33</v>
      </c>
      <c r="I2175" t="s">
        <v>24</v>
      </c>
      <c r="J2175" t="s">
        <v>1586</v>
      </c>
      <c r="L2175">
        <v>5.0999999999999996</v>
      </c>
      <c r="M2175">
        <v>163000</v>
      </c>
      <c r="N2175">
        <v>4.8</v>
      </c>
      <c r="O2175">
        <v>0</v>
      </c>
      <c r="P2175" t="s">
        <v>26</v>
      </c>
    </row>
    <row r="2176" spans="1:16" x14ac:dyDescent="0.25">
      <c r="A2176" t="s">
        <v>5407</v>
      </c>
      <c r="B2176" t="s">
        <v>5408</v>
      </c>
      <c r="C2176" t="s">
        <v>29</v>
      </c>
      <c r="D2176" t="s">
        <v>50</v>
      </c>
      <c r="E2176" t="s">
        <v>31</v>
      </c>
      <c r="F2176" t="s">
        <v>128</v>
      </c>
      <c r="G2176" t="s">
        <v>22</v>
      </c>
      <c r="H2176" t="s">
        <v>23</v>
      </c>
      <c r="I2176" t="s">
        <v>57</v>
      </c>
      <c r="J2176" t="s">
        <v>5409</v>
      </c>
      <c r="L2176">
        <v>2.2000000000000002</v>
      </c>
      <c r="M2176">
        <v>450000</v>
      </c>
      <c r="N2176">
        <v>4.5</v>
      </c>
      <c r="O2176">
        <v>8</v>
      </c>
      <c r="P2176" t="s">
        <v>26</v>
      </c>
    </row>
    <row r="2177" spans="1:16" x14ac:dyDescent="0.25">
      <c r="A2177" t="s">
        <v>5410</v>
      </c>
      <c r="B2177" t="s">
        <v>4262</v>
      </c>
      <c r="C2177" t="s">
        <v>29</v>
      </c>
      <c r="D2177" t="s">
        <v>30</v>
      </c>
      <c r="E2177" t="s">
        <v>44</v>
      </c>
      <c r="F2177" t="s">
        <v>39</v>
      </c>
      <c r="G2177" t="s">
        <v>80</v>
      </c>
      <c r="H2177" t="s">
        <v>34</v>
      </c>
      <c r="I2177" t="s">
        <v>24</v>
      </c>
      <c r="J2177" t="s">
        <v>1353</v>
      </c>
      <c r="L2177">
        <v>4</v>
      </c>
      <c r="M2177">
        <v>93000</v>
      </c>
      <c r="N2177">
        <v>2.9</v>
      </c>
      <c r="P2177" t="s">
        <v>26</v>
      </c>
    </row>
    <row r="2178" spans="1:16" x14ac:dyDescent="0.25">
      <c r="A2178" t="s">
        <v>5411</v>
      </c>
      <c r="B2178" t="s">
        <v>5412</v>
      </c>
      <c r="C2178" t="s">
        <v>18</v>
      </c>
      <c r="D2178" t="s">
        <v>79</v>
      </c>
      <c r="E2178" t="s">
        <v>31</v>
      </c>
      <c r="F2178" t="s">
        <v>128</v>
      </c>
      <c r="G2178" t="s">
        <v>22</v>
      </c>
      <c r="H2178" t="s">
        <v>34</v>
      </c>
      <c r="J2178" t="s">
        <v>1326</v>
      </c>
      <c r="L2178">
        <v>2.4</v>
      </c>
      <c r="M2178">
        <v>460000</v>
      </c>
      <c r="N2178">
        <v>3.2</v>
      </c>
      <c r="O2178">
        <v>2</v>
      </c>
      <c r="P2178" t="s">
        <v>26</v>
      </c>
    </row>
    <row r="2179" spans="1:16" x14ac:dyDescent="0.25">
      <c r="A2179" t="s">
        <v>5413</v>
      </c>
      <c r="B2179" t="s">
        <v>237</v>
      </c>
      <c r="C2179" t="s">
        <v>18</v>
      </c>
      <c r="D2179" t="s">
        <v>30</v>
      </c>
      <c r="E2179" t="s">
        <v>20</v>
      </c>
      <c r="F2179" t="s">
        <v>32</v>
      </c>
      <c r="G2179" t="s">
        <v>22</v>
      </c>
      <c r="H2179" t="s">
        <v>23</v>
      </c>
      <c r="I2179" t="s">
        <v>24</v>
      </c>
      <c r="J2179" t="s">
        <v>98</v>
      </c>
      <c r="L2179">
        <v>6.2</v>
      </c>
      <c r="M2179">
        <v>319000</v>
      </c>
      <c r="N2179">
        <v>4.3</v>
      </c>
      <c r="O2179">
        <v>40</v>
      </c>
      <c r="P2179" t="s">
        <v>26</v>
      </c>
    </row>
    <row r="2180" spans="1:16" x14ac:dyDescent="0.25">
      <c r="A2180" t="s">
        <v>5414</v>
      </c>
      <c r="B2180" t="s">
        <v>5415</v>
      </c>
      <c r="C2180" t="s">
        <v>29</v>
      </c>
      <c r="D2180" t="s">
        <v>50</v>
      </c>
      <c r="E2180" t="s">
        <v>31</v>
      </c>
      <c r="F2180" t="s">
        <v>39</v>
      </c>
      <c r="G2180" t="s">
        <v>80</v>
      </c>
      <c r="H2180" t="s">
        <v>34</v>
      </c>
      <c r="I2180" t="s">
        <v>35</v>
      </c>
      <c r="J2180" t="s">
        <v>5416</v>
      </c>
      <c r="L2180">
        <v>6</v>
      </c>
      <c r="M2180">
        <v>180000</v>
      </c>
      <c r="N2180">
        <v>4.9000000000000004</v>
      </c>
      <c r="O2180">
        <v>9</v>
      </c>
      <c r="P2180" t="s">
        <v>26</v>
      </c>
    </row>
    <row r="2181" spans="1:16" x14ac:dyDescent="0.25">
      <c r="A2181" t="s">
        <v>5417</v>
      </c>
      <c r="B2181" t="s">
        <v>4200</v>
      </c>
      <c r="C2181" t="s">
        <v>29</v>
      </c>
      <c r="D2181" t="s">
        <v>50</v>
      </c>
      <c r="E2181" t="s">
        <v>20</v>
      </c>
      <c r="F2181" t="s">
        <v>39</v>
      </c>
      <c r="G2181" t="s">
        <v>22</v>
      </c>
      <c r="H2181" t="s">
        <v>23</v>
      </c>
      <c r="I2181" t="s">
        <v>57</v>
      </c>
      <c r="J2181" t="s">
        <v>5418</v>
      </c>
      <c r="L2181">
        <v>5.3</v>
      </c>
      <c r="M2181">
        <v>118000</v>
      </c>
      <c r="N2181">
        <v>4.5999999999999996</v>
      </c>
      <c r="O2181">
        <v>6</v>
      </c>
      <c r="P2181" t="s">
        <v>26</v>
      </c>
    </row>
    <row r="2182" spans="1:16" x14ac:dyDescent="0.25">
      <c r="A2182" t="s">
        <v>5419</v>
      </c>
      <c r="B2182" t="s">
        <v>2142</v>
      </c>
      <c r="C2182" t="s">
        <v>18</v>
      </c>
      <c r="D2182" t="s">
        <v>50</v>
      </c>
      <c r="E2182" t="s">
        <v>20</v>
      </c>
      <c r="F2182" t="s">
        <v>128</v>
      </c>
      <c r="G2182" t="s">
        <v>22</v>
      </c>
      <c r="H2182" t="s">
        <v>62</v>
      </c>
      <c r="I2182" t="s">
        <v>35</v>
      </c>
      <c r="J2182" t="s">
        <v>3443</v>
      </c>
      <c r="L2182">
        <v>4.4000000000000004</v>
      </c>
      <c r="M2182">
        <v>420000</v>
      </c>
      <c r="N2182">
        <v>2.6</v>
      </c>
      <c r="O2182">
        <v>9</v>
      </c>
      <c r="P2182" t="s">
        <v>26</v>
      </c>
    </row>
    <row r="2183" spans="1:16" x14ac:dyDescent="0.25">
      <c r="A2183" t="s">
        <v>5420</v>
      </c>
      <c r="B2183" t="s">
        <v>5274</v>
      </c>
      <c r="C2183" t="s">
        <v>18</v>
      </c>
      <c r="D2183" t="s">
        <v>50</v>
      </c>
      <c r="E2183" t="s">
        <v>20</v>
      </c>
      <c r="F2183" t="s">
        <v>39</v>
      </c>
      <c r="G2183" t="s">
        <v>22</v>
      </c>
      <c r="H2183" t="s">
        <v>46</v>
      </c>
      <c r="I2183" t="s">
        <v>57</v>
      </c>
      <c r="J2183" t="s">
        <v>1282</v>
      </c>
      <c r="K2183" t="s">
        <v>723</v>
      </c>
      <c r="L2183">
        <v>2</v>
      </c>
      <c r="M2183">
        <v>119000</v>
      </c>
      <c r="N2183">
        <v>3.8</v>
      </c>
      <c r="O2183">
        <v>5</v>
      </c>
      <c r="P2183" t="s">
        <v>53</v>
      </c>
    </row>
    <row r="2184" spans="1:16" x14ac:dyDescent="0.25">
      <c r="A2184" t="s">
        <v>5421</v>
      </c>
      <c r="B2184" t="s">
        <v>5422</v>
      </c>
      <c r="C2184" t="s">
        <v>18</v>
      </c>
      <c r="D2184" t="s">
        <v>50</v>
      </c>
      <c r="E2184" t="s">
        <v>31</v>
      </c>
      <c r="F2184" t="s">
        <v>32</v>
      </c>
      <c r="G2184" t="s">
        <v>33</v>
      </c>
      <c r="H2184" t="s">
        <v>46</v>
      </c>
      <c r="I2184" t="s">
        <v>24</v>
      </c>
      <c r="J2184" t="s">
        <v>1471</v>
      </c>
      <c r="L2184">
        <v>1.8</v>
      </c>
      <c r="M2184">
        <v>218000</v>
      </c>
      <c r="N2184">
        <v>3.7</v>
      </c>
      <c r="O2184">
        <v>8</v>
      </c>
      <c r="P2184" t="s">
        <v>26</v>
      </c>
    </row>
    <row r="2185" spans="1:16" x14ac:dyDescent="0.25">
      <c r="A2185" t="s">
        <v>5423</v>
      </c>
      <c r="B2185" t="s">
        <v>4721</v>
      </c>
      <c r="C2185" t="s">
        <v>29</v>
      </c>
      <c r="D2185" t="s">
        <v>79</v>
      </c>
      <c r="E2185" t="s">
        <v>20</v>
      </c>
      <c r="F2185" t="s">
        <v>39</v>
      </c>
      <c r="G2185" t="s">
        <v>33</v>
      </c>
      <c r="H2185" t="s">
        <v>46</v>
      </c>
      <c r="I2185" t="s">
        <v>57</v>
      </c>
      <c r="J2185" t="s">
        <v>5424</v>
      </c>
      <c r="K2185" t="s">
        <v>603</v>
      </c>
      <c r="L2185">
        <v>5</v>
      </c>
      <c r="M2185">
        <v>97000</v>
      </c>
      <c r="N2185">
        <v>3.3</v>
      </c>
      <c r="O2185">
        <v>26</v>
      </c>
      <c r="P2185" t="s">
        <v>114</v>
      </c>
    </row>
    <row r="2186" spans="1:16" x14ac:dyDescent="0.25">
      <c r="A2186" t="s">
        <v>5425</v>
      </c>
      <c r="B2186" t="s">
        <v>5426</v>
      </c>
      <c r="C2186" t="s">
        <v>18</v>
      </c>
      <c r="D2186" t="s">
        <v>19</v>
      </c>
      <c r="E2186" t="s">
        <v>44</v>
      </c>
      <c r="F2186" t="s">
        <v>32</v>
      </c>
      <c r="G2186" t="s">
        <v>33</v>
      </c>
      <c r="H2186" t="s">
        <v>46</v>
      </c>
      <c r="I2186" t="s">
        <v>57</v>
      </c>
      <c r="J2186" t="s">
        <v>960</v>
      </c>
      <c r="K2186" t="s">
        <v>1029</v>
      </c>
      <c r="L2186">
        <v>5.3</v>
      </c>
      <c r="M2186">
        <v>270000</v>
      </c>
      <c r="N2186">
        <v>4.7</v>
      </c>
      <c r="O2186">
        <v>6</v>
      </c>
      <c r="P2186" t="s">
        <v>72</v>
      </c>
    </row>
    <row r="2187" spans="1:16" x14ac:dyDescent="0.25">
      <c r="A2187" t="s">
        <v>5427</v>
      </c>
      <c r="B2187" t="s">
        <v>5428</v>
      </c>
      <c r="C2187" t="s">
        <v>29</v>
      </c>
      <c r="D2187" t="s">
        <v>50</v>
      </c>
      <c r="E2187" t="s">
        <v>44</v>
      </c>
      <c r="F2187" t="s">
        <v>21</v>
      </c>
      <c r="G2187" t="s">
        <v>80</v>
      </c>
      <c r="H2187" t="s">
        <v>23</v>
      </c>
      <c r="I2187" t="s">
        <v>24</v>
      </c>
      <c r="J2187" t="s">
        <v>2822</v>
      </c>
      <c r="L2187">
        <v>3</v>
      </c>
      <c r="M2187">
        <v>918000</v>
      </c>
      <c r="N2187">
        <v>3.6</v>
      </c>
      <c r="O2187">
        <v>1</v>
      </c>
      <c r="P2187" t="s">
        <v>26</v>
      </c>
    </row>
    <row r="2188" spans="1:16" x14ac:dyDescent="0.25">
      <c r="A2188" t="s">
        <v>5429</v>
      </c>
      <c r="B2188" t="s">
        <v>5430</v>
      </c>
      <c r="C2188" t="s">
        <v>29</v>
      </c>
      <c r="E2188" t="s">
        <v>44</v>
      </c>
      <c r="F2188" t="s">
        <v>39</v>
      </c>
      <c r="G2188" t="s">
        <v>33</v>
      </c>
      <c r="H2188" t="s">
        <v>34</v>
      </c>
      <c r="I2188" t="s">
        <v>57</v>
      </c>
      <c r="J2188" t="s">
        <v>5431</v>
      </c>
      <c r="L2188">
        <v>5.6</v>
      </c>
      <c r="M2188">
        <v>109000</v>
      </c>
      <c r="N2188">
        <v>1.9</v>
      </c>
      <c r="O2188">
        <v>14</v>
      </c>
      <c r="P2188" t="s">
        <v>26</v>
      </c>
    </row>
    <row r="2189" spans="1:16" x14ac:dyDescent="0.25">
      <c r="A2189" t="s">
        <v>5432</v>
      </c>
      <c r="B2189" t="s">
        <v>5433</v>
      </c>
      <c r="C2189" t="s">
        <v>18</v>
      </c>
      <c r="D2189" t="s">
        <v>19</v>
      </c>
      <c r="E2189" t="s">
        <v>44</v>
      </c>
      <c r="F2189" t="s">
        <v>39</v>
      </c>
      <c r="G2189" t="s">
        <v>22</v>
      </c>
      <c r="H2189" t="s">
        <v>34</v>
      </c>
      <c r="I2189" t="s">
        <v>24</v>
      </c>
      <c r="J2189" t="s">
        <v>3011</v>
      </c>
      <c r="L2189">
        <v>6</v>
      </c>
      <c r="M2189">
        <v>160000</v>
      </c>
      <c r="N2189">
        <v>3.6</v>
      </c>
      <c r="O2189">
        <v>10</v>
      </c>
      <c r="P2189" t="s">
        <v>26</v>
      </c>
    </row>
    <row r="2190" spans="1:16" x14ac:dyDescent="0.25">
      <c r="A2190" t="s">
        <v>5434</v>
      </c>
      <c r="B2190" t="s">
        <v>5435</v>
      </c>
      <c r="C2190" t="s">
        <v>29</v>
      </c>
      <c r="D2190" t="s">
        <v>79</v>
      </c>
      <c r="E2190" t="s">
        <v>20</v>
      </c>
      <c r="F2190" t="s">
        <v>32</v>
      </c>
      <c r="G2190" t="s">
        <v>33</v>
      </c>
      <c r="H2190" t="s">
        <v>34</v>
      </c>
      <c r="I2190" t="s">
        <v>24</v>
      </c>
      <c r="J2190" t="s">
        <v>2617</v>
      </c>
      <c r="L2190">
        <v>2.8</v>
      </c>
      <c r="M2190">
        <v>343000</v>
      </c>
      <c r="N2190">
        <v>4.0999999999999996</v>
      </c>
      <c r="O2190">
        <v>8</v>
      </c>
      <c r="P2190" t="s">
        <v>26</v>
      </c>
    </row>
    <row r="2191" spans="1:16" x14ac:dyDescent="0.25">
      <c r="A2191" t="s">
        <v>5436</v>
      </c>
      <c r="B2191" t="s">
        <v>4053</v>
      </c>
      <c r="C2191" t="s">
        <v>18</v>
      </c>
      <c r="D2191" t="s">
        <v>50</v>
      </c>
      <c r="E2191" t="s">
        <v>20</v>
      </c>
      <c r="F2191" t="s">
        <v>128</v>
      </c>
      <c r="G2191" t="s">
        <v>80</v>
      </c>
      <c r="H2191" t="s">
        <v>23</v>
      </c>
      <c r="I2191" t="s">
        <v>35</v>
      </c>
      <c r="J2191" t="s">
        <v>2571</v>
      </c>
      <c r="K2191" t="s">
        <v>5437</v>
      </c>
      <c r="L2191">
        <v>3.9</v>
      </c>
      <c r="M2191">
        <v>457000</v>
      </c>
      <c r="N2191">
        <v>4.2</v>
      </c>
      <c r="O2191">
        <v>5</v>
      </c>
      <c r="P2191" t="s">
        <v>53</v>
      </c>
    </row>
    <row r="2192" spans="1:16" x14ac:dyDescent="0.25">
      <c r="A2192" t="s">
        <v>5438</v>
      </c>
      <c r="B2192" t="s">
        <v>1067</v>
      </c>
      <c r="C2192" t="s">
        <v>29</v>
      </c>
      <c r="D2192" t="s">
        <v>19</v>
      </c>
      <c r="E2192" t="s">
        <v>20</v>
      </c>
      <c r="F2192" t="s">
        <v>32</v>
      </c>
      <c r="G2192" t="s">
        <v>33</v>
      </c>
      <c r="H2192" t="s">
        <v>23</v>
      </c>
      <c r="I2192" t="s">
        <v>35</v>
      </c>
      <c r="J2192" t="s">
        <v>196</v>
      </c>
      <c r="L2192">
        <v>2.4</v>
      </c>
      <c r="M2192">
        <v>330000</v>
      </c>
      <c r="N2192">
        <v>4.5999999999999996</v>
      </c>
      <c r="O2192">
        <v>13</v>
      </c>
      <c r="P2192" t="s">
        <v>26</v>
      </c>
    </row>
    <row r="2193" spans="1:16" x14ac:dyDescent="0.25">
      <c r="A2193" t="s">
        <v>5439</v>
      </c>
      <c r="B2193" t="s">
        <v>5440</v>
      </c>
      <c r="C2193" t="s">
        <v>29</v>
      </c>
      <c r="D2193" t="s">
        <v>79</v>
      </c>
      <c r="E2193" t="s">
        <v>31</v>
      </c>
      <c r="F2193" t="s">
        <v>39</v>
      </c>
      <c r="G2193" t="s">
        <v>33</v>
      </c>
      <c r="H2193" t="s">
        <v>34</v>
      </c>
      <c r="I2193" t="s">
        <v>24</v>
      </c>
      <c r="J2193" t="s">
        <v>5441</v>
      </c>
      <c r="L2193">
        <v>2.2000000000000002</v>
      </c>
      <c r="M2193">
        <v>121000</v>
      </c>
      <c r="N2193">
        <v>2.2000000000000002</v>
      </c>
      <c r="O2193">
        <v>2</v>
      </c>
      <c r="P2193" t="s">
        <v>26</v>
      </c>
    </row>
    <row r="2194" spans="1:16" x14ac:dyDescent="0.25">
      <c r="A2194" t="s">
        <v>5442</v>
      </c>
      <c r="B2194" t="s">
        <v>5443</v>
      </c>
      <c r="C2194" t="s">
        <v>18</v>
      </c>
      <c r="D2194" t="s">
        <v>43</v>
      </c>
      <c r="E2194" t="s">
        <v>20</v>
      </c>
      <c r="F2194" t="s">
        <v>39</v>
      </c>
      <c r="G2194" t="s">
        <v>22</v>
      </c>
      <c r="H2194" t="s">
        <v>46</v>
      </c>
      <c r="I2194" t="s">
        <v>35</v>
      </c>
      <c r="J2194" t="s">
        <v>5444</v>
      </c>
      <c r="K2194" t="s">
        <v>5445</v>
      </c>
      <c r="L2194">
        <v>5.2</v>
      </c>
      <c r="M2194">
        <v>128000</v>
      </c>
      <c r="N2194">
        <v>4.3</v>
      </c>
      <c r="O2194">
        <v>1</v>
      </c>
      <c r="P2194" t="s">
        <v>114</v>
      </c>
    </row>
    <row r="2195" spans="1:16" x14ac:dyDescent="0.25">
      <c r="A2195" t="s">
        <v>5446</v>
      </c>
      <c r="B2195" t="s">
        <v>4997</v>
      </c>
      <c r="C2195" t="s">
        <v>18</v>
      </c>
      <c r="D2195" t="s">
        <v>79</v>
      </c>
      <c r="E2195" t="s">
        <v>20</v>
      </c>
      <c r="F2195" t="s">
        <v>39</v>
      </c>
      <c r="G2195" t="s">
        <v>80</v>
      </c>
      <c r="H2195" t="s">
        <v>23</v>
      </c>
      <c r="I2195" t="s">
        <v>57</v>
      </c>
      <c r="J2195" t="s">
        <v>5055</v>
      </c>
      <c r="L2195">
        <v>4.0999999999999996</v>
      </c>
      <c r="M2195">
        <v>167000</v>
      </c>
      <c r="N2195">
        <v>4.8</v>
      </c>
      <c r="O2195">
        <v>12</v>
      </c>
      <c r="P2195" t="s">
        <v>26</v>
      </c>
    </row>
    <row r="2196" spans="1:16" x14ac:dyDescent="0.25">
      <c r="A2196" t="s">
        <v>5447</v>
      </c>
      <c r="B2196" t="s">
        <v>5448</v>
      </c>
      <c r="C2196" t="s">
        <v>29</v>
      </c>
      <c r="D2196" t="s">
        <v>79</v>
      </c>
      <c r="E2196" t="s">
        <v>31</v>
      </c>
      <c r="F2196" t="s">
        <v>128</v>
      </c>
      <c r="G2196" t="s">
        <v>22</v>
      </c>
      <c r="H2196" t="s">
        <v>23</v>
      </c>
      <c r="I2196" t="s">
        <v>57</v>
      </c>
      <c r="J2196" t="s">
        <v>5449</v>
      </c>
      <c r="K2196" t="s">
        <v>3986</v>
      </c>
      <c r="L2196">
        <v>1.5</v>
      </c>
      <c r="M2196">
        <v>423000</v>
      </c>
      <c r="N2196">
        <v>4.5999999999999996</v>
      </c>
      <c r="O2196">
        <v>6</v>
      </c>
      <c r="P2196" t="s">
        <v>114</v>
      </c>
    </row>
    <row r="2197" spans="1:16" x14ac:dyDescent="0.25">
      <c r="A2197" t="s">
        <v>5450</v>
      </c>
      <c r="B2197" t="s">
        <v>1593</v>
      </c>
      <c r="C2197" t="s">
        <v>18</v>
      </c>
      <c r="D2197" t="s">
        <v>79</v>
      </c>
      <c r="E2197" t="s">
        <v>44</v>
      </c>
      <c r="F2197" t="s">
        <v>128</v>
      </c>
      <c r="G2197" t="s">
        <v>80</v>
      </c>
      <c r="H2197" t="s">
        <v>23</v>
      </c>
      <c r="I2197" t="s">
        <v>35</v>
      </c>
      <c r="J2197" t="s">
        <v>2252</v>
      </c>
      <c r="L2197">
        <v>2.5</v>
      </c>
      <c r="M2197">
        <v>591000</v>
      </c>
      <c r="N2197">
        <v>4.2</v>
      </c>
      <c r="O2197">
        <v>14</v>
      </c>
      <c r="P2197" t="s">
        <v>26</v>
      </c>
    </row>
    <row r="2198" spans="1:16" x14ac:dyDescent="0.25">
      <c r="A2198" t="s">
        <v>5451</v>
      </c>
      <c r="B2198" t="s">
        <v>2018</v>
      </c>
      <c r="C2198" t="s">
        <v>18</v>
      </c>
      <c r="D2198" t="s">
        <v>79</v>
      </c>
      <c r="E2198" t="s">
        <v>44</v>
      </c>
      <c r="F2198" t="s">
        <v>32</v>
      </c>
      <c r="G2198" t="s">
        <v>22</v>
      </c>
      <c r="H2198" t="s">
        <v>23</v>
      </c>
      <c r="I2198" t="s">
        <v>24</v>
      </c>
      <c r="J2198" t="s">
        <v>5452</v>
      </c>
      <c r="K2198" t="s">
        <v>1394</v>
      </c>
      <c r="L2198">
        <v>2.2999999999999998</v>
      </c>
      <c r="M2198">
        <v>225000</v>
      </c>
      <c r="N2198">
        <v>3.9</v>
      </c>
      <c r="O2198">
        <v>7</v>
      </c>
      <c r="P2198" t="s">
        <v>53</v>
      </c>
    </row>
    <row r="2199" spans="1:16" x14ac:dyDescent="0.25">
      <c r="A2199" t="s">
        <v>5453</v>
      </c>
      <c r="B2199" t="s">
        <v>5454</v>
      </c>
      <c r="C2199" t="s">
        <v>18</v>
      </c>
      <c r="D2199" t="s">
        <v>43</v>
      </c>
      <c r="E2199" t="s">
        <v>31</v>
      </c>
      <c r="F2199" t="s">
        <v>128</v>
      </c>
      <c r="G2199" t="s">
        <v>33</v>
      </c>
      <c r="H2199" t="s">
        <v>62</v>
      </c>
      <c r="I2199" t="s">
        <v>57</v>
      </c>
      <c r="J2199" t="s">
        <v>920</v>
      </c>
      <c r="K2199" t="s">
        <v>1768</v>
      </c>
      <c r="L2199">
        <v>4.7</v>
      </c>
      <c r="M2199">
        <v>450000</v>
      </c>
      <c r="N2199">
        <v>3.7</v>
      </c>
      <c r="O2199">
        <v>7</v>
      </c>
      <c r="P2199" t="s">
        <v>53</v>
      </c>
    </row>
    <row r="2200" spans="1:16" x14ac:dyDescent="0.25">
      <c r="A2200" t="s">
        <v>5455</v>
      </c>
      <c r="B2200" t="s">
        <v>5456</v>
      </c>
      <c r="C2200" t="s">
        <v>18</v>
      </c>
      <c r="D2200" t="s">
        <v>79</v>
      </c>
      <c r="E2200" t="s">
        <v>31</v>
      </c>
      <c r="F2200" t="s">
        <v>39</v>
      </c>
      <c r="G2200" t="s">
        <v>80</v>
      </c>
      <c r="H2200" t="s">
        <v>23</v>
      </c>
      <c r="I2200" t="s">
        <v>35</v>
      </c>
      <c r="J2200" t="s">
        <v>1000</v>
      </c>
      <c r="L2200">
        <v>3.2</v>
      </c>
      <c r="M2200">
        <v>156000</v>
      </c>
      <c r="O2200">
        <v>5</v>
      </c>
      <c r="P2200" t="s">
        <v>26</v>
      </c>
    </row>
    <row r="2201" spans="1:16" x14ac:dyDescent="0.25">
      <c r="A2201" t="s">
        <v>5457</v>
      </c>
      <c r="B2201" t="s">
        <v>5458</v>
      </c>
      <c r="C2201" t="s">
        <v>18</v>
      </c>
      <c r="D2201" t="s">
        <v>79</v>
      </c>
      <c r="F2201" t="s">
        <v>32</v>
      </c>
      <c r="G2201" t="s">
        <v>22</v>
      </c>
      <c r="H2201" t="s">
        <v>23</v>
      </c>
      <c r="I2201" t="s">
        <v>75</v>
      </c>
      <c r="J2201" t="s">
        <v>1169</v>
      </c>
      <c r="L2201">
        <v>1.7</v>
      </c>
      <c r="M2201">
        <v>290000</v>
      </c>
      <c r="N2201">
        <v>2.1</v>
      </c>
      <c r="P2201" t="s">
        <v>26</v>
      </c>
    </row>
    <row r="2202" spans="1:16" x14ac:dyDescent="0.25">
      <c r="A2202" t="s">
        <v>5459</v>
      </c>
      <c r="B2202" t="s">
        <v>5460</v>
      </c>
      <c r="C2202" t="s">
        <v>29</v>
      </c>
      <c r="D2202" t="s">
        <v>50</v>
      </c>
      <c r="E2202" t="s">
        <v>20</v>
      </c>
      <c r="F2202" t="s">
        <v>39</v>
      </c>
      <c r="G2202" t="s">
        <v>22</v>
      </c>
      <c r="H2202" t="s">
        <v>34</v>
      </c>
      <c r="I2202" t="s">
        <v>35</v>
      </c>
      <c r="J2202" t="s">
        <v>1273</v>
      </c>
      <c r="L2202">
        <v>1.8</v>
      </c>
      <c r="M2202">
        <v>89000</v>
      </c>
      <c r="N2202">
        <v>3.5</v>
      </c>
      <c r="O2202">
        <v>10</v>
      </c>
      <c r="P2202" t="s">
        <v>26</v>
      </c>
    </row>
    <row r="2203" spans="1:16" x14ac:dyDescent="0.25">
      <c r="A2203" t="s">
        <v>5461</v>
      </c>
      <c r="B2203" t="s">
        <v>5462</v>
      </c>
      <c r="D2203" t="s">
        <v>30</v>
      </c>
      <c r="E2203" t="s">
        <v>44</v>
      </c>
      <c r="F2203" t="s">
        <v>39</v>
      </c>
      <c r="G2203" t="s">
        <v>33</v>
      </c>
      <c r="H2203" t="s">
        <v>34</v>
      </c>
      <c r="J2203" t="s">
        <v>2518</v>
      </c>
      <c r="K2203" t="s">
        <v>5463</v>
      </c>
      <c r="L2203">
        <v>3.8</v>
      </c>
      <c r="M2203">
        <v>147000</v>
      </c>
      <c r="N2203">
        <v>3.3</v>
      </c>
      <c r="O2203">
        <v>12</v>
      </c>
      <c r="P2203" t="s">
        <v>53</v>
      </c>
    </row>
    <row r="2204" spans="1:16" x14ac:dyDescent="0.25">
      <c r="A2204" t="s">
        <v>5464</v>
      </c>
      <c r="B2204" t="s">
        <v>5465</v>
      </c>
      <c r="C2204" t="s">
        <v>29</v>
      </c>
      <c r="D2204" t="s">
        <v>43</v>
      </c>
      <c r="F2204" t="s">
        <v>39</v>
      </c>
      <c r="G2204" t="s">
        <v>69</v>
      </c>
      <c r="H2204" t="s">
        <v>23</v>
      </c>
      <c r="I2204" t="s">
        <v>171</v>
      </c>
      <c r="J2204" t="s">
        <v>2633</v>
      </c>
      <c r="L2204">
        <v>3.4</v>
      </c>
      <c r="M2204">
        <v>139000</v>
      </c>
      <c r="N2204">
        <v>3.4</v>
      </c>
      <c r="O2204">
        <v>8</v>
      </c>
      <c r="P2204" t="s">
        <v>26</v>
      </c>
    </row>
    <row r="2205" spans="1:16" x14ac:dyDescent="0.25">
      <c r="A2205" t="s">
        <v>5466</v>
      </c>
      <c r="B2205" t="s">
        <v>5467</v>
      </c>
      <c r="C2205" t="s">
        <v>29</v>
      </c>
      <c r="D2205" t="s">
        <v>19</v>
      </c>
      <c r="E2205" t="s">
        <v>31</v>
      </c>
      <c r="F2205" t="s">
        <v>128</v>
      </c>
      <c r="G2205" t="s">
        <v>80</v>
      </c>
      <c r="H2205" t="s">
        <v>62</v>
      </c>
      <c r="I2205" t="s">
        <v>24</v>
      </c>
      <c r="J2205" t="s">
        <v>5468</v>
      </c>
      <c r="L2205">
        <v>5.5</v>
      </c>
      <c r="M2205">
        <v>549000</v>
      </c>
      <c r="N2205">
        <v>5</v>
      </c>
      <c r="O2205">
        <v>11</v>
      </c>
      <c r="P2205" t="s">
        <v>26</v>
      </c>
    </row>
    <row r="2206" spans="1:16" x14ac:dyDescent="0.25">
      <c r="A2206" t="s">
        <v>5469</v>
      </c>
      <c r="B2206" t="s">
        <v>5470</v>
      </c>
      <c r="C2206" t="s">
        <v>56</v>
      </c>
      <c r="D2206" t="s">
        <v>50</v>
      </c>
      <c r="E2206" t="s">
        <v>20</v>
      </c>
      <c r="F2206" t="s">
        <v>39</v>
      </c>
      <c r="G2206" t="s">
        <v>33</v>
      </c>
      <c r="H2206" t="s">
        <v>46</v>
      </c>
      <c r="I2206" t="s">
        <v>35</v>
      </c>
      <c r="J2206" t="s">
        <v>5143</v>
      </c>
      <c r="L2206">
        <v>1.4</v>
      </c>
      <c r="M2206">
        <v>170000</v>
      </c>
      <c r="N2206">
        <v>4.3</v>
      </c>
      <c r="P2206" t="s">
        <v>26</v>
      </c>
    </row>
    <row r="2207" spans="1:16" x14ac:dyDescent="0.25">
      <c r="A2207" t="s">
        <v>5471</v>
      </c>
      <c r="B2207" t="s">
        <v>2352</v>
      </c>
      <c r="C2207" t="s">
        <v>29</v>
      </c>
      <c r="D2207" t="s">
        <v>43</v>
      </c>
      <c r="E2207" t="s">
        <v>20</v>
      </c>
      <c r="F2207" t="s">
        <v>128</v>
      </c>
      <c r="G2207" t="s">
        <v>33</v>
      </c>
      <c r="H2207" t="s">
        <v>34</v>
      </c>
      <c r="I2207" t="s">
        <v>57</v>
      </c>
      <c r="J2207" t="s">
        <v>4933</v>
      </c>
      <c r="L2207">
        <v>2.6</v>
      </c>
      <c r="M2207">
        <v>467000</v>
      </c>
      <c r="N2207">
        <v>4.5999999999999996</v>
      </c>
      <c r="O2207">
        <v>1</v>
      </c>
      <c r="P2207" t="s">
        <v>26</v>
      </c>
    </row>
    <row r="2208" spans="1:16" x14ac:dyDescent="0.25">
      <c r="A2208" t="s">
        <v>5472</v>
      </c>
      <c r="B2208" t="s">
        <v>5289</v>
      </c>
      <c r="C2208" t="s">
        <v>29</v>
      </c>
      <c r="E2208" t="s">
        <v>44</v>
      </c>
      <c r="F2208" t="s">
        <v>32</v>
      </c>
      <c r="G2208" t="s">
        <v>80</v>
      </c>
      <c r="H2208" t="s">
        <v>34</v>
      </c>
      <c r="I2208" t="s">
        <v>57</v>
      </c>
      <c r="J2208" t="s">
        <v>847</v>
      </c>
      <c r="L2208">
        <v>2.2999999999999998</v>
      </c>
      <c r="M2208">
        <v>385000</v>
      </c>
      <c r="N2208">
        <v>4</v>
      </c>
      <c r="O2208">
        <v>35</v>
      </c>
      <c r="P2208" t="s">
        <v>26</v>
      </c>
    </row>
    <row r="2209" spans="1:16" x14ac:dyDescent="0.25">
      <c r="A2209" t="s">
        <v>5473</v>
      </c>
      <c r="B2209" t="s">
        <v>1104</v>
      </c>
      <c r="C2209" t="s">
        <v>18</v>
      </c>
      <c r="D2209" t="s">
        <v>43</v>
      </c>
      <c r="E2209" t="s">
        <v>20</v>
      </c>
      <c r="F2209" t="s">
        <v>32</v>
      </c>
      <c r="G2209" t="s">
        <v>80</v>
      </c>
      <c r="H2209" t="s">
        <v>46</v>
      </c>
      <c r="I2209" t="s">
        <v>171</v>
      </c>
      <c r="J2209" t="s">
        <v>2626</v>
      </c>
      <c r="K2209" t="s">
        <v>4648</v>
      </c>
      <c r="L2209">
        <v>2.2000000000000002</v>
      </c>
      <c r="M2209">
        <v>251000</v>
      </c>
      <c r="N2209">
        <v>4.7</v>
      </c>
      <c r="O2209">
        <v>11</v>
      </c>
      <c r="P2209" t="s">
        <v>53</v>
      </c>
    </row>
    <row r="2210" spans="1:16" x14ac:dyDescent="0.25">
      <c r="A2210" t="s">
        <v>5474</v>
      </c>
      <c r="B2210" t="s">
        <v>5387</v>
      </c>
      <c r="D2210" t="s">
        <v>50</v>
      </c>
      <c r="E2210" t="s">
        <v>20</v>
      </c>
      <c r="F2210" t="s">
        <v>39</v>
      </c>
      <c r="G2210" t="s">
        <v>33</v>
      </c>
      <c r="H2210" t="s">
        <v>46</v>
      </c>
      <c r="I2210" t="s">
        <v>57</v>
      </c>
      <c r="J2210" t="s">
        <v>5475</v>
      </c>
      <c r="K2210" t="s">
        <v>4891</v>
      </c>
      <c r="L2210">
        <v>5.9</v>
      </c>
      <c r="M2210">
        <v>118000</v>
      </c>
      <c r="N2210">
        <v>2.2999999999999998</v>
      </c>
      <c r="O2210">
        <v>10</v>
      </c>
      <c r="P2210" t="s">
        <v>53</v>
      </c>
    </row>
    <row r="2211" spans="1:16" x14ac:dyDescent="0.25">
      <c r="A2211" t="s">
        <v>5476</v>
      </c>
      <c r="B2211" t="s">
        <v>2655</v>
      </c>
      <c r="C2211" t="s">
        <v>18</v>
      </c>
      <c r="D2211" t="s">
        <v>50</v>
      </c>
      <c r="E2211" t="s">
        <v>20</v>
      </c>
      <c r="F2211" t="s">
        <v>39</v>
      </c>
      <c r="G2211" t="s">
        <v>22</v>
      </c>
      <c r="H2211" t="s">
        <v>34</v>
      </c>
      <c r="I2211" t="s">
        <v>57</v>
      </c>
      <c r="J2211" t="s">
        <v>4840</v>
      </c>
      <c r="L2211">
        <v>4.5999999999999996</v>
      </c>
      <c r="M2211">
        <v>179000</v>
      </c>
      <c r="N2211">
        <v>4.9000000000000004</v>
      </c>
      <c r="O2211">
        <v>25</v>
      </c>
      <c r="P2211" t="s">
        <v>26</v>
      </c>
    </row>
    <row r="2212" spans="1:16" x14ac:dyDescent="0.25">
      <c r="A2212" t="s">
        <v>5477</v>
      </c>
      <c r="B2212" t="s">
        <v>4901</v>
      </c>
      <c r="C2212" t="s">
        <v>29</v>
      </c>
      <c r="D2212" t="s">
        <v>50</v>
      </c>
      <c r="E2212" t="s">
        <v>20</v>
      </c>
      <c r="G2212" t="s">
        <v>33</v>
      </c>
      <c r="H2212" t="s">
        <v>46</v>
      </c>
      <c r="I2212" t="s">
        <v>171</v>
      </c>
      <c r="J2212" t="s">
        <v>1360</v>
      </c>
      <c r="K2212" t="s">
        <v>5478</v>
      </c>
      <c r="L2212">
        <v>5.0999999999999996</v>
      </c>
      <c r="M2212">
        <v>440000</v>
      </c>
      <c r="N2212">
        <v>2.7</v>
      </c>
      <c r="O2212">
        <v>7</v>
      </c>
      <c r="P2212" t="s">
        <v>114</v>
      </c>
    </row>
    <row r="2213" spans="1:16" x14ac:dyDescent="0.25">
      <c r="A2213" t="s">
        <v>5479</v>
      </c>
      <c r="B2213" t="s">
        <v>5480</v>
      </c>
      <c r="C2213" t="s">
        <v>29</v>
      </c>
      <c r="D2213" t="s">
        <v>50</v>
      </c>
      <c r="E2213" t="s">
        <v>44</v>
      </c>
      <c r="F2213" t="s">
        <v>128</v>
      </c>
      <c r="G2213" t="s">
        <v>33</v>
      </c>
      <c r="H2213" t="s">
        <v>23</v>
      </c>
      <c r="I2213" t="s">
        <v>57</v>
      </c>
      <c r="J2213" t="s">
        <v>3809</v>
      </c>
      <c r="L2213">
        <v>4.2</v>
      </c>
      <c r="M2213">
        <v>486000</v>
      </c>
      <c r="N2213">
        <v>4</v>
      </c>
      <c r="O2213">
        <v>7</v>
      </c>
      <c r="P2213" t="s">
        <v>26</v>
      </c>
    </row>
    <row r="2214" spans="1:16" x14ac:dyDescent="0.25">
      <c r="A2214" t="s">
        <v>5481</v>
      </c>
      <c r="B2214" t="s">
        <v>2515</v>
      </c>
      <c r="C2214" t="s">
        <v>18</v>
      </c>
      <c r="D2214" t="s">
        <v>19</v>
      </c>
      <c r="E2214" t="s">
        <v>20</v>
      </c>
      <c r="F2214" t="s">
        <v>39</v>
      </c>
      <c r="G2214" t="s">
        <v>22</v>
      </c>
      <c r="H2214" t="s">
        <v>34</v>
      </c>
      <c r="I2214" t="s">
        <v>57</v>
      </c>
      <c r="J2214" t="s">
        <v>253</v>
      </c>
      <c r="L2214">
        <v>3.5</v>
      </c>
      <c r="M2214">
        <v>191000</v>
      </c>
      <c r="N2214">
        <v>2.4</v>
      </c>
      <c r="O2214">
        <v>8</v>
      </c>
      <c r="P2214" t="s">
        <v>26</v>
      </c>
    </row>
    <row r="2215" spans="1:16" x14ac:dyDescent="0.25">
      <c r="A2215" t="s">
        <v>5482</v>
      </c>
      <c r="B2215" t="s">
        <v>1962</v>
      </c>
      <c r="C2215" t="s">
        <v>29</v>
      </c>
      <c r="D2215" t="s">
        <v>30</v>
      </c>
      <c r="E2215" t="s">
        <v>20</v>
      </c>
      <c r="F2215" t="s">
        <v>32</v>
      </c>
      <c r="G2215" t="s">
        <v>33</v>
      </c>
      <c r="H2215" t="s">
        <v>62</v>
      </c>
      <c r="I2215" t="s">
        <v>35</v>
      </c>
      <c r="J2215" t="s">
        <v>5483</v>
      </c>
      <c r="K2215" t="s">
        <v>1713</v>
      </c>
      <c r="L2215">
        <v>2</v>
      </c>
      <c r="M2215">
        <v>300000</v>
      </c>
      <c r="N2215">
        <v>2.1</v>
      </c>
      <c r="O2215">
        <v>13</v>
      </c>
      <c r="P2215" t="s">
        <v>72</v>
      </c>
    </row>
    <row r="2216" spans="1:16" x14ac:dyDescent="0.25">
      <c r="A2216" t="s">
        <v>5484</v>
      </c>
      <c r="B2216" t="s">
        <v>5221</v>
      </c>
      <c r="C2216" t="s">
        <v>18</v>
      </c>
      <c r="D2216" t="s">
        <v>19</v>
      </c>
      <c r="E2216" t="s">
        <v>20</v>
      </c>
      <c r="F2216" t="s">
        <v>32</v>
      </c>
      <c r="G2216" t="s">
        <v>22</v>
      </c>
      <c r="H2216" t="s">
        <v>23</v>
      </c>
      <c r="I2216" t="s">
        <v>35</v>
      </c>
      <c r="J2216" t="s">
        <v>5485</v>
      </c>
      <c r="K2216" t="s">
        <v>442</v>
      </c>
      <c r="L2216">
        <v>2.8</v>
      </c>
      <c r="M2216">
        <v>336000</v>
      </c>
      <c r="N2216">
        <v>2.8</v>
      </c>
      <c r="O2216">
        <v>8</v>
      </c>
      <c r="P2216" t="s">
        <v>53</v>
      </c>
    </row>
    <row r="2217" spans="1:16" x14ac:dyDescent="0.25">
      <c r="A2217" t="s">
        <v>5486</v>
      </c>
      <c r="B2217" t="s">
        <v>2655</v>
      </c>
      <c r="C2217" t="s">
        <v>18</v>
      </c>
      <c r="D2217" t="s">
        <v>19</v>
      </c>
      <c r="E2217" t="s">
        <v>31</v>
      </c>
      <c r="F2217" t="s">
        <v>128</v>
      </c>
      <c r="G2217" t="s">
        <v>22</v>
      </c>
      <c r="H2217" t="s">
        <v>62</v>
      </c>
      <c r="I2217" t="s">
        <v>57</v>
      </c>
      <c r="J2217" t="s">
        <v>4307</v>
      </c>
      <c r="L2217">
        <v>3.1</v>
      </c>
      <c r="M2217">
        <v>429000</v>
      </c>
      <c r="N2217">
        <v>2.8</v>
      </c>
      <c r="O2217">
        <v>1</v>
      </c>
      <c r="P2217" t="s">
        <v>26</v>
      </c>
    </row>
    <row r="2218" spans="1:16" x14ac:dyDescent="0.25">
      <c r="A2218" t="s">
        <v>5487</v>
      </c>
      <c r="B2218" t="s">
        <v>2899</v>
      </c>
      <c r="C2218" t="s">
        <v>18</v>
      </c>
      <c r="D2218" t="s">
        <v>19</v>
      </c>
      <c r="E2218" t="s">
        <v>44</v>
      </c>
      <c r="F2218" t="s">
        <v>32</v>
      </c>
      <c r="G2218" t="s">
        <v>80</v>
      </c>
      <c r="H2218" t="s">
        <v>34</v>
      </c>
      <c r="I2218" t="s">
        <v>75</v>
      </c>
      <c r="J2218" t="s">
        <v>5488</v>
      </c>
      <c r="L2218">
        <v>3.3</v>
      </c>
      <c r="M2218">
        <v>333000</v>
      </c>
      <c r="N2218">
        <v>4.2</v>
      </c>
      <c r="O2218">
        <v>5</v>
      </c>
      <c r="P2218" t="s">
        <v>26</v>
      </c>
    </row>
    <row r="2219" spans="1:16" x14ac:dyDescent="0.25">
      <c r="A2219" t="s">
        <v>5489</v>
      </c>
      <c r="B2219" t="s">
        <v>17</v>
      </c>
      <c r="C2219" t="s">
        <v>18</v>
      </c>
      <c r="D2219" t="s">
        <v>79</v>
      </c>
      <c r="E2219" t="s">
        <v>31</v>
      </c>
      <c r="F2219" t="s">
        <v>39</v>
      </c>
      <c r="G2219" t="s">
        <v>80</v>
      </c>
      <c r="I2219" t="s">
        <v>24</v>
      </c>
      <c r="J2219" t="s">
        <v>5490</v>
      </c>
      <c r="K2219" t="s">
        <v>749</v>
      </c>
      <c r="L2219">
        <v>3.2</v>
      </c>
      <c r="M2219">
        <v>109000</v>
      </c>
      <c r="N2219">
        <v>2.1</v>
      </c>
      <c r="O2219">
        <v>14</v>
      </c>
      <c r="P2219" t="s">
        <v>72</v>
      </c>
    </row>
    <row r="2220" spans="1:16" x14ac:dyDescent="0.25">
      <c r="A2220" t="s">
        <v>5491</v>
      </c>
      <c r="B2220" t="s">
        <v>5492</v>
      </c>
      <c r="C2220" t="s">
        <v>29</v>
      </c>
      <c r="D2220" t="s">
        <v>50</v>
      </c>
      <c r="E2220" t="s">
        <v>31</v>
      </c>
      <c r="F2220" t="s">
        <v>128</v>
      </c>
      <c r="G2220" t="s">
        <v>22</v>
      </c>
      <c r="H2220" t="s">
        <v>23</v>
      </c>
      <c r="I2220" t="s">
        <v>57</v>
      </c>
      <c r="J2220" t="s">
        <v>984</v>
      </c>
      <c r="K2220" t="s">
        <v>5493</v>
      </c>
      <c r="L2220">
        <v>4.4000000000000004</v>
      </c>
      <c r="M2220">
        <v>368000</v>
      </c>
      <c r="N2220">
        <v>4.5</v>
      </c>
      <c r="O2220">
        <v>1</v>
      </c>
      <c r="P2220" t="s">
        <v>53</v>
      </c>
    </row>
    <row r="2221" spans="1:16" x14ac:dyDescent="0.25">
      <c r="A2221" t="s">
        <v>5494</v>
      </c>
      <c r="B2221" t="s">
        <v>3738</v>
      </c>
      <c r="C2221" t="s">
        <v>29</v>
      </c>
      <c r="D2221" t="s">
        <v>43</v>
      </c>
      <c r="E2221" t="s">
        <v>20</v>
      </c>
      <c r="F2221" t="s">
        <v>32</v>
      </c>
      <c r="G2221" t="s">
        <v>33</v>
      </c>
      <c r="H2221" t="s">
        <v>46</v>
      </c>
      <c r="I2221" t="s">
        <v>171</v>
      </c>
      <c r="J2221" t="s">
        <v>4653</v>
      </c>
      <c r="L2221">
        <v>5.9</v>
      </c>
      <c r="M2221">
        <v>210000</v>
      </c>
      <c r="N2221">
        <v>3.7</v>
      </c>
      <c r="P2221" t="s">
        <v>26</v>
      </c>
    </row>
    <row r="2222" spans="1:16" x14ac:dyDescent="0.25">
      <c r="A2222" t="s">
        <v>5495</v>
      </c>
      <c r="B2222" t="s">
        <v>4874</v>
      </c>
      <c r="C2222" t="s">
        <v>18</v>
      </c>
      <c r="D2222" t="s">
        <v>79</v>
      </c>
      <c r="E2222" t="s">
        <v>20</v>
      </c>
      <c r="F2222" t="s">
        <v>128</v>
      </c>
      <c r="G2222" t="s">
        <v>22</v>
      </c>
      <c r="H2222" t="s">
        <v>23</v>
      </c>
      <c r="I2222" t="s">
        <v>35</v>
      </c>
      <c r="J2222" t="s">
        <v>5496</v>
      </c>
      <c r="L2222">
        <v>4.9000000000000004</v>
      </c>
      <c r="M2222">
        <v>393000</v>
      </c>
      <c r="N2222">
        <v>2.9</v>
      </c>
      <c r="O2222">
        <v>8</v>
      </c>
      <c r="P2222" t="s">
        <v>26</v>
      </c>
    </row>
    <row r="2223" spans="1:16" x14ac:dyDescent="0.25">
      <c r="A2223" t="s">
        <v>5497</v>
      </c>
      <c r="B2223" t="s">
        <v>1245</v>
      </c>
      <c r="C2223" t="s">
        <v>18</v>
      </c>
      <c r="D2223" t="s">
        <v>30</v>
      </c>
      <c r="E2223" t="s">
        <v>20</v>
      </c>
      <c r="F2223" t="s">
        <v>32</v>
      </c>
      <c r="G2223" t="s">
        <v>69</v>
      </c>
      <c r="H2223" t="s">
        <v>62</v>
      </c>
      <c r="I2223" t="s">
        <v>57</v>
      </c>
      <c r="J2223" t="s">
        <v>3785</v>
      </c>
      <c r="K2223" t="s">
        <v>1785</v>
      </c>
      <c r="L2223">
        <v>5.4</v>
      </c>
      <c r="M2223">
        <v>349000</v>
      </c>
      <c r="N2223">
        <v>4.9000000000000004</v>
      </c>
      <c r="O2223">
        <v>8</v>
      </c>
      <c r="P2223" t="s">
        <v>53</v>
      </c>
    </row>
    <row r="2224" spans="1:16" x14ac:dyDescent="0.25">
      <c r="A2224" t="s">
        <v>5498</v>
      </c>
      <c r="B2224" t="s">
        <v>1329</v>
      </c>
      <c r="C2224" t="s">
        <v>29</v>
      </c>
      <c r="D2224" t="s">
        <v>79</v>
      </c>
      <c r="E2224" t="s">
        <v>20</v>
      </c>
      <c r="F2224" t="s">
        <v>39</v>
      </c>
      <c r="G2224" t="s">
        <v>33</v>
      </c>
      <c r="H2224" t="s">
        <v>46</v>
      </c>
      <c r="I2224" t="s">
        <v>24</v>
      </c>
      <c r="J2224" t="s">
        <v>435</v>
      </c>
      <c r="L2224">
        <v>5.4</v>
      </c>
      <c r="M2224">
        <v>171000</v>
      </c>
      <c r="N2224">
        <v>4.8</v>
      </c>
      <c r="O2224">
        <v>3</v>
      </c>
      <c r="P2224" t="s">
        <v>26</v>
      </c>
    </row>
    <row r="2225" spans="1:16" x14ac:dyDescent="0.25">
      <c r="A2225" t="s">
        <v>5499</v>
      </c>
      <c r="B2225" t="s">
        <v>4165</v>
      </c>
      <c r="C2225" t="s">
        <v>18</v>
      </c>
      <c r="D2225" t="s">
        <v>19</v>
      </c>
      <c r="E2225" t="s">
        <v>20</v>
      </c>
      <c r="F2225" t="s">
        <v>32</v>
      </c>
      <c r="G2225" t="s">
        <v>22</v>
      </c>
      <c r="H2225" t="s">
        <v>23</v>
      </c>
      <c r="J2225" t="s">
        <v>2135</v>
      </c>
      <c r="L2225">
        <v>1.7</v>
      </c>
      <c r="M2225">
        <v>319000</v>
      </c>
      <c r="N2225">
        <v>3.7</v>
      </c>
      <c r="O2225">
        <v>7</v>
      </c>
      <c r="P2225" t="s">
        <v>26</v>
      </c>
    </row>
    <row r="2226" spans="1:16" x14ac:dyDescent="0.25">
      <c r="A2226" t="s">
        <v>5500</v>
      </c>
      <c r="B2226" t="s">
        <v>1349</v>
      </c>
      <c r="C2226" t="s">
        <v>18</v>
      </c>
      <c r="D2226" t="s">
        <v>50</v>
      </c>
      <c r="E2226" t="s">
        <v>20</v>
      </c>
      <c r="F2226" t="s">
        <v>32</v>
      </c>
      <c r="G2226" t="s">
        <v>22</v>
      </c>
      <c r="H2226" t="s">
        <v>34</v>
      </c>
      <c r="I2226" t="s">
        <v>35</v>
      </c>
      <c r="J2226" t="s">
        <v>3350</v>
      </c>
      <c r="L2226">
        <v>5.7</v>
      </c>
      <c r="M2226">
        <v>326000</v>
      </c>
      <c r="N2226">
        <v>2.4</v>
      </c>
      <c r="O2226">
        <v>11</v>
      </c>
      <c r="P2226" t="s">
        <v>26</v>
      </c>
    </row>
    <row r="2227" spans="1:16" x14ac:dyDescent="0.25">
      <c r="A2227" t="s">
        <v>5501</v>
      </c>
      <c r="B2227" t="s">
        <v>2294</v>
      </c>
      <c r="C2227" t="s">
        <v>29</v>
      </c>
      <c r="D2227" t="s">
        <v>79</v>
      </c>
      <c r="E2227" t="s">
        <v>20</v>
      </c>
      <c r="F2227" t="s">
        <v>39</v>
      </c>
      <c r="G2227" t="s">
        <v>22</v>
      </c>
      <c r="H2227" t="s">
        <v>23</v>
      </c>
      <c r="I2227" t="s">
        <v>24</v>
      </c>
      <c r="J2227" t="s">
        <v>2689</v>
      </c>
      <c r="K2227" t="s">
        <v>4812</v>
      </c>
      <c r="L2227">
        <v>4.7</v>
      </c>
      <c r="M2227">
        <v>152000</v>
      </c>
      <c r="N2227">
        <v>4.5999999999999996</v>
      </c>
      <c r="P2227" t="s">
        <v>53</v>
      </c>
    </row>
    <row r="2228" spans="1:16" x14ac:dyDescent="0.25">
      <c r="A2228" t="s">
        <v>5502</v>
      </c>
      <c r="B2228" t="s">
        <v>5503</v>
      </c>
      <c r="C2228" t="s">
        <v>29</v>
      </c>
      <c r="D2228" t="s">
        <v>79</v>
      </c>
      <c r="E2228" t="s">
        <v>20</v>
      </c>
      <c r="F2228" t="s">
        <v>39</v>
      </c>
      <c r="G2228" t="s">
        <v>80</v>
      </c>
      <c r="I2228" t="s">
        <v>24</v>
      </c>
      <c r="J2228" t="s">
        <v>2407</v>
      </c>
      <c r="L2228">
        <v>4.4000000000000004</v>
      </c>
      <c r="M2228">
        <v>127000</v>
      </c>
      <c r="N2228">
        <v>3.4</v>
      </c>
      <c r="O2228">
        <v>3</v>
      </c>
      <c r="P2228" t="s">
        <v>26</v>
      </c>
    </row>
    <row r="2229" spans="1:16" x14ac:dyDescent="0.25">
      <c r="A2229" t="s">
        <v>5504</v>
      </c>
      <c r="B2229" t="s">
        <v>5505</v>
      </c>
      <c r="C2229" t="s">
        <v>18</v>
      </c>
      <c r="D2229" t="s">
        <v>30</v>
      </c>
      <c r="E2229" t="s">
        <v>20</v>
      </c>
      <c r="F2229" t="s">
        <v>128</v>
      </c>
      <c r="G2229" t="s">
        <v>22</v>
      </c>
      <c r="H2229" t="s">
        <v>34</v>
      </c>
      <c r="I2229" t="s">
        <v>24</v>
      </c>
      <c r="J2229" t="s">
        <v>1379</v>
      </c>
      <c r="L2229">
        <v>1.6</v>
      </c>
      <c r="M2229">
        <v>441000</v>
      </c>
      <c r="N2229">
        <v>3.3</v>
      </c>
      <c r="O2229">
        <v>16</v>
      </c>
      <c r="P2229" t="s">
        <v>26</v>
      </c>
    </row>
    <row r="2230" spans="1:16" x14ac:dyDescent="0.25">
      <c r="A2230" t="s">
        <v>5506</v>
      </c>
      <c r="B2230" t="s">
        <v>5507</v>
      </c>
      <c r="C2230" t="s">
        <v>18</v>
      </c>
      <c r="E2230" t="s">
        <v>20</v>
      </c>
      <c r="F2230" t="s">
        <v>128</v>
      </c>
      <c r="G2230" t="s">
        <v>80</v>
      </c>
      <c r="H2230" t="s">
        <v>23</v>
      </c>
      <c r="I2230" t="s">
        <v>57</v>
      </c>
      <c r="J2230" t="s">
        <v>996</v>
      </c>
      <c r="L2230">
        <v>5.3</v>
      </c>
      <c r="M2230">
        <v>489000</v>
      </c>
      <c r="N2230">
        <v>3.9</v>
      </c>
      <c r="O2230">
        <v>27</v>
      </c>
      <c r="P2230" t="s">
        <v>26</v>
      </c>
    </row>
    <row r="2231" spans="1:16" x14ac:dyDescent="0.25">
      <c r="A2231" t="s">
        <v>5508</v>
      </c>
      <c r="B2231" t="s">
        <v>5509</v>
      </c>
      <c r="C2231" t="s">
        <v>18</v>
      </c>
      <c r="D2231" t="s">
        <v>30</v>
      </c>
      <c r="E2231" t="s">
        <v>20</v>
      </c>
      <c r="F2231" t="s">
        <v>39</v>
      </c>
      <c r="G2231" t="s">
        <v>22</v>
      </c>
      <c r="H2231" t="s">
        <v>46</v>
      </c>
      <c r="I2231" t="s">
        <v>24</v>
      </c>
      <c r="J2231" t="s">
        <v>5510</v>
      </c>
      <c r="L2231">
        <v>3.3</v>
      </c>
      <c r="M2231">
        <v>95000</v>
      </c>
      <c r="N2231">
        <v>2</v>
      </c>
      <c r="O2231">
        <v>11</v>
      </c>
      <c r="P2231" t="s">
        <v>26</v>
      </c>
    </row>
    <row r="2232" spans="1:16" x14ac:dyDescent="0.25">
      <c r="A2232" t="s">
        <v>5511</v>
      </c>
      <c r="B2232" t="s">
        <v>5512</v>
      </c>
      <c r="C2232" t="s">
        <v>18</v>
      </c>
      <c r="D2232" t="s">
        <v>30</v>
      </c>
      <c r="E2232" t="s">
        <v>31</v>
      </c>
      <c r="F2232" t="s">
        <v>32</v>
      </c>
      <c r="G2232" t="s">
        <v>22</v>
      </c>
      <c r="H2232" t="s">
        <v>23</v>
      </c>
      <c r="I2232" t="s">
        <v>57</v>
      </c>
      <c r="J2232" t="s">
        <v>405</v>
      </c>
      <c r="L2232">
        <v>4.0999999999999996</v>
      </c>
      <c r="M2232">
        <v>265000</v>
      </c>
      <c r="N2232">
        <v>3.4</v>
      </c>
      <c r="O2232">
        <v>5</v>
      </c>
      <c r="P2232" t="s">
        <v>26</v>
      </c>
    </row>
    <row r="2233" spans="1:16" x14ac:dyDescent="0.25">
      <c r="A2233" t="s">
        <v>5513</v>
      </c>
      <c r="B2233" t="s">
        <v>2357</v>
      </c>
      <c r="C2233" t="s">
        <v>29</v>
      </c>
      <c r="D2233" t="s">
        <v>43</v>
      </c>
      <c r="E2233" t="s">
        <v>31</v>
      </c>
      <c r="F2233" t="s">
        <v>39</v>
      </c>
      <c r="G2233" t="s">
        <v>80</v>
      </c>
      <c r="H2233" t="s">
        <v>34</v>
      </c>
      <c r="I2233" t="s">
        <v>24</v>
      </c>
      <c r="J2233" t="s">
        <v>2768</v>
      </c>
      <c r="L2233">
        <v>3.8</v>
      </c>
      <c r="M2233">
        <v>85000</v>
      </c>
      <c r="N2233">
        <v>4.9000000000000004</v>
      </c>
      <c r="O2233">
        <v>1</v>
      </c>
      <c r="P2233" t="s">
        <v>26</v>
      </c>
    </row>
    <row r="2234" spans="1:16" x14ac:dyDescent="0.25">
      <c r="A2234" t="s">
        <v>5514</v>
      </c>
      <c r="B2234" t="s">
        <v>5515</v>
      </c>
      <c r="C2234" t="s">
        <v>29</v>
      </c>
      <c r="D2234" t="s">
        <v>79</v>
      </c>
      <c r="E2234" t="s">
        <v>20</v>
      </c>
      <c r="F2234" t="s">
        <v>128</v>
      </c>
      <c r="G2234" t="s">
        <v>80</v>
      </c>
      <c r="I2234" t="s">
        <v>24</v>
      </c>
      <c r="J2234" t="s">
        <v>2953</v>
      </c>
      <c r="L2234">
        <v>2.1</v>
      </c>
      <c r="M2234">
        <v>487000</v>
      </c>
      <c r="N2234">
        <v>2.2000000000000002</v>
      </c>
      <c r="O2234">
        <v>6</v>
      </c>
      <c r="P2234" t="s">
        <v>26</v>
      </c>
    </row>
    <row r="2235" spans="1:16" x14ac:dyDescent="0.25">
      <c r="A2235" t="s">
        <v>5516</v>
      </c>
      <c r="B2235" t="s">
        <v>4013</v>
      </c>
      <c r="C2235" t="s">
        <v>29</v>
      </c>
      <c r="D2235" t="s">
        <v>79</v>
      </c>
      <c r="E2235" t="s">
        <v>20</v>
      </c>
      <c r="F2235" t="s">
        <v>21</v>
      </c>
      <c r="G2235" t="s">
        <v>22</v>
      </c>
      <c r="H2235" t="s">
        <v>23</v>
      </c>
      <c r="I2235" t="s">
        <v>75</v>
      </c>
      <c r="J2235" t="s">
        <v>4540</v>
      </c>
      <c r="K2235" t="s">
        <v>3073</v>
      </c>
      <c r="L2235">
        <v>5</v>
      </c>
      <c r="M2235">
        <v>842000</v>
      </c>
      <c r="N2235">
        <v>4</v>
      </c>
      <c r="O2235">
        <v>11</v>
      </c>
      <c r="P2235" t="s">
        <v>114</v>
      </c>
    </row>
    <row r="2236" spans="1:16" x14ac:dyDescent="0.25">
      <c r="A2236" t="s">
        <v>5517</v>
      </c>
      <c r="B2236" t="s">
        <v>177</v>
      </c>
      <c r="C2236" t="s">
        <v>18</v>
      </c>
      <c r="D2236" t="s">
        <v>79</v>
      </c>
      <c r="E2236" t="s">
        <v>31</v>
      </c>
      <c r="F2236" t="s">
        <v>21</v>
      </c>
      <c r="G2236" t="s">
        <v>22</v>
      </c>
      <c r="H2236" t="s">
        <v>34</v>
      </c>
      <c r="I2236" t="s">
        <v>57</v>
      </c>
      <c r="J2236" t="s">
        <v>3305</v>
      </c>
      <c r="L2236">
        <v>5</v>
      </c>
      <c r="N2236">
        <v>3.7</v>
      </c>
      <c r="O2236">
        <v>14</v>
      </c>
      <c r="P2236" t="s">
        <v>26</v>
      </c>
    </row>
    <row r="2237" spans="1:16" x14ac:dyDescent="0.25">
      <c r="A2237" t="s">
        <v>5518</v>
      </c>
      <c r="B2237" t="s">
        <v>5519</v>
      </c>
      <c r="C2237" t="s">
        <v>18</v>
      </c>
      <c r="D2237" t="s">
        <v>30</v>
      </c>
      <c r="E2237" t="s">
        <v>20</v>
      </c>
      <c r="F2237" t="s">
        <v>128</v>
      </c>
      <c r="G2237" t="s">
        <v>33</v>
      </c>
      <c r="H2237" t="s">
        <v>46</v>
      </c>
      <c r="I2237" t="s">
        <v>171</v>
      </c>
      <c r="J2237" t="s">
        <v>2663</v>
      </c>
      <c r="L2237">
        <v>2</v>
      </c>
      <c r="N2237">
        <v>3.8</v>
      </c>
      <c r="O2237">
        <v>8</v>
      </c>
      <c r="P2237" t="s">
        <v>26</v>
      </c>
    </row>
    <row r="2238" spans="1:16" x14ac:dyDescent="0.25">
      <c r="A2238" t="s">
        <v>5520</v>
      </c>
      <c r="B2238" t="s">
        <v>3893</v>
      </c>
      <c r="C2238" t="s">
        <v>29</v>
      </c>
      <c r="D2238" t="s">
        <v>79</v>
      </c>
      <c r="E2238" t="s">
        <v>31</v>
      </c>
      <c r="F2238" t="s">
        <v>128</v>
      </c>
      <c r="G2238" t="s">
        <v>69</v>
      </c>
      <c r="H2238" t="s">
        <v>34</v>
      </c>
      <c r="I2238" t="s">
        <v>24</v>
      </c>
      <c r="J2238" t="s">
        <v>935</v>
      </c>
      <c r="L2238">
        <v>4.4000000000000004</v>
      </c>
      <c r="M2238">
        <v>495000</v>
      </c>
      <c r="N2238">
        <v>4.3</v>
      </c>
      <c r="O2238">
        <v>2</v>
      </c>
      <c r="P2238" t="s">
        <v>26</v>
      </c>
    </row>
    <row r="2239" spans="1:16" x14ac:dyDescent="0.25">
      <c r="A2239" t="s">
        <v>5521</v>
      </c>
      <c r="B2239" t="s">
        <v>5522</v>
      </c>
      <c r="C2239" t="s">
        <v>29</v>
      </c>
      <c r="D2239" t="s">
        <v>79</v>
      </c>
      <c r="E2239" t="s">
        <v>31</v>
      </c>
      <c r="F2239" t="s">
        <v>39</v>
      </c>
      <c r="G2239" t="s">
        <v>22</v>
      </c>
      <c r="H2239" t="s">
        <v>34</v>
      </c>
      <c r="I2239" t="s">
        <v>57</v>
      </c>
      <c r="J2239" t="s">
        <v>517</v>
      </c>
      <c r="L2239">
        <v>4</v>
      </c>
      <c r="M2239">
        <v>150000</v>
      </c>
      <c r="N2239">
        <v>4.7</v>
      </c>
      <c r="O2239">
        <v>18</v>
      </c>
      <c r="P2239" t="s">
        <v>26</v>
      </c>
    </row>
    <row r="2240" spans="1:16" x14ac:dyDescent="0.25">
      <c r="A2240" t="s">
        <v>5523</v>
      </c>
      <c r="B2240" t="s">
        <v>5524</v>
      </c>
      <c r="C2240" t="s">
        <v>29</v>
      </c>
      <c r="E2240" t="s">
        <v>20</v>
      </c>
      <c r="F2240" t="s">
        <v>128</v>
      </c>
      <c r="G2240" t="s">
        <v>33</v>
      </c>
      <c r="H2240" t="s">
        <v>34</v>
      </c>
      <c r="I2240" t="s">
        <v>24</v>
      </c>
      <c r="J2240" t="s">
        <v>1339</v>
      </c>
      <c r="L2240">
        <v>2.1</v>
      </c>
      <c r="N2240">
        <v>4.8</v>
      </c>
      <c r="O2240">
        <v>14</v>
      </c>
      <c r="P2240" t="s">
        <v>26</v>
      </c>
    </row>
    <row r="2241" spans="1:16" x14ac:dyDescent="0.25">
      <c r="A2241" t="s">
        <v>5525</v>
      </c>
      <c r="B2241" t="s">
        <v>5526</v>
      </c>
      <c r="C2241" t="s">
        <v>18</v>
      </c>
      <c r="D2241" t="s">
        <v>50</v>
      </c>
      <c r="E2241" t="s">
        <v>20</v>
      </c>
      <c r="F2241" t="s">
        <v>32</v>
      </c>
      <c r="G2241" t="s">
        <v>80</v>
      </c>
      <c r="H2241" t="s">
        <v>34</v>
      </c>
      <c r="I2241" t="s">
        <v>57</v>
      </c>
      <c r="J2241" t="s">
        <v>3266</v>
      </c>
      <c r="L2241">
        <v>6</v>
      </c>
      <c r="M2241">
        <v>183000</v>
      </c>
      <c r="N2241">
        <v>4.7</v>
      </c>
      <c r="O2241">
        <v>6</v>
      </c>
      <c r="P2241" t="s">
        <v>26</v>
      </c>
    </row>
    <row r="2242" spans="1:16" x14ac:dyDescent="0.25">
      <c r="A2242" t="s">
        <v>5527</v>
      </c>
      <c r="B2242" t="s">
        <v>2553</v>
      </c>
      <c r="C2242" t="s">
        <v>18</v>
      </c>
      <c r="D2242" t="s">
        <v>19</v>
      </c>
      <c r="F2242" t="s">
        <v>128</v>
      </c>
      <c r="G2242" t="s">
        <v>22</v>
      </c>
      <c r="H2242" t="s">
        <v>46</v>
      </c>
      <c r="I2242" t="s">
        <v>24</v>
      </c>
      <c r="J2242" t="s">
        <v>5528</v>
      </c>
      <c r="L2242">
        <v>4.5999999999999996</v>
      </c>
      <c r="M2242">
        <v>443000</v>
      </c>
      <c r="O2242">
        <v>8</v>
      </c>
      <c r="P2242" t="s">
        <v>26</v>
      </c>
    </row>
    <row r="2243" spans="1:16" x14ac:dyDescent="0.25">
      <c r="A2243" t="s">
        <v>5529</v>
      </c>
      <c r="B2243" t="s">
        <v>5530</v>
      </c>
      <c r="C2243" t="s">
        <v>18</v>
      </c>
      <c r="D2243" t="s">
        <v>50</v>
      </c>
      <c r="E2243" t="s">
        <v>31</v>
      </c>
      <c r="F2243" t="s">
        <v>32</v>
      </c>
      <c r="G2243" t="s">
        <v>80</v>
      </c>
      <c r="H2243" t="s">
        <v>34</v>
      </c>
      <c r="I2243" t="s">
        <v>75</v>
      </c>
      <c r="J2243" t="s">
        <v>5531</v>
      </c>
      <c r="K2243" t="s">
        <v>2797</v>
      </c>
      <c r="L2243">
        <v>4</v>
      </c>
      <c r="M2243">
        <v>336000</v>
      </c>
      <c r="N2243">
        <v>3</v>
      </c>
      <c r="O2243">
        <v>4</v>
      </c>
      <c r="P2243" t="s">
        <v>72</v>
      </c>
    </row>
    <row r="2244" spans="1:16" x14ac:dyDescent="0.25">
      <c r="A2244" t="s">
        <v>5532</v>
      </c>
      <c r="B2244" t="s">
        <v>5136</v>
      </c>
      <c r="C2244" t="s">
        <v>29</v>
      </c>
      <c r="D2244" t="s">
        <v>19</v>
      </c>
      <c r="E2244" t="s">
        <v>20</v>
      </c>
      <c r="F2244" t="s">
        <v>128</v>
      </c>
      <c r="G2244" t="s">
        <v>22</v>
      </c>
      <c r="H2244" t="s">
        <v>23</v>
      </c>
      <c r="I2244" t="s">
        <v>24</v>
      </c>
      <c r="J2244" t="s">
        <v>863</v>
      </c>
      <c r="L2244">
        <v>5.0999999999999996</v>
      </c>
      <c r="M2244">
        <v>470000</v>
      </c>
      <c r="N2244">
        <v>3.2</v>
      </c>
      <c r="O2244">
        <v>10</v>
      </c>
      <c r="P2244" t="s">
        <v>26</v>
      </c>
    </row>
    <row r="2245" spans="1:16" x14ac:dyDescent="0.25">
      <c r="A2245" t="s">
        <v>5533</v>
      </c>
      <c r="B2245" t="s">
        <v>3122</v>
      </c>
      <c r="C2245" t="s">
        <v>29</v>
      </c>
      <c r="D2245" t="s">
        <v>30</v>
      </c>
      <c r="E2245" t="s">
        <v>20</v>
      </c>
      <c r="F2245" t="s">
        <v>32</v>
      </c>
      <c r="G2245" t="s">
        <v>22</v>
      </c>
      <c r="H2245" t="s">
        <v>46</v>
      </c>
      <c r="I2245" t="s">
        <v>75</v>
      </c>
      <c r="J2245" t="s">
        <v>1497</v>
      </c>
      <c r="L2245">
        <v>1.7</v>
      </c>
      <c r="M2245">
        <v>201000</v>
      </c>
      <c r="N2245">
        <v>3.2</v>
      </c>
      <c r="O2245">
        <v>7</v>
      </c>
      <c r="P2245" t="s">
        <v>26</v>
      </c>
    </row>
    <row r="2246" spans="1:16" x14ac:dyDescent="0.25">
      <c r="A2246" t="s">
        <v>5534</v>
      </c>
      <c r="B2246" t="s">
        <v>2046</v>
      </c>
      <c r="C2246" t="s">
        <v>29</v>
      </c>
      <c r="D2246" t="s">
        <v>79</v>
      </c>
      <c r="E2246" t="s">
        <v>31</v>
      </c>
      <c r="F2246" t="s">
        <v>128</v>
      </c>
      <c r="G2246" t="s">
        <v>22</v>
      </c>
      <c r="H2246" t="s">
        <v>46</v>
      </c>
      <c r="I2246" t="s">
        <v>24</v>
      </c>
      <c r="J2246" t="s">
        <v>1729</v>
      </c>
      <c r="L2246">
        <v>2.1</v>
      </c>
      <c r="M2246">
        <v>462000</v>
      </c>
      <c r="N2246">
        <v>2.4</v>
      </c>
      <c r="O2246">
        <v>4</v>
      </c>
      <c r="P2246" t="s">
        <v>26</v>
      </c>
    </row>
    <row r="2247" spans="1:16" x14ac:dyDescent="0.25">
      <c r="A2247" t="s">
        <v>5535</v>
      </c>
      <c r="B2247" t="s">
        <v>3537</v>
      </c>
      <c r="C2247" t="s">
        <v>18</v>
      </c>
      <c r="D2247" t="s">
        <v>79</v>
      </c>
      <c r="E2247" t="s">
        <v>44</v>
      </c>
      <c r="F2247" t="s">
        <v>128</v>
      </c>
      <c r="G2247" t="s">
        <v>22</v>
      </c>
      <c r="H2247" t="s">
        <v>23</v>
      </c>
      <c r="I2247" t="s">
        <v>57</v>
      </c>
      <c r="J2247" t="s">
        <v>1921</v>
      </c>
      <c r="L2247">
        <v>6.2</v>
      </c>
      <c r="M2247">
        <v>359000</v>
      </c>
      <c r="N2247">
        <v>3.4</v>
      </c>
      <c r="O2247">
        <v>12</v>
      </c>
      <c r="P2247" t="s">
        <v>26</v>
      </c>
    </row>
    <row r="2248" spans="1:16" x14ac:dyDescent="0.25">
      <c r="A2248" t="s">
        <v>5536</v>
      </c>
      <c r="B2248" t="s">
        <v>3918</v>
      </c>
      <c r="C2248" t="s">
        <v>18</v>
      </c>
      <c r="D2248" t="s">
        <v>30</v>
      </c>
      <c r="E2248" t="s">
        <v>44</v>
      </c>
      <c r="F2248" t="s">
        <v>39</v>
      </c>
      <c r="G2248" t="s">
        <v>22</v>
      </c>
      <c r="H2248" t="s">
        <v>23</v>
      </c>
      <c r="I2248" t="s">
        <v>35</v>
      </c>
      <c r="J2248" t="s">
        <v>4319</v>
      </c>
      <c r="K2248" t="s">
        <v>3558</v>
      </c>
      <c r="L2248">
        <v>3</v>
      </c>
      <c r="M2248">
        <v>142000</v>
      </c>
      <c r="N2248">
        <v>2.8</v>
      </c>
      <c r="O2248">
        <v>4</v>
      </c>
      <c r="P2248" t="s">
        <v>53</v>
      </c>
    </row>
    <row r="2249" spans="1:16" x14ac:dyDescent="0.25">
      <c r="A2249" t="s">
        <v>5537</v>
      </c>
      <c r="B2249" t="s">
        <v>1040</v>
      </c>
      <c r="C2249" t="s">
        <v>29</v>
      </c>
      <c r="D2249" t="s">
        <v>30</v>
      </c>
      <c r="E2249" t="s">
        <v>20</v>
      </c>
      <c r="F2249" t="s">
        <v>39</v>
      </c>
      <c r="G2249" t="s">
        <v>22</v>
      </c>
      <c r="H2249" t="s">
        <v>46</v>
      </c>
      <c r="I2249" t="s">
        <v>24</v>
      </c>
      <c r="J2249" t="s">
        <v>5538</v>
      </c>
      <c r="K2249" t="s">
        <v>788</v>
      </c>
      <c r="L2249">
        <v>5.3</v>
      </c>
      <c r="M2249">
        <v>150000</v>
      </c>
      <c r="N2249">
        <v>1.9</v>
      </c>
      <c r="O2249">
        <v>1</v>
      </c>
      <c r="P2249" t="s">
        <v>72</v>
      </c>
    </row>
    <row r="2250" spans="1:16" x14ac:dyDescent="0.25">
      <c r="A2250" t="s">
        <v>5539</v>
      </c>
      <c r="B2250" t="s">
        <v>1509</v>
      </c>
      <c r="C2250" t="s">
        <v>29</v>
      </c>
      <c r="D2250" t="s">
        <v>19</v>
      </c>
      <c r="E2250" t="s">
        <v>20</v>
      </c>
      <c r="F2250" t="s">
        <v>32</v>
      </c>
      <c r="G2250" t="s">
        <v>22</v>
      </c>
      <c r="H2250" t="s">
        <v>46</v>
      </c>
      <c r="I2250" t="s">
        <v>24</v>
      </c>
      <c r="J2250" t="s">
        <v>2687</v>
      </c>
      <c r="L2250">
        <v>2</v>
      </c>
      <c r="M2250">
        <v>294000</v>
      </c>
      <c r="N2250">
        <v>4.2</v>
      </c>
      <c r="O2250">
        <v>4</v>
      </c>
      <c r="P2250" t="s">
        <v>26</v>
      </c>
    </row>
    <row r="2251" spans="1:16" x14ac:dyDescent="0.25">
      <c r="A2251" t="s">
        <v>5540</v>
      </c>
      <c r="B2251" t="s">
        <v>5541</v>
      </c>
      <c r="C2251" t="s">
        <v>18</v>
      </c>
      <c r="D2251" t="s">
        <v>61</v>
      </c>
      <c r="E2251" t="s">
        <v>20</v>
      </c>
      <c r="F2251" t="s">
        <v>32</v>
      </c>
      <c r="G2251" t="s">
        <v>80</v>
      </c>
      <c r="H2251" t="s">
        <v>46</v>
      </c>
      <c r="I2251" t="s">
        <v>57</v>
      </c>
      <c r="J2251" t="s">
        <v>5542</v>
      </c>
      <c r="K2251" t="s">
        <v>5543</v>
      </c>
      <c r="L2251">
        <v>5.4</v>
      </c>
      <c r="M2251">
        <v>337000</v>
      </c>
      <c r="N2251">
        <v>3.7</v>
      </c>
      <c r="O2251">
        <v>10</v>
      </c>
      <c r="P2251" t="s">
        <v>53</v>
      </c>
    </row>
    <row r="2252" spans="1:16" x14ac:dyDescent="0.25">
      <c r="A2252" t="s">
        <v>5544</v>
      </c>
      <c r="B2252" t="s">
        <v>5545</v>
      </c>
      <c r="C2252" t="s">
        <v>29</v>
      </c>
      <c r="D2252" t="s">
        <v>79</v>
      </c>
      <c r="E2252" t="s">
        <v>20</v>
      </c>
      <c r="F2252" t="s">
        <v>128</v>
      </c>
      <c r="G2252" t="s">
        <v>22</v>
      </c>
      <c r="H2252" t="s">
        <v>23</v>
      </c>
      <c r="I2252" t="s">
        <v>35</v>
      </c>
      <c r="J2252" t="s">
        <v>5546</v>
      </c>
      <c r="L2252">
        <v>4.8</v>
      </c>
      <c r="M2252">
        <v>591000</v>
      </c>
      <c r="N2252">
        <v>2.8</v>
      </c>
      <c r="O2252">
        <v>7</v>
      </c>
      <c r="P2252" t="s">
        <v>26</v>
      </c>
    </row>
    <row r="2253" spans="1:16" x14ac:dyDescent="0.25">
      <c r="A2253" t="s">
        <v>5547</v>
      </c>
      <c r="B2253" t="s">
        <v>5548</v>
      </c>
      <c r="C2253" t="s">
        <v>29</v>
      </c>
      <c r="D2253" t="s">
        <v>79</v>
      </c>
      <c r="E2253" t="s">
        <v>20</v>
      </c>
      <c r="F2253" t="s">
        <v>32</v>
      </c>
      <c r="G2253" t="s">
        <v>69</v>
      </c>
      <c r="H2253" t="s">
        <v>23</v>
      </c>
      <c r="I2253" t="s">
        <v>57</v>
      </c>
      <c r="J2253" t="s">
        <v>688</v>
      </c>
      <c r="L2253">
        <v>6</v>
      </c>
      <c r="M2253">
        <v>323000</v>
      </c>
      <c r="N2253">
        <v>2</v>
      </c>
      <c r="O2253">
        <v>14</v>
      </c>
      <c r="P2253" t="s">
        <v>26</v>
      </c>
    </row>
    <row r="2254" spans="1:16" x14ac:dyDescent="0.25">
      <c r="A2254" t="s">
        <v>5549</v>
      </c>
      <c r="B2254" t="s">
        <v>5550</v>
      </c>
      <c r="C2254" t="s">
        <v>18</v>
      </c>
      <c r="D2254" t="s">
        <v>79</v>
      </c>
      <c r="E2254" t="s">
        <v>20</v>
      </c>
      <c r="F2254" t="s">
        <v>128</v>
      </c>
      <c r="G2254" t="s">
        <v>33</v>
      </c>
      <c r="H2254" t="s">
        <v>23</v>
      </c>
      <c r="I2254" t="s">
        <v>171</v>
      </c>
      <c r="J2254" t="s">
        <v>216</v>
      </c>
      <c r="L2254">
        <v>4.4000000000000004</v>
      </c>
      <c r="M2254">
        <v>515000</v>
      </c>
      <c r="N2254">
        <v>3.3</v>
      </c>
      <c r="O2254">
        <v>4</v>
      </c>
      <c r="P2254" t="s">
        <v>26</v>
      </c>
    </row>
    <row r="2255" spans="1:16" x14ac:dyDescent="0.25">
      <c r="A2255" t="s">
        <v>5551</v>
      </c>
      <c r="B2255" t="s">
        <v>5552</v>
      </c>
      <c r="C2255" t="s">
        <v>29</v>
      </c>
      <c r="D2255" t="s">
        <v>19</v>
      </c>
      <c r="E2255" t="s">
        <v>31</v>
      </c>
      <c r="F2255" t="s">
        <v>39</v>
      </c>
      <c r="G2255" t="s">
        <v>80</v>
      </c>
      <c r="H2255" t="s">
        <v>34</v>
      </c>
      <c r="I2255" t="s">
        <v>35</v>
      </c>
      <c r="J2255" t="s">
        <v>4737</v>
      </c>
      <c r="L2255">
        <v>4.3</v>
      </c>
      <c r="M2255">
        <v>113000</v>
      </c>
      <c r="N2255">
        <v>4.8</v>
      </c>
      <c r="O2255">
        <v>9</v>
      </c>
      <c r="P2255" t="s">
        <v>26</v>
      </c>
    </row>
    <row r="2256" spans="1:16" x14ac:dyDescent="0.25">
      <c r="A2256" t="s">
        <v>5553</v>
      </c>
      <c r="B2256" t="s">
        <v>1862</v>
      </c>
      <c r="C2256" t="s">
        <v>29</v>
      </c>
      <c r="D2256" t="s">
        <v>19</v>
      </c>
      <c r="E2256" t="s">
        <v>44</v>
      </c>
      <c r="F2256" t="s">
        <v>128</v>
      </c>
      <c r="G2256" t="s">
        <v>80</v>
      </c>
      <c r="H2256" t="s">
        <v>46</v>
      </c>
      <c r="I2256" t="s">
        <v>57</v>
      </c>
      <c r="J2256" t="s">
        <v>4523</v>
      </c>
      <c r="K2256" t="s">
        <v>4781</v>
      </c>
      <c r="L2256">
        <v>4</v>
      </c>
      <c r="M2256">
        <v>656000</v>
      </c>
      <c r="N2256">
        <v>2.7</v>
      </c>
      <c r="O2256">
        <v>36</v>
      </c>
      <c r="P2256" t="s">
        <v>53</v>
      </c>
    </row>
    <row r="2257" spans="1:16" x14ac:dyDescent="0.25">
      <c r="A2257" t="s">
        <v>5554</v>
      </c>
      <c r="B2257" t="s">
        <v>5555</v>
      </c>
      <c r="C2257" t="s">
        <v>18</v>
      </c>
      <c r="D2257" t="s">
        <v>50</v>
      </c>
      <c r="E2257" t="s">
        <v>44</v>
      </c>
      <c r="F2257" t="s">
        <v>21</v>
      </c>
      <c r="G2257" t="s">
        <v>22</v>
      </c>
      <c r="H2257" t="s">
        <v>34</v>
      </c>
      <c r="I2257" t="s">
        <v>24</v>
      </c>
      <c r="J2257" t="s">
        <v>5556</v>
      </c>
      <c r="L2257">
        <v>5.4</v>
      </c>
      <c r="M2257">
        <v>914000</v>
      </c>
      <c r="N2257">
        <v>4.5</v>
      </c>
      <c r="O2257">
        <v>5</v>
      </c>
      <c r="P2257" t="s">
        <v>26</v>
      </c>
    </row>
    <row r="2258" spans="1:16" x14ac:dyDescent="0.25">
      <c r="A2258" t="s">
        <v>5557</v>
      </c>
      <c r="B2258" t="s">
        <v>5136</v>
      </c>
      <c r="C2258" t="s">
        <v>29</v>
      </c>
      <c r="D2258" t="s">
        <v>79</v>
      </c>
      <c r="E2258" t="s">
        <v>20</v>
      </c>
      <c r="G2258" t="s">
        <v>22</v>
      </c>
      <c r="H2258" t="s">
        <v>46</v>
      </c>
      <c r="I2258" t="s">
        <v>24</v>
      </c>
      <c r="J2258" t="s">
        <v>2997</v>
      </c>
      <c r="K2258" t="s">
        <v>4135</v>
      </c>
      <c r="L2258">
        <v>2.6</v>
      </c>
      <c r="M2258">
        <v>175000</v>
      </c>
      <c r="N2258">
        <v>2.2000000000000002</v>
      </c>
      <c r="O2258">
        <v>10</v>
      </c>
      <c r="P2258" t="s">
        <v>53</v>
      </c>
    </row>
    <row r="2259" spans="1:16" x14ac:dyDescent="0.25">
      <c r="A2259" t="s">
        <v>5558</v>
      </c>
      <c r="B2259" t="s">
        <v>1010</v>
      </c>
      <c r="C2259" t="s">
        <v>18</v>
      </c>
      <c r="E2259" t="s">
        <v>20</v>
      </c>
      <c r="F2259" t="s">
        <v>39</v>
      </c>
      <c r="G2259" t="s">
        <v>80</v>
      </c>
      <c r="H2259" t="s">
        <v>34</v>
      </c>
      <c r="I2259" t="s">
        <v>57</v>
      </c>
      <c r="J2259" t="s">
        <v>5559</v>
      </c>
      <c r="L2259">
        <v>5.4</v>
      </c>
      <c r="N2259">
        <v>2.1</v>
      </c>
      <c r="O2259">
        <v>13</v>
      </c>
      <c r="P2259" t="s">
        <v>26</v>
      </c>
    </row>
    <row r="2260" spans="1:16" x14ac:dyDescent="0.25">
      <c r="A2260" t="s">
        <v>5560</v>
      </c>
      <c r="B2260" t="s">
        <v>5561</v>
      </c>
      <c r="C2260" t="s">
        <v>29</v>
      </c>
      <c r="D2260" t="s">
        <v>50</v>
      </c>
      <c r="E2260" t="s">
        <v>44</v>
      </c>
      <c r="F2260" t="s">
        <v>39</v>
      </c>
      <c r="G2260" t="s">
        <v>33</v>
      </c>
      <c r="H2260" t="s">
        <v>46</v>
      </c>
      <c r="I2260" t="s">
        <v>24</v>
      </c>
      <c r="J2260" t="s">
        <v>4316</v>
      </c>
      <c r="K2260" t="s">
        <v>1491</v>
      </c>
      <c r="L2260">
        <v>2</v>
      </c>
      <c r="M2260">
        <v>125000</v>
      </c>
      <c r="N2260">
        <v>2.4</v>
      </c>
      <c r="O2260">
        <v>32</v>
      </c>
      <c r="P2260" t="s">
        <v>53</v>
      </c>
    </row>
    <row r="2261" spans="1:16" x14ac:dyDescent="0.25">
      <c r="A2261" t="s">
        <v>5562</v>
      </c>
      <c r="B2261" t="s">
        <v>3293</v>
      </c>
      <c r="C2261" t="s">
        <v>29</v>
      </c>
      <c r="D2261" t="s">
        <v>79</v>
      </c>
      <c r="E2261" t="s">
        <v>20</v>
      </c>
      <c r="G2261" t="s">
        <v>22</v>
      </c>
      <c r="H2261" t="s">
        <v>23</v>
      </c>
      <c r="I2261" t="s">
        <v>24</v>
      </c>
      <c r="J2261" t="s">
        <v>887</v>
      </c>
      <c r="K2261" t="s">
        <v>5123</v>
      </c>
      <c r="L2261">
        <v>4.3</v>
      </c>
      <c r="M2261">
        <v>96000</v>
      </c>
      <c r="N2261">
        <v>3</v>
      </c>
      <c r="O2261">
        <v>36</v>
      </c>
      <c r="P2261" t="s">
        <v>72</v>
      </c>
    </row>
    <row r="2262" spans="1:16" x14ac:dyDescent="0.25">
      <c r="A2262" t="s">
        <v>5563</v>
      </c>
      <c r="B2262" t="s">
        <v>5564</v>
      </c>
      <c r="C2262" t="s">
        <v>29</v>
      </c>
      <c r="D2262" t="s">
        <v>50</v>
      </c>
      <c r="E2262" t="s">
        <v>20</v>
      </c>
      <c r="F2262" t="s">
        <v>32</v>
      </c>
      <c r="G2262" t="s">
        <v>69</v>
      </c>
      <c r="H2262" t="s">
        <v>23</v>
      </c>
      <c r="I2262" t="s">
        <v>57</v>
      </c>
      <c r="J2262" t="s">
        <v>4891</v>
      </c>
      <c r="L2262">
        <v>4.8</v>
      </c>
      <c r="N2262">
        <v>4.2</v>
      </c>
      <c r="O2262">
        <v>12</v>
      </c>
      <c r="P2262" t="s">
        <v>26</v>
      </c>
    </row>
    <row r="2263" spans="1:16" x14ac:dyDescent="0.25">
      <c r="A2263" t="s">
        <v>5565</v>
      </c>
      <c r="B2263" t="s">
        <v>989</v>
      </c>
      <c r="C2263" t="s">
        <v>29</v>
      </c>
      <c r="D2263" t="s">
        <v>50</v>
      </c>
      <c r="E2263" t="s">
        <v>20</v>
      </c>
      <c r="F2263" t="s">
        <v>32</v>
      </c>
      <c r="G2263" t="s">
        <v>22</v>
      </c>
      <c r="H2263" t="s">
        <v>46</v>
      </c>
      <c r="I2263" t="s">
        <v>57</v>
      </c>
      <c r="J2263" t="s">
        <v>2687</v>
      </c>
      <c r="L2263">
        <v>2</v>
      </c>
      <c r="M2263">
        <v>238000</v>
      </c>
      <c r="N2263">
        <v>4.9000000000000004</v>
      </c>
      <c r="O2263">
        <v>7</v>
      </c>
      <c r="P2263" t="s">
        <v>26</v>
      </c>
    </row>
    <row r="2264" spans="1:16" x14ac:dyDescent="0.25">
      <c r="A2264" t="s">
        <v>5566</v>
      </c>
      <c r="B2264" t="s">
        <v>5567</v>
      </c>
      <c r="C2264" t="s">
        <v>18</v>
      </c>
      <c r="D2264" t="s">
        <v>19</v>
      </c>
      <c r="E2264" t="s">
        <v>44</v>
      </c>
      <c r="F2264" t="s">
        <v>32</v>
      </c>
      <c r="G2264" t="s">
        <v>33</v>
      </c>
      <c r="H2264" t="s">
        <v>34</v>
      </c>
      <c r="I2264" t="s">
        <v>35</v>
      </c>
      <c r="J2264" t="s">
        <v>2511</v>
      </c>
      <c r="L2264">
        <v>1.8</v>
      </c>
      <c r="M2264">
        <v>211000</v>
      </c>
      <c r="N2264">
        <v>2.5</v>
      </c>
      <c r="P2264" t="s">
        <v>26</v>
      </c>
    </row>
    <row r="2265" spans="1:16" x14ac:dyDescent="0.25">
      <c r="A2265" t="s">
        <v>5568</v>
      </c>
      <c r="B2265" t="s">
        <v>5569</v>
      </c>
      <c r="C2265" t="s">
        <v>29</v>
      </c>
      <c r="D2265" t="s">
        <v>50</v>
      </c>
      <c r="E2265" t="s">
        <v>20</v>
      </c>
      <c r="F2265" t="s">
        <v>32</v>
      </c>
      <c r="G2265" t="s">
        <v>22</v>
      </c>
      <c r="H2265" t="s">
        <v>23</v>
      </c>
      <c r="I2265" t="s">
        <v>24</v>
      </c>
      <c r="J2265" t="s">
        <v>419</v>
      </c>
      <c r="L2265">
        <v>6.2</v>
      </c>
      <c r="M2265">
        <v>204000</v>
      </c>
      <c r="N2265">
        <v>2.2000000000000002</v>
      </c>
      <c r="O2265">
        <v>10</v>
      </c>
      <c r="P2265" t="s">
        <v>26</v>
      </c>
    </row>
    <row r="2266" spans="1:16" x14ac:dyDescent="0.25">
      <c r="A2266" t="s">
        <v>5570</v>
      </c>
      <c r="B2266" t="s">
        <v>4527</v>
      </c>
      <c r="C2266" t="s">
        <v>18</v>
      </c>
      <c r="E2266" t="s">
        <v>31</v>
      </c>
      <c r="F2266" t="s">
        <v>128</v>
      </c>
      <c r="G2266" t="s">
        <v>22</v>
      </c>
      <c r="H2266" t="s">
        <v>23</v>
      </c>
      <c r="I2266" t="s">
        <v>24</v>
      </c>
      <c r="J2266" t="s">
        <v>1497</v>
      </c>
      <c r="L2266">
        <v>1.7</v>
      </c>
      <c r="N2266">
        <v>3.7</v>
      </c>
      <c r="O2266">
        <v>12</v>
      </c>
      <c r="P2266" t="s">
        <v>26</v>
      </c>
    </row>
    <row r="2267" spans="1:16" x14ac:dyDescent="0.25">
      <c r="A2267" t="s">
        <v>5571</v>
      </c>
      <c r="B2267" t="s">
        <v>3126</v>
      </c>
      <c r="C2267" t="s">
        <v>29</v>
      </c>
      <c r="D2267" t="s">
        <v>30</v>
      </c>
      <c r="E2267" t="s">
        <v>20</v>
      </c>
      <c r="F2267" t="s">
        <v>32</v>
      </c>
      <c r="G2267" t="s">
        <v>22</v>
      </c>
      <c r="H2267" t="s">
        <v>23</v>
      </c>
      <c r="I2267" t="s">
        <v>24</v>
      </c>
      <c r="J2267" t="s">
        <v>2219</v>
      </c>
      <c r="L2267">
        <v>5.2</v>
      </c>
      <c r="M2267">
        <v>248000</v>
      </c>
      <c r="N2267">
        <v>3.4</v>
      </c>
      <c r="O2267">
        <v>3</v>
      </c>
      <c r="P2267" t="s">
        <v>26</v>
      </c>
    </row>
    <row r="2268" spans="1:16" x14ac:dyDescent="0.25">
      <c r="A2268" t="s">
        <v>5572</v>
      </c>
      <c r="B2268" t="s">
        <v>599</v>
      </c>
      <c r="C2268" t="s">
        <v>29</v>
      </c>
      <c r="D2268" t="s">
        <v>30</v>
      </c>
      <c r="E2268" t="s">
        <v>20</v>
      </c>
      <c r="F2268" t="s">
        <v>39</v>
      </c>
      <c r="G2268" t="s">
        <v>33</v>
      </c>
      <c r="H2268" t="s">
        <v>23</v>
      </c>
      <c r="I2268" t="s">
        <v>24</v>
      </c>
      <c r="J2268" t="s">
        <v>1029</v>
      </c>
      <c r="K2268" t="s">
        <v>5573</v>
      </c>
      <c r="L2268">
        <v>3.2</v>
      </c>
      <c r="M2268">
        <v>146000</v>
      </c>
      <c r="N2268">
        <v>3.2</v>
      </c>
      <c r="O2268">
        <v>10</v>
      </c>
      <c r="P2268" t="s">
        <v>53</v>
      </c>
    </row>
    <row r="2269" spans="1:16" x14ac:dyDescent="0.25">
      <c r="A2269" t="s">
        <v>5574</v>
      </c>
      <c r="B2269" t="s">
        <v>2112</v>
      </c>
      <c r="C2269" t="s">
        <v>29</v>
      </c>
      <c r="D2269" t="s">
        <v>19</v>
      </c>
      <c r="E2269" t="s">
        <v>20</v>
      </c>
      <c r="F2269" t="s">
        <v>39</v>
      </c>
      <c r="G2269" t="s">
        <v>80</v>
      </c>
      <c r="I2269" t="s">
        <v>24</v>
      </c>
      <c r="J2269" t="s">
        <v>2809</v>
      </c>
      <c r="K2269" t="s">
        <v>5575</v>
      </c>
      <c r="L2269">
        <v>1.8</v>
      </c>
      <c r="M2269">
        <v>172000</v>
      </c>
      <c r="N2269">
        <v>3.2</v>
      </c>
      <c r="O2269">
        <v>23</v>
      </c>
      <c r="P2269" t="s">
        <v>72</v>
      </c>
    </row>
    <row r="2270" spans="1:16" x14ac:dyDescent="0.25">
      <c r="A2270" t="s">
        <v>5576</v>
      </c>
      <c r="B2270" t="s">
        <v>5433</v>
      </c>
      <c r="C2270" t="s">
        <v>18</v>
      </c>
      <c r="D2270" t="s">
        <v>79</v>
      </c>
      <c r="E2270" t="s">
        <v>20</v>
      </c>
      <c r="F2270" t="s">
        <v>39</v>
      </c>
      <c r="G2270" t="s">
        <v>69</v>
      </c>
      <c r="I2270" t="s">
        <v>57</v>
      </c>
      <c r="J2270" t="s">
        <v>3529</v>
      </c>
      <c r="K2270" t="s">
        <v>5577</v>
      </c>
      <c r="L2270">
        <v>5.8</v>
      </c>
      <c r="M2270">
        <v>172000</v>
      </c>
      <c r="N2270">
        <v>4.7</v>
      </c>
      <c r="O2270">
        <v>14</v>
      </c>
      <c r="P2270" t="s">
        <v>53</v>
      </c>
    </row>
    <row r="2271" spans="1:16" x14ac:dyDescent="0.25">
      <c r="A2271" t="s">
        <v>5578</v>
      </c>
      <c r="B2271" t="s">
        <v>4222</v>
      </c>
      <c r="C2271" t="s">
        <v>29</v>
      </c>
      <c r="D2271" t="s">
        <v>79</v>
      </c>
      <c r="E2271" t="s">
        <v>44</v>
      </c>
      <c r="F2271" t="s">
        <v>128</v>
      </c>
      <c r="G2271" t="s">
        <v>22</v>
      </c>
      <c r="H2271" t="s">
        <v>62</v>
      </c>
      <c r="I2271" t="s">
        <v>24</v>
      </c>
      <c r="J2271" t="s">
        <v>5579</v>
      </c>
      <c r="K2271" t="s">
        <v>5003</v>
      </c>
      <c r="L2271">
        <v>3.7</v>
      </c>
      <c r="M2271">
        <v>496000</v>
      </c>
      <c r="N2271">
        <v>4.7</v>
      </c>
      <c r="O2271">
        <v>38</v>
      </c>
      <c r="P2271" t="s">
        <v>72</v>
      </c>
    </row>
    <row r="2272" spans="1:16" x14ac:dyDescent="0.25">
      <c r="A2272" t="s">
        <v>5580</v>
      </c>
      <c r="B2272" t="s">
        <v>3955</v>
      </c>
      <c r="C2272" t="s">
        <v>18</v>
      </c>
      <c r="D2272" t="s">
        <v>43</v>
      </c>
      <c r="E2272" t="s">
        <v>20</v>
      </c>
      <c r="F2272" t="s">
        <v>32</v>
      </c>
      <c r="G2272" t="s">
        <v>33</v>
      </c>
      <c r="H2272" t="s">
        <v>62</v>
      </c>
      <c r="I2272" t="s">
        <v>57</v>
      </c>
      <c r="J2272" t="s">
        <v>1213</v>
      </c>
      <c r="L2272">
        <v>5.5</v>
      </c>
      <c r="M2272">
        <v>313000</v>
      </c>
      <c r="O2272">
        <v>9</v>
      </c>
      <c r="P2272" t="s">
        <v>26</v>
      </c>
    </row>
    <row r="2273" spans="1:16" x14ac:dyDescent="0.25">
      <c r="A2273" t="s">
        <v>4908</v>
      </c>
      <c r="B2273" t="s">
        <v>4909</v>
      </c>
      <c r="C2273" t="s">
        <v>18</v>
      </c>
      <c r="D2273" t="s">
        <v>43</v>
      </c>
      <c r="E2273" t="s">
        <v>20</v>
      </c>
      <c r="F2273" t="s">
        <v>128</v>
      </c>
      <c r="G2273" t="s">
        <v>22</v>
      </c>
      <c r="H2273" t="s">
        <v>23</v>
      </c>
      <c r="I2273" t="s">
        <v>57</v>
      </c>
      <c r="J2273" t="s">
        <v>3195</v>
      </c>
      <c r="L2273">
        <v>5.8</v>
      </c>
      <c r="M2273">
        <v>352000</v>
      </c>
      <c r="N2273">
        <v>3.5</v>
      </c>
      <c r="O2273">
        <v>14</v>
      </c>
      <c r="P2273" t="s">
        <v>26</v>
      </c>
    </row>
    <row r="2274" spans="1:16" x14ac:dyDescent="0.25">
      <c r="A2274" t="s">
        <v>5581</v>
      </c>
      <c r="B2274" t="s">
        <v>5582</v>
      </c>
      <c r="C2274" t="s">
        <v>29</v>
      </c>
      <c r="D2274" t="s">
        <v>30</v>
      </c>
      <c r="E2274" t="s">
        <v>20</v>
      </c>
      <c r="F2274" t="s">
        <v>32</v>
      </c>
      <c r="G2274" t="s">
        <v>22</v>
      </c>
      <c r="H2274" t="s">
        <v>34</v>
      </c>
      <c r="I2274" t="s">
        <v>57</v>
      </c>
      <c r="J2274" t="s">
        <v>921</v>
      </c>
      <c r="L2274">
        <v>1.7</v>
      </c>
      <c r="M2274">
        <v>340000</v>
      </c>
      <c r="N2274">
        <v>4.5</v>
      </c>
      <c r="O2274">
        <v>7</v>
      </c>
      <c r="P2274" t="s">
        <v>26</v>
      </c>
    </row>
    <row r="2275" spans="1:16" x14ac:dyDescent="0.25">
      <c r="A2275" t="s">
        <v>5583</v>
      </c>
      <c r="B2275" t="s">
        <v>5584</v>
      </c>
      <c r="C2275" t="s">
        <v>29</v>
      </c>
      <c r="D2275" t="s">
        <v>50</v>
      </c>
      <c r="E2275" t="s">
        <v>20</v>
      </c>
      <c r="F2275" t="s">
        <v>39</v>
      </c>
      <c r="G2275" t="s">
        <v>33</v>
      </c>
      <c r="H2275" t="s">
        <v>34</v>
      </c>
      <c r="J2275" t="s">
        <v>5585</v>
      </c>
      <c r="L2275">
        <v>4.9000000000000004</v>
      </c>
      <c r="M2275">
        <v>172000</v>
      </c>
      <c r="N2275">
        <v>2</v>
      </c>
      <c r="O2275">
        <v>9</v>
      </c>
      <c r="P2275" t="s">
        <v>26</v>
      </c>
    </row>
    <row r="2276" spans="1:16" x14ac:dyDescent="0.25">
      <c r="A2276" t="s">
        <v>5586</v>
      </c>
      <c r="B2276" t="s">
        <v>3296</v>
      </c>
      <c r="C2276" t="s">
        <v>29</v>
      </c>
      <c r="D2276" t="s">
        <v>79</v>
      </c>
      <c r="E2276" t="s">
        <v>20</v>
      </c>
      <c r="F2276" t="s">
        <v>32</v>
      </c>
      <c r="G2276" t="s">
        <v>80</v>
      </c>
      <c r="H2276" t="s">
        <v>46</v>
      </c>
      <c r="I2276" t="s">
        <v>35</v>
      </c>
      <c r="J2276" t="s">
        <v>5587</v>
      </c>
      <c r="L2276">
        <v>3.9</v>
      </c>
      <c r="M2276">
        <v>327000</v>
      </c>
      <c r="N2276">
        <v>2.6</v>
      </c>
      <c r="O2276">
        <v>11</v>
      </c>
      <c r="P2276" t="s">
        <v>26</v>
      </c>
    </row>
    <row r="2277" spans="1:16" x14ac:dyDescent="0.25">
      <c r="A2277" t="s">
        <v>5588</v>
      </c>
      <c r="B2277" t="s">
        <v>2462</v>
      </c>
      <c r="C2277" t="s">
        <v>18</v>
      </c>
      <c r="D2277" t="s">
        <v>79</v>
      </c>
      <c r="E2277" t="s">
        <v>44</v>
      </c>
      <c r="F2277" t="s">
        <v>21</v>
      </c>
      <c r="G2277" t="s">
        <v>69</v>
      </c>
      <c r="H2277" t="s">
        <v>34</v>
      </c>
      <c r="I2277" t="s">
        <v>24</v>
      </c>
      <c r="J2277" t="s">
        <v>5208</v>
      </c>
      <c r="L2277">
        <v>2.6</v>
      </c>
      <c r="M2277">
        <v>766000</v>
      </c>
      <c r="N2277">
        <v>3.9</v>
      </c>
      <c r="O2277">
        <v>9</v>
      </c>
      <c r="P2277" t="s">
        <v>26</v>
      </c>
    </row>
    <row r="2278" spans="1:16" x14ac:dyDescent="0.25">
      <c r="A2278" t="s">
        <v>5589</v>
      </c>
      <c r="B2278" t="s">
        <v>4138</v>
      </c>
      <c r="C2278" t="s">
        <v>29</v>
      </c>
      <c r="D2278" t="s">
        <v>30</v>
      </c>
      <c r="E2278" t="s">
        <v>44</v>
      </c>
      <c r="F2278" t="s">
        <v>32</v>
      </c>
      <c r="G2278" t="s">
        <v>80</v>
      </c>
      <c r="H2278" t="s">
        <v>34</v>
      </c>
      <c r="I2278" t="s">
        <v>171</v>
      </c>
      <c r="J2278" t="s">
        <v>1545</v>
      </c>
      <c r="K2278" t="s">
        <v>189</v>
      </c>
      <c r="L2278">
        <v>3.5</v>
      </c>
      <c r="M2278">
        <v>335000</v>
      </c>
      <c r="N2278">
        <v>4.5</v>
      </c>
      <c r="O2278">
        <v>3</v>
      </c>
      <c r="P2278" t="s">
        <v>53</v>
      </c>
    </row>
    <row r="2279" spans="1:16" x14ac:dyDescent="0.25">
      <c r="A2279" t="s">
        <v>5590</v>
      </c>
      <c r="B2279" t="s">
        <v>3380</v>
      </c>
      <c r="C2279" t="s">
        <v>18</v>
      </c>
      <c r="E2279" t="s">
        <v>20</v>
      </c>
      <c r="F2279" t="s">
        <v>39</v>
      </c>
      <c r="G2279" t="s">
        <v>22</v>
      </c>
      <c r="H2279" t="s">
        <v>34</v>
      </c>
      <c r="I2279" t="s">
        <v>24</v>
      </c>
      <c r="J2279" t="s">
        <v>5115</v>
      </c>
      <c r="L2279">
        <v>3.3</v>
      </c>
      <c r="M2279">
        <v>186000</v>
      </c>
      <c r="N2279">
        <v>3.6</v>
      </c>
      <c r="O2279">
        <v>36</v>
      </c>
      <c r="P2279" t="s">
        <v>26</v>
      </c>
    </row>
    <row r="2280" spans="1:16" x14ac:dyDescent="0.25">
      <c r="A2280" t="s">
        <v>5591</v>
      </c>
      <c r="B2280" t="s">
        <v>3375</v>
      </c>
      <c r="C2280" t="s">
        <v>18</v>
      </c>
      <c r="D2280" t="s">
        <v>30</v>
      </c>
      <c r="E2280" t="s">
        <v>20</v>
      </c>
      <c r="F2280" t="s">
        <v>128</v>
      </c>
      <c r="G2280" t="s">
        <v>33</v>
      </c>
      <c r="H2280" t="s">
        <v>34</v>
      </c>
      <c r="I2280" t="s">
        <v>24</v>
      </c>
      <c r="J2280" t="s">
        <v>5592</v>
      </c>
      <c r="K2280" t="s">
        <v>1062</v>
      </c>
      <c r="L2280">
        <v>5.9</v>
      </c>
      <c r="M2280">
        <v>464000</v>
      </c>
      <c r="N2280">
        <v>2.5</v>
      </c>
      <c r="O2280">
        <v>33</v>
      </c>
      <c r="P2280" t="s">
        <v>72</v>
      </c>
    </row>
    <row r="2281" spans="1:16" x14ac:dyDescent="0.25">
      <c r="A2281" t="s">
        <v>5593</v>
      </c>
      <c r="B2281" t="s">
        <v>3729</v>
      </c>
      <c r="C2281" t="s">
        <v>29</v>
      </c>
      <c r="D2281" t="s">
        <v>30</v>
      </c>
      <c r="E2281" t="s">
        <v>20</v>
      </c>
      <c r="F2281" t="s">
        <v>128</v>
      </c>
      <c r="G2281" t="s">
        <v>22</v>
      </c>
      <c r="H2281" t="s">
        <v>46</v>
      </c>
      <c r="I2281" t="s">
        <v>57</v>
      </c>
      <c r="J2281" t="s">
        <v>4201</v>
      </c>
      <c r="L2281">
        <v>5.9</v>
      </c>
      <c r="M2281">
        <v>563000</v>
      </c>
      <c r="N2281">
        <v>3.1</v>
      </c>
      <c r="O2281">
        <v>3</v>
      </c>
      <c r="P2281" t="s">
        <v>26</v>
      </c>
    </row>
    <row r="2282" spans="1:16" x14ac:dyDescent="0.25">
      <c r="A2282" t="s">
        <v>5594</v>
      </c>
      <c r="B2282" t="s">
        <v>5595</v>
      </c>
      <c r="C2282" t="s">
        <v>29</v>
      </c>
      <c r="D2282" t="s">
        <v>19</v>
      </c>
      <c r="E2282" t="s">
        <v>20</v>
      </c>
      <c r="G2282" t="s">
        <v>22</v>
      </c>
      <c r="H2282" t="s">
        <v>34</v>
      </c>
      <c r="I2282" t="s">
        <v>35</v>
      </c>
      <c r="J2282" t="s">
        <v>5596</v>
      </c>
      <c r="L2282">
        <v>3.5</v>
      </c>
      <c r="M2282">
        <v>795000</v>
      </c>
      <c r="N2282">
        <v>3.6</v>
      </c>
      <c r="O2282">
        <v>6</v>
      </c>
      <c r="P2282" t="s">
        <v>26</v>
      </c>
    </row>
    <row r="2283" spans="1:16" x14ac:dyDescent="0.25">
      <c r="A2283" t="s">
        <v>5597</v>
      </c>
      <c r="B2283" t="s">
        <v>2175</v>
      </c>
      <c r="C2283" t="s">
        <v>18</v>
      </c>
      <c r="D2283" t="s">
        <v>50</v>
      </c>
      <c r="E2283" t="s">
        <v>31</v>
      </c>
      <c r="F2283" t="s">
        <v>128</v>
      </c>
      <c r="G2283" t="s">
        <v>33</v>
      </c>
      <c r="H2283" t="s">
        <v>46</v>
      </c>
      <c r="I2283" t="s">
        <v>57</v>
      </c>
      <c r="J2283" t="s">
        <v>926</v>
      </c>
      <c r="K2283" t="s">
        <v>5598</v>
      </c>
      <c r="L2283">
        <v>3.4</v>
      </c>
      <c r="M2283">
        <v>367000</v>
      </c>
      <c r="N2283">
        <v>3.3</v>
      </c>
      <c r="P2283" t="s">
        <v>53</v>
      </c>
    </row>
    <row r="2284" spans="1:16" x14ac:dyDescent="0.25">
      <c r="A2284" t="s">
        <v>5599</v>
      </c>
      <c r="B2284" t="s">
        <v>2178</v>
      </c>
      <c r="C2284" t="s">
        <v>18</v>
      </c>
      <c r="D2284" t="s">
        <v>19</v>
      </c>
      <c r="E2284" t="s">
        <v>20</v>
      </c>
      <c r="F2284" t="s">
        <v>39</v>
      </c>
      <c r="G2284" t="s">
        <v>22</v>
      </c>
      <c r="H2284" t="s">
        <v>23</v>
      </c>
      <c r="I2284" t="s">
        <v>57</v>
      </c>
      <c r="J2284" t="s">
        <v>211</v>
      </c>
      <c r="L2284">
        <v>2.5</v>
      </c>
      <c r="M2284">
        <v>181000</v>
      </c>
      <c r="N2284">
        <v>3.8</v>
      </c>
      <c r="O2284">
        <v>3</v>
      </c>
      <c r="P2284" t="s">
        <v>26</v>
      </c>
    </row>
    <row r="2285" spans="1:16" x14ac:dyDescent="0.25">
      <c r="A2285" t="s">
        <v>5600</v>
      </c>
      <c r="B2285" t="s">
        <v>5601</v>
      </c>
      <c r="C2285" t="s">
        <v>18</v>
      </c>
      <c r="D2285" t="s">
        <v>19</v>
      </c>
      <c r="E2285" t="s">
        <v>31</v>
      </c>
      <c r="F2285" t="s">
        <v>32</v>
      </c>
      <c r="G2285" t="s">
        <v>22</v>
      </c>
      <c r="H2285" t="s">
        <v>62</v>
      </c>
      <c r="I2285" t="s">
        <v>57</v>
      </c>
      <c r="J2285" t="s">
        <v>5602</v>
      </c>
      <c r="L2285">
        <v>3.4</v>
      </c>
      <c r="N2285">
        <v>2.1</v>
      </c>
      <c r="O2285">
        <v>12</v>
      </c>
      <c r="P2285" t="s">
        <v>26</v>
      </c>
    </row>
    <row r="2286" spans="1:16" x14ac:dyDescent="0.25">
      <c r="A2286" t="s">
        <v>5603</v>
      </c>
      <c r="B2286" t="s">
        <v>3610</v>
      </c>
      <c r="C2286" t="s">
        <v>18</v>
      </c>
      <c r="D2286" t="s">
        <v>30</v>
      </c>
      <c r="E2286" t="s">
        <v>44</v>
      </c>
      <c r="F2286" t="s">
        <v>128</v>
      </c>
      <c r="G2286" t="s">
        <v>80</v>
      </c>
      <c r="H2286" t="s">
        <v>34</v>
      </c>
      <c r="I2286" t="s">
        <v>24</v>
      </c>
      <c r="J2286" t="s">
        <v>2476</v>
      </c>
      <c r="L2286">
        <v>3.5</v>
      </c>
      <c r="M2286">
        <v>522000</v>
      </c>
      <c r="N2286">
        <v>4.4000000000000004</v>
      </c>
      <c r="O2286">
        <v>1</v>
      </c>
      <c r="P2286" t="s">
        <v>26</v>
      </c>
    </row>
    <row r="2287" spans="1:16" x14ac:dyDescent="0.25">
      <c r="A2287" t="s">
        <v>5604</v>
      </c>
      <c r="B2287" t="s">
        <v>5605</v>
      </c>
      <c r="D2287" t="s">
        <v>79</v>
      </c>
      <c r="E2287" t="s">
        <v>20</v>
      </c>
      <c r="F2287" t="s">
        <v>128</v>
      </c>
      <c r="G2287" t="s">
        <v>80</v>
      </c>
      <c r="H2287" t="s">
        <v>46</v>
      </c>
      <c r="I2287" t="s">
        <v>57</v>
      </c>
      <c r="J2287" t="s">
        <v>5441</v>
      </c>
      <c r="K2287" t="s">
        <v>5606</v>
      </c>
      <c r="L2287">
        <v>2.2000000000000002</v>
      </c>
      <c r="M2287">
        <v>401000</v>
      </c>
      <c r="N2287">
        <v>2.2000000000000002</v>
      </c>
      <c r="O2287">
        <v>3</v>
      </c>
      <c r="P2287" t="s">
        <v>53</v>
      </c>
    </row>
    <row r="2288" spans="1:16" x14ac:dyDescent="0.25">
      <c r="A2288" t="s">
        <v>5607</v>
      </c>
      <c r="B2288" t="s">
        <v>5608</v>
      </c>
      <c r="C2288" t="s">
        <v>29</v>
      </c>
      <c r="D2288" t="s">
        <v>79</v>
      </c>
      <c r="F2288" t="s">
        <v>39</v>
      </c>
      <c r="G2288" t="s">
        <v>22</v>
      </c>
      <c r="H2288" t="s">
        <v>23</v>
      </c>
      <c r="I2288" t="s">
        <v>24</v>
      </c>
      <c r="J2288" t="s">
        <v>5609</v>
      </c>
      <c r="K2288" t="s">
        <v>2157</v>
      </c>
      <c r="L2288">
        <v>4</v>
      </c>
      <c r="M2288">
        <v>95000</v>
      </c>
      <c r="N2288">
        <v>4.3</v>
      </c>
      <c r="O2288">
        <v>35</v>
      </c>
      <c r="P2288" t="s">
        <v>72</v>
      </c>
    </row>
    <row r="2289" spans="1:16" x14ac:dyDescent="0.25">
      <c r="A2289" t="s">
        <v>5610</v>
      </c>
      <c r="B2289" t="s">
        <v>5611</v>
      </c>
      <c r="C2289" t="s">
        <v>18</v>
      </c>
      <c r="D2289" t="s">
        <v>50</v>
      </c>
      <c r="E2289" t="s">
        <v>44</v>
      </c>
      <c r="F2289" t="s">
        <v>39</v>
      </c>
      <c r="G2289" t="s">
        <v>33</v>
      </c>
      <c r="H2289" t="s">
        <v>62</v>
      </c>
      <c r="I2289" t="s">
        <v>75</v>
      </c>
      <c r="J2289" t="s">
        <v>1504</v>
      </c>
      <c r="K2289" t="s">
        <v>5612</v>
      </c>
      <c r="L2289">
        <v>1.9</v>
      </c>
      <c r="M2289">
        <v>90000</v>
      </c>
      <c r="N2289">
        <v>4.2</v>
      </c>
      <c r="O2289">
        <v>12</v>
      </c>
      <c r="P2289" t="s">
        <v>53</v>
      </c>
    </row>
    <row r="2290" spans="1:16" x14ac:dyDescent="0.25">
      <c r="A2290" t="s">
        <v>5613</v>
      </c>
      <c r="B2290" t="s">
        <v>5614</v>
      </c>
      <c r="C2290" t="s">
        <v>18</v>
      </c>
      <c r="D2290" t="s">
        <v>50</v>
      </c>
      <c r="E2290" t="s">
        <v>20</v>
      </c>
      <c r="F2290" t="s">
        <v>39</v>
      </c>
      <c r="G2290" t="s">
        <v>69</v>
      </c>
      <c r="H2290" t="s">
        <v>23</v>
      </c>
      <c r="I2290" t="s">
        <v>57</v>
      </c>
      <c r="J2290" t="s">
        <v>3245</v>
      </c>
      <c r="K2290" t="s">
        <v>4060</v>
      </c>
      <c r="L2290">
        <v>4.3</v>
      </c>
      <c r="M2290">
        <v>168000</v>
      </c>
      <c r="N2290">
        <v>3.6</v>
      </c>
      <c r="O2290">
        <v>2</v>
      </c>
      <c r="P2290" t="s">
        <v>72</v>
      </c>
    </row>
    <row r="2291" spans="1:16" x14ac:dyDescent="0.25">
      <c r="A2291" t="s">
        <v>5615</v>
      </c>
      <c r="B2291" t="s">
        <v>980</v>
      </c>
      <c r="C2291" t="s">
        <v>18</v>
      </c>
      <c r="D2291" t="s">
        <v>19</v>
      </c>
      <c r="E2291" t="s">
        <v>31</v>
      </c>
      <c r="F2291" t="s">
        <v>39</v>
      </c>
      <c r="G2291" t="s">
        <v>33</v>
      </c>
      <c r="H2291" t="s">
        <v>34</v>
      </c>
      <c r="I2291" t="s">
        <v>75</v>
      </c>
      <c r="J2291" t="s">
        <v>2886</v>
      </c>
      <c r="L2291">
        <v>2.6</v>
      </c>
      <c r="M2291">
        <v>178000</v>
      </c>
      <c r="N2291">
        <v>3</v>
      </c>
      <c r="O2291">
        <v>13</v>
      </c>
      <c r="P2291" t="s">
        <v>26</v>
      </c>
    </row>
    <row r="2292" spans="1:16" x14ac:dyDescent="0.25">
      <c r="A2292" t="s">
        <v>5616</v>
      </c>
      <c r="B2292" t="s">
        <v>5617</v>
      </c>
      <c r="C2292" t="s">
        <v>29</v>
      </c>
      <c r="D2292" t="s">
        <v>43</v>
      </c>
      <c r="E2292" t="s">
        <v>20</v>
      </c>
      <c r="F2292" t="s">
        <v>32</v>
      </c>
      <c r="G2292" t="s">
        <v>33</v>
      </c>
      <c r="H2292" t="s">
        <v>23</v>
      </c>
      <c r="I2292" t="s">
        <v>57</v>
      </c>
      <c r="J2292" t="s">
        <v>2402</v>
      </c>
      <c r="L2292">
        <v>2</v>
      </c>
      <c r="M2292">
        <v>263000</v>
      </c>
      <c r="N2292">
        <v>2.7</v>
      </c>
      <c r="O2292">
        <v>14</v>
      </c>
      <c r="P2292" t="s">
        <v>26</v>
      </c>
    </row>
    <row r="2293" spans="1:16" x14ac:dyDescent="0.25">
      <c r="A2293" t="s">
        <v>5618</v>
      </c>
      <c r="B2293" t="s">
        <v>5619</v>
      </c>
      <c r="C2293" t="s">
        <v>29</v>
      </c>
      <c r="E2293" t="s">
        <v>20</v>
      </c>
      <c r="F2293" t="s">
        <v>21</v>
      </c>
      <c r="G2293" t="s">
        <v>33</v>
      </c>
      <c r="H2293" t="s">
        <v>34</v>
      </c>
      <c r="I2293" t="s">
        <v>24</v>
      </c>
      <c r="J2293" t="s">
        <v>334</v>
      </c>
      <c r="K2293" t="s">
        <v>1356</v>
      </c>
      <c r="L2293">
        <v>5.7</v>
      </c>
      <c r="M2293">
        <v>835000</v>
      </c>
      <c r="N2293">
        <v>4.5</v>
      </c>
      <c r="O2293">
        <v>13</v>
      </c>
      <c r="P2293" t="s">
        <v>72</v>
      </c>
    </row>
    <row r="2294" spans="1:16" x14ac:dyDescent="0.25">
      <c r="A2294" t="s">
        <v>5620</v>
      </c>
      <c r="B2294" t="s">
        <v>5595</v>
      </c>
      <c r="C2294" t="s">
        <v>29</v>
      </c>
      <c r="D2294" t="s">
        <v>30</v>
      </c>
      <c r="E2294" t="s">
        <v>20</v>
      </c>
      <c r="F2294" t="s">
        <v>39</v>
      </c>
      <c r="G2294" t="s">
        <v>22</v>
      </c>
      <c r="H2294" t="s">
        <v>23</v>
      </c>
      <c r="I2294" t="s">
        <v>35</v>
      </c>
      <c r="J2294" t="s">
        <v>4556</v>
      </c>
      <c r="K2294" t="s">
        <v>5621</v>
      </c>
      <c r="L2294">
        <v>6.1</v>
      </c>
      <c r="M2294">
        <v>93000</v>
      </c>
      <c r="N2294">
        <v>1.9</v>
      </c>
      <c r="O2294">
        <v>1</v>
      </c>
      <c r="P2294" t="s">
        <v>53</v>
      </c>
    </row>
    <row r="2295" spans="1:16" x14ac:dyDescent="0.25">
      <c r="A2295" t="s">
        <v>5622</v>
      </c>
      <c r="B2295" t="s">
        <v>3136</v>
      </c>
      <c r="C2295" t="s">
        <v>29</v>
      </c>
      <c r="D2295" t="s">
        <v>43</v>
      </c>
      <c r="E2295" t="s">
        <v>20</v>
      </c>
      <c r="F2295" t="s">
        <v>32</v>
      </c>
      <c r="G2295" t="s">
        <v>33</v>
      </c>
      <c r="H2295" t="s">
        <v>34</v>
      </c>
      <c r="I2295" t="s">
        <v>57</v>
      </c>
      <c r="J2295" t="s">
        <v>5623</v>
      </c>
      <c r="L2295">
        <v>6.2</v>
      </c>
      <c r="M2295">
        <v>221000</v>
      </c>
      <c r="N2295">
        <v>3.4</v>
      </c>
      <c r="O2295">
        <v>5</v>
      </c>
      <c r="P2295" t="s">
        <v>26</v>
      </c>
    </row>
    <row r="2296" spans="1:16" x14ac:dyDescent="0.25">
      <c r="A2296" t="s">
        <v>5624</v>
      </c>
      <c r="B2296" t="s">
        <v>5625</v>
      </c>
      <c r="C2296" t="s">
        <v>18</v>
      </c>
      <c r="D2296" t="s">
        <v>30</v>
      </c>
      <c r="E2296" t="s">
        <v>31</v>
      </c>
      <c r="F2296" t="s">
        <v>39</v>
      </c>
      <c r="G2296" t="s">
        <v>22</v>
      </c>
      <c r="H2296" t="s">
        <v>62</v>
      </c>
      <c r="J2296" t="s">
        <v>1709</v>
      </c>
      <c r="L2296">
        <v>5</v>
      </c>
      <c r="M2296">
        <v>120000</v>
      </c>
      <c r="N2296">
        <v>3.4</v>
      </c>
      <c r="O2296">
        <v>29</v>
      </c>
      <c r="P2296" t="s">
        <v>26</v>
      </c>
    </row>
    <row r="2297" spans="1:16" x14ac:dyDescent="0.25">
      <c r="A2297" t="s">
        <v>5626</v>
      </c>
      <c r="B2297" t="s">
        <v>4222</v>
      </c>
      <c r="C2297" t="s">
        <v>29</v>
      </c>
      <c r="D2297" t="s">
        <v>43</v>
      </c>
      <c r="E2297" t="s">
        <v>31</v>
      </c>
      <c r="F2297" t="s">
        <v>39</v>
      </c>
      <c r="G2297" t="s">
        <v>22</v>
      </c>
      <c r="H2297" t="s">
        <v>34</v>
      </c>
      <c r="I2297" t="s">
        <v>24</v>
      </c>
      <c r="J2297" t="s">
        <v>4805</v>
      </c>
      <c r="L2297">
        <v>5.9</v>
      </c>
      <c r="M2297">
        <v>134000</v>
      </c>
      <c r="N2297">
        <v>3.2</v>
      </c>
      <c r="P2297" t="s">
        <v>26</v>
      </c>
    </row>
    <row r="2298" spans="1:16" x14ac:dyDescent="0.25">
      <c r="A2298" t="s">
        <v>5627</v>
      </c>
      <c r="B2298" t="s">
        <v>5628</v>
      </c>
      <c r="C2298" t="s">
        <v>29</v>
      </c>
      <c r="D2298" t="s">
        <v>30</v>
      </c>
      <c r="E2298" t="s">
        <v>44</v>
      </c>
      <c r="F2298" t="s">
        <v>32</v>
      </c>
      <c r="G2298" t="s">
        <v>33</v>
      </c>
      <c r="H2298" t="s">
        <v>23</v>
      </c>
      <c r="I2298" t="s">
        <v>35</v>
      </c>
      <c r="J2298" t="s">
        <v>5629</v>
      </c>
      <c r="K2298" t="s">
        <v>4193</v>
      </c>
      <c r="L2298">
        <v>2.2999999999999998</v>
      </c>
      <c r="M2298">
        <v>299000</v>
      </c>
      <c r="N2298">
        <v>3.9</v>
      </c>
      <c r="O2298">
        <v>10</v>
      </c>
      <c r="P2298" t="s">
        <v>53</v>
      </c>
    </row>
    <row r="2299" spans="1:16" x14ac:dyDescent="0.25">
      <c r="A2299" t="s">
        <v>5630</v>
      </c>
      <c r="B2299" t="s">
        <v>5178</v>
      </c>
      <c r="C2299" t="s">
        <v>18</v>
      </c>
      <c r="D2299" t="s">
        <v>30</v>
      </c>
      <c r="E2299" t="s">
        <v>31</v>
      </c>
      <c r="G2299" t="s">
        <v>22</v>
      </c>
      <c r="H2299" t="s">
        <v>23</v>
      </c>
      <c r="I2299" t="s">
        <v>35</v>
      </c>
      <c r="J2299" t="s">
        <v>2646</v>
      </c>
      <c r="K2299" t="s">
        <v>2285</v>
      </c>
      <c r="L2299">
        <v>3.7</v>
      </c>
      <c r="M2299">
        <v>319000</v>
      </c>
      <c r="N2299">
        <v>2.8</v>
      </c>
      <c r="O2299">
        <v>8</v>
      </c>
      <c r="P2299" t="s">
        <v>53</v>
      </c>
    </row>
    <row r="2300" spans="1:16" x14ac:dyDescent="0.25">
      <c r="A2300" t="s">
        <v>5631</v>
      </c>
      <c r="B2300" t="s">
        <v>5632</v>
      </c>
      <c r="C2300" t="s">
        <v>29</v>
      </c>
      <c r="D2300" t="s">
        <v>79</v>
      </c>
      <c r="E2300" t="s">
        <v>20</v>
      </c>
      <c r="F2300" t="s">
        <v>128</v>
      </c>
      <c r="G2300" t="s">
        <v>69</v>
      </c>
      <c r="H2300" t="s">
        <v>62</v>
      </c>
      <c r="I2300" t="s">
        <v>24</v>
      </c>
      <c r="J2300" t="s">
        <v>342</v>
      </c>
      <c r="L2300">
        <v>3.8</v>
      </c>
      <c r="M2300">
        <v>465000</v>
      </c>
      <c r="N2300">
        <v>2.4</v>
      </c>
      <c r="O2300">
        <v>11</v>
      </c>
      <c r="P2300" t="s">
        <v>26</v>
      </c>
    </row>
    <row r="2301" spans="1:16" x14ac:dyDescent="0.25">
      <c r="A2301" t="s">
        <v>5633</v>
      </c>
      <c r="B2301" t="s">
        <v>3402</v>
      </c>
      <c r="C2301" t="s">
        <v>18</v>
      </c>
      <c r="D2301" t="s">
        <v>19</v>
      </c>
      <c r="E2301" t="s">
        <v>20</v>
      </c>
      <c r="F2301" t="s">
        <v>128</v>
      </c>
      <c r="G2301" t="s">
        <v>22</v>
      </c>
      <c r="H2301" t="s">
        <v>23</v>
      </c>
      <c r="I2301" t="s">
        <v>35</v>
      </c>
      <c r="J2301" t="s">
        <v>4281</v>
      </c>
      <c r="K2301" t="s">
        <v>5634</v>
      </c>
      <c r="L2301">
        <v>1.7</v>
      </c>
      <c r="M2301">
        <v>523000</v>
      </c>
      <c r="N2301">
        <v>5</v>
      </c>
      <c r="O2301">
        <v>6</v>
      </c>
      <c r="P2301" t="s">
        <v>53</v>
      </c>
    </row>
    <row r="2302" spans="1:16" x14ac:dyDescent="0.25">
      <c r="A2302" t="s">
        <v>5635</v>
      </c>
      <c r="B2302" t="s">
        <v>5636</v>
      </c>
      <c r="C2302" t="s">
        <v>18</v>
      </c>
      <c r="D2302" t="s">
        <v>43</v>
      </c>
      <c r="E2302" t="s">
        <v>44</v>
      </c>
      <c r="F2302" t="s">
        <v>128</v>
      </c>
      <c r="G2302" t="s">
        <v>22</v>
      </c>
      <c r="H2302" t="s">
        <v>34</v>
      </c>
      <c r="I2302" t="s">
        <v>57</v>
      </c>
      <c r="J2302" t="s">
        <v>1854</v>
      </c>
      <c r="L2302">
        <v>5</v>
      </c>
      <c r="M2302">
        <v>404000</v>
      </c>
      <c r="N2302">
        <v>4.8</v>
      </c>
      <c r="O2302">
        <v>10</v>
      </c>
      <c r="P2302" t="s">
        <v>26</v>
      </c>
    </row>
    <row r="2303" spans="1:16" x14ac:dyDescent="0.25">
      <c r="A2303" t="s">
        <v>5637</v>
      </c>
      <c r="B2303" t="s">
        <v>4332</v>
      </c>
      <c r="C2303" t="s">
        <v>18</v>
      </c>
      <c r="D2303" t="s">
        <v>19</v>
      </c>
      <c r="E2303" t="s">
        <v>20</v>
      </c>
      <c r="F2303" t="s">
        <v>32</v>
      </c>
      <c r="G2303" t="s">
        <v>33</v>
      </c>
      <c r="H2303" t="s">
        <v>34</v>
      </c>
      <c r="I2303" t="s">
        <v>57</v>
      </c>
      <c r="J2303" t="s">
        <v>3214</v>
      </c>
      <c r="L2303">
        <v>2.2000000000000002</v>
      </c>
      <c r="M2303">
        <v>243000</v>
      </c>
      <c r="N2303">
        <v>3</v>
      </c>
      <c r="O2303">
        <v>12</v>
      </c>
      <c r="P2303" t="s">
        <v>26</v>
      </c>
    </row>
    <row r="2304" spans="1:16" x14ac:dyDescent="0.25">
      <c r="A2304" t="s">
        <v>5638</v>
      </c>
      <c r="B2304" t="s">
        <v>4915</v>
      </c>
      <c r="C2304" t="s">
        <v>18</v>
      </c>
      <c r="D2304" t="s">
        <v>50</v>
      </c>
      <c r="E2304" t="s">
        <v>44</v>
      </c>
      <c r="F2304" t="s">
        <v>39</v>
      </c>
      <c r="G2304" t="s">
        <v>22</v>
      </c>
      <c r="H2304" t="s">
        <v>34</v>
      </c>
      <c r="I2304" t="s">
        <v>24</v>
      </c>
      <c r="J2304" t="s">
        <v>3801</v>
      </c>
      <c r="L2304">
        <v>2.9</v>
      </c>
      <c r="M2304">
        <v>98000</v>
      </c>
      <c r="N2304">
        <v>2.9</v>
      </c>
      <c r="O2304">
        <v>7</v>
      </c>
      <c r="P2304" t="s">
        <v>26</v>
      </c>
    </row>
    <row r="2305" spans="1:16" x14ac:dyDescent="0.25">
      <c r="A2305" t="s">
        <v>5639</v>
      </c>
      <c r="B2305" t="s">
        <v>5339</v>
      </c>
      <c r="C2305" t="s">
        <v>18</v>
      </c>
      <c r="D2305" t="s">
        <v>79</v>
      </c>
      <c r="E2305" t="s">
        <v>20</v>
      </c>
      <c r="F2305" t="s">
        <v>32</v>
      </c>
      <c r="G2305" t="s">
        <v>80</v>
      </c>
      <c r="H2305" t="s">
        <v>23</v>
      </c>
      <c r="I2305" t="s">
        <v>24</v>
      </c>
      <c r="J2305" t="s">
        <v>5640</v>
      </c>
      <c r="L2305">
        <v>4.7</v>
      </c>
      <c r="M2305">
        <v>285000</v>
      </c>
      <c r="N2305">
        <v>4.5</v>
      </c>
      <c r="O2305">
        <v>2</v>
      </c>
      <c r="P2305" t="s">
        <v>26</v>
      </c>
    </row>
    <row r="2306" spans="1:16" x14ac:dyDescent="0.25">
      <c r="A2306" t="s">
        <v>5641</v>
      </c>
      <c r="B2306" t="s">
        <v>3998</v>
      </c>
      <c r="C2306" t="s">
        <v>29</v>
      </c>
      <c r="D2306" t="s">
        <v>79</v>
      </c>
      <c r="E2306" t="s">
        <v>20</v>
      </c>
      <c r="F2306" t="s">
        <v>32</v>
      </c>
      <c r="G2306" t="s">
        <v>33</v>
      </c>
      <c r="H2306" t="s">
        <v>34</v>
      </c>
      <c r="I2306" t="s">
        <v>24</v>
      </c>
      <c r="J2306" t="s">
        <v>5642</v>
      </c>
      <c r="L2306">
        <v>4.5999999999999996</v>
      </c>
      <c r="M2306">
        <v>256000</v>
      </c>
      <c r="N2306">
        <v>2.5</v>
      </c>
      <c r="O2306">
        <v>3</v>
      </c>
      <c r="P2306" t="s">
        <v>26</v>
      </c>
    </row>
    <row r="2307" spans="1:16" x14ac:dyDescent="0.25">
      <c r="A2307" t="s">
        <v>5643</v>
      </c>
      <c r="B2307" t="s">
        <v>5644</v>
      </c>
      <c r="C2307" t="s">
        <v>18</v>
      </c>
      <c r="D2307" t="s">
        <v>79</v>
      </c>
      <c r="E2307" t="s">
        <v>20</v>
      </c>
      <c r="G2307" t="s">
        <v>22</v>
      </c>
      <c r="H2307" t="s">
        <v>46</v>
      </c>
      <c r="I2307" t="s">
        <v>24</v>
      </c>
      <c r="J2307" t="s">
        <v>682</v>
      </c>
      <c r="L2307">
        <v>3.5</v>
      </c>
      <c r="M2307">
        <v>148000</v>
      </c>
      <c r="N2307">
        <v>2.2000000000000002</v>
      </c>
      <c r="O2307">
        <v>25</v>
      </c>
      <c r="P2307" t="s">
        <v>26</v>
      </c>
    </row>
    <row r="2308" spans="1:16" x14ac:dyDescent="0.25">
      <c r="A2308" t="s">
        <v>5645</v>
      </c>
      <c r="B2308" t="s">
        <v>3010</v>
      </c>
      <c r="C2308" t="s">
        <v>18</v>
      </c>
      <c r="D2308" t="s">
        <v>30</v>
      </c>
      <c r="E2308" t="s">
        <v>20</v>
      </c>
      <c r="F2308" t="s">
        <v>21</v>
      </c>
      <c r="G2308" t="s">
        <v>22</v>
      </c>
      <c r="H2308" t="s">
        <v>46</v>
      </c>
      <c r="I2308" t="s">
        <v>24</v>
      </c>
      <c r="J2308" t="s">
        <v>545</v>
      </c>
      <c r="L2308">
        <v>4.7</v>
      </c>
      <c r="M2308">
        <v>779000</v>
      </c>
      <c r="N2308">
        <v>3.8</v>
      </c>
      <c r="O2308">
        <v>2</v>
      </c>
      <c r="P2308" t="s">
        <v>26</v>
      </c>
    </row>
    <row r="2309" spans="1:16" x14ac:dyDescent="0.25">
      <c r="A2309" t="s">
        <v>5646</v>
      </c>
      <c r="B2309" t="s">
        <v>5647</v>
      </c>
      <c r="C2309" t="s">
        <v>29</v>
      </c>
      <c r="D2309" t="s">
        <v>43</v>
      </c>
      <c r="E2309" t="s">
        <v>44</v>
      </c>
      <c r="F2309" t="s">
        <v>39</v>
      </c>
      <c r="G2309" t="s">
        <v>22</v>
      </c>
      <c r="H2309" t="s">
        <v>62</v>
      </c>
      <c r="I2309" t="s">
        <v>57</v>
      </c>
      <c r="J2309" t="s">
        <v>2850</v>
      </c>
      <c r="L2309">
        <v>4.4000000000000004</v>
      </c>
      <c r="M2309">
        <v>85000</v>
      </c>
      <c r="N2309">
        <v>4.5</v>
      </c>
      <c r="O2309">
        <v>14</v>
      </c>
      <c r="P2309" t="s">
        <v>26</v>
      </c>
    </row>
    <row r="2310" spans="1:16" x14ac:dyDescent="0.25">
      <c r="A2310" t="s">
        <v>5648</v>
      </c>
      <c r="B2310" t="s">
        <v>4447</v>
      </c>
      <c r="C2310" t="s">
        <v>18</v>
      </c>
      <c r="D2310" t="s">
        <v>50</v>
      </c>
      <c r="E2310" t="s">
        <v>20</v>
      </c>
      <c r="F2310" t="s">
        <v>39</v>
      </c>
      <c r="G2310" t="s">
        <v>33</v>
      </c>
      <c r="H2310" t="s">
        <v>23</v>
      </c>
      <c r="J2310" t="s">
        <v>5649</v>
      </c>
      <c r="K2310" t="s">
        <v>412</v>
      </c>
      <c r="L2310">
        <v>3.2</v>
      </c>
      <c r="M2310">
        <v>151000</v>
      </c>
      <c r="N2310">
        <v>3.9</v>
      </c>
      <c r="O2310">
        <v>19</v>
      </c>
      <c r="P2310" t="s">
        <v>53</v>
      </c>
    </row>
    <row r="2311" spans="1:16" x14ac:dyDescent="0.25">
      <c r="A2311" t="s">
        <v>5650</v>
      </c>
      <c r="B2311" t="s">
        <v>1150</v>
      </c>
      <c r="C2311" t="s">
        <v>18</v>
      </c>
      <c r="D2311" t="s">
        <v>43</v>
      </c>
      <c r="E2311" t="s">
        <v>44</v>
      </c>
      <c r="F2311" t="s">
        <v>32</v>
      </c>
      <c r="G2311" t="s">
        <v>80</v>
      </c>
      <c r="H2311" t="s">
        <v>62</v>
      </c>
      <c r="I2311" t="s">
        <v>24</v>
      </c>
      <c r="J2311" t="s">
        <v>3315</v>
      </c>
      <c r="L2311">
        <v>4.5999999999999996</v>
      </c>
      <c r="M2311">
        <v>190000</v>
      </c>
      <c r="N2311">
        <v>3.9</v>
      </c>
      <c r="O2311">
        <v>10</v>
      </c>
      <c r="P2311" t="s">
        <v>26</v>
      </c>
    </row>
    <row r="2312" spans="1:16" x14ac:dyDescent="0.25">
      <c r="A2312" t="s">
        <v>5651</v>
      </c>
      <c r="B2312" t="s">
        <v>5652</v>
      </c>
      <c r="C2312" t="s">
        <v>29</v>
      </c>
      <c r="D2312" t="s">
        <v>50</v>
      </c>
      <c r="E2312" t="s">
        <v>20</v>
      </c>
      <c r="F2312" t="s">
        <v>32</v>
      </c>
      <c r="G2312" t="s">
        <v>33</v>
      </c>
      <c r="H2312" t="s">
        <v>23</v>
      </c>
      <c r="I2312" t="s">
        <v>35</v>
      </c>
      <c r="J2312" t="s">
        <v>3969</v>
      </c>
      <c r="L2312">
        <v>2.7</v>
      </c>
      <c r="M2312">
        <v>268000</v>
      </c>
      <c r="N2312">
        <v>4.4000000000000004</v>
      </c>
      <c r="O2312">
        <v>5</v>
      </c>
      <c r="P2312" t="s">
        <v>26</v>
      </c>
    </row>
    <row r="2313" spans="1:16" x14ac:dyDescent="0.25">
      <c r="A2313" t="s">
        <v>5653</v>
      </c>
      <c r="B2313" t="s">
        <v>5654</v>
      </c>
      <c r="C2313" t="s">
        <v>18</v>
      </c>
      <c r="D2313" t="s">
        <v>79</v>
      </c>
      <c r="E2313" t="s">
        <v>20</v>
      </c>
      <c r="G2313" t="s">
        <v>69</v>
      </c>
      <c r="H2313" t="s">
        <v>46</v>
      </c>
      <c r="I2313" t="s">
        <v>35</v>
      </c>
      <c r="J2313" t="s">
        <v>1696</v>
      </c>
      <c r="K2313" t="s">
        <v>4184</v>
      </c>
      <c r="L2313">
        <v>5.2</v>
      </c>
      <c r="M2313">
        <v>223000</v>
      </c>
      <c r="N2313">
        <v>4.7</v>
      </c>
      <c r="O2313">
        <v>6</v>
      </c>
      <c r="P2313" t="s">
        <v>72</v>
      </c>
    </row>
    <row r="2314" spans="1:16" x14ac:dyDescent="0.25">
      <c r="A2314" t="s">
        <v>5655</v>
      </c>
      <c r="B2314" t="s">
        <v>5656</v>
      </c>
      <c r="C2314" t="s">
        <v>29</v>
      </c>
      <c r="D2314" t="s">
        <v>50</v>
      </c>
      <c r="E2314" t="s">
        <v>20</v>
      </c>
      <c r="F2314" t="s">
        <v>39</v>
      </c>
      <c r="G2314" t="s">
        <v>33</v>
      </c>
      <c r="H2314" t="s">
        <v>34</v>
      </c>
      <c r="I2314" t="s">
        <v>24</v>
      </c>
      <c r="J2314" t="s">
        <v>5657</v>
      </c>
      <c r="L2314">
        <v>4.0999999999999996</v>
      </c>
      <c r="M2314">
        <v>95000</v>
      </c>
      <c r="N2314">
        <v>4.3</v>
      </c>
      <c r="O2314">
        <v>6</v>
      </c>
      <c r="P2314" t="s">
        <v>26</v>
      </c>
    </row>
    <row r="2315" spans="1:16" x14ac:dyDescent="0.25">
      <c r="A2315" t="s">
        <v>5658</v>
      </c>
      <c r="B2315" t="s">
        <v>5659</v>
      </c>
      <c r="C2315" t="s">
        <v>18</v>
      </c>
      <c r="D2315" t="s">
        <v>30</v>
      </c>
      <c r="E2315" t="s">
        <v>20</v>
      </c>
      <c r="F2315" t="s">
        <v>128</v>
      </c>
      <c r="G2315" t="s">
        <v>22</v>
      </c>
      <c r="H2315" t="s">
        <v>23</v>
      </c>
      <c r="I2315" t="s">
        <v>57</v>
      </c>
      <c r="J2315" t="s">
        <v>5660</v>
      </c>
      <c r="K2315" t="s">
        <v>3169</v>
      </c>
      <c r="L2315">
        <v>6</v>
      </c>
      <c r="M2315">
        <v>516000</v>
      </c>
      <c r="N2315">
        <v>4.5</v>
      </c>
      <c r="O2315">
        <v>0</v>
      </c>
      <c r="P2315" t="s">
        <v>53</v>
      </c>
    </row>
    <row r="2316" spans="1:16" x14ac:dyDescent="0.25">
      <c r="A2316" t="s">
        <v>5661</v>
      </c>
      <c r="B2316" t="s">
        <v>5662</v>
      </c>
      <c r="C2316" t="s">
        <v>18</v>
      </c>
      <c r="D2316" t="s">
        <v>50</v>
      </c>
      <c r="E2316" t="s">
        <v>20</v>
      </c>
      <c r="F2316" t="s">
        <v>32</v>
      </c>
      <c r="G2316" t="s">
        <v>22</v>
      </c>
      <c r="H2316" t="s">
        <v>34</v>
      </c>
      <c r="I2316" t="s">
        <v>24</v>
      </c>
      <c r="J2316" t="s">
        <v>3792</v>
      </c>
      <c r="L2316">
        <v>3.2</v>
      </c>
      <c r="M2316">
        <v>181000</v>
      </c>
      <c r="N2316">
        <v>4.2</v>
      </c>
      <c r="P2316" t="s">
        <v>26</v>
      </c>
    </row>
    <row r="2317" spans="1:16" x14ac:dyDescent="0.25">
      <c r="A2317" t="s">
        <v>5663</v>
      </c>
      <c r="B2317" t="s">
        <v>3794</v>
      </c>
      <c r="C2317" t="s">
        <v>18</v>
      </c>
      <c r="D2317" t="s">
        <v>79</v>
      </c>
      <c r="E2317" t="s">
        <v>20</v>
      </c>
      <c r="G2317" t="s">
        <v>80</v>
      </c>
      <c r="H2317" t="s">
        <v>23</v>
      </c>
      <c r="I2317" t="s">
        <v>24</v>
      </c>
      <c r="J2317" t="s">
        <v>5664</v>
      </c>
      <c r="K2317" t="s">
        <v>5665</v>
      </c>
      <c r="L2317">
        <v>3.2</v>
      </c>
      <c r="M2317">
        <v>375000</v>
      </c>
      <c r="N2317">
        <v>4.7</v>
      </c>
      <c r="O2317">
        <v>11</v>
      </c>
      <c r="P2317" t="s">
        <v>114</v>
      </c>
    </row>
    <row r="2318" spans="1:16" x14ac:dyDescent="0.25">
      <c r="A2318" t="s">
        <v>5666</v>
      </c>
      <c r="B2318" t="s">
        <v>3893</v>
      </c>
      <c r="C2318" t="s">
        <v>29</v>
      </c>
      <c r="D2318" t="s">
        <v>19</v>
      </c>
      <c r="E2318" t="s">
        <v>44</v>
      </c>
      <c r="F2318" t="s">
        <v>32</v>
      </c>
      <c r="G2318" t="s">
        <v>33</v>
      </c>
      <c r="H2318" t="s">
        <v>23</v>
      </c>
      <c r="I2318" t="s">
        <v>75</v>
      </c>
      <c r="J2318" t="s">
        <v>3053</v>
      </c>
      <c r="L2318">
        <v>2</v>
      </c>
      <c r="M2318">
        <v>226000</v>
      </c>
      <c r="N2318">
        <v>4.2</v>
      </c>
      <c r="O2318">
        <v>31</v>
      </c>
      <c r="P2318" t="s">
        <v>26</v>
      </c>
    </row>
    <row r="2319" spans="1:16" x14ac:dyDescent="0.25">
      <c r="A2319" t="s">
        <v>5667</v>
      </c>
      <c r="B2319" t="s">
        <v>4394</v>
      </c>
      <c r="C2319" t="s">
        <v>18</v>
      </c>
      <c r="D2319" t="s">
        <v>43</v>
      </c>
      <c r="E2319" t="s">
        <v>20</v>
      </c>
      <c r="F2319" t="s">
        <v>32</v>
      </c>
      <c r="G2319" t="s">
        <v>69</v>
      </c>
      <c r="H2319" t="s">
        <v>46</v>
      </c>
      <c r="I2319" t="s">
        <v>75</v>
      </c>
      <c r="J2319" t="s">
        <v>2458</v>
      </c>
      <c r="L2319">
        <v>2.4</v>
      </c>
      <c r="M2319">
        <v>180000</v>
      </c>
      <c r="N2319">
        <v>5</v>
      </c>
      <c r="O2319">
        <v>7</v>
      </c>
      <c r="P2319" t="s">
        <v>26</v>
      </c>
    </row>
    <row r="2320" spans="1:16" x14ac:dyDescent="0.25">
      <c r="A2320" t="s">
        <v>5668</v>
      </c>
      <c r="B2320" t="s">
        <v>5669</v>
      </c>
      <c r="C2320" t="s">
        <v>18</v>
      </c>
      <c r="D2320" t="s">
        <v>79</v>
      </c>
      <c r="E2320" t="s">
        <v>44</v>
      </c>
      <c r="F2320" t="s">
        <v>39</v>
      </c>
      <c r="G2320" t="s">
        <v>69</v>
      </c>
      <c r="H2320" t="s">
        <v>46</v>
      </c>
      <c r="I2320" t="s">
        <v>57</v>
      </c>
      <c r="J2320" t="s">
        <v>5670</v>
      </c>
      <c r="L2320">
        <v>3.3</v>
      </c>
      <c r="M2320">
        <v>175000</v>
      </c>
      <c r="N2320">
        <v>3.4</v>
      </c>
      <c r="O2320">
        <v>7</v>
      </c>
      <c r="P2320" t="s">
        <v>26</v>
      </c>
    </row>
    <row r="2321" spans="1:16" x14ac:dyDescent="0.25">
      <c r="A2321" t="s">
        <v>5671</v>
      </c>
      <c r="B2321" t="s">
        <v>2398</v>
      </c>
      <c r="C2321" t="s">
        <v>18</v>
      </c>
      <c r="D2321" t="s">
        <v>19</v>
      </c>
      <c r="E2321" t="s">
        <v>44</v>
      </c>
      <c r="F2321" t="s">
        <v>32</v>
      </c>
      <c r="G2321" t="s">
        <v>80</v>
      </c>
      <c r="H2321" t="s">
        <v>34</v>
      </c>
      <c r="I2321" t="s">
        <v>75</v>
      </c>
      <c r="J2321" t="s">
        <v>847</v>
      </c>
      <c r="L2321">
        <v>2.2999999999999998</v>
      </c>
      <c r="M2321">
        <v>327000</v>
      </c>
      <c r="N2321">
        <v>4.7</v>
      </c>
      <c r="O2321">
        <v>9</v>
      </c>
      <c r="P2321" t="s">
        <v>26</v>
      </c>
    </row>
    <row r="2322" spans="1:16" x14ac:dyDescent="0.25">
      <c r="A2322" t="s">
        <v>5672</v>
      </c>
      <c r="B2322" t="s">
        <v>5673</v>
      </c>
      <c r="C2322" t="s">
        <v>29</v>
      </c>
      <c r="D2322" t="s">
        <v>19</v>
      </c>
      <c r="E2322" t="s">
        <v>20</v>
      </c>
      <c r="F2322" t="s">
        <v>32</v>
      </c>
      <c r="G2322" t="s">
        <v>80</v>
      </c>
      <c r="H2322" t="s">
        <v>46</v>
      </c>
      <c r="I2322" t="s">
        <v>24</v>
      </c>
      <c r="J2322" t="s">
        <v>2473</v>
      </c>
      <c r="L2322">
        <v>1.5</v>
      </c>
      <c r="M2322">
        <v>260000</v>
      </c>
      <c r="N2322">
        <v>2.9</v>
      </c>
      <c r="O2322">
        <v>11</v>
      </c>
      <c r="P2322" t="s">
        <v>26</v>
      </c>
    </row>
    <row r="2323" spans="1:16" x14ac:dyDescent="0.25">
      <c r="A2323" t="s">
        <v>5674</v>
      </c>
      <c r="B2323" t="s">
        <v>5675</v>
      </c>
      <c r="C2323" t="s">
        <v>29</v>
      </c>
      <c r="D2323" t="s">
        <v>30</v>
      </c>
      <c r="E2323" t="s">
        <v>20</v>
      </c>
      <c r="F2323" t="s">
        <v>32</v>
      </c>
      <c r="G2323" t="s">
        <v>80</v>
      </c>
      <c r="H2323" t="s">
        <v>62</v>
      </c>
      <c r="I2323" t="s">
        <v>57</v>
      </c>
      <c r="J2323" t="s">
        <v>1798</v>
      </c>
      <c r="K2323" t="s">
        <v>5676</v>
      </c>
      <c r="L2323">
        <v>5.3</v>
      </c>
      <c r="M2323">
        <v>219000</v>
      </c>
      <c r="N2323">
        <v>2.9</v>
      </c>
      <c r="O2323">
        <v>0</v>
      </c>
      <c r="P2323" t="s">
        <v>53</v>
      </c>
    </row>
    <row r="2324" spans="1:16" x14ac:dyDescent="0.25">
      <c r="A2324" t="s">
        <v>5677</v>
      </c>
      <c r="B2324" t="s">
        <v>5678</v>
      </c>
      <c r="C2324" t="s">
        <v>18</v>
      </c>
      <c r="D2324" t="s">
        <v>30</v>
      </c>
      <c r="E2324" t="s">
        <v>20</v>
      </c>
      <c r="F2324" t="s">
        <v>39</v>
      </c>
      <c r="G2324" t="s">
        <v>80</v>
      </c>
      <c r="H2324" t="s">
        <v>34</v>
      </c>
      <c r="I2324" t="s">
        <v>171</v>
      </c>
      <c r="J2324" t="s">
        <v>5679</v>
      </c>
      <c r="K2324" t="s">
        <v>2071</v>
      </c>
      <c r="L2324">
        <v>2.8</v>
      </c>
      <c r="M2324">
        <v>142000</v>
      </c>
      <c r="N2324">
        <v>1.5</v>
      </c>
      <c r="O2324">
        <v>4</v>
      </c>
      <c r="P2324" t="s">
        <v>72</v>
      </c>
    </row>
    <row r="2325" spans="1:16" x14ac:dyDescent="0.25">
      <c r="A2325" t="s">
        <v>5680</v>
      </c>
      <c r="B2325" t="s">
        <v>5681</v>
      </c>
      <c r="C2325" t="s">
        <v>18</v>
      </c>
      <c r="D2325" t="s">
        <v>19</v>
      </c>
      <c r="E2325" t="s">
        <v>20</v>
      </c>
      <c r="F2325" t="s">
        <v>32</v>
      </c>
      <c r="G2325" t="s">
        <v>22</v>
      </c>
      <c r="H2325" t="s">
        <v>23</v>
      </c>
      <c r="I2325" t="s">
        <v>24</v>
      </c>
      <c r="J2325" t="s">
        <v>5682</v>
      </c>
      <c r="L2325">
        <v>1.7</v>
      </c>
      <c r="M2325">
        <v>300000</v>
      </c>
      <c r="N2325">
        <v>4.7</v>
      </c>
      <c r="O2325">
        <v>19</v>
      </c>
      <c r="P2325" t="s">
        <v>26</v>
      </c>
    </row>
    <row r="2326" spans="1:16" x14ac:dyDescent="0.25">
      <c r="A2326" t="s">
        <v>5683</v>
      </c>
      <c r="B2326" t="s">
        <v>5684</v>
      </c>
      <c r="C2326" t="s">
        <v>29</v>
      </c>
      <c r="D2326" t="s">
        <v>50</v>
      </c>
      <c r="E2326" t="s">
        <v>31</v>
      </c>
      <c r="F2326" t="s">
        <v>39</v>
      </c>
      <c r="G2326" t="s">
        <v>22</v>
      </c>
      <c r="H2326" t="s">
        <v>23</v>
      </c>
      <c r="I2326" t="s">
        <v>57</v>
      </c>
      <c r="J2326" t="s">
        <v>1056</v>
      </c>
      <c r="L2326">
        <v>4.9000000000000004</v>
      </c>
      <c r="M2326">
        <v>112000</v>
      </c>
      <c r="N2326">
        <v>4.3</v>
      </c>
      <c r="O2326">
        <v>14</v>
      </c>
      <c r="P2326" t="s">
        <v>26</v>
      </c>
    </row>
    <row r="2327" spans="1:16" x14ac:dyDescent="0.25">
      <c r="A2327" t="s">
        <v>3756</v>
      </c>
      <c r="B2327" t="s">
        <v>3757</v>
      </c>
      <c r="C2327" t="s">
        <v>18</v>
      </c>
      <c r="D2327" t="s">
        <v>79</v>
      </c>
      <c r="E2327" t="s">
        <v>20</v>
      </c>
      <c r="F2327" t="s">
        <v>32</v>
      </c>
      <c r="G2327" t="s">
        <v>33</v>
      </c>
      <c r="H2327" t="s">
        <v>62</v>
      </c>
      <c r="I2327" t="s">
        <v>57</v>
      </c>
      <c r="J2327" t="s">
        <v>3758</v>
      </c>
      <c r="L2327">
        <v>2.8</v>
      </c>
      <c r="M2327">
        <v>205000</v>
      </c>
      <c r="N2327">
        <v>2.8</v>
      </c>
      <c r="O2327">
        <v>6</v>
      </c>
      <c r="P2327" t="s">
        <v>26</v>
      </c>
    </row>
    <row r="2328" spans="1:16" x14ac:dyDescent="0.25">
      <c r="A2328" t="s">
        <v>5685</v>
      </c>
      <c r="B2328" t="s">
        <v>4006</v>
      </c>
      <c r="C2328" t="s">
        <v>18</v>
      </c>
      <c r="D2328" t="s">
        <v>79</v>
      </c>
      <c r="E2328" t="s">
        <v>20</v>
      </c>
      <c r="F2328" t="s">
        <v>21</v>
      </c>
      <c r="G2328" t="s">
        <v>80</v>
      </c>
      <c r="H2328" t="s">
        <v>34</v>
      </c>
      <c r="I2328" t="s">
        <v>57</v>
      </c>
      <c r="J2328" t="s">
        <v>99</v>
      </c>
      <c r="K2328" t="s">
        <v>5686</v>
      </c>
      <c r="L2328">
        <v>2.2000000000000002</v>
      </c>
      <c r="M2328">
        <v>939000</v>
      </c>
      <c r="N2328">
        <v>3.2</v>
      </c>
      <c r="O2328">
        <v>2</v>
      </c>
      <c r="P2328" t="s">
        <v>114</v>
      </c>
    </row>
    <row r="2329" spans="1:16" x14ac:dyDescent="0.25">
      <c r="A2329" t="s">
        <v>5687</v>
      </c>
      <c r="B2329" t="s">
        <v>5688</v>
      </c>
      <c r="C2329" t="s">
        <v>18</v>
      </c>
      <c r="D2329" t="s">
        <v>79</v>
      </c>
      <c r="E2329" t="s">
        <v>31</v>
      </c>
      <c r="F2329" t="s">
        <v>128</v>
      </c>
      <c r="G2329" t="s">
        <v>22</v>
      </c>
      <c r="H2329" t="s">
        <v>46</v>
      </c>
      <c r="I2329" t="s">
        <v>35</v>
      </c>
      <c r="J2329" t="s">
        <v>1732</v>
      </c>
      <c r="L2329">
        <v>5.0999999999999996</v>
      </c>
      <c r="M2329">
        <v>502000</v>
      </c>
      <c r="N2329">
        <v>2.4</v>
      </c>
      <c r="O2329">
        <v>11</v>
      </c>
      <c r="P2329" t="s">
        <v>26</v>
      </c>
    </row>
    <row r="2330" spans="1:16" x14ac:dyDescent="0.25">
      <c r="A2330" t="s">
        <v>5689</v>
      </c>
      <c r="B2330" t="s">
        <v>2650</v>
      </c>
      <c r="C2330" t="s">
        <v>18</v>
      </c>
      <c r="D2330" t="s">
        <v>2782</v>
      </c>
      <c r="E2330" t="s">
        <v>20</v>
      </c>
      <c r="F2330" t="s">
        <v>21</v>
      </c>
      <c r="G2330" t="s">
        <v>22</v>
      </c>
      <c r="H2330" t="s">
        <v>34</v>
      </c>
      <c r="I2330" t="s">
        <v>24</v>
      </c>
      <c r="J2330" t="s">
        <v>722</v>
      </c>
      <c r="L2330">
        <v>3.5</v>
      </c>
      <c r="M2330">
        <v>780000</v>
      </c>
      <c r="N2330">
        <v>3.1</v>
      </c>
      <c r="O2330">
        <v>7</v>
      </c>
      <c r="P2330" t="s">
        <v>26</v>
      </c>
    </row>
    <row r="2331" spans="1:16" x14ac:dyDescent="0.25">
      <c r="A2331" t="s">
        <v>5690</v>
      </c>
      <c r="B2331" t="s">
        <v>3781</v>
      </c>
      <c r="C2331" t="s">
        <v>18</v>
      </c>
      <c r="D2331" t="s">
        <v>30</v>
      </c>
      <c r="E2331" t="s">
        <v>20</v>
      </c>
      <c r="F2331" t="s">
        <v>39</v>
      </c>
      <c r="G2331" t="s">
        <v>33</v>
      </c>
      <c r="H2331" t="s">
        <v>46</v>
      </c>
      <c r="I2331" t="s">
        <v>35</v>
      </c>
      <c r="J2331" t="s">
        <v>713</v>
      </c>
      <c r="L2331">
        <v>2.2000000000000002</v>
      </c>
      <c r="M2331">
        <v>90000</v>
      </c>
      <c r="N2331">
        <v>2.1</v>
      </c>
      <c r="O2331">
        <v>9</v>
      </c>
      <c r="P2331" t="s">
        <v>26</v>
      </c>
    </row>
    <row r="2332" spans="1:16" x14ac:dyDescent="0.25">
      <c r="A2332" t="s">
        <v>5691</v>
      </c>
      <c r="B2332" t="s">
        <v>4354</v>
      </c>
      <c r="C2332" t="s">
        <v>29</v>
      </c>
      <c r="E2332" t="s">
        <v>20</v>
      </c>
      <c r="F2332" t="s">
        <v>39</v>
      </c>
      <c r="G2332" t="s">
        <v>80</v>
      </c>
      <c r="H2332" t="s">
        <v>46</v>
      </c>
      <c r="I2332" t="s">
        <v>57</v>
      </c>
      <c r="J2332" t="s">
        <v>5692</v>
      </c>
      <c r="L2332">
        <v>5.4</v>
      </c>
      <c r="M2332">
        <v>129000</v>
      </c>
      <c r="N2332">
        <v>4.5999999999999996</v>
      </c>
      <c r="O2332">
        <v>13</v>
      </c>
      <c r="P2332" t="s">
        <v>26</v>
      </c>
    </row>
    <row r="2333" spans="1:16" x14ac:dyDescent="0.25">
      <c r="A2333" t="s">
        <v>5693</v>
      </c>
      <c r="B2333" t="s">
        <v>3968</v>
      </c>
      <c r="C2333" t="s">
        <v>18</v>
      </c>
      <c r="D2333" t="s">
        <v>19</v>
      </c>
      <c r="E2333" t="s">
        <v>44</v>
      </c>
      <c r="F2333" t="s">
        <v>32</v>
      </c>
      <c r="G2333" t="s">
        <v>22</v>
      </c>
      <c r="H2333" t="s">
        <v>46</v>
      </c>
      <c r="I2333" t="s">
        <v>75</v>
      </c>
      <c r="J2333" t="s">
        <v>3234</v>
      </c>
      <c r="L2333">
        <v>1.5</v>
      </c>
      <c r="M2333">
        <v>260000</v>
      </c>
      <c r="N2333">
        <v>2.6</v>
      </c>
      <c r="O2333">
        <v>13</v>
      </c>
      <c r="P2333" t="s">
        <v>26</v>
      </c>
    </row>
    <row r="2334" spans="1:16" x14ac:dyDescent="0.25">
      <c r="A2334" t="s">
        <v>5694</v>
      </c>
      <c r="B2334" t="s">
        <v>5695</v>
      </c>
      <c r="C2334" t="s">
        <v>29</v>
      </c>
      <c r="D2334" t="s">
        <v>79</v>
      </c>
      <c r="E2334" t="s">
        <v>44</v>
      </c>
      <c r="F2334" t="s">
        <v>32</v>
      </c>
      <c r="G2334" t="s">
        <v>69</v>
      </c>
      <c r="H2334" t="s">
        <v>23</v>
      </c>
      <c r="I2334" t="s">
        <v>57</v>
      </c>
      <c r="J2334" t="s">
        <v>1617</v>
      </c>
      <c r="L2334">
        <v>5.6</v>
      </c>
      <c r="M2334">
        <v>213000</v>
      </c>
      <c r="N2334">
        <v>4.0999999999999996</v>
      </c>
      <c r="O2334">
        <v>13</v>
      </c>
      <c r="P2334" t="s">
        <v>26</v>
      </c>
    </row>
    <row r="2335" spans="1:16" x14ac:dyDescent="0.25">
      <c r="A2335" t="s">
        <v>5696</v>
      </c>
      <c r="B2335" t="s">
        <v>2734</v>
      </c>
      <c r="C2335" t="s">
        <v>18</v>
      </c>
      <c r="D2335" t="s">
        <v>43</v>
      </c>
      <c r="E2335" t="s">
        <v>20</v>
      </c>
      <c r="F2335" t="s">
        <v>128</v>
      </c>
      <c r="G2335" t="s">
        <v>22</v>
      </c>
      <c r="H2335" t="s">
        <v>34</v>
      </c>
      <c r="I2335" t="s">
        <v>35</v>
      </c>
      <c r="J2335" t="s">
        <v>4845</v>
      </c>
      <c r="K2335" t="s">
        <v>1554</v>
      </c>
      <c r="L2335">
        <v>4.0999999999999996</v>
      </c>
      <c r="M2335">
        <v>350000</v>
      </c>
      <c r="N2335">
        <v>4.2</v>
      </c>
      <c r="O2335">
        <v>14</v>
      </c>
      <c r="P2335" t="s">
        <v>72</v>
      </c>
    </row>
    <row r="2336" spans="1:16" x14ac:dyDescent="0.25">
      <c r="A2336" t="s">
        <v>5697</v>
      </c>
      <c r="B2336" t="s">
        <v>5140</v>
      </c>
      <c r="C2336" t="s">
        <v>18</v>
      </c>
      <c r="D2336" t="s">
        <v>50</v>
      </c>
      <c r="E2336" t="s">
        <v>20</v>
      </c>
      <c r="F2336" t="s">
        <v>32</v>
      </c>
      <c r="G2336" t="s">
        <v>22</v>
      </c>
      <c r="H2336" t="s">
        <v>34</v>
      </c>
      <c r="I2336" t="s">
        <v>57</v>
      </c>
      <c r="J2336" t="s">
        <v>3224</v>
      </c>
      <c r="K2336" t="s">
        <v>2799</v>
      </c>
      <c r="L2336">
        <v>4</v>
      </c>
      <c r="M2336">
        <v>181000</v>
      </c>
      <c r="N2336">
        <v>2.2999999999999998</v>
      </c>
      <c r="O2336">
        <v>14</v>
      </c>
      <c r="P2336" t="s">
        <v>53</v>
      </c>
    </row>
    <row r="2337" spans="1:16" x14ac:dyDescent="0.25">
      <c r="A2337" t="s">
        <v>5698</v>
      </c>
      <c r="B2337" t="s">
        <v>5699</v>
      </c>
      <c r="C2337" t="s">
        <v>29</v>
      </c>
      <c r="D2337" t="s">
        <v>30</v>
      </c>
      <c r="E2337" t="s">
        <v>31</v>
      </c>
      <c r="F2337" t="s">
        <v>128</v>
      </c>
      <c r="G2337" t="s">
        <v>22</v>
      </c>
      <c r="H2337" t="s">
        <v>23</v>
      </c>
      <c r="I2337" t="s">
        <v>57</v>
      </c>
      <c r="J2337" t="s">
        <v>1558</v>
      </c>
      <c r="K2337" t="s">
        <v>5686</v>
      </c>
      <c r="L2337">
        <v>3.7</v>
      </c>
      <c r="M2337">
        <v>354000</v>
      </c>
      <c r="N2337">
        <v>4.8</v>
      </c>
      <c r="O2337">
        <v>10</v>
      </c>
      <c r="P2337" t="s">
        <v>53</v>
      </c>
    </row>
    <row r="2338" spans="1:16" x14ac:dyDescent="0.25">
      <c r="A2338" t="s">
        <v>5700</v>
      </c>
      <c r="B2338" t="s">
        <v>3325</v>
      </c>
      <c r="D2338" t="s">
        <v>30</v>
      </c>
      <c r="E2338" t="s">
        <v>20</v>
      </c>
      <c r="F2338" t="s">
        <v>32</v>
      </c>
      <c r="G2338" t="s">
        <v>33</v>
      </c>
      <c r="H2338" t="s">
        <v>23</v>
      </c>
      <c r="I2338" t="s">
        <v>24</v>
      </c>
      <c r="J2338" t="s">
        <v>5065</v>
      </c>
      <c r="K2338" t="s">
        <v>4245</v>
      </c>
      <c r="L2338">
        <v>2.9</v>
      </c>
      <c r="M2338">
        <v>207000</v>
      </c>
      <c r="N2338">
        <v>2.4</v>
      </c>
      <c r="O2338">
        <v>8</v>
      </c>
      <c r="P2338" t="s">
        <v>53</v>
      </c>
    </row>
    <row r="2339" spans="1:16" x14ac:dyDescent="0.25">
      <c r="A2339" t="s">
        <v>5701</v>
      </c>
      <c r="B2339" t="s">
        <v>2614</v>
      </c>
      <c r="C2339" t="s">
        <v>18</v>
      </c>
      <c r="D2339" t="s">
        <v>50</v>
      </c>
      <c r="E2339" t="s">
        <v>20</v>
      </c>
      <c r="F2339" t="s">
        <v>21</v>
      </c>
      <c r="G2339" t="s">
        <v>22</v>
      </c>
      <c r="H2339" t="s">
        <v>34</v>
      </c>
      <c r="I2339" t="s">
        <v>24</v>
      </c>
      <c r="J2339" t="s">
        <v>5702</v>
      </c>
      <c r="L2339">
        <v>2.2000000000000002</v>
      </c>
      <c r="M2339">
        <v>828000</v>
      </c>
      <c r="N2339">
        <v>4.9000000000000004</v>
      </c>
      <c r="O2339">
        <v>6</v>
      </c>
      <c r="P2339" t="s">
        <v>26</v>
      </c>
    </row>
    <row r="2340" spans="1:16" x14ac:dyDescent="0.25">
      <c r="A2340" t="s">
        <v>5703</v>
      </c>
      <c r="B2340" t="s">
        <v>5704</v>
      </c>
      <c r="C2340" t="s">
        <v>29</v>
      </c>
      <c r="D2340" t="s">
        <v>19</v>
      </c>
      <c r="E2340" t="s">
        <v>31</v>
      </c>
      <c r="F2340" t="s">
        <v>128</v>
      </c>
      <c r="G2340" t="s">
        <v>22</v>
      </c>
      <c r="H2340" t="s">
        <v>46</v>
      </c>
      <c r="I2340" t="s">
        <v>24</v>
      </c>
      <c r="J2340" t="s">
        <v>5705</v>
      </c>
      <c r="K2340" t="s">
        <v>5706</v>
      </c>
      <c r="L2340">
        <v>1.4</v>
      </c>
      <c r="M2340">
        <v>541000</v>
      </c>
      <c r="N2340">
        <v>4.3</v>
      </c>
      <c r="O2340">
        <v>13</v>
      </c>
      <c r="P2340" t="s">
        <v>114</v>
      </c>
    </row>
    <row r="2341" spans="1:16" x14ac:dyDescent="0.25">
      <c r="A2341" t="s">
        <v>5707</v>
      </c>
      <c r="B2341" t="s">
        <v>5708</v>
      </c>
      <c r="D2341" t="s">
        <v>79</v>
      </c>
      <c r="E2341" t="s">
        <v>20</v>
      </c>
      <c r="F2341" t="s">
        <v>39</v>
      </c>
      <c r="G2341" t="s">
        <v>22</v>
      </c>
      <c r="H2341" t="s">
        <v>46</v>
      </c>
      <c r="I2341" t="s">
        <v>57</v>
      </c>
      <c r="J2341" t="s">
        <v>2642</v>
      </c>
      <c r="L2341">
        <v>4.4000000000000004</v>
      </c>
      <c r="M2341">
        <v>94000</v>
      </c>
      <c r="N2341">
        <v>4.5999999999999996</v>
      </c>
      <c r="O2341">
        <v>7</v>
      </c>
      <c r="P2341" t="s">
        <v>26</v>
      </c>
    </row>
    <row r="2342" spans="1:16" x14ac:dyDescent="0.25">
      <c r="A2342" t="s">
        <v>5709</v>
      </c>
      <c r="B2342" t="s">
        <v>170</v>
      </c>
      <c r="C2342" t="s">
        <v>18</v>
      </c>
      <c r="D2342" t="s">
        <v>50</v>
      </c>
      <c r="E2342" t="s">
        <v>20</v>
      </c>
      <c r="F2342" t="s">
        <v>32</v>
      </c>
      <c r="G2342" t="s">
        <v>22</v>
      </c>
      <c r="H2342" t="s">
        <v>34</v>
      </c>
      <c r="I2342" t="s">
        <v>24</v>
      </c>
      <c r="J2342" t="s">
        <v>3098</v>
      </c>
      <c r="L2342">
        <v>2.7</v>
      </c>
      <c r="M2342">
        <v>305000</v>
      </c>
      <c r="N2342">
        <v>2.1</v>
      </c>
      <c r="P2342" t="s">
        <v>26</v>
      </c>
    </row>
    <row r="2343" spans="1:16" x14ac:dyDescent="0.25">
      <c r="A2343" t="s">
        <v>5710</v>
      </c>
      <c r="B2343" t="s">
        <v>5711</v>
      </c>
      <c r="C2343" t="s">
        <v>18</v>
      </c>
      <c r="D2343" t="s">
        <v>30</v>
      </c>
      <c r="E2343" t="s">
        <v>20</v>
      </c>
      <c r="F2343" t="s">
        <v>128</v>
      </c>
      <c r="G2343" t="s">
        <v>80</v>
      </c>
      <c r="H2343" t="s">
        <v>34</v>
      </c>
      <c r="I2343" t="s">
        <v>35</v>
      </c>
      <c r="J2343" t="s">
        <v>613</v>
      </c>
      <c r="L2343">
        <v>3.1</v>
      </c>
      <c r="M2343">
        <v>557000</v>
      </c>
      <c r="N2343">
        <v>2</v>
      </c>
      <c r="O2343">
        <v>15</v>
      </c>
      <c r="P2343" t="s">
        <v>26</v>
      </c>
    </row>
    <row r="2344" spans="1:16" x14ac:dyDescent="0.25">
      <c r="A2344" t="s">
        <v>5712</v>
      </c>
      <c r="B2344" t="s">
        <v>5713</v>
      </c>
      <c r="C2344" t="s">
        <v>18</v>
      </c>
      <c r="D2344" t="s">
        <v>43</v>
      </c>
      <c r="E2344" t="s">
        <v>20</v>
      </c>
      <c r="F2344" t="s">
        <v>128</v>
      </c>
      <c r="G2344" t="s">
        <v>33</v>
      </c>
      <c r="H2344" t="s">
        <v>34</v>
      </c>
      <c r="I2344" t="s">
        <v>35</v>
      </c>
      <c r="J2344" t="s">
        <v>5714</v>
      </c>
      <c r="K2344" t="s">
        <v>5715</v>
      </c>
      <c r="L2344">
        <v>1.9</v>
      </c>
      <c r="M2344">
        <v>478000</v>
      </c>
      <c r="N2344">
        <v>5</v>
      </c>
      <c r="O2344">
        <v>7</v>
      </c>
      <c r="P2344" t="s">
        <v>53</v>
      </c>
    </row>
    <row r="2345" spans="1:16" x14ac:dyDescent="0.25">
      <c r="A2345" t="s">
        <v>5716</v>
      </c>
      <c r="B2345" t="s">
        <v>1569</v>
      </c>
      <c r="C2345" t="s">
        <v>18</v>
      </c>
      <c r="D2345" t="s">
        <v>43</v>
      </c>
      <c r="E2345" t="s">
        <v>31</v>
      </c>
      <c r="F2345" t="s">
        <v>39</v>
      </c>
      <c r="G2345" t="s">
        <v>80</v>
      </c>
      <c r="H2345" t="s">
        <v>23</v>
      </c>
      <c r="I2345" t="s">
        <v>24</v>
      </c>
      <c r="J2345" t="s">
        <v>312</v>
      </c>
      <c r="L2345">
        <v>4.9000000000000004</v>
      </c>
      <c r="M2345">
        <v>109000</v>
      </c>
      <c r="N2345">
        <v>2</v>
      </c>
      <c r="O2345">
        <v>5</v>
      </c>
      <c r="P2345" t="s">
        <v>26</v>
      </c>
    </row>
    <row r="2346" spans="1:16" x14ac:dyDescent="0.25">
      <c r="A2346" t="s">
        <v>5717</v>
      </c>
      <c r="B2346" t="s">
        <v>4859</v>
      </c>
      <c r="C2346" t="s">
        <v>18</v>
      </c>
      <c r="D2346" t="s">
        <v>50</v>
      </c>
      <c r="E2346" t="s">
        <v>20</v>
      </c>
      <c r="F2346" t="s">
        <v>128</v>
      </c>
      <c r="G2346" t="s">
        <v>33</v>
      </c>
      <c r="H2346" t="s">
        <v>46</v>
      </c>
      <c r="I2346" t="s">
        <v>24</v>
      </c>
      <c r="J2346" t="s">
        <v>95</v>
      </c>
      <c r="L2346">
        <v>2.6</v>
      </c>
      <c r="M2346">
        <v>362000</v>
      </c>
      <c r="N2346">
        <v>3.3</v>
      </c>
      <c r="O2346">
        <v>3</v>
      </c>
      <c r="P2346" t="s">
        <v>26</v>
      </c>
    </row>
    <row r="2347" spans="1:16" x14ac:dyDescent="0.25">
      <c r="A2347" t="s">
        <v>5718</v>
      </c>
      <c r="B2347" t="s">
        <v>5719</v>
      </c>
      <c r="C2347" t="s">
        <v>18</v>
      </c>
      <c r="D2347" t="s">
        <v>19</v>
      </c>
      <c r="E2347" t="s">
        <v>44</v>
      </c>
      <c r="G2347" t="s">
        <v>69</v>
      </c>
      <c r="H2347" t="s">
        <v>23</v>
      </c>
      <c r="I2347" t="s">
        <v>171</v>
      </c>
      <c r="J2347" t="s">
        <v>5720</v>
      </c>
      <c r="L2347">
        <v>4.8</v>
      </c>
      <c r="M2347">
        <v>153000</v>
      </c>
      <c r="N2347">
        <v>2.8</v>
      </c>
      <c r="O2347">
        <v>14</v>
      </c>
      <c r="P2347" t="s">
        <v>26</v>
      </c>
    </row>
    <row r="2348" spans="1:16" x14ac:dyDescent="0.25">
      <c r="A2348" t="s">
        <v>5721</v>
      </c>
      <c r="B2348" t="s">
        <v>833</v>
      </c>
      <c r="C2348" t="s">
        <v>18</v>
      </c>
      <c r="E2348" t="s">
        <v>20</v>
      </c>
      <c r="F2348" t="s">
        <v>32</v>
      </c>
      <c r="G2348" t="s">
        <v>69</v>
      </c>
      <c r="H2348" t="s">
        <v>62</v>
      </c>
      <c r="I2348" t="s">
        <v>24</v>
      </c>
      <c r="J2348" t="s">
        <v>568</v>
      </c>
      <c r="L2348">
        <v>5</v>
      </c>
      <c r="N2348">
        <v>4.4000000000000004</v>
      </c>
      <c r="O2348">
        <v>26</v>
      </c>
      <c r="P2348" t="s">
        <v>26</v>
      </c>
    </row>
    <row r="2349" spans="1:16" x14ac:dyDescent="0.25">
      <c r="A2349" t="s">
        <v>5722</v>
      </c>
      <c r="B2349" t="s">
        <v>5723</v>
      </c>
      <c r="C2349" t="s">
        <v>18</v>
      </c>
      <c r="D2349" t="s">
        <v>50</v>
      </c>
      <c r="E2349" t="s">
        <v>44</v>
      </c>
      <c r="F2349" t="s">
        <v>39</v>
      </c>
      <c r="G2349" t="s">
        <v>22</v>
      </c>
      <c r="H2349" t="s">
        <v>34</v>
      </c>
      <c r="I2349" t="s">
        <v>35</v>
      </c>
      <c r="J2349" t="s">
        <v>493</v>
      </c>
      <c r="L2349">
        <v>1.7</v>
      </c>
      <c r="M2349">
        <v>130000</v>
      </c>
      <c r="N2349">
        <v>2.7</v>
      </c>
      <c r="O2349">
        <v>23</v>
      </c>
      <c r="P2349" t="s">
        <v>26</v>
      </c>
    </row>
    <row r="2350" spans="1:16" x14ac:dyDescent="0.25">
      <c r="A2350" t="s">
        <v>5724</v>
      </c>
      <c r="B2350" t="s">
        <v>5725</v>
      </c>
      <c r="C2350" t="s">
        <v>18</v>
      </c>
      <c r="D2350" t="s">
        <v>50</v>
      </c>
      <c r="E2350" t="s">
        <v>20</v>
      </c>
      <c r="F2350" t="s">
        <v>21</v>
      </c>
      <c r="G2350" t="s">
        <v>80</v>
      </c>
      <c r="H2350" t="s">
        <v>62</v>
      </c>
      <c r="I2350" t="s">
        <v>24</v>
      </c>
      <c r="J2350" t="s">
        <v>1738</v>
      </c>
      <c r="K2350" t="s">
        <v>2963</v>
      </c>
      <c r="L2350">
        <v>2.5</v>
      </c>
      <c r="M2350">
        <v>740000</v>
      </c>
      <c r="N2350">
        <v>4.4000000000000004</v>
      </c>
      <c r="O2350">
        <v>3</v>
      </c>
      <c r="P2350" t="s">
        <v>53</v>
      </c>
    </row>
    <row r="2351" spans="1:16" x14ac:dyDescent="0.25">
      <c r="A2351" t="s">
        <v>5726</v>
      </c>
      <c r="B2351" t="s">
        <v>333</v>
      </c>
      <c r="C2351" t="s">
        <v>18</v>
      </c>
      <c r="D2351" t="s">
        <v>50</v>
      </c>
      <c r="E2351" t="s">
        <v>44</v>
      </c>
      <c r="F2351" t="s">
        <v>32</v>
      </c>
      <c r="G2351" t="s">
        <v>22</v>
      </c>
      <c r="H2351" t="s">
        <v>34</v>
      </c>
      <c r="I2351" t="s">
        <v>57</v>
      </c>
      <c r="J2351" t="s">
        <v>600</v>
      </c>
      <c r="L2351">
        <v>2</v>
      </c>
      <c r="M2351">
        <v>219000</v>
      </c>
      <c r="N2351">
        <v>4.3</v>
      </c>
      <c r="O2351">
        <v>2</v>
      </c>
      <c r="P2351" t="s">
        <v>26</v>
      </c>
    </row>
    <row r="2352" spans="1:16" x14ac:dyDescent="0.25">
      <c r="A2352" t="s">
        <v>5727</v>
      </c>
      <c r="B2352" t="s">
        <v>4963</v>
      </c>
      <c r="C2352" t="s">
        <v>18</v>
      </c>
      <c r="D2352" t="s">
        <v>79</v>
      </c>
      <c r="E2352" t="s">
        <v>20</v>
      </c>
      <c r="F2352" t="s">
        <v>39</v>
      </c>
      <c r="G2352" t="s">
        <v>80</v>
      </c>
      <c r="H2352" t="s">
        <v>23</v>
      </c>
      <c r="I2352" t="s">
        <v>171</v>
      </c>
      <c r="J2352" t="s">
        <v>600</v>
      </c>
      <c r="L2352">
        <v>2</v>
      </c>
      <c r="M2352">
        <v>125000</v>
      </c>
      <c r="N2352">
        <v>3.8</v>
      </c>
      <c r="O2352">
        <v>12</v>
      </c>
      <c r="P2352" t="s">
        <v>26</v>
      </c>
    </row>
    <row r="2353" spans="1:16" x14ac:dyDescent="0.25">
      <c r="A2353" t="s">
        <v>5728</v>
      </c>
      <c r="B2353" t="s">
        <v>2133</v>
      </c>
      <c r="C2353" t="s">
        <v>18</v>
      </c>
      <c r="D2353" t="s">
        <v>43</v>
      </c>
      <c r="E2353" t="s">
        <v>20</v>
      </c>
      <c r="F2353" t="s">
        <v>128</v>
      </c>
      <c r="G2353" t="s">
        <v>33</v>
      </c>
      <c r="H2353" t="s">
        <v>23</v>
      </c>
      <c r="I2353" t="s">
        <v>24</v>
      </c>
      <c r="J2353" t="s">
        <v>192</v>
      </c>
      <c r="K2353" t="s">
        <v>2262</v>
      </c>
      <c r="L2353">
        <v>2.2000000000000002</v>
      </c>
      <c r="M2353">
        <v>440000</v>
      </c>
      <c r="N2353">
        <v>2.2000000000000002</v>
      </c>
      <c r="O2353">
        <v>1</v>
      </c>
      <c r="P2353" t="s">
        <v>72</v>
      </c>
    </row>
    <row r="2354" spans="1:16" x14ac:dyDescent="0.25">
      <c r="A2354" t="s">
        <v>5729</v>
      </c>
      <c r="B2354" t="s">
        <v>5730</v>
      </c>
      <c r="C2354" t="s">
        <v>29</v>
      </c>
      <c r="D2354" t="s">
        <v>30</v>
      </c>
      <c r="E2354" t="s">
        <v>20</v>
      </c>
      <c r="F2354" t="s">
        <v>32</v>
      </c>
      <c r="G2354" t="s">
        <v>22</v>
      </c>
      <c r="H2354" t="s">
        <v>34</v>
      </c>
      <c r="I2354" t="s">
        <v>24</v>
      </c>
      <c r="J2354" t="s">
        <v>1413</v>
      </c>
      <c r="L2354">
        <v>2.2000000000000002</v>
      </c>
      <c r="M2354">
        <v>184000</v>
      </c>
      <c r="N2354">
        <v>2.2000000000000002</v>
      </c>
      <c r="O2354">
        <v>1</v>
      </c>
      <c r="P2354" t="s">
        <v>26</v>
      </c>
    </row>
    <row r="2355" spans="1:16" x14ac:dyDescent="0.25">
      <c r="A2355" t="s">
        <v>5731</v>
      </c>
      <c r="B2355" t="s">
        <v>2875</v>
      </c>
      <c r="C2355" t="s">
        <v>18</v>
      </c>
      <c r="D2355" t="s">
        <v>79</v>
      </c>
      <c r="E2355" t="s">
        <v>31</v>
      </c>
      <c r="F2355" t="s">
        <v>128</v>
      </c>
      <c r="G2355" t="s">
        <v>69</v>
      </c>
      <c r="H2355" t="s">
        <v>46</v>
      </c>
      <c r="I2355" t="s">
        <v>35</v>
      </c>
      <c r="J2355" t="s">
        <v>2603</v>
      </c>
      <c r="L2355">
        <v>2.9</v>
      </c>
      <c r="M2355">
        <v>577000</v>
      </c>
      <c r="N2355">
        <v>2.2999999999999998</v>
      </c>
      <c r="O2355">
        <v>14</v>
      </c>
      <c r="P2355" t="s">
        <v>26</v>
      </c>
    </row>
    <row r="2356" spans="1:16" x14ac:dyDescent="0.25">
      <c r="A2356" t="s">
        <v>5732</v>
      </c>
      <c r="B2356" t="s">
        <v>5733</v>
      </c>
      <c r="C2356" t="s">
        <v>18</v>
      </c>
      <c r="D2356" t="s">
        <v>50</v>
      </c>
      <c r="E2356" t="s">
        <v>44</v>
      </c>
      <c r="F2356" t="s">
        <v>39</v>
      </c>
      <c r="G2356" t="s">
        <v>22</v>
      </c>
      <c r="H2356" t="s">
        <v>46</v>
      </c>
      <c r="I2356" t="s">
        <v>24</v>
      </c>
      <c r="J2356" t="s">
        <v>5734</v>
      </c>
      <c r="K2356" t="s">
        <v>3712</v>
      </c>
      <c r="L2356">
        <v>5.9</v>
      </c>
      <c r="N2356">
        <v>4.2</v>
      </c>
      <c r="P2356" t="s">
        <v>53</v>
      </c>
    </row>
    <row r="2357" spans="1:16" x14ac:dyDescent="0.25">
      <c r="A2357" t="s">
        <v>5735</v>
      </c>
      <c r="B2357" t="s">
        <v>5736</v>
      </c>
      <c r="C2357" t="s">
        <v>18</v>
      </c>
      <c r="D2357" t="s">
        <v>79</v>
      </c>
      <c r="F2357" t="s">
        <v>39</v>
      </c>
      <c r="G2357" t="s">
        <v>80</v>
      </c>
      <c r="H2357" t="s">
        <v>34</v>
      </c>
      <c r="I2357" t="s">
        <v>24</v>
      </c>
      <c r="J2357" t="s">
        <v>3117</v>
      </c>
      <c r="L2357">
        <v>1.3</v>
      </c>
      <c r="M2357">
        <v>124000</v>
      </c>
      <c r="O2357">
        <v>8</v>
      </c>
      <c r="P2357" t="s">
        <v>26</v>
      </c>
    </row>
    <row r="2358" spans="1:16" x14ac:dyDescent="0.25">
      <c r="A2358" t="s">
        <v>5737</v>
      </c>
      <c r="B2358" t="s">
        <v>3592</v>
      </c>
      <c r="C2358" t="s">
        <v>29</v>
      </c>
      <c r="D2358" t="s">
        <v>30</v>
      </c>
      <c r="E2358" t="s">
        <v>20</v>
      </c>
      <c r="F2358" t="s">
        <v>21</v>
      </c>
      <c r="G2358" t="s">
        <v>22</v>
      </c>
      <c r="H2358" t="s">
        <v>34</v>
      </c>
      <c r="I2358" t="s">
        <v>171</v>
      </c>
      <c r="J2358" t="s">
        <v>2510</v>
      </c>
      <c r="K2358" t="s">
        <v>5738</v>
      </c>
      <c r="L2358">
        <v>2.8</v>
      </c>
      <c r="M2358">
        <v>731000</v>
      </c>
      <c r="N2358">
        <v>3.2</v>
      </c>
      <c r="O2358">
        <v>13</v>
      </c>
      <c r="P2358" t="s">
        <v>53</v>
      </c>
    </row>
    <row r="2359" spans="1:16" x14ac:dyDescent="0.25">
      <c r="A2359" t="s">
        <v>5739</v>
      </c>
      <c r="B2359" t="s">
        <v>5740</v>
      </c>
      <c r="C2359" t="s">
        <v>29</v>
      </c>
      <c r="D2359" t="s">
        <v>19</v>
      </c>
      <c r="E2359" t="s">
        <v>20</v>
      </c>
      <c r="F2359" t="s">
        <v>39</v>
      </c>
      <c r="G2359" t="s">
        <v>33</v>
      </c>
      <c r="H2359" t="s">
        <v>62</v>
      </c>
      <c r="I2359" t="s">
        <v>24</v>
      </c>
      <c r="J2359" t="s">
        <v>5741</v>
      </c>
      <c r="L2359">
        <v>4.5999999999999996</v>
      </c>
      <c r="M2359">
        <v>187000</v>
      </c>
      <c r="N2359">
        <v>4.8</v>
      </c>
      <c r="O2359">
        <v>6</v>
      </c>
      <c r="P2359" t="s">
        <v>26</v>
      </c>
    </row>
    <row r="2360" spans="1:16" x14ac:dyDescent="0.25">
      <c r="A2360" t="s">
        <v>5742</v>
      </c>
      <c r="B2360" t="s">
        <v>5743</v>
      </c>
      <c r="C2360" t="s">
        <v>18</v>
      </c>
      <c r="D2360" t="s">
        <v>19</v>
      </c>
      <c r="E2360" t="s">
        <v>20</v>
      </c>
      <c r="F2360" t="s">
        <v>39</v>
      </c>
      <c r="G2360" t="s">
        <v>80</v>
      </c>
      <c r="H2360" t="s">
        <v>34</v>
      </c>
      <c r="I2360" t="s">
        <v>75</v>
      </c>
      <c r="J2360" t="s">
        <v>641</v>
      </c>
      <c r="L2360">
        <v>3.3</v>
      </c>
      <c r="M2360">
        <v>106000</v>
      </c>
      <c r="O2360">
        <v>7</v>
      </c>
      <c r="P2360" t="s">
        <v>26</v>
      </c>
    </row>
    <row r="2361" spans="1:16" x14ac:dyDescent="0.25">
      <c r="A2361" t="s">
        <v>5744</v>
      </c>
      <c r="B2361" t="s">
        <v>1639</v>
      </c>
      <c r="C2361" t="s">
        <v>18</v>
      </c>
      <c r="D2361" t="s">
        <v>50</v>
      </c>
      <c r="E2361" t="s">
        <v>20</v>
      </c>
      <c r="F2361" t="s">
        <v>39</v>
      </c>
      <c r="G2361" t="s">
        <v>33</v>
      </c>
      <c r="H2361" t="s">
        <v>46</v>
      </c>
      <c r="J2361" t="s">
        <v>1522</v>
      </c>
      <c r="L2361">
        <v>2.5</v>
      </c>
      <c r="M2361">
        <v>113000</v>
      </c>
      <c r="N2361">
        <v>2.6</v>
      </c>
      <c r="O2361">
        <v>0</v>
      </c>
      <c r="P2361" t="s">
        <v>26</v>
      </c>
    </row>
    <row r="2362" spans="1:16" x14ac:dyDescent="0.25">
      <c r="A2362" t="s">
        <v>5745</v>
      </c>
      <c r="B2362" t="s">
        <v>170</v>
      </c>
      <c r="C2362" t="s">
        <v>18</v>
      </c>
      <c r="D2362" t="s">
        <v>30</v>
      </c>
      <c r="E2362" t="s">
        <v>20</v>
      </c>
      <c r="F2362" t="s">
        <v>128</v>
      </c>
      <c r="G2362" t="s">
        <v>22</v>
      </c>
      <c r="H2362" t="s">
        <v>62</v>
      </c>
      <c r="I2362" t="s">
        <v>57</v>
      </c>
      <c r="J2362" t="s">
        <v>5746</v>
      </c>
      <c r="L2362">
        <v>4.0999999999999996</v>
      </c>
      <c r="M2362">
        <v>550000</v>
      </c>
      <c r="N2362">
        <v>3.6</v>
      </c>
      <c r="O2362">
        <v>3</v>
      </c>
      <c r="P2362" t="s">
        <v>26</v>
      </c>
    </row>
    <row r="2363" spans="1:16" x14ac:dyDescent="0.25">
      <c r="A2363" t="s">
        <v>5747</v>
      </c>
      <c r="B2363" t="s">
        <v>5748</v>
      </c>
      <c r="C2363" t="s">
        <v>29</v>
      </c>
      <c r="D2363" t="s">
        <v>79</v>
      </c>
      <c r="E2363" t="s">
        <v>20</v>
      </c>
      <c r="F2363" t="s">
        <v>45</v>
      </c>
      <c r="G2363" t="s">
        <v>22</v>
      </c>
      <c r="H2363" t="s">
        <v>23</v>
      </c>
      <c r="I2363" t="s">
        <v>75</v>
      </c>
      <c r="J2363" t="s">
        <v>2287</v>
      </c>
      <c r="L2363">
        <v>2.6</v>
      </c>
      <c r="N2363">
        <v>3.8</v>
      </c>
      <c r="O2363">
        <v>40</v>
      </c>
      <c r="P2363" t="s">
        <v>26</v>
      </c>
    </row>
    <row r="2364" spans="1:16" x14ac:dyDescent="0.25">
      <c r="A2364" t="s">
        <v>5749</v>
      </c>
      <c r="B2364" t="s">
        <v>5750</v>
      </c>
      <c r="C2364" t="s">
        <v>29</v>
      </c>
      <c r="D2364" t="s">
        <v>43</v>
      </c>
      <c r="E2364" t="s">
        <v>31</v>
      </c>
      <c r="F2364" t="s">
        <v>128</v>
      </c>
      <c r="G2364" t="s">
        <v>33</v>
      </c>
      <c r="H2364" t="s">
        <v>23</v>
      </c>
      <c r="I2364" t="s">
        <v>35</v>
      </c>
      <c r="J2364" t="s">
        <v>3958</v>
      </c>
      <c r="K2364" t="s">
        <v>5751</v>
      </c>
      <c r="L2364">
        <v>6.2</v>
      </c>
      <c r="M2364">
        <v>350000</v>
      </c>
      <c r="N2364">
        <v>3.7</v>
      </c>
      <c r="O2364">
        <v>24</v>
      </c>
      <c r="P2364" t="s">
        <v>53</v>
      </c>
    </row>
    <row r="2365" spans="1:16" x14ac:dyDescent="0.25">
      <c r="A2365" t="s">
        <v>5752</v>
      </c>
      <c r="B2365" t="s">
        <v>5753</v>
      </c>
      <c r="C2365" t="s">
        <v>29</v>
      </c>
      <c r="D2365" t="s">
        <v>50</v>
      </c>
      <c r="E2365" t="s">
        <v>31</v>
      </c>
      <c r="F2365" t="s">
        <v>21</v>
      </c>
      <c r="G2365" t="s">
        <v>69</v>
      </c>
      <c r="H2365" t="s">
        <v>34</v>
      </c>
      <c r="I2365" t="s">
        <v>57</v>
      </c>
      <c r="J2365" t="s">
        <v>2107</v>
      </c>
      <c r="K2365" t="s">
        <v>5754</v>
      </c>
      <c r="L2365">
        <v>1.3</v>
      </c>
      <c r="M2365">
        <v>712000</v>
      </c>
      <c r="N2365">
        <v>3.9</v>
      </c>
      <c r="O2365">
        <v>8</v>
      </c>
      <c r="P2365" t="s">
        <v>72</v>
      </c>
    </row>
    <row r="2366" spans="1:16" x14ac:dyDescent="0.25">
      <c r="A2366" t="s">
        <v>5755</v>
      </c>
      <c r="B2366" t="s">
        <v>5756</v>
      </c>
      <c r="C2366" t="s">
        <v>18</v>
      </c>
      <c r="D2366" t="s">
        <v>30</v>
      </c>
      <c r="E2366" t="s">
        <v>44</v>
      </c>
      <c r="F2366" t="s">
        <v>21</v>
      </c>
      <c r="G2366" t="s">
        <v>22</v>
      </c>
      <c r="H2366" t="s">
        <v>62</v>
      </c>
      <c r="J2366" t="s">
        <v>3330</v>
      </c>
      <c r="L2366">
        <v>1.4</v>
      </c>
      <c r="M2366">
        <v>848000</v>
      </c>
      <c r="N2366">
        <v>4.5999999999999996</v>
      </c>
      <c r="O2366">
        <v>5</v>
      </c>
      <c r="P2366" t="s">
        <v>26</v>
      </c>
    </row>
    <row r="2367" spans="1:16" x14ac:dyDescent="0.25">
      <c r="A2367" t="s">
        <v>5757</v>
      </c>
      <c r="B2367" t="s">
        <v>647</v>
      </c>
      <c r="C2367" t="s">
        <v>29</v>
      </c>
      <c r="D2367" t="s">
        <v>50</v>
      </c>
      <c r="E2367" t="s">
        <v>20</v>
      </c>
      <c r="F2367" t="s">
        <v>39</v>
      </c>
      <c r="G2367" t="s">
        <v>22</v>
      </c>
      <c r="H2367" t="s">
        <v>23</v>
      </c>
      <c r="I2367" t="s">
        <v>35</v>
      </c>
      <c r="J2367" t="s">
        <v>818</v>
      </c>
      <c r="K2367" t="s">
        <v>908</v>
      </c>
      <c r="L2367">
        <v>2.8</v>
      </c>
      <c r="M2367">
        <v>141000</v>
      </c>
      <c r="N2367">
        <v>3.2</v>
      </c>
      <c r="O2367">
        <v>12</v>
      </c>
      <c r="P2367" t="s">
        <v>53</v>
      </c>
    </row>
    <row r="2368" spans="1:16" x14ac:dyDescent="0.25">
      <c r="A2368" t="s">
        <v>5758</v>
      </c>
      <c r="B2368" t="s">
        <v>5759</v>
      </c>
      <c r="C2368" t="s">
        <v>29</v>
      </c>
      <c r="D2368" t="s">
        <v>43</v>
      </c>
      <c r="E2368" t="s">
        <v>44</v>
      </c>
      <c r="F2368" t="s">
        <v>32</v>
      </c>
      <c r="G2368" t="s">
        <v>80</v>
      </c>
      <c r="H2368" t="s">
        <v>62</v>
      </c>
      <c r="I2368" t="s">
        <v>57</v>
      </c>
      <c r="J2368" t="s">
        <v>5760</v>
      </c>
      <c r="K2368" t="s">
        <v>5761</v>
      </c>
      <c r="L2368">
        <v>2.2000000000000002</v>
      </c>
      <c r="M2368">
        <v>276000</v>
      </c>
      <c r="N2368">
        <v>3.8</v>
      </c>
      <c r="O2368">
        <v>10</v>
      </c>
      <c r="P2368" t="s">
        <v>53</v>
      </c>
    </row>
    <row r="2369" spans="1:16" x14ac:dyDescent="0.25">
      <c r="A2369" t="s">
        <v>5762</v>
      </c>
      <c r="B2369" t="s">
        <v>83</v>
      </c>
      <c r="C2369" t="s">
        <v>29</v>
      </c>
      <c r="D2369" t="s">
        <v>30</v>
      </c>
      <c r="E2369" t="s">
        <v>31</v>
      </c>
      <c r="F2369" t="s">
        <v>39</v>
      </c>
      <c r="G2369" t="s">
        <v>22</v>
      </c>
      <c r="H2369" t="s">
        <v>34</v>
      </c>
      <c r="I2369" t="s">
        <v>24</v>
      </c>
      <c r="J2369" t="s">
        <v>3841</v>
      </c>
      <c r="K2369" t="s">
        <v>2000</v>
      </c>
      <c r="L2369">
        <v>5.5</v>
      </c>
      <c r="M2369">
        <v>108000</v>
      </c>
      <c r="N2369">
        <v>1.8</v>
      </c>
      <c r="O2369">
        <v>1</v>
      </c>
      <c r="P2369" t="s">
        <v>53</v>
      </c>
    </row>
    <row r="2370" spans="1:16" x14ac:dyDescent="0.25">
      <c r="A2370" t="s">
        <v>5763</v>
      </c>
      <c r="B2370" t="s">
        <v>2099</v>
      </c>
      <c r="C2370" t="s">
        <v>18</v>
      </c>
      <c r="D2370" t="s">
        <v>79</v>
      </c>
      <c r="E2370" t="s">
        <v>20</v>
      </c>
      <c r="F2370" t="s">
        <v>39</v>
      </c>
      <c r="G2370" t="s">
        <v>33</v>
      </c>
      <c r="H2370" t="s">
        <v>23</v>
      </c>
      <c r="I2370" t="s">
        <v>24</v>
      </c>
      <c r="J2370" t="s">
        <v>5764</v>
      </c>
      <c r="L2370">
        <v>4.9000000000000004</v>
      </c>
      <c r="M2370">
        <v>103000</v>
      </c>
      <c r="N2370">
        <v>3.6</v>
      </c>
      <c r="O2370">
        <v>3</v>
      </c>
      <c r="P2370" t="s">
        <v>26</v>
      </c>
    </row>
    <row r="2371" spans="1:16" x14ac:dyDescent="0.25">
      <c r="A2371" t="s">
        <v>5765</v>
      </c>
      <c r="B2371" t="s">
        <v>1256</v>
      </c>
      <c r="C2371" t="s">
        <v>29</v>
      </c>
      <c r="D2371" t="s">
        <v>50</v>
      </c>
      <c r="E2371" t="s">
        <v>20</v>
      </c>
      <c r="F2371" t="s">
        <v>39</v>
      </c>
      <c r="G2371" t="s">
        <v>22</v>
      </c>
      <c r="H2371" t="s">
        <v>23</v>
      </c>
      <c r="I2371" t="s">
        <v>24</v>
      </c>
      <c r="J2371" t="s">
        <v>3889</v>
      </c>
      <c r="L2371">
        <v>5.2</v>
      </c>
      <c r="M2371">
        <v>166000</v>
      </c>
      <c r="N2371">
        <v>3.3</v>
      </c>
      <c r="O2371">
        <v>7</v>
      </c>
      <c r="P2371" t="s">
        <v>26</v>
      </c>
    </row>
    <row r="2372" spans="1:16" x14ac:dyDescent="0.25">
      <c r="A2372" t="s">
        <v>5766</v>
      </c>
      <c r="B2372" t="s">
        <v>1374</v>
      </c>
      <c r="C2372" t="s">
        <v>18</v>
      </c>
      <c r="D2372" t="s">
        <v>19</v>
      </c>
      <c r="E2372" t="s">
        <v>31</v>
      </c>
      <c r="F2372" t="s">
        <v>39</v>
      </c>
      <c r="G2372" t="s">
        <v>22</v>
      </c>
      <c r="H2372" t="s">
        <v>23</v>
      </c>
      <c r="I2372" t="s">
        <v>35</v>
      </c>
      <c r="J2372" t="s">
        <v>1893</v>
      </c>
      <c r="K2372" t="s">
        <v>2434</v>
      </c>
      <c r="L2372">
        <v>3.1</v>
      </c>
      <c r="M2372">
        <v>113000</v>
      </c>
      <c r="N2372">
        <v>4.5999999999999996</v>
      </c>
      <c r="O2372">
        <v>6</v>
      </c>
      <c r="P2372" t="s">
        <v>53</v>
      </c>
    </row>
    <row r="2373" spans="1:16" x14ac:dyDescent="0.25">
      <c r="A2373" t="s">
        <v>5767</v>
      </c>
      <c r="B2373" t="s">
        <v>244</v>
      </c>
      <c r="C2373" t="s">
        <v>29</v>
      </c>
      <c r="D2373" t="s">
        <v>19</v>
      </c>
      <c r="E2373" t="s">
        <v>44</v>
      </c>
      <c r="F2373" t="s">
        <v>39</v>
      </c>
      <c r="G2373" t="s">
        <v>22</v>
      </c>
      <c r="H2373" t="s">
        <v>34</v>
      </c>
      <c r="I2373" t="s">
        <v>57</v>
      </c>
      <c r="J2373" t="s">
        <v>1158</v>
      </c>
      <c r="L2373">
        <v>2.2999999999999998</v>
      </c>
      <c r="M2373">
        <v>139000</v>
      </c>
      <c r="N2373">
        <v>4.0999999999999996</v>
      </c>
      <c r="O2373">
        <v>31</v>
      </c>
      <c r="P2373" t="s">
        <v>26</v>
      </c>
    </row>
    <row r="2374" spans="1:16" x14ac:dyDescent="0.25">
      <c r="A2374" t="s">
        <v>5768</v>
      </c>
      <c r="B2374" t="s">
        <v>2298</v>
      </c>
      <c r="C2374" t="s">
        <v>18</v>
      </c>
      <c r="D2374" t="s">
        <v>30</v>
      </c>
      <c r="E2374" t="s">
        <v>31</v>
      </c>
      <c r="F2374" t="s">
        <v>21</v>
      </c>
      <c r="G2374" t="s">
        <v>22</v>
      </c>
      <c r="H2374" t="s">
        <v>23</v>
      </c>
      <c r="I2374" t="s">
        <v>75</v>
      </c>
      <c r="J2374" t="s">
        <v>1994</v>
      </c>
      <c r="K2374" t="s">
        <v>1184</v>
      </c>
      <c r="L2374">
        <v>3.5</v>
      </c>
      <c r="M2374">
        <v>745000</v>
      </c>
      <c r="N2374">
        <v>4.4000000000000004</v>
      </c>
      <c r="P2374" t="s">
        <v>53</v>
      </c>
    </row>
    <row r="2375" spans="1:16" x14ac:dyDescent="0.25">
      <c r="A2375" t="s">
        <v>5769</v>
      </c>
      <c r="B2375" t="s">
        <v>5770</v>
      </c>
      <c r="C2375" t="s">
        <v>29</v>
      </c>
      <c r="D2375" t="s">
        <v>19</v>
      </c>
      <c r="E2375" t="s">
        <v>20</v>
      </c>
      <c r="F2375" t="s">
        <v>32</v>
      </c>
      <c r="G2375" t="s">
        <v>80</v>
      </c>
      <c r="H2375" t="s">
        <v>23</v>
      </c>
      <c r="I2375" t="s">
        <v>24</v>
      </c>
      <c r="J2375" t="s">
        <v>1109</v>
      </c>
      <c r="L2375">
        <v>3.2</v>
      </c>
      <c r="M2375">
        <v>369000</v>
      </c>
      <c r="N2375">
        <v>2</v>
      </c>
      <c r="O2375">
        <v>0</v>
      </c>
      <c r="P2375" t="s">
        <v>26</v>
      </c>
    </row>
    <row r="2376" spans="1:16" x14ac:dyDescent="0.25">
      <c r="A2376" t="s">
        <v>5771</v>
      </c>
      <c r="B2376" t="s">
        <v>5772</v>
      </c>
      <c r="C2376" t="s">
        <v>18</v>
      </c>
      <c r="D2376" t="s">
        <v>30</v>
      </c>
      <c r="E2376" t="s">
        <v>20</v>
      </c>
      <c r="F2376" t="s">
        <v>32</v>
      </c>
      <c r="G2376" t="s">
        <v>33</v>
      </c>
      <c r="H2376" t="s">
        <v>46</v>
      </c>
      <c r="J2376" t="s">
        <v>5211</v>
      </c>
      <c r="L2376">
        <v>3.9</v>
      </c>
      <c r="M2376">
        <v>293000</v>
      </c>
      <c r="N2376">
        <v>3.4</v>
      </c>
      <c r="O2376">
        <v>0</v>
      </c>
      <c r="P2376" t="s">
        <v>26</v>
      </c>
    </row>
    <row r="2377" spans="1:16" x14ac:dyDescent="0.25">
      <c r="A2377" t="s">
        <v>5773</v>
      </c>
      <c r="B2377" t="s">
        <v>5774</v>
      </c>
      <c r="C2377" t="s">
        <v>18</v>
      </c>
      <c r="D2377" t="s">
        <v>30</v>
      </c>
      <c r="F2377" t="s">
        <v>128</v>
      </c>
      <c r="G2377" t="s">
        <v>22</v>
      </c>
      <c r="H2377" t="s">
        <v>62</v>
      </c>
      <c r="I2377" t="s">
        <v>35</v>
      </c>
      <c r="J2377" t="s">
        <v>3544</v>
      </c>
      <c r="K2377" t="s">
        <v>5775</v>
      </c>
      <c r="L2377">
        <v>2.5</v>
      </c>
      <c r="M2377">
        <v>539000</v>
      </c>
      <c r="N2377">
        <v>3.8</v>
      </c>
      <c r="P2377" t="s">
        <v>72</v>
      </c>
    </row>
    <row r="2378" spans="1:16" x14ac:dyDescent="0.25">
      <c r="A2378" t="s">
        <v>5776</v>
      </c>
      <c r="B2378" t="s">
        <v>1816</v>
      </c>
      <c r="C2378" t="s">
        <v>29</v>
      </c>
      <c r="D2378" t="s">
        <v>79</v>
      </c>
      <c r="E2378" t="s">
        <v>20</v>
      </c>
      <c r="F2378" t="s">
        <v>32</v>
      </c>
      <c r="G2378" t="s">
        <v>22</v>
      </c>
      <c r="H2378" t="s">
        <v>46</v>
      </c>
      <c r="I2378" t="s">
        <v>57</v>
      </c>
      <c r="J2378" t="s">
        <v>2236</v>
      </c>
      <c r="L2378">
        <v>2.4</v>
      </c>
      <c r="M2378">
        <v>188000</v>
      </c>
      <c r="N2378">
        <v>4.0999999999999996</v>
      </c>
      <c r="O2378">
        <v>36</v>
      </c>
      <c r="P2378" t="s">
        <v>26</v>
      </c>
    </row>
    <row r="2379" spans="1:16" x14ac:dyDescent="0.25">
      <c r="A2379" t="s">
        <v>5777</v>
      </c>
      <c r="B2379" t="s">
        <v>3287</v>
      </c>
      <c r="C2379" t="s">
        <v>18</v>
      </c>
      <c r="D2379" t="s">
        <v>79</v>
      </c>
      <c r="E2379" t="s">
        <v>20</v>
      </c>
      <c r="F2379" t="s">
        <v>32</v>
      </c>
      <c r="G2379" t="s">
        <v>33</v>
      </c>
      <c r="H2379" t="s">
        <v>23</v>
      </c>
      <c r="I2379" t="s">
        <v>35</v>
      </c>
      <c r="J2379" t="s">
        <v>5055</v>
      </c>
      <c r="L2379">
        <v>4.0999999999999996</v>
      </c>
      <c r="M2379">
        <v>236000</v>
      </c>
      <c r="N2379">
        <v>4.2</v>
      </c>
      <c r="O2379">
        <v>4</v>
      </c>
      <c r="P2379" t="s">
        <v>26</v>
      </c>
    </row>
    <row r="2380" spans="1:16" x14ac:dyDescent="0.25">
      <c r="A2380" t="s">
        <v>5778</v>
      </c>
      <c r="B2380" t="s">
        <v>3155</v>
      </c>
      <c r="C2380" t="s">
        <v>18</v>
      </c>
      <c r="E2380" t="s">
        <v>20</v>
      </c>
      <c r="F2380" t="s">
        <v>128</v>
      </c>
      <c r="G2380" t="s">
        <v>33</v>
      </c>
      <c r="H2380" t="s">
        <v>46</v>
      </c>
      <c r="I2380" t="s">
        <v>35</v>
      </c>
      <c r="J2380" t="s">
        <v>1810</v>
      </c>
      <c r="L2380">
        <v>2.7</v>
      </c>
      <c r="M2380">
        <v>410000</v>
      </c>
      <c r="O2380">
        <v>3</v>
      </c>
      <c r="P2380" t="s">
        <v>26</v>
      </c>
    </row>
    <row r="2381" spans="1:16" x14ac:dyDescent="0.25">
      <c r="A2381" t="s">
        <v>5779</v>
      </c>
      <c r="B2381" t="s">
        <v>38</v>
      </c>
      <c r="C2381" t="s">
        <v>18</v>
      </c>
      <c r="D2381" t="s">
        <v>30</v>
      </c>
      <c r="E2381" t="s">
        <v>20</v>
      </c>
      <c r="F2381" t="s">
        <v>21</v>
      </c>
      <c r="G2381" t="s">
        <v>22</v>
      </c>
      <c r="H2381" t="s">
        <v>34</v>
      </c>
      <c r="I2381" t="s">
        <v>75</v>
      </c>
      <c r="J2381" t="s">
        <v>2726</v>
      </c>
      <c r="K2381" t="s">
        <v>2666</v>
      </c>
      <c r="L2381">
        <v>5.8</v>
      </c>
      <c r="M2381">
        <v>886000</v>
      </c>
      <c r="N2381">
        <v>3.8</v>
      </c>
      <c r="O2381">
        <v>13</v>
      </c>
      <c r="P2381" t="s">
        <v>53</v>
      </c>
    </row>
    <row r="2382" spans="1:16" x14ac:dyDescent="0.25">
      <c r="A2382" t="s">
        <v>5780</v>
      </c>
      <c r="B2382" t="s">
        <v>5781</v>
      </c>
      <c r="C2382" t="s">
        <v>18</v>
      </c>
      <c r="D2382" t="s">
        <v>30</v>
      </c>
      <c r="E2382" t="s">
        <v>44</v>
      </c>
      <c r="F2382" t="s">
        <v>128</v>
      </c>
      <c r="G2382" t="s">
        <v>80</v>
      </c>
      <c r="H2382" t="s">
        <v>23</v>
      </c>
      <c r="I2382" t="s">
        <v>24</v>
      </c>
      <c r="J2382" t="s">
        <v>5782</v>
      </c>
      <c r="K2382" t="s">
        <v>838</v>
      </c>
      <c r="L2382">
        <v>2</v>
      </c>
      <c r="M2382">
        <v>382000</v>
      </c>
      <c r="N2382">
        <v>3</v>
      </c>
      <c r="O2382">
        <v>8</v>
      </c>
      <c r="P2382" t="s">
        <v>72</v>
      </c>
    </row>
    <row r="2383" spans="1:16" x14ac:dyDescent="0.25">
      <c r="A2383" t="s">
        <v>5783</v>
      </c>
      <c r="B2383" t="s">
        <v>4885</v>
      </c>
      <c r="C2383" t="s">
        <v>29</v>
      </c>
      <c r="D2383" t="s">
        <v>43</v>
      </c>
      <c r="E2383" t="s">
        <v>31</v>
      </c>
      <c r="F2383" t="s">
        <v>128</v>
      </c>
      <c r="G2383" t="s">
        <v>33</v>
      </c>
      <c r="H2383" t="s">
        <v>23</v>
      </c>
      <c r="I2383" t="s">
        <v>171</v>
      </c>
      <c r="J2383" t="s">
        <v>5431</v>
      </c>
      <c r="K2383" t="s">
        <v>1480</v>
      </c>
      <c r="L2383">
        <v>5.6</v>
      </c>
      <c r="M2383">
        <v>399000</v>
      </c>
      <c r="N2383">
        <v>2.8</v>
      </c>
      <c r="O2383">
        <v>4</v>
      </c>
      <c r="P2383" t="s">
        <v>114</v>
      </c>
    </row>
    <row r="2384" spans="1:16" x14ac:dyDescent="0.25">
      <c r="A2384" t="s">
        <v>5784</v>
      </c>
      <c r="B2384" t="s">
        <v>5785</v>
      </c>
      <c r="C2384" t="s">
        <v>18</v>
      </c>
      <c r="D2384" t="s">
        <v>79</v>
      </c>
      <c r="E2384" t="s">
        <v>20</v>
      </c>
      <c r="F2384" t="s">
        <v>128</v>
      </c>
      <c r="G2384" t="s">
        <v>80</v>
      </c>
      <c r="H2384" t="s">
        <v>46</v>
      </c>
      <c r="I2384" t="s">
        <v>35</v>
      </c>
      <c r="J2384" t="s">
        <v>981</v>
      </c>
      <c r="L2384">
        <v>4.5</v>
      </c>
      <c r="M2384">
        <v>541000</v>
      </c>
      <c r="N2384">
        <v>2.5</v>
      </c>
      <c r="O2384">
        <v>6</v>
      </c>
      <c r="P2384" t="s">
        <v>26</v>
      </c>
    </row>
    <row r="2385" spans="1:16" x14ac:dyDescent="0.25">
      <c r="A2385" t="s">
        <v>5786</v>
      </c>
      <c r="B2385" t="s">
        <v>1144</v>
      </c>
      <c r="C2385" t="s">
        <v>18</v>
      </c>
      <c r="D2385" t="s">
        <v>43</v>
      </c>
      <c r="E2385" t="s">
        <v>44</v>
      </c>
      <c r="F2385" t="s">
        <v>128</v>
      </c>
      <c r="G2385" t="s">
        <v>33</v>
      </c>
      <c r="H2385" t="s">
        <v>34</v>
      </c>
      <c r="I2385" t="s">
        <v>35</v>
      </c>
      <c r="J2385" t="s">
        <v>5787</v>
      </c>
      <c r="L2385">
        <v>2.7</v>
      </c>
      <c r="M2385">
        <v>350000</v>
      </c>
      <c r="N2385">
        <v>3.8</v>
      </c>
      <c r="O2385">
        <v>0</v>
      </c>
      <c r="P2385" t="s">
        <v>26</v>
      </c>
    </row>
    <row r="2386" spans="1:16" x14ac:dyDescent="0.25">
      <c r="A2386" t="s">
        <v>5788</v>
      </c>
      <c r="B2386" t="s">
        <v>5789</v>
      </c>
      <c r="C2386" t="s">
        <v>18</v>
      </c>
      <c r="D2386" t="s">
        <v>50</v>
      </c>
      <c r="E2386" t="s">
        <v>20</v>
      </c>
      <c r="F2386" t="s">
        <v>32</v>
      </c>
      <c r="G2386" t="s">
        <v>33</v>
      </c>
      <c r="H2386" t="s">
        <v>23</v>
      </c>
      <c r="I2386" t="s">
        <v>57</v>
      </c>
      <c r="J2386" t="s">
        <v>5790</v>
      </c>
      <c r="L2386">
        <v>5.5</v>
      </c>
      <c r="M2386">
        <v>333000</v>
      </c>
      <c r="O2386">
        <v>13</v>
      </c>
      <c r="P2386" t="s">
        <v>26</v>
      </c>
    </row>
    <row r="2387" spans="1:16" x14ac:dyDescent="0.25">
      <c r="A2387" t="s">
        <v>5791</v>
      </c>
      <c r="B2387" t="s">
        <v>2561</v>
      </c>
      <c r="C2387" t="s">
        <v>29</v>
      </c>
      <c r="D2387" t="s">
        <v>19</v>
      </c>
      <c r="E2387" t="s">
        <v>20</v>
      </c>
      <c r="F2387" t="s">
        <v>39</v>
      </c>
      <c r="G2387" t="s">
        <v>22</v>
      </c>
      <c r="H2387" t="s">
        <v>23</v>
      </c>
      <c r="I2387" t="s">
        <v>35</v>
      </c>
      <c r="J2387" t="s">
        <v>2867</v>
      </c>
      <c r="L2387">
        <v>1.9</v>
      </c>
      <c r="M2387">
        <v>198000</v>
      </c>
      <c r="N2387">
        <v>4.7</v>
      </c>
      <c r="O2387">
        <v>12</v>
      </c>
      <c r="P2387" t="s">
        <v>26</v>
      </c>
    </row>
    <row r="2388" spans="1:16" x14ac:dyDescent="0.25">
      <c r="A2388" t="s">
        <v>5792</v>
      </c>
      <c r="B2388" t="s">
        <v>5793</v>
      </c>
      <c r="C2388" t="s">
        <v>29</v>
      </c>
      <c r="D2388" t="s">
        <v>79</v>
      </c>
      <c r="E2388" t="s">
        <v>44</v>
      </c>
      <c r="F2388" t="s">
        <v>32</v>
      </c>
      <c r="G2388" t="s">
        <v>69</v>
      </c>
      <c r="H2388" t="s">
        <v>46</v>
      </c>
      <c r="I2388" t="s">
        <v>57</v>
      </c>
      <c r="J2388" t="s">
        <v>5794</v>
      </c>
      <c r="L2388">
        <v>1.4</v>
      </c>
      <c r="M2388">
        <v>298000</v>
      </c>
      <c r="N2388">
        <v>3.7</v>
      </c>
      <c r="O2388">
        <v>14</v>
      </c>
      <c r="P2388" t="s">
        <v>26</v>
      </c>
    </row>
    <row r="2389" spans="1:16" x14ac:dyDescent="0.25">
      <c r="A2389" t="s">
        <v>5795</v>
      </c>
      <c r="B2389" t="s">
        <v>5150</v>
      </c>
      <c r="C2389" t="s">
        <v>18</v>
      </c>
      <c r="D2389" t="s">
        <v>43</v>
      </c>
      <c r="E2389" t="s">
        <v>31</v>
      </c>
      <c r="F2389" t="s">
        <v>39</v>
      </c>
      <c r="G2389" t="s">
        <v>22</v>
      </c>
      <c r="H2389" t="s">
        <v>46</v>
      </c>
      <c r="I2389" t="s">
        <v>24</v>
      </c>
      <c r="J2389" t="s">
        <v>5796</v>
      </c>
      <c r="L2389">
        <v>3.4</v>
      </c>
      <c r="M2389">
        <v>134000</v>
      </c>
      <c r="N2389">
        <v>3.8</v>
      </c>
      <c r="O2389">
        <v>11</v>
      </c>
      <c r="P2389" t="s">
        <v>26</v>
      </c>
    </row>
    <row r="2390" spans="1:16" x14ac:dyDescent="0.25">
      <c r="A2390" t="s">
        <v>5797</v>
      </c>
      <c r="B2390" t="s">
        <v>5335</v>
      </c>
      <c r="D2390" t="s">
        <v>79</v>
      </c>
      <c r="F2390" t="s">
        <v>128</v>
      </c>
      <c r="G2390" t="s">
        <v>69</v>
      </c>
      <c r="H2390" t="s">
        <v>46</v>
      </c>
      <c r="I2390" t="s">
        <v>57</v>
      </c>
      <c r="J2390" t="s">
        <v>5798</v>
      </c>
      <c r="L2390">
        <v>4.2</v>
      </c>
      <c r="M2390">
        <v>483000</v>
      </c>
      <c r="N2390">
        <v>3.2</v>
      </c>
      <c r="O2390">
        <v>12</v>
      </c>
      <c r="P2390" t="s">
        <v>26</v>
      </c>
    </row>
    <row r="2391" spans="1:16" x14ac:dyDescent="0.25">
      <c r="A2391" t="s">
        <v>5799</v>
      </c>
      <c r="B2391" t="s">
        <v>5800</v>
      </c>
      <c r="C2391" t="s">
        <v>18</v>
      </c>
      <c r="D2391" t="s">
        <v>19</v>
      </c>
      <c r="E2391" t="s">
        <v>20</v>
      </c>
      <c r="F2391" t="s">
        <v>128</v>
      </c>
      <c r="G2391" t="s">
        <v>69</v>
      </c>
      <c r="H2391" t="s">
        <v>23</v>
      </c>
      <c r="I2391" t="s">
        <v>24</v>
      </c>
      <c r="J2391" t="s">
        <v>3664</v>
      </c>
      <c r="K2391" t="s">
        <v>5801</v>
      </c>
      <c r="L2391">
        <v>3.6</v>
      </c>
      <c r="M2391">
        <v>660000</v>
      </c>
      <c r="N2391">
        <v>3</v>
      </c>
      <c r="O2391">
        <v>2</v>
      </c>
      <c r="P2391" t="s">
        <v>53</v>
      </c>
    </row>
    <row r="2392" spans="1:16" x14ac:dyDescent="0.25">
      <c r="A2392" t="s">
        <v>5802</v>
      </c>
      <c r="B2392" t="s">
        <v>2199</v>
      </c>
      <c r="C2392" t="s">
        <v>18</v>
      </c>
      <c r="D2392" t="s">
        <v>19</v>
      </c>
      <c r="E2392" t="s">
        <v>20</v>
      </c>
      <c r="F2392" t="s">
        <v>32</v>
      </c>
      <c r="G2392" t="s">
        <v>22</v>
      </c>
      <c r="H2392" t="s">
        <v>34</v>
      </c>
      <c r="I2392" t="s">
        <v>24</v>
      </c>
      <c r="J2392" t="s">
        <v>1709</v>
      </c>
      <c r="L2392">
        <v>5</v>
      </c>
      <c r="M2392">
        <v>257000</v>
      </c>
      <c r="N2392">
        <v>4</v>
      </c>
      <c r="O2392">
        <v>37</v>
      </c>
      <c r="P2392" t="s">
        <v>26</v>
      </c>
    </row>
    <row r="2393" spans="1:16" x14ac:dyDescent="0.25">
      <c r="A2393" t="s">
        <v>5803</v>
      </c>
      <c r="B2393" t="s">
        <v>4747</v>
      </c>
      <c r="C2393" t="s">
        <v>18</v>
      </c>
      <c r="D2393" t="s">
        <v>79</v>
      </c>
      <c r="E2393" t="s">
        <v>20</v>
      </c>
      <c r="F2393" t="s">
        <v>128</v>
      </c>
      <c r="G2393" t="s">
        <v>22</v>
      </c>
      <c r="H2393" t="s">
        <v>23</v>
      </c>
      <c r="I2393" t="s">
        <v>24</v>
      </c>
      <c r="J2393" t="s">
        <v>5804</v>
      </c>
      <c r="L2393">
        <v>6</v>
      </c>
      <c r="M2393">
        <v>449000</v>
      </c>
      <c r="N2393">
        <v>4.5999999999999996</v>
      </c>
      <c r="O2393">
        <v>0</v>
      </c>
      <c r="P2393" t="s">
        <v>26</v>
      </c>
    </row>
    <row r="2394" spans="1:16" x14ac:dyDescent="0.25">
      <c r="A2394" t="s">
        <v>5805</v>
      </c>
      <c r="B2394" t="s">
        <v>4591</v>
      </c>
      <c r="C2394" t="s">
        <v>29</v>
      </c>
      <c r="D2394" t="s">
        <v>30</v>
      </c>
      <c r="E2394" t="s">
        <v>20</v>
      </c>
      <c r="F2394" t="s">
        <v>39</v>
      </c>
      <c r="G2394" t="s">
        <v>22</v>
      </c>
      <c r="H2394" t="s">
        <v>34</v>
      </c>
      <c r="I2394" t="s">
        <v>24</v>
      </c>
      <c r="J2394" t="s">
        <v>5806</v>
      </c>
      <c r="L2394">
        <v>3.9</v>
      </c>
      <c r="M2394">
        <v>133000</v>
      </c>
      <c r="N2394">
        <v>3.3</v>
      </c>
      <c r="O2394">
        <v>9</v>
      </c>
      <c r="P2394" t="s">
        <v>26</v>
      </c>
    </row>
    <row r="2395" spans="1:16" x14ac:dyDescent="0.25">
      <c r="A2395" t="s">
        <v>5807</v>
      </c>
      <c r="B2395" t="s">
        <v>5808</v>
      </c>
      <c r="C2395" t="s">
        <v>18</v>
      </c>
      <c r="E2395" t="s">
        <v>20</v>
      </c>
      <c r="F2395" t="s">
        <v>39</v>
      </c>
      <c r="G2395" t="s">
        <v>22</v>
      </c>
      <c r="H2395" t="s">
        <v>34</v>
      </c>
      <c r="I2395" t="s">
        <v>24</v>
      </c>
      <c r="J2395" t="s">
        <v>3764</v>
      </c>
      <c r="K2395" t="s">
        <v>228</v>
      </c>
      <c r="L2395">
        <v>4.7</v>
      </c>
      <c r="M2395">
        <v>100000</v>
      </c>
      <c r="N2395">
        <v>2.2999999999999998</v>
      </c>
      <c r="O2395">
        <v>29</v>
      </c>
      <c r="P2395" t="s">
        <v>72</v>
      </c>
    </row>
    <row r="2396" spans="1:16" x14ac:dyDescent="0.25">
      <c r="A2396" t="s">
        <v>5809</v>
      </c>
      <c r="B2396" t="s">
        <v>2946</v>
      </c>
      <c r="C2396" t="s">
        <v>18</v>
      </c>
      <c r="E2396" t="s">
        <v>31</v>
      </c>
      <c r="F2396" t="s">
        <v>32</v>
      </c>
      <c r="G2396" t="s">
        <v>22</v>
      </c>
      <c r="H2396" t="s">
        <v>62</v>
      </c>
      <c r="I2396" t="s">
        <v>24</v>
      </c>
      <c r="J2396" t="s">
        <v>3297</v>
      </c>
      <c r="L2396">
        <v>1.7</v>
      </c>
      <c r="M2396">
        <v>198000</v>
      </c>
      <c r="N2396">
        <v>4.4000000000000004</v>
      </c>
      <c r="O2396">
        <v>24</v>
      </c>
      <c r="P2396" t="s">
        <v>26</v>
      </c>
    </row>
    <row r="2397" spans="1:16" x14ac:dyDescent="0.25">
      <c r="A2397" t="s">
        <v>5810</v>
      </c>
      <c r="B2397" t="s">
        <v>5811</v>
      </c>
      <c r="C2397" t="s">
        <v>18</v>
      </c>
      <c r="D2397" t="s">
        <v>19</v>
      </c>
      <c r="E2397" t="s">
        <v>20</v>
      </c>
      <c r="F2397" t="s">
        <v>32</v>
      </c>
      <c r="G2397" t="s">
        <v>22</v>
      </c>
      <c r="H2397" t="s">
        <v>23</v>
      </c>
      <c r="I2397" t="s">
        <v>24</v>
      </c>
      <c r="J2397" t="s">
        <v>2916</v>
      </c>
      <c r="L2397">
        <v>4.3</v>
      </c>
      <c r="M2397">
        <v>228000</v>
      </c>
      <c r="N2397">
        <v>4.9000000000000004</v>
      </c>
      <c r="O2397">
        <v>14</v>
      </c>
      <c r="P2397" t="s">
        <v>26</v>
      </c>
    </row>
    <row r="2398" spans="1:16" x14ac:dyDescent="0.25">
      <c r="A2398" t="s">
        <v>5812</v>
      </c>
      <c r="B2398" t="s">
        <v>3361</v>
      </c>
      <c r="C2398" t="s">
        <v>29</v>
      </c>
      <c r="D2398" t="s">
        <v>30</v>
      </c>
      <c r="E2398" t="s">
        <v>44</v>
      </c>
      <c r="F2398" t="s">
        <v>21</v>
      </c>
      <c r="G2398" t="s">
        <v>22</v>
      </c>
      <c r="H2398" t="s">
        <v>23</v>
      </c>
      <c r="I2398" t="s">
        <v>24</v>
      </c>
      <c r="J2398" t="s">
        <v>5277</v>
      </c>
      <c r="K2398" t="s">
        <v>5039</v>
      </c>
      <c r="L2398">
        <v>3.4</v>
      </c>
      <c r="M2398">
        <v>726000</v>
      </c>
      <c r="N2398">
        <v>3.7</v>
      </c>
      <c r="O2398">
        <v>13</v>
      </c>
      <c r="P2398" t="s">
        <v>53</v>
      </c>
    </row>
    <row r="2399" spans="1:16" x14ac:dyDescent="0.25">
      <c r="A2399" t="s">
        <v>5813</v>
      </c>
      <c r="B2399" t="s">
        <v>5814</v>
      </c>
      <c r="D2399" t="s">
        <v>50</v>
      </c>
      <c r="E2399" t="s">
        <v>31</v>
      </c>
      <c r="F2399" t="s">
        <v>32</v>
      </c>
      <c r="G2399" t="s">
        <v>22</v>
      </c>
      <c r="H2399" t="s">
        <v>23</v>
      </c>
      <c r="I2399" t="s">
        <v>57</v>
      </c>
      <c r="J2399" t="s">
        <v>4414</v>
      </c>
      <c r="K2399" t="s">
        <v>2568</v>
      </c>
      <c r="L2399">
        <v>2.7</v>
      </c>
      <c r="M2399">
        <v>205000</v>
      </c>
      <c r="N2399">
        <v>4</v>
      </c>
      <c r="O2399">
        <v>0</v>
      </c>
      <c r="P2399" t="s">
        <v>53</v>
      </c>
    </row>
    <row r="2400" spans="1:16" x14ac:dyDescent="0.25">
      <c r="A2400" t="s">
        <v>5815</v>
      </c>
      <c r="B2400" t="s">
        <v>5816</v>
      </c>
      <c r="C2400" t="s">
        <v>29</v>
      </c>
      <c r="D2400" t="s">
        <v>79</v>
      </c>
      <c r="E2400" t="s">
        <v>44</v>
      </c>
      <c r="F2400" t="s">
        <v>128</v>
      </c>
      <c r="G2400" t="s">
        <v>69</v>
      </c>
      <c r="H2400" t="s">
        <v>62</v>
      </c>
      <c r="I2400" t="s">
        <v>171</v>
      </c>
      <c r="J2400" t="s">
        <v>2965</v>
      </c>
      <c r="L2400">
        <v>5.5</v>
      </c>
      <c r="M2400">
        <v>428000</v>
      </c>
      <c r="N2400">
        <v>3</v>
      </c>
      <c r="O2400">
        <v>1</v>
      </c>
      <c r="P2400" t="s">
        <v>26</v>
      </c>
    </row>
    <row r="2401" spans="1:16" x14ac:dyDescent="0.25">
      <c r="A2401" t="s">
        <v>5817</v>
      </c>
      <c r="B2401" t="s">
        <v>4904</v>
      </c>
      <c r="C2401" t="s">
        <v>18</v>
      </c>
      <c r="D2401" t="s">
        <v>79</v>
      </c>
      <c r="E2401" t="s">
        <v>20</v>
      </c>
      <c r="F2401" t="s">
        <v>39</v>
      </c>
      <c r="G2401" t="s">
        <v>33</v>
      </c>
      <c r="H2401" t="s">
        <v>62</v>
      </c>
      <c r="I2401" t="s">
        <v>75</v>
      </c>
      <c r="J2401" t="s">
        <v>1905</v>
      </c>
      <c r="L2401">
        <v>2.2000000000000002</v>
      </c>
      <c r="M2401">
        <v>171000</v>
      </c>
      <c r="N2401">
        <v>3.7</v>
      </c>
      <c r="O2401">
        <v>14</v>
      </c>
      <c r="P2401" t="s">
        <v>26</v>
      </c>
    </row>
    <row r="2402" spans="1:16" x14ac:dyDescent="0.25">
      <c r="A2402" t="s">
        <v>5818</v>
      </c>
      <c r="B2402" t="s">
        <v>461</v>
      </c>
      <c r="C2402" t="s">
        <v>29</v>
      </c>
      <c r="D2402" t="s">
        <v>50</v>
      </c>
      <c r="E2402" t="s">
        <v>20</v>
      </c>
      <c r="F2402" t="s">
        <v>32</v>
      </c>
      <c r="G2402" t="s">
        <v>69</v>
      </c>
      <c r="H2402" t="s">
        <v>34</v>
      </c>
      <c r="I2402" t="s">
        <v>35</v>
      </c>
      <c r="J2402" t="s">
        <v>3590</v>
      </c>
      <c r="K2402" t="s">
        <v>4883</v>
      </c>
      <c r="L2402">
        <v>6</v>
      </c>
      <c r="M2402">
        <v>257000</v>
      </c>
      <c r="N2402">
        <v>2.4</v>
      </c>
      <c r="O2402">
        <v>10</v>
      </c>
      <c r="P2402" t="s">
        <v>53</v>
      </c>
    </row>
    <row r="2403" spans="1:16" x14ac:dyDescent="0.25">
      <c r="A2403" t="s">
        <v>5819</v>
      </c>
      <c r="B2403" t="s">
        <v>4769</v>
      </c>
      <c r="C2403" t="s">
        <v>18</v>
      </c>
      <c r="E2403" t="s">
        <v>44</v>
      </c>
      <c r="F2403" t="s">
        <v>128</v>
      </c>
      <c r="G2403" t="s">
        <v>80</v>
      </c>
      <c r="H2403" t="s">
        <v>23</v>
      </c>
      <c r="I2403" t="s">
        <v>35</v>
      </c>
      <c r="J2403" t="s">
        <v>5820</v>
      </c>
      <c r="K2403" t="s">
        <v>3999</v>
      </c>
      <c r="L2403">
        <v>4.9000000000000004</v>
      </c>
      <c r="M2403">
        <v>484000</v>
      </c>
      <c r="N2403">
        <v>4.5</v>
      </c>
      <c r="O2403">
        <v>1</v>
      </c>
      <c r="P2403" t="s">
        <v>53</v>
      </c>
    </row>
    <row r="2404" spans="1:16" x14ac:dyDescent="0.25">
      <c r="A2404" t="s">
        <v>5821</v>
      </c>
      <c r="B2404" t="s">
        <v>5822</v>
      </c>
      <c r="C2404" t="s">
        <v>18</v>
      </c>
      <c r="D2404" t="s">
        <v>30</v>
      </c>
      <c r="E2404" t="s">
        <v>20</v>
      </c>
      <c r="F2404" t="s">
        <v>21</v>
      </c>
      <c r="G2404" t="s">
        <v>80</v>
      </c>
      <c r="H2404" t="s">
        <v>23</v>
      </c>
      <c r="I2404" t="s">
        <v>35</v>
      </c>
      <c r="J2404" t="s">
        <v>1175</v>
      </c>
      <c r="K2404" t="s">
        <v>3569</v>
      </c>
      <c r="L2404">
        <v>5.0999999999999996</v>
      </c>
      <c r="M2404">
        <v>673000</v>
      </c>
      <c r="N2404">
        <v>4.4000000000000004</v>
      </c>
      <c r="O2404">
        <v>35</v>
      </c>
      <c r="P2404" t="s">
        <v>114</v>
      </c>
    </row>
    <row r="2405" spans="1:16" x14ac:dyDescent="0.25">
      <c r="A2405" t="s">
        <v>5823</v>
      </c>
      <c r="B2405" t="s">
        <v>2354</v>
      </c>
      <c r="C2405" t="s">
        <v>18</v>
      </c>
      <c r="D2405" t="s">
        <v>30</v>
      </c>
      <c r="E2405" t="s">
        <v>31</v>
      </c>
      <c r="F2405" t="s">
        <v>21</v>
      </c>
      <c r="G2405" t="s">
        <v>22</v>
      </c>
      <c r="H2405" t="s">
        <v>34</v>
      </c>
      <c r="I2405" t="s">
        <v>24</v>
      </c>
      <c r="J2405" t="s">
        <v>5824</v>
      </c>
      <c r="L2405">
        <v>2</v>
      </c>
      <c r="M2405">
        <v>822000</v>
      </c>
      <c r="N2405">
        <v>4.0999999999999996</v>
      </c>
      <c r="P2405" t="s">
        <v>26</v>
      </c>
    </row>
    <row r="2406" spans="1:16" x14ac:dyDescent="0.25">
      <c r="A2406" t="s">
        <v>5825</v>
      </c>
      <c r="B2406" t="s">
        <v>222</v>
      </c>
      <c r="C2406" t="s">
        <v>29</v>
      </c>
      <c r="D2406" t="s">
        <v>30</v>
      </c>
      <c r="E2406" t="s">
        <v>44</v>
      </c>
      <c r="F2406" t="s">
        <v>128</v>
      </c>
      <c r="G2406" t="s">
        <v>22</v>
      </c>
      <c r="I2406" t="s">
        <v>57</v>
      </c>
      <c r="J2406" t="s">
        <v>1038</v>
      </c>
      <c r="K2406" t="s">
        <v>5826</v>
      </c>
      <c r="L2406">
        <v>3.2</v>
      </c>
      <c r="M2406">
        <v>424000</v>
      </c>
      <c r="N2406">
        <v>3.7</v>
      </c>
      <c r="O2406">
        <v>38</v>
      </c>
      <c r="P2406" t="s">
        <v>72</v>
      </c>
    </row>
    <row r="2407" spans="1:16" x14ac:dyDescent="0.25">
      <c r="A2407" t="s">
        <v>5827</v>
      </c>
      <c r="B2407" t="s">
        <v>5828</v>
      </c>
      <c r="C2407" t="s">
        <v>29</v>
      </c>
      <c r="D2407" t="s">
        <v>43</v>
      </c>
      <c r="E2407" t="s">
        <v>44</v>
      </c>
      <c r="F2407" t="s">
        <v>21</v>
      </c>
      <c r="G2407" t="s">
        <v>22</v>
      </c>
      <c r="H2407" t="s">
        <v>62</v>
      </c>
      <c r="J2407" t="s">
        <v>5829</v>
      </c>
      <c r="K2407" t="s">
        <v>2216</v>
      </c>
      <c r="L2407">
        <v>4.3</v>
      </c>
      <c r="M2407">
        <v>792000</v>
      </c>
      <c r="O2407">
        <v>0</v>
      </c>
      <c r="P2407" t="s">
        <v>53</v>
      </c>
    </row>
    <row r="2408" spans="1:16" x14ac:dyDescent="0.25">
      <c r="A2408" t="s">
        <v>5830</v>
      </c>
      <c r="B2408" t="s">
        <v>2538</v>
      </c>
      <c r="C2408" t="s">
        <v>18</v>
      </c>
      <c r="D2408" t="s">
        <v>79</v>
      </c>
      <c r="E2408" t="s">
        <v>31</v>
      </c>
      <c r="F2408" t="s">
        <v>39</v>
      </c>
      <c r="G2408" t="s">
        <v>69</v>
      </c>
      <c r="H2408" t="s">
        <v>62</v>
      </c>
      <c r="I2408" t="s">
        <v>35</v>
      </c>
      <c r="J2408" t="s">
        <v>1537</v>
      </c>
      <c r="L2408">
        <v>3.8</v>
      </c>
      <c r="M2408">
        <v>137000</v>
      </c>
      <c r="N2408">
        <v>3.2</v>
      </c>
      <c r="O2408">
        <v>7</v>
      </c>
      <c r="P2408" t="s">
        <v>26</v>
      </c>
    </row>
    <row r="2409" spans="1:16" x14ac:dyDescent="0.25">
      <c r="A2409" t="s">
        <v>5831</v>
      </c>
      <c r="B2409" t="s">
        <v>68</v>
      </c>
      <c r="C2409" t="s">
        <v>18</v>
      </c>
      <c r="D2409" t="s">
        <v>19</v>
      </c>
      <c r="E2409" t="s">
        <v>20</v>
      </c>
      <c r="F2409" t="s">
        <v>128</v>
      </c>
      <c r="G2409" t="s">
        <v>80</v>
      </c>
      <c r="H2409" t="s">
        <v>23</v>
      </c>
      <c r="I2409" t="s">
        <v>24</v>
      </c>
      <c r="J2409" t="s">
        <v>4289</v>
      </c>
      <c r="K2409" t="s">
        <v>3726</v>
      </c>
      <c r="L2409">
        <v>3.4</v>
      </c>
      <c r="M2409">
        <v>544000</v>
      </c>
      <c r="N2409">
        <v>3.4</v>
      </c>
      <c r="O2409">
        <v>6</v>
      </c>
      <c r="P2409" t="s">
        <v>53</v>
      </c>
    </row>
    <row r="2410" spans="1:16" x14ac:dyDescent="0.25">
      <c r="A2410" t="s">
        <v>5832</v>
      </c>
      <c r="B2410" t="s">
        <v>468</v>
      </c>
      <c r="C2410" t="s">
        <v>29</v>
      </c>
      <c r="D2410" t="s">
        <v>43</v>
      </c>
      <c r="E2410" t="s">
        <v>31</v>
      </c>
      <c r="F2410" t="s">
        <v>39</v>
      </c>
      <c r="G2410" t="s">
        <v>33</v>
      </c>
      <c r="H2410" t="s">
        <v>34</v>
      </c>
      <c r="I2410" t="s">
        <v>24</v>
      </c>
      <c r="J2410" t="s">
        <v>3064</v>
      </c>
      <c r="L2410">
        <v>1.5</v>
      </c>
      <c r="M2410">
        <v>110000</v>
      </c>
      <c r="N2410">
        <v>2.1</v>
      </c>
      <c r="O2410">
        <v>17</v>
      </c>
      <c r="P2410" t="s">
        <v>26</v>
      </c>
    </row>
    <row r="2411" spans="1:16" x14ac:dyDescent="0.25">
      <c r="A2411" t="s">
        <v>5833</v>
      </c>
      <c r="B2411" t="s">
        <v>2391</v>
      </c>
      <c r="C2411" t="s">
        <v>29</v>
      </c>
      <c r="D2411" t="s">
        <v>30</v>
      </c>
      <c r="E2411" t="s">
        <v>20</v>
      </c>
      <c r="F2411" t="s">
        <v>128</v>
      </c>
      <c r="G2411" t="s">
        <v>80</v>
      </c>
      <c r="H2411" t="s">
        <v>23</v>
      </c>
      <c r="I2411" t="s">
        <v>24</v>
      </c>
      <c r="J2411" t="s">
        <v>1671</v>
      </c>
      <c r="L2411">
        <v>4.9000000000000004</v>
      </c>
      <c r="M2411">
        <v>399000</v>
      </c>
      <c r="N2411">
        <v>2.5</v>
      </c>
      <c r="O2411">
        <v>0</v>
      </c>
      <c r="P2411" t="s">
        <v>26</v>
      </c>
    </row>
    <row r="2412" spans="1:16" x14ac:dyDescent="0.25">
      <c r="A2412" t="s">
        <v>5834</v>
      </c>
      <c r="B2412" t="s">
        <v>4712</v>
      </c>
      <c r="C2412" t="s">
        <v>18</v>
      </c>
      <c r="D2412" t="s">
        <v>43</v>
      </c>
      <c r="E2412" t="s">
        <v>44</v>
      </c>
      <c r="F2412" t="s">
        <v>39</v>
      </c>
      <c r="G2412" t="s">
        <v>80</v>
      </c>
      <c r="H2412" t="s">
        <v>34</v>
      </c>
      <c r="I2412" t="s">
        <v>24</v>
      </c>
      <c r="J2412" t="s">
        <v>4002</v>
      </c>
      <c r="L2412">
        <v>4.7</v>
      </c>
      <c r="M2412">
        <v>144000</v>
      </c>
      <c r="N2412">
        <v>4.4000000000000004</v>
      </c>
      <c r="O2412">
        <v>6</v>
      </c>
      <c r="P2412" t="s">
        <v>26</v>
      </c>
    </row>
    <row r="2413" spans="1:16" x14ac:dyDescent="0.25">
      <c r="A2413" t="s">
        <v>5835</v>
      </c>
      <c r="B2413" t="s">
        <v>5836</v>
      </c>
      <c r="C2413" t="s">
        <v>18</v>
      </c>
      <c r="D2413" t="s">
        <v>79</v>
      </c>
      <c r="E2413" t="s">
        <v>31</v>
      </c>
      <c r="F2413" t="s">
        <v>45</v>
      </c>
      <c r="G2413" t="s">
        <v>69</v>
      </c>
      <c r="H2413" t="s">
        <v>23</v>
      </c>
      <c r="I2413" t="s">
        <v>35</v>
      </c>
      <c r="J2413" t="s">
        <v>5837</v>
      </c>
      <c r="L2413">
        <v>3.6</v>
      </c>
      <c r="M2413">
        <v>1427000</v>
      </c>
      <c r="N2413">
        <v>4.9000000000000004</v>
      </c>
      <c r="O2413">
        <v>4</v>
      </c>
      <c r="P2413" t="s">
        <v>26</v>
      </c>
    </row>
    <row r="2414" spans="1:16" x14ac:dyDescent="0.25">
      <c r="A2414" t="s">
        <v>5838</v>
      </c>
      <c r="B2414" t="s">
        <v>5839</v>
      </c>
      <c r="C2414" t="s">
        <v>29</v>
      </c>
      <c r="D2414" t="s">
        <v>30</v>
      </c>
      <c r="E2414" t="s">
        <v>31</v>
      </c>
      <c r="F2414" t="s">
        <v>32</v>
      </c>
      <c r="G2414" t="s">
        <v>22</v>
      </c>
      <c r="H2414" t="s">
        <v>34</v>
      </c>
      <c r="I2414" t="s">
        <v>24</v>
      </c>
      <c r="J2414" t="s">
        <v>5840</v>
      </c>
      <c r="L2414">
        <v>3.7</v>
      </c>
      <c r="M2414">
        <v>267000</v>
      </c>
      <c r="N2414">
        <v>3.4</v>
      </c>
      <c r="O2414">
        <v>6</v>
      </c>
      <c r="P2414" t="s">
        <v>26</v>
      </c>
    </row>
    <row r="2415" spans="1:16" x14ac:dyDescent="0.25">
      <c r="A2415" t="s">
        <v>5841</v>
      </c>
      <c r="B2415" t="s">
        <v>5842</v>
      </c>
      <c r="C2415" t="s">
        <v>252</v>
      </c>
      <c r="D2415" t="s">
        <v>19</v>
      </c>
      <c r="E2415" t="s">
        <v>20</v>
      </c>
      <c r="F2415" t="s">
        <v>39</v>
      </c>
      <c r="G2415" t="s">
        <v>22</v>
      </c>
      <c r="H2415" t="s">
        <v>23</v>
      </c>
      <c r="I2415" t="s">
        <v>57</v>
      </c>
      <c r="J2415" t="s">
        <v>967</v>
      </c>
      <c r="K2415" t="s">
        <v>412</v>
      </c>
      <c r="L2415">
        <v>1.9</v>
      </c>
      <c r="M2415">
        <v>178000</v>
      </c>
      <c r="N2415">
        <v>4.7</v>
      </c>
      <c r="O2415">
        <v>4</v>
      </c>
      <c r="P2415" t="s">
        <v>114</v>
      </c>
    </row>
    <row r="2416" spans="1:16" x14ac:dyDescent="0.25">
      <c r="A2416" t="s">
        <v>5843</v>
      </c>
      <c r="B2416" t="s">
        <v>5844</v>
      </c>
      <c r="C2416" t="s">
        <v>18</v>
      </c>
      <c r="D2416" t="s">
        <v>43</v>
      </c>
      <c r="E2416" t="s">
        <v>20</v>
      </c>
      <c r="F2416" t="s">
        <v>21</v>
      </c>
      <c r="G2416" t="s">
        <v>80</v>
      </c>
      <c r="H2416" t="s">
        <v>23</v>
      </c>
      <c r="I2416" t="s">
        <v>24</v>
      </c>
      <c r="J2416" t="s">
        <v>5845</v>
      </c>
      <c r="L2416">
        <v>4.5999999999999996</v>
      </c>
      <c r="M2416">
        <v>810000</v>
      </c>
      <c r="N2416">
        <v>3.6</v>
      </c>
      <c r="O2416">
        <v>28</v>
      </c>
      <c r="P2416" t="s">
        <v>26</v>
      </c>
    </row>
    <row r="2417" spans="1:16" x14ac:dyDescent="0.25">
      <c r="A2417" t="s">
        <v>5846</v>
      </c>
      <c r="B2417" t="s">
        <v>4144</v>
      </c>
      <c r="C2417" t="s">
        <v>18</v>
      </c>
      <c r="D2417" t="s">
        <v>79</v>
      </c>
      <c r="E2417" t="s">
        <v>20</v>
      </c>
      <c r="F2417" t="s">
        <v>32</v>
      </c>
      <c r="G2417" t="s">
        <v>22</v>
      </c>
      <c r="H2417" t="s">
        <v>62</v>
      </c>
      <c r="I2417" t="s">
        <v>24</v>
      </c>
      <c r="J2417" t="s">
        <v>546</v>
      </c>
      <c r="L2417">
        <v>3.9</v>
      </c>
      <c r="M2417">
        <v>331000</v>
      </c>
      <c r="N2417">
        <v>4</v>
      </c>
      <c r="O2417">
        <v>4</v>
      </c>
      <c r="P2417" t="s">
        <v>26</v>
      </c>
    </row>
    <row r="2418" spans="1:16" x14ac:dyDescent="0.25">
      <c r="A2418" t="s">
        <v>5847</v>
      </c>
      <c r="B2418" t="s">
        <v>4644</v>
      </c>
      <c r="C2418" t="s">
        <v>18</v>
      </c>
      <c r="D2418" t="s">
        <v>19</v>
      </c>
      <c r="E2418" t="s">
        <v>20</v>
      </c>
      <c r="F2418" t="s">
        <v>32</v>
      </c>
      <c r="G2418" t="s">
        <v>22</v>
      </c>
      <c r="H2418" t="s">
        <v>62</v>
      </c>
      <c r="I2418" t="s">
        <v>24</v>
      </c>
      <c r="J2418" t="s">
        <v>2797</v>
      </c>
      <c r="K2418" t="s">
        <v>246</v>
      </c>
      <c r="L2418">
        <v>3.2</v>
      </c>
      <c r="M2418">
        <v>219000</v>
      </c>
      <c r="N2418">
        <v>3.6</v>
      </c>
      <c r="O2418">
        <v>32</v>
      </c>
      <c r="P2418" t="s">
        <v>72</v>
      </c>
    </row>
    <row r="2419" spans="1:16" x14ac:dyDescent="0.25">
      <c r="A2419" t="s">
        <v>5848</v>
      </c>
      <c r="B2419" t="s">
        <v>636</v>
      </c>
      <c r="C2419" t="s">
        <v>18</v>
      </c>
      <c r="D2419" t="s">
        <v>50</v>
      </c>
      <c r="E2419" t="s">
        <v>44</v>
      </c>
      <c r="F2419" t="s">
        <v>39</v>
      </c>
      <c r="G2419" t="s">
        <v>33</v>
      </c>
      <c r="H2419" t="s">
        <v>23</v>
      </c>
      <c r="I2419" t="s">
        <v>24</v>
      </c>
      <c r="J2419" t="s">
        <v>5203</v>
      </c>
      <c r="L2419">
        <v>4.5999999999999996</v>
      </c>
      <c r="M2419">
        <v>117000</v>
      </c>
      <c r="N2419">
        <v>2.2000000000000002</v>
      </c>
      <c r="O2419">
        <v>9</v>
      </c>
      <c r="P2419" t="s">
        <v>26</v>
      </c>
    </row>
    <row r="2420" spans="1:16" x14ac:dyDescent="0.25">
      <c r="A2420" t="s">
        <v>5849</v>
      </c>
      <c r="B2420" t="s">
        <v>2815</v>
      </c>
      <c r="C2420" t="s">
        <v>29</v>
      </c>
      <c r="D2420" t="s">
        <v>30</v>
      </c>
      <c r="E2420" t="s">
        <v>44</v>
      </c>
      <c r="F2420" t="s">
        <v>128</v>
      </c>
      <c r="G2420" t="s">
        <v>33</v>
      </c>
      <c r="H2420" t="s">
        <v>46</v>
      </c>
      <c r="I2420" t="s">
        <v>24</v>
      </c>
      <c r="J2420" t="s">
        <v>1869</v>
      </c>
      <c r="L2420">
        <v>3.6</v>
      </c>
      <c r="M2420">
        <v>476000</v>
      </c>
      <c r="N2420">
        <v>3.5</v>
      </c>
      <c r="O2420">
        <v>28</v>
      </c>
      <c r="P2420" t="s">
        <v>26</v>
      </c>
    </row>
    <row r="2421" spans="1:16" x14ac:dyDescent="0.25">
      <c r="A2421" t="s">
        <v>5850</v>
      </c>
      <c r="B2421" t="s">
        <v>5851</v>
      </c>
      <c r="C2421" t="s">
        <v>18</v>
      </c>
      <c r="E2421" t="s">
        <v>44</v>
      </c>
      <c r="F2421" t="s">
        <v>39</v>
      </c>
      <c r="G2421" t="s">
        <v>69</v>
      </c>
      <c r="H2421" t="s">
        <v>34</v>
      </c>
      <c r="J2421" t="s">
        <v>4772</v>
      </c>
      <c r="L2421">
        <v>3.7</v>
      </c>
      <c r="M2421">
        <v>166000</v>
      </c>
      <c r="N2421">
        <v>4.7</v>
      </c>
      <c r="O2421">
        <v>19</v>
      </c>
      <c r="P2421" t="s">
        <v>26</v>
      </c>
    </row>
    <row r="2422" spans="1:16" x14ac:dyDescent="0.25">
      <c r="A2422" t="s">
        <v>5852</v>
      </c>
      <c r="B2422" t="s">
        <v>5853</v>
      </c>
      <c r="C2422" t="s">
        <v>29</v>
      </c>
      <c r="D2422" t="s">
        <v>862</v>
      </c>
      <c r="E2422" t="s">
        <v>20</v>
      </c>
      <c r="F2422" t="s">
        <v>39</v>
      </c>
      <c r="G2422" t="s">
        <v>22</v>
      </c>
      <c r="H2422" t="s">
        <v>34</v>
      </c>
      <c r="I2422" t="s">
        <v>24</v>
      </c>
      <c r="J2422" t="s">
        <v>5854</v>
      </c>
      <c r="L2422">
        <v>6.2</v>
      </c>
      <c r="M2422">
        <v>153000</v>
      </c>
      <c r="N2422">
        <v>1.8</v>
      </c>
      <c r="O2422">
        <v>5</v>
      </c>
      <c r="P2422" t="s">
        <v>26</v>
      </c>
    </row>
    <row r="2423" spans="1:16" x14ac:dyDescent="0.25">
      <c r="A2423" t="s">
        <v>5855</v>
      </c>
      <c r="B2423" t="s">
        <v>2970</v>
      </c>
      <c r="C2423" t="s">
        <v>18</v>
      </c>
      <c r="E2423" t="s">
        <v>20</v>
      </c>
      <c r="F2423" t="s">
        <v>39</v>
      </c>
      <c r="G2423" t="s">
        <v>80</v>
      </c>
      <c r="H2423" t="s">
        <v>34</v>
      </c>
      <c r="I2423" t="s">
        <v>75</v>
      </c>
      <c r="J2423" t="s">
        <v>997</v>
      </c>
      <c r="L2423">
        <v>2.1</v>
      </c>
      <c r="M2423">
        <v>144000</v>
      </c>
      <c r="N2423">
        <v>4.7</v>
      </c>
      <c r="O2423">
        <v>10</v>
      </c>
      <c r="P2423" t="s">
        <v>26</v>
      </c>
    </row>
    <row r="2424" spans="1:16" x14ac:dyDescent="0.25">
      <c r="A2424" t="s">
        <v>5856</v>
      </c>
      <c r="B2424" t="s">
        <v>5857</v>
      </c>
      <c r="C2424" t="s">
        <v>29</v>
      </c>
      <c r="D2424" t="s">
        <v>43</v>
      </c>
      <c r="E2424" t="s">
        <v>44</v>
      </c>
      <c r="F2424" t="s">
        <v>128</v>
      </c>
      <c r="G2424" t="s">
        <v>22</v>
      </c>
      <c r="H2424" t="s">
        <v>34</v>
      </c>
      <c r="I2424" t="s">
        <v>35</v>
      </c>
      <c r="J2424" t="s">
        <v>189</v>
      </c>
      <c r="L2424">
        <v>1.4</v>
      </c>
      <c r="M2424">
        <v>523000</v>
      </c>
      <c r="N2424">
        <v>4.5</v>
      </c>
      <c r="O2424">
        <v>5</v>
      </c>
      <c r="P2424" t="s">
        <v>26</v>
      </c>
    </row>
    <row r="2425" spans="1:16" x14ac:dyDescent="0.25">
      <c r="A2425" t="s">
        <v>5858</v>
      </c>
      <c r="B2425" t="s">
        <v>5859</v>
      </c>
      <c r="C2425" t="s">
        <v>29</v>
      </c>
      <c r="D2425" t="s">
        <v>43</v>
      </c>
      <c r="E2425" t="s">
        <v>31</v>
      </c>
      <c r="F2425" t="s">
        <v>128</v>
      </c>
      <c r="G2425" t="s">
        <v>69</v>
      </c>
      <c r="H2425" t="s">
        <v>34</v>
      </c>
      <c r="I2425" t="s">
        <v>57</v>
      </c>
      <c r="J2425" t="s">
        <v>5860</v>
      </c>
      <c r="L2425">
        <v>1.7</v>
      </c>
      <c r="M2425">
        <v>399000</v>
      </c>
      <c r="N2425">
        <v>3.1</v>
      </c>
      <c r="O2425">
        <v>7</v>
      </c>
      <c r="P2425" t="s">
        <v>26</v>
      </c>
    </row>
    <row r="2426" spans="1:16" x14ac:dyDescent="0.25">
      <c r="A2426" t="s">
        <v>5861</v>
      </c>
      <c r="B2426" t="s">
        <v>3433</v>
      </c>
      <c r="C2426" t="s">
        <v>18</v>
      </c>
      <c r="F2426" t="s">
        <v>21</v>
      </c>
      <c r="G2426" t="s">
        <v>22</v>
      </c>
      <c r="H2426" t="s">
        <v>46</v>
      </c>
      <c r="I2426" t="s">
        <v>24</v>
      </c>
      <c r="J2426" t="s">
        <v>1385</v>
      </c>
      <c r="L2426">
        <v>3.6</v>
      </c>
      <c r="M2426">
        <v>699000</v>
      </c>
      <c r="N2426">
        <v>4.0999999999999996</v>
      </c>
      <c r="O2426">
        <v>1</v>
      </c>
      <c r="P2426" t="s">
        <v>26</v>
      </c>
    </row>
    <row r="2427" spans="1:16" x14ac:dyDescent="0.25">
      <c r="A2427" t="s">
        <v>5862</v>
      </c>
      <c r="B2427" t="s">
        <v>672</v>
      </c>
      <c r="C2427" t="s">
        <v>29</v>
      </c>
      <c r="D2427" t="s">
        <v>50</v>
      </c>
      <c r="E2427" t="s">
        <v>20</v>
      </c>
      <c r="F2427" t="s">
        <v>39</v>
      </c>
      <c r="G2427" t="s">
        <v>69</v>
      </c>
      <c r="H2427" t="s">
        <v>34</v>
      </c>
      <c r="I2427" t="s">
        <v>24</v>
      </c>
      <c r="J2427" t="s">
        <v>5231</v>
      </c>
      <c r="L2427">
        <v>3.9</v>
      </c>
      <c r="M2427">
        <v>100000</v>
      </c>
      <c r="O2427">
        <v>4</v>
      </c>
      <c r="P2427" t="s">
        <v>26</v>
      </c>
    </row>
    <row r="2428" spans="1:16" x14ac:dyDescent="0.25">
      <c r="A2428" t="s">
        <v>5863</v>
      </c>
      <c r="B2428" t="s">
        <v>5864</v>
      </c>
      <c r="C2428" t="s">
        <v>29</v>
      </c>
      <c r="D2428" t="s">
        <v>30</v>
      </c>
      <c r="E2428" t="s">
        <v>20</v>
      </c>
      <c r="F2428" t="s">
        <v>128</v>
      </c>
      <c r="G2428" t="s">
        <v>22</v>
      </c>
      <c r="H2428" t="s">
        <v>34</v>
      </c>
      <c r="I2428" t="s">
        <v>24</v>
      </c>
      <c r="J2428" t="s">
        <v>3643</v>
      </c>
      <c r="L2428">
        <v>5.4</v>
      </c>
      <c r="M2428">
        <v>457000</v>
      </c>
      <c r="N2428">
        <v>3.8</v>
      </c>
      <c r="O2428">
        <v>16</v>
      </c>
      <c r="P2428" t="s">
        <v>26</v>
      </c>
    </row>
    <row r="2429" spans="1:16" x14ac:dyDescent="0.25">
      <c r="A2429" t="s">
        <v>5865</v>
      </c>
      <c r="B2429" t="s">
        <v>3934</v>
      </c>
      <c r="C2429" t="s">
        <v>29</v>
      </c>
      <c r="D2429" t="s">
        <v>79</v>
      </c>
      <c r="E2429" t="s">
        <v>31</v>
      </c>
      <c r="F2429" t="s">
        <v>128</v>
      </c>
      <c r="G2429" t="s">
        <v>69</v>
      </c>
      <c r="H2429" t="s">
        <v>23</v>
      </c>
      <c r="I2429" t="s">
        <v>35</v>
      </c>
      <c r="J2429" t="s">
        <v>2483</v>
      </c>
      <c r="L2429">
        <v>2.5</v>
      </c>
      <c r="M2429">
        <v>458000</v>
      </c>
      <c r="N2429">
        <v>3.3</v>
      </c>
      <c r="P2429" t="s">
        <v>26</v>
      </c>
    </row>
    <row r="2430" spans="1:16" x14ac:dyDescent="0.25">
      <c r="A2430" t="s">
        <v>5866</v>
      </c>
      <c r="B2430" t="s">
        <v>509</v>
      </c>
      <c r="C2430" t="s">
        <v>29</v>
      </c>
      <c r="D2430" t="s">
        <v>79</v>
      </c>
      <c r="E2430" t="s">
        <v>20</v>
      </c>
      <c r="F2430" t="s">
        <v>32</v>
      </c>
      <c r="G2430" t="s">
        <v>22</v>
      </c>
      <c r="H2430" t="s">
        <v>23</v>
      </c>
      <c r="I2430" t="s">
        <v>24</v>
      </c>
      <c r="J2430" t="s">
        <v>3143</v>
      </c>
      <c r="L2430">
        <v>3.7</v>
      </c>
      <c r="M2430">
        <v>323000</v>
      </c>
      <c r="N2430">
        <v>3.7</v>
      </c>
      <c r="O2430">
        <v>0</v>
      </c>
      <c r="P2430" t="s">
        <v>26</v>
      </c>
    </row>
    <row r="2431" spans="1:16" x14ac:dyDescent="0.25">
      <c r="A2431" t="s">
        <v>5867</v>
      </c>
      <c r="B2431" t="s">
        <v>3787</v>
      </c>
      <c r="C2431" t="s">
        <v>18</v>
      </c>
      <c r="D2431" t="s">
        <v>79</v>
      </c>
      <c r="E2431" t="s">
        <v>20</v>
      </c>
      <c r="F2431" t="s">
        <v>128</v>
      </c>
      <c r="G2431" t="s">
        <v>33</v>
      </c>
      <c r="H2431" t="s">
        <v>34</v>
      </c>
      <c r="I2431" t="s">
        <v>57</v>
      </c>
      <c r="J2431" t="s">
        <v>4897</v>
      </c>
      <c r="L2431">
        <v>5.8</v>
      </c>
      <c r="M2431">
        <v>481000</v>
      </c>
      <c r="N2431">
        <v>3.2</v>
      </c>
      <c r="O2431">
        <v>8</v>
      </c>
      <c r="P2431" t="s">
        <v>26</v>
      </c>
    </row>
    <row r="2432" spans="1:16" x14ac:dyDescent="0.25">
      <c r="A2432" t="s">
        <v>5868</v>
      </c>
      <c r="B2432" t="s">
        <v>5869</v>
      </c>
      <c r="C2432" t="s">
        <v>18</v>
      </c>
      <c r="D2432" t="s">
        <v>43</v>
      </c>
      <c r="E2432" t="s">
        <v>20</v>
      </c>
      <c r="F2432" t="s">
        <v>32</v>
      </c>
      <c r="G2432" t="s">
        <v>80</v>
      </c>
      <c r="H2432" t="s">
        <v>34</v>
      </c>
      <c r="I2432" t="s">
        <v>75</v>
      </c>
      <c r="J2432" t="s">
        <v>560</v>
      </c>
      <c r="L2432">
        <v>1.7</v>
      </c>
      <c r="M2432">
        <v>208000</v>
      </c>
      <c r="N2432">
        <v>4</v>
      </c>
      <c r="O2432">
        <v>30</v>
      </c>
      <c r="P2432" t="s">
        <v>26</v>
      </c>
    </row>
    <row r="2433" spans="1:16" x14ac:dyDescent="0.25">
      <c r="A2433" t="s">
        <v>5870</v>
      </c>
      <c r="B2433" t="s">
        <v>5871</v>
      </c>
      <c r="C2433" t="s">
        <v>29</v>
      </c>
      <c r="D2433" t="s">
        <v>30</v>
      </c>
      <c r="E2433" t="s">
        <v>20</v>
      </c>
      <c r="F2433" t="s">
        <v>39</v>
      </c>
      <c r="G2433" t="s">
        <v>69</v>
      </c>
      <c r="H2433" t="s">
        <v>23</v>
      </c>
      <c r="J2433" t="s">
        <v>850</v>
      </c>
      <c r="K2433" t="s">
        <v>511</v>
      </c>
      <c r="L2433">
        <v>2.2000000000000002</v>
      </c>
      <c r="M2433">
        <v>166000</v>
      </c>
      <c r="N2433">
        <v>1.8</v>
      </c>
      <c r="O2433">
        <v>3</v>
      </c>
      <c r="P2433" t="s">
        <v>53</v>
      </c>
    </row>
    <row r="2434" spans="1:16" x14ac:dyDescent="0.25">
      <c r="A2434" t="s">
        <v>5872</v>
      </c>
      <c r="B2434" t="s">
        <v>5873</v>
      </c>
      <c r="C2434" t="s">
        <v>18</v>
      </c>
      <c r="D2434" t="s">
        <v>30</v>
      </c>
      <c r="E2434" t="s">
        <v>20</v>
      </c>
      <c r="F2434" t="s">
        <v>39</v>
      </c>
      <c r="G2434" t="s">
        <v>22</v>
      </c>
      <c r="H2434" t="s">
        <v>34</v>
      </c>
      <c r="I2434" t="s">
        <v>24</v>
      </c>
      <c r="J2434" t="s">
        <v>155</v>
      </c>
      <c r="K2434" t="s">
        <v>610</v>
      </c>
      <c r="L2434">
        <v>3.1</v>
      </c>
      <c r="M2434">
        <v>137000</v>
      </c>
      <c r="N2434">
        <v>2.8</v>
      </c>
      <c r="O2434">
        <v>14</v>
      </c>
      <c r="P2434" t="s">
        <v>114</v>
      </c>
    </row>
    <row r="2435" spans="1:16" x14ac:dyDescent="0.25">
      <c r="A2435" t="s">
        <v>5874</v>
      </c>
      <c r="B2435" t="s">
        <v>1544</v>
      </c>
      <c r="C2435" t="s">
        <v>18</v>
      </c>
      <c r="D2435" t="s">
        <v>50</v>
      </c>
      <c r="E2435" t="s">
        <v>20</v>
      </c>
      <c r="F2435" t="s">
        <v>128</v>
      </c>
      <c r="G2435" t="s">
        <v>22</v>
      </c>
      <c r="H2435" t="s">
        <v>23</v>
      </c>
      <c r="I2435" t="s">
        <v>57</v>
      </c>
      <c r="J2435" t="s">
        <v>549</v>
      </c>
      <c r="K2435" t="s">
        <v>2384</v>
      </c>
      <c r="L2435">
        <v>4.5999999999999996</v>
      </c>
      <c r="M2435">
        <v>456000</v>
      </c>
      <c r="N2435">
        <v>2.5</v>
      </c>
      <c r="O2435">
        <v>7</v>
      </c>
      <c r="P2435" t="s">
        <v>53</v>
      </c>
    </row>
    <row r="2436" spans="1:16" x14ac:dyDescent="0.25">
      <c r="A2436" t="s">
        <v>5875</v>
      </c>
      <c r="B2436" t="s">
        <v>1734</v>
      </c>
      <c r="C2436" t="s">
        <v>18</v>
      </c>
      <c r="D2436" t="s">
        <v>30</v>
      </c>
      <c r="E2436" t="s">
        <v>44</v>
      </c>
      <c r="F2436" t="s">
        <v>39</v>
      </c>
      <c r="G2436" t="s">
        <v>22</v>
      </c>
      <c r="H2436" t="s">
        <v>46</v>
      </c>
      <c r="I2436" t="s">
        <v>57</v>
      </c>
      <c r="J2436" t="s">
        <v>5876</v>
      </c>
      <c r="K2436" t="s">
        <v>867</v>
      </c>
      <c r="L2436">
        <v>4.5999999999999996</v>
      </c>
      <c r="M2436">
        <v>99000</v>
      </c>
      <c r="N2436">
        <v>2.6</v>
      </c>
      <c r="O2436">
        <v>1</v>
      </c>
      <c r="P2436" t="s">
        <v>53</v>
      </c>
    </row>
    <row r="2437" spans="1:16" x14ac:dyDescent="0.25">
      <c r="A2437" t="s">
        <v>5877</v>
      </c>
      <c r="B2437" t="s">
        <v>3109</v>
      </c>
      <c r="C2437" t="s">
        <v>29</v>
      </c>
      <c r="D2437" t="s">
        <v>50</v>
      </c>
      <c r="E2437" t="s">
        <v>31</v>
      </c>
      <c r="F2437" t="s">
        <v>32</v>
      </c>
      <c r="G2437" t="s">
        <v>22</v>
      </c>
      <c r="I2437" t="s">
        <v>24</v>
      </c>
      <c r="J2437" t="s">
        <v>1203</v>
      </c>
      <c r="L2437">
        <v>4.4000000000000004</v>
      </c>
      <c r="M2437">
        <v>255000</v>
      </c>
      <c r="N2437">
        <v>2.9</v>
      </c>
      <c r="O2437">
        <v>2</v>
      </c>
      <c r="P2437" t="s">
        <v>26</v>
      </c>
    </row>
    <row r="2438" spans="1:16" x14ac:dyDescent="0.25">
      <c r="A2438" t="s">
        <v>5878</v>
      </c>
      <c r="B2438" t="s">
        <v>5879</v>
      </c>
      <c r="C2438" t="s">
        <v>29</v>
      </c>
      <c r="D2438" t="s">
        <v>50</v>
      </c>
      <c r="E2438" t="s">
        <v>44</v>
      </c>
      <c r="F2438" t="s">
        <v>39</v>
      </c>
      <c r="G2438" t="s">
        <v>69</v>
      </c>
      <c r="H2438" t="s">
        <v>46</v>
      </c>
      <c r="I2438" t="s">
        <v>24</v>
      </c>
      <c r="J2438" t="s">
        <v>2107</v>
      </c>
      <c r="K2438" t="s">
        <v>3574</v>
      </c>
      <c r="L2438">
        <v>1.3</v>
      </c>
      <c r="M2438">
        <v>170000</v>
      </c>
      <c r="N2438">
        <v>4.5999999999999996</v>
      </c>
      <c r="O2438">
        <v>12</v>
      </c>
      <c r="P2438" t="s">
        <v>72</v>
      </c>
    </row>
    <row r="2439" spans="1:16" x14ac:dyDescent="0.25">
      <c r="A2439" t="s">
        <v>5880</v>
      </c>
      <c r="B2439" t="s">
        <v>5881</v>
      </c>
      <c r="C2439" t="s">
        <v>18</v>
      </c>
      <c r="D2439" t="s">
        <v>79</v>
      </c>
      <c r="E2439" t="s">
        <v>44</v>
      </c>
      <c r="F2439" t="s">
        <v>39</v>
      </c>
      <c r="G2439" t="s">
        <v>80</v>
      </c>
      <c r="H2439" t="s">
        <v>34</v>
      </c>
      <c r="I2439" t="s">
        <v>35</v>
      </c>
      <c r="J2439" t="s">
        <v>5882</v>
      </c>
      <c r="L2439">
        <v>4.4000000000000004</v>
      </c>
      <c r="M2439">
        <v>160000</v>
      </c>
      <c r="N2439">
        <v>4.0999999999999996</v>
      </c>
      <c r="P2439" t="s">
        <v>26</v>
      </c>
    </row>
    <row r="2440" spans="1:16" x14ac:dyDescent="0.25">
      <c r="A2440" t="s">
        <v>5883</v>
      </c>
      <c r="B2440" t="s">
        <v>5884</v>
      </c>
      <c r="D2440" t="s">
        <v>30</v>
      </c>
      <c r="E2440" t="s">
        <v>20</v>
      </c>
      <c r="G2440" t="s">
        <v>33</v>
      </c>
      <c r="H2440" t="s">
        <v>62</v>
      </c>
      <c r="I2440" t="s">
        <v>24</v>
      </c>
      <c r="J2440" t="s">
        <v>1646</v>
      </c>
      <c r="L2440">
        <v>3.9</v>
      </c>
      <c r="M2440">
        <v>307000</v>
      </c>
      <c r="O2440">
        <v>31</v>
      </c>
      <c r="P2440" t="s">
        <v>26</v>
      </c>
    </row>
    <row r="2441" spans="1:16" x14ac:dyDescent="0.25">
      <c r="A2441" t="s">
        <v>5885</v>
      </c>
      <c r="B2441" t="s">
        <v>5266</v>
      </c>
      <c r="C2441" t="s">
        <v>29</v>
      </c>
      <c r="D2441" t="s">
        <v>43</v>
      </c>
      <c r="E2441" t="s">
        <v>20</v>
      </c>
      <c r="F2441" t="s">
        <v>32</v>
      </c>
      <c r="G2441" t="s">
        <v>80</v>
      </c>
      <c r="H2441" t="s">
        <v>23</v>
      </c>
      <c r="I2441" t="s">
        <v>35</v>
      </c>
      <c r="J2441" t="s">
        <v>3792</v>
      </c>
      <c r="K2441" t="s">
        <v>3948</v>
      </c>
      <c r="L2441">
        <v>3.2</v>
      </c>
      <c r="M2441">
        <v>238000</v>
      </c>
      <c r="N2441">
        <v>4</v>
      </c>
      <c r="O2441">
        <v>38</v>
      </c>
      <c r="P2441" t="s">
        <v>114</v>
      </c>
    </row>
    <row r="2442" spans="1:16" x14ac:dyDescent="0.25">
      <c r="A2442" t="s">
        <v>5886</v>
      </c>
      <c r="B2442" t="s">
        <v>2515</v>
      </c>
      <c r="C2442" t="s">
        <v>18</v>
      </c>
      <c r="D2442" t="s">
        <v>79</v>
      </c>
      <c r="F2442" t="s">
        <v>128</v>
      </c>
      <c r="G2442" t="s">
        <v>22</v>
      </c>
      <c r="H2442" t="s">
        <v>23</v>
      </c>
      <c r="I2442" t="s">
        <v>35</v>
      </c>
      <c r="J2442" t="s">
        <v>2879</v>
      </c>
      <c r="L2442">
        <v>4.9000000000000004</v>
      </c>
      <c r="M2442">
        <v>443000</v>
      </c>
      <c r="N2442">
        <v>2.6</v>
      </c>
      <c r="O2442">
        <v>13</v>
      </c>
      <c r="P2442" t="s">
        <v>26</v>
      </c>
    </row>
    <row r="2443" spans="1:16" x14ac:dyDescent="0.25">
      <c r="A2443" t="s">
        <v>5887</v>
      </c>
      <c r="B2443" t="s">
        <v>2707</v>
      </c>
      <c r="C2443" t="s">
        <v>29</v>
      </c>
      <c r="D2443" t="s">
        <v>19</v>
      </c>
      <c r="E2443" t="s">
        <v>20</v>
      </c>
      <c r="F2443" t="s">
        <v>128</v>
      </c>
      <c r="G2443" t="s">
        <v>33</v>
      </c>
      <c r="H2443" t="s">
        <v>34</v>
      </c>
      <c r="I2443" t="s">
        <v>57</v>
      </c>
      <c r="J2443" t="s">
        <v>1360</v>
      </c>
      <c r="L2443">
        <v>5.0999999999999996</v>
      </c>
      <c r="M2443">
        <v>648000</v>
      </c>
      <c r="N2443">
        <v>2.9</v>
      </c>
      <c r="O2443">
        <v>3</v>
      </c>
      <c r="P2443" t="s">
        <v>26</v>
      </c>
    </row>
    <row r="2444" spans="1:16" x14ac:dyDescent="0.25">
      <c r="A2444" t="s">
        <v>5888</v>
      </c>
      <c r="B2444" t="s">
        <v>5889</v>
      </c>
      <c r="C2444" t="s">
        <v>18</v>
      </c>
      <c r="D2444" t="s">
        <v>19</v>
      </c>
      <c r="E2444" t="s">
        <v>31</v>
      </c>
      <c r="F2444" t="s">
        <v>39</v>
      </c>
      <c r="G2444" t="s">
        <v>33</v>
      </c>
      <c r="H2444" t="s">
        <v>23</v>
      </c>
      <c r="I2444" t="s">
        <v>75</v>
      </c>
      <c r="J2444" t="s">
        <v>637</v>
      </c>
      <c r="L2444">
        <v>4</v>
      </c>
      <c r="M2444">
        <v>163000</v>
      </c>
      <c r="N2444">
        <v>2.2000000000000002</v>
      </c>
      <c r="O2444">
        <v>6</v>
      </c>
      <c r="P2444" t="s">
        <v>26</v>
      </c>
    </row>
    <row r="2445" spans="1:16" x14ac:dyDescent="0.25">
      <c r="A2445" t="s">
        <v>5890</v>
      </c>
      <c r="B2445" t="s">
        <v>1673</v>
      </c>
      <c r="C2445" t="s">
        <v>18</v>
      </c>
      <c r="D2445" t="s">
        <v>79</v>
      </c>
      <c r="E2445" t="s">
        <v>20</v>
      </c>
      <c r="F2445" t="s">
        <v>32</v>
      </c>
      <c r="G2445" t="s">
        <v>80</v>
      </c>
      <c r="H2445" t="s">
        <v>46</v>
      </c>
      <c r="I2445" t="s">
        <v>57</v>
      </c>
      <c r="J2445" t="s">
        <v>1743</v>
      </c>
      <c r="K2445" t="s">
        <v>4060</v>
      </c>
      <c r="L2445">
        <v>1.3</v>
      </c>
      <c r="M2445">
        <v>213000</v>
      </c>
      <c r="N2445">
        <v>2.4</v>
      </c>
      <c r="O2445">
        <v>7</v>
      </c>
      <c r="P2445" t="s">
        <v>114</v>
      </c>
    </row>
    <row r="2446" spans="1:16" x14ac:dyDescent="0.25">
      <c r="A2446" t="s">
        <v>5891</v>
      </c>
      <c r="B2446" t="s">
        <v>5892</v>
      </c>
      <c r="C2446" t="s">
        <v>18</v>
      </c>
      <c r="D2446" t="s">
        <v>19</v>
      </c>
      <c r="E2446" t="s">
        <v>20</v>
      </c>
      <c r="F2446" t="s">
        <v>32</v>
      </c>
      <c r="G2446" t="s">
        <v>33</v>
      </c>
      <c r="H2446" t="s">
        <v>34</v>
      </c>
      <c r="I2446" t="s">
        <v>57</v>
      </c>
      <c r="J2446" t="s">
        <v>1363</v>
      </c>
      <c r="K2446" t="s">
        <v>4070</v>
      </c>
      <c r="L2446">
        <v>5.6</v>
      </c>
      <c r="M2446">
        <v>241000</v>
      </c>
      <c r="N2446">
        <v>4.0999999999999996</v>
      </c>
      <c r="P2446" t="s">
        <v>72</v>
      </c>
    </row>
    <row r="2447" spans="1:16" x14ac:dyDescent="0.25">
      <c r="A2447" t="s">
        <v>5893</v>
      </c>
      <c r="B2447" t="s">
        <v>5034</v>
      </c>
      <c r="C2447" t="s">
        <v>18</v>
      </c>
      <c r="D2447" t="s">
        <v>50</v>
      </c>
      <c r="E2447" t="s">
        <v>20</v>
      </c>
      <c r="F2447" t="s">
        <v>32</v>
      </c>
      <c r="G2447" t="s">
        <v>80</v>
      </c>
      <c r="H2447" t="s">
        <v>62</v>
      </c>
      <c r="I2447" t="s">
        <v>24</v>
      </c>
      <c r="J2447" t="s">
        <v>5546</v>
      </c>
      <c r="K2447" t="s">
        <v>1597</v>
      </c>
      <c r="L2447">
        <v>4.8</v>
      </c>
      <c r="M2447">
        <v>303000</v>
      </c>
      <c r="N2447">
        <v>4</v>
      </c>
      <c r="O2447">
        <v>2</v>
      </c>
      <c r="P2447" t="s">
        <v>114</v>
      </c>
    </row>
    <row r="2448" spans="1:16" x14ac:dyDescent="0.25">
      <c r="A2448" t="s">
        <v>5894</v>
      </c>
      <c r="B2448" t="s">
        <v>3899</v>
      </c>
      <c r="C2448" t="s">
        <v>18</v>
      </c>
      <c r="D2448" t="s">
        <v>50</v>
      </c>
      <c r="E2448" t="s">
        <v>31</v>
      </c>
      <c r="F2448" t="s">
        <v>21</v>
      </c>
      <c r="G2448" t="s">
        <v>22</v>
      </c>
      <c r="H2448" t="s">
        <v>34</v>
      </c>
      <c r="I2448" t="s">
        <v>24</v>
      </c>
      <c r="J2448" t="s">
        <v>5895</v>
      </c>
      <c r="L2448">
        <v>4.8</v>
      </c>
      <c r="M2448">
        <v>742000</v>
      </c>
      <c r="N2448">
        <v>4.3</v>
      </c>
      <c r="O2448">
        <v>22</v>
      </c>
      <c r="P2448" t="s">
        <v>26</v>
      </c>
    </row>
    <row r="2449" spans="1:16" x14ac:dyDescent="0.25">
      <c r="A2449" t="s">
        <v>5896</v>
      </c>
      <c r="B2449" t="s">
        <v>5897</v>
      </c>
      <c r="C2449" t="s">
        <v>29</v>
      </c>
      <c r="D2449" t="s">
        <v>50</v>
      </c>
      <c r="E2449" t="s">
        <v>20</v>
      </c>
      <c r="F2449" t="s">
        <v>39</v>
      </c>
      <c r="G2449" t="s">
        <v>80</v>
      </c>
      <c r="H2449" t="s">
        <v>23</v>
      </c>
      <c r="J2449" t="s">
        <v>2689</v>
      </c>
      <c r="L2449">
        <v>4.7</v>
      </c>
      <c r="M2449">
        <v>157000</v>
      </c>
      <c r="N2449">
        <v>3.5</v>
      </c>
      <c r="O2449">
        <v>7</v>
      </c>
      <c r="P2449" t="s">
        <v>26</v>
      </c>
    </row>
    <row r="2450" spans="1:16" x14ac:dyDescent="0.25">
      <c r="A2450" t="s">
        <v>5898</v>
      </c>
      <c r="B2450" t="s">
        <v>5899</v>
      </c>
      <c r="C2450" t="s">
        <v>18</v>
      </c>
      <c r="D2450" t="s">
        <v>30</v>
      </c>
      <c r="E2450" t="s">
        <v>20</v>
      </c>
      <c r="G2450" t="s">
        <v>69</v>
      </c>
      <c r="H2450" t="s">
        <v>62</v>
      </c>
      <c r="J2450" t="s">
        <v>539</v>
      </c>
      <c r="K2450" t="s">
        <v>3712</v>
      </c>
      <c r="L2450">
        <v>2.8</v>
      </c>
      <c r="M2450">
        <v>302000</v>
      </c>
      <c r="N2450">
        <v>4.9000000000000004</v>
      </c>
      <c r="O2450">
        <v>4</v>
      </c>
      <c r="P2450" t="s">
        <v>72</v>
      </c>
    </row>
    <row r="2451" spans="1:16" x14ac:dyDescent="0.25">
      <c r="A2451" t="s">
        <v>5900</v>
      </c>
      <c r="B2451" t="s">
        <v>5901</v>
      </c>
      <c r="D2451" t="s">
        <v>30</v>
      </c>
      <c r="E2451" t="s">
        <v>31</v>
      </c>
      <c r="F2451" t="s">
        <v>32</v>
      </c>
      <c r="G2451" t="s">
        <v>80</v>
      </c>
      <c r="H2451" t="s">
        <v>62</v>
      </c>
      <c r="I2451" t="s">
        <v>24</v>
      </c>
      <c r="J2451" t="s">
        <v>5902</v>
      </c>
      <c r="K2451" t="s">
        <v>4740</v>
      </c>
      <c r="L2451">
        <v>4.9000000000000004</v>
      </c>
      <c r="M2451">
        <v>243000</v>
      </c>
      <c r="N2451">
        <v>2.5</v>
      </c>
      <c r="O2451">
        <v>7</v>
      </c>
      <c r="P2451" t="s">
        <v>53</v>
      </c>
    </row>
    <row r="2452" spans="1:16" x14ac:dyDescent="0.25">
      <c r="A2452" t="s">
        <v>5903</v>
      </c>
      <c r="B2452" t="s">
        <v>5904</v>
      </c>
      <c r="C2452" t="s">
        <v>29</v>
      </c>
      <c r="D2452" t="s">
        <v>30</v>
      </c>
      <c r="E2452" t="s">
        <v>20</v>
      </c>
      <c r="F2452" t="s">
        <v>39</v>
      </c>
      <c r="G2452" t="s">
        <v>33</v>
      </c>
      <c r="H2452" t="s">
        <v>23</v>
      </c>
      <c r="I2452" t="s">
        <v>35</v>
      </c>
      <c r="J2452" t="s">
        <v>90</v>
      </c>
      <c r="K2452" t="s">
        <v>533</v>
      </c>
      <c r="L2452">
        <v>4.5</v>
      </c>
      <c r="M2452">
        <v>86000</v>
      </c>
      <c r="N2452">
        <v>3.5</v>
      </c>
      <c r="O2452">
        <v>11</v>
      </c>
      <c r="P2452" t="s">
        <v>53</v>
      </c>
    </row>
    <row r="2453" spans="1:16" x14ac:dyDescent="0.25">
      <c r="A2453" t="s">
        <v>5905</v>
      </c>
      <c r="B2453" t="s">
        <v>2704</v>
      </c>
      <c r="C2453" t="s">
        <v>18</v>
      </c>
      <c r="D2453" t="s">
        <v>43</v>
      </c>
      <c r="E2453" t="s">
        <v>20</v>
      </c>
      <c r="F2453" t="s">
        <v>32</v>
      </c>
      <c r="G2453" t="s">
        <v>22</v>
      </c>
      <c r="H2453" t="s">
        <v>34</v>
      </c>
      <c r="I2453" t="s">
        <v>24</v>
      </c>
      <c r="J2453" t="s">
        <v>1321</v>
      </c>
      <c r="L2453">
        <v>3.1</v>
      </c>
      <c r="M2453">
        <v>194000</v>
      </c>
      <c r="N2453">
        <v>2.4</v>
      </c>
      <c r="O2453">
        <v>11</v>
      </c>
      <c r="P2453" t="s">
        <v>26</v>
      </c>
    </row>
    <row r="2454" spans="1:16" x14ac:dyDescent="0.25">
      <c r="A2454" t="s">
        <v>5906</v>
      </c>
      <c r="B2454" t="s">
        <v>5907</v>
      </c>
      <c r="C2454" t="s">
        <v>29</v>
      </c>
      <c r="D2454" t="s">
        <v>30</v>
      </c>
      <c r="E2454" t="s">
        <v>44</v>
      </c>
      <c r="F2454" t="s">
        <v>39</v>
      </c>
      <c r="G2454" t="s">
        <v>69</v>
      </c>
      <c r="H2454" t="s">
        <v>23</v>
      </c>
      <c r="I2454" t="s">
        <v>24</v>
      </c>
      <c r="J2454" t="s">
        <v>5908</v>
      </c>
      <c r="L2454">
        <v>4.9000000000000004</v>
      </c>
      <c r="M2454">
        <v>119000</v>
      </c>
      <c r="N2454">
        <v>2</v>
      </c>
      <c r="O2454">
        <v>0</v>
      </c>
      <c r="P2454" t="s">
        <v>26</v>
      </c>
    </row>
    <row r="2455" spans="1:16" x14ac:dyDescent="0.25">
      <c r="A2455" t="s">
        <v>5909</v>
      </c>
      <c r="B2455" t="s">
        <v>4789</v>
      </c>
      <c r="C2455" t="s">
        <v>18</v>
      </c>
      <c r="D2455" t="s">
        <v>19</v>
      </c>
      <c r="E2455" t="s">
        <v>20</v>
      </c>
      <c r="F2455" t="s">
        <v>32</v>
      </c>
      <c r="G2455" t="s">
        <v>33</v>
      </c>
      <c r="H2455" t="s">
        <v>62</v>
      </c>
      <c r="I2455" t="s">
        <v>24</v>
      </c>
      <c r="J2455" t="s">
        <v>2893</v>
      </c>
      <c r="L2455">
        <v>5.7</v>
      </c>
      <c r="M2455">
        <v>289000</v>
      </c>
      <c r="N2455">
        <v>3.3</v>
      </c>
      <c r="O2455">
        <v>11</v>
      </c>
      <c r="P2455" t="s">
        <v>26</v>
      </c>
    </row>
    <row r="2456" spans="1:16" x14ac:dyDescent="0.25">
      <c r="A2456" t="s">
        <v>5910</v>
      </c>
      <c r="B2456" t="s">
        <v>1281</v>
      </c>
      <c r="C2456" t="s">
        <v>29</v>
      </c>
      <c r="D2456" t="s">
        <v>50</v>
      </c>
      <c r="E2456" t="s">
        <v>20</v>
      </c>
      <c r="F2456" t="s">
        <v>39</v>
      </c>
      <c r="G2456" t="s">
        <v>33</v>
      </c>
      <c r="H2456" t="s">
        <v>23</v>
      </c>
      <c r="I2456" t="s">
        <v>24</v>
      </c>
      <c r="J2456" t="s">
        <v>523</v>
      </c>
      <c r="L2456">
        <v>4.5</v>
      </c>
      <c r="M2456">
        <v>150000</v>
      </c>
      <c r="N2456">
        <v>2.2999999999999998</v>
      </c>
      <c r="O2456">
        <v>11</v>
      </c>
      <c r="P2456" t="s">
        <v>26</v>
      </c>
    </row>
    <row r="2457" spans="1:16" x14ac:dyDescent="0.25">
      <c r="A2457" t="s">
        <v>5911</v>
      </c>
      <c r="B2457" t="s">
        <v>4058</v>
      </c>
      <c r="C2457" t="s">
        <v>18</v>
      </c>
      <c r="D2457" t="s">
        <v>30</v>
      </c>
      <c r="E2457" t="s">
        <v>44</v>
      </c>
      <c r="F2457" t="s">
        <v>39</v>
      </c>
      <c r="G2457" t="s">
        <v>22</v>
      </c>
      <c r="H2457" t="s">
        <v>23</v>
      </c>
      <c r="I2457" t="s">
        <v>35</v>
      </c>
      <c r="J2457" t="s">
        <v>898</v>
      </c>
      <c r="K2457" t="s">
        <v>2540</v>
      </c>
      <c r="L2457">
        <v>2.4</v>
      </c>
      <c r="M2457">
        <v>115000</v>
      </c>
      <c r="N2457">
        <v>3.4</v>
      </c>
      <c r="O2457">
        <v>9</v>
      </c>
      <c r="P2457" t="s">
        <v>53</v>
      </c>
    </row>
    <row r="2458" spans="1:16" x14ac:dyDescent="0.25">
      <c r="A2458" t="s">
        <v>5912</v>
      </c>
      <c r="B2458" t="s">
        <v>2583</v>
      </c>
      <c r="C2458" t="s">
        <v>18</v>
      </c>
      <c r="D2458" t="s">
        <v>30</v>
      </c>
      <c r="E2458" t="s">
        <v>20</v>
      </c>
      <c r="F2458" t="s">
        <v>39</v>
      </c>
      <c r="G2458" t="s">
        <v>33</v>
      </c>
      <c r="H2458" t="s">
        <v>46</v>
      </c>
      <c r="I2458" t="s">
        <v>75</v>
      </c>
      <c r="J2458" t="s">
        <v>2653</v>
      </c>
      <c r="K2458" t="s">
        <v>5913</v>
      </c>
      <c r="L2458">
        <v>4.5</v>
      </c>
      <c r="M2458">
        <v>115000</v>
      </c>
      <c r="N2458">
        <v>1.5</v>
      </c>
      <c r="O2458">
        <v>2</v>
      </c>
      <c r="P2458" t="s">
        <v>53</v>
      </c>
    </row>
    <row r="2459" spans="1:16" x14ac:dyDescent="0.25">
      <c r="A2459" t="s">
        <v>5914</v>
      </c>
      <c r="B2459" t="s">
        <v>5915</v>
      </c>
      <c r="C2459" t="s">
        <v>29</v>
      </c>
      <c r="D2459" t="s">
        <v>30</v>
      </c>
      <c r="E2459" t="s">
        <v>31</v>
      </c>
      <c r="F2459" t="s">
        <v>21</v>
      </c>
      <c r="G2459" t="s">
        <v>33</v>
      </c>
      <c r="H2459" t="s">
        <v>62</v>
      </c>
      <c r="I2459" t="s">
        <v>57</v>
      </c>
      <c r="J2459" t="s">
        <v>2551</v>
      </c>
      <c r="L2459">
        <v>4.5999999999999996</v>
      </c>
      <c r="M2459">
        <v>873000</v>
      </c>
      <c r="N2459">
        <v>3.3</v>
      </c>
      <c r="O2459">
        <v>11</v>
      </c>
      <c r="P2459" t="s">
        <v>26</v>
      </c>
    </row>
    <row r="2460" spans="1:16" x14ac:dyDescent="0.25">
      <c r="A2460" t="s">
        <v>5916</v>
      </c>
      <c r="B2460" t="s">
        <v>3966</v>
      </c>
      <c r="C2460" t="s">
        <v>29</v>
      </c>
      <c r="D2460" t="s">
        <v>30</v>
      </c>
      <c r="E2460" t="s">
        <v>20</v>
      </c>
      <c r="F2460" t="s">
        <v>39</v>
      </c>
      <c r="G2460" t="s">
        <v>22</v>
      </c>
      <c r="H2460" t="s">
        <v>34</v>
      </c>
      <c r="I2460" t="s">
        <v>24</v>
      </c>
      <c r="J2460" t="s">
        <v>5917</v>
      </c>
      <c r="K2460" t="s">
        <v>5918</v>
      </c>
      <c r="L2460">
        <v>3.6</v>
      </c>
      <c r="N2460">
        <v>1.9</v>
      </c>
      <c r="O2460">
        <v>14</v>
      </c>
      <c r="P2460" t="s">
        <v>53</v>
      </c>
    </row>
    <row r="2461" spans="1:16" x14ac:dyDescent="0.25">
      <c r="A2461" t="s">
        <v>5919</v>
      </c>
      <c r="B2461" t="s">
        <v>2184</v>
      </c>
      <c r="C2461" t="s">
        <v>18</v>
      </c>
      <c r="D2461" t="s">
        <v>30</v>
      </c>
      <c r="E2461" t="s">
        <v>20</v>
      </c>
      <c r="F2461" t="s">
        <v>32</v>
      </c>
      <c r="G2461" t="s">
        <v>22</v>
      </c>
      <c r="H2461" t="s">
        <v>46</v>
      </c>
      <c r="I2461" t="s">
        <v>57</v>
      </c>
      <c r="J2461" t="s">
        <v>761</v>
      </c>
      <c r="K2461" t="s">
        <v>5920</v>
      </c>
      <c r="L2461">
        <v>1.3</v>
      </c>
      <c r="M2461">
        <v>313000</v>
      </c>
      <c r="N2461">
        <v>4</v>
      </c>
      <c r="O2461">
        <v>34</v>
      </c>
      <c r="P2461" t="s">
        <v>53</v>
      </c>
    </row>
    <row r="2462" spans="1:16" x14ac:dyDescent="0.25">
      <c r="A2462" t="s">
        <v>5921</v>
      </c>
      <c r="B2462" t="s">
        <v>3874</v>
      </c>
      <c r="C2462" t="s">
        <v>29</v>
      </c>
      <c r="D2462" t="s">
        <v>19</v>
      </c>
      <c r="E2462" t="s">
        <v>44</v>
      </c>
      <c r="F2462" t="s">
        <v>45</v>
      </c>
      <c r="G2462" t="s">
        <v>22</v>
      </c>
      <c r="I2462" t="s">
        <v>35</v>
      </c>
      <c r="J2462" t="s">
        <v>5918</v>
      </c>
      <c r="K2462" t="s">
        <v>5922</v>
      </c>
      <c r="L2462">
        <v>3</v>
      </c>
      <c r="M2462">
        <v>1962000</v>
      </c>
      <c r="N2462">
        <v>4.7</v>
      </c>
      <c r="O2462">
        <v>14</v>
      </c>
      <c r="P2462" t="s">
        <v>53</v>
      </c>
    </row>
    <row r="2463" spans="1:16" x14ac:dyDescent="0.25">
      <c r="A2463" t="s">
        <v>5923</v>
      </c>
      <c r="B2463" t="s">
        <v>3385</v>
      </c>
      <c r="C2463" t="s">
        <v>18</v>
      </c>
      <c r="D2463" t="s">
        <v>30</v>
      </c>
      <c r="E2463" t="s">
        <v>20</v>
      </c>
      <c r="F2463" t="s">
        <v>128</v>
      </c>
      <c r="G2463" t="s">
        <v>69</v>
      </c>
      <c r="H2463" t="s">
        <v>34</v>
      </c>
      <c r="I2463" t="s">
        <v>24</v>
      </c>
      <c r="J2463" t="s">
        <v>5924</v>
      </c>
      <c r="K2463" t="s">
        <v>1018</v>
      </c>
      <c r="L2463">
        <v>5.2</v>
      </c>
      <c r="M2463">
        <v>575000</v>
      </c>
      <c r="N2463">
        <v>4.4000000000000004</v>
      </c>
      <c r="O2463">
        <v>8</v>
      </c>
      <c r="P2463" t="s">
        <v>72</v>
      </c>
    </row>
    <row r="2464" spans="1:16" x14ac:dyDescent="0.25">
      <c r="A2464" t="s">
        <v>5925</v>
      </c>
      <c r="B2464" t="s">
        <v>5926</v>
      </c>
      <c r="C2464" t="s">
        <v>18</v>
      </c>
      <c r="D2464" t="s">
        <v>79</v>
      </c>
      <c r="E2464" t="s">
        <v>20</v>
      </c>
      <c r="F2464" t="s">
        <v>128</v>
      </c>
      <c r="G2464" t="s">
        <v>80</v>
      </c>
      <c r="H2464" t="s">
        <v>46</v>
      </c>
      <c r="I2464" t="s">
        <v>57</v>
      </c>
      <c r="J2464" t="s">
        <v>5927</v>
      </c>
      <c r="L2464">
        <v>5.2</v>
      </c>
      <c r="M2464">
        <v>522000</v>
      </c>
      <c r="N2464">
        <v>3.1</v>
      </c>
      <c r="P2464" t="s">
        <v>26</v>
      </c>
    </row>
    <row r="2465" spans="1:16" x14ac:dyDescent="0.25">
      <c r="A2465" t="s">
        <v>5928</v>
      </c>
      <c r="B2465" t="s">
        <v>5929</v>
      </c>
      <c r="C2465" t="s">
        <v>29</v>
      </c>
      <c r="D2465" t="s">
        <v>30</v>
      </c>
      <c r="E2465" t="s">
        <v>20</v>
      </c>
      <c r="F2465" t="s">
        <v>32</v>
      </c>
      <c r="G2465" t="s">
        <v>22</v>
      </c>
      <c r="H2465" t="s">
        <v>34</v>
      </c>
      <c r="I2465" t="s">
        <v>35</v>
      </c>
      <c r="J2465" t="s">
        <v>5930</v>
      </c>
      <c r="L2465">
        <v>6.1</v>
      </c>
      <c r="N2465">
        <v>4.9000000000000004</v>
      </c>
      <c r="O2465">
        <v>10</v>
      </c>
      <c r="P2465" t="s">
        <v>26</v>
      </c>
    </row>
    <row r="2466" spans="1:16" x14ac:dyDescent="0.25">
      <c r="A2466" t="s">
        <v>5931</v>
      </c>
      <c r="B2466" t="s">
        <v>5932</v>
      </c>
      <c r="C2466" t="s">
        <v>29</v>
      </c>
      <c r="D2466" t="s">
        <v>50</v>
      </c>
      <c r="E2466" t="s">
        <v>20</v>
      </c>
      <c r="F2466" t="s">
        <v>21</v>
      </c>
      <c r="G2466" t="s">
        <v>69</v>
      </c>
      <c r="H2466" t="s">
        <v>34</v>
      </c>
      <c r="I2466" t="s">
        <v>24</v>
      </c>
      <c r="J2466" t="s">
        <v>3654</v>
      </c>
      <c r="L2466">
        <v>5.0999999999999996</v>
      </c>
      <c r="M2466">
        <v>666000</v>
      </c>
      <c r="N2466">
        <v>3.4</v>
      </c>
      <c r="O2466">
        <v>11</v>
      </c>
      <c r="P2466" t="s">
        <v>26</v>
      </c>
    </row>
    <row r="2467" spans="1:16" x14ac:dyDescent="0.25">
      <c r="A2467" t="s">
        <v>5933</v>
      </c>
      <c r="B2467" t="s">
        <v>5934</v>
      </c>
      <c r="C2467" t="s">
        <v>29</v>
      </c>
      <c r="D2467" t="s">
        <v>30</v>
      </c>
      <c r="E2467" t="s">
        <v>31</v>
      </c>
      <c r="F2467" t="s">
        <v>32</v>
      </c>
      <c r="G2467" t="s">
        <v>80</v>
      </c>
      <c r="H2467" t="s">
        <v>23</v>
      </c>
      <c r="I2467" t="s">
        <v>57</v>
      </c>
      <c r="J2467" t="s">
        <v>1321</v>
      </c>
      <c r="K2467" t="s">
        <v>2329</v>
      </c>
      <c r="L2467">
        <v>3.1</v>
      </c>
      <c r="M2467">
        <v>252000</v>
      </c>
      <c r="N2467">
        <v>3.9</v>
      </c>
      <c r="O2467">
        <v>12</v>
      </c>
      <c r="P2467" t="s">
        <v>72</v>
      </c>
    </row>
    <row r="2468" spans="1:16" x14ac:dyDescent="0.25">
      <c r="A2468" t="s">
        <v>5935</v>
      </c>
      <c r="B2468" t="s">
        <v>5936</v>
      </c>
      <c r="C2468" t="s">
        <v>18</v>
      </c>
      <c r="D2468" t="s">
        <v>43</v>
      </c>
      <c r="E2468" t="s">
        <v>20</v>
      </c>
      <c r="F2468" t="s">
        <v>128</v>
      </c>
      <c r="G2468" t="s">
        <v>22</v>
      </c>
      <c r="H2468" t="s">
        <v>62</v>
      </c>
      <c r="I2468" t="s">
        <v>75</v>
      </c>
      <c r="J2468" t="s">
        <v>5937</v>
      </c>
      <c r="L2468">
        <v>4.0999999999999996</v>
      </c>
      <c r="M2468">
        <v>464000</v>
      </c>
      <c r="N2468">
        <v>3.3</v>
      </c>
      <c r="O2468">
        <v>6</v>
      </c>
      <c r="P2468" t="s">
        <v>26</v>
      </c>
    </row>
    <row r="2469" spans="1:16" x14ac:dyDescent="0.25">
      <c r="A2469" t="s">
        <v>5938</v>
      </c>
      <c r="B2469" t="s">
        <v>5266</v>
      </c>
      <c r="C2469" t="s">
        <v>29</v>
      </c>
      <c r="D2469" t="s">
        <v>50</v>
      </c>
      <c r="E2469" t="s">
        <v>20</v>
      </c>
      <c r="F2469" t="s">
        <v>39</v>
      </c>
      <c r="G2469" t="s">
        <v>80</v>
      </c>
      <c r="H2469" t="s">
        <v>46</v>
      </c>
      <c r="I2469" t="s">
        <v>57</v>
      </c>
      <c r="J2469" t="s">
        <v>4868</v>
      </c>
      <c r="K2469" t="s">
        <v>1558</v>
      </c>
      <c r="L2469">
        <v>6.2</v>
      </c>
      <c r="M2469">
        <v>159000</v>
      </c>
      <c r="N2469">
        <v>2.5</v>
      </c>
      <c r="O2469">
        <v>39</v>
      </c>
      <c r="P2469" t="s">
        <v>72</v>
      </c>
    </row>
    <row r="2470" spans="1:16" x14ac:dyDescent="0.25">
      <c r="A2470" t="s">
        <v>5939</v>
      </c>
      <c r="B2470" t="s">
        <v>5940</v>
      </c>
      <c r="C2470" t="s">
        <v>29</v>
      </c>
      <c r="D2470" t="s">
        <v>30</v>
      </c>
      <c r="E2470" t="s">
        <v>31</v>
      </c>
      <c r="F2470" t="s">
        <v>39</v>
      </c>
      <c r="G2470" t="s">
        <v>22</v>
      </c>
      <c r="H2470" t="s">
        <v>46</v>
      </c>
      <c r="I2470" t="s">
        <v>57</v>
      </c>
      <c r="J2470" t="s">
        <v>5941</v>
      </c>
      <c r="L2470">
        <v>2</v>
      </c>
      <c r="M2470">
        <v>120000</v>
      </c>
      <c r="N2470">
        <v>1.9</v>
      </c>
      <c r="O2470">
        <v>27</v>
      </c>
      <c r="P2470" t="s">
        <v>26</v>
      </c>
    </row>
    <row r="2471" spans="1:16" x14ac:dyDescent="0.25">
      <c r="A2471" t="s">
        <v>5942</v>
      </c>
      <c r="B2471" t="s">
        <v>5943</v>
      </c>
      <c r="C2471" t="s">
        <v>29</v>
      </c>
      <c r="D2471" t="s">
        <v>19</v>
      </c>
      <c r="E2471" t="s">
        <v>20</v>
      </c>
      <c r="F2471" t="s">
        <v>128</v>
      </c>
      <c r="G2471" t="s">
        <v>80</v>
      </c>
      <c r="H2471" t="s">
        <v>23</v>
      </c>
      <c r="I2471" t="s">
        <v>24</v>
      </c>
      <c r="J2471" t="s">
        <v>1878</v>
      </c>
      <c r="L2471">
        <v>2</v>
      </c>
      <c r="M2471">
        <v>556000</v>
      </c>
      <c r="N2471">
        <v>2.8</v>
      </c>
      <c r="O2471">
        <v>9</v>
      </c>
      <c r="P2471" t="s">
        <v>26</v>
      </c>
    </row>
    <row r="2472" spans="1:16" x14ac:dyDescent="0.25">
      <c r="A2472" t="s">
        <v>5944</v>
      </c>
      <c r="B2472" t="s">
        <v>1410</v>
      </c>
      <c r="C2472" t="s">
        <v>29</v>
      </c>
      <c r="D2472" t="s">
        <v>50</v>
      </c>
      <c r="E2472" t="s">
        <v>20</v>
      </c>
      <c r="F2472" t="s">
        <v>32</v>
      </c>
      <c r="G2472" t="s">
        <v>33</v>
      </c>
      <c r="H2472" t="s">
        <v>46</v>
      </c>
      <c r="I2472" t="s">
        <v>171</v>
      </c>
      <c r="J2472" t="s">
        <v>1240</v>
      </c>
      <c r="K2472" t="s">
        <v>2100</v>
      </c>
      <c r="L2472">
        <v>2.6</v>
      </c>
      <c r="M2472">
        <v>321000</v>
      </c>
      <c r="N2472">
        <v>2.7</v>
      </c>
      <c r="O2472">
        <v>3</v>
      </c>
      <c r="P2472" t="s">
        <v>114</v>
      </c>
    </row>
    <row r="2473" spans="1:16" x14ac:dyDescent="0.25">
      <c r="A2473" t="s">
        <v>5945</v>
      </c>
      <c r="B2473" t="s">
        <v>5946</v>
      </c>
      <c r="C2473" t="s">
        <v>29</v>
      </c>
      <c r="D2473" t="s">
        <v>30</v>
      </c>
      <c r="E2473" t="s">
        <v>31</v>
      </c>
      <c r="F2473" t="s">
        <v>32</v>
      </c>
      <c r="G2473" t="s">
        <v>22</v>
      </c>
      <c r="H2473" t="s">
        <v>34</v>
      </c>
      <c r="I2473" t="s">
        <v>24</v>
      </c>
      <c r="J2473" t="s">
        <v>1251</v>
      </c>
      <c r="L2473">
        <v>4.0999999999999996</v>
      </c>
      <c r="M2473">
        <v>278000</v>
      </c>
      <c r="N2473">
        <v>3.5</v>
      </c>
      <c r="O2473">
        <v>7</v>
      </c>
      <c r="P2473" t="s">
        <v>26</v>
      </c>
    </row>
    <row r="2474" spans="1:16" x14ac:dyDescent="0.25">
      <c r="A2474" t="s">
        <v>5947</v>
      </c>
      <c r="B2474" t="s">
        <v>5948</v>
      </c>
      <c r="C2474" t="s">
        <v>29</v>
      </c>
      <c r="D2474" t="s">
        <v>30</v>
      </c>
      <c r="F2474" t="s">
        <v>32</v>
      </c>
      <c r="G2474" t="s">
        <v>80</v>
      </c>
      <c r="H2474" t="s">
        <v>34</v>
      </c>
      <c r="I2474" t="s">
        <v>57</v>
      </c>
      <c r="J2474" t="s">
        <v>432</v>
      </c>
      <c r="K2474" t="s">
        <v>1356</v>
      </c>
      <c r="L2474">
        <v>5.9</v>
      </c>
      <c r="M2474">
        <v>261000</v>
      </c>
      <c r="N2474">
        <v>2.7</v>
      </c>
      <c r="O2474">
        <v>8</v>
      </c>
      <c r="P2474" t="s">
        <v>72</v>
      </c>
    </row>
    <row r="2475" spans="1:16" x14ac:dyDescent="0.25">
      <c r="A2475" t="s">
        <v>5949</v>
      </c>
      <c r="B2475" t="s">
        <v>5950</v>
      </c>
      <c r="C2475" t="s">
        <v>18</v>
      </c>
      <c r="D2475" t="s">
        <v>43</v>
      </c>
      <c r="E2475" t="s">
        <v>20</v>
      </c>
      <c r="F2475" t="s">
        <v>32</v>
      </c>
      <c r="G2475" t="s">
        <v>69</v>
      </c>
      <c r="H2475" t="s">
        <v>34</v>
      </c>
      <c r="I2475" t="s">
        <v>75</v>
      </c>
      <c r="J2475" t="s">
        <v>4840</v>
      </c>
      <c r="K2475" t="s">
        <v>5951</v>
      </c>
      <c r="L2475">
        <v>4.5999999999999996</v>
      </c>
      <c r="M2475">
        <v>225000</v>
      </c>
      <c r="N2475">
        <v>2.8</v>
      </c>
      <c r="O2475">
        <v>9</v>
      </c>
      <c r="P2475" t="s">
        <v>53</v>
      </c>
    </row>
    <row r="2476" spans="1:16" x14ac:dyDescent="0.25">
      <c r="A2476" t="s">
        <v>5952</v>
      </c>
      <c r="B2476" t="s">
        <v>5953</v>
      </c>
      <c r="C2476" t="s">
        <v>18</v>
      </c>
      <c r="D2476" t="s">
        <v>43</v>
      </c>
      <c r="E2476" t="s">
        <v>20</v>
      </c>
      <c r="F2476" t="s">
        <v>128</v>
      </c>
      <c r="G2476" t="s">
        <v>33</v>
      </c>
      <c r="H2476" t="s">
        <v>23</v>
      </c>
      <c r="I2476" t="s">
        <v>57</v>
      </c>
      <c r="J2476" t="s">
        <v>5954</v>
      </c>
      <c r="K2476" t="s">
        <v>1534</v>
      </c>
      <c r="L2476">
        <v>5.8</v>
      </c>
      <c r="N2476">
        <v>3.9</v>
      </c>
      <c r="O2476">
        <v>14</v>
      </c>
      <c r="P2476" t="s">
        <v>72</v>
      </c>
    </row>
    <row r="2477" spans="1:16" x14ac:dyDescent="0.25">
      <c r="A2477" t="s">
        <v>5955</v>
      </c>
      <c r="B2477" t="s">
        <v>5956</v>
      </c>
      <c r="D2477" t="s">
        <v>43</v>
      </c>
      <c r="E2477" t="s">
        <v>20</v>
      </c>
      <c r="F2477" t="s">
        <v>21</v>
      </c>
      <c r="G2477" t="s">
        <v>22</v>
      </c>
      <c r="H2477" t="s">
        <v>23</v>
      </c>
      <c r="I2477" t="s">
        <v>24</v>
      </c>
      <c r="J2477" t="s">
        <v>1044</v>
      </c>
      <c r="K2477" t="s">
        <v>5957</v>
      </c>
      <c r="L2477">
        <v>6</v>
      </c>
      <c r="M2477">
        <v>741000</v>
      </c>
      <c r="N2477">
        <v>3.5</v>
      </c>
      <c r="O2477">
        <v>21</v>
      </c>
      <c r="P2477" t="s">
        <v>72</v>
      </c>
    </row>
    <row r="2478" spans="1:16" x14ac:dyDescent="0.25">
      <c r="A2478" t="s">
        <v>5958</v>
      </c>
      <c r="B2478" t="s">
        <v>5959</v>
      </c>
      <c r="D2478" t="s">
        <v>30</v>
      </c>
      <c r="E2478" t="s">
        <v>20</v>
      </c>
      <c r="F2478" t="s">
        <v>39</v>
      </c>
      <c r="G2478" t="s">
        <v>22</v>
      </c>
      <c r="H2478" t="s">
        <v>62</v>
      </c>
      <c r="I2478" t="s">
        <v>24</v>
      </c>
      <c r="J2478" t="s">
        <v>1243</v>
      </c>
      <c r="L2478">
        <v>1.8</v>
      </c>
      <c r="M2478">
        <v>96000</v>
      </c>
      <c r="N2478">
        <v>2.4</v>
      </c>
      <c r="O2478">
        <v>7</v>
      </c>
      <c r="P2478" t="s">
        <v>26</v>
      </c>
    </row>
    <row r="2479" spans="1:16" x14ac:dyDescent="0.25">
      <c r="A2479" t="s">
        <v>5960</v>
      </c>
      <c r="B2479" t="s">
        <v>3469</v>
      </c>
      <c r="C2479" t="s">
        <v>29</v>
      </c>
      <c r="E2479" t="s">
        <v>20</v>
      </c>
      <c r="F2479" t="s">
        <v>39</v>
      </c>
      <c r="G2479" t="s">
        <v>80</v>
      </c>
      <c r="I2479" t="s">
        <v>57</v>
      </c>
      <c r="J2479" t="s">
        <v>5961</v>
      </c>
      <c r="L2479">
        <v>5.4</v>
      </c>
      <c r="M2479">
        <v>140000</v>
      </c>
      <c r="N2479">
        <v>3.1</v>
      </c>
      <c r="O2479">
        <v>2</v>
      </c>
      <c r="P2479" t="s">
        <v>26</v>
      </c>
    </row>
    <row r="2480" spans="1:16" x14ac:dyDescent="0.25">
      <c r="A2480" t="s">
        <v>5962</v>
      </c>
      <c r="B2480" t="s">
        <v>5963</v>
      </c>
      <c r="C2480" t="s">
        <v>29</v>
      </c>
      <c r="D2480" t="s">
        <v>30</v>
      </c>
      <c r="E2480" t="s">
        <v>20</v>
      </c>
      <c r="F2480" t="s">
        <v>39</v>
      </c>
      <c r="G2480" t="s">
        <v>33</v>
      </c>
      <c r="H2480" t="s">
        <v>34</v>
      </c>
      <c r="I2480" t="s">
        <v>57</v>
      </c>
      <c r="J2480" t="s">
        <v>1477</v>
      </c>
      <c r="L2480">
        <v>5.6</v>
      </c>
      <c r="M2480">
        <v>100000</v>
      </c>
      <c r="N2480">
        <v>3.1</v>
      </c>
      <c r="O2480">
        <v>12</v>
      </c>
      <c r="P2480" t="s">
        <v>26</v>
      </c>
    </row>
    <row r="2481" spans="1:16" x14ac:dyDescent="0.25">
      <c r="A2481" t="s">
        <v>5964</v>
      </c>
      <c r="B2481" t="s">
        <v>2815</v>
      </c>
      <c r="C2481" t="s">
        <v>29</v>
      </c>
      <c r="D2481" t="s">
        <v>19</v>
      </c>
      <c r="E2481" t="s">
        <v>44</v>
      </c>
      <c r="F2481" t="s">
        <v>39</v>
      </c>
      <c r="G2481" t="s">
        <v>80</v>
      </c>
      <c r="H2481" t="s">
        <v>46</v>
      </c>
      <c r="I2481" t="s">
        <v>57</v>
      </c>
      <c r="J2481" t="s">
        <v>5965</v>
      </c>
      <c r="K2481" t="s">
        <v>755</v>
      </c>
      <c r="L2481">
        <v>6</v>
      </c>
      <c r="M2481">
        <v>177000</v>
      </c>
      <c r="N2481">
        <v>4.3</v>
      </c>
      <c r="O2481">
        <v>8</v>
      </c>
      <c r="P2481" t="s">
        <v>53</v>
      </c>
    </row>
    <row r="2482" spans="1:16" x14ac:dyDescent="0.25">
      <c r="A2482" t="s">
        <v>5966</v>
      </c>
      <c r="B2482" t="s">
        <v>201</v>
      </c>
      <c r="C2482" t="s">
        <v>18</v>
      </c>
      <c r="D2482" t="s">
        <v>79</v>
      </c>
      <c r="E2482" t="s">
        <v>20</v>
      </c>
      <c r="F2482" t="s">
        <v>128</v>
      </c>
      <c r="G2482" t="s">
        <v>33</v>
      </c>
      <c r="I2482" t="s">
        <v>35</v>
      </c>
      <c r="J2482" t="s">
        <v>338</v>
      </c>
      <c r="L2482">
        <v>4.3</v>
      </c>
      <c r="M2482">
        <v>515000</v>
      </c>
      <c r="O2482">
        <v>13</v>
      </c>
      <c r="P2482" t="s">
        <v>26</v>
      </c>
    </row>
    <row r="2483" spans="1:16" x14ac:dyDescent="0.25">
      <c r="A2483" t="s">
        <v>5967</v>
      </c>
      <c r="B2483" t="s">
        <v>5968</v>
      </c>
      <c r="C2483" t="s">
        <v>18</v>
      </c>
      <c r="D2483" t="s">
        <v>30</v>
      </c>
      <c r="E2483" t="s">
        <v>31</v>
      </c>
      <c r="F2483" t="s">
        <v>39</v>
      </c>
      <c r="G2483" t="s">
        <v>33</v>
      </c>
      <c r="H2483" t="s">
        <v>62</v>
      </c>
      <c r="I2483" t="s">
        <v>35</v>
      </c>
      <c r="J2483" t="s">
        <v>4786</v>
      </c>
      <c r="K2483" t="s">
        <v>745</v>
      </c>
      <c r="L2483">
        <v>1.5</v>
      </c>
      <c r="M2483">
        <v>148000</v>
      </c>
      <c r="N2483">
        <v>2.1</v>
      </c>
      <c r="O2483">
        <v>3</v>
      </c>
      <c r="P2483" t="s">
        <v>53</v>
      </c>
    </row>
    <row r="2484" spans="1:16" x14ac:dyDescent="0.25">
      <c r="A2484" t="s">
        <v>5969</v>
      </c>
      <c r="B2484" t="s">
        <v>1403</v>
      </c>
      <c r="D2484" t="s">
        <v>30</v>
      </c>
      <c r="E2484" t="s">
        <v>20</v>
      </c>
      <c r="F2484" t="s">
        <v>39</v>
      </c>
      <c r="G2484" t="s">
        <v>22</v>
      </c>
      <c r="H2484" t="s">
        <v>34</v>
      </c>
      <c r="I2484" t="s">
        <v>24</v>
      </c>
      <c r="J2484" t="s">
        <v>5790</v>
      </c>
      <c r="L2484">
        <v>5.5</v>
      </c>
      <c r="M2484">
        <v>88000</v>
      </c>
      <c r="O2484">
        <v>13</v>
      </c>
      <c r="P2484" t="s">
        <v>26</v>
      </c>
    </row>
    <row r="2485" spans="1:16" x14ac:dyDescent="0.25">
      <c r="A2485" t="s">
        <v>5970</v>
      </c>
      <c r="B2485" t="s">
        <v>1635</v>
      </c>
      <c r="C2485" t="s">
        <v>29</v>
      </c>
      <c r="E2485" t="s">
        <v>31</v>
      </c>
      <c r="F2485" t="s">
        <v>32</v>
      </c>
      <c r="G2485" t="s">
        <v>80</v>
      </c>
      <c r="H2485" t="s">
        <v>46</v>
      </c>
      <c r="I2485" t="s">
        <v>24</v>
      </c>
      <c r="J2485" t="s">
        <v>670</v>
      </c>
      <c r="K2485" t="s">
        <v>5971</v>
      </c>
      <c r="L2485">
        <v>4.7</v>
      </c>
      <c r="M2485">
        <v>260000</v>
      </c>
      <c r="N2485">
        <v>3.1</v>
      </c>
      <c r="O2485">
        <v>12</v>
      </c>
      <c r="P2485" t="s">
        <v>53</v>
      </c>
    </row>
    <row r="2486" spans="1:16" x14ac:dyDescent="0.25">
      <c r="A2486" t="s">
        <v>5972</v>
      </c>
      <c r="B2486" t="s">
        <v>161</v>
      </c>
      <c r="C2486" t="s">
        <v>18</v>
      </c>
      <c r="D2486" t="s">
        <v>79</v>
      </c>
      <c r="E2486" t="s">
        <v>31</v>
      </c>
      <c r="F2486" t="s">
        <v>32</v>
      </c>
      <c r="G2486" t="s">
        <v>33</v>
      </c>
      <c r="H2486" t="s">
        <v>46</v>
      </c>
      <c r="I2486" t="s">
        <v>75</v>
      </c>
      <c r="J2486" t="s">
        <v>5585</v>
      </c>
      <c r="K2486" t="s">
        <v>5973</v>
      </c>
      <c r="L2486">
        <v>4.9000000000000004</v>
      </c>
      <c r="M2486">
        <v>333000</v>
      </c>
      <c r="N2486">
        <v>2.8</v>
      </c>
      <c r="O2486">
        <v>10</v>
      </c>
      <c r="P2486" t="s">
        <v>72</v>
      </c>
    </row>
    <row r="2487" spans="1:16" x14ac:dyDescent="0.25">
      <c r="A2487" t="s">
        <v>5974</v>
      </c>
      <c r="B2487" t="s">
        <v>5975</v>
      </c>
      <c r="C2487" t="s">
        <v>18</v>
      </c>
      <c r="D2487" t="s">
        <v>50</v>
      </c>
      <c r="E2487" t="s">
        <v>31</v>
      </c>
      <c r="F2487" t="s">
        <v>39</v>
      </c>
      <c r="G2487" t="s">
        <v>22</v>
      </c>
      <c r="H2487" t="s">
        <v>34</v>
      </c>
      <c r="I2487" t="s">
        <v>75</v>
      </c>
      <c r="J2487" t="s">
        <v>5091</v>
      </c>
      <c r="L2487">
        <v>2.6</v>
      </c>
      <c r="M2487">
        <v>142000</v>
      </c>
      <c r="N2487">
        <v>2.4</v>
      </c>
      <c r="O2487">
        <v>10</v>
      </c>
      <c r="P2487" t="s">
        <v>26</v>
      </c>
    </row>
    <row r="2488" spans="1:16" x14ac:dyDescent="0.25">
      <c r="A2488" t="s">
        <v>5976</v>
      </c>
      <c r="B2488" t="s">
        <v>5038</v>
      </c>
      <c r="C2488" t="s">
        <v>18</v>
      </c>
      <c r="D2488" t="s">
        <v>79</v>
      </c>
      <c r="E2488" t="s">
        <v>44</v>
      </c>
      <c r="F2488" t="s">
        <v>39</v>
      </c>
      <c r="G2488" t="s">
        <v>22</v>
      </c>
      <c r="H2488" t="s">
        <v>62</v>
      </c>
      <c r="I2488" t="s">
        <v>57</v>
      </c>
      <c r="J2488" t="s">
        <v>5977</v>
      </c>
      <c r="L2488">
        <v>4.3</v>
      </c>
      <c r="M2488">
        <v>90000</v>
      </c>
      <c r="N2488">
        <v>3.3</v>
      </c>
      <c r="O2488">
        <v>6</v>
      </c>
      <c r="P2488" t="s">
        <v>26</v>
      </c>
    </row>
    <row r="2489" spans="1:16" x14ac:dyDescent="0.25">
      <c r="A2489" t="s">
        <v>5978</v>
      </c>
      <c r="B2489" t="s">
        <v>5125</v>
      </c>
      <c r="C2489" t="s">
        <v>29</v>
      </c>
      <c r="D2489" t="s">
        <v>50</v>
      </c>
      <c r="E2489" t="s">
        <v>20</v>
      </c>
      <c r="G2489" t="s">
        <v>33</v>
      </c>
      <c r="I2489" t="s">
        <v>57</v>
      </c>
      <c r="J2489" t="s">
        <v>2255</v>
      </c>
      <c r="L2489">
        <v>2.2000000000000002</v>
      </c>
      <c r="M2489">
        <v>458000</v>
      </c>
      <c r="N2489">
        <v>2.9</v>
      </c>
      <c r="O2489">
        <v>39</v>
      </c>
      <c r="P2489" t="s">
        <v>26</v>
      </c>
    </row>
    <row r="2490" spans="1:16" x14ac:dyDescent="0.25">
      <c r="A2490" t="s">
        <v>5979</v>
      </c>
      <c r="B2490" t="s">
        <v>350</v>
      </c>
      <c r="C2490" t="s">
        <v>29</v>
      </c>
      <c r="D2490" t="s">
        <v>50</v>
      </c>
      <c r="E2490" t="s">
        <v>20</v>
      </c>
      <c r="F2490" t="s">
        <v>45</v>
      </c>
      <c r="G2490" t="s">
        <v>22</v>
      </c>
      <c r="H2490" t="s">
        <v>23</v>
      </c>
      <c r="I2490" t="s">
        <v>171</v>
      </c>
      <c r="J2490" t="s">
        <v>2239</v>
      </c>
      <c r="L2490">
        <v>5.5</v>
      </c>
      <c r="M2490">
        <v>1302000</v>
      </c>
      <c r="N2490">
        <v>3.1</v>
      </c>
      <c r="O2490">
        <v>12</v>
      </c>
      <c r="P2490" t="s">
        <v>26</v>
      </c>
    </row>
    <row r="2491" spans="1:16" x14ac:dyDescent="0.25">
      <c r="A2491" t="s">
        <v>5980</v>
      </c>
      <c r="B2491" t="s">
        <v>2875</v>
      </c>
      <c r="C2491" t="s">
        <v>18</v>
      </c>
      <c r="D2491" t="s">
        <v>79</v>
      </c>
      <c r="F2491" t="s">
        <v>128</v>
      </c>
      <c r="G2491" t="s">
        <v>69</v>
      </c>
      <c r="H2491" t="s">
        <v>46</v>
      </c>
      <c r="I2491" t="s">
        <v>24</v>
      </c>
      <c r="J2491" t="s">
        <v>2689</v>
      </c>
      <c r="K2491" t="s">
        <v>1606</v>
      </c>
      <c r="L2491">
        <v>4.7</v>
      </c>
      <c r="M2491">
        <v>558000</v>
      </c>
      <c r="N2491">
        <v>3.9</v>
      </c>
      <c r="O2491">
        <v>12</v>
      </c>
      <c r="P2491" t="s">
        <v>72</v>
      </c>
    </row>
    <row r="2492" spans="1:16" x14ac:dyDescent="0.25">
      <c r="A2492" t="s">
        <v>5981</v>
      </c>
      <c r="B2492" t="s">
        <v>4277</v>
      </c>
      <c r="C2492" t="s">
        <v>18</v>
      </c>
      <c r="D2492" t="s">
        <v>43</v>
      </c>
      <c r="E2492" t="s">
        <v>44</v>
      </c>
      <c r="F2492" t="s">
        <v>21</v>
      </c>
      <c r="G2492" t="s">
        <v>80</v>
      </c>
      <c r="H2492" t="s">
        <v>34</v>
      </c>
      <c r="I2492" t="s">
        <v>35</v>
      </c>
      <c r="J2492" t="s">
        <v>192</v>
      </c>
      <c r="K2492" t="s">
        <v>5982</v>
      </c>
      <c r="L2492">
        <v>2.2000000000000002</v>
      </c>
      <c r="M2492">
        <v>600000</v>
      </c>
      <c r="N2492">
        <v>3.6</v>
      </c>
      <c r="O2492">
        <v>8</v>
      </c>
      <c r="P2492" t="s">
        <v>53</v>
      </c>
    </row>
    <row r="2493" spans="1:16" x14ac:dyDescent="0.25">
      <c r="A2493" t="s">
        <v>5983</v>
      </c>
      <c r="B2493" t="s">
        <v>5984</v>
      </c>
      <c r="C2493" t="s">
        <v>18</v>
      </c>
      <c r="D2493" t="s">
        <v>79</v>
      </c>
      <c r="E2493" t="s">
        <v>20</v>
      </c>
      <c r="F2493" t="s">
        <v>128</v>
      </c>
      <c r="G2493" t="s">
        <v>80</v>
      </c>
      <c r="H2493" t="s">
        <v>23</v>
      </c>
      <c r="I2493" t="s">
        <v>24</v>
      </c>
      <c r="J2493" t="s">
        <v>1993</v>
      </c>
      <c r="L2493">
        <v>5.9</v>
      </c>
      <c r="M2493">
        <v>473000</v>
      </c>
      <c r="N2493">
        <v>2.2000000000000002</v>
      </c>
      <c r="O2493">
        <v>8</v>
      </c>
      <c r="P2493" t="s">
        <v>26</v>
      </c>
    </row>
    <row r="2494" spans="1:16" x14ac:dyDescent="0.25">
      <c r="A2494" t="s">
        <v>5985</v>
      </c>
      <c r="B2494" t="s">
        <v>2371</v>
      </c>
      <c r="C2494" t="s">
        <v>29</v>
      </c>
      <c r="D2494" t="s">
        <v>30</v>
      </c>
      <c r="E2494" t="s">
        <v>31</v>
      </c>
      <c r="F2494" t="s">
        <v>21</v>
      </c>
      <c r="G2494" t="s">
        <v>69</v>
      </c>
      <c r="H2494" t="s">
        <v>34</v>
      </c>
      <c r="I2494" t="s">
        <v>24</v>
      </c>
      <c r="J2494" t="s">
        <v>3129</v>
      </c>
      <c r="K2494" t="s">
        <v>84</v>
      </c>
      <c r="L2494">
        <v>4.5</v>
      </c>
      <c r="M2494">
        <v>894000</v>
      </c>
      <c r="N2494">
        <v>5</v>
      </c>
      <c r="O2494">
        <v>9</v>
      </c>
      <c r="P2494" t="s">
        <v>114</v>
      </c>
    </row>
    <row r="2495" spans="1:16" x14ac:dyDescent="0.25">
      <c r="A2495" t="s">
        <v>4704</v>
      </c>
      <c r="B2495" t="s">
        <v>1024</v>
      </c>
      <c r="C2495" t="s">
        <v>29</v>
      </c>
      <c r="D2495" t="s">
        <v>30</v>
      </c>
      <c r="E2495" t="s">
        <v>20</v>
      </c>
      <c r="F2495" t="s">
        <v>32</v>
      </c>
      <c r="G2495" t="s">
        <v>80</v>
      </c>
      <c r="H2495" t="s">
        <v>34</v>
      </c>
      <c r="I2495" t="s">
        <v>24</v>
      </c>
      <c r="J2495" t="s">
        <v>1857</v>
      </c>
      <c r="K2495" t="s">
        <v>4705</v>
      </c>
      <c r="L2495">
        <v>4.5999999999999996</v>
      </c>
      <c r="M2495">
        <v>243000</v>
      </c>
      <c r="N2495">
        <v>2.2999999999999998</v>
      </c>
      <c r="O2495">
        <v>40</v>
      </c>
      <c r="P2495" t="s">
        <v>72</v>
      </c>
    </row>
    <row r="2496" spans="1:16" x14ac:dyDescent="0.25">
      <c r="A2496" t="s">
        <v>5986</v>
      </c>
      <c r="B2496" t="s">
        <v>4082</v>
      </c>
      <c r="C2496" t="s">
        <v>29</v>
      </c>
      <c r="D2496" t="s">
        <v>19</v>
      </c>
      <c r="E2496" t="s">
        <v>20</v>
      </c>
      <c r="F2496" t="s">
        <v>32</v>
      </c>
      <c r="G2496" t="s">
        <v>80</v>
      </c>
      <c r="H2496" t="s">
        <v>34</v>
      </c>
      <c r="I2496" t="s">
        <v>75</v>
      </c>
      <c r="J2496" t="s">
        <v>5987</v>
      </c>
      <c r="K2496" t="s">
        <v>3158</v>
      </c>
      <c r="L2496">
        <v>5.6</v>
      </c>
      <c r="M2496">
        <v>334000</v>
      </c>
      <c r="N2496">
        <v>3.5</v>
      </c>
      <c r="O2496">
        <v>11</v>
      </c>
      <c r="P2496" t="s">
        <v>72</v>
      </c>
    </row>
    <row r="2497" spans="1:16" x14ac:dyDescent="0.25">
      <c r="A2497" t="s">
        <v>5988</v>
      </c>
      <c r="B2497" t="s">
        <v>5989</v>
      </c>
      <c r="E2497" t="s">
        <v>20</v>
      </c>
      <c r="F2497" t="s">
        <v>39</v>
      </c>
      <c r="G2497" t="s">
        <v>22</v>
      </c>
      <c r="H2497" t="s">
        <v>62</v>
      </c>
      <c r="I2497" t="s">
        <v>24</v>
      </c>
      <c r="J2497" t="s">
        <v>5990</v>
      </c>
      <c r="L2497">
        <v>1.8</v>
      </c>
      <c r="M2497">
        <v>120000</v>
      </c>
      <c r="N2497">
        <v>3.8</v>
      </c>
      <c r="O2497">
        <v>2</v>
      </c>
      <c r="P2497" t="s">
        <v>26</v>
      </c>
    </row>
    <row r="2498" spans="1:16" x14ac:dyDescent="0.25">
      <c r="A2498" t="s">
        <v>5991</v>
      </c>
      <c r="B2498" t="s">
        <v>1566</v>
      </c>
      <c r="C2498" t="s">
        <v>18</v>
      </c>
      <c r="D2498" t="s">
        <v>43</v>
      </c>
      <c r="E2498" t="s">
        <v>20</v>
      </c>
      <c r="F2498" t="s">
        <v>39</v>
      </c>
      <c r="G2498" t="s">
        <v>69</v>
      </c>
      <c r="H2498" t="s">
        <v>23</v>
      </c>
      <c r="J2498" t="s">
        <v>3664</v>
      </c>
      <c r="K2498" t="s">
        <v>2896</v>
      </c>
      <c r="L2498">
        <v>3.6</v>
      </c>
      <c r="M2498">
        <v>102000</v>
      </c>
      <c r="N2498">
        <v>3.1</v>
      </c>
      <c r="O2498">
        <v>13</v>
      </c>
      <c r="P2498" t="s">
        <v>72</v>
      </c>
    </row>
    <row r="2499" spans="1:16" x14ac:dyDescent="0.25">
      <c r="A2499" t="s">
        <v>5992</v>
      </c>
      <c r="B2499" t="s">
        <v>4277</v>
      </c>
      <c r="C2499" t="s">
        <v>18</v>
      </c>
      <c r="D2499" t="s">
        <v>30</v>
      </c>
      <c r="E2499" t="s">
        <v>20</v>
      </c>
      <c r="F2499" t="s">
        <v>39</v>
      </c>
      <c r="G2499" t="s">
        <v>69</v>
      </c>
      <c r="I2499" t="s">
        <v>57</v>
      </c>
      <c r="J2499" t="s">
        <v>3622</v>
      </c>
      <c r="K2499" t="s">
        <v>3098</v>
      </c>
      <c r="L2499">
        <v>4</v>
      </c>
      <c r="M2499">
        <v>172000</v>
      </c>
      <c r="N2499">
        <v>1.6</v>
      </c>
      <c r="O2499">
        <v>11</v>
      </c>
      <c r="P2499" t="s">
        <v>53</v>
      </c>
    </row>
    <row r="2500" spans="1:16" x14ac:dyDescent="0.25">
      <c r="A2500" t="s">
        <v>5993</v>
      </c>
      <c r="B2500" t="s">
        <v>5994</v>
      </c>
      <c r="C2500" t="s">
        <v>29</v>
      </c>
      <c r="D2500" t="s">
        <v>43</v>
      </c>
      <c r="E2500" t="s">
        <v>44</v>
      </c>
      <c r="F2500" t="s">
        <v>32</v>
      </c>
      <c r="G2500" t="s">
        <v>22</v>
      </c>
      <c r="H2500" t="s">
        <v>23</v>
      </c>
      <c r="I2500" t="s">
        <v>24</v>
      </c>
      <c r="J2500" t="s">
        <v>2686</v>
      </c>
      <c r="L2500">
        <v>5.9</v>
      </c>
      <c r="M2500">
        <v>322000</v>
      </c>
      <c r="N2500">
        <v>3.4</v>
      </c>
      <c r="O2500">
        <v>34</v>
      </c>
      <c r="P2500" t="s">
        <v>26</v>
      </c>
    </row>
    <row r="2501" spans="1:16" x14ac:dyDescent="0.25">
      <c r="A2501" t="s">
        <v>5995</v>
      </c>
      <c r="B2501" t="s">
        <v>5996</v>
      </c>
      <c r="C2501" t="s">
        <v>18</v>
      </c>
      <c r="D2501" t="s">
        <v>30</v>
      </c>
      <c r="E2501" t="s">
        <v>20</v>
      </c>
      <c r="F2501" t="s">
        <v>32</v>
      </c>
      <c r="G2501" t="s">
        <v>22</v>
      </c>
      <c r="H2501" t="s">
        <v>46</v>
      </c>
      <c r="I2501" t="s">
        <v>57</v>
      </c>
      <c r="J2501" t="s">
        <v>2600</v>
      </c>
      <c r="K2501" t="s">
        <v>5997</v>
      </c>
      <c r="L2501">
        <v>3</v>
      </c>
      <c r="M2501">
        <v>292000</v>
      </c>
      <c r="N2501">
        <v>2.5</v>
      </c>
      <c r="O2501">
        <v>19</v>
      </c>
      <c r="P2501" t="s">
        <v>114</v>
      </c>
    </row>
    <row r="2502" spans="1:16" x14ac:dyDescent="0.25">
      <c r="A2502" t="s">
        <v>5998</v>
      </c>
      <c r="B2502" t="s">
        <v>3934</v>
      </c>
      <c r="C2502" t="s">
        <v>29</v>
      </c>
      <c r="D2502" t="s">
        <v>50</v>
      </c>
      <c r="F2502" t="s">
        <v>39</v>
      </c>
      <c r="G2502" t="s">
        <v>22</v>
      </c>
      <c r="H2502" t="s">
        <v>23</v>
      </c>
      <c r="I2502" t="s">
        <v>57</v>
      </c>
      <c r="J2502" t="s">
        <v>1418</v>
      </c>
      <c r="L2502">
        <v>5.0999999999999996</v>
      </c>
      <c r="N2502">
        <v>2.5</v>
      </c>
      <c r="O2502">
        <v>13</v>
      </c>
      <c r="P2502" t="s">
        <v>26</v>
      </c>
    </row>
    <row r="2503" spans="1:16" x14ac:dyDescent="0.25">
      <c r="A2503" t="s">
        <v>5999</v>
      </c>
      <c r="B2503" t="s">
        <v>695</v>
      </c>
      <c r="C2503" t="s">
        <v>18</v>
      </c>
      <c r="D2503" t="s">
        <v>79</v>
      </c>
      <c r="E2503" t="s">
        <v>20</v>
      </c>
      <c r="F2503" t="s">
        <v>21</v>
      </c>
      <c r="G2503" t="s">
        <v>69</v>
      </c>
      <c r="I2503" t="s">
        <v>24</v>
      </c>
      <c r="J2503" t="s">
        <v>3256</v>
      </c>
      <c r="L2503">
        <v>2.6</v>
      </c>
      <c r="M2503">
        <v>756000</v>
      </c>
      <c r="N2503">
        <v>3.6</v>
      </c>
      <c r="O2503">
        <v>32</v>
      </c>
      <c r="P2503" t="s">
        <v>26</v>
      </c>
    </row>
    <row r="2504" spans="1:16" x14ac:dyDescent="0.25">
      <c r="A2504" t="s">
        <v>6000</v>
      </c>
      <c r="B2504" t="s">
        <v>3578</v>
      </c>
      <c r="C2504" t="s">
        <v>18</v>
      </c>
      <c r="D2504" t="s">
        <v>30</v>
      </c>
      <c r="E2504" t="s">
        <v>20</v>
      </c>
      <c r="F2504" t="s">
        <v>39</v>
      </c>
      <c r="G2504" t="s">
        <v>33</v>
      </c>
      <c r="H2504" t="s">
        <v>46</v>
      </c>
      <c r="I2504" t="s">
        <v>24</v>
      </c>
      <c r="J2504" t="s">
        <v>3647</v>
      </c>
      <c r="K2504" t="s">
        <v>4014</v>
      </c>
      <c r="L2504">
        <v>1.5</v>
      </c>
      <c r="M2504">
        <v>162000</v>
      </c>
      <c r="N2504">
        <v>2.5</v>
      </c>
      <c r="O2504">
        <v>40</v>
      </c>
      <c r="P2504" t="s">
        <v>114</v>
      </c>
    </row>
    <row r="2505" spans="1:16" x14ac:dyDescent="0.25">
      <c r="A2505" t="s">
        <v>6001</v>
      </c>
      <c r="B2505" t="s">
        <v>6002</v>
      </c>
      <c r="D2505" t="s">
        <v>50</v>
      </c>
      <c r="E2505" t="s">
        <v>20</v>
      </c>
      <c r="F2505" t="s">
        <v>39</v>
      </c>
      <c r="G2505" t="s">
        <v>69</v>
      </c>
      <c r="I2505" t="s">
        <v>35</v>
      </c>
      <c r="J2505" t="s">
        <v>3330</v>
      </c>
      <c r="L2505">
        <v>1.4</v>
      </c>
      <c r="M2505">
        <v>160000</v>
      </c>
      <c r="N2505">
        <v>4.7</v>
      </c>
      <c r="O2505">
        <v>2</v>
      </c>
      <c r="P2505" t="s">
        <v>26</v>
      </c>
    </row>
    <row r="2506" spans="1:16" x14ac:dyDescent="0.25">
      <c r="A2506" t="s">
        <v>6003</v>
      </c>
      <c r="B2506" t="s">
        <v>86</v>
      </c>
      <c r="D2506" t="s">
        <v>50</v>
      </c>
      <c r="E2506" t="s">
        <v>44</v>
      </c>
      <c r="F2506" t="s">
        <v>39</v>
      </c>
      <c r="G2506" t="s">
        <v>22</v>
      </c>
      <c r="H2506" t="s">
        <v>23</v>
      </c>
      <c r="I2506" t="s">
        <v>57</v>
      </c>
      <c r="J2506" t="s">
        <v>2110</v>
      </c>
      <c r="L2506">
        <v>5.8</v>
      </c>
      <c r="M2506" t="s">
        <v>6004</v>
      </c>
      <c r="N2506">
        <v>4.4000000000000004</v>
      </c>
      <c r="O2506">
        <v>0</v>
      </c>
      <c r="P2506" t="s">
        <v>26</v>
      </c>
    </row>
    <row r="2507" spans="1:16" x14ac:dyDescent="0.25">
      <c r="A2507" t="s">
        <v>6005</v>
      </c>
      <c r="B2507" t="s">
        <v>6006</v>
      </c>
      <c r="C2507" t="s">
        <v>18</v>
      </c>
      <c r="D2507" t="s">
        <v>30</v>
      </c>
      <c r="E2507" t="s">
        <v>20</v>
      </c>
      <c r="F2507" t="s">
        <v>39</v>
      </c>
      <c r="G2507" t="s">
        <v>80</v>
      </c>
      <c r="H2507" t="s">
        <v>34</v>
      </c>
      <c r="I2507" t="s">
        <v>75</v>
      </c>
      <c r="J2507" t="s">
        <v>2893</v>
      </c>
      <c r="L2507">
        <v>5.7</v>
      </c>
      <c r="M2507">
        <v>133000</v>
      </c>
      <c r="O2507">
        <v>24</v>
      </c>
      <c r="P2507" t="s">
        <v>26</v>
      </c>
    </row>
    <row r="2508" spans="1:16" x14ac:dyDescent="0.25">
      <c r="A2508" t="s">
        <v>6007</v>
      </c>
      <c r="B2508" t="s">
        <v>6008</v>
      </c>
      <c r="C2508" t="s">
        <v>29</v>
      </c>
      <c r="D2508" t="s">
        <v>30</v>
      </c>
      <c r="E2508" t="s">
        <v>20</v>
      </c>
      <c r="F2508" t="s">
        <v>21</v>
      </c>
      <c r="G2508" t="s">
        <v>22</v>
      </c>
      <c r="H2508" t="s">
        <v>46</v>
      </c>
      <c r="I2508" t="s">
        <v>35</v>
      </c>
      <c r="J2508" t="s">
        <v>888</v>
      </c>
      <c r="K2508" t="s">
        <v>1119</v>
      </c>
      <c r="L2508">
        <v>2.8</v>
      </c>
      <c r="M2508">
        <v>668000</v>
      </c>
      <c r="N2508">
        <v>4.5999999999999996</v>
      </c>
      <c r="O2508">
        <v>7</v>
      </c>
      <c r="P2508" t="s">
        <v>72</v>
      </c>
    </row>
    <row r="2509" spans="1:16" x14ac:dyDescent="0.25">
      <c r="A2509" t="s">
        <v>6009</v>
      </c>
      <c r="B2509" t="s">
        <v>6010</v>
      </c>
      <c r="C2509" t="s">
        <v>29</v>
      </c>
      <c r="D2509" t="s">
        <v>43</v>
      </c>
      <c r="E2509" t="s">
        <v>20</v>
      </c>
      <c r="G2509" t="s">
        <v>22</v>
      </c>
      <c r="H2509" t="s">
        <v>23</v>
      </c>
      <c r="I2509" t="s">
        <v>24</v>
      </c>
      <c r="J2509" t="s">
        <v>6011</v>
      </c>
      <c r="L2509">
        <v>4.9000000000000004</v>
      </c>
      <c r="N2509">
        <v>3.4</v>
      </c>
      <c r="O2509">
        <v>33</v>
      </c>
      <c r="P2509" t="s">
        <v>26</v>
      </c>
    </row>
    <row r="2510" spans="1:16" x14ac:dyDescent="0.25">
      <c r="A2510" t="s">
        <v>6012</v>
      </c>
      <c r="B2510" t="s">
        <v>6013</v>
      </c>
      <c r="C2510" t="s">
        <v>18</v>
      </c>
      <c r="E2510" t="s">
        <v>20</v>
      </c>
      <c r="F2510" t="s">
        <v>39</v>
      </c>
      <c r="G2510" t="s">
        <v>22</v>
      </c>
      <c r="H2510" t="s">
        <v>34</v>
      </c>
      <c r="I2510" t="s">
        <v>57</v>
      </c>
      <c r="J2510" t="s">
        <v>1145</v>
      </c>
      <c r="L2510">
        <v>2.1</v>
      </c>
      <c r="M2510">
        <v>141000</v>
      </c>
      <c r="N2510">
        <v>2.2000000000000002</v>
      </c>
      <c r="P2510" t="s">
        <v>26</v>
      </c>
    </row>
    <row r="2511" spans="1:16" x14ac:dyDescent="0.25">
      <c r="A2511" t="s">
        <v>6014</v>
      </c>
      <c r="B2511" t="s">
        <v>6015</v>
      </c>
      <c r="C2511" t="s">
        <v>18</v>
      </c>
      <c r="D2511" t="s">
        <v>50</v>
      </c>
      <c r="E2511" t="s">
        <v>31</v>
      </c>
      <c r="G2511" t="s">
        <v>80</v>
      </c>
      <c r="H2511" t="s">
        <v>62</v>
      </c>
      <c r="I2511" t="s">
        <v>24</v>
      </c>
      <c r="J2511" t="s">
        <v>2342</v>
      </c>
      <c r="L2511">
        <v>2</v>
      </c>
      <c r="M2511">
        <v>336000</v>
      </c>
      <c r="N2511">
        <v>3.2</v>
      </c>
      <c r="O2511">
        <v>14</v>
      </c>
      <c r="P2511" t="s">
        <v>26</v>
      </c>
    </row>
    <row r="2512" spans="1:16" x14ac:dyDescent="0.25">
      <c r="A2512" t="s">
        <v>6016</v>
      </c>
      <c r="B2512" t="s">
        <v>65</v>
      </c>
      <c r="C2512" t="s">
        <v>18</v>
      </c>
      <c r="D2512" t="s">
        <v>30</v>
      </c>
      <c r="E2512" t="s">
        <v>20</v>
      </c>
      <c r="F2512" t="s">
        <v>32</v>
      </c>
      <c r="G2512" t="s">
        <v>80</v>
      </c>
      <c r="H2512" t="s">
        <v>34</v>
      </c>
      <c r="I2512" t="s">
        <v>35</v>
      </c>
      <c r="J2512" t="s">
        <v>4880</v>
      </c>
      <c r="L2512">
        <v>6.1</v>
      </c>
      <c r="M2512">
        <v>229000</v>
      </c>
      <c r="N2512">
        <v>2.7</v>
      </c>
      <c r="O2512">
        <v>27</v>
      </c>
      <c r="P2512" t="s">
        <v>26</v>
      </c>
    </row>
    <row r="2513" spans="1:16" x14ac:dyDescent="0.25">
      <c r="A2513" t="s">
        <v>6017</v>
      </c>
      <c r="B2513" t="s">
        <v>5881</v>
      </c>
      <c r="C2513" t="s">
        <v>18</v>
      </c>
      <c r="D2513" t="s">
        <v>50</v>
      </c>
      <c r="E2513" t="s">
        <v>20</v>
      </c>
      <c r="F2513" t="s">
        <v>32</v>
      </c>
      <c r="G2513" t="s">
        <v>22</v>
      </c>
      <c r="H2513" t="s">
        <v>62</v>
      </c>
      <c r="I2513" t="s">
        <v>35</v>
      </c>
      <c r="J2513" t="s">
        <v>6018</v>
      </c>
      <c r="K2513" t="s">
        <v>1795</v>
      </c>
      <c r="L2513">
        <v>6.2</v>
      </c>
      <c r="M2513">
        <v>343000</v>
      </c>
      <c r="N2513">
        <v>3.7</v>
      </c>
      <c r="O2513">
        <v>4</v>
      </c>
      <c r="P2513" t="s">
        <v>53</v>
      </c>
    </row>
    <row r="2514" spans="1:16" x14ac:dyDescent="0.25">
      <c r="A2514" t="s">
        <v>6019</v>
      </c>
      <c r="B2514" t="s">
        <v>6020</v>
      </c>
      <c r="C2514" t="s">
        <v>18</v>
      </c>
      <c r="D2514" t="s">
        <v>30</v>
      </c>
      <c r="E2514" t="s">
        <v>44</v>
      </c>
      <c r="F2514" t="s">
        <v>39</v>
      </c>
      <c r="G2514" t="s">
        <v>22</v>
      </c>
      <c r="H2514" t="s">
        <v>34</v>
      </c>
      <c r="I2514" t="s">
        <v>35</v>
      </c>
      <c r="J2514" t="s">
        <v>1115</v>
      </c>
      <c r="K2514" t="s">
        <v>2024</v>
      </c>
      <c r="L2514">
        <v>2.2999999999999998</v>
      </c>
      <c r="M2514">
        <v>103000</v>
      </c>
      <c r="N2514">
        <v>2.9</v>
      </c>
      <c r="O2514">
        <v>3</v>
      </c>
      <c r="P2514" t="s">
        <v>72</v>
      </c>
    </row>
    <row r="2515" spans="1:16" x14ac:dyDescent="0.25">
      <c r="A2515" t="s">
        <v>6021</v>
      </c>
      <c r="B2515" t="s">
        <v>6022</v>
      </c>
      <c r="C2515" t="s">
        <v>18</v>
      </c>
      <c r="D2515" t="s">
        <v>79</v>
      </c>
      <c r="E2515" t="s">
        <v>44</v>
      </c>
      <c r="F2515" t="s">
        <v>32</v>
      </c>
      <c r="G2515" t="s">
        <v>22</v>
      </c>
      <c r="I2515" t="s">
        <v>57</v>
      </c>
      <c r="J2515" t="s">
        <v>1278</v>
      </c>
      <c r="K2515" t="s">
        <v>91</v>
      </c>
      <c r="L2515">
        <v>4.8</v>
      </c>
      <c r="M2515">
        <v>272000</v>
      </c>
      <c r="N2515">
        <v>4.7</v>
      </c>
      <c r="P2515" t="s">
        <v>53</v>
      </c>
    </row>
    <row r="2516" spans="1:16" x14ac:dyDescent="0.25">
      <c r="A2516" t="s">
        <v>6023</v>
      </c>
      <c r="B2516" t="s">
        <v>966</v>
      </c>
      <c r="C2516" t="s">
        <v>18</v>
      </c>
      <c r="D2516" t="s">
        <v>50</v>
      </c>
      <c r="E2516" t="s">
        <v>20</v>
      </c>
      <c r="F2516" t="s">
        <v>39</v>
      </c>
      <c r="G2516" t="s">
        <v>22</v>
      </c>
      <c r="H2516" t="s">
        <v>34</v>
      </c>
      <c r="I2516" t="s">
        <v>57</v>
      </c>
      <c r="J2516" t="s">
        <v>148</v>
      </c>
      <c r="K2516" t="s">
        <v>452</v>
      </c>
      <c r="L2516">
        <v>5.5</v>
      </c>
      <c r="M2516">
        <v>179000</v>
      </c>
      <c r="N2516">
        <v>4.0999999999999996</v>
      </c>
      <c r="O2516">
        <v>40</v>
      </c>
      <c r="P2516" t="s">
        <v>53</v>
      </c>
    </row>
    <row r="2517" spans="1:16" x14ac:dyDescent="0.25">
      <c r="A2517" t="s">
        <v>6024</v>
      </c>
      <c r="B2517" t="s">
        <v>2279</v>
      </c>
      <c r="C2517" t="s">
        <v>18</v>
      </c>
      <c r="D2517" t="s">
        <v>30</v>
      </c>
      <c r="E2517" t="s">
        <v>20</v>
      </c>
      <c r="G2517" t="s">
        <v>22</v>
      </c>
      <c r="H2517" t="s">
        <v>46</v>
      </c>
      <c r="I2517" t="s">
        <v>57</v>
      </c>
      <c r="J2517" t="s">
        <v>5660</v>
      </c>
      <c r="L2517">
        <v>6</v>
      </c>
      <c r="M2517">
        <v>175000</v>
      </c>
      <c r="N2517">
        <v>2.2000000000000002</v>
      </c>
      <c r="O2517">
        <v>2</v>
      </c>
      <c r="P2517" t="s">
        <v>26</v>
      </c>
    </row>
    <row r="2518" spans="1:16" x14ac:dyDescent="0.25">
      <c r="A2518" t="s">
        <v>6025</v>
      </c>
      <c r="B2518" t="s">
        <v>6026</v>
      </c>
      <c r="C2518" t="s">
        <v>18</v>
      </c>
      <c r="D2518" t="s">
        <v>50</v>
      </c>
      <c r="E2518" t="s">
        <v>20</v>
      </c>
      <c r="F2518" t="s">
        <v>32</v>
      </c>
      <c r="G2518" t="s">
        <v>80</v>
      </c>
      <c r="H2518" t="s">
        <v>46</v>
      </c>
      <c r="I2518" t="s">
        <v>171</v>
      </c>
      <c r="J2518" t="s">
        <v>5329</v>
      </c>
      <c r="K2518" t="s">
        <v>2548</v>
      </c>
      <c r="L2518">
        <v>3.9</v>
      </c>
      <c r="M2518">
        <v>223000</v>
      </c>
      <c r="N2518">
        <v>4.7</v>
      </c>
      <c r="O2518">
        <v>1</v>
      </c>
      <c r="P2518" t="s">
        <v>72</v>
      </c>
    </row>
    <row r="2519" spans="1:16" x14ac:dyDescent="0.25">
      <c r="A2519" t="s">
        <v>6027</v>
      </c>
      <c r="B2519" t="s">
        <v>4150</v>
      </c>
      <c r="C2519" t="s">
        <v>29</v>
      </c>
      <c r="D2519" t="s">
        <v>43</v>
      </c>
      <c r="E2519" t="s">
        <v>31</v>
      </c>
      <c r="F2519" t="s">
        <v>39</v>
      </c>
      <c r="G2519" t="s">
        <v>22</v>
      </c>
      <c r="H2519" t="s">
        <v>46</v>
      </c>
      <c r="I2519" t="s">
        <v>57</v>
      </c>
      <c r="J2519" t="s">
        <v>6028</v>
      </c>
      <c r="L2519">
        <v>4.9000000000000004</v>
      </c>
      <c r="M2519">
        <v>93000</v>
      </c>
      <c r="N2519">
        <v>2.6</v>
      </c>
      <c r="O2519">
        <v>7</v>
      </c>
      <c r="P2519" t="s">
        <v>26</v>
      </c>
    </row>
    <row r="2520" spans="1:16" x14ac:dyDescent="0.25">
      <c r="A2520" t="s">
        <v>6029</v>
      </c>
      <c r="B2520" t="s">
        <v>2070</v>
      </c>
      <c r="C2520" t="s">
        <v>18</v>
      </c>
      <c r="D2520" t="s">
        <v>30</v>
      </c>
      <c r="E2520" t="s">
        <v>20</v>
      </c>
      <c r="F2520" t="s">
        <v>32</v>
      </c>
      <c r="G2520" t="s">
        <v>33</v>
      </c>
      <c r="H2520" t="s">
        <v>34</v>
      </c>
      <c r="I2520" t="s">
        <v>75</v>
      </c>
      <c r="J2520" t="s">
        <v>387</v>
      </c>
      <c r="L2520">
        <v>4.8</v>
      </c>
      <c r="M2520">
        <v>221000</v>
      </c>
      <c r="N2520">
        <v>3</v>
      </c>
      <c r="O2520">
        <v>8</v>
      </c>
      <c r="P2520" t="s">
        <v>26</v>
      </c>
    </row>
    <row r="2521" spans="1:16" x14ac:dyDescent="0.25">
      <c r="A2521" t="s">
        <v>6030</v>
      </c>
      <c r="B2521" t="s">
        <v>6031</v>
      </c>
      <c r="C2521" t="s">
        <v>29</v>
      </c>
      <c r="D2521" t="s">
        <v>79</v>
      </c>
      <c r="E2521" t="s">
        <v>20</v>
      </c>
      <c r="F2521" t="s">
        <v>21</v>
      </c>
      <c r="G2521" t="s">
        <v>80</v>
      </c>
      <c r="H2521" t="s">
        <v>34</v>
      </c>
      <c r="I2521" t="s">
        <v>24</v>
      </c>
      <c r="J2521" t="s">
        <v>2606</v>
      </c>
      <c r="L2521">
        <v>1.5</v>
      </c>
      <c r="M2521">
        <v>937000</v>
      </c>
      <c r="N2521">
        <v>5</v>
      </c>
      <c r="O2521">
        <v>12</v>
      </c>
      <c r="P2521" t="s">
        <v>26</v>
      </c>
    </row>
    <row r="2522" spans="1:16" x14ac:dyDescent="0.25">
      <c r="A2522" t="s">
        <v>6032</v>
      </c>
      <c r="B2522" t="s">
        <v>4785</v>
      </c>
      <c r="C2522" t="s">
        <v>18</v>
      </c>
      <c r="D2522" t="s">
        <v>30</v>
      </c>
      <c r="E2522" t="s">
        <v>44</v>
      </c>
      <c r="G2522" t="s">
        <v>80</v>
      </c>
      <c r="H2522" t="s">
        <v>23</v>
      </c>
      <c r="I2522" t="s">
        <v>35</v>
      </c>
      <c r="J2522" t="s">
        <v>6033</v>
      </c>
      <c r="L2522">
        <v>1.8</v>
      </c>
      <c r="M2522">
        <v>304000</v>
      </c>
      <c r="N2522">
        <v>4.0999999999999996</v>
      </c>
      <c r="O2522">
        <v>20</v>
      </c>
      <c r="P2522" t="s">
        <v>26</v>
      </c>
    </row>
    <row r="2523" spans="1:16" x14ac:dyDescent="0.25">
      <c r="A2523" t="s">
        <v>6034</v>
      </c>
      <c r="B2523" t="s">
        <v>6035</v>
      </c>
      <c r="C2523" t="s">
        <v>29</v>
      </c>
      <c r="D2523" t="s">
        <v>30</v>
      </c>
      <c r="E2523" t="s">
        <v>31</v>
      </c>
      <c r="F2523" t="s">
        <v>39</v>
      </c>
      <c r="G2523" t="s">
        <v>22</v>
      </c>
      <c r="H2523" t="s">
        <v>46</v>
      </c>
      <c r="I2523" t="s">
        <v>57</v>
      </c>
      <c r="J2523" t="s">
        <v>2426</v>
      </c>
      <c r="L2523">
        <v>5.9</v>
      </c>
      <c r="M2523">
        <v>105000</v>
      </c>
      <c r="N2523">
        <v>3.4</v>
      </c>
      <c r="O2523">
        <v>5</v>
      </c>
      <c r="P2523" t="s">
        <v>26</v>
      </c>
    </row>
    <row r="2524" spans="1:16" x14ac:dyDescent="0.25">
      <c r="A2524" t="s">
        <v>6036</v>
      </c>
      <c r="B2524" t="s">
        <v>820</v>
      </c>
      <c r="C2524" t="s">
        <v>18</v>
      </c>
      <c r="D2524" t="s">
        <v>79</v>
      </c>
      <c r="E2524" t="s">
        <v>20</v>
      </c>
      <c r="F2524" t="s">
        <v>32</v>
      </c>
      <c r="G2524" t="s">
        <v>22</v>
      </c>
      <c r="I2524" t="s">
        <v>24</v>
      </c>
      <c r="J2524" t="s">
        <v>4474</v>
      </c>
      <c r="L2524">
        <v>2.2000000000000002</v>
      </c>
      <c r="M2524">
        <v>245000</v>
      </c>
      <c r="N2524">
        <v>3.3</v>
      </c>
      <c r="O2524">
        <v>1</v>
      </c>
      <c r="P2524" t="s">
        <v>26</v>
      </c>
    </row>
    <row r="2525" spans="1:16" x14ac:dyDescent="0.25">
      <c r="A2525" t="s">
        <v>6037</v>
      </c>
      <c r="B2525" t="s">
        <v>6038</v>
      </c>
      <c r="D2525" t="s">
        <v>19</v>
      </c>
      <c r="E2525" t="s">
        <v>20</v>
      </c>
      <c r="F2525" t="s">
        <v>128</v>
      </c>
      <c r="G2525" t="s">
        <v>22</v>
      </c>
      <c r="H2525" t="s">
        <v>46</v>
      </c>
      <c r="I2525" t="s">
        <v>24</v>
      </c>
      <c r="J2525" t="s">
        <v>5546</v>
      </c>
      <c r="L2525">
        <v>4.8</v>
      </c>
      <c r="M2525">
        <v>580000</v>
      </c>
      <c r="N2525">
        <v>2.4</v>
      </c>
      <c r="O2525">
        <v>35</v>
      </c>
      <c r="P2525" t="s">
        <v>26</v>
      </c>
    </row>
    <row r="2526" spans="1:16" x14ac:dyDescent="0.25">
      <c r="A2526" t="s">
        <v>6039</v>
      </c>
      <c r="B2526" t="s">
        <v>6040</v>
      </c>
      <c r="C2526" t="s">
        <v>18</v>
      </c>
      <c r="D2526" t="s">
        <v>19</v>
      </c>
      <c r="E2526" t="s">
        <v>20</v>
      </c>
      <c r="F2526" t="s">
        <v>32</v>
      </c>
      <c r="G2526" t="s">
        <v>22</v>
      </c>
      <c r="H2526" t="s">
        <v>34</v>
      </c>
      <c r="I2526" t="s">
        <v>57</v>
      </c>
      <c r="J2526" t="s">
        <v>5006</v>
      </c>
      <c r="L2526">
        <v>5</v>
      </c>
      <c r="M2526">
        <v>259000</v>
      </c>
      <c r="N2526">
        <v>3.8</v>
      </c>
      <c r="O2526">
        <v>10</v>
      </c>
      <c r="P2526" t="s">
        <v>26</v>
      </c>
    </row>
    <row r="2527" spans="1:16" x14ac:dyDescent="0.25">
      <c r="A2527" t="s">
        <v>6041</v>
      </c>
      <c r="B2527" t="s">
        <v>3794</v>
      </c>
      <c r="C2527" t="s">
        <v>18</v>
      </c>
      <c r="D2527" t="s">
        <v>79</v>
      </c>
      <c r="F2527" t="s">
        <v>128</v>
      </c>
      <c r="G2527" t="s">
        <v>80</v>
      </c>
      <c r="H2527" t="s">
        <v>62</v>
      </c>
      <c r="I2527" t="s">
        <v>24</v>
      </c>
      <c r="J2527" t="s">
        <v>3953</v>
      </c>
      <c r="K2527" t="s">
        <v>6042</v>
      </c>
      <c r="L2527">
        <v>2.6</v>
      </c>
      <c r="M2527">
        <v>384000</v>
      </c>
      <c r="N2527">
        <v>4.9000000000000004</v>
      </c>
      <c r="O2527">
        <v>9</v>
      </c>
      <c r="P2527" t="s">
        <v>72</v>
      </c>
    </row>
    <row r="2528" spans="1:16" x14ac:dyDescent="0.25">
      <c r="A2528" t="s">
        <v>6043</v>
      </c>
      <c r="B2528" t="s">
        <v>1915</v>
      </c>
      <c r="C2528" t="s">
        <v>29</v>
      </c>
      <c r="D2528" t="s">
        <v>79</v>
      </c>
      <c r="E2528" t="s">
        <v>44</v>
      </c>
      <c r="F2528" t="s">
        <v>128</v>
      </c>
      <c r="G2528" t="s">
        <v>22</v>
      </c>
      <c r="H2528" t="s">
        <v>62</v>
      </c>
      <c r="I2528" t="s">
        <v>75</v>
      </c>
      <c r="J2528" t="s">
        <v>1488</v>
      </c>
      <c r="L2528">
        <v>2.2000000000000002</v>
      </c>
      <c r="M2528">
        <v>517000</v>
      </c>
      <c r="N2528">
        <v>4.2</v>
      </c>
      <c r="O2528">
        <v>16</v>
      </c>
      <c r="P2528" t="s">
        <v>26</v>
      </c>
    </row>
    <row r="2529" spans="1:16" x14ac:dyDescent="0.25">
      <c r="A2529" t="s">
        <v>6044</v>
      </c>
      <c r="B2529" t="s">
        <v>4941</v>
      </c>
      <c r="C2529" t="s">
        <v>29</v>
      </c>
      <c r="D2529" t="s">
        <v>50</v>
      </c>
      <c r="F2529" t="s">
        <v>21</v>
      </c>
      <c r="G2529" t="s">
        <v>22</v>
      </c>
      <c r="H2529" t="s">
        <v>46</v>
      </c>
      <c r="I2529" t="s">
        <v>75</v>
      </c>
      <c r="J2529" t="s">
        <v>144</v>
      </c>
      <c r="K2529" t="s">
        <v>3628</v>
      </c>
      <c r="L2529">
        <v>3.7</v>
      </c>
      <c r="M2529">
        <v>621000</v>
      </c>
      <c r="N2529">
        <v>3.7</v>
      </c>
      <c r="O2529">
        <v>13</v>
      </c>
      <c r="P2529" t="s">
        <v>53</v>
      </c>
    </row>
    <row r="2530" spans="1:16" x14ac:dyDescent="0.25">
      <c r="A2530" t="s">
        <v>6045</v>
      </c>
      <c r="B2530" t="s">
        <v>2493</v>
      </c>
      <c r="C2530" t="s">
        <v>18</v>
      </c>
      <c r="D2530" t="s">
        <v>50</v>
      </c>
      <c r="E2530" t="s">
        <v>20</v>
      </c>
      <c r="F2530" t="s">
        <v>128</v>
      </c>
      <c r="G2530" t="s">
        <v>33</v>
      </c>
      <c r="H2530" t="s">
        <v>23</v>
      </c>
      <c r="I2530" t="s">
        <v>171</v>
      </c>
      <c r="J2530" t="s">
        <v>6046</v>
      </c>
      <c r="K2530" t="s">
        <v>3568</v>
      </c>
      <c r="L2530">
        <v>3.2</v>
      </c>
      <c r="M2530">
        <v>508000</v>
      </c>
      <c r="N2530">
        <v>4.2</v>
      </c>
      <c r="O2530">
        <v>5</v>
      </c>
      <c r="P2530" t="s">
        <v>53</v>
      </c>
    </row>
    <row r="2531" spans="1:16" x14ac:dyDescent="0.25">
      <c r="A2531" t="s">
        <v>6047</v>
      </c>
      <c r="B2531" t="s">
        <v>582</v>
      </c>
      <c r="C2531" t="s">
        <v>18</v>
      </c>
      <c r="D2531" t="s">
        <v>50</v>
      </c>
      <c r="E2531" t="s">
        <v>31</v>
      </c>
      <c r="F2531" t="s">
        <v>21</v>
      </c>
      <c r="G2531" t="s">
        <v>22</v>
      </c>
      <c r="H2531" t="s">
        <v>23</v>
      </c>
      <c r="I2531" t="s">
        <v>57</v>
      </c>
      <c r="J2531" t="s">
        <v>6048</v>
      </c>
      <c r="L2531">
        <v>4.5</v>
      </c>
      <c r="M2531">
        <v>632000</v>
      </c>
      <c r="N2531">
        <v>4.2</v>
      </c>
      <c r="O2531">
        <v>11</v>
      </c>
      <c r="P2531" t="s">
        <v>26</v>
      </c>
    </row>
    <row r="2532" spans="1:16" x14ac:dyDescent="0.25">
      <c r="A2532" t="s">
        <v>6049</v>
      </c>
      <c r="B2532" t="s">
        <v>2011</v>
      </c>
      <c r="C2532" t="s">
        <v>18</v>
      </c>
      <c r="D2532" t="s">
        <v>43</v>
      </c>
      <c r="E2532" t="s">
        <v>20</v>
      </c>
      <c r="F2532" t="s">
        <v>21</v>
      </c>
      <c r="G2532" t="s">
        <v>80</v>
      </c>
      <c r="H2532" t="s">
        <v>34</v>
      </c>
      <c r="I2532" t="s">
        <v>24</v>
      </c>
      <c r="J2532" t="s">
        <v>231</v>
      </c>
      <c r="K2532" t="s">
        <v>2381</v>
      </c>
      <c r="L2532">
        <v>5.6</v>
      </c>
      <c r="M2532">
        <v>799000</v>
      </c>
      <c r="N2532">
        <v>4.7</v>
      </c>
      <c r="O2532">
        <v>12</v>
      </c>
      <c r="P2532" t="s">
        <v>114</v>
      </c>
    </row>
    <row r="2533" spans="1:16" x14ac:dyDescent="0.25">
      <c r="A2533" t="s">
        <v>6050</v>
      </c>
      <c r="B2533" t="s">
        <v>6051</v>
      </c>
      <c r="C2533" t="s">
        <v>18</v>
      </c>
      <c r="D2533" t="s">
        <v>79</v>
      </c>
      <c r="E2533" t="s">
        <v>31</v>
      </c>
      <c r="F2533" t="s">
        <v>32</v>
      </c>
      <c r="G2533" t="s">
        <v>22</v>
      </c>
      <c r="H2533" t="s">
        <v>62</v>
      </c>
      <c r="I2533" t="s">
        <v>24</v>
      </c>
      <c r="J2533" t="s">
        <v>6052</v>
      </c>
      <c r="L2533">
        <v>3.2</v>
      </c>
      <c r="M2533">
        <v>195000</v>
      </c>
      <c r="O2533">
        <v>7</v>
      </c>
      <c r="P2533" t="s">
        <v>26</v>
      </c>
    </row>
    <row r="2534" spans="1:16" x14ac:dyDescent="0.25">
      <c r="A2534" t="s">
        <v>6053</v>
      </c>
      <c r="B2534" t="s">
        <v>6054</v>
      </c>
      <c r="C2534" t="s">
        <v>18</v>
      </c>
      <c r="D2534" t="s">
        <v>30</v>
      </c>
      <c r="E2534" t="s">
        <v>20</v>
      </c>
      <c r="F2534" t="s">
        <v>32</v>
      </c>
      <c r="G2534" t="s">
        <v>80</v>
      </c>
      <c r="H2534" t="s">
        <v>23</v>
      </c>
      <c r="I2534" t="s">
        <v>57</v>
      </c>
      <c r="J2534" t="s">
        <v>6055</v>
      </c>
      <c r="L2534">
        <v>2.1</v>
      </c>
      <c r="M2534">
        <v>263000</v>
      </c>
      <c r="N2534">
        <v>2.7</v>
      </c>
      <c r="O2534">
        <v>2</v>
      </c>
      <c r="P2534" t="s">
        <v>26</v>
      </c>
    </row>
    <row r="2535" spans="1:16" x14ac:dyDescent="0.25">
      <c r="A2535" t="s">
        <v>6056</v>
      </c>
      <c r="B2535" t="s">
        <v>5582</v>
      </c>
      <c r="C2535" t="s">
        <v>29</v>
      </c>
      <c r="D2535" t="s">
        <v>50</v>
      </c>
      <c r="E2535" t="s">
        <v>20</v>
      </c>
      <c r="F2535" t="s">
        <v>32</v>
      </c>
      <c r="G2535" t="s">
        <v>22</v>
      </c>
      <c r="I2535" t="s">
        <v>57</v>
      </c>
      <c r="J2535" t="s">
        <v>4790</v>
      </c>
      <c r="L2535">
        <v>2.8</v>
      </c>
      <c r="M2535">
        <v>195000</v>
      </c>
      <c r="N2535">
        <v>4.5</v>
      </c>
      <c r="O2535">
        <v>11</v>
      </c>
      <c r="P2535" t="s">
        <v>26</v>
      </c>
    </row>
    <row r="2536" spans="1:16" x14ac:dyDescent="0.25">
      <c r="A2536" t="s">
        <v>6057</v>
      </c>
      <c r="B2536" t="s">
        <v>6058</v>
      </c>
      <c r="C2536" t="s">
        <v>29</v>
      </c>
      <c r="D2536" t="s">
        <v>43</v>
      </c>
      <c r="E2536" t="s">
        <v>20</v>
      </c>
      <c r="G2536" t="s">
        <v>69</v>
      </c>
      <c r="H2536" t="s">
        <v>62</v>
      </c>
      <c r="I2536" t="s">
        <v>24</v>
      </c>
      <c r="J2536" t="s">
        <v>275</v>
      </c>
      <c r="L2536">
        <v>5.8</v>
      </c>
      <c r="M2536" t="s">
        <v>6059</v>
      </c>
      <c r="N2536">
        <v>4.7</v>
      </c>
      <c r="O2536">
        <v>0</v>
      </c>
      <c r="P2536" t="s">
        <v>26</v>
      </c>
    </row>
    <row r="2537" spans="1:16" x14ac:dyDescent="0.25">
      <c r="A2537" t="s">
        <v>6060</v>
      </c>
      <c r="B2537" t="s">
        <v>6061</v>
      </c>
      <c r="C2537" t="s">
        <v>18</v>
      </c>
      <c r="D2537" t="s">
        <v>79</v>
      </c>
      <c r="E2537" t="s">
        <v>20</v>
      </c>
      <c r="F2537" t="s">
        <v>32</v>
      </c>
      <c r="G2537" t="s">
        <v>22</v>
      </c>
      <c r="H2537" t="s">
        <v>23</v>
      </c>
      <c r="I2537" t="s">
        <v>35</v>
      </c>
      <c r="J2537" t="s">
        <v>673</v>
      </c>
      <c r="K2537" t="s">
        <v>1471</v>
      </c>
      <c r="L2537">
        <v>4.3</v>
      </c>
      <c r="M2537">
        <v>242000</v>
      </c>
      <c r="N2537">
        <v>3.5</v>
      </c>
      <c r="O2537">
        <v>11</v>
      </c>
      <c r="P2537" t="s">
        <v>53</v>
      </c>
    </row>
    <row r="2538" spans="1:16" x14ac:dyDescent="0.25">
      <c r="A2538" t="s">
        <v>6062</v>
      </c>
      <c r="B2538" t="s">
        <v>3069</v>
      </c>
      <c r="C2538" t="s">
        <v>29</v>
      </c>
      <c r="D2538" t="s">
        <v>79</v>
      </c>
      <c r="E2538" t="s">
        <v>20</v>
      </c>
      <c r="F2538" t="s">
        <v>45</v>
      </c>
      <c r="G2538" t="s">
        <v>33</v>
      </c>
      <c r="H2538" t="s">
        <v>23</v>
      </c>
      <c r="I2538" t="s">
        <v>75</v>
      </c>
      <c r="J2538" t="s">
        <v>568</v>
      </c>
      <c r="K2538" t="s">
        <v>872</v>
      </c>
      <c r="L2538">
        <v>5</v>
      </c>
      <c r="M2538">
        <v>1596000</v>
      </c>
      <c r="N2538">
        <v>4.0999999999999996</v>
      </c>
      <c r="O2538">
        <v>13</v>
      </c>
      <c r="P2538" t="s">
        <v>114</v>
      </c>
    </row>
    <row r="2539" spans="1:16" x14ac:dyDescent="0.25">
      <c r="A2539" t="s">
        <v>3388</v>
      </c>
      <c r="B2539" t="s">
        <v>3389</v>
      </c>
      <c r="C2539" t="s">
        <v>18</v>
      </c>
      <c r="D2539" t="s">
        <v>50</v>
      </c>
      <c r="E2539" t="s">
        <v>20</v>
      </c>
      <c r="F2539" t="s">
        <v>128</v>
      </c>
      <c r="G2539" t="s">
        <v>22</v>
      </c>
      <c r="H2539" t="s">
        <v>23</v>
      </c>
      <c r="I2539" t="s">
        <v>24</v>
      </c>
      <c r="J2539" t="s">
        <v>2751</v>
      </c>
      <c r="K2539" t="s">
        <v>3390</v>
      </c>
      <c r="L2539">
        <v>3.4</v>
      </c>
      <c r="M2539">
        <v>521000</v>
      </c>
      <c r="N2539">
        <v>3.1</v>
      </c>
      <c r="O2539">
        <v>4</v>
      </c>
      <c r="P2539" t="s">
        <v>114</v>
      </c>
    </row>
    <row r="2540" spans="1:16" x14ac:dyDescent="0.25">
      <c r="A2540" t="s">
        <v>6063</v>
      </c>
      <c r="B2540" t="s">
        <v>6064</v>
      </c>
      <c r="C2540" t="s">
        <v>18</v>
      </c>
      <c r="D2540" t="s">
        <v>50</v>
      </c>
      <c r="E2540" t="s">
        <v>20</v>
      </c>
      <c r="F2540" t="s">
        <v>32</v>
      </c>
      <c r="G2540" t="s">
        <v>80</v>
      </c>
      <c r="I2540" t="s">
        <v>35</v>
      </c>
      <c r="J2540" t="s">
        <v>806</v>
      </c>
      <c r="L2540">
        <v>4.8</v>
      </c>
      <c r="M2540">
        <v>340000</v>
      </c>
      <c r="N2540">
        <v>3.7</v>
      </c>
      <c r="O2540">
        <v>13</v>
      </c>
      <c r="P2540" t="s">
        <v>26</v>
      </c>
    </row>
    <row r="2541" spans="1:16" x14ac:dyDescent="0.25">
      <c r="A2541" t="s">
        <v>6065</v>
      </c>
      <c r="B2541" t="s">
        <v>2039</v>
      </c>
      <c r="C2541" t="s">
        <v>29</v>
      </c>
      <c r="D2541" t="s">
        <v>30</v>
      </c>
      <c r="E2541" t="s">
        <v>20</v>
      </c>
      <c r="F2541" t="s">
        <v>39</v>
      </c>
      <c r="G2541" t="s">
        <v>22</v>
      </c>
      <c r="H2541" t="s">
        <v>23</v>
      </c>
      <c r="J2541" t="s">
        <v>2185</v>
      </c>
      <c r="K2541" t="s">
        <v>1184</v>
      </c>
      <c r="L2541">
        <v>4.5999999999999996</v>
      </c>
      <c r="M2541">
        <v>140000</v>
      </c>
      <c r="N2541">
        <v>2.8</v>
      </c>
      <c r="O2541">
        <v>9</v>
      </c>
      <c r="P2541" t="s">
        <v>53</v>
      </c>
    </row>
    <row r="2542" spans="1:16" x14ac:dyDescent="0.25">
      <c r="A2542" t="s">
        <v>6066</v>
      </c>
      <c r="B2542" t="s">
        <v>2294</v>
      </c>
      <c r="C2542" t="s">
        <v>29</v>
      </c>
      <c r="D2542" t="s">
        <v>79</v>
      </c>
      <c r="E2542" t="s">
        <v>20</v>
      </c>
      <c r="F2542" t="s">
        <v>128</v>
      </c>
      <c r="G2542" t="s">
        <v>33</v>
      </c>
      <c r="H2542" t="s">
        <v>62</v>
      </c>
      <c r="I2542" t="s">
        <v>57</v>
      </c>
      <c r="J2542" t="s">
        <v>3104</v>
      </c>
      <c r="L2542">
        <v>5.4</v>
      </c>
      <c r="M2542">
        <v>393000</v>
      </c>
      <c r="N2542">
        <v>2.7</v>
      </c>
      <c r="O2542">
        <v>9</v>
      </c>
      <c r="P2542" t="s">
        <v>26</v>
      </c>
    </row>
    <row r="2543" spans="1:16" x14ac:dyDescent="0.25">
      <c r="A2543" t="s">
        <v>6067</v>
      </c>
      <c r="B2543" t="s">
        <v>3332</v>
      </c>
      <c r="C2543" t="s">
        <v>29</v>
      </c>
      <c r="D2543" t="s">
        <v>19</v>
      </c>
      <c r="E2543" t="s">
        <v>44</v>
      </c>
      <c r="F2543" t="s">
        <v>32</v>
      </c>
      <c r="G2543" t="s">
        <v>22</v>
      </c>
      <c r="H2543" t="s">
        <v>34</v>
      </c>
      <c r="I2543" t="s">
        <v>35</v>
      </c>
      <c r="J2543" t="s">
        <v>990</v>
      </c>
      <c r="L2543">
        <v>1.3</v>
      </c>
      <c r="M2543">
        <v>238000</v>
      </c>
      <c r="O2543">
        <v>16</v>
      </c>
      <c r="P2543" t="s">
        <v>26</v>
      </c>
    </row>
    <row r="2544" spans="1:16" x14ac:dyDescent="0.25">
      <c r="A2544" t="s">
        <v>6068</v>
      </c>
      <c r="B2544" t="s">
        <v>6069</v>
      </c>
      <c r="C2544" t="s">
        <v>29</v>
      </c>
      <c r="D2544" t="s">
        <v>19</v>
      </c>
      <c r="E2544" t="s">
        <v>20</v>
      </c>
      <c r="F2544" t="s">
        <v>128</v>
      </c>
      <c r="G2544" t="s">
        <v>69</v>
      </c>
      <c r="H2544" t="s">
        <v>62</v>
      </c>
      <c r="I2544" t="s">
        <v>57</v>
      </c>
      <c r="J2544" t="s">
        <v>3782</v>
      </c>
      <c r="K2544" t="s">
        <v>2554</v>
      </c>
      <c r="L2544">
        <v>1.4</v>
      </c>
      <c r="M2544">
        <v>528000</v>
      </c>
      <c r="N2544">
        <v>3.2</v>
      </c>
      <c r="O2544">
        <v>38</v>
      </c>
      <c r="P2544" t="s">
        <v>53</v>
      </c>
    </row>
    <row r="2545" spans="1:16" x14ac:dyDescent="0.25">
      <c r="A2545" t="s">
        <v>6070</v>
      </c>
      <c r="B2545" t="s">
        <v>3402</v>
      </c>
      <c r="C2545" t="s">
        <v>18</v>
      </c>
      <c r="D2545" t="s">
        <v>30</v>
      </c>
      <c r="F2545" t="s">
        <v>39</v>
      </c>
      <c r="G2545" t="s">
        <v>22</v>
      </c>
      <c r="J2545" t="s">
        <v>6071</v>
      </c>
      <c r="K2545" t="s">
        <v>974</v>
      </c>
      <c r="L2545">
        <v>5.3</v>
      </c>
      <c r="M2545">
        <v>172000</v>
      </c>
      <c r="N2545">
        <v>3.3</v>
      </c>
      <c r="P2545" t="s">
        <v>53</v>
      </c>
    </row>
    <row r="2546" spans="1:16" x14ac:dyDescent="0.25">
      <c r="A2546" t="s">
        <v>6072</v>
      </c>
      <c r="B2546" t="s">
        <v>6073</v>
      </c>
      <c r="C2546" t="s">
        <v>18</v>
      </c>
      <c r="D2546" t="s">
        <v>79</v>
      </c>
      <c r="E2546" t="s">
        <v>20</v>
      </c>
      <c r="F2546" t="s">
        <v>128</v>
      </c>
      <c r="G2546" t="s">
        <v>69</v>
      </c>
      <c r="H2546" t="s">
        <v>23</v>
      </c>
      <c r="I2546" t="s">
        <v>171</v>
      </c>
      <c r="J2546" t="s">
        <v>5225</v>
      </c>
      <c r="K2546" t="s">
        <v>794</v>
      </c>
      <c r="L2546">
        <v>4.4000000000000004</v>
      </c>
      <c r="M2546">
        <v>491000</v>
      </c>
      <c r="N2546">
        <v>2.8</v>
      </c>
      <c r="P2546" t="s">
        <v>53</v>
      </c>
    </row>
    <row r="2547" spans="1:16" x14ac:dyDescent="0.25">
      <c r="A2547" t="s">
        <v>6074</v>
      </c>
      <c r="B2547" t="s">
        <v>6075</v>
      </c>
      <c r="C2547" t="s">
        <v>18</v>
      </c>
      <c r="D2547" t="s">
        <v>79</v>
      </c>
      <c r="E2547" t="s">
        <v>20</v>
      </c>
      <c r="F2547" t="s">
        <v>39</v>
      </c>
      <c r="G2547" t="s">
        <v>22</v>
      </c>
      <c r="H2547" t="s">
        <v>23</v>
      </c>
      <c r="I2547" t="s">
        <v>24</v>
      </c>
      <c r="J2547" t="s">
        <v>3499</v>
      </c>
      <c r="L2547">
        <v>1.5</v>
      </c>
      <c r="M2547">
        <v>112000</v>
      </c>
      <c r="N2547">
        <v>4</v>
      </c>
      <c r="O2547">
        <v>0</v>
      </c>
      <c r="P2547" t="s">
        <v>26</v>
      </c>
    </row>
    <row r="2548" spans="1:16" x14ac:dyDescent="0.25">
      <c r="A2548" t="s">
        <v>6076</v>
      </c>
      <c r="B2548" t="s">
        <v>4609</v>
      </c>
      <c r="C2548" t="s">
        <v>29</v>
      </c>
      <c r="D2548" t="s">
        <v>43</v>
      </c>
      <c r="E2548" t="s">
        <v>44</v>
      </c>
      <c r="F2548" t="s">
        <v>128</v>
      </c>
      <c r="G2548" t="s">
        <v>22</v>
      </c>
      <c r="H2548" t="s">
        <v>46</v>
      </c>
      <c r="I2548" t="s">
        <v>57</v>
      </c>
      <c r="J2548" t="s">
        <v>1795</v>
      </c>
      <c r="L2548">
        <v>3.1</v>
      </c>
      <c r="M2548">
        <v>548000</v>
      </c>
      <c r="N2548">
        <v>4.4000000000000004</v>
      </c>
      <c r="O2548">
        <v>8</v>
      </c>
      <c r="P2548" t="s">
        <v>26</v>
      </c>
    </row>
    <row r="2549" spans="1:16" x14ac:dyDescent="0.25">
      <c r="A2549" t="s">
        <v>6077</v>
      </c>
      <c r="B2549" t="s">
        <v>4744</v>
      </c>
      <c r="C2549" t="s">
        <v>29</v>
      </c>
      <c r="D2549" t="s">
        <v>50</v>
      </c>
      <c r="E2549" t="s">
        <v>20</v>
      </c>
      <c r="F2549" t="s">
        <v>32</v>
      </c>
      <c r="G2549" t="s">
        <v>22</v>
      </c>
      <c r="H2549" t="s">
        <v>34</v>
      </c>
      <c r="I2549" t="s">
        <v>35</v>
      </c>
      <c r="J2549" t="s">
        <v>5657</v>
      </c>
      <c r="K2549" t="s">
        <v>6078</v>
      </c>
      <c r="L2549">
        <v>4.0999999999999996</v>
      </c>
      <c r="M2549">
        <v>301000</v>
      </c>
      <c r="N2549">
        <v>2.6</v>
      </c>
      <c r="O2549">
        <v>22</v>
      </c>
      <c r="P2549" t="s">
        <v>114</v>
      </c>
    </row>
    <row r="2550" spans="1:16" x14ac:dyDescent="0.25">
      <c r="A2550" t="s">
        <v>6079</v>
      </c>
      <c r="B2550" t="s">
        <v>4439</v>
      </c>
      <c r="C2550" t="s">
        <v>29</v>
      </c>
      <c r="E2550" t="s">
        <v>20</v>
      </c>
      <c r="F2550" t="s">
        <v>128</v>
      </c>
      <c r="G2550" t="s">
        <v>33</v>
      </c>
      <c r="H2550" t="s">
        <v>46</v>
      </c>
      <c r="I2550" t="s">
        <v>35</v>
      </c>
      <c r="J2550" t="s">
        <v>2766</v>
      </c>
      <c r="K2550" t="s">
        <v>3472</v>
      </c>
      <c r="L2550">
        <v>4.5999999999999996</v>
      </c>
      <c r="M2550">
        <v>571000</v>
      </c>
      <c r="N2550">
        <v>3</v>
      </c>
      <c r="O2550">
        <v>8</v>
      </c>
      <c r="P2550" t="s">
        <v>53</v>
      </c>
    </row>
    <row r="2551" spans="1:16" x14ac:dyDescent="0.25">
      <c r="A2551" t="s">
        <v>6080</v>
      </c>
      <c r="B2551" t="s">
        <v>4482</v>
      </c>
      <c r="C2551" t="s">
        <v>29</v>
      </c>
      <c r="D2551" t="s">
        <v>30</v>
      </c>
      <c r="E2551" t="s">
        <v>31</v>
      </c>
      <c r="F2551" t="s">
        <v>32</v>
      </c>
      <c r="G2551" t="s">
        <v>22</v>
      </c>
      <c r="H2551" t="s">
        <v>23</v>
      </c>
      <c r="I2551" t="s">
        <v>24</v>
      </c>
      <c r="J2551" t="s">
        <v>3532</v>
      </c>
      <c r="K2551" t="s">
        <v>6081</v>
      </c>
      <c r="L2551">
        <v>5.0999999999999996</v>
      </c>
      <c r="M2551">
        <v>298000</v>
      </c>
      <c r="N2551">
        <v>2.1</v>
      </c>
      <c r="O2551">
        <v>9</v>
      </c>
      <c r="P2551" t="s">
        <v>53</v>
      </c>
    </row>
    <row r="2552" spans="1:16" x14ac:dyDescent="0.25">
      <c r="A2552" t="s">
        <v>6082</v>
      </c>
      <c r="B2552" t="s">
        <v>1374</v>
      </c>
      <c r="C2552" t="s">
        <v>18</v>
      </c>
      <c r="D2552" t="s">
        <v>30</v>
      </c>
      <c r="E2552" t="s">
        <v>20</v>
      </c>
      <c r="F2552" t="s">
        <v>32</v>
      </c>
      <c r="G2552" t="s">
        <v>33</v>
      </c>
      <c r="H2552" t="s">
        <v>46</v>
      </c>
      <c r="I2552" t="s">
        <v>171</v>
      </c>
      <c r="J2552" t="s">
        <v>4166</v>
      </c>
      <c r="K2552" t="s">
        <v>3953</v>
      </c>
      <c r="L2552">
        <v>5.5</v>
      </c>
      <c r="M2552">
        <v>289000</v>
      </c>
      <c r="N2552">
        <v>3.2</v>
      </c>
      <c r="O2552">
        <v>12</v>
      </c>
      <c r="P2552" t="s">
        <v>53</v>
      </c>
    </row>
    <row r="2553" spans="1:16" x14ac:dyDescent="0.25">
      <c r="A2553" t="s">
        <v>6083</v>
      </c>
      <c r="B2553" t="s">
        <v>4542</v>
      </c>
      <c r="C2553" t="s">
        <v>18</v>
      </c>
      <c r="D2553" t="s">
        <v>79</v>
      </c>
      <c r="E2553" t="s">
        <v>20</v>
      </c>
      <c r="F2553" t="s">
        <v>39</v>
      </c>
      <c r="G2553" t="s">
        <v>22</v>
      </c>
      <c r="H2553" t="s">
        <v>46</v>
      </c>
      <c r="I2553" t="s">
        <v>57</v>
      </c>
      <c r="J2553" t="s">
        <v>2809</v>
      </c>
      <c r="L2553">
        <v>1.8</v>
      </c>
      <c r="M2553">
        <v>137000</v>
      </c>
      <c r="N2553">
        <v>4</v>
      </c>
      <c r="O2553">
        <v>8</v>
      </c>
      <c r="P2553" t="s">
        <v>26</v>
      </c>
    </row>
    <row r="2554" spans="1:16" x14ac:dyDescent="0.25">
      <c r="A2554" t="s">
        <v>6084</v>
      </c>
      <c r="B2554" t="s">
        <v>6085</v>
      </c>
      <c r="C2554" t="s">
        <v>29</v>
      </c>
      <c r="D2554" t="s">
        <v>43</v>
      </c>
      <c r="E2554" t="s">
        <v>20</v>
      </c>
      <c r="F2554" t="s">
        <v>128</v>
      </c>
      <c r="G2554" t="s">
        <v>80</v>
      </c>
      <c r="H2554" t="s">
        <v>23</v>
      </c>
      <c r="I2554" t="s">
        <v>24</v>
      </c>
      <c r="J2554" t="s">
        <v>6086</v>
      </c>
      <c r="K2554" t="s">
        <v>5826</v>
      </c>
      <c r="L2554">
        <v>1.3</v>
      </c>
      <c r="M2554">
        <v>464000</v>
      </c>
      <c r="N2554">
        <v>2.2000000000000002</v>
      </c>
      <c r="O2554">
        <v>36</v>
      </c>
      <c r="P2554" t="s">
        <v>53</v>
      </c>
    </row>
    <row r="2555" spans="1:16" x14ac:dyDescent="0.25">
      <c r="A2555" t="s">
        <v>6087</v>
      </c>
      <c r="B2555" t="s">
        <v>6088</v>
      </c>
      <c r="C2555" t="s">
        <v>18</v>
      </c>
      <c r="D2555" t="s">
        <v>30</v>
      </c>
      <c r="E2555" t="s">
        <v>20</v>
      </c>
      <c r="F2555" t="s">
        <v>32</v>
      </c>
      <c r="G2555" t="s">
        <v>33</v>
      </c>
      <c r="H2555" t="s">
        <v>46</v>
      </c>
      <c r="I2555" t="s">
        <v>75</v>
      </c>
      <c r="J2555" t="s">
        <v>487</v>
      </c>
      <c r="K2555" t="s">
        <v>6089</v>
      </c>
      <c r="L2555">
        <v>1.9</v>
      </c>
      <c r="M2555">
        <v>194000</v>
      </c>
      <c r="N2555">
        <v>3.3</v>
      </c>
      <c r="O2555">
        <v>3</v>
      </c>
      <c r="P2555" t="s">
        <v>53</v>
      </c>
    </row>
    <row r="2556" spans="1:16" x14ac:dyDescent="0.25">
      <c r="A2556" t="s">
        <v>6090</v>
      </c>
      <c r="B2556" t="s">
        <v>2996</v>
      </c>
      <c r="C2556" t="s">
        <v>18</v>
      </c>
      <c r="D2556" t="s">
        <v>50</v>
      </c>
      <c r="E2556" t="s">
        <v>44</v>
      </c>
      <c r="F2556" t="s">
        <v>32</v>
      </c>
      <c r="G2556" t="s">
        <v>33</v>
      </c>
      <c r="H2556" t="s">
        <v>34</v>
      </c>
      <c r="I2556" t="s">
        <v>35</v>
      </c>
      <c r="J2556" t="s">
        <v>208</v>
      </c>
      <c r="K2556" t="s">
        <v>202</v>
      </c>
      <c r="L2556">
        <v>5.0999999999999996</v>
      </c>
      <c r="M2556">
        <v>260000</v>
      </c>
      <c r="N2556">
        <v>3.9</v>
      </c>
      <c r="O2556">
        <v>39</v>
      </c>
      <c r="P2556" t="s">
        <v>53</v>
      </c>
    </row>
    <row r="2557" spans="1:16" x14ac:dyDescent="0.25">
      <c r="A2557" t="s">
        <v>6091</v>
      </c>
      <c r="B2557" t="s">
        <v>6092</v>
      </c>
      <c r="C2557" t="s">
        <v>29</v>
      </c>
      <c r="E2557" t="s">
        <v>20</v>
      </c>
      <c r="F2557" t="s">
        <v>39</v>
      </c>
      <c r="G2557" t="s">
        <v>33</v>
      </c>
      <c r="H2557" t="s">
        <v>46</v>
      </c>
      <c r="I2557" t="s">
        <v>57</v>
      </c>
      <c r="J2557" t="s">
        <v>6093</v>
      </c>
      <c r="K2557" t="s">
        <v>4119</v>
      </c>
      <c r="L2557">
        <v>5.2</v>
      </c>
      <c r="M2557">
        <v>112000</v>
      </c>
      <c r="N2557">
        <v>4.9000000000000004</v>
      </c>
      <c r="O2557">
        <v>11</v>
      </c>
      <c r="P2557" t="s">
        <v>53</v>
      </c>
    </row>
    <row r="2558" spans="1:16" x14ac:dyDescent="0.25">
      <c r="A2558" t="s">
        <v>6094</v>
      </c>
      <c r="B2558" t="s">
        <v>2665</v>
      </c>
      <c r="C2558" t="s">
        <v>29</v>
      </c>
      <c r="D2558" t="s">
        <v>50</v>
      </c>
      <c r="E2558" t="s">
        <v>44</v>
      </c>
      <c r="F2558" t="s">
        <v>32</v>
      </c>
      <c r="G2558" t="s">
        <v>80</v>
      </c>
      <c r="H2558" t="s">
        <v>34</v>
      </c>
      <c r="I2558" t="s">
        <v>57</v>
      </c>
      <c r="J2558" t="s">
        <v>5714</v>
      </c>
      <c r="K2558" t="s">
        <v>5326</v>
      </c>
      <c r="L2558">
        <v>1.9</v>
      </c>
      <c r="M2558">
        <v>210000</v>
      </c>
      <c r="N2558">
        <v>3.6</v>
      </c>
      <c r="O2558">
        <v>12</v>
      </c>
      <c r="P2558" t="s">
        <v>53</v>
      </c>
    </row>
    <row r="2559" spans="1:16" x14ac:dyDescent="0.25">
      <c r="A2559" t="s">
        <v>6095</v>
      </c>
      <c r="B2559" t="s">
        <v>6096</v>
      </c>
      <c r="C2559" t="s">
        <v>29</v>
      </c>
      <c r="D2559" t="s">
        <v>30</v>
      </c>
      <c r="E2559" t="s">
        <v>31</v>
      </c>
      <c r="F2559" t="s">
        <v>39</v>
      </c>
      <c r="G2559" t="s">
        <v>22</v>
      </c>
      <c r="H2559" t="s">
        <v>23</v>
      </c>
      <c r="I2559" t="s">
        <v>24</v>
      </c>
      <c r="J2559" t="s">
        <v>2300</v>
      </c>
      <c r="L2559">
        <v>3</v>
      </c>
      <c r="M2559">
        <v>105000</v>
      </c>
      <c r="N2559">
        <v>2</v>
      </c>
      <c r="O2559">
        <v>7</v>
      </c>
      <c r="P2559" t="s">
        <v>26</v>
      </c>
    </row>
    <row r="2560" spans="1:16" x14ac:dyDescent="0.25">
      <c r="A2560" t="s">
        <v>6097</v>
      </c>
      <c r="B2560" t="s">
        <v>1728</v>
      </c>
      <c r="C2560" t="s">
        <v>18</v>
      </c>
      <c r="D2560" t="s">
        <v>30</v>
      </c>
      <c r="E2560" t="s">
        <v>20</v>
      </c>
      <c r="F2560" t="s">
        <v>39</v>
      </c>
      <c r="G2560" t="s">
        <v>22</v>
      </c>
      <c r="H2560" t="s">
        <v>23</v>
      </c>
      <c r="I2560" t="s">
        <v>57</v>
      </c>
      <c r="J2560" t="s">
        <v>6098</v>
      </c>
      <c r="K2560" t="s">
        <v>4781</v>
      </c>
      <c r="L2560">
        <v>2.5</v>
      </c>
      <c r="M2560">
        <v>166000</v>
      </c>
      <c r="N2560">
        <v>3</v>
      </c>
      <c r="O2560">
        <v>4</v>
      </c>
      <c r="P2560" t="s">
        <v>53</v>
      </c>
    </row>
    <row r="2561" spans="1:16" x14ac:dyDescent="0.25">
      <c r="A2561" t="s">
        <v>6099</v>
      </c>
      <c r="B2561" t="s">
        <v>1043</v>
      </c>
      <c r="C2561" t="s">
        <v>18</v>
      </c>
      <c r="D2561" t="s">
        <v>79</v>
      </c>
      <c r="E2561" t="s">
        <v>20</v>
      </c>
      <c r="F2561" t="s">
        <v>128</v>
      </c>
      <c r="G2561" t="s">
        <v>33</v>
      </c>
      <c r="H2561" t="s">
        <v>46</v>
      </c>
      <c r="J2561" t="s">
        <v>1085</v>
      </c>
      <c r="L2561">
        <v>5.3</v>
      </c>
      <c r="M2561">
        <v>356000</v>
      </c>
      <c r="N2561">
        <v>4.4000000000000004</v>
      </c>
      <c r="O2561">
        <v>7</v>
      </c>
      <c r="P2561" t="s">
        <v>26</v>
      </c>
    </row>
    <row r="2562" spans="1:16" x14ac:dyDescent="0.25">
      <c r="A2562" t="s">
        <v>6100</v>
      </c>
      <c r="B2562" t="s">
        <v>5460</v>
      </c>
      <c r="C2562" t="s">
        <v>29</v>
      </c>
      <c r="D2562" t="s">
        <v>30</v>
      </c>
      <c r="E2562" t="s">
        <v>31</v>
      </c>
      <c r="F2562" t="s">
        <v>39</v>
      </c>
      <c r="G2562" t="s">
        <v>33</v>
      </c>
      <c r="H2562" t="s">
        <v>23</v>
      </c>
      <c r="I2562" t="s">
        <v>24</v>
      </c>
      <c r="J2562" t="s">
        <v>4518</v>
      </c>
      <c r="L2562">
        <v>4.7</v>
      </c>
      <c r="M2562">
        <v>171000</v>
      </c>
      <c r="N2562">
        <v>2.7</v>
      </c>
      <c r="O2562">
        <v>11</v>
      </c>
      <c r="P2562" t="s">
        <v>26</v>
      </c>
    </row>
    <row r="2563" spans="1:16" x14ac:dyDescent="0.25">
      <c r="A2563" t="s">
        <v>6101</v>
      </c>
      <c r="B2563" t="s">
        <v>3502</v>
      </c>
      <c r="C2563" t="s">
        <v>18</v>
      </c>
      <c r="D2563" t="s">
        <v>30</v>
      </c>
      <c r="E2563" t="s">
        <v>20</v>
      </c>
      <c r="F2563" t="s">
        <v>39</v>
      </c>
      <c r="G2563" t="s">
        <v>33</v>
      </c>
      <c r="H2563" t="s">
        <v>62</v>
      </c>
      <c r="J2563" t="s">
        <v>2216</v>
      </c>
      <c r="K2563" t="s">
        <v>118</v>
      </c>
      <c r="L2563">
        <v>1.4</v>
      </c>
      <c r="M2563">
        <v>172000</v>
      </c>
      <c r="N2563">
        <v>2.2999999999999998</v>
      </c>
      <c r="O2563">
        <v>36</v>
      </c>
      <c r="P2563" t="s">
        <v>72</v>
      </c>
    </row>
    <row r="2564" spans="1:16" x14ac:dyDescent="0.25">
      <c r="A2564" t="s">
        <v>6102</v>
      </c>
      <c r="B2564" t="s">
        <v>6103</v>
      </c>
      <c r="C2564" t="s">
        <v>18</v>
      </c>
      <c r="D2564" t="s">
        <v>50</v>
      </c>
      <c r="E2564" t="s">
        <v>20</v>
      </c>
      <c r="F2564" t="s">
        <v>39</v>
      </c>
      <c r="G2564" t="s">
        <v>33</v>
      </c>
      <c r="H2564" t="s">
        <v>23</v>
      </c>
      <c r="I2564" t="s">
        <v>24</v>
      </c>
      <c r="J2564" t="s">
        <v>5961</v>
      </c>
      <c r="L2564">
        <v>5.4</v>
      </c>
      <c r="M2564">
        <v>162000</v>
      </c>
      <c r="N2564">
        <v>2.9</v>
      </c>
      <c r="O2564">
        <v>9</v>
      </c>
      <c r="P2564" t="s">
        <v>26</v>
      </c>
    </row>
    <row r="2565" spans="1:16" x14ac:dyDescent="0.25">
      <c r="A2565" t="s">
        <v>6104</v>
      </c>
      <c r="B2565" t="s">
        <v>6105</v>
      </c>
      <c r="C2565" t="s">
        <v>18</v>
      </c>
      <c r="D2565" t="s">
        <v>50</v>
      </c>
      <c r="E2565" t="s">
        <v>20</v>
      </c>
      <c r="F2565" t="s">
        <v>32</v>
      </c>
      <c r="G2565" t="s">
        <v>80</v>
      </c>
      <c r="H2565" t="s">
        <v>23</v>
      </c>
      <c r="I2565" t="s">
        <v>35</v>
      </c>
      <c r="J2565" t="s">
        <v>3496</v>
      </c>
      <c r="K2565" t="s">
        <v>3305</v>
      </c>
      <c r="L2565">
        <v>5.5</v>
      </c>
      <c r="M2565">
        <v>244000</v>
      </c>
      <c r="N2565">
        <v>2.4</v>
      </c>
      <c r="O2565">
        <v>7</v>
      </c>
      <c r="P2565" t="s">
        <v>72</v>
      </c>
    </row>
    <row r="2566" spans="1:16" x14ac:dyDescent="0.25">
      <c r="A2566" t="s">
        <v>6106</v>
      </c>
      <c r="B2566" t="s">
        <v>2291</v>
      </c>
      <c r="C2566" t="s">
        <v>29</v>
      </c>
      <c r="D2566" t="s">
        <v>50</v>
      </c>
      <c r="E2566" t="s">
        <v>20</v>
      </c>
      <c r="F2566" t="s">
        <v>128</v>
      </c>
      <c r="G2566" t="s">
        <v>22</v>
      </c>
      <c r="H2566" t="s">
        <v>34</v>
      </c>
      <c r="I2566" t="s">
        <v>24</v>
      </c>
      <c r="J2566" t="s">
        <v>1243</v>
      </c>
      <c r="L2566">
        <v>1.8</v>
      </c>
      <c r="M2566">
        <v>430000</v>
      </c>
      <c r="N2566">
        <v>2.7</v>
      </c>
      <c r="O2566">
        <v>24</v>
      </c>
      <c r="P2566" t="s">
        <v>26</v>
      </c>
    </row>
    <row r="2567" spans="1:16" x14ac:dyDescent="0.25">
      <c r="A2567" t="s">
        <v>6107</v>
      </c>
      <c r="B2567" t="s">
        <v>4674</v>
      </c>
      <c r="C2567" t="s">
        <v>18</v>
      </c>
      <c r="D2567" t="s">
        <v>50</v>
      </c>
      <c r="E2567" t="s">
        <v>20</v>
      </c>
      <c r="F2567" t="s">
        <v>39</v>
      </c>
      <c r="G2567" t="s">
        <v>33</v>
      </c>
      <c r="H2567" t="s">
        <v>46</v>
      </c>
      <c r="I2567" t="s">
        <v>24</v>
      </c>
      <c r="J2567" t="s">
        <v>5091</v>
      </c>
      <c r="L2567">
        <v>2.6</v>
      </c>
      <c r="M2567">
        <v>118000</v>
      </c>
      <c r="N2567">
        <v>3.8</v>
      </c>
      <c r="O2567">
        <v>20</v>
      </c>
      <c r="P2567" t="s">
        <v>26</v>
      </c>
    </row>
    <row r="2568" spans="1:16" x14ac:dyDescent="0.25">
      <c r="A2568" t="s">
        <v>6108</v>
      </c>
      <c r="B2568" t="s">
        <v>1094</v>
      </c>
      <c r="C2568" t="s">
        <v>18</v>
      </c>
      <c r="D2568" t="s">
        <v>19</v>
      </c>
      <c r="E2568" t="s">
        <v>44</v>
      </c>
      <c r="F2568" t="s">
        <v>21</v>
      </c>
      <c r="G2568" t="s">
        <v>69</v>
      </c>
      <c r="H2568" t="s">
        <v>23</v>
      </c>
      <c r="I2568" t="s">
        <v>24</v>
      </c>
      <c r="J2568" t="s">
        <v>911</v>
      </c>
      <c r="L2568">
        <v>2.1</v>
      </c>
      <c r="M2568">
        <v>941000</v>
      </c>
      <c r="N2568">
        <v>3.8</v>
      </c>
      <c r="O2568">
        <v>11</v>
      </c>
      <c r="P2568" t="s">
        <v>26</v>
      </c>
    </row>
    <row r="2569" spans="1:16" x14ac:dyDescent="0.25">
      <c r="A2569" t="s">
        <v>6109</v>
      </c>
      <c r="B2569" t="s">
        <v>6110</v>
      </c>
      <c r="C2569" t="s">
        <v>29</v>
      </c>
      <c r="D2569" t="s">
        <v>19</v>
      </c>
      <c r="E2569" t="s">
        <v>31</v>
      </c>
      <c r="F2569" t="s">
        <v>32</v>
      </c>
      <c r="G2569" t="s">
        <v>69</v>
      </c>
      <c r="H2569" t="s">
        <v>23</v>
      </c>
      <c r="I2569" t="s">
        <v>24</v>
      </c>
      <c r="J2569" t="s">
        <v>6111</v>
      </c>
      <c r="K2569" t="s">
        <v>4543</v>
      </c>
      <c r="L2569">
        <v>4.7</v>
      </c>
      <c r="M2569">
        <v>225000</v>
      </c>
      <c r="N2569">
        <v>3.5</v>
      </c>
      <c r="O2569">
        <v>3</v>
      </c>
      <c r="P2569" t="s">
        <v>72</v>
      </c>
    </row>
    <row r="2570" spans="1:16" x14ac:dyDescent="0.25">
      <c r="A2570" t="s">
        <v>6112</v>
      </c>
      <c r="B2570" t="s">
        <v>3406</v>
      </c>
      <c r="C2570" t="s">
        <v>18</v>
      </c>
      <c r="D2570" t="s">
        <v>19</v>
      </c>
      <c r="E2570" t="s">
        <v>20</v>
      </c>
      <c r="F2570" t="s">
        <v>128</v>
      </c>
      <c r="G2570" t="s">
        <v>22</v>
      </c>
      <c r="H2570" t="s">
        <v>46</v>
      </c>
      <c r="I2570" t="s">
        <v>35</v>
      </c>
      <c r="J2570" t="s">
        <v>6113</v>
      </c>
      <c r="L2570">
        <v>2.9</v>
      </c>
      <c r="M2570">
        <v>562000</v>
      </c>
      <c r="N2570">
        <v>3.2</v>
      </c>
      <c r="O2570">
        <v>0</v>
      </c>
      <c r="P2570" t="s">
        <v>26</v>
      </c>
    </row>
    <row r="2571" spans="1:16" x14ac:dyDescent="0.25">
      <c r="A2571" t="s">
        <v>6114</v>
      </c>
      <c r="B2571" t="s">
        <v>6115</v>
      </c>
      <c r="C2571" t="s">
        <v>29</v>
      </c>
      <c r="D2571" t="s">
        <v>30</v>
      </c>
      <c r="E2571" t="s">
        <v>20</v>
      </c>
      <c r="F2571" t="s">
        <v>39</v>
      </c>
      <c r="G2571" t="s">
        <v>22</v>
      </c>
      <c r="H2571" t="s">
        <v>23</v>
      </c>
      <c r="I2571" t="s">
        <v>35</v>
      </c>
      <c r="J2571" t="s">
        <v>1461</v>
      </c>
      <c r="K2571" t="s">
        <v>738</v>
      </c>
      <c r="L2571">
        <v>6.2</v>
      </c>
      <c r="M2571">
        <v>113000</v>
      </c>
      <c r="N2571">
        <v>1.9</v>
      </c>
      <c r="O2571">
        <v>24</v>
      </c>
      <c r="P2571" t="s">
        <v>53</v>
      </c>
    </row>
    <row r="2572" spans="1:16" x14ac:dyDescent="0.25">
      <c r="A2572" t="s">
        <v>6116</v>
      </c>
      <c r="B2572" t="s">
        <v>6117</v>
      </c>
      <c r="C2572" t="s">
        <v>18</v>
      </c>
      <c r="E2572" t="s">
        <v>20</v>
      </c>
      <c r="F2572" t="s">
        <v>32</v>
      </c>
      <c r="G2572" t="s">
        <v>22</v>
      </c>
      <c r="I2572" t="s">
        <v>35</v>
      </c>
      <c r="J2572" t="s">
        <v>1537</v>
      </c>
      <c r="L2572">
        <v>3.8</v>
      </c>
      <c r="M2572">
        <v>188000</v>
      </c>
      <c r="N2572">
        <v>3.6</v>
      </c>
      <c r="O2572">
        <v>5</v>
      </c>
      <c r="P2572" t="s">
        <v>26</v>
      </c>
    </row>
    <row r="2573" spans="1:16" x14ac:dyDescent="0.25">
      <c r="A2573" t="s">
        <v>6118</v>
      </c>
      <c r="B2573" t="s">
        <v>6119</v>
      </c>
      <c r="C2573" t="s">
        <v>18</v>
      </c>
      <c r="D2573" t="s">
        <v>30</v>
      </c>
      <c r="E2573" t="s">
        <v>20</v>
      </c>
      <c r="F2573" t="s">
        <v>32</v>
      </c>
      <c r="G2573" t="s">
        <v>80</v>
      </c>
      <c r="H2573" t="s">
        <v>23</v>
      </c>
      <c r="I2573" t="s">
        <v>57</v>
      </c>
      <c r="J2573" t="s">
        <v>6120</v>
      </c>
      <c r="K2573" t="s">
        <v>520</v>
      </c>
      <c r="L2573">
        <v>3.4</v>
      </c>
      <c r="M2573">
        <v>277000</v>
      </c>
      <c r="N2573">
        <v>2.2999999999999998</v>
      </c>
      <c r="O2573">
        <v>0</v>
      </c>
      <c r="P2573" t="s">
        <v>53</v>
      </c>
    </row>
    <row r="2574" spans="1:16" x14ac:dyDescent="0.25">
      <c r="A2574" t="s">
        <v>6121</v>
      </c>
      <c r="B2574" t="s">
        <v>6122</v>
      </c>
      <c r="C2574" t="s">
        <v>18</v>
      </c>
      <c r="D2574" t="s">
        <v>30</v>
      </c>
      <c r="E2574" t="s">
        <v>810</v>
      </c>
      <c r="F2574" t="s">
        <v>128</v>
      </c>
      <c r="G2574" t="s">
        <v>80</v>
      </c>
      <c r="I2574" t="s">
        <v>24</v>
      </c>
      <c r="J2574" t="s">
        <v>6123</v>
      </c>
      <c r="K2574" t="s">
        <v>6124</v>
      </c>
      <c r="L2574">
        <v>5.4</v>
      </c>
      <c r="M2574">
        <v>470000</v>
      </c>
      <c r="N2574">
        <v>4</v>
      </c>
      <c r="O2574">
        <v>9</v>
      </c>
      <c r="P2574" t="s">
        <v>53</v>
      </c>
    </row>
    <row r="2575" spans="1:16" x14ac:dyDescent="0.25">
      <c r="A2575" t="s">
        <v>6125</v>
      </c>
      <c r="B2575" t="s">
        <v>6126</v>
      </c>
      <c r="C2575" t="s">
        <v>29</v>
      </c>
      <c r="D2575" t="s">
        <v>50</v>
      </c>
      <c r="E2575" t="s">
        <v>20</v>
      </c>
      <c r="F2575" t="s">
        <v>39</v>
      </c>
      <c r="G2575" t="s">
        <v>22</v>
      </c>
      <c r="H2575" t="s">
        <v>62</v>
      </c>
      <c r="I2575" t="s">
        <v>24</v>
      </c>
      <c r="J2575" t="s">
        <v>1336</v>
      </c>
      <c r="L2575">
        <v>2.9</v>
      </c>
      <c r="M2575">
        <v>116000</v>
      </c>
      <c r="N2575">
        <v>2.2000000000000002</v>
      </c>
      <c r="O2575">
        <v>1</v>
      </c>
      <c r="P2575" t="s">
        <v>26</v>
      </c>
    </row>
    <row r="2576" spans="1:16" x14ac:dyDescent="0.25">
      <c r="A2576" t="s">
        <v>6127</v>
      </c>
      <c r="B2576" t="s">
        <v>6128</v>
      </c>
      <c r="C2576" t="s">
        <v>18</v>
      </c>
      <c r="D2576" t="s">
        <v>50</v>
      </c>
      <c r="E2576" t="s">
        <v>20</v>
      </c>
      <c r="F2576" t="s">
        <v>128</v>
      </c>
      <c r="G2576" t="s">
        <v>22</v>
      </c>
      <c r="H2576" t="s">
        <v>34</v>
      </c>
      <c r="I2576" t="s">
        <v>24</v>
      </c>
      <c r="J2576" t="s">
        <v>3953</v>
      </c>
      <c r="L2576">
        <v>2.6</v>
      </c>
      <c r="M2576">
        <v>421000</v>
      </c>
      <c r="N2576">
        <v>3.7</v>
      </c>
      <c r="O2576">
        <v>4</v>
      </c>
      <c r="P2576" t="s">
        <v>26</v>
      </c>
    </row>
    <row r="2577" spans="1:16" x14ac:dyDescent="0.25">
      <c r="A2577" t="s">
        <v>6129</v>
      </c>
      <c r="B2577" t="s">
        <v>6130</v>
      </c>
      <c r="C2577" t="s">
        <v>18</v>
      </c>
      <c r="D2577" t="s">
        <v>79</v>
      </c>
      <c r="F2577" t="s">
        <v>32</v>
      </c>
      <c r="G2577" t="s">
        <v>22</v>
      </c>
      <c r="H2577" t="s">
        <v>34</v>
      </c>
      <c r="I2577" t="s">
        <v>57</v>
      </c>
      <c r="J2577" t="s">
        <v>4845</v>
      </c>
      <c r="L2577">
        <v>4.0999999999999996</v>
      </c>
      <c r="M2577">
        <v>304000</v>
      </c>
      <c r="N2577">
        <v>3</v>
      </c>
      <c r="O2577">
        <v>0</v>
      </c>
      <c r="P2577" t="s">
        <v>26</v>
      </c>
    </row>
    <row r="2578" spans="1:16" x14ac:dyDescent="0.25">
      <c r="A2578" t="s">
        <v>6131</v>
      </c>
      <c r="B2578" t="s">
        <v>6132</v>
      </c>
      <c r="C2578" t="s">
        <v>18</v>
      </c>
      <c r="D2578" t="s">
        <v>43</v>
      </c>
      <c r="E2578" t="s">
        <v>20</v>
      </c>
      <c r="F2578" t="s">
        <v>39</v>
      </c>
      <c r="G2578" t="s">
        <v>80</v>
      </c>
      <c r="H2578" t="s">
        <v>34</v>
      </c>
      <c r="I2578" t="s">
        <v>24</v>
      </c>
      <c r="J2578" t="s">
        <v>2612</v>
      </c>
      <c r="L2578">
        <v>6.1</v>
      </c>
      <c r="M2578">
        <v>111000</v>
      </c>
      <c r="N2578">
        <v>2.2000000000000002</v>
      </c>
      <c r="O2578">
        <v>6</v>
      </c>
      <c r="P2578" t="s">
        <v>26</v>
      </c>
    </row>
    <row r="2579" spans="1:16" x14ac:dyDescent="0.25">
      <c r="A2579" t="s">
        <v>6133</v>
      </c>
      <c r="B2579" t="s">
        <v>6134</v>
      </c>
      <c r="C2579" t="s">
        <v>29</v>
      </c>
      <c r="D2579" t="s">
        <v>50</v>
      </c>
      <c r="F2579" t="s">
        <v>128</v>
      </c>
      <c r="G2579" t="s">
        <v>22</v>
      </c>
      <c r="H2579" t="s">
        <v>34</v>
      </c>
      <c r="I2579" t="s">
        <v>57</v>
      </c>
      <c r="J2579" t="s">
        <v>1554</v>
      </c>
      <c r="K2579" t="s">
        <v>6135</v>
      </c>
      <c r="L2579">
        <v>3.2</v>
      </c>
      <c r="M2579">
        <v>534000</v>
      </c>
      <c r="N2579">
        <v>4</v>
      </c>
      <c r="P2579" t="s">
        <v>72</v>
      </c>
    </row>
    <row r="2580" spans="1:16" x14ac:dyDescent="0.25">
      <c r="A2580" t="s">
        <v>6136</v>
      </c>
      <c r="B2580" t="s">
        <v>3378</v>
      </c>
      <c r="C2580" t="s">
        <v>18</v>
      </c>
      <c r="D2580" t="s">
        <v>50</v>
      </c>
      <c r="E2580" t="s">
        <v>31</v>
      </c>
      <c r="F2580" t="s">
        <v>128</v>
      </c>
      <c r="G2580" t="s">
        <v>22</v>
      </c>
      <c r="H2580" t="s">
        <v>46</v>
      </c>
      <c r="I2580" t="s">
        <v>24</v>
      </c>
      <c r="J2580" t="s">
        <v>560</v>
      </c>
      <c r="K2580" t="s">
        <v>5543</v>
      </c>
      <c r="L2580">
        <v>1.7</v>
      </c>
      <c r="M2580">
        <v>540000</v>
      </c>
      <c r="N2580">
        <v>4.4000000000000004</v>
      </c>
      <c r="O2580">
        <v>10</v>
      </c>
      <c r="P2580" t="s">
        <v>53</v>
      </c>
    </row>
    <row r="2581" spans="1:16" x14ac:dyDescent="0.25">
      <c r="A2581" t="s">
        <v>6137</v>
      </c>
      <c r="B2581" t="s">
        <v>3603</v>
      </c>
      <c r="D2581" t="s">
        <v>30</v>
      </c>
      <c r="E2581" t="s">
        <v>20</v>
      </c>
      <c r="F2581" t="s">
        <v>128</v>
      </c>
      <c r="G2581" t="s">
        <v>80</v>
      </c>
      <c r="H2581" t="s">
        <v>46</v>
      </c>
      <c r="I2581" t="s">
        <v>24</v>
      </c>
      <c r="J2581" t="s">
        <v>2737</v>
      </c>
      <c r="K2581" t="s">
        <v>2710</v>
      </c>
      <c r="L2581">
        <v>2.7</v>
      </c>
      <c r="M2581">
        <v>483000</v>
      </c>
      <c r="N2581">
        <v>3.1</v>
      </c>
      <c r="O2581">
        <v>2</v>
      </c>
      <c r="P2581" t="s">
        <v>53</v>
      </c>
    </row>
    <row r="2582" spans="1:16" x14ac:dyDescent="0.25">
      <c r="A2582" t="s">
        <v>6138</v>
      </c>
      <c r="B2582" t="s">
        <v>1958</v>
      </c>
      <c r="C2582" t="s">
        <v>18</v>
      </c>
      <c r="D2582" t="s">
        <v>19</v>
      </c>
      <c r="E2582" t="s">
        <v>20</v>
      </c>
      <c r="F2582" t="s">
        <v>128</v>
      </c>
      <c r="G2582" t="s">
        <v>22</v>
      </c>
      <c r="H2582" t="s">
        <v>34</v>
      </c>
      <c r="I2582" t="s">
        <v>35</v>
      </c>
      <c r="J2582" t="s">
        <v>769</v>
      </c>
      <c r="L2582">
        <v>3.7</v>
      </c>
      <c r="M2582">
        <v>512000</v>
      </c>
      <c r="N2582">
        <v>3.8</v>
      </c>
      <c r="O2582">
        <v>5</v>
      </c>
      <c r="P2582" t="s">
        <v>26</v>
      </c>
    </row>
    <row r="2583" spans="1:16" x14ac:dyDescent="0.25">
      <c r="A2583" t="s">
        <v>6139</v>
      </c>
      <c r="B2583" t="s">
        <v>6140</v>
      </c>
      <c r="C2583" t="s">
        <v>29</v>
      </c>
      <c r="D2583" t="s">
        <v>79</v>
      </c>
      <c r="E2583" t="s">
        <v>20</v>
      </c>
      <c r="F2583" t="s">
        <v>128</v>
      </c>
      <c r="G2583" t="s">
        <v>22</v>
      </c>
      <c r="H2583" t="s">
        <v>23</v>
      </c>
      <c r="J2583" t="s">
        <v>2213</v>
      </c>
      <c r="L2583">
        <v>2.2999999999999998</v>
      </c>
      <c r="M2583">
        <v>476000</v>
      </c>
      <c r="N2583">
        <v>2.5</v>
      </c>
      <c r="O2583">
        <v>2</v>
      </c>
      <c r="P2583" t="s">
        <v>26</v>
      </c>
    </row>
    <row r="2584" spans="1:16" x14ac:dyDescent="0.25">
      <c r="A2584" t="s">
        <v>6141</v>
      </c>
      <c r="B2584" t="s">
        <v>2367</v>
      </c>
      <c r="C2584" t="s">
        <v>29</v>
      </c>
      <c r="D2584" t="s">
        <v>79</v>
      </c>
      <c r="E2584" t="s">
        <v>20</v>
      </c>
      <c r="F2584" t="s">
        <v>32</v>
      </c>
      <c r="G2584" t="s">
        <v>22</v>
      </c>
      <c r="H2584" t="s">
        <v>46</v>
      </c>
      <c r="I2584" t="s">
        <v>57</v>
      </c>
      <c r="J2584" t="s">
        <v>6142</v>
      </c>
      <c r="K2584" t="s">
        <v>2135</v>
      </c>
      <c r="L2584">
        <v>5.0999999999999996</v>
      </c>
      <c r="M2584">
        <v>263000</v>
      </c>
      <c r="N2584">
        <v>4</v>
      </c>
      <c r="O2584">
        <v>9</v>
      </c>
      <c r="P2584" t="s">
        <v>114</v>
      </c>
    </row>
    <row r="2585" spans="1:16" x14ac:dyDescent="0.25">
      <c r="A2585" t="s">
        <v>6143</v>
      </c>
      <c r="B2585" t="s">
        <v>980</v>
      </c>
      <c r="C2585" t="s">
        <v>18</v>
      </c>
      <c r="D2585" t="s">
        <v>79</v>
      </c>
      <c r="E2585" t="s">
        <v>20</v>
      </c>
      <c r="F2585" t="s">
        <v>128</v>
      </c>
      <c r="G2585" t="s">
        <v>22</v>
      </c>
      <c r="H2585" t="s">
        <v>34</v>
      </c>
      <c r="I2585" t="s">
        <v>24</v>
      </c>
      <c r="J2585" t="s">
        <v>1732</v>
      </c>
      <c r="L2585">
        <v>5.0999999999999996</v>
      </c>
      <c r="M2585">
        <v>352000</v>
      </c>
      <c r="N2585">
        <v>4.8</v>
      </c>
      <c r="O2585">
        <v>0</v>
      </c>
      <c r="P2585" t="s">
        <v>26</v>
      </c>
    </row>
    <row r="2586" spans="1:16" x14ac:dyDescent="0.25">
      <c r="A2586" t="s">
        <v>6144</v>
      </c>
      <c r="B2586" t="s">
        <v>5079</v>
      </c>
      <c r="C2586" t="s">
        <v>29</v>
      </c>
      <c r="D2586" t="s">
        <v>30</v>
      </c>
      <c r="E2586" t="s">
        <v>20</v>
      </c>
      <c r="F2586" t="s">
        <v>32</v>
      </c>
      <c r="G2586" t="s">
        <v>80</v>
      </c>
      <c r="H2586" t="s">
        <v>46</v>
      </c>
      <c r="I2586" t="s">
        <v>24</v>
      </c>
      <c r="J2586" t="s">
        <v>2129</v>
      </c>
      <c r="L2586">
        <v>1.9</v>
      </c>
      <c r="M2586">
        <v>348000</v>
      </c>
      <c r="N2586">
        <v>3</v>
      </c>
      <c r="O2586">
        <v>35</v>
      </c>
      <c r="P2586" t="s">
        <v>26</v>
      </c>
    </row>
    <row r="2587" spans="1:16" x14ac:dyDescent="0.25">
      <c r="A2587" t="s">
        <v>6145</v>
      </c>
      <c r="B2587" t="s">
        <v>2581</v>
      </c>
      <c r="C2587" t="s">
        <v>18</v>
      </c>
      <c r="D2587" t="s">
        <v>43</v>
      </c>
      <c r="E2587" t="s">
        <v>31</v>
      </c>
      <c r="F2587" t="s">
        <v>128</v>
      </c>
      <c r="G2587" t="s">
        <v>33</v>
      </c>
      <c r="H2587" t="s">
        <v>23</v>
      </c>
      <c r="I2587" t="s">
        <v>35</v>
      </c>
      <c r="J2587" t="s">
        <v>1497</v>
      </c>
      <c r="L2587">
        <v>1.7</v>
      </c>
      <c r="M2587">
        <v>556000</v>
      </c>
      <c r="N2587">
        <v>3.1</v>
      </c>
      <c r="O2587">
        <v>14</v>
      </c>
      <c r="P2587" t="s">
        <v>26</v>
      </c>
    </row>
    <row r="2588" spans="1:16" x14ac:dyDescent="0.25">
      <c r="A2588" t="s">
        <v>6146</v>
      </c>
      <c r="B2588" t="s">
        <v>4001</v>
      </c>
      <c r="C2588" t="s">
        <v>18</v>
      </c>
      <c r="D2588" t="s">
        <v>19</v>
      </c>
      <c r="E2588" t="s">
        <v>20</v>
      </c>
      <c r="F2588" t="s">
        <v>32</v>
      </c>
      <c r="G2588" t="s">
        <v>80</v>
      </c>
      <c r="H2588" t="s">
        <v>46</v>
      </c>
      <c r="I2588" t="s">
        <v>35</v>
      </c>
      <c r="J2588" t="s">
        <v>4096</v>
      </c>
      <c r="K2588" t="s">
        <v>4729</v>
      </c>
      <c r="L2588">
        <v>6.1</v>
      </c>
      <c r="M2588">
        <v>216000</v>
      </c>
      <c r="N2588">
        <v>3.2</v>
      </c>
      <c r="O2588">
        <v>6</v>
      </c>
      <c r="P2588" t="s">
        <v>53</v>
      </c>
    </row>
    <row r="2589" spans="1:16" x14ac:dyDescent="0.25">
      <c r="A2589" t="s">
        <v>6147</v>
      </c>
      <c r="B2589" t="s">
        <v>6148</v>
      </c>
      <c r="C2589" t="s">
        <v>18</v>
      </c>
      <c r="D2589" t="s">
        <v>19</v>
      </c>
      <c r="E2589" t="s">
        <v>20</v>
      </c>
      <c r="F2589" t="s">
        <v>32</v>
      </c>
      <c r="G2589" t="s">
        <v>22</v>
      </c>
      <c r="H2589" t="s">
        <v>62</v>
      </c>
      <c r="I2589" t="s">
        <v>57</v>
      </c>
      <c r="J2589" t="s">
        <v>5642</v>
      </c>
      <c r="L2589">
        <v>4.5999999999999996</v>
      </c>
      <c r="M2589">
        <v>325000</v>
      </c>
      <c r="N2589">
        <v>2</v>
      </c>
      <c r="O2589">
        <v>7</v>
      </c>
      <c r="P2589" t="s">
        <v>26</v>
      </c>
    </row>
    <row r="2590" spans="1:16" x14ac:dyDescent="0.25">
      <c r="A2590" t="s">
        <v>6149</v>
      </c>
      <c r="B2590" t="s">
        <v>5366</v>
      </c>
      <c r="C2590" t="s">
        <v>29</v>
      </c>
      <c r="D2590" t="s">
        <v>30</v>
      </c>
      <c r="E2590" t="s">
        <v>20</v>
      </c>
      <c r="F2590" t="s">
        <v>128</v>
      </c>
      <c r="G2590" t="s">
        <v>33</v>
      </c>
      <c r="H2590" t="s">
        <v>46</v>
      </c>
      <c r="I2590" t="s">
        <v>35</v>
      </c>
      <c r="J2590" t="s">
        <v>6150</v>
      </c>
      <c r="L2590">
        <v>3.4</v>
      </c>
      <c r="M2590">
        <v>408000</v>
      </c>
      <c r="N2590">
        <v>5</v>
      </c>
      <c r="P2590" t="s">
        <v>26</v>
      </c>
    </row>
    <row r="2591" spans="1:16" x14ac:dyDescent="0.25">
      <c r="A2591" t="s">
        <v>6151</v>
      </c>
      <c r="B2591" t="s">
        <v>5569</v>
      </c>
      <c r="C2591" t="s">
        <v>29</v>
      </c>
      <c r="D2591" t="s">
        <v>79</v>
      </c>
      <c r="E2591" t="s">
        <v>20</v>
      </c>
      <c r="F2591" t="s">
        <v>32</v>
      </c>
      <c r="G2591" t="s">
        <v>22</v>
      </c>
      <c r="H2591" t="s">
        <v>23</v>
      </c>
      <c r="I2591" t="s">
        <v>24</v>
      </c>
      <c r="J2591" t="s">
        <v>2681</v>
      </c>
      <c r="L2591">
        <v>1.8</v>
      </c>
      <c r="M2591">
        <v>255000</v>
      </c>
      <c r="N2591">
        <v>3.8</v>
      </c>
      <c r="O2591">
        <v>2</v>
      </c>
      <c r="P2591" t="s">
        <v>26</v>
      </c>
    </row>
    <row r="2592" spans="1:16" x14ac:dyDescent="0.25">
      <c r="A2592" t="s">
        <v>6152</v>
      </c>
      <c r="B2592" t="s">
        <v>3187</v>
      </c>
      <c r="C2592" t="s">
        <v>29</v>
      </c>
      <c r="D2592" t="s">
        <v>79</v>
      </c>
      <c r="E2592" t="s">
        <v>20</v>
      </c>
      <c r="F2592" t="s">
        <v>128</v>
      </c>
      <c r="G2592" t="s">
        <v>22</v>
      </c>
      <c r="H2592" t="s">
        <v>46</v>
      </c>
      <c r="I2592" t="s">
        <v>24</v>
      </c>
      <c r="J2592" t="s">
        <v>3256</v>
      </c>
      <c r="K2592" t="s">
        <v>1285</v>
      </c>
      <c r="L2592">
        <v>2.6</v>
      </c>
      <c r="M2592">
        <v>547000</v>
      </c>
      <c r="N2592">
        <v>3.6</v>
      </c>
      <c r="O2592">
        <v>10</v>
      </c>
      <c r="P2592" t="s">
        <v>53</v>
      </c>
    </row>
    <row r="2593" spans="1:16" x14ac:dyDescent="0.25">
      <c r="A2593" t="s">
        <v>6153</v>
      </c>
      <c r="B2593" t="s">
        <v>6154</v>
      </c>
      <c r="C2593" t="s">
        <v>29</v>
      </c>
      <c r="D2593" t="s">
        <v>43</v>
      </c>
      <c r="E2593" t="s">
        <v>20</v>
      </c>
      <c r="F2593" t="s">
        <v>32</v>
      </c>
      <c r="G2593" t="s">
        <v>22</v>
      </c>
      <c r="H2593" t="s">
        <v>23</v>
      </c>
      <c r="I2593" t="s">
        <v>24</v>
      </c>
      <c r="J2593" t="s">
        <v>4595</v>
      </c>
      <c r="L2593">
        <v>1.6</v>
      </c>
      <c r="M2593">
        <v>262000</v>
      </c>
      <c r="N2593">
        <v>2.2999999999999998</v>
      </c>
      <c r="O2593">
        <v>7</v>
      </c>
      <c r="P2593" t="s">
        <v>26</v>
      </c>
    </row>
    <row r="2594" spans="1:16" x14ac:dyDescent="0.25">
      <c r="A2594" t="s">
        <v>6155</v>
      </c>
      <c r="B2594" t="s">
        <v>6156</v>
      </c>
      <c r="C2594" t="s">
        <v>29</v>
      </c>
      <c r="D2594" t="s">
        <v>30</v>
      </c>
      <c r="E2594" t="s">
        <v>20</v>
      </c>
      <c r="F2594" t="s">
        <v>39</v>
      </c>
      <c r="G2594" t="s">
        <v>80</v>
      </c>
      <c r="H2594" t="s">
        <v>34</v>
      </c>
      <c r="I2594" t="s">
        <v>24</v>
      </c>
      <c r="J2594" t="s">
        <v>3539</v>
      </c>
      <c r="L2594">
        <v>2</v>
      </c>
      <c r="M2594">
        <v>119000</v>
      </c>
      <c r="N2594">
        <v>3.5</v>
      </c>
      <c r="O2594">
        <v>4</v>
      </c>
      <c r="P2594" t="s">
        <v>26</v>
      </c>
    </row>
    <row r="2595" spans="1:16" x14ac:dyDescent="0.25">
      <c r="A2595" t="s">
        <v>6157</v>
      </c>
      <c r="B2595" t="s">
        <v>6158</v>
      </c>
      <c r="D2595" t="s">
        <v>50</v>
      </c>
      <c r="E2595" t="s">
        <v>20</v>
      </c>
      <c r="F2595" t="s">
        <v>39</v>
      </c>
      <c r="G2595" t="s">
        <v>22</v>
      </c>
      <c r="H2595" t="s">
        <v>34</v>
      </c>
      <c r="I2595" t="s">
        <v>35</v>
      </c>
      <c r="J2595" t="s">
        <v>5702</v>
      </c>
      <c r="L2595">
        <v>2.2000000000000002</v>
      </c>
      <c r="M2595">
        <v>123000</v>
      </c>
      <c r="N2595">
        <v>4.5999999999999996</v>
      </c>
      <c r="O2595">
        <v>9</v>
      </c>
      <c r="P2595" t="s">
        <v>26</v>
      </c>
    </row>
    <row r="2596" spans="1:16" x14ac:dyDescent="0.25">
      <c r="A2596" t="s">
        <v>6159</v>
      </c>
      <c r="B2596" t="s">
        <v>980</v>
      </c>
      <c r="C2596" t="s">
        <v>18</v>
      </c>
      <c r="D2596" t="s">
        <v>30</v>
      </c>
      <c r="E2596" t="s">
        <v>44</v>
      </c>
      <c r="F2596" t="s">
        <v>39</v>
      </c>
      <c r="G2596" t="s">
        <v>22</v>
      </c>
      <c r="H2596" t="s">
        <v>23</v>
      </c>
      <c r="I2596" t="s">
        <v>35</v>
      </c>
      <c r="J2596" t="s">
        <v>6160</v>
      </c>
      <c r="K2596" t="s">
        <v>2449</v>
      </c>
      <c r="L2596">
        <v>2.1</v>
      </c>
      <c r="M2596">
        <v>112000</v>
      </c>
      <c r="N2596">
        <v>1.8</v>
      </c>
      <c r="O2596">
        <v>4</v>
      </c>
      <c r="P2596" t="s">
        <v>53</v>
      </c>
    </row>
    <row r="2597" spans="1:16" x14ac:dyDescent="0.25">
      <c r="A2597" t="s">
        <v>6161</v>
      </c>
      <c r="B2597" t="s">
        <v>6148</v>
      </c>
      <c r="C2597" t="s">
        <v>18</v>
      </c>
      <c r="D2597" t="s">
        <v>19</v>
      </c>
      <c r="F2597" t="s">
        <v>128</v>
      </c>
      <c r="G2597" t="s">
        <v>22</v>
      </c>
      <c r="H2597" t="s">
        <v>34</v>
      </c>
      <c r="I2597" t="s">
        <v>24</v>
      </c>
      <c r="J2597" t="s">
        <v>1788</v>
      </c>
      <c r="K2597" t="s">
        <v>6162</v>
      </c>
      <c r="L2597">
        <v>4.9000000000000004</v>
      </c>
      <c r="M2597">
        <v>439000</v>
      </c>
      <c r="N2597">
        <v>-0.5</v>
      </c>
      <c r="O2597">
        <v>8</v>
      </c>
      <c r="P2597" t="s">
        <v>72</v>
      </c>
    </row>
    <row r="2598" spans="1:16" x14ac:dyDescent="0.25">
      <c r="A2598" t="s">
        <v>6163</v>
      </c>
      <c r="B2598" t="s">
        <v>2322</v>
      </c>
      <c r="D2598" t="s">
        <v>79</v>
      </c>
      <c r="E2598" t="s">
        <v>44</v>
      </c>
      <c r="F2598" t="s">
        <v>32</v>
      </c>
      <c r="G2598" t="s">
        <v>22</v>
      </c>
      <c r="H2598" t="s">
        <v>46</v>
      </c>
      <c r="I2598" t="s">
        <v>57</v>
      </c>
      <c r="J2598" t="s">
        <v>2186</v>
      </c>
      <c r="L2598">
        <v>3.8</v>
      </c>
      <c r="N2598">
        <v>2.7</v>
      </c>
      <c r="O2598">
        <v>8</v>
      </c>
      <c r="P2598" t="s">
        <v>26</v>
      </c>
    </row>
    <row r="2599" spans="1:16" x14ac:dyDescent="0.25">
      <c r="A2599" t="s">
        <v>6164</v>
      </c>
      <c r="B2599" t="s">
        <v>6165</v>
      </c>
      <c r="C2599" t="s">
        <v>29</v>
      </c>
      <c r="D2599" t="s">
        <v>19</v>
      </c>
      <c r="E2599" t="s">
        <v>44</v>
      </c>
      <c r="F2599" t="s">
        <v>128</v>
      </c>
      <c r="G2599" t="s">
        <v>33</v>
      </c>
      <c r="H2599" t="s">
        <v>23</v>
      </c>
      <c r="I2599" t="s">
        <v>35</v>
      </c>
      <c r="J2599" t="s">
        <v>1098</v>
      </c>
      <c r="K2599" t="s">
        <v>4513</v>
      </c>
      <c r="L2599">
        <v>3.5</v>
      </c>
      <c r="M2599">
        <v>591000</v>
      </c>
      <c r="N2599">
        <v>4.0999999999999996</v>
      </c>
      <c r="O2599">
        <v>1</v>
      </c>
      <c r="P2599" t="s">
        <v>53</v>
      </c>
    </row>
    <row r="2600" spans="1:16" x14ac:dyDescent="0.25">
      <c r="A2600" t="s">
        <v>6166</v>
      </c>
      <c r="B2600" t="s">
        <v>6167</v>
      </c>
      <c r="C2600" t="s">
        <v>18</v>
      </c>
      <c r="D2600" t="s">
        <v>30</v>
      </c>
      <c r="E2600" t="s">
        <v>20</v>
      </c>
      <c r="F2600" t="s">
        <v>39</v>
      </c>
      <c r="G2600" t="s">
        <v>69</v>
      </c>
      <c r="H2600" t="s">
        <v>23</v>
      </c>
      <c r="I2600" t="s">
        <v>57</v>
      </c>
      <c r="J2600" t="s">
        <v>4595</v>
      </c>
      <c r="L2600">
        <v>1.6</v>
      </c>
      <c r="M2600">
        <v>106000</v>
      </c>
      <c r="N2600">
        <v>2.5</v>
      </c>
      <c r="O2600">
        <v>12</v>
      </c>
      <c r="P2600" t="s">
        <v>26</v>
      </c>
    </row>
    <row r="2601" spans="1:16" x14ac:dyDescent="0.25">
      <c r="A2601" t="s">
        <v>6168</v>
      </c>
      <c r="B2601" t="s">
        <v>218</v>
      </c>
      <c r="C2601" t="s">
        <v>18</v>
      </c>
      <c r="D2601" t="s">
        <v>19</v>
      </c>
      <c r="E2601" t="s">
        <v>31</v>
      </c>
      <c r="F2601" t="s">
        <v>39</v>
      </c>
      <c r="G2601" t="s">
        <v>22</v>
      </c>
      <c r="H2601" t="s">
        <v>46</v>
      </c>
      <c r="I2601" t="s">
        <v>57</v>
      </c>
      <c r="J2601" t="s">
        <v>6169</v>
      </c>
      <c r="K2601" t="s">
        <v>6170</v>
      </c>
      <c r="L2601">
        <v>4.7</v>
      </c>
      <c r="M2601">
        <v>181000</v>
      </c>
      <c r="N2601">
        <v>2.1</v>
      </c>
      <c r="O2601">
        <v>4</v>
      </c>
      <c r="P2601" t="s">
        <v>72</v>
      </c>
    </row>
    <row r="2602" spans="1:16" x14ac:dyDescent="0.25">
      <c r="A2602" t="s">
        <v>6171</v>
      </c>
      <c r="B2602" t="s">
        <v>4262</v>
      </c>
      <c r="C2602" t="s">
        <v>29</v>
      </c>
      <c r="D2602" t="s">
        <v>79</v>
      </c>
      <c r="E2602" t="s">
        <v>20</v>
      </c>
      <c r="F2602" t="s">
        <v>128</v>
      </c>
      <c r="G2602" t="s">
        <v>22</v>
      </c>
      <c r="H2602" t="s">
        <v>23</v>
      </c>
      <c r="I2602" t="s">
        <v>57</v>
      </c>
      <c r="J2602" t="s">
        <v>4026</v>
      </c>
      <c r="K2602" t="s">
        <v>3837</v>
      </c>
      <c r="L2602">
        <v>5.5</v>
      </c>
      <c r="M2602">
        <v>484000</v>
      </c>
      <c r="N2602">
        <v>2.7</v>
      </c>
      <c r="O2602">
        <v>9</v>
      </c>
      <c r="P2602" t="s">
        <v>114</v>
      </c>
    </row>
    <row r="2603" spans="1:16" x14ac:dyDescent="0.25">
      <c r="A2603" t="s">
        <v>6172</v>
      </c>
      <c r="B2603" t="s">
        <v>6173</v>
      </c>
      <c r="C2603" t="s">
        <v>29</v>
      </c>
      <c r="D2603" t="s">
        <v>79</v>
      </c>
      <c r="E2603" t="s">
        <v>20</v>
      </c>
      <c r="F2603" t="s">
        <v>128</v>
      </c>
      <c r="G2603" t="s">
        <v>33</v>
      </c>
      <c r="H2603" t="s">
        <v>23</v>
      </c>
      <c r="I2603" t="s">
        <v>24</v>
      </c>
      <c r="J2603" t="s">
        <v>1646</v>
      </c>
      <c r="K2603" t="s">
        <v>2200</v>
      </c>
      <c r="L2603">
        <v>3.9</v>
      </c>
      <c r="M2603">
        <v>408000</v>
      </c>
      <c r="N2603">
        <v>4.3</v>
      </c>
      <c r="O2603">
        <v>34</v>
      </c>
      <c r="P2603" t="s">
        <v>114</v>
      </c>
    </row>
    <row r="2604" spans="1:16" x14ac:dyDescent="0.25">
      <c r="A2604" t="s">
        <v>6174</v>
      </c>
      <c r="B2604" t="s">
        <v>624</v>
      </c>
      <c r="C2604" t="s">
        <v>18</v>
      </c>
      <c r="D2604" t="s">
        <v>79</v>
      </c>
      <c r="E2604" t="s">
        <v>20</v>
      </c>
      <c r="F2604" t="s">
        <v>128</v>
      </c>
      <c r="G2604" t="s">
        <v>22</v>
      </c>
      <c r="H2604" t="s">
        <v>23</v>
      </c>
      <c r="I2604" t="s">
        <v>57</v>
      </c>
      <c r="J2604" t="s">
        <v>165</v>
      </c>
      <c r="L2604">
        <v>1.7</v>
      </c>
      <c r="M2604">
        <v>551000</v>
      </c>
      <c r="N2604">
        <v>3.4</v>
      </c>
      <c r="O2604">
        <v>7</v>
      </c>
      <c r="P2604" t="s">
        <v>26</v>
      </c>
    </row>
    <row r="2605" spans="1:16" x14ac:dyDescent="0.25">
      <c r="A2605" t="s">
        <v>6175</v>
      </c>
      <c r="B2605" t="s">
        <v>3502</v>
      </c>
      <c r="C2605" t="s">
        <v>18</v>
      </c>
      <c r="D2605" t="s">
        <v>30</v>
      </c>
      <c r="F2605" t="s">
        <v>128</v>
      </c>
      <c r="G2605" t="s">
        <v>22</v>
      </c>
      <c r="H2605" t="s">
        <v>23</v>
      </c>
      <c r="I2605" t="s">
        <v>57</v>
      </c>
      <c r="J2605" t="s">
        <v>400</v>
      </c>
      <c r="K2605" t="s">
        <v>6176</v>
      </c>
      <c r="L2605">
        <v>4.3</v>
      </c>
      <c r="M2605">
        <v>560000</v>
      </c>
      <c r="N2605">
        <v>2.1</v>
      </c>
      <c r="O2605">
        <v>13</v>
      </c>
      <c r="P2605" t="s">
        <v>72</v>
      </c>
    </row>
    <row r="2606" spans="1:16" x14ac:dyDescent="0.25">
      <c r="A2606" t="s">
        <v>6177</v>
      </c>
      <c r="B2606" t="s">
        <v>251</v>
      </c>
      <c r="C2606" t="s">
        <v>18</v>
      </c>
      <c r="D2606" t="s">
        <v>79</v>
      </c>
      <c r="E2606" t="s">
        <v>20</v>
      </c>
      <c r="F2606" t="s">
        <v>45</v>
      </c>
      <c r="G2606" t="s">
        <v>33</v>
      </c>
      <c r="H2606" t="s">
        <v>34</v>
      </c>
      <c r="I2606" t="s">
        <v>35</v>
      </c>
      <c r="J2606" t="s">
        <v>6178</v>
      </c>
      <c r="L2606">
        <v>5.8</v>
      </c>
      <c r="M2606">
        <v>1478000</v>
      </c>
      <c r="N2606">
        <v>3.1</v>
      </c>
      <c r="O2606">
        <v>0</v>
      </c>
      <c r="P2606" t="s">
        <v>26</v>
      </c>
    </row>
    <row r="2607" spans="1:16" x14ac:dyDescent="0.25">
      <c r="A2607" t="s">
        <v>6179</v>
      </c>
      <c r="B2607" t="s">
        <v>1384</v>
      </c>
      <c r="C2607" t="s">
        <v>29</v>
      </c>
      <c r="D2607" t="s">
        <v>30</v>
      </c>
      <c r="E2607" t="s">
        <v>20</v>
      </c>
      <c r="F2607" t="s">
        <v>32</v>
      </c>
      <c r="G2607" t="s">
        <v>22</v>
      </c>
      <c r="H2607" t="s">
        <v>23</v>
      </c>
      <c r="I2607" t="s">
        <v>35</v>
      </c>
      <c r="J2607" t="s">
        <v>6180</v>
      </c>
      <c r="L2607">
        <v>1.4</v>
      </c>
      <c r="M2607">
        <v>197000</v>
      </c>
      <c r="N2607">
        <v>2.8</v>
      </c>
      <c r="O2607">
        <v>7</v>
      </c>
      <c r="P2607" t="s">
        <v>26</v>
      </c>
    </row>
    <row r="2608" spans="1:16" x14ac:dyDescent="0.25">
      <c r="A2608" t="s">
        <v>6181</v>
      </c>
      <c r="B2608" t="s">
        <v>6182</v>
      </c>
      <c r="C2608" t="s">
        <v>18</v>
      </c>
      <c r="E2608" t="s">
        <v>20</v>
      </c>
      <c r="F2608" t="s">
        <v>32</v>
      </c>
      <c r="G2608" t="s">
        <v>80</v>
      </c>
      <c r="H2608" t="s">
        <v>46</v>
      </c>
      <c r="I2608" t="s">
        <v>24</v>
      </c>
      <c r="J2608" t="s">
        <v>3053</v>
      </c>
      <c r="L2608">
        <v>2</v>
      </c>
      <c r="M2608">
        <v>220000</v>
      </c>
      <c r="N2608">
        <v>1.8</v>
      </c>
      <c r="O2608">
        <v>8</v>
      </c>
      <c r="P2608" t="s">
        <v>26</v>
      </c>
    </row>
    <row r="2609" spans="1:16" x14ac:dyDescent="0.25">
      <c r="A2609" t="s">
        <v>6183</v>
      </c>
      <c r="B2609" t="s">
        <v>4349</v>
      </c>
      <c r="C2609" t="s">
        <v>29</v>
      </c>
      <c r="D2609" t="s">
        <v>19</v>
      </c>
      <c r="E2609" t="s">
        <v>20</v>
      </c>
      <c r="F2609" t="s">
        <v>39</v>
      </c>
      <c r="G2609" t="s">
        <v>33</v>
      </c>
      <c r="H2609" t="s">
        <v>34</v>
      </c>
      <c r="I2609" t="s">
        <v>57</v>
      </c>
      <c r="J2609" t="s">
        <v>6184</v>
      </c>
      <c r="K2609" t="s">
        <v>6185</v>
      </c>
      <c r="L2609">
        <v>3.7</v>
      </c>
      <c r="M2609">
        <v>118000</v>
      </c>
      <c r="N2609">
        <v>3.8</v>
      </c>
      <c r="O2609">
        <v>15</v>
      </c>
      <c r="P2609" t="s">
        <v>53</v>
      </c>
    </row>
    <row r="2610" spans="1:16" x14ac:dyDescent="0.25">
      <c r="A2610" t="s">
        <v>6186</v>
      </c>
      <c r="B2610" t="s">
        <v>6187</v>
      </c>
      <c r="C2610" t="s">
        <v>29</v>
      </c>
      <c r="D2610" t="s">
        <v>19</v>
      </c>
      <c r="F2610" t="s">
        <v>128</v>
      </c>
      <c r="G2610" t="s">
        <v>33</v>
      </c>
      <c r="H2610" t="s">
        <v>34</v>
      </c>
      <c r="I2610" t="s">
        <v>57</v>
      </c>
      <c r="J2610" t="s">
        <v>6188</v>
      </c>
      <c r="L2610">
        <v>3.6</v>
      </c>
      <c r="M2610">
        <v>472000</v>
      </c>
      <c r="N2610">
        <v>2.4</v>
      </c>
      <c r="O2610">
        <v>13</v>
      </c>
      <c r="P2610" t="s">
        <v>26</v>
      </c>
    </row>
    <row r="2611" spans="1:16" x14ac:dyDescent="0.25">
      <c r="A2611" t="s">
        <v>6189</v>
      </c>
      <c r="B2611" t="s">
        <v>5567</v>
      </c>
      <c r="C2611" t="s">
        <v>18</v>
      </c>
      <c r="D2611" t="s">
        <v>19</v>
      </c>
      <c r="E2611" t="s">
        <v>44</v>
      </c>
      <c r="F2611" t="s">
        <v>21</v>
      </c>
      <c r="G2611" t="s">
        <v>33</v>
      </c>
      <c r="H2611" t="s">
        <v>23</v>
      </c>
      <c r="I2611" t="s">
        <v>24</v>
      </c>
      <c r="J2611" t="s">
        <v>5496</v>
      </c>
      <c r="L2611">
        <v>4.9000000000000004</v>
      </c>
      <c r="M2611">
        <v>678000</v>
      </c>
      <c r="N2611">
        <v>4.2</v>
      </c>
      <c r="O2611">
        <v>9</v>
      </c>
      <c r="P2611" t="s">
        <v>26</v>
      </c>
    </row>
    <row r="2612" spans="1:16" x14ac:dyDescent="0.25">
      <c r="A2612" t="s">
        <v>6190</v>
      </c>
      <c r="B2612" t="s">
        <v>519</v>
      </c>
      <c r="C2612" t="s">
        <v>29</v>
      </c>
      <c r="D2612" t="s">
        <v>30</v>
      </c>
      <c r="E2612" t="s">
        <v>44</v>
      </c>
      <c r="F2612" t="s">
        <v>39</v>
      </c>
      <c r="G2612" t="s">
        <v>69</v>
      </c>
      <c r="H2612" t="s">
        <v>23</v>
      </c>
      <c r="I2612" t="s">
        <v>24</v>
      </c>
      <c r="J2612" t="s">
        <v>6191</v>
      </c>
      <c r="L2612">
        <v>2.6</v>
      </c>
      <c r="M2612">
        <v>147000</v>
      </c>
      <c r="N2612">
        <v>2.8</v>
      </c>
      <c r="O2612">
        <v>0</v>
      </c>
      <c r="P2612" t="s">
        <v>26</v>
      </c>
    </row>
    <row r="2613" spans="1:16" x14ac:dyDescent="0.25">
      <c r="A2613" t="s">
        <v>6192</v>
      </c>
      <c r="B2613" t="s">
        <v>6193</v>
      </c>
      <c r="C2613" t="s">
        <v>29</v>
      </c>
      <c r="D2613" t="s">
        <v>79</v>
      </c>
      <c r="E2613" t="s">
        <v>20</v>
      </c>
      <c r="F2613" t="s">
        <v>45</v>
      </c>
      <c r="G2613" t="s">
        <v>80</v>
      </c>
      <c r="H2613" t="s">
        <v>62</v>
      </c>
      <c r="I2613" t="s">
        <v>35</v>
      </c>
      <c r="J2613" t="s">
        <v>5424</v>
      </c>
      <c r="L2613">
        <v>5</v>
      </c>
      <c r="M2613">
        <v>1142000</v>
      </c>
      <c r="N2613">
        <v>4.0999999999999996</v>
      </c>
      <c r="O2613">
        <v>13</v>
      </c>
      <c r="P2613" t="s">
        <v>26</v>
      </c>
    </row>
    <row r="2614" spans="1:16" x14ac:dyDescent="0.25">
      <c r="A2614" t="s">
        <v>6194</v>
      </c>
      <c r="B2614" t="s">
        <v>6195</v>
      </c>
      <c r="C2614" t="s">
        <v>18</v>
      </c>
      <c r="D2614" t="s">
        <v>50</v>
      </c>
      <c r="E2614" t="s">
        <v>20</v>
      </c>
      <c r="F2614" t="s">
        <v>32</v>
      </c>
      <c r="G2614" t="s">
        <v>80</v>
      </c>
      <c r="H2614" t="s">
        <v>46</v>
      </c>
      <c r="I2614" t="s">
        <v>75</v>
      </c>
      <c r="J2614" t="s">
        <v>6196</v>
      </c>
      <c r="K2614" t="s">
        <v>5208</v>
      </c>
      <c r="L2614">
        <v>3.6</v>
      </c>
      <c r="M2614">
        <v>286000</v>
      </c>
      <c r="N2614">
        <v>4.8</v>
      </c>
      <c r="O2614">
        <v>0</v>
      </c>
      <c r="P2614" t="s">
        <v>53</v>
      </c>
    </row>
    <row r="2615" spans="1:16" x14ac:dyDescent="0.25">
      <c r="A2615" t="s">
        <v>6197</v>
      </c>
      <c r="B2615" t="s">
        <v>4423</v>
      </c>
      <c r="C2615" t="s">
        <v>29</v>
      </c>
      <c r="D2615" t="s">
        <v>30</v>
      </c>
      <c r="E2615" t="s">
        <v>20</v>
      </c>
      <c r="F2615" t="s">
        <v>39</v>
      </c>
      <c r="G2615" t="s">
        <v>22</v>
      </c>
      <c r="H2615" t="s">
        <v>34</v>
      </c>
      <c r="I2615" t="s">
        <v>171</v>
      </c>
      <c r="J2615" t="s">
        <v>6178</v>
      </c>
      <c r="K2615" t="s">
        <v>5187</v>
      </c>
      <c r="L2615">
        <v>5.8</v>
      </c>
      <c r="M2615">
        <v>103000</v>
      </c>
      <c r="N2615">
        <v>3.2</v>
      </c>
      <c r="O2615">
        <v>1</v>
      </c>
      <c r="P2615" t="s">
        <v>53</v>
      </c>
    </row>
    <row r="2616" spans="1:16" x14ac:dyDescent="0.25">
      <c r="A2616" t="s">
        <v>6198</v>
      </c>
      <c r="B2616" t="s">
        <v>4945</v>
      </c>
      <c r="C2616" t="s">
        <v>18</v>
      </c>
      <c r="D2616" t="s">
        <v>79</v>
      </c>
      <c r="E2616" t="s">
        <v>44</v>
      </c>
      <c r="F2616" t="s">
        <v>39</v>
      </c>
      <c r="G2616" t="s">
        <v>22</v>
      </c>
      <c r="H2616" t="s">
        <v>46</v>
      </c>
      <c r="I2616" t="s">
        <v>35</v>
      </c>
      <c r="J2616" t="s">
        <v>1303</v>
      </c>
      <c r="L2616">
        <v>5.7</v>
      </c>
      <c r="M2616">
        <v>88000</v>
      </c>
      <c r="N2616">
        <v>3.9</v>
      </c>
      <c r="O2616">
        <v>7</v>
      </c>
      <c r="P2616" t="s">
        <v>26</v>
      </c>
    </row>
    <row r="2617" spans="1:16" x14ac:dyDescent="0.25">
      <c r="A2617" t="s">
        <v>6199</v>
      </c>
      <c r="B2617" t="s">
        <v>6200</v>
      </c>
      <c r="C2617" t="s">
        <v>29</v>
      </c>
      <c r="D2617" t="s">
        <v>19</v>
      </c>
      <c r="E2617" t="s">
        <v>20</v>
      </c>
      <c r="F2617" t="s">
        <v>128</v>
      </c>
      <c r="G2617" t="s">
        <v>33</v>
      </c>
      <c r="H2617" t="s">
        <v>23</v>
      </c>
      <c r="I2617" t="s">
        <v>57</v>
      </c>
      <c r="J2617" t="s">
        <v>6201</v>
      </c>
      <c r="L2617">
        <v>2</v>
      </c>
      <c r="M2617">
        <v>539000</v>
      </c>
      <c r="N2617">
        <v>4.5999999999999996</v>
      </c>
      <c r="O2617">
        <v>12</v>
      </c>
      <c r="P2617" t="s">
        <v>26</v>
      </c>
    </row>
    <row r="2618" spans="1:16" x14ac:dyDescent="0.25">
      <c r="A2618" t="s">
        <v>6202</v>
      </c>
      <c r="B2618" t="s">
        <v>552</v>
      </c>
      <c r="C2618" t="s">
        <v>18</v>
      </c>
      <c r="D2618" t="s">
        <v>30</v>
      </c>
      <c r="E2618" t="s">
        <v>31</v>
      </c>
      <c r="G2618" t="s">
        <v>80</v>
      </c>
      <c r="H2618" t="s">
        <v>23</v>
      </c>
      <c r="I2618" t="s">
        <v>171</v>
      </c>
      <c r="J2618" t="s">
        <v>5642</v>
      </c>
      <c r="K2618" t="s">
        <v>583</v>
      </c>
      <c r="L2618">
        <v>4.5999999999999996</v>
      </c>
      <c r="M2618">
        <v>144000</v>
      </c>
      <c r="N2618">
        <v>3.2</v>
      </c>
      <c r="O2618">
        <v>4</v>
      </c>
      <c r="P2618" t="s">
        <v>53</v>
      </c>
    </row>
    <row r="2619" spans="1:16" x14ac:dyDescent="0.25">
      <c r="A2619" t="s">
        <v>6203</v>
      </c>
      <c r="B2619" t="s">
        <v>6204</v>
      </c>
      <c r="C2619" t="s">
        <v>18</v>
      </c>
      <c r="D2619" t="s">
        <v>79</v>
      </c>
      <c r="E2619" t="s">
        <v>20</v>
      </c>
      <c r="F2619" t="s">
        <v>45</v>
      </c>
      <c r="G2619" t="s">
        <v>33</v>
      </c>
      <c r="H2619" t="s">
        <v>34</v>
      </c>
      <c r="I2619" t="s">
        <v>57</v>
      </c>
      <c r="J2619" t="s">
        <v>5990</v>
      </c>
      <c r="L2619">
        <v>1.8</v>
      </c>
      <c r="M2619">
        <v>1204000</v>
      </c>
      <c r="O2619">
        <v>30</v>
      </c>
      <c r="P2619" t="s">
        <v>26</v>
      </c>
    </row>
    <row r="2620" spans="1:16" x14ac:dyDescent="0.25">
      <c r="A2620" t="s">
        <v>6205</v>
      </c>
      <c r="B2620" t="s">
        <v>6206</v>
      </c>
      <c r="C2620" t="s">
        <v>29</v>
      </c>
      <c r="D2620" t="s">
        <v>30</v>
      </c>
      <c r="E2620" t="s">
        <v>44</v>
      </c>
      <c r="F2620" t="s">
        <v>32</v>
      </c>
      <c r="G2620" t="s">
        <v>33</v>
      </c>
      <c r="H2620" t="s">
        <v>23</v>
      </c>
      <c r="I2620" t="s">
        <v>24</v>
      </c>
      <c r="J2620" t="s">
        <v>459</v>
      </c>
      <c r="K2620" t="s">
        <v>6207</v>
      </c>
      <c r="L2620">
        <v>5.7</v>
      </c>
      <c r="M2620">
        <v>323000</v>
      </c>
      <c r="N2620">
        <v>3.4</v>
      </c>
      <c r="O2620">
        <v>4</v>
      </c>
      <c r="P2620" t="s">
        <v>53</v>
      </c>
    </row>
    <row r="2621" spans="1:16" x14ac:dyDescent="0.25">
      <c r="A2621" t="s">
        <v>6208</v>
      </c>
      <c r="B2621" t="s">
        <v>647</v>
      </c>
      <c r="C2621" t="s">
        <v>29</v>
      </c>
      <c r="D2621" t="s">
        <v>50</v>
      </c>
      <c r="F2621" t="s">
        <v>32</v>
      </c>
      <c r="G2621" t="s">
        <v>22</v>
      </c>
      <c r="H2621" t="s">
        <v>62</v>
      </c>
      <c r="I2621" t="s">
        <v>24</v>
      </c>
      <c r="J2621" t="s">
        <v>3188</v>
      </c>
      <c r="K2621" t="s">
        <v>5258</v>
      </c>
      <c r="L2621">
        <v>4.5999999999999996</v>
      </c>
      <c r="M2621">
        <v>196000</v>
      </c>
      <c r="N2621">
        <v>2.4</v>
      </c>
      <c r="O2621">
        <v>13</v>
      </c>
      <c r="P2621" t="s">
        <v>53</v>
      </c>
    </row>
    <row r="2622" spans="1:16" x14ac:dyDescent="0.25">
      <c r="A2622" t="s">
        <v>6209</v>
      </c>
      <c r="B2622" t="s">
        <v>6210</v>
      </c>
      <c r="C2622" t="s">
        <v>29</v>
      </c>
      <c r="D2622" t="s">
        <v>862</v>
      </c>
      <c r="E2622" t="s">
        <v>20</v>
      </c>
      <c r="G2622" t="s">
        <v>69</v>
      </c>
      <c r="H2622" t="s">
        <v>46</v>
      </c>
      <c r="I2622" t="s">
        <v>35</v>
      </c>
      <c r="J2622" t="s">
        <v>703</v>
      </c>
      <c r="L2622">
        <v>4.0999999999999996</v>
      </c>
      <c r="M2622">
        <v>113000</v>
      </c>
      <c r="N2622">
        <v>1.5</v>
      </c>
      <c r="O2622">
        <v>12</v>
      </c>
      <c r="P2622" t="s">
        <v>26</v>
      </c>
    </row>
    <row r="2623" spans="1:16" x14ac:dyDescent="0.25">
      <c r="A2623" t="s">
        <v>6211</v>
      </c>
      <c r="B2623" t="s">
        <v>5194</v>
      </c>
      <c r="C2623" t="s">
        <v>18</v>
      </c>
      <c r="D2623" t="s">
        <v>50</v>
      </c>
      <c r="E2623" t="s">
        <v>20</v>
      </c>
      <c r="F2623" t="s">
        <v>45</v>
      </c>
      <c r="G2623" t="s">
        <v>22</v>
      </c>
      <c r="I2623" t="s">
        <v>24</v>
      </c>
      <c r="J2623" t="s">
        <v>2252</v>
      </c>
      <c r="K2623" t="s">
        <v>2292</v>
      </c>
      <c r="L2623">
        <v>2.5</v>
      </c>
      <c r="M2623">
        <v>1349000</v>
      </c>
      <c r="N2623">
        <v>4.5</v>
      </c>
      <c r="O2623">
        <v>3</v>
      </c>
      <c r="P2623" t="s">
        <v>53</v>
      </c>
    </row>
    <row r="2624" spans="1:16" x14ac:dyDescent="0.25">
      <c r="A2624" t="s">
        <v>6212</v>
      </c>
      <c r="B2624" t="s">
        <v>6213</v>
      </c>
      <c r="C2624" t="s">
        <v>18</v>
      </c>
      <c r="D2624" t="s">
        <v>79</v>
      </c>
      <c r="E2624" t="s">
        <v>20</v>
      </c>
      <c r="F2624" t="s">
        <v>39</v>
      </c>
      <c r="G2624" t="s">
        <v>80</v>
      </c>
      <c r="H2624" t="s">
        <v>34</v>
      </c>
      <c r="I2624" t="s">
        <v>24</v>
      </c>
      <c r="J2624" t="s">
        <v>514</v>
      </c>
      <c r="L2624">
        <v>6.2</v>
      </c>
      <c r="M2624">
        <v>101000</v>
      </c>
      <c r="O2624">
        <v>4</v>
      </c>
      <c r="P2624" t="s">
        <v>26</v>
      </c>
    </row>
    <row r="2625" spans="1:16" x14ac:dyDescent="0.25">
      <c r="A2625" t="s">
        <v>6214</v>
      </c>
      <c r="B2625" t="s">
        <v>2707</v>
      </c>
      <c r="C2625" t="s">
        <v>29</v>
      </c>
      <c r="D2625" t="s">
        <v>30</v>
      </c>
      <c r="E2625" t="s">
        <v>20</v>
      </c>
      <c r="F2625" t="s">
        <v>21</v>
      </c>
      <c r="G2625" t="s">
        <v>22</v>
      </c>
      <c r="H2625" t="s">
        <v>46</v>
      </c>
      <c r="I2625" t="s">
        <v>57</v>
      </c>
      <c r="J2625" t="s">
        <v>1105</v>
      </c>
      <c r="L2625">
        <v>6.2</v>
      </c>
      <c r="M2625">
        <v>758000</v>
      </c>
      <c r="N2625">
        <v>4.8</v>
      </c>
      <c r="O2625">
        <v>2</v>
      </c>
      <c r="P2625" t="s">
        <v>26</v>
      </c>
    </row>
    <row r="2626" spans="1:16" x14ac:dyDescent="0.25">
      <c r="A2626" t="s">
        <v>6215</v>
      </c>
      <c r="B2626" t="s">
        <v>2178</v>
      </c>
      <c r="D2626" t="s">
        <v>19</v>
      </c>
      <c r="E2626" t="s">
        <v>20</v>
      </c>
      <c r="F2626" t="s">
        <v>21</v>
      </c>
      <c r="G2626" t="s">
        <v>22</v>
      </c>
      <c r="H2626" t="s">
        <v>23</v>
      </c>
      <c r="I2626" t="s">
        <v>24</v>
      </c>
      <c r="J2626" t="s">
        <v>6216</v>
      </c>
      <c r="K2626" t="s">
        <v>6217</v>
      </c>
      <c r="L2626">
        <v>3.1</v>
      </c>
      <c r="M2626">
        <v>970000</v>
      </c>
      <c r="N2626">
        <v>3.9</v>
      </c>
      <c r="O2626">
        <v>22</v>
      </c>
      <c r="P2626" t="s">
        <v>53</v>
      </c>
    </row>
    <row r="2627" spans="1:16" x14ac:dyDescent="0.25">
      <c r="A2627" t="s">
        <v>6218</v>
      </c>
      <c r="B2627" t="s">
        <v>6219</v>
      </c>
      <c r="C2627" t="s">
        <v>18</v>
      </c>
      <c r="D2627" t="s">
        <v>50</v>
      </c>
      <c r="E2627" t="s">
        <v>44</v>
      </c>
      <c r="F2627" t="s">
        <v>128</v>
      </c>
      <c r="G2627" t="s">
        <v>22</v>
      </c>
      <c r="H2627" t="s">
        <v>46</v>
      </c>
      <c r="I2627" t="s">
        <v>57</v>
      </c>
      <c r="J2627" t="s">
        <v>4258</v>
      </c>
      <c r="L2627">
        <v>4.3</v>
      </c>
      <c r="M2627">
        <v>457000</v>
      </c>
      <c r="N2627">
        <v>4.4000000000000004</v>
      </c>
      <c r="P2627" t="s">
        <v>26</v>
      </c>
    </row>
    <row r="2628" spans="1:16" x14ac:dyDescent="0.25">
      <c r="A2628" t="s">
        <v>6220</v>
      </c>
      <c r="B2628" t="s">
        <v>6221</v>
      </c>
      <c r="C2628" t="s">
        <v>18</v>
      </c>
      <c r="D2628" t="s">
        <v>79</v>
      </c>
      <c r="E2628" t="s">
        <v>20</v>
      </c>
      <c r="F2628" t="s">
        <v>128</v>
      </c>
      <c r="G2628" t="s">
        <v>22</v>
      </c>
      <c r="H2628" t="s">
        <v>23</v>
      </c>
      <c r="I2628" t="s">
        <v>24</v>
      </c>
      <c r="J2628" t="s">
        <v>2547</v>
      </c>
      <c r="L2628">
        <v>3.8</v>
      </c>
      <c r="M2628">
        <v>453000</v>
      </c>
      <c r="N2628">
        <v>3</v>
      </c>
      <c r="O2628">
        <v>5</v>
      </c>
      <c r="P2628" t="s">
        <v>26</v>
      </c>
    </row>
    <row r="2629" spans="1:16" x14ac:dyDescent="0.25">
      <c r="A2629" t="s">
        <v>6222</v>
      </c>
      <c r="B2629" t="s">
        <v>6223</v>
      </c>
      <c r="C2629" t="s">
        <v>29</v>
      </c>
      <c r="E2629" t="s">
        <v>31</v>
      </c>
      <c r="F2629" t="s">
        <v>128</v>
      </c>
      <c r="G2629" t="s">
        <v>33</v>
      </c>
      <c r="H2629" t="s">
        <v>34</v>
      </c>
      <c r="I2629" t="s">
        <v>171</v>
      </c>
      <c r="J2629" t="s">
        <v>1451</v>
      </c>
      <c r="L2629">
        <v>3.4</v>
      </c>
      <c r="M2629">
        <v>577000</v>
      </c>
      <c r="N2629">
        <v>3.4</v>
      </c>
      <c r="O2629">
        <v>8</v>
      </c>
      <c r="P2629" t="s">
        <v>26</v>
      </c>
    </row>
    <row r="2630" spans="1:16" x14ac:dyDescent="0.25">
      <c r="A2630" t="s">
        <v>6224</v>
      </c>
      <c r="B2630" t="s">
        <v>6225</v>
      </c>
      <c r="C2630" t="s">
        <v>18</v>
      </c>
      <c r="D2630" t="s">
        <v>43</v>
      </c>
      <c r="E2630" t="s">
        <v>20</v>
      </c>
      <c r="F2630" t="s">
        <v>128</v>
      </c>
      <c r="G2630" t="s">
        <v>80</v>
      </c>
      <c r="H2630" t="s">
        <v>23</v>
      </c>
      <c r="I2630" t="s">
        <v>24</v>
      </c>
      <c r="J2630" t="s">
        <v>1135</v>
      </c>
      <c r="L2630">
        <v>4.2</v>
      </c>
      <c r="M2630">
        <v>350000</v>
      </c>
      <c r="N2630">
        <v>5</v>
      </c>
      <c r="O2630">
        <v>10</v>
      </c>
      <c r="P2630" t="s">
        <v>26</v>
      </c>
    </row>
    <row r="2631" spans="1:16" x14ac:dyDescent="0.25">
      <c r="A2631" t="s">
        <v>6226</v>
      </c>
      <c r="B2631" t="s">
        <v>6227</v>
      </c>
      <c r="C2631" t="s">
        <v>29</v>
      </c>
      <c r="D2631" t="s">
        <v>30</v>
      </c>
      <c r="E2631" t="s">
        <v>44</v>
      </c>
      <c r="F2631" t="s">
        <v>39</v>
      </c>
      <c r="G2631" t="s">
        <v>22</v>
      </c>
      <c r="H2631" t="s">
        <v>34</v>
      </c>
      <c r="I2631" t="s">
        <v>24</v>
      </c>
      <c r="J2631" t="s">
        <v>3198</v>
      </c>
      <c r="K2631" t="s">
        <v>2189</v>
      </c>
      <c r="L2631">
        <v>5.3</v>
      </c>
      <c r="M2631">
        <v>130000</v>
      </c>
      <c r="N2631">
        <v>2.8</v>
      </c>
      <c r="O2631">
        <v>13</v>
      </c>
      <c r="P2631" t="s">
        <v>53</v>
      </c>
    </row>
    <row r="2632" spans="1:16" x14ac:dyDescent="0.25">
      <c r="A2632" t="s">
        <v>6228</v>
      </c>
      <c r="B2632" t="s">
        <v>6229</v>
      </c>
      <c r="C2632" t="s">
        <v>29</v>
      </c>
      <c r="D2632" t="s">
        <v>19</v>
      </c>
      <c r="E2632" t="s">
        <v>44</v>
      </c>
      <c r="F2632" t="s">
        <v>39</v>
      </c>
      <c r="G2632" t="s">
        <v>22</v>
      </c>
      <c r="H2632" t="s">
        <v>62</v>
      </c>
      <c r="I2632" t="s">
        <v>24</v>
      </c>
      <c r="J2632" t="s">
        <v>6230</v>
      </c>
      <c r="L2632">
        <v>4.0999999999999996</v>
      </c>
      <c r="M2632">
        <v>136000</v>
      </c>
      <c r="N2632">
        <v>4.5</v>
      </c>
      <c r="O2632">
        <v>1</v>
      </c>
      <c r="P2632" t="s">
        <v>26</v>
      </c>
    </row>
    <row r="2633" spans="1:16" x14ac:dyDescent="0.25">
      <c r="A2633" t="s">
        <v>6231</v>
      </c>
      <c r="B2633" t="s">
        <v>6232</v>
      </c>
      <c r="C2633" t="s">
        <v>18</v>
      </c>
      <c r="D2633" t="s">
        <v>43</v>
      </c>
      <c r="E2633" t="s">
        <v>20</v>
      </c>
      <c r="F2633" t="s">
        <v>39</v>
      </c>
      <c r="G2633" t="s">
        <v>33</v>
      </c>
      <c r="H2633" t="s">
        <v>23</v>
      </c>
      <c r="I2633" t="s">
        <v>24</v>
      </c>
      <c r="J2633" t="s">
        <v>6233</v>
      </c>
      <c r="L2633">
        <v>2.8</v>
      </c>
      <c r="M2633">
        <v>141000</v>
      </c>
      <c r="N2633">
        <v>4.5</v>
      </c>
      <c r="O2633">
        <v>9</v>
      </c>
      <c r="P2633" t="s">
        <v>26</v>
      </c>
    </row>
    <row r="2634" spans="1:16" x14ac:dyDescent="0.25">
      <c r="A2634" t="s">
        <v>6234</v>
      </c>
      <c r="B2634" t="s">
        <v>6235</v>
      </c>
      <c r="C2634" t="s">
        <v>18</v>
      </c>
      <c r="D2634" t="s">
        <v>30</v>
      </c>
      <c r="E2634" t="s">
        <v>44</v>
      </c>
      <c r="F2634" t="s">
        <v>128</v>
      </c>
      <c r="G2634" t="s">
        <v>22</v>
      </c>
      <c r="I2634" t="s">
        <v>35</v>
      </c>
      <c r="J2634" t="s">
        <v>1827</v>
      </c>
      <c r="K2634" t="s">
        <v>1934</v>
      </c>
      <c r="L2634">
        <v>3.5</v>
      </c>
      <c r="M2634">
        <v>379000</v>
      </c>
      <c r="N2634">
        <v>2.7</v>
      </c>
      <c r="O2634">
        <v>6</v>
      </c>
      <c r="P2634" t="s">
        <v>53</v>
      </c>
    </row>
    <row r="2635" spans="1:16" x14ac:dyDescent="0.25">
      <c r="A2635" t="s">
        <v>6236</v>
      </c>
      <c r="B2635" t="s">
        <v>1268</v>
      </c>
      <c r="C2635" t="s">
        <v>29</v>
      </c>
      <c r="D2635" t="s">
        <v>19</v>
      </c>
      <c r="E2635" t="s">
        <v>20</v>
      </c>
      <c r="F2635" t="s">
        <v>32</v>
      </c>
      <c r="G2635" t="s">
        <v>80</v>
      </c>
      <c r="H2635" t="s">
        <v>46</v>
      </c>
      <c r="I2635" t="s">
        <v>57</v>
      </c>
      <c r="J2635" t="s">
        <v>1423</v>
      </c>
      <c r="L2635">
        <v>4.3</v>
      </c>
      <c r="M2635">
        <v>321000</v>
      </c>
      <c r="N2635">
        <v>2.5</v>
      </c>
      <c r="O2635">
        <v>4</v>
      </c>
      <c r="P2635" t="s">
        <v>26</v>
      </c>
    </row>
    <row r="2636" spans="1:16" x14ac:dyDescent="0.25">
      <c r="A2636" t="s">
        <v>6237</v>
      </c>
      <c r="B2636" t="s">
        <v>3296</v>
      </c>
      <c r="C2636" t="s">
        <v>18</v>
      </c>
      <c r="D2636" t="s">
        <v>79</v>
      </c>
      <c r="E2636" t="s">
        <v>20</v>
      </c>
      <c r="F2636" t="s">
        <v>39</v>
      </c>
      <c r="G2636" t="s">
        <v>80</v>
      </c>
      <c r="H2636" t="s">
        <v>46</v>
      </c>
      <c r="I2636" t="s">
        <v>24</v>
      </c>
      <c r="J2636" t="s">
        <v>693</v>
      </c>
      <c r="L2636">
        <v>1.3</v>
      </c>
      <c r="M2636">
        <v>150000</v>
      </c>
      <c r="N2636">
        <v>4.5</v>
      </c>
      <c r="O2636">
        <v>3</v>
      </c>
      <c r="P2636" t="s">
        <v>26</v>
      </c>
    </row>
    <row r="2637" spans="1:16" x14ac:dyDescent="0.25">
      <c r="A2637" t="s">
        <v>6238</v>
      </c>
      <c r="B2637" t="s">
        <v>42</v>
      </c>
      <c r="C2637" t="s">
        <v>18</v>
      </c>
      <c r="D2637" t="s">
        <v>30</v>
      </c>
      <c r="E2637" t="s">
        <v>20</v>
      </c>
      <c r="F2637" t="s">
        <v>32</v>
      </c>
      <c r="G2637" t="s">
        <v>80</v>
      </c>
      <c r="H2637" t="s">
        <v>34</v>
      </c>
      <c r="I2637" t="s">
        <v>75</v>
      </c>
      <c r="J2637" t="s">
        <v>328</v>
      </c>
      <c r="L2637">
        <v>1.4</v>
      </c>
      <c r="M2637">
        <v>342000</v>
      </c>
      <c r="N2637">
        <v>3.7</v>
      </c>
      <c r="O2637">
        <v>18</v>
      </c>
      <c r="P2637" t="s">
        <v>26</v>
      </c>
    </row>
    <row r="2638" spans="1:16" x14ac:dyDescent="0.25">
      <c r="A2638" t="s">
        <v>6239</v>
      </c>
      <c r="B2638" t="s">
        <v>101</v>
      </c>
      <c r="C2638" t="s">
        <v>18</v>
      </c>
      <c r="D2638" t="s">
        <v>43</v>
      </c>
      <c r="E2638" t="s">
        <v>20</v>
      </c>
      <c r="F2638" t="s">
        <v>32</v>
      </c>
      <c r="G2638" t="s">
        <v>22</v>
      </c>
      <c r="H2638" t="s">
        <v>34</v>
      </c>
      <c r="I2638" t="s">
        <v>24</v>
      </c>
      <c r="J2638" t="s">
        <v>616</v>
      </c>
      <c r="L2638">
        <v>4.8</v>
      </c>
      <c r="M2638">
        <v>194000</v>
      </c>
      <c r="N2638">
        <v>2.8</v>
      </c>
      <c r="O2638">
        <v>8</v>
      </c>
      <c r="P2638" t="s">
        <v>26</v>
      </c>
    </row>
    <row r="2639" spans="1:16" x14ac:dyDescent="0.25">
      <c r="A2639" t="s">
        <v>6240</v>
      </c>
      <c r="B2639" t="s">
        <v>6241</v>
      </c>
      <c r="D2639" t="s">
        <v>30</v>
      </c>
      <c r="E2639" t="s">
        <v>20</v>
      </c>
      <c r="F2639" t="s">
        <v>32</v>
      </c>
      <c r="G2639" t="s">
        <v>22</v>
      </c>
      <c r="H2639" t="s">
        <v>23</v>
      </c>
      <c r="I2639" t="s">
        <v>171</v>
      </c>
      <c r="J2639" t="s">
        <v>6242</v>
      </c>
      <c r="L2639">
        <v>3.3</v>
      </c>
      <c r="M2639">
        <v>329000</v>
      </c>
      <c r="N2639">
        <v>3.4</v>
      </c>
      <c r="O2639">
        <v>1</v>
      </c>
      <c r="P2639" t="s">
        <v>26</v>
      </c>
    </row>
    <row r="2640" spans="1:16" x14ac:dyDescent="0.25">
      <c r="A2640" t="s">
        <v>6243</v>
      </c>
      <c r="B2640" t="s">
        <v>2289</v>
      </c>
      <c r="C2640" t="s">
        <v>18</v>
      </c>
      <c r="D2640" t="s">
        <v>79</v>
      </c>
      <c r="E2640" t="s">
        <v>20</v>
      </c>
      <c r="F2640" t="s">
        <v>32</v>
      </c>
      <c r="G2640" t="s">
        <v>22</v>
      </c>
      <c r="I2640" t="s">
        <v>24</v>
      </c>
      <c r="J2640" t="s">
        <v>51</v>
      </c>
      <c r="L2640">
        <v>4.9000000000000004</v>
      </c>
      <c r="M2640">
        <v>349000</v>
      </c>
      <c r="N2640">
        <v>4.9000000000000004</v>
      </c>
      <c r="P2640" t="s">
        <v>26</v>
      </c>
    </row>
    <row r="2641" spans="1:16" x14ac:dyDescent="0.25">
      <c r="A2641" t="s">
        <v>6244</v>
      </c>
      <c r="B2641" t="s">
        <v>3382</v>
      </c>
      <c r="C2641" t="s">
        <v>29</v>
      </c>
      <c r="D2641" t="s">
        <v>30</v>
      </c>
      <c r="F2641" t="s">
        <v>39</v>
      </c>
      <c r="G2641" t="s">
        <v>80</v>
      </c>
      <c r="H2641" t="s">
        <v>46</v>
      </c>
      <c r="I2641" t="s">
        <v>24</v>
      </c>
      <c r="J2641" t="s">
        <v>616</v>
      </c>
      <c r="K2641" t="s">
        <v>6245</v>
      </c>
      <c r="L2641">
        <v>4.8</v>
      </c>
      <c r="M2641">
        <v>168000</v>
      </c>
      <c r="N2641">
        <v>3</v>
      </c>
      <c r="O2641">
        <v>12</v>
      </c>
      <c r="P2641" t="s">
        <v>53</v>
      </c>
    </row>
    <row r="2642" spans="1:16" x14ac:dyDescent="0.25">
      <c r="A2642" t="s">
        <v>6246</v>
      </c>
      <c r="B2642" t="s">
        <v>6247</v>
      </c>
      <c r="D2642" t="s">
        <v>30</v>
      </c>
      <c r="E2642" t="s">
        <v>20</v>
      </c>
      <c r="F2642" t="s">
        <v>32</v>
      </c>
      <c r="G2642" t="s">
        <v>22</v>
      </c>
      <c r="H2642" t="s">
        <v>34</v>
      </c>
      <c r="I2642" t="s">
        <v>35</v>
      </c>
      <c r="J2642" t="s">
        <v>6248</v>
      </c>
      <c r="K2642" t="s">
        <v>3139</v>
      </c>
      <c r="L2642">
        <v>2.6</v>
      </c>
      <c r="M2642">
        <v>281000</v>
      </c>
      <c r="N2642">
        <v>2</v>
      </c>
      <c r="O2642">
        <v>8</v>
      </c>
      <c r="P2642" t="s">
        <v>72</v>
      </c>
    </row>
    <row r="2643" spans="1:16" x14ac:dyDescent="0.25">
      <c r="A2643" t="s">
        <v>6249</v>
      </c>
      <c r="B2643" t="s">
        <v>6250</v>
      </c>
      <c r="C2643" t="s">
        <v>29</v>
      </c>
      <c r="D2643" t="s">
        <v>30</v>
      </c>
      <c r="E2643" t="s">
        <v>31</v>
      </c>
      <c r="F2643" t="s">
        <v>32</v>
      </c>
      <c r="G2643" t="s">
        <v>22</v>
      </c>
      <c r="H2643" t="s">
        <v>23</v>
      </c>
      <c r="I2643" t="s">
        <v>24</v>
      </c>
      <c r="J2643" t="s">
        <v>405</v>
      </c>
      <c r="K2643" t="s">
        <v>2920</v>
      </c>
      <c r="L2643">
        <v>4.0999999999999996</v>
      </c>
      <c r="N2643">
        <v>3.6</v>
      </c>
      <c r="O2643">
        <v>12</v>
      </c>
      <c r="P2643" t="s">
        <v>53</v>
      </c>
    </row>
    <row r="2644" spans="1:16" x14ac:dyDescent="0.25">
      <c r="A2644" t="s">
        <v>6251</v>
      </c>
      <c r="B2644" t="s">
        <v>6252</v>
      </c>
      <c r="C2644" t="s">
        <v>18</v>
      </c>
      <c r="D2644" t="s">
        <v>19</v>
      </c>
      <c r="E2644" t="s">
        <v>44</v>
      </c>
      <c r="F2644" t="s">
        <v>128</v>
      </c>
      <c r="G2644" t="s">
        <v>33</v>
      </c>
      <c r="H2644" t="s">
        <v>23</v>
      </c>
      <c r="I2644" t="s">
        <v>24</v>
      </c>
      <c r="J2644" t="s">
        <v>452</v>
      </c>
      <c r="K2644" t="s">
        <v>4628</v>
      </c>
      <c r="L2644">
        <v>3.7</v>
      </c>
      <c r="M2644">
        <v>483000</v>
      </c>
      <c r="N2644">
        <v>3.9</v>
      </c>
      <c r="O2644">
        <v>35</v>
      </c>
      <c r="P2644" t="s">
        <v>53</v>
      </c>
    </row>
    <row r="2645" spans="1:16" x14ac:dyDescent="0.25">
      <c r="A2645" t="s">
        <v>6253</v>
      </c>
      <c r="B2645" t="s">
        <v>5076</v>
      </c>
      <c r="C2645" t="s">
        <v>18</v>
      </c>
      <c r="D2645" t="s">
        <v>50</v>
      </c>
      <c r="E2645" t="s">
        <v>20</v>
      </c>
      <c r="F2645" t="s">
        <v>32</v>
      </c>
      <c r="G2645" t="s">
        <v>33</v>
      </c>
      <c r="H2645" t="s">
        <v>23</v>
      </c>
      <c r="I2645" t="s">
        <v>24</v>
      </c>
      <c r="J2645" t="s">
        <v>6254</v>
      </c>
      <c r="L2645">
        <v>5.8</v>
      </c>
      <c r="M2645">
        <v>212000</v>
      </c>
      <c r="N2645">
        <v>2.2999999999999998</v>
      </c>
      <c r="O2645">
        <v>12</v>
      </c>
      <c r="P2645" t="s">
        <v>26</v>
      </c>
    </row>
    <row r="2646" spans="1:16" x14ac:dyDescent="0.25">
      <c r="A2646" t="s">
        <v>6255</v>
      </c>
      <c r="B2646" t="s">
        <v>6256</v>
      </c>
      <c r="C2646" t="s">
        <v>18</v>
      </c>
      <c r="D2646" t="s">
        <v>30</v>
      </c>
      <c r="E2646" t="s">
        <v>31</v>
      </c>
      <c r="F2646" t="s">
        <v>39</v>
      </c>
      <c r="G2646" t="s">
        <v>80</v>
      </c>
      <c r="I2646" t="s">
        <v>24</v>
      </c>
      <c r="J2646" t="s">
        <v>1516</v>
      </c>
      <c r="L2646">
        <v>3.6</v>
      </c>
      <c r="M2646">
        <v>104000</v>
      </c>
      <c r="N2646">
        <v>2.5</v>
      </c>
      <c r="O2646">
        <v>2</v>
      </c>
      <c r="P2646" t="s">
        <v>26</v>
      </c>
    </row>
    <row r="2647" spans="1:16" x14ac:dyDescent="0.25">
      <c r="A2647" t="s">
        <v>6257</v>
      </c>
      <c r="B2647" t="s">
        <v>1469</v>
      </c>
      <c r="C2647" t="s">
        <v>18</v>
      </c>
      <c r="D2647" t="s">
        <v>50</v>
      </c>
      <c r="E2647" t="s">
        <v>44</v>
      </c>
      <c r="F2647" t="s">
        <v>39</v>
      </c>
      <c r="G2647" t="s">
        <v>80</v>
      </c>
      <c r="H2647" t="s">
        <v>34</v>
      </c>
      <c r="I2647" t="s">
        <v>75</v>
      </c>
      <c r="J2647" t="s">
        <v>6258</v>
      </c>
      <c r="L2647">
        <v>1.6</v>
      </c>
      <c r="M2647">
        <v>107000</v>
      </c>
      <c r="N2647">
        <v>3.5</v>
      </c>
      <c r="O2647">
        <v>12</v>
      </c>
      <c r="P2647" t="s">
        <v>26</v>
      </c>
    </row>
    <row r="2648" spans="1:16" x14ac:dyDescent="0.25">
      <c r="A2648" t="s">
        <v>6259</v>
      </c>
      <c r="B2648" t="s">
        <v>6260</v>
      </c>
      <c r="C2648" t="s">
        <v>29</v>
      </c>
      <c r="E2648" t="s">
        <v>44</v>
      </c>
      <c r="F2648" t="s">
        <v>128</v>
      </c>
      <c r="G2648" t="s">
        <v>33</v>
      </c>
      <c r="I2648" t="s">
        <v>24</v>
      </c>
      <c r="J2648" t="s">
        <v>3129</v>
      </c>
      <c r="K2648" t="s">
        <v>112</v>
      </c>
      <c r="L2648">
        <v>4.5</v>
      </c>
      <c r="M2648">
        <v>450000</v>
      </c>
      <c r="N2648">
        <v>2.2999999999999998</v>
      </c>
      <c r="O2648">
        <v>12</v>
      </c>
      <c r="P2648" t="s">
        <v>72</v>
      </c>
    </row>
    <row r="2649" spans="1:16" x14ac:dyDescent="0.25">
      <c r="A2649" t="s">
        <v>6261</v>
      </c>
      <c r="B2649" t="s">
        <v>5236</v>
      </c>
      <c r="C2649" t="s">
        <v>18</v>
      </c>
      <c r="D2649" t="s">
        <v>30</v>
      </c>
      <c r="E2649" t="s">
        <v>20</v>
      </c>
      <c r="F2649" t="s">
        <v>128</v>
      </c>
      <c r="G2649" t="s">
        <v>22</v>
      </c>
      <c r="H2649" t="s">
        <v>23</v>
      </c>
      <c r="I2649" t="s">
        <v>75</v>
      </c>
      <c r="J2649" t="s">
        <v>3945</v>
      </c>
      <c r="K2649" t="s">
        <v>6262</v>
      </c>
      <c r="L2649">
        <v>5.9</v>
      </c>
      <c r="M2649">
        <v>381000</v>
      </c>
      <c r="N2649">
        <v>3.3</v>
      </c>
      <c r="O2649">
        <v>6</v>
      </c>
      <c r="P2649" t="s">
        <v>53</v>
      </c>
    </row>
    <row r="2650" spans="1:16" x14ac:dyDescent="0.25">
      <c r="A2650" t="s">
        <v>6263</v>
      </c>
      <c r="B2650" t="s">
        <v>6264</v>
      </c>
      <c r="C2650" t="s">
        <v>29</v>
      </c>
      <c r="D2650" t="s">
        <v>79</v>
      </c>
      <c r="E2650" t="s">
        <v>20</v>
      </c>
      <c r="F2650" t="s">
        <v>39</v>
      </c>
      <c r="G2650" t="s">
        <v>80</v>
      </c>
      <c r="H2650" t="s">
        <v>23</v>
      </c>
      <c r="I2650" t="s">
        <v>35</v>
      </c>
      <c r="J2650" t="s">
        <v>4543</v>
      </c>
      <c r="L2650">
        <v>3.4</v>
      </c>
      <c r="O2650">
        <v>6</v>
      </c>
      <c r="P2650" t="s">
        <v>26</v>
      </c>
    </row>
    <row r="2651" spans="1:16" x14ac:dyDescent="0.25">
      <c r="A2651" t="s">
        <v>6265</v>
      </c>
      <c r="B2651" t="s">
        <v>6266</v>
      </c>
      <c r="C2651" t="s">
        <v>18</v>
      </c>
      <c r="D2651" t="s">
        <v>43</v>
      </c>
      <c r="E2651" t="s">
        <v>31</v>
      </c>
      <c r="F2651" t="s">
        <v>32</v>
      </c>
      <c r="G2651" t="s">
        <v>22</v>
      </c>
      <c r="H2651" t="s">
        <v>23</v>
      </c>
      <c r="I2651" t="s">
        <v>171</v>
      </c>
      <c r="J2651" t="s">
        <v>6267</v>
      </c>
      <c r="K2651" t="s">
        <v>5829</v>
      </c>
      <c r="L2651">
        <v>4.8</v>
      </c>
      <c r="M2651">
        <v>194000</v>
      </c>
      <c r="N2651">
        <v>3.2</v>
      </c>
      <c r="O2651">
        <v>13</v>
      </c>
      <c r="P2651" t="s">
        <v>53</v>
      </c>
    </row>
    <row r="2652" spans="1:16" x14ac:dyDescent="0.25">
      <c r="A2652" t="s">
        <v>6268</v>
      </c>
      <c r="B2652" t="s">
        <v>3336</v>
      </c>
      <c r="C2652" t="s">
        <v>18</v>
      </c>
      <c r="D2652" t="s">
        <v>30</v>
      </c>
      <c r="E2652" t="s">
        <v>20</v>
      </c>
      <c r="F2652" t="s">
        <v>32</v>
      </c>
      <c r="G2652" t="s">
        <v>22</v>
      </c>
      <c r="H2652" t="s">
        <v>23</v>
      </c>
      <c r="I2652" t="s">
        <v>57</v>
      </c>
      <c r="J2652" t="s">
        <v>967</v>
      </c>
      <c r="L2652">
        <v>1.9</v>
      </c>
      <c r="M2652">
        <v>223000</v>
      </c>
      <c r="N2652">
        <v>2.5</v>
      </c>
      <c r="O2652">
        <v>3</v>
      </c>
      <c r="P2652" t="s">
        <v>26</v>
      </c>
    </row>
    <row r="2653" spans="1:16" x14ac:dyDescent="0.25">
      <c r="A2653" t="s">
        <v>6269</v>
      </c>
      <c r="B2653" t="s">
        <v>6270</v>
      </c>
      <c r="C2653" t="s">
        <v>29</v>
      </c>
      <c r="D2653" t="s">
        <v>79</v>
      </c>
      <c r="F2653" t="s">
        <v>128</v>
      </c>
      <c r="G2653" t="s">
        <v>80</v>
      </c>
      <c r="H2653" t="s">
        <v>23</v>
      </c>
      <c r="I2653" t="s">
        <v>24</v>
      </c>
      <c r="J2653" t="s">
        <v>4483</v>
      </c>
      <c r="K2653" t="s">
        <v>6071</v>
      </c>
      <c r="L2653">
        <v>6.2</v>
      </c>
      <c r="M2653">
        <v>392000</v>
      </c>
      <c r="N2653">
        <v>3.9</v>
      </c>
      <c r="O2653">
        <v>10</v>
      </c>
      <c r="P2653" t="s">
        <v>53</v>
      </c>
    </row>
    <row r="2654" spans="1:16" x14ac:dyDescent="0.25">
      <c r="A2654" t="s">
        <v>6271</v>
      </c>
      <c r="B2654" t="s">
        <v>5889</v>
      </c>
      <c r="C2654" t="s">
        <v>18</v>
      </c>
      <c r="D2654" t="s">
        <v>79</v>
      </c>
      <c r="E2654" t="s">
        <v>31</v>
      </c>
      <c r="F2654" t="s">
        <v>39</v>
      </c>
      <c r="G2654" t="s">
        <v>33</v>
      </c>
      <c r="H2654" t="s">
        <v>23</v>
      </c>
      <c r="I2654" t="s">
        <v>75</v>
      </c>
      <c r="J2654" t="s">
        <v>5764</v>
      </c>
      <c r="L2654">
        <v>4.9000000000000004</v>
      </c>
      <c r="M2654">
        <v>173000</v>
      </c>
      <c r="N2654">
        <v>2.2999999999999998</v>
      </c>
      <c r="O2654">
        <v>2</v>
      </c>
      <c r="P2654" t="s">
        <v>26</v>
      </c>
    </row>
    <row r="2655" spans="1:16" x14ac:dyDescent="0.25">
      <c r="A2655" t="s">
        <v>6272</v>
      </c>
      <c r="B2655" t="s">
        <v>4195</v>
      </c>
      <c r="C2655" t="s">
        <v>29</v>
      </c>
      <c r="D2655" t="s">
        <v>30</v>
      </c>
      <c r="E2655" t="s">
        <v>44</v>
      </c>
      <c r="F2655" t="s">
        <v>39</v>
      </c>
      <c r="G2655" t="s">
        <v>22</v>
      </c>
      <c r="J2655" t="s">
        <v>5231</v>
      </c>
      <c r="L2655">
        <v>3.9</v>
      </c>
      <c r="M2655">
        <v>137000</v>
      </c>
      <c r="N2655">
        <v>2.2000000000000002</v>
      </c>
      <c r="O2655">
        <v>1</v>
      </c>
      <c r="P2655" t="s">
        <v>26</v>
      </c>
    </row>
    <row r="2656" spans="1:16" x14ac:dyDescent="0.25">
      <c r="A2656" t="s">
        <v>6273</v>
      </c>
      <c r="B2656" t="s">
        <v>5522</v>
      </c>
      <c r="C2656" t="s">
        <v>29</v>
      </c>
      <c r="D2656" t="s">
        <v>79</v>
      </c>
      <c r="E2656" t="s">
        <v>20</v>
      </c>
      <c r="F2656" t="s">
        <v>39</v>
      </c>
      <c r="G2656" t="s">
        <v>33</v>
      </c>
      <c r="H2656" t="s">
        <v>34</v>
      </c>
      <c r="I2656" t="s">
        <v>35</v>
      </c>
      <c r="J2656" t="s">
        <v>564</v>
      </c>
      <c r="L2656">
        <v>6.1</v>
      </c>
      <c r="M2656">
        <v>159000</v>
      </c>
      <c r="N2656">
        <v>3.9</v>
      </c>
      <c r="O2656">
        <v>14</v>
      </c>
      <c r="P2656" t="s">
        <v>26</v>
      </c>
    </row>
    <row r="2657" spans="1:16" x14ac:dyDescent="0.25">
      <c r="A2657" t="s">
        <v>6274</v>
      </c>
      <c r="B2657" t="s">
        <v>1374</v>
      </c>
      <c r="C2657" t="s">
        <v>18</v>
      </c>
      <c r="D2657" t="s">
        <v>43</v>
      </c>
      <c r="E2657" t="s">
        <v>20</v>
      </c>
      <c r="G2657" t="s">
        <v>33</v>
      </c>
      <c r="H2657" t="s">
        <v>23</v>
      </c>
      <c r="I2657" t="s">
        <v>57</v>
      </c>
      <c r="J2657" t="s">
        <v>1085</v>
      </c>
      <c r="L2657">
        <v>5.3</v>
      </c>
      <c r="M2657">
        <v>387000</v>
      </c>
      <c r="N2657">
        <v>3.6</v>
      </c>
      <c r="O2657">
        <v>9</v>
      </c>
      <c r="P2657" t="s">
        <v>26</v>
      </c>
    </row>
    <row r="2658" spans="1:16" x14ac:dyDescent="0.25">
      <c r="A2658" t="s">
        <v>6275</v>
      </c>
      <c r="B2658" t="s">
        <v>6276</v>
      </c>
      <c r="C2658" t="s">
        <v>29</v>
      </c>
      <c r="D2658" t="s">
        <v>30</v>
      </c>
      <c r="E2658" t="s">
        <v>20</v>
      </c>
      <c r="F2658" t="s">
        <v>39</v>
      </c>
      <c r="G2658" t="s">
        <v>22</v>
      </c>
      <c r="H2658" t="s">
        <v>46</v>
      </c>
      <c r="I2658" t="s">
        <v>35</v>
      </c>
      <c r="J2658" t="s">
        <v>238</v>
      </c>
      <c r="K2658" t="s">
        <v>6207</v>
      </c>
      <c r="L2658">
        <v>2.1</v>
      </c>
      <c r="M2658">
        <v>140000</v>
      </c>
      <c r="N2658">
        <v>3.2</v>
      </c>
      <c r="O2658">
        <v>0</v>
      </c>
      <c r="P2658" t="s">
        <v>114</v>
      </c>
    </row>
    <row r="2659" spans="1:16" x14ac:dyDescent="0.25">
      <c r="A2659" t="s">
        <v>6277</v>
      </c>
      <c r="B2659" t="s">
        <v>6278</v>
      </c>
      <c r="D2659" t="s">
        <v>79</v>
      </c>
      <c r="E2659" t="s">
        <v>20</v>
      </c>
      <c r="F2659" t="s">
        <v>128</v>
      </c>
      <c r="G2659" t="s">
        <v>33</v>
      </c>
      <c r="H2659" t="s">
        <v>34</v>
      </c>
      <c r="I2659" t="s">
        <v>35</v>
      </c>
      <c r="J2659" t="s">
        <v>6279</v>
      </c>
      <c r="L2659">
        <v>5</v>
      </c>
      <c r="M2659">
        <v>564000</v>
      </c>
      <c r="N2659">
        <v>4.7</v>
      </c>
      <c r="O2659">
        <v>12</v>
      </c>
      <c r="P2659" t="s">
        <v>26</v>
      </c>
    </row>
    <row r="2660" spans="1:16" x14ac:dyDescent="0.25">
      <c r="A2660" t="s">
        <v>6280</v>
      </c>
      <c r="B2660" t="s">
        <v>2168</v>
      </c>
      <c r="D2660" t="s">
        <v>50</v>
      </c>
      <c r="E2660" t="s">
        <v>20</v>
      </c>
      <c r="F2660" t="s">
        <v>32</v>
      </c>
      <c r="G2660" t="s">
        <v>22</v>
      </c>
      <c r="H2660" t="s">
        <v>62</v>
      </c>
      <c r="I2660" t="s">
        <v>35</v>
      </c>
      <c r="J2660" t="s">
        <v>6281</v>
      </c>
      <c r="L2660">
        <v>4.4000000000000004</v>
      </c>
      <c r="M2660">
        <v>279000</v>
      </c>
      <c r="N2660">
        <v>4.2</v>
      </c>
      <c r="O2660">
        <v>4</v>
      </c>
      <c r="P2660" t="s">
        <v>26</v>
      </c>
    </row>
    <row r="2661" spans="1:16" x14ac:dyDescent="0.25">
      <c r="A2661" t="s">
        <v>6282</v>
      </c>
      <c r="B2661" t="s">
        <v>6283</v>
      </c>
      <c r="C2661" t="s">
        <v>29</v>
      </c>
      <c r="D2661" t="s">
        <v>30</v>
      </c>
      <c r="E2661" t="s">
        <v>20</v>
      </c>
      <c r="F2661" t="s">
        <v>21</v>
      </c>
      <c r="G2661" t="s">
        <v>33</v>
      </c>
      <c r="H2661" t="s">
        <v>34</v>
      </c>
      <c r="I2661" t="s">
        <v>171</v>
      </c>
      <c r="J2661" t="s">
        <v>1257</v>
      </c>
      <c r="K2661" t="s">
        <v>2480</v>
      </c>
      <c r="L2661">
        <v>4.4000000000000004</v>
      </c>
      <c r="M2661">
        <v>885000</v>
      </c>
      <c r="N2661">
        <v>4.8</v>
      </c>
      <c r="O2661">
        <v>29</v>
      </c>
      <c r="P2661" t="s">
        <v>72</v>
      </c>
    </row>
    <row r="2662" spans="1:16" x14ac:dyDescent="0.25">
      <c r="A2662" t="s">
        <v>6284</v>
      </c>
      <c r="B2662" t="s">
        <v>5662</v>
      </c>
      <c r="C2662" t="s">
        <v>18</v>
      </c>
      <c r="D2662" t="s">
        <v>50</v>
      </c>
      <c r="E2662" t="s">
        <v>44</v>
      </c>
      <c r="F2662" t="s">
        <v>32</v>
      </c>
      <c r="G2662" t="s">
        <v>33</v>
      </c>
      <c r="H2662" t="s">
        <v>23</v>
      </c>
      <c r="I2662" t="s">
        <v>24</v>
      </c>
      <c r="J2662" t="s">
        <v>3057</v>
      </c>
      <c r="L2662">
        <v>5.4</v>
      </c>
      <c r="M2662">
        <v>347000</v>
      </c>
      <c r="N2662">
        <v>4.2</v>
      </c>
      <c r="O2662">
        <v>8</v>
      </c>
      <c r="P2662" t="s">
        <v>26</v>
      </c>
    </row>
    <row r="2663" spans="1:16" x14ac:dyDescent="0.25">
      <c r="A2663" t="s">
        <v>6285</v>
      </c>
      <c r="B2663" t="s">
        <v>934</v>
      </c>
      <c r="C2663" t="s">
        <v>18</v>
      </c>
      <c r="D2663" t="s">
        <v>30</v>
      </c>
      <c r="E2663" t="s">
        <v>20</v>
      </c>
      <c r="F2663" t="s">
        <v>32</v>
      </c>
      <c r="G2663" t="s">
        <v>22</v>
      </c>
      <c r="H2663" t="s">
        <v>34</v>
      </c>
      <c r="I2663" t="s">
        <v>57</v>
      </c>
      <c r="J2663" t="s">
        <v>6286</v>
      </c>
      <c r="L2663">
        <v>4.9000000000000004</v>
      </c>
      <c r="M2663">
        <v>270000</v>
      </c>
      <c r="N2663">
        <v>2.8</v>
      </c>
      <c r="O2663">
        <v>13</v>
      </c>
      <c r="P2663" t="s">
        <v>26</v>
      </c>
    </row>
    <row r="2664" spans="1:16" x14ac:dyDescent="0.25">
      <c r="A2664" t="s">
        <v>6287</v>
      </c>
      <c r="B2664" t="s">
        <v>3564</v>
      </c>
      <c r="C2664" t="s">
        <v>29</v>
      </c>
      <c r="D2664" t="s">
        <v>30</v>
      </c>
      <c r="E2664" t="s">
        <v>20</v>
      </c>
      <c r="F2664" t="s">
        <v>32</v>
      </c>
      <c r="G2664" t="s">
        <v>22</v>
      </c>
      <c r="H2664" t="s">
        <v>34</v>
      </c>
      <c r="I2664" t="s">
        <v>24</v>
      </c>
      <c r="J2664" t="s">
        <v>6288</v>
      </c>
      <c r="L2664">
        <v>2.4</v>
      </c>
      <c r="M2664">
        <v>280000</v>
      </c>
      <c r="N2664">
        <v>4.5999999999999996</v>
      </c>
      <c r="O2664">
        <v>5</v>
      </c>
      <c r="P2664" t="s">
        <v>26</v>
      </c>
    </row>
    <row r="2665" spans="1:16" x14ac:dyDescent="0.25">
      <c r="A2665" t="s">
        <v>6289</v>
      </c>
      <c r="B2665" t="s">
        <v>311</v>
      </c>
      <c r="C2665" t="s">
        <v>29</v>
      </c>
      <c r="D2665" t="s">
        <v>30</v>
      </c>
      <c r="E2665" t="s">
        <v>31</v>
      </c>
      <c r="F2665" t="s">
        <v>128</v>
      </c>
      <c r="G2665" t="s">
        <v>33</v>
      </c>
      <c r="H2665" t="s">
        <v>46</v>
      </c>
      <c r="I2665" t="s">
        <v>24</v>
      </c>
      <c r="J2665" t="s">
        <v>1451</v>
      </c>
      <c r="K2665" t="s">
        <v>189</v>
      </c>
      <c r="L2665">
        <v>3.4</v>
      </c>
      <c r="M2665">
        <v>570000</v>
      </c>
      <c r="N2665">
        <v>4.8</v>
      </c>
      <c r="O2665">
        <v>13</v>
      </c>
      <c r="P2665" t="s">
        <v>114</v>
      </c>
    </row>
    <row r="2666" spans="1:16" x14ac:dyDescent="0.25">
      <c r="A2666" t="s">
        <v>6290</v>
      </c>
      <c r="B2666" t="s">
        <v>6291</v>
      </c>
      <c r="C2666" t="s">
        <v>18</v>
      </c>
      <c r="D2666" t="s">
        <v>79</v>
      </c>
      <c r="E2666" t="s">
        <v>20</v>
      </c>
      <c r="F2666" t="s">
        <v>32</v>
      </c>
      <c r="G2666" t="s">
        <v>22</v>
      </c>
      <c r="H2666" t="s">
        <v>34</v>
      </c>
      <c r="I2666" t="s">
        <v>35</v>
      </c>
      <c r="J2666" t="s">
        <v>1959</v>
      </c>
      <c r="L2666">
        <v>4.4000000000000004</v>
      </c>
      <c r="M2666">
        <v>343000</v>
      </c>
      <c r="N2666">
        <v>4.9000000000000004</v>
      </c>
      <c r="O2666">
        <v>12</v>
      </c>
      <c r="P2666" t="s">
        <v>26</v>
      </c>
    </row>
    <row r="2667" spans="1:16" x14ac:dyDescent="0.25">
      <c r="A2667" t="s">
        <v>6292</v>
      </c>
      <c r="B2667" t="s">
        <v>6293</v>
      </c>
      <c r="C2667" t="s">
        <v>18</v>
      </c>
      <c r="D2667" t="s">
        <v>19</v>
      </c>
      <c r="E2667" t="s">
        <v>44</v>
      </c>
      <c r="F2667" t="s">
        <v>128</v>
      </c>
      <c r="G2667" t="s">
        <v>22</v>
      </c>
      <c r="I2667" t="s">
        <v>35</v>
      </c>
      <c r="J2667" t="s">
        <v>625</v>
      </c>
      <c r="L2667">
        <v>5.8</v>
      </c>
      <c r="M2667">
        <v>529000</v>
      </c>
      <c r="N2667">
        <v>4.2</v>
      </c>
      <c r="O2667">
        <v>1</v>
      </c>
      <c r="P2667" t="s">
        <v>26</v>
      </c>
    </row>
    <row r="2668" spans="1:16" x14ac:dyDescent="0.25">
      <c r="A2668" t="s">
        <v>6294</v>
      </c>
      <c r="B2668" t="s">
        <v>6295</v>
      </c>
      <c r="C2668" t="s">
        <v>29</v>
      </c>
      <c r="D2668" t="s">
        <v>50</v>
      </c>
      <c r="E2668" t="s">
        <v>31</v>
      </c>
      <c r="F2668" t="s">
        <v>21</v>
      </c>
      <c r="G2668" t="s">
        <v>33</v>
      </c>
      <c r="I2668" t="s">
        <v>75</v>
      </c>
      <c r="J2668" t="s">
        <v>1719</v>
      </c>
      <c r="K2668" t="s">
        <v>1849</v>
      </c>
      <c r="L2668">
        <v>2.7</v>
      </c>
      <c r="N2668">
        <v>4.5999999999999996</v>
      </c>
      <c r="O2668">
        <v>13</v>
      </c>
      <c r="P2668" t="s">
        <v>72</v>
      </c>
    </row>
    <row r="2669" spans="1:16" x14ac:dyDescent="0.25">
      <c r="A2669" t="s">
        <v>6296</v>
      </c>
      <c r="B2669" t="s">
        <v>6297</v>
      </c>
      <c r="C2669" t="s">
        <v>18</v>
      </c>
      <c r="D2669" t="s">
        <v>30</v>
      </c>
      <c r="E2669" t="s">
        <v>44</v>
      </c>
      <c r="F2669" t="s">
        <v>39</v>
      </c>
      <c r="G2669" t="s">
        <v>80</v>
      </c>
      <c r="H2669" t="s">
        <v>23</v>
      </c>
      <c r="I2669" t="s">
        <v>24</v>
      </c>
      <c r="J2669" t="s">
        <v>2182</v>
      </c>
      <c r="K2669" t="s">
        <v>6298</v>
      </c>
      <c r="L2669">
        <v>1.4</v>
      </c>
      <c r="M2669">
        <v>108000</v>
      </c>
      <c r="N2669">
        <v>2.6</v>
      </c>
      <c r="O2669">
        <v>4</v>
      </c>
      <c r="P2669" t="s">
        <v>53</v>
      </c>
    </row>
    <row r="2670" spans="1:16" x14ac:dyDescent="0.25">
      <c r="A2670" t="s">
        <v>6299</v>
      </c>
      <c r="B2670" t="s">
        <v>6300</v>
      </c>
      <c r="C2670" t="s">
        <v>18</v>
      </c>
      <c r="D2670" t="s">
        <v>19</v>
      </c>
      <c r="E2670" t="s">
        <v>20</v>
      </c>
      <c r="F2670" t="s">
        <v>32</v>
      </c>
      <c r="G2670" t="s">
        <v>22</v>
      </c>
      <c r="H2670" t="s">
        <v>23</v>
      </c>
      <c r="I2670" t="s">
        <v>57</v>
      </c>
      <c r="J2670" t="s">
        <v>2612</v>
      </c>
      <c r="L2670">
        <v>6.1</v>
      </c>
      <c r="N2670">
        <v>2.2000000000000002</v>
      </c>
      <c r="O2670">
        <v>4</v>
      </c>
      <c r="P2670" t="s">
        <v>26</v>
      </c>
    </row>
    <row r="2671" spans="1:16" x14ac:dyDescent="0.25">
      <c r="A2671" t="s">
        <v>6301</v>
      </c>
      <c r="B2671" t="s">
        <v>3816</v>
      </c>
      <c r="C2671" t="s">
        <v>29</v>
      </c>
      <c r="D2671" t="s">
        <v>19</v>
      </c>
      <c r="E2671" t="s">
        <v>20</v>
      </c>
      <c r="F2671" t="s">
        <v>32</v>
      </c>
      <c r="G2671" t="s">
        <v>22</v>
      </c>
      <c r="H2671" t="s">
        <v>23</v>
      </c>
      <c r="I2671" t="s">
        <v>171</v>
      </c>
      <c r="J2671" t="s">
        <v>3889</v>
      </c>
      <c r="L2671">
        <v>5.2</v>
      </c>
      <c r="M2671">
        <v>356000</v>
      </c>
      <c r="O2671">
        <v>3</v>
      </c>
      <c r="P2671" t="s">
        <v>26</v>
      </c>
    </row>
    <row r="2672" spans="1:16" x14ac:dyDescent="0.25">
      <c r="A2672" t="s">
        <v>6302</v>
      </c>
      <c r="B2672" t="s">
        <v>6297</v>
      </c>
      <c r="C2672" t="s">
        <v>18</v>
      </c>
      <c r="D2672" t="s">
        <v>30</v>
      </c>
      <c r="E2672" t="s">
        <v>44</v>
      </c>
      <c r="F2672" t="s">
        <v>32</v>
      </c>
      <c r="G2672" t="s">
        <v>22</v>
      </c>
      <c r="H2672" t="s">
        <v>34</v>
      </c>
      <c r="I2672" t="s">
        <v>24</v>
      </c>
      <c r="J2672" t="s">
        <v>3085</v>
      </c>
      <c r="L2672">
        <v>4.0999999999999996</v>
      </c>
      <c r="M2672">
        <v>189000</v>
      </c>
      <c r="N2672">
        <v>2.9</v>
      </c>
      <c r="O2672">
        <v>8</v>
      </c>
      <c r="P2672" t="s">
        <v>26</v>
      </c>
    </row>
    <row r="2673" spans="1:16" x14ac:dyDescent="0.25">
      <c r="A2673" t="s">
        <v>6303</v>
      </c>
      <c r="B2673" t="s">
        <v>6304</v>
      </c>
      <c r="C2673" t="s">
        <v>18</v>
      </c>
      <c r="D2673" t="s">
        <v>30</v>
      </c>
      <c r="E2673" t="s">
        <v>20</v>
      </c>
      <c r="F2673" t="s">
        <v>128</v>
      </c>
      <c r="G2673" t="s">
        <v>22</v>
      </c>
      <c r="H2673" t="s">
        <v>46</v>
      </c>
      <c r="I2673" t="s">
        <v>24</v>
      </c>
      <c r="J2673" t="s">
        <v>3376</v>
      </c>
      <c r="L2673">
        <v>1.7</v>
      </c>
      <c r="M2673">
        <v>425000</v>
      </c>
      <c r="N2673">
        <v>4</v>
      </c>
      <c r="O2673">
        <v>6</v>
      </c>
      <c r="P2673" t="s">
        <v>26</v>
      </c>
    </row>
    <row r="2674" spans="1:16" x14ac:dyDescent="0.25">
      <c r="A2674" t="s">
        <v>6305</v>
      </c>
      <c r="B2674" t="s">
        <v>2242</v>
      </c>
      <c r="C2674" t="s">
        <v>29</v>
      </c>
      <c r="D2674" t="s">
        <v>43</v>
      </c>
      <c r="E2674" t="s">
        <v>31</v>
      </c>
      <c r="F2674" t="s">
        <v>128</v>
      </c>
      <c r="G2674" t="s">
        <v>22</v>
      </c>
      <c r="H2674" t="s">
        <v>34</v>
      </c>
      <c r="I2674" t="s">
        <v>35</v>
      </c>
      <c r="J2674" t="s">
        <v>5302</v>
      </c>
      <c r="L2674">
        <v>2.8</v>
      </c>
      <c r="M2674">
        <v>378000</v>
      </c>
      <c r="N2674">
        <v>2.7</v>
      </c>
      <c r="O2674">
        <v>10</v>
      </c>
      <c r="P2674" t="s">
        <v>26</v>
      </c>
    </row>
    <row r="2675" spans="1:16" x14ac:dyDescent="0.25">
      <c r="A2675" t="s">
        <v>6306</v>
      </c>
      <c r="B2675" t="s">
        <v>6307</v>
      </c>
      <c r="C2675" t="s">
        <v>29</v>
      </c>
      <c r="D2675" t="s">
        <v>43</v>
      </c>
      <c r="E2675" t="s">
        <v>20</v>
      </c>
      <c r="G2675" t="s">
        <v>80</v>
      </c>
      <c r="H2675" t="s">
        <v>23</v>
      </c>
      <c r="I2675" t="s">
        <v>24</v>
      </c>
      <c r="J2675" t="s">
        <v>5225</v>
      </c>
      <c r="L2675">
        <v>4.4000000000000004</v>
      </c>
      <c r="M2675">
        <v>238000</v>
      </c>
      <c r="N2675">
        <v>3.7</v>
      </c>
      <c r="O2675">
        <v>8</v>
      </c>
      <c r="P2675" t="s">
        <v>26</v>
      </c>
    </row>
    <row r="2676" spans="1:16" x14ac:dyDescent="0.25">
      <c r="A2676" t="s">
        <v>6308</v>
      </c>
      <c r="B2676" t="s">
        <v>4874</v>
      </c>
      <c r="C2676" t="s">
        <v>18</v>
      </c>
      <c r="D2676" t="s">
        <v>43</v>
      </c>
      <c r="E2676" t="s">
        <v>44</v>
      </c>
      <c r="F2676" t="s">
        <v>32</v>
      </c>
      <c r="G2676" t="s">
        <v>22</v>
      </c>
      <c r="H2676" t="s">
        <v>34</v>
      </c>
      <c r="I2676" t="s">
        <v>35</v>
      </c>
      <c r="J2676" t="s">
        <v>6162</v>
      </c>
      <c r="K2676" t="s">
        <v>3758</v>
      </c>
      <c r="L2676">
        <v>4.0999999999999996</v>
      </c>
      <c r="M2676">
        <v>180000</v>
      </c>
      <c r="N2676">
        <v>3.9</v>
      </c>
      <c r="O2676">
        <v>0</v>
      </c>
      <c r="P2676" t="s">
        <v>53</v>
      </c>
    </row>
    <row r="2677" spans="1:16" x14ac:dyDescent="0.25">
      <c r="A2677" t="s">
        <v>6309</v>
      </c>
      <c r="B2677" t="s">
        <v>60</v>
      </c>
      <c r="C2677" t="s">
        <v>18</v>
      </c>
      <c r="D2677" t="s">
        <v>30</v>
      </c>
      <c r="E2677" t="s">
        <v>20</v>
      </c>
      <c r="F2677" t="s">
        <v>32</v>
      </c>
      <c r="G2677" t="s">
        <v>33</v>
      </c>
      <c r="H2677" t="s">
        <v>46</v>
      </c>
      <c r="I2677" t="s">
        <v>35</v>
      </c>
      <c r="J2677" t="s">
        <v>533</v>
      </c>
      <c r="K2677" t="s">
        <v>2216</v>
      </c>
      <c r="L2677">
        <v>3.1</v>
      </c>
      <c r="M2677">
        <v>308000</v>
      </c>
      <c r="N2677">
        <v>4.5</v>
      </c>
      <c r="O2677">
        <v>5</v>
      </c>
      <c r="P2677" t="s">
        <v>53</v>
      </c>
    </row>
    <row r="2678" spans="1:16" x14ac:dyDescent="0.25">
      <c r="A2678" t="s">
        <v>6310</v>
      </c>
      <c r="B2678" t="s">
        <v>5552</v>
      </c>
      <c r="C2678" t="s">
        <v>29</v>
      </c>
      <c r="D2678" t="s">
        <v>19</v>
      </c>
      <c r="E2678" t="s">
        <v>20</v>
      </c>
      <c r="F2678" t="s">
        <v>21</v>
      </c>
      <c r="G2678" t="s">
        <v>69</v>
      </c>
      <c r="H2678" t="s">
        <v>46</v>
      </c>
      <c r="I2678" t="s">
        <v>24</v>
      </c>
      <c r="J2678" t="s">
        <v>1471</v>
      </c>
      <c r="L2678">
        <v>1.8</v>
      </c>
      <c r="N2678">
        <v>3.2</v>
      </c>
      <c r="O2678">
        <v>2</v>
      </c>
      <c r="P2678" t="s">
        <v>26</v>
      </c>
    </row>
    <row r="2679" spans="1:16" x14ac:dyDescent="0.25">
      <c r="A2679" t="s">
        <v>6311</v>
      </c>
      <c r="B2679" t="s">
        <v>6312</v>
      </c>
      <c r="C2679" t="s">
        <v>18</v>
      </c>
      <c r="D2679" t="s">
        <v>50</v>
      </c>
      <c r="E2679" t="s">
        <v>20</v>
      </c>
      <c r="G2679" t="s">
        <v>80</v>
      </c>
      <c r="H2679" t="s">
        <v>34</v>
      </c>
      <c r="I2679" t="s">
        <v>75</v>
      </c>
      <c r="J2679" t="s">
        <v>6313</v>
      </c>
      <c r="K2679" t="s">
        <v>3393</v>
      </c>
      <c r="L2679">
        <v>4</v>
      </c>
      <c r="M2679">
        <v>318000</v>
      </c>
      <c r="N2679">
        <v>2.1</v>
      </c>
      <c r="O2679">
        <v>8</v>
      </c>
      <c r="P2679" t="s">
        <v>53</v>
      </c>
    </row>
    <row r="2680" spans="1:16" x14ac:dyDescent="0.25">
      <c r="A2680" t="s">
        <v>6314</v>
      </c>
      <c r="B2680" t="s">
        <v>6315</v>
      </c>
      <c r="C2680" t="s">
        <v>18</v>
      </c>
      <c r="D2680" t="s">
        <v>43</v>
      </c>
      <c r="E2680" t="s">
        <v>20</v>
      </c>
      <c r="F2680" t="s">
        <v>21</v>
      </c>
      <c r="G2680" t="s">
        <v>80</v>
      </c>
      <c r="H2680" t="s">
        <v>34</v>
      </c>
      <c r="I2680" t="s">
        <v>24</v>
      </c>
      <c r="J2680" t="s">
        <v>292</v>
      </c>
      <c r="L2680">
        <v>2.7</v>
      </c>
      <c r="M2680">
        <v>600000</v>
      </c>
      <c r="N2680">
        <v>4.9000000000000004</v>
      </c>
      <c r="O2680">
        <v>0</v>
      </c>
      <c r="P2680" t="s">
        <v>26</v>
      </c>
    </row>
    <row r="2681" spans="1:16" x14ac:dyDescent="0.25">
      <c r="A2681" t="s">
        <v>6316</v>
      </c>
      <c r="B2681" t="s">
        <v>2279</v>
      </c>
      <c r="C2681" t="s">
        <v>18</v>
      </c>
      <c r="D2681" t="s">
        <v>79</v>
      </c>
      <c r="E2681" t="s">
        <v>20</v>
      </c>
      <c r="F2681" t="s">
        <v>39</v>
      </c>
      <c r="G2681" t="s">
        <v>33</v>
      </c>
      <c r="H2681" t="s">
        <v>23</v>
      </c>
      <c r="I2681" t="s">
        <v>57</v>
      </c>
      <c r="J2681" t="s">
        <v>5682</v>
      </c>
      <c r="K2681" t="s">
        <v>2120</v>
      </c>
      <c r="L2681">
        <v>1.7</v>
      </c>
      <c r="M2681">
        <v>127000</v>
      </c>
      <c r="N2681">
        <v>2.2999999999999998</v>
      </c>
      <c r="O2681">
        <v>5</v>
      </c>
      <c r="P2681" t="s">
        <v>53</v>
      </c>
    </row>
    <row r="2682" spans="1:16" x14ac:dyDescent="0.25">
      <c r="A2682" t="s">
        <v>6317</v>
      </c>
      <c r="B2682" t="s">
        <v>6318</v>
      </c>
      <c r="C2682" t="s">
        <v>18</v>
      </c>
      <c r="D2682" t="s">
        <v>43</v>
      </c>
      <c r="E2682" t="s">
        <v>20</v>
      </c>
      <c r="F2682" t="s">
        <v>32</v>
      </c>
      <c r="G2682" t="s">
        <v>33</v>
      </c>
      <c r="H2682" t="s">
        <v>46</v>
      </c>
      <c r="I2682" t="s">
        <v>24</v>
      </c>
      <c r="J2682" t="s">
        <v>5035</v>
      </c>
      <c r="K2682" t="s">
        <v>412</v>
      </c>
      <c r="L2682">
        <v>3.4</v>
      </c>
      <c r="M2682">
        <v>218000</v>
      </c>
      <c r="N2682">
        <v>2.1</v>
      </c>
      <c r="O2682">
        <v>8</v>
      </c>
      <c r="P2682" t="s">
        <v>53</v>
      </c>
    </row>
    <row r="2683" spans="1:16" x14ac:dyDescent="0.25">
      <c r="A2683" t="s">
        <v>6319</v>
      </c>
      <c r="B2683" t="s">
        <v>6320</v>
      </c>
      <c r="C2683" t="s">
        <v>29</v>
      </c>
      <c r="D2683" t="s">
        <v>50</v>
      </c>
      <c r="E2683" t="s">
        <v>20</v>
      </c>
      <c r="F2683" t="s">
        <v>21</v>
      </c>
      <c r="G2683" t="s">
        <v>69</v>
      </c>
      <c r="H2683" t="s">
        <v>23</v>
      </c>
      <c r="I2683" t="s">
        <v>57</v>
      </c>
      <c r="J2683" t="s">
        <v>1382</v>
      </c>
      <c r="K2683" t="s">
        <v>5409</v>
      </c>
      <c r="L2683">
        <v>5.4</v>
      </c>
      <c r="M2683">
        <v>703000</v>
      </c>
      <c r="N2683">
        <v>4.9000000000000004</v>
      </c>
      <c r="O2683">
        <v>6</v>
      </c>
      <c r="P2683" t="s">
        <v>114</v>
      </c>
    </row>
    <row r="2684" spans="1:16" x14ac:dyDescent="0.25">
      <c r="A2684" t="s">
        <v>6321</v>
      </c>
      <c r="B2684" t="s">
        <v>3005</v>
      </c>
      <c r="C2684" t="s">
        <v>18</v>
      </c>
      <c r="D2684" t="s">
        <v>43</v>
      </c>
      <c r="E2684" t="s">
        <v>31</v>
      </c>
      <c r="G2684" t="s">
        <v>69</v>
      </c>
      <c r="H2684" t="s">
        <v>62</v>
      </c>
      <c r="I2684" t="s">
        <v>57</v>
      </c>
      <c r="J2684" t="s">
        <v>366</v>
      </c>
      <c r="K2684" t="s">
        <v>1318</v>
      </c>
      <c r="L2684">
        <v>2.2999999999999998</v>
      </c>
      <c r="M2684">
        <v>126000</v>
      </c>
      <c r="N2684">
        <v>4.9000000000000004</v>
      </c>
      <c r="O2684">
        <v>5</v>
      </c>
      <c r="P2684" t="s">
        <v>114</v>
      </c>
    </row>
    <row r="2685" spans="1:16" x14ac:dyDescent="0.25">
      <c r="A2685" t="s">
        <v>6322</v>
      </c>
      <c r="B2685" t="s">
        <v>131</v>
      </c>
      <c r="C2685" t="s">
        <v>29</v>
      </c>
      <c r="D2685" t="s">
        <v>30</v>
      </c>
      <c r="E2685" t="s">
        <v>20</v>
      </c>
      <c r="F2685" t="s">
        <v>39</v>
      </c>
      <c r="G2685" t="s">
        <v>80</v>
      </c>
      <c r="J2685" t="s">
        <v>6323</v>
      </c>
      <c r="K2685" t="s">
        <v>3139</v>
      </c>
      <c r="L2685">
        <v>4.9000000000000004</v>
      </c>
      <c r="M2685">
        <v>105000</v>
      </c>
      <c r="N2685">
        <v>2.2999999999999998</v>
      </c>
      <c r="O2685">
        <v>10</v>
      </c>
      <c r="P2685" t="s">
        <v>53</v>
      </c>
    </row>
    <row r="2686" spans="1:16" x14ac:dyDescent="0.25">
      <c r="A2686" t="s">
        <v>6324</v>
      </c>
      <c r="B2686" t="s">
        <v>5816</v>
      </c>
      <c r="C2686" t="s">
        <v>29</v>
      </c>
      <c r="D2686" t="s">
        <v>79</v>
      </c>
      <c r="E2686" t="s">
        <v>20</v>
      </c>
      <c r="G2686" t="s">
        <v>80</v>
      </c>
      <c r="H2686" t="s">
        <v>46</v>
      </c>
      <c r="I2686" t="s">
        <v>35</v>
      </c>
      <c r="J2686" t="s">
        <v>6325</v>
      </c>
      <c r="L2686">
        <v>1.6</v>
      </c>
      <c r="M2686">
        <v>432000</v>
      </c>
      <c r="N2686">
        <v>2.8</v>
      </c>
      <c r="O2686">
        <v>26</v>
      </c>
      <c r="P2686" t="s">
        <v>26</v>
      </c>
    </row>
    <row r="2687" spans="1:16" x14ac:dyDescent="0.25">
      <c r="A2687" t="s">
        <v>6326</v>
      </c>
      <c r="B2687" t="s">
        <v>1284</v>
      </c>
      <c r="C2687" t="s">
        <v>18</v>
      </c>
      <c r="D2687" t="s">
        <v>43</v>
      </c>
      <c r="E2687" t="s">
        <v>20</v>
      </c>
      <c r="F2687" t="s">
        <v>32</v>
      </c>
      <c r="G2687" t="s">
        <v>22</v>
      </c>
      <c r="H2687" t="s">
        <v>46</v>
      </c>
      <c r="I2687" t="s">
        <v>75</v>
      </c>
      <c r="J2687" t="s">
        <v>6327</v>
      </c>
      <c r="L2687">
        <v>2.9</v>
      </c>
      <c r="M2687">
        <v>180000</v>
      </c>
      <c r="O2687">
        <v>0</v>
      </c>
      <c r="P2687" t="s">
        <v>26</v>
      </c>
    </row>
    <row r="2688" spans="1:16" x14ac:dyDescent="0.25">
      <c r="A2688" t="s">
        <v>6328</v>
      </c>
      <c r="B2688" t="s">
        <v>6329</v>
      </c>
      <c r="C2688" t="s">
        <v>18</v>
      </c>
      <c r="D2688" t="s">
        <v>50</v>
      </c>
      <c r="E2688" t="s">
        <v>20</v>
      </c>
      <c r="F2688" t="s">
        <v>39</v>
      </c>
      <c r="G2688" t="s">
        <v>80</v>
      </c>
      <c r="H2688" t="s">
        <v>34</v>
      </c>
      <c r="I2688" t="s">
        <v>24</v>
      </c>
      <c r="J2688" t="s">
        <v>1210</v>
      </c>
      <c r="L2688">
        <v>1.4</v>
      </c>
      <c r="M2688">
        <v>141000</v>
      </c>
      <c r="N2688">
        <v>4.7</v>
      </c>
      <c r="O2688">
        <v>0</v>
      </c>
      <c r="P2688" t="s">
        <v>26</v>
      </c>
    </row>
    <row r="2689" spans="1:16" x14ac:dyDescent="0.25">
      <c r="A2689" t="s">
        <v>6330</v>
      </c>
      <c r="B2689" t="s">
        <v>6331</v>
      </c>
      <c r="C2689" t="s">
        <v>29</v>
      </c>
      <c r="D2689" t="s">
        <v>79</v>
      </c>
      <c r="E2689" t="s">
        <v>44</v>
      </c>
      <c r="F2689" t="s">
        <v>128</v>
      </c>
      <c r="G2689" t="s">
        <v>22</v>
      </c>
      <c r="H2689" t="s">
        <v>34</v>
      </c>
      <c r="I2689" t="s">
        <v>75</v>
      </c>
      <c r="J2689" t="s">
        <v>6332</v>
      </c>
      <c r="K2689" t="s">
        <v>1735</v>
      </c>
      <c r="L2689">
        <v>2.7</v>
      </c>
      <c r="M2689">
        <v>576000</v>
      </c>
      <c r="N2689">
        <v>4.5</v>
      </c>
      <c r="O2689">
        <v>3</v>
      </c>
      <c r="P2689" t="s">
        <v>53</v>
      </c>
    </row>
    <row r="2690" spans="1:16" x14ac:dyDescent="0.25">
      <c r="A2690" t="s">
        <v>6333</v>
      </c>
      <c r="B2690" t="s">
        <v>2131</v>
      </c>
      <c r="C2690" t="s">
        <v>29</v>
      </c>
      <c r="D2690" t="s">
        <v>50</v>
      </c>
      <c r="E2690" t="s">
        <v>20</v>
      </c>
      <c r="F2690" t="s">
        <v>39</v>
      </c>
      <c r="G2690" t="s">
        <v>80</v>
      </c>
      <c r="H2690" t="s">
        <v>46</v>
      </c>
      <c r="I2690" t="s">
        <v>171</v>
      </c>
      <c r="J2690" t="s">
        <v>1712</v>
      </c>
      <c r="L2690">
        <v>1.5</v>
      </c>
      <c r="M2690">
        <v>165000</v>
      </c>
      <c r="N2690">
        <v>2.8</v>
      </c>
      <c r="O2690">
        <v>5</v>
      </c>
      <c r="P2690" t="s">
        <v>26</v>
      </c>
    </row>
    <row r="2691" spans="1:16" x14ac:dyDescent="0.25">
      <c r="A2691" t="s">
        <v>6334</v>
      </c>
      <c r="B2691" t="s">
        <v>6335</v>
      </c>
      <c r="C2691" t="s">
        <v>29</v>
      </c>
      <c r="D2691" t="s">
        <v>50</v>
      </c>
      <c r="E2691" t="s">
        <v>20</v>
      </c>
      <c r="F2691" t="s">
        <v>21</v>
      </c>
      <c r="G2691" t="s">
        <v>80</v>
      </c>
      <c r="H2691" t="s">
        <v>62</v>
      </c>
      <c r="I2691" t="s">
        <v>24</v>
      </c>
      <c r="J2691" t="s">
        <v>3690</v>
      </c>
      <c r="L2691">
        <v>1.8</v>
      </c>
      <c r="M2691">
        <v>931000</v>
      </c>
      <c r="N2691">
        <v>3.8</v>
      </c>
      <c r="O2691">
        <v>4</v>
      </c>
      <c r="P2691" t="s">
        <v>26</v>
      </c>
    </row>
    <row r="2692" spans="1:16" x14ac:dyDescent="0.25">
      <c r="A2692" t="s">
        <v>6336</v>
      </c>
      <c r="B2692" t="s">
        <v>6337</v>
      </c>
      <c r="C2692" t="s">
        <v>29</v>
      </c>
      <c r="E2692" t="s">
        <v>44</v>
      </c>
      <c r="F2692" t="s">
        <v>39</v>
      </c>
      <c r="G2692" t="s">
        <v>80</v>
      </c>
      <c r="H2692" t="s">
        <v>23</v>
      </c>
      <c r="I2692" t="s">
        <v>24</v>
      </c>
      <c r="J2692" t="s">
        <v>1135</v>
      </c>
      <c r="K2692" t="s">
        <v>4808</v>
      </c>
      <c r="L2692">
        <v>4.2</v>
      </c>
      <c r="M2692">
        <v>111000</v>
      </c>
      <c r="N2692">
        <v>2.2000000000000002</v>
      </c>
      <c r="O2692">
        <v>1</v>
      </c>
      <c r="P2692" t="s">
        <v>114</v>
      </c>
    </row>
    <row r="2693" spans="1:16" x14ac:dyDescent="0.25">
      <c r="A2693" t="s">
        <v>6338</v>
      </c>
      <c r="B2693" t="s">
        <v>2829</v>
      </c>
      <c r="C2693" t="s">
        <v>29</v>
      </c>
      <c r="D2693" t="s">
        <v>79</v>
      </c>
      <c r="E2693" t="s">
        <v>20</v>
      </c>
      <c r="F2693" t="s">
        <v>128</v>
      </c>
      <c r="G2693" t="s">
        <v>80</v>
      </c>
      <c r="H2693" t="s">
        <v>34</v>
      </c>
      <c r="I2693" t="s">
        <v>24</v>
      </c>
      <c r="J2693" t="s">
        <v>2210</v>
      </c>
      <c r="L2693">
        <v>3.7</v>
      </c>
      <c r="M2693">
        <v>571000</v>
      </c>
      <c r="N2693">
        <v>3</v>
      </c>
      <c r="O2693">
        <v>17</v>
      </c>
      <c r="P2693" t="s">
        <v>26</v>
      </c>
    </row>
    <row r="2694" spans="1:16" x14ac:dyDescent="0.25">
      <c r="A2694" t="s">
        <v>6339</v>
      </c>
      <c r="B2694" t="s">
        <v>6340</v>
      </c>
      <c r="C2694" t="s">
        <v>29</v>
      </c>
      <c r="D2694" t="s">
        <v>30</v>
      </c>
      <c r="E2694" t="s">
        <v>20</v>
      </c>
      <c r="F2694" t="s">
        <v>32</v>
      </c>
      <c r="G2694" t="s">
        <v>33</v>
      </c>
      <c r="H2694" t="s">
        <v>34</v>
      </c>
      <c r="I2694" t="s">
        <v>24</v>
      </c>
      <c r="J2694" t="s">
        <v>2100</v>
      </c>
      <c r="L2694">
        <v>1.3</v>
      </c>
      <c r="M2694">
        <v>241000</v>
      </c>
      <c r="N2694">
        <v>3.3</v>
      </c>
      <c r="O2694">
        <v>0</v>
      </c>
      <c r="P2694" t="s">
        <v>26</v>
      </c>
    </row>
    <row r="2695" spans="1:16" x14ac:dyDescent="0.25">
      <c r="A2695" t="s">
        <v>6341</v>
      </c>
      <c r="B2695" t="s">
        <v>6342</v>
      </c>
      <c r="C2695" t="s">
        <v>29</v>
      </c>
      <c r="D2695" t="s">
        <v>50</v>
      </c>
      <c r="G2695" t="s">
        <v>33</v>
      </c>
      <c r="H2695" t="s">
        <v>34</v>
      </c>
      <c r="I2695" t="s">
        <v>35</v>
      </c>
      <c r="J2695" t="s">
        <v>1497</v>
      </c>
      <c r="L2695">
        <v>1.7</v>
      </c>
      <c r="M2695">
        <v>147000</v>
      </c>
      <c r="N2695">
        <v>3.3</v>
      </c>
      <c r="O2695">
        <v>31</v>
      </c>
      <c r="P2695" t="s">
        <v>26</v>
      </c>
    </row>
    <row r="2696" spans="1:16" x14ac:dyDescent="0.25">
      <c r="A2696" t="s">
        <v>6343</v>
      </c>
      <c r="B2696" t="s">
        <v>1201</v>
      </c>
      <c r="C2696" t="s">
        <v>29</v>
      </c>
      <c r="D2696" t="s">
        <v>50</v>
      </c>
      <c r="E2696" t="s">
        <v>20</v>
      </c>
      <c r="F2696" t="s">
        <v>39</v>
      </c>
      <c r="G2696" t="s">
        <v>22</v>
      </c>
      <c r="H2696" t="s">
        <v>23</v>
      </c>
      <c r="I2696" t="s">
        <v>24</v>
      </c>
      <c r="J2696" t="s">
        <v>700</v>
      </c>
      <c r="L2696">
        <v>2.4</v>
      </c>
      <c r="M2696">
        <v>96000</v>
      </c>
      <c r="N2696">
        <v>3.8</v>
      </c>
      <c r="O2696">
        <v>0</v>
      </c>
      <c r="P2696" t="s">
        <v>26</v>
      </c>
    </row>
    <row r="2697" spans="1:16" x14ac:dyDescent="0.25">
      <c r="A2697" t="s">
        <v>6344</v>
      </c>
      <c r="B2697" t="s">
        <v>6345</v>
      </c>
      <c r="D2697" t="s">
        <v>30</v>
      </c>
      <c r="E2697" t="s">
        <v>31</v>
      </c>
      <c r="F2697" t="s">
        <v>45</v>
      </c>
      <c r="G2697" t="s">
        <v>80</v>
      </c>
      <c r="H2697" t="s">
        <v>34</v>
      </c>
      <c r="I2697" t="s">
        <v>57</v>
      </c>
      <c r="J2697" t="s">
        <v>1356</v>
      </c>
      <c r="L2697">
        <v>2.9</v>
      </c>
      <c r="O2697">
        <v>2</v>
      </c>
      <c r="P2697" t="s">
        <v>26</v>
      </c>
    </row>
    <row r="2698" spans="1:16" x14ac:dyDescent="0.25">
      <c r="A2698" t="s">
        <v>6346</v>
      </c>
      <c r="B2698" t="s">
        <v>6347</v>
      </c>
      <c r="C2698" t="s">
        <v>18</v>
      </c>
      <c r="D2698" t="s">
        <v>43</v>
      </c>
      <c r="F2698" t="s">
        <v>39</v>
      </c>
      <c r="G2698" t="s">
        <v>22</v>
      </c>
      <c r="H2698" t="s">
        <v>34</v>
      </c>
      <c r="I2698" t="s">
        <v>75</v>
      </c>
      <c r="J2698" t="s">
        <v>5790</v>
      </c>
      <c r="K2698" t="s">
        <v>667</v>
      </c>
      <c r="L2698">
        <v>5.5</v>
      </c>
      <c r="M2698">
        <v>94000</v>
      </c>
      <c r="N2698">
        <v>2.4</v>
      </c>
      <c r="O2698">
        <v>0</v>
      </c>
      <c r="P2698" t="s">
        <v>53</v>
      </c>
    </row>
    <row r="2699" spans="1:16" x14ac:dyDescent="0.25">
      <c r="A2699" t="s">
        <v>6348</v>
      </c>
      <c r="B2699" t="s">
        <v>6349</v>
      </c>
      <c r="C2699" t="s">
        <v>29</v>
      </c>
      <c r="D2699" t="s">
        <v>50</v>
      </c>
      <c r="E2699" t="s">
        <v>20</v>
      </c>
      <c r="F2699" t="s">
        <v>128</v>
      </c>
      <c r="G2699" t="s">
        <v>22</v>
      </c>
      <c r="H2699" t="s">
        <v>34</v>
      </c>
      <c r="I2699" t="s">
        <v>24</v>
      </c>
      <c r="J2699" t="s">
        <v>2681</v>
      </c>
      <c r="K2699" t="s">
        <v>6350</v>
      </c>
      <c r="L2699">
        <v>1.8</v>
      </c>
      <c r="M2699">
        <v>352000</v>
      </c>
      <c r="N2699">
        <v>3.6</v>
      </c>
      <c r="O2699">
        <v>12</v>
      </c>
      <c r="P2699" t="s">
        <v>53</v>
      </c>
    </row>
    <row r="2700" spans="1:16" x14ac:dyDescent="0.25">
      <c r="A2700" t="s">
        <v>6351</v>
      </c>
      <c r="B2700" t="s">
        <v>6352</v>
      </c>
      <c r="C2700" t="s">
        <v>18</v>
      </c>
      <c r="D2700" t="s">
        <v>50</v>
      </c>
      <c r="E2700" t="s">
        <v>20</v>
      </c>
      <c r="F2700" t="s">
        <v>32</v>
      </c>
      <c r="G2700" t="s">
        <v>33</v>
      </c>
      <c r="H2700" t="s">
        <v>62</v>
      </c>
      <c r="I2700" t="s">
        <v>35</v>
      </c>
      <c r="J2700" t="s">
        <v>2600</v>
      </c>
      <c r="L2700">
        <v>3</v>
      </c>
      <c r="N2700">
        <v>2.6</v>
      </c>
      <c r="O2700">
        <v>12</v>
      </c>
      <c r="P2700" t="s">
        <v>26</v>
      </c>
    </row>
    <row r="2701" spans="1:16" x14ac:dyDescent="0.25">
      <c r="A2701" t="s">
        <v>6353</v>
      </c>
      <c r="B2701" t="s">
        <v>6354</v>
      </c>
      <c r="C2701" t="s">
        <v>18</v>
      </c>
      <c r="D2701" t="s">
        <v>862</v>
      </c>
      <c r="E2701" t="s">
        <v>44</v>
      </c>
      <c r="F2701" t="s">
        <v>32</v>
      </c>
      <c r="G2701" t="s">
        <v>22</v>
      </c>
      <c r="H2701" t="s">
        <v>46</v>
      </c>
      <c r="I2701" t="s">
        <v>24</v>
      </c>
      <c r="J2701" t="s">
        <v>4493</v>
      </c>
      <c r="K2701" t="s">
        <v>6355</v>
      </c>
      <c r="L2701">
        <v>5.4</v>
      </c>
      <c r="M2701">
        <v>328000</v>
      </c>
      <c r="N2701">
        <v>4.3</v>
      </c>
      <c r="O2701">
        <v>14</v>
      </c>
      <c r="P2701" t="s">
        <v>53</v>
      </c>
    </row>
    <row r="2702" spans="1:16" x14ac:dyDescent="0.25">
      <c r="A2702" t="s">
        <v>6356</v>
      </c>
      <c r="B2702" t="s">
        <v>6357</v>
      </c>
      <c r="C2702" t="s">
        <v>29</v>
      </c>
      <c r="D2702" t="s">
        <v>30</v>
      </c>
      <c r="E2702" t="s">
        <v>44</v>
      </c>
      <c r="F2702" t="s">
        <v>128</v>
      </c>
      <c r="G2702" t="s">
        <v>80</v>
      </c>
      <c r="H2702" t="s">
        <v>62</v>
      </c>
      <c r="J2702" t="s">
        <v>1404</v>
      </c>
      <c r="K2702" t="s">
        <v>5244</v>
      </c>
      <c r="L2702">
        <v>4.0999999999999996</v>
      </c>
      <c r="M2702">
        <v>527000</v>
      </c>
      <c r="N2702">
        <v>3.8</v>
      </c>
      <c r="O2702">
        <v>0</v>
      </c>
      <c r="P2702" t="s">
        <v>72</v>
      </c>
    </row>
    <row r="2703" spans="1:16" x14ac:dyDescent="0.25">
      <c r="A2703" t="s">
        <v>5392</v>
      </c>
      <c r="B2703" t="s">
        <v>5173</v>
      </c>
      <c r="C2703" t="s">
        <v>18</v>
      </c>
      <c r="D2703" t="s">
        <v>79</v>
      </c>
      <c r="E2703" t="s">
        <v>31</v>
      </c>
      <c r="F2703" t="s">
        <v>39</v>
      </c>
      <c r="G2703" t="s">
        <v>80</v>
      </c>
      <c r="H2703" t="s">
        <v>34</v>
      </c>
      <c r="I2703" t="s">
        <v>35</v>
      </c>
      <c r="J2703" t="s">
        <v>815</v>
      </c>
      <c r="K2703" t="s">
        <v>5393</v>
      </c>
      <c r="L2703">
        <v>1.5</v>
      </c>
      <c r="M2703">
        <v>150000</v>
      </c>
      <c r="N2703">
        <v>4.9000000000000004</v>
      </c>
      <c r="O2703">
        <v>7</v>
      </c>
      <c r="P2703" t="s">
        <v>53</v>
      </c>
    </row>
    <row r="2704" spans="1:16" x14ac:dyDescent="0.25">
      <c r="A2704" t="s">
        <v>6358</v>
      </c>
      <c r="B2704" t="s">
        <v>6359</v>
      </c>
      <c r="C2704" t="s">
        <v>29</v>
      </c>
      <c r="D2704" t="s">
        <v>43</v>
      </c>
      <c r="E2704" t="s">
        <v>20</v>
      </c>
      <c r="F2704" t="s">
        <v>39</v>
      </c>
      <c r="G2704" t="s">
        <v>22</v>
      </c>
      <c r="H2704" t="s">
        <v>23</v>
      </c>
      <c r="J2704" t="s">
        <v>2751</v>
      </c>
      <c r="K2704" t="s">
        <v>6360</v>
      </c>
      <c r="L2704">
        <v>3.4</v>
      </c>
      <c r="M2704">
        <v>136000</v>
      </c>
      <c r="N2704">
        <v>4.5999999999999996</v>
      </c>
      <c r="O2704">
        <v>28</v>
      </c>
      <c r="P2704" t="s">
        <v>53</v>
      </c>
    </row>
    <row r="2705" spans="1:16" x14ac:dyDescent="0.25">
      <c r="A2705" t="s">
        <v>6361</v>
      </c>
      <c r="B2705" t="s">
        <v>6362</v>
      </c>
      <c r="C2705" t="s">
        <v>18</v>
      </c>
      <c r="D2705" t="s">
        <v>43</v>
      </c>
      <c r="E2705" t="s">
        <v>31</v>
      </c>
      <c r="F2705" t="s">
        <v>39</v>
      </c>
      <c r="G2705" t="s">
        <v>80</v>
      </c>
      <c r="H2705" t="s">
        <v>46</v>
      </c>
      <c r="I2705" t="s">
        <v>35</v>
      </c>
      <c r="J2705" t="s">
        <v>1683</v>
      </c>
      <c r="K2705" t="s">
        <v>1894</v>
      </c>
      <c r="L2705">
        <v>1.7</v>
      </c>
      <c r="M2705">
        <v>119000</v>
      </c>
      <c r="N2705">
        <v>2.4</v>
      </c>
      <c r="O2705">
        <v>11</v>
      </c>
      <c r="P2705" t="s">
        <v>53</v>
      </c>
    </row>
    <row r="2706" spans="1:16" x14ac:dyDescent="0.25">
      <c r="A2706" t="s">
        <v>6363</v>
      </c>
      <c r="B2706" t="s">
        <v>6364</v>
      </c>
      <c r="C2706" t="s">
        <v>29</v>
      </c>
      <c r="D2706" t="s">
        <v>79</v>
      </c>
      <c r="E2706" t="s">
        <v>20</v>
      </c>
      <c r="F2706" t="s">
        <v>39</v>
      </c>
      <c r="G2706" t="s">
        <v>80</v>
      </c>
      <c r="H2706" t="s">
        <v>46</v>
      </c>
      <c r="I2706" t="s">
        <v>35</v>
      </c>
      <c r="J2706" t="s">
        <v>6052</v>
      </c>
      <c r="L2706">
        <v>3.2</v>
      </c>
      <c r="M2706">
        <v>113000</v>
      </c>
      <c r="N2706">
        <v>3.1</v>
      </c>
      <c r="O2706">
        <v>9</v>
      </c>
      <c r="P2706" t="s">
        <v>26</v>
      </c>
    </row>
    <row r="2707" spans="1:16" x14ac:dyDescent="0.25">
      <c r="A2707" t="s">
        <v>6365</v>
      </c>
      <c r="B2707" t="s">
        <v>3524</v>
      </c>
      <c r="C2707" t="s">
        <v>29</v>
      </c>
      <c r="D2707" t="s">
        <v>79</v>
      </c>
      <c r="E2707" t="s">
        <v>20</v>
      </c>
      <c r="F2707" t="s">
        <v>32</v>
      </c>
      <c r="G2707" t="s">
        <v>69</v>
      </c>
      <c r="H2707" t="s">
        <v>46</v>
      </c>
      <c r="I2707" t="s">
        <v>171</v>
      </c>
      <c r="J2707" t="s">
        <v>1662</v>
      </c>
      <c r="L2707">
        <v>5.3</v>
      </c>
      <c r="M2707">
        <v>188000</v>
      </c>
      <c r="N2707">
        <v>3.3</v>
      </c>
      <c r="O2707">
        <v>1</v>
      </c>
      <c r="P2707" t="s">
        <v>26</v>
      </c>
    </row>
    <row r="2708" spans="1:16" x14ac:dyDescent="0.25">
      <c r="A2708" t="s">
        <v>6366</v>
      </c>
      <c r="B2708" t="s">
        <v>6367</v>
      </c>
      <c r="C2708" t="s">
        <v>18</v>
      </c>
      <c r="D2708" t="s">
        <v>30</v>
      </c>
      <c r="E2708" t="s">
        <v>20</v>
      </c>
      <c r="F2708" t="s">
        <v>32</v>
      </c>
      <c r="G2708" t="s">
        <v>22</v>
      </c>
      <c r="H2708" t="s">
        <v>34</v>
      </c>
      <c r="I2708" t="s">
        <v>75</v>
      </c>
      <c r="J2708" t="s">
        <v>6368</v>
      </c>
      <c r="L2708">
        <v>2.9</v>
      </c>
      <c r="M2708">
        <v>269000</v>
      </c>
      <c r="O2708">
        <v>38</v>
      </c>
      <c r="P2708" t="s">
        <v>26</v>
      </c>
    </row>
    <row r="2709" spans="1:16" x14ac:dyDescent="0.25">
      <c r="A2709" t="s">
        <v>6369</v>
      </c>
      <c r="B2709" t="s">
        <v>4870</v>
      </c>
      <c r="C2709" t="s">
        <v>29</v>
      </c>
      <c r="D2709" t="s">
        <v>43</v>
      </c>
      <c r="E2709" t="s">
        <v>20</v>
      </c>
      <c r="F2709" t="s">
        <v>32</v>
      </c>
      <c r="G2709" t="s">
        <v>22</v>
      </c>
      <c r="H2709" t="s">
        <v>62</v>
      </c>
      <c r="I2709" t="s">
        <v>57</v>
      </c>
      <c r="J2709" t="s">
        <v>5660</v>
      </c>
      <c r="K2709" t="s">
        <v>1021</v>
      </c>
      <c r="L2709">
        <v>6</v>
      </c>
      <c r="M2709">
        <v>182000</v>
      </c>
      <c r="N2709">
        <v>4</v>
      </c>
      <c r="O2709">
        <v>27</v>
      </c>
      <c r="P2709" t="s">
        <v>53</v>
      </c>
    </row>
    <row r="2710" spans="1:16" x14ac:dyDescent="0.25">
      <c r="A2710" t="s">
        <v>6370</v>
      </c>
      <c r="B2710" t="s">
        <v>4913</v>
      </c>
      <c r="C2710" t="s">
        <v>29</v>
      </c>
      <c r="D2710" t="s">
        <v>30</v>
      </c>
      <c r="E2710" t="s">
        <v>44</v>
      </c>
      <c r="F2710" t="s">
        <v>39</v>
      </c>
      <c r="G2710" t="s">
        <v>33</v>
      </c>
      <c r="H2710" t="s">
        <v>23</v>
      </c>
      <c r="I2710" t="s">
        <v>171</v>
      </c>
      <c r="J2710" t="s">
        <v>3195</v>
      </c>
      <c r="K2710" t="s">
        <v>1591</v>
      </c>
      <c r="L2710">
        <v>5.8</v>
      </c>
      <c r="M2710">
        <v>153000</v>
      </c>
      <c r="N2710">
        <v>1.8</v>
      </c>
      <c r="O2710">
        <v>6</v>
      </c>
      <c r="P2710" t="s">
        <v>53</v>
      </c>
    </row>
    <row r="2711" spans="1:16" x14ac:dyDescent="0.25">
      <c r="A2711" t="s">
        <v>6371</v>
      </c>
      <c r="B2711" t="s">
        <v>2339</v>
      </c>
      <c r="C2711" t="s">
        <v>29</v>
      </c>
      <c r="D2711" t="s">
        <v>79</v>
      </c>
      <c r="E2711" t="s">
        <v>31</v>
      </c>
      <c r="F2711" t="s">
        <v>128</v>
      </c>
      <c r="G2711" t="s">
        <v>33</v>
      </c>
      <c r="H2711" t="s">
        <v>23</v>
      </c>
      <c r="I2711" t="s">
        <v>57</v>
      </c>
      <c r="J2711" t="s">
        <v>3036</v>
      </c>
      <c r="K2711" t="s">
        <v>4373</v>
      </c>
      <c r="L2711">
        <v>5.0999999999999996</v>
      </c>
      <c r="M2711">
        <v>519000</v>
      </c>
      <c r="N2711">
        <v>2.7</v>
      </c>
      <c r="O2711">
        <v>22</v>
      </c>
      <c r="P2711" t="s">
        <v>72</v>
      </c>
    </row>
    <row r="2712" spans="1:16" x14ac:dyDescent="0.25">
      <c r="A2712" t="s">
        <v>6372</v>
      </c>
      <c r="B2712" t="s">
        <v>6373</v>
      </c>
      <c r="C2712" t="s">
        <v>18</v>
      </c>
      <c r="D2712" t="s">
        <v>50</v>
      </c>
      <c r="E2712" t="s">
        <v>20</v>
      </c>
      <c r="F2712" t="s">
        <v>39</v>
      </c>
      <c r="G2712" t="s">
        <v>22</v>
      </c>
      <c r="H2712" t="s">
        <v>23</v>
      </c>
      <c r="I2712" t="s">
        <v>57</v>
      </c>
      <c r="J2712" t="s">
        <v>3031</v>
      </c>
      <c r="L2712">
        <v>2.2000000000000002</v>
      </c>
      <c r="M2712">
        <v>107000</v>
      </c>
      <c r="N2712">
        <v>3.7</v>
      </c>
      <c r="O2712">
        <v>10</v>
      </c>
      <c r="P2712" t="s">
        <v>26</v>
      </c>
    </row>
    <row r="2713" spans="1:16" x14ac:dyDescent="0.25">
      <c r="A2713" t="s">
        <v>6374</v>
      </c>
      <c r="B2713" t="s">
        <v>6375</v>
      </c>
      <c r="C2713" t="s">
        <v>18</v>
      </c>
      <c r="E2713" t="s">
        <v>20</v>
      </c>
      <c r="F2713" t="s">
        <v>21</v>
      </c>
      <c r="G2713" t="s">
        <v>22</v>
      </c>
      <c r="H2713" t="s">
        <v>34</v>
      </c>
      <c r="I2713" t="s">
        <v>35</v>
      </c>
      <c r="J2713" t="s">
        <v>1519</v>
      </c>
      <c r="L2713">
        <v>5.0999999999999996</v>
      </c>
      <c r="M2713">
        <v>671000</v>
      </c>
      <c r="N2713">
        <v>3.8</v>
      </c>
      <c r="O2713">
        <v>7</v>
      </c>
      <c r="P2713" t="s">
        <v>26</v>
      </c>
    </row>
    <row r="2714" spans="1:16" x14ac:dyDescent="0.25">
      <c r="A2714" t="s">
        <v>6376</v>
      </c>
      <c r="B2714" t="s">
        <v>6377</v>
      </c>
      <c r="C2714" t="s">
        <v>18</v>
      </c>
      <c r="D2714" t="s">
        <v>79</v>
      </c>
      <c r="E2714" t="s">
        <v>44</v>
      </c>
      <c r="F2714" t="s">
        <v>32</v>
      </c>
      <c r="G2714" t="s">
        <v>22</v>
      </c>
      <c r="H2714" t="s">
        <v>23</v>
      </c>
      <c r="I2714" t="s">
        <v>35</v>
      </c>
      <c r="J2714" t="s">
        <v>4936</v>
      </c>
      <c r="L2714">
        <v>5.9</v>
      </c>
      <c r="M2714">
        <v>224000</v>
      </c>
      <c r="N2714">
        <v>2.7</v>
      </c>
      <c r="O2714">
        <v>7</v>
      </c>
      <c r="P2714" t="s">
        <v>26</v>
      </c>
    </row>
    <row r="2715" spans="1:16" x14ac:dyDescent="0.25">
      <c r="A2715" t="s">
        <v>6378</v>
      </c>
      <c r="B2715" t="s">
        <v>6379</v>
      </c>
      <c r="C2715" t="s">
        <v>29</v>
      </c>
      <c r="D2715" t="s">
        <v>43</v>
      </c>
      <c r="E2715" t="s">
        <v>31</v>
      </c>
      <c r="F2715" t="s">
        <v>128</v>
      </c>
      <c r="G2715" t="s">
        <v>22</v>
      </c>
      <c r="H2715" t="s">
        <v>34</v>
      </c>
      <c r="I2715" t="s">
        <v>24</v>
      </c>
      <c r="J2715" t="s">
        <v>1344</v>
      </c>
      <c r="L2715">
        <v>2.4</v>
      </c>
      <c r="M2715">
        <v>508000</v>
      </c>
      <c r="N2715">
        <v>2.2999999999999998</v>
      </c>
      <c r="P2715" t="s">
        <v>26</v>
      </c>
    </row>
    <row r="2716" spans="1:16" x14ac:dyDescent="0.25">
      <c r="A2716" t="s">
        <v>6380</v>
      </c>
      <c r="B2716" t="s">
        <v>2507</v>
      </c>
      <c r="C2716" t="s">
        <v>29</v>
      </c>
      <c r="D2716" t="s">
        <v>30</v>
      </c>
      <c r="E2716" t="s">
        <v>20</v>
      </c>
      <c r="F2716" t="s">
        <v>128</v>
      </c>
      <c r="G2716" t="s">
        <v>22</v>
      </c>
      <c r="H2716" t="s">
        <v>62</v>
      </c>
      <c r="I2716" t="s">
        <v>24</v>
      </c>
      <c r="J2716" t="s">
        <v>3872</v>
      </c>
      <c r="L2716">
        <v>2.7</v>
      </c>
      <c r="M2716">
        <v>523000</v>
      </c>
      <c r="N2716">
        <v>4</v>
      </c>
      <c r="O2716">
        <v>9</v>
      </c>
      <c r="P2716" t="s">
        <v>26</v>
      </c>
    </row>
    <row r="2717" spans="1:16" x14ac:dyDescent="0.25">
      <c r="A2717" t="s">
        <v>6381</v>
      </c>
      <c r="B2717" t="s">
        <v>4423</v>
      </c>
      <c r="C2717" t="s">
        <v>29</v>
      </c>
      <c r="D2717" t="s">
        <v>50</v>
      </c>
      <c r="E2717" t="s">
        <v>44</v>
      </c>
      <c r="F2717" t="s">
        <v>128</v>
      </c>
      <c r="G2717" t="s">
        <v>33</v>
      </c>
      <c r="H2717" t="s">
        <v>34</v>
      </c>
      <c r="I2717" t="s">
        <v>57</v>
      </c>
      <c r="J2717" t="s">
        <v>5155</v>
      </c>
      <c r="K2717" t="s">
        <v>220</v>
      </c>
      <c r="L2717">
        <v>6.2</v>
      </c>
      <c r="M2717">
        <v>437000</v>
      </c>
      <c r="N2717">
        <v>2.2000000000000002</v>
      </c>
      <c r="O2717">
        <v>12</v>
      </c>
      <c r="P2717" t="s">
        <v>72</v>
      </c>
    </row>
    <row r="2718" spans="1:16" x14ac:dyDescent="0.25">
      <c r="A2718" t="s">
        <v>6382</v>
      </c>
      <c r="B2718" t="s">
        <v>2542</v>
      </c>
      <c r="C2718" t="s">
        <v>18</v>
      </c>
      <c r="D2718" t="s">
        <v>50</v>
      </c>
      <c r="E2718" t="s">
        <v>44</v>
      </c>
      <c r="F2718" t="s">
        <v>39</v>
      </c>
      <c r="G2718" t="s">
        <v>33</v>
      </c>
      <c r="H2718" t="s">
        <v>23</v>
      </c>
      <c r="I2718" t="s">
        <v>75</v>
      </c>
      <c r="J2718" t="s">
        <v>5238</v>
      </c>
      <c r="K2718" t="s">
        <v>2119</v>
      </c>
      <c r="L2718">
        <v>3.9</v>
      </c>
      <c r="N2718">
        <v>4.0999999999999996</v>
      </c>
      <c r="O2718">
        <v>11</v>
      </c>
      <c r="P2718" t="s">
        <v>72</v>
      </c>
    </row>
    <row r="2719" spans="1:16" x14ac:dyDescent="0.25">
      <c r="A2719" t="s">
        <v>6383</v>
      </c>
      <c r="B2719" t="s">
        <v>6130</v>
      </c>
      <c r="C2719" t="s">
        <v>18</v>
      </c>
      <c r="D2719" t="s">
        <v>30</v>
      </c>
      <c r="E2719" t="s">
        <v>20</v>
      </c>
      <c r="F2719" t="s">
        <v>39</v>
      </c>
      <c r="G2719" t="s">
        <v>69</v>
      </c>
      <c r="H2719" t="s">
        <v>34</v>
      </c>
      <c r="I2719" t="s">
        <v>57</v>
      </c>
      <c r="J2719" t="s">
        <v>3905</v>
      </c>
      <c r="L2719">
        <v>1.6</v>
      </c>
      <c r="M2719">
        <v>122000</v>
      </c>
      <c r="N2719">
        <v>2.2000000000000002</v>
      </c>
      <c r="O2719">
        <v>6</v>
      </c>
      <c r="P2719" t="s">
        <v>26</v>
      </c>
    </row>
    <row r="2720" spans="1:16" x14ac:dyDescent="0.25">
      <c r="A2720" t="s">
        <v>6384</v>
      </c>
      <c r="B2720" t="s">
        <v>6385</v>
      </c>
      <c r="C2720" t="s">
        <v>29</v>
      </c>
      <c r="D2720" t="s">
        <v>50</v>
      </c>
      <c r="E2720" t="s">
        <v>20</v>
      </c>
      <c r="F2720" t="s">
        <v>32</v>
      </c>
      <c r="G2720" t="s">
        <v>80</v>
      </c>
      <c r="H2720" t="s">
        <v>34</v>
      </c>
      <c r="I2720" t="s">
        <v>75</v>
      </c>
      <c r="J2720" t="s">
        <v>5609</v>
      </c>
      <c r="L2720">
        <v>4</v>
      </c>
      <c r="M2720">
        <v>209000</v>
      </c>
      <c r="N2720">
        <v>4.2</v>
      </c>
      <c r="O2720">
        <v>7</v>
      </c>
      <c r="P2720" t="s">
        <v>26</v>
      </c>
    </row>
    <row r="2721" spans="1:16" x14ac:dyDescent="0.25">
      <c r="A2721" t="s">
        <v>6386</v>
      </c>
      <c r="B2721" t="s">
        <v>6387</v>
      </c>
      <c r="C2721" t="s">
        <v>29</v>
      </c>
      <c r="D2721" t="s">
        <v>19</v>
      </c>
      <c r="E2721" t="s">
        <v>20</v>
      </c>
      <c r="F2721" t="s">
        <v>128</v>
      </c>
      <c r="G2721" t="s">
        <v>33</v>
      </c>
      <c r="H2721" t="s">
        <v>34</v>
      </c>
      <c r="I2721" t="s">
        <v>24</v>
      </c>
      <c r="J2721" t="s">
        <v>1525</v>
      </c>
      <c r="K2721" t="s">
        <v>2953</v>
      </c>
      <c r="L2721">
        <v>4.8</v>
      </c>
      <c r="M2721">
        <v>469000</v>
      </c>
      <c r="N2721">
        <v>3.3</v>
      </c>
      <c r="O2721">
        <v>21</v>
      </c>
      <c r="P2721" t="s">
        <v>53</v>
      </c>
    </row>
    <row r="2722" spans="1:16" x14ac:dyDescent="0.25">
      <c r="A2722" t="s">
        <v>6388</v>
      </c>
      <c r="B2722" t="s">
        <v>4798</v>
      </c>
      <c r="C2722" t="s">
        <v>29</v>
      </c>
      <c r="D2722" t="s">
        <v>43</v>
      </c>
      <c r="E2722" t="s">
        <v>20</v>
      </c>
      <c r="F2722" t="s">
        <v>32</v>
      </c>
      <c r="G2722" t="s">
        <v>69</v>
      </c>
      <c r="H2722" t="s">
        <v>23</v>
      </c>
      <c r="I2722" t="s">
        <v>75</v>
      </c>
      <c r="J2722" t="s">
        <v>4096</v>
      </c>
      <c r="L2722">
        <v>6.1</v>
      </c>
      <c r="M2722">
        <v>318000</v>
      </c>
      <c r="N2722">
        <v>3.9</v>
      </c>
      <c r="O2722">
        <v>12</v>
      </c>
      <c r="P2722" t="s">
        <v>26</v>
      </c>
    </row>
    <row r="2723" spans="1:16" x14ac:dyDescent="0.25">
      <c r="A2723" t="s">
        <v>6389</v>
      </c>
      <c r="B2723" t="s">
        <v>337</v>
      </c>
      <c r="C2723" t="s">
        <v>29</v>
      </c>
      <c r="D2723" t="s">
        <v>79</v>
      </c>
      <c r="E2723" t="s">
        <v>44</v>
      </c>
      <c r="F2723" t="s">
        <v>39</v>
      </c>
      <c r="G2723" t="s">
        <v>80</v>
      </c>
      <c r="H2723" t="s">
        <v>62</v>
      </c>
      <c r="I2723" t="s">
        <v>57</v>
      </c>
      <c r="J2723" t="s">
        <v>3855</v>
      </c>
      <c r="L2723">
        <v>1.7</v>
      </c>
      <c r="M2723">
        <v>102000</v>
      </c>
      <c r="N2723">
        <v>2.9</v>
      </c>
      <c r="O2723">
        <v>2</v>
      </c>
      <c r="P2723" t="s">
        <v>26</v>
      </c>
    </row>
    <row r="2724" spans="1:16" x14ac:dyDescent="0.25">
      <c r="A2724" t="s">
        <v>6390</v>
      </c>
      <c r="B2724" t="s">
        <v>6357</v>
      </c>
      <c r="C2724" t="s">
        <v>29</v>
      </c>
      <c r="D2724" t="s">
        <v>43</v>
      </c>
      <c r="E2724" t="s">
        <v>20</v>
      </c>
      <c r="F2724" t="s">
        <v>39</v>
      </c>
      <c r="G2724" t="s">
        <v>22</v>
      </c>
      <c r="H2724" t="s">
        <v>23</v>
      </c>
      <c r="I2724" t="s">
        <v>24</v>
      </c>
      <c r="J2724" t="s">
        <v>159</v>
      </c>
      <c r="L2724">
        <v>1.5</v>
      </c>
      <c r="M2724">
        <v>150000</v>
      </c>
      <c r="N2724">
        <v>3.8</v>
      </c>
      <c r="O2724">
        <v>12</v>
      </c>
      <c r="P2724" t="s">
        <v>26</v>
      </c>
    </row>
    <row r="2725" spans="1:16" x14ac:dyDescent="0.25">
      <c r="A2725" t="s">
        <v>6391</v>
      </c>
      <c r="B2725" t="s">
        <v>451</v>
      </c>
      <c r="C2725" t="s">
        <v>29</v>
      </c>
      <c r="D2725" t="s">
        <v>79</v>
      </c>
      <c r="E2725" t="s">
        <v>44</v>
      </c>
      <c r="F2725" t="s">
        <v>39</v>
      </c>
      <c r="G2725" t="s">
        <v>22</v>
      </c>
      <c r="H2725" t="s">
        <v>23</v>
      </c>
      <c r="I2725" t="s">
        <v>24</v>
      </c>
      <c r="J2725" t="s">
        <v>6392</v>
      </c>
      <c r="L2725">
        <v>6.1</v>
      </c>
      <c r="M2725">
        <v>171000</v>
      </c>
      <c r="N2725">
        <v>5</v>
      </c>
      <c r="O2725">
        <v>1</v>
      </c>
      <c r="P2725" t="s">
        <v>26</v>
      </c>
    </row>
    <row r="2726" spans="1:16" x14ac:dyDescent="0.25">
      <c r="A2726" t="s">
        <v>6393</v>
      </c>
      <c r="B2726" t="s">
        <v>552</v>
      </c>
      <c r="C2726" t="s">
        <v>18</v>
      </c>
      <c r="D2726" t="s">
        <v>50</v>
      </c>
      <c r="E2726" t="s">
        <v>20</v>
      </c>
      <c r="F2726" t="s">
        <v>21</v>
      </c>
      <c r="G2726" t="s">
        <v>22</v>
      </c>
      <c r="H2726" t="s">
        <v>23</v>
      </c>
      <c r="I2726" t="s">
        <v>24</v>
      </c>
      <c r="J2726" t="s">
        <v>6394</v>
      </c>
      <c r="L2726">
        <v>2.7</v>
      </c>
      <c r="M2726">
        <v>843000</v>
      </c>
      <c r="N2726">
        <v>4.4000000000000004</v>
      </c>
      <c r="O2726">
        <v>3</v>
      </c>
      <c r="P2726" t="s">
        <v>26</v>
      </c>
    </row>
    <row r="2727" spans="1:16" x14ac:dyDescent="0.25">
      <c r="A2727" t="s">
        <v>6395</v>
      </c>
      <c r="B2727" t="s">
        <v>6396</v>
      </c>
      <c r="C2727" t="s">
        <v>29</v>
      </c>
      <c r="D2727" t="s">
        <v>79</v>
      </c>
      <c r="E2727" t="s">
        <v>20</v>
      </c>
      <c r="F2727" t="s">
        <v>128</v>
      </c>
      <c r="G2727" t="s">
        <v>22</v>
      </c>
      <c r="H2727" t="s">
        <v>34</v>
      </c>
      <c r="I2727" t="s">
        <v>24</v>
      </c>
      <c r="J2727" t="s">
        <v>6397</v>
      </c>
      <c r="L2727">
        <v>5.4</v>
      </c>
      <c r="M2727">
        <v>484000</v>
      </c>
      <c r="N2727">
        <v>3</v>
      </c>
      <c r="O2727">
        <v>13</v>
      </c>
      <c r="P2727" t="s">
        <v>26</v>
      </c>
    </row>
    <row r="2728" spans="1:16" x14ac:dyDescent="0.25">
      <c r="A2728" t="s">
        <v>6398</v>
      </c>
      <c r="B2728" t="s">
        <v>2249</v>
      </c>
      <c r="C2728" t="s">
        <v>29</v>
      </c>
      <c r="D2728" t="s">
        <v>43</v>
      </c>
      <c r="E2728" t="s">
        <v>44</v>
      </c>
      <c r="F2728" t="s">
        <v>32</v>
      </c>
      <c r="G2728" t="s">
        <v>80</v>
      </c>
      <c r="H2728" t="s">
        <v>23</v>
      </c>
      <c r="I2728" t="s">
        <v>75</v>
      </c>
      <c r="J2728" t="s">
        <v>6399</v>
      </c>
      <c r="K2728" t="s">
        <v>6400</v>
      </c>
      <c r="L2728">
        <v>2.4</v>
      </c>
      <c r="M2728">
        <v>197000</v>
      </c>
      <c r="N2728">
        <v>4.2</v>
      </c>
      <c r="O2728">
        <v>0</v>
      </c>
      <c r="P2728" t="s">
        <v>53</v>
      </c>
    </row>
    <row r="2729" spans="1:16" x14ac:dyDescent="0.25">
      <c r="A2729" t="s">
        <v>6401</v>
      </c>
      <c r="B2729" t="s">
        <v>3281</v>
      </c>
      <c r="C2729" t="s">
        <v>18</v>
      </c>
      <c r="D2729" t="s">
        <v>19</v>
      </c>
      <c r="F2729" t="s">
        <v>32</v>
      </c>
      <c r="G2729" t="s">
        <v>33</v>
      </c>
      <c r="H2729" t="s">
        <v>46</v>
      </c>
      <c r="I2729" t="s">
        <v>35</v>
      </c>
      <c r="J2729" t="s">
        <v>794</v>
      </c>
      <c r="L2729">
        <v>2.6</v>
      </c>
      <c r="M2729">
        <v>267000</v>
      </c>
      <c r="N2729">
        <v>3.8</v>
      </c>
      <c r="O2729">
        <v>7</v>
      </c>
      <c r="P2729" t="s">
        <v>26</v>
      </c>
    </row>
    <row r="2730" spans="1:16" x14ac:dyDescent="0.25">
      <c r="A2730" t="s">
        <v>6402</v>
      </c>
      <c r="B2730" t="s">
        <v>4349</v>
      </c>
      <c r="C2730" t="s">
        <v>29</v>
      </c>
      <c r="D2730" t="s">
        <v>79</v>
      </c>
      <c r="E2730" t="s">
        <v>20</v>
      </c>
      <c r="F2730" t="s">
        <v>128</v>
      </c>
      <c r="G2730" t="s">
        <v>22</v>
      </c>
      <c r="H2730" t="s">
        <v>46</v>
      </c>
      <c r="I2730" t="s">
        <v>35</v>
      </c>
      <c r="J2730" t="s">
        <v>2487</v>
      </c>
      <c r="L2730">
        <v>1.6</v>
      </c>
      <c r="M2730">
        <v>420000</v>
      </c>
      <c r="N2730">
        <v>4.8</v>
      </c>
      <c r="O2730">
        <v>8</v>
      </c>
      <c r="P2730" t="s">
        <v>26</v>
      </c>
    </row>
    <row r="2731" spans="1:16" x14ac:dyDescent="0.25">
      <c r="A2731" t="s">
        <v>6403</v>
      </c>
      <c r="B2731" t="s">
        <v>6404</v>
      </c>
      <c r="C2731" t="s">
        <v>29</v>
      </c>
      <c r="D2731" t="s">
        <v>30</v>
      </c>
      <c r="E2731" t="s">
        <v>44</v>
      </c>
      <c r="F2731" t="s">
        <v>39</v>
      </c>
      <c r="G2731" t="s">
        <v>80</v>
      </c>
      <c r="H2731" t="s">
        <v>23</v>
      </c>
      <c r="I2731" t="s">
        <v>24</v>
      </c>
      <c r="J2731" t="s">
        <v>2385</v>
      </c>
      <c r="K2731" t="s">
        <v>1821</v>
      </c>
      <c r="L2731">
        <v>1.6</v>
      </c>
      <c r="M2731">
        <v>152000</v>
      </c>
      <c r="N2731">
        <v>2.4</v>
      </c>
      <c r="O2731">
        <v>18</v>
      </c>
      <c r="P2731" t="s">
        <v>53</v>
      </c>
    </row>
    <row r="2732" spans="1:16" x14ac:dyDescent="0.25">
      <c r="A2732" t="s">
        <v>6405</v>
      </c>
      <c r="B2732" t="s">
        <v>6406</v>
      </c>
      <c r="C2732" t="s">
        <v>29</v>
      </c>
      <c r="D2732" t="s">
        <v>30</v>
      </c>
      <c r="E2732" t="s">
        <v>44</v>
      </c>
      <c r="F2732" t="s">
        <v>39</v>
      </c>
      <c r="G2732" t="s">
        <v>33</v>
      </c>
      <c r="H2732" t="s">
        <v>23</v>
      </c>
      <c r="I2732" t="s">
        <v>57</v>
      </c>
      <c r="J2732" t="s">
        <v>6048</v>
      </c>
      <c r="L2732">
        <v>4.5</v>
      </c>
      <c r="M2732">
        <v>167000</v>
      </c>
      <c r="N2732">
        <v>3.3</v>
      </c>
      <c r="O2732">
        <v>14</v>
      </c>
      <c r="P2732" t="s">
        <v>26</v>
      </c>
    </row>
    <row r="2733" spans="1:16" x14ac:dyDescent="0.25">
      <c r="A2733" t="s">
        <v>6407</v>
      </c>
      <c r="B2733" t="s">
        <v>2383</v>
      </c>
      <c r="C2733" t="s">
        <v>29</v>
      </c>
      <c r="D2733" t="s">
        <v>43</v>
      </c>
      <c r="E2733" t="s">
        <v>20</v>
      </c>
      <c r="F2733" t="s">
        <v>39</v>
      </c>
      <c r="G2733" t="s">
        <v>22</v>
      </c>
      <c r="H2733" t="s">
        <v>34</v>
      </c>
      <c r="I2733" t="s">
        <v>35</v>
      </c>
      <c r="J2733" t="s">
        <v>6408</v>
      </c>
      <c r="K2733" t="s">
        <v>6120</v>
      </c>
      <c r="L2733">
        <v>5.5</v>
      </c>
      <c r="M2733">
        <v>85000</v>
      </c>
      <c r="N2733">
        <v>3</v>
      </c>
      <c r="O2733">
        <v>31</v>
      </c>
      <c r="P2733" t="s">
        <v>53</v>
      </c>
    </row>
    <row r="2734" spans="1:16" x14ac:dyDescent="0.25">
      <c r="A2734" t="s">
        <v>6409</v>
      </c>
      <c r="B2734" t="s">
        <v>2412</v>
      </c>
      <c r="C2734" t="s">
        <v>18</v>
      </c>
      <c r="D2734" t="s">
        <v>43</v>
      </c>
      <c r="E2734" t="s">
        <v>20</v>
      </c>
      <c r="F2734" t="s">
        <v>39</v>
      </c>
      <c r="G2734" t="s">
        <v>22</v>
      </c>
      <c r="H2734" t="s">
        <v>62</v>
      </c>
      <c r="I2734" t="s">
        <v>35</v>
      </c>
      <c r="J2734" t="s">
        <v>2013</v>
      </c>
      <c r="K2734" t="s">
        <v>4705</v>
      </c>
      <c r="L2734">
        <v>1.3</v>
      </c>
      <c r="N2734">
        <v>3.2</v>
      </c>
      <c r="O2734">
        <v>6</v>
      </c>
      <c r="P2734" t="s">
        <v>53</v>
      </c>
    </row>
    <row r="2735" spans="1:16" x14ac:dyDescent="0.25">
      <c r="A2735" t="s">
        <v>6410</v>
      </c>
      <c r="B2735" t="s">
        <v>3909</v>
      </c>
      <c r="C2735" t="s">
        <v>18</v>
      </c>
      <c r="D2735" t="s">
        <v>50</v>
      </c>
      <c r="E2735" t="s">
        <v>31</v>
      </c>
      <c r="F2735" t="s">
        <v>39</v>
      </c>
      <c r="G2735" t="s">
        <v>22</v>
      </c>
      <c r="H2735" t="s">
        <v>23</v>
      </c>
      <c r="I2735" t="s">
        <v>57</v>
      </c>
      <c r="J2735" t="s">
        <v>5538</v>
      </c>
      <c r="L2735">
        <v>5.3</v>
      </c>
      <c r="M2735">
        <v>96000</v>
      </c>
      <c r="N2735">
        <v>4.7</v>
      </c>
      <c r="O2735">
        <v>27</v>
      </c>
      <c r="P2735" t="s">
        <v>26</v>
      </c>
    </row>
    <row r="2736" spans="1:16" x14ac:dyDescent="0.25">
      <c r="A2736" t="s">
        <v>6411</v>
      </c>
      <c r="B2736" t="s">
        <v>6412</v>
      </c>
      <c r="C2736" t="s">
        <v>18</v>
      </c>
      <c r="D2736" t="s">
        <v>50</v>
      </c>
      <c r="E2736" t="s">
        <v>44</v>
      </c>
      <c r="F2736" t="s">
        <v>39</v>
      </c>
      <c r="G2736" t="s">
        <v>22</v>
      </c>
      <c r="H2736" t="s">
        <v>23</v>
      </c>
      <c r="I2736" t="s">
        <v>35</v>
      </c>
      <c r="J2736" t="s">
        <v>3161</v>
      </c>
      <c r="K2736" t="s">
        <v>1379</v>
      </c>
      <c r="L2736">
        <v>4.2</v>
      </c>
      <c r="M2736">
        <v>154000</v>
      </c>
      <c r="N2736">
        <v>2</v>
      </c>
      <c r="O2736">
        <v>5</v>
      </c>
      <c r="P2736" t="s">
        <v>53</v>
      </c>
    </row>
    <row r="2737" spans="1:16" x14ac:dyDescent="0.25">
      <c r="A2737" t="s">
        <v>6413</v>
      </c>
      <c r="B2737" t="s">
        <v>2279</v>
      </c>
      <c r="D2737" t="s">
        <v>50</v>
      </c>
      <c r="E2737" t="s">
        <v>20</v>
      </c>
      <c r="F2737" t="s">
        <v>32</v>
      </c>
      <c r="G2737" t="s">
        <v>33</v>
      </c>
      <c r="H2737" t="s">
        <v>23</v>
      </c>
      <c r="I2737" t="s">
        <v>24</v>
      </c>
      <c r="J2737" t="s">
        <v>1129</v>
      </c>
      <c r="K2737" t="s">
        <v>3470</v>
      </c>
      <c r="L2737">
        <v>5.0999999999999996</v>
      </c>
      <c r="M2737">
        <v>310000</v>
      </c>
      <c r="N2737">
        <v>2.5</v>
      </c>
      <c r="O2737">
        <v>8</v>
      </c>
      <c r="P2737" t="s">
        <v>53</v>
      </c>
    </row>
    <row r="2738" spans="1:16" x14ac:dyDescent="0.25">
      <c r="A2738" t="s">
        <v>6414</v>
      </c>
      <c r="B2738" t="s">
        <v>6415</v>
      </c>
      <c r="C2738" t="s">
        <v>18</v>
      </c>
      <c r="D2738" t="s">
        <v>30</v>
      </c>
      <c r="E2738" t="s">
        <v>20</v>
      </c>
      <c r="F2738" t="s">
        <v>32</v>
      </c>
      <c r="G2738" t="s">
        <v>80</v>
      </c>
      <c r="H2738" t="s">
        <v>46</v>
      </c>
      <c r="I2738" t="s">
        <v>24</v>
      </c>
      <c r="J2738" t="s">
        <v>2988</v>
      </c>
      <c r="K2738" t="s">
        <v>1065</v>
      </c>
      <c r="L2738">
        <v>4.8</v>
      </c>
      <c r="M2738">
        <v>305000</v>
      </c>
      <c r="N2738">
        <v>2.7</v>
      </c>
      <c r="O2738">
        <v>8</v>
      </c>
      <c r="P2738" t="s">
        <v>114</v>
      </c>
    </row>
    <row r="2739" spans="1:16" x14ac:dyDescent="0.25">
      <c r="A2739" t="s">
        <v>6416</v>
      </c>
      <c r="B2739" t="s">
        <v>6417</v>
      </c>
      <c r="C2739" t="s">
        <v>18</v>
      </c>
      <c r="D2739" t="s">
        <v>30</v>
      </c>
      <c r="E2739" t="s">
        <v>44</v>
      </c>
      <c r="F2739" t="s">
        <v>128</v>
      </c>
      <c r="G2739" t="s">
        <v>22</v>
      </c>
      <c r="H2739" t="s">
        <v>34</v>
      </c>
      <c r="I2739" t="s">
        <v>24</v>
      </c>
      <c r="J2739" t="s">
        <v>4454</v>
      </c>
      <c r="K2739" t="s">
        <v>1199</v>
      </c>
      <c r="L2739">
        <v>4</v>
      </c>
      <c r="M2739">
        <v>360000</v>
      </c>
      <c r="N2739">
        <v>2.8</v>
      </c>
      <c r="O2739">
        <v>4</v>
      </c>
      <c r="P2739" t="s">
        <v>53</v>
      </c>
    </row>
    <row r="2740" spans="1:16" x14ac:dyDescent="0.25">
      <c r="A2740" t="s">
        <v>6418</v>
      </c>
      <c r="B2740" t="s">
        <v>2955</v>
      </c>
      <c r="C2740" t="s">
        <v>18</v>
      </c>
      <c r="D2740" t="s">
        <v>30</v>
      </c>
      <c r="E2740" t="s">
        <v>44</v>
      </c>
      <c r="F2740" t="s">
        <v>32</v>
      </c>
      <c r="G2740" t="s">
        <v>22</v>
      </c>
      <c r="H2740" t="s">
        <v>46</v>
      </c>
      <c r="I2740" t="s">
        <v>57</v>
      </c>
      <c r="J2740" t="s">
        <v>6419</v>
      </c>
      <c r="K2740" t="s">
        <v>6420</v>
      </c>
      <c r="L2740">
        <v>2.9</v>
      </c>
      <c r="M2740">
        <v>245000</v>
      </c>
      <c r="N2740">
        <v>3.3</v>
      </c>
      <c r="O2740">
        <v>12</v>
      </c>
      <c r="P2740" t="s">
        <v>53</v>
      </c>
    </row>
    <row r="2741" spans="1:16" x14ac:dyDescent="0.25">
      <c r="A2741" t="s">
        <v>6421</v>
      </c>
      <c r="B2741" t="s">
        <v>5844</v>
      </c>
      <c r="C2741" t="s">
        <v>18</v>
      </c>
      <c r="D2741" t="s">
        <v>50</v>
      </c>
      <c r="E2741" t="s">
        <v>20</v>
      </c>
      <c r="F2741" t="s">
        <v>32</v>
      </c>
      <c r="G2741" t="s">
        <v>80</v>
      </c>
      <c r="H2741" t="s">
        <v>34</v>
      </c>
      <c r="I2741" t="s">
        <v>57</v>
      </c>
      <c r="J2741" t="s">
        <v>422</v>
      </c>
      <c r="K2741" t="s">
        <v>6422</v>
      </c>
      <c r="L2741">
        <v>3.5</v>
      </c>
      <c r="M2741">
        <v>224000</v>
      </c>
      <c r="N2741">
        <v>3.8</v>
      </c>
      <c r="O2741">
        <v>3</v>
      </c>
      <c r="P2741" t="s">
        <v>53</v>
      </c>
    </row>
    <row r="2742" spans="1:16" x14ac:dyDescent="0.25">
      <c r="A2742" t="s">
        <v>6423</v>
      </c>
      <c r="B2742" t="s">
        <v>5996</v>
      </c>
      <c r="C2742" t="s">
        <v>18</v>
      </c>
      <c r="D2742" t="s">
        <v>30</v>
      </c>
      <c r="E2742" t="s">
        <v>44</v>
      </c>
      <c r="F2742" t="s">
        <v>39</v>
      </c>
      <c r="G2742" t="s">
        <v>33</v>
      </c>
      <c r="H2742" t="s">
        <v>46</v>
      </c>
      <c r="I2742" t="s">
        <v>35</v>
      </c>
      <c r="J2742" t="s">
        <v>3084</v>
      </c>
      <c r="K2742" t="s">
        <v>6424</v>
      </c>
      <c r="L2742">
        <v>5.7</v>
      </c>
      <c r="M2742">
        <v>161000</v>
      </c>
      <c r="O2742">
        <v>12</v>
      </c>
      <c r="P2742" t="s">
        <v>53</v>
      </c>
    </row>
    <row r="2743" spans="1:16" x14ac:dyDescent="0.25">
      <c r="A2743" t="s">
        <v>6425</v>
      </c>
      <c r="B2743" t="s">
        <v>6426</v>
      </c>
      <c r="C2743" t="s">
        <v>29</v>
      </c>
      <c r="D2743" t="s">
        <v>79</v>
      </c>
      <c r="E2743" t="s">
        <v>44</v>
      </c>
      <c r="F2743" t="s">
        <v>32</v>
      </c>
      <c r="G2743" t="s">
        <v>22</v>
      </c>
      <c r="H2743" t="s">
        <v>34</v>
      </c>
      <c r="I2743" t="s">
        <v>75</v>
      </c>
      <c r="J2743" t="s">
        <v>2135</v>
      </c>
      <c r="L2743">
        <v>1.7</v>
      </c>
      <c r="M2743">
        <v>236000</v>
      </c>
      <c r="N2743">
        <v>2.4</v>
      </c>
      <c r="O2743">
        <v>2</v>
      </c>
      <c r="P2743" t="s">
        <v>26</v>
      </c>
    </row>
    <row r="2744" spans="1:16" x14ac:dyDescent="0.25">
      <c r="A2744" t="s">
        <v>6427</v>
      </c>
      <c r="B2744" t="s">
        <v>3090</v>
      </c>
      <c r="C2744" t="s">
        <v>18</v>
      </c>
      <c r="D2744" t="s">
        <v>19</v>
      </c>
      <c r="E2744" t="s">
        <v>31</v>
      </c>
      <c r="G2744" t="s">
        <v>22</v>
      </c>
      <c r="H2744" t="s">
        <v>23</v>
      </c>
      <c r="I2744" t="s">
        <v>35</v>
      </c>
      <c r="J2744" t="s">
        <v>6428</v>
      </c>
      <c r="L2744">
        <v>2.6</v>
      </c>
      <c r="M2744">
        <v>325000</v>
      </c>
      <c r="N2744">
        <v>4.8</v>
      </c>
      <c r="O2744">
        <v>3</v>
      </c>
      <c r="P2744" t="s">
        <v>26</v>
      </c>
    </row>
    <row r="2745" spans="1:16" x14ac:dyDescent="0.25">
      <c r="A2745" t="s">
        <v>6429</v>
      </c>
      <c r="B2745" t="s">
        <v>6291</v>
      </c>
      <c r="C2745" t="s">
        <v>18</v>
      </c>
      <c r="E2745" t="s">
        <v>20</v>
      </c>
      <c r="F2745" t="s">
        <v>21</v>
      </c>
      <c r="G2745" t="s">
        <v>33</v>
      </c>
      <c r="H2745" t="s">
        <v>23</v>
      </c>
      <c r="I2745" t="s">
        <v>35</v>
      </c>
      <c r="J2745" t="s">
        <v>6430</v>
      </c>
      <c r="L2745">
        <v>5.2</v>
      </c>
      <c r="M2745">
        <v>600000</v>
      </c>
      <c r="N2745">
        <v>4.3</v>
      </c>
      <c r="O2745">
        <v>27</v>
      </c>
      <c r="P2745" t="s">
        <v>26</v>
      </c>
    </row>
    <row r="2746" spans="1:16" x14ac:dyDescent="0.25">
      <c r="A2746" t="s">
        <v>6431</v>
      </c>
      <c r="B2746" t="s">
        <v>474</v>
      </c>
      <c r="C2746" t="s">
        <v>29</v>
      </c>
      <c r="D2746" t="s">
        <v>79</v>
      </c>
      <c r="E2746" t="s">
        <v>44</v>
      </c>
      <c r="F2746" t="s">
        <v>128</v>
      </c>
      <c r="G2746" t="s">
        <v>80</v>
      </c>
      <c r="H2746" t="s">
        <v>34</v>
      </c>
      <c r="I2746" t="s">
        <v>24</v>
      </c>
      <c r="J2746" t="s">
        <v>466</v>
      </c>
      <c r="L2746">
        <v>3.7</v>
      </c>
      <c r="M2746">
        <v>561000</v>
      </c>
      <c r="N2746">
        <v>2.8</v>
      </c>
      <c r="O2746">
        <v>9</v>
      </c>
      <c r="P2746" t="s">
        <v>26</v>
      </c>
    </row>
    <row r="2747" spans="1:16" x14ac:dyDescent="0.25">
      <c r="A2747" t="s">
        <v>6432</v>
      </c>
      <c r="B2747" t="s">
        <v>1813</v>
      </c>
      <c r="C2747" t="s">
        <v>18</v>
      </c>
      <c r="D2747" t="s">
        <v>43</v>
      </c>
      <c r="E2747" t="s">
        <v>20</v>
      </c>
      <c r="F2747" t="s">
        <v>21</v>
      </c>
      <c r="G2747" t="s">
        <v>33</v>
      </c>
      <c r="H2747" t="s">
        <v>34</v>
      </c>
      <c r="I2747" t="s">
        <v>57</v>
      </c>
      <c r="J2747" t="s">
        <v>4094</v>
      </c>
      <c r="L2747">
        <v>6</v>
      </c>
      <c r="M2747">
        <v>753000</v>
      </c>
      <c r="N2747">
        <v>3.4</v>
      </c>
      <c r="O2747">
        <v>1</v>
      </c>
      <c r="P2747" t="s">
        <v>26</v>
      </c>
    </row>
    <row r="2748" spans="1:16" x14ac:dyDescent="0.25">
      <c r="A2748" t="s">
        <v>6433</v>
      </c>
      <c r="B2748" t="s">
        <v>6434</v>
      </c>
      <c r="C2748" t="s">
        <v>18</v>
      </c>
      <c r="D2748" t="s">
        <v>30</v>
      </c>
      <c r="E2748" t="s">
        <v>31</v>
      </c>
      <c r="F2748" t="s">
        <v>21</v>
      </c>
      <c r="G2748" t="s">
        <v>80</v>
      </c>
      <c r="H2748" t="s">
        <v>34</v>
      </c>
      <c r="I2748" t="s">
        <v>75</v>
      </c>
      <c r="J2748" t="s">
        <v>1313</v>
      </c>
      <c r="K2748" t="s">
        <v>6435</v>
      </c>
      <c r="L2748">
        <v>1.9</v>
      </c>
      <c r="M2748">
        <v>847000</v>
      </c>
      <c r="N2748">
        <v>3.5</v>
      </c>
      <c r="O2748">
        <v>40</v>
      </c>
      <c r="P2748" t="s">
        <v>53</v>
      </c>
    </row>
    <row r="2749" spans="1:16" x14ac:dyDescent="0.25">
      <c r="A2749" t="s">
        <v>6436</v>
      </c>
      <c r="B2749" t="s">
        <v>6437</v>
      </c>
      <c r="C2749" t="s">
        <v>29</v>
      </c>
      <c r="E2749" t="s">
        <v>20</v>
      </c>
      <c r="F2749" t="s">
        <v>39</v>
      </c>
      <c r="G2749" t="s">
        <v>80</v>
      </c>
      <c r="H2749" t="s">
        <v>23</v>
      </c>
      <c r="I2749" t="s">
        <v>24</v>
      </c>
      <c r="J2749" t="s">
        <v>6438</v>
      </c>
      <c r="L2749">
        <v>2.1</v>
      </c>
      <c r="M2749">
        <v>95000</v>
      </c>
      <c r="N2749">
        <v>1.5</v>
      </c>
      <c r="O2749">
        <v>4</v>
      </c>
      <c r="P2749" t="s">
        <v>26</v>
      </c>
    </row>
    <row r="2750" spans="1:16" x14ac:dyDescent="0.25">
      <c r="A2750" t="s">
        <v>6439</v>
      </c>
      <c r="B2750" t="s">
        <v>6440</v>
      </c>
      <c r="C2750" t="s">
        <v>18</v>
      </c>
      <c r="D2750" t="s">
        <v>43</v>
      </c>
      <c r="E2750" t="s">
        <v>44</v>
      </c>
      <c r="F2750" t="s">
        <v>39</v>
      </c>
      <c r="G2750" t="s">
        <v>69</v>
      </c>
      <c r="H2750" t="s">
        <v>46</v>
      </c>
      <c r="I2750" t="s">
        <v>35</v>
      </c>
      <c r="J2750" t="s">
        <v>6441</v>
      </c>
      <c r="K2750" t="s">
        <v>6442</v>
      </c>
      <c r="L2750">
        <v>2.5</v>
      </c>
      <c r="M2750">
        <v>85000</v>
      </c>
      <c r="N2750">
        <v>3.6</v>
      </c>
      <c r="O2750">
        <v>1</v>
      </c>
      <c r="P2750" t="s">
        <v>53</v>
      </c>
    </row>
    <row r="2751" spans="1:16" x14ac:dyDescent="0.25">
      <c r="A2751" t="s">
        <v>6443</v>
      </c>
      <c r="B2751" t="s">
        <v>6444</v>
      </c>
      <c r="C2751" t="s">
        <v>18</v>
      </c>
      <c r="D2751" t="s">
        <v>79</v>
      </c>
      <c r="E2751" t="s">
        <v>44</v>
      </c>
      <c r="F2751" t="s">
        <v>21</v>
      </c>
      <c r="G2751" t="s">
        <v>80</v>
      </c>
      <c r="H2751" t="s">
        <v>23</v>
      </c>
      <c r="I2751" t="s">
        <v>24</v>
      </c>
      <c r="J2751" t="s">
        <v>5642</v>
      </c>
      <c r="L2751">
        <v>4.5999999999999996</v>
      </c>
      <c r="M2751">
        <v>687000</v>
      </c>
      <c r="N2751">
        <v>3.9</v>
      </c>
      <c r="O2751">
        <v>4</v>
      </c>
      <c r="P2751" t="s">
        <v>26</v>
      </c>
    </row>
    <row r="2752" spans="1:16" x14ac:dyDescent="0.25">
      <c r="A2752" t="s">
        <v>6445</v>
      </c>
      <c r="B2752" t="s">
        <v>6446</v>
      </c>
      <c r="C2752" t="s">
        <v>29</v>
      </c>
      <c r="D2752" t="s">
        <v>30</v>
      </c>
      <c r="E2752" t="s">
        <v>20</v>
      </c>
      <c r="F2752" t="s">
        <v>45</v>
      </c>
      <c r="G2752" t="s">
        <v>80</v>
      </c>
      <c r="H2752" t="s">
        <v>62</v>
      </c>
      <c r="I2752" t="s">
        <v>57</v>
      </c>
      <c r="J2752" t="s">
        <v>3684</v>
      </c>
      <c r="L2752">
        <v>5.5</v>
      </c>
      <c r="M2752">
        <v>1850000</v>
      </c>
      <c r="N2752">
        <v>4.5999999999999996</v>
      </c>
      <c r="O2752">
        <v>30</v>
      </c>
      <c r="P2752" t="s">
        <v>26</v>
      </c>
    </row>
    <row r="2753" spans="1:16" x14ac:dyDescent="0.25">
      <c r="A2753" t="s">
        <v>6447</v>
      </c>
      <c r="B2753" t="s">
        <v>28</v>
      </c>
      <c r="C2753" t="s">
        <v>29</v>
      </c>
      <c r="D2753" t="s">
        <v>50</v>
      </c>
      <c r="E2753" t="s">
        <v>20</v>
      </c>
      <c r="F2753" t="s">
        <v>39</v>
      </c>
      <c r="G2753" t="s">
        <v>33</v>
      </c>
      <c r="H2753" t="s">
        <v>23</v>
      </c>
      <c r="I2753" t="s">
        <v>57</v>
      </c>
      <c r="J2753" t="s">
        <v>4132</v>
      </c>
      <c r="L2753">
        <v>5.8</v>
      </c>
      <c r="M2753">
        <v>172000</v>
      </c>
      <c r="N2753">
        <v>4.5</v>
      </c>
      <c r="O2753">
        <v>17</v>
      </c>
      <c r="P2753" t="s">
        <v>26</v>
      </c>
    </row>
    <row r="2754" spans="1:16" x14ac:dyDescent="0.25">
      <c r="A2754" t="s">
        <v>6448</v>
      </c>
      <c r="B2754" t="s">
        <v>817</v>
      </c>
      <c r="C2754" t="s">
        <v>18</v>
      </c>
      <c r="D2754" t="s">
        <v>50</v>
      </c>
      <c r="E2754" t="s">
        <v>20</v>
      </c>
      <c r="F2754" t="s">
        <v>128</v>
      </c>
      <c r="G2754" t="s">
        <v>22</v>
      </c>
      <c r="H2754" t="s">
        <v>46</v>
      </c>
      <c r="J2754" t="s">
        <v>6449</v>
      </c>
      <c r="L2754">
        <v>5.5</v>
      </c>
      <c r="M2754">
        <v>592000</v>
      </c>
      <c r="N2754">
        <v>5</v>
      </c>
      <c r="O2754">
        <v>11</v>
      </c>
      <c r="P2754" t="s">
        <v>26</v>
      </c>
    </row>
    <row r="2755" spans="1:16" x14ac:dyDescent="0.25">
      <c r="A2755" t="s">
        <v>6450</v>
      </c>
      <c r="B2755" t="s">
        <v>6451</v>
      </c>
      <c r="C2755" t="s">
        <v>18</v>
      </c>
      <c r="D2755" t="s">
        <v>79</v>
      </c>
      <c r="E2755" t="s">
        <v>31</v>
      </c>
      <c r="F2755" t="s">
        <v>32</v>
      </c>
      <c r="G2755" t="s">
        <v>22</v>
      </c>
      <c r="H2755" t="s">
        <v>46</v>
      </c>
      <c r="I2755" t="s">
        <v>35</v>
      </c>
      <c r="J2755" t="s">
        <v>1817</v>
      </c>
      <c r="L2755">
        <v>4.7</v>
      </c>
      <c r="M2755">
        <v>214000</v>
      </c>
      <c r="N2755">
        <v>2.7</v>
      </c>
      <c r="O2755">
        <v>10</v>
      </c>
      <c r="P2755" t="s">
        <v>26</v>
      </c>
    </row>
    <row r="2756" spans="1:16" x14ac:dyDescent="0.25">
      <c r="A2756" t="s">
        <v>6452</v>
      </c>
      <c r="B2756" t="s">
        <v>1482</v>
      </c>
      <c r="C2756" t="s">
        <v>18</v>
      </c>
      <c r="D2756" t="s">
        <v>50</v>
      </c>
      <c r="E2756" t="s">
        <v>20</v>
      </c>
      <c r="G2756" t="s">
        <v>33</v>
      </c>
      <c r="H2756" t="s">
        <v>23</v>
      </c>
      <c r="I2756" t="s">
        <v>24</v>
      </c>
      <c r="J2756" t="s">
        <v>6453</v>
      </c>
      <c r="L2756">
        <v>1.8</v>
      </c>
      <c r="M2756">
        <v>258000</v>
      </c>
      <c r="N2756">
        <v>2.5</v>
      </c>
      <c r="O2756">
        <v>3</v>
      </c>
      <c r="P2756" t="s">
        <v>26</v>
      </c>
    </row>
    <row r="2757" spans="1:16" x14ac:dyDescent="0.25">
      <c r="A2757" t="s">
        <v>5288</v>
      </c>
      <c r="B2757" t="s">
        <v>5289</v>
      </c>
      <c r="C2757" t="s">
        <v>29</v>
      </c>
      <c r="E2757" t="s">
        <v>44</v>
      </c>
      <c r="F2757" t="s">
        <v>32</v>
      </c>
      <c r="G2757" t="s">
        <v>33</v>
      </c>
      <c r="H2757" t="s">
        <v>46</v>
      </c>
      <c r="I2757" t="s">
        <v>24</v>
      </c>
      <c r="J2757" t="s">
        <v>3493</v>
      </c>
      <c r="L2757">
        <v>2</v>
      </c>
      <c r="M2757">
        <v>268000</v>
      </c>
      <c r="N2757">
        <v>4.8</v>
      </c>
      <c r="O2757">
        <v>13</v>
      </c>
      <c r="P2757" t="s">
        <v>26</v>
      </c>
    </row>
    <row r="2758" spans="1:16" x14ac:dyDescent="0.25">
      <c r="A2758" t="s">
        <v>6454</v>
      </c>
      <c r="B2758" t="s">
        <v>2575</v>
      </c>
      <c r="C2758" t="s">
        <v>18</v>
      </c>
      <c r="D2758" t="s">
        <v>30</v>
      </c>
      <c r="E2758" t="s">
        <v>20</v>
      </c>
      <c r="F2758" t="s">
        <v>32</v>
      </c>
      <c r="G2758" t="s">
        <v>80</v>
      </c>
      <c r="H2758" t="s">
        <v>62</v>
      </c>
      <c r="I2758" t="s">
        <v>75</v>
      </c>
      <c r="J2758" t="s">
        <v>3488</v>
      </c>
      <c r="L2758">
        <v>3.6</v>
      </c>
      <c r="M2758">
        <v>268000</v>
      </c>
      <c r="N2758">
        <v>3.6</v>
      </c>
      <c r="O2758">
        <v>3</v>
      </c>
      <c r="P2758" t="s">
        <v>26</v>
      </c>
    </row>
    <row r="2759" spans="1:16" x14ac:dyDescent="0.25">
      <c r="A2759" t="s">
        <v>6455</v>
      </c>
      <c r="B2759" t="s">
        <v>4038</v>
      </c>
      <c r="C2759" t="s">
        <v>18</v>
      </c>
      <c r="D2759" t="s">
        <v>43</v>
      </c>
      <c r="E2759" t="s">
        <v>20</v>
      </c>
      <c r="F2759" t="s">
        <v>128</v>
      </c>
      <c r="G2759" t="s">
        <v>33</v>
      </c>
      <c r="H2759" t="s">
        <v>34</v>
      </c>
      <c r="I2759" t="s">
        <v>57</v>
      </c>
      <c r="J2759" t="s">
        <v>1988</v>
      </c>
      <c r="K2759" t="s">
        <v>6456</v>
      </c>
      <c r="L2759">
        <v>3.2</v>
      </c>
      <c r="N2759">
        <v>4</v>
      </c>
      <c r="O2759">
        <v>12</v>
      </c>
      <c r="P2759" t="s">
        <v>53</v>
      </c>
    </row>
    <row r="2760" spans="1:16" x14ac:dyDescent="0.25">
      <c r="A2760" t="s">
        <v>6457</v>
      </c>
      <c r="B2760" t="s">
        <v>6458</v>
      </c>
      <c r="C2760" t="s">
        <v>18</v>
      </c>
      <c r="D2760" t="s">
        <v>50</v>
      </c>
      <c r="E2760" t="s">
        <v>20</v>
      </c>
      <c r="F2760" t="s">
        <v>32</v>
      </c>
      <c r="G2760" t="s">
        <v>80</v>
      </c>
      <c r="H2760" t="s">
        <v>46</v>
      </c>
      <c r="I2760" t="s">
        <v>35</v>
      </c>
      <c r="J2760" t="s">
        <v>645</v>
      </c>
      <c r="K2760" t="s">
        <v>2960</v>
      </c>
      <c r="L2760">
        <v>1.6</v>
      </c>
      <c r="M2760">
        <v>202000</v>
      </c>
      <c r="N2760">
        <v>2.5</v>
      </c>
      <c r="O2760">
        <v>35</v>
      </c>
      <c r="P2760" t="s">
        <v>53</v>
      </c>
    </row>
    <row r="2761" spans="1:16" x14ac:dyDescent="0.25">
      <c r="A2761" t="s">
        <v>6459</v>
      </c>
      <c r="B2761" t="s">
        <v>6460</v>
      </c>
      <c r="C2761" t="s">
        <v>18</v>
      </c>
      <c r="D2761" t="s">
        <v>43</v>
      </c>
      <c r="E2761" t="s">
        <v>20</v>
      </c>
      <c r="F2761" t="s">
        <v>128</v>
      </c>
      <c r="G2761" t="s">
        <v>22</v>
      </c>
      <c r="H2761" t="s">
        <v>62</v>
      </c>
      <c r="I2761" t="s">
        <v>35</v>
      </c>
      <c r="J2761" t="s">
        <v>2653</v>
      </c>
      <c r="K2761" t="s">
        <v>6461</v>
      </c>
      <c r="L2761">
        <v>4.5</v>
      </c>
      <c r="M2761">
        <v>369000</v>
      </c>
      <c r="N2761">
        <v>3.3</v>
      </c>
      <c r="O2761">
        <v>13</v>
      </c>
      <c r="P2761" t="s">
        <v>53</v>
      </c>
    </row>
    <row r="2762" spans="1:16" x14ac:dyDescent="0.25">
      <c r="A2762" t="s">
        <v>6462</v>
      </c>
      <c r="B2762" t="s">
        <v>1186</v>
      </c>
      <c r="C2762" t="s">
        <v>29</v>
      </c>
      <c r="D2762" t="s">
        <v>50</v>
      </c>
      <c r="E2762" t="s">
        <v>20</v>
      </c>
      <c r="F2762" t="s">
        <v>128</v>
      </c>
      <c r="G2762" t="s">
        <v>22</v>
      </c>
      <c r="I2762" t="s">
        <v>75</v>
      </c>
      <c r="J2762" t="s">
        <v>1260</v>
      </c>
      <c r="L2762">
        <v>2.2000000000000002</v>
      </c>
      <c r="M2762">
        <v>550000</v>
      </c>
      <c r="N2762">
        <v>4.5</v>
      </c>
      <c r="O2762">
        <v>5</v>
      </c>
      <c r="P2762" t="s">
        <v>26</v>
      </c>
    </row>
    <row r="2763" spans="1:16" x14ac:dyDescent="0.25">
      <c r="A2763" t="s">
        <v>6463</v>
      </c>
      <c r="B2763" t="s">
        <v>4370</v>
      </c>
      <c r="C2763" t="s">
        <v>18</v>
      </c>
      <c r="D2763" t="s">
        <v>50</v>
      </c>
      <c r="E2763" t="s">
        <v>44</v>
      </c>
      <c r="F2763" t="s">
        <v>39</v>
      </c>
      <c r="G2763" t="s">
        <v>69</v>
      </c>
      <c r="H2763" t="s">
        <v>23</v>
      </c>
      <c r="I2763" t="s">
        <v>24</v>
      </c>
      <c r="J2763" t="s">
        <v>4387</v>
      </c>
      <c r="K2763" t="s">
        <v>5676</v>
      </c>
      <c r="L2763">
        <v>4.5</v>
      </c>
      <c r="M2763">
        <v>87000</v>
      </c>
      <c r="N2763">
        <v>4</v>
      </c>
      <c r="O2763">
        <v>10</v>
      </c>
      <c r="P2763" t="s">
        <v>53</v>
      </c>
    </row>
    <row r="2764" spans="1:16" x14ac:dyDescent="0.25">
      <c r="A2764" t="s">
        <v>6464</v>
      </c>
      <c r="B2764" t="s">
        <v>6465</v>
      </c>
      <c r="C2764" t="s">
        <v>29</v>
      </c>
      <c r="D2764" t="s">
        <v>30</v>
      </c>
      <c r="E2764" t="s">
        <v>31</v>
      </c>
      <c r="F2764" t="s">
        <v>32</v>
      </c>
      <c r="G2764" t="s">
        <v>33</v>
      </c>
      <c r="H2764" t="s">
        <v>62</v>
      </c>
      <c r="I2764" t="s">
        <v>24</v>
      </c>
      <c r="J2764" t="s">
        <v>3544</v>
      </c>
      <c r="L2764">
        <v>2.5</v>
      </c>
      <c r="M2764">
        <v>312000</v>
      </c>
      <c r="N2764">
        <v>2.2999999999999998</v>
      </c>
      <c r="O2764">
        <v>6</v>
      </c>
      <c r="P2764" t="s">
        <v>26</v>
      </c>
    </row>
    <row r="2765" spans="1:16" x14ac:dyDescent="0.25">
      <c r="A2765" t="s">
        <v>6466</v>
      </c>
      <c r="B2765" t="s">
        <v>251</v>
      </c>
      <c r="C2765" t="s">
        <v>18</v>
      </c>
      <c r="D2765" t="s">
        <v>30</v>
      </c>
      <c r="E2765" t="s">
        <v>20</v>
      </c>
      <c r="F2765" t="s">
        <v>32</v>
      </c>
      <c r="G2765" t="s">
        <v>22</v>
      </c>
      <c r="H2765" t="s">
        <v>23</v>
      </c>
      <c r="I2765" t="s">
        <v>57</v>
      </c>
      <c r="J2765" t="s">
        <v>2997</v>
      </c>
      <c r="L2765">
        <v>2.6</v>
      </c>
      <c r="M2765">
        <v>268000</v>
      </c>
      <c r="N2765">
        <v>3.4</v>
      </c>
      <c r="P2765" t="s">
        <v>26</v>
      </c>
    </row>
    <row r="2766" spans="1:16" x14ac:dyDescent="0.25">
      <c r="A2766" t="s">
        <v>6467</v>
      </c>
      <c r="B2766" t="s">
        <v>3361</v>
      </c>
      <c r="C2766" t="s">
        <v>29</v>
      </c>
      <c r="D2766" t="s">
        <v>30</v>
      </c>
      <c r="E2766" t="s">
        <v>44</v>
      </c>
      <c r="F2766" t="s">
        <v>39</v>
      </c>
      <c r="G2766" t="s">
        <v>80</v>
      </c>
      <c r="H2766" t="s">
        <v>34</v>
      </c>
      <c r="I2766" t="s">
        <v>57</v>
      </c>
      <c r="J2766" t="s">
        <v>90</v>
      </c>
      <c r="K2766" t="s">
        <v>1605</v>
      </c>
      <c r="L2766">
        <v>4.5</v>
      </c>
      <c r="M2766">
        <v>121000</v>
      </c>
      <c r="N2766">
        <v>3.1</v>
      </c>
      <c r="O2766">
        <v>9</v>
      </c>
      <c r="P2766" t="s">
        <v>53</v>
      </c>
    </row>
    <row r="2767" spans="1:16" x14ac:dyDescent="0.25">
      <c r="A2767" t="s">
        <v>6468</v>
      </c>
      <c r="B2767" t="s">
        <v>6469</v>
      </c>
      <c r="C2767" t="s">
        <v>29</v>
      </c>
      <c r="D2767" t="s">
        <v>30</v>
      </c>
      <c r="E2767" t="s">
        <v>44</v>
      </c>
      <c r="F2767" t="s">
        <v>128</v>
      </c>
      <c r="G2767" t="s">
        <v>80</v>
      </c>
      <c r="H2767" t="s">
        <v>23</v>
      </c>
      <c r="I2767" t="s">
        <v>24</v>
      </c>
      <c r="J2767" t="s">
        <v>4400</v>
      </c>
      <c r="K2767" t="s">
        <v>6470</v>
      </c>
      <c r="L2767">
        <v>3.1</v>
      </c>
      <c r="M2767">
        <v>428000</v>
      </c>
      <c r="N2767">
        <v>3.2</v>
      </c>
      <c r="O2767">
        <v>7</v>
      </c>
      <c r="P2767" t="s">
        <v>72</v>
      </c>
    </row>
    <row r="2768" spans="1:16" x14ac:dyDescent="0.25">
      <c r="A2768" t="s">
        <v>6471</v>
      </c>
      <c r="B2768" t="s">
        <v>4408</v>
      </c>
      <c r="C2768" t="s">
        <v>18</v>
      </c>
      <c r="D2768" t="s">
        <v>19</v>
      </c>
      <c r="E2768" t="s">
        <v>20</v>
      </c>
      <c r="F2768" t="s">
        <v>21</v>
      </c>
      <c r="G2768" t="s">
        <v>69</v>
      </c>
      <c r="H2768" t="s">
        <v>34</v>
      </c>
      <c r="I2768" t="s">
        <v>24</v>
      </c>
      <c r="J2768" t="s">
        <v>4051</v>
      </c>
      <c r="K2768" t="s">
        <v>2104</v>
      </c>
      <c r="L2768">
        <v>1.9</v>
      </c>
      <c r="M2768">
        <v>789000</v>
      </c>
      <c r="N2768">
        <v>4.0999999999999996</v>
      </c>
      <c r="O2768">
        <v>16</v>
      </c>
      <c r="P2768" t="s">
        <v>72</v>
      </c>
    </row>
    <row r="2769" spans="1:16" x14ac:dyDescent="0.25">
      <c r="A2769" t="s">
        <v>6472</v>
      </c>
      <c r="B2769" t="s">
        <v>939</v>
      </c>
      <c r="C2769" t="s">
        <v>18</v>
      </c>
      <c r="D2769" t="s">
        <v>43</v>
      </c>
      <c r="E2769" t="s">
        <v>44</v>
      </c>
      <c r="F2769" t="s">
        <v>128</v>
      </c>
      <c r="G2769" t="s">
        <v>22</v>
      </c>
      <c r="H2769" t="s">
        <v>23</v>
      </c>
      <c r="I2769" t="s">
        <v>24</v>
      </c>
      <c r="J2769" t="s">
        <v>572</v>
      </c>
      <c r="K2769" t="s">
        <v>905</v>
      </c>
      <c r="L2769">
        <v>4.5</v>
      </c>
      <c r="M2769">
        <v>350000</v>
      </c>
      <c r="N2769">
        <v>5</v>
      </c>
      <c r="O2769">
        <v>8</v>
      </c>
      <c r="P2769" t="s">
        <v>53</v>
      </c>
    </row>
    <row r="2770" spans="1:16" x14ac:dyDescent="0.25">
      <c r="A2770" t="s">
        <v>6473</v>
      </c>
      <c r="B2770" t="s">
        <v>6474</v>
      </c>
      <c r="C2770" t="s">
        <v>18</v>
      </c>
      <c r="D2770" t="s">
        <v>50</v>
      </c>
      <c r="E2770" t="s">
        <v>20</v>
      </c>
      <c r="F2770" t="s">
        <v>32</v>
      </c>
      <c r="G2770" t="s">
        <v>80</v>
      </c>
      <c r="H2770" t="s">
        <v>46</v>
      </c>
      <c r="I2770" t="s">
        <v>57</v>
      </c>
      <c r="J2770" t="s">
        <v>520</v>
      </c>
      <c r="L2770">
        <v>1.8</v>
      </c>
      <c r="M2770">
        <v>219000</v>
      </c>
      <c r="N2770">
        <v>4</v>
      </c>
      <c r="O2770">
        <v>15</v>
      </c>
      <c r="P2770" t="s">
        <v>26</v>
      </c>
    </row>
    <row r="2771" spans="1:16" x14ac:dyDescent="0.25">
      <c r="A2771" t="s">
        <v>6475</v>
      </c>
      <c r="B2771" t="s">
        <v>4180</v>
      </c>
      <c r="C2771" t="s">
        <v>29</v>
      </c>
      <c r="D2771" t="s">
        <v>30</v>
      </c>
      <c r="E2771" t="s">
        <v>20</v>
      </c>
      <c r="F2771" t="s">
        <v>32</v>
      </c>
      <c r="G2771" t="s">
        <v>33</v>
      </c>
      <c r="H2771" t="s">
        <v>34</v>
      </c>
      <c r="I2771" t="s">
        <v>57</v>
      </c>
      <c r="J2771" t="s">
        <v>850</v>
      </c>
      <c r="K2771" t="s">
        <v>1956</v>
      </c>
      <c r="L2771">
        <v>2.2000000000000002</v>
      </c>
      <c r="M2771">
        <v>184000</v>
      </c>
      <c r="N2771">
        <v>2.5</v>
      </c>
      <c r="O2771">
        <v>4</v>
      </c>
      <c r="P2771" t="s">
        <v>53</v>
      </c>
    </row>
    <row r="2772" spans="1:16" x14ac:dyDescent="0.25">
      <c r="A2772" t="s">
        <v>6476</v>
      </c>
      <c r="B2772" t="s">
        <v>6304</v>
      </c>
      <c r="C2772" t="s">
        <v>18</v>
      </c>
      <c r="D2772" t="s">
        <v>43</v>
      </c>
      <c r="E2772" t="s">
        <v>20</v>
      </c>
      <c r="F2772" t="s">
        <v>32</v>
      </c>
      <c r="G2772" t="s">
        <v>22</v>
      </c>
      <c r="H2772" t="s">
        <v>34</v>
      </c>
      <c r="I2772" t="s">
        <v>75</v>
      </c>
      <c r="J2772" t="s">
        <v>4490</v>
      </c>
      <c r="L2772">
        <v>4</v>
      </c>
      <c r="M2772">
        <v>315000</v>
      </c>
      <c r="N2772">
        <v>2.8</v>
      </c>
      <c r="O2772">
        <v>3</v>
      </c>
      <c r="P2772" t="s">
        <v>26</v>
      </c>
    </row>
    <row r="2773" spans="1:16" x14ac:dyDescent="0.25">
      <c r="A2773" t="s">
        <v>6477</v>
      </c>
      <c r="B2773" t="s">
        <v>6478</v>
      </c>
      <c r="C2773" t="s">
        <v>29</v>
      </c>
      <c r="D2773" t="s">
        <v>50</v>
      </c>
      <c r="E2773" t="s">
        <v>20</v>
      </c>
      <c r="F2773" t="s">
        <v>128</v>
      </c>
      <c r="G2773" t="s">
        <v>22</v>
      </c>
      <c r="I2773" t="s">
        <v>75</v>
      </c>
      <c r="J2773" t="s">
        <v>2230</v>
      </c>
      <c r="L2773">
        <v>4.2</v>
      </c>
      <c r="M2773">
        <v>419000</v>
      </c>
      <c r="N2773">
        <v>2.8</v>
      </c>
      <c r="O2773">
        <v>14</v>
      </c>
      <c r="P2773" t="s">
        <v>26</v>
      </c>
    </row>
    <row r="2774" spans="1:16" x14ac:dyDescent="0.25">
      <c r="A2774" t="s">
        <v>6479</v>
      </c>
      <c r="B2774" t="s">
        <v>6480</v>
      </c>
      <c r="C2774" t="s">
        <v>18</v>
      </c>
      <c r="D2774" t="s">
        <v>19</v>
      </c>
      <c r="E2774" t="s">
        <v>31</v>
      </c>
      <c r="F2774" t="s">
        <v>39</v>
      </c>
      <c r="G2774" t="s">
        <v>22</v>
      </c>
      <c r="H2774" t="s">
        <v>34</v>
      </c>
      <c r="I2774" t="s">
        <v>24</v>
      </c>
      <c r="J2774" t="s">
        <v>769</v>
      </c>
      <c r="L2774">
        <v>3.7</v>
      </c>
      <c r="M2774">
        <v>155000</v>
      </c>
      <c r="N2774">
        <v>2.2000000000000002</v>
      </c>
      <c r="O2774">
        <v>2</v>
      </c>
      <c r="P2774" t="s">
        <v>26</v>
      </c>
    </row>
    <row r="2775" spans="1:16" x14ac:dyDescent="0.25">
      <c r="A2775" t="s">
        <v>6481</v>
      </c>
      <c r="B2775" t="s">
        <v>684</v>
      </c>
      <c r="C2775" t="s">
        <v>29</v>
      </c>
      <c r="D2775" t="s">
        <v>50</v>
      </c>
      <c r="E2775" t="s">
        <v>31</v>
      </c>
      <c r="F2775" t="s">
        <v>128</v>
      </c>
      <c r="G2775" t="s">
        <v>80</v>
      </c>
      <c r="H2775" t="s">
        <v>34</v>
      </c>
      <c r="I2775" t="s">
        <v>24</v>
      </c>
      <c r="J2775" t="s">
        <v>6449</v>
      </c>
      <c r="L2775">
        <v>5.5</v>
      </c>
      <c r="M2775">
        <v>498000</v>
      </c>
      <c r="N2775">
        <v>3.3</v>
      </c>
      <c r="O2775">
        <v>14</v>
      </c>
      <c r="P2775" t="s">
        <v>26</v>
      </c>
    </row>
    <row r="2776" spans="1:16" x14ac:dyDescent="0.25">
      <c r="A2776" t="s">
        <v>6482</v>
      </c>
      <c r="B2776" t="s">
        <v>6483</v>
      </c>
      <c r="C2776" t="s">
        <v>18</v>
      </c>
      <c r="D2776" t="s">
        <v>30</v>
      </c>
      <c r="E2776" t="s">
        <v>20</v>
      </c>
      <c r="F2776" t="s">
        <v>39</v>
      </c>
      <c r="G2776" t="s">
        <v>80</v>
      </c>
      <c r="H2776" t="s">
        <v>34</v>
      </c>
      <c r="I2776" t="s">
        <v>57</v>
      </c>
      <c r="J2776" t="s">
        <v>1158</v>
      </c>
      <c r="K2776" t="s">
        <v>1448</v>
      </c>
      <c r="L2776">
        <v>2.2999999999999998</v>
      </c>
      <c r="M2776">
        <v>123000</v>
      </c>
      <c r="O2776">
        <v>10</v>
      </c>
      <c r="P2776" t="s">
        <v>114</v>
      </c>
    </row>
    <row r="2777" spans="1:16" x14ac:dyDescent="0.25">
      <c r="A2777" t="s">
        <v>6484</v>
      </c>
      <c r="B2777" t="s">
        <v>3984</v>
      </c>
      <c r="C2777" t="s">
        <v>18</v>
      </c>
      <c r="D2777" t="s">
        <v>43</v>
      </c>
      <c r="E2777" t="s">
        <v>44</v>
      </c>
      <c r="F2777" t="s">
        <v>128</v>
      </c>
      <c r="G2777" t="s">
        <v>80</v>
      </c>
      <c r="H2777" t="s">
        <v>46</v>
      </c>
      <c r="I2777" t="s">
        <v>24</v>
      </c>
      <c r="J2777" t="s">
        <v>3551</v>
      </c>
      <c r="K2777" t="s">
        <v>6485</v>
      </c>
      <c r="L2777">
        <v>4.3</v>
      </c>
      <c r="M2777">
        <v>377000</v>
      </c>
      <c r="N2777">
        <v>2.7</v>
      </c>
      <c r="O2777">
        <v>8</v>
      </c>
      <c r="P2777" t="s">
        <v>53</v>
      </c>
    </row>
    <row r="2778" spans="1:16" x14ac:dyDescent="0.25">
      <c r="A2778" t="s">
        <v>6486</v>
      </c>
      <c r="B2778" t="s">
        <v>3610</v>
      </c>
      <c r="C2778" t="s">
        <v>18</v>
      </c>
      <c r="D2778" t="s">
        <v>50</v>
      </c>
      <c r="E2778" t="s">
        <v>20</v>
      </c>
      <c r="F2778" t="s">
        <v>39</v>
      </c>
      <c r="G2778" t="s">
        <v>22</v>
      </c>
      <c r="H2778" t="s">
        <v>23</v>
      </c>
      <c r="I2778" t="s">
        <v>24</v>
      </c>
      <c r="J2778" t="s">
        <v>6180</v>
      </c>
      <c r="L2778">
        <v>1.4</v>
      </c>
      <c r="M2778">
        <v>157000</v>
      </c>
      <c r="N2778">
        <v>4.0999999999999996</v>
      </c>
      <c r="O2778">
        <v>13</v>
      </c>
      <c r="P2778" t="s">
        <v>26</v>
      </c>
    </row>
    <row r="2779" spans="1:16" x14ac:dyDescent="0.25">
      <c r="A2779" t="s">
        <v>6487</v>
      </c>
      <c r="B2779" t="s">
        <v>6488</v>
      </c>
      <c r="C2779" t="s">
        <v>29</v>
      </c>
      <c r="D2779" t="s">
        <v>79</v>
      </c>
      <c r="E2779" t="s">
        <v>20</v>
      </c>
      <c r="F2779" t="s">
        <v>39</v>
      </c>
      <c r="G2779" t="s">
        <v>22</v>
      </c>
      <c r="H2779" t="s">
        <v>34</v>
      </c>
      <c r="I2779" t="s">
        <v>24</v>
      </c>
      <c r="J2779" t="s">
        <v>5143</v>
      </c>
      <c r="K2779" t="s">
        <v>6489</v>
      </c>
      <c r="L2779">
        <v>1.4</v>
      </c>
      <c r="M2779">
        <v>146000</v>
      </c>
      <c r="N2779">
        <v>3.2</v>
      </c>
      <c r="O2779">
        <v>13</v>
      </c>
      <c r="P2779" t="s">
        <v>53</v>
      </c>
    </row>
    <row r="2780" spans="1:16" x14ac:dyDescent="0.25">
      <c r="A2780" t="s">
        <v>6490</v>
      </c>
      <c r="B2780" t="s">
        <v>6491</v>
      </c>
      <c r="C2780" t="s">
        <v>29</v>
      </c>
      <c r="D2780" t="s">
        <v>185</v>
      </c>
      <c r="E2780" t="s">
        <v>20</v>
      </c>
      <c r="F2780" t="s">
        <v>39</v>
      </c>
      <c r="G2780" t="s">
        <v>33</v>
      </c>
      <c r="H2780" t="s">
        <v>23</v>
      </c>
      <c r="I2780" t="s">
        <v>57</v>
      </c>
      <c r="J2780" t="s">
        <v>6492</v>
      </c>
      <c r="L2780">
        <v>1.5</v>
      </c>
      <c r="M2780">
        <v>134000</v>
      </c>
      <c r="N2780">
        <v>3</v>
      </c>
      <c r="P2780" t="s">
        <v>26</v>
      </c>
    </row>
    <row r="2781" spans="1:16" x14ac:dyDescent="0.25">
      <c r="A2781" t="s">
        <v>6493</v>
      </c>
      <c r="B2781" t="s">
        <v>1996</v>
      </c>
      <c r="C2781" t="s">
        <v>18</v>
      </c>
      <c r="D2781" t="s">
        <v>50</v>
      </c>
      <c r="E2781" t="s">
        <v>44</v>
      </c>
      <c r="F2781" t="s">
        <v>39</v>
      </c>
      <c r="G2781" t="s">
        <v>33</v>
      </c>
      <c r="H2781" t="s">
        <v>46</v>
      </c>
      <c r="I2781" t="s">
        <v>35</v>
      </c>
      <c r="J2781" t="s">
        <v>1497</v>
      </c>
      <c r="L2781">
        <v>1.7</v>
      </c>
      <c r="M2781">
        <v>145000</v>
      </c>
      <c r="N2781">
        <v>2.9</v>
      </c>
      <c r="O2781">
        <v>10</v>
      </c>
      <c r="P2781" t="s">
        <v>26</v>
      </c>
    </row>
    <row r="2782" spans="1:16" x14ac:dyDescent="0.25">
      <c r="A2782" t="s">
        <v>6494</v>
      </c>
      <c r="B2782" t="s">
        <v>6495</v>
      </c>
      <c r="C2782" t="s">
        <v>18</v>
      </c>
      <c r="D2782" t="s">
        <v>19</v>
      </c>
      <c r="E2782" t="s">
        <v>20</v>
      </c>
      <c r="F2782" t="s">
        <v>21</v>
      </c>
      <c r="G2782" t="s">
        <v>33</v>
      </c>
      <c r="H2782" t="s">
        <v>34</v>
      </c>
      <c r="I2782" t="s">
        <v>24</v>
      </c>
      <c r="J2782" t="s">
        <v>6496</v>
      </c>
      <c r="L2782">
        <v>1.7</v>
      </c>
      <c r="M2782">
        <v>742000</v>
      </c>
      <c r="N2782">
        <v>3.5</v>
      </c>
      <c r="O2782">
        <v>7</v>
      </c>
      <c r="P2782" t="s">
        <v>26</v>
      </c>
    </row>
    <row r="2783" spans="1:16" x14ac:dyDescent="0.25">
      <c r="A2783" t="s">
        <v>6497</v>
      </c>
      <c r="B2783" t="s">
        <v>5122</v>
      </c>
      <c r="C2783" t="s">
        <v>18</v>
      </c>
      <c r="D2783" t="s">
        <v>43</v>
      </c>
      <c r="E2783" t="s">
        <v>20</v>
      </c>
      <c r="F2783" t="s">
        <v>32</v>
      </c>
      <c r="G2783" t="s">
        <v>22</v>
      </c>
      <c r="H2783" t="s">
        <v>62</v>
      </c>
      <c r="I2783" t="s">
        <v>75</v>
      </c>
      <c r="J2783" t="s">
        <v>3107</v>
      </c>
      <c r="L2783">
        <v>2.5</v>
      </c>
      <c r="M2783">
        <v>296000</v>
      </c>
      <c r="N2783">
        <v>2.9</v>
      </c>
      <c r="O2783">
        <v>1</v>
      </c>
      <c r="P2783" t="s">
        <v>26</v>
      </c>
    </row>
    <row r="2784" spans="1:16" x14ac:dyDescent="0.25">
      <c r="A2784" t="s">
        <v>6498</v>
      </c>
      <c r="B2784" t="s">
        <v>6499</v>
      </c>
      <c r="C2784" t="s">
        <v>18</v>
      </c>
      <c r="D2784" t="s">
        <v>79</v>
      </c>
      <c r="E2784" t="s">
        <v>20</v>
      </c>
      <c r="F2784" t="s">
        <v>128</v>
      </c>
      <c r="G2784" t="s">
        <v>22</v>
      </c>
      <c r="H2784" t="s">
        <v>34</v>
      </c>
      <c r="I2784" t="s">
        <v>57</v>
      </c>
      <c r="J2784" t="s">
        <v>1129</v>
      </c>
      <c r="K2784" t="s">
        <v>87</v>
      </c>
      <c r="L2784">
        <v>5.0999999999999996</v>
      </c>
      <c r="M2784">
        <v>450000</v>
      </c>
      <c r="N2784">
        <v>3.7</v>
      </c>
      <c r="P2784" t="s">
        <v>114</v>
      </c>
    </row>
    <row r="2785" spans="1:16" x14ac:dyDescent="0.25">
      <c r="A2785" t="s">
        <v>6500</v>
      </c>
      <c r="B2785" t="s">
        <v>4203</v>
      </c>
      <c r="C2785" t="s">
        <v>18</v>
      </c>
      <c r="D2785" t="s">
        <v>43</v>
      </c>
      <c r="E2785" t="s">
        <v>44</v>
      </c>
      <c r="F2785" t="s">
        <v>32</v>
      </c>
      <c r="G2785" t="s">
        <v>80</v>
      </c>
      <c r="H2785" t="s">
        <v>46</v>
      </c>
      <c r="I2785" t="s">
        <v>24</v>
      </c>
      <c r="J2785" t="s">
        <v>4775</v>
      </c>
      <c r="K2785" t="s">
        <v>6501</v>
      </c>
      <c r="L2785">
        <v>4.0999999999999996</v>
      </c>
      <c r="M2785">
        <v>201000</v>
      </c>
      <c r="N2785">
        <v>4.8</v>
      </c>
      <c r="O2785">
        <v>11</v>
      </c>
      <c r="P2785" t="s">
        <v>72</v>
      </c>
    </row>
    <row r="2786" spans="1:16" x14ac:dyDescent="0.25">
      <c r="A2786" t="s">
        <v>6502</v>
      </c>
      <c r="B2786" t="s">
        <v>4979</v>
      </c>
      <c r="C2786" t="s">
        <v>18</v>
      </c>
      <c r="D2786" t="s">
        <v>79</v>
      </c>
      <c r="E2786" t="s">
        <v>31</v>
      </c>
      <c r="F2786" t="s">
        <v>45</v>
      </c>
      <c r="G2786" t="s">
        <v>33</v>
      </c>
      <c r="H2786" t="s">
        <v>34</v>
      </c>
      <c r="I2786" t="s">
        <v>35</v>
      </c>
      <c r="J2786" t="s">
        <v>6503</v>
      </c>
      <c r="L2786">
        <v>1.9</v>
      </c>
      <c r="M2786">
        <v>1631000</v>
      </c>
      <c r="N2786">
        <v>4.7</v>
      </c>
      <c r="O2786">
        <v>38</v>
      </c>
      <c r="P2786" t="s">
        <v>26</v>
      </c>
    </row>
    <row r="2787" spans="1:16" x14ac:dyDescent="0.25">
      <c r="A2787" t="s">
        <v>6504</v>
      </c>
      <c r="B2787" t="s">
        <v>6505</v>
      </c>
      <c r="C2787" t="s">
        <v>18</v>
      </c>
      <c r="D2787" t="s">
        <v>79</v>
      </c>
      <c r="E2787" t="s">
        <v>44</v>
      </c>
      <c r="F2787" t="s">
        <v>128</v>
      </c>
      <c r="G2787" t="s">
        <v>33</v>
      </c>
      <c r="H2787" t="s">
        <v>23</v>
      </c>
      <c r="I2787" t="s">
        <v>57</v>
      </c>
      <c r="J2787" t="s">
        <v>6506</v>
      </c>
      <c r="L2787">
        <v>4.5</v>
      </c>
      <c r="M2787">
        <v>455000</v>
      </c>
      <c r="N2787">
        <v>4.4000000000000004</v>
      </c>
      <c r="O2787">
        <v>8</v>
      </c>
      <c r="P2787" t="s">
        <v>26</v>
      </c>
    </row>
    <row r="2788" spans="1:16" x14ac:dyDescent="0.25">
      <c r="A2788" t="s">
        <v>6507</v>
      </c>
      <c r="B2788" t="s">
        <v>6508</v>
      </c>
      <c r="C2788" t="s">
        <v>18</v>
      </c>
      <c r="D2788" t="s">
        <v>30</v>
      </c>
      <c r="E2788" t="s">
        <v>20</v>
      </c>
      <c r="F2788" t="s">
        <v>39</v>
      </c>
      <c r="G2788" t="s">
        <v>69</v>
      </c>
      <c r="I2788" t="s">
        <v>24</v>
      </c>
      <c r="J2788" t="s">
        <v>3593</v>
      </c>
      <c r="K2788" t="s">
        <v>6509</v>
      </c>
      <c r="L2788">
        <v>5.0999999999999996</v>
      </c>
      <c r="M2788">
        <v>120000</v>
      </c>
      <c r="N2788">
        <v>1.9</v>
      </c>
      <c r="O2788">
        <v>14</v>
      </c>
      <c r="P2788" t="s">
        <v>53</v>
      </c>
    </row>
    <row r="2789" spans="1:16" x14ac:dyDescent="0.25">
      <c r="A2789" t="s">
        <v>6510</v>
      </c>
      <c r="B2789" t="s">
        <v>6511</v>
      </c>
      <c r="C2789" t="s">
        <v>29</v>
      </c>
      <c r="D2789" t="s">
        <v>43</v>
      </c>
      <c r="F2789" t="s">
        <v>32</v>
      </c>
      <c r="G2789" t="s">
        <v>69</v>
      </c>
      <c r="H2789" t="s">
        <v>46</v>
      </c>
      <c r="I2789" t="s">
        <v>171</v>
      </c>
      <c r="J2789" t="s">
        <v>1138</v>
      </c>
      <c r="L2789">
        <v>4.2</v>
      </c>
      <c r="M2789">
        <v>325000</v>
      </c>
      <c r="N2789">
        <v>2.2000000000000002</v>
      </c>
      <c r="O2789">
        <v>0</v>
      </c>
      <c r="P2789" t="s">
        <v>26</v>
      </c>
    </row>
    <row r="2790" spans="1:16" x14ac:dyDescent="0.25">
      <c r="A2790" t="s">
        <v>6512</v>
      </c>
      <c r="B2790" t="s">
        <v>6266</v>
      </c>
      <c r="C2790" t="s">
        <v>18</v>
      </c>
      <c r="D2790" t="s">
        <v>79</v>
      </c>
      <c r="E2790" t="s">
        <v>44</v>
      </c>
      <c r="F2790" t="s">
        <v>128</v>
      </c>
      <c r="G2790" t="s">
        <v>22</v>
      </c>
      <c r="H2790" t="s">
        <v>34</v>
      </c>
      <c r="I2790" t="s">
        <v>57</v>
      </c>
      <c r="J2790" t="s">
        <v>4540</v>
      </c>
      <c r="L2790">
        <v>5</v>
      </c>
      <c r="M2790">
        <v>390000</v>
      </c>
      <c r="N2790">
        <v>3.2</v>
      </c>
      <c r="O2790">
        <v>5</v>
      </c>
      <c r="P2790" t="s">
        <v>26</v>
      </c>
    </row>
    <row r="2791" spans="1:16" x14ac:dyDescent="0.25">
      <c r="A2791" t="s">
        <v>6513</v>
      </c>
      <c r="B2791" t="s">
        <v>3859</v>
      </c>
      <c r="C2791" t="s">
        <v>18</v>
      </c>
      <c r="D2791" t="s">
        <v>50</v>
      </c>
      <c r="E2791" t="s">
        <v>20</v>
      </c>
      <c r="F2791" t="s">
        <v>32</v>
      </c>
      <c r="G2791" t="s">
        <v>22</v>
      </c>
      <c r="H2791" t="s">
        <v>62</v>
      </c>
      <c r="I2791" t="s">
        <v>35</v>
      </c>
      <c r="J2791" t="s">
        <v>6514</v>
      </c>
      <c r="K2791" t="s">
        <v>964</v>
      </c>
      <c r="L2791">
        <v>5.7</v>
      </c>
      <c r="M2791">
        <v>347000</v>
      </c>
      <c r="N2791">
        <v>2.6</v>
      </c>
      <c r="O2791">
        <v>14</v>
      </c>
      <c r="P2791" t="s">
        <v>72</v>
      </c>
    </row>
    <row r="2792" spans="1:16" x14ac:dyDescent="0.25">
      <c r="A2792" t="s">
        <v>6515</v>
      </c>
      <c r="B2792" t="s">
        <v>6516</v>
      </c>
      <c r="C2792" t="s">
        <v>18</v>
      </c>
      <c r="D2792" t="s">
        <v>79</v>
      </c>
      <c r="E2792" t="s">
        <v>20</v>
      </c>
      <c r="F2792" t="s">
        <v>128</v>
      </c>
      <c r="G2792" t="s">
        <v>80</v>
      </c>
      <c r="H2792" t="s">
        <v>34</v>
      </c>
      <c r="I2792" t="s">
        <v>57</v>
      </c>
      <c r="J2792" t="s">
        <v>791</v>
      </c>
      <c r="L2792">
        <v>5.4</v>
      </c>
      <c r="M2792">
        <v>424000</v>
      </c>
      <c r="N2792">
        <v>3.4</v>
      </c>
      <c r="O2792">
        <v>9</v>
      </c>
      <c r="P2792" t="s">
        <v>26</v>
      </c>
    </row>
    <row r="2793" spans="1:16" x14ac:dyDescent="0.25">
      <c r="A2793" t="s">
        <v>6517</v>
      </c>
      <c r="B2793" t="s">
        <v>4721</v>
      </c>
      <c r="C2793" t="s">
        <v>29</v>
      </c>
      <c r="D2793" t="s">
        <v>19</v>
      </c>
      <c r="E2793" t="s">
        <v>20</v>
      </c>
      <c r="F2793" t="s">
        <v>32</v>
      </c>
      <c r="G2793" t="s">
        <v>33</v>
      </c>
      <c r="H2793" t="s">
        <v>34</v>
      </c>
      <c r="I2793" t="s">
        <v>24</v>
      </c>
      <c r="J2793" t="s">
        <v>4065</v>
      </c>
      <c r="L2793">
        <v>3.8</v>
      </c>
      <c r="M2793">
        <v>318000</v>
      </c>
      <c r="N2793">
        <v>4.5999999999999996</v>
      </c>
      <c r="O2793">
        <v>14</v>
      </c>
      <c r="P2793" t="s">
        <v>26</v>
      </c>
    </row>
    <row r="2794" spans="1:16" x14ac:dyDescent="0.25">
      <c r="A2794" t="s">
        <v>6518</v>
      </c>
      <c r="B2794" t="s">
        <v>6519</v>
      </c>
      <c r="C2794" t="s">
        <v>29</v>
      </c>
      <c r="D2794" t="s">
        <v>50</v>
      </c>
      <c r="E2794" t="s">
        <v>44</v>
      </c>
      <c r="F2794" t="s">
        <v>39</v>
      </c>
      <c r="G2794" t="s">
        <v>22</v>
      </c>
      <c r="H2794" t="s">
        <v>34</v>
      </c>
      <c r="J2794" t="s">
        <v>1366</v>
      </c>
      <c r="L2794">
        <v>1.4</v>
      </c>
      <c r="M2794">
        <v>94000</v>
      </c>
      <c r="N2794">
        <v>3.3</v>
      </c>
      <c r="O2794">
        <v>2</v>
      </c>
      <c r="P2794" t="s">
        <v>26</v>
      </c>
    </row>
    <row r="2795" spans="1:16" x14ac:dyDescent="0.25">
      <c r="A2795" t="s">
        <v>6520</v>
      </c>
      <c r="B2795" t="s">
        <v>2532</v>
      </c>
      <c r="C2795" t="s">
        <v>18</v>
      </c>
      <c r="D2795" t="s">
        <v>43</v>
      </c>
      <c r="E2795" t="s">
        <v>20</v>
      </c>
      <c r="F2795" t="s">
        <v>39</v>
      </c>
      <c r="G2795" t="s">
        <v>22</v>
      </c>
      <c r="H2795" t="s">
        <v>34</v>
      </c>
      <c r="I2795" t="s">
        <v>57</v>
      </c>
      <c r="J2795" t="s">
        <v>2443</v>
      </c>
      <c r="L2795">
        <v>5</v>
      </c>
      <c r="M2795">
        <v>144000</v>
      </c>
      <c r="N2795">
        <v>2.6</v>
      </c>
      <c r="O2795">
        <v>2</v>
      </c>
      <c r="P2795" t="s">
        <v>26</v>
      </c>
    </row>
    <row r="2796" spans="1:16" x14ac:dyDescent="0.25">
      <c r="A2796" t="s">
        <v>6521</v>
      </c>
      <c r="B2796" t="s">
        <v>6522</v>
      </c>
      <c r="C2796" t="s">
        <v>29</v>
      </c>
      <c r="E2796" t="s">
        <v>44</v>
      </c>
      <c r="F2796" t="s">
        <v>32</v>
      </c>
      <c r="G2796" t="s">
        <v>33</v>
      </c>
      <c r="H2796" t="s">
        <v>34</v>
      </c>
      <c r="I2796" t="s">
        <v>24</v>
      </c>
      <c r="J2796" t="s">
        <v>2656</v>
      </c>
      <c r="L2796">
        <v>4</v>
      </c>
      <c r="M2796">
        <v>217000</v>
      </c>
      <c r="N2796">
        <v>3.1</v>
      </c>
      <c r="O2796">
        <v>9</v>
      </c>
      <c r="P2796" t="s">
        <v>26</v>
      </c>
    </row>
    <row r="2797" spans="1:16" x14ac:dyDescent="0.25">
      <c r="A2797" t="s">
        <v>6523</v>
      </c>
      <c r="B2797" t="s">
        <v>809</v>
      </c>
      <c r="C2797" t="s">
        <v>18</v>
      </c>
      <c r="D2797" t="s">
        <v>30</v>
      </c>
      <c r="E2797" t="s">
        <v>20</v>
      </c>
      <c r="F2797" t="s">
        <v>39</v>
      </c>
      <c r="G2797" t="s">
        <v>33</v>
      </c>
      <c r="H2797" t="s">
        <v>62</v>
      </c>
      <c r="J2797" t="s">
        <v>400</v>
      </c>
      <c r="L2797">
        <v>4.3</v>
      </c>
      <c r="M2797">
        <v>125000</v>
      </c>
      <c r="N2797">
        <v>3.2</v>
      </c>
      <c r="O2797">
        <v>14</v>
      </c>
      <c r="P2797" t="s">
        <v>26</v>
      </c>
    </row>
    <row r="2798" spans="1:16" x14ac:dyDescent="0.25">
      <c r="A2798" t="s">
        <v>6524</v>
      </c>
      <c r="B2798" t="s">
        <v>766</v>
      </c>
      <c r="C2798" t="s">
        <v>18</v>
      </c>
      <c r="D2798" t="s">
        <v>50</v>
      </c>
      <c r="E2798" t="s">
        <v>31</v>
      </c>
      <c r="F2798" t="s">
        <v>39</v>
      </c>
      <c r="G2798" t="s">
        <v>80</v>
      </c>
      <c r="H2798" t="s">
        <v>34</v>
      </c>
      <c r="I2798" t="s">
        <v>24</v>
      </c>
      <c r="J2798" t="s">
        <v>4796</v>
      </c>
      <c r="L2798">
        <v>5.4</v>
      </c>
      <c r="M2798">
        <v>85000</v>
      </c>
      <c r="N2798">
        <v>2</v>
      </c>
      <c r="O2798">
        <v>21</v>
      </c>
      <c r="P2798" t="s">
        <v>26</v>
      </c>
    </row>
    <row r="2799" spans="1:16" x14ac:dyDescent="0.25">
      <c r="A2799" t="s">
        <v>6525</v>
      </c>
      <c r="B2799" t="s">
        <v>6526</v>
      </c>
      <c r="C2799" t="s">
        <v>18</v>
      </c>
      <c r="D2799" t="s">
        <v>30</v>
      </c>
      <c r="E2799" t="s">
        <v>20</v>
      </c>
      <c r="F2799" t="s">
        <v>21</v>
      </c>
      <c r="G2799" t="s">
        <v>22</v>
      </c>
      <c r="H2799" t="s">
        <v>46</v>
      </c>
      <c r="I2799" t="s">
        <v>57</v>
      </c>
      <c r="J2799" t="s">
        <v>4764</v>
      </c>
      <c r="L2799">
        <v>25.7</v>
      </c>
      <c r="M2799">
        <v>755000</v>
      </c>
      <c r="N2799">
        <v>4.3</v>
      </c>
      <c r="O2799">
        <v>1</v>
      </c>
      <c r="P2799" t="s">
        <v>26</v>
      </c>
    </row>
    <row r="2800" spans="1:16" x14ac:dyDescent="0.25">
      <c r="A2800" t="s">
        <v>6527</v>
      </c>
      <c r="B2800" t="s">
        <v>6528</v>
      </c>
      <c r="C2800" t="s">
        <v>29</v>
      </c>
      <c r="D2800" t="s">
        <v>30</v>
      </c>
      <c r="E2800" t="s">
        <v>31</v>
      </c>
      <c r="F2800" t="s">
        <v>32</v>
      </c>
      <c r="G2800" t="s">
        <v>80</v>
      </c>
      <c r="H2800" t="s">
        <v>34</v>
      </c>
      <c r="I2800" t="s">
        <v>35</v>
      </c>
      <c r="J2800" t="s">
        <v>3736</v>
      </c>
      <c r="L2800">
        <v>4.7</v>
      </c>
      <c r="M2800">
        <v>196000</v>
      </c>
      <c r="N2800">
        <v>3.3</v>
      </c>
      <c r="O2800">
        <v>11</v>
      </c>
      <c r="P2800" t="s">
        <v>26</v>
      </c>
    </row>
    <row r="2801" spans="1:16" x14ac:dyDescent="0.25">
      <c r="A2801" t="s">
        <v>6529</v>
      </c>
      <c r="B2801" t="s">
        <v>3927</v>
      </c>
      <c r="C2801" t="s">
        <v>29</v>
      </c>
      <c r="D2801" t="s">
        <v>43</v>
      </c>
      <c r="E2801" t="s">
        <v>31</v>
      </c>
      <c r="F2801" t="s">
        <v>39</v>
      </c>
      <c r="G2801" t="s">
        <v>33</v>
      </c>
      <c r="I2801" t="s">
        <v>35</v>
      </c>
      <c r="J2801" t="s">
        <v>6530</v>
      </c>
      <c r="L2801">
        <v>4</v>
      </c>
      <c r="M2801">
        <v>155000</v>
      </c>
      <c r="N2801">
        <v>2.5</v>
      </c>
      <c r="O2801">
        <v>30</v>
      </c>
      <c r="P2801" t="s">
        <v>26</v>
      </c>
    </row>
    <row r="2802" spans="1:16" x14ac:dyDescent="0.25">
      <c r="A2802" t="s">
        <v>6531</v>
      </c>
      <c r="B2802" t="s">
        <v>6532</v>
      </c>
      <c r="C2802" t="s">
        <v>18</v>
      </c>
      <c r="D2802" t="s">
        <v>43</v>
      </c>
      <c r="E2802" t="s">
        <v>44</v>
      </c>
      <c r="F2802" t="s">
        <v>32</v>
      </c>
      <c r="G2802" t="s">
        <v>80</v>
      </c>
      <c r="H2802" t="s">
        <v>46</v>
      </c>
      <c r="J2802" t="s">
        <v>3919</v>
      </c>
      <c r="L2802">
        <v>5.2</v>
      </c>
      <c r="M2802">
        <v>301000</v>
      </c>
      <c r="N2802">
        <v>2</v>
      </c>
      <c r="O2802">
        <v>5</v>
      </c>
      <c r="P2802" t="s">
        <v>26</v>
      </c>
    </row>
    <row r="2803" spans="1:16" x14ac:dyDescent="0.25">
      <c r="A2803" t="s">
        <v>6533</v>
      </c>
      <c r="B2803" t="s">
        <v>5183</v>
      </c>
      <c r="C2803" t="s">
        <v>29</v>
      </c>
      <c r="D2803" t="s">
        <v>30</v>
      </c>
      <c r="E2803" t="s">
        <v>20</v>
      </c>
      <c r="F2803" t="s">
        <v>39</v>
      </c>
      <c r="G2803" t="s">
        <v>80</v>
      </c>
      <c r="H2803" t="s">
        <v>23</v>
      </c>
      <c r="I2803" t="s">
        <v>57</v>
      </c>
      <c r="J2803" t="s">
        <v>1187</v>
      </c>
      <c r="L2803">
        <v>3.9</v>
      </c>
      <c r="M2803">
        <v>86000</v>
      </c>
      <c r="N2803">
        <v>2.5</v>
      </c>
      <c r="O2803">
        <v>14</v>
      </c>
      <c r="P2803" t="s">
        <v>26</v>
      </c>
    </row>
    <row r="2804" spans="1:16" x14ac:dyDescent="0.25">
      <c r="A2804" t="s">
        <v>6534</v>
      </c>
      <c r="B2804" t="s">
        <v>6535</v>
      </c>
      <c r="C2804" t="s">
        <v>29</v>
      </c>
      <c r="D2804" t="s">
        <v>19</v>
      </c>
      <c r="E2804" t="s">
        <v>31</v>
      </c>
      <c r="F2804" t="s">
        <v>32</v>
      </c>
      <c r="G2804" t="s">
        <v>33</v>
      </c>
      <c r="H2804" t="s">
        <v>34</v>
      </c>
      <c r="I2804" t="s">
        <v>57</v>
      </c>
      <c r="J2804" t="s">
        <v>5692</v>
      </c>
      <c r="L2804">
        <v>5.4</v>
      </c>
      <c r="M2804">
        <v>385000</v>
      </c>
      <c r="N2804">
        <v>2.7</v>
      </c>
      <c r="O2804">
        <v>37</v>
      </c>
      <c r="P2804" t="s">
        <v>26</v>
      </c>
    </row>
    <row r="2805" spans="1:16" x14ac:dyDescent="0.25">
      <c r="A2805" t="s">
        <v>6536</v>
      </c>
      <c r="B2805" t="s">
        <v>244</v>
      </c>
      <c r="D2805" t="s">
        <v>50</v>
      </c>
      <c r="E2805" t="s">
        <v>31</v>
      </c>
      <c r="F2805" t="s">
        <v>39</v>
      </c>
      <c r="G2805" t="s">
        <v>22</v>
      </c>
      <c r="H2805" t="s">
        <v>34</v>
      </c>
      <c r="I2805" t="s">
        <v>35</v>
      </c>
      <c r="J2805" t="s">
        <v>1366</v>
      </c>
      <c r="L2805">
        <v>1.4</v>
      </c>
      <c r="M2805">
        <v>115000</v>
      </c>
      <c r="N2805">
        <v>3.6</v>
      </c>
      <c r="O2805">
        <v>17</v>
      </c>
      <c r="P2805" t="s">
        <v>26</v>
      </c>
    </row>
    <row r="2806" spans="1:16" x14ac:dyDescent="0.25">
      <c r="A2806" t="s">
        <v>6537</v>
      </c>
      <c r="B2806" t="s">
        <v>4118</v>
      </c>
      <c r="C2806" t="s">
        <v>18</v>
      </c>
      <c r="D2806" t="s">
        <v>19</v>
      </c>
      <c r="E2806" t="s">
        <v>20</v>
      </c>
      <c r="F2806" t="s">
        <v>128</v>
      </c>
      <c r="G2806" t="s">
        <v>22</v>
      </c>
      <c r="H2806" t="s">
        <v>46</v>
      </c>
      <c r="I2806" t="s">
        <v>24</v>
      </c>
      <c r="J2806" t="s">
        <v>339</v>
      </c>
      <c r="L2806">
        <v>2.2999999999999998</v>
      </c>
      <c r="M2806">
        <v>552000</v>
      </c>
      <c r="N2806">
        <v>3.4</v>
      </c>
      <c r="O2806">
        <v>10</v>
      </c>
      <c r="P2806" t="s">
        <v>26</v>
      </c>
    </row>
    <row r="2807" spans="1:16" x14ac:dyDescent="0.25">
      <c r="A2807" t="s">
        <v>6538</v>
      </c>
      <c r="B2807" t="s">
        <v>2594</v>
      </c>
      <c r="C2807" t="s">
        <v>29</v>
      </c>
      <c r="E2807" t="s">
        <v>20</v>
      </c>
      <c r="F2807" t="s">
        <v>128</v>
      </c>
      <c r="G2807" t="s">
        <v>33</v>
      </c>
      <c r="H2807" t="s">
        <v>34</v>
      </c>
      <c r="I2807" t="s">
        <v>35</v>
      </c>
      <c r="J2807" t="s">
        <v>6279</v>
      </c>
      <c r="L2807">
        <v>5</v>
      </c>
      <c r="M2807">
        <v>373000</v>
      </c>
      <c r="N2807">
        <v>3.5</v>
      </c>
      <c r="O2807">
        <v>13</v>
      </c>
      <c r="P2807" t="s">
        <v>26</v>
      </c>
    </row>
    <row r="2808" spans="1:16" x14ac:dyDescent="0.25">
      <c r="A2808" t="s">
        <v>6539</v>
      </c>
      <c r="B2808" t="s">
        <v>4904</v>
      </c>
      <c r="C2808" t="s">
        <v>18</v>
      </c>
      <c r="D2808" t="s">
        <v>79</v>
      </c>
      <c r="E2808" t="s">
        <v>20</v>
      </c>
      <c r="F2808" t="s">
        <v>39</v>
      </c>
      <c r="G2808" t="s">
        <v>69</v>
      </c>
      <c r="H2808" t="s">
        <v>46</v>
      </c>
      <c r="I2808" t="s">
        <v>24</v>
      </c>
      <c r="J2808" t="s">
        <v>5231</v>
      </c>
      <c r="L2808">
        <v>3.9</v>
      </c>
      <c r="M2808">
        <v>128000</v>
      </c>
      <c r="O2808">
        <v>14</v>
      </c>
      <c r="P2808" t="s">
        <v>26</v>
      </c>
    </row>
    <row r="2809" spans="1:16" x14ac:dyDescent="0.25">
      <c r="A2809" t="s">
        <v>6540</v>
      </c>
      <c r="B2809" t="s">
        <v>6541</v>
      </c>
      <c r="C2809" t="s">
        <v>18</v>
      </c>
      <c r="D2809" t="s">
        <v>30</v>
      </c>
      <c r="E2809" t="s">
        <v>20</v>
      </c>
      <c r="F2809" t="s">
        <v>32</v>
      </c>
      <c r="G2809" t="s">
        <v>22</v>
      </c>
      <c r="H2809" t="s">
        <v>34</v>
      </c>
      <c r="I2809" t="s">
        <v>75</v>
      </c>
      <c r="J2809" t="s">
        <v>2678</v>
      </c>
      <c r="K2809" t="s">
        <v>4032</v>
      </c>
      <c r="L2809">
        <v>3.8</v>
      </c>
      <c r="M2809">
        <v>197000</v>
      </c>
      <c r="N2809">
        <v>1.8</v>
      </c>
      <c r="O2809">
        <v>6</v>
      </c>
      <c r="P2809" t="s">
        <v>53</v>
      </c>
    </row>
    <row r="2810" spans="1:16" x14ac:dyDescent="0.25">
      <c r="A2810" t="s">
        <v>6542</v>
      </c>
      <c r="B2810" t="s">
        <v>6543</v>
      </c>
      <c r="C2810" t="s">
        <v>18</v>
      </c>
      <c r="D2810" t="s">
        <v>43</v>
      </c>
      <c r="E2810" t="s">
        <v>20</v>
      </c>
      <c r="F2810" t="s">
        <v>39</v>
      </c>
      <c r="G2810" t="s">
        <v>22</v>
      </c>
      <c r="H2810" t="s">
        <v>34</v>
      </c>
      <c r="I2810" t="s">
        <v>24</v>
      </c>
      <c r="J2810" t="s">
        <v>3075</v>
      </c>
      <c r="L2810">
        <v>5.4</v>
      </c>
      <c r="M2810">
        <v>117000</v>
      </c>
      <c r="N2810">
        <v>2.2000000000000002</v>
      </c>
      <c r="O2810">
        <v>3</v>
      </c>
      <c r="P2810" t="s">
        <v>26</v>
      </c>
    </row>
    <row r="2811" spans="1:16" x14ac:dyDescent="0.25">
      <c r="A2811" t="s">
        <v>6544</v>
      </c>
      <c r="B2811" t="s">
        <v>5296</v>
      </c>
      <c r="C2811" t="s">
        <v>18</v>
      </c>
      <c r="D2811" t="s">
        <v>19</v>
      </c>
      <c r="E2811" t="s">
        <v>20</v>
      </c>
      <c r="F2811" t="s">
        <v>32</v>
      </c>
      <c r="G2811" t="s">
        <v>22</v>
      </c>
      <c r="H2811" t="s">
        <v>34</v>
      </c>
      <c r="I2811" t="s">
        <v>171</v>
      </c>
      <c r="J2811" t="s">
        <v>4264</v>
      </c>
      <c r="K2811" t="s">
        <v>4681</v>
      </c>
      <c r="L2811">
        <v>6</v>
      </c>
      <c r="N2811">
        <v>3.8</v>
      </c>
      <c r="O2811">
        <v>0</v>
      </c>
      <c r="P2811" t="s">
        <v>53</v>
      </c>
    </row>
    <row r="2812" spans="1:16" x14ac:dyDescent="0.25">
      <c r="A2812" t="s">
        <v>6545</v>
      </c>
      <c r="B2812" t="s">
        <v>6546</v>
      </c>
      <c r="C2812" t="s">
        <v>29</v>
      </c>
      <c r="E2812" t="s">
        <v>20</v>
      </c>
      <c r="F2812" t="s">
        <v>39</v>
      </c>
      <c r="G2812" t="s">
        <v>22</v>
      </c>
      <c r="H2812" t="s">
        <v>34</v>
      </c>
      <c r="I2812" t="s">
        <v>24</v>
      </c>
      <c r="J2812" t="s">
        <v>4360</v>
      </c>
      <c r="L2812">
        <v>2.2999999999999998</v>
      </c>
      <c r="M2812">
        <v>108000</v>
      </c>
      <c r="N2812">
        <v>4.8</v>
      </c>
      <c r="O2812">
        <v>10</v>
      </c>
      <c r="P2812" t="s">
        <v>26</v>
      </c>
    </row>
    <row r="2813" spans="1:16" x14ac:dyDescent="0.25">
      <c r="A2813" t="s">
        <v>6547</v>
      </c>
      <c r="B2813" t="s">
        <v>718</v>
      </c>
      <c r="C2813" t="s">
        <v>252</v>
      </c>
      <c r="D2813" t="s">
        <v>79</v>
      </c>
      <c r="E2813" t="s">
        <v>20</v>
      </c>
      <c r="F2813" t="s">
        <v>39</v>
      </c>
      <c r="G2813" t="s">
        <v>22</v>
      </c>
      <c r="H2813" t="s">
        <v>23</v>
      </c>
      <c r="I2813" t="s">
        <v>75</v>
      </c>
      <c r="J2813" t="s">
        <v>3719</v>
      </c>
      <c r="K2813" t="s">
        <v>4231</v>
      </c>
      <c r="L2813">
        <v>3.3</v>
      </c>
      <c r="M2813">
        <v>176000</v>
      </c>
      <c r="N2813">
        <v>3.8</v>
      </c>
      <c r="O2813">
        <v>0</v>
      </c>
      <c r="P2813" t="s">
        <v>53</v>
      </c>
    </row>
    <row r="2814" spans="1:16" x14ac:dyDescent="0.25">
      <c r="A2814" t="s">
        <v>6548</v>
      </c>
      <c r="B2814" t="s">
        <v>3328</v>
      </c>
      <c r="C2814" t="s">
        <v>29</v>
      </c>
      <c r="D2814" t="s">
        <v>50</v>
      </c>
      <c r="E2814" t="s">
        <v>20</v>
      </c>
      <c r="F2814" t="s">
        <v>39</v>
      </c>
      <c r="G2814" t="s">
        <v>33</v>
      </c>
      <c r="H2814" t="s">
        <v>23</v>
      </c>
      <c r="I2814" t="s">
        <v>35</v>
      </c>
      <c r="J2814" t="s">
        <v>1516</v>
      </c>
      <c r="K2814" t="s">
        <v>2271</v>
      </c>
      <c r="L2814">
        <v>3.6</v>
      </c>
      <c r="M2814">
        <v>147000</v>
      </c>
      <c r="N2814">
        <v>2.6</v>
      </c>
      <c r="O2814">
        <v>2</v>
      </c>
      <c r="P2814" t="s">
        <v>53</v>
      </c>
    </row>
    <row r="2815" spans="1:16" x14ac:dyDescent="0.25">
      <c r="A2815" t="s">
        <v>6549</v>
      </c>
      <c r="B2815" t="s">
        <v>6550</v>
      </c>
      <c r="C2815" t="s">
        <v>18</v>
      </c>
      <c r="D2815" t="s">
        <v>79</v>
      </c>
      <c r="E2815" t="s">
        <v>31</v>
      </c>
      <c r="F2815" t="s">
        <v>32</v>
      </c>
      <c r="G2815" t="s">
        <v>22</v>
      </c>
      <c r="H2815" t="s">
        <v>23</v>
      </c>
      <c r="I2815" t="s">
        <v>75</v>
      </c>
      <c r="J2815" t="s">
        <v>4556</v>
      </c>
      <c r="L2815">
        <v>6.1</v>
      </c>
      <c r="M2815">
        <v>206000</v>
      </c>
      <c r="N2815">
        <v>3.5</v>
      </c>
      <c r="O2815">
        <v>0</v>
      </c>
      <c r="P2815" t="s">
        <v>26</v>
      </c>
    </row>
    <row r="2816" spans="1:16" x14ac:dyDescent="0.25">
      <c r="A2816" t="s">
        <v>6551</v>
      </c>
      <c r="B2816" t="s">
        <v>6552</v>
      </c>
      <c r="C2816" t="s">
        <v>29</v>
      </c>
      <c r="D2816" t="s">
        <v>79</v>
      </c>
      <c r="E2816" t="s">
        <v>20</v>
      </c>
      <c r="F2816" t="s">
        <v>39</v>
      </c>
      <c r="G2816" t="s">
        <v>22</v>
      </c>
      <c r="H2816" t="s">
        <v>46</v>
      </c>
      <c r="I2816" t="s">
        <v>171</v>
      </c>
      <c r="J2816" t="s">
        <v>5463</v>
      </c>
      <c r="L2816">
        <v>3</v>
      </c>
      <c r="M2816">
        <v>131000</v>
      </c>
      <c r="N2816">
        <v>4.0999999999999996</v>
      </c>
      <c r="O2816">
        <v>7</v>
      </c>
      <c r="P2816" t="s">
        <v>26</v>
      </c>
    </row>
    <row r="2817" spans="1:16" x14ac:dyDescent="0.25">
      <c r="A2817" t="s">
        <v>6553</v>
      </c>
      <c r="B2817" t="s">
        <v>1033</v>
      </c>
      <c r="C2817" t="s">
        <v>29</v>
      </c>
      <c r="D2817" t="s">
        <v>30</v>
      </c>
      <c r="E2817" t="s">
        <v>20</v>
      </c>
      <c r="F2817" t="s">
        <v>32</v>
      </c>
      <c r="G2817" t="s">
        <v>80</v>
      </c>
      <c r="H2817" t="s">
        <v>23</v>
      </c>
      <c r="I2817" t="s">
        <v>24</v>
      </c>
      <c r="J2817" t="s">
        <v>1551</v>
      </c>
      <c r="K2817" t="s">
        <v>5003</v>
      </c>
      <c r="L2817">
        <v>1.4</v>
      </c>
      <c r="M2817">
        <v>315000</v>
      </c>
      <c r="N2817">
        <v>2.2000000000000002</v>
      </c>
      <c r="O2817">
        <v>1</v>
      </c>
      <c r="P2817" t="s">
        <v>53</v>
      </c>
    </row>
    <row r="2818" spans="1:16" x14ac:dyDescent="0.25">
      <c r="A2818" t="s">
        <v>6554</v>
      </c>
      <c r="B2818" t="s">
        <v>6555</v>
      </c>
      <c r="C2818" t="s">
        <v>18</v>
      </c>
      <c r="D2818" t="s">
        <v>30</v>
      </c>
      <c r="E2818" t="s">
        <v>20</v>
      </c>
      <c r="F2818" t="s">
        <v>128</v>
      </c>
      <c r="G2818" t="s">
        <v>22</v>
      </c>
      <c r="H2818" t="s">
        <v>34</v>
      </c>
      <c r="I2818" t="s">
        <v>35</v>
      </c>
      <c r="J2818" t="s">
        <v>2870</v>
      </c>
      <c r="L2818">
        <v>3.2</v>
      </c>
      <c r="M2818">
        <v>513000</v>
      </c>
      <c r="N2818">
        <v>4.5999999999999996</v>
      </c>
      <c r="O2818">
        <v>1</v>
      </c>
      <c r="P2818" t="s">
        <v>26</v>
      </c>
    </row>
    <row r="2819" spans="1:16" x14ac:dyDescent="0.25">
      <c r="A2819" t="s">
        <v>6556</v>
      </c>
      <c r="B2819" t="s">
        <v>2924</v>
      </c>
      <c r="C2819" t="s">
        <v>18</v>
      </c>
      <c r="D2819" t="s">
        <v>79</v>
      </c>
      <c r="E2819" t="s">
        <v>20</v>
      </c>
      <c r="F2819" t="s">
        <v>128</v>
      </c>
      <c r="G2819" t="s">
        <v>33</v>
      </c>
      <c r="H2819" t="s">
        <v>23</v>
      </c>
      <c r="I2819" t="s">
        <v>24</v>
      </c>
      <c r="J2819" t="s">
        <v>6557</v>
      </c>
      <c r="K2819" t="s">
        <v>6558</v>
      </c>
      <c r="L2819">
        <v>5.8</v>
      </c>
      <c r="M2819">
        <v>481000</v>
      </c>
      <c r="N2819">
        <v>3.5</v>
      </c>
      <c r="O2819">
        <v>3</v>
      </c>
      <c r="P2819" t="s">
        <v>53</v>
      </c>
    </row>
    <row r="2820" spans="1:16" x14ac:dyDescent="0.25">
      <c r="A2820" t="s">
        <v>6559</v>
      </c>
      <c r="B2820" t="s">
        <v>6560</v>
      </c>
      <c r="C2820" t="s">
        <v>29</v>
      </c>
      <c r="D2820" t="s">
        <v>79</v>
      </c>
      <c r="E2820" t="s">
        <v>31</v>
      </c>
      <c r="F2820" t="s">
        <v>39</v>
      </c>
      <c r="G2820" t="s">
        <v>22</v>
      </c>
      <c r="H2820" t="s">
        <v>23</v>
      </c>
      <c r="I2820" t="s">
        <v>75</v>
      </c>
      <c r="J2820" t="s">
        <v>3421</v>
      </c>
      <c r="L2820">
        <v>6</v>
      </c>
      <c r="M2820">
        <v>142000</v>
      </c>
      <c r="N2820">
        <v>3.3</v>
      </c>
      <c r="O2820">
        <v>10</v>
      </c>
      <c r="P2820" t="s">
        <v>26</v>
      </c>
    </row>
    <row r="2821" spans="1:16" x14ac:dyDescent="0.25">
      <c r="A2821" t="s">
        <v>6561</v>
      </c>
      <c r="B2821" t="s">
        <v>5146</v>
      </c>
      <c r="C2821" t="s">
        <v>18</v>
      </c>
      <c r="D2821" t="s">
        <v>19</v>
      </c>
      <c r="E2821" t="s">
        <v>20</v>
      </c>
      <c r="F2821" t="s">
        <v>39</v>
      </c>
      <c r="G2821" t="s">
        <v>22</v>
      </c>
      <c r="H2821" t="s">
        <v>23</v>
      </c>
      <c r="I2821" t="s">
        <v>57</v>
      </c>
      <c r="J2821" t="s">
        <v>2277</v>
      </c>
      <c r="K2821" t="s">
        <v>784</v>
      </c>
      <c r="L2821">
        <v>1.7</v>
      </c>
      <c r="M2821">
        <v>198000</v>
      </c>
      <c r="N2821">
        <v>3</v>
      </c>
      <c r="O2821">
        <v>2</v>
      </c>
      <c r="P2821" t="s">
        <v>72</v>
      </c>
    </row>
    <row r="2822" spans="1:16" x14ac:dyDescent="0.25">
      <c r="A2822" t="s">
        <v>6562</v>
      </c>
      <c r="B2822" t="s">
        <v>6563</v>
      </c>
      <c r="C2822" t="s">
        <v>18</v>
      </c>
      <c r="D2822" t="s">
        <v>50</v>
      </c>
      <c r="E2822" t="s">
        <v>20</v>
      </c>
      <c r="F2822" t="s">
        <v>39</v>
      </c>
      <c r="G2822" t="s">
        <v>33</v>
      </c>
      <c r="H2822" t="s">
        <v>23</v>
      </c>
      <c r="I2822" t="s">
        <v>24</v>
      </c>
      <c r="J2822" t="s">
        <v>6564</v>
      </c>
      <c r="K2822" t="s">
        <v>5302</v>
      </c>
      <c r="L2822">
        <v>4.8</v>
      </c>
      <c r="M2822">
        <v>119000</v>
      </c>
      <c r="N2822">
        <v>2.9</v>
      </c>
      <c r="O2822">
        <v>1</v>
      </c>
      <c r="P2822" t="s">
        <v>53</v>
      </c>
    </row>
    <row r="2823" spans="1:16" x14ac:dyDescent="0.25">
      <c r="A2823" t="s">
        <v>6565</v>
      </c>
      <c r="B2823" t="s">
        <v>444</v>
      </c>
      <c r="C2823" t="s">
        <v>29</v>
      </c>
      <c r="D2823" t="s">
        <v>30</v>
      </c>
      <c r="E2823" t="s">
        <v>31</v>
      </c>
      <c r="F2823" t="s">
        <v>39</v>
      </c>
      <c r="G2823" t="s">
        <v>22</v>
      </c>
      <c r="H2823" t="s">
        <v>46</v>
      </c>
      <c r="I2823" t="s">
        <v>24</v>
      </c>
      <c r="J2823" t="s">
        <v>6566</v>
      </c>
      <c r="K2823" t="s">
        <v>975</v>
      </c>
      <c r="L2823">
        <v>2.8</v>
      </c>
      <c r="M2823">
        <v>100000</v>
      </c>
      <c r="N2823">
        <v>2.7</v>
      </c>
      <c r="O2823">
        <v>1</v>
      </c>
      <c r="P2823" t="s">
        <v>53</v>
      </c>
    </row>
    <row r="2824" spans="1:16" x14ac:dyDescent="0.25">
      <c r="A2824" t="s">
        <v>6567</v>
      </c>
      <c r="B2824" t="s">
        <v>6568</v>
      </c>
      <c r="C2824" t="s">
        <v>29</v>
      </c>
      <c r="D2824" t="s">
        <v>50</v>
      </c>
      <c r="E2824" t="s">
        <v>20</v>
      </c>
      <c r="F2824" t="s">
        <v>32</v>
      </c>
      <c r="G2824" t="s">
        <v>69</v>
      </c>
      <c r="H2824" t="s">
        <v>34</v>
      </c>
      <c r="I2824" t="s">
        <v>35</v>
      </c>
      <c r="J2824" t="s">
        <v>1248</v>
      </c>
      <c r="L2824">
        <v>3.3</v>
      </c>
      <c r="M2824">
        <v>191000</v>
      </c>
      <c r="N2824">
        <v>2.7</v>
      </c>
      <c r="P2824" t="s">
        <v>26</v>
      </c>
    </row>
    <row r="2825" spans="1:16" x14ac:dyDescent="0.25">
      <c r="A2825" t="s">
        <v>6569</v>
      </c>
      <c r="B2825" t="s">
        <v>6495</v>
      </c>
      <c r="C2825" t="s">
        <v>18</v>
      </c>
      <c r="D2825" t="s">
        <v>79</v>
      </c>
      <c r="E2825" t="s">
        <v>31</v>
      </c>
      <c r="F2825" t="s">
        <v>32</v>
      </c>
      <c r="G2825" t="s">
        <v>80</v>
      </c>
      <c r="H2825" t="s">
        <v>46</v>
      </c>
      <c r="I2825" t="s">
        <v>57</v>
      </c>
      <c r="J2825" t="s">
        <v>6570</v>
      </c>
      <c r="L2825">
        <v>4.3</v>
      </c>
      <c r="M2825">
        <v>196000</v>
      </c>
      <c r="N2825">
        <v>4.9000000000000004</v>
      </c>
      <c r="O2825">
        <v>14</v>
      </c>
      <c r="P2825" t="s">
        <v>26</v>
      </c>
    </row>
    <row r="2826" spans="1:16" x14ac:dyDescent="0.25">
      <c r="A2826" t="s">
        <v>6571</v>
      </c>
      <c r="B2826" t="s">
        <v>6572</v>
      </c>
      <c r="C2826" t="s">
        <v>29</v>
      </c>
      <c r="D2826" t="s">
        <v>30</v>
      </c>
      <c r="E2826" t="s">
        <v>44</v>
      </c>
      <c r="F2826" t="s">
        <v>39</v>
      </c>
      <c r="G2826" t="s">
        <v>22</v>
      </c>
      <c r="H2826" t="s">
        <v>23</v>
      </c>
      <c r="I2826" t="s">
        <v>75</v>
      </c>
      <c r="J2826" t="s">
        <v>285</v>
      </c>
      <c r="K2826" t="s">
        <v>5016</v>
      </c>
      <c r="L2826">
        <v>4.5</v>
      </c>
      <c r="M2826">
        <v>169000</v>
      </c>
      <c r="N2826">
        <v>2.4</v>
      </c>
      <c r="O2826">
        <v>7</v>
      </c>
      <c r="P2826" t="s">
        <v>53</v>
      </c>
    </row>
    <row r="2827" spans="1:16" x14ac:dyDescent="0.25">
      <c r="A2827" t="s">
        <v>6573</v>
      </c>
      <c r="B2827" t="s">
        <v>2096</v>
      </c>
      <c r="C2827" t="s">
        <v>18</v>
      </c>
      <c r="D2827" t="s">
        <v>30</v>
      </c>
      <c r="E2827" t="s">
        <v>20</v>
      </c>
      <c r="F2827" t="s">
        <v>32</v>
      </c>
      <c r="G2827" t="s">
        <v>33</v>
      </c>
      <c r="H2827" t="s">
        <v>23</v>
      </c>
      <c r="I2827" t="s">
        <v>75</v>
      </c>
      <c r="J2827" t="s">
        <v>6430</v>
      </c>
      <c r="L2827">
        <v>5.2</v>
      </c>
      <c r="M2827">
        <v>237000</v>
      </c>
      <c r="N2827">
        <v>1.7</v>
      </c>
      <c r="O2827">
        <v>13</v>
      </c>
      <c r="P2827" t="s">
        <v>26</v>
      </c>
    </row>
    <row r="2828" spans="1:16" x14ac:dyDescent="0.25">
      <c r="A2828" t="s">
        <v>6574</v>
      </c>
      <c r="B2828" t="s">
        <v>6575</v>
      </c>
      <c r="C2828" t="s">
        <v>29</v>
      </c>
      <c r="D2828" t="s">
        <v>79</v>
      </c>
      <c r="E2828" t="s">
        <v>20</v>
      </c>
      <c r="F2828" t="s">
        <v>128</v>
      </c>
      <c r="G2828" t="s">
        <v>22</v>
      </c>
      <c r="H2828" t="s">
        <v>46</v>
      </c>
      <c r="I2828" t="s">
        <v>35</v>
      </c>
      <c r="J2828" t="s">
        <v>904</v>
      </c>
      <c r="L2828">
        <v>4</v>
      </c>
      <c r="M2828">
        <v>572000</v>
      </c>
      <c r="O2828">
        <v>37</v>
      </c>
      <c r="P2828" t="s">
        <v>26</v>
      </c>
    </row>
    <row r="2829" spans="1:16" x14ac:dyDescent="0.25">
      <c r="A2829" t="s">
        <v>6576</v>
      </c>
      <c r="B2829" t="s">
        <v>1500</v>
      </c>
      <c r="C2829" t="s">
        <v>18</v>
      </c>
      <c r="D2829" t="s">
        <v>79</v>
      </c>
      <c r="E2829" t="s">
        <v>20</v>
      </c>
      <c r="F2829" t="s">
        <v>32</v>
      </c>
      <c r="G2829" t="s">
        <v>33</v>
      </c>
      <c r="H2829" t="s">
        <v>23</v>
      </c>
      <c r="I2829" t="s">
        <v>24</v>
      </c>
      <c r="J2829" t="s">
        <v>149</v>
      </c>
      <c r="L2829">
        <v>2.5</v>
      </c>
      <c r="M2829">
        <v>234000</v>
      </c>
      <c r="N2829">
        <v>2.8</v>
      </c>
      <c r="O2829">
        <v>0</v>
      </c>
      <c r="P2829" t="s">
        <v>26</v>
      </c>
    </row>
    <row r="2830" spans="1:16" x14ac:dyDescent="0.25">
      <c r="A2830" t="s">
        <v>6577</v>
      </c>
      <c r="B2830" t="s">
        <v>4418</v>
      </c>
      <c r="C2830" t="s">
        <v>18</v>
      </c>
      <c r="D2830" t="s">
        <v>79</v>
      </c>
      <c r="E2830" t="s">
        <v>31</v>
      </c>
      <c r="F2830" t="s">
        <v>32</v>
      </c>
      <c r="G2830" t="s">
        <v>22</v>
      </c>
      <c r="H2830" t="s">
        <v>23</v>
      </c>
      <c r="I2830" t="s">
        <v>24</v>
      </c>
      <c r="J2830" t="s">
        <v>6578</v>
      </c>
      <c r="K2830" t="s">
        <v>797</v>
      </c>
      <c r="L2830">
        <v>3.4</v>
      </c>
      <c r="M2830">
        <v>333000</v>
      </c>
      <c r="N2830">
        <v>2.5</v>
      </c>
      <c r="O2830">
        <v>40</v>
      </c>
      <c r="P2830" t="s">
        <v>53</v>
      </c>
    </row>
    <row r="2831" spans="1:16" x14ac:dyDescent="0.25">
      <c r="A2831" t="s">
        <v>6579</v>
      </c>
      <c r="B2831" t="s">
        <v>4219</v>
      </c>
      <c r="C2831" t="s">
        <v>29</v>
      </c>
      <c r="D2831" t="s">
        <v>79</v>
      </c>
      <c r="E2831" t="s">
        <v>44</v>
      </c>
      <c r="F2831" t="s">
        <v>128</v>
      </c>
      <c r="G2831" t="s">
        <v>22</v>
      </c>
      <c r="H2831" t="s">
        <v>34</v>
      </c>
      <c r="I2831" t="s">
        <v>57</v>
      </c>
      <c r="J2831" t="s">
        <v>1126</v>
      </c>
      <c r="K2831" t="s">
        <v>3357</v>
      </c>
      <c r="L2831">
        <v>4.4000000000000004</v>
      </c>
      <c r="M2831">
        <v>416000</v>
      </c>
      <c r="N2831">
        <v>3.6</v>
      </c>
      <c r="O2831">
        <v>4</v>
      </c>
      <c r="P2831" t="s">
        <v>53</v>
      </c>
    </row>
    <row r="2832" spans="1:16" x14ac:dyDescent="0.25">
      <c r="A2832" t="s">
        <v>6580</v>
      </c>
      <c r="B2832" t="s">
        <v>6581</v>
      </c>
      <c r="C2832" t="s">
        <v>29</v>
      </c>
      <c r="D2832" t="s">
        <v>50</v>
      </c>
      <c r="E2832" t="s">
        <v>44</v>
      </c>
      <c r="F2832" t="s">
        <v>39</v>
      </c>
      <c r="G2832" t="s">
        <v>33</v>
      </c>
      <c r="H2832" t="s">
        <v>34</v>
      </c>
      <c r="I2832" t="s">
        <v>24</v>
      </c>
      <c r="J2832" t="s">
        <v>1172</v>
      </c>
      <c r="K2832" t="s">
        <v>6582</v>
      </c>
      <c r="L2832">
        <v>4.4000000000000004</v>
      </c>
      <c r="M2832">
        <v>90000</v>
      </c>
      <c r="N2832">
        <v>3.7</v>
      </c>
      <c r="O2832">
        <v>2</v>
      </c>
      <c r="P2832" t="s">
        <v>53</v>
      </c>
    </row>
    <row r="2833" spans="1:16" x14ac:dyDescent="0.25">
      <c r="A2833" t="s">
        <v>6583</v>
      </c>
      <c r="B2833" t="s">
        <v>6584</v>
      </c>
      <c r="C2833" t="s">
        <v>29</v>
      </c>
      <c r="D2833" t="s">
        <v>43</v>
      </c>
      <c r="E2833" t="s">
        <v>44</v>
      </c>
      <c r="F2833" t="s">
        <v>39</v>
      </c>
      <c r="G2833" t="s">
        <v>33</v>
      </c>
      <c r="H2833" t="s">
        <v>23</v>
      </c>
      <c r="I2833" t="s">
        <v>35</v>
      </c>
      <c r="J2833" t="s">
        <v>6585</v>
      </c>
      <c r="L2833">
        <v>3.8</v>
      </c>
      <c r="M2833">
        <v>142000</v>
      </c>
      <c r="N2833">
        <v>3.3</v>
      </c>
      <c r="O2833">
        <v>2</v>
      </c>
      <c r="P2833" t="s">
        <v>26</v>
      </c>
    </row>
    <row r="2834" spans="1:16" x14ac:dyDescent="0.25">
      <c r="A2834" t="s">
        <v>6586</v>
      </c>
      <c r="B2834" t="s">
        <v>6587</v>
      </c>
      <c r="C2834" t="s">
        <v>29</v>
      </c>
      <c r="D2834" t="s">
        <v>43</v>
      </c>
      <c r="E2834" t="s">
        <v>20</v>
      </c>
      <c r="F2834" t="s">
        <v>39</v>
      </c>
      <c r="G2834" t="s">
        <v>22</v>
      </c>
      <c r="H2834" t="s">
        <v>23</v>
      </c>
      <c r="I2834" t="s">
        <v>24</v>
      </c>
      <c r="J2834" t="s">
        <v>269</v>
      </c>
      <c r="L2834">
        <v>2.8</v>
      </c>
      <c r="N2834">
        <v>4.3</v>
      </c>
      <c r="O2834">
        <v>4</v>
      </c>
      <c r="P2834" t="s">
        <v>26</v>
      </c>
    </row>
    <row r="2835" spans="1:16" x14ac:dyDescent="0.25">
      <c r="A2835" t="s">
        <v>6588</v>
      </c>
      <c r="B2835" t="s">
        <v>6589</v>
      </c>
      <c r="C2835" t="s">
        <v>29</v>
      </c>
      <c r="D2835" t="s">
        <v>50</v>
      </c>
      <c r="E2835" t="s">
        <v>20</v>
      </c>
      <c r="F2835" t="s">
        <v>32</v>
      </c>
      <c r="G2835" t="s">
        <v>33</v>
      </c>
      <c r="I2835" t="s">
        <v>24</v>
      </c>
      <c r="J2835" t="s">
        <v>603</v>
      </c>
      <c r="K2835" t="s">
        <v>5187</v>
      </c>
      <c r="L2835">
        <v>1.9</v>
      </c>
      <c r="M2835">
        <v>344000</v>
      </c>
      <c r="N2835">
        <v>3.2</v>
      </c>
      <c r="O2835">
        <v>7</v>
      </c>
      <c r="P2835" t="s">
        <v>72</v>
      </c>
    </row>
    <row r="2836" spans="1:16" x14ac:dyDescent="0.25">
      <c r="A2836" t="s">
        <v>6590</v>
      </c>
      <c r="B2836" t="s">
        <v>6591</v>
      </c>
      <c r="C2836" t="s">
        <v>29</v>
      </c>
      <c r="D2836" t="s">
        <v>43</v>
      </c>
      <c r="E2836" t="s">
        <v>20</v>
      </c>
      <c r="F2836" t="s">
        <v>32</v>
      </c>
      <c r="G2836" t="s">
        <v>22</v>
      </c>
      <c r="H2836" t="s">
        <v>23</v>
      </c>
      <c r="J2836" t="s">
        <v>1257</v>
      </c>
      <c r="K2836" t="s">
        <v>4051</v>
      </c>
      <c r="L2836">
        <v>4.4000000000000004</v>
      </c>
      <c r="M2836">
        <v>323000</v>
      </c>
      <c r="N2836">
        <v>3.1</v>
      </c>
      <c r="O2836">
        <v>21</v>
      </c>
      <c r="P2836" t="s">
        <v>72</v>
      </c>
    </row>
    <row r="2837" spans="1:16" x14ac:dyDescent="0.25">
      <c r="A2837" t="s">
        <v>6592</v>
      </c>
      <c r="B2837" t="s">
        <v>6593</v>
      </c>
      <c r="C2837" t="s">
        <v>18</v>
      </c>
      <c r="D2837" t="s">
        <v>79</v>
      </c>
      <c r="F2837" t="s">
        <v>32</v>
      </c>
      <c r="G2837" t="s">
        <v>22</v>
      </c>
      <c r="H2837" t="s">
        <v>34</v>
      </c>
      <c r="I2837" t="s">
        <v>24</v>
      </c>
      <c r="J2837" t="s">
        <v>5528</v>
      </c>
      <c r="L2837">
        <v>4.5999999999999996</v>
      </c>
      <c r="M2837">
        <v>193000</v>
      </c>
      <c r="N2837">
        <v>3.5</v>
      </c>
      <c r="O2837">
        <v>19</v>
      </c>
      <c r="P2837" t="s">
        <v>26</v>
      </c>
    </row>
    <row r="2838" spans="1:16" x14ac:dyDescent="0.25">
      <c r="A2838" t="s">
        <v>6594</v>
      </c>
      <c r="B2838" t="s">
        <v>6595</v>
      </c>
      <c r="C2838" t="s">
        <v>18</v>
      </c>
      <c r="D2838" t="s">
        <v>50</v>
      </c>
      <c r="E2838" t="s">
        <v>20</v>
      </c>
      <c r="F2838" t="s">
        <v>32</v>
      </c>
      <c r="G2838" t="s">
        <v>33</v>
      </c>
      <c r="H2838" t="s">
        <v>34</v>
      </c>
      <c r="I2838" t="s">
        <v>35</v>
      </c>
      <c r="J2838" t="s">
        <v>5192</v>
      </c>
      <c r="K2838" t="s">
        <v>6596</v>
      </c>
      <c r="L2838">
        <v>2.5</v>
      </c>
      <c r="M2838">
        <v>321000</v>
      </c>
      <c r="N2838">
        <v>4.2</v>
      </c>
      <c r="O2838">
        <v>0</v>
      </c>
      <c r="P2838" t="s">
        <v>72</v>
      </c>
    </row>
    <row r="2839" spans="1:16" x14ac:dyDescent="0.25">
      <c r="A2839" t="s">
        <v>6597</v>
      </c>
      <c r="B2839" t="s">
        <v>3176</v>
      </c>
      <c r="C2839" t="s">
        <v>29</v>
      </c>
      <c r="D2839" t="s">
        <v>79</v>
      </c>
      <c r="E2839" t="s">
        <v>20</v>
      </c>
      <c r="F2839" t="s">
        <v>21</v>
      </c>
      <c r="G2839" t="s">
        <v>33</v>
      </c>
      <c r="H2839" t="s">
        <v>62</v>
      </c>
      <c r="I2839" t="s">
        <v>75</v>
      </c>
      <c r="J2839" t="s">
        <v>2320</v>
      </c>
      <c r="L2839">
        <v>5.7</v>
      </c>
      <c r="M2839">
        <v>725000</v>
      </c>
      <c r="N2839">
        <v>4.2</v>
      </c>
      <c r="O2839">
        <v>9</v>
      </c>
      <c r="P2839" t="s">
        <v>26</v>
      </c>
    </row>
    <row r="2840" spans="1:16" x14ac:dyDescent="0.25">
      <c r="A2840" t="s">
        <v>6598</v>
      </c>
      <c r="B2840" t="s">
        <v>3128</v>
      </c>
      <c r="C2840" t="s">
        <v>29</v>
      </c>
      <c r="D2840" t="s">
        <v>30</v>
      </c>
      <c r="E2840" t="s">
        <v>20</v>
      </c>
      <c r="F2840" t="s">
        <v>39</v>
      </c>
      <c r="G2840" t="s">
        <v>69</v>
      </c>
      <c r="H2840" t="s">
        <v>34</v>
      </c>
      <c r="I2840" t="s">
        <v>171</v>
      </c>
      <c r="J2840" t="s">
        <v>1678</v>
      </c>
      <c r="L2840">
        <v>4.8</v>
      </c>
      <c r="M2840">
        <v>162000</v>
      </c>
      <c r="N2840">
        <v>2.2000000000000002</v>
      </c>
      <c r="O2840">
        <v>14</v>
      </c>
      <c r="P2840" t="s">
        <v>26</v>
      </c>
    </row>
    <row r="2841" spans="1:16" x14ac:dyDescent="0.25">
      <c r="A2841" t="s">
        <v>6599</v>
      </c>
      <c r="B2841" t="s">
        <v>5202</v>
      </c>
      <c r="C2841" t="s">
        <v>29</v>
      </c>
      <c r="D2841" t="s">
        <v>50</v>
      </c>
      <c r="E2841" t="s">
        <v>20</v>
      </c>
      <c r="F2841" t="s">
        <v>32</v>
      </c>
      <c r="G2841" t="s">
        <v>33</v>
      </c>
      <c r="H2841" t="s">
        <v>62</v>
      </c>
      <c r="I2841" t="s">
        <v>24</v>
      </c>
      <c r="J2841" t="s">
        <v>6600</v>
      </c>
      <c r="L2841">
        <v>6.2</v>
      </c>
      <c r="M2841">
        <v>263000</v>
      </c>
      <c r="N2841">
        <v>2.7</v>
      </c>
      <c r="O2841">
        <v>9</v>
      </c>
      <c r="P2841" t="s">
        <v>26</v>
      </c>
    </row>
    <row r="2842" spans="1:16" x14ac:dyDescent="0.25">
      <c r="A2842" t="s">
        <v>6601</v>
      </c>
      <c r="B2842" t="s">
        <v>6602</v>
      </c>
      <c r="C2842" t="s">
        <v>29</v>
      </c>
      <c r="D2842" t="s">
        <v>19</v>
      </c>
      <c r="E2842" t="s">
        <v>20</v>
      </c>
      <c r="F2842" t="s">
        <v>128</v>
      </c>
      <c r="G2842" t="s">
        <v>22</v>
      </c>
      <c r="H2842" t="s">
        <v>62</v>
      </c>
      <c r="I2842" t="s">
        <v>24</v>
      </c>
      <c r="J2842" t="s">
        <v>3532</v>
      </c>
      <c r="L2842">
        <v>5.0999999999999996</v>
      </c>
      <c r="M2842">
        <v>597000</v>
      </c>
      <c r="N2842">
        <v>2.2999999999999998</v>
      </c>
      <c r="O2842">
        <v>13</v>
      </c>
      <c r="P2842" t="s">
        <v>26</v>
      </c>
    </row>
    <row r="2843" spans="1:16" x14ac:dyDescent="0.25">
      <c r="A2843" t="s">
        <v>6603</v>
      </c>
      <c r="B2843" t="s">
        <v>633</v>
      </c>
      <c r="C2843" t="s">
        <v>29</v>
      </c>
      <c r="D2843" t="s">
        <v>50</v>
      </c>
      <c r="E2843" t="s">
        <v>20</v>
      </c>
      <c r="F2843" t="s">
        <v>39</v>
      </c>
      <c r="G2843" t="s">
        <v>22</v>
      </c>
      <c r="H2843" t="s">
        <v>34</v>
      </c>
      <c r="I2843" t="s">
        <v>24</v>
      </c>
      <c r="J2843" t="s">
        <v>1260</v>
      </c>
      <c r="K2843" t="s">
        <v>3857</v>
      </c>
      <c r="L2843">
        <v>2.2000000000000002</v>
      </c>
      <c r="M2843">
        <v>164000</v>
      </c>
      <c r="N2843">
        <v>4.8</v>
      </c>
      <c r="O2843">
        <v>18</v>
      </c>
      <c r="P2843" t="s">
        <v>53</v>
      </c>
    </row>
    <row r="2844" spans="1:16" x14ac:dyDescent="0.25">
      <c r="A2844" t="s">
        <v>6604</v>
      </c>
      <c r="B2844" t="s">
        <v>6605</v>
      </c>
      <c r="C2844" t="s">
        <v>29</v>
      </c>
      <c r="D2844" t="s">
        <v>79</v>
      </c>
      <c r="E2844" t="s">
        <v>44</v>
      </c>
      <c r="F2844" t="s">
        <v>39</v>
      </c>
      <c r="G2844" t="s">
        <v>33</v>
      </c>
      <c r="H2844" t="s">
        <v>34</v>
      </c>
      <c r="I2844" t="s">
        <v>35</v>
      </c>
      <c r="J2844" t="s">
        <v>6606</v>
      </c>
      <c r="L2844">
        <v>4.8</v>
      </c>
      <c r="M2844">
        <v>146000</v>
      </c>
      <c r="N2844">
        <v>4.5999999999999996</v>
      </c>
      <c r="O2844">
        <v>6</v>
      </c>
      <c r="P2844" t="s">
        <v>26</v>
      </c>
    </row>
    <row r="2845" spans="1:16" x14ac:dyDescent="0.25">
      <c r="A2845" t="s">
        <v>6607</v>
      </c>
      <c r="B2845" t="s">
        <v>1711</v>
      </c>
      <c r="C2845" t="s">
        <v>29</v>
      </c>
      <c r="D2845" t="s">
        <v>50</v>
      </c>
      <c r="E2845" t="s">
        <v>20</v>
      </c>
      <c r="F2845" t="s">
        <v>39</v>
      </c>
      <c r="G2845" t="s">
        <v>80</v>
      </c>
      <c r="H2845" t="s">
        <v>46</v>
      </c>
      <c r="I2845" t="s">
        <v>57</v>
      </c>
      <c r="J2845" t="s">
        <v>1988</v>
      </c>
      <c r="L2845">
        <v>3.2</v>
      </c>
      <c r="M2845">
        <v>142000</v>
      </c>
      <c r="O2845">
        <v>7</v>
      </c>
      <c r="P2845" t="s">
        <v>26</v>
      </c>
    </row>
    <row r="2846" spans="1:16" x14ac:dyDescent="0.25">
      <c r="A2846" t="s">
        <v>6608</v>
      </c>
      <c r="B2846" t="s">
        <v>6609</v>
      </c>
      <c r="C2846" t="s">
        <v>29</v>
      </c>
      <c r="D2846" t="s">
        <v>19</v>
      </c>
      <c r="E2846" t="s">
        <v>20</v>
      </c>
      <c r="F2846" t="s">
        <v>128</v>
      </c>
      <c r="G2846" t="s">
        <v>22</v>
      </c>
      <c r="H2846" t="s">
        <v>34</v>
      </c>
      <c r="I2846" t="s">
        <v>24</v>
      </c>
      <c r="J2846" t="s">
        <v>6610</v>
      </c>
      <c r="K2846" t="s">
        <v>3804</v>
      </c>
      <c r="L2846">
        <v>4.0999999999999996</v>
      </c>
      <c r="M2846">
        <v>484000</v>
      </c>
      <c r="N2846">
        <v>4.8</v>
      </c>
      <c r="O2846">
        <v>22</v>
      </c>
      <c r="P2846" t="s">
        <v>53</v>
      </c>
    </row>
    <row r="2847" spans="1:16" x14ac:dyDescent="0.25">
      <c r="A2847" t="s">
        <v>6611</v>
      </c>
      <c r="B2847" t="s">
        <v>5387</v>
      </c>
      <c r="C2847" t="s">
        <v>18</v>
      </c>
      <c r="D2847" t="s">
        <v>43</v>
      </c>
      <c r="E2847" t="s">
        <v>20</v>
      </c>
      <c r="F2847" t="s">
        <v>21</v>
      </c>
      <c r="G2847" t="s">
        <v>33</v>
      </c>
      <c r="H2847" t="s">
        <v>23</v>
      </c>
      <c r="I2847" t="s">
        <v>57</v>
      </c>
      <c r="J2847" t="s">
        <v>6612</v>
      </c>
      <c r="K2847" t="s">
        <v>1464</v>
      </c>
      <c r="L2847">
        <v>5.6</v>
      </c>
      <c r="M2847">
        <v>726000</v>
      </c>
      <c r="N2847">
        <v>4.0999999999999996</v>
      </c>
      <c r="O2847">
        <v>10</v>
      </c>
      <c r="P2847" t="s">
        <v>53</v>
      </c>
    </row>
    <row r="2848" spans="1:16" x14ac:dyDescent="0.25">
      <c r="A2848" t="s">
        <v>6613</v>
      </c>
      <c r="B2848" t="s">
        <v>6614</v>
      </c>
      <c r="C2848" t="s">
        <v>29</v>
      </c>
      <c r="D2848" t="s">
        <v>19</v>
      </c>
      <c r="E2848" t="s">
        <v>31</v>
      </c>
      <c r="F2848" t="s">
        <v>39</v>
      </c>
      <c r="G2848" t="s">
        <v>22</v>
      </c>
      <c r="H2848" t="s">
        <v>23</v>
      </c>
      <c r="I2848" t="s">
        <v>57</v>
      </c>
      <c r="J2848" t="s">
        <v>1317</v>
      </c>
      <c r="K2848" t="s">
        <v>6216</v>
      </c>
      <c r="L2848">
        <v>4.7</v>
      </c>
      <c r="M2848">
        <v>150000</v>
      </c>
      <c r="N2848">
        <v>2.5</v>
      </c>
      <c r="O2848">
        <v>8</v>
      </c>
      <c r="P2848" t="s">
        <v>53</v>
      </c>
    </row>
    <row r="2849" spans="1:16" x14ac:dyDescent="0.25">
      <c r="A2849" t="s">
        <v>6615</v>
      </c>
      <c r="B2849" t="s">
        <v>1800</v>
      </c>
      <c r="C2849" t="s">
        <v>18</v>
      </c>
      <c r="D2849" t="s">
        <v>43</v>
      </c>
      <c r="E2849" t="s">
        <v>31</v>
      </c>
      <c r="F2849" t="s">
        <v>39</v>
      </c>
      <c r="G2849" t="s">
        <v>22</v>
      </c>
      <c r="H2849" t="s">
        <v>23</v>
      </c>
      <c r="I2849" t="s">
        <v>57</v>
      </c>
      <c r="J2849" t="s">
        <v>5112</v>
      </c>
      <c r="L2849">
        <v>2.4</v>
      </c>
      <c r="M2849">
        <v>148000</v>
      </c>
      <c r="N2849">
        <v>2.2000000000000002</v>
      </c>
      <c r="O2849">
        <v>7</v>
      </c>
      <c r="P2849" t="s">
        <v>26</v>
      </c>
    </row>
    <row r="2850" spans="1:16" x14ac:dyDescent="0.25">
      <c r="A2850" t="s">
        <v>6616</v>
      </c>
      <c r="B2850" t="s">
        <v>4683</v>
      </c>
      <c r="C2850" t="s">
        <v>29</v>
      </c>
      <c r="E2850" t="s">
        <v>20</v>
      </c>
      <c r="F2850" t="s">
        <v>21</v>
      </c>
      <c r="G2850" t="s">
        <v>22</v>
      </c>
      <c r="H2850" t="s">
        <v>62</v>
      </c>
      <c r="I2850" t="s">
        <v>75</v>
      </c>
      <c r="J2850" t="s">
        <v>722</v>
      </c>
      <c r="L2850">
        <v>3.5</v>
      </c>
      <c r="M2850">
        <v>669000</v>
      </c>
      <c r="O2850">
        <v>2</v>
      </c>
      <c r="P2850" t="s">
        <v>26</v>
      </c>
    </row>
    <row r="2851" spans="1:16" x14ac:dyDescent="0.25">
      <c r="A2851" t="s">
        <v>6617</v>
      </c>
      <c r="B2851" t="s">
        <v>1293</v>
      </c>
      <c r="C2851" t="s">
        <v>29</v>
      </c>
      <c r="D2851" t="s">
        <v>79</v>
      </c>
      <c r="E2851" t="s">
        <v>20</v>
      </c>
      <c r="F2851" t="s">
        <v>128</v>
      </c>
      <c r="G2851" t="s">
        <v>80</v>
      </c>
      <c r="H2851" t="s">
        <v>62</v>
      </c>
      <c r="I2851" t="s">
        <v>24</v>
      </c>
      <c r="J2851" t="s">
        <v>231</v>
      </c>
      <c r="L2851">
        <v>5.6</v>
      </c>
      <c r="M2851">
        <v>357000</v>
      </c>
      <c r="N2851">
        <v>3.9</v>
      </c>
      <c r="O2851">
        <v>11</v>
      </c>
      <c r="P2851" t="s">
        <v>26</v>
      </c>
    </row>
    <row r="2852" spans="1:16" x14ac:dyDescent="0.25">
      <c r="A2852" t="s">
        <v>6618</v>
      </c>
      <c r="B2852" t="s">
        <v>6619</v>
      </c>
      <c r="C2852" t="s">
        <v>29</v>
      </c>
      <c r="D2852" t="s">
        <v>50</v>
      </c>
      <c r="E2852" t="s">
        <v>44</v>
      </c>
      <c r="F2852" t="s">
        <v>39</v>
      </c>
      <c r="G2852" t="s">
        <v>69</v>
      </c>
      <c r="H2852" t="s">
        <v>23</v>
      </c>
      <c r="J2852" t="s">
        <v>1175</v>
      </c>
      <c r="L2852">
        <v>5.0999999999999996</v>
      </c>
      <c r="M2852">
        <v>156000</v>
      </c>
      <c r="N2852">
        <v>3.6</v>
      </c>
      <c r="O2852">
        <v>12</v>
      </c>
      <c r="P2852" t="s">
        <v>26</v>
      </c>
    </row>
    <row r="2853" spans="1:16" x14ac:dyDescent="0.25">
      <c r="A2853" t="s">
        <v>6620</v>
      </c>
      <c r="B2853" t="s">
        <v>5173</v>
      </c>
      <c r="C2853" t="s">
        <v>18</v>
      </c>
      <c r="D2853" t="s">
        <v>50</v>
      </c>
      <c r="E2853" t="s">
        <v>20</v>
      </c>
      <c r="F2853" t="s">
        <v>21</v>
      </c>
      <c r="G2853" t="s">
        <v>80</v>
      </c>
      <c r="H2853" t="s">
        <v>46</v>
      </c>
      <c r="I2853" t="s">
        <v>75</v>
      </c>
      <c r="J2853" t="s">
        <v>52</v>
      </c>
      <c r="L2853">
        <v>2.7</v>
      </c>
      <c r="M2853">
        <v>943000</v>
      </c>
      <c r="N2853">
        <v>3.3</v>
      </c>
      <c r="O2853">
        <v>11</v>
      </c>
      <c r="P2853" t="s">
        <v>26</v>
      </c>
    </row>
    <row r="2854" spans="1:16" x14ac:dyDescent="0.25">
      <c r="A2854" t="s">
        <v>6621</v>
      </c>
      <c r="B2854" t="s">
        <v>6035</v>
      </c>
      <c r="C2854" t="s">
        <v>29</v>
      </c>
      <c r="D2854" t="s">
        <v>50</v>
      </c>
      <c r="E2854" t="s">
        <v>20</v>
      </c>
      <c r="G2854" t="s">
        <v>33</v>
      </c>
      <c r="H2854" t="s">
        <v>23</v>
      </c>
      <c r="I2854" t="s">
        <v>24</v>
      </c>
      <c r="J2854" t="s">
        <v>5006</v>
      </c>
      <c r="L2854">
        <v>5</v>
      </c>
      <c r="N2854">
        <v>5</v>
      </c>
      <c r="O2854">
        <v>6</v>
      </c>
      <c r="P2854" t="s">
        <v>26</v>
      </c>
    </row>
    <row r="2855" spans="1:16" x14ac:dyDescent="0.25">
      <c r="A2855" t="s">
        <v>6622</v>
      </c>
      <c r="B2855" t="s">
        <v>1639</v>
      </c>
      <c r="C2855" t="s">
        <v>18</v>
      </c>
      <c r="D2855" t="s">
        <v>30</v>
      </c>
      <c r="E2855" t="s">
        <v>44</v>
      </c>
      <c r="F2855" t="s">
        <v>32</v>
      </c>
      <c r="G2855" t="s">
        <v>33</v>
      </c>
      <c r="H2855" t="s">
        <v>23</v>
      </c>
      <c r="I2855" t="s">
        <v>24</v>
      </c>
      <c r="J2855" t="s">
        <v>4229</v>
      </c>
      <c r="L2855">
        <v>4</v>
      </c>
      <c r="M2855">
        <v>275000</v>
      </c>
      <c r="N2855">
        <v>2.1</v>
      </c>
      <c r="O2855">
        <v>0</v>
      </c>
      <c r="P2855" t="s">
        <v>26</v>
      </c>
    </row>
    <row r="2856" spans="1:16" x14ac:dyDescent="0.25">
      <c r="A2856" t="s">
        <v>6623</v>
      </c>
      <c r="B2856" t="s">
        <v>458</v>
      </c>
      <c r="C2856" t="s">
        <v>18</v>
      </c>
      <c r="D2856" t="s">
        <v>50</v>
      </c>
      <c r="E2856" t="s">
        <v>44</v>
      </c>
      <c r="F2856" t="s">
        <v>32</v>
      </c>
      <c r="G2856" t="s">
        <v>80</v>
      </c>
      <c r="H2856" t="s">
        <v>46</v>
      </c>
      <c r="I2856" t="s">
        <v>57</v>
      </c>
      <c r="J2856" t="s">
        <v>901</v>
      </c>
      <c r="K2856" t="s">
        <v>452</v>
      </c>
      <c r="L2856">
        <v>6</v>
      </c>
      <c r="M2856">
        <v>275000</v>
      </c>
      <c r="N2856">
        <v>3.2</v>
      </c>
      <c r="O2856">
        <v>6</v>
      </c>
      <c r="P2856" t="s">
        <v>53</v>
      </c>
    </row>
    <row r="2857" spans="1:16" x14ac:dyDescent="0.25">
      <c r="A2857" t="s">
        <v>6624</v>
      </c>
      <c r="B2857" t="s">
        <v>6625</v>
      </c>
      <c r="C2857" t="s">
        <v>18</v>
      </c>
      <c r="D2857" t="s">
        <v>50</v>
      </c>
      <c r="E2857" t="s">
        <v>20</v>
      </c>
      <c r="F2857" t="s">
        <v>32</v>
      </c>
      <c r="G2857" t="s">
        <v>33</v>
      </c>
      <c r="H2857" t="s">
        <v>23</v>
      </c>
      <c r="I2857" t="s">
        <v>24</v>
      </c>
      <c r="J2857" t="s">
        <v>5039</v>
      </c>
      <c r="L2857">
        <v>2</v>
      </c>
      <c r="M2857">
        <v>272000</v>
      </c>
      <c r="N2857">
        <v>4</v>
      </c>
      <c r="O2857">
        <v>5</v>
      </c>
      <c r="P2857" t="s">
        <v>26</v>
      </c>
    </row>
    <row r="2858" spans="1:16" x14ac:dyDescent="0.25">
      <c r="A2858" t="s">
        <v>6626</v>
      </c>
      <c r="B2858" t="s">
        <v>4847</v>
      </c>
      <c r="C2858" t="s">
        <v>29</v>
      </c>
      <c r="D2858" t="s">
        <v>50</v>
      </c>
      <c r="E2858" t="s">
        <v>20</v>
      </c>
      <c r="F2858" t="s">
        <v>39</v>
      </c>
      <c r="G2858" t="s">
        <v>22</v>
      </c>
      <c r="H2858" t="s">
        <v>46</v>
      </c>
      <c r="I2858" t="s">
        <v>24</v>
      </c>
      <c r="J2858" t="s">
        <v>2991</v>
      </c>
      <c r="L2858">
        <v>2.8</v>
      </c>
      <c r="M2858">
        <v>106000</v>
      </c>
      <c r="N2858">
        <v>3.5</v>
      </c>
      <c r="O2858">
        <v>13</v>
      </c>
      <c r="P2858" t="s">
        <v>26</v>
      </c>
    </row>
    <row r="2859" spans="1:16" x14ac:dyDescent="0.25">
      <c r="A2859" t="s">
        <v>6627</v>
      </c>
      <c r="B2859" t="s">
        <v>6628</v>
      </c>
      <c r="C2859" t="s">
        <v>18</v>
      </c>
      <c r="D2859" t="s">
        <v>43</v>
      </c>
      <c r="E2859" t="s">
        <v>31</v>
      </c>
      <c r="F2859" t="s">
        <v>45</v>
      </c>
      <c r="G2859" t="s">
        <v>22</v>
      </c>
      <c r="H2859" t="s">
        <v>46</v>
      </c>
      <c r="I2859" t="s">
        <v>35</v>
      </c>
      <c r="J2859" t="s">
        <v>4365</v>
      </c>
      <c r="K2859" t="s">
        <v>1782</v>
      </c>
      <c r="L2859">
        <v>1.6</v>
      </c>
      <c r="M2859">
        <v>1184000</v>
      </c>
      <c r="N2859">
        <v>4.5999999999999996</v>
      </c>
      <c r="O2859">
        <v>8</v>
      </c>
      <c r="P2859" t="s">
        <v>53</v>
      </c>
    </row>
    <row r="2860" spans="1:16" x14ac:dyDescent="0.25">
      <c r="A2860" t="s">
        <v>6629</v>
      </c>
      <c r="B2860" t="s">
        <v>3220</v>
      </c>
      <c r="C2860" t="s">
        <v>29</v>
      </c>
      <c r="D2860" t="s">
        <v>50</v>
      </c>
      <c r="E2860" t="s">
        <v>20</v>
      </c>
      <c r="F2860" t="s">
        <v>128</v>
      </c>
      <c r="G2860" t="s">
        <v>22</v>
      </c>
      <c r="I2860" t="s">
        <v>57</v>
      </c>
      <c r="J2860" t="s">
        <v>6630</v>
      </c>
      <c r="L2860">
        <v>1.2</v>
      </c>
      <c r="M2860">
        <v>384000</v>
      </c>
      <c r="N2860">
        <v>3.9</v>
      </c>
      <c r="O2860">
        <v>21</v>
      </c>
      <c r="P2860" t="s">
        <v>26</v>
      </c>
    </row>
    <row r="2861" spans="1:16" x14ac:dyDescent="0.25">
      <c r="A2861" t="s">
        <v>6631</v>
      </c>
      <c r="B2861" t="s">
        <v>4341</v>
      </c>
      <c r="C2861" t="s">
        <v>18</v>
      </c>
      <c r="D2861" t="s">
        <v>79</v>
      </c>
      <c r="E2861" t="s">
        <v>31</v>
      </c>
      <c r="F2861" t="s">
        <v>128</v>
      </c>
      <c r="G2861" t="s">
        <v>22</v>
      </c>
      <c r="H2861" t="s">
        <v>46</v>
      </c>
      <c r="I2861" t="s">
        <v>171</v>
      </c>
      <c r="J2861" t="s">
        <v>3139</v>
      </c>
      <c r="L2861">
        <v>1.9</v>
      </c>
      <c r="M2861">
        <v>386000</v>
      </c>
      <c r="N2861">
        <v>4</v>
      </c>
      <c r="O2861">
        <v>10</v>
      </c>
      <c r="P2861" t="s">
        <v>26</v>
      </c>
    </row>
    <row r="2862" spans="1:16" x14ac:dyDescent="0.25">
      <c r="A2862" t="s">
        <v>6632</v>
      </c>
      <c r="B2862" t="s">
        <v>1250</v>
      </c>
      <c r="C2862" t="s">
        <v>29</v>
      </c>
      <c r="D2862" t="s">
        <v>50</v>
      </c>
      <c r="E2862" t="s">
        <v>44</v>
      </c>
      <c r="F2862" t="s">
        <v>32</v>
      </c>
      <c r="G2862" t="s">
        <v>22</v>
      </c>
      <c r="H2862" t="s">
        <v>23</v>
      </c>
      <c r="I2862" t="s">
        <v>35</v>
      </c>
      <c r="J2862" t="s">
        <v>328</v>
      </c>
      <c r="K2862" t="s">
        <v>3054</v>
      </c>
      <c r="L2862">
        <v>1.4</v>
      </c>
      <c r="M2862">
        <v>350000</v>
      </c>
      <c r="N2862">
        <v>4.3</v>
      </c>
      <c r="O2862">
        <v>0</v>
      </c>
      <c r="P2862" t="s">
        <v>53</v>
      </c>
    </row>
    <row r="2863" spans="1:16" x14ac:dyDescent="0.25">
      <c r="A2863" t="s">
        <v>6633</v>
      </c>
      <c r="B2863" t="s">
        <v>6634</v>
      </c>
      <c r="C2863" t="s">
        <v>18</v>
      </c>
      <c r="D2863" t="s">
        <v>50</v>
      </c>
      <c r="E2863" t="s">
        <v>20</v>
      </c>
      <c r="F2863" t="s">
        <v>39</v>
      </c>
      <c r="G2863" t="s">
        <v>22</v>
      </c>
      <c r="H2863" t="s">
        <v>46</v>
      </c>
      <c r="I2863" t="s">
        <v>24</v>
      </c>
      <c r="J2863" t="s">
        <v>6635</v>
      </c>
      <c r="L2863">
        <v>6</v>
      </c>
      <c r="M2863">
        <v>95000</v>
      </c>
      <c r="N2863">
        <v>3.5</v>
      </c>
      <c r="O2863">
        <v>3</v>
      </c>
      <c r="P2863" t="s">
        <v>26</v>
      </c>
    </row>
    <row r="2864" spans="1:16" x14ac:dyDescent="0.25">
      <c r="A2864" t="s">
        <v>6636</v>
      </c>
      <c r="B2864" t="s">
        <v>6637</v>
      </c>
      <c r="C2864" t="s">
        <v>29</v>
      </c>
      <c r="D2864" t="s">
        <v>19</v>
      </c>
      <c r="E2864" t="s">
        <v>20</v>
      </c>
      <c r="F2864" t="s">
        <v>128</v>
      </c>
      <c r="G2864" t="s">
        <v>69</v>
      </c>
      <c r="H2864" t="s">
        <v>34</v>
      </c>
      <c r="I2864" t="s">
        <v>24</v>
      </c>
      <c r="J2864" t="s">
        <v>6582</v>
      </c>
      <c r="K2864" t="s">
        <v>2960</v>
      </c>
      <c r="L2864">
        <v>3.9</v>
      </c>
      <c r="M2864">
        <v>472000</v>
      </c>
      <c r="N2864">
        <v>4.5999999999999996</v>
      </c>
      <c r="O2864">
        <v>12</v>
      </c>
      <c r="P2864" t="s">
        <v>53</v>
      </c>
    </row>
    <row r="2865" spans="1:16" x14ac:dyDescent="0.25">
      <c r="A2865" t="s">
        <v>6638</v>
      </c>
      <c r="B2865" t="s">
        <v>6639</v>
      </c>
      <c r="C2865" t="s">
        <v>18</v>
      </c>
      <c r="D2865" t="s">
        <v>30</v>
      </c>
      <c r="E2865" t="s">
        <v>31</v>
      </c>
      <c r="F2865" t="s">
        <v>32</v>
      </c>
      <c r="G2865" t="s">
        <v>80</v>
      </c>
      <c r="H2865" t="s">
        <v>62</v>
      </c>
      <c r="I2865" t="s">
        <v>24</v>
      </c>
      <c r="J2865" t="s">
        <v>520</v>
      </c>
      <c r="K2865" t="s">
        <v>4145</v>
      </c>
      <c r="L2865">
        <v>1.8</v>
      </c>
      <c r="M2865">
        <v>198000</v>
      </c>
      <c r="N2865">
        <v>2.7</v>
      </c>
      <c r="O2865">
        <v>6</v>
      </c>
      <c r="P2865" t="s">
        <v>53</v>
      </c>
    </row>
    <row r="2866" spans="1:16" x14ac:dyDescent="0.25">
      <c r="A2866" t="s">
        <v>6640</v>
      </c>
      <c r="B2866" t="s">
        <v>6641</v>
      </c>
      <c r="C2866" t="s">
        <v>18</v>
      </c>
      <c r="D2866" t="s">
        <v>50</v>
      </c>
      <c r="E2866" t="s">
        <v>20</v>
      </c>
      <c r="F2866" t="s">
        <v>32</v>
      </c>
      <c r="G2866" t="s">
        <v>33</v>
      </c>
      <c r="H2866" t="s">
        <v>34</v>
      </c>
      <c r="I2866" t="s">
        <v>35</v>
      </c>
      <c r="J2866" t="s">
        <v>4373</v>
      </c>
      <c r="K2866" t="s">
        <v>3451</v>
      </c>
      <c r="L2866">
        <v>3.3</v>
      </c>
      <c r="M2866">
        <v>237000</v>
      </c>
      <c r="N2866">
        <v>4.7</v>
      </c>
      <c r="P2866" t="s">
        <v>114</v>
      </c>
    </row>
    <row r="2867" spans="1:16" x14ac:dyDescent="0.25">
      <c r="A2867" t="s">
        <v>6642</v>
      </c>
      <c r="B2867" t="s">
        <v>6643</v>
      </c>
      <c r="C2867" t="s">
        <v>18</v>
      </c>
      <c r="D2867" t="s">
        <v>79</v>
      </c>
      <c r="E2867" t="s">
        <v>20</v>
      </c>
      <c r="F2867" t="s">
        <v>45</v>
      </c>
      <c r="G2867" t="s">
        <v>22</v>
      </c>
      <c r="H2867" t="s">
        <v>23</v>
      </c>
      <c r="J2867" t="s">
        <v>4523</v>
      </c>
      <c r="K2867" t="s">
        <v>2120</v>
      </c>
      <c r="L2867">
        <v>4</v>
      </c>
      <c r="M2867">
        <v>1548000</v>
      </c>
      <c r="N2867">
        <v>4.2</v>
      </c>
      <c r="O2867">
        <v>8</v>
      </c>
      <c r="P2867" t="s">
        <v>72</v>
      </c>
    </row>
    <row r="2868" spans="1:16" x14ac:dyDescent="0.25">
      <c r="A2868" t="s">
        <v>6644</v>
      </c>
      <c r="B2868" t="s">
        <v>2680</v>
      </c>
      <c r="C2868" t="s">
        <v>18</v>
      </c>
      <c r="D2868" t="s">
        <v>43</v>
      </c>
      <c r="E2868" t="s">
        <v>20</v>
      </c>
      <c r="F2868" t="s">
        <v>128</v>
      </c>
      <c r="G2868" t="s">
        <v>69</v>
      </c>
      <c r="I2868" t="s">
        <v>24</v>
      </c>
      <c r="J2868" t="s">
        <v>6645</v>
      </c>
      <c r="L2868">
        <v>4.5</v>
      </c>
      <c r="M2868">
        <v>413000</v>
      </c>
      <c r="N2868">
        <v>2.7</v>
      </c>
      <c r="O2868">
        <v>18</v>
      </c>
      <c r="P2868" t="s">
        <v>26</v>
      </c>
    </row>
    <row r="2869" spans="1:16" x14ac:dyDescent="0.25">
      <c r="A2869" t="s">
        <v>6646</v>
      </c>
      <c r="B2869" t="s">
        <v>5625</v>
      </c>
      <c r="C2869" t="s">
        <v>18</v>
      </c>
      <c r="D2869" t="s">
        <v>30</v>
      </c>
      <c r="E2869" t="s">
        <v>20</v>
      </c>
      <c r="F2869" t="s">
        <v>39</v>
      </c>
      <c r="G2869" t="s">
        <v>22</v>
      </c>
      <c r="H2869" t="s">
        <v>34</v>
      </c>
      <c r="I2869" t="s">
        <v>24</v>
      </c>
      <c r="J2869" t="s">
        <v>4122</v>
      </c>
      <c r="L2869">
        <v>1.5</v>
      </c>
      <c r="M2869">
        <v>118000</v>
      </c>
      <c r="N2869">
        <v>3</v>
      </c>
      <c r="O2869">
        <v>6</v>
      </c>
      <c r="P2869" t="s">
        <v>26</v>
      </c>
    </row>
    <row r="2870" spans="1:16" x14ac:dyDescent="0.25">
      <c r="A2870" t="s">
        <v>6647</v>
      </c>
      <c r="B2870" t="s">
        <v>6648</v>
      </c>
      <c r="C2870" t="s">
        <v>29</v>
      </c>
      <c r="D2870" t="s">
        <v>30</v>
      </c>
      <c r="E2870" t="s">
        <v>44</v>
      </c>
      <c r="F2870" t="s">
        <v>39</v>
      </c>
      <c r="G2870" t="s">
        <v>69</v>
      </c>
      <c r="H2870" t="s">
        <v>34</v>
      </c>
      <c r="I2870" t="s">
        <v>57</v>
      </c>
      <c r="J2870" t="s">
        <v>6649</v>
      </c>
      <c r="L2870">
        <v>5.6</v>
      </c>
      <c r="M2870">
        <v>109000</v>
      </c>
      <c r="N2870">
        <v>2.8</v>
      </c>
      <c r="O2870">
        <v>14</v>
      </c>
      <c r="P2870" t="s">
        <v>26</v>
      </c>
    </row>
    <row r="2871" spans="1:16" x14ac:dyDescent="0.25">
      <c r="A2871" t="s">
        <v>6650</v>
      </c>
      <c r="B2871" t="s">
        <v>6651</v>
      </c>
      <c r="C2871" t="s">
        <v>29</v>
      </c>
      <c r="D2871" t="s">
        <v>79</v>
      </c>
      <c r="E2871" t="s">
        <v>44</v>
      </c>
      <c r="F2871" t="s">
        <v>32</v>
      </c>
      <c r="G2871" t="s">
        <v>80</v>
      </c>
      <c r="H2871" t="s">
        <v>23</v>
      </c>
      <c r="I2871" t="s">
        <v>24</v>
      </c>
      <c r="J2871" t="s">
        <v>679</v>
      </c>
      <c r="K2871" t="s">
        <v>6652</v>
      </c>
      <c r="L2871">
        <v>4</v>
      </c>
      <c r="M2871">
        <v>220000</v>
      </c>
      <c r="N2871">
        <v>4.9000000000000004</v>
      </c>
      <c r="O2871">
        <v>10</v>
      </c>
      <c r="P2871" t="s">
        <v>53</v>
      </c>
    </row>
    <row r="2872" spans="1:16" x14ac:dyDescent="0.25">
      <c r="A2872" t="s">
        <v>6653</v>
      </c>
      <c r="B2872" t="s">
        <v>6654</v>
      </c>
      <c r="C2872" t="s">
        <v>18</v>
      </c>
      <c r="D2872" t="s">
        <v>43</v>
      </c>
      <c r="E2872" t="s">
        <v>20</v>
      </c>
      <c r="F2872" t="s">
        <v>32</v>
      </c>
      <c r="G2872" t="s">
        <v>80</v>
      </c>
      <c r="H2872" t="s">
        <v>62</v>
      </c>
      <c r="I2872" t="s">
        <v>35</v>
      </c>
      <c r="J2872" t="s">
        <v>6655</v>
      </c>
      <c r="K2872" t="s">
        <v>561</v>
      </c>
      <c r="L2872">
        <v>4.7</v>
      </c>
      <c r="M2872">
        <v>275000</v>
      </c>
      <c r="N2872">
        <v>3.6</v>
      </c>
      <c r="O2872">
        <v>14</v>
      </c>
      <c r="P2872" t="s">
        <v>53</v>
      </c>
    </row>
    <row r="2873" spans="1:16" x14ac:dyDescent="0.25">
      <c r="A2873" t="s">
        <v>6656</v>
      </c>
      <c r="B2873" t="s">
        <v>6657</v>
      </c>
      <c r="C2873" t="s">
        <v>29</v>
      </c>
      <c r="D2873" t="s">
        <v>50</v>
      </c>
      <c r="E2873" t="s">
        <v>20</v>
      </c>
      <c r="F2873" t="s">
        <v>39</v>
      </c>
      <c r="G2873" t="s">
        <v>69</v>
      </c>
      <c r="H2873" t="s">
        <v>23</v>
      </c>
      <c r="I2873" t="s">
        <v>75</v>
      </c>
      <c r="J2873" t="s">
        <v>3472</v>
      </c>
      <c r="L2873">
        <v>3.7</v>
      </c>
      <c r="M2873">
        <v>167000</v>
      </c>
      <c r="N2873">
        <v>3.2</v>
      </c>
      <c r="O2873">
        <v>14</v>
      </c>
      <c r="P2873" t="s">
        <v>26</v>
      </c>
    </row>
    <row r="2874" spans="1:16" x14ac:dyDescent="0.25">
      <c r="A2874" t="s">
        <v>6658</v>
      </c>
      <c r="B2874" t="s">
        <v>6659</v>
      </c>
      <c r="C2874" t="s">
        <v>29</v>
      </c>
      <c r="D2874" t="s">
        <v>30</v>
      </c>
      <c r="E2874" t="s">
        <v>20</v>
      </c>
      <c r="G2874" t="s">
        <v>33</v>
      </c>
      <c r="H2874" t="s">
        <v>23</v>
      </c>
      <c r="I2874" t="s">
        <v>24</v>
      </c>
      <c r="J2874" t="s">
        <v>5137</v>
      </c>
      <c r="K2874" t="s">
        <v>6660</v>
      </c>
      <c r="L2874">
        <v>6.1</v>
      </c>
      <c r="M2874">
        <v>244000</v>
      </c>
      <c r="N2874">
        <v>2.9</v>
      </c>
      <c r="O2874">
        <v>7</v>
      </c>
      <c r="P2874" t="s">
        <v>53</v>
      </c>
    </row>
    <row r="2875" spans="1:16" x14ac:dyDescent="0.25">
      <c r="A2875" t="s">
        <v>6661</v>
      </c>
      <c r="B2875" t="s">
        <v>6662</v>
      </c>
      <c r="C2875" t="s">
        <v>29</v>
      </c>
      <c r="D2875" t="s">
        <v>30</v>
      </c>
      <c r="E2875" t="s">
        <v>20</v>
      </c>
      <c r="F2875" t="s">
        <v>32</v>
      </c>
      <c r="G2875" t="s">
        <v>33</v>
      </c>
      <c r="H2875" t="s">
        <v>23</v>
      </c>
      <c r="I2875" t="s">
        <v>35</v>
      </c>
      <c r="J2875" t="s">
        <v>6663</v>
      </c>
      <c r="K2875" t="s">
        <v>95</v>
      </c>
      <c r="L2875">
        <v>4.2</v>
      </c>
      <c r="M2875">
        <v>286000</v>
      </c>
      <c r="N2875">
        <v>2.4</v>
      </c>
      <c r="O2875">
        <v>3</v>
      </c>
      <c r="P2875" t="s">
        <v>53</v>
      </c>
    </row>
    <row r="2876" spans="1:16" x14ac:dyDescent="0.25">
      <c r="A2876" t="s">
        <v>6664</v>
      </c>
      <c r="B2876" t="s">
        <v>582</v>
      </c>
      <c r="E2876" t="s">
        <v>20</v>
      </c>
      <c r="F2876" t="s">
        <v>21</v>
      </c>
      <c r="G2876" t="s">
        <v>22</v>
      </c>
      <c r="H2876" t="s">
        <v>23</v>
      </c>
      <c r="I2876" t="s">
        <v>24</v>
      </c>
      <c r="J2876" t="s">
        <v>6578</v>
      </c>
      <c r="K2876" t="s">
        <v>6438</v>
      </c>
      <c r="L2876">
        <v>3.4</v>
      </c>
      <c r="M2876">
        <v>895000</v>
      </c>
      <c r="N2876">
        <v>3.9</v>
      </c>
      <c r="O2876">
        <v>5</v>
      </c>
      <c r="P2876" t="s">
        <v>53</v>
      </c>
    </row>
    <row r="2877" spans="1:16" x14ac:dyDescent="0.25">
      <c r="A2877" t="s">
        <v>6665</v>
      </c>
      <c r="B2877" t="s">
        <v>3361</v>
      </c>
      <c r="C2877" t="s">
        <v>29</v>
      </c>
      <c r="D2877" t="s">
        <v>50</v>
      </c>
      <c r="E2877" t="s">
        <v>20</v>
      </c>
      <c r="F2877" t="s">
        <v>32</v>
      </c>
      <c r="G2877" t="s">
        <v>22</v>
      </c>
      <c r="H2877" t="s">
        <v>34</v>
      </c>
      <c r="I2877" t="s">
        <v>35</v>
      </c>
      <c r="J2877" t="s">
        <v>6503</v>
      </c>
      <c r="L2877">
        <v>1.9</v>
      </c>
      <c r="M2877">
        <v>189000</v>
      </c>
      <c r="N2877">
        <v>3.4</v>
      </c>
      <c r="O2877">
        <v>18</v>
      </c>
      <c r="P2877" t="s">
        <v>26</v>
      </c>
    </row>
    <row r="2878" spans="1:16" x14ac:dyDescent="0.25">
      <c r="A2878" t="s">
        <v>6666</v>
      </c>
      <c r="B2878" t="s">
        <v>6667</v>
      </c>
      <c r="C2878" t="s">
        <v>29</v>
      </c>
      <c r="D2878" t="s">
        <v>30</v>
      </c>
      <c r="E2878" t="s">
        <v>31</v>
      </c>
      <c r="F2878" t="s">
        <v>39</v>
      </c>
      <c r="G2878" t="s">
        <v>22</v>
      </c>
      <c r="H2878" t="s">
        <v>23</v>
      </c>
      <c r="I2878" t="s">
        <v>24</v>
      </c>
      <c r="J2878" t="s">
        <v>6668</v>
      </c>
      <c r="K2878" t="s">
        <v>4525</v>
      </c>
      <c r="L2878">
        <v>5.7</v>
      </c>
      <c r="M2878">
        <v>127000</v>
      </c>
      <c r="N2878">
        <v>1.8</v>
      </c>
      <c r="O2878">
        <v>14</v>
      </c>
      <c r="P2878" t="s">
        <v>72</v>
      </c>
    </row>
    <row r="2879" spans="1:16" x14ac:dyDescent="0.25">
      <c r="A2879" t="s">
        <v>6669</v>
      </c>
      <c r="B2879" t="s">
        <v>6670</v>
      </c>
      <c r="C2879" t="s">
        <v>18</v>
      </c>
      <c r="D2879" t="s">
        <v>30</v>
      </c>
      <c r="E2879" t="s">
        <v>20</v>
      </c>
      <c r="F2879" t="s">
        <v>32</v>
      </c>
      <c r="G2879" t="s">
        <v>80</v>
      </c>
      <c r="H2879" t="s">
        <v>23</v>
      </c>
      <c r="I2879" t="s">
        <v>75</v>
      </c>
      <c r="J2879" t="s">
        <v>4419</v>
      </c>
      <c r="L2879">
        <v>6</v>
      </c>
      <c r="M2879">
        <v>205000</v>
      </c>
      <c r="N2879">
        <v>2.2000000000000002</v>
      </c>
      <c r="O2879">
        <v>12</v>
      </c>
      <c r="P2879" t="s">
        <v>26</v>
      </c>
    </row>
    <row r="2880" spans="1:16" x14ac:dyDescent="0.25">
      <c r="A2880" t="s">
        <v>6671</v>
      </c>
      <c r="B2880" t="s">
        <v>6672</v>
      </c>
      <c r="C2880" t="s">
        <v>18</v>
      </c>
      <c r="D2880" t="s">
        <v>30</v>
      </c>
      <c r="E2880" t="s">
        <v>20</v>
      </c>
      <c r="F2880" t="s">
        <v>45</v>
      </c>
      <c r="G2880" t="s">
        <v>33</v>
      </c>
      <c r="H2880" t="s">
        <v>23</v>
      </c>
      <c r="I2880" t="s">
        <v>57</v>
      </c>
      <c r="J2880" t="s">
        <v>3158</v>
      </c>
      <c r="K2880" t="s">
        <v>2335</v>
      </c>
      <c r="L2880">
        <v>4.8</v>
      </c>
      <c r="M2880">
        <v>1747000</v>
      </c>
      <c r="N2880">
        <v>4.9000000000000004</v>
      </c>
      <c r="O2880">
        <v>13</v>
      </c>
      <c r="P2880" t="s">
        <v>53</v>
      </c>
    </row>
    <row r="2881" spans="1:16" x14ac:dyDescent="0.25">
      <c r="A2881" t="s">
        <v>6673</v>
      </c>
      <c r="B2881" t="s">
        <v>6674</v>
      </c>
      <c r="C2881" t="s">
        <v>29</v>
      </c>
      <c r="D2881" t="s">
        <v>30</v>
      </c>
      <c r="E2881" t="s">
        <v>44</v>
      </c>
      <c r="F2881" t="s">
        <v>32</v>
      </c>
      <c r="G2881" t="s">
        <v>22</v>
      </c>
      <c r="H2881" t="s">
        <v>46</v>
      </c>
      <c r="I2881" t="s">
        <v>57</v>
      </c>
      <c r="J2881" t="s">
        <v>6071</v>
      </c>
      <c r="L2881">
        <v>5.3</v>
      </c>
      <c r="O2881">
        <v>9</v>
      </c>
      <c r="P2881" t="s">
        <v>26</v>
      </c>
    </row>
    <row r="2882" spans="1:16" x14ac:dyDescent="0.25">
      <c r="A2882" t="s">
        <v>6675</v>
      </c>
      <c r="B2882" t="s">
        <v>6465</v>
      </c>
      <c r="C2882" t="s">
        <v>29</v>
      </c>
      <c r="D2882" t="s">
        <v>30</v>
      </c>
      <c r="E2882" t="s">
        <v>44</v>
      </c>
      <c r="F2882" t="s">
        <v>39</v>
      </c>
      <c r="G2882" t="s">
        <v>33</v>
      </c>
      <c r="H2882" t="s">
        <v>34</v>
      </c>
      <c r="I2882" t="s">
        <v>24</v>
      </c>
      <c r="J2882" t="s">
        <v>2723</v>
      </c>
      <c r="K2882" t="s">
        <v>5702</v>
      </c>
      <c r="L2882">
        <v>2.8</v>
      </c>
      <c r="M2882">
        <v>134000</v>
      </c>
      <c r="O2882">
        <v>13</v>
      </c>
      <c r="P2882" t="s">
        <v>53</v>
      </c>
    </row>
    <row r="2883" spans="1:16" x14ac:dyDescent="0.25">
      <c r="A2883" t="s">
        <v>6676</v>
      </c>
      <c r="B2883" t="s">
        <v>1215</v>
      </c>
      <c r="C2883" t="s">
        <v>29</v>
      </c>
      <c r="E2883" t="s">
        <v>20</v>
      </c>
      <c r="F2883" t="s">
        <v>39</v>
      </c>
      <c r="G2883" t="s">
        <v>80</v>
      </c>
      <c r="H2883" t="s">
        <v>62</v>
      </c>
      <c r="I2883" t="s">
        <v>24</v>
      </c>
      <c r="J2883" t="s">
        <v>2633</v>
      </c>
      <c r="L2883">
        <v>3.4</v>
      </c>
      <c r="M2883">
        <v>146000</v>
      </c>
      <c r="N2883">
        <v>2.1</v>
      </c>
      <c r="O2883">
        <v>7</v>
      </c>
      <c r="P2883" t="s">
        <v>26</v>
      </c>
    </row>
    <row r="2884" spans="1:16" x14ac:dyDescent="0.25">
      <c r="A2884" t="s">
        <v>6677</v>
      </c>
      <c r="B2884" t="s">
        <v>6678</v>
      </c>
      <c r="C2884" t="s">
        <v>18</v>
      </c>
      <c r="D2884" t="s">
        <v>30</v>
      </c>
      <c r="E2884" t="s">
        <v>20</v>
      </c>
      <c r="F2884" t="s">
        <v>21</v>
      </c>
      <c r="G2884" t="s">
        <v>22</v>
      </c>
      <c r="H2884" t="s">
        <v>23</v>
      </c>
      <c r="I2884" t="s">
        <v>35</v>
      </c>
      <c r="J2884" t="s">
        <v>4108</v>
      </c>
      <c r="K2884" t="s">
        <v>6419</v>
      </c>
      <c r="L2884">
        <v>3.8</v>
      </c>
      <c r="M2884">
        <v>601000</v>
      </c>
      <c r="N2884">
        <v>3.7</v>
      </c>
      <c r="O2884">
        <v>2</v>
      </c>
      <c r="P2884" t="s">
        <v>53</v>
      </c>
    </row>
    <row r="2885" spans="1:16" x14ac:dyDescent="0.25">
      <c r="A2885" t="s">
        <v>6679</v>
      </c>
      <c r="B2885" t="s">
        <v>2319</v>
      </c>
      <c r="C2885" t="s">
        <v>18</v>
      </c>
      <c r="D2885" t="s">
        <v>30</v>
      </c>
      <c r="E2885" t="s">
        <v>31</v>
      </c>
      <c r="F2885" t="s">
        <v>39</v>
      </c>
      <c r="G2885" t="s">
        <v>22</v>
      </c>
      <c r="H2885" t="s">
        <v>23</v>
      </c>
      <c r="I2885" t="s">
        <v>24</v>
      </c>
      <c r="J2885" t="s">
        <v>3474</v>
      </c>
      <c r="L2885">
        <v>3</v>
      </c>
      <c r="M2885">
        <v>158000</v>
      </c>
      <c r="N2885">
        <v>2.6</v>
      </c>
      <c r="O2885">
        <v>9</v>
      </c>
      <c r="P2885" t="s">
        <v>26</v>
      </c>
    </row>
    <row r="2886" spans="1:16" x14ac:dyDescent="0.25">
      <c r="A2886" t="s">
        <v>6680</v>
      </c>
      <c r="B2886" t="s">
        <v>6681</v>
      </c>
      <c r="C2886" t="s">
        <v>18</v>
      </c>
      <c r="D2886" t="s">
        <v>79</v>
      </c>
      <c r="E2886" t="s">
        <v>20</v>
      </c>
      <c r="F2886" t="s">
        <v>128</v>
      </c>
      <c r="G2886" t="s">
        <v>33</v>
      </c>
      <c r="H2886" t="s">
        <v>34</v>
      </c>
      <c r="I2886" t="s">
        <v>75</v>
      </c>
      <c r="J2886" t="s">
        <v>5965</v>
      </c>
      <c r="L2886">
        <v>6</v>
      </c>
      <c r="M2886">
        <v>552000</v>
      </c>
      <c r="N2886">
        <v>3.9</v>
      </c>
      <c r="O2886">
        <v>7</v>
      </c>
      <c r="P2886" t="s">
        <v>26</v>
      </c>
    </row>
    <row r="2887" spans="1:16" x14ac:dyDescent="0.25">
      <c r="A2887" t="s">
        <v>6682</v>
      </c>
      <c r="B2887" t="s">
        <v>5929</v>
      </c>
      <c r="C2887" t="s">
        <v>29</v>
      </c>
      <c r="D2887" t="s">
        <v>19</v>
      </c>
      <c r="E2887" t="s">
        <v>44</v>
      </c>
      <c r="F2887" t="s">
        <v>39</v>
      </c>
      <c r="G2887" t="s">
        <v>22</v>
      </c>
      <c r="I2887" t="s">
        <v>24</v>
      </c>
      <c r="J2887" t="s">
        <v>3688</v>
      </c>
      <c r="K2887" t="s">
        <v>6683</v>
      </c>
      <c r="L2887">
        <v>3.2</v>
      </c>
      <c r="M2887">
        <v>190000</v>
      </c>
      <c r="N2887">
        <v>3.6</v>
      </c>
      <c r="O2887">
        <v>10</v>
      </c>
      <c r="P2887" t="s">
        <v>53</v>
      </c>
    </row>
    <row r="2888" spans="1:16" x14ac:dyDescent="0.25">
      <c r="A2888" t="s">
        <v>6684</v>
      </c>
      <c r="B2888" t="s">
        <v>4907</v>
      </c>
      <c r="C2888" t="s">
        <v>18</v>
      </c>
      <c r="D2888" t="s">
        <v>50</v>
      </c>
      <c r="E2888" t="s">
        <v>20</v>
      </c>
      <c r="F2888" t="s">
        <v>32</v>
      </c>
      <c r="G2888" t="s">
        <v>80</v>
      </c>
      <c r="H2888" t="s">
        <v>46</v>
      </c>
      <c r="I2888" t="s">
        <v>35</v>
      </c>
      <c r="J2888" t="s">
        <v>3654</v>
      </c>
      <c r="L2888">
        <v>5.0999999999999996</v>
      </c>
      <c r="M2888">
        <v>221000</v>
      </c>
      <c r="N2888">
        <v>4.8</v>
      </c>
      <c r="O2888">
        <v>10</v>
      </c>
      <c r="P2888" t="s">
        <v>26</v>
      </c>
    </row>
    <row r="2889" spans="1:16" x14ac:dyDescent="0.25">
      <c r="A2889" t="s">
        <v>6685</v>
      </c>
      <c r="B2889" t="s">
        <v>6686</v>
      </c>
      <c r="C2889" t="s">
        <v>18</v>
      </c>
      <c r="D2889" t="s">
        <v>19</v>
      </c>
      <c r="E2889" t="s">
        <v>44</v>
      </c>
      <c r="F2889" t="s">
        <v>32</v>
      </c>
      <c r="G2889" t="s">
        <v>22</v>
      </c>
      <c r="I2889" t="s">
        <v>171</v>
      </c>
      <c r="J2889" t="s">
        <v>4347</v>
      </c>
      <c r="K2889" t="s">
        <v>5080</v>
      </c>
      <c r="L2889">
        <v>4.0999999999999996</v>
      </c>
      <c r="M2889">
        <v>358000</v>
      </c>
      <c r="N2889">
        <v>4.3</v>
      </c>
      <c r="O2889">
        <v>13</v>
      </c>
      <c r="P2889" t="s">
        <v>53</v>
      </c>
    </row>
    <row r="2890" spans="1:16" x14ac:dyDescent="0.25">
      <c r="A2890" t="s">
        <v>6687</v>
      </c>
      <c r="B2890" t="s">
        <v>4870</v>
      </c>
      <c r="C2890" t="s">
        <v>29</v>
      </c>
      <c r="D2890" t="s">
        <v>50</v>
      </c>
      <c r="E2890" t="s">
        <v>20</v>
      </c>
      <c r="F2890" t="s">
        <v>128</v>
      </c>
      <c r="G2890" t="s">
        <v>22</v>
      </c>
      <c r="H2890" t="s">
        <v>46</v>
      </c>
      <c r="I2890" t="s">
        <v>24</v>
      </c>
      <c r="J2890" t="s">
        <v>6169</v>
      </c>
      <c r="L2890">
        <v>4.7</v>
      </c>
      <c r="M2890">
        <v>552000</v>
      </c>
      <c r="N2890">
        <v>3.2</v>
      </c>
      <c r="O2890">
        <v>14</v>
      </c>
      <c r="P2890" t="s">
        <v>26</v>
      </c>
    </row>
    <row r="2891" spans="1:16" x14ac:dyDescent="0.25">
      <c r="A2891" t="s">
        <v>6688</v>
      </c>
      <c r="B2891" t="s">
        <v>4970</v>
      </c>
      <c r="C2891" t="s">
        <v>18</v>
      </c>
      <c r="D2891" t="s">
        <v>43</v>
      </c>
      <c r="E2891" t="s">
        <v>20</v>
      </c>
      <c r="F2891" t="s">
        <v>128</v>
      </c>
      <c r="G2891" t="s">
        <v>69</v>
      </c>
      <c r="H2891" t="s">
        <v>23</v>
      </c>
      <c r="I2891" t="s">
        <v>75</v>
      </c>
      <c r="J2891" t="s">
        <v>580</v>
      </c>
      <c r="K2891" t="s">
        <v>3905</v>
      </c>
      <c r="L2891">
        <v>3.8</v>
      </c>
      <c r="N2891">
        <v>2.6</v>
      </c>
      <c r="O2891">
        <v>11</v>
      </c>
      <c r="P2891" t="s">
        <v>114</v>
      </c>
    </row>
    <row r="2892" spans="1:16" x14ac:dyDescent="0.25">
      <c r="A2892" t="s">
        <v>6689</v>
      </c>
      <c r="B2892" t="s">
        <v>2009</v>
      </c>
      <c r="C2892" t="s">
        <v>18</v>
      </c>
      <c r="D2892" t="s">
        <v>43</v>
      </c>
      <c r="E2892" t="s">
        <v>20</v>
      </c>
      <c r="F2892" t="s">
        <v>128</v>
      </c>
      <c r="G2892" t="s">
        <v>22</v>
      </c>
      <c r="H2892" t="s">
        <v>23</v>
      </c>
      <c r="I2892" t="s">
        <v>24</v>
      </c>
      <c r="J2892" t="s">
        <v>4737</v>
      </c>
      <c r="L2892">
        <v>4.3</v>
      </c>
      <c r="M2892">
        <v>424000</v>
      </c>
      <c r="N2892">
        <v>2.1</v>
      </c>
      <c r="O2892">
        <v>22</v>
      </c>
      <c r="P2892" t="s">
        <v>26</v>
      </c>
    </row>
    <row r="2893" spans="1:16" x14ac:dyDescent="0.25">
      <c r="A2893" t="s">
        <v>6690</v>
      </c>
      <c r="B2893" t="s">
        <v>6691</v>
      </c>
      <c r="C2893" t="s">
        <v>18</v>
      </c>
      <c r="D2893" t="s">
        <v>79</v>
      </c>
      <c r="E2893" t="s">
        <v>20</v>
      </c>
      <c r="F2893" t="s">
        <v>32</v>
      </c>
      <c r="G2893" t="s">
        <v>22</v>
      </c>
      <c r="H2893" t="s">
        <v>23</v>
      </c>
      <c r="I2893" t="s">
        <v>24</v>
      </c>
      <c r="J2893" t="s">
        <v>6692</v>
      </c>
      <c r="L2893">
        <v>4.2</v>
      </c>
      <c r="M2893">
        <v>262000</v>
      </c>
      <c r="N2893">
        <v>4.5</v>
      </c>
      <c r="O2893">
        <v>0</v>
      </c>
      <c r="P2893" t="s">
        <v>26</v>
      </c>
    </row>
    <row r="2894" spans="1:16" x14ac:dyDescent="0.25">
      <c r="A2894" t="s">
        <v>6693</v>
      </c>
      <c r="B2894" t="s">
        <v>6694</v>
      </c>
      <c r="C2894" t="s">
        <v>29</v>
      </c>
      <c r="D2894" t="s">
        <v>79</v>
      </c>
      <c r="E2894" t="s">
        <v>31</v>
      </c>
      <c r="F2894" t="s">
        <v>128</v>
      </c>
      <c r="G2894" t="s">
        <v>80</v>
      </c>
      <c r="H2894" t="s">
        <v>23</v>
      </c>
      <c r="I2894" t="s">
        <v>24</v>
      </c>
      <c r="J2894" t="s">
        <v>2407</v>
      </c>
      <c r="L2894">
        <v>4.4000000000000004</v>
      </c>
      <c r="M2894">
        <v>416000</v>
      </c>
      <c r="O2894">
        <v>15</v>
      </c>
      <c r="P2894" t="s">
        <v>26</v>
      </c>
    </row>
    <row r="2895" spans="1:16" x14ac:dyDescent="0.25">
      <c r="A2895" t="s">
        <v>6695</v>
      </c>
      <c r="B2895" t="s">
        <v>6696</v>
      </c>
      <c r="C2895" t="s">
        <v>29</v>
      </c>
      <c r="D2895" t="s">
        <v>50</v>
      </c>
      <c r="E2895" t="s">
        <v>44</v>
      </c>
      <c r="F2895" t="s">
        <v>39</v>
      </c>
      <c r="G2895" t="s">
        <v>22</v>
      </c>
      <c r="H2895" t="s">
        <v>62</v>
      </c>
      <c r="I2895" t="s">
        <v>24</v>
      </c>
      <c r="J2895" t="s">
        <v>932</v>
      </c>
      <c r="L2895">
        <v>3.3</v>
      </c>
      <c r="M2895">
        <v>150000</v>
      </c>
      <c r="N2895">
        <v>2.1</v>
      </c>
      <c r="O2895">
        <v>10</v>
      </c>
      <c r="P2895" t="s">
        <v>26</v>
      </c>
    </row>
    <row r="2896" spans="1:16" x14ac:dyDescent="0.25">
      <c r="A2896" t="s">
        <v>6697</v>
      </c>
      <c r="B2896" t="s">
        <v>6698</v>
      </c>
      <c r="C2896" t="s">
        <v>18</v>
      </c>
      <c r="D2896" t="s">
        <v>79</v>
      </c>
      <c r="E2896" t="s">
        <v>44</v>
      </c>
      <c r="F2896" t="s">
        <v>39</v>
      </c>
      <c r="G2896" t="s">
        <v>33</v>
      </c>
      <c r="H2896" t="s">
        <v>23</v>
      </c>
      <c r="I2896" t="s">
        <v>24</v>
      </c>
      <c r="J2896" t="s">
        <v>2261</v>
      </c>
      <c r="L2896">
        <v>5.7</v>
      </c>
      <c r="M2896">
        <v>162000</v>
      </c>
      <c r="N2896">
        <v>4.3</v>
      </c>
      <c r="O2896">
        <v>2</v>
      </c>
      <c r="P2896" t="s">
        <v>26</v>
      </c>
    </row>
    <row r="2897" spans="1:16" x14ac:dyDescent="0.25">
      <c r="A2897" t="s">
        <v>6699</v>
      </c>
      <c r="B2897" t="s">
        <v>5526</v>
      </c>
      <c r="C2897" t="s">
        <v>18</v>
      </c>
      <c r="D2897" t="s">
        <v>30</v>
      </c>
      <c r="E2897" t="s">
        <v>20</v>
      </c>
      <c r="F2897" t="s">
        <v>32</v>
      </c>
      <c r="G2897" t="s">
        <v>33</v>
      </c>
      <c r="H2897" t="s">
        <v>34</v>
      </c>
      <c r="I2897" t="s">
        <v>75</v>
      </c>
      <c r="J2897" t="s">
        <v>6700</v>
      </c>
      <c r="L2897">
        <v>3.8</v>
      </c>
      <c r="N2897">
        <v>2.7</v>
      </c>
      <c r="O2897">
        <v>17</v>
      </c>
      <c r="P2897" t="s">
        <v>26</v>
      </c>
    </row>
    <row r="2898" spans="1:16" x14ac:dyDescent="0.25">
      <c r="A2898" t="s">
        <v>6701</v>
      </c>
      <c r="B2898" t="s">
        <v>5146</v>
      </c>
      <c r="C2898" t="s">
        <v>18</v>
      </c>
      <c r="D2898" t="s">
        <v>50</v>
      </c>
      <c r="E2898" t="s">
        <v>44</v>
      </c>
      <c r="F2898" t="s">
        <v>45</v>
      </c>
      <c r="G2898" t="s">
        <v>80</v>
      </c>
      <c r="H2898" t="s">
        <v>46</v>
      </c>
      <c r="I2898" t="s">
        <v>57</v>
      </c>
      <c r="J2898" t="s">
        <v>3031</v>
      </c>
      <c r="L2898">
        <v>2.2000000000000002</v>
      </c>
      <c r="M2898">
        <v>1277000</v>
      </c>
      <c r="N2898">
        <v>4.5999999999999996</v>
      </c>
      <c r="O2898">
        <v>34</v>
      </c>
      <c r="P2898" t="s">
        <v>26</v>
      </c>
    </row>
    <row r="2899" spans="1:16" x14ac:dyDescent="0.25">
      <c r="A2899" t="s">
        <v>6702</v>
      </c>
      <c r="B2899" t="s">
        <v>3598</v>
      </c>
      <c r="C2899" t="s">
        <v>18</v>
      </c>
      <c r="D2899" t="s">
        <v>50</v>
      </c>
      <c r="E2899" t="s">
        <v>44</v>
      </c>
      <c r="F2899" t="s">
        <v>32</v>
      </c>
      <c r="G2899" t="s">
        <v>22</v>
      </c>
      <c r="H2899" t="s">
        <v>23</v>
      </c>
      <c r="I2899" t="s">
        <v>35</v>
      </c>
      <c r="J2899" t="s">
        <v>6703</v>
      </c>
      <c r="L2899">
        <v>3.3</v>
      </c>
      <c r="M2899">
        <v>198000</v>
      </c>
      <c r="N2899">
        <v>2.7</v>
      </c>
      <c r="O2899">
        <v>8</v>
      </c>
      <c r="P2899" t="s">
        <v>26</v>
      </c>
    </row>
    <row r="2900" spans="1:16" x14ac:dyDescent="0.25">
      <c r="A2900" t="s">
        <v>6704</v>
      </c>
      <c r="B2900" t="s">
        <v>5567</v>
      </c>
      <c r="C2900" t="s">
        <v>18</v>
      </c>
      <c r="D2900" t="s">
        <v>19</v>
      </c>
      <c r="E2900" t="s">
        <v>31</v>
      </c>
      <c r="F2900" t="s">
        <v>128</v>
      </c>
      <c r="G2900" t="s">
        <v>69</v>
      </c>
      <c r="I2900" t="s">
        <v>75</v>
      </c>
      <c r="J2900" t="s">
        <v>6705</v>
      </c>
      <c r="L2900">
        <v>5.2</v>
      </c>
      <c r="M2900">
        <v>500000</v>
      </c>
      <c r="N2900">
        <v>4.9000000000000004</v>
      </c>
      <c r="O2900">
        <v>14</v>
      </c>
      <c r="P2900" t="s">
        <v>26</v>
      </c>
    </row>
    <row r="2901" spans="1:16" x14ac:dyDescent="0.25">
      <c r="A2901" t="s">
        <v>6706</v>
      </c>
      <c r="B2901" t="s">
        <v>6347</v>
      </c>
      <c r="C2901" t="s">
        <v>18</v>
      </c>
      <c r="D2901" t="s">
        <v>43</v>
      </c>
      <c r="E2901" t="s">
        <v>31</v>
      </c>
      <c r="F2901" t="s">
        <v>128</v>
      </c>
      <c r="G2901" t="s">
        <v>33</v>
      </c>
      <c r="H2901" t="s">
        <v>62</v>
      </c>
      <c r="I2901" t="s">
        <v>24</v>
      </c>
      <c r="J2901" t="s">
        <v>2510</v>
      </c>
      <c r="K2901" t="s">
        <v>6707</v>
      </c>
      <c r="L2901">
        <v>2.8</v>
      </c>
      <c r="M2901">
        <v>507000</v>
      </c>
      <c r="N2901">
        <v>3</v>
      </c>
      <c r="O2901">
        <v>12</v>
      </c>
      <c r="P2901" t="s">
        <v>53</v>
      </c>
    </row>
    <row r="2902" spans="1:16" x14ac:dyDescent="0.25">
      <c r="A2902" t="s">
        <v>6708</v>
      </c>
      <c r="B2902" t="s">
        <v>2899</v>
      </c>
      <c r="C2902" t="s">
        <v>18</v>
      </c>
      <c r="E2902" t="s">
        <v>44</v>
      </c>
      <c r="F2902" t="s">
        <v>39</v>
      </c>
      <c r="G2902" t="s">
        <v>22</v>
      </c>
      <c r="H2902" t="s">
        <v>23</v>
      </c>
      <c r="I2902" t="s">
        <v>171</v>
      </c>
      <c r="J2902" t="s">
        <v>6692</v>
      </c>
      <c r="K2902" t="s">
        <v>2639</v>
      </c>
      <c r="L2902">
        <v>4.2</v>
      </c>
      <c r="M2902">
        <v>161000</v>
      </c>
      <c r="N2902">
        <v>3.6</v>
      </c>
      <c r="O2902">
        <v>0</v>
      </c>
      <c r="P2902" t="s">
        <v>53</v>
      </c>
    </row>
    <row r="2903" spans="1:16" x14ac:dyDescent="0.25">
      <c r="A2903" t="s">
        <v>6709</v>
      </c>
      <c r="B2903" t="s">
        <v>6710</v>
      </c>
      <c r="C2903" t="s">
        <v>29</v>
      </c>
      <c r="D2903" t="s">
        <v>79</v>
      </c>
      <c r="E2903" t="s">
        <v>31</v>
      </c>
      <c r="F2903" t="s">
        <v>128</v>
      </c>
      <c r="G2903" t="s">
        <v>69</v>
      </c>
      <c r="H2903" t="s">
        <v>34</v>
      </c>
      <c r="I2903" t="s">
        <v>35</v>
      </c>
      <c r="J2903" t="s">
        <v>1059</v>
      </c>
      <c r="K2903" t="s">
        <v>4812</v>
      </c>
      <c r="L2903">
        <v>2.5</v>
      </c>
      <c r="M2903">
        <v>500000</v>
      </c>
      <c r="N2903">
        <v>4.8</v>
      </c>
      <c r="O2903">
        <v>15</v>
      </c>
      <c r="P2903" t="s">
        <v>72</v>
      </c>
    </row>
    <row r="2904" spans="1:16" x14ac:dyDescent="0.25">
      <c r="A2904" t="s">
        <v>6711</v>
      </c>
      <c r="B2904" t="s">
        <v>6712</v>
      </c>
      <c r="C2904" t="s">
        <v>18</v>
      </c>
      <c r="D2904" t="s">
        <v>19</v>
      </c>
      <c r="E2904" t="s">
        <v>20</v>
      </c>
      <c r="F2904" t="s">
        <v>21</v>
      </c>
      <c r="G2904" t="s">
        <v>22</v>
      </c>
      <c r="H2904" t="s">
        <v>23</v>
      </c>
      <c r="I2904" t="s">
        <v>57</v>
      </c>
      <c r="J2904" t="s">
        <v>6408</v>
      </c>
      <c r="L2904">
        <v>5.5</v>
      </c>
      <c r="M2904">
        <v>1045000</v>
      </c>
      <c r="N2904">
        <v>3.8</v>
      </c>
      <c r="O2904">
        <v>1</v>
      </c>
      <c r="P2904" t="s">
        <v>26</v>
      </c>
    </row>
    <row r="2905" spans="1:16" x14ac:dyDescent="0.25">
      <c r="A2905" t="s">
        <v>6713</v>
      </c>
      <c r="B2905" t="s">
        <v>4118</v>
      </c>
      <c r="C2905" t="s">
        <v>18</v>
      </c>
      <c r="D2905" t="s">
        <v>19</v>
      </c>
      <c r="E2905" t="s">
        <v>20</v>
      </c>
      <c r="F2905" t="s">
        <v>32</v>
      </c>
      <c r="G2905" t="s">
        <v>22</v>
      </c>
      <c r="I2905" t="s">
        <v>24</v>
      </c>
      <c r="J2905" t="s">
        <v>6714</v>
      </c>
      <c r="L2905">
        <v>1.9</v>
      </c>
      <c r="M2905">
        <v>253000</v>
      </c>
      <c r="N2905">
        <v>4.7</v>
      </c>
      <c r="O2905">
        <v>7</v>
      </c>
      <c r="P2905" t="s">
        <v>26</v>
      </c>
    </row>
    <row r="2906" spans="1:16" x14ac:dyDescent="0.25">
      <c r="A2906" t="s">
        <v>6715</v>
      </c>
      <c r="B2906" t="s">
        <v>6716</v>
      </c>
      <c r="C2906" t="s">
        <v>18</v>
      </c>
      <c r="D2906" t="s">
        <v>79</v>
      </c>
      <c r="E2906" t="s">
        <v>20</v>
      </c>
      <c r="F2906" t="s">
        <v>128</v>
      </c>
      <c r="G2906" t="s">
        <v>22</v>
      </c>
      <c r="H2906" t="s">
        <v>46</v>
      </c>
      <c r="I2906" t="s">
        <v>24</v>
      </c>
      <c r="J2906" t="s">
        <v>2695</v>
      </c>
      <c r="K2906" t="s">
        <v>2499</v>
      </c>
      <c r="L2906">
        <v>5.6</v>
      </c>
      <c r="M2906">
        <v>374000</v>
      </c>
      <c r="N2906">
        <v>2.2999999999999998</v>
      </c>
      <c r="O2906">
        <v>0</v>
      </c>
      <c r="P2906" t="s">
        <v>72</v>
      </c>
    </row>
    <row r="2907" spans="1:16" x14ac:dyDescent="0.25">
      <c r="A2907" t="s">
        <v>6717</v>
      </c>
      <c r="B2907" t="s">
        <v>6718</v>
      </c>
      <c r="C2907" t="s">
        <v>18</v>
      </c>
      <c r="D2907" t="s">
        <v>79</v>
      </c>
      <c r="E2907" t="s">
        <v>20</v>
      </c>
      <c r="F2907" t="s">
        <v>128</v>
      </c>
      <c r="G2907" t="s">
        <v>33</v>
      </c>
      <c r="H2907" t="s">
        <v>23</v>
      </c>
      <c r="I2907" t="s">
        <v>75</v>
      </c>
      <c r="J2907" t="s">
        <v>484</v>
      </c>
      <c r="K2907" t="s">
        <v>6719</v>
      </c>
      <c r="L2907">
        <v>4.2</v>
      </c>
      <c r="M2907">
        <v>426000</v>
      </c>
      <c r="N2907">
        <v>5</v>
      </c>
      <c r="O2907">
        <v>6</v>
      </c>
      <c r="P2907" t="s">
        <v>114</v>
      </c>
    </row>
    <row r="2908" spans="1:16" x14ac:dyDescent="0.25">
      <c r="A2908" t="s">
        <v>6720</v>
      </c>
      <c r="B2908" t="s">
        <v>2517</v>
      </c>
      <c r="C2908" t="s">
        <v>18</v>
      </c>
      <c r="D2908" t="s">
        <v>30</v>
      </c>
      <c r="E2908" t="s">
        <v>44</v>
      </c>
      <c r="F2908" t="s">
        <v>32</v>
      </c>
      <c r="G2908" t="s">
        <v>22</v>
      </c>
      <c r="H2908" t="s">
        <v>34</v>
      </c>
      <c r="I2908" t="s">
        <v>24</v>
      </c>
      <c r="J2908" t="s">
        <v>98</v>
      </c>
      <c r="K2908" t="s">
        <v>1439</v>
      </c>
      <c r="L2908">
        <v>6.2</v>
      </c>
      <c r="M2908">
        <v>322000</v>
      </c>
      <c r="N2908">
        <v>2.1</v>
      </c>
      <c r="O2908">
        <v>12</v>
      </c>
      <c r="P2908" t="s">
        <v>53</v>
      </c>
    </row>
    <row r="2909" spans="1:16" x14ac:dyDescent="0.25">
      <c r="A2909" t="s">
        <v>6721</v>
      </c>
      <c r="B2909" t="s">
        <v>3462</v>
      </c>
      <c r="C2909" t="s">
        <v>29</v>
      </c>
      <c r="D2909" t="s">
        <v>43</v>
      </c>
      <c r="E2909" t="s">
        <v>20</v>
      </c>
      <c r="F2909" t="s">
        <v>32</v>
      </c>
      <c r="G2909" t="s">
        <v>22</v>
      </c>
      <c r="H2909" t="s">
        <v>23</v>
      </c>
      <c r="I2909" t="s">
        <v>75</v>
      </c>
      <c r="J2909" t="s">
        <v>3664</v>
      </c>
      <c r="K2909" t="s">
        <v>1046</v>
      </c>
      <c r="L2909">
        <v>3.6</v>
      </c>
      <c r="M2909">
        <v>252000</v>
      </c>
      <c r="N2909">
        <v>2.6</v>
      </c>
      <c r="O2909">
        <v>8</v>
      </c>
      <c r="P2909" t="s">
        <v>114</v>
      </c>
    </row>
    <row r="2910" spans="1:16" x14ac:dyDescent="0.25">
      <c r="A2910" t="s">
        <v>6722</v>
      </c>
      <c r="B2910" t="s">
        <v>5462</v>
      </c>
      <c r="C2910" t="s">
        <v>18</v>
      </c>
      <c r="D2910" t="s">
        <v>19</v>
      </c>
      <c r="E2910" t="s">
        <v>31</v>
      </c>
      <c r="F2910" t="s">
        <v>39</v>
      </c>
      <c r="G2910" t="s">
        <v>80</v>
      </c>
      <c r="H2910" t="s">
        <v>23</v>
      </c>
      <c r="I2910" t="s">
        <v>35</v>
      </c>
      <c r="J2910" t="s">
        <v>3622</v>
      </c>
      <c r="K2910" t="s">
        <v>3568</v>
      </c>
      <c r="L2910">
        <v>4</v>
      </c>
      <c r="M2910">
        <v>198000</v>
      </c>
      <c r="N2910">
        <v>4.0999999999999996</v>
      </c>
      <c r="O2910">
        <v>5</v>
      </c>
      <c r="P2910" t="s">
        <v>72</v>
      </c>
    </row>
    <row r="2911" spans="1:16" x14ac:dyDescent="0.25">
      <c r="A2911" t="s">
        <v>6723</v>
      </c>
      <c r="B2911" t="s">
        <v>1242</v>
      </c>
      <c r="C2911" t="s">
        <v>18</v>
      </c>
      <c r="D2911" t="s">
        <v>50</v>
      </c>
      <c r="E2911" t="s">
        <v>20</v>
      </c>
      <c r="F2911" t="s">
        <v>32</v>
      </c>
      <c r="G2911" t="s">
        <v>22</v>
      </c>
      <c r="H2911" t="s">
        <v>62</v>
      </c>
      <c r="I2911" t="s">
        <v>57</v>
      </c>
      <c r="J2911" t="s">
        <v>6724</v>
      </c>
      <c r="K2911" t="s">
        <v>6461</v>
      </c>
      <c r="L2911">
        <v>2</v>
      </c>
      <c r="M2911">
        <v>185000</v>
      </c>
      <c r="N2911">
        <v>4.2</v>
      </c>
      <c r="O2911">
        <v>11</v>
      </c>
      <c r="P2911" t="s">
        <v>53</v>
      </c>
    </row>
    <row r="2912" spans="1:16" x14ac:dyDescent="0.25">
      <c r="A2912" t="s">
        <v>6725</v>
      </c>
      <c r="B2912" t="s">
        <v>1242</v>
      </c>
      <c r="C2912" t="s">
        <v>18</v>
      </c>
      <c r="D2912" t="s">
        <v>50</v>
      </c>
      <c r="E2912" t="s">
        <v>20</v>
      </c>
      <c r="F2912" t="s">
        <v>32</v>
      </c>
      <c r="G2912" t="s">
        <v>33</v>
      </c>
      <c r="H2912" t="s">
        <v>46</v>
      </c>
      <c r="I2912" t="s">
        <v>35</v>
      </c>
      <c r="J2912" t="s">
        <v>5957</v>
      </c>
      <c r="K2912" t="s">
        <v>2518</v>
      </c>
      <c r="L2912">
        <v>4.5</v>
      </c>
      <c r="M2912">
        <v>268000</v>
      </c>
      <c r="N2912">
        <v>2</v>
      </c>
      <c r="O2912">
        <v>16</v>
      </c>
      <c r="P2912" t="s">
        <v>72</v>
      </c>
    </row>
    <row r="2913" spans="1:16" x14ac:dyDescent="0.25">
      <c r="A2913" t="s">
        <v>6726</v>
      </c>
      <c r="B2913" t="s">
        <v>1355</v>
      </c>
      <c r="C2913" t="s">
        <v>29</v>
      </c>
      <c r="D2913" t="s">
        <v>19</v>
      </c>
      <c r="E2913" t="s">
        <v>20</v>
      </c>
      <c r="F2913" t="s">
        <v>32</v>
      </c>
      <c r="G2913" t="s">
        <v>22</v>
      </c>
      <c r="H2913" t="s">
        <v>34</v>
      </c>
      <c r="I2913" t="s">
        <v>24</v>
      </c>
      <c r="J2913" t="s">
        <v>1303</v>
      </c>
      <c r="L2913">
        <v>5.7</v>
      </c>
      <c r="M2913">
        <v>293000</v>
      </c>
      <c r="O2913">
        <v>3</v>
      </c>
      <c r="P2913" t="s">
        <v>26</v>
      </c>
    </row>
    <row r="2914" spans="1:16" x14ac:dyDescent="0.25">
      <c r="A2914" t="s">
        <v>6727</v>
      </c>
      <c r="B2914" t="s">
        <v>6572</v>
      </c>
      <c r="C2914" t="s">
        <v>29</v>
      </c>
      <c r="D2914" t="s">
        <v>30</v>
      </c>
      <c r="E2914" t="s">
        <v>20</v>
      </c>
      <c r="F2914" t="s">
        <v>39</v>
      </c>
      <c r="G2914" t="s">
        <v>22</v>
      </c>
      <c r="H2914" t="s">
        <v>34</v>
      </c>
      <c r="I2914" t="s">
        <v>57</v>
      </c>
      <c r="J2914" t="s">
        <v>6728</v>
      </c>
      <c r="L2914">
        <v>6.2</v>
      </c>
      <c r="M2914">
        <v>134000</v>
      </c>
      <c r="N2914">
        <v>3</v>
      </c>
      <c r="O2914">
        <v>9</v>
      </c>
      <c r="P2914" t="s">
        <v>26</v>
      </c>
    </row>
    <row r="2915" spans="1:16" x14ac:dyDescent="0.25">
      <c r="A2915" t="s">
        <v>6729</v>
      </c>
      <c r="B2915" t="s">
        <v>2630</v>
      </c>
      <c r="C2915" t="s">
        <v>29</v>
      </c>
      <c r="D2915" t="s">
        <v>19</v>
      </c>
      <c r="E2915" t="s">
        <v>44</v>
      </c>
      <c r="F2915" t="s">
        <v>39</v>
      </c>
      <c r="G2915" t="s">
        <v>80</v>
      </c>
      <c r="H2915" t="s">
        <v>46</v>
      </c>
      <c r="I2915" t="s">
        <v>35</v>
      </c>
      <c r="J2915" t="s">
        <v>6730</v>
      </c>
      <c r="K2915" t="s">
        <v>6086</v>
      </c>
      <c r="L2915">
        <v>5.3</v>
      </c>
      <c r="M2915">
        <v>144000</v>
      </c>
      <c r="N2915">
        <v>4.3</v>
      </c>
      <c r="O2915">
        <v>13</v>
      </c>
      <c r="P2915" t="s">
        <v>72</v>
      </c>
    </row>
    <row r="2916" spans="1:16" x14ac:dyDescent="0.25">
      <c r="A2916" t="s">
        <v>6731</v>
      </c>
      <c r="B2916" t="s">
        <v>6670</v>
      </c>
      <c r="C2916" t="s">
        <v>18</v>
      </c>
      <c r="D2916" t="s">
        <v>4697</v>
      </c>
      <c r="E2916" t="s">
        <v>20</v>
      </c>
      <c r="F2916" t="s">
        <v>39</v>
      </c>
      <c r="G2916" t="s">
        <v>22</v>
      </c>
      <c r="H2916" t="s">
        <v>46</v>
      </c>
      <c r="I2916" t="s">
        <v>57</v>
      </c>
      <c r="J2916" t="s">
        <v>4208</v>
      </c>
      <c r="K2916" t="s">
        <v>6732</v>
      </c>
      <c r="L2916">
        <v>2.9</v>
      </c>
      <c r="M2916">
        <v>149000</v>
      </c>
      <c r="N2916">
        <v>2.9</v>
      </c>
      <c r="P2916" t="s">
        <v>53</v>
      </c>
    </row>
    <row r="2917" spans="1:16" x14ac:dyDescent="0.25">
      <c r="A2917" t="s">
        <v>6733</v>
      </c>
      <c r="B2917" t="s">
        <v>6734</v>
      </c>
      <c r="C2917" t="s">
        <v>29</v>
      </c>
      <c r="D2917" t="s">
        <v>50</v>
      </c>
      <c r="E2917" t="s">
        <v>20</v>
      </c>
      <c r="F2917" t="s">
        <v>39</v>
      </c>
      <c r="G2917" t="s">
        <v>69</v>
      </c>
      <c r="H2917" t="s">
        <v>23</v>
      </c>
      <c r="I2917" t="s">
        <v>57</v>
      </c>
      <c r="J2917" t="s">
        <v>5496</v>
      </c>
      <c r="L2917">
        <v>4.9000000000000004</v>
      </c>
      <c r="M2917">
        <v>178000</v>
      </c>
      <c r="N2917">
        <v>4.9000000000000004</v>
      </c>
      <c r="O2917">
        <v>14</v>
      </c>
      <c r="P2917" t="s">
        <v>26</v>
      </c>
    </row>
    <row r="2918" spans="1:16" x14ac:dyDescent="0.25">
      <c r="A2918" t="s">
        <v>6735</v>
      </c>
      <c r="B2918" t="s">
        <v>6736</v>
      </c>
      <c r="C2918" t="s">
        <v>29</v>
      </c>
      <c r="D2918" t="s">
        <v>79</v>
      </c>
      <c r="E2918" t="s">
        <v>20</v>
      </c>
      <c r="F2918" t="s">
        <v>39</v>
      </c>
      <c r="G2918" t="s">
        <v>80</v>
      </c>
      <c r="H2918" t="s">
        <v>23</v>
      </c>
      <c r="I2918" t="s">
        <v>35</v>
      </c>
      <c r="J2918" t="s">
        <v>3305</v>
      </c>
      <c r="L2918">
        <v>5</v>
      </c>
      <c r="M2918">
        <v>108000</v>
      </c>
      <c r="N2918">
        <v>4.8</v>
      </c>
      <c r="O2918">
        <v>5</v>
      </c>
      <c r="P2918" t="s">
        <v>26</v>
      </c>
    </row>
    <row r="2919" spans="1:16" x14ac:dyDescent="0.25">
      <c r="A2919" t="s">
        <v>6737</v>
      </c>
      <c r="B2919" t="s">
        <v>6738</v>
      </c>
      <c r="C2919" t="s">
        <v>29</v>
      </c>
      <c r="D2919" t="s">
        <v>79</v>
      </c>
      <c r="E2919" t="s">
        <v>20</v>
      </c>
      <c r="F2919" t="s">
        <v>32</v>
      </c>
      <c r="G2919" t="s">
        <v>69</v>
      </c>
      <c r="H2919" t="s">
        <v>34</v>
      </c>
      <c r="I2919" t="s">
        <v>57</v>
      </c>
      <c r="J2919" t="s">
        <v>6739</v>
      </c>
      <c r="L2919">
        <v>1.9</v>
      </c>
      <c r="M2919">
        <v>280000</v>
      </c>
      <c r="N2919">
        <v>3.1</v>
      </c>
      <c r="O2919">
        <v>10</v>
      </c>
      <c r="P2919" t="s">
        <v>26</v>
      </c>
    </row>
    <row r="2920" spans="1:16" x14ac:dyDescent="0.25">
      <c r="A2920" t="s">
        <v>6740</v>
      </c>
      <c r="B2920" t="s">
        <v>6741</v>
      </c>
      <c r="C2920" t="s">
        <v>29</v>
      </c>
      <c r="D2920" t="s">
        <v>50</v>
      </c>
      <c r="E2920" t="s">
        <v>20</v>
      </c>
      <c r="F2920" t="s">
        <v>32</v>
      </c>
      <c r="G2920" t="s">
        <v>33</v>
      </c>
      <c r="H2920" t="s">
        <v>34</v>
      </c>
      <c r="I2920" t="s">
        <v>57</v>
      </c>
      <c r="J2920" t="s">
        <v>5764</v>
      </c>
      <c r="L2920">
        <v>4.9000000000000004</v>
      </c>
      <c r="M2920">
        <v>233000</v>
      </c>
      <c r="N2920">
        <v>4.5</v>
      </c>
      <c r="O2920">
        <v>13</v>
      </c>
      <c r="P2920" t="s">
        <v>26</v>
      </c>
    </row>
    <row r="2921" spans="1:16" x14ac:dyDescent="0.25">
      <c r="A2921" t="s">
        <v>6742</v>
      </c>
      <c r="B2921" t="s">
        <v>6743</v>
      </c>
      <c r="C2921" t="s">
        <v>29</v>
      </c>
      <c r="D2921" t="s">
        <v>19</v>
      </c>
      <c r="E2921" t="s">
        <v>20</v>
      </c>
      <c r="F2921" t="s">
        <v>39</v>
      </c>
      <c r="G2921" t="s">
        <v>22</v>
      </c>
      <c r="H2921" t="s">
        <v>23</v>
      </c>
      <c r="I2921" t="s">
        <v>24</v>
      </c>
      <c r="J2921" t="s">
        <v>5824</v>
      </c>
      <c r="L2921">
        <v>2</v>
      </c>
      <c r="M2921">
        <v>192000</v>
      </c>
      <c r="N2921">
        <v>3.6</v>
      </c>
      <c r="P2921" t="s">
        <v>26</v>
      </c>
    </row>
    <row r="2922" spans="1:16" x14ac:dyDescent="0.25">
      <c r="A2922" t="s">
        <v>6744</v>
      </c>
      <c r="B2922" t="s">
        <v>6745</v>
      </c>
      <c r="C2922" t="s">
        <v>29</v>
      </c>
      <c r="D2922" t="s">
        <v>79</v>
      </c>
      <c r="E2922" t="s">
        <v>20</v>
      </c>
      <c r="F2922" t="s">
        <v>32</v>
      </c>
      <c r="G2922" t="s">
        <v>22</v>
      </c>
      <c r="H2922" t="s">
        <v>46</v>
      </c>
      <c r="I2922" t="s">
        <v>57</v>
      </c>
      <c r="J2922" t="s">
        <v>6746</v>
      </c>
      <c r="K2922" t="s">
        <v>5924</v>
      </c>
      <c r="L2922">
        <v>5.7</v>
      </c>
      <c r="M2922">
        <v>213000</v>
      </c>
      <c r="N2922">
        <v>2.2999999999999998</v>
      </c>
      <c r="O2922">
        <v>0</v>
      </c>
      <c r="P2922" t="s">
        <v>72</v>
      </c>
    </row>
    <row r="2923" spans="1:16" x14ac:dyDescent="0.25">
      <c r="A2923" t="s">
        <v>6747</v>
      </c>
      <c r="B2923" t="s">
        <v>6748</v>
      </c>
      <c r="C2923" t="s">
        <v>29</v>
      </c>
      <c r="D2923" t="s">
        <v>79</v>
      </c>
      <c r="E2923" t="s">
        <v>31</v>
      </c>
      <c r="F2923" t="s">
        <v>21</v>
      </c>
      <c r="G2923" t="s">
        <v>80</v>
      </c>
      <c r="H2923" t="s">
        <v>46</v>
      </c>
      <c r="J2923" t="s">
        <v>76</v>
      </c>
      <c r="L2923">
        <v>1.3</v>
      </c>
      <c r="M2923">
        <v>607000</v>
      </c>
      <c r="N2923">
        <v>4</v>
      </c>
      <c r="O2923">
        <v>39</v>
      </c>
      <c r="P2923" t="s">
        <v>26</v>
      </c>
    </row>
    <row r="2924" spans="1:16" x14ac:dyDescent="0.25">
      <c r="A2924" t="s">
        <v>6749</v>
      </c>
      <c r="B2924" t="s">
        <v>6750</v>
      </c>
      <c r="C2924" t="s">
        <v>29</v>
      </c>
      <c r="D2924" t="s">
        <v>79</v>
      </c>
      <c r="E2924" t="s">
        <v>20</v>
      </c>
      <c r="F2924" t="s">
        <v>128</v>
      </c>
      <c r="G2924" t="s">
        <v>80</v>
      </c>
      <c r="H2924" t="s">
        <v>23</v>
      </c>
      <c r="I2924" t="s">
        <v>57</v>
      </c>
      <c r="J2924" t="s">
        <v>2490</v>
      </c>
      <c r="L2924">
        <v>6</v>
      </c>
      <c r="M2924">
        <v>393000</v>
      </c>
      <c r="N2924">
        <v>3.9</v>
      </c>
      <c r="O2924">
        <v>5</v>
      </c>
      <c r="P2924" t="s">
        <v>26</v>
      </c>
    </row>
    <row r="2925" spans="1:16" x14ac:dyDescent="0.25">
      <c r="A2925" t="s">
        <v>6751</v>
      </c>
      <c r="B2925" t="s">
        <v>5968</v>
      </c>
      <c r="C2925" t="s">
        <v>18</v>
      </c>
      <c r="D2925" t="s">
        <v>30</v>
      </c>
      <c r="E2925" t="s">
        <v>31</v>
      </c>
      <c r="F2925" t="s">
        <v>39</v>
      </c>
      <c r="G2925" t="s">
        <v>33</v>
      </c>
      <c r="H2925" t="s">
        <v>34</v>
      </c>
      <c r="I2925" t="s">
        <v>57</v>
      </c>
      <c r="J2925" t="s">
        <v>815</v>
      </c>
      <c r="K2925" t="s">
        <v>3393</v>
      </c>
      <c r="L2925">
        <v>1.5</v>
      </c>
      <c r="M2925">
        <v>90000</v>
      </c>
      <c r="O2925">
        <v>10</v>
      </c>
      <c r="P2925" t="s">
        <v>53</v>
      </c>
    </row>
    <row r="2926" spans="1:16" x14ac:dyDescent="0.25">
      <c r="A2926" t="s">
        <v>6752</v>
      </c>
      <c r="B2926" t="s">
        <v>2378</v>
      </c>
      <c r="C2926" t="s">
        <v>29</v>
      </c>
      <c r="D2926" t="s">
        <v>50</v>
      </c>
      <c r="E2926" t="s">
        <v>20</v>
      </c>
      <c r="F2926" t="s">
        <v>39</v>
      </c>
      <c r="G2926" t="s">
        <v>33</v>
      </c>
      <c r="I2926" t="s">
        <v>24</v>
      </c>
      <c r="J2926" t="s">
        <v>4845</v>
      </c>
      <c r="K2926" t="s">
        <v>6753</v>
      </c>
      <c r="L2926">
        <v>4.0999999999999996</v>
      </c>
      <c r="M2926">
        <v>123000</v>
      </c>
      <c r="N2926">
        <v>4.5</v>
      </c>
      <c r="O2926">
        <v>13</v>
      </c>
      <c r="P2926" t="s">
        <v>72</v>
      </c>
    </row>
    <row r="2927" spans="1:16" x14ac:dyDescent="0.25">
      <c r="A2927" t="s">
        <v>6754</v>
      </c>
      <c r="B2927" t="s">
        <v>6755</v>
      </c>
      <c r="C2927" t="s">
        <v>29</v>
      </c>
      <c r="D2927" t="s">
        <v>50</v>
      </c>
      <c r="E2927" t="s">
        <v>20</v>
      </c>
      <c r="F2927" t="s">
        <v>39</v>
      </c>
      <c r="G2927" t="s">
        <v>22</v>
      </c>
      <c r="I2927" t="s">
        <v>57</v>
      </c>
      <c r="J2927" t="s">
        <v>3969</v>
      </c>
      <c r="L2927">
        <v>2.7</v>
      </c>
      <c r="N2927">
        <v>2.4</v>
      </c>
      <c r="O2927">
        <v>8</v>
      </c>
      <c r="P2927" t="s">
        <v>26</v>
      </c>
    </row>
    <row r="2928" spans="1:16" x14ac:dyDescent="0.25">
      <c r="A2928" t="s">
        <v>6756</v>
      </c>
      <c r="B2928" t="s">
        <v>6757</v>
      </c>
      <c r="C2928" t="s">
        <v>29</v>
      </c>
      <c r="D2928" t="s">
        <v>19</v>
      </c>
      <c r="E2928" t="s">
        <v>31</v>
      </c>
      <c r="F2928" t="s">
        <v>39</v>
      </c>
      <c r="G2928" t="s">
        <v>80</v>
      </c>
      <c r="H2928" t="s">
        <v>34</v>
      </c>
      <c r="I2928" t="s">
        <v>24</v>
      </c>
      <c r="J2928" t="s">
        <v>6758</v>
      </c>
      <c r="K2928" t="s">
        <v>1464</v>
      </c>
      <c r="L2928">
        <v>5.4</v>
      </c>
      <c r="M2928">
        <v>198000</v>
      </c>
      <c r="N2928">
        <v>3.5</v>
      </c>
      <c r="O2928">
        <v>12</v>
      </c>
      <c r="P2928" t="s">
        <v>114</v>
      </c>
    </row>
    <row r="2929" spans="1:16" x14ac:dyDescent="0.25">
      <c r="A2929" t="s">
        <v>6759</v>
      </c>
      <c r="B2929" t="s">
        <v>1750</v>
      </c>
      <c r="C2929" t="s">
        <v>18</v>
      </c>
      <c r="D2929" t="s">
        <v>19</v>
      </c>
      <c r="E2929" t="s">
        <v>20</v>
      </c>
      <c r="F2929" t="s">
        <v>39</v>
      </c>
      <c r="G2929" t="s">
        <v>22</v>
      </c>
      <c r="H2929" t="s">
        <v>34</v>
      </c>
      <c r="I2929" t="s">
        <v>24</v>
      </c>
      <c r="J2929" t="s">
        <v>5468</v>
      </c>
      <c r="L2929">
        <v>5.5</v>
      </c>
      <c r="M2929">
        <v>109000</v>
      </c>
      <c r="N2929">
        <v>4.0999999999999996</v>
      </c>
      <c r="O2929">
        <v>12</v>
      </c>
      <c r="P2929" t="s">
        <v>26</v>
      </c>
    </row>
    <row r="2930" spans="1:16" x14ac:dyDescent="0.25">
      <c r="A2930" t="s">
        <v>6760</v>
      </c>
      <c r="B2930" t="s">
        <v>2790</v>
      </c>
      <c r="C2930" t="s">
        <v>18</v>
      </c>
      <c r="D2930" t="s">
        <v>43</v>
      </c>
      <c r="F2930" t="s">
        <v>39</v>
      </c>
      <c r="G2930" t="s">
        <v>22</v>
      </c>
      <c r="H2930" t="s">
        <v>23</v>
      </c>
      <c r="I2930" t="s">
        <v>24</v>
      </c>
      <c r="J2930" t="s">
        <v>1759</v>
      </c>
      <c r="K2930" t="s">
        <v>3864</v>
      </c>
      <c r="L2930">
        <v>5.9</v>
      </c>
      <c r="M2930">
        <v>136000</v>
      </c>
      <c r="N2930">
        <v>4.0999999999999996</v>
      </c>
      <c r="O2930">
        <v>2</v>
      </c>
      <c r="P2930" t="s">
        <v>53</v>
      </c>
    </row>
    <row r="2931" spans="1:16" x14ac:dyDescent="0.25">
      <c r="A2931" t="s">
        <v>6761</v>
      </c>
      <c r="B2931" t="s">
        <v>6762</v>
      </c>
      <c r="C2931" t="s">
        <v>18</v>
      </c>
      <c r="D2931" t="s">
        <v>30</v>
      </c>
      <c r="E2931" t="s">
        <v>31</v>
      </c>
      <c r="F2931" t="s">
        <v>39</v>
      </c>
      <c r="G2931" t="s">
        <v>69</v>
      </c>
      <c r="H2931" t="s">
        <v>34</v>
      </c>
      <c r="I2931" t="s">
        <v>24</v>
      </c>
      <c r="J2931" t="s">
        <v>875</v>
      </c>
      <c r="K2931" t="s">
        <v>4355</v>
      </c>
      <c r="L2931">
        <v>3.5</v>
      </c>
      <c r="M2931">
        <v>137000</v>
      </c>
      <c r="N2931">
        <v>1.9</v>
      </c>
      <c r="P2931" t="s">
        <v>53</v>
      </c>
    </row>
    <row r="2932" spans="1:16" x14ac:dyDescent="0.25">
      <c r="A2932" t="s">
        <v>6763</v>
      </c>
      <c r="B2932" t="s">
        <v>6764</v>
      </c>
      <c r="C2932" t="s">
        <v>29</v>
      </c>
      <c r="D2932" t="s">
        <v>30</v>
      </c>
      <c r="E2932" t="s">
        <v>20</v>
      </c>
      <c r="F2932" t="s">
        <v>128</v>
      </c>
      <c r="G2932" t="s">
        <v>69</v>
      </c>
      <c r="H2932" t="s">
        <v>46</v>
      </c>
      <c r="I2932" t="s">
        <v>24</v>
      </c>
      <c r="J2932" t="s">
        <v>6765</v>
      </c>
      <c r="L2932">
        <v>2.1</v>
      </c>
      <c r="M2932">
        <v>492000</v>
      </c>
      <c r="N2932">
        <v>4.3</v>
      </c>
      <c r="O2932">
        <v>2</v>
      </c>
      <c r="P2932" t="s">
        <v>26</v>
      </c>
    </row>
    <row r="2933" spans="1:16" x14ac:dyDescent="0.25">
      <c r="A2933" t="s">
        <v>6766</v>
      </c>
      <c r="B2933" t="s">
        <v>5959</v>
      </c>
      <c r="E2933" t="s">
        <v>20</v>
      </c>
      <c r="F2933" t="s">
        <v>128</v>
      </c>
      <c r="G2933" t="s">
        <v>22</v>
      </c>
      <c r="H2933" t="s">
        <v>34</v>
      </c>
      <c r="I2933" t="s">
        <v>24</v>
      </c>
      <c r="J2933" t="s">
        <v>6767</v>
      </c>
      <c r="L2933">
        <v>1.3</v>
      </c>
      <c r="M2933">
        <v>504000</v>
      </c>
      <c r="N2933">
        <v>2.1</v>
      </c>
      <c r="O2933">
        <v>24</v>
      </c>
      <c r="P2933" t="s">
        <v>26</v>
      </c>
    </row>
    <row r="2934" spans="1:16" x14ac:dyDescent="0.25">
      <c r="A2934" t="s">
        <v>6768</v>
      </c>
      <c r="B2934" t="s">
        <v>5836</v>
      </c>
      <c r="C2934" t="s">
        <v>18</v>
      </c>
      <c r="D2934" t="s">
        <v>30</v>
      </c>
      <c r="E2934" t="s">
        <v>20</v>
      </c>
      <c r="F2934" t="s">
        <v>39</v>
      </c>
      <c r="G2934" t="s">
        <v>80</v>
      </c>
      <c r="H2934" t="s">
        <v>46</v>
      </c>
      <c r="I2934" t="s">
        <v>57</v>
      </c>
      <c r="J2934" t="s">
        <v>3828</v>
      </c>
      <c r="L2934">
        <v>2.7</v>
      </c>
      <c r="M2934">
        <v>148000</v>
      </c>
      <c r="N2934">
        <v>2.2000000000000002</v>
      </c>
      <c r="O2934">
        <v>3</v>
      </c>
      <c r="P2934" t="s">
        <v>26</v>
      </c>
    </row>
    <row r="2935" spans="1:16" x14ac:dyDescent="0.25">
      <c r="A2935" t="s">
        <v>6769</v>
      </c>
      <c r="B2935" t="s">
        <v>3387</v>
      </c>
      <c r="C2935" t="s">
        <v>29</v>
      </c>
      <c r="E2935" t="s">
        <v>20</v>
      </c>
      <c r="F2935" t="s">
        <v>32</v>
      </c>
      <c r="G2935" t="s">
        <v>80</v>
      </c>
      <c r="H2935" t="s">
        <v>23</v>
      </c>
      <c r="J2935" t="s">
        <v>648</v>
      </c>
      <c r="L2935">
        <v>5.8</v>
      </c>
      <c r="N2935">
        <v>2.6</v>
      </c>
      <c r="O2935">
        <v>9</v>
      </c>
      <c r="P2935" t="s">
        <v>26</v>
      </c>
    </row>
    <row r="2936" spans="1:16" x14ac:dyDescent="0.25">
      <c r="A2936" t="s">
        <v>6770</v>
      </c>
      <c r="B2936" t="s">
        <v>5816</v>
      </c>
      <c r="D2936" t="s">
        <v>50</v>
      </c>
      <c r="E2936" t="s">
        <v>31</v>
      </c>
      <c r="F2936" t="s">
        <v>39</v>
      </c>
      <c r="G2936" t="s">
        <v>22</v>
      </c>
      <c r="H2936" t="s">
        <v>34</v>
      </c>
      <c r="I2936" t="s">
        <v>35</v>
      </c>
      <c r="J2936" t="s">
        <v>3472</v>
      </c>
      <c r="L2936">
        <v>3.7</v>
      </c>
      <c r="M2936">
        <v>128000</v>
      </c>
      <c r="N2936">
        <v>4.0999999999999996</v>
      </c>
      <c r="O2936">
        <v>36</v>
      </c>
      <c r="P2936" t="s">
        <v>26</v>
      </c>
    </row>
    <row r="2937" spans="1:16" x14ac:dyDescent="0.25">
      <c r="A2937" t="s">
        <v>6771</v>
      </c>
      <c r="B2937" t="s">
        <v>6772</v>
      </c>
      <c r="C2937" t="s">
        <v>18</v>
      </c>
      <c r="D2937" t="s">
        <v>30</v>
      </c>
      <c r="E2937" t="s">
        <v>20</v>
      </c>
      <c r="F2937" t="s">
        <v>32</v>
      </c>
      <c r="G2937" t="s">
        <v>69</v>
      </c>
      <c r="H2937" t="s">
        <v>23</v>
      </c>
      <c r="I2937" t="s">
        <v>24</v>
      </c>
      <c r="J2937" t="s">
        <v>616</v>
      </c>
      <c r="K2937" t="s">
        <v>5971</v>
      </c>
      <c r="L2937">
        <v>4.8</v>
      </c>
      <c r="M2937">
        <v>183000</v>
      </c>
      <c r="N2937">
        <v>2.7</v>
      </c>
      <c r="O2937">
        <v>0</v>
      </c>
      <c r="P2937" t="s">
        <v>53</v>
      </c>
    </row>
    <row r="2938" spans="1:16" x14ac:dyDescent="0.25">
      <c r="A2938" t="s">
        <v>6773</v>
      </c>
      <c r="B2938" t="s">
        <v>5564</v>
      </c>
      <c r="C2938" t="s">
        <v>29</v>
      </c>
      <c r="D2938" t="s">
        <v>30</v>
      </c>
      <c r="E2938" t="s">
        <v>44</v>
      </c>
      <c r="F2938" t="s">
        <v>39</v>
      </c>
      <c r="G2938" t="s">
        <v>33</v>
      </c>
      <c r="H2938" t="s">
        <v>23</v>
      </c>
      <c r="I2938" t="s">
        <v>24</v>
      </c>
      <c r="J2938" t="s">
        <v>1210</v>
      </c>
      <c r="K2938" t="s">
        <v>6774</v>
      </c>
      <c r="L2938">
        <v>1.4</v>
      </c>
      <c r="M2938">
        <v>131000</v>
      </c>
      <c r="N2938">
        <v>1.6</v>
      </c>
      <c r="O2938">
        <v>28</v>
      </c>
      <c r="P2938" t="s">
        <v>53</v>
      </c>
    </row>
    <row r="2939" spans="1:16" x14ac:dyDescent="0.25">
      <c r="A2939" t="s">
        <v>6775</v>
      </c>
      <c r="B2939" t="s">
        <v>6776</v>
      </c>
      <c r="C2939" t="s">
        <v>18</v>
      </c>
      <c r="D2939" t="s">
        <v>50</v>
      </c>
      <c r="E2939" t="s">
        <v>20</v>
      </c>
      <c r="G2939" t="s">
        <v>80</v>
      </c>
      <c r="H2939" t="s">
        <v>34</v>
      </c>
      <c r="I2939" t="s">
        <v>35</v>
      </c>
      <c r="J2939" t="s">
        <v>1379</v>
      </c>
      <c r="L2939">
        <v>1.6</v>
      </c>
      <c r="M2939">
        <v>337000</v>
      </c>
      <c r="N2939">
        <v>2.1</v>
      </c>
      <c r="O2939">
        <v>13</v>
      </c>
      <c r="P2939" t="s">
        <v>26</v>
      </c>
    </row>
    <row r="2940" spans="1:16" x14ac:dyDescent="0.25">
      <c r="A2940" t="s">
        <v>6777</v>
      </c>
      <c r="B2940" t="s">
        <v>6778</v>
      </c>
      <c r="C2940" t="s">
        <v>18</v>
      </c>
      <c r="D2940" t="s">
        <v>50</v>
      </c>
      <c r="E2940" t="s">
        <v>20</v>
      </c>
      <c r="F2940" t="s">
        <v>128</v>
      </c>
      <c r="G2940" t="s">
        <v>22</v>
      </c>
      <c r="H2940" t="s">
        <v>23</v>
      </c>
      <c r="I2940" t="s">
        <v>35</v>
      </c>
      <c r="J2940" t="s">
        <v>3062</v>
      </c>
      <c r="L2940">
        <v>2.2999999999999998</v>
      </c>
      <c r="M2940">
        <v>445000</v>
      </c>
      <c r="N2940">
        <v>3.7</v>
      </c>
      <c r="O2940">
        <v>6</v>
      </c>
      <c r="P2940" t="s">
        <v>26</v>
      </c>
    </row>
    <row r="2941" spans="1:16" x14ac:dyDescent="0.25">
      <c r="A2941" t="s">
        <v>6779</v>
      </c>
      <c r="B2941" t="s">
        <v>6780</v>
      </c>
      <c r="C2941" t="s">
        <v>18</v>
      </c>
      <c r="D2941" t="s">
        <v>19</v>
      </c>
      <c r="E2941" t="s">
        <v>20</v>
      </c>
      <c r="F2941" t="s">
        <v>32</v>
      </c>
      <c r="G2941" t="s">
        <v>22</v>
      </c>
      <c r="H2941" t="s">
        <v>46</v>
      </c>
      <c r="I2941" t="s">
        <v>35</v>
      </c>
      <c r="J2941" t="s">
        <v>5298</v>
      </c>
      <c r="L2941">
        <v>3.5</v>
      </c>
      <c r="M2941">
        <v>209000</v>
      </c>
      <c r="N2941">
        <v>4.7</v>
      </c>
      <c r="O2941">
        <v>3</v>
      </c>
      <c r="P2941" t="s">
        <v>26</v>
      </c>
    </row>
    <row r="2942" spans="1:16" x14ac:dyDescent="0.25">
      <c r="A2942" t="s">
        <v>6781</v>
      </c>
      <c r="B2942" t="s">
        <v>6782</v>
      </c>
      <c r="C2942" t="s">
        <v>29</v>
      </c>
      <c r="D2942" t="s">
        <v>30</v>
      </c>
      <c r="E2942" t="s">
        <v>20</v>
      </c>
      <c r="F2942" t="s">
        <v>39</v>
      </c>
      <c r="G2942" t="s">
        <v>69</v>
      </c>
      <c r="H2942" t="s">
        <v>34</v>
      </c>
      <c r="I2942" t="s">
        <v>24</v>
      </c>
      <c r="J2942" t="s">
        <v>987</v>
      </c>
      <c r="K2942" t="s">
        <v>3279</v>
      </c>
      <c r="L2942">
        <v>4.5999999999999996</v>
      </c>
      <c r="M2942">
        <v>111000</v>
      </c>
      <c r="N2942">
        <v>2.1</v>
      </c>
      <c r="O2942">
        <v>13</v>
      </c>
      <c r="P2942" t="s">
        <v>53</v>
      </c>
    </row>
    <row r="2943" spans="1:16" x14ac:dyDescent="0.25">
      <c r="A2943" t="s">
        <v>6783</v>
      </c>
      <c r="B2943" t="s">
        <v>6784</v>
      </c>
      <c r="C2943" t="s">
        <v>29</v>
      </c>
      <c r="D2943" t="s">
        <v>50</v>
      </c>
      <c r="E2943" t="s">
        <v>20</v>
      </c>
      <c r="F2943" t="s">
        <v>32</v>
      </c>
      <c r="G2943" t="s">
        <v>80</v>
      </c>
      <c r="H2943" t="s">
        <v>34</v>
      </c>
      <c r="I2943" t="s">
        <v>24</v>
      </c>
      <c r="J2943" t="s">
        <v>3612</v>
      </c>
      <c r="K2943" t="s">
        <v>6785</v>
      </c>
      <c r="L2943">
        <v>4.4000000000000004</v>
      </c>
      <c r="M2943">
        <v>299000</v>
      </c>
      <c r="N2943">
        <v>3.4</v>
      </c>
      <c r="O2943">
        <v>3</v>
      </c>
      <c r="P2943" t="s">
        <v>114</v>
      </c>
    </row>
    <row r="2944" spans="1:16" x14ac:dyDescent="0.25">
      <c r="A2944" t="s">
        <v>6786</v>
      </c>
      <c r="B2944" t="s">
        <v>1010</v>
      </c>
      <c r="C2944" t="s">
        <v>18</v>
      </c>
      <c r="D2944" t="s">
        <v>50</v>
      </c>
      <c r="E2944" t="s">
        <v>20</v>
      </c>
      <c r="F2944" t="s">
        <v>39</v>
      </c>
      <c r="G2944" t="s">
        <v>22</v>
      </c>
      <c r="H2944" t="s">
        <v>62</v>
      </c>
      <c r="I2944" t="s">
        <v>24</v>
      </c>
      <c r="J2944" t="s">
        <v>550</v>
      </c>
      <c r="K2944" t="s">
        <v>866</v>
      </c>
      <c r="L2944">
        <v>2.9</v>
      </c>
      <c r="M2944">
        <v>165000</v>
      </c>
      <c r="N2944">
        <v>3.8</v>
      </c>
      <c r="O2944">
        <v>10</v>
      </c>
      <c r="P2944" t="s">
        <v>114</v>
      </c>
    </row>
    <row r="2945" spans="1:16" x14ac:dyDescent="0.25">
      <c r="A2945" t="s">
        <v>6787</v>
      </c>
      <c r="B2945" t="s">
        <v>763</v>
      </c>
      <c r="C2945" t="s">
        <v>29</v>
      </c>
      <c r="D2945" t="s">
        <v>50</v>
      </c>
      <c r="E2945" t="s">
        <v>20</v>
      </c>
      <c r="F2945" t="s">
        <v>32</v>
      </c>
      <c r="G2945" t="s">
        <v>33</v>
      </c>
      <c r="H2945" t="s">
        <v>23</v>
      </c>
      <c r="I2945" t="s">
        <v>24</v>
      </c>
      <c r="J2945" t="s">
        <v>1994</v>
      </c>
      <c r="K2945" t="s">
        <v>2740</v>
      </c>
      <c r="L2945">
        <v>3.5</v>
      </c>
      <c r="M2945">
        <v>243000</v>
      </c>
      <c r="N2945">
        <v>2.2999999999999998</v>
      </c>
      <c r="O2945">
        <v>25</v>
      </c>
      <c r="P2945" t="s">
        <v>72</v>
      </c>
    </row>
    <row r="2946" spans="1:16" x14ac:dyDescent="0.25">
      <c r="A2946" t="s">
        <v>6788</v>
      </c>
      <c r="B2946" t="s">
        <v>6789</v>
      </c>
      <c r="C2946" t="s">
        <v>29</v>
      </c>
      <c r="D2946" t="s">
        <v>79</v>
      </c>
      <c r="E2946" t="s">
        <v>20</v>
      </c>
      <c r="F2946" t="s">
        <v>128</v>
      </c>
      <c r="G2946" t="s">
        <v>22</v>
      </c>
      <c r="H2946" t="s">
        <v>34</v>
      </c>
      <c r="J2946" t="s">
        <v>2589</v>
      </c>
      <c r="L2946">
        <v>5.3</v>
      </c>
      <c r="M2946">
        <v>509000</v>
      </c>
      <c r="N2946">
        <v>4.5</v>
      </c>
      <c r="O2946">
        <v>4</v>
      </c>
      <c r="P2946" t="s">
        <v>26</v>
      </c>
    </row>
    <row r="2947" spans="1:16" x14ac:dyDescent="0.25">
      <c r="A2947" t="s">
        <v>6790</v>
      </c>
      <c r="B2947" t="s">
        <v>5822</v>
      </c>
      <c r="C2947" t="s">
        <v>18</v>
      </c>
      <c r="D2947" t="s">
        <v>79</v>
      </c>
      <c r="E2947" t="s">
        <v>20</v>
      </c>
      <c r="F2947" t="s">
        <v>128</v>
      </c>
      <c r="G2947" t="s">
        <v>22</v>
      </c>
      <c r="H2947" t="s">
        <v>34</v>
      </c>
      <c r="I2947" t="s">
        <v>57</v>
      </c>
      <c r="J2947" t="s">
        <v>6791</v>
      </c>
      <c r="L2947">
        <v>1.5</v>
      </c>
      <c r="M2947">
        <v>472000</v>
      </c>
      <c r="N2947">
        <v>4.5999999999999996</v>
      </c>
      <c r="P2947" t="s">
        <v>26</v>
      </c>
    </row>
    <row r="2948" spans="1:16" x14ac:dyDescent="0.25">
      <c r="A2948" t="s">
        <v>6792</v>
      </c>
      <c r="B2948" t="s">
        <v>2635</v>
      </c>
      <c r="C2948" t="s">
        <v>18</v>
      </c>
      <c r="D2948" t="s">
        <v>79</v>
      </c>
      <c r="E2948" t="s">
        <v>44</v>
      </c>
      <c r="F2948" t="s">
        <v>128</v>
      </c>
      <c r="G2948" t="s">
        <v>80</v>
      </c>
      <c r="H2948" t="s">
        <v>34</v>
      </c>
      <c r="I2948" t="s">
        <v>24</v>
      </c>
      <c r="J2948" t="s">
        <v>2843</v>
      </c>
      <c r="K2948" t="s">
        <v>908</v>
      </c>
      <c r="L2948">
        <v>2.9</v>
      </c>
      <c r="M2948">
        <v>558000</v>
      </c>
      <c r="N2948">
        <v>4.9000000000000004</v>
      </c>
      <c r="O2948">
        <v>5</v>
      </c>
      <c r="P2948" t="s">
        <v>53</v>
      </c>
    </row>
    <row r="2949" spans="1:16" x14ac:dyDescent="0.25">
      <c r="A2949" t="s">
        <v>6793</v>
      </c>
      <c r="B2949" t="s">
        <v>6541</v>
      </c>
      <c r="C2949" t="s">
        <v>18</v>
      </c>
      <c r="D2949" t="s">
        <v>79</v>
      </c>
      <c r="E2949" t="s">
        <v>44</v>
      </c>
      <c r="F2949" t="s">
        <v>21</v>
      </c>
      <c r="G2949" t="s">
        <v>80</v>
      </c>
      <c r="H2949" t="s">
        <v>34</v>
      </c>
      <c r="I2949" t="s">
        <v>24</v>
      </c>
      <c r="J2949" t="s">
        <v>1015</v>
      </c>
      <c r="L2949">
        <v>1.4</v>
      </c>
      <c r="M2949">
        <v>635000</v>
      </c>
      <c r="N2949">
        <v>4.7</v>
      </c>
      <c r="P2949" t="s">
        <v>26</v>
      </c>
    </row>
    <row r="2950" spans="1:16" x14ac:dyDescent="0.25">
      <c r="A2950" t="s">
        <v>6794</v>
      </c>
      <c r="B2950" t="s">
        <v>93</v>
      </c>
      <c r="C2950" t="s">
        <v>29</v>
      </c>
      <c r="D2950" t="s">
        <v>43</v>
      </c>
      <c r="E2950" t="s">
        <v>31</v>
      </c>
      <c r="F2950" t="s">
        <v>39</v>
      </c>
      <c r="G2950" t="s">
        <v>22</v>
      </c>
      <c r="H2950" t="s">
        <v>34</v>
      </c>
      <c r="I2950" t="s">
        <v>75</v>
      </c>
      <c r="J2950" t="s">
        <v>3964</v>
      </c>
      <c r="L2950">
        <v>4.5</v>
      </c>
      <c r="M2950">
        <v>125000</v>
      </c>
      <c r="N2950">
        <v>2.4</v>
      </c>
      <c r="O2950">
        <v>13</v>
      </c>
      <c r="P2950" t="s">
        <v>26</v>
      </c>
    </row>
    <row r="2951" spans="1:16" x14ac:dyDescent="0.25">
      <c r="A2951" t="s">
        <v>6795</v>
      </c>
      <c r="B2951" t="s">
        <v>6796</v>
      </c>
      <c r="C2951" t="s">
        <v>29</v>
      </c>
      <c r="D2951" t="s">
        <v>79</v>
      </c>
      <c r="E2951" t="s">
        <v>31</v>
      </c>
      <c r="F2951" t="s">
        <v>128</v>
      </c>
      <c r="G2951" t="s">
        <v>80</v>
      </c>
      <c r="H2951" t="s">
        <v>46</v>
      </c>
      <c r="I2951" t="s">
        <v>35</v>
      </c>
      <c r="J2951" t="s">
        <v>2261</v>
      </c>
      <c r="L2951">
        <v>5.7</v>
      </c>
      <c r="M2951">
        <v>592000</v>
      </c>
      <c r="O2951">
        <v>7</v>
      </c>
      <c r="P2951" t="s">
        <v>26</v>
      </c>
    </row>
    <row r="2952" spans="1:16" x14ac:dyDescent="0.25">
      <c r="A2952" t="s">
        <v>6797</v>
      </c>
      <c r="B2952" t="s">
        <v>6798</v>
      </c>
      <c r="C2952" t="s">
        <v>29</v>
      </c>
      <c r="D2952" t="s">
        <v>50</v>
      </c>
      <c r="E2952" t="s">
        <v>20</v>
      </c>
      <c r="F2952" t="s">
        <v>39</v>
      </c>
      <c r="G2952" t="s">
        <v>22</v>
      </c>
      <c r="H2952" t="s">
        <v>34</v>
      </c>
      <c r="I2952" t="s">
        <v>75</v>
      </c>
      <c r="J2952" t="s">
        <v>3470</v>
      </c>
      <c r="K2952" t="s">
        <v>565</v>
      </c>
      <c r="L2952">
        <v>2.2999999999999998</v>
      </c>
      <c r="M2952">
        <v>91000</v>
      </c>
      <c r="N2952">
        <v>5</v>
      </c>
      <c r="O2952">
        <v>1</v>
      </c>
      <c r="P2952" t="s">
        <v>114</v>
      </c>
    </row>
    <row r="2953" spans="1:16" x14ac:dyDescent="0.25">
      <c r="A2953" t="s">
        <v>6799</v>
      </c>
      <c r="B2953" t="s">
        <v>2184</v>
      </c>
      <c r="C2953" t="s">
        <v>18</v>
      </c>
      <c r="D2953" t="s">
        <v>50</v>
      </c>
      <c r="E2953" t="s">
        <v>20</v>
      </c>
      <c r="F2953" t="s">
        <v>128</v>
      </c>
      <c r="G2953" t="s">
        <v>69</v>
      </c>
      <c r="H2953" t="s">
        <v>62</v>
      </c>
      <c r="I2953" t="s">
        <v>35</v>
      </c>
      <c r="J2953" t="s">
        <v>5208</v>
      </c>
      <c r="L2953">
        <v>2.6</v>
      </c>
      <c r="M2953">
        <v>483000</v>
      </c>
      <c r="N2953">
        <v>4.2</v>
      </c>
      <c r="O2953">
        <v>10</v>
      </c>
      <c r="P2953" t="s">
        <v>26</v>
      </c>
    </row>
    <row r="2954" spans="1:16" x14ac:dyDescent="0.25">
      <c r="A2954" t="s">
        <v>6800</v>
      </c>
      <c r="B2954" t="s">
        <v>5227</v>
      </c>
      <c r="C2954" t="s">
        <v>29</v>
      </c>
      <c r="D2954" t="s">
        <v>30</v>
      </c>
      <c r="E2954" t="s">
        <v>20</v>
      </c>
      <c r="F2954" t="s">
        <v>32</v>
      </c>
      <c r="G2954" t="s">
        <v>69</v>
      </c>
      <c r="H2954" t="s">
        <v>23</v>
      </c>
      <c r="I2954" t="s">
        <v>35</v>
      </c>
      <c r="J2954" t="s">
        <v>58</v>
      </c>
      <c r="L2954">
        <v>2.8</v>
      </c>
      <c r="M2954">
        <v>273000</v>
      </c>
      <c r="N2954">
        <v>2.2000000000000002</v>
      </c>
      <c r="O2954">
        <v>11</v>
      </c>
      <c r="P2954" t="s">
        <v>26</v>
      </c>
    </row>
    <row r="2955" spans="1:16" x14ac:dyDescent="0.25">
      <c r="A2955" t="s">
        <v>6801</v>
      </c>
      <c r="B2955" t="s">
        <v>6802</v>
      </c>
      <c r="C2955" t="s">
        <v>18</v>
      </c>
      <c r="D2955" t="s">
        <v>30</v>
      </c>
      <c r="E2955" t="s">
        <v>20</v>
      </c>
      <c r="F2955" t="s">
        <v>21</v>
      </c>
      <c r="G2955" t="s">
        <v>69</v>
      </c>
      <c r="H2955" t="s">
        <v>23</v>
      </c>
      <c r="I2955" t="s">
        <v>35</v>
      </c>
      <c r="J2955" t="s">
        <v>47</v>
      </c>
      <c r="K2955" t="s">
        <v>1260</v>
      </c>
      <c r="L2955">
        <v>3</v>
      </c>
      <c r="M2955">
        <v>686000</v>
      </c>
      <c r="N2955">
        <v>4.0999999999999996</v>
      </c>
      <c r="O2955">
        <v>2</v>
      </c>
      <c r="P2955" t="s">
        <v>72</v>
      </c>
    </row>
    <row r="2956" spans="1:16" x14ac:dyDescent="0.25">
      <c r="A2956" t="s">
        <v>6803</v>
      </c>
      <c r="B2956" t="s">
        <v>6252</v>
      </c>
      <c r="C2956" t="s">
        <v>18</v>
      </c>
      <c r="D2956" t="s">
        <v>19</v>
      </c>
      <c r="E2956" t="s">
        <v>20</v>
      </c>
      <c r="F2956" t="s">
        <v>39</v>
      </c>
      <c r="G2956" t="s">
        <v>80</v>
      </c>
      <c r="H2956" t="s">
        <v>23</v>
      </c>
      <c r="I2956" t="s">
        <v>35</v>
      </c>
      <c r="J2956" t="s">
        <v>334</v>
      </c>
      <c r="K2956" t="s">
        <v>1905</v>
      </c>
      <c r="L2956">
        <v>5.7</v>
      </c>
      <c r="M2956">
        <v>158000</v>
      </c>
      <c r="N2956">
        <v>2.7</v>
      </c>
      <c r="O2956">
        <v>1</v>
      </c>
      <c r="P2956" t="s">
        <v>72</v>
      </c>
    </row>
    <row r="2957" spans="1:16" x14ac:dyDescent="0.25">
      <c r="A2957" t="s">
        <v>6804</v>
      </c>
      <c r="B2957" t="s">
        <v>2289</v>
      </c>
      <c r="C2957" t="s">
        <v>252</v>
      </c>
      <c r="D2957" t="s">
        <v>43</v>
      </c>
      <c r="E2957" t="s">
        <v>20</v>
      </c>
      <c r="G2957" t="s">
        <v>80</v>
      </c>
      <c r="H2957" t="s">
        <v>62</v>
      </c>
      <c r="I2957" t="s">
        <v>75</v>
      </c>
      <c r="J2957" t="s">
        <v>2866</v>
      </c>
      <c r="L2957">
        <v>4.8</v>
      </c>
      <c r="M2957">
        <v>623000</v>
      </c>
      <c r="N2957">
        <v>3.3</v>
      </c>
      <c r="O2957">
        <v>4</v>
      </c>
      <c r="P2957" t="s">
        <v>26</v>
      </c>
    </row>
    <row r="2958" spans="1:16" x14ac:dyDescent="0.25">
      <c r="A2958" t="s">
        <v>6805</v>
      </c>
      <c r="B2958" t="s">
        <v>6806</v>
      </c>
      <c r="C2958" t="s">
        <v>18</v>
      </c>
      <c r="D2958" t="s">
        <v>30</v>
      </c>
      <c r="E2958" t="s">
        <v>20</v>
      </c>
      <c r="F2958" t="s">
        <v>32</v>
      </c>
      <c r="G2958" t="s">
        <v>22</v>
      </c>
      <c r="H2958" t="s">
        <v>62</v>
      </c>
      <c r="I2958" t="s">
        <v>24</v>
      </c>
      <c r="J2958" t="s">
        <v>189</v>
      </c>
      <c r="L2958">
        <v>1.4</v>
      </c>
      <c r="M2958">
        <v>291000</v>
      </c>
      <c r="N2958">
        <v>4.3</v>
      </c>
      <c r="O2958">
        <v>34</v>
      </c>
      <c r="P2958" t="s">
        <v>26</v>
      </c>
    </row>
    <row r="2959" spans="1:16" x14ac:dyDescent="0.25">
      <c r="A2959" t="s">
        <v>6807</v>
      </c>
      <c r="B2959" t="s">
        <v>4584</v>
      </c>
      <c r="C2959" t="s">
        <v>29</v>
      </c>
      <c r="D2959" t="s">
        <v>19</v>
      </c>
      <c r="E2959" t="s">
        <v>44</v>
      </c>
      <c r="F2959" t="s">
        <v>45</v>
      </c>
      <c r="G2959" t="s">
        <v>33</v>
      </c>
      <c r="H2959" t="s">
        <v>46</v>
      </c>
      <c r="I2959" t="s">
        <v>57</v>
      </c>
      <c r="J2959" t="s">
        <v>3945</v>
      </c>
      <c r="L2959">
        <v>5.9</v>
      </c>
      <c r="M2959">
        <v>2200000</v>
      </c>
      <c r="N2959">
        <v>4.7</v>
      </c>
      <c r="O2959">
        <v>6</v>
      </c>
      <c r="P2959" t="s">
        <v>26</v>
      </c>
    </row>
    <row r="2960" spans="1:16" x14ac:dyDescent="0.25">
      <c r="A2960" t="s">
        <v>6808</v>
      </c>
      <c r="B2960" t="s">
        <v>6809</v>
      </c>
      <c r="C2960" t="s">
        <v>18</v>
      </c>
      <c r="E2960" t="s">
        <v>20</v>
      </c>
      <c r="F2960" t="s">
        <v>39</v>
      </c>
      <c r="G2960" t="s">
        <v>22</v>
      </c>
      <c r="H2960" t="s">
        <v>23</v>
      </c>
      <c r="I2960" t="s">
        <v>24</v>
      </c>
      <c r="J2960" t="s">
        <v>2653</v>
      </c>
      <c r="L2960">
        <v>4.5</v>
      </c>
      <c r="M2960">
        <v>125000</v>
      </c>
      <c r="N2960">
        <v>4.3</v>
      </c>
      <c r="O2960">
        <v>9</v>
      </c>
      <c r="P2960" t="s">
        <v>26</v>
      </c>
    </row>
    <row r="2961" spans="1:16" x14ac:dyDescent="0.25">
      <c r="A2961" t="s">
        <v>6810</v>
      </c>
      <c r="B2961" t="s">
        <v>1253</v>
      </c>
      <c r="C2961" t="s">
        <v>29</v>
      </c>
      <c r="D2961" t="s">
        <v>79</v>
      </c>
      <c r="E2961" t="s">
        <v>20</v>
      </c>
      <c r="F2961" t="s">
        <v>32</v>
      </c>
      <c r="G2961" t="s">
        <v>22</v>
      </c>
      <c r="H2961" t="s">
        <v>23</v>
      </c>
      <c r="I2961" t="s">
        <v>57</v>
      </c>
      <c r="J2961" t="s">
        <v>2213</v>
      </c>
      <c r="K2961" t="s">
        <v>3555</v>
      </c>
      <c r="L2961">
        <v>2.2999999999999998</v>
      </c>
      <c r="M2961">
        <v>195000</v>
      </c>
      <c r="N2961">
        <v>4.5</v>
      </c>
      <c r="O2961">
        <v>3</v>
      </c>
      <c r="P2961" t="s">
        <v>114</v>
      </c>
    </row>
    <row r="2962" spans="1:16" x14ac:dyDescent="0.25">
      <c r="A2962" t="s">
        <v>6811</v>
      </c>
      <c r="B2962" t="s">
        <v>4460</v>
      </c>
      <c r="C2962" t="s">
        <v>18</v>
      </c>
      <c r="D2962" t="s">
        <v>19</v>
      </c>
      <c r="E2962" t="s">
        <v>20</v>
      </c>
      <c r="F2962" t="s">
        <v>21</v>
      </c>
      <c r="G2962" t="s">
        <v>22</v>
      </c>
      <c r="H2962" t="s">
        <v>46</v>
      </c>
      <c r="I2962" t="s">
        <v>57</v>
      </c>
      <c r="J2962" t="s">
        <v>487</v>
      </c>
      <c r="L2962">
        <v>1.9</v>
      </c>
      <c r="M2962">
        <v>873000</v>
      </c>
      <c r="N2962">
        <v>4</v>
      </c>
      <c r="O2962">
        <v>37</v>
      </c>
      <c r="P2962" t="s">
        <v>26</v>
      </c>
    </row>
    <row r="2963" spans="1:16" x14ac:dyDescent="0.25">
      <c r="A2963" t="s">
        <v>6812</v>
      </c>
      <c r="B2963" t="s">
        <v>6505</v>
      </c>
      <c r="C2963" t="s">
        <v>18</v>
      </c>
      <c r="D2963" t="s">
        <v>50</v>
      </c>
      <c r="E2963" t="s">
        <v>44</v>
      </c>
      <c r="G2963" t="s">
        <v>80</v>
      </c>
      <c r="H2963" t="s">
        <v>46</v>
      </c>
      <c r="I2963" t="s">
        <v>57</v>
      </c>
      <c r="J2963" t="s">
        <v>2595</v>
      </c>
      <c r="L2963">
        <v>3.1</v>
      </c>
      <c r="M2963">
        <v>1851000</v>
      </c>
      <c r="N2963">
        <v>3.1</v>
      </c>
      <c r="O2963">
        <v>20</v>
      </c>
      <c r="P2963" t="s">
        <v>26</v>
      </c>
    </row>
    <row r="2964" spans="1:16" x14ac:dyDescent="0.25">
      <c r="A2964" t="s">
        <v>6813</v>
      </c>
      <c r="B2964" t="s">
        <v>6814</v>
      </c>
      <c r="C2964" t="s">
        <v>18</v>
      </c>
      <c r="D2964" t="s">
        <v>30</v>
      </c>
      <c r="E2964" t="s">
        <v>20</v>
      </c>
      <c r="F2964" t="s">
        <v>32</v>
      </c>
      <c r="G2964" t="s">
        <v>80</v>
      </c>
      <c r="H2964" t="s">
        <v>34</v>
      </c>
      <c r="I2964" t="s">
        <v>35</v>
      </c>
      <c r="J2964" t="s">
        <v>4605</v>
      </c>
      <c r="K2964" t="s">
        <v>6815</v>
      </c>
      <c r="L2964">
        <v>1.7</v>
      </c>
      <c r="M2964">
        <v>345000</v>
      </c>
      <c r="N2964">
        <v>2.2999999999999998</v>
      </c>
      <c r="O2964">
        <v>28</v>
      </c>
      <c r="P2964" t="s">
        <v>53</v>
      </c>
    </row>
    <row r="2965" spans="1:16" x14ac:dyDescent="0.25">
      <c r="A2965" t="s">
        <v>6816</v>
      </c>
      <c r="B2965" t="s">
        <v>1676</v>
      </c>
      <c r="C2965" t="s">
        <v>29</v>
      </c>
      <c r="D2965" t="s">
        <v>79</v>
      </c>
      <c r="E2965" t="s">
        <v>20</v>
      </c>
      <c r="F2965" t="s">
        <v>128</v>
      </c>
      <c r="G2965" t="s">
        <v>80</v>
      </c>
      <c r="H2965" t="s">
        <v>34</v>
      </c>
      <c r="I2965" t="s">
        <v>35</v>
      </c>
      <c r="J2965" t="s">
        <v>3472</v>
      </c>
      <c r="L2965">
        <v>3.7</v>
      </c>
      <c r="M2965">
        <v>360000</v>
      </c>
      <c r="N2965">
        <v>4.4000000000000004</v>
      </c>
      <c r="O2965">
        <v>9</v>
      </c>
      <c r="P2965" t="s">
        <v>26</v>
      </c>
    </row>
    <row r="2966" spans="1:16" x14ac:dyDescent="0.25">
      <c r="A2966" t="s">
        <v>6817</v>
      </c>
      <c r="B2966" t="s">
        <v>1979</v>
      </c>
      <c r="C2966" t="s">
        <v>29</v>
      </c>
      <c r="D2966" t="s">
        <v>50</v>
      </c>
      <c r="E2966" t="s">
        <v>20</v>
      </c>
      <c r="F2966" t="s">
        <v>21</v>
      </c>
      <c r="G2966" t="s">
        <v>33</v>
      </c>
      <c r="H2966" t="s">
        <v>23</v>
      </c>
      <c r="I2966" t="s">
        <v>24</v>
      </c>
      <c r="J2966" t="s">
        <v>6176</v>
      </c>
      <c r="L2966">
        <v>3.3</v>
      </c>
      <c r="M2966">
        <v>710000</v>
      </c>
      <c r="N2966">
        <v>3.5</v>
      </c>
      <c r="P2966" t="s">
        <v>26</v>
      </c>
    </row>
    <row r="2967" spans="1:16" x14ac:dyDescent="0.25">
      <c r="A2967" t="s">
        <v>6818</v>
      </c>
      <c r="B2967" t="s">
        <v>6819</v>
      </c>
      <c r="C2967" t="s">
        <v>18</v>
      </c>
      <c r="D2967" t="s">
        <v>43</v>
      </c>
      <c r="E2967" t="s">
        <v>20</v>
      </c>
      <c r="F2967" t="s">
        <v>128</v>
      </c>
      <c r="G2967" t="s">
        <v>80</v>
      </c>
      <c r="H2967" t="s">
        <v>23</v>
      </c>
      <c r="I2967" t="s">
        <v>35</v>
      </c>
      <c r="J2967" t="s">
        <v>2230</v>
      </c>
      <c r="L2967">
        <v>4.2</v>
      </c>
      <c r="M2967">
        <v>453000</v>
      </c>
      <c r="N2967">
        <v>3.2</v>
      </c>
      <c r="O2967">
        <v>19</v>
      </c>
      <c r="P2967" t="s">
        <v>26</v>
      </c>
    </row>
    <row r="2968" spans="1:16" x14ac:dyDescent="0.25">
      <c r="A2968" t="s">
        <v>6820</v>
      </c>
      <c r="B2968" t="s">
        <v>5073</v>
      </c>
      <c r="C2968" t="s">
        <v>29</v>
      </c>
      <c r="D2968" t="s">
        <v>50</v>
      </c>
      <c r="E2968" t="s">
        <v>20</v>
      </c>
      <c r="F2968" t="s">
        <v>32</v>
      </c>
      <c r="G2968" t="s">
        <v>80</v>
      </c>
      <c r="H2968" t="s">
        <v>62</v>
      </c>
      <c r="I2968" t="s">
        <v>57</v>
      </c>
      <c r="J2968" t="s">
        <v>6821</v>
      </c>
      <c r="K2968" t="s">
        <v>6822</v>
      </c>
      <c r="L2968">
        <v>3.7</v>
      </c>
      <c r="M2968">
        <v>234000</v>
      </c>
      <c r="N2968">
        <v>3.2</v>
      </c>
      <c r="O2968">
        <v>9</v>
      </c>
      <c r="P2968" t="s">
        <v>72</v>
      </c>
    </row>
    <row r="2969" spans="1:16" x14ac:dyDescent="0.25">
      <c r="A2969" t="s">
        <v>6823</v>
      </c>
      <c r="B2969" t="s">
        <v>5772</v>
      </c>
      <c r="C2969" t="s">
        <v>18</v>
      </c>
      <c r="D2969" t="s">
        <v>19</v>
      </c>
      <c r="E2969" t="s">
        <v>20</v>
      </c>
      <c r="F2969" t="s">
        <v>39</v>
      </c>
      <c r="G2969" t="s">
        <v>22</v>
      </c>
      <c r="H2969" t="s">
        <v>46</v>
      </c>
      <c r="I2969" t="s">
        <v>57</v>
      </c>
      <c r="J2969" t="s">
        <v>2551</v>
      </c>
      <c r="L2969">
        <v>4.5999999999999996</v>
      </c>
      <c r="M2969">
        <v>163000</v>
      </c>
      <c r="N2969">
        <v>2.8</v>
      </c>
      <c r="O2969">
        <v>2</v>
      </c>
      <c r="P2969" t="s">
        <v>26</v>
      </c>
    </row>
    <row r="2970" spans="1:16" x14ac:dyDescent="0.25">
      <c r="A2970" t="s">
        <v>6824</v>
      </c>
      <c r="B2970" t="s">
        <v>6825</v>
      </c>
      <c r="C2970" t="s">
        <v>29</v>
      </c>
      <c r="D2970" t="s">
        <v>50</v>
      </c>
      <c r="E2970" t="s">
        <v>31</v>
      </c>
      <c r="F2970" t="s">
        <v>32</v>
      </c>
      <c r="G2970" t="s">
        <v>22</v>
      </c>
      <c r="I2970" t="s">
        <v>57</v>
      </c>
      <c r="J2970" t="s">
        <v>1577</v>
      </c>
      <c r="L2970">
        <v>5.2</v>
      </c>
      <c r="N2970">
        <v>2.9</v>
      </c>
      <c r="O2970">
        <v>10</v>
      </c>
      <c r="P2970" t="s">
        <v>26</v>
      </c>
    </row>
    <row r="2971" spans="1:16" x14ac:dyDescent="0.25">
      <c r="A2971" t="s">
        <v>6826</v>
      </c>
      <c r="B2971" t="s">
        <v>6827</v>
      </c>
      <c r="C2971" t="s">
        <v>18</v>
      </c>
      <c r="D2971" t="s">
        <v>43</v>
      </c>
      <c r="E2971" t="s">
        <v>20</v>
      </c>
      <c r="F2971" t="s">
        <v>39</v>
      </c>
      <c r="G2971" t="s">
        <v>22</v>
      </c>
      <c r="H2971" t="s">
        <v>46</v>
      </c>
      <c r="I2971" t="s">
        <v>57</v>
      </c>
      <c r="J2971" t="s">
        <v>2433</v>
      </c>
      <c r="L2971">
        <v>3.9</v>
      </c>
      <c r="M2971">
        <v>142000</v>
      </c>
      <c r="N2971">
        <v>2.1</v>
      </c>
      <c r="O2971">
        <v>18</v>
      </c>
      <c r="P2971" t="s">
        <v>26</v>
      </c>
    </row>
    <row r="2972" spans="1:16" x14ac:dyDescent="0.25">
      <c r="A2972" t="s">
        <v>6828</v>
      </c>
      <c r="B2972" t="s">
        <v>1608</v>
      </c>
      <c r="C2972" t="s">
        <v>29</v>
      </c>
      <c r="D2972" t="s">
        <v>30</v>
      </c>
      <c r="E2972" t="s">
        <v>20</v>
      </c>
      <c r="F2972" t="s">
        <v>21</v>
      </c>
      <c r="G2972" t="s">
        <v>22</v>
      </c>
      <c r="H2972" t="s">
        <v>23</v>
      </c>
      <c r="I2972" t="s">
        <v>35</v>
      </c>
      <c r="J2972" t="s">
        <v>1997</v>
      </c>
      <c r="K2972" t="s">
        <v>239</v>
      </c>
      <c r="L2972">
        <v>2.4</v>
      </c>
      <c r="M2972">
        <v>923000</v>
      </c>
      <c r="N2972">
        <v>5</v>
      </c>
      <c r="O2972">
        <v>14</v>
      </c>
      <c r="P2972" t="s">
        <v>53</v>
      </c>
    </row>
    <row r="2973" spans="1:16" x14ac:dyDescent="0.25">
      <c r="A2973" t="s">
        <v>6829</v>
      </c>
      <c r="B2973" t="s">
        <v>6830</v>
      </c>
      <c r="C2973" t="s">
        <v>18</v>
      </c>
      <c r="D2973" t="s">
        <v>30</v>
      </c>
      <c r="E2973" t="s">
        <v>20</v>
      </c>
      <c r="F2973" t="s">
        <v>32</v>
      </c>
      <c r="G2973" t="s">
        <v>69</v>
      </c>
      <c r="I2973" t="s">
        <v>35</v>
      </c>
      <c r="J2973" t="s">
        <v>3580</v>
      </c>
      <c r="L2973">
        <v>1.7</v>
      </c>
      <c r="M2973">
        <v>305000</v>
      </c>
      <c r="N2973">
        <v>3.2</v>
      </c>
      <c r="O2973">
        <v>14</v>
      </c>
      <c r="P2973" t="s">
        <v>26</v>
      </c>
    </row>
    <row r="2974" spans="1:16" x14ac:dyDescent="0.25">
      <c r="A2974" t="s">
        <v>6831</v>
      </c>
      <c r="B2974" t="s">
        <v>6006</v>
      </c>
      <c r="C2974" t="s">
        <v>18</v>
      </c>
      <c r="D2974" t="s">
        <v>43</v>
      </c>
      <c r="E2974" t="s">
        <v>44</v>
      </c>
      <c r="F2974" t="s">
        <v>39</v>
      </c>
      <c r="G2974" t="s">
        <v>33</v>
      </c>
      <c r="H2974" t="s">
        <v>23</v>
      </c>
      <c r="I2974" t="s">
        <v>57</v>
      </c>
      <c r="J2974" t="s">
        <v>2189</v>
      </c>
      <c r="K2974" t="s">
        <v>6832</v>
      </c>
      <c r="L2974">
        <v>2.1</v>
      </c>
      <c r="M2974">
        <v>154000</v>
      </c>
      <c r="N2974">
        <v>3.4</v>
      </c>
      <c r="O2974">
        <v>34</v>
      </c>
      <c r="P2974" t="s">
        <v>72</v>
      </c>
    </row>
    <row r="2975" spans="1:16" x14ac:dyDescent="0.25">
      <c r="A2975" t="s">
        <v>6833</v>
      </c>
      <c r="B2975" t="s">
        <v>5369</v>
      </c>
      <c r="C2975" t="s">
        <v>29</v>
      </c>
      <c r="D2975" t="s">
        <v>50</v>
      </c>
      <c r="E2975" t="s">
        <v>20</v>
      </c>
      <c r="F2975" t="s">
        <v>39</v>
      </c>
      <c r="G2975" t="s">
        <v>22</v>
      </c>
      <c r="H2975" t="s">
        <v>34</v>
      </c>
      <c r="I2975" t="s">
        <v>24</v>
      </c>
      <c r="J2975" t="s">
        <v>748</v>
      </c>
      <c r="L2975">
        <v>4.5999999999999996</v>
      </c>
      <c r="M2975">
        <v>113000</v>
      </c>
      <c r="N2975">
        <v>2.6</v>
      </c>
      <c r="O2975">
        <v>31</v>
      </c>
      <c r="P2975" t="s">
        <v>26</v>
      </c>
    </row>
    <row r="2976" spans="1:16" x14ac:dyDescent="0.25">
      <c r="A2976" t="s">
        <v>6834</v>
      </c>
      <c r="B2976" t="s">
        <v>4468</v>
      </c>
      <c r="C2976" t="s">
        <v>18</v>
      </c>
      <c r="D2976" t="s">
        <v>50</v>
      </c>
      <c r="E2976" t="s">
        <v>20</v>
      </c>
      <c r="F2976" t="s">
        <v>32</v>
      </c>
      <c r="G2976" t="s">
        <v>22</v>
      </c>
      <c r="H2976" t="s">
        <v>46</v>
      </c>
      <c r="I2976" t="s">
        <v>57</v>
      </c>
      <c r="J2976" t="s">
        <v>1003</v>
      </c>
      <c r="L2976">
        <v>3</v>
      </c>
      <c r="M2976">
        <v>345000</v>
      </c>
      <c r="N2976">
        <v>3</v>
      </c>
      <c r="O2976">
        <v>13</v>
      </c>
      <c r="P2976" t="s">
        <v>26</v>
      </c>
    </row>
    <row r="2977" spans="1:16" x14ac:dyDescent="0.25">
      <c r="A2977" t="s">
        <v>6835</v>
      </c>
      <c r="B2977" t="s">
        <v>6836</v>
      </c>
      <c r="C2977" t="s">
        <v>18</v>
      </c>
      <c r="D2977" t="s">
        <v>30</v>
      </c>
      <c r="E2977" t="s">
        <v>20</v>
      </c>
      <c r="G2977" t="s">
        <v>33</v>
      </c>
      <c r="H2977" t="s">
        <v>62</v>
      </c>
      <c r="I2977" t="s">
        <v>24</v>
      </c>
      <c r="J2977" t="s">
        <v>3256</v>
      </c>
      <c r="K2977" t="s">
        <v>4778</v>
      </c>
      <c r="L2977">
        <v>2.6</v>
      </c>
      <c r="M2977">
        <v>209000</v>
      </c>
      <c r="N2977">
        <v>3.1</v>
      </c>
      <c r="O2977">
        <v>9</v>
      </c>
      <c r="P2977" t="s">
        <v>53</v>
      </c>
    </row>
    <row r="2978" spans="1:16" x14ac:dyDescent="0.25">
      <c r="A2978" t="s">
        <v>6837</v>
      </c>
      <c r="B2978" t="s">
        <v>763</v>
      </c>
      <c r="C2978" t="s">
        <v>29</v>
      </c>
      <c r="D2978" t="s">
        <v>43</v>
      </c>
      <c r="E2978" t="s">
        <v>44</v>
      </c>
      <c r="F2978" t="s">
        <v>39</v>
      </c>
      <c r="G2978" t="s">
        <v>22</v>
      </c>
      <c r="H2978" t="s">
        <v>23</v>
      </c>
      <c r="I2978" t="s">
        <v>171</v>
      </c>
      <c r="J2978" t="s">
        <v>6453</v>
      </c>
      <c r="L2978">
        <v>1.8</v>
      </c>
      <c r="M2978">
        <v>119000</v>
      </c>
      <c r="N2978">
        <v>3</v>
      </c>
      <c r="P2978" t="s">
        <v>26</v>
      </c>
    </row>
    <row r="2979" spans="1:16" x14ac:dyDescent="0.25">
      <c r="A2979" t="s">
        <v>6838</v>
      </c>
      <c r="B2979" t="s">
        <v>2801</v>
      </c>
      <c r="C2979" t="s">
        <v>18</v>
      </c>
      <c r="D2979" t="s">
        <v>50</v>
      </c>
      <c r="E2979" t="s">
        <v>20</v>
      </c>
      <c r="F2979" t="s">
        <v>128</v>
      </c>
      <c r="G2979" t="s">
        <v>22</v>
      </c>
      <c r="H2979" t="s">
        <v>34</v>
      </c>
      <c r="I2979" t="s">
        <v>35</v>
      </c>
      <c r="J2979" t="s">
        <v>6514</v>
      </c>
      <c r="L2979">
        <v>5.7</v>
      </c>
      <c r="M2979">
        <v>429000</v>
      </c>
      <c r="N2979">
        <v>4.3</v>
      </c>
      <c r="O2979">
        <v>3</v>
      </c>
      <c r="P2979" t="s">
        <v>26</v>
      </c>
    </row>
    <row r="2980" spans="1:16" x14ac:dyDescent="0.25">
      <c r="A2980" t="s">
        <v>6839</v>
      </c>
      <c r="B2980" t="s">
        <v>1639</v>
      </c>
      <c r="C2980" t="s">
        <v>18</v>
      </c>
      <c r="D2980" t="s">
        <v>50</v>
      </c>
      <c r="E2980" t="s">
        <v>44</v>
      </c>
      <c r="F2980" t="s">
        <v>32</v>
      </c>
      <c r="G2980" t="s">
        <v>80</v>
      </c>
      <c r="H2980" t="s">
        <v>23</v>
      </c>
      <c r="I2980" t="s">
        <v>24</v>
      </c>
      <c r="J2980" t="s">
        <v>159</v>
      </c>
      <c r="L2980">
        <v>1.5</v>
      </c>
      <c r="M2980">
        <v>308000</v>
      </c>
      <c r="N2980">
        <v>3.5</v>
      </c>
      <c r="O2980">
        <v>3</v>
      </c>
      <c r="P2980" t="s">
        <v>26</v>
      </c>
    </row>
    <row r="2981" spans="1:16" x14ac:dyDescent="0.25">
      <c r="A2981" t="s">
        <v>6840</v>
      </c>
      <c r="B2981" t="s">
        <v>3934</v>
      </c>
      <c r="C2981" t="s">
        <v>29</v>
      </c>
      <c r="D2981" t="s">
        <v>50</v>
      </c>
      <c r="E2981" t="s">
        <v>20</v>
      </c>
      <c r="F2981" t="s">
        <v>39</v>
      </c>
      <c r="G2981" t="s">
        <v>33</v>
      </c>
      <c r="H2981" t="s">
        <v>34</v>
      </c>
      <c r="I2981" t="s">
        <v>75</v>
      </c>
      <c r="J2981" t="s">
        <v>3809</v>
      </c>
      <c r="K2981" t="s">
        <v>411</v>
      </c>
      <c r="L2981">
        <v>4.2</v>
      </c>
      <c r="M2981">
        <v>112000</v>
      </c>
      <c r="N2981">
        <v>2.2999999999999998</v>
      </c>
      <c r="O2981">
        <v>1</v>
      </c>
      <c r="P2981" t="s">
        <v>53</v>
      </c>
    </row>
    <row r="2982" spans="1:16" x14ac:dyDescent="0.25">
      <c r="A2982" t="s">
        <v>6841</v>
      </c>
      <c r="B2982" t="s">
        <v>2527</v>
      </c>
      <c r="C2982" t="s">
        <v>18</v>
      </c>
      <c r="D2982" t="s">
        <v>43</v>
      </c>
      <c r="E2982" t="s">
        <v>20</v>
      </c>
      <c r="F2982" t="s">
        <v>32</v>
      </c>
      <c r="G2982" t="s">
        <v>22</v>
      </c>
      <c r="H2982" t="s">
        <v>23</v>
      </c>
      <c r="I2982" t="s">
        <v>24</v>
      </c>
      <c r="J2982" t="s">
        <v>235</v>
      </c>
      <c r="L2982">
        <v>2.8</v>
      </c>
      <c r="M2982">
        <v>237000</v>
      </c>
      <c r="N2982">
        <v>2.5</v>
      </c>
      <c r="O2982">
        <v>6</v>
      </c>
      <c r="P2982" t="s">
        <v>26</v>
      </c>
    </row>
    <row r="2983" spans="1:16" x14ac:dyDescent="0.25">
      <c r="A2983" t="s">
        <v>6842</v>
      </c>
      <c r="B2983" t="s">
        <v>4413</v>
      </c>
      <c r="C2983" t="s">
        <v>29</v>
      </c>
      <c r="D2983" t="s">
        <v>50</v>
      </c>
      <c r="E2983" t="s">
        <v>20</v>
      </c>
      <c r="F2983" t="s">
        <v>39</v>
      </c>
      <c r="G2983" t="s">
        <v>22</v>
      </c>
      <c r="H2983" t="s">
        <v>23</v>
      </c>
      <c r="I2983" t="s">
        <v>35</v>
      </c>
      <c r="J2983" t="s">
        <v>6011</v>
      </c>
      <c r="K2983" t="s">
        <v>6843</v>
      </c>
      <c r="L2983">
        <v>4.9000000000000004</v>
      </c>
      <c r="M2983">
        <v>159000</v>
      </c>
      <c r="N2983">
        <v>3.9</v>
      </c>
      <c r="O2983">
        <v>7</v>
      </c>
      <c r="P2983" t="s">
        <v>72</v>
      </c>
    </row>
    <row r="2984" spans="1:16" x14ac:dyDescent="0.25">
      <c r="A2984" t="s">
        <v>6844</v>
      </c>
      <c r="B2984" t="s">
        <v>6845</v>
      </c>
      <c r="C2984" t="s">
        <v>29</v>
      </c>
      <c r="D2984" t="s">
        <v>30</v>
      </c>
      <c r="F2984" t="s">
        <v>32</v>
      </c>
      <c r="G2984" t="s">
        <v>80</v>
      </c>
      <c r="H2984" t="s">
        <v>46</v>
      </c>
      <c r="I2984" t="s">
        <v>75</v>
      </c>
      <c r="J2984" t="s">
        <v>6846</v>
      </c>
      <c r="K2984" t="s">
        <v>993</v>
      </c>
      <c r="L2984">
        <v>4.8</v>
      </c>
      <c r="M2984">
        <v>278000</v>
      </c>
      <c r="N2984">
        <v>2.1</v>
      </c>
      <c r="O2984">
        <v>8</v>
      </c>
      <c r="P2984" t="s">
        <v>114</v>
      </c>
    </row>
    <row r="2985" spans="1:16" x14ac:dyDescent="0.25">
      <c r="A2985" t="s">
        <v>6847</v>
      </c>
      <c r="B2985" t="s">
        <v>1352</v>
      </c>
      <c r="C2985" t="s">
        <v>18</v>
      </c>
      <c r="D2985" t="s">
        <v>19</v>
      </c>
      <c r="E2985" t="s">
        <v>20</v>
      </c>
      <c r="F2985" t="s">
        <v>128</v>
      </c>
      <c r="G2985" t="s">
        <v>69</v>
      </c>
      <c r="H2985" t="s">
        <v>23</v>
      </c>
      <c r="J2985" t="s">
        <v>2384</v>
      </c>
      <c r="K2985" t="s">
        <v>3804</v>
      </c>
      <c r="L2985">
        <v>3.4</v>
      </c>
      <c r="M2985">
        <v>535000</v>
      </c>
      <c r="N2985">
        <v>2.2000000000000002</v>
      </c>
      <c r="O2985">
        <v>22</v>
      </c>
      <c r="P2985" t="s">
        <v>53</v>
      </c>
    </row>
    <row r="2986" spans="1:16" x14ac:dyDescent="0.25">
      <c r="A2986" t="s">
        <v>6848</v>
      </c>
      <c r="B2986" t="s">
        <v>6849</v>
      </c>
      <c r="C2986" t="s">
        <v>18</v>
      </c>
      <c r="D2986" t="s">
        <v>50</v>
      </c>
      <c r="E2986" t="s">
        <v>20</v>
      </c>
      <c r="F2986" t="s">
        <v>39</v>
      </c>
      <c r="G2986" t="s">
        <v>22</v>
      </c>
      <c r="H2986" t="s">
        <v>46</v>
      </c>
      <c r="I2986" t="s">
        <v>24</v>
      </c>
      <c r="J2986" t="s">
        <v>6850</v>
      </c>
      <c r="K2986" t="s">
        <v>520</v>
      </c>
      <c r="L2986">
        <v>2.2999999999999998</v>
      </c>
      <c r="M2986">
        <v>157000</v>
      </c>
      <c r="N2986">
        <v>4.8</v>
      </c>
      <c r="O2986">
        <v>10</v>
      </c>
      <c r="P2986" t="s">
        <v>114</v>
      </c>
    </row>
    <row r="2987" spans="1:16" x14ac:dyDescent="0.25">
      <c r="A2987" t="s">
        <v>6851</v>
      </c>
      <c r="B2987" t="s">
        <v>6852</v>
      </c>
      <c r="C2987" t="s">
        <v>29</v>
      </c>
      <c r="D2987" t="s">
        <v>79</v>
      </c>
      <c r="E2987" t="s">
        <v>31</v>
      </c>
      <c r="F2987" t="s">
        <v>128</v>
      </c>
      <c r="G2987" t="s">
        <v>33</v>
      </c>
      <c r="H2987" t="s">
        <v>23</v>
      </c>
      <c r="I2987" t="s">
        <v>57</v>
      </c>
      <c r="J2987" t="s">
        <v>411</v>
      </c>
      <c r="K2987" t="s">
        <v>2499</v>
      </c>
      <c r="L2987">
        <v>3.1</v>
      </c>
      <c r="M2987">
        <v>519000</v>
      </c>
      <c r="N2987">
        <v>2.2000000000000002</v>
      </c>
      <c r="O2987">
        <v>1</v>
      </c>
      <c r="P2987" t="s">
        <v>53</v>
      </c>
    </row>
    <row r="2988" spans="1:16" x14ac:dyDescent="0.25">
      <c r="A2988" t="s">
        <v>6853</v>
      </c>
      <c r="B2988" t="s">
        <v>2371</v>
      </c>
      <c r="C2988" t="s">
        <v>29</v>
      </c>
      <c r="D2988" t="s">
        <v>19</v>
      </c>
      <c r="E2988" t="s">
        <v>20</v>
      </c>
      <c r="F2988" t="s">
        <v>128</v>
      </c>
      <c r="G2988" t="s">
        <v>22</v>
      </c>
      <c r="H2988" t="s">
        <v>23</v>
      </c>
      <c r="I2988" t="s">
        <v>24</v>
      </c>
      <c r="J2988" t="s">
        <v>360</v>
      </c>
      <c r="L2988">
        <v>1.5</v>
      </c>
      <c r="M2988">
        <v>493000</v>
      </c>
      <c r="N2988">
        <v>4.0999999999999996</v>
      </c>
      <c r="O2988">
        <v>32</v>
      </c>
      <c r="P2988" t="s">
        <v>26</v>
      </c>
    </row>
    <row r="2989" spans="1:16" x14ac:dyDescent="0.25">
      <c r="A2989" t="s">
        <v>6854</v>
      </c>
      <c r="B2989" t="s">
        <v>5569</v>
      </c>
      <c r="C2989" t="s">
        <v>29</v>
      </c>
      <c r="D2989" t="s">
        <v>30</v>
      </c>
      <c r="E2989" t="s">
        <v>20</v>
      </c>
      <c r="F2989" t="s">
        <v>39</v>
      </c>
      <c r="G2989" t="s">
        <v>22</v>
      </c>
      <c r="H2989" t="s">
        <v>23</v>
      </c>
      <c r="I2989" t="s">
        <v>35</v>
      </c>
      <c r="J2989" t="s">
        <v>3172</v>
      </c>
      <c r="L2989">
        <v>1.7</v>
      </c>
      <c r="M2989">
        <v>89000</v>
      </c>
      <c r="N2989">
        <v>3.1</v>
      </c>
      <c r="O2989">
        <v>1</v>
      </c>
      <c r="P2989" t="s">
        <v>26</v>
      </c>
    </row>
    <row r="2990" spans="1:16" x14ac:dyDescent="0.25">
      <c r="A2990" t="s">
        <v>6855</v>
      </c>
      <c r="B2990" t="s">
        <v>6856</v>
      </c>
      <c r="C2990" t="s">
        <v>29</v>
      </c>
      <c r="D2990" t="s">
        <v>43</v>
      </c>
      <c r="E2990" t="s">
        <v>44</v>
      </c>
      <c r="F2990" t="s">
        <v>128</v>
      </c>
      <c r="G2990" t="s">
        <v>22</v>
      </c>
      <c r="H2990" t="s">
        <v>46</v>
      </c>
      <c r="I2990" t="s">
        <v>24</v>
      </c>
      <c r="J2990" t="s">
        <v>1550</v>
      </c>
      <c r="K2990" t="s">
        <v>4595</v>
      </c>
      <c r="L2990">
        <v>3</v>
      </c>
      <c r="M2990">
        <v>416000</v>
      </c>
      <c r="N2990">
        <v>2.1</v>
      </c>
      <c r="O2990">
        <v>6</v>
      </c>
      <c r="P2990" t="s">
        <v>72</v>
      </c>
    </row>
    <row r="2991" spans="1:16" x14ac:dyDescent="0.25">
      <c r="A2991" t="s">
        <v>6857</v>
      </c>
      <c r="B2991" t="s">
        <v>421</v>
      </c>
      <c r="C2991" t="s">
        <v>18</v>
      </c>
      <c r="D2991" t="s">
        <v>79</v>
      </c>
      <c r="E2991" t="s">
        <v>20</v>
      </c>
      <c r="F2991" t="s">
        <v>32</v>
      </c>
      <c r="G2991" t="s">
        <v>22</v>
      </c>
      <c r="H2991" t="s">
        <v>34</v>
      </c>
      <c r="I2991" t="s">
        <v>171</v>
      </c>
      <c r="J2991" t="s">
        <v>5382</v>
      </c>
      <c r="K2991" t="s">
        <v>3330</v>
      </c>
      <c r="L2991">
        <v>5.5</v>
      </c>
      <c r="M2991">
        <v>291000</v>
      </c>
      <c r="N2991">
        <v>4.7</v>
      </c>
      <c r="O2991">
        <v>7</v>
      </c>
      <c r="P2991" t="s">
        <v>72</v>
      </c>
    </row>
    <row r="2992" spans="1:16" x14ac:dyDescent="0.25">
      <c r="A2992" t="s">
        <v>6858</v>
      </c>
      <c r="B2992" t="s">
        <v>164</v>
      </c>
      <c r="C2992" t="s">
        <v>29</v>
      </c>
      <c r="D2992" t="s">
        <v>79</v>
      </c>
      <c r="E2992" t="s">
        <v>31</v>
      </c>
      <c r="F2992" t="s">
        <v>128</v>
      </c>
      <c r="G2992" t="s">
        <v>22</v>
      </c>
      <c r="H2992" t="s">
        <v>23</v>
      </c>
      <c r="I2992" t="s">
        <v>57</v>
      </c>
      <c r="J2992" t="s">
        <v>1921</v>
      </c>
      <c r="K2992" t="s">
        <v>6859</v>
      </c>
      <c r="L2992">
        <v>6.2</v>
      </c>
      <c r="M2992">
        <v>392000</v>
      </c>
      <c r="N2992">
        <v>2.8</v>
      </c>
      <c r="P2992" t="s">
        <v>53</v>
      </c>
    </row>
    <row r="2993" spans="1:16" x14ac:dyDescent="0.25">
      <c r="A2993" t="s">
        <v>6860</v>
      </c>
      <c r="B2993" t="s">
        <v>6861</v>
      </c>
      <c r="C2993" t="s">
        <v>29</v>
      </c>
      <c r="D2993" t="s">
        <v>50</v>
      </c>
      <c r="E2993" t="s">
        <v>20</v>
      </c>
      <c r="F2993" t="s">
        <v>21</v>
      </c>
      <c r="G2993" t="s">
        <v>80</v>
      </c>
      <c r="H2993" t="s">
        <v>34</v>
      </c>
      <c r="I2993" t="s">
        <v>35</v>
      </c>
      <c r="J2993" t="s">
        <v>2499</v>
      </c>
      <c r="L2993">
        <v>2.2000000000000002</v>
      </c>
      <c r="M2993">
        <v>926000</v>
      </c>
      <c r="N2993">
        <v>3.4</v>
      </c>
      <c r="O2993">
        <v>6</v>
      </c>
      <c r="P2993" t="s">
        <v>26</v>
      </c>
    </row>
    <row r="2994" spans="1:16" x14ac:dyDescent="0.25">
      <c r="A2994" t="s">
        <v>6862</v>
      </c>
      <c r="B2994" t="s">
        <v>4723</v>
      </c>
      <c r="C2994" t="s">
        <v>18</v>
      </c>
      <c r="D2994" t="s">
        <v>79</v>
      </c>
      <c r="E2994" t="s">
        <v>44</v>
      </c>
      <c r="G2994" t="s">
        <v>33</v>
      </c>
      <c r="H2994" t="s">
        <v>23</v>
      </c>
      <c r="I2994" t="s">
        <v>24</v>
      </c>
      <c r="J2994" t="s">
        <v>3801</v>
      </c>
      <c r="K2994" t="s">
        <v>2048</v>
      </c>
      <c r="L2994">
        <v>2.9</v>
      </c>
      <c r="M2994">
        <v>178000</v>
      </c>
      <c r="N2994">
        <v>3.1</v>
      </c>
      <c r="O2994">
        <v>5</v>
      </c>
      <c r="P2994" t="s">
        <v>72</v>
      </c>
    </row>
    <row r="2995" spans="1:16" x14ac:dyDescent="0.25">
      <c r="A2995" t="s">
        <v>6863</v>
      </c>
      <c r="B2995" t="s">
        <v>2946</v>
      </c>
      <c r="C2995" t="s">
        <v>252</v>
      </c>
      <c r="D2995" t="s">
        <v>79</v>
      </c>
      <c r="F2995" t="s">
        <v>32</v>
      </c>
      <c r="G2995" t="s">
        <v>80</v>
      </c>
      <c r="H2995" t="s">
        <v>23</v>
      </c>
      <c r="I2995" t="s">
        <v>24</v>
      </c>
      <c r="J2995" t="s">
        <v>6864</v>
      </c>
      <c r="L2995">
        <v>5.8</v>
      </c>
      <c r="M2995">
        <v>181000</v>
      </c>
      <c r="N2995">
        <v>3.4</v>
      </c>
      <c r="O2995">
        <v>11</v>
      </c>
      <c r="P2995" t="s">
        <v>26</v>
      </c>
    </row>
    <row r="2996" spans="1:16" x14ac:dyDescent="0.25">
      <c r="A2996" t="s">
        <v>6865</v>
      </c>
      <c r="B2996" t="s">
        <v>2659</v>
      </c>
      <c r="C2996" t="s">
        <v>29</v>
      </c>
      <c r="D2996" t="s">
        <v>50</v>
      </c>
      <c r="E2996" t="s">
        <v>44</v>
      </c>
      <c r="F2996" t="s">
        <v>128</v>
      </c>
      <c r="G2996" t="s">
        <v>80</v>
      </c>
      <c r="H2996" t="s">
        <v>34</v>
      </c>
      <c r="I2996" t="s">
        <v>57</v>
      </c>
      <c r="J2996" t="s">
        <v>5954</v>
      </c>
      <c r="L2996">
        <v>5.8</v>
      </c>
      <c r="M2996">
        <v>588000</v>
      </c>
      <c r="N2996">
        <v>2.4</v>
      </c>
      <c r="O2996">
        <v>4</v>
      </c>
      <c r="P2996" t="s">
        <v>26</v>
      </c>
    </row>
    <row r="2997" spans="1:16" x14ac:dyDescent="0.25">
      <c r="A2997" t="s">
        <v>6866</v>
      </c>
      <c r="B2997" t="s">
        <v>6867</v>
      </c>
      <c r="C2997" t="s">
        <v>18</v>
      </c>
      <c r="D2997" t="s">
        <v>30</v>
      </c>
      <c r="F2997" t="s">
        <v>39</v>
      </c>
      <c r="G2997" t="s">
        <v>22</v>
      </c>
      <c r="H2997" t="s">
        <v>62</v>
      </c>
      <c r="I2997" t="s">
        <v>24</v>
      </c>
      <c r="J2997" t="s">
        <v>6868</v>
      </c>
      <c r="K2997" t="s">
        <v>246</v>
      </c>
      <c r="L2997">
        <v>4.0999999999999996</v>
      </c>
      <c r="M2997">
        <v>131000</v>
      </c>
      <c r="N2997">
        <v>2.5</v>
      </c>
      <c r="O2997">
        <v>7</v>
      </c>
      <c r="P2997" t="s">
        <v>53</v>
      </c>
    </row>
    <row r="2998" spans="1:16" x14ac:dyDescent="0.25">
      <c r="A2998" t="s">
        <v>6869</v>
      </c>
      <c r="B2998" t="s">
        <v>1641</v>
      </c>
      <c r="C2998" t="s">
        <v>18</v>
      </c>
      <c r="E2998" t="s">
        <v>31</v>
      </c>
      <c r="F2998" t="s">
        <v>39</v>
      </c>
      <c r="G2998" t="s">
        <v>22</v>
      </c>
      <c r="H2998" t="s">
        <v>23</v>
      </c>
      <c r="I2998" t="s">
        <v>57</v>
      </c>
      <c r="J2998" t="s">
        <v>2417</v>
      </c>
      <c r="K2998" t="s">
        <v>6870</v>
      </c>
      <c r="L2998">
        <v>3</v>
      </c>
      <c r="M2998">
        <v>104000</v>
      </c>
      <c r="N2998">
        <v>2.2000000000000002</v>
      </c>
      <c r="O2998">
        <v>7</v>
      </c>
      <c r="P2998" t="s">
        <v>114</v>
      </c>
    </row>
    <row r="2999" spans="1:16" x14ac:dyDescent="0.25">
      <c r="A2999" t="s">
        <v>6871</v>
      </c>
      <c r="B2999" t="s">
        <v>6872</v>
      </c>
      <c r="C2999" t="s">
        <v>18</v>
      </c>
      <c r="D2999" t="s">
        <v>19</v>
      </c>
      <c r="E2999" t="s">
        <v>20</v>
      </c>
      <c r="F2999" t="s">
        <v>39</v>
      </c>
      <c r="G2999" t="s">
        <v>80</v>
      </c>
      <c r="H2999" t="s">
        <v>23</v>
      </c>
      <c r="I2999" t="s">
        <v>75</v>
      </c>
      <c r="J2999" t="s">
        <v>2799</v>
      </c>
      <c r="L2999">
        <v>2.9</v>
      </c>
      <c r="M2999">
        <v>98000</v>
      </c>
      <c r="N2999">
        <v>4.2</v>
      </c>
      <c r="O2999">
        <v>6</v>
      </c>
      <c r="P2999" t="s">
        <v>26</v>
      </c>
    </row>
    <row r="3000" spans="1:16" x14ac:dyDescent="0.25">
      <c r="A3000" t="s">
        <v>6873</v>
      </c>
      <c r="B3000" t="s">
        <v>6595</v>
      </c>
      <c r="C3000" t="s">
        <v>18</v>
      </c>
      <c r="D3000" t="s">
        <v>50</v>
      </c>
      <c r="F3000" t="s">
        <v>32</v>
      </c>
      <c r="G3000" t="s">
        <v>22</v>
      </c>
      <c r="H3000" t="s">
        <v>23</v>
      </c>
      <c r="I3000" t="s">
        <v>35</v>
      </c>
      <c r="J3000" t="s">
        <v>6874</v>
      </c>
      <c r="L3000">
        <v>5.0999999999999996</v>
      </c>
      <c r="M3000">
        <v>196000</v>
      </c>
      <c r="N3000">
        <v>4.0999999999999996</v>
      </c>
      <c r="O3000">
        <v>10</v>
      </c>
      <c r="P3000" t="s">
        <v>26</v>
      </c>
    </row>
    <row r="3001" spans="1:16" x14ac:dyDescent="0.25">
      <c r="A3001" t="s">
        <v>6875</v>
      </c>
      <c r="B3001" t="s">
        <v>3610</v>
      </c>
      <c r="C3001" t="s">
        <v>18</v>
      </c>
      <c r="D3001" t="s">
        <v>50</v>
      </c>
      <c r="E3001" t="s">
        <v>44</v>
      </c>
      <c r="F3001" t="s">
        <v>128</v>
      </c>
      <c r="G3001" t="s">
        <v>22</v>
      </c>
      <c r="H3001" t="s">
        <v>34</v>
      </c>
      <c r="I3001" t="s">
        <v>24</v>
      </c>
      <c r="J3001" t="s">
        <v>4192</v>
      </c>
      <c r="L3001">
        <v>5.6</v>
      </c>
      <c r="M3001">
        <v>551000</v>
      </c>
      <c r="N3001">
        <v>4.9000000000000004</v>
      </c>
      <c r="O3001">
        <v>7</v>
      </c>
      <c r="P3001" t="s">
        <v>53</v>
      </c>
    </row>
    <row r="3002" spans="1:16" x14ac:dyDescent="0.25">
      <c r="A3002" t="s">
        <v>6876</v>
      </c>
      <c r="B3002" t="s">
        <v>2046</v>
      </c>
      <c r="C3002" t="s">
        <v>29</v>
      </c>
      <c r="D3002" t="s">
        <v>30</v>
      </c>
      <c r="E3002" t="s">
        <v>44</v>
      </c>
      <c r="F3002" t="s">
        <v>32</v>
      </c>
      <c r="G3002" t="s">
        <v>33</v>
      </c>
      <c r="H3002" t="s">
        <v>46</v>
      </c>
      <c r="I3002" t="s">
        <v>24</v>
      </c>
      <c r="J3002" t="s">
        <v>693</v>
      </c>
      <c r="K3002" t="s">
        <v>6877</v>
      </c>
      <c r="L3002">
        <v>1.3</v>
      </c>
      <c r="M3002">
        <v>274000</v>
      </c>
      <c r="N3002">
        <v>2.4</v>
      </c>
      <c r="O3002">
        <v>34</v>
      </c>
      <c r="P3002" t="s">
        <v>53</v>
      </c>
    </row>
    <row r="3003" spans="1:16" x14ac:dyDescent="0.25">
      <c r="A3003" t="s">
        <v>6878</v>
      </c>
      <c r="B3003" t="s">
        <v>4318</v>
      </c>
      <c r="C3003" t="s">
        <v>29</v>
      </c>
      <c r="D3003" t="s">
        <v>79</v>
      </c>
      <c r="E3003" t="s">
        <v>44</v>
      </c>
      <c r="F3003" t="s">
        <v>21</v>
      </c>
      <c r="G3003" t="s">
        <v>22</v>
      </c>
      <c r="H3003" t="s">
        <v>23</v>
      </c>
      <c r="I3003" t="s">
        <v>75</v>
      </c>
      <c r="J3003" t="s">
        <v>1503</v>
      </c>
      <c r="L3003">
        <v>2.5</v>
      </c>
      <c r="M3003">
        <v>902000</v>
      </c>
      <c r="O3003">
        <v>7</v>
      </c>
      <c r="P3003" t="s">
        <v>26</v>
      </c>
    </row>
    <row r="3004" spans="1:16" x14ac:dyDescent="0.25">
      <c r="A3004" t="s">
        <v>6879</v>
      </c>
      <c r="B3004" t="s">
        <v>6880</v>
      </c>
      <c r="C3004" t="s">
        <v>18</v>
      </c>
      <c r="D3004" t="s">
        <v>862</v>
      </c>
      <c r="E3004" t="s">
        <v>20</v>
      </c>
      <c r="F3004" t="s">
        <v>39</v>
      </c>
      <c r="G3004" t="s">
        <v>80</v>
      </c>
      <c r="H3004" t="s">
        <v>34</v>
      </c>
      <c r="I3004" t="s">
        <v>57</v>
      </c>
      <c r="J3004" t="s">
        <v>755</v>
      </c>
      <c r="L3004">
        <v>2.7</v>
      </c>
      <c r="M3004">
        <v>164000</v>
      </c>
      <c r="N3004">
        <v>2.7</v>
      </c>
      <c r="O3004">
        <v>10</v>
      </c>
      <c r="P3004" t="s">
        <v>26</v>
      </c>
    </row>
    <row r="3005" spans="1:16" x14ac:dyDescent="0.25">
      <c r="A3005" t="s">
        <v>6881</v>
      </c>
      <c r="B3005" t="s">
        <v>38</v>
      </c>
      <c r="C3005" t="s">
        <v>18</v>
      </c>
      <c r="D3005" t="s">
        <v>30</v>
      </c>
      <c r="E3005" t="s">
        <v>20</v>
      </c>
      <c r="F3005" t="s">
        <v>32</v>
      </c>
      <c r="G3005" t="s">
        <v>22</v>
      </c>
      <c r="H3005" t="s">
        <v>62</v>
      </c>
      <c r="I3005" t="s">
        <v>35</v>
      </c>
      <c r="J3005" t="s">
        <v>1665</v>
      </c>
      <c r="L3005">
        <v>2.2999999999999998</v>
      </c>
      <c r="M3005">
        <v>220000</v>
      </c>
      <c r="N3005">
        <v>1.8</v>
      </c>
      <c r="O3005">
        <v>11</v>
      </c>
      <c r="P3005" t="s">
        <v>26</v>
      </c>
    </row>
    <row r="3006" spans="1:16" x14ac:dyDescent="0.25">
      <c r="A3006" t="s">
        <v>6882</v>
      </c>
      <c r="B3006" t="s">
        <v>1163</v>
      </c>
      <c r="C3006" t="s">
        <v>18</v>
      </c>
      <c r="D3006" t="s">
        <v>79</v>
      </c>
      <c r="E3006" t="s">
        <v>44</v>
      </c>
      <c r="G3006" t="s">
        <v>22</v>
      </c>
      <c r="H3006" t="s">
        <v>46</v>
      </c>
      <c r="I3006" t="s">
        <v>24</v>
      </c>
      <c r="J3006" t="s">
        <v>232</v>
      </c>
      <c r="L3006">
        <v>3.5</v>
      </c>
      <c r="M3006">
        <v>581000</v>
      </c>
      <c r="N3006">
        <v>4.3</v>
      </c>
      <c r="O3006">
        <v>11</v>
      </c>
      <c r="P3006" t="s">
        <v>26</v>
      </c>
    </row>
    <row r="3007" spans="1:16" x14ac:dyDescent="0.25">
      <c r="A3007" t="s">
        <v>1049</v>
      </c>
      <c r="B3007" t="s">
        <v>1050</v>
      </c>
      <c r="C3007" t="s">
        <v>29</v>
      </c>
      <c r="D3007" t="s">
        <v>43</v>
      </c>
      <c r="E3007" t="s">
        <v>20</v>
      </c>
      <c r="F3007" t="s">
        <v>39</v>
      </c>
      <c r="G3007" t="s">
        <v>69</v>
      </c>
      <c r="H3007" t="s">
        <v>23</v>
      </c>
      <c r="I3007" t="s">
        <v>24</v>
      </c>
      <c r="J3007" t="s">
        <v>1051</v>
      </c>
      <c r="L3007">
        <v>5.0999999999999996</v>
      </c>
      <c r="M3007">
        <v>150000</v>
      </c>
      <c r="N3007">
        <v>3.3</v>
      </c>
      <c r="O3007">
        <v>11</v>
      </c>
      <c r="P3007" t="s">
        <v>26</v>
      </c>
    </row>
    <row r="3008" spans="1:16" x14ac:dyDescent="0.25">
      <c r="A3008" t="s">
        <v>6883</v>
      </c>
      <c r="B3008" t="s">
        <v>6884</v>
      </c>
      <c r="C3008" t="s">
        <v>18</v>
      </c>
      <c r="E3008" t="s">
        <v>20</v>
      </c>
      <c r="F3008" t="s">
        <v>128</v>
      </c>
      <c r="G3008" t="s">
        <v>22</v>
      </c>
      <c r="I3008" t="s">
        <v>75</v>
      </c>
      <c r="J3008" t="s">
        <v>2259</v>
      </c>
      <c r="L3008">
        <v>5.3</v>
      </c>
      <c r="M3008">
        <v>482000</v>
      </c>
      <c r="N3008">
        <v>4.2</v>
      </c>
      <c r="O3008">
        <v>14</v>
      </c>
      <c r="P3008" t="s">
        <v>26</v>
      </c>
    </row>
    <row r="3009" spans="1:16" x14ac:dyDescent="0.25">
      <c r="A3009" t="s">
        <v>6885</v>
      </c>
      <c r="B3009" t="s">
        <v>6200</v>
      </c>
      <c r="C3009" t="s">
        <v>29</v>
      </c>
      <c r="D3009" t="s">
        <v>50</v>
      </c>
      <c r="E3009" t="s">
        <v>20</v>
      </c>
      <c r="F3009" t="s">
        <v>39</v>
      </c>
      <c r="G3009" t="s">
        <v>22</v>
      </c>
      <c r="H3009" t="s">
        <v>34</v>
      </c>
      <c r="I3009" t="s">
        <v>24</v>
      </c>
      <c r="J3009" t="s">
        <v>4543</v>
      </c>
      <c r="L3009">
        <v>3.4</v>
      </c>
      <c r="M3009">
        <v>152000</v>
      </c>
      <c r="N3009">
        <v>3.6</v>
      </c>
      <c r="O3009">
        <v>3</v>
      </c>
      <c r="P3009" t="s">
        <v>26</v>
      </c>
    </row>
    <row r="3010" spans="1:16" x14ac:dyDescent="0.25">
      <c r="A3010" t="s">
        <v>6886</v>
      </c>
      <c r="B3010" t="s">
        <v>6117</v>
      </c>
      <c r="C3010" t="s">
        <v>18</v>
      </c>
      <c r="D3010" t="s">
        <v>79</v>
      </c>
      <c r="E3010" t="s">
        <v>20</v>
      </c>
      <c r="F3010" t="s">
        <v>39</v>
      </c>
      <c r="G3010" t="s">
        <v>80</v>
      </c>
      <c r="H3010" t="s">
        <v>23</v>
      </c>
      <c r="I3010" t="s">
        <v>35</v>
      </c>
      <c r="J3010" t="s">
        <v>5364</v>
      </c>
      <c r="L3010">
        <v>5.0999999999999996</v>
      </c>
      <c r="M3010">
        <v>90000</v>
      </c>
      <c r="N3010">
        <v>3.2</v>
      </c>
      <c r="O3010">
        <v>7</v>
      </c>
      <c r="P3010" t="s">
        <v>26</v>
      </c>
    </row>
    <row r="3011" spans="1:16" x14ac:dyDescent="0.25">
      <c r="A3011" t="s">
        <v>6887</v>
      </c>
      <c r="B3011" t="s">
        <v>6888</v>
      </c>
      <c r="C3011" t="s">
        <v>18</v>
      </c>
      <c r="D3011" t="s">
        <v>30</v>
      </c>
      <c r="E3011" t="s">
        <v>31</v>
      </c>
      <c r="F3011" t="s">
        <v>32</v>
      </c>
      <c r="G3011" t="s">
        <v>80</v>
      </c>
      <c r="H3011" t="s">
        <v>46</v>
      </c>
      <c r="I3011" t="s">
        <v>24</v>
      </c>
      <c r="J3011" t="s">
        <v>4750</v>
      </c>
      <c r="L3011">
        <v>5.3</v>
      </c>
      <c r="M3011">
        <v>294000</v>
      </c>
      <c r="N3011">
        <v>3.7</v>
      </c>
      <c r="O3011">
        <v>8</v>
      </c>
      <c r="P3011" t="s">
        <v>26</v>
      </c>
    </row>
    <row r="3012" spans="1:16" x14ac:dyDescent="0.25">
      <c r="A3012" t="s">
        <v>6889</v>
      </c>
      <c r="B3012" t="s">
        <v>6890</v>
      </c>
      <c r="C3012" t="s">
        <v>29</v>
      </c>
      <c r="D3012" t="s">
        <v>19</v>
      </c>
      <c r="E3012" t="s">
        <v>31</v>
      </c>
      <c r="F3012" t="s">
        <v>39</v>
      </c>
      <c r="G3012" t="s">
        <v>80</v>
      </c>
      <c r="H3012" t="s">
        <v>62</v>
      </c>
      <c r="I3012" t="s">
        <v>75</v>
      </c>
      <c r="J3012" t="s">
        <v>1810</v>
      </c>
      <c r="L3012">
        <v>2.7</v>
      </c>
      <c r="M3012">
        <v>192000</v>
      </c>
      <c r="N3012">
        <v>3.1</v>
      </c>
      <c r="O3012">
        <v>4</v>
      </c>
      <c r="P3012" t="s">
        <v>26</v>
      </c>
    </row>
    <row r="3013" spans="1:16" x14ac:dyDescent="0.25">
      <c r="A3013" t="s">
        <v>6891</v>
      </c>
      <c r="B3013" t="s">
        <v>1892</v>
      </c>
      <c r="C3013" t="s">
        <v>18</v>
      </c>
      <c r="D3013" t="s">
        <v>43</v>
      </c>
      <c r="E3013" t="s">
        <v>44</v>
      </c>
      <c r="F3013" t="s">
        <v>32</v>
      </c>
      <c r="G3013" t="s">
        <v>22</v>
      </c>
      <c r="H3013" t="s">
        <v>34</v>
      </c>
      <c r="I3013" t="s">
        <v>24</v>
      </c>
      <c r="J3013" t="s">
        <v>682</v>
      </c>
      <c r="L3013">
        <v>3.5</v>
      </c>
      <c r="M3013">
        <v>204000</v>
      </c>
      <c r="N3013">
        <v>2.5</v>
      </c>
      <c r="O3013">
        <v>7</v>
      </c>
      <c r="P3013" t="s">
        <v>26</v>
      </c>
    </row>
    <row r="3014" spans="1:16" x14ac:dyDescent="0.25">
      <c r="A3014" t="s">
        <v>6892</v>
      </c>
      <c r="B3014" t="s">
        <v>6893</v>
      </c>
      <c r="C3014" t="s">
        <v>18</v>
      </c>
      <c r="D3014" t="s">
        <v>50</v>
      </c>
      <c r="E3014" t="s">
        <v>20</v>
      </c>
      <c r="F3014" t="s">
        <v>32</v>
      </c>
      <c r="G3014" t="s">
        <v>69</v>
      </c>
      <c r="H3014" t="s">
        <v>34</v>
      </c>
      <c r="I3014" t="s">
        <v>35</v>
      </c>
      <c r="J3014" t="s">
        <v>445</v>
      </c>
      <c r="L3014">
        <v>1.6</v>
      </c>
      <c r="M3014">
        <v>233000</v>
      </c>
      <c r="N3014">
        <v>4.0999999999999996</v>
      </c>
      <c r="O3014">
        <v>29</v>
      </c>
      <c r="P3014" t="s">
        <v>26</v>
      </c>
    </row>
    <row r="3015" spans="1:16" x14ac:dyDescent="0.25">
      <c r="A3015" t="s">
        <v>6894</v>
      </c>
      <c r="B3015" t="s">
        <v>170</v>
      </c>
      <c r="C3015" t="s">
        <v>18</v>
      </c>
      <c r="D3015" t="s">
        <v>30</v>
      </c>
      <c r="E3015" t="s">
        <v>20</v>
      </c>
      <c r="F3015" t="s">
        <v>32</v>
      </c>
      <c r="G3015" t="s">
        <v>33</v>
      </c>
      <c r="H3015" t="s">
        <v>34</v>
      </c>
      <c r="J3015" t="s">
        <v>135</v>
      </c>
      <c r="K3015" t="s">
        <v>2372</v>
      </c>
      <c r="L3015">
        <v>4.2</v>
      </c>
      <c r="M3015">
        <v>196000</v>
      </c>
      <c r="N3015">
        <v>2.9</v>
      </c>
      <c r="O3015">
        <v>13</v>
      </c>
      <c r="P3015" t="s">
        <v>53</v>
      </c>
    </row>
    <row r="3016" spans="1:16" x14ac:dyDescent="0.25">
      <c r="A3016" t="s">
        <v>6895</v>
      </c>
      <c r="B3016" t="s">
        <v>5864</v>
      </c>
      <c r="C3016" t="s">
        <v>29</v>
      </c>
      <c r="D3016" t="s">
        <v>43</v>
      </c>
      <c r="F3016" t="s">
        <v>39</v>
      </c>
      <c r="G3016" t="s">
        <v>33</v>
      </c>
      <c r="H3016" t="s">
        <v>46</v>
      </c>
      <c r="I3016" t="s">
        <v>57</v>
      </c>
      <c r="J3016" t="s">
        <v>2606</v>
      </c>
      <c r="K3016" t="s">
        <v>2120</v>
      </c>
      <c r="L3016">
        <v>1.5</v>
      </c>
      <c r="M3016">
        <v>141000</v>
      </c>
      <c r="N3016">
        <v>4.0999999999999996</v>
      </c>
      <c r="O3016">
        <v>4</v>
      </c>
      <c r="P3016" t="s">
        <v>53</v>
      </c>
    </row>
    <row r="3017" spans="1:16" x14ac:dyDescent="0.25">
      <c r="A3017" t="s">
        <v>6896</v>
      </c>
      <c r="B3017" t="s">
        <v>2352</v>
      </c>
      <c r="C3017" t="s">
        <v>29</v>
      </c>
      <c r="D3017" t="s">
        <v>43</v>
      </c>
      <c r="E3017" t="s">
        <v>20</v>
      </c>
      <c r="F3017" t="s">
        <v>39</v>
      </c>
      <c r="G3017" t="s">
        <v>80</v>
      </c>
      <c r="H3017" t="s">
        <v>46</v>
      </c>
      <c r="I3017" t="s">
        <v>24</v>
      </c>
      <c r="J3017" t="s">
        <v>641</v>
      </c>
      <c r="L3017">
        <v>3.3</v>
      </c>
      <c r="M3017">
        <v>133000</v>
      </c>
      <c r="O3017">
        <v>12</v>
      </c>
      <c r="P3017" t="s">
        <v>26</v>
      </c>
    </row>
    <row r="3018" spans="1:16" x14ac:dyDescent="0.25">
      <c r="A3018" t="s">
        <v>6897</v>
      </c>
      <c r="B3018" t="s">
        <v>3738</v>
      </c>
      <c r="C3018" t="s">
        <v>29</v>
      </c>
      <c r="D3018" t="s">
        <v>50</v>
      </c>
      <c r="E3018" t="s">
        <v>20</v>
      </c>
      <c r="F3018" t="s">
        <v>32</v>
      </c>
      <c r="G3018" t="s">
        <v>22</v>
      </c>
      <c r="H3018" t="s">
        <v>46</v>
      </c>
      <c r="I3018" t="s">
        <v>24</v>
      </c>
      <c r="J3018" t="s">
        <v>641</v>
      </c>
      <c r="L3018">
        <v>3.3</v>
      </c>
      <c r="M3018">
        <v>268000</v>
      </c>
      <c r="N3018">
        <v>5</v>
      </c>
      <c r="O3018">
        <v>14</v>
      </c>
      <c r="P3018" t="s">
        <v>26</v>
      </c>
    </row>
    <row r="3019" spans="1:16" x14ac:dyDescent="0.25">
      <c r="A3019" t="s">
        <v>6898</v>
      </c>
      <c r="B3019" t="s">
        <v>5851</v>
      </c>
      <c r="C3019" t="s">
        <v>18</v>
      </c>
      <c r="D3019" t="s">
        <v>43</v>
      </c>
      <c r="E3019" t="s">
        <v>20</v>
      </c>
      <c r="F3019" t="s">
        <v>39</v>
      </c>
      <c r="G3019" t="s">
        <v>33</v>
      </c>
      <c r="H3019" t="s">
        <v>62</v>
      </c>
      <c r="I3019" t="s">
        <v>57</v>
      </c>
      <c r="J3019" t="s">
        <v>3979</v>
      </c>
      <c r="L3019">
        <v>4.7</v>
      </c>
      <c r="M3019">
        <v>120000</v>
      </c>
      <c r="N3019">
        <v>3.9</v>
      </c>
      <c r="O3019">
        <v>6</v>
      </c>
      <c r="P3019" t="s">
        <v>26</v>
      </c>
    </row>
    <row r="3020" spans="1:16" x14ac:dyDescent="0.25">
      <c r="A3020" t="s">
        <v>6899</v>
      </c>
      <c r="B3020" t="s">
        <v>6900</v>
      </c>
      <c r="C3020" t="s">
        <v>18</v>
      </c>
      <c r="D3020" t="s">
        <v>30</v>
      </c>
      <c r="E3020" t="s">
        <v>20</v>
      </c>
      <c r="F3020" t="s">
        <v>39</v>
      </c>
      <c r="G3020" t="s">
        <v>22</v>
      </c>
      <c r="H3020" t="s">
        <v>23</v>
      </c>
      <c r="I3020" t="s">
        <v>35</v>
      </c>
      <c r="J3020" t="s">
        <v>3098</v>
      </c>
      <c r="L3020">
        <v>2.7</v>
      </c>
      <c r="M3020">
        <v>142000</v>
      </c>
      <c r="N3020">
        <v>3</v>
      </c>
      <c r="O3020">
        <v>11</v>
      </c>
      <c r="P3020" t="s">
        <v>26</v>
      </c>
    </row>
    <row r="3021" spans="1:16" x14ac:dyDescent="0.25">
      <c r="A3021" t="s">
        <v>6901</v>
      </c>
      <c r="B3021" t="s">
        <v>3787</v>
      </c>
      <c r="C3021" t="s">
        <v>18</v>
      </c>
      <c r="D3021" t="s">
        <v>50</v>
      </c>
      <c r="E3021" t="s">
        <v>20</v>
      </c>
      <c r="F3021" t="s">
        <v>32</v>
      </c>
      <c r="G3021" t="s">
        <v>33</v>
      </c>
      <c r="H3021" t="s">
        <v>23</v>
      </c>
      <c r="I3021" t="s">
        <v>24</v>
      </c>
      <c r="J3021" t="s">
        <v>5579</v>
      </c>
      <c r="K3021" t="s">
        <v>3048</v>
      </c>
      <c r="L3021">
        <v>3.7</v>
      </c>
      <c r="M3021">
        <v>309000</v>
      </c>
      <c r="N3021">
        <v>3.3</v>
      </c>
      <c r="O3021">
        <v>22</v>
      </c>
      <c r="P3021" t="s">
        <v>53</v>
      </c>
    </row>
    <row r="3022" spans="1:16" x14ac:dyDescent="0.25">
      <c r="A3022" t="s">
        <v>6902</v>
      </c>
      <c r="B3022" t="s">
        <v>4266</v>
      </c>
      <c r="C3022" t="s">
        <v>18</v>
      </c>
      <c r="D3022" t="s">
        <v>79</v>
      </c>
      <c r="E3022" t="s">
        <v>20</v>
      </c>
      <c r="F3022" t="s">
        <v>128</v>
      </c>
      <c r="G3022" t="s">
        <v>33</v>
      </c>
      <c r="H3022" t="s">
        <v>23</v>
      </c>
      <c r="I3022" t="s">
        <v>24</v>
      </c>
      <c r="J3022" t="s">
        <v>3587</v>
      </c>
      <c r="L3022">
        <v>2.4</v>
      </c>
      <c r="M3022">
        <v>560000</v>
      </c>
      <c r="N3022">
        <v>3.9</v>
      </c>
      <c r="O3022">
        <v>1</v>
      </c>
      <c r="P3022" t="s">
        <v>26</v>
      </c>
    </row>
    <row r="3023" spans="1:16" x14ac:dyDescent="0.25">
      <c r="A3023" t="s">
        <v>6903</v>
      </c>
      <c r="B3023" t="s">
        <v>2996</v>
      </c>
      <c r="C3023" t="s">
        <v>18</v>
      </c>
      <c r="D3023" t="s">
        <v>50</v>
      </c>
      <c r="E3023" t="s">
        <v>44</v>
      </c>
      <c r="F3023" t="s">
        <v>32</v>
      </c>
      <c r="G3023" t="s">
        <v>33</v>
      </c>
      <c r="H3023" t="s">
        <v>46</v>
      </c>
      <c r="I3023" t="s">
        <v>35</v>
      </c>
      <c r="J3023" t="s">
        <v>1577</v>
      </c>
      <c r="K3023" t="s">
        <v>1507</v>
      </c>
      <c r="L3023">
        <v>5.2</v>
      </c>
      <c r="M3023">
        <v>188000</v>
      </c>
      <c r="N3023">
        <v>4.5</v>
      </c>
      <c r="O3023">
        <v>11</v>
      </c>
      <c r="P3023" t="s">
        <v>72</v>
      </c>
    </row>
    <row r="3024" spans="1:16" x14ac:dyDescent="0.25">
      <c r="A3024" t="s">
        <v>6904</v>
      </c>
      <c r="B3024" t="s">
        <v>6905</v>
      </c>
      <c r="C3024" t="s">
        <v>29</v>
      </c>
      <c r="E3024" t="s">
        <v>20</v>
      </c>
      <c r="F3024" t="s">
        <v>32</v>
      </c>
      <c r="G3024" t="s">
        <v>69</v>
      </c>
      <c r="H3024" t="s">
        <v>23</v>
      </c>
      <c r="I3024" t="s">
        <v>24</v>
      </c>
      <c r="J3024" t="s">
        <v>6906</v>
      </c>
      <c r="L3024">
        <v>1.3</v>
      </c>
      <c r="M3024">
        <v>181000</v>
      </c>
      <c r="N3024">
        <v>4.5999999999999996</v>
      </c>
      <c r="O3024">
        <v>5</v>
      </c>
      <c r="P3024" t="s">
        <v>26</v>
      </c>
    </row>
    <row r="3025" spans="1:16" x14ac:dyDescent="0.25">
      <c r="A3025" t="s">
        <v>6907</v>
      </c>
      <c r="B3025" t="s">
        <v>6134</v>
      </c>
      <c r="C3025" t="s">
        <v>29</v>
      </c>
      <c r="D3025" t="s">
        <v>50</v>
      </c>
      <c r="E3025" t="s">
        <v>20</v>
      </c>
      <c r="F3025" t="s">
        <v>39</v>
      </c>
      <c r="G3025" t="s">
        <v>22</v>
      </c>
      <c r="I3025" t="s">
        <v>57</v>
      </c>
      <c r="J3025" t="s">
        <v>3670</v>
      </c>
      <c r="L3025">
        <v>2.5</v>
      </c>
      <c r="M3025">
        <v>172000</v>
      </c>
      <c r="N3025">
        <v>3.1</v>
      </c>
      <c r="O3025">
        <v>14</v>
      </c>
      <c r="P3025" t="s">
        <v>26</v>
      </c>
    </row>
    <row r="3026" spans="1:16" x14ac:dyDescent="0.25">
      <c r="A3026" t="s">
        <v>6908</v>
      </c>
      <c r="B3026" t="s">
        <v>5857</v>
      </c>
      <c r="C3026" t="s">
        <v>29</v>
      </c>
      <c r="D3026" t="s">
        <v>30</v>
      </c>
      <c r="E3026" t="s">
        <v>20</v>
      </c>
      <c r="F3026" t="s">
        <v>32</v>
      </c>
      <c r="G3026" t="s">
        <v>69</v>
      </c>
      <c r="H3026" t="s">
        <v>62</v>
      </c>
      <c r="I3026" t="s">
        <v>75</v>
      </c>
      <c r="J3026" t="s">
        <v>3659</v>
      </c>
      <c r="K3026" t="s">
        <v>1937</v>
      </c>
      <c r="L3026">
        <v>3.8</v>
      </c>
      <c r="M3026">
        <v>225000</v>
      </c>
      <c r="N3026">
        <v>2.4</v>
      </c>
      <c r="O3026">
        <v>9</v>
      </c>
      <c r="P3026" t="s">
        <v>72</v>
      </c>
    </row>
    <row r="3027" spans="1:16" x14ac:dyDescent="0.25">
      <c r="A3027" t="s">
        <v>6909</v>
      </c>
      <c r="B3027" t="s">
        <v>6910</v>
      </c>
      <c r="C3027" t="s">
        <v>18</v>
      </c>
      <c r="D3027" t="s">
        <v>43</v>
      </c>
      <c r="E3027" t="s">
        <v>31</v>
      </c>
      <c r="F3027" t="s">
        <v>39</v>
      </c>
      <c r="G3027" t="s">
        <v>80</v>
      </c>
      <c r="H3027" t="s">
        <v>34</v>
      </c>
      <c r="I3027" t="s">
        <v>24</v>
      </c>
      <c r="J3027" t="s">
        <v>5876</v>
      </c>
      <c r="L3027">
        <v>4.5999999999999996</v>
      </c>
      <c r="M3027">
        <v>151000</v>
      </c>
      <c r="N3027">
        <v>3.5</v>
      </c>
      <c r="O3027">
        <v>5</v>
      </c>
      <c r="P3027" t="s">
        <v>26</v>
      </c>
    </row>
    <row r="3028" spans="1:16" x14ac:dyDescent="0.25">
      <c r="A3028" t="s">
        <v>6911</v>
      </c>
      <c r="B3028" t="s">
        <v>6912</v>
      </c>
      <c r="C3028" t="s">
        <v>18</v>
      </c>
      <c r="D3028" t="s">
        <v>50</v>
      </c>
      <c r="E3028" t="s">
        <v>20</v>
      </c>
      <c r="F3028" t="s">
        <v>32</v>
      </c>
      <c r="G3028" t="s">
        <v>69</v>
      </c>
      <c r="H3028" t="s">
        <v>46</v>
      </c>
      <c r="I3028" t="s">
        <v>75</v>
      </c>
      <c r="J3028" t="s">
        <v>6746</v>
      </c>
      <c r="L3028">
        <v>5.7</v>
      </c>
      <c r="M3028">
        <v>241000</v>
      </c>
      <c r="N3028">
        <v>2.5</v>
      </c>
      <c r="O3028">
        <v>6</v>
      </c>
      <c r="P3028" t="s">
        <v>26</v>
      </c>
    </row>
    <row r="3029" spans="1:16" x14ac:dyDescent="0.25">
      <c r="A3029" t="s">
        <v>6913</v>
      </c>
      <c r="B3029" t="s">
        <v>1536</v>
      </c>
      <c r="C3029" t="s">
        <v>18</v>
      </c>
      <c r="D3029" t="s">
        <v>50</v>
      </c>
      <c r="E3029" t="s">
        <v>20</v>
      </c>
      <c r="F3029" t="s">
        <v>32</v>
      </c>
      <c r="G3029" t="s">
        <v>33</v>
      </c>
      <c r="H3029" t="s">
        <v>46</v>
      </c>
      <c r="I3029" t="s">
        <v>24</v>
      </c>
      <c r="J3029" t="s">
        <v>2417</v>
      </c>
      <c r="L3029">
        <v>3</v>
      </c>
      <c r="M3029">
        <v>193000</v>
      </c>
      <c r="N3029">
        <v>4.9000000000000004</v>
      </c>
      <c r="O3029">
        <v>0</v>
      </c>
      <c r="P3029" t="s">
        <v>26</v>
      </c>
    </row>
    <row r="3030" spans="1:16" x14ac:dyDescent="0.25">
      <c r="A3030" t="s">
        <v>6914</v>
      </c>
      <c r="B3030" t="s">
        <v>6915</v>
      </c>
      <c r="C3030" t="s">
        <v>18</v>
      </c>
      <c r="D3030" t="s">
        <v>30</v>
      </c>
      <c r="F3030" t="s">
        <v>21</v>
      </c>
      <c r="G3030" t="s">
        <v>33</v>
      </c>
      <c r="H3030" t="s">
        <v>46</v>
      </c>
      <c r="I3030" t="s">
        <v>24</v>
      </c>
      <c r="J3030" t="s">
        <v>1537</v>
      </c>
      <c r="L3030">
        <v>3.8</v>
      </c>
      <c r="M3030">
        <v>811000</v>
      </c>
      <c r="P3030" t="s">
        <v>26</v>
      </c>
    </row>
    <row r="3031" spans="1:16" x14ac:dyDescent="0.25">
      <c r="A3031" t="s">
        <v>6916</v>
      </c>
      <c r="B3031" t="s">
        <v>6444</v>
      </c>
      <c r="C3031" t="s">
        <v>18</v>
      </c>
      <c r="D3031" t="s">
        <v>79</v>
      </c>
      <c r="E3031" t="s">
        <v>31</v>
      </c>
      <c r="F3031" t="s">
        <v>32</v>
      </c>
      <c r="G3031" t="s">
        <v>33</v>
      </c>
      <c r="H3031" t="s">
        <v>46</v>
      </c>
      <c r="I3031" t="s">
        <v>24</v>
      </c>
      <c r="J3031" t="s">
        <v>1510</v>
      </c>
      <c r="L3031">
        <v>1.5</v>
      </c>
      <c r="M3031">
        <v>185000</v>
      </c>
      <c r="N3031">
        <v>5</v>
      </c>
      <c r="O3031">
        <v>13</v>
      </c>
      <c r="P3031" t="s">
        <v>26</v>
      </c>
    </row>
    <row r="3032" spans="1:16" x14ac:dyDescent="0.25">
      <c r="A3032" t="s">
        <v>6917</v>
      </c>
      <c r="B3032" t="s">
        <v>6918</v>
      </c>
      <c r="C3032" t="s">
        <v>29</v>
      </c>
      <c r="D3032" t="s">
        <v>19</v>
      </c>
      <c r="E3032" t="s">
        <v>20</v>
      </c>
      <c r="F3032" t="s">
        <v>128</v>
      </c>
      <c r="G3032" t="s">
        <v>69</v>
      </c>
      <c r="H3032" t="s">
        <v>34</v>
      </c>
      <c r="I3032" t="s">
        <v>24</v>
      </c>
      <c r="J3032" t="s">
        <v>5418</v>
      </c>
      <c r="L3032">
        <v>5.3</v>
      </c>
      <c r="N3032">
        <v>2.6</v>
      </c>
      <c r="O3032">
        <v>7</v>
      </c>
      <c r="P3032" t="s">
        <v>26</v>
      </c>
    </row>
    <row r="3033" spans="1:16" x14ac:dyDescent="0.25">
      <c r="A3033" t="s">
        <v>6919</v>
      </c>
      <c r="B3033" t="s">
        <v>552</v>
      </c>
      <c r="C3033" t="s">
        <v>18</v>
      </c>
      <c r="D3033" t="s">
        <v>43</v>
      </c>
      <c r="E3033" t="s">
        <v>20</v>
      </c>
      <c r="F3033" t="s">
        <v>32</v>
      </c>
      <c r="G3033" t="s">
        <v>33</v>
      </c>
      <c r="H3033" t="s">
        <v>34</v>
      </c>
      <c r="J3033" t="s">
        <v>1525</v>
      </c>
      <c r="L3033">
        <v>4.8</v>
      </c>
      <c r="M3033">
        <v>263000</v>
      </c>
      <c r="N3033">
        <v>2.2999999999999998</v>
      </c>
      <c r="O3033">
        <v>14</v>
      </c>
      <c r="P3033" t="s">
        <v>26</v>
      </c>
    </row>
    <row r="3034" spans="1:16" x14ac:dyDescent="0.25">
      <c r="A3034" t="s">
        <v>6920</v>
      </c>
      <c r="B3034" t="s">
        <v>6563</v>
      </c>
      <c r="C3034" t="s">
        <v>18</v>
      </c>
      <c r="D3034" t="s">
        <v>43</v>
      </c>
      <c r="E3034" t="s">
        <v>20</v>
      </c>
      <c r="F3034" t="s">
        <v>128</v>
      </c>
      <c r="G3034" t="s">
        <v>22</v>
      </c>
      <c r="H3034" t="s">
        <v>34</v>
      </c>
      <c r="I3034" t="s">
        <v>57</v>
      </c>
      <c r="J3034" t="s">
        <v>2718</v>
      </c>
      <c r="L3034">
        <v>2.8</v>
      </c>
      <c r="M3034">
        <v>474000</v>
      </c>
      <c r="N3034">
        <v>4.2</v>
      </c>
      <c r="O3034">
        <v>14</v>
      </c>
      <c r="P3034" t="s">
        <v>26</v>
      </c>
    </row>
    <row r="3035" spans="1:16" x14ac:dyDescent="0.25">
      <c r="A3035" t="s">
        <v>6921</v>
      </c>
      <c r="B3035" t="s">
        <v>6040</v>
      </c>
      <c r="C3035" t="s">
        <v>18</v>
      </c>
      <c r="D3035" t="s">
        <v>30</v>
      </c>
      <c r="F3035" t="s">
        <v>45</v>
      </c>
      <c r="G3035" t="s">
        <v>22</v>
      </c>
      <c r="H3035" t="s">
        <v>34</v>
      </c>
      <c r="J3035" t="s">
        <v>4229</v>
      </c>
      <c r="L3035">
        <v>4</v>
      </c>
      <c r="M3035">
        <v>1320000</v>
      </c>
      <c r="N3035">
        <v>3.4</v>
      </c>
      <c r="O3035">
        <v>4</v>
      </c>
      <c r="P3035" t="s">
        <v>26</v>
      </c>
    </row>
    <row r="3036" spans="1:16" x14ac:dyDescent="0.25">
      <c r="A3036" t="s">
        <v>6922</v>
      </c>
      <c r="B3036" t="s">
        <v>2126</v>
      </c>
      <c r="C3036" t="s">
        <v>18</v>
      </c>
      <c r="D3036" t="s">
        <v>19</v>
      </c>
      <c r="E3036" t="s">
        <v>20</v>
      </c>
      <c r="F3036" t="s">
        <v>32</v>
      </c>
      <c r="G3036" t="s">
        <v>69</v>
      </c>
      <c r="H3036" t="s">
        <v>34</v>
      </c>
      <c r="I3036" t="s">
        <v>24</v>
      </c>
      <c r="J3036" t="s">
        <v>5824</v>
      </c>
      <c r="L3036">
        <v>2</v>
      </c>
      <c r="M3036">
        <v>276000</v>
      </c>
      <c r="N3036">
        <v>4.5999999999999996</v>
      </c>
      <c r="O3036">
        <v>9</v>
      </c>
      <c r="P3036" t="s">
        <v>26</v>
      </c>
    </row>
    <row r="3037" spans="1:16" x14ac:dyDescent="0.25">
      <c r="A3037" t="s">
        <v>6923</v>
      </c>
      <c r="B3037" t="s">
        <v>6924</v>
      </c>
      <c r="C3037" t="s">
        <v>29</v>
      </c>
      <c r="D3037" t="s">
        <v>50</v>
      </c>
      <c r="E3037" t="s">
        <v>20</v>
      </c>
      <c r="F3037" t="s">
        <v>32</v>
      </c>
      <c r="G3037" t="s">
        <v>80</v>
      </c>
      <c r="H3037" t="s">
        <v>23</v>
      </c>
      <c r="J3037" t="s">
        <v>1774</v>
      </c>
      <c r="L3037">
        <v>6.2</v>
      </c>
      <c r="M3037">
        <v>335000</v>
      </c>
      <c r="N3037">
        <v>2.6</v>
      </c>
      <c r="O3037">
        <v>40</v>
      </c>
      <c r="P3037" t="s">
        <v>26</v>
      </c>
    </row>
    <row r="3038" spans="1:16" x14ac:dyDescent="0.25">
      <c r="A3038" t="s">
        <v>6925</v>
      </c>
      <c r="B3038" t="s">
        <v>268</v>
      </c>
      <c r="C3038" t="s">
        <v>18</v>
      </c>
      <c r="D3038" t="s">
        <v>30</v>
      </c>
      <c r="E3038" t="s">
        <v>20</v>
      </c>
      <c r="F3038" t="s">
        <v>39</v>
      </c>
      <c r="G3038" t="s">
        <v>80</v>
      </c>
      <c r="H3038" t="s">
        <v>46</v>
      </c>
      <c r="I3038" t="s">
        <v>171</v>
      </c>
      <c r="J3038" t="s">
        <v>3088</v>
      </c>
      <c r="K3038" t="s">
        <v>2908</v>
      </c>
      <c r="L3038">
        <v>5.6</v>
      </c>
      <c r="M3038">
        <v>124000</v>
      </c>
      <c r="N3038">
        <v>1.5</v>
      </c>
      <c r="O3038">
        <v>13</v>
      </c>
      <c r="P3038" t="s">
        <v>53</v>
      </c>
    </row>
    <row r="3039" spans="1:16" x14ac:dyDescent="0.25">
      <c r="A3039" t="s">
        <v>6926</v>
      </c>
      <c r="B3039" t="s">
        <v>1792</v>
      </c>
      <c r="C3039" t="s">
        <v>18</v>
      </c>
      <c r="D3039" t="s">
        <v>30</v>
      </c>
      <c r="E3039" t="s">
        <v>20</v>
      </c>
      <c r="F3039" t="s">
        <v>39</v>
      </c>
      <c r="G3039" t="s">
        <v>22</v>
      </c>
      <c r="H3039" t="s">
        <v>34</v>
      </c>
      <c r="I3039" t="s">
        <v>35</v>
      </c>
      <c r="J3039" t="s">
        <v>1883</v>
      </c>
      <c r="K3039" t="s">
        <v>2678</v>
      </c>
      <c r="L3039">
        <v>5.9</v>
      </c>
      <c r="M3039">
        <v>85000</v>
      </c>
      <c r="N3039">
        <v>1.8</v>
      </c>
      <c r="O3039">
        <v>22</v>
      </c>
      <c r="P3039" t="s">
        <v>72</v>
      </c>
    </row>
    <row r="3040" spans="1:16" x14ac:dyDescent="0.25">
      <c r="A3040" t="s">
        <v>6927</v>
      </c>
      <c r="B3040" t="s">
        <v>120</v>
      </c>
      <c r="C3040" t="s">
        <v>18</v>
      </c>
      <c r="D3040" t="s">
        <v>19</v>
      </c>
      <c r="E3040" t="s">
        <v>31</v>
      </c>
      <c r="F3040" t="s">
        <v>39</v>
      </c>
      <c r="G3040" t="s">
        <v>22</v>
      </c>
      <c r="H3040" t="s">
        <v>23</v>
      </c>
      <c r="I3040" t="s">
        <v>75</v>
      </c>
      <c r="J3040" t="s">
        <v>3455</v>
      </c>
      <c r="L3040">
        <v>3.5</v>
      </c>
      <c r="N3040">
        <v>4.0999999999999996</v>
      </c>
      <c r="O3040">
        <v>13</v>
      </c>
      <c r="P3040" t="s">
        <v>26</v>
      </c>
    </row>
    <row r="3041" spans="1:16" x14ac:dyDescent="0.25">
      <c r="A3041" t="s">
        <v>6928</v>
      </c>
      <c r="B3041" t="s">
        <v>1996</v>
      </c>
      <c r="C3041" t="s">
        <v>18</v>
      </c>
      <c r="D3041" t="s">
        <v>79</v>
      </c>
      <c r="E3041" t="s">
        <v>20</v>
      </c>
      <c r="F3041" t="s">
        <v>128</v>
      </c>
      <c r="G3041" t="s">
        <v>22</v>
      </c>
      <c r="H3041" t="s">
        <v>34</v>
      </c>
      <c r="I3041" t="s">
        <v>24</v>
      </c>
      <c r="J3041" t="s">
        <v>6929</v>
      </c>
      <c r="K3041" t="s">
        <v>52</v>
      </c>
      <c r="L3041">
        <v>3.3</v>
      </c>
      <c r="M3041">
        <v>469000</v>
      </c>
      <c r="N3041">
        <v>5</v>
      </c>
      <c r="O3041">
        <v>4</v>
      </c>
      <c r="P3041" t="s">
        <v>114</v>
      </c>
    </row>
    <row r="3042" spans="1:16" x14ac:dyDescent="0.25">
      <c r="A3042" t="s">
        <v>6930</v>
      </c>
      <c r="B3042" t="s">
        <v>5433</v>
      </c>
      <c r="C3042" t="s">
        <v>18</v>
      </c>
      <c r="D3042" t="s">
        <v>50</v>
      </c>
      <c r="E3042" t="s">
        <v>20</v>
      </c>
      <c r="F3042" t="s">
        <v>39</v>
      </c>
      <c r="G3042" t="s">
        <v>22</v>
      </c>
      <c r="H3042" t="s">
        <v>62</v>
      </c>
      <c r="J3042" t="s">
        <v>1421</v>
      </c>
      <c r="L3042">
        <v>5.7</v>
      </c>
      <c r="M3042">
        <v>165000</v>
      </c>
      <c r="N3042">
        <v>2.5</v>
      </c>
      <c r="O3042">
        <v>37</v>
      </c>
      <c r="P3042" t="s">
        <v>26</v>
      </c>
    </row>
    <row r="3043" spans="1:16" x14ac:dyDescent="0.25">
      <c r="A3043" t="s">
        <v>6931</v>
      </c>
      <c r="B3043" t="s">
        <v>6352</v>
      </c>
      <c r="C3043" t="s">
        <v>18</v>
      </c>
      <c r="D3043" t="s">
        <v>43</v>
      </c>
      <c r="E3043" t="s">
        <v>20</v>
      </c>
      <c r="F3043" t="s">
        <v>128</v>
      </c>
      <c r="G3043" t="s">
        <v>22</v>
      </c>
      <c r="H3043" t="s">
        <v>23</v>
      </c>
      <c r="I3043" t="s">
        <v>35</v>
      </c>
      <c r="J3043" t="s">
        <v>572</v>
      </c>
      <c r="L3043">
        <v>4.5</v>
      </c>
      <c r="M3043">
        <v>544000</v>
      </c>
      <c r="N3043">
        <v>2.9</v>
      </c>
      <c r="O3043">
        <v>10</v>
      </c>
      <c r="P3043" t="s">
        <v>26</v>
      </c>
    </row>
    <row r="3044" spans="1:16" x14ac:dyDescent="0.25">
      <c r="A3044" t="s">
        <v>6932</v>
      </c>
      <c r="B3044" t="s">
        <v>541</v>
      </c>
      <c r="C3044" t="s">
        <v>29</v>
      </c>
      <c r="D3044" t="s">
        <v>19</v>
      </c>
      <c r="E3044" t="s">
        <v>31</v>
      </c>
      <c r="F3044" t="s">
        <v>21</v>
      </c>
      <c r="G3044" t="s">
        <v>22</v>
      </c>
      <c r="H3044" t="s">
        <v>34</v>
      </c>
      <c r="I3044" t="s">
        <v>24</v>
      </c>
      <c r="J3044" t="s">
        <v>2525</v>
      </c>
      <c r="L3044">
        <v>2</v>
      </c>
      <c r="M3044">
        <v>1045000</v>
      </c>
      <c r="N3044">
        <v>4.7</v>
      </c>
      <c r="O3044">
        <v>10</v>
      </c>
      <c r="P3044" t="s">
        <v>26</v>
      </c>
    </row>
    <row r="3045" spans="1:16" x14ac:dyDescent="0.25">
      <c r="A3045" t="s">
        <v>6933</v>
      </c>
      <c r="B3045" t="s">
        <v>4299</v>
      </c>
      <c r="C3045" t="s">
        <v>18</v>
      </c>
      <c r="D3045" t="s">
        <v>43</v>
      </c>
      <c r="E3045" t="s">
        <v>20</v>
      </c>
      <c r="F3045" t="s">
        <v>39</v>
      </c>
      <c r="G3045" t="s">
        <v>22</v>
      </c>
      <c r="H3045" t="s">
        <v>34</v>
      </c>
      <c r="I3045" t="s">
        <v>35</v>
      </c>
      <c r="J3045" t="s">
        <v>4992</v>
      </c>
      <c r="L3045">
        <v>2.9</v>
      </c>
      <c r="M3045">
        <v>159000</v>
      </c>
      <c r="N3045">
        <v>4.0999999999999996</v>
      </c>
      <c r="O3045">
        <v>10</v>
      </c>
      <c r="P3045" t="s">
        <v>26</v>
      </c>
    </row>
    <row r="3046" spans="1:16" x14ac:dyDescent="0.25">
      <c r="A3046" t="s">
        <v>6934</v>
      </c>
      <c r="B3046" t="s">
        <v>1020</v>
      </c>
      <c r="C3046" t="s">
        <v>18</v>
      </c>
      <c r="D3046" t="s">
        <v>43</v>
      </c>
      <c r="E3046" t="s">
        <v>44</v>
      </c>
      <c r="G3046" t="s">
        <v>22</v>
      </c>
      <c r="H3046" t="s">
        <v>23</v>
      </c>
      <c r="I3046" t="s">
        <v>24</v>
      </c>
      <c r="J3046" t="s">
        <v>1112</v>
      </c>
      <c r="L3046">
        <v>2.4</v>
      </c>
      <c r="M3046">
        <v>201000</v>
      </c>
      <c r="N3046">
        <v>4.3</v>
      </c>
      <c r="O3046">
        <v>24</v>
      </c>
      <c r="P3046" t="s">
        <v>26</v>
      </c>
    </row>
    <row r="3047" spans="1:16" x14ac:dyDescent="0.25">
      <c r="A3047" t="s">
        <v>6935</v>
      </c>
      <c r="B3047" t="s">
        <v>6936</v>
      </c>
      <c r="C3047" t="s">
        <v>29</v>
      </c>
      <c r="D3047" t="s">
        <v>50</v>
      </c>
      <c r="E3047" t="s">
        <v>44</v>
      </c>
      <c r="F3047" t="s">
        <v>39</v>
      </c>
      <c r="G3047" t="s">
        <v>80</v>
      </c>
      <c r="H3047" t="s">
        <v>46</v>
      </c>
      <c r="I3047" t="s">
        <v>35</v>
      </c>
      <c r="J3047" t="s">
        <v>4543</v>
      </c>
      <c r="K3047" t="s">
        <v>5612</v>
      </c>
      <c r="L3047">
        <v>3.4</v>
      </c>
      <c r="M3047">
        <v>146000</v>
      </c>
      <c r="N3047">
        <v>3.6</v>
      </c>
      <c r="O3047">
        <v>6</v>
      </c>
      <c r="P3047" t="s">
        <v>72</v>
      </c>
    </row>
    <row r="3048" spans="1:16" x14ac:dyDescent="0.25">
      <c r="A3048" t="s">
        <v>6937</v>
      </c>
      <c r="B3048" t="s">
        <v>6938</v>
      </c>
      <c r="C3048" t="s">
        <v>18</v>
      </c>
      <c r="D3048" t="s">
        <v>30</v>
      </c>
      <c r="E3048" t="s">
        <v>31</v>
      </c>
      <c r="F3048" t="s">
        <v>21</v>
      </c>
      <c r="G3048" t="s">
        <v>22</v>
      </c>
      <c r="H3048" t="s">
        <v>23</v>
      </c>
      <c r="I3048" t="s">
        <v>57</v>
      </c>
      <c r="J3048" t="s">
        <v>3330</v>
      </c>
      <c r="L3048">
        <v>1.4</v>
      </c>
      <c r="M3048">
        <v>801000</v>
      </c>
      <c r="N3048">
        <v>3.1</v>
      </c>
      <c r="O3048">
        <v>10</v>
      </c>
      <c r="P3048" t="s">
        <v>26</v>
      </c>
    </row>
    <row r="3049" spans="1:16" x14ac:dyDescent="0.25">
      <c r="A3049" t="s">
        <v>6939</v>
      </c>
      <c r="B3049" t="s">
        <v>6940</v>
      </c>
      <c r="C3049" t="s">
        <v>18</v>
      </c>
      <c r="E3049" t="s">
        <v>20</v>
      </c>
      <c r="F3049" t="s">
        <v>32</v>
      </c>
      <c r="G3049" t="s">
        <v>22</v>
      </c>
      <c r="H3049" t="s">
        <v>23</v>
      </c>
      <c r="I3049" t="s">
        <v>75</v>
      </c>
      <c r="J3049" t="s">
        <v>5219</v>
      </c>
      <c r="L3049">
        <v>4.4000000000000004</v>
      </c>
      <c r="M3049">
        <v>221000</v>
      </c>
      <c r="N3049">
        <v>2.2999999999999998</v>
      </c>
      <c r="P3049" t="s">
        <v>26</v>
      </c>
    </row>
    <row r="3050" spans="1:16" x14ac:dyDescent="0.25">
      <c r="A3050" t="s">
        <v>6941</v>
      </c>
      <c r="B3050" t="s">
        <v>1374</v>
      </c>
      <c r="C3050" t="s">
        <v>18</v>
      </c>
      <c r="D3050" t="s">
        <v>43</v>
      </c>
      <c r="E3050" t="s">
        <v>44</v>
      </c>
      <c r="F3050" t="s">
        <v>39</v>
      </c>
      <c r="G3050" t="s">
        <v>22</v>
      </c>
      <c r="H3050" t="s">
        <v>34</v>
      </c>
      <c r="I3050" t="s">
        <v>35</v>
      </c>
      <c r="J3050" t="s">
        <v>2571</v>
      </c>
      <c r="L3050">
        <v>3.9</v>
      </c>
      <c r="M3050">
        <v>140000</v>
      </c>
      <c r="N3050">
        <v>2.2000000000000002</v>
      </c>
      <c r="O3050">
        <v>12</v>
      </c>
      <c r="P3050" t="s">
        <v>26</v>
      </c>
    </row>
    <row r="3051" spans="1:16" x14ac:dyDescent="0.25">
      <c r="A3051" t="s">
        <v>6942</v>
      </c>
      <c r="B3051" t="s">
        <v>6943</v>
      </c>
      <c r="C3051" t="s">
        <v>29</v>
      </c>
      <c r="D3051" t="s">
        <v>79</v>
      </c>
      <c r="E3051" t="s">
        <v>44</v>
      </c>
      <c r="F3051" t="s">
        <v>21</v>
      </c>
      <c r="G3051" t="s">
        <v>22</v>
      </c>
      <c r="H3051" t="s">
        <v>34</v>
      </c>
      <c r="I3051" t="s">
        <v>57</v>
      </c>
      <c r="J3051" t="s">
        <v>441</v>
      </c>
      <c r="L3051">
        <v>2.8</v>
      </c>
      <c r="M3051">
        <v>736000</v>
      </c>
      <c r="N3051">
        <v>4.7</v>
      </c>
      <c r="O3051">
        <v>6</v>
      </c>
      <c r="P3051" t="s">
        <v>26</v>
      </c>
    </row>
    <row r="3052" spans="1:16" x14ac:dyDescent="0.25">
      <c r="A3052" t="s">
        <v>6944</v>
      </c>
      <c r="B3052" t="s">
        <v>1820</v>
      </c>
      <c r="C3052" t="s">
        <v>18</v>
      </c>
      <c r="D3052" t="s">
        <v>79</v>
      </c>
      <c r="E3052" t="s">
        <v>44</v>
      </c>
      <c r="F3052" t="s">
        <v>39</v>
      </c>
      <c r="G3052" t="s">
        <v>22</v>
      </c>
      <c r="H3052" t="s">
        <v>34</v>
      </c>
      <c r="I3052" t="s">
        <v>57</v>
      </c>
      <c r="J3052" t="s">
        <v>5961</v>
      </c>
      <c r="L3052">
        <v>5.4</v>
      </c>
      <c r="M3052">
        <v>109000</v>
      </c>
      <c r="N3052">
        <v>4.0999999999999996</v>
      </c>
      <c r="O3052">
        <v>11</v>
      </c>
      <c r="P3052" t="s">
        <v>26</v>
      </c>
    </row>
    <row r="3053" spans="1:16" x14ac:dyDescent="0.25">
      <c r="A3053" t="s">
        <v>6945</v>
      </c>
      <c r="B3053" t="s">
        <v>615</v>
      </c>
      <c r="D3053" t="s">
        <v>50</v>
      </c>
      <c r="E3053" t="s">
        <v>20</v>
      </c>
      <c r="F3053" t="s">
        <v>39</v>
      </c>
      <c r="G3053" t="s">
        <v>80</v>
      </c>
      <c r="H3053" t="s">
        <v>23</v>
      </c>
      <c r="I3053" t="s">
        <v>35</v>
      </c>
      <c r="J3053" t="s">
        <v>6946</v>
      </c>
      <c r="L3053">
        <v>4.8</v>
      </c>
      <c r="M3053">
        <v>167000</v>
      </c>
      <c r="N3053">
        <v>4.8</v>
      </c>
      <c r="O3053">
        <v>7</v>
      </c>
      <c r="P3053" t="s">
        <v>26</v>
      </c>
    </row>
    <row r="3054" spans="1:16" x14ac:dyDescent="0.25">
      <c r="A3054" t="s">
        <v>6947</v>
      </c>
      <c r="B3054" t="s">
        <v>6948</v>
      </c>
      <c r="D3054" t="s">
        <v>79</v>
      </c>
      <c r="E3054" t="s">
        <v>20</v>
      </c>
      <c r="F3054" t="s">
        <v>32</v>
      </c>
      <c r="G3054" t="s">
        <v>22</v>
      </c>
      <c r="H3054" t="s">
        <v>34</v>
      </c>
      <c r="I3054" t="s">
        <v>35</v>
      </c>
      <c r="J3054" t="s">
        <v>6949</v>
      </c>
      <c r="K3054" t="s">
        <v>3921</v>
      </c>
      <c r="L3054">
        <v>5.7</v>
      </c>
      <c r="M3054">
        <v>241000</v>
      </c>
      <c r="N3054">
        <v>2.5</v>
      </c>
      <c r="O3054">
        <v>1</v>
      </c>
      <c r="P3054" t="s">
        <v>53</v>
      </c>
    </row>
    <row r="3055" spans="1:16" x14ac:dyDescent="0.25">
      <c r="A3055" t="s">
        <v>6950</v>
      </c>
      <c r="B3055" t="s">
        <v>5704</v>
      </c>
      <c r="C3055" t="s">
        <v>29</v>
      </c>
      <c r="D3055" t="s">
        <v>50</v>
      </c>
      <c r="E3055" t="s">
        <v>31</v>
      </c>
      <c r="F3055" t="s">
        <v>32</v>
      </c>
      <c r="G3055" t="s">
        <v>22</v>
      </c>
      <c r="H3055" t="s">
        <v>34</v>
      </c>
      <c r="I3055" t="s">
        <v>75</v>
      </c>
      <c r="J3055" t="s">
        <v>1225</v>
      </c>
      <c r="K3055" t="s">
        <v>1266</v>
      </c>
      <c r="L3055">
        <v>4.3</v>
      </c>
      <c r="M3055">
        <v>287000</v>
      </c>
      <c r="N3055">
        <v>4.0999999999999996</v>
      </c>
      <c r="O3055">
        <v>9</v>
      </c>
      <c r="P3055" t="s">
        <v>114</v>
      </c>
    </row>
    <row r="3056" spans="1:16" x14ac:dyDescent="0.25">
      <c r="A3056" t="s">
        <v>6951</v>
      </c>
      <c r="B3056" t="s">
        <v>3192</v>
      </c>
      <c r="C3056" t="s">
        <v>29</v>
      </c>
      <c r="D3056" t="s">
        <v>50</v>
      </c>
      <c r="E3056" t="s">
        <v>31</v>
      </c>
      <c r="F3056" t="s">
        <v>39</v>
      </c>
      <c r="G3056" t="s">
        <v>22</v>
      </c>
      <c r="H3056" t="s">
        <v>46</v>
      </c>
      <c r="I3056" t="s">
        <v>24</v>
      </c>
      <c r="J3056" t="s">
        <v>3245</v>
      </c>
      <c r="L3056">
        <v>4.3</v>
      </c>
      <c r="M3056">
        <v>116000</v>
      </c>
      <c r="N3056">
        <v>2.8</v>
      </c>
      <c r="O3056">
        <v>5</v>
      </c>
      <c r="P3056" t="s">
        <v>26</v>
      </c>
    </row>
    <row r="3057" spans="1:16" x14ac:dyDescent="0.25">
      <c r="A3057" t="s">
        <v>6952</v>
      </c>
      <c r="B3057" t="s">
        <v>6953</v>
      </c>
      <c r="C3057" t="s">
        <v>29</v>
      </c>
      <c r="D3057" t="s">
        <v>30</v>
      </c>
      <c r="E3057" t="s">
        <v>20</v>
      </c>
      <c r="F3057" t="s">
        <v>128</v>
      </c>
      <c r="G3057" t="s">
        <v>33</v>
      </c>
      <c r="H3057" t="s">
        <v>34</v>
      </c>
      <c r="I3057" t="s">
        <v>57</v>
      </c>
      <c r="J3057" t="s">
        <v>6724</v>
      </c>
      <c r="L3057">
        <v>2</v>
      </c>
      <c r="M3057">
        <v>424000</v>
      </c>
      <c r="N3057">
        <v>4</v>
      </c>
      <c r="O3057">
        <v>11</v>
      </c>
      <c r="P3057" t="s">
        <v>26</v>
      </c>
    </row>
    <row r="3058" spans="1:16" x14ac:dyDescent="0.25">
      <c r="A3058" t="s">
        <v>6954</v>
      </c>
      <c r="B3058" t="s">
        <v>2770</v>
      </c>
      <c r="C3058" t="s">
        <v>29</v>
      </c>
      <c r="E3058" t="s">
        <v>44</v>
      </c>
      <c r="F3058" t="s">
        <v>128</v>
      </c>
      <c r="G3058" t="s">
        <v>80</v>
      </c>
      <c r="H3058" t="s">
        <v>62</v>
      </c>
      <c r="I3058" t="s">
        <v>75</v>
      </c>
      <c r="J3058" t="s">
        <v>3684</v>
      </c>
      <c r="L3058">
        <v>5.5</v>
      </c>
      <c r="M3058">
        <v>515000</v>
      </c>
      <c r="N3058">
        <v>3.4</v>
      </c>
      <c r="O3058">
        <v>9</v>
      </c>
      <c r="P3058" t="s">
        <v>26</v>
      </c>
    </row>
    <row r="3059" spans="1:16" x14ac:dyDescent="0.25">
      <c r="A3059" t="s">
        <v>6955</v>
      </c>
      <c r="B3059" t="s">
        <v>6956</v>
      </c>
      <c r="C3059" t="s">
        <v>18</v>
      </c>
      <c r="D3059" t="s">
        <v>50</v>
      </c>
      <c r="E3059" t="s">
        <v>20</v>
      </c>
      <c r="F3059" t="s">
        <v>21</v>
      </c>
      <c r="G3059" t="s">
        <v>22</v>
      </c>
      <c r="H3059" t="s">
        <v>23</v>
      </c>
      <c r="I3059" t="s">
        <v>35</v>
      </c>
      <c r="J3059" t="s">
        <v>4631</v>
      </c>
      <c r="K3059" t="s">
        <v>2326</v>
      </c>
      <c r="L3059">
        <v>3.6</v>
      </c>
      <c r="M3059">
        <v>853000</v>
      </c>
      <c r="N3059">
        <v>3.2</v>
      </c>
      <c r="O3059">
        <v>6</v>
      </c>
      <c r="P3059" t="s">
        <v>72</v>
      </c>
    </row>
    <row r="3060" spans="1:16" x14ac:dyDescent="0.25">
      <c r="A3060" t="s">
        <v>753</v>
      </c>
      <c r="B3060" t="s">
        <v>754</v>
      </c>
      <c r="C3060" t="s">
        <v>29</v>
      </c>
      <c r="D3060" t="s">
        <v>50</v>
      </c>
      <c r="E3060" t="s">
        <v>20</v>
      </c>
      <c r="F3060" t="s">
        <v>32</v>
      </c>
      <c r="G3060" t="s">
        <v>22</v>
      </c>
      <c r="H3060" t="s">
        <v>34</v>
      </c>
      <c r="I3060" t="s">
        <v>24</v>
      </c>
      <c r="J3060" t="s">
        <v>253</v>
      </c>
      <c r="K3060" t="s">
        <v>755</v>
      </c>
      <c r="L3060">
        <v>3.5</v>
      </c>
      <c r="M3060">
        <v>233000</v>
      </c>
      <c r="O3060">
        <v>13</v>
      </c>
      <c r="P3060" t="s">
        <v>53</v>
      </c>
    </row>
    <row r="3061" spans="1:16" x14ac:dyDescent="0.25">
      <c r="A3061" t="s">
        <v>6957</v>
      </c>
      <c r="B3061" t="s">
        <v>1233</v>
      </c>
      <c r="C3061" t="s">
        <v>29</v>
      </c>
      <c r="D3061" t="s">
        <v>43</v>
      </c>
      <c r="E3061" t="s">
        <v>20</v>
      </c>
      <c r="F3061" t="s">
        <v>128</v>
      </c>
      <c r="G3061" t="s">
        <v>80</v>
      </c>
      <c r="H3061" t="s">
        <v>23</v>
      </c>
      <c r="I3061" t="s">
        <v>35</v>
      </c>
      <c r="J3061" t="s">
        <v>232</v>
      </c>
      <c r="L3061">
        <v>3.5</v>
      </c>
      <c r="M3061">
        <v>511000</v>
      </c>
      <c r="N3061">
        <v>3.1</v>
      </c>
      <c r="O3061">
        <v>14</v>
      </c>
      <c r="P3061" t="s">
        <v>26</v>
      </c>
    </row>
    <row r="3062" spans="1:16" x14ac:dyDescent="0.25">
      <c r="A3062" t="s">
        <v>6958</v>
      </c>
      <c r="B3062" t="s">
        <v>6959</v>
      </c>
      <c r="C3062" t="s">
        <v>29</v>
      </c>
      <c r="D3062" t="s">
        <v>50</v>
      </c>
      <c r="E3062" t="s">
        <v>20</v>
      </c>
      <c r="F3062" t="s">
        <v>39</v>
      </c>
      <c r="G3062" t="s">
        <v>22</v>
      </c>
      <c r="H3062" t="s">
        <v>23</v>
      </c>
      <c r="I3062" t="s">
        <v>24</v>
      </c>
      <c r="J3062" t="s">
        <v>5692</v>
      </c>
      <c r="K3062" t="s">
        <v>1483</v>
      </c>
      <c r="L3062">
        <v>5.4</v>
      </c>
      <c r="M3062">
        <v>95000</v>
      </c>
      <c r="N3062">
        <v>4.9000000000000004</v>
      </c>
      <c r="O3062">
        <v>2</v>
      </c>
      <c r="P3062" t="s">
        <v>72</v>
      </c>
    </row>
    <row r="3063" spans="1:16" x14ac:dyDescent="0.25">
      <c r="A3063" t="s">
        <v>6960</v>
      </c>
      <c r="B3063" t="s">
        <v>1867</v>
      </c>
      <c r="C3063" t="s">
        <v>18</v>
      </c>
      <c r="D3063" t="s">
        <v>19</v>
      </c>
      <c r="E3063" t="s">
        <v>31</v>
      </c>
      <c r="F3063" t="s">
        <v>32</v>
      </c>
      <c r="G3063" t="s">
        <v>33</v>
      </c>
      <c r="H3063" t="s">
        <v>34</v>
      </c>
      <c r="I3063" t="s">
        <v>24</v>
      </c>
      <c r="J3063" t="s">
        <v>6961</v>
      </c>
      <c r="K3063" t="s">
        <v>4014</v>
      </c>
      <c r="L3063">
        <v>3.6</v>
      </c>
      <c r="M3063">
        <v>292000</v>
      </c>
      <c r="N3063">
        <v>4</v>
      </c>
      <c r="O3063">
        <v>5</v>
      </c>
      <c r="P3063" t="s">
        <v>53</v>
      </c>
    </row>
    <row r="3064" spans="1:16" x14ac:dyDescent="0.25">
      <c r="A3064" t="s">
        <v>6962</v>
      </c>
      <c r="B3064" t="s">
        <v>5839</v>
      </c>
      <c r="C3064" t="s">
        <v>29</v>
      </c>
      <c r="D3064" t="s">
        <v>19</v>
      </c>
      <c r="E3064" t="s">
        <v>20</v>
      </c>
      <c r="F3064" t="s">
        <v>128</v>
      </c>
      <c r="G3064" t="s">
        <v>33</v>
      </c>
      <c r="H3064" t="s">
        <v>23</v>
      </c>
      <c r="I3064" t="s">
        <v>35</v>
      </c>
      <c r="J3064" t="s">
        <v>2150</v>
      </c>
      <c r="L3064">
        <v>5.9</v>
      </c>
      <c r="M3064">
        <v>497000</v>
      </c>
      <c r="N3064">
        <v>3.9</v>
      </c>
      <c r="O3064">
        <v>8</v>
      </c>
      <c r="P3064" t="s">
        <v>26</v>
      </c>
    </row>
    <row r="3065" spans="1:16" x14ac:dyDescent="0.25">
      <c r="A3065" t="s">
        <v>6963</v>
      </c>
      <c r="B3065" t="s">
        <v>3216</v>
      </c>
      <c r="C3065" t="s">
        <v>29</v>
      </c>
      <c r="E3065" t="s">
        <v>20</v>
      </c>
      <c r="F3065" t="s">
        <v>128</v>
      </c>
      <c r="G3065" t="s">
        <v>22</v>
      </c>
      <c r="H3065" t="s">
        <v>23</v>
      </c>
      <c r="I3065" t="s">
        <v>24</v>
      </c>
      <c r="J3065" t="s">
        <v>1633</v>
      </c>
      <c r="L3065">
        <v>4.4000000000000004</v>
      </c>
      <c r="M3065">
        <v>435000</v>
      </c>
      <c r="N3065">
        <v>2.8</v>
      </c>
      <c r="O3065">
        <v>10</v>
      </c>
      <c r="P3065" t="s">
        <v>26</v>
      </c>
    </row>
    <row r="3066" spans="1:16" x14ac:dyDescent="0.25">
      <c r="A3066" t="s">
        <v>6964</v>
      </c>
      <c r="B3066" t="s">
        <v>6965</v>
      </c>
      <c r="C3066" t="s">
        <v>29</v>
      </c>
      <c r="D3066" t="s">
        <v>43</v>
      </c>
      <c r="E3066" t="s">
        <v>44</v>
      </c>
      <c r="F3066" t="s">
        <v>39</v>
      </c>
      <c r="G3066" t="s">
        <v>22</v>
      </c>
      <c r="H3066" t="s">
        <v>23</v>
      </c>
      <c r="I3066" t="s">
        <v>24</v>
      </c>
      <c r="J3066" t="s">
        <v>679</v>
      </c>
      <c r="L3066">
        <v>4</v>
      </c>
      <c r="M3066">
        <v>85000</v>
      </c>
      <c r="O3066">
        <v>0</v>
      </c>
      <c r="P3066" t="s">
        <v>26</v>
      </c>
    </row>
    <row r="3067" spans="1:16" x14ac:dyDescent="0.25">
      <c r="A3067" t="s">
        <v>6966</v>
      </c>
      <c r="B3067" t="s">
        <v>6967</v>
      </c>
      <c r="C3067" t="s">
        <v>18</v>
      </c>
      <c r="D3067" t="s">
        <v>50</v>
      </c>
      <c r="E3067" t="s">
        <v>20</v>
      </c>
      <c r="F3067" t="s">
        <v>39</v>
      </c>
      <c r="G3067" t="s">
        <v>33</v>
      </c>
      <c r="H3067" t="s">
        <v>34</v>
      </c>
      <c r="I3067" t="s">
        <v>24</v>
      </c>
      <c r="J3067" t="s">
        <v>2163</v>
      </c>
      <c r="L3067">
        <v>6.1</v>
      </c>
      <c r="M3067">
        <v>124000</v>
      </c>
      <c r="O3067">
        <v>14</v>
      </c>
      <c r="P3067" t="s">
        <v>26</v>
      </c>
    </row>
    <row r="3068" spans="1:16" x14ac:dyDescent="0.25">
      <c r="A3068" t="s">
        <v>6968</v>
      </c>
      <c r="B3068" t="s">
        <v>6362</v>
      </c>
      <c r="C3068" t="s">
        <v>18</v>
      </c>
      <c r="D3068" t="s">
        <v>43</v>
      </c>
      <c r="E3068" t="s">
        <v>31</v>
      </c>
      <c r="F3068" t="s">
        <v>39</v>
      </c>
      <c r="G3068" t="s">
        <v>22</v>
      </c>
      <c r="H3068" t="s">
        <v>34</v>
      </c>
      <c r="I3068" t="s">
        <v>24</v>
      </c>
      <c r="J3068" t="s">
        <v>2464</v>
      </c>
      <c r="K3068" t="s">
        <v>4748</v>
      </c>
      <c r="L3068">
        <v>4.8</v>
      </c>
      <c r="M3068">
        <v>105000</v>
      </c>
      <c r="N3068">
        <v>5</v>
      </c>
      <c r="O3068">
        <v>37</v>
      </c>
      <c r="P3068" t="s">
        <v>53</v>
      </c>
    </row>
    <row r="3069" spans="1:16" x14ac:dyDescent="0.25">
      <c r="A3069" t="s">
        <v>6969</v>
      </c>
      <c r="B3069" t="s">
        <v>6970</v>
      </c>
      <c r="C3069" t="s">
        <v>18</v>
      </c>
      <c r="D3069" t="s">
        <v>50</v>
      </c>
      <c r="E3069" t="s">
        <v>44</v>
      </c>
      <c r="F3069" t="s">
        <v>32</v>
      </c>
      <c r="G3069" t="s">
        <v>80</v>
      </c>
      <c r="H3069" t="s">
        <v>34</v>
      </c>
      <c r="I3069" t="s">
        <v>57</v>
      </c>
      <c r="J3069" t="s">
        <v>3999</v>
      </c>
      <c r="K3069" t="s">
        <v>6971</v>
      </c>
      <c r="L3069">
        <v>3</v>
      </c>
      <c r="M3069">
        <v>285000</v>
      </c>
      <c r="N3069">
        <v>4.0999999999999996</v>
      </c>
      <c r="O3069">
        <v>9</v>
      </c>
      <c r="P3069" t="s">
        <v>53</v>
      </c>
    </row>
    <row r="3070" spans="1:16" x14ac:dyDescent="0.25">
      <c r="A3070" t="s">
        <v>6972</v>
      </c>
      <c r="B3070" t="s">
        <v>6973</v>
      </c>
      <c r="C3070" t="s">
        <v>29</v>
      </c>
      <c r="D3070" t="s">
        <v>50</v>
      </c>
      <c r="E3070" t="s">
        <v>31</v>
      </c>
      <c r="F3070" t="s">
        <v>128</v>
      </c>
      <c r="G3070" t="s">
        <v>22</v>
      </c>
      <c r="H3070" t="s">
        <v>46</v>
      </c>
      <c r="I3070" t="s">
        <v>24</v>
      </c>
      <c r="J3070" t="s">
        <v>1696</v>
      </c>
      <c r="L3070">
        <v>5.2</v>
      </c>
      <c r="M3070">
        <v>494000</v>
      </c>
      <c r="N3070">
        <v>4.3</v>
      </c>
      <c r="O3070">
        <v>5</v>
      </c>
      <c r="P3070" t="s">
        <v>26</v>
      </c>
    </row>
    <row r="3071" spans="1:16" x14ac:dyDescent="0.25">
      <c r="A3071" t="s">
        <v>6974</v>
      </c>
      <c r="B3071" t="s">
        <v>6975</v>
      </c>
      <c r="C3071" t="s">
        <v>18</v>
      </c>
      <c r="E3071" t="s">
        <v>20</v>
      </c>
      <c r="F3071" t="s">
        <v>32</v>
      </c>
      <c r="G3071" t="s">
        <v>22</v>
      </c>
      <c r="I3071" t="s">
        <v>24</v>
      </c>
      <c r="J3071" t="s">
        <v>1129</v>
      </c>
      <c r="L3071">
        <v>5.0999999999999996</v>
      </c>
      <c r="M3071">
        <v>289000</v>
      </c>
      <c r="N3071">
        <v>4</v>
      </c>
      <c r="O3071">
        <v>9</v>
      </c>
      <c r="P3071" t="s">
        <v>26</v>
      </c>
    </row>
    <row r="3072" spans="1:16" x14ac:dyDescent="0.25">
      <c r="A3072" t="s">
        <v>6976</v>
      </c>
      <c r="B3072" t="s">
        <v>5339</v>
      </c>
      <c r="C3072" t="s">
        <v>18</v>
      </c>
      <c r="E3072" t="s">
        <v>20</v>
      </c>
      <c r="F3072" t="s">
        <v>39</v>
      </c>
      <c r="G3072" t="s">
        <v>33</v>
      </c>
      <c r="H3072" t="s">
        <v>23</v>
      </c>
      <c r="I3072" t="s">
        <v>24</v>
      </c>
      <c r="J3072" t="s">
        <v>2940</v>
      </c>
      <c r="L3072">
        <v>5.7</v>
      </c>
      <c r="M3072">
        <v>89000</v>
      </c>
      <c r="N3072">
        <v>4</v>
      </c>
      <c r="O3072">
        <v>5</v>
      </c>
      <c r="P3072" t="s">
        <v>26</v>
      </c>
    </row>
    <row r="3073" spans="1:16" x14ac:dyDescent="0.25">
      <c r="A3073" t="s">
        <v>6977</v>
      </c>
      <c r="B3073" t="s">
        <v>1420</v>
      </c>
      <c r="C3073" t="s">
        <v>18</v>
      </c>
      <c r="D3073" t="s">
        <v>50</v>
      </c>
      <c r="G3073" t="s">
        <v>22</v>
      </c>
      <c r="I3073" t="s">
        <v>75</v>
      </c>
      <c r="J3073" t="s">
        <v>4772</v>
      </c>
      <c r="L3073">
        <v>3.7</v>
      </c>
      <c r="M3073">
        <v>937000</v>
      </c>
      <c r="N3073">
        <v>4.7</v>
      </c>
      <c r="O3073">
        <v>4</v>
      </c>
      <c r="P3073" t="s">
        <v>26</v>
      </c>
    </row>
    <row r="3074" spans="1:16" x14ac:dyDescent="0.25">
      <c r="A3074" t="s">
        <v>6978</v>
      </c>
      <c r="B3074" t="s">
        <v>6979</v>
      </c>
      <c r="C3074" t="s">
        <v>29</v>
      </c>
      <c r="D3074" t="s">
        <v>50</v>
      </c>
      <c r="F3074" t="s">
        <v>39</v>
      </c>
      <c r="G3074" t="s">
        <v>22</v>
      </c>
      <c r="H3074" t="s">
        <v>34</v>
      </c>
      <c r="I3074" t="s">
        <v>35</v>
      </c>
      <c r="J3074" t="s">
        <v>6281</v>
      </c>
      <c r="K3074" t="s">
        <v>6980</v>
      </c>
      <c r="L3074">
        <v>4.4000000000000004</v>
      </c>
      <c r="M3074">
        <v>157000</v>
      </c>
      <c r="N3074">
        <v>4.9000000000000004</v>
      </c>
      <c r="O3074">
        <v>11</v>
      </c>
      <c r="P3074" t="s">
        <v>53</v>
      </c>
    </row>
    <row r="3075" spans="1:16" x14ac:dyDescent="0.25">
      <c r="A3075" t="s">
        <v>6981</v>
      </c>
      <c r="B3075" t="s">
        <v>525</v>
      </c>
      <c r="C3075" t="s">
        <v>18</v>
      </c>
      <c r="D3075" t="s">
        <v>50</v>
      </c>
      <c r="E3075" t="s">
        <v>20</v>
      </c>
      <c r="F3075" t="s">
        <v>39</v>
      </c>
      <c r="G3075" t="s">
        <v>33</v>
      </c>
      <c r="H3075" t="s">
        <v>23</v>
      </c>
      <c r="I3075" t="s">
        <v>35</v>
      </c>
      <c r="J3075" t="s">
        <v>3232</v>
      </c>
      <c r="L3075">
        <v>4.5999999999999996</v>
      </c>
      <c r="M3075">
        <v>119000</v>
      </c>
      <c r="N3075">
        <v>4.3</v>
      </c>
      <c r="O3075">
        <v>11</v>
      </c>
      <c r="P3075" t="s">
        <v>26</v>
      </c>
    </row>
    <row r="3076" spans="1:16" x14ac:dyDescent="0.25">
      <c r="A3076" t="s">
        <v>6982</v>
      </c>
      <c r="B3076" t="s">
        <v>6983</v>
      </c>
      <c r="C3076" t="s">
        <v>18</v>
      </c>
      <c r="D3076" t="s">
        <v>50</v>
      </c>
      <c r="E3076" t="s">
        <v>31</v>
      </c>
      <c r="F3076" t="s">
        <v>21</v>
      </c>
      <c r="G3076" t="s">
        <v>69</v>
      </c>
      <c r="H3076" t="s">
        <v>62</v>
      </c>
      <c r="I3076" t="s">
        <v>24</v>
      </c>
      <c r="J3076" t="s">
        <v>2310</v>
      </c>
      <c r="K3076" t="s">
        <v>3993</v>
      </c>
      <c r="L3076">
        <v>4.8</v>
      </c>
      <c r="M3076">
        <v>876000</v>
      </c>
      <c r="N3076">
        <v>3.7</v>
      </c>
      <c r="O3076">
        <v>12</v>
      </c>
      <c r="P3076" t="s">
        <v>72</v>
      </c>
    </row>
    <row r="3077" spans="1:16" x14ac:dyDescent="0.25">
      <c r="A3077" t="s">
        <v>6984</v>
      </c>
      <c r="B3077" t="s">
        <v>6985</v>
      </c>
      <c r="C3077" t="s">
        <v>29</v>
      </c>
      <c r="D3077" t="s">
        <v>19</v>
      </c>
      <c r="F3077" t="s">
        <v>32</v>
      </c>
      <c r="G3077" t="s">
        <v>33</v>
      </c>
      <c r="H3077" t="s">
        <v>46</v>
      </c>
      <c r="I3077" t="s">
        <v>75</v>
      </c>
      <c r="J3077" t="s">
        <v>6843</v>
      </c>
      <c r="K3077" t="s">
        <v>1555</v>
      </c>
      <c r="L3077">
        <v>1.7</v>
      </c>
      <c r="M3077">
        <v>385000</v>
      </c>
      <c r="N3077">
        <v>2.9</v>
      </c>
      <c r="O3077">
        <v>12</v>
      </c>
      <c r="P3077" t="s">
        <v>53</v>
      </c>
    </row>
    <row r="3078" spans="1:16" x14ac:dyDescent="0.25">
      <c r="A3078" t="s">
        <v>6986</v>
      </c>
      <c r="B3078" t="s">
        <v>6987</v>
      </c>
      <c r="C3078" t="s">
        <v>18</v>
      </c>
      <c r="D3078" t="s">
        <v>50</v>
      </c>
      <c r="E3078" t="s">
        <v>20</v>
      </c>
      <c r="F3078" t="s">
        <v>39</v>
      </c>
      <c r="G3078" t="s">
        <v>33</v>
      </c>
      <c r="H3078" t="s">
        <v>34</v>
      </c>
      <c r="I3078" t="s">
        <v>24</v>
      </c>
      <c r="J3078" t="s">
        <v>6582</v>
      </c>
      <c r="L3078">
        <v>3.9</v>
      </c>
      <c r="M3078">
        <v>86000</v>
      </c>
      <c r="N3078">
        <v>3.3</v>
      </c>
      <c r="P3078" t="s">
        <v>26</v>
      </c>
    </row>
    <row r="3079" spans="1:16" x14ac:dyDescent="0.25">
      <c r="A3079" t="s">
        <v>6988</v>
      </c>
      <c r="B3079" t="s">
        <v>6989</v>
      </c>
      <c r="C3079" t="s">
        <v>18</v>
      </c>
      <c r="D3079" t="s">
        <v>30</v>
      </c>
      <c r="E3079" t="s">
        <v>20</v>
      </c>
      <c r="F3079" t="s">
        <v>39</v>
      </c>
      <c r="G3079" t="s">
        <v>80</v>
      </c>
      <c r="H3079" t="s">
        <v>34</v>
      </c>
      <c r="I3079" t="s">
        <v>24</v>
      </c>
      <c r="J3079" t="s">
        <v>2154</v>
      </c>
      <c r="L3079">
        <v>2.1</v>
      </c>
      <c r="M3079">
        <v>144000</v>
      </c>
      <c r="N3079">
        <v>3</v>
      </c>
      <c r="O3079">
        <v>3</v>
      </c>
      <c r="P3079" t="s">
        <v>26</v>
      </c>
    </row>
    <row r="3080" spans="1:16" x14ac:dyDescent="0.25">
      <c r="A3080" t="s">
        <v>6990</v>
      </c>
      <c r="B3080" t="s">
        <v>1256</v>
      </c>
      <c r="C3080" t="s">
        <v>29</v>
      </c>
      <c r="D3080" t="s">
        <v>79</v>
      </c>
      <c r="E3080" t="s">
        <v>31</v>
      </c>
      <c r="F3080" t="s">
        <v>128</v>
      </c>
      <c r="G3080" t="s">
        <v>22</v>
      </c>
      <c r="H3080" t="s">
        <v>23</v>
      </c>
      <c r="I3080" t="s">
        <v>24</v>
      </c>
      <c r="J3080" t="s">
        <v>3094</v>
      </c>
      <c r="L3080">
        <v>4.5999999999999996</v>
      </c>
      <c r="M3080">
        <v>446000</v>
      </c>
      <c r="N3080">
        <v>2</v>
      </c>
      <c r="O3080">
        <v>10</v>
      </c>
      <c r="P3080" t="s">
        <v>26</v>
      </c>
    </row>
    <row r="3081" spans="1:16" x14ac:dyDescent="0.25">
      <c r="A3081" t="s">
        <v>6991</v>
      </c>
      <c r="B3081" t="s">
        <v>6992</v>
      </c>
      <c r="C3081" t="s">
        <v>29</v>
      </c>
      <c r="D3081" t="s">
        <v>79</v>
      </c>
      <c r="E3081" t="s">
        <v>31</v>
      </c>
      <c r="F3081" t="s">
        <v>32</v>
      </c>
      <c r="G3081" t="s">
        <v>33</v>
      </c>
      <c r="H3081" t="s">
        <v>34</v>
      </c>
      <c r="I3081" t="s">
        <v>75</v>
      </c>
      <c r="J3081" t="s">
        <v>1732</v>
      </c>
      <c r="L3081">
        <v>5.0999999999999996</v>
      </c>
      <c r="M3081">
        <v>278000</v>
      </c>
      <c r="N3081">
        <v>3.1</v>
      </c>
      <c r="O3081">
        <v>0</v>
      </c>
      <c r="P3081" t="s">
        <v>26</v>
      </c>
    </row>
    <row r="3082" spans="1:16" x14ac:dyDescent="0.25">
      <c r="A3082" t="s">
        <v>6993</v>
      </c>
      <c r="B3082" t="s">
        <v>6994</v>
      </c>
      <c r="C3082" t="s">
        <v>29</v>
      </c>
      <c r="D3082" t="s">
        <v>43</v>
      </c>
      <c r="E3082" t="s">
        <v>20</v>
      </c>
      <c r="F3082" t="s">
        <v>128</v>
      </c>
      <c r="G3082" t="s">
        <v>33</v>
      </c>
      <c r="I3082" t="s">
        <v>35</v>
      </c>
      <c r="J3082" t="s">
        <v>3030</v>
      </c>
      <c r="K3082" t="s">
        <v>824</v>
      </c>
      <c r="L3082">
        <v>3.6</v>
      </c>
      <c r="M3082">
        <v>350000</v>
      </c>
      <c r="N3082">
        <v>3.6</v>
      </c>
      <c r="O3082">
        <v>8</v>
      </c>
      <c r="P3082" t="s">
        <v>53</v>
      </c>
    </row>
    <row r="3083" spans="1:16" x14ac:dyDescent="0.25">
      <c r="A3083" t="s">
        <v>6995</v>
      </c>
      <c r="B3083" t="s">
        <v>6996</v>
      </c>
      <c r="C3083" t="s">
        <v>29</v>
      </c>
      <c r="D3083" t="s">
        <v>43</v>
      </c>
      <c r="E3083" t="s">
        <v>20</v>
      </c>
      <c r="F3083" t="s">
        <v>39</v>
      </c>
      <c r="G3083" t="s">
        <v>22</v>
      </c>
      <c r="H3083" t="s">
        <v>46</v>
      </c>
      <c r="I3083" t="s">
        <v>171</v>
      </c>
      <c r="J3083" t="s">
        <v>2579</v>
      </c>
      <c r="K3083" t="s">
        <v>539</v>
      </c>
      <c r="L3083">
        <v>3.7</v>
      </c>
      <c r="M3083">
        <v>158000</v>
      </c>
      <c r="N3083">
        <v>3.6</v>
      </c>
      <c r="O3083">
        <v>2</v>
      </c>
      <c r="P3083" t="s">
        <v>53</v>
      </c>
    </row>
    <row r="3084" spans="1:16" x14ac:dyDescent="0.25">
      <c r="A3084" t="s">
        <v>6997</v>
      </c>
      <c r="B3084" t="s">
        <v>6998</v>
      </c>
      <c r="C3084" t="s">
        <v>29</v>
      </c>
      <c r="D3084" t="s">
        <v>50</v>
      </c>
      <c r="E3084" t="s">
        <v>20</v>
      </c>
      <c r="F3084" t="s">
        <v>39</v>
      </c>
      <c r="G3084" t="s">
        <v>22</v>
      </c>
      <c r="H3084" t="s">
        <v>34</v>
      </c>
      <c r="I3084" t="s">
        <v>171</v>
      </c>
      <c r="J3084" t="s">
        <v>306</v>
      </c>
      <c r="L3084">
        <v>1.5</v>
      </c>
      <c r="M3084">
        <v>164000</v>
      </c>
      <c r="N3084">
        <v>2.8</v>
      </c>
      <c r="O3084">
        <v>7</v>
      </c>
      <c r="P3084" t="s">
        <v>26</v>
      </c>
    </row>
    <row r="3085" spans="1:16" x14ac:dyDescent="0.25">
      <c r="A3085" t="s">
        <v>6999</v>
      </c>
      <c r="B3085" t="s">
        <v>4646</v>
      </c>
      <c r="C3085" t="s">
        <v>29</v>
      </c>
      <c r="D3085" t="s">
        <v>30</v>
      </c>
      <c r="E3085" t="s">
        <v>31</v>
      </c>
      <c r="F3085" t="s">
        <v>128</v>
      </c>
      <c r="G3085" t="s">
        <v>33</v>
      </c>
      <c r="H3085" t="s">
        <v>46</v>
      </c>
      <c r="I3085" t="s">
        <v>24</v>
      </c>
      <c r="J3085" t="s">
        <v>3139</v>
      </c>
      <c r="L3085">
        <v>1.9</v>
      </c>
      <c r="M3085">
        <v>442000</v>
      </c>
      <c r="N3085">
        <v>4.7</v>
      </c>
      <c r="O3085">
        <v>10</v>
      </c>
      <c r="P3085" t="s">
        <v>26</v>
      </c>
    </row>
    <row r="3086" spans="1:16" x14ac:dyDescent="0.25">
      <c r="A3086" t="s">
        <v>7000</v>
      </c>
      <c r="B3086" t="s">
        <v>1702</v>
      </c>
      <c r="C3086" t="s">
        <v>18</v>
      </c>
      <c r="D3086" t="s">
        <v>30</v>
      </c>
      <c r="E3086" t="s">
        <v>20</v>
      </c>
      <c r="F3086" t="s">
        <v>32</v>
      </c>
      <c r="G3086" t="s">
        <v>22</v>
      </c>
      <c r="H3086" t="s">
        <v>46</v>
      </c>
      <c r="I3086" t="s">
        <v>24</v>
      </c>
      <c r="J3086" t="s">
        <v>1184</v>
      </c>
      <c r="K3086" t="s">
        <v>2423</v>
      </c>
      <c r="L3086">
        <v>1.6</v>
      </c>
      <c r="M3086">
        <v>343000</v>
      </c>
      <c r="N3086">
        <v>3.1</v>
      </c>
      <c r="O3086">
        <v>6</v>
      </c>
      <c r="P3086" t="s">
        <v>53</v>
      </c>
    </row>
    <row r="3087" spans="1:16" x14ac:dyDescent="0.25">
      <c r="A3087" t="s">
        <v>7001</v>
      </c>
      <c r="B3087" t="s">
        <v>7002</v>
      </c>
      <c r="C3087" t="s">
        <v>29</v>
      </c>
      <c r="D3087" t="s">
        <v>50</v>
      </c>
      <c r="E3087" t="s">
        <v>20</v>
      </c>
      <c r="F3087" t="s">
        <v>21</v>
      </c>
      <c r="G3087" t="s">
        <v>22</v>
      </c>
      <c r="H3087" t="s">
        <v>62</v>
      </c>
      <c r="I3087" t="s">
        <v>75</v>
      </c>
      <c r="J3087" t="s">
        <v>2323</v>
      </c>
      <c r="K3087" t="s">
        <v>1562</v>
      </c>
      <c r="L3087">
        <v>1.8</v>
      </c>
      <c r="M3087">
        <v>932000</v>
      </c>
      <c r="N3087">
        <v>4</v>
      </c>
      <c r="O3087">
        <v>18</v>
      </c>
      <c r="P3087" t="s">
        <v>114</v>
      </c>
    </row>
    <row r="3088" spans="1:16" x14ac:dyDescent="0.25">
      <c r="A3088" t="s">
        <v>7003</v>
      </c>
      <c r="B3088" t="s">
        <v>2852</v>
      </c>
      <c r="C3088" t="s">
        <v>18</v>
      </c>
      <c r="D3088" t="s">
        <v>19</v>
      </c>
      <c r="E3088" t="s">
        <v>20</v>
      </c>
      <c r="F3088" t="s">
        <v>39</v>
      </c>
      <c r="G3088" t="s">
        <v>33</v>
      </c>
      <c r="H3088" t="s">
        <v>23</v>
      </c>
      <c r="I3088" t="s">
        <v>75</v>
      </c>
      <c r="J3088" t="s">
        <v>752</v>
      </c>
      <c r="L3088">
        <v>5.5</v>
      </c>
      <c r="M3088">
        <v>183000</v>
      </c>
      <c r="N3088">
        <v>4.2</v>
      </c>
      <c r="O3088">
        <v>12</v>
      </c>
      <c r="P3088" t="s">
        <v>26</v>
      </c>
    </row>
    <row r="3089" spans="1:16" x14ac:dyDescent="0.25">
      <c r="A3089" t="s">
        <v>7004</v>
      </c>
      <c r="B3089" t="s">
        <v>7005</v>
      </c>
      <c r="C3089" t="s">
        <v>18</v>
      </c>
      <c r="D3089" t="s">
        <v>79</v>
      </c>
      <c r="E3089" t="s">
        <v>20</v>
      </c>
      <c r="F3089" t="s">
        <v>128</v>
      </c>
      <c r="G3089" t="s">
        <v>22</v>
      </c>
      <c r="H3089" t="s">
        <v>34</v>
      </c>
      <c r="I3089" t="s">
        <v>24</v>
      </c>
      <c r="J3089" t="s">
        <v>2606</v>
      </c>
      <c r="L3089">
        <v>1.5</v>
      </c>
      <c r="M3089">
        <v>423000</v>
      </c>
      <c r="N3089">
        <v>2.6</v>
      </c>
      <c r="O3089">
        <v>0</v>
      </c>
      <c r="P3089" t="s">
        <v>26</v>
      </c>
    </row>
    <row r="3090" spans="1:16" x14ac:dyDescent="0.25">
      <c r="A3090" t="s">
        <v>7006</v>
      </c>
      <c r="B3090" t="s">
        <v>4456</v>
      </c>
      <c r="C3090" t="s">
        <v>18</v>
      </c>
      <c r="D3090" t="s">
        <v>79</v>
      </c>
      <c r="E3090" t="s">
        <v>44</v>
      </c>
      <c r="F3090" t="s">
        <v>128</v>
      </c>
      <c r="G3090" t="s">
        <v>33</v>
      </c>
      <c r="H3090" t="s">
        <v>46</v>
      </c>
      <c r="I3090" t="s">
        <v>35</v>
      </c>
      <c r="J3090" t="s">
        <v>4326</v>
      </c>
      <c r="L3090">
        <v>2.2999999999999998</v>
      </c>
      <c r="M3090">
        <v>520000</v>
      </c>
      <c r="N3090">
        <v>3.5</v>
      </c>
      <c r="O3090">
        <v>29</v>
      </c>
      <c r="P3090" t="s">
        <v>26</v>
      </c>
    </row>
    <row r="3091" spans="1:16" x14ac:dyDescent="0.25">
      <c r="A3091" t="s">
        <v>7007</v>
      </c>
      <c r="B3091" t="s">
        <v>7008</v>
      </c>
      <c r="C3091" t="s">
        <v>18</v>
      </c>
      <c r="E3091" t="s">
        <v>44</v>
      </c>
      <c r="F3091" t="s">
        <v>39</v>
      </c>
      <c r="G3091" t="s">
        <v>33</v>
      </c>
      <c r="H3091" t="s">
        <v>46</v>
      </c>
      <c r="I3091" t="s">
        <v>35</v>
      </c>
      <c r="J3091" t="s">
        <v>4624</v>
      </c>
      <c r="L3091">
        <v>4.2</v>
      </c>
      <c r="M3091">
        <v>176000</v>
      </c>
      <c r="N3091">
        <v>3</v>
      </c>
      <c r="O3091">
        <v>4</v>
      </c>
      <c r="P3091" t="s">
        <v>26</v>
      </c>
    </row>
    <row r="3092" spans="1:16" x14ac:dyDescent="0.25">
      <c r="A3092" t="s">
        <v>7009</v>
      </c>
      <c r="B3092" t="s">
        <v>3733</v>
      </c>
      <c r="C3092" t="s">
        <v>18</v>
      </c>
      <c r="D3092" t="s">
        <v>30</v>
      </c>
      <c r="E3092" t="s">
        <v>20</v>
      </c>
      <c r="F3092" t="s">
        <v>39</v>
      </c>
      <c r="G3092" t="s">
        <v>22</v>
      </c>
      <c r="H3092" t="s">
        <v>23</v>
      </c>
      <c r="I3092" t="s">
        <v>24</v>
      </c>
      <c r="J3092" t="s">
        <v>2723</v>
      </c>
      <c r="L3092">
        <v>2.8</v>
      </c>
      <c r="M3092">
        <v>123000</v>
      </c>
      <c r="N3092">
        <v>3.3</v>
      </c>
      <c r="O3092">
        <v>4</v>
      </c>
      <c r="P3092" t="s">
        <v>26</v>
      </c>
    </row>
    <row r="3093" spans="1:16" x14ac:dyDescent="0.25">
      <c r="A3093" t="s">
        <v>7010</v>
      </c>
      <c r="B3093" t="s">
        <v>7011</v>
      </c>
      <c r="C3093" t="s">
        <v>18</v>
      </c>
      <c r="D3093" t="s">
        <v>30</v>
      </c>
      <c r="E3093" t="s">
        <v>20</v>
      </c>
      <c r="F3093" t="s">
        <v>39</v>
      </c>
      <c r="G3093" t="s">
        <v>80</v>
      </c>
      <c r="H3093" t="s">
        <v>46</v>
      </c>
      <c r="I3093" t="s">
        <v>24</v>
      </c>
      <c r="J3093" t="s">
        <v>6600</v>
      </c>
      <c r="K3093" t="s">
        <v>109</v>
      </c>
      <c r="L3093">
        <v>6.2</v>
      </c>
      <c r="M3093">
        <v>105000</v>
      </c>
      <c r="N3093">
        <v>2.7</v>
      </c>
      <c r="O3093">
        <v>3</v>
      </c>
      <c r="P3093" t="s">
        <v>53</v>
      </c>
    </row>
    <row r="3094" spans="1:16" x14ac:dyDescent="0.25">
      <c r="A3094" t="s">
        <v>4664</v>
      </c>
      <c r="B3094" t="s">
        <v>3155</v>
      </c>
      <c r="C3094" t="s">
        <v>18</v>
      </c>
      <c r="D3094" t="s">
        <v>30</v>
      </c>
      <c r="E3094" t="s">
        <v>20</v>
      </c>
      <c r="F3094" t="s">
        <v>39</v>
      </c>
      <c r="G3094" t="s">
        <v>22</v>
      </c>
      <c r="H3094" t="s">
        <v>23</v>
      </c>
      <c r="I3094" t="s">
        <v>57</v>
      </c>
      <c r="J3094" t="s">
        <v>4665</v>
      </c>
      <c r="L3094">
        <v>4.2</v>
      </c>
      <c r="M3094">
        <v>160000</v>
      </c>
      <c r="N3094">
        <v>2.8</v>
      </c>
      <c r="O3094">
        <v>4</v>
      </c>
      <c r="P3094" t="s">
        <v>26</v>
      </c>
    </row>
    <row r="3095" spans="1:16" x14ac:dyDescent="0.25">
      <c r="A3095" t="s">
        <v>7012</v>
      </c>
      <c r="B3095" t="s">
        <v>5282</v>
      </c>
      <c r="C3095" t="s">
        <v>18</v>
      </c>
      <c r="E3095" t="s">
        <v>20</v>
      </c>
      <c r="F3095" t="s">
        <v>39</v>
      </c>
      <c r="G3095" t="s">
        <v>22</v>
      </c>
      <c r="H3095" t="s">
        <v>23</v>
      </c>
      <c r="I3095" t="s">
        <v>171</v>
      </c>
      <c r="J3095" t="s">
        <v>1606</v>
      </c>
      <c r="K3095" t="s">
        <v>5612</v>
      </c>
      <c r="L3095">
        <v>1.4</v>
      </c>
      <c r="M3095">
        <v>137000</v>
      </c>
      <c r="N3095">
        <v>4.5</v>
      </c>
      <c r="O3095">
        <v>9</v>
      </c>
      <c r="P3095" t="s">
        <v>53</v>
      </c>
    </row>
    <row r="3096" spans="1:16" x14ac:dyDescent="0.25">
      <c r="A3096" t="s">
        <v>7013</v>
      </c>
      <c r="B3096" t="s">
        <v>7014</v>
      </c>
      <c r="C3096" t="s">
        <v>18</v>
      </c>
      <c r="D3096" t="s">
        <v>19</v>
      </c>
      <c r="E3096" t="s">
        <v>44</v>
      </c>
      <c r="F3096" t="s">
        <v>128</v>
      </c>
      <c r="G3096" t="s">
        <v>33</v>
      </c>
      <c r="H3096" t="s">
        <v>46</v>
      </c>
      <c r="I3096" t="s">
        <v>57</v>
      </c>
      <c r="J3096" t="s">
        <v>7015</v>
      </c>
      <c r="K3096" t="s">
        <v>1310</v>
      </c>
      <c r="L3096">
        <v>2.1</v>
      </c>
      <c r="M3096">
        <v>504000</v>
      </c>
      <c r="N3096">
        <v>2.6</v>
      </c>
      <c r="O3096">
        <v>1</v>
      </c>
      <c r="P3096" t="s">
        <v>53</v>
      </c>
    </row>
    <row r="3097" spans="1:16" x14ac:dyDescent="0.25">
      <c r="A3097" t="s">
        <v>7016</v>
      </c>
      <c r="B3097" t="s">
        <v>3008</v>
      </c>
      <c r="C3097" t="s">
        <v>18</v>
      </c>
      <c r="D3097" t="s">
        <v>50</v>
      </c>
      <c r="E3097" t="s">
        <v>20</v>
      </c>
      <c r="F3097" t="s">
        <v>128</v>
      </c>
      <c r="G3097" t="s">
        <v>80</v>
      </c>
      <c r="H3097" t="s">
        <v>23</v>
      </c>
      <c r="I3097" t="s">
        <v>171</v>
      </c>
      <c r="J3097" t="s">
        <v>878</v>
      </c>
      <c r="L3097">
        <v>2</v>
      </c>
      <c r="M3097">
        <v>398000</v>
      </c>
      <c r="N3097">
        <v>2.1</v>
      </c>
      <c r="P3097" t="s">
        <v>26</v>
      </c>
    </row>
    <row r="3098" spans="1:16" x14ac:dyDescent="0.25">
      <c r="A3098" t="s">
        <v>7017</v>
      </c>
      <c r="B3098" t="s">
        <v>1408</v>
      </c>
      <c r="D3098" t="s">
        <v>43</v>
      </c>
      <c r="E3098" t="s">
        <v>20</v>
      </c>
      <c r="F3098" t="s">
        <v>32</v>
      </c>
      <c r="G3098" t="s">
        <v>33</v>
      </c>
      <c r="H3098" t="s">
        <v>46</v>
      </c>
      <c r="I3098" t="s">
        <v>24</v>
      </c>
      <c r="J3098" t="s">
        <v>6242</v>
      </c>
      <c r="L3098">
        <v>3.3</v>
      </c>
      <c r="M3098">
        <v>180000</v>
      </c>
      <c r="N3098">
        <v>4.2</v>
      </c>
      <c r="O3098">
        <v>35</v>
      </c>
      <c r="P3098" t="s">
        <v>26</v>
      </c>
    </row>
    <row r="3099" spans="1:16" x14ac:dyDescent="0.25">
      <c r="A3099" t="s">
        <v>7018</v>
      </c>
      <c r="B3099" t="s">
        <v>7019</v>
      </c>
      <c r="C3099" t="s">
        <v>29</v>
      </c>
      <c r="D3099" t="s">
        <v>79</v>
      </c>
      <c r="E3099" t="s">
        <v>44</v>
      </c>
      <c r="F3099" t="s">
        <v>32</v>
      </c>
      <c r="G3099" t="s">
        <v>22</v>
      </c>
      <c r="H3099" t="s">
        <v>46</v>
      </c>
      <c r="I3099" t="s">
        <v>24</v>
      </c>
      <c r="J3099" t="s">
        <v>478</v>
      </c>
      <c r="L3099">
        <v>1.3</v>
      </c>
      <c r="M3099">
        <v>236000</v>
      </c>
      <c r="N3099">
        <v>3.2</v>
      </c>
      <c r="O3099">
        <v>1</v>
      </c>
      <c r="P3099" t="s">
        <v>26</v>
      </c>
    </row>
    <row r="3100" spans="1:16" x14ac:dyDescent="0.25">
      <c r="A3100" t="s">
        <v>7020</v>
      </c>
      <c r="B3100" t="s">
        <v>4949</v>
      </c>
      <c r="C3100" t="s">
        <v>29</v>
      </c>
      <c r="D3100" t="s">
        <v>19</v>
      </c>
      <c r="E3100" t="s">
        <v>20</v>
      </c>
      <c r="F3100" t="s">
        <v>32</v>
      </c>
      <c r="G3100" t="s">
        <v>69</v>
      </c>
      <c r="H3100" t="s">
        <v>34</v>
      </c>
      <c r="I3100" t="s">
        <v>57</v>
      </c>
      <c r="J3100" t="s">
        <v>213</v>
      </c>
      <c r="L3100">
        <v>4.8</v>
      </c>
      <c r="M3100">
        <v>331000</v>
      </c>
      <c r="N3100">
        <v>3.9</v>
      </c>
      <c r="P3100" t="s">
        <v>26</v>
      </c>
    </row>
    <row r="3101" spans="1:16" x14ac:dyDescent="0.25">
      <c r="A3101" t="s">
        <v>7021</v>
      </c>
      <c r="B3101" t="s">
        <v>7022</v>
      </c>
      <c r="C3101" t="s">
        <v>29</v>
      </c>
      <c r="D3101" t="s">
        <v>50</v>
      </c>
      <c r="E3101" t="s">
        <v>20</v>
      </c>
      <c r="F3101" t="s">
        <v>32</v>
      </c>
      <c r="G3101" t="s">
        <v>33</v>
      </c>
      <c r="H3101" t="s">
        <v>34</v>
      </c>
      <c r="I3101" t="s">
        <v>24</v>
      </c>
      <c r="J3101" t="s">
        <v>1391</v>
      </c>
      <c r="L3101">
        <v>3.4</v>
      </c>
      <c r="M3101">
        <v>226000</v>
      </c>
      <c r="N3101">
        <v>3.6</v>
      </c>
      <c r="O3101">
        <v>16</v>
      </c>
      <c r="P3101" t="s">
        <v>26</v>
      </c>
    </row>
    <row r="3102" spans="1:16" x14ac:dyDescent="0.25">
      <c r="A3102" t="s">
        <v>7023</v>
      </c>
      <c r="B3102" t="s">
        <v>4766</v>
      </c>
      <c r="C3102" t="s">
        <v>18</v>
      </c>
      <c r="D3102" t="s">
        <v>50</v>
      </c>
      <c r="E3102" t="s">
        <v>20</v>
      </c>
      <c r="F3102" t="s">
        <v>128</v>
      </c>
      <c r="G3102" t="s">
        <v>33</v>
      </c>
      <c r="H3102" t="s">
        <v>23</v>
      </c>
      <c r="I3102" t="s">
        <v>57</v>
      </c>
      <c r="J3102" t="s">
        <v>360</v>
      </c>
      <c r="K3102" t="s">
        <v>5003</v>
      </c>
      <c r="L3102">
        <v>1.5</v>
      </c>
      <c r="M3102">
        <v>533000</v>
      </c>
      <c r="N3102">
        <v>3</v>
      </c>
      <c r="O3102">
        <v>0</v>
      </c>
      <c r="P3102" t="s">
        <v>72</v>
      </c>
    </row>
    <row r="3103" spans="1:16" x14ac:dyDescent="0.25">
      <c r="A3103" t="s">
        <v>7024</v>
      </c>
      <c r="B3103" t="s">
        <v>7025</v>
      </c>
      <c r="C3103" t="s">
        <v>29</v>
      </c>
      <c r="E3103" t="s">
        <v>20</v>
      </c>
      <c r="F3103" t="s">
        <v>32</v>
      </c>
      <c r="G3103" t="s">
        <v>22</v>
      </c>
      <c r="H3103" t="s">
        <v>34</v>
      </c>
      <c r="I3103" t="s">
        <v>57</v>
      </c>
      <c r="J3103" t="s">
        <v>205</v>
      </c>
      <c r="L3103">
        <v>3.9</v>
      </c>
      <c r="M3103">
        <v>268000</v>
      </c>
      <c r="N3103">
        <v>4.5999999999999996</v>
      </c>
      <c r="O3103">
        <v>10</v>
      </c>
      <c r="P3103" t="s">
        <v>26</v>
      </c>
    </row>
    <row r="3104" spans="1:16" x14ac:dyDescent="0.25">
      <c r="A3104" t="s">
        <v>7026</v>
      </c>
      <c r="B3104" t="s">
        <v>4260</v>
      </c>
      <c r="C3104" t="s">
        <v>29</v>
      </c>
      <c r="D3104" t="s">
        <v>43</v>
      </c>
      <c r="E3104" t="s">
        <v>20</v>
      </c>
      <c r="F3104" t="s">
        <v>32</v>
      </c>
      <c r="G3104" t="s">
        <v>22</v>
      </c>
      <c r="H3104" t="s">
        <v>23</v>
      </c>
      <c r="I3104" t="s">
        <v>75</v>
      </c>
      <c r="J3104" t="s">
        <v>145</v>
      </c>
      <c r="L3104">
        <v>1.5</v>
      </c>
      <c r="M3104">
        <v>180000</v>
      </c>
      <c r="N3104">
        <v>3.6</v>
      </c>
      <c r="O3104">
        <v>10</v>
      </c>
      <c r="P3104" t="s">
        <v>26</v>
      </c>
    </row>
    <row r="3105" spans="1:16" x14ac:dyDescent="0.25">
      <c r="A3105" t="s">
        <v>7027</v>
      </c>
      <c r="B3105" t="s">
        <v>7028</v>
      </c>
      <c r="C3105" t="s">
        <v>18</v>
      </c>
      <c r="D3105" t="s">
        <v>50</v>
      </c>
      <c r="E3105" t="s">
        <v>31</v>
      </c>
      <c r="F3105" t="s">
        <v>128</v>
      </c>
      <c r="G3105" t="s">
        <v>80</v>
      </c>
      <c r="H3105" t="s">
        <v>23</v>
      </c>
      <c r="I3105" t="s">
        <v>57</v>
      </c>
      <c r="J3105" t="s">
        <v>7029</v>
      </c>
      <c r="L3105">
        <v>5</v>
      </c>
      <c r="M3105">
        <v>598000</v>
      </c>
      <c r="N3105">
        <v>3.5</v>
      </c>
      <c r="O3105">
        <v>13</v>
      </c>
      <c r="P3105" t="s">
        <v>26</v>
      </c>
    </row>
    <row r="3106" spans="1:16" x14ac:dyDescent="0.25">
      <c r="A3106" t="s">
        <v>7030</v>
      </c>
      <c r="B3106" t="s">
        <v>184</v>
      </c>
      <c r="C3106" t="s">
        <v>29</v>
      </c>
      <c r="D3106" t="s">
        <v>30</v>
      </c>
      <c r="E3106" t="s">
        <v>44</v>
      </c>
      <c r="F3106" t="s">
        <v>39</v>
      </c>
      <c r="G3106" t="s">
        <v>22</v>
      </c>
      <c r="H3106" t="s">
        <v>34</v>
      </c>
      <c r="I3106" t="s">
        <v>75</v>
      </c>
      <c r="J3106" t="s">
        <v>7031</v>
      </c>
      <c r="K3106" t="s">
        <v>591</v>
      </c>
      <c r="L3106">
        <v>2.2999999999999998</v>
      </c>
      <c r="M3106">
        <v>144000</v>
      </c>
      <c r="N3106">
        <v>2.9</v>
      </c>
      <c r="O3106">
        <v>3</v>
      </c>
      <c r="P3106" t="s">
        <v>53</v>
      </c>
    </row>
    <row r="3107" spans="1:16" x14ac:dyDescent="0.25">
      <c r="A3107" t="s">
        <v>1206</v>
      </c>
      <c r="B3107" t="s">
        <v>1207</v>
      </c>
      <c r="C3107" t="s">
        <v>29</v>
      </c>
      <c r="D3107" t="s">
        <v>50</v>
      </c>
      <c r="E3107" t="s">
        <v>20</v>
      </c>
      <c r="G3107" t="s">
        <v>80</v>
      </c>
      <c r="H3107" t="s">
        <v>46</v>
      </c>
      <c r="I3107" t="s">
        <v>75</v>
      </c>
      <c r="J3107" t="s">
        <v>920</v>
      </c>
      <c r="K3107" t="s">
        <v>132</v>
      </c>
      <c r="L3107">
        <v>4.7</v>
      </c>
      <c r="M3107">
        <v>303000</v>
      </c>
      <c r="N3107">
        <v>3.7</v>
      </c>
      <c r="O3107">
        <v>5</v>
      </c>
      <c r="P3107" t="s">
        <v>114</v>
      </c>
    </row>
    <row r="3108" spans="1:16" x14ac:dyDescent="0.25">
      <c r="A3108" t="s">
        <v>7032</v>
      </c>
      <c r="B3108" t="s">
        <v>7033</v>
      </c>
      <c r="C3108" t="s">
        <v>29</v>
      </c>
      <c r="D3108" t="s">
        <v>19</v>
      </c>
      <c r="E3108" t="s">
        <v>20</v>
      </c>
      <c r="F3108" t="s">
        <v>32</v>
      </c>
      <c r="G3108" t="s">
        <v>80</v>
      </c>
      <c r="H3108" t="s">
        <v>23</v>
      </c>
      <c r="I3108" t="s">
        <v>24</v>
      </c>
      <c r="J3108" t="s">
        <v>4384</v>
      </c>
      <c r="L3108">
        <v>1.4</v>
      </c>
      <c r="N3108">
        <v>4.7</v>
      </c>
      <c r="O3108">
        <v>17</v>
      </c>
      <c r="P3108" t="s">
        <v>26</v>
      </c>
    </row>
    <row r="3109" spans="1:16" x14ac:dyDescent="0.25">
      <c r="A3109" t="s">
        <v>7034</v>
      </c>
      <c r="B3109" t="s">
        <v>4920</v>
      </c>
      <c r="C3109" t="s">
        <v>18</v>
      </c>
      <c r="D3109" t="s">
        <v>30</v>
      </c>
      <c r="E3109" t="s">
        <v>20</v>
      </c>
      <c r="F3109" t="s">
        <v>32</v>
      </c>
      <c r="G3109" t="s">
        <v>22</v>
      </c>
      <c r="H3109" t="s">
        <v>34</v>
      </c>
      <c r="I3109" t="s">
        <v>57</v>
      </c>
      <c r="J3109" t="s">
        <v>4289</v>
      </c>
      <c r="K3109" t="s">
        <v>6501</v>
      </c>
      <c r="L3109">
        <v>3.4</v>
      </c>
      <c r="M3109">
        <v>307000</v>
      </c>
      <c r="N3109">
        <v>4.0999999999999996</v>
      </c>
      <c r="O3109">
        <v>7</v>
      </c>
      <c r="P3109" t="s">
        <v>114</v>
      </c>
    </row>
    <row r="3110" spans="1:16" x14ac:dyDescent="0.25">
      <c r="A3110" t="s">
        <v>7035</v>
      </c>
      <c r="B3110" t="s">
        <v>6973</v>
      </c>
      <c r="C3110" t="s">
        <v>29</v>
      </c>
      <c r="D3110" t="s">
        <v>43</v>
      </c>
      <c r="E3110" t="s">
        <v>44</v>
      </c>
      <c r="F3110" t="s">
        <v>128</v>
      </c>
      <c r="G3110" t="s">
        <v>22</v>
      </c>
      <c r="H3110" t="s">
        <v>23</v>
      </c>
      <c r="I3110" t="s">
        <v>35</v>
      </c>
      <c r="J3110" t="s">
        <v>1321</v>
      </c>
      <c r="L3110">
        <v>3.1</v>
      </c>
      <c r="M3110">
        <v>423000</v>
      </c>
      <c r="N3110">
        <v>2.1</v>
      </c>
      <c r="O3110">
        <v>2</v>
      </c>
      <c r="P3110" t="s">
        <v>26</v>
      </c>
    </row>
    <row r="3111" spans="1:16" x14ac:dyDescent="0.25">
      <c r="A3111" t="s">
        <v>7036</v>
      </c>
      <c r="B3111" t="s">
        <v>105</v>
      </c>
      <c r="C3111" t="s">
        <v>18</v>
      </c>
      <c r="D3111" t="s">
        <v>79</v>
      </c>
      <c r="G3111" t="s">
        <v>33</v>
      </c>
      <c r="H3111" t="s">
        <v>23</v>
      </c>
      <c r="I3111" t="s">
        <v>57</v>
      </c>
      <c r="J3111" t="s">
        <v>3712</v>
      </c>
      <c r="L3111">
        <v>2</v>
      </c>
      <c r="M3111">
        <v>230000</v>
      </c>
      <c r="N3111">
        <v>2.8</v>
      </c>
      <c r="O3111">
        <v>8</v>
      </c>
      <c r="P3111" t="s">
        <v>26</v>
      </c>
    </row>
    <row r="3112" spans="1:16" x14ac:dyDescent="0.25">
      <c r="A3112" t="s">
        <v>7037</v>
      </c>
      <c r="B3112" t="s">
        <v>6593</v>
      </c>
      <c r="C3112" t="s">
        <v>18</v>
      </c>
      <c r="E3112" t="s">
        <v>44</v>
      </c>
      <c r="F3112" t="s">
        <v>128</v>
      </c>
      <c r="G3112" t="s">
        <v>22</v>
      </c>
      <c r="H3112" t="s">
        <v>34</v>
      </c>
      <c r="I3112" t="s">
        <v>171</v>
      </c>
      <c r="J3112" t="s">
        <v>3088</v>
      </c>
      <c r="L3112">
        <v>5.6</v>
      </c>
      <c r="M3112">
        <v>493000</v>
      </c>
      <c r="N3112">
        <v>2.6</v>
      </c>
      <c r="O3112">
        <v>3</v>
      </c>
      <c r="P3112" t="s">
        <v>26</v>
      </c>
    </row>
    <row r="3113" spans="1:16" x14ac:dyDescent="0.25">
      <c r="A3113" t="s">
        <v>3292</v>
      </c>
      <c r="B3113" t="s">
        <v>3293</v>
      </c>
      <c r="C3113" t="s">
        <v>29</v>
      </c>
      <c r="D3113" t="s">
        <v>30</v>
      </c>
      <c r="E3113" t="s">
        <v>31</v>
      </c>
      <c r="F3113" t="s">
        <v>32</v>
      </c>
      <c r="G3113" t="s">
        <v>22</v>
      </c>
      <c r="H3113" t="s">
        <v>62</v>
      </c>
      <c r="I3113" t="s">
        <v>57</v>
      </c>
      <c r="J3113" t="s">
        <v>1429</v>
      </c>
      <c r="K3113" t="s">
        <v>3294</v>
      </c>
      <c r="L3113">
        <v>1.5</v>
      </c>
      <c r="M3113">
        <v>269000</v>
      </c>
      <c r="N3113">
        <v>4.5999999999999996</v>
      </c>
      <c r="O3113">
        <v>3</v>
      </c>
      <c r="P3113" t="s">
        <v>53</v>
      </c>
    </row>
    <row r="3114" spans="1:16" x14ac:dyDescent="0.25">
      <c r="A3114" t="s">
        <v>7038</v>
      </c>
      <c r="B3114" t="s">
        <v>5857</v>
      </c>
      <c r="C3114" t="s">
        <v>29</v>
      </c>
      <c r="D3114" t="s">
        <v>79</v>
      </c>
      <c r="E3114" t="s">
        <v>44</v>
      </c>
      <c r="F3114" t="s">
        <v>128</v>
      </c>
      <c r="G3114" t="s">
        <v>22</v>
      </c>
      <c r="I3114" t="s">
        <v>24</v>
      </c>
      <c r="J3114" t="s">
        <v>7039</v>
      </c>
      <c r="L3114">
        <v>2.4</v>
      </c>
      <c r="M3114">
        <v>406000</v>
      </c>
      <c r="N3114">
        <v>4.9000000000000004</v>
      </c>
      <c r="O3114">
        <v>36</v>
      </c>
      <c r="P3114" t="s">
        <v>26</v>
      </c>
    </row>
    <row r="3115" spans="1:16" x14ac:dyDescent="0.25">
      <c r="A3115" t="s">
        <v>7040</v>
      </c>
      <c r="B3115" t="s">
        <v>1915</v>
      </c>
      <c r="C3115" t="s">
        <v>29</v>
      </c>
      <c r="D3115" t="s">
        <v>50</v>
      </c>
      <c r="E3115" t="s">
        <v>31</v>
      </c>
      <c r="F3115" t="s">
        <v>128</v>
      </c>
      <c r="G3115" t="s">
        <v>22</v>
      </c>
      <c r="H3115" t="s">
        <v>34</v>
      </c>
      <c r="I3115" t="s">
        <v>24</v>
      </c>
      <c r="J3115" t="s">
        <v>6230</v>
      </c>
      <c r="K3115" t="s">
        <v>219</v>
      </c>
      <c r="L3115">
        <v>4.0999999999999996</v>
      </c>
      <c r="M3115">
        <v>497000</v>
      </c>
      <c r="N3115">
        <v>5</v>
      </c>
      <c r="O3115">
        <v>7</v>
      </c>
      <c r="P3115" t="s">
        <v>114</v>
      </c>
    </row>
    <row r="3116" spans="1:16" x14ac:dyDescent="0.25">
      <c r="A3116" t="s">
        <v>7041</v>
      </c>
      <c r="B3116" t="s">
        <v>715</v>
      </c>
      <c r="C3116" t="s">
        <v>29</v>
      </c>
      <c r="D3116" t="s">
        <v>43</v>
      </c>
      <c r="E3116" t="s">
        <v>20</v>
      </c>
      <c r="F3116" t="s">
        <v>128</v>
      </c>
      <c r="G3116" t="s">
        <v>69</v>
      </c>
      <c r="H3116" t="s">
        <v>46</v>
      </c>
      <c r="I3116" t="s">
        <v>35</v>
      </c>
      <c r="J3116" t="s">
        <v>4506</v>
      </c>
      <c r="K3116" t="s">
        <v>7042</v>
      </c>
      <c r="L3116">
        <v>6.2</v>
      </c>
      <c r="M3116">
        <v>474000</v>
      </c>
      <c r="N3116">
        <v>4</v>
      </c>
      <c r="O3116">
        <v>9</v>
      </c>
      <c r="P3116" t="s">
        <v>53</v>
      </c>
    </row>
    <row r="3117" spans="1:16" x14ac:dyDescent="0.25">
      <c r="A3117" t="s">
        <v>7043</v>
      </c>
      <c r="B3117" t="s">
        <v>7044</v>
      </c>
      <c r="C3117" t="s">
        <v>29</v>
      </c>
      <c r="D3117" t="s">
        <v>50</v>
      </c>
      <c r="E3117" t="s">
        <v>20</v>
      </c>
      <c r="F3117" t="s">
        <v>39</v>
      </c>
      <c r="G3117" t="s">
        <v>33</v>
      </c>
      <c r="H3117" t="s">
        <v>34</v>
      </c>
      <c r="I3117" t="s">
        <v>24</v>
      </c>
      <c r="J3117" t="s">
        <v>4834</v>
      </c>
      <c r="L3117">
        <v>4.3</v>
      </c>
      <c r="M3117">
        <v>126000</v>
      </c>
      <c r="N3117">
        <v>3</v>
      </c>
      <c r="O3117">
        <v>13</v>
      </c>
      <c r="P3117" t="s">
        <v>26</v>
      </c>
    </row>
    <row r="3118" spans="1:16" x14ac:dyDescent="0.25">
      <c r="A3118" t="s">
        <v>7045</v>
      </c>
      <c r="B3118" t="s">
        <v>7046</v>
      </c>
      <c r="C3118" t="s">
        <v>18</v>
      </c>
      <c r="D3118" t="s">
        <v>43</v>
      </c>
      <c r="E3118" t="s">
        <v>44</v>
      </c>
      <c r="F3118" t="s">
        <v>32</v>
      </c>
      <c r="G3118" t="s">
        <v>22</v>
      </c>
      <c r="H3118" t="s">
        <v>34</v>
      </c>
      <c r="I3118" t="s">
        <v>57</v>
      </c>
      <c r="J3118" t="s">
        <v>7047</v>
      </c>
      <c r="L3118">
        <v>3.3</v>
      </c>
      <c r="M3118">
        <v>313000</v>
      </c>
      <c r="N3118">
        <v>2.2999999999999998</v>
      </c>
      <c r="O3118">
        <v>13</v>
      </c>
      <c r="P3118" t="s">
        <v>26</v>
      </c>
    </row>
    <row r="3119" spans="1:16" x14ac:dyDescent="0.25">
      <c r="A3119" t="s">
        <v>7048</v>
      </c>
      <c r="B3119" t="s">
        <v>3252</v>
      </c>
      <c r="C3119" t="s">
        <v>29</v>
      </c>
      <c r="D3119" t="s">
        <v>50</v>
      </c>
      <c r="E3119" t="s">
        <v>44</v>
      </c>
      <c r="F3119" t="s">
        <v>39</v>
      </c>
      <c r="G3119" t="s">
        <v>69</v>
      </c>
      <c r="H3119" t="s">
        <v>46</v>
      </c>
      <c r="I3119" t="s">
        <v>57</v>
      </c>
      <c r="J3119" t="s">
        <v>1545</v>
      </c>
      <c r="L3119">
        <v>3.5</v>
      </c>
      <c r="M3119">
        <v>120000</v>
      </c>
      <c r="N3119">
        <v>4.4000000000000004</v>
      </c>
      <c r="O3119">
        <v>7</v>
      </c>
      <c r="P3119" t="s">
        <v>26</v>
      </c>
    </row>
    <row r="3120" spans="1:16" x14ac:dyDescent="0.25">
      <c r="A3120" t="s">
        <v>7049</v>
      </c>
      <c r="B3120" t="s">
        <v>7050</v>
      </c>
      <c r="C3120" t="s">
        <v>29</v>
      </c>
      <c r="D3120" t="s">
        <v>30</v>
      </c>
      <c r="E3120" t="s">
        <v>44</v>
      </c>
      <c r="F3120" t="s">
        <v>128</v>
      </c>
      <c r="G3120" t="s">
        <v>33</v>
      </c>
      <c r="H3120" t="s">
        <v>46</v>
      </c>
      <c r="I3120" t="s">
        <v>24</v>
      </c>
      <c r="J3120" t="s">
        <v>192</v>
      </c>
      <c r="K3120" t="s">
        <v>5013</v>
      </c>
      <c r="L3120">
        <v>2.2000000000000002</v>
      </c>
      <c r="M3120">
        <v>395000</v>
      </c>
      <c r="N3120">
        <v>2.4</v>
      </c>
      <c r="O3120">
        <v>7</v>
      </c>
      <c r="P3120" t="s">
        <v>53</v>
      </c>
    </row>
    <row r="3121" spans="1:16" x14ac:dyDescent="0.25">
      <c r="A3121" t="s">
        <v>7051</v>
      </c>
      <c r="B3121" t="s">
        <v>7052</v>
      </c>
      <c r="C3121" t="s">
        <v>18</v>
      </c>
      <c r="D3121" t="s">
        <v>19</v>
      </c>
      <c r="F3121" t="s">
        <v>32</v>
      </c>
      <c r="G3121" t="s">
        <v>22</v>
      </c>
      <c r="H3121" t="s">
        <v>34</v>
      </c>
      <c r="I3121" t="s">
        <v>35</v>
      </c>
      <c r="J3121" t="s">
        <v>1278</v>
      </c>
      <c r="L3121">
        <v>4.8</v>
      </c>
      <c r="M3121">
        <v>275000</v>
      </c>
      <c r="N3121">
        <v>2.9</v>
      </c>
      <c r="O3121">
        <v>6</v>
      </c>
      <c r="P3121" t="s">
        <v>26</v>
      </c>
    </row>
    <row r="3122" spans="1:16" x14ac:dyDescent="0.25">
      <c r="A3122" t="s">
        <v>7053</v>
      </c>
      <c r="B3122" t="s">
        <v>1329</v>
      </c>
      <c r="C3122" t="s">
        <v>29</v>
      </c>
      <c r="D3122" t="s">
        <v>50</v>
      </c>
      <c r="E3122" t="s">
        <v>20</v>
      </c>
      <c r="F3122" t="s">
        <v>39</v>
      </c>
      <c r="G3122" t="s">
        <v>80</v>
      </c>
      <c r="I3122" t="s">
        <v>75</v>
      </c>
      <c r="J3122" t="s">
        <v>2023</v>
      </c>
      <c r="L3122">
        <v>3.2</v>
      </c>
      <c r="M3122">
        <v>180000</v>
      </c>
      <c r="N3122">
        <v>3.9</v>
      </c>
      <c r="O3122">
        <v>3</v>
      </c>
      <c r="P3122" t="s">
        <v>26</v>
      </c>
    </row>
    <row r="3123" spans="1:16" x14ac:dyDescent="0.25">
      <c r="A3123" t="s">
        <v>7054</v>
      </c>
      <c r="B3123" t="s">
        <v>2913</v>
      </c>
      <c r="C3123" t="s">
        <v>18</v>
      </c>
      <c r="D3123" t="s">
        <v>50</v>
      </c>
      <c r="E3123" t="s">
        <v>20</v>
      </c>
      <c r="F3123" t="s">
        <v>32</v>
      </c>
      <c r="G3123" t="s">
        <v>22</v>
      </c>
      <c r="H3123" t="s">
        <v>46</v>
      </c>
      <c r="I3123" t="s">
        <v>57</v>
      </c>
      <c r="J3123" t="s">
        <v>2687</v>
      </c>
      <c r="L3123">
        <v>2</v>
      </c>
      <c r="M3123">
        <v>350000</v>
      </c>
      <c r="N3123">
        <v>2</v>
      </c>
      <c r="O3123">
        <v>32</v>
      </c>
      <c r="P3123" t="s">
        <v>26</v>
      </c>
    </row>
    <row r="3124" spans="1:16" x14ac:dyDescent="0.25">
      <c r="A3124" t="s">
        <v>7055</v>
      </c>
      <c r="B3124" t="s">
        <v>7056</v>
      </c>
      <c r="C3124" t="s">
        <v>18</v>
      </c>
      <c r="D3124" t="s">
        <v>43</v>
      </c>
      <c r="E3124" t="s">
        <v>44</v>
      </c>
      <c r="F3124" t="s">
        <v>32</v>
      </c>
      <c r="G3124" t="s">
        <v>22</v>
      </c>
      <c r="H3124" t="s">
        <v>23</v>
      </c>
      <c r="I3124" t="s">
        <v>75</v>
      </c>
      <c r="J3124" t="s">
        <v>3488</v>
      </c>
      <c r="L3124">
        <v>3.6</v>
      </c>
      <c r="M3124">
        <v>291000</v>
      </c>
      <c r="N3124">
        <v>4.4000000000000004</v>
      </c>
      <c r="O3124">
        <v>6</v>
      </c>
      <c r="P3124" t="s">
        <v>26</v>
      </c>
    </row>
    <row r="3125" spans="1:16" x14ac:dyDescent="0.25">
      <c r="A3125" t="s">
        <v>7057</v>
      </c>
      <c r="B3125" t="s">
        <v>6738</v>
      </c>
      <c r="C3125" t="s">
        <v>29</v>
      </c>
      <c r="D3125" t="s">
        <v>19</v>
      </c>
      <c r="E3125" t="s">
        <v>20</v>
      </c>
      <c r="F3125" t="s">
        <v>32</v>
      </c>
      <c r="G3125" t="s">
        <v>80</v>
      </c>
      <c r="H3125" t="s">
        <v>62</v>
      </c>
      <c r="I3125" t="s">
        <v>35</v>
      </c>
      <c r="J3125" t="s">
        <v>1537</v>
      </c>
      <c r="K3125" t="s">
        <v>1260</v>
      </c>
      <c r="L3125">
        <v>3.8</v>
      </c>
      <c r="M3125">
        <v>355000</v>
      </c>
      <c r="N3125">
        <v>3.3</v>
      </c>
      <c r="O3125">
        <v>23</v>
      </c>
      <c r="P3125" t="s">
        <v>72</v>
      </c>
    </row>
    <row r="3126" spans="1:16" x14ac:dyDescent="0.25">
      <c r="A3126" t="s">
        <v>7058</v>
      </c>
      <c r="B3126" t="s">
        <v>7059</v>
      </c>
      <c r="C3126" t="s">
        <v>18</v>
      </c>
      <c r="D3126" t="s">
        <v>30</v>
      </c>
      <c r="E3126" t="s">
        <v>20</v>
      </c>
      <c r="F3126" t="s">
        <v>32</v>
      </c>
      <c r="G3126" t="s">
        <v>22</v>
      </c>
      <c r="H3126" t="s">
        <v>62</v>
      </c>
      <c r="I3126" t="s">
        <v>35</v>
      </c>
      <c r="J3126" t="s">
        <v>7060</v>
      </c>
      <c r="L3126">
        <v>5.3</v>
      </c>
      <c r="M3126">
        <v>237000</v>
      </c>
      <c r="N3126">
        <v>1.6</v>
      </c>
      <c r="O3126">
        <v>0</v>
      </c>
      <c r="P3126" t="s">
        <v>26</v>
      </c>
    </row>
    <row r="3127" spans="1:16" x14ac:dyDescent="0.25">
      <c r="A3127" t="s">
        <v>7061</v>
      </c>
      <c r="B3127" t="s">
        <v>6748</v>
      </c>
      <c r="C3127" t="s">
        <v>29</v>
      </c>
      <c r="D3127" t="s">
        <v>30</v>
      </c>
      <c r="E3127" t="s">
        <v>20</v>
      </c>
      <c r="F3127" t="s">
        <v>32</v>
      </c>
      <c r="G3127" t="s">
        <v>80</v>
      </c>
      <c r="H3127" t="s">
        <v>34</v>
      </c>
      <c r="J3127" t="s">
        <v>5478</v>
      </c>
      <c r="L3127">
        <v>3.1</v>
      </c>
      <c r="M3127">
        <v>321000</v>
      </c>
      <c r="N3127">
        <v>3.8</v>
      </c>
      <c r="O3127">
        <v>30</v>
      </c>
      <c r="P3127" t="s">
        <v>26</v>
      </c>
    </row>
    <row r="3128" spans="1:16" x14ac:dyDescent="0.25">
      <c r="A3128" t="s">
        <v>7062</v>
      </c>
      <c r="B3128" t="s">
        <v>7063</v>
      </c>
      <c r="C3128" t="s">
        <v>18</v>
      </c>
      <c r="D3128" t="s">
        <v>79</v>
      </c>
      <c r="E3128" t="s">
        <v>20</v>
      </c>
      <c r="F3128" t="s">
        <v>32</v>
      </c>
      <c r="G3128" t="s">
        <v>80</v>
      </c>
      <c r="H3128" t="s">
        <v>34</v>
      </c>
      <c r="I3128" t="s">
        <v>57</v>
      </c>
      <c r="J3128" t="s">
        <v>2381</v>
      </c>
      <c r="L3128">
        <v>3.3</v>
      </c>
      <c r="M3128">
        <v>302000</v>
      </c>
      <c r="N3128">
        <v>2.5</v>
      </c>
      <c r="O3128">
        <v>4</v>
      </c>
      <c r="P3128" t="s">
        <v>26</v>
      </c>
    </row>
    <row r="3129" spans="1:16" x14ac:dyDescent="0.25">
      <c r="A3129" t="s">
        <v>7064</v>
      </c>
      <c r="B3129" t="s">
        <v>6293</v>
      </c>
      <c r="C3129" t="s">
        <v>18</v>
      </c>
      <c r="D3129" t="s">
        <v>43</v>
      </c>
      <c r="E3129" t="s">
        <v>20</v>
      </c>
      <c r="F3129" t="s">
        <v>39</v>
      </c>
      <c r="G3129" t="s">
        <v>22</v>
      </c>
      <c r="H3129" t="s">
        <v>34</v>
      </c>
      <c r="I3129" t="s">
        <v>24</v>
      </c>
      <c r="J3129" t="s">
        <v>3580</v>
      </c>
      <c r="L3129">
        <v>1.7</v>
      </c>
      <c r="M3129">
        <v>95000</v>
      </c>
      <c r="N3129">
        <v>3.8</v>
      </c>
      <c r="O3129">
        <v>12</v>
      </c>
      <c r="P3129" t="s">
        <v>26</v>
      </c>
    </row>
    <row r="3130" spans="1:16" x14ac:dyDescent="0.25">
      <c r="A3130" t="s">
        <v>7065</v>
      </c>
      <c r="B3130" t="s">
        <v>7066</v>
      </c>
      <c r="C3130" t="s">
        <v>29</v>
      </c>
      <c r="D3130" t="s">
        <v>19</v>
      </c>
      <c r="E3130" t="s">
        <v>44</v>
      </c>
      <c r="F3130" t="s">
        <v>39</v>
      </c>
      <c r="G3130" t="s">
        <v>22</v>
      </c>
      <c r="H3130" t="s">
        <v>62</v>
      </c>
      <c r="I3130" t="s">
        <v>171</v>
      </c>
      <c r="J3130" t="s">
        <v>6286</v>
      </c>
      <c r="L3130">
        <v>4.9000000000000004</v>
      </c>
      <c r="M3130">
        <v>159000</v>
      </c>
      <c r="N3130">
        <v>2.1</v>
      </c>
      <c r="O3130">
        <v>6</v>
      </c>
      <c r="P3130" t="s">
        <v>26</v>
      </c>
    </row>
    <row r="3131" spans="1:16" x14ac:dyDescent="0.25">
      <c r="A3131" t="s">
        <v>7067</v>
      </c>
      <c r="B3131" t="s">
        <v>4418</v>
      </c>
      <c r="C3131" t="s">
        <v>18</v>
      </c>
      <c r="D3131" t="s">
        <v>79</v>
      </c>
      <c r="E3131" t="s">
        <v>20</v>
      </c>
      <c r="F3131" t="s">
        <v>32</v>
      </c>
      <c r="G3131" t="s">
        <v>22</v>
      </c>
      <c r="H3131" t="s">
        <v>46</v>
      </c>
      <c r="I3131" t="s">
        <v>35</v>
      </c>
      <c r="J3131" t="s">
        <v>263</v>
      </c>
      <c r="L3131">
        <v>4.9000000000000004</v>
      </c>
      <c r="M3131">
        <v>219000</v>
      </c>
      <c r="N3131">
        <v>2.4</v>
      </c>
      <c r="O3131">
        <v>13</v>
      </c>
      <c r="P3131" t="s">
        <v>26</v>
      </c>
    </row>
    <row r="3132" spans="1:16" x14ac:dyDescent="0.25">
      <c r="A3132" t="s">
        <v>7068</v>
      </c>
      <c r="B3132" t="s">
        <v>7069</v>
      </c>
      <c r="C3132" t="s">
        <v>18</v>
      </c>
      <c r="D3132" t="s">
        <v>50</v>
      </c>
      <c r="E3132" t="s">
        <v>44</v>
      </c>
      <c r="F3132" t="s">
        <v>39</v>
      </c>
      <c r="G3132" t="s">
        <v>22</v>
      </c>
      <c r="I3132" t="s">
        <v>24</v>
      </c>
      <c r="J3132" t="s">
        <v>834</v>
      </c>
      <c r="K3132" t="s">
        <v>7070</v>
      </c>
      <c r="L3132">
        <v>2.2000000000000002</v>
      </c>
      <c r="M3132">
        <v>113000</v>
      </c>
      <c r="N3132">
        <v>4.0999999999999996</v>
      </c>
      <c r="O3132">
        <v>7</v>
      </c>
      <c r="P3132" t="s">
        <v>114</v>
      </c>
    </row>
    <row r="3133" spans="1:16" x14ac:dyDescent="0.25">
      <c r="A3133" t="s">
        <v>7071</v>
      </c>
      <c r="B3133" t="s">
        <v>2801</v>
      </c>
      <c r="C3133" t="s">
        <v>18</v>
      </c>
      <c r="D3133" t="s">
        <v>19</v>
      </c>
      <c r="E3133" t="s">
        <v>20</v>
      </c>
      <c r="F3133" t="s">
        <v>21</v>
      </c>
      <c r="G3133" t="s">
        <v>22</v>
      </c>
      <c r="H3133" t="s">
        <v>46</v>
      </c>
      <c r="I3133" t="s">
        <v>35</v>
      </c>
      <c r="J3133" t="s">
        <v>478</v>
      </c>
      <c r="L3133">
        <v>1.3</v>
      </c>
      <c r="M3133">
        <v>991000</v>
      </c>
      <c r="N3133">
        <v>4.8</v>
      </c>
      <c r="P3133" t="s">
        <v>26</v>
      </c>
    </row>
    <row r="3134" spans="1:16" x14ac:dyDescent="0.25">
      <c r="A3134" t="s">
        <v>7072</v>
      </c>
      <c r="B3134" t="s">
        <v>5564</v>
      </c>
      <c r="C3134" t="s">
        <v>29</v>
      </c>
      <c r="D3134" t="s">
        <v>43</v>
      </c>
      <c r="E3134" t="s">
        <v>31</v>
      </c>
      <c r="F3134" t="s">
        <v>128</v>
      </c>
      <c r="G3134" t="s">
        <v>22</v>
      </c>
      <c r="H3134" t="s">
        <v>23</v>
      </c>
      <c r="I3134" t="s">
        <v>35</v>
      </c>
      <c r="J3134" t="s">
        <v>5112</v>
      </c>
      <c r="L3134">
        <v>2.4</v>
      </c>
      <c r="M3134">
        <v>357000</v>
      </c>
      <c r="N3134">
        <v>2.2000000000000002</v>
      </c>
      <c r="O3134">
        <v>25</v>
      </c>
      <c r="P3134" t="s">
        <v>26</v>
      </c>
    </row>
    <row r="3135" spans="1:16" x14ac:dyDescent="0.25">
      <c r="A3135" t="s">
        <v>7073</v>
      </c>
      <c r="B3135" t="s">
        <v>6994</v>
      </c>
      <c r="C3135" t="s">
        <v>29</v>
      </c>
      <c r="D3135" t="s">
        <v>79</v>
      </c>
      <c r="E3135" t="s">
        <v>20</v>
      </c>
      <c r="F3135" t="s">
        <v>128</v>
      </c>
      <c r="G3135" t="s">
        <v>22</v>
      </c>
      <c r="H3135" t="s">
        <v>23</v>
      </c>
      <c r="I3135" t="s">
        <v>35</v>
      </c>
      <c r="J3135" t="s">
        <v>1309</v>
      </c>
      <c r="L3135">
        <v>3.5</v>
      </c>
      <c r="M3135">
        <v>413000</v>
      </c>
      <c r="O3135">
        <v>10</v>
      </c>
      <c r="P3135" t="s">
        <v>26</v>
      </c>
    </row>
    <row r="3136" spans="1:16" x14ac:dyDescent="0.25">
      <c r="A3136" t="s">
        <v>7074</v>
      </c>
      <c r="B3136" t="s">
        <v>3911</v>
      </c>
      <c r="C3136" t="s">
        <v>18</v>
      </c>
      <c r="D3136" t="s">
        <v>43</v>
      </c>
      <c r="E3136" t="s">
        <v>20</v>
      </c>
      <c r="F3136" t="s">
        <v>32</v>
      </c>
      <c r="G3136" t="s">
        <v>22</v>
      </c>
      <c r="H3136" t="s">
        <v>23</v>
      </c>
      <c r="I3136" t="s">
        <v>57</v>
      </c>
      <c r="J3136" t="s">
        <v>5231</v>
      </c>
      <c r="L3136">
        <v>3.9</v>
      </c>
      <c r="N3136">
        <v>3.6</v>
      </c>
      <c r="O3136">
        <v>12</v>
      </c>
      <c r="P3136" t="s">
        <v>26</v>
      </c>
    </row>
    <row r="3137" spans="1:16" x14ac:dyDescent="0.25">
      <c r="A3137" t="s">
        <v>7075</v>
      </c>
      <c r="B3137" t="s">
        <v>7076</v>
      </c>
      <c r="C3137" t="s">
        <v>29</v>
      </c>
      <c r="D3137" t="s">
        <v>19</v>
      </c>
      <c r="E3137" t="s">
        <v>44</v>
      </c>
      <c r="F3137" t="s">
        <v>32</v>
      </c>
      <c r="G3137" t="s">
        <v>22</v>
      </c>
      <c r="I3137" t="s">
        <v>35</v>
      </c>
      <c r="J3137" t="s">
        <v>7077</v>
      </c>
      <c r="K3137" t="s">
        <v>7078</v>
      </c>
      <c r="L3137">
        <v>4.3</v>
      </c>
      <c r="M3137">
        <v>356000</v>
      </c>
      <c r="N3137">
        <v>4.5999999999999996</v>
      </c>
      <c r="O3137">
        <v>1</v>
      </c>
      <c r="P3137" t="s">
        <v>72</v>
      </c>
    </row>
    <row r="3138" spans="1:16" x14ac:dyDescent="0.25">
      <c r="A3138" t="s">
        <v>1292</v>
      </c>
      <c r="B3138" t="s">
        <v>1293</v>
      </c>
      <c r="C3138" t="s">
        <v>29</v>
      </c>
      <c r="D3138" t="s">
        <v>79</v>
      </c>
      <c r="E3138" t="s">
        <v>44</v>
      </c>
      <c r="F3138" t="s">
        <v>32</v>
      </c>
      <c r="G3138" t="s">
        <v>33</v>
      </c>
      <c r="H3138" t="s">
        <v>34</v>
      </c>
      <c r="I3138" t="s">
        <v>24</v>
      </c>
      <c r="J3138" t="s">
        <v>1294</v>
      </c>
      <c r="K3138" t="s">
        <v>1295</v>
      </c>
      <c r="L3138">
        <v>1.7</v>
      </c>
      <c r="M3138">
        <v>256000</v>
      </c>
      <c r="N3138">
        <v>2.1</v>
      </c>
      <c r="O3138">
        <v>9</v>
      </c>
      <c r="P3138" t="s">
        <v>53</v>
      </c>
    </row>
    <row r="3139" spans="1:16" x14ac:dyDescent="0.25">
      <c r="A3139" t="s">
        <v>7079</v>
      </c>
      <c r="B3139" t="s">
        <v>5210</v>
      </c>
      <c r="C3139" t="s">
        <v>18</v>
      </c>
      <c r="D3139" t="s">
        <v>79</v>
      </c>
      <c r="E3139" t="s">
        <v>31</v>
      </c>
      <c r="F3139" t="s">
        <v>21</v>
      </c>
      <c r="G3139" t="s">
        <v>22</v>
      </c>
      <c r="H3139" t="s">
        <v>34</v>
      </c>
      <c r="I3139" t="s">
        <v>75</v>
      </c>
      <c r="J3139" t="s">
        <v>4601</v>
      </c>
      <c r="K3139" t="s">
        <v>1504</v>
      </c>
      <c r="L3139">
        <v>2.7</v>
      </c>
      <c r="M3139">
        <v>926000</v>
      </c>
      <c r="O3139">
        <v>0</v>
      </c>
      <c r="P3139" t="s">
        <v>72</v>
      </c>
    </row>
    <row r="3140" spans="1:16" x14ac:dyDescent="0.25">
      <c r="A3140" t="s">
        <v>7080</v>
      </c>
      <c r="B3140" t="s">
        <v>1247</v>
      </c>
      <c r="C3140" t="s">
        <v>18</v>
      </c>
      <c r="D3140" t="s">
        <v>30</v>
      </c>
      <c r="E3140" t="s">
        <v>44</v>
      </c>
      <c r="F3140" t="s">
        <v>32</v>
      </c>
      <c r="G3140" t="s">
        <v>22</v>
      </c>
      <c r="H3140" t="s">
        <v>34</v>
      </c>
      <c r="I3140" t="s">
        <v>35</v>
      </c>
      <c r="J3140" t="s">
        <v>7081</v>
      </c>
      <c r="L3140">
        <v>6</v>
      </c>
      <c r="M3140">
        <v>337000</v>
      </c>
      <c r="O3140">
        <v>12</v>
      </c>
      <c r="P3140" t="s">
        <v>26</v>
      </c>
    </row>
    <row r="3141" spans="1:16" x14ac:dyDescent="0.25">
      <c r="A3141" t="s">
        <v>7082</v>
      </c>
      <c r="B3141" t="s">
        <v>1776</v>
      </c>
      <c r="C3141" t="s">
        <v>29</v>
      </c>
      <c r="D3141" t="s">
        <v>43</v>
      </c>
      <c r="E3141" t="s">
        <v>31</v>
      </c>
      <c r="F3141" t="s">
        <v>32</v>
      </c>
      <c r="G3141" t="s">
        <v>80</v>
      </c>
      <c r="H3141" t="s">
        <v>23</v>
      </c>
      <c r="I3141" t="s">
        <v>24</v>
      </c>
      <c r="J3141" t="s">
        <v>4665</v>
      </c>
      <c r="L3141">
        <v>4.2</v>
      </c>
      <c r="M3141">
        <v>213000</v>
      </c>
      <c r="N3141">
        <v>3.5</v>
      </c>
      <c r="O3141">
        <v>12</v>
      </c>
      <c r="P3141" t="s">
        <v>26</v>
      </c>
    </row>
    <row r="3142" spans="1:16" x14ac:dyDescent="0.25">
      <c r="A3142" t="s">
        <v>7083</v>
      </c>
      <c r="B3142" t="s">
        <v>6609</v>
      </c>
      <c r="C3142" t="s">
        <v>29</v>
      </c>
      <c r="D3142" t="s">
        <v>19</v>
      </c>
      <c r="E3142" t="s">
        <v>20</v>
      </c>
      <c r="F3142" t="s">
        <v>32</v>
      </c>
      <c r="G3142" t="s">
        <v>80</v>
      </c>
      <c r="H3142" t="s">
        <v>34</v>
      </c>
      <c r="I3142" t="s">
        <v>57</v>
      </c>
      <c r="J3142" t="s">
        <v>196</v>
      </c>
      <c r="L3142">
        <v>2.4</v>
      </c>
      <c r="M3142">
        <v>354000</v>
      </c>
      <c r="N3142">
        <v>4</v>
      </c>
      <c r="O3142">
        <v>4</v>
      </c>
      <c r="P3142" t="s">
        <v>26</v>
      </c>
    </row>
    <row r="3143" spans="1:16" x14ac:dyDescent="0.25">
      <c r="A3143" t="s">
        <v>7084</v>
      </c>
      <c r="B3143" t="s">
        <v>7085</v>
      </c>
      <c r="C3143" t="s">
        <v>18</v>
      </c>
      <c r="D3143" t="s">
        <v>19</v>
      </c>
      <c r="E3143" t="s">
        <v>20</v>
      </c>
      <c r="F3143" t="s">
        <v>32</v>
      </c>
      <c r="G3143" t="s">
        <v>80</v>
      </c>
      <c r="H3143" t="s">
        <v>34</v>
      </c>
      <c r="I3143" t="s">
        <v>57</v>
      </c>
      <c r="J3143" t="s">
        <v>1426</v>
      </c>
      <c r="L3143">
        <v>2.6</v>
      </c>
      <c r="M3143">
        <v>231000</v>
      </c>
      <c r="N3143">
        <v>2.8</v>
      </c>
      <c r="O3143">
        <v>17</v>
      </c>
      <c r="P3143" t="s">
        <v>26</v>
      </c>
    </row>
    <row r="3144" spans="1:16" x14ac:dyDescent="0.25">
      <c r="A3144" t="s">
        <v>7086</v>
      </c>
      <c r="B3144" t="s">
        <v>5704</v>
      </c>
      <c r="C3144" t="s">
        <v>29</v>
      </c>
      <c r="D3144" t="s">
        <v>19</v>
      </c>
      <c r="E3144" t="s">
        <v>20</v>
      </c>
      <c r="F3144" t="s">
        <v>39</v>
      </c>
      <c r="G3144" t="s">
        <v>22</v>
      </c>
      <c r="H3144" t="s">
        <v>23</v>
      </c>
      <c r="I3144" t="s">
        <v>57</v>
      </c>
      <c r="J3144" t="s">
        <v>3450</v>
      </c>
      <c r="K3144" t="s">
        <v>6400</v>
      </c>
      <c r="L3144">
        <v>3</v>
      </c>
      <c r="M3144">
        <v>121000</v>
      </c>
      <c r="N3144">
        <v>3.6</v>
      </c>
      <c r="O3144">
        <v>20</v>
      </c>
      <c r="P3144" t="s">
        <v>114</v>
      </c>
    </row>
    <row r="3145" spans="1:16" x14ac:dyDescent="0.25">
      <c r="A3145" t="s">
        <v>7087</v>
      </c>
      <c r="B3145" t="s">
        <v>6167</v>
      </c>
      <c r="C3145" t="s">
        <v>18</v>
      </c>
      <c r="D3145" t="s">
        <v>50</v>
      </c>
      <c r="E3145" t="s">
        <v>20</v>
      </c>
      <c r="F3145" t="s">
        <v>39</v>
      </c>
      <c r="G3145" t="s">
        <v>69</v>
      </c>
      <c r="H3145" t="s">
        <v>23</v>
      </c>
      <c r="I3145" t="s">
        <v>171</v>
      </c>
      <c r="J3145" t="s">
        <v>572</v>
      </c>
      <c r="L3145">
        <v>4.5</v>
      </c>
      <c r="M3145">
        <v>163000</v>
      </c>
      <c r="N3145">
        <v>3.5</v>
      </c>
      <c r="O3145">
        <v>6</v>
      </c>
      <c r="P3145" t="s">
        <v>26</v>
      </c>
    </row>
    <row r="3146" spans="1:16" x14ac:dyDescent="0.25">
      <c r="A3146" t="s">
        <v>7088</v>
      </c>
      <c r="B3146" t="s">
        <v>1841</v>
      </c>
      <c r="C3146" t="s">
        <v>29</v>
      </c>
      <c r="D3146" t="s">
        <v>43</v>
      </c>
      <c r="E3146" t="s">
        <v>31</v>
      </c>
      <c r="F3146" t="s">
        <v>32</v>
      </c>
      <c r="G3146" t="s">
        <v>80</v>
      </c>
      <c r="H3146" t="s">
        <v>62</v>
      </c>
      <c r="I3146" t="s">
        <v>24</v>
      </c>
      <c r="J3146" t="s">
        <v>321</v>
      </c>
      <c r="L3146">
        <v>4.3</v>
      </c>
      <c r="M3146">
        <v>236000</v>
      </c>
      <c r="N3146">
        <v>4.9000000000000004</v>
      </c>
      <c r="O3146">
        <v>16</v>
      </c>
      <c r="P3146" t="s">
        <v>26</v>
      </c>
    </row>
    <row r="3147" spans="1:16" x14ac:dyDescent="0.25">
      <c r="A3147" t="s">
        <v>7089</v>
      </c>
      <c r="B3147" t="s">
        <v>7090</v>
      </c>
      <c r="C3147" t="s">
        <v>18</v>
      </c>
      <c r="D3147" t="s">
        <v>43</v>
      </c>
      <c r="E3147" t="s">
        <v>20</v>
      </c>
      <c r="F3147" t="s">
        <v>32</v>
      </c>
      <c r="G3147" t="s">
        <v>22</v>
      </c>
      <c r="H3147" t="s">
        <v>46</v>
      </c>
      <c r="I3147" t="s">
        <v>24</v>
      </c>
      <c r="J3147" t="s">
        <v>1178</v>
      </c>
      <c r="L3147">
        <v>4.5</v>
      </c>
      <c r="M3147">
        <v>189000</v>
      </c>
      <c r="N3147">
        <v>2.9</v>
      </c>
      <c r="O3147">
        <v>10</v>
      </c>
      <c r="P3147" t="s">
        <v>26</v>
      </c>
    </row>
    <row r="3148" spans="1:16" x14ac:dyDescent="0.25">
      <c r="A3148" t="s">
        <v>7091</v>
      </c>
      <c r="B3148" t="s">
        <v>2683</v>
      </c>
      <c r="C3148" t="s">
        <v>29</v>
      </c>
      <c r="D3148" t="s">
        <v>43</v>
      </c>
      <c r="E3148" t="s">
        <v>20</v>
      </c>
      <c r="F3148" t="s">
        <v>32</v>
      </c>
      <c r="G3148" t="s">
        <v>22</v>
      </c>
      <c r="H3148" t="s">
        <v>34</v>
      </c>
      <c r="I3148" t="s">
        <v>24</v>
      </c>
      <c r="J3148" t="s">
        <v>5559</v>
      </c>
      <c r="L3148">
        <v>5.4</v>
      </c>
      <c r="M3148">
        <v>205000</v>
      </c>
      <c r="N3148">
        <v>2.7</v>
      </c>
      <c r="O3148">
        <v>2</v>
      </c>
      <c r="P3148" t="s">
        <v>26</v>
      </c>
    </row>
    <row r="3149" spans="1:16" x14ac:dyDescent="0.25">
      <c r="A3149" t="s">
        <v>7092</v>
      </c>
      <c r="B3149" t="s">
        <v>7093</v>
      </c>
      <c r="C3149" t="s">
        <v>29</v>
      </c>
      <c r="D3149" t="s">
        <v>30</v>
      </c>
      <c r="E3149" t="s">
        <v>20</v>
      </c>
      <c r="F3149" t="s">
        <v>32</v>
      </c>
      <c r="G3149" t="s">
        <v>33</v>
      </c>
      <c r="H3149" t="s">
        <v>34</v>
      </c>
      <c r="I3149" t="s">
        <v>24</v>
      </c>
      <c r="J3149" t="s">
        <v>1404</v>
      </c>
      <c r="L3149">
        <v>4.0999999999999996</v>
      </c>
      <c r="M3149">
        <v>345000</v>
      </c>
      <c r="N3149">
        <v>4.7</v>
      </c>
      <c r="O3149">
        <v>6</v>
      </c>
      <c r="P3149" t="s">
        <v>26</v>
      </c>
    </row>
    <row r="3150" spans="1:16" x14ac:dyDescent="0.25">
      <c r="A3150" t="s">
        <v>7094</v>
      </c>
      <c r="B3150" t="s">
        <v>3696</v>
      </c>
      <c r="C3150" t="s">
        <v>29</v>
      </c>
      <c r="D3150" t="s">
        <v>30</v>
      </c>
      <c r="E3150" t="s">
        <v>20</v>
      </c>
      <c r="F3150" t="s">
        <v>128</v>
      </c>
      <c r="G3150" t="s">
        <v>22</v>
      </c>
      <c r="H3150" t="s">
        <v>23</v>
      </c>
      <c r="I3150" t="s">
        <v>24</v>
      </c>
      <c r="J3150" t="s">
        <v>275</v>
      </c>
      <c r="K3150" t="s">
        <v>7095</v>
      </c>
      <c r="L3150">
        <v>5.8</v>
      </c>
      <c r="M3150">
        <v>438000</v>
      </c>
      <c r="N3150">
        <v>3.4</v>
      </c>
      <c r="O3150">
        <v>6</v>
      </c>
      <c r="P3150" t="s">
        <v>72</v>
      </c>
    </row>
    <row r="3151" spans="1:16" x14ac:dyDescent="0.25">
      <c r="A3151" t="s">
        <v>7096</v>
      </c>
      <c r="B3151" t="s">
        <v>954</v>
      </c>
      <c r="C3151" t="s">
        <v>18</v>
      </c>
      <c r="D3151" t="s">
        <v>79</v>
      </c>
      <c r="E3151" t="s">
        <v>20</v>
      </c>
      <c r="F3151" t="s">
        <v>45</v>
      </c>
      <c r="G3151" t="s">
        <v>80</v>
      </c>
      <c r="H3151" t="s">
        <v>46</v>
      </c>
      <c r="I3151" t="s">
        <v>24</v>
      </c>
      <c r="J3151" t="s">
        <v>3266</v>
      </c>
      <c r="K3151" t="s">
        <v>3813</v>
      </c>
      <c r="L3151">
        <v>6</v>
      </c>
      <c r="M3151">
        <v>1966000</v>
      </c>
      <c r="N3151">
        <v>4.3</v>
      </c>
      <c r="O3151">
        <v>6</v>
      </c>
      <c r="P3151" t="s">
        <v>72</v>
      </c>
    </row>
    <row r="3152" spans="1:16" x14ac:dyDescent="0.25">
      <c r="A3152" t="s">
        <v>7097</v>
      </c>
      <c r="B3152" t="s">
        <v>7098</v>
      </c>
      <c r="C3152" t="s">
        <v>18</v>
      </c>
      <c r="D3152" t="s">
        <v>50</v>
      </c>
      <c r="E3152" t="s">
        <v>44</v>
      </c>
      <c r="G3152" t="s">
        <v>22</v>
      </c>
      <c r="H3152" t="s">
        <v>23</v>
      </c>
      <c r="I3152" t="s">
        <v>24</v>
      </c>
      <c r="J3152" t="s">
        <v>7099</v>
      </c>
      <c r="L3152">
        <v>5.2</v>
      </c>
      <c r="M3152">
        <v>559000</v>
      </c>
      <c r="N3152">
        <v>2.8</v>
      </c>
      <c r="O3152">
        <v>7</v>
      </c>
      <c r="P3152" t="s">
        <v>26</v>
      </c>
    </row>
    <row r="3153" spans="1:16" x14ac:dyDescent="0.25">
      <c r="A3153" t="s">
        <v>7100</v>
      </c>
      <c r="B3153" t="s">
        <v>7101</v>
      </c>
      <c r="C3153" t="s">
        <v>18</v>
      </c>
      <c r="D3153" t="s">
        <v>50</v>
      </c>
      <c r="E3153" t="s">
        <v>20</v>
      </c>
      <c r="F3153" t="s">
        <v>39</v>
      </c>
      <c r="G3153" t="s">
        <v>80</v>
      </c>
      <c r="H3153" t="s">
        <v>23</v>
      </c>
      <c r="I3153" t="s">
        <v>24</v>
      </c>
      <c r="J3153" t="s">
        <v>6906</v>
      </c>
      <c r="L3153">
        <v>1.3</v>
      </c>
      <c r="M3153">
        <v>107000</v>
      </c>
      <c r="N3153">
        <v>4.9000000000000004</v>
      </c>
      <c r="O3153">
        <v>14</v>
      </c>
      <c r="P3153" t="s">
        <v>26</v>
      </c>
    </row>
    <row r="3154" spans="1:16" x14ac:dyDescent="0.25">
      <c r="A3154" t="s">
        <v>7102</v>
      </c>
      <c r="B3154" t="s">
        <v>2659</v>
      </c>
      <c r="C3154" t="s">
        <v>29</v>
      </c>
      <c r="D3154" t="s">
        <v>50</v>
      </c>
      <c r="E3154" t="s">
        <v>20</v>
      </c>
      <c r="F3154" t="s">
        <v>39</v>
      </c>
      <c r="G3154" t="s">
        <v>33</v>
      </c>
      <c r="H3154" t="s">
        <v>23</v>
      </c>
      <c r="I3154" t="s">
        <v>35</v>
      </c>
      <c r="J3154" t="s">
        <v>3062</v>
      </c>
      <c r="L3154">
        <v>2.2999999999999998</v>
      </c>
      <c r="M3154">
        <v>101000</v>
      </c>
      <c r="N3154">
        <v>3.4</v>
      </c>
      <c r="P3154" t="s">
        <v>26</v>
      </c>
    </row>
    <row r="3155" spans="1:16" x14ac:dyDescent="0.25">
      <c r="A3155" t="s">
        <v>7103</v>
      </c>
      <c r="B3155" t="s">
        <v>7104</v>
      </c>
      <c r="C3155" t="s">
        <v>29</v>
      </c>
      <c r="D3155" t="s">
        <v>43</v>
      </c>
      <c r="E3155" t="s">
        <v>44</v>
      </c>
      <c r="F3155" t="s">
        <v>32</v>
      </c>
      <c r="G3155" t="s">
        <v>22</v>
      </c>
      <c r="H3155" t="s">
        <v>46</v>
      </c>
      <c r="I3155" t="s">
        <v>35</v>
      </c>
      <c r="J3155" t="s">
        <v>7105</v>
      </c>
      <c r="L3155">
        <v>5.8</v>
      </c>
      <c r="M3155">
        <v>265000</v>
      </c>
      <c r="N3155">
        <v>3.3</v>
      </c>
      <c r="O3155">
        <v>10</v>
      </c>
      <c r="P3155" t="s">
        <v>26</v>
      </c>
    </row>
    <row r="3156" spans="1:16" x14ac:dyDescent="0.25">
      <c r="A3156" t="s">
        <v>7106</v>
      </c>
      <c r="B3156" t="s">
        <v>437</v>
      </c>
      <c r="C3156" t="s">
        <v>29</v>
      </c>
      <c r="D3156" t="s">
        <v>30</v>
      </c>
      <c r="E3156" t="s">
        <v>20</v>
      </c>
      <c r="F3156" t="s">
        <v>21</v>
      </c>
      <c r="G3156" t="s">
        <v>69</v>
      </c>
      <c r="H3156" t="s">
        <v>23</v>
      </c>
      <c r="I3156" t="s">
        <v>24</v>
      </c>
      <c r="J3156" t="s">
        <v>266</v>
      </c>
      <c r="L3156">
        <v>3.9</v>
      </c>
      <c r="M3156">
        <v>637000</v>
      </c>
      <c r="N3156">
        <v>3.6</v>
      </c>
      <c r="O3156">
        <v>10</v>
      </c>
      <c r="P3156" t="s">
        <v>26</v>
      </c>
    </row>
    <row r="3157" spans="1:16" x14ac:dyDescent="0.25">
      <c r="A3157" t="s">
        <v>7107</v>
      </c>
      <c r="B3157" t="s">
        <v>7108</v>
      </c>
      <c r="C3157" t="s">
        <v>29</v>
      </c>
      <c r="D3157" t="s">
        <v>30</v>
      </c>
      <c r="E3157" t="s">
        <v>31</v>
      </c>
      <c r="F3157" t="s">
        <v>39</v>
      </c>
      <c r="G3157" t="s">
        <v>33</v>
      </c>
      <c r="H3157" t="s">
        <v>23</v>
      </c>
      <c r="I3157" t="s">
        <v>75</v>
      </c>
      <c r="J3157" t="s">
        <v>2305</v>
      </c>
      <c r="K3157" t="s">
        <v>1674</v>
      </c>
      <c r="L3157">
        <v>4.3</v>
      </c>
      <c r="M3157">
        <v>106000</v>
      </c>
      <c r="N3157">
        <v>2.5</v>
      </c>
      <c r="O3157">
        <v>7</v>
      </c>
      <c r="P3157" t="s">
        <v>72</v>
      </c>
    </row>
    <row r="3158" spans="1:16" x14ac:dyDescent="0.25">
      <c r="A3158" t="s">
        <v>7109</v>
      </c>
      <c r="B3158" t="s">
        <v>7110</v>
      </c>
      <c r="C3158" t="s">
        <v>29</v>
      </c>
      <c r="D3158" t="s">
        <v>50</v>
      </c>
      <c r="E3158" t="s">
        <v>20</v>
      </c>
      <c r="F3158" t="s">
        <v>39</v>
      </c>
      <c r="G3158" t="s">
        <v>22</v>
      </c>
      <c r="H3158" t="s">
        <v>23</v>
      </c>
      <c r="I3158" t="s">
        <v>24</v>
      </c>
      <c r="J3158" t="s">
        <v>3214</v>
      </c>
      <c r="L3158">
        <v>2.2000000000000002</v>
      </c>
      <c r="M3158">
        <v>107000</v>
      </c>
      <c r="O3158">
        <v>4</v>
      </c>
      <c r="P3158" t="s">
        <v>26</v>
      </c>
    </row>
    <row r="3159" spans="1:16" x14ac:dyDescent="0.25">
      <c r="A3159" t="s">
        <v>7111</v>
      </c>
      <c r="B3159" t="s">
        <v>7112</v>
      </c>
      <c r="C3159" t="s">
        <v>29</v>
      </c>
      <c r="D3159" t="s">
        <v>30</v>
      </c>
      <c r="E3159" t="s">
        <v>20</v>
      </c>
      <c r="F3159" t="s">
        <v>39</v>
      </c>
      <c r="G3159" t="s">
        <v>22</v>
      </c>
      <c r="H3159" t="s">
        <v>23</v>
      </c>
      <c r="I3159" t="s">
        <v>57</v>
      </c>
      <c r="J3159" t="s">
        <v>7113</v>
      </c>
      <c r="L3159">
        <v>4.7</v>
      </c>
      <c r="M3159">
        <v>165000</v>
      </c>
      <c r="N3159">
        <v>2</v>
      </c>
      <c r="O3159">
        <v>8</v>
      </c>
      <c r="P3159" t="s">
        <v>26</v>
      </c>
    </row>
    <row r="3160" spans="1:16" x14ac:dyDescent="0.25">
      <c r="A3160" t="s">
        <v>7114</v>
      </c>
      <c r="B3160" t="s">
        <v>7115</v>
      </c>
      <c r="C3160" t="s">
        <v>18</v>
      </c>
      <c r="D3160" t="s">
        <v>30</v>
      </c>
      <c r="E3160" t="s">
        <v>20</v>
      </c>
      <c r="F3160" t="s">
        <v>39</v>
      </c>
      <c r="G3160" t="s">
        <v>80</v>
      </c>
      <c r="H3160" t="s">
        <v>23</v>
      </c>
      <c r="I3160" t="s">
        <v>24</v>
      </c>
      <c r="J3160" t="s">
        <v>1980</v>
      </c>
      <c r="L3160">
        <v>5.3</v>
      </c>
      <c r="M3160">
        <v>92000</v>
      </c>
      <c r="N3160">
        <v>2.2999999999999998</v>
      </c>
      <c r="O3160">
        <v>8</v>
      </c>
      <c r="P3160" t="s">
        <v>26</v>
      </c>
    </row>
    <row r="3161" spans="1:16" x14ac:dyDescent="0.25">
      <c r="A3161" t="s">
        <v>7116</v>
      </c>
      <c r="B3161" t="s">
        <v>3168</v>
      </c>
      <c r="C3161" t="s">
        <v>18</v>
      </c>
      <c r="D3161" t="s">
        <v>79</v>
      </c>
      <c r="E3161" t="s">
        <v>20</v>
      </c>
      <c r="F3161" t="s">
        <v>32</v>
      </c>
      <c r="G3161" t="s">
        <v>69</v>
      </c>
      <c r="H3161" t="s">
        <v>62</v>
      </c>
      <c r="I3161" t="s">
        <v>35</v>
      </c>
      <c r="J3161" t="s">
        <v>6180</v>
      </c>
      <c r="L3161">
        <v>1.4</v>
      </c>
      <c r="M3161">
        <v>328000</v>
      </c>
      <c r="N3161">
        <v>4.9000000000000004</v>
      </c>
      <c r="O3161">
        <v>33</v>
      </c>
      <c r="P3161" t="s">
        <v>26</v>
      </c>
    </row>
    <row r="3162" spans="1:16" x14ac:dyDescent="0.25">
      <c r="A3162" t="s">
        <v>7117</v>
      </c>
      <c r="B3162" t="s">
        <v>678</v>
      </c>
      <c r="C3162" t="s">
        <v>29</v>
      </c>
      <c r="D3162" t="s">
        <v>50</v>
      </c>
      <c r="E3162" t="s">
        <v>20</v>
      </c>
      <c r="G3162" t="s">
        <v>80</v>
      </c>
      <c r="H3162" t="s">
        <v>34</v>
      </c>
      <c r="I3162" t="s">
        <v>24</v>
      </c>
      <c r="J3162" t="s">
        <v>5030</v>
      </c>
      <c r="L3162">
        <v>5.5</v>
      </c>
      <c r="M3162">
        <v>539000</v>
      </c>
      <c r="O3162">
        <v>9</v>
      </c>
      <c r="P3162" t="s">
        <v>26</v>
      </c>
    </row>
    <row r="3163" spans="1:16" x14ac:dyDescent="0.25">
      <c r="A3163" t="s">
        <v>7118</v>
      </c>
      <c r="B3163" t="s">
        <v>910</v>
      </c>
      <c r="C3163" t="s">
        <v>18</v>
      </c>
      <c r="D3163" t="s">
        <v>30</v>
      </c>
      <c r="E3163" t="s">
        <v>20</v>
      </c>
      <c r="F3163" t="s">
        <v>45</v>
      </c>
      <c r="G3163" t="s">
        <v>80</v>
      </c>
      <c r="H3163" t="s">
        <v>34</v>
      </c>
      <c r="I3163" t="s">
        <v>24</v>
      </c>
      <c r="J3163" t="s">
        <v>1046</v>
      </c>
      <c r="L3163">
        <v>1.9</v>
      </c>
      <c r="M3163">
        <v>1644000</v>
      </c>
      <c r="N3163">
        <v>3.7</v>
      </c>
      <c r="O3163">
        <v>7</v>
      </c>
      <c r="P3163" t="s">
        <v>26</v>
      </c>
    </row>
    <row r="3164" spans="1:16" x14ac:dyDescent="0.25">
      <c r="A3164" t="s">
        <v>7119</v>
      </c>
      <c r="B3164" t="s">
        <v>5154</v>
      </c>
      <c r="C3164" t="s">
        <v>29</v>
      </c>
      <c r="D3164" t="s">
        <v>30</v>
      </c>
      <c r="E3164" t="s">
        <v>44</v>
      </c>
      <c r="F3164" t="s">
        <v>32</v>
      </c>
      <c r="G3164" t="s">
        <v>22</v>
      </c>
      <c r="H3164" t="s">
        <v>34</v>
      </c>
      <c r="I3164" t="s">
        <v>57</v>
      </c>
      <c r="J3164" t="s">
        <v>2977</v>
      </c>
      <c r="L3164">
        <v>4.5999999999999996</v>
      </c>
      <c r="M3164">
        <v>280000</v>
      </c>
      <c r="N3164">
        <v>4.5</v>
      </c>
      <c r="O3164">
        <v>22</v>
      </c>
      <c r="P3164" t="s">
        <v>26</v>
      </c>
    </row>
    <row r="3165" spans="1:16" x14ac:dyDescent="0.25">
      <c r="A3165" t="s">
        <v>7120</v>
      </c>
      <c r="B3165" t="s">
        <v>2527</v>
      </c>
      <c r="C3165" t="s">
        <v>18</v>
      </c>
      <c r="D3165" t="s">
        <v>30</v>
      </c>
      <c r="E3165" t="s">
        <v>20</v>
      </c>
      <c r="F3165" t="s">
        <v>128</v>
      </c>
      <c r="G3165" t="s">
        <v>69</v>
      </c>
      <c r="H3165" t="s">
        <v>34</v>
      </c>
      <c r="I3165" t="s">
        <v>24</v>
      </c>
      <c r="J3165" t="s">
        <v>6456</v>
      </c>
      <c r="K3165" t="s">
        <v>1811</v>
      </c>
      <c r="L3165">
        <v>1.9</v>
      </c>
      <c r="M3165">
        <v>521000</v>
      </c>
      <c r="N3165">
        <v>4</v>
      </c>
      <c r="O3165">
        <v>14</v>
      </c>
      <c r="P3165" t="s">
        <v>114</v>
      </c>
    </row>
    <row r="3166" spans="1:16" x14ac:dyDescent="0.25">
      <c r="A3166" t="s">
        <v>7121</v>
      </c>
      <c r="B3166" t="s">
        <v>2070</v>
      </c>
      <c r="C3166" t="s">
        <v>18</v>
      </c>
      <c r="D3166" t="s">
        <v>19</v>
      </c>
      <c r="E3166" t="s">
        <v>20</v>
      </c>
      <c r="F3166" t="s">
        <v>32</v>
      </c>
      <c r="G3166" t="s">
        <v>22</v>
      </c>
      <c r="H3166" t="s">
        <v>34</v>
      </c>
      <c r="I3166" t="s">
        <v>171</v>
      </c>
      <c r="J3166" t="s">
        <v>5587</v>
      </c>
      <c r="L3166">
        <v>3.9</v>
      </c>
      <c r="M3166">
        <v>311000</v>
      </c>
      <c r="O3166">
        <v>11</v>
      </c>
      <c r="P3166" t="s">
        <v>26</v>
      </c>
    </row>
    <row r="3167" spans="1:16" x14ac:dyDescent="0.25">
      <c r="A3167" t="s">
        <v>7122</v>
      </c>
      <c r="B3167" t="s">
        <v>3425</v>
      </c>
      <c r="C3167" t="s">
        <v>29</v>
      </c>
      <c r="D3167" t="s">
        <v>50</v>
      </c>
      <c r="E3167" t="s">
        <v>31</v>
      </c>
      <c r="F3167" t="s">
        <v>21</v>
      </c>
      <c r="G3167" t="s">
        <v>33</v>
      </c>
      <c r="H3167" t="s">
        <v>46</v>
      </c>
      <c r="I3167" t="s">
        <v>24</v>
      </c>
      <c r="J3167" t="s">
        <v>6325</v>
      </c>
      <c r="L3167">
        <v>1.6</v>
      </c>
      <c r="M3167">
        <v>698000</v>
      </c>
      <c r="N3167">
        <v>4.0999999999999996</v>
      </c>
      <c r="O3167">
        <v>11</v>
      </c>
      <c r="P3167" t="s">
        <v>26</v>
      </c>
    </row>
    <row r="3168" spans="1:16" x14ac:dyDescent="0.25">
      <c r="A3168" t="s">
        <v>7123</v>
      </c>
      <c r="B3168" t="s">
        <v>829</v>
      </c>
      <c r="C3168" t="s">
        <v>18</v>
      </c>
      <c r="D3168" t="s">
        <v>50</v>
      </c>
      <c r="E3168" t="s">
        <v>20</v>
      </c>
      <c r="F3168" t="s">
        <v>32</v>
      </c>
      <c r="G3168" t="s">
        <v>69</v>
      </c>
      <c r="H3168" t="s">
        <v>46</v>
      </c>
      <c r="I3168" t="s">
        <v>35</v>
      </c>
      <c r="J3168" t="s">
        <v>6456</v>
      </c>
      <c r="L3168">
        <v>1.9</v>
      </c>
      <c r="M3168">
        <v>265000</v>
      </c>
      <c r="N3168">
        <v>2.6</v>
      </c>
      <c r="O3168">
        <v>23</v>
      </c>
      <c r="P3168" t="s">
        <v>26</v>
      </c>
    </row>
    <row r="3169" spans="1:16" x14ac:dyDescent="0.25">
      <c r="A3169" t="s">
        <v>7124</v>
      </c>
      <c r="B3169" t="s">
        <v>7125</v>
      </c>
      <c r="C3169" t="s">
        <v>29</v>
      </c>
      <c r="D3169" t="s">
        <v>43</v>
      </c>
      <c r="E3169" t="s">
        <v>44</v>
      </c>
      <c r="F3169" t="s">
        <v>128</v>
      </c>
      <c r="G3169" t="s">
        <v>22</v>
      </c>
      <c r="H3169" t="s">
        <v>34</v>
      </c>
      <c r="I3169" t="s">
        <v>24</v>
      </c>
      <c r="J3169" t="s">
        <v>773</v>
      </c>
      <c r="L3169">
        <v>3.7</v>
      </c>
      <c r="M3169">
        <v>496000</v>
      </c>
      <c r="N3169">
        <v>2.6</v>
      </c>
      <c r="O3169">
        <v>1</v>
      </c>
      <c r="P3169" t="s">
        <v>26</v>
      </c>
    </row>
    <row r="3170" spans="1:16" x14ac:dyDescent="0.25">
      <c r="A3170" t="s">
        <v>7126</v>
      </c>
      <c r="B3170" t="s">
        <v>6581</v>
      </c>
      <c r="C3170" t="s">
        <v>29</v>
      </c>
      <c r="D3170" t="s">
        <v>79</v>
      </c>
      <c r="E3170" t="s">
        <v>20</v>
      </c>
      <c r="F3170" t="s">
        <v>128</v>
      </c>
      <c r="G3170" t="s">
        <v>22</v>
      </c>
      <c r="H3170" t="s">
        <v>23</v>
      </c>
      <c r="I3170" t="s">
        <v>75</v>
      </c>
      <c r="J3170" t="s">
        <v>3782</v>
      </c>
      <c r="L3170">
        <v>1.4</v>
      </c>
      <c r="M3170">
        <v>582000</v>
      </c>
      <c r="N3170">
        <v>3.7</v>
      </c>
      <c r="O3170">
        <v>18</v>
      </c>
      <c r="P3170" t="s">
        <v>26</v>
      </c>
    </row>
    <row r="3171" spans="1:16" x14ac:dyDescent="0.25">
      <c r="A3171" t="s">
        <v>7127</v>
      </c>
      <c r="B3171" t="s">
        <v>7128</v>
      </c>
      <c r="C3171" t="s">
        <v>18</v>
      </c>
      <c r="D3171" t="s">
        <v>43</v>
      </c>
      <c r="E3171" t="s">
        <v>44</v>
      </c>
      <c r="F3171" t="s">
        <v>32</v>
      </c>
      <c r="G3171" t="s">
        <v>69</v>
      </c>
      <c r="H3171" t="s">
        <v>34</v>
      </c>
      <c r="I3171" t="s">
        <v>75</v>
      </c>
      <c r="J3171" t="s">
        <v>744</v>
      </c>
      <c r="L3171">
        <v>3.1</v>
      </c>
      <c r="M3171">
        <v>284000</v>
      </c>
      <c r="N3171">
        <v>2.2999999999999998</v>
      </c>
      <c r="O3171">
        <v>10</v>
      </c>
      <c r="P3171" t="s">
        <v>26</v>
      </c>
    </row>
    <row r="3172" spans="1:16" x14ac:dyDescent="0.25">
      <c r="A3172" t="s">
        <v>7129</v>
      </c>
      <c r="B3172" t="s">
        <v>7130</v>
      </c>
      <c r="C3172" t="s">
        <v>18</v>
      </c>
      <c r="D3172" t="s">
        <v>79</v>
      </c>
      <c r="E3172" t="s">
        <v>31</v>
      </c>
      <c r="F3172" t="s">
        <v>39</v>
      </c>
      <c r="G3172" t="s">
        <v>22</v>
      </c>
      <c r="H3172" t="s">
        <v>23</v>
      </c>
      <c r="I3172" t="s">
        <v>57</v>
      </c>
      <c r="J3172" t="s">
        <v>3179</v>
      </c>
      <c r="L3172">
        <v>6.1</v>
      </c>
      <c r="M3172">
        <v>86000</v>
      </c>
      <c r="N3172">
        <v>4.5</v>
      </c>
      <c r="O3172">
        <v>12</v>
      </c>
      <c r="P3172" t="s">
        <v>26</v>
      </c>
    </row>
    <row r="3173" spans="1:16" x14ac:dyDescent="0.25">
      <c r="A3173" t="s">
        <v>7131</v>
      </c>
      <c r="B3173" t="s">
        <v>7132</v>
      </c>
      <c r="C3173" t="s">
        <v>29</v>
      </c>
      <c r="D3173" t="s">
        <v>43</v>
      </c>
      <c r="E3173" t="s">
        <v>20</v>
      </c>
      <c r="F3173" t="s">
        <v>32</v>
      </c>
      <c r="G3173" t="s">
        <v>80</v>
      </c>
      <c r="H3173" t="s">
        <v>23</v>
      </c>
      <c r="I3173" t="s">
        <v>57</v>
      </c>
      <c r="J3173" t="s">
        <v>5957</v>
      </c>
      <c r="K3173" t="s">
        <v>550</v>
      </c>
      <c r="L3173">
        <v>4.5</v>
      </c>
      <c r="M3173">
        <v>281000</v>
      </c>
      <c r="N3173">
        <v>2.8</v>
      </c>
      <c r="O3173">
        <v>2</v>
      </c>
      <c r="P3173" t="s">
        <v>72</v>
      </c>
    </row>
    <row r="3174" spans="1:16" x14ac:dyDescent="0.25">
      <c r="A3174" t="s">
        <v>7133</v>
      </c>
      <c r="B3174" t="s">
        <v>7134</v>
      </c>
      <c r="C3174" t="s">
        <v>18</v>
      </c>
      <c r="D3174" t="s">
        <v>79</v>
      </c>
      <c r="E3174" t="s">
        <v>20</v>
      </c>
      <c r="F3174" t="s">
        <v>32</v>
      </c>
      <c r="G3174" t="s">
        <v>22</v>
      </c>
      <c r="H3174" t="s">
        <v>46</v>
      </c>
      <c r="I3174" t="s">
        <v>24</v>
      </c>
      <c r="J3174" t="s">
        <v>2797</v>
      </c>
      <c r="L3174">
        <v>3.2</v>
      </c>
      <c r="M3174">
        <v>211000</v>
      </c>
      <c r="N3174">
        <v>3.8</v>
      </c>
      <c r="O3174">
        <v>9</v>
      </c>
      <c r="P3174" t="s">
        <v>26</v>
      </c>
    </row>
    <row r="3175" spans="1:16" x14ac:dyDescent="0.25">
      <c r="A3175" t="s">
        <v>7135</v>
      </c>
      <c r="B3175" t="s">
        <v>3528</v>
      </c>
      <c r="C3175" t="s">
        <v>29</v>
      </c>
      <c r="D3175" t="s">
        <v>50</v>
      </c>
      <c r="E3175" t="s">
        <v>20</v>
      </c>
      <c r="F3175" t="s">
        <v>32</v>
      </c>
      <c r="G3175" t="s">
        <v>80</v>
      </c>
      <c r="I3175" t="s">
        <v>24</v>
      </c>
      <c r="J3175" t="s">
        <v>172</v>
      </c>
      <c r="L3175">
        <v>4.3</v>
      </c>
      <c r="M3175">
        <v>230000</v>
      </c>
      <c r="N3175">
        <v>4.9000000000000004</v>
      </c>
      <c r="O3175">
        <v>12</v>
      </c>
      <c r="P3175" t="s">
        <v>26</v>
      </c>
    </row>
    <row r="3176" spans="1:16" x14ac:dyDescent="0.25">
      <c r="A3176" t="s">
        <v>7136</v>
      </c>
      <c r="B3176" t="s">
        <v>7069</v>
      </c>
      <c r="C3176" t="s">
        <v>18</v>
      </c>
      <c r="D3176" t="s">
        <v>30</v>
      </c>
      <c r="E3176" t="s">
        <v>31</v>
      </c>
      <c r="F3176" t="s">
        <v>32</v>
      </c>
      <c r="G3176" t="s">
        <v>22</v>
      </c>
      <c r="H3176" t="s">
        <v>46</v>
      </c>
      <c r="I3176" t="s">
        <v>75</v>
      </c>
      <c r="J3176" t="s">
        <v>7099</v>
      </c>
      <c r="K3176" t="s">
        <v>3453</v>
      </c>
      <c r="L3176">
        <v>5.2</v>
      </c>
      <c r="M3176">
        <v>349000</v>
      </c>
      <c r="N3176">
        <v>2.9</v>
      </c>
      <c r="O3176">
        <v>12</v>
      </c>
      <c r="P3176" t="s">
        <v>72</v>
      </c>
    </row>
    <row r="3177" spans="1:16" x14ac:dyDescent="0.25">
      <c r="A3177" t="s">
        <v>7137</v>
      </c>
      <c r="B3177" t="s">
        <v>7138</v>
      </c>
      <c r="C3177" t="s">
        <v>18</v>
      </c>
      <c r="D3177" t="s">
        <v>79</v>
      </c>
      <c r="E3177" t="s">
        <v>31</v>
      </c>
      <c r="F3177" t="s">
        <v>21</v>
      </c>
      <c r="G3177" t="s">
        <v>22</v>
      </c>
      <c r="H3177" t="s">
        <v>34</v>
      </c>
      <c r="I3177" t="s">
        <v>57</v>
      </c>
      <c r="J3177" t="s">
        <v>2460</v>
      </c>
      <c r="L3177">
        <v>3.9</v>
      </c>
      <c r="M3177">
        <v>947000</v>
      </c>
      <c r="N3177">
        <v>3.7</v>
      </c>
      <c r="O3177">
        <v>11</v>
      </c>
      <c r="P3177" t="s">
        <v>26</v>
      </c>
    </row>
    <row r="3178" spans="1:16" x14ac:dyDescent="0.25">
      <c r="A3178" t="s">
        <v>7139</v>
      </c>
      <c r="B3178" t="s">
        <v>7140</v>
      </c>
      <c r="C3178" t="s">
        <v>18</v>
      </c>
      <c r="D3178" t="s">
        <v>19</v>
      </c>
      <c r="E3178" t="s">
        <v>20</v>
      </c>
      <c r="F3178" t="s">
        <v>128</v>
      </c>
      <c r="G3178" t="s">
        <v>22</v>
      </c>
      <c r="H3178" t="s">
        <v>34</v>
      </c>
      <c r="I3178" t="s">
        <v>24</v>
      </c>
      <c r="J3178" t="s">
        <v>2361</v>
      </c>
      <c r="K3178" t="s">
        <v>2513</v>
      </c>
      <c r="L3178">
        <v>3.9</v>
      </c>
      <c r="M3178">
        <v>545000</v>
      </c>
      <c r="N3178">
        <v>4.0999999999999996</v>
      </c>
      <c r="O3178">
        <v>5</v>
      </c>
      <c r="P3178" t="s">
        <v>53</v>
      </c>
    </row>
    <row r="3179" spans="1:16" x14ac:dyDescent="0.25">
      <c r="A3179" t="s">
        <v>7141</v>
      </c>
      <c r="B3179" t="s">
        <v>3035</v>
      </c>
      <c r="C3179" t="s">
        <v>29</v>
      </c>
      <c r="D3179" t="s">
        <v>43</v>
      </c>
      <c r="E3179" t="s">
        <v>20</v>
      </c>
      <c r="F3179" t="s">
        <v>32</v>
      </c>
      <c r="G3179" t="s">
        <v>80</v>
      </c>
      <c r="H3179" t="s">
        <v>23</v>
      </c>
      <c r="I3179" t="s">
        <v>24</v>
      </c>
      <c r="J3179" t="s">
        <v>4169</v>
      </c>
      <c r="L3179">
        <v>5.0999999999999996</v>
      </c>
      <c r="M3179">
        <v>214000</v>
      </c>
      <c r="N3179">
        <v>4.3</v>
      </c>
      <c r="O3179">
        <v>10</v>
      </c>
      <c r="P3179" t="s">
        <v>26</v>
      </c>
    </row>
    <row r="3180" spans="1:16" x14ac:dyDescent="0.25">
      <c r="A3180" t="s">
        <v>7142</v>
      </c>
      <c r="B3180" t="s">
        <v>705</v>
      </c>
      <c r="C3180" t="s">
        <v>29</v>
      </c>
      <c r="D3180" t="s">
        <v>50</v>
      </c>
      <c r="E3180" t="s">
        <v>20</v>
      </c>
      <c r="F3180" t="s">
        <v>39</v>
      </c>
      <c r="G3180" t="s">
        <v>33</v>
      </c>
      <c r="H3180" t="s">
        <v>62</v>
      </c>
      <c r="I3180" t="s">
        <v>57</v>
      </c>
      <c r="J3180" t="s">
        <v>6160</v>
      </c>
      <c r="L3180">
        <v>2.1</v>
      </c>
      <c r="M3180">
        <v>150000</v>
      </c>
      <c r="N3180">
        <v>2.1</v>
      </c>
      <c r="O3180">
        <v>0</v>
      </c>
      <c r="P3180" t="s">
        <v>26</v>
      </c>
    </row>
    <row r="3181" spans="1:16" x14ac:dyDescent="0.25">
      <c r="A3181" t="s">
        <v>7143</v>
      </c>
      <c r="B3181" t="s">
        <v>1787</v>
      </c>
      <c r="C3181" t="s">
        <v>18</v>
      </c>
      <c r="D3181" t="s">
        <v>43</v>
      </c>
      <c r="E3181" t="s">
        <v>20</v>
      </c>
      <c r="F3181" t="s">
        <v>32</v>
      </c>
      <c r="G3181" t="s">
        <v>22</v>
      </c>
      <c r="H3181" t="s">
        <v>46</v>
      </c>
      <c r="I3181" t="s">
        <v>57</v>
      </c>
      <c r="J3181" t="s">
        <v>1357</v>
      </c>
      <c r="K3181" t="s">
        <v>4977</v>
      </c>
      <c r="L3181">
        <v>1.8</v>
      </c>
      <c r="M3181">
        <v>180000</v>
      </c>
      <c r="N3181">
        <v>2.4</v>
      </c>
      <c r="O3181">
        <v>2</v>
      </c>
      <c r="P3181" t="s">
        <v>53</v>
      </c>
    </row>
    <row r="3182" spans="1:16" x14ac:dyDescent="0.25">
      <c r="A3182" t="s">
        <v>7144</v>
      </c>
      <c r="B3182" t="s">
        <v>1680</v>
      </c>
      <c r="C3182" t="s">
        <v>29</v>
      </c>
      <c r="D3182" t="s">
        <v>43</v>
      </c>
      <c r="E3182" t="s">
        <v>20</v>
      </c>
      <c r="F3182" t="s">
        <v>32</v>
      </c>
      <c r="G3182" t="s">
        <v>22</v>
      </c>
      <c r="I3182" t="s">
        <v>35</v>
      </c>
      <c r="J3182" t="s">
        <v>693</v>
      </c>
      <c r="L3182">
        <v>1.3</v>
      </c>
      <c r="M3182">
        <v>211000</v>
      </c>
      <c r="N3182">
        <v>5</v>
      </c>
      <c r="O3182">
        <v>12</v>
      </c>
      <c r="P3182" t="s">
        <v>26</v>
      </c>
    </row>
    <row r="3183" spans="1:16" x14ac:dyDescent="0.25">
      <c r="A3183" t="s">
        <v>7145</v>
      </c>
      <c r="B3183" t="s">
        <v>7146</v>
      </c>
      <c r="C3183" t="s">
        <v>18</v>
      </c>
      <c r="D3183" t="s">
        <v>43</v>
      </c>
      <c r="E3183" t="s">
        <v>20</v>
      </c>
      <c r="G3183" t="s">
        <v>22</v>
      </c>
      <c r="H3183" t="s">
        <v>34</v>
      </c>
      <c r="I3183" t="s">
        <v>24</v>
      </c>
      <c r="J3183" t="s">
        <v>5657</v>
      </c>
      <c r="L3183">
        <v>4.0999999999999996</v>
      </c>
      <c r="M3183">
        <v>1548000</v>
      </c>
      <c r="N3183">
        <v>4.2</v>
      </c>
      <c r="O3183">
        <v>0</v>
      </c>
      <c r="P3183" t="s">
        <v>26</v>
      </c>
    </row>
    <row r="3184" spans="1:16" x14ac:dyDescent="0.25">
      <c r="A3184" t="s">
        <v>7147</v>
      </c>
      <c r="B3184" t="s">
        <v>4306</v>
      </c>
      <c r="C3184" t="s">
        <v>18</v>
      </c>
      <c r="D3184" t="s">
        <v>50</v>
      </c>
      <c r="E3184" t="s">
        <v>20</v>
      </c>
      <c r="F3184" t="s">
        <v>128</v>
      </c>
      <c r="G3184" t="s">
        <v>22</v>
      </c>
      <c r="H3184" t="s">
        <v>46</v>
      </c>
      <c r="I3184" t="s">
        <v>24</v>
      </c>
      <c r="J3184" t="s">
        <v>2210</v>
      </c>
      <c r="L3184">
        <v>3.7</v>
      </c>
      <c r="M3184">
        <v>529000</v>
      </c>
      <c r="N3184">
        <v>2</v>
      </c>
      <c r="O3184">
        <v>10</v>
      </c>
      <c r="P3184" t="s">
        <v>26</v>
      </c>
    </row>
    <row r="3185" spans="1:16" x14ac:dyDescent="0.25">
      <c r="A3185" t="s">
        <v>7148</v>
      </c>
      <c r="B3185" t="s">
        <v>5800</v>
      </c>
      <c r="C3185" t="s">
        <v>18</v>
      </c>
      <c r="D3185" t="s">
        <v>19</v>
      </c>
      <c r="E3185" t="s">
        <v>20</v>
      </c>
      <c r="F3185" t="s">
        <v>32</v>
      </c>
      <c r="G3185" t="s">
        <v>33</v>
      </c>
      <c r="H3185" t="s">
        <v>46</v>
      </c>
      <c r="I3185" t="s">
        <v>35</v>
      </c>
      <c r="J3185" t="s">
        <v>1671</v>
      </c>
      <c r="L3185">
        <v>4.9000000000000004</v>
      </c>
      <c r="M3185">
        <v>383000</v>
      </c>
      <c r="N3185">
        <v>4.0999999999999996</v>
      </c>
      <c r="O3185">
        <v>19</v>
      </c>
      <c r="P3185" t="s">
        <v>26</v>
      </c>
    </row>
    <row r="3186" spans="1:16" x14ac:dyDescent="0.25">
      <c r="A3186" t="s">
        <v>7149</v>
      </c>
      <c r="B3186" t="s">
        <v>7150</v>
      </c>
      <c r="C3186" t="s">
        <v>29</v>
      </c>
      <c r="D3186" t="s">
        <v>43</v>
      </c>
      <c r="E3186" t="s">
        <v>31</v>
      </c>
      <c r="F3186" t="s">
        <v>32</v>
      </c>
      <c r="G3186" t="s">
        <v>33</v>
      </c>
      <c r="H3186" t="s">
        <v>34</v>
      </c>
      <c r="I3186" t="s">
        <v>75</v>
      </c>
      <c r="J3186" t="s">
        <v>606</v>
      </c>
      <c r="L3186">
        <v>3.4</v>
      </c>
      <c r="M3186">
        <v>200000</v>
      </c>
      <c r="N3186">
        <v>4.4000000000000004</v>
      </c>
      <c r="O3186">
        <v>13</v>
      </c>
      <c r="P3186" t="s">
        <v>26</v>
      </c>
    </row>
    <row r="3187" spans="1:16" x14ac:dyDescent="0.25">
      <c r="A3187" t="s">
        <v>7151</v>
      </c>
      <c r="B3187" t="s">
        <v>2068</v>
      </c>
      <c r="C3187" t="s">
        <v>29</v>
      </c>
      <c r="D3187" t="s">
        <v>50</v>
      </c>
      <c r="E3187" t="s">
        <v>20</v>
      </c>
      <c r="F3187" t="s">
        <v>39</v>
      </c>
      <c r="G3187" t="s">
        <v>80</v>
      </c>
      <c r="H3187" t="s">
        <v>23</v>
      </c>
      <c r="I3187" t="s">
        <v>57</v>
      </c>
      <c r="J3187" t="s">
        <v>967</v>
      </c>
      <c r="L3187">
        <v>1.9</v>
      </c>
      <c r="M3187">
        <v>168000</v>
      </c>
      <c r="N3187">
        <v>2.9</v>
      </c>
      <c r="O3187">
        <v>4</v>
      </c>
      <c r="P3187" t="s">
        <v>26</v>
      </c>
    </row>
    <row r="3188" spans="1:16" x14ac:dyDescent="0.25">
      <c r="A3188" t="s">
        <v>7152</v>
      </c>
      <c r="B3188" t="s">
        <v>6508</v>
      </c>
      <c r="C3188" t="s">
        <v>18</v>
      </c>
      <c r="D3188" t="s">
        <v>43</v>
      </c>
      <c r="E3188" t="s">
        <v>20</v>
      </c>
      <c r="F3188" t="s">
        <v>32</v>
      </c>
      <c r="G3188" t="s">
        <v>80</v>
      </c>
      <c r="H3188" t="s">
        <v>23</v>
      </c>
      <c r="I3188" t="s">
        <v>24</v>
      </c>
      <c r="J3188" t="s">
        <v>4764</v>
      </c>
      <c r="L3188">
        <v>3.9</v>
      </c>
      <c r="M3188">
        <v>224000</v>
      </c>
      <c r="N3188">
        <v>4.8</v>
      </c>
      <c r="O3188">
        <v>10</v>
      </c>
      <c r="P3188" t="s">
        <v>26</v>
      </c>
    </row>
    <row r="3189" spans="1:16" x14ac:dyDescent="0.25">
      <c r="A3189" t="s">
        <v>7153</v>
      </c>
      <c r="B3189" t="s">
        <v>7154</v>
      </c>
      <c r="C3189" t="s">
        <v>18</v>
      </c>
      <c r="D3189" t="s">
        <v>30</v>
      </c>
      <c r="E3189" t="s">
        <v>20</v>
      </c>
      <c r="F3189" t="s">
        <v>39</v>
      </c>
      <c r="G3189" t="s">
        <v>22</v>
      </c>
      <c r="H3189" t="s">
        <v>34</v>
      </c>
      <c r="I3189" t="s">
        <v>35</v>
      </c>
      <c r="J3189" t="s">
        <v>1716</v>
      </c>
      <c r="L3189">
        <v>1.7</v>
      </c>
      <c r="M3189">
        <v>107000</v>
      </c>
      <c r="N3189">
        <v>1.8</v>
      </c>
      <c r="P3189" t="s">
        <v>26</v>
      </c>
    </row>
    <row r="3190" spans="1:16" x14ac:dyDescent="0.25">
      <c r="A3190" t="s">
        <v>7155</v>
      </c>
      <c r="B3190" t="s">
        <v>7156</v>
      </c>
      <c r="C3190" t="s">
        <v>29</v>
      </c>
      <c r="D3190" t="s">
        <v>30</v>
      </c>
      <c r="E3190" t="s">
        <v>20</v>
      </c>
      <c r="G3190" t="s">
        <v>22</v>
      </c>
      <c r="H3190" t="s">
        <v>46</v>
      </c>
      <c r="I3190" t="s">
        <v>75</v>
      </c>
      <c r="J3190" t="s">
        <v>7157</v>
      </c>
      <c r="L3190">
        <v>5.3</v>
      </c>
      <c r="M3190">
        <v>196000</v>
      </c>
      <c r="N3190">
        <v>1.9</v>
      </c>
      <c r="O3190">
        <v>9</v>
      </c>
      <c r="P3190" t="s">
        <v>26</v>
      </c>
    </row>
    <row r="3191" spans="1:16" x14ac:dyDescent="0.25">
      <c r="A3191" t="s">
        <v>4191</v>
      </c>
      <c r="B3191" t="s">
        <v>2462</v>
      </c>
      <c r="C3191" t="s">
        <v>18</v>
      </c>
      <c r="D3191" t="s">
        <v>19</v>
      </c>
      <c r="E3191" t="s">
        <v>20</v>
      </c>
      <c r="F3191" t="s">
        <v>32</v>
      </c>
      <c r="G3191" t="s">
        <v>33</v>
      </c>
      <c r="H3191" t="s">
        <v>34</v>
      </c>
      <c r="I3191" t="s">
        <v>24</v>
      </c>
      <c r="J3191" t="s">
        <v>4192</v>
      </c>
      <c r="K3191" t="s">
        <v>4193</v>
      </c>
      <c r="L3191">
        <v>5.6</v>
      </c>
      <c r="M3191">
        <v>384000</v>
      </c>
      <c r="N3191">
        <v>3</v>
      </c>
      <c r="O3191">
        <v>10</v>
      </c>
      <c r="P3191" t="s">
        <v>53</v>
      </c>
    </row>
    <row r="3192" spans="1:16" x14ac:dyDescent="0.25">
      <c r="A3192" t="s">
        <v>7158</v>
      </c>
      <c r="B3192" t="s">
        <v>865</v>
      </c>
      <c r="C3192" t="s">
        <v>18</v>
      </c>
      <c r="D3192" t="s">
        <v>50</v>
      </c>
      <c r="E3192" t="s">
        <v>20</v>
      </c>
      <c r="F3192" t="s">
        <v>128</v>
      </c>
      <c r="G3192" t="s">
        <v>33</v>
      </c>
      <c r="H3192" t="s">
        <v>34</v>
      </c>
      <c r="I3192" t="s">
        <v>24</v>
      </c>
      <c r="J3192" t="s">
        <v>4269</v>
      </c>
      <c r="K3192" t="s">
        <v>2663</v>
      </c>
      <c r="L3192">
        <v>3</v>
      </c>
      <c r="M3192">
        <v>362000</v>
      </c>
      <c r="N3192">
        <v>3.4</v>
      </c>
      <c r="O3192">
        <v>5</v>
      </c>
      <c r="P3192" t="s">
        <v>53</v>
      </c>
    </row>
    <row r="3193" spans="1:16" x14ac:dyDescent="0.25">
      <c r="A3193" t="s">
        <v>7159</v>
      </c>
      <c r="B3193" t="s">
        <v>7160</v>
      </c>
      <c r="C3193" t="s">
        <v>18</v>
      </c>
      <c r="D3193" t="s">
        <v>79</v>
      </c>
      <c r="E3193" t="s">
        <v>44</v>
      </c>
      <c r="F3193" t="s">
        <v>21</v>
      </c>
      <c r="G3193" t="s">
        <v>22</v>
      </c>
      <c r="H3193" t="s">
        <v>23</v>
      </c>
      <c r="I3193" t="s">
        <v>57</v>
      </c>
      <c r="J3193" t="s">
        <v>2044</v>
      </c>
      <c r="L3193">
        <v>4.2</v>
      </c>
      <c r="M3193">
        <v>897000</v>
      </c>
      <c r="N3193">
        <v>3.1</v>
      </c>
      <c r="O3193">
        <v>10</v>
      </c>
      <c r="P3193" t="s">
        <v>26</v>
      </c>
    </row>
    <row r="3194" spans="1:16" x14ac:dyDescent="0.25">
      <c r="A3194" t="s">
        <v>7161</v>
      </c>
      <c r="B3194" t="s">
        <v>7162</v>
      </c>
      <c r="C3194" t="s">
        <v>29</v>
      </c>
      <c r="D3194" t="s">
        <v>43</v>
      </c>
      <c r="E3194" t="s">
        <v>20</v>
      </c>
      <c r="F3194" t="s">
        <v>128</v>
      </c>
      <c r="G3194" t="s">
        <v>22</v>
      </c>
      <c r="H3194" t="s">
        <v>34</v>
      </c>
      <c r="I3194" t="s">
        <v>35</v>
      </c>
      <c r="J3194" t="s">
        <v>7163</v>
      </c>
      <c r="L3194">
        <v>5.3</v>
      </c>
      <c r="M3194">
        <v>350000</v>
      </c>
      <c r="N3194">
        <v>3.9</v>
      </c>
      <c r="O3194">
        <v>14</v>
      </c>
      <c r="P3194" t="s">
        <v>26</v>
      </c>
    </row>
    <row r="3195" spans="1:16" x14ac:dyDescent="0.25">
      <c r="A3195" t="s">
        <v>7164</v>
      </c>
      <c r="B3195" t="s">
        <v>2419</v>
      </c>
      <c r="C3195" t="s">
        <v>18</v>
      </c>
      <c r="D3195" t="s">
        <v>79</v>
      </c>
      <c r="E3195" t="s">
        <v>44</v>
      </c>
      <c r="F3195" t="s">
        <v>128</v>
      </c>
      <c r="G3195" t="s">
        <v>33</v>
      </c>
      <c r="H3195" t="s">
        <v>23</v>
      </c>
      <c r="I3195" t="s">
        <v>24</v>
      </c>
      <c r="J3195" t="s">
        <v>3990</v>
      </c>
      <c r="L3195">
        <v>4.3</v>
      </c>
      <c r="M3195">
        <v>521000</v>
      </c>
      <c r="N3195">
        <v>4.0999999999999996</v>
      </c>
      <c r="O3195">
        <v>14</v>
      </c>
      <c r="P3195" t="s">
        <v>26</v>
      </c>
    </row>
    <row r="3196" spans="1:16" x14ac:dyDescent="0.25">
      <c r="A3196" t="s">
        <v>7165</v>
      </c>
      <c r="B3196" t="s">
        <v>7166</v>
      </c>
      <c r="C3196" t="s">
        <v>29</v>
      </c>
      <c r="D3196" t="s">
        <v>43</v>
      </c>
      <c r="E3196" t="s">
        <v>20</v>
      </c>
      <c r="F3196" t="s">
        <v>128</v>
      </c>
      <c r="G3196" t="s">
        <v>22</v>
      </c>
      <c r="H3196" t="s">
        <v>34</v>
      </c>
      <c r="I3196" t="s">
        <v>24</v>
      </c>
      <c r="J3196" t="s">
        <v>7167</v>
      </c>
      <c r="L3196">
        <v>3.9</v>
      </c>
      <c r="M3196">
        <v>357000</v>
      </c>
      <c r="N3196">
        <v>4.5999999999999996</v>
      </c>
      <c r="O3196">
        <v>11</v>
      </c>
      <c r="P3196" t="s">
        <v>26</v>
      </c>
    </row>
    <row r="3197" spans="1:16" x14ac:dyDescent="0.25">
      <c r="A3197" t="s">
        <v>7168</v>
      </c>
      <c r="B3197" t="s">
        <v>2080</v>
      </c>
      <c r="C3197" t="s">
        <v>18</v>
      </c>
      <c r="D3197" t="s">
        <v>50</v>
      </c>
      <c r="E3197" t="s">
        <v>20</v>
      </c>
      <c r="F3197" t="s">
        <v>128</v>
      </c>
      <c r="G3197" t="s">
        <v>80</v>
      </c>
      <c r="H3197" t="s">
        <v>23</v>
      </c>
      <c r="I3197" t="s">
        <v>24</v>
      </c>
      <c r="J3197" t="s">
        <v>3887</v>
      </c>
      <c r="L3197">
        <v>3.1</v>
      </c>
      <c r="M3197">
        <v>531000</v>
      </c>
      <c r="N3197">
        <v>2.2000000000000002</v>
      </c>
      <c r="O3197">
        <v>6</v>
      </c>
      <c r="P3197" t="s">
        <v>26</v>
      </c>
    </row>
    <row r="3198" spans="1:16" x14ac:dyDescent="0.25">
      <c r="A3198" t="s">
        <v>7169</v>
      </c>
      <c r="B3198" t="s">
        <v>1695</v>
      </c>
      <c r="C3198" t="s">
        <v>29</v>
      </c>
      <c r="D3198" t="s">
        <v>50</v>
      </c>
      <c r="E3198" t="s">
        <v>44</v>
      </c>
      <c r="F3198" t="s">
        <v>32</v>
      </c>
      <c r="G3198" t="s">
        <v>80</v>
      </c>
      <c r="H3198" t="s">
        <v>34</v>
      </c>
      <c r="I3198" t="s">
        <v>75</v>
      </c>
      <c r="J3198" t="s">
        <v>4834</v>
      </c>
      <c r="K3198" t="s">
        <v>168</v>
      </c>
      <c r="L3198">
        <v>4.3</v>
      </c>
      <c r="M3198">
        <v>324000</v>
      </c>
      <c r="N3198">
        <v>2.9</v>
      </c>
      <c r="O3198">
        <v>9</v>
      </c>
      <c r="P3198" t="s">
        <v>53</v>
      </c>
    </row>
    <row r="3199" spans="1:16" x14ac:dyDescent="0.25">
      <c r="A3199" t="s">
        <v>7170</v>
      </c>
      <c r="B3199" t="s">
        <v>7171</v>
      </c>
      <c r="C3199" t="s">
        <v>29</v>
      </c>
      <c r="D3199" t="s">
        <v>19</v>
      </c>
      <c r="E3199" t="s">
        <v>20</v>
      </c>
      <c r="F3199" t="s">
        <v>32</v>
      </c>
      <c r="G3199" t="s">
        <v>22</v>
      </c>
      <c r="H3199" t="s">
        <v>34</v>
      </c>
      <c r="I3199" t="s">
        <v>35</v>
      </c>
      <c r="J3199" t="s">
        <v>4029</v>
      </c>
      <c r="L3199">
        <v>4.4000000000000004</v>
      </c>
      <c r="M3199">
        <v>317000</v>
      </c>
      <c r="N3199">
        <v>4.8</v>
      </c>
      <c r="O3199">
        <v>31</v>
      </c>
      <c r="P3199" t="s">
        <v>26</v>
      </c>
    </row>
    <row r="3200" spans="1:16" x14ac:dyDescent="0.25">
      <c r="A3200" t="s">
        <v>7172</v>
      </c>
      <c r="B3200" t="s">
        <v>5456</v>
      </c>
      <c r="C3200" t="s">
        <v>18</v>
      </c>
      <c r="E3200" t="s">
        <v>44</v>
      </c>
      <c r="F3200" t="s">
        <v>21</v>
      </c>
      <c r="G3200" t="s">
        <v>22</v>
      </c>
      <c r="H3200" t="s">
        <v>23</v>
      </c>
      <c r="I3200" t="s">
        <v>57</v>
      </c>
      <c r="J3200" t="s">
        <v>7173</v>
      </c>
      <c r="K3200" t="s">
        <v>6184</v>
      </c>
      <c r="L3200">
        <v>4.5</v>
      </c>
      <c r="M3200">
        <v>749000</v>
      </c>
      <c r="N3200">
        <v>3.8</v>
      </c>
      <c r="O3200">
        <v>12</v>
      </c>
      <c r="P3200" t="s">
        <v>72</v>
      </c>
    </row>
    <row r="3201" spans="1:16" x14ac:dyDescent="0.25">
      <c r="A3201" t="s">
        <v>7174</v>
      </c>
      <c r="B3201" t="s">
        <v>7175</v>
      </c>
      <c r="C3201" t="s">
        <v>29</v>
      </c>
      <c r="D3201" t="s">
        <v>19</v>
      </c>
      <c r="E3201" t="s">
        <v>20</v>
      </c>
      <c r="F3201" t="s">
        <v>45</v>
      </c>
      <c r="G3201" t="s">
        <v>22</v>
      </c>
      <c r="H3201" t="s">
        <v>34</v>
      </c>
      <c r="I3201" t="s">
        <v>24</v>
      </c>
      <c r="J3201" t="s">
        <v>5971</v>
      </c>
      <c r="L3201">
        <v>3.8</v>
      </c>
      <c r="M3201">
        <v>1638000</v>
      </c>
      <c r="N3201">
        <v>4.9000000000000004</v>
      </c>
      <c r="O3201">
        <v>10</v>
      </c>
      <c r="P3201" t="s">
        <v>26</v>
      </c>
    </row>
    <row r="3202" spans="1:16" x14ac:dyDescent="0.25">
      <c r="A3202" t="s">
        <v>7176</v>
      </c>
      <c r="B3202" t="s">
        <v>3290</v>
      </c>
      <c r="C3202" t="s">
        <v>18</v>
      </c>
      <c r="D3202" t="s">
        <v>79</v>
      </c>
      <c r="E3202" t="s">
        <v>20</v>
      </c>
      <c r="F3202" t="s">
        <v>32</v>
      </c>
      <c r="G3202" t="s">
        <v>33</v>
      </c>
      <c r="H3202" t="s">
        <v>34</v>
      </c>
      <c r="I3202" t="s">
        <v>171</v>
      </c>
      <c r="J3202" t="s">
        <v>3396</v>
      </c>
      <c r="L3202">
        <v>2.4</v>
      </c>
      <c r="N3202">
        <v>4.4000000000000004</v>
      </c>
      <c r="O3202">
        <v>11</v>
      </c>
      <c r="P3202" t="s">
        <v>26</v>
      </c>
    </row>
    <row r="3203" spans="1:16" x14ac:dyDescent="0.25">
      <c r="A3203" t="s">
        <v>7177</v>
      </c>
      <c r="B3203" t="s">
        <v>4398</v>
      </c>
      <c r="C3203" t="s">
        <v>18</v>
      </c>
      <c r="D3203" t="s">
        <v>43</v>
      </c>
      <c r="E3203" t="s">
        <v>31</v>
      </c>
      <c r="F3203" t="s">
        <v>39</v>
      </c>
      <c r="G3203" t="s">
        <v>80</v>
      </c>
      <c r="H3203" t="s">
        <v>46</v>
      </c>
      <c r="I3203" t="s">
        <v>24</v>
      </c>
      <c r="J3203" t="s">
        <v>7178</v>
      </c>
      <c r="K3203" t="s">
        <v>1092</v>
      </c>
      <c r="L3203">
        <v>5.7</v>
      </c>
      <c r="M3203">
        <v>85000</v>
      </c>
      <c r="N3203">
        <v>3.5</v>
      </c>
      <c r="O3203">
        <v>10</v>
      </c>
      <c r="P3203" t="s">
        <v>53</v>
      </c>
    </row>
    <row r="3204" spans="1:16" x14ac:dyDescent="0.25">
      <c r="A3204" t="s">
        <v>7179</v>
      </c>
      <c r="B3204" t="s">
        <v>6505</v>
      </c>
      <c r="C3204" t="s">
        <v>18</v>
      </c>
      <c r="D3204" t="s">
        <v>79</v>
      </c>
      <c r="E3204" t="s">
        <v>44</v>
      </c>
      <c r="F3204" t="s">
        <v>32</v>
      </c>
      <c r="G3204" t="s">
        <v>80</v>
      </c>
      <c r="H3204" t="s">
        <v>23</v>
      </c>
      <c r="I3204" t="s">
        <v>24</v>
      </c>
      <c r="J3204" t="s">
        <v>1900</v>
      </c>
      <c r="K3204" t="s">
        <v>6489</v>
      </c>
      <c r="L3204">
        <v>5</v>
      </c>
      <c r="M3204">
        <v>201000</v>
      </c>
      <c r="N3204">
        <v>2.6</v>
      </c>
      <c r="O3204">
        <v>32</v>
      </c>
      <c r="P3204" t="s">
        <v>72</v>
      </c>
    </row>
    <row r="3205" spans="1:16" x14ac:dyDescent="0.25">
      <c r="A3205" t="s">
        <v>7180</v>
      </c>
      <c r="B3205" t="s">
        <v>6648</v>
      </c>
      <c r="D3205" t="s">
        <v>30</v>
      </c>
      <c r="E3205" t="s">
        <v>44</v>
      </c>
      <c r="F3205" t="s">
        <v>21</v>
      </c>
      <c r="G3205" t="s">
        <v>69</v>
      </c>
      <c r="H3205" t="s">
        <v>46</v>
      </c>
      <c r="I3205" t="s">
        <v>57</v>
      </c>
      <c r="J3205" t="s">
        <v>7181</v>
      </c>
      <c r="K3205" t="s">
        <v>6180</v>
      </c>
      <c r="L3205">
        <v>5.5</v>
      </c>
      <c r="M3205">
        <v>885000</v>
      </c>
      <c r="N3205">
        <v>3.8</v>
      </c>
      <c r="O3205">
        <v>6</v>
      </c>
      <c r="P3205" t="s">
        <v>72</v>
      </c>
    </row>
    <row r="3206" spans="1:16" x14ac:dyDescent="0.25">
      <c r="A3206" t="s">
        <v>7182</v>
      </c>
      <c r="B3206" t="s">
        <v>2594</v>
      </c>
      <c r="C3206" t="s">
        <v>29</v>
      </c>
      <c r="D3206" t="s">
        <v>50</v>
      </c>
      <c r="E3206" t="s">
        <v>44</v>
      </c>
      <c r="F3206" t="s">
        <v>32</v>
      </c>
      <c r="G3206" t="s">
        <v>33</v>
      </c>
      <c r="H3206" t="s">
        <v>23</v>
      </c>
      <c r="I3206" t="s">
        <v>24</v>
      </c>
      <c r="J3206" t="s">
        <v>1102</v>
      </c>
      <c r="K3206" t="s">
        <v>6906</v>
      </c>
      <c r="L3206">
        <v>2.5</v>
      </c>
      <c r="M3206">
        <v>296000</v>
      </c>
      <c r="N3206">
        <v>4.0999999999999996</v>
      </c>
      <c r="P3206" t="s">
        <v>53</v>
      </c>
    </row>
    <row r="3207" spans="1:16" x14ac:dyDescent="0.25">
      <c r="A3207" t="s">
        <v>7183</v>
      </c>
      <c r="B3207" t="s">
        <v>7184</v>
      </c>
      <c r="C3207" t="s">
        <v>29</v>
      </c>
      <c r="D3207" t="s">
        <v>50</v>
      </c>
      <c r="E3207" t="s">
        <v>20</v>
      </c>
      <c r="F3207" t="s">
        <v>39</v>
      </c>
      <c r="G3207" t="s">
        <v>33</v>
      </c>
      <c r="H3207" t="s">
        <v>46</v>
      </c>
      <c r="I3207" t="s">
        <v>35</v>
      </c>
      <c r="J3207" t="s">
        <v>6846</v>
      </c>
      <c r="L3207">
        <v>4.8</v>
      </c>
      <c r="N3207">
        <v>4.5999999999999996</v>
      </c>
      <c r="O3207">
        <v>27</v>
      </c>
      <c r="P3207" t="s">
        <v>26</v>
      </c>
    </row>
    <row r="3208" spans="1:16" x14ac:dyDescent="0.25">
      <c r="A3208" t="s">
        <v>7185</v>
      </c>
      <c r="B3208" t="s">
        <v>7186</v>
      </c>
      <c r="C3208" t="s">
        <v>29</v>
      </c>
      <c r="D3208" t="s">
        <v>79</v>
      </c>
      <c r="E3208" t="s">
        <v>20</v>
      </c>
      <c r="F3208" t="s">
        <v>21</v>
      </c>
      <c r="G3208" t="s">
        <v>22</v>
      </c>
      <c r="H3208" t="s">
        <v>23</v>
      </c>
      <c r="I3208" t="s">
        <v>24</v>
      </c>
      <c r="J3208" t="s">
        <v>5577</v>
      </c>
      <c r="L3208">
        <v>2.5</v>
      </c>
      <c r="M3208">
        <v>917000</v>
      </c>
      <c r="N3208">
        <v>3.7</v>
      </c>
      <c r="O3208">
        <v>8</v>
      </c>
      <c r="P3208" t="s">
        <v>26</v>
      </c>
    </row>
    <row r="3209" spans="1:16" x14ac:dyDescent="0.25">
      <c r="A3209" t="s">
        <v>7187</v>
      </c>
      <c r="B3209" t="s">
        <v>2249</v>
      </c>
      <c r="C3209" t="s">
        <v>29</v>
      </c>
      <c r="D3209" t="s">
        <v>50</v>
      </c>
      <c r="E3209" t="s">
        <v>20</v>
      </c>
      <c r="F3209" t="s">
        <v>32</v>
      </c>
      <c r="G3209" t="s">
        <v>69</v>
      </c>
      <c r="H3209" t="s">
        <v>23</v>
      </c>
      <c r="I3209" t="s">
        <v>57</v>
      </c>
      <c r="J3209" t="s">
        <v>1392</v>
      </c>
      <c r="K3209" t="s">
        <v>2085</v>
      </c>
      <c r="L3209">
        <v>2.7</v>
      </c>
      <c r="M3209">
        <v>302000</v>
      </c>
      <c r="N3209">
        <v>4.4000000000000004</v>
      </c>
      <c r="O3209">
        <v>32</v>
      </c>
      <c r="P3209" t="s">
        <v>72</v>
      </c>
    </row>
    <row r="3210" spans="1:16" x14ac:dyDescent="0.25">
      <c r="A3210" t="s">
        <v>7188</v>
      </c>
      <c r="B3210" t="s">
        <v>7189</v>
      </c>
      <c r="C3210" t="s">
        <v>29</v>
      </c>
      <c r="D3210" t="s">
        <v>79</v>
      </c>
      <c r="E3210" t="s">
        <v>44</v>
      </c>
      <c r="F3210" t="s">
        <v>128</v>
      </c>
      <c r="G3210" t="s">
        <v>69</v>
      </c>
      <c r="H3210" t="s">
        <v>23</v>
      </c>
      <c r="I3210" t="s">
        <v>24</v>
      </c>
      <c r="J3210" t="s">
        <v>2337</v>
      </c>
      <c r="L3210">
        <v>2.6</v>
      </c>
      <c r="M3210">
        <v>519000</v>
      </c>
      <c r="N3210">
        <v>3.3</v>
      </c>
      <c r="O3210">
        <v>14</v>
      </c>
      <c r="P3210" t="s">
        <v>26</v>
      </c>
    </row>
    <row r="3211" spans="1:16" x14ac:dyDescent="0.25">
      <c r="A3211" t="s">
        <v>7190</v>
      </c>
      <c r="B3211" t="s">
        <v>1436</v>
      </c>
      <c r="C3211" t="s">
        <v>18</v>
      </c>
      <c r="D3211" t="s">
        <v>30</v>
      </c>
      <c r="E3211" t="s">
        <v>44</v>
      </c>
      <c r="F3211" t="s">
        <v>128</v>
      </c>
      <c r="G3211" t="s">
        <v>80</v>
      </c>
      <c r="H3211" t="s">
        <v>46</v>
      </c>
      <c r="I3211" t="s">
        <v>24</v>
      </c>
      <c r="J3211" t="s">
        <v>7178</v>
      </c>
      <c r="L3211">
        <v>5.7</v>
      </c>
      <c r="M3211">
        <v>503000</v>
      </c>
      <c r="N3211">
        <v>3.2</v>
      </c>
      <c r="O3211">
        <v>4</v>
      </c>
      <c r="P3211" t="s">
        <v>26</v>
      </c>
    </row>
    <row r="3212" spans="1:16" x14ac:dyDescent="0.25">
      <c r="A3212" t="s">
        <v>7191</v>
      </c>
      <c r="B3212" t="s">
        <v>4561</v>
      </c>
      <c r="C3212" t="s">
        <v>29</v>
      </c>
      <c r="D3212" t="s">
        <v>50</v>
      </c>
      <c r="E3212" t="s">
        <v>20</v>
      </c>
      <c r="F3212" t="s">
        <v>39</v>
      </c>
      <c r="G3212" t="s">
        <v>22</v>
      </c>
      <c r="H3212" t="s">
        <v>34</v>
      </c>
      <c r="I3212" t="s">
        <v>75</v>
      </c>
      <c r="J3212" t="s">
        <v>5137</v>
      </c>
      <c r="L3212">
        <v>6.1</v>
      </c>
      <c r="M3212">
        <v>144000</v>
      </c>
      <c r="N3212">
        <v>2.2999999999999998</v>
      </c>
      <c r="O3212">
        <v>13</v>
      </c>
      <c r="P3212" t="s">
        <v>26</v>
      </c>
    </row>
    <row r="3213" spans="1:16" x14ac:dyDescent="0.25">
      <c r="A3213" t="s">
        <v>7192</v>
      </c>
      <c r="B3213" t="s">
        <v>1374</v>
      </c>
      <c r="C3213" t="s">
        <v>18</v>
      </c>
      <c r="F3213" t="s">
        <v>32</v>
      </c>
      <c r="G3213" t="s">
        <v>22</v>
      </c>
      <c r="H3213" t="s">
        <v>23</v>
      </c>
      <c r="I3213" t="s">
        <v>57</v>
      </c>
      <c r="J3213" t="s">
        <v>6113</v>
      </c>
      <c r="K3213" t="s">
        <v>7193</v>
      </c>
      <c r="L3213">
        <v>2.9</v>
      </c>
      <c r="M3213">
        <v>234000</v>
      </c>
      <c r="N3213">
        <v>3.3</v>
      </c>
      <c r="O3213">
        <v>11</v>
      </c>
      <c r="P3213" t="s">
        <v>53</v>
      </c>
    </row>
    <row r="3214" spans="1:16" x14ac:dyDescent="0.25">
      <c r="A3214" t="s">
        <v>7194</v>
      </c>
      <c r="B3214" t="s">
        <v>7195</v>
      </c>
      <c r="C3214" t="s">
        <v>18</v>
      </c>
      <c r="D3214" t="s">
        <v>19</v>
      </c>
      <c r="E3214" t="s">
        <v>20</v>
      </c>
      <c r="F3214" t="s">
        <v>39</v>
      </c>
      <c r="G3214" t="s">
        <v>80</v>
      </c>
      <c r="I3214" t="s">
        <v>171</v>
      </c>
      <c r="J3214" t="s">
        <v>3561</v>
      </c>
      <c r="L3214">
        <v>2</v>
      </c>
      <c r="M3214">
        <v>159000</v>
      </c>
      <c r="N3214">
        <v>2.5</v>
      </c>
      <c r="O3214">
        <v>3</v>
      </c>
      <c r="P3214" t="s">
        <v>26</v>
      </c>
    </row>
    <row r="3215" spans="1:16" x14ac:dyDescent="0.25">
      <c r="A3215" t="s">
        <v>7196</v>
      </c>
      <c r="B3215" t="s">
        <v>7197</v>
      </c>
      <c r="C3215" t="s">
        <v>18</v>
      </c>
      <c r="D3215" t="s">
        <v>30</v>
      </c>
      <c r="E3215" t="s">
        <v>20</v>
      </c>
      <c r="F3215" t="s">
        <v>39</v>
      </c>
      <c r="G3215" t="s">
        <v>22</v>
      </c>
      <c r="H3215" t="s">
        <v>34</v>
      </c>
      <c r="I3215" t="s">
        <v>24</v>
      </c>
      <c r="J3215" t="s">
        <v>5488</v>
      </c>
      <c r="K3215" t="s">
        <v>1199</v>
      </c>
      <c r="L3215">
        <v>3.3</v>
      </c>
      <c r="N3215">
        <v>3</v>
      </c>
      <c r="O3215">
        <v>5</v>
      </c>
      <c r="P3215" t="s">
        <v>114</v>
      </c>
    </row>
    <row r="3216" spans="1:16" x14ac:dyDescent="0.25">
      <c r="A3216" t="s">
        <v>7198</v>
      </c>
      <c r="B3216" t="s">
        <v>6295</v>
      </c>
      <c r="C3216" t="s">
        <v>29</v>
      </c>
      <c r="D3216" t="s">
        <v>43</v>
      </c>
      <c r="E3216" t="s">
        <v>31</v>
      </c>
      <c r="F3216" t="s">
        <v>21</v>
      </c>
      <c r="G3216" t="s">
        <v>22</v>
      </c>
      <c r="H3216" t="s">
        <v>46</v>
      </c>
      <c r="I3216" t="s">
        <v>35</v>
      </c>
      <c r="J3216" t="s">
        <v>7199</v>
      </c>
      <c r="L3216">
        <v>4.8</v>
      </c>
      <c r="M3216">
        <v>772000</v>
      </c>
      <c r="N3216">
        <v>4.3</v>
      </c>
      <c r="O3216">
        <v>10</v>
      </c>
      <c r="P3216" t="s">
        <v>26</v>
      </c>
    </row>
    <row r="3217" spans="1:16" x14ac:dyDescent="0.25">
      <c r="A3217" t="s">
        <v>7200</v>
      </c>
      <c r="B3217" t="s">
        <v>7201</v>
      </c>
      <c r="C3217" t="s">
        <v>18</v>
      </c>
      <c r="D3217" t="s">
        <v>30</v>
      </c>
      <c r="E3217" t="s">
        <v>20</v>
      </c>
      <c r="F3217" t="s">
        <v>32</v>
      </c>
      <c r="G3217" t="s">
        <v>80</v>
      </c>
      <c r="H3217" t="s">
        <v>23</v>
      </c>
      <c r="I3217" t="s">
        <v>57</v>
      </c>
      <c r="J3217" t="s">
        <v>324</v>
      </c>
      <c r="L3217">
        <v>1.5</v>
      </c>
      <c r="M3217">
        <v>273000</v>
      </c>
      <c r="N3217">
        <v>3.6</v>
      </c>
      <c r="O3217">
        <v>5</v>
      </c>
      <c r="P3217" t="s">
        <v>26</v>
      </c>
    </row>
    <row r="3218" spans="1:16" x14ac:dyDescent="0.25">
      <c r="A3218" t="s">
        <v>7202</v>
      </c>
      <c r="B3218" t="s">
        <v>294</v>
      </c>
      <c r="C3218" t="s">
        <v>18</v>
      </c>
      <c r="D3218" t="s">
        <v>79</v>
      </c>
      <c r="E3218" t="s">
        <v>44</v>
      </c>
      <c r="F3218" t="s">
        <v>128</v>
      </c>
      <c r="G3218" t="s">
        <v>22</v>
      </c>
      <c r="H3218" t="s">
        <v>46</v>
      </c>
      <c r="I3218" t="s">
        <v>57</v>
      </c>
      <c r="J3218" t="s">
        <v>5372</v>
      </c>
      <c r="L3218">
        <v>2</v>
      </c>
      <c r="M3218">
        <v>406000</v>
      </c>
      <c r="N3218">
        <v>2</v>
      </c>
      <c r="O3218">
        <v>6</v>
      </c>
      <c r="P3218" t="s">
        <v>26</v>
      </c>
    </row>
    <row r="3219" spans="1:16" x14ac:dyDescent="0.25">
      <c r="A3219" t="s">
        <v>7203</v>
      </c>
      <c r="B3219" t="s">
        <v>728</v>
      </c>
      <c r="C3219" t="s">
        <v>29</v>
      </c>
      <c r="D3219" t="s">
        <v>30</v>
      </c>
      <c r="E3219" t="s">
        <v>44</v>
      </c>
      <c r="F3219" t="s">
        <v>128</v>
      </c>
      <c r="G3219" t="s">
        <v>80</v>
      </c>
      <c r="H3219" t="s">
        <v>23</v>
      </c>
      <c r="I3219" t="s">
        <v>24</v>
      </c>
      <c r="J3219" t="s">
        <v>7204</v>
      </c>
      <c r="L3219">
        <v>3.4</v>
      </c>
      <c r="M3219">
        <v>523000</v>
      </c>
      <c r="N3219">
        <v>4.2</v>
      </c>
      <c r="O3219">
        <v>0</v>
      </c>
      <c r="P3219" t="s">
        <v>26</v>
      </c>
    </row>
    <row r="3220" spans="1:16" x14ac:dyDescent="0.25">
      <c r="A3220" t="s">
        <v>7205</v>
      </c>
      <c r="B3220" t="s">
        <v>778</v>
      </c>
      <c r="C3220" t="s">
        <v>18</v>
      </c>
      <c r="D3220" t="s">
        <v>50</v>
      </c>
      <c r="E3220" t="s">
        <v>20</v>
      </c>
      <c r="F3220" t="s">
        <v>32</v>
      </c>
      <c r="G3220" t="s">
        <v>33</v>
      </c>
      <c r="H3220" t="s">
        <v>34</v>
      </c>
      <c r="I3220" t="s">
        <v>57</v>
      </c>
      <c r="J3220" t="s">
        <v>1908</v>
      </c>
      <c r="K3220" t="s">
        <v>1551</v>
      </c>
      <c r="L3220">
        <v>3.9</v>
      </c>
      <c r="M3220">
        <v>202000</v>
      </c>
      <c r="N3220">
        <v>3.4</v>
      </c>
      <c r="O3220">
        <v>0</v>
      </c>
      <c r="P3220" t="s">
        <v>53</v>
      </c>
    </row>
    <row r="3221" spans="1:16" x14ac:dyDescent="0.25">
      <c r="A3221" t="s">
        <v>7206</v>
      </c>
      <c r="B3221" t="s">
        <v>2202</v>
      </c>
      <c r="D3221" t="s">
        <v>50</v>
      </c>
      <c r="E3221" t="s">
        <v>20</v>
      </c>
      <c r="F3221" t="s">
        <v>32</v>
      </c>
      <c r="G3221" t="s">
        <v>69</v>
      </c>
      <c r="H3221" t="s">
        <v>46</v>
      </c>
      <c r="I3221" t="s">
        <v>24</v>
      </c>
      <c r="J3221" t="s">
        <v>306</v>
      </c>
      <c r="L3221">
        <v>1.5</v>
      </c>
      <c r="M3221">
        <v>215000</v>
      </c>
      <c r="N3221">
        <v>4.5</v>
      </c>
      <c r="O3221">
        <v>7</v>
      </c>
      <c r="P3221" t="s">
        <v>26</v>
      </c>
    </row>
    <row r="3222" spans="1:16" x14ac:dyDescent="0.25">
      <c r="A3222" t="s">
        <v>7207</v>
      </c>
      <c r="B3222" t="s">
        <v>380</v>
      </c>
      <c r="C3222" t="s">
        <v>29</v>
      </c>
      <c r="D3222" t="s">
        <v>19</v>
      </c>
      <c r="E3222" t="s">
        <v>20</v>
      </c>
      <c r="F3222" t="s">
        <v>128</v>
      </c>
      <c r="G3222" t="s">
        <v>22</v>
      </c>
      <c r="H3222" t="s">
        <v>23</v>
      </c>
      <c r="I3222" t="s">
        <v>35</v>
      </c>
      <c r="J3222" t="s">
        <v>140</v>
      </c>
      <c r="L3222">
        <v>3.1</v>
      </c>
      <c r="M3222">
        <v>445000</v>
      </c>
      <c r="O3222">
        <v>9</v>
      </c>
      <c r="P3222" t="s">
        <v>26</v>
      </c>
    </row>
    <row r="3223" spans="1:16" x14ac:dyDescent="0.25">
      <c r="A3223" t="s">
        <v>7208</v>
      </c>
      <c r="B3223" t="s">
        <v>7209</v>
      </c>
      <c r="C3223" t="s">
        <v>18</v>
      </c>
      <c r="D3223" t="s">
        <v>30</v>
      </c>
      <c r="E3223" t="s">
        <v>31</v>
      </c>
      <c r="F3223" t="s">
        <v>39</v>
      </c>
      <c r="G3223" t="s">
        <v>33</v>
      </c>
      <c r="H3223" t="s">
        <v>23</v>
      </c>
      <c r="I3223" t="s">
        <v>24</v>
      </c>
      <c r="J3223" t="s">
        <v>2576</v>
      </c>
      <c r="L3223">
        <v>1.8</v>
      </c>
      <c r="M3223">
        <v>133000</v>
      </c>
      <c r="N3223">
        <v>1.7</v>
      </c>
      <c r="O3223">
        <v>12</v>
      </c>
      <c r="P3223" t="s">
        <v>26</v>
      </c>
    </row>
    <row r="3224" spans="1:16" x14ac:dyDescent="0.25">
      <c r="A3224" t="s">
        <v>7210</v>
      </c>
      <c r="B3224" t="s">
        <v>7211</v>
      </c>
      <c r="C3224" t="s">
        <v>29</v>
      </c>
      <c r="D3224" t="s">
        <v>79</v>
      </c>
      <c r="E3224" t="s">
        <v>20</v>
      </c>
      <c r="F3224" t="s">
        <v>32</v>
      </c>
      <c r="G3224" t="s">
        <v>33</v>
      </c>
      <c r="H3224" t="s">
        <v>23</v>
      </c>
      <c r="I3224" t="s">
        <v>75</v>
      </c>
      <c r="J3224" t="s">
        <v>1510</v>
      </c>
      <c r="K3224" t="s">
        <v>6350</v>
      </c>
      <c r="L3224">
        <v>1.5</v>
      </c>
      <c r="M3224">
        <v>192000</v>
      </c>
      <c r="N3224">
        <v>4.9000000000000004</v>
      </c>
      <c r="O3224">
        <v>12</v>
      </c>
      <c r="P3224" t="s">
        <v>72</v>
      </c>
    </row>
    <row r="3225" spans="1:16" x14ac:dyDescent="0.25">
      <c r="A3225" t="s">
        <v>7212</v>
      </c>
      <c r="B3225" t="s">
        <v>2331</v>
      </c>
      <c r="C3225" t="s">
        <v>29</v>
      </c>
      <c r="D3225" t="s">
        <v>50</v>
      </c>
      <c r="E3225" t="s">
        <v>31</v>
      </c>
      <c r="F3225" t="s">
        <v>39</v>
      </c>
      <c r="G3225" t="s">
        <v>33</v>
      </c>
      <c r="H3225" t="s">
        <v>23</v>
      </c>
      <c r="I3225" t="s">
        <v>57</v>
      </c>
      <c r="J3225" t="s">
        <v>7213</v>
      </c>
      <c r="L3225">
        <v>2.6</v>
      </c>
      <c r="M3225">
        <v>93000</v>
      </c>
      <c r="N3225">
        <v>4.5</v>
      </c>
      <c r="O3225">
        <v>3</v>
      </c>
      <c r="P3225" t="s">
        <v>26</v>
      </c>
    </row>
    <row r="3226" spans="1:16" x14ac:dyDescent="0.25">
      <c r="A3226" t="s">
        <v>3856</v>
      </c>
      <c r="B3226" t="s">
        <v>1036</v>
      </c>
      <c r="C3226" t="s">
        <v>29</v>
      </c>
      <c r="D3226" t="s">
        <v>30</v>
      </c>
      <c r="E3226" t="s">
        <v>20</v>
      </c>
      <c r="F3226" t="s">
        <v>32</v>
      </c>
      <c r="G3226" t="s">
        <v>22</v>
      </c>
      <c r="H3226" t="s">
        <v>34</v>
      </c>
      <c r="I3226" t="s">
        <v>24</v>
      </c>
      <c r="J3226" t="s">
        <v>2831</v>
      </c>
      <c r="K3226" t="s">
        <v>3857</v>
      </c>
      <c r="L3226">
        <v>3</v>
      </c>
      <c r="M3226">
        <v>290000</v>
      </c>
      <c r="N3226">
        <v>4.0999999999999996</v>
      </c>
      <c r="O3226">
        <v>1</v>
      </c>
      <c r="P3226" t="s">
        <v>72</v>
      </c>
    </row>
    <row r="3227" spans="1:16" x14ac:dyDescent="0.25">
      <c r="A3227" t="s">
        <v>7214</v>
      </c>
      <c r="B3227" t="s">
        <v>356</v>
      </c>
      <c r="D3227" t="s">
        <v>30</v>
      </c>
      <c r="E3227" t="s">
        <v>20</v>
      </c>
      <c r="F3227" t="s">
        <v>128</v>
      </c>
      <c r="G3227" t="s">
        <v>80</v>
      </c>
      <c r="H3227" t="s">
        <v>46</v>
      </c>
      <c r="I3227" t="s">
        <v>57</v>
      </c>
      <c r="J3227" t="s">
        <v>917</v>
      </c>
      <c r="K3227" t="s">
        <v>6877</v>
      </c>
      <c r="L3227">
        <v>6</v>
      </c>
      <c r="N3227">
        <v>3.4</v>
      </c>
      <c r="O3227">
        <v>0</v>
      </c>
      <c r="P3227" t="s">
        <v>114</v>
      </c>
    </row>
    <row r="3228" spans="1:16" x14ac:dyDescent="0.25">
      <c r="A3228" t="s">
        <v>7215</v>
      </c>
      <c r="B3228" t="s">
        <v>123</v>
      </c>
      <c r="C3228" t="s">
        <v>29</v>
      </c>
      <c r="D3228" t="s">
        <v>30</v>
      </c>
      <c r="E3228" t="s">
        <v>20</v>
      </c>
      <c r="F3228" t="s">
        <v>39</v>
      </c>
      <c r="G3228" t="s">
        <v>69</v>
      </c>
      <c r="H3228" t="s">
        <v>34</v>
      </c>
      <c r="I3228" t="s">
        <v>24</v>
      </c>
      <c r="J3228" t="s">
        <v>1474</v>
      </c>
      <c r="L3228">
        <v>4.9000000000000004</v>
      </c>
      <c r="M3228">
        <v>157000</v>
      </c>
      <c r="N3228">
        <v>2.8</v>
      </c>
      <c r="O3228">
        <v>33</v>
      </c>
      <c r="P3228" t="s">
        <v>26</v>
      </c>
    </row>
    <row r="3229" spans="1:16" x14ac:dyDescent="0.25">
      <c r="A3229" t="s">
        <v>7216</v>
      </c>
      <c r="B3229" t="s">
        <v>7217</v>
      </c>
      <c r="C3229" t="s">
        <v>29</v>
      </c>
      <c r="D3229" t="s">
        <v>79</v>
      </c>
      <c r="E3229" t="s">
        <v>31</v>
      </c>
      <c r="F3229" t="s">
        <v>39</v>
      </c>
      <c r="G3229" t="s">
        <v>69</v>
      </c>
      <c r="H3229" t="s">
        <v>34</v>
      </c>
      <c r="I3229" t="s">
        <v>35</v>
      </c>
      <c r="J3229" t="s">
        <v>6201</v>
      </c>
      <c r="K3229" t="s">
        <v>2807</v>
      </c>
      <c r="L3229">
        <v>2</v>
      </c>
      <c r="M3229">
        <v>103000</v>
      </c>
      <c r="N3229">
        <v>2.4</v>
      </c>
      <c r="O3229">
        <v>37</v>
      </c>
      <c r="P3229" t="s">
        <v>53</v>
      </c>
    </row>
    <row r="3230" spans="1:16" x14ac:dyDescent="0.25">
      <c r="A3230" t="s">
        <v>7218</v>
      </c>
      <c r="B3230" t="s">
        <v>3399</v>
      </c>
      <c r="C3230" t="s">
        <v>18</v>
      </c>
      <c r="D3230" t="s">
        <v>30</v>
      </c>
      <c r="E3230" t="s">
        <v>20</v>
      </c>
      <c r="F3230" t="s">
        <v>32</v>
      </c>
      <c r="G3230" t="s">
        <v>80</v>
      </c>
      <c r="H3230" t="s">
        <v>34</v>
      </c>
      <c r="I3230" t="s">
        <v>24</v>
      </c>
      <c r="J3230" t="s">
        <v>967</v>
      </c>
      <c r="L3230">
        <v>1.9</v>
      </c>
      <c r="M3230">
        <v>282000</v>
      </c>
      <c r="N3230">
        <v>4.2</v>
      </c>
      <c r="O3230">
        <v>3</v>
      </c>
      <c r="P3230" t="s">
        <v>26</v>
      </c>
    </row>
    <row r="3231" spans="1:16" x14ac:dyDescent="0.25">
      <c r="A3231" t="s">
        <v>7219</v>
      </c>
      <c r="B3231" t="s">
        <v>2890</v>
      </c>
      <c r="C3231" t="s">
        <v>18</v>
      </c>
      <c r="D3231" t="s">
        <v>50</v>
      </c>
      <c r="E3231" t="s">
        <v>20</v>
      </c>
      <c r="F3231" t="s">
        <v>32</v>
      </c>
      <c r="G3231" t="s">
        <v>33</v>
      </c>
      <c r="H3231" t="s">
        <v>34</v>
      </c>
      <c r="I3231" t="s">
        <v>35</v>
      </c>
      <c r="J3231" t="s">
        <v>6453</v>
      </c>
      <c r="L3231">
        <v>1.8</v>
      </c>
      <c r="M3231">
        <v>316000</v>
      </c>
      <c r="N3231">
        <v>3.1</v>
      </c>
      <c r="O3231">
        <v>15</v>
      </c>
      <c r="P3231" t="s">
        <v>26</v>
      </c>
    </row>
    <row r="3232" spans="1:16" x14ac:dyDescent="0.25">
      <c r="A3232" t="s">
        <v>7220</v>
      </c>
      <c r="B3232" t="s">
        <v>7221</v>
      </c>
      <c r="C3232" t="s">
        <v>29</v>
      </c>
      <c r="D3232" t="s">
        <v>50</v>
      </c>
      <c r="E3232" t="s">
        <v>44</v>
      </c>
      <c r="F3232" t="s">
        <v>32</v>
      </c>
      <c r="G3232" t="s">
        <v>22</v>
      </c>
      <c r="H3232" t="s">
        <v>23</v>
      </c>
      <c r="I3232" t="s">
        <v>57</v>
      </c>
      <c r="J3232" t="s">
        <v>1860</v>
      </c>
      <c r="K3232" t="s">
        <v>5917</v>
      </c>
      <c r="L3232">
        <v>5</v>
      </c>
      <c r="M3232">
        <v>251000</v>
      </c>
      <c r="N3232">
        <v>2.2999999999999998</v>
      </c>
      <c r="O3232">
        <v>14</v>
      </c>
      <c r="P3232" t="s">
        <v>53</v>
      </c>
    </row>
    <row r="3233" spans="1:16" x14ac:dyDescent="0.25">
      <c r="A3233" t="s">
        <v>7222</v>
      </c>
      <c r="B3233" t="s">
        <v>3531</v>
      </c>
      <c r="C3233" t="s">
        <v>18</v>
      </c>
      <c r="D3233" t="s">
        <v>50</v>
      </c>
      <c r="E3233" t="s">
        <v>44</v>
      </c>
      <c r="F3233" t="s">
        <v>128</v>
      </c>
      <c r="G3233" t="s">
        <v>22</v>
      </c>
      <c r="H3233" t="s">
        <v>46</v>
      </c>
      <c r="I3233" t="s">
        <v>24</v>
      </c>
      <c r="J3233" t="s">
        <v>6600</v>
      </c>
      <c r="L3233">
        <v>6.2</v>
      </c>
      <c r="M3233">
        <v>396000</v>
      </c>
      <c r="N3233">
        <v>2.1</v>
      </c>
      <c r="O3233">
        <v>2</v>
      </c>
      <c r="P3233" t="s">
        <v>26</v>
      </c>
    </row>
    <row r="3234" spans="1:16" x14ac:dyDescent="0.25">
      <c r="A3234" t="s">
        <v>7223</v>
      </c>
      <c r="B3234" t="s">
        <v>7224</v>
      </c>
      <c r="C3234" t="s">
        <v>18</v>
      </c>
      <c r="D3234" t="s">
        <v>30</v>
      </c>
      <c r="E3234" t="s">
        <v>20</v>
      </c>
      <c r="F3234" t="s">
        <v>21</v>
      </c>
      <c r="G3234" t="s">
        <v>33</v>
      </c>
      <c r="H3234" t="s">
        <v>34</v>
      </c>
      <c r="I3234" t="s">
        <v>75</v>
      </c>
      <c r="J3234" t="s">
        <v>688</v>
      </c>
      <c r="K3234" t="s">
        <v>1115</v>
      </c>
      <c r="L3234">
        <v>6</v>
      </c>
      <c r="M3234">
        <v>727000</v>
      </c>
      <c r="N3234">
        <v>4.9000000000000004</v>
      </c>
      <c r="O3234">
        <v>31</v>
      </c>
      <c r="P3234" t="s">
        <v>53</v>
      </c>
    </row>
    <row r="3235" spans="1:16" x14ac:dyDescent="0.25">
      <c r="A3235" t="s">
        <v>7225</v>
      </c>
      <c r="B3235" t="s">
        <v>5360</v>
      </c>
      <c r="C3235" t="s">
        <v>29</v>
      </c>
      <c r="D3235" t="s">
        <v>79</v>
      </c>
      <c r="E3235" t="s">
        <v>31</v>
      </c>
      <c r="F3235" t="s">
        <v>128</v>
      </c>
      <c r="G3235" t="s">
        <v>22</v>
      </c>
      <c r="H3235" t="s">
        <v>23</v>
      </c>
      <c r="I3235" t="s">
        <v>57</v>
      </c>
      <c r="J3235" t="s">
        <v>3889</v>
      </c>
      <c r="K3235" t="s">
        <v>4952</v>
      </c>
      <c r="L3235">
        <v>5.2</v>
      </c>
      <c r="M3235">
        <v>477000</v>
      </c>
      <c r="N3235">
        <v>4.3</v>
      </c>
      <c r="O3235">
        <v>13</v>
      </c>
      <c r="P3235" t="s">
        <v>53</v>
      </c>
    </row>
    <row r="3236" spans="1:16" x14ac:dyDescent="0.25">
      <c r="A3236" t="s">
        <v>7226</v>
      </c>
      <c r="B3236" t="s">
        <v>5844</v>
      </c>
      <c r="C3236" t="s">
        <v>18</v>
      </c>
      <c r="D3236" t="s">
        <v>43</v>
      </c>
      <c r="E3236" t="s">
        <v>20</v>
      </c>
      <c r="F3236" t="s">
        <v>32</v>
      </c>
      <c r="G3236" t="s">
        <v>22</v>
      </c>
      <c r="H3236" t="s">
        <v>46</v>
      </c>
      <c r="I3236" t="s">
        <v>35</v>
      </c>
      <c r="J3236" t="s">
        <v>1959</v>
      </c>
      <c r="K3236" t="s">
        <v>487</v>
      </c>
      <c r="L3236">
        <v>4.4000000000000004</v>
      </c>
      <c r="M3236">
        <v>198000</v>
      </c>
      <c r="N3236">
        <v>4.5</v>
      </c>
      <c r="O3236">
        <v>3</v>
      </c>
      <c r="P3236" t="s">
        <v>53</v>
      </c>
    </row>
    <row r="3237" spans="1:16" x14ac:dyDescent="0.25">
      <c r="A3237" t="s">
        <v>7227</v>
      </c>
      <c r="B3237" t="s">
        <v>2630</v>
      </c>
      <c r="C3237" t="s">
        <v>29</v>
      </c>
      <c r="D3237" t="s">
        <v>43</v>
      </c>
      <c r="E3237" t="s">
        <v>20</v>
      </c>
      <c r="F3237" t="s">
        <v>128</v>
      </c>
      <c r="G3237" t="s">
        <v>22</v>
      </c>
      <c r="H3237" t="s">
        <v>62</v>
      </c>
      <c r="I3237" t="s">
        <v>57</v>
      </c>
      <c r="J3237" t="s">
        <v>4631</v>
      </c>
      <c r="L3237">
        <v>3.6</v>
      </c>
      <c r="M3237">
        <v>532000</v>
      </c>
      <c r="N3237">
        <v>3.6</v>
      </c>
      <c r="O3237">
        <v>5</v>
      </c>
      <c r="P3237" t="s">
        <v>26</v>
      </c>
    </row>
    <row r="3238" spans="1:16" x14ac:dyDescent="0.25">
      <c r="A3238" t="s">
        <v>7228</v>
      </c>
      <c r="B3238" t="s">
        <v>2068</v>
      </c>
      <c r="C3238" t="s">
        <v>29</v>
      </c>
      <c r="D3238" t="s">
        <v>30</v>
      </c>
      <c r="E3238" t="s">
        <v>20</v>
      </c>
      <c r="F3238" t="s">
        <v>128</v>
      </c>
      <c r="G3238" t="s">
        <v>22</v>
      </c>
      <c r="H3238" t="s">
        <v>46</v>
      </c>
      <c r="I3238" t="s">
        <v>57</v>
      </c>
      <c r="J3238" t="s">
        <v>1897</v>
      </c>
      <c r="K3238" t="s">
        <v>847</v>
      </c>
      <c r="L3238">
        <v>5.9</v>
      </c>
      <c r="M3238">
        <v>381000</v>
      </c>
      <c r="N3238">
        <v>3.8</v>
      </c>
      <c r="P3238" t="s">
        <v>114</v>
      </c>
    </row>
    <row r="3239" spans="1:16" x14ac:dyDescent="0.25">
      <c r="A3239" t="s">
        <v>7229</v>
      </c>
      <c r="B3239" t="s">
        <v>1635</v>
      </c>
      <c r="C3239" t="s">
        <v>29</v>
      </c>
      <c r="D3239" t="s">
        <v>79</v>
      </c>
      <c r="E3239" t="s">
        <v>31</v>
      </c>
      <c r="F3239" t="s">
        <v>32</v>
      </c>
      <c r="G3239" t="s">
        <v>33</v>
      </c>
      <c r="H3239" t="s">
        <v>34</v>
      </c>
      <c r="I3239" t="s">
        <v>57</v>
      </c>
      <c r="J3239" t="s">
        <v>487</v>
      </c>
      <c r="K3239" t="s">
        <v>4875</v>
      </c>
      <c r="L3239">
        <v>1.9</v>
      </c>
      <c r="M3239">
        <v>327000</v>
      </c>
      <c r="N3239">
        <v>3.1</v>
      </c>
      <c r="O3239">
        <v>13</v>
      </c>
      <c r="P3239" t="s">
        <v>72</v>
      </c>
    </row>
    <row r="3240" spans="1:16" x14ac:dyDescent="0.25">
      <c r="A3240" t="s">
        <v>7230</v>
      </c>
      <c r="B3240" t="s">
        <v>2028</v>
      </c>
      <c r="C3240" t="s">
        <v>18</v>
      </c>
      <c r="D3240" t="s">
        <v>19</v>
      </c>
      <c r="E3240" t="s">
        <v>44</v>
      </c>
      <c r="F3240" t="s">
        <v>32</v>
      </c>
      <c r="G3240" t="s">
        <v>33</v>
      </c>
      <c r="H3240" t="s">
        <v>62</v>
      </c>
      <c r="I3240" t="s">
        <v>24</v>
      </c>
      <c r="J3240" t="s">
        <v>2568</v>
      </c>
      <c r="K3240" t="s">
        <v>5017</v>
      </c>
      <c r="L3240">
        <v>1.3</v>
      </c>
      <c r="M3240">
        <v>215000</v>
      </c>
      <c r="N3240">
        <v>4.0999999999999996</v>
      </c>
      <c r="O3240">
        <v>0</v>
      </c>
      <c r="P3240" t="s">
        <v>114</v>
      </c>
    </row>
    <row r="3241" spans="1:16" x14ac:dyDescent="0.25">
      <c r="A3241" t="s">
        <v>7231</v>
      </c>
      <c r="B3241" t="s">
        <v>7232</v>
      </c>
      <c r="C3241" t="s">
        <v>18</v>
      </c>
      <c r="D3241" t="s">
        <v>50</v>
      </c>
      <c r="E3241" t="s">
        <v>20</v>
      </c>
      <c r="F3241" t="s">
        <v>32</v>
      </c>
      <c r="G3241" t="s">
        <v>22</v>
      </c>
      <c r="H3241" t="s">
        <v>23</v>
      </c>
      <c r="I3241" t="s">
        <v>171</v>
      </c>
      <c r="J3241" t="s">
        <v>997</v>
      </c>
      <c r="L3241">
        <v>2.1</v>
      </c>
      <c r="M3241">
        <v>311000</v>
      </c>
      <c r="N3241">
        <v>4.4000000000000004</v>
      </c>
      <c r="O3241">
        <v>11</v>
      </c>
      <c r="P3241" t="s">
        <v>26</v>
      </c>
    </row>
    <row r="3242" spans="1:16" x14ac:dyDescent="0.25">
      <c r="A3242" t="s">
        <v>7233</v>
      </c>
      <c r="B3242" t="s">
        <v>608</v>
      </c>
      <c r="C3242" t="s">
        <v>29</v>
      </c>
      <c r="D3242" t="s">
        <v>19</v>
      </c>
      <c r="E3242" t="s">
        <v>20</v>
      </c>
      <c r="G3242" t="s">
        <v>22</v>
      </c>
      <c r="H3242" t="s">
        <v>46</v>
      </c>
      <c r="I3242" t="s">
        <v>24</v>
      </c>
      <c r="J3242" t="s">
        <v>4684</v>
      </c>
      <c r="K3242" t="s">
        <v>7234</v>
      </c>
      <c r="L3242">
        <v>5</v>
      </c>
      <c r="M3242">
        <v>385000</v>
      </c>
      <c r="N3242">
        <v>4.9000000000000004</v>
      </c>
      <c r="O3242">
        <v>24</v>
      </c>
      <c r="P3242" t="s">
        <v>53</v>
      </c>
    </row>
    <row r="3243" spans="1:16" x14ac:dyDescent="0.25">
      <c r="A3243" t="s">
        <v>7235</v>
      </c>
      <c r="B3243" t="s">
        <v>6651</v>
      </c>
      <c r="C3243" t="s">
        <v>29</v>
      </c>
      <c r="D3243" t="s">
        <v>30</v>
      </c>
      <c r="E3243" t="s">
        <v>44</v>
      </c>
      <c r="F3243" t="s">
        <v>21</v>
      </c>
      <c r="G3243" t="s">
        <v>80</v>
      </c>
      <c r="H3243" t="s">
        <v>34</v>
      </c>
      <c r="I3243" t="s">
        <v>24</v>
      </c>
      <c r="J3243" t="s">
        <v>1333</v>
      </c>
      <c r="K3243" t="s">
        <v>7236</v>
      </c>
      <c r="L3243">
        <v>5</v>
      </c>
      <c r="M3243">
        <v>800000</v>
      </c>
      <c r="N3243">
        <v>4.4000000000000004</v>
      </c>
      <c r="O3243">
        <v>0</v>
      </c>
      <c r="P3243" t="s">
        <v>53</v>
      </c>
    </row>
    <row r="3244" spans="1:16" x14ac:dyDescent="0.25">
      <c r="A3244" t="s">
        <v>7237</v>
      </c>
      <c r="B3244" t="s">
        <v>7238</v>
      </c>
      <c r="C3244" t="s">
        <v>29</v>
      </c>
      <c r="D3244" t="s">
        <v>50</v>
      </c>
      <c r="E3244" t="s">
        <v>20</v>
      </c>
      <c r="F3244" t="s">
        <v>39</v>
      </c>
      <c r="G3244" t="s">
        <v>22</v>
      </c>
      <c r="H3244" t="s">
        <v>62</v>
      </c>
      <c r="I3244" t="s">
        <v>24</v>
      </c>
      <c r="J3244" t="s">
        <v>1077</v>
      </c>
      <c r="L3244">
        <v>1.3</v>
      </c>
      <c r="M3244">
        <v>93000</v>
      </c>
      <c r="N3244">
        <v>2.5</v>
      </c>
      <c r="O3244">
        <v>0</v>
      </c>
      <c r="P3244" t="s">
        <v>26</v>
      </c>
    </row>
    <row r="3245" spans="1:16" x14ac:dyDescent="0.25">
      <c r="A3245" t="s">
        <v>7239</v>
      </c>
      <c r="B3245" t="s">
        <v>5561</v>
      </c>
      <c r="C3245" t="s">
        <v>29</v>
      </c>
      <c r="D3245" t="s">
        <v>79</v>
      </c>
      <c r="E3245" t="s">
        <v>20</v>
      </c>
      <c r="F3245" t="s">
        <v>128</v>
      </c>
      <c r="G3245" t="s">
        <v>22</v>
      </c>
      <c r="H3245" t="s">
        <v>34</v>
      </c>
      <c r="I3245" t="s">
        <v>57</v>
      </c>
      <c r="J3245" t="s">
        <v>1994</v>
      </c>
      <c r="K3245" t="s">
        <v>4837</v>
      </c>
      <c r="L3245">
        <v>3.5</v>
      </c>
      <c r="M3245">
        <v>357000</v>
      </c>
      <c r="N3245">
        <v>2.5</v>
      </c>
      <c r="O3245">
        <v>0</v>
      </c>
      <c r="P3245" t="s">
        <v>53</v>
      </c>
    </row>
    <row r="3246" spans="1:16" x14ac:dyDescent="0.25">
      <c r="A3246" t="s">
        <v>7240</v>
      </c>
      <c r="B3246" t="s">
        <v>7241</v>
      </c>
      <c r="D3246" t="s">
        <v>19</v>
      </c>
      <c r="E3246" t="s">
        <v>20</v>
      </c>
      <c r="F3246" t="s">
        <v>39</v>
      </c>
      <c r="G3246" t="s">
        <v>80</v>
      </c>
      <c r="H3246" t="s">
        <v>23</v>
      </c>
      <c r="I3246" t="s">
        <v>24</v>
      </c>
      <c r="J3246" t="s">
        <v>7105</v>
      </c>
      <c r="K3246" t="s">
        <v>7242</v>
      </c>
      <c r="L3246">
        <v>5.8</v>
      </c>
      <c r="M3246">
        <v>164000</v>
      </c>
      <c r="N3246">
        <v>2.8</v>
      </c>
      <c r="O3246">
        <v>9</v>
      </c>
      <c r="P3246" t="s">
        <v>53</v>
      </c>
    </row>
    <row r="3247" spans="1:16" x14ac:dyDescent="0.25">
      <c r="A3247" t="s">
        <v>7243</v>
      </c>
      <c r="B3247" t="s">
        <v>7244</v>
      </c>
      <c r="C3247" t="s">
        <v>29</v>
      </c>
      <c r="D3247" t="s">
        <v>43</v>
      </c>
      <c r="E3247" t="s">
        <v>20</v>
      </c>
      <c r="F3247" t="s">
        <v>32</v>
      </c>
      <c r="G3247" t="s">
        <v>33</v>
      </c>
      <c r="H3247" t="s">
        <v>23</v>
      </c>
      <c r="I3247" t="s">
        <v>24</v>
      </c>
      <c r="J3247" t="s">
        <v>3091</v>
      </c>
      <c r="L3247">
        <v>4.3</v>
      </c>
      <c r="M3247">
        <v>306000</v>
      </c>
      <c r="N3247">
        <v>4.4000000000000004</v>
      </c>
      <c r="O3247">
        <v>9</v>
      </c>
      <c r="P3247" t="s">
        <v>26</v>
      </c>
    </row>
    <row r="3248" spans="1:16" x14ac:dyDescent="0.25">
      <c r="A3248" t="s">
        <v>7245</v>
      </c>
      <c r="B3248" t="s">
        <v>4466</v>
      </c>
      <c r="C3248" t="s">
        <v>18</v>
      </c>
      <c r="D3248" t="s">
        <v>50</v>
      </c>
      <c r="E3248" t="s">
        <v>20</v>
      </c>
      <c r="F3248" t="s">
        <v>32</v>
      </c>
      <c r="G3248" t="s">
        <v>22</v>
      </c>
      <c r="H3248" t="s">
        <v>34</v>
      </c>
      <c r="I3248" t="s">
        <v>24</v>
      </c>
      <c r="J3248" t="s">
        <v>1464</v>
      </c>
      <c r="K3248" t="s">
        <v>7246</v>
      </c>
      <c r="L3248">
        <v>2.6</v>
      </c>
      <c r="M3248">
        <v>258000</v>
      </c>
      <c r="N3248">
        <v>3.3</v>
      </c>
      <c r="O3248">
        <v>0</v>
      </c>
      <c r="P3248" t="s">
        <v>53</v>
      </c>
    </row>
    <row r="3249" spans="1:16" x14ac:dyDescent="0.25">
      <c r="A3249" t="s">
        <v>7247</v>
      </c>
      <c r="B3249" t="s">
        <v>7248</v>
      </c>
      <c r="C3249" t="s">
        <v>29</v>
      </c>
      <c r="D3249" t="s">
        <v>79</v>
      </c>
      <c r="E3249" t="s">
        <v>20</v>
      </c>
      <c r="F3249" t="s">
        <v>128</v>
      </c>
      <c r="G3249" t="s">
        <v>33</v>
      </c>
      <c r="H3249" t="s">
        <v>46</v>
      </c>
      <c r="I3249" t="s">
        <v>75</v>
      </c>
      <c r="J3249" t="s">
        <v>6728</v>
      </c>
      <c r="L3249">
        <v>6.2</v>
      </c>
      <c r="M3249">
        <v>526000</v>
      </c>
      <c r="N3249">
        <v>4.5</v>
      </c>
      <c r="O3249">
        <v>13</v>
      </c>
      <c r="P3249" t="s">
        <v>26</v>
      </c>
    </row>
    <row r="3250" spans="1:16" x14ac:dyDescent="0.25">
      <c r="A3250" t="s">
        <v>7249</v>
      </c>
      <c r="B3250" t="s">
        <v>897</v>
      </c>
      <c r="C3250" t="s">
        <v>18</v>
      </c>
      <c r="D3250" t="s">
        <v>30</v>
      </c>
      <c r="E3250" t="s">
        <v>20</v>
      </c>
      <c r="F3250" t="s">
        <v>39</v>
      </c>
      <c r="G3250" t="s">
        <v>69</v>
      </c>
      <c r="J3250" t="s">
        <v>2285</v>
      </c>
      <c r="L3250">
        <v>1.7</v>
      </c>
      <c r="M3250">
        <v>153000</v>
      </c>
      <c r="N3250">
        <v>2</v>
      </c>
      <c r="O3250">
        <v>5</v>
      </c>
      <c r="P3250" t="s">
        <v>26</v>
      </c>
    </row>
    <row r="3251" spans="1:16" x14ac:dyDescent="0.25">
      <c r="A3251" t="s">
        <v>7250</v>
      </c>
      <c r="B3251" t="s">
        <v>7251</v>
      </c>
      <c r="C3251" t="s">
        <v>29</v>
      </c>
      <c r="D3251" t="s">
        <v>43</v>
      </c>
      <c r="E3251" t="s">
        <v>20</v>
      </c>
      <c r="F3251" t="s">
        <v>39</v>
      </c>
      <c r="G3251" t="s">
        <v>80</v>
      </c>
      <c r="H3251" t="s">
        <v>62</v>
      </c>
      <c r="I3251" t="s">
        <v>24</v>
      </c>
      <c r="J3251" t="s">
        <v>5705</v>
      </c>
      <c r="L3251">
        <v>1.4</v>
      </c>
      <c r="M3251">
        <v>99000</v>
      </c>
      <c r="N3251">
        <v>4</v>
      </c>
      <c r="O3251">
        <v>10</v>
      </c>
      <c r="P3251" t="s">
        <v>26</v>
      </c>
    </row>
    <row r="3252" spans="1:16" x14ac:dyDescent="0.25">
      <c r="A3252" t="s">
        <v>7252</v>
      </c>
      <c r="B3252" t="s">
        <v>1790</v>
      </c>
      <c r="C3252" t="s">
        <v>18</v>
      </c>
      <c r="D3252" t="s">
        <v>50</v>
      </c>
      <c r="E3252" t="s">
        <v>20</v>
      </c>
      <c r="F3252" t="s">
        <v>32</v>
      </c>
      <c r="G3252" t="s">
        <v>33</v>
      </c>
      <c r="H3252" t="s">
        <v>23</v>
      </c>
      <c r="I3252" t="s">
        <v>57</v>
      </c>
      <c r="J3252" t="s">
        <v>3921</v>
      </c>
      <c r="L3252">
        <v>3.4</v>
      </c>
      <c r="M3252">
        <v>201000</v>
      </c>
      <c r="O3252">
        <v>11</v>
      </c>
      <c r="P3252" t="s">
        <v>26</v>
      </c>
    </row>
    <row r="3253" spans="1:16" x14ac:dyDescent="0.25">
      <c r="A3253" t="s">
        <v>7253</v>
      </c>
      <c r="B3253" t="s">
        <v>1121</v>
      </c>
      <c r="C3253" t="s">
        <v>29</v>
      </c>
      <c r="D3253" t="s">
        <v>50</v>
      </c>
      <c r="E3253" t="s">
        <v>20</v>
      </c>
      <c r="F3253" t="s">
        <v>128</v>
      </c>
      <c r="G3253" t="s">
        <v>22</v>
      </c>
      <c r="H3253" t="s">
        <v>34</v>
      </c>
      <c r="I3253" t="s">
        <v>35</v>
      </c>
      <c r="J3253" t="s">
        <v>4161</v>
      </c>
      <c r="K3253" t="s">
        <v>536</v>
      </c>
      <c r="L3253">
        <v>5.6</v>
      </c>
      <c r="M3253">
        <v>411000</v>
      </c>
      <c r="N3253">
        <v>2</v>
      </c>
      <c r="O3253">
        <v>6</v>
      </c>
      <c r="P3253" t="s">
        <v>53</v>
      </c>
    </row>
    <row r="3254" spans="1:16" x14ac:dyDescent="0.25">
      <c r="A3254" t="s">
        <v>7254</v>
      </c>
      <c r="B3254" t="s">
        <v>7255</v>
      </c>
      <c r="C3254" t="s">
        <v>29</v>
      </c>
      <c r="D3254" t="s">
        <v>30</v>
      </c>
      <c r="E3254" t="s">
        <v>20</v>
      </c>
      <c r="F3254" t="s">
        <v>128</v>
      </c>
      <c r="G3254" t="s">
        <v>22</v>
      </c>
      <c r="H3254" t="s">
        <v>34</v>
      </c>
      <c r="I3254" t="s">
        <v>24</v>
      </c>
      <c r="J3254" t="s">
        <v>3443</v>
      </c>
      <c r="K3254" t="s">
        <v>193</v>
      </c>
      <c r="L3254">
        <v>4.4000000000000004</v>
      </c>
      <c r="M3254">
        <v>574000</v>
      </c>
      <c r="N3254">
        <v>3.4</v>
      </c>
      <c r="O3254">
        <v>12</v>
      </c>
      <c r="P3254" t="s">
        <v>53</v>
      </c>
    </row>
    <row r="3255" spans="1:16" x14ac:dyDescent="0.25">
      <c r="A3255" t="s">
        <v>7256</v>
      </c>
      <c r="B3255" t="s">
        <v>499</v>
      </c>
      <c r="C3255" t="s">
        <v>18</v>
      </c>
      <c r="D3255" t="s">
        <v>50</v>
      </c>
      <c r="E3255" t="s">
        <v>20</v>
      </c>
      <c r="F3255" t="s">
        <v>39</v>
      </c>
      <c r="G3255" t="s">
        <v>22</v>
      </c>
      <c r="H3255" t="s">
        <v>46</v>
      </c>
      <c r="I3255" t="s">
        <v>24</v>
      </c>
      <c r="J3255" t="s">
        <v>1678</v>
      </c>
      <c r="K3255" t="s">
        <v>3001</v>
      </c>
      <c r="L3255">
        <v>4.8</v>
      </c>
      <c r="M3255">
        <v>172000</v>
      </c>
      <c r="N3255">
        <v>3.9</v>
      </c>
      <c r="O3255">
        <v>10</v>
      </c>
      <c r="P3255" t="s">
        <v>53</v>
      </c>
    </row>
    <row r="3256" spans="1:16" x14ac:dyDescent="0.25">
      <c r="A3256" t="s">
        <v>7257</v>
      </c>
      <c r="B3256" t="s">
        <v>5202</v>
      </c>
      <c r="C3256" t="s">
        <v>29</v>
      </c>
      <c r="D3256" t="s">
        <v>30</v>
      </c>
      <c r="E3256" t="s">
        <v>44</v>
      </c>
      <c r="G3256" t="s">
        <v>22</v>
      </c>
      <c r="H3256" t="s">
        <v>34</v>
      </c>
      <c r="J3256" t="s">
        <v>4493</v>
      </c>
      <c r="L3256">
        <v>5.4</v>
      </c>
      <c r="M3256">
        <v>263000</v>
      </c>
      <c r="N3256">
        <v>2.1</v>
      </c>
      <c r="O3256">
        <v>11</v>
      </c>
      <c r="P3256" t="s">
        <v>26</v>
      </c>
    </row>
    <row r="3257" spans="1:16" x14ac:dyDescent="0.25">
      <c r="A3257" t="s">
        <v>7258</v>
      </c>
      <c r="B3257" t="s">
        <v>7259</v>
      </c>
      <c r="C3257" t="s">
        <v>29</v>
      </c>
      <c r="D3257" t="s">
        <v>79</v>
      </c>
      <c r="E3257" t="s">
        <v>44</v>
      </c>
      <c r="F3257" t="s">
        <v>128</v>
      </c>
      <c r="G3257" t="s">
        <v>22</v>
      </c>
      <c r="H3257" t="s">
        <v>34</v>
      </c>
      <c r="I3257" t="s">
        <v>75</v>
      </c>
      <c r="J3257" t="s">
        <v>1483</v>
      </c>
      <c r="L3257">
        <v>1.9</v>
      </c>
      <c r="M3257">
        <v>568000</v>
      </c>
      <c r="N3257">
        <v>4.2</v>
      </c>
      <c r="P3257" t="s">
        <v>26</v>
      </c>
    </row>
    <row r="3258" spans="1:16" x14ac:dyDescent="0.25">
      <c r="A3258" t="s">
        <v>7260</v>
      </c>
      <c r="B3258" t="s">
        <v>4991</v>
      </c>
      <c r="C3258" t="s">
        <v>18</v>
      </c>
      <c r="D3258" t="s">
        <v>79</v>
      </c>
      <c r="E3258" t="s">
        <v>20</v>
      </c>
      <c r="F3258" t="s">
        <v>32</v>
      </c>
      <c r="G3258" t="s">
        <v>69</v>
      </c>
      <c r="H3258" t="s">
        <v>46</v>
      </c>
      <c r="I3258" t="s">
        <v>24</v>
      </c>
      <c r="J3258" t="s">
        <v>1037</v>
      </c>
      <c r="L3258">
        <v>3.9</v>
      </c>
      <c r="M3258">
        <v>298000</v>
      </c>
      <c r="N3258">
        <v>4.3</v>
      </c>
      <c r="O3258">
        <v>2</v>
      </c>
      <c r="P3258" t="s">
        <v>26</v>
      </c>
    </row>
    <row r="3259" spans="1:16" x14ac:dyDescent="0.25">
      <c r="A3259" t="s">
        <v>7261</v>
      </c>
      <c r="B3259" t="s">
        <v>6320</v>
      </c>
      <c r="C3259" t="s">
        <v>29</v>
      </c>
      <c r="E3259" t="s">
        <v>20</v>
      </c>
      <c r="F3259" t="s">
        <v>32</v>
      </c>
      <c r="G3259" t="s">
        <v>80</v>
      </c>
      <c r="H3259" t="s">
        <v>34</v>
      </c>
      <c r="I3259" t="s">
        <v>57</v>
      </c>
      <c r="J3259" t="s">
        <v>360</v>
      </c>
      <c r="L3259">
        <v>1.5</v>
      </c>
      <c r="M3259">
        <v>230000</v>
      </c>
      <c r="N3259">
        <v>2.2999999999999998</v>
      </c>
      <c r="O3259">
        <v>16</v>
      </c>
      <c r="P3259" t="s">
        <v>26</v>
      </c>
    </row>
    <row r="3260" spans="1:16" x14ac:dyDescent="0.25">
      <c r="A3260" t="s">
        <v>7262</v>
      </c>
      <c r="B3260" t="s">
        <v>5936</v>
      </c>
      <c r="C3260" t="s">
        <v>18</v>
      </c>
      <c r="D3260" t="s">
        <v>19</v>
      </c>
      <c r="E3260" t="s">
        <v>20</v>
      </c>
      <c r="F3260" t="s">
        <v>39</v>
      </c>
      <c r="G3260" t="s">
        <v>80</v>
      </c>
      <c r="H3260" t="s">
        <v>23</v>
      </c>
      <c r="I3260" t="s">
        <v>24</v>
      </c>
      <c r="J3260" t="s">
        <v>3852</v>
      </c>
      <c r="L3260">
        <v>3.4</v>
      </c>
      <c r="M3260">
        <v>147000</v>
      </c>
      <c r="N3260">
        <v>4.5999999999999996</v>
      </c>
      <c r="O3260">
        <v>10</v>
      </c>
      <c r="P3260" t="s">
        <v>26</v>
      </c>
    </row>
    <row r="3261" spans="1:16" x14ac:dyDescent="0.25">
      <c r="A3261" t="s">
        <v>7263</v>
      </c>
      <c r="B3261" t="s">
        <v>7264</v>
      </c>
      <c r="C3261" t="s">
        <v>29</v>
      </c>
      <c r="D3261" t="s">
        <v>50</v>
      </c>
      <c r="E3261" t="s">
        <v>20</v>
      </c>
      <c r="F3261" t="s">
        <v>32</v>
      </c>
      <c r="G3261" t="s">
        <v>22</v>
      </c>
      <c r="H3261" t="s">
        <v>62</v>
      </c>
      <c r="I3261" t="s">
        <v>57</v>
      </c>
      <c r="J3261" t="s">
        <v>4080</v>
      </c>
      <c r="L3261">
        <v>2.4</v>
      </c>
      <c r="M3261">
        <v>265000</v>
      </c>
      <c r="N3261">
        <v>3.7</v>
      </c>
      <c r="O3261">
        <v>5</v>
      </c>
      <c r="P3261" t="s">
        <v>26</v>
      </c>
    </row>
    <row r="3262" spans="1:16" x14ac:dyDescent="0.25">
      <c r="A3262" t="s">
        <v>7265</v>
      </c>
      <c r="B3262" t="s">
        <v>7266</v>
      </c>
      <c r="C3262" t="s">
        <v>29</v>
      </c>
      <c r="D3262" t="s">
        <v>43</v>
      </c>
      <c r="E3262" t="s">
        <v>20</v>
      </c>
      <c r="F3262" t="s">
        <v>39</v>
      </c>
      <c r="G3262" t="s">
        <v>22</v>
      </c>
      <c r="H3262" t="s">
        <v>46</v>
      </c>
      <c r="I3262" t="s">
        <v>24</v>
      </c>
      <c r="J3262" t="s">
        <v>3690</v>
      </c>
      <c r="L3262">
        <v>1.8</v>
      </c>
      <c r="M3262">
        <v>130000</v>
      </c>
      <c r="O3262">
        <v>40</v>
      </c>
      <c r="P3262" t="s">
        <v>26</v>
      </c>
    </row>
    <row r="3263" spans="1:16" x14ac:dyDescent="0.25">
      <c r="A3263" t="s">
        <v>7267</v>
      </c>
      <c r="B3263" t="s">
        <v>7268</v>
      </c>
      <c r="C3263" t="s">
        <v>29</v>
      </c>
      <c r="D3263" t="s">
        <v>50</v>
      </c>
      <c r="E3263" t="s">
        <v>20</v>
      </c>
      <c r="F3263" t="s">
        <v>128</v>
      </c>
      <c r="G3263" t="s">
        <v>22</v>
      </c>
      <c r="H3263" t="s">
        <v>23</v>
      </c>
      <c r="I3263" t="s">
        <v>75</v>
      </c>
      <c r="J3263" t="s">
        <v>205</v>
      </c>
      <c r="L3263">
        <v>3.9</v>
      </c>
      <c r="M3263">
        <v>505000</v>
      </c>
      <c r="N3263">
        <v>3.1</v>
      </c>
      <c r="O3263">
        <v>24</v>
      </c>
      <c r="P3263" t="s">
        <v>26</v>
      </c>
    </row>
    <row r="3264" spans="1:16" x14ac:dyDescent="0.25">
      <c r="A3264" t="s">
        <v>7269</v>
      </c>
      <c r="B3264" t="s">
        <v>7270</v>
      </c>
      <c r="C3264" t="s">
        <v>18</v>
      </c>
      <c r="D3264" t="s">
        <v>50</v>
      </c>
      <c r="E3264" t="s">
        <v>44</v>
      </c>
      <c r="F3264" t="s">
        <v>128</v>
      </c>
      <c r="G3264" t="s">
        <v>80</v>
      </c>
      <c r="H3264" t="s">
        <v>34</v>
      </c>
      <c r="I3264" t="s">
        <v>24</v>
      </c>
      <c r="J3264" t="s">
        <v>3647</v>
      </c>
      <c r="L3264">
        <v>1.5</v>
      </c>
      <c r="M3264">
        <v>357000</v>
      </c>
      <c r="N3264">
        <v>2.9</v>
      </c>
      <c r="O3264">
        <v>0</v>
      </c>
      <c r="P3264" t="s">
        <v>26</v>
      </c>
    </row>
    <row r="3265" spans="1:16" x14ac:dyDescent="0.25">
      <c r="A3265" t="s">
        <v>7271</v>
      </c>
      <c r="B3265" t="s">
        <v>1031</v>
      </c>
      <c r="C3265" t="s">
        <v>18</v>
      </c>
      <c r="D3265" t="s">
        <v>79</v>
      </c>
      <c r="E3265" t="s">
        <v>20</v>
      </c>
      <c r="F3265" t="s">
        <v>21</v>
      </c>
      <c r="G3265" t="s">
        <v>22</v>
      </c>
      <c r="H3265" t="s">
        <v>23</v>
      </c>
      <c r="I3265" t="s">
        <v>24</v>
      </c>
      <c r="J3265" t="s">
        <v>1294</v>
      </c>
      <c r="L3265">
        <v>1.7</v>
      </c>
      <c r="M3265">
        <v>769000</v>
      </c>
      <c r="N3265">
        <v>4.0999999999999996</v>
      </c>
      <c r="O3265">
        <v>8</v>
      </c>
      <c r="P3265" t="s">
        <v>26</v>
      </c>
    </row>
    <row r="3266" spans="1:16" x14ac:dyDescent="0.25">
      <c r="A3266" t="s">
        <v>7272</v>
      </c>
      <c r="B3266" t="s">
        <v>6667</v>
      </c>
      <c r="D3266" t="s">
        <v>19</v>
      </c>
      <c r="E3266" t="s">
        <v>20</v>
      </c>
      <c r="F3266" t="s">
        <v>39</v>
      </c>
      <c r="G3266" t="s">
        <v>22</v>
      </c>
      <c r="H3266" t="s">
        <v>23</v>
      </c>
      <c r="I3266" t="s">
        <v>24</v>
      </c>
      <c r="J3266" t="s">
        <v>7273</v>
      </c>
      <c r="L3266">
        <v>3.2</v>
      </c>
      <c r="M3266">
        <v>112000</v>
      </c>
      <c r="N3266">
        <v>3.1</v>
      </c>
      <c r="O3266">
        <v>14</v>
      </c>
      <c r="P3266" t="s">
        <v>26</v>
      </c>
    </row>
    <row r="3267" spans="1:16" x14ac:dyDescent="0.25">
      <c r="A3267" t="s">
        <v>7274</v>
      </c>
      <c r="B3267" t="s">
        <v>4559</v>
      </c>
      <c r="C3267" t="s">
        <v>18</v>
      </c>
      <c r="D3267" t="s">
        <v>30</v>
      </c>
      <c r="E3267" t="s">
        <v>20</v>
      </c>
      <c r="F3267" t="s">
        <v>39</v>
      </c>
      <c r="G3267" t="s">
        <v>22</v>
      </c>
      <c r="H3267" t="s">
        <v>62</v>
      </c>
      <c r="I3267" t="s">
        <v>24</v>
      </c>
      <c r="J3267" t="s">
        <v>655</v>
      </c>
      <c r="L3267">
        <v>1.3</v>
      </c>
      <c r="M3267">
        <v>143000</v>
      </c>
      <c r="N3267">
        <v>3.3</v>
      </c>
      <c r="O3267">
        <v>13</v>
      </c>
      <c r="P3267" t="s">
        <v>26</v>
      </c>
    </row>
    <row r="3268" spans="1:16" x14ac:dyDescent="0.25">
      <c r="A3268" t="s">
        <v>7275</v>
      </c>
      <c r="B3268" t="s">
        <v>814</v>
      </c>
      <c r="D3268" t="s">
        <v>19</v>
      </c>
      <c r="E3268" t="s">
        <v>44</v>
      </c>
      <c r="F3268" t="s">
        <v>32</v>
      </c>
      <c r="G3268" t="s">
        <v>33</v>
      </c>
      <c r="H3268" t="s">
        <v>34</v>
      </c>
      <c r="I3268" t="s">
        <v>57</v>
      </c>
      <c r="J3268" t="s">
        <v>2548</v>
      </c>
      <c r="K3268" t="s">
        <v>7276</v>
      </c>
      <c r="L3268">
        <v>2.7</v>
      </c>
      <c r="M3268">
        <v>286000</v>
      </c>
      <c r="N3268">
        <v>3.9</v>
      </c>
      <c r="O3268">
        <v>4</v>
      </c>
      <c r="P3268" t="s">
        <v>53</v>
      </c>
    </row>
    <row r="3269" spans="1:16" x14ac:dyDescent="0.25">
      <c r="A3269" t="s">
        <v>7277</v>
      </c>
      <c r="B3269" t="s">
        <v>1907</v>
      </c>
      <c r="C3269" t="s">
        <v>18</v>
      </c>
      <c r="D3269" t="s">
        <v>79</v>
      </c>
      <c r="E3269" t="s">
        <v>44</v>
      </c>
      <c r="F3269" t="s">
        <v>128</v>
      </c>
      <c r="G3269" t="s">
        <v>22</v>
      </c>
      <c r="H3269" t="s">
        <v>34</v>
      </c>
      <c r="J3269" t="s">
        <v>4520</v>
      </c>
      <c r="L3269">
        <v>2.9</v>
      </c>
      <c r="M3269">
        <v>402000</v>
      </c>
      <c r="N3269">
        <v>4.5999999999999996</v>
      </c>
      <c r="O3269">
        <v>6</v>
      </c>
      <c r="P3269" t="s">
        <v>26</v>
      </c>
    </row>
    <row r="3270" spans="1:16" x14ac:dyDescent="0.25">
      <c r="A3270" t="s">
        <v>7278</v>
      </c>
      <c r="B3270" t="s">
        <v>7279</v>
      </c>
      <c r="C3270" t="s">
        <v>29</v>
      </c>
      <c r="D3270" t="s">
        <v>50</v>
      </c>
      <c r="E3270" t="s">
        <v>20</v>
      </c>
      <c r="F3270" t="s">
        <v>32</v>
      </c>
      <c r="G3270" t="s">
        <v>33</v>
      </c>
      <c r="H3270" t="s">
        <v>34</v>
      </c>
      <c r="I3270" t="s">
        <v>24</v>
      </c>
      <c r="J3270" t="s">
        <v>7280</v>
      </c>
      <c r="L3270">
        <v>5.3</v>
      </c>
      <c r="M3270">
        <v>294000</v>
      </c>
      <c r="N3270">
        <v>2.6</v>
      </c>
      <c r="O3270">
        <v>2</v>
      </c>
      <c r="P3270" t="s">
        <v>26</v>
      </c>
    </row>
    <row r="3271" spans="1:16" x14ac:dyDescent="0.25">
      <c r="A3271" t="s">
        <v>7281</v>
      </c>
      <c r="B3271" t="s">
        <v>563</v>
      </c>
      <c r="C3271" t="s">
        <v>18</v>
      </c>
      <c r="D3271" t="s">
        <v>79</v>
      </c>
      <c r="E3271" t="s">
        <v>20</v>
      </c>
      <c r="F3271" t="s">
        <v>32</v>
      </c>
      <c r="G3271" t="s">
        <v>22</v>
      </c>
      <c r="H3271" t="s">
        <v>23</v>
      </c>
      <c r="I3271" t="s">
        <v>24</v>
      </c>
      <c r="J3271" t="s">
        <v>7282</v>
      </c>
      <c r="L3271">
        <v>3.8</v>
      </c>
      <c r="M3271">
        <v>202000</v>
      </c>
      <c r="N3271">
        <v>3.9</v>
      </c>
      <c r="O3271">
        <v>2</v>
      </c>
      <c r="P3271" t="s">
        <v>26</v>
      </c>
    </row>
    <row r="3272" spans="1:16" x14ac:dyDescent="0.25">
      <c r="A3272" t="s">
        <v>7283</v>
      </c>
      <c r="B3272" t="s">
        <v>7284</v>
      </c>
      <c r="C3272" t="s">
        <v>29</v>
      </c>
      <c r="D3272" t="s">
        <v>19</v>
      </c>
      <c r="F3272" t="s">
        <v>32</v>
      </c>
      <c r="G3272" t="s">
        <v>33</v>
      </c>
      <c r="H3272" t="s">
        <v>34</v>
      </c>
      <c r="I3272" t="s">
        <v>35</v>
      </c>
      <c r="J3272" t="s">
        <v>5022</v>
      </c>
      <c r="L3272">
        <v>5.8</v>
      </c>
      <c r="M3272">
        <v>354000</v>
      </c>
      <c r="N3272">
        <v>2.5</v>
      </c>
      <c r="O3272">
        <v>24</v>
      </c>
      <c r="P3272" t="s">
        <v>26</v>
      </c>
    </row>
    <row r="3273" spans="1:16" x14ac:dyDescent="0.25">
      <c r="A3273" t="s">
        <v>7285</v>
      </c>
      <c r="B3273" t="s">
        <v>5462</v>
      </c>
      <c r="C3273" t="s">
        <v>18</v>
      </c>
      <c r="D3273" t="s">
        <v>30</v>
      </c>
      <c r="E3273" t="s">
        <v>20</v>
      </c>
      <c r="F3273" t="s">
        <v>32</v>
      </c>
      <c r="G3273" t="s">
        <v>22</v>
      </c>
      <c r="I3273" t="s">
        <v>35</v>
      </c>
      <c r="J3273" t="s">
        <v>3150</v>
      </c>
      <c r="L3273">
        <v>4.3</v>
      </c>
      <c r="M3273">
        <v>339000</v>
      </c>
      <c r="N3273">
        <v>2.7</v>
      </c>
      <c r="O3273">
        <v>14</v>
      </c>
      <c r="P3273" t="s">
        <v>26</v>
      </c>
    </row>
    <row r="3274" spans="1:16" x14ac:dyDescent="0.25">
      <c r="A3274" t="s">
        <v>7286</v>
      </c>
      <c r="B3274" t="s">
        <v>7287</v>
      </c>
      <c r="C3274" t="s">
        <v>18</v>
      </c>
      <c r="D3274" t="s">
        <v>43</v>
      </c>
      <c r="E3274" t="s">
        <v>20</v>
      </c>
      <c r="F3274" t="s">
        <v>32</v>
      </c>
      <c r="G3274" t="s">
        <v>69</v>
      </c>
      <c r="H3274" t="s">
        <v>46</v>
      </c>
      <c r="I3274" t="s">
        <v>24</v>
      </c>
      <c r="J3274" t="s">
        <v>3045</v>
      </c>
      <c r="L3274">
        <v>5</v>
      </c>
      <c r="M3274">
        <v>235000</v>
      </c>
      <c r="N3274">
        <v>3.6</v>
      </c>
      <c r="O3274">
        <v>9</v>
      </c>
      <c r="P3274" t="s">
        <v>26</v>
      </c>
    </row>
    <row r="3275" spans="1:16" x14ac:dyDescent="0.25">
      <c r="A3275" t="s">
        <v>7288</v>
      </c>
      <c r="B3275" t="s">
        <v>2976</v>
      </c>
      <c r="C3275" t="s">
        <v>18</v>
      </c>
      <c r="D3275" t="s">
        <v>79</v>
      </c>
      <c r="E3275" t="s">
        <v>31</v>
      </c>
      <c r="F3275" t="s">
        <v>32</v>
      </c>
      <c r="G3275" t="s">
        <v>22</v>
      </c>
      <c r="H3275" t="s">
        <v>23</v>
      </c>
      <c r="I3275" t="s">
        <v>57</v>
      </c>
      <c r="J3275" t="s">
        <v>5954</v>
      </c>
      <c r="L3275">
        <v>5.8</v>
      </c>
      <c r="M3275">
        <v>326000</v>
      </c>
      <c r="N3275">
        <v>3.2</v>
      </c>
      <c r="O3275">
        <v>14</v>
      </c>
      <c r="P3275" t="s">
        <v>26</v>
      </c>
    </row>
    <row r="3276" spans="1:16" x14ac:dyDescent="0.25">
      <c r="A3276" t="s">
        <v>7289</v>
      </c>
      <c r="B3276" t="s">
        <v>7290</v>
      </c>
      <c r="C3276" t="s">
        <v>29</v>
      </c>
      <c r="D3276" t="s">
        <v>50</v>
      </c>
      <c r="E3276" t="s">
        <v>31</v>
      </c>
      <c r="F3276" t="s">
        <v>39</v>
      </c>
      <c r="G3276" t="s">
        <v>69</v>
      </c>
      <c r="H3276" t="s">
        <v>34</v>
      </c>
      <c r="I3276" t="s">
        <v>57</v>
      </c>
      <c r="J3276" t="s">
        <v>823</v>
      </c>
      <c r="L3276">
        <v>2</v>
      </c>
      <c r="M3276">
        <v>177000</v>
      </c>
      <c r="N3276">
        <v>5</v>
      </c>
      <c r="O3276">
        <v>4</v>
      </c>
      <c r="P3276" t="s">
        <v>26</v>
      </c>
    </row>
    <row r="3277" spans="1:16" x14ac:dyDescent="0.25">
      <c r="A3277" t="s">
        <v>7291</v>
      </c>
      <c r="B3277" t="s">
        <v>3194</v>
      </c>
      <c r="C3277" t="s">
        <v>29</v>
      </c>
      <c r="D3277" t="s">
        <v>50</v>
      </c>
      <c r="E3277" t="s">
        <v>20</v>
      </c>
      <c r="F3277" t="s">
        <v>39</v>
      </c>
      <c r="G3277" t="s">
        <v>33</v>
      </c>
      <c r="I3277" t="s">
        <v>57</v>
      </c>
      <c r="J3277" t="s">
        <v>5030</v>
      </c>
      <c r="K3277" t="s">
        <v>3467</v>
      </c>
      <c r="L3277">
        <v>5.5</v>
      </c>
      <c r="M3277">
        <v>165000</v>
      </c>
      <c r="O3277">
        <v>2</v>
      </c>
      <c r="P3277" t="s">
        <v>53</v>
      </c>
    </row>
    <row r="3278" spans="1:16" x14ac:dyDescent="0.25">
      <c r="A3278" t="s">
        <v>7292</v>
      </c>
      <c r="B3278" t="s">
        <v>7279</v>
      </c>
      <c r="C3278" t="s">
        <v>29</v>
      </c>
      <c r="D3278" t="s">
        <v>79</v>
      </c>
      <c r="E3278" t="s">
        <v>44</v>
      </c>
      <c r="F3278" t="s">
        <v>39</v>
      </c>
      <c r="G3278" t="s">
        <v>22</v>
      </c>
      <c r="H3278" t="s">
        <v>46</v>
      </c>
      <c r="I3278" t="s">
        <v>24</v>
      </c>
      <c r="J3278" t="s">
        <v>1642</v>
      </c>
      <c r="L3278">
        <v>6.2</v>
      </c>
      <c r="M3278">
        <v>161000</v>
      </c>
      <c r="N3278">
        <v>3.3</v>
      </c>
      <c r="O3278">
        <v>26</v>
      </c>
      <c r="P3278" t="s">
        <v>26</v>
      </c>
    </row>
    <row r="3279" spans="1:16" x14ac:dyDescent="0.25">
      <c r="A3279" t="s">
        <v>7293</v>
      </c>
      <c r="B3279" t="s">
        <v>7115</v>
      </c>
      <c r="C3279" t="s">
        <v>18</v>
      </c>
      <c r="D3279" t="s">
        <v>19</v>
      </c>
      <c r="E3279" t="s">
        <v>44</v>
      </c>
      <c r="F3279" t="s">
        <v>32</v>
      </c>
      <c r="G3279" t="s">
        <v>69</v>
      </c>
      <c r="H3279" t="s">
        <v>34</v>
      </c>
      <c r="I3279" t="s">
        <v>24</v>
      </c>
      <c r="J3279" t="s">
        <v>3011</v>
      </c>
      <c r="K3279" t="s">
        <v>2392</v>
      </c>
      <c r="L3279">
        <v>6</v>
      </c>
      <c r="M3279">
        <v>253000</v>
      </c>
      <c r="N3279">
        <v>3</v>
      </c>
      <c r="O3279">
        <v>7</v>
      </c>
      <c r="P3279" t="s">
        <v>72</v>
      </c>
    </row>
    <row r="3280" spans="1:16" x14ac:dyDescent="0.25">
      <c r="A3280" t="s">
        <v>7294</v>
      </c>
      <c r="B3280" t="s">
        <v>7295</v>
      </c>
      <c r="C3280" t="s">
        <v>29</v>
      </c>
      <c r="D3280" t="s">
        <v>30</v>
      </c>
      <c r="E3280" t="s">
        <v>20</v>
      </c>
      <c r="F3280" t="s">
        <v>39</v>
      </c>
      <c r="G3280" t="s">
        <v>69</v>
      </c>
      <c r="H3280" t="s">
        <v>34</v>
      </c>
      <c r="I3280" t="s">
        <v>24</v>
      </c>
      <c r="J3280" t="s">
        <v>1629</v>
      </c>
      <c r="L3280">
        <v>3.8</v>
      </c>
      <c r="M3280">
        <v>112000</v>
      </c>
      <c r="N3280">
        <v>3.2</v>
      </c>
      <c r="O3280">
        <v>8</v>
      </c>
      <c r="P3280" t="s">
        <v>26</v>
      </c>
    </row>
    <row r="3281" spans="1:16" x14ac:dyDescent="0.25">
      <c r="A3281" t="s">
        <v>7296</v>
      </c>
      <c r="B3281" t="s">
        <v>983</v>
      </c>
      <c r="C3281" t="s">
        <v>18</v>
      </c>
      <c r="D3281" t="s">
        <v>79</v>
      </c>
      <c r="E3281" t="s">
        <v>20</v>
      </c>
      <c r="F3281" t="s">
        <v>128</v>
      </c>
      <c r="G3281" t="s">
        <v>22</v>
      </c>
      <c r="I3281" t="s">
        <v>35</v>
      </c>
      <c r="J3281" t="s">
        <v>1686</v>
      </c>
      <c r="K3281" t="s">
        <v>1933</v>
      </c>
      <c r="L3281">
        <v>4.4000000000000004</v>
      </c>
      <c r="M3281">
        <v>461000</v>
      </c>
      <c r="N3281">
        <v>2.9</v>
      </c>
      <c r="O3281">
        <v>9</v>
      </c>
      <c r="P3281" t="s">
        <v>72</v>
      </c>
    </row>
    <row r="3282" spans="1:16" x14ac:dyDescent="0.25">
      <c r="A3282" t="s">
        <v>7297</v>
      </c>
      <c r="B3282" t="s">
        <v>7298</v>
      </c>
      <c r="C3282" t="s">
        <v>29</v>
      </c>
      <c r="D3282" t="s">
        <v>79</v>
      </c>
      <c r="E3282" t="s">
        <v>20</v>
      </c>
      <c r="F3282" t="s">
        <v>128</v>
      </c>
      <c r="G3282" t="s">
        <v>33</v>
      </c>
      <c r="H3282" t="s">
        <v>23</v>
      </c>
      <c r="I3282" t="s">
        <v>171</v>
      </c>
      <c r="J3282" t="s">
        <v>2071</v>
      </c>
      <c r="L3282">
        <v>1.8</v>
      </c>
      <c r="N3282">
        <v>5</v>
      </c>
      <c r="O3282">
        <v>13</v>
      </c>
      <c r="P3282" t="s">
        <v>26</v>
      </c>
    </row>
    <row r="3283" spans="1:16" x14ac:dyDescent="0.25">
      <c r="A3283" t="s">
        <v>7299</v>
      </c>
      <c r="B3283" t="s">
        <v>708</v>
      </c>
      <c r="C3283" t="s">
        <v>18</v>
      </c>
      <c r="D3283" t="s">
        <v>30</v>
      </c>
      <c r="E3283" t="s">
        <v>20</v>
      </c>
      <c r="F3283" t="s">
        <v>128</v>
      </c>
      <c r="G3283" t="s">
        <v>22</v>
      </c>
      <c r="H3283" t="s">
        <v>34</v>
      </c>
      <c r="I3283" t="s">
        <v>35</v>
      </c>
      <c r="J3283" t="s">
        <v>3110</v>
      </c>
      <c r="K3283" t="s">
        <v>4790</v>
      </c>
      <c r="L3283">
        <v>4.2</v>
      </c>
      <c r="M3283">
        <v>365000</v>
      </c>
      <c r="N3283">
        <v>2.1</v>
      </c>
      <c r="O3283">
        <v>3</v>
      </c>
      <c r="P3283" t="s">
        <v>72</v>
      </c>
    </row>
    <row r="3284" spans="1:16" x14ac:dyDescent="0.25">
      <c r="A3284" t="s">
        <v>7300</v>
      </c>
      <c r="B3284" t="s">
        <v>865</v>
      </c>
      <c r="C3284" t="s">
        <v>18</v>
      </c>
      <c r="D3284" t="s">
        <v>30</v>
      </c>
      <c r="E3284" t="s">
        <v>44</v>
      </c>
      <c r="F3284" t="s">
        <v>39</v>
      </c>
      <c r="G3284" t="s">
        <v>69</v>
      </c>
      <c r="H3284" t="s">
        <v>34</v>
      </c>
      <c r="I3284" t="s">
        <v>24</v>
      </c>
      <c r="J3284" t="s">
        <v>4088</v>
      </c>
      <c r="K3284" t="s">
        <v>4992</v>
      </c>
      <c r="L3284">
        <v>3.7</v>
      </c>
      <c r="M3284">
        <v>155000</v>
      </c>
      <c r="N3284">
        <v>2.4</v>
      </c>
      <c r="O3284">
        <v>6</v>
      </c>
      <c r="P3284" t="s">
        <v>53</v>
      </c>
    </row>
    <row r="3285" spans="1:16" x14ac:dyDescent="0.25">
      <c r="A3285" t="s">
        <v>7301</v>
      </c>
      <c r="B3285" t="s">
        <v>7302</v>
      </c>
      <c r="C3285" t="s">
        <v>18</v>
      </c>
      <c r="D3285" t="s">
        <v>30</v>
      </c>
      <c r="E3285" t="s">
        <v>31</v>
      </c>
      <c r="F3285" t="s">
        <v>39</v>
      </c>
      <c r="G3285" t="s">
        <v>33</v>
      </c>
      <c r="H3285" t="s">
        <v>62</v>
      </c>
      <c r="I3285" t="s">
        <v>24</v>
      </c>
      <c r="J3285" t="s">
        <v>5006</v>
      </c>
      <c r="L3285">
        <v>5</v>
      </c>
      <c r="M3285">
        <v>131000</v>
      </c>
      <c r="O3285">
        <v>6</v>
      </c>
      <c r="P3285" t="s">
        <v>26</v>
      </c>
    </row>
    <row r="3286" spans="1:16" x14ac:dyDescent="0.25">
      <c r="A3286" t="s">
        <v>7303</v>
      </c>
      <c r="B3286" t="s">
        <v>1654</v>
      </c>
      <c r="C3286" t="s">
        <v>29</v>
      </c>
      <c r="D3286" t="s">
        <v>50</v>
      </c>
      <c r="E3286" t="s">
        <v>31</v>
      </c>
      <c r="F3286" t="s">
        <v>39</v>
      </c>
      <c r="G3286" t="s">
        <v>33</v>
      </c>
      <c r="H3286" t="s">
        <v>46</v>
      </c>
      <c r="I3286" t="s">
        <v>24</v>
      </c>
      <c r="J3286" t="s">
        <v>3091</v>
      </c>
      <c r="K3286" t="s">
        <v>2999</v>
      </c>
      <c r="L3286">
        <v>4.3</v>
      </c>
      <c r="M3286">
        <v>145000</v>
      </c>
      <c r="N3286">
        <v>4.2</v>
      </c>
      <c r="O3286">
        <v>9</v>
      </c>
      <c r="P3286" t="s">
        <v>114</v>
      </c>
    </row>
    <row r="3287" spans="1:16" x14ac:dyDescent="0.25">
      <c r="A3287" t="s">
        <v>7304</v>
      </c>
      <c r="B3287" t="s">
        <v>7305</v>
      </c>
      <c r="C3287" t="s">
        <v>29</v>
      </c>
      <c r="D3287" t="s">
        <v>79</v>
      </c>
      <c r="E3287" t="s">
        <v>31</v>
      </c>
      <c r="F3287" t="s">
        <v>32</v>
      </c>
      <c r="G3287" t="s">
        <v>22</v>
      </c>
      <c r="H3287" t="s">
        <v>23</v>
      </c>
      <c r="I3287" t="s">
        <v>24</v>
      </c>
      <c r="J3287" t="s">
        <v>1273</v>
      </c>
      <c r="K3287" t="s">
        <v>7306</v>
      </c>
      <c r="L3287">
        <v>1.8</v>
      </c>
      <c r="M3287">
        <v>211000</v>
      </c>
      <c r="N3287">
        <v>3</v>
      </c>
      <c r="O3287">
        <v>17</v>
      </c>
      <c r="P3287" t="s">
        <v>114</v>
      </c>
    </row>
    <row r="3288" spans="1:16" x14ac:dyDescent="0.25">
      <c r="A3288" t="s">
        <v>982</v>
      </c>
      <c r="B3288" t="s">
        <v>983</v>
      </c>
      <c r="C3288" t="s">
        <v>18</v>
      </c>
      <c r="D3288" t="s">
        <v>19</v>
      </c>
      <c r="E3288" t="s">
        <v>20</v>
      </c>
      <c r="F3288" t="s">
        <v>21</v>
      </c>
      <c r="G3288" t="s">
        <v>22</v>
      </c>
      <c r="H3288" t="s">
        <v>46</v>
      </c>
      <c r="I3288" t="s">
        <v>35</v>
      </c>
      <c r="J3288" t="s">
        <v>984</v>
      </c>
      <c r="L3288">
        <v>4.4000000000000004</v>
      </c>
      <c r="M3288">
        <v>762000</v>
      </c>
      <c r="N3288">
        <v>3.3</v>
      </c>
      <c r="O3288">
        <v>22</v>
      </c>
      <c r="P3288" t="s">
        <v>26</v>
      </c>
    </row>
    <row r="3289" spans="1:16" x14ac:dyDescent="0.25">
      <c r="A3289" t="s">
        <v>7307</v>
      </c>
      <c r="B3289" t="s">
        <v>7308</v>
      </c>
      <c r="C3289" t="s">
        <v>18</v>
      </c>
      <c r="E3289" t="s">
        <v>20</v>
      </c>
      <c r="F3289" t="s">
        <v>128</v>
      </c>
      <c r="G3289" t="s">
        <v>22</v>
      </c>
      <c r="H3289" t="s">
        <v>62</v>
      </c>
      <c r="I3289" t="s">
        <v>171</v>
      </c>
      <c r="J3289" t="s">
        <v>1551</v>
      </c>
      <c r="L3289">
        <v>1.4</v>
      </c>
      <c r="M3289">
        <v>597000</v>
      </c>
      <c r="N3289">
        <v>3.7</v>
      </c>
      <c r="O3289">
        <v>14</v>
      </c>
      <c r="P3289" t="s">
        <v>26</v>
      </c>
    </row>
    <row r="3290" spans="1:16" x14ac:dyDescent="0.25">
      <c r="A3290" t="s">
        <v>7309</v>
      </c>
      <c r="B3290" t="s">
        <v>7310</v>
      </c>
      <c r="C3290" t="s">
        <v>29</v>
      </c>
      <c r="D3290" t="s">
        <v>79</v>
      </c>
      <c r="E3290" t="s">
        <v>44</v>
      </c>
      <c r="F3290" t="s">
        <v>32</v>
      </c>
      <c r="G3290" t="s">
        <v>22</v>
      </c>
      <c r="H3290" t="s">
        <v>23</v>
      </c>
      <c r="I3290" t="s">
        <v>57</v>
      </c>
      <c r="J3290" t="s">
        <v>7311</v>
      </c>
      <c r="K3290" t="s">
        <v>6492</v>
      </c>
      <c r="L3290">
        <v>5.4</v>
      </c>
      <c r="M3290">
        <v>334000</v>
      </c>
      <c r="N3290">
        <v>2.6</v>
      </c>
      <c r="O3290">
        <v>8</v>
      </c>
      <c r="P3290" t="s">
        <v>53</v>
      </c>
    </row>
    <row r="3291" spans="1:16" x14ac:dyDescent="0.25">
      <c r="A3291" t="s">
        <v>7312</v>
      </c>
      <c r="B3291" t="s">
        <v>608</v>
      </c>
      <c r="C3291" t="s">
        <v>29</v>
      </c>
      <c r="D3291" t="s">
        <v>50</v>
      </c>
      <c r="E3291" t="s">
        <v>20</v>
      </c>
      <c r="F3291" t="s">
        <v>32</v>
      </c>
      <c r="G3291" t="s">
        <v>22</v>
      </c>
      <c r="H3291" t="s">
        <v>46</v>
      </c>
      <c r="I3291" t="s">
        <v>57</v>
      </c>
      <c r="J3291" t="s">
        <v>3030</v>
      </c>
      <c r="L3291">
        <v>3.6</v>
      </c>
      <c r="M3291">
        <v>287000</v>
      </c>
      <c r="N3291">
        <v>4.0999999999999996</v>
      </c>
      <c r="O3291">
        <v>11</v>
      </c>
      <c r="P3291" t="s">
        <v>26</v>
      </c>
    </row>
    <row r="3292" spans="1:16" x14ac:dyDescent="0.25">
      <c r="A3292" t="s">
        <v>7313</v>
      </c>
      <c r="B3292" t="s">
        <v>7314</v>
      </c>
      <c r="C3292" t="s">
        <v>29</v>
      </c>
      <c r="D3292" t="s">
        <v>30</v>
      </c>
      <c r="E3292" t="s">
        <v>20</v>
      </c>
      <c r="F3292" t="s">
        <v>39</v>
      </c>
      <c r="G3292" t="s">
        <v>22</v>
      </c>
      <c r="H3292" t="s">
        <v>46</v>
      </c>
      <c r="I3292" t="s">
        <v>24</v>
      </c>
      <c r="J3292" t="s">
        <v>4506</v>
      </c>
      <c r="K3292" t="s">
        <v>338</v>
      </c>
      <c r="L3292">
        <v>6.2</v>
      </c>
      <c r="M3292">
        <v>153000</v>
      </c>
      <c r="N3292">
        <v>1.7</v>
      </c>
      <c r="O3292">
        <v>9</v>
      </c>
      <c r="P3292" t="s">
        <v>53</v>
      </c>
    </row>
    <row r="3293" spans="1:16" x14ac:dyDescent="0.25">
      <c r="A3293" t="s">
        <v>7315</v>
      </c>
      <c r="B3293" t="s">
        <v>1400</v>
      </c>
      <c r="C3293" t="s">
        <v>18</v>
      </c>
      <c r="D3293" t="s">
        <v>43</v>
      </c>
      <c r="E3293" t="s">
        <v>20</v>
      </c>
      <c r="F3293" t="s">
        <v>21</v>
      </c>
      <c r="G3293" t="s">
        <v>69</v>
      </c>
      <c r="H3293" t="s">
        <v>46</v>
      </c>
      <c r="I3293" t="s">
        <v>35</v>
      </c>
      <c r="J3293" t="s">
        <v>5977</v>
      </c>
      <c r="L3293">
        <v>4.3</v>
      </c>
      <c r="M3293">
        <v>817000</v>
      </c>
      <c r="N3293">
        <v>3.1</v>
      </c>
      <c r="O3293">
        <v>10</v>
      </c>
      <c r="P3293" t="s">
        <v>26</v>
      </c>
    </row>
    <row r="3294" spans="1:16" x14ac:dyDescent="0.25">
      <c r="A3294" t="s">
        <v>7316</v>
      </c>
      <c r="B3294" t="s">
        <v>2520</v>
      </c>
      <c r="C3294" t="s">
        <v>29</v>
      </c>
      <c r="D3294" t="s">
        <v>50</v>
      </c>
      <c r="E3294" t="s">
        <v>20</v>
      </c>
      <c r="F3294" t="s">
        <v>39</v>
      </c>
      <c r="G3294" t="s">
        <v>80</v>
      </c>
      <c r="H3294" t="s">
        <v>23</v>
      </c>
      <c r="I3294" t="s">
        <v>75</v>
      </c>
      <c r="J3294" t="s">
        <v>1134</v>
      </c>
      <c r="L3294">
        <v>5</v>
      </c>
      <c r="M3294">
        <v>157000</v>
      </c>
      <c r="N3294">
        <v>3.8</v>
      </c>
      <c r="O3294">
        <v>1</v>
      </c>
      <c r="P3294" t="s">
        <v>26</v>
      </c>
    </row>
    <row r="3295" spans="1:16" x14ac:dyDescent="0.25">
      <c r="A3295" t="s">
        <v>7317</v>
      </c>
      <c r="B3295" t="s">
        <v>1599</v>
      </c>
      <c r="C3295" t="s">
        <v>18</v>
      </c>
      <c r="D3295" t="s">
        <v>19</v>
      </c>
      <c r="E3295" t="s">
        <v>44</v>
      </c>
      <c r="F3295" t="s">
        <v>32</v>
      </c>
      <c r="G3295" t="s">
        <v>22</v>
      </c>
      <c r="H3295" t="s">
        <v>23</v>
      </c>
      <c r="I3295" t="s">
        <v>24</v>
      </c>
      <c r="J3295" t="s">
        <v>7318</v>
      </c>
      <c r="L3295">
        <v>3</v>
      </c>
      <c r="M3295">
        <v>303000</v>
      </c>
      <c r="N3295">
        <v>2.5</v>
      </c>
      <c r="O3295">
        <v>14</v>
      </c>
      <c r="P3295" t="s">
        <v>26</v>
      </c>
    </row>
    <row r="3296" spans="1:16" x14ac:dyDescent="0.25">
      <c r="A3296" t="s">
        <v>7319</v>
      </c>
      <c r="B3296" t="s">
        <v>6568</v>
      </c>
      <c r="C3296" t="s">
        <v>29</v>
      </c>
      <c r="D3296" t="s">
        <v>30</v>
      </c>
      <c r="E3296" t="s">
        <v>20</v>
      </c>
      <c r="F3296" t="s">
        <v>32</v>
      </c>
      <c r="G3296" t="s">
        <v>22</v>
      </c>
      <c r="H3296" t="s">
        <v>23</v>
      </c>
      <c r="I3296" t="s">
        <v>35</v>
      </c>
      <c r="J3296" t="s">
        <v>357</v>
      </c>
      <c r="K3296" t="s">
        <v>568</v>
      </c>
      <c r="L3296">
        <v>6</v>
      </c>
      <c r="M3296">
        <v>318000</v>
      </c>
      <c r="N3296">
        <v>3</v>
      </c>
      <c r="O3296">
        <v>38</v>
      </c>
      <c r="P3296" t="s">
        <v>53</v>
      </c>
    </row>
    <row r="3297" spans="1:16" x14ac:dyDescent="0.25">
      <c r="A3297" t="s">
        <v>7320</v>
      </c>
      <c r="B3297" t="s">
        <v>2888</v>
      </c>
      <c r="C3297" t="s">
        <v>18</v>
      </c>
      <c r="D3297" t="s">
        <v>79</v>
      </c>
      <c r="E3297" t="s">
        <v>20</v>
      </c>
      <c r="F3297" t="s">
        <v>128</v>
      </c>
      <c r="G3297" t="s">
        <v>22</v>
      </c>
      <c r="H3297" t="s">
        <v>34</v>
      </c>
      <c r="I3297" t="s">
        <v>35</v>
      </c>
      <c r="J3297" t="s">
        <v>1294</v>
      </c>
      <c r="L3297">
        <v>1.7</v>
      </c>
      <c r="M3297">
        <v>505000</v>
      </c>
      <c r="N3297">
        <v>4.3</v>
      </c>
      <c r="O3297">
        <v>11</v>
      </c>
      <c r="P3297" t="s">
        <v>26</v>
      </c>
    </row>
    <row r="3298" spans="1:16" x14ac:dyDescent="0.25">
      <c r="A3298" t="s">
        <v>7321</v>
      </c>
      <c r="B3298" t="s">
        <v>421</v>
      </c>
      <c r="C3298" t="s">
        <v>18</v>
      </c>
      <c r="D3298" t="s">
        <v>79</v>
      </c>
      <c r="E3298" t="s">
        <v>20</v>
      </c>
      <c r="F3298" t="s">
        <v>32</v>
      </c>
      <c r="G3298" t="s">
        <v>22</v>
      </c>
      <c r="H3298" t="s">
        <v>23</v>
      </c>
      <c r="I3298" t="s">
        <v>57</v>
      </c>
      <c r="J3298" t="s">
        <v>152</v>
      </c>
      <c r="L3298">
        <v>4</v>
      </c>
      <c r="M3298">
        <v>221000</v>
      </c>
      <c r="N3298">
        <v>2.6</v>
      </c>
      <c r="O3298">
        <v>1</v>
      </c>
      <c r="P3298" t="s">
        <v>26</v>
      </c>
    </row>
    <row r="3299" spans="1:16" x14ac:dyDescent="0.25">
      <c r="A3299" t="s">
        <v>7322</v>
      </c>
      <c r="B3299" t="s">
        <v>7323</v>
      </c>
      <c r="C3299" t="s">
        <v>18</v>
      </c>
      <c r="D3299" t="s">
        <v>43</v>
      </c>
      <c r="E3299" t="s">
        <v>20</v>
      </c>
      <c r="F3299" t="s">
        <v>32</v>
      </c>
      <c r="G3299" t="s">
        <v>22</v>
      </c>
      <c r="H3299" t="s">
        <v>34</v>
      </c>
      <c r="I3299" t="s">
        <v>35</v>
      </c>
      <c r="J3299" t="s">
        <v>2399</v>
      </c>
      <c r="L3299">
        <v>1.6</v>
      </c>
      <c r="M3299">
        <v>180000</v>
      </c>
      <c r="N3299">
        <v>4.4000000000000004</v>
      </c>
      <c r="O3299">
        <v>12</v>
      </c>
      <c r="P3299" t="s">
        <v>26</v>
      </c>
    </row>
    <row r="3300" spans="1:16" x14ac:dyDescent="0.25">
      <c r="A3300" t="s">
        <v>7324</v>
      </c>
      <c r="B3300" t="s">
        <v>4542</v>
      </c>
      <c r="C3300" t="s">
        <v>18</v>
      </c>
      <c r="D3300" t="s">
        <v>30</v>
      </c>
      <c r="E3300" t="s">
        <v>20</v>
      </c>
      <c r="F3300" t="s">
        <v>39</v>
      </c>
      <c r="G3300" t="s">
        <v>33</v>
      </c>
      <c r="H3300" t="s">
        <v>23</v>
      </c>
      <c r="I3300" t="s">
        <v>35</v>
      </c>
      <c r="J3300" t="s">
        <v>3448</v>
      </c>
      <c r="K3300" t="s">
        <v>4383</v>
      </c>
      <c r="L3300">
        <v>5.7</v>
      </c>
      <c r="M3300">
        <v>87000</v>
      </c>
      <c r="N3300">
        <v>3.4</v>
      </c>
      <c r="O3300">
        <v>3</v>
      </c>
      <c r="P3300" t="s">
        <v>53</v>
      </c>
    </row>
    <row r="3301" spans="1:16" x14ac:dyDescent="0.25">
      <c r="A3301" t="s">
        <v>7325</v>
      </c>
      <c r="B3301" t="s">
        <v>1521</v>
      </c>
      <c r="C3301" t="s">
        <v>18</v>
      </c>
      <c r="D3301" t="s">
        <v>30</v>
      </c>
      <c r="E3301" t="s">
        <v>31</v>
      </c>
      <c r="F3301" t="s">
        <v>32</v>
      </c>
      <c r="G3301" t="s">
        <v>80</v>
      </c>
      <c r="H3301" t="s">
        <v>62</v>
      </c>
      <c r="I3301" t="s">
        <v>57</v>
      </c>
      <c r="J3301" t="s">
        <v>7326</v>
      </c>
      <c r="K3301" t="s">
        <v>2530</v>
      </c>
      <c r="L3301">
        <v>4.0999999999999996</v>
      </c>
      <c r="M3301">
        <v>191000</v>
      </c>
      <c r="N3301">
        <v>2.8</v>
      </c>
      <c r="P3301" t="s">
        <v>53</v>
      </c>
    </row>
    <row r="3302" spans="1:16" x14ac:dyDescent="0.25">
      <c r="A3302" t="s">
        <v>7327</v>
      </c>
      <c r="B3302" t="s">
        <v>244</v>
      </c>
      <c r="C3302" t="s">
        <v>18</v>
      </c>
      <c r="D3302" t="s">
        <v>43</v>
      </c>
      <c r="E3302" t="s">
        <v>20</v>
      </c>
      <c r="F3302" t="s">
        <v>128</v>
      </c>
      <c r="G3302" t="s">
        <v>33</v>
      </c>
      <c r="H3302" t="s">
        <v>62</v>
      </c>
      <c r="I3302" t="s">
        <v>57</v>
      </c>
      <c r="J3302" t="s">
        <v>4381</v>
      </c>
      <c r="L3302">
        <v>4.0999999999999996</v>
      </c>
      <c r="M3302">
        <v>389000</v>
      </c>
      <c r="N3302">
        <v>2.2999999999999998</v>
      </c>
      <c r="O3302">
        <v>8</v>
      </c>
      <c r="P3302" t="s">
        <v>26</v>
      </c>
    </row>
    <row r="3303" spans="1:16" x14ac:dyDescent="0.25">
      <c r="A3303" t="s">
        <v>7328</v>
      </c>
      <c r="B3303" t="s">
        <v>640</v>
      </c>
      <c r="C3303" t="s">
        <v>29</v>
      </c>
      <c r="D3303" t="s">
        <v>79</v>
      </c>
      <c r="E3303" t="s">
        <v>20</v>
      </c>
      <c r="F3303" t="s">
        <v>39</v>
      </c>
      <c r="G3303" t="s">
        <v>22</v>
      </c>
      <c r="H3303" t="s">
        <v>46</v>
      </c>
      <c r="I3303" t="s">
        <v>24</v>
      </c>
      <c r="J3303" t="s">
        <v>1709</v>
      </c>
      <c r="L3303">
        <v>5</v>
      </c>
      <c r="M3303">
        <v>175000</v>
      </c>
      <c r="N3303">
        <v>3.2</v>
      </c>
      <c r="O3303">
        <v>12</v>
      </c>
      <c r="P3303" t="s">
        <v>26</v>
      </c>
    </row>
    <row r="3304" spans="1:16" x14ac:dyDescent="0.25">
      <c r="A3304" t="s">
        <v>7329</v>
      </c>
      <c r="B3304" t="s">
        <v>7330</v>
      </c>
      <c r="D3304" t="s">
        <v>19</v>
      </c>
      <c r="E3304" t="s">
        <v>44</v>
      </c>
      <c r="F3304" t="s">
        <v>128</v>
      </c>
      <c r="G3304" t="s">
        <v>69</v>
      </c>
      <c r="H3304" t="s">
        <v>34</v>
      </c>
      <c r="I3304" t="s">
        <v>57</v>
      </c>
      <c r="J3304" t="s">
        <v>2044</v>
      </c>
      <c r="L3304">
        <v>4.2</v>
      </c>
      <c r="M3304">
        <v>423000</v>
      </c>
      <c r="N3304">
        <v>2.9</v>
      </c>
      <c r="O3304">
        <v>24</v>
      </c>
      <c r="P3304" t="s">
        <v>26</v>
      </c>
    </row>
    <row r="3305" spans="1:16" x14ac:dyDescent="0.25">
      <c r="A3305" t="s">
        <v>7331</v>
      </c>
      <c r="B3305" t="s">
        <v>101</v>
      </c>
      <c r="C3305" t="s">
        <v>18</v>
      </c>
      <c r="D3305" t="s">
        <v>30</v>
      </c>
      <c r="E3305" t="s">
        <v>20</v>
      </c>
      <c r="F3305" t="s">
        <v>32</v>
      </c>
      <c r="G3305" t="s">
        <v>22</v>
      </c>
      <c r="H3305" t="s">
        <v>62</v>
      </c>
      <c r="I3305" t="s">
        <v>24</v>
      </c>
      <c r="J3305" t="s">
        <v>7332</v>
      </c>
      <c r="K3305" t="s">
        <v>2993</v>
      </c>
      <c r="L3305">
        <v>6.1</v>
      </c>
      <c r="M3305">
        <v>279000</v>
      </c>
      <c r="N3305">
        <v>4.8</v>
      </c>
      <c r="O3305">
        <v>11</v>
      </c>
      <c r="P3305" t="s">
        <v>72</v>
      </c>
    </row>
    <row r="3306" spans="1:16" x14ac:dyDescent="0.25">
      <c r="A3306" t="s">
        <v>7333</v>
      </c>
      <c r="B3306" t="s">
        <v>5956</v>
      </c>
      <c r="C3306" t="s">
        <v>18</v>
      </c>
      <c r="D3306" t="s">
        <v>79</v>
      </c>
      <c r="E3306" t="s">
        <v>20</v>
      </c>
      <c r="F3306" t="s">
        <v>32</v>
      </c>
      <c r="G3306" t="s">
        <v>22</v>
      </c>
      <c r="H3306" t="s">
        <v>46</v>
      </c>
      <c r="I3306" t="s">
        <v>35</v>
      </c>
      <c r="J3306" t="s">
        <v>2004</v>
      </c>
      <c r="L3306">
        <v>5</v>
      </c>
      <c r="M3306">
        <v>287000</v>
      </c>
      <c r="N3306">
        <v>2.4</v>
      </c>
      <c r="O3306">
        <v>0</v>
      </c>
      <c r="P3306" t="s">
        <v>26</v>
      </c>
    </row>
    <row r="3307" spans="1:16" x14ac:dyDescent="0.25">
      <c r="A3307" t="s">
        <v>7334</v>
      </c>
      <c r="B3307" t="s">
        <v>1027</v>
      </c>
      <c r="C3307" t="s">
        <v>29</v>
      </c>
      <c r="D3307" t="s">
        <v>30</v>
      </c>
      <c r="E3307" t="s">
        <v>20</v>
      </c>
      <c r="F3307" t="s">
        <v>39</v>
      </c>
      <c r="G3307" t="s">
        <v>33</v>
      </c>
      <c r="H3307" t="s">
        <v>46</v>
      </c>
      <c r="I3307" t="s">
        <v>75</v>
      </c>
      <c r="J3307" t="s">
        <v>7335</v>
      </c>
      <c r="K3307" t="s">
        <v>784</v>
      </c>
      <c r="L3307">
        <v>2.2999999999999998</v>
      </c>
      <c r="M3307">
        <v>141000</v>
      </c>
      <c r="N3307">
        <v>1.9</v>
      </c>
      <c r="O3307">
        <v>11</v>
      </c>
      <c r="P3307" t="s">
        <v>72</v>
      </c>
    </row>
    <row r="3308" spans="1:16" x14ac:dyDescent="0.25">
      <c r="A3308" t="s">
        <v>7336</v>
      </c>
      <c r="B3308" t="s">
        <v>3145</v>
      </c>
      <c r="C3308" t="s">
        <v>29</v>
      </c>
      <c r="D3308" t="s">
        <v>19</v>
      </c>
      <c r="E3308" t="s">
        <v>20</v>
      </c>
      <c r="F3308" t="s">
        <v>21</v>
      </c>
      <c r="G3308" t="s">
        <v>22</v>
      </c>
      <c r="H3308" t="s">
        <v>46</v>
      </c>
      <c r="J3308" t="s">
        <v>1129</v>
      </c>
      <c r="L3308">
        <v>5.0999999999999996</v>
      </c>
      <c r="M3308">
        <v>929000</v>
      </c>
      <c r="N3308">
        <v>3.8</v>
      </c>
      <c r="O3308">
        <v>10</v>
      </c>
      <c r="P3308" t="s">
        <v>26</v>
      </c>
    </row>
    <row r="3309" spans="1:16" x14ac:dyDescent="0.25">
      <c r="A3309" t="s">
        <v>7337</v>
      </c>
      <c r="B3309" t="s">
        <v>2842</v>
      </c>
      <c r="C3309" t="s">
        <v>29</v>
      </c>
      <c r="D3309" t="s">
        <v>50</v>
      </c>
      <c r="E3309" t="s">
        <v>20</v>
      </c>
      <c r="F3309" t="s">
        <v>32</v>
      </c>
      <c r="G3309" t="s">
        <v>80</v>
      </c>
      <c r="H3309" t="s">
        <v>46</v>
      </c>
      <c r="I3309" t="s">
        <v>57</v>
      </c>
      <c r="J3309" t="s">
        <v>456</v>
      </c>
      <c r="K3309" t="s">
        <v>2832</v>
      </c>
      <c r="L3309">
        <v>5.5</v>
      </c>
      <c r="M3309">
        <v>330000</v>
      </c>
      <c r="N3309">
        <v>4.2</v>
      </c>
      <c r="O3309">
        <v>6</v>
      </c>
      <c r="P3309" t="s">
        <v>53</v>
      </c>
    </row>
    <row r="3310" spans="1:16" x14ac:dyDescent="0.25">
      <c r="A3310" t="s">
        <v>7338</v>
      </c>
      <c r="B3310" t="s">
        <v>7339</v>
      </c>
      <c r="C3310" t="s">
        <v>29</v>
      </c>
      <c r="D3310" t="s">
        <v>43</v>
      </c>
      <c r="E3310" t="s">
        <v>44</v>
      </c>
      <c r="F3310" t="s">
        <v>128</v>
      </c>
      <c r="G3310" t="s">
        <v>22</v>
      </c>
      <c r="H3310" t="s">
        <v>62</v>
      </c>
      <c r="I3310" t="s">
        <v>35</v>
      </c>
      <c r="J3310" t="s">
        <v>1105</v>
      </c>
      <c r="L3310">
        <v>6.2</v>
      </c>
      <c r="M3310">
        <v>563000</v>
      </c>
      <c r="N3310">
        <v>4.2</v>
      </c>
      <c r="O3310">
        <v>16</v>
      </c>
      <c r="P3310" t="s">
        <v>26</v>
      </c>
    </row>
    <row r="3311" spans="1:16" x14ac:dyDescent="0.25">
      <c r="A3311" t="s">
        <v>7340</v>
      </c>
      <c r="B3311" t="s">
        <v>966</v>
      </c>
      <c r="C3311" t="s">
        <v>18</v>
      </c>
      <c r="D3311" t="s">
        <v>43</v>
      </c>
      <c r="E3311" t="s">
        <v>44</v>
      </c>
      <c r="F3311" t="s">
        <v>32</v>
      </c>
      <c r="G3311" t="s">
        <v>22</v>
      </c>
      <c r="H3311" t="s">
        <v>23</v>
      </c>
      <c r="I3311" t="s">
        <v>57</v>
      </c>
      <c r="J3311" t="s">
        <v>679</v>
      </c>
      <c r="L3311">
        <v>4</v>
      </c>
      <c r="M3311">
        <v>213000</v>
      </c>
      <c r="N3311">
        <v>3.4</v>
      </c>
      <c r="O3311">
        <v>5</v>
      </c>
      <c r="P3311" t="s">
        <v>26</v>
      </c>
    </row>
    <row r="3312" spans="1:16" x14ac:dyDescent="0.25">
      <c r="A3312" t="s">
        <v>7341</v>
      </c>
      <c r="B3312" t="s">
        <v>992</v>
      </c>
      <c r="C3312" t="s">
        <v>29</v>
      </c>
      <c r="D3312" t="s">
        <v>79</v>
      </c>
      <c r="E3312" t="s">
        <v>20</v>
      </c>
      <c r="F3312" t="s">
        <v>45</v>
      </c>
      <c r="G3312" t="s">
        <v>33</v>
      </c>
      <c r="H3312" t="s">
        <v>23</v>
      </c>
      <c r="I3312" t="s">
        <v>35</v>
      </c>
      <c r="J3312" t="s">
        <v>4360</v>
      </c>
      <c r="K3312" t="s">
        <v>2834</v>
      </c>
      <c r="L3312">
        <v>2.2999999999999998</v>
      </c>
      <c r="M3312">
        <v>1060000</v>
      </c>
      <c r="N3312">
        <v>3.5</v>
      </c>
      <c r="O3312">
        <v>8</v>
      </c>
      <c r="P3312" t="s">
        <v>53</v>
      </c>
    </row>
    <row r="3313" spans="1:16" x14ac:dyDescent="0.25">
      <c r="A3313" t="s">
        <v>7342</v>
      </c>
      <c r="B3313" t="s">
        <v>6444</v>
      </c>
      <c r="C3313" t="s">
        <v>18</v>
      </c>
      <c r="D3313" t="s">
        <v>43</v>
      </c>
      <c r="E3313" t="s">
        <v>44</v>
      </c>
      <c r="F3313" t="s">
        <v>32</v>
      </c>
      <c r="G3313" t="s">
        <v>33</v>
      </c>
      <c r="H3313" t="s">
        <v>34</v>
      </c>
      <c r="I3313" t="s">
        <v>24</v>
      </c>
      <c r="J3313" t="s">
        <v>4416</v>
      </c>
      <c r="K3313" t="s">
        <v>4229</v>
      </c>
      <c r="L3313">
        <v>5.2</v>
      </c>
      <c r="M3313">
        <v>223000</v>
      </c>
      <c r="N3313">
        <v>3</v>
      </c>
      <c r="O3313">
        <v>4</v>
      </c>
      <c r="P3313" t="s">
        <v>53</v>
      </c>
    </row>
    <row r="3314" spans="1:16" x14ac:dyDescent="0.25">
      <c r="A3314" t="s">
        <v>7343</v>
      </c>
      <c r="B3314" t="s">
        <v>6465</v>
      </c>
      <c r="C3314" t="s">
        <v>29</v>
      </c>
      <c r="E3314" t="s">
        <v>44</v>
      </c>
      <c r="F3314" t="s">
        <v>39</v>
      </c>
      <c r="G3314" t="s">
        <v>80</v>
      </c>
      <c r="H3314" t="s">
        <v>23</v>
      </c>
      <c r="J3314" t="s">
        <v>3919</v>
      </c>
      <c r="L3314">
        <v>5.2</v>
      </c>
      <c r="M3314">
        <v>180000</v>
      </c>
      <c r="N3314">
        <v>2.2000000000000002</v>
      </c>
      <c r="O3314">
        <v>1</v>
      </c>
      <c r="P3314" t="s">
        <v>26</v>
      </c>
    </row>
    <row r="3315" spans="1:16" x14ac:dyDescent="0.25">
      <c r="A3315" t="s">
        <v>7344</v>
      </c>
      <c r="B3315" t="s">
        <v>7345</v>
      </c>
      <c r="C3315" t="s">
        <v>29</v>
      </c>
      <c r="D3315" t="s">
        <v>50</v>
      </c>
      <c r="E3315" t="s">
        <v>20</v>
      </c>
      <c r="F3315" t="s">
        <v>45</v>
      </c>
      <c r="G3315" t="s">
        <v>22</v>
      </c>
      <c r="H3315" t="s">
        <v>46</v>
      </c>
      <c r="I3315" t="s">
        <v>57</v>
      </c>
      <c r="J3315" t="s">
        <v>3551</v>
      </c>
      <c r="L3315">
        <v>4.3</v>
      </c>
      <c r="M3315">
        <v>1363000</v>
      </c>
      <c r="N3315">
        <v>3.1</v>
      </c>
      <c r="P3315" t="s">
        <v>26</v>
      </c>
    </row>
    <row r="3316" spans="1:16" x14ac:dyDescent="0.25">
      <c r="A3316" t="s">
        <v>7346</v>
      </c>
      <c r="B3316" t="s">
        <v>7347</v>
      </c>
      <c r="C3316" t="s">
        <v>29</v>
      </c>
      <c r="D3316" t="s">
        <v>50</v>
      </c>
      <c r="F3316" t="s">
        <v>39</v>
      </c>
      <c r="G3316" t="s">
        <v>22</v>
      </c>
      <c r="H3316" t="s">
        <v>46</v>
      </c>
      <c r="J3316" t="s">
        <v>4740</v>
      </c>
      <c r="K3316" t="s">
        <v>7348</v>
      </c>
      <c r="L3316">
        <v>4.0999999999999996</v>
      </c>
      <c r="M3316">
        <v>161000</v>
      </c>
      <c r="N3316">
        <v>2.7</v>
      </c>
      <c r="O3316">
        <v>12</v>
      </c>
      <c r="P3316" t="s">
        <v>53</v>
      </c>
    </row>
    <row r="3317" spans="1:16" x14ac:dyDescent="0.25">
      <c r="A3317" t="s">
        <v>7349</v>
      </c>
      <c r="B3317" t="s">
        <v>6085</v>
      </c>
      <c r="C3317" t="s">
        <v>29</v>
      </c>
      <c r="D3317" t="s">
        <v>30</v>
      </c>
      <c r="E3317" t="s">
        <v>20</v>
      </c>
      <c r="G3317" t="s">
        <v>33</v>
      </c>
      <c r="H3317" t="s">
        <v>23</v>
      </c>
      <c r="I3317" t="s">
        <v>57</v>
      </c>
      <c r="J3317" t="s">
        <v>102</v>
      </c>
      <c r="L3317">
        <v>4.3</v>
      </c>
      <c r="M3317">
        <v>91000</v>
      </c>
      <c r="O3317">
        <v>9</v>
      </c>
      <c r="P3317" t="s">
        <v>26</v>
      </c>
    </row>
    <row r="3318" spans="1:16" x14ac:dyDescent="0.25">
      <c r="A3318" t="s">
        <v>7350</v>
      </c>
      <c r="B3318" t="s">
        <v>7351</v>
      </c>
      <c r="C3318" t="s">
        <v>18</v>
      </c>
      <c r="D3318" t="s">
        <v>43</v>
      </c>
      <c r="E3318" t="s">
        <v>20</v>
      </c>
      <c r="F3318" t="s">
        <v>128</v>
      </c>
      <c r="G3318" t="s">
        <v>22</v>
      </c>
      <c r="H3318" t="s">
        <v>34</v>
      </c>
      <c r="J3318" t="s">
        <v>7352</v>
      </c>
      <c r="L3318">
        <v>2.6</v>
      </c>
      <c r="M3318">
        <v>350000</v>
      </c>
      <c r="N3318">
        <v>3.8</v>
      </c>
      <c r="O3318">
        <v>8</v>
      </c>
      <c r="P3318" t="s">
        <v>26</v>
      </c>
    </row>
    <row r="3319" spans="1:16" x14ac:dyDescent="0.25">
      <c r="A3319" t="s">
        <v>7353</v>
      </c>
      <c r="B3319" t="s">
        <v>7354</v>
      </c>
      <c r="C3319" t="s">
        <v>29</v>
      </c>
      <c r="E3319" t="s">
        <v>20</v>
      </c>
      <c r="F3319" t="s">
        <v>128</v>
      </c>
      <c r="G3319" t="s">
        <v>80</v>
      </c>
      <c r="H3319" t="s">
        <v>34</v>
      </c>
      <c r="I3319" t="s">
        <v>57</v>
      </c>
      <c r="J3319" t="s">
        <v>807</v>
      </c>
      <c r="L3319">
        <v>3.3</v>
      </c>
      <c r="M3319">
        <v>438000</v>
      </c>
      <c r="N3319">
        <v>2.9</v>
      </c>
      <c r="O3319">
        <v>7</v>
      </c>
      <c r="P3319" t="s">
        <v>26</v>
      </c>
    </row>
    <row r="3320" spans="1:16" x14ac:dyDescent="0.25">
      <c r="A3320" t="s">
        <v>7355</v>
      </c>
      <c r="B3320" t="s">
        <v>7356</v>
      </c>
      <c r="C3320" t="s">
        <v>18</v>
      </c>
      <c r="D3320" t="s">
        <v>30</v>
      </c>
      <c r="E3320" t="s">
        <v>44</v>
      </c>
      <c r="F3320" t="s">
        <v>32</v>
      </c>
      <c r="G3320" t="s">
        <v>22</v>
      </c>
      <c r="H3320" t="s">
        <v>23</v>
      </c>
      <c r="I3320" t="s">
        <v>171</v>
      </c>
      <c r="J3320" t="s">
        <v>3101</v>
      </c>
      <c r="K3320" t="s">
        <v>1488</v>
      </c>
      <c r="L3320">
        <v>3</v>
      </c>
      <c r="M3320">
        <v>232000</v>
      </c>
      <c r="N3320">
        <v>2.2999999999999998</v>
      </c>
      <c r="O3320">
        <v>11</v>
      </c>
      <c r="P3320" t="s">
        <v>53</v>
      </c>
    </row>
    <row r="3321" spans="1:16" x14ac:dyDescent="0.25">
      <c r="A3321" t="s">
        <v>7357</v>
      </c>
      <c r="B3321" t="s">
        <v>7358</v>
      </c>
      <c r="C3321" t="s">
        <v>29</v>
      </c>
      <c r="D3321" t="s">
        <v>50</v>
      </c>
      <c r="E3321" t="s">
        <v>44</v>
      </c>
      <c r="G3321" t="s">
        <v>22</v>
      </c>
      <c r="H3321" t="s">
        <v>34</v>
      </c>
      <c r="I3321" t="s">
        <v>35</v>
      </c>
      <c r="J3321" t="s">
        <v>6176</v>
      </c>
      <c r="K3321" t="s">
        <v>2937</v>
      </c>
      <c r="L3321">
        <v>3.3</v>
      </c>
      <c r="M3321">
        <v>545000</v>
      </c>
      <c r="N3321">
        <v>2.2999999999999998</v>
      </c>
      <c r="O3321">
        <v>8</v>
      </c>
      <c r="P3321" t="s">
        <v>53</v>
      </c>
    </row>
    <row r="3322" spans="1:16" x14ac:dyDescent="0.25">
      <c r="A3322" t="s">
        <v>7359</v>
      </c>
      <c r="B3322" t="s">
        <v>7360</v>
      </c>
      <c r="C3322" t="s">
        <v>29</v>
      </c>
      <c r="E3322" t="s">
        <v>20</v>
      </c>
      <c r="F3322" t="s">
        <v>39</v>
      </c>
      <c r="G3322" t="s">
        <v>22</v>
      </c>
      <c r="H3322" t="s">
        <v>23</v>
      </c>
      <c r="I3322" t="s">
        <v>24</v>
      </c>
      <c r="J3322" t="s">
        <v>6018</v>
      </c>
      <c r="L3322">
        <v>6.2</v>
      </c>
      <c r="M3322">
        <v>116000</v>
      </c>
      <c r="N3322">
        <v>1.6</v>
      </c>
      <c r="O3322">
        <v>4</v>
      </c>
      <c r="P3322" t="s">
        <v>26</v>
      </c>
    </row>
    <row r="3323" spans="1:16" x14ac:dyDescent="0.25">
      <c r="A3323" t="s">
        <v>7361</v>
      </c>
      <c r="B3323" t="s">
        <v>2020</v>
      </c>
      <c r="C3323" t="s">
        <v>29</v>
      </c>
      <c r="D3323" t="s">
        <v>43</v>
      </c>
      <c r="E3323" t="s">
        <v>20</v>
      </c>
      <c r="F3323" t="s">
        <v>32</v>
      </c>
      <c r="G3323" t="s">
        <v>80</v>
      </c>
      <c r="H3323" t="s">
        <v>23</v>
      </c>
      <c r="I3323" t="s">
        <v>35</v>
      </c>
      <c r="J3323" t="s">
        <v>481</v>
      </c>
      <c r="L3323">
        <v>4.4000000000000004</v>
      </c>
      <c r="M3323">
        <v>217000</v>
      </c>
      <c r="N3323">
        <v>3.6</v>
      </c>
      <c r="P3323" t="s">
        <v>26</v>
      </c>
    </row>
    <row r="3324" spans="1:16" x14ac:dyDescent="0.25">
      <c r="A3324" t="s">
        <v>4453</v>
      </c>
      <c r="B3324" t="s">
        <v>2729</v>
      </c>
      <c r="C3324" t="s">
        <v>18</v>
      </c>
      <c r="E3324" t="s">
        <v>44</v>
      </c>
      <c r="F3324" t="s">
        <v>39</v>
      </c>
      <c r="G3324" t="s">
        <v>80</v>
      </c>
      <c r="H3324" t="s">
        <v>46</v>
      </c>
      <c r="I3324" t="s">
        <v>75</v>
      </c>
      <c r="J3324" t="s">
        <v>4454</v>
      </c>
      <c r="K3324" t="s">
        <v>2119</v>
      </c>
      <c r="L3324">
        <v>4</v>
      </c>
      <c r="M3324">
        <v>119000</v>
      </c>
      <c r="N3324">
        <v>2.5</v>
      </c>
      <c r="O3324">
        <v>6</v>
      </c>
      <c r="P3324" t="s">
        <v>53</v>
      </c>
    </row>
    <row r="3325" spans="1:16" x14ac:dyDescent="0.25">
      <c r="A3325" t="s">
        <v>4638</v>
      </c>
      <c r="B3325" t="s">
        <v>4639</v>
      </c>
      <c r="C3325" t="s">
        <v>29</v>
      </c>
      <c r="D3325" t="s">
        <v>19</v>
      </c>
      <c r="E3325" t="s">
        <v>20</v>
      </c>
      <c r="F3325" t="s">
        <v>32</v>
      </c>
      <c r="G3325" t="s">
        <v>22</v>
      </c>
      <c r="H3325" t="s">
        <v>34</v>
      </c>
      <c r="I3325" t="s">
        <v>24</v>
      </c>
      <c r="J3325" t="s">
        <v>3264</v>
      </c>
      <c r="L3325">
        <v>2.7</v>
      </c>
      <c r="M3325">
        <v>359000</v>
      </c>
      <c r="O3325">
        <v>9</v>
      </c>
      <c r="P3325" t="s">
        <v>26</v>
      </c>
    </row>
    <row r="3326" spans="1:16" x14ac:dyDescent="0.25">
      <c r="A3326" t="s">
        <v>7362</v>
      </c>
      <c r="B3326" t="s">
        <v>4017</v>
      </c>
      <c r="C3326" t="s">
        <v>18</v>
      </c>
      <c r="D3326" t="s">
        <v>30</v>
      </c>
      <c r="E3326" t="s">
        <v>20</v>
      </c>
      <c r="F3326" t="s">
        <v>21</v>
      </c>
      <c r="G3326" t="s">
        <v>33</v>
      </c>
      <c r="H3326" t="s">
        <v>34</v>
      </c>
      <c r="I3326" t="s">
        <v>35</v>
      </c>
      <c r="J3326" t="s">
        <v>357</v>
      </c>
      <c r="L3326">
        <v>6</v>
      </c>
      <c r="M3326">
        <v>875000</v>
      </c>
      <c r="N3326">
        <v>3.8</v>
      </c>
      <c r="O3326">
        <v>32</v>
      </c>
      <c r="P3326" t="s">
        <v>26</v>
      </c>
    </row>
    <row r="3327" spans="1:16" x14ac:dyDescent="0.25">
      <c r="A3327" t="s">
        <v>7363</v>
      </c>
      <c r="B3327" t="s">
        <v>7364</v>
      </c>
      <c r="C3327" t="s">
        <v>18</v>
      </c>
      <c r="D3327" t="s">
        <v>50</v>
      </c>
      <c r="E3327" t="s">
        <v>20</v>
      </c>
      <c r="F3327" t="s">
        <v>128</v>
      </c>
      <c r="G3327" t="s">
        <v>80</v>
      </c>
      <c r="H3327" t="s">
        <v>34</v>
      </c>
      <c r="I3327" t="s">
        <v>75</v>
      </c>
      <c r="J3327" t="s">
        <v>3421</v>
      </c>
      <c r="L3327">
        <v>6</v>
      </c>
      <c r="M3327">
        <v>518000</v>
      </c>
      <c r="N3327">
        <v>3.7</v>
      </c>
      <c r="O3327">
        <v>39</v>
      </c>
      <c r="P3327" t="s">
        <v>26</v>
      </c>
    </row>
    <row r="3328" spans="1:16" x14ac:dyDescent="0.25">
      <c r="A3328" t="s">
        <v>7365</v>
      </c>
      <c r="B3328" t="s">
        <v>5950</v>
      </c>
      <c r="D3328" t="s">
        <v>79</v>
      </c>
      <c r="E3328" t="s">
        <v>44</v>
      </c>
      <c r="F3328" t="s">
        <v>21</v>
      </c>
      <c r="G3328" t="s">
        <v>22</v>
      </c>
      <c r="H3328" t="s">
        <v>62</v>
      </c>
      <c r="I3328" t="s">
        <v>75</v>
      </c>
      <c r="J3328" t="s">
        <v>4387</v>
      </c>
      <c r="L3328">
        <v>4.5</v>
      </c>
      <c r="M3328">
        <v>784000</v>
      </c>
      <c r="N3328">
        <v>4.7</v>
      </c>
      <c r="O3328">
        <v>12</v>
      </c>
      <c r="P3328" t="s">
        <v>26</v>
      </c>
    </row>
    <row r="3329" spans="1:16" x14ac:dyDescent="0.25">
      <c r="A3329" t="s">
        <v>7366</v>
      </c>
      <c r="B3329" t="s">
        <v>7367</v>
      </c>
      <c r="C3329" t="s">
        <v>18</v>
      </c>
      <c r="D3329" t="s">
        <v>79</v>
      </c>
      <c r="E3329" t="s">
        <v>20</v>
      </c>
      <c r="F3329" t="s">
        <v>32</v>
      </c>
      <c r="G3329" t="s">
        <v>80</v>
      </c>
      <c r="H3329" t="s">
        <v>23</v>
      </c>
      <c r="I3329" t="s">
        <v>24</v>
      </c>
      <c r="J3329" t="s">
        <v>3101</v>
      </c>
      <c r="K3329" t="s">
        <v>3042</v>
      </c>
      <c r="L3329">
        <v>3</v>
      </c>
      <c r="M3329">
        <v>202000</v>
      </c>
      <c r="N3329">
        <v>2.2999999999999998</v>
      </c>
      <c r="O3329">
        <v>5</v>
      </c>
      <c r="P3329" t="s">
        <v>53</v>
      </c>
    </row>
    <row r="3330" spans="1:16" x14ac:dyDescent="0.25">
      <c r="A3330" t="s">
        <v>7368</v>
      </c>
      <c r="B3330" t="s">
        <v>7369</v>
      </c>
      <c r="C3330" t="s">
        <v>29</v>
      </c>
      <c r="D3330" t="s">
        <v>19</v>
      </c>
      <c r="E3330" t="s">
        <v>20</v>
      </c>
      <c r="F3330" t="s">
        <v>39</v>
      </c>
      <c r="G3330" t="s">
        <v>69</v>
      </c>
      <c r="H3330" t="s">
        <v>46</v>
      </c>
      <c r="I3330" t="s">
        <v>24</v>
      </c>
      <c r="J3330" t="s">
        <v>6655</v>
      </c>
      <c r="L3330">
        <v>4.7</v>
      </c>
      <c r="M3330">
        <v>184000</v>
      </c>
      <c r="N3330">
        <v>3</v>
      </c>
      <c r="O3330">
        <v>23</v>
      </c>
      <c r="P3330" t="s">
        <v>26</v>
      </c>
    </row>
    <row r="3331" spans="1:16" x14ac:dyDescent="0.25">
      <c r="A3331" t="s">
        <v>7370</v>
      </c>
      <c r="B3331" t="s">
        <v>4421</v>
      </c>
      <c r="C3331" t="s">
        <v>29</v>
      </c>
      <c r="D3331" t="s">
        <v>50</v>
      </c>
      <c r="E3331" t="s">
        <v>20</v>
      </c>
      <c r="F3331" t="s">
        <v>39</v>
      </c>
      <c r="G3331" t="s">
        <v>22</v>
      </c>
      <c r="H3331" t="s">
        <v>23</v>
      </c>
      <c r="I3331" t="s">
        <v>75</v>
      </c>
      <c r="J3331" t="s">
        <v>549</v>
      </c>
      <c r="K3331" t="s">
        <v>3493</v>
      </c>
      <c r="L3331">
        <v>4.5999999999999996</v>
      </c>
      <c r="M3331">
        <v>111000</v>
      </c>
      <c r="N3331">
        <v>3.6</v>
      </c>
      <c r="O3331">
        <v>7</v>
      </c>
      <c r="P3331" t="s">
        <v>72</v>
      </c>
    </row>
    <row r="3332" spans="1:16" x14ac:dyDescent="0.25">
      <c r="A3332" t="s">
        <v>7371</v>
      </c>
      <c r="B3332" t="s">
        <v>3572</v>
      </c>
      <c r="C3332" t="s">
        <v>18</v>
      </c>
      <c r="D3332" t="s">
        <v>43</v>
      </c>
      <c r="E3332" t="s">
        <v>20</v>
      </c>
      <c r="F3332" t="s">
        <v>21</v>
      </c>
      <c r="G3332" t="s">
        <v>69</v>
      </c>
      <c r="H3332" t="s">
        <v>23</v>
      </c>
      <c r="I3332" t="s">
        <v>57</v>
      </c>
      <c r="J3332" t="s">
        <v>2809</v>
      </c>
      <c r="L3332">
        <v>1.8</v>
      </c>
      <c r="N3332">
        <v>4.9000000000000004</v>
      </c>
      <c r="O3332">
        <v>14</v>
      </c>
      <c r="P3332" t="s">
        <v>26</v>
      </c>
    </row>
    <row r="3333" spans="1:16" x14ac:dyDescent="0.25">
      <c r="A3333" t="s">
        <v>7372</v>
      </c>
      <c r="B3333" t="s">
        <v>6495</v>
      </c>
      <c r="C3333" t="s">
        <v>18</v>
      </c>
      <c r="D3333" t="s">
        <v>50</v>
      </c>
      <c r="E3333" t="s">
        <v>44</v>
      </c>
      <c r="F3333" t="s">
        <v>32</v>
      </c>
      <c r="G3333" t="s">
        <v>33</v>
      </c>
      <c r="H3333" t="s">
        <v>62</v>
      </c>
      <c r="I3333" t="s">
        <v>57</v>
      </c>
      <c r="J3333" t="s">
        <v>1118</v>
      </c>
      <c r="L3333">
        <v>5</v>
      </c>
      <c r="M3333">
        <v>216000</v>
      </c>
      <c r="N3333">
        <v>3.3</v>
      </c>
      <c r="O3333">
        <v>1</v>
      </c>
      <c r="P3333" t="s">
        <v>26</v>
      </c>
    </row>
    <row r="3334" spans="1:16" x14ac:dyDescent="0.25">
      <c r="A3334" t="s">
        <v>7373</v>
      </c>
      <c r="B3334" t="s">
        <v>6587</v>
      </c>
      <c r="C3334" t="s">
        <v>29</v>
      </c>
      <c r="D3334" t="s">
        <v>50</v>
      </c>
      <c r="E3334" t="s">
        <v>20</v>
      </c>
      <c r="F3334" t="s">
        <v>32</v>
      </c>
      <c r="G3334" t="s">
        <v>22</v>
      </c>
      <c r="H3334" t="s">
        <v>23</v>
      </c>
      <c r="I3334" t="s">
        <v>24</v>
      </c>
      <c r="J3334" t="s">
        <v>2612</v>
      </c>
      <c r="K3334" t="s">
        <v>401</v>
      </c>
      <c r="L3334">
        <v>6.1</v>
      </c>
      <c r="M3334">
        <v>181000</v>
      </c>
      <c r="N3334">
        <v>3.6</v>
      </c>
      <c r="O3334">
        <v>0</v>
      </c>
      <c r="P3334" t="s">
        <v>53</v>
      </c>
    </row>
    <row r="3335" spans="1:16" x14ac:dyDescent="0.25">
      <c r="A3335" t="s">
        <v>7374</v>
      </c>
      <c r="B3335" t="s">
        <v>7375</v>
      </c>
      <c r="C3335" t="s">
        <v>29</v>
      </c>
      <c r="D3335" t="s">
        <v>50</v>
      </c>
      <c r="E3335" t="s">
        <v>20</v>
      </c>
      <c r="F3335" t="s">
        <v>128</v>
      </c>
      <c r="G3335" t="s">
        <v>80</v>
      </c>
      <c r="H3335" t="s">
        <v>23</v>
      </c>
      <c r="I3335" t="s">
        <v>24</v>
      </c>
      <c r="J3335" t="s">
        <v>1623</v>
      </c>
      <c r="K3335" t="s">
        <v>4070</v>
      </c>
      <c r="L3335">
        <v>2.1</v>
      </c>
      <c r="M3335">
        <v>505000</v>
      </c>
      <c r="N3335">
        <v>2.8</v>
      </c>
      <c r="O3335">
        <v>5</v>
      </c>
      <c r="P3335" t="s">
        <v>72</v>
      </c>
    </row>
    <row r="3336" spans="1:16" x14ac:dyDescent="0.25">
      <c r="A3336" t="s">
        <v>7376</v>
      </c>
      <c r="B3336" t="s">
        <v>7377</v>
      </c>
      <c r="C3336" t="s">
        <v>18</v>
      </c>
      <c r="D3336" t="s">
        <v>79</v>
      </c>
      <c r="E3336" t="s">
        <v>20</v>
      </c>
      <c r="F3336" t="s">
        <v>32</v>
      </c>
      <c r="G3336" t="s">
        <v>22</v>
      </c>
      <c r="H3336" t="s">
        <v>34</v>
      </c>
      <c r="I3336" t="s">
        <v>24</v>
      </c>
      <c r="J3336" t="s">
        <v>2061</v>
      </c>
      <c r="K3336" t="s">
        <v>2233</v>
      </c>
      <c r="L3336">
        <v>5.5</v>
      </c>
      <c r="M3336">
        <v>339000</v>
      </c>
      <c r="N3336">
        <v>2</v>
      </c>
      <c r="O3336">
        <v>19</v>
      </c>
      <c r="P3336" t="s">
        <v>53</v>
      </c>
    </row>
    <row r="3337" spans="1:16" x14ac:dyDescent="0.25">
      <c r="A3337" t="s">
        <v>7378</v>
      </c>
      <c r="B3337" t="s">
        <v>7379</v>
      </c>
      <c r="C3337" t="s">
        <v>18</v>
      </c>
      <c r="D3337" t="s">
        <v>30</v>
      </c>
      <c r="E3337" t="s">
        <v>20</v>
      </c>
      <c r="F3337" t="s">
        <v>128</v>
      </c>
      <c r="G3337" t="s">
        <v>80</v>
      </c>
      <c r="H3337" t="s">
        <v>46</v>
      </c>
      <c r="I3337" t="s">
        <v>24</v>
      </c>
      <c r="J3337" t="s">
        <v>3221</v>
      </c>
      <c r="L3337">
        <v>1.7</v>
      </c>
      <c r="M3337">
        <v>364000</v>
      </c>
      <c r="N3337">
        <v>2.4</v>
      </c>
      <c r="O3337">
        <v>9</v>
      </c>
      <c r="P3337" t="s">
        <v>26</v>
      </c>
    </row>
    <row r="3338" spans="1:16" x14ac:dyDescent="0.25">
      <c r="A3338" t="s">
        <v>7380</v>
      </c>
      <c r="B3338" t="s">
        <v>1787</v>
      </c>
      <c r="C3338" t="s">
        <v>18</v>
      </c>
      <c r="E3338" t="s">
        <v>20</v>
      </c>
      <c r="F3338" t="s">
        <v>128</v>
      </c>
      <c r="G3338" t="s">
        <v>22</v>
      </c>
      <c r="H3338" t="s">
        <v>46</v>
      </c>
      <c r="I3338" t="s">
        <v>24</v>
      </c>
      <c r="J3338" t="s">
        <v>1689</v>
      </c>
      <c r="L3338">
        <v>1.7</v>
      </c>
      <c r="M3338">
        <v>368000</v>
      </c>
      <c r="N3338">
        <v>3.4</v>
      </c>
      <c r="O3338">
        <v>10</v>
      </c>
      <c r="P3338" t="s">
        <v>26</v>
      </c>
    </row>
    <row r="3339" spans="1:16" x14ac:dyDescent="0.25">
      <c r="A3339" t="s">
        <v>7381</v>
      </c>
      <c r="B3339" t="s">
        <v>4093</v>
      </c>
      <c r="C3339" t="s">
        <v>18</v>
      </c>
      <c r="D3339" t="s">
        <v>43</v>
      </c>
      <c r="E3339" t="s">
        <v>31</v>
      </c>
      <c r="F3339" t="s">
        <v>128</v>
      </c>
      <c r="G3339" t="s">
        <v>33</v>
      </c>
      <c r="H3339" t="s">
        <v>23</v>
      </c>
      <c r="I3339" t="s">
        <v>75</v>
      </c>
      <c r="J3339" t="s">
        <v>847</v>
      </c>
      <c r="K3339" t="s">
        <v>693</v>
      </c>
      <c r="L3339">
        <v>2.2999999999999998</v>
      </c>
      <c r="M3339">
        <v>455000</v>
      </c>
      <c r="N3339">
        <v>4.5999999999999996</v>
      </c>
      <c r="O3339">
        <v>9</v>
      </c>
      <c r="P3339" t="s">
        <v>72</v>
      </c>
    </row>
    <row r="3340" spans="1:16" x14ac:dyDescent="0.25">
      <c r="A3340" t="s">
        <v>7382</v>
      </c>
      <c r="B3340" t="s">
        <v>4447</v>
      </c>
      <c r="C3340" t="s">
        <v>18</v>
      </c>
      <c r="D3340" t="s">
        <v>79</v>
      </c>
      <c r="E3340" t="s">
        <v>20</v>
      </c>
      <c r="F3340" t="s">
        <v>32</v>
      </c>
      <c r="G3340" t="s">
        <v>22</v>
      </c>
      <c r="H3340" t="s">
        <v>34</v>
      </c>
      <c r="I3340" t="s">
        <v>24</v>
      </c>
      <c r="J3340" t="s">
        <v>4891</v>
      </c>
      <c r="L3340">
        <v>4.8</v>
      </c>
      <c r="M3340">
        <v>281000</v>
      </c>
      <c r="N3340">
        <v>4.2</v>
      </c>
      <c r="O3340">
        <v>9</v>
      </c>
      <c r="P3340" t="s">
        <v>26</v>
      </c>
    </row>
    <row r="3341" spans="1:16" x14ac:dyDescent="0.25">
      <c r="A3341" t="s">
        <v>7383</v>
      </c>
      <c r="B3341" t="s">
        <v>3700</v>
      </c>
      <c r="C3341" t="s">
        <v>18</v>
      </c>
      <c r="D3341" t="s">
        <v>79</v>
      </c>
      <c r="E3341" t="s">
        <v>20</v>
      </c>
      <c r="G3341" t="s">
        <v>22</v>
      </c>
      <c r="H3341" t="s">
        <v>23</v>
      </c>
      <c r="I3341" t="s">
        <v>57</v>
      </c>
      <c r="J3341" t="s">
        <v>1000</v>
      </c>
      <c r="L3341">
        <v>3.2</v>
      </c>
      <c r="M3341">
        <v>458000</v>
      </c>
      <c r="N3341">
        <v>3.7</v>
      </c>
      <c r="O3341">
        <v>9</v>
      </c>
      <c r="P3341" t="s">
        <v>26</v>
      </c>
    </row>
    <row r="3342" spans="1:16" x14ac:dyDescent="0.25">
      <c r="A3342" t="s">
        <v>7384</v>
      </c>
      <c r="B3342" t="s">
        <v>7385</v>
      </c>
      <c r="C3342" t="s">
        <v>29</v>
      </c>
      <c r="E3342" t="s">
        <v>44</v>
      </c>
      <c r="F3342" t="s">
        <v>32</v>
      </c>
      <c r="G3342" t="s">
        <v>33</v>
      </c>
      <c r="H3342" t="s">
        <v>46</v>
      </c>
      <c r="I3342" t="s">
        <v>35</v>
      </c>
      <c r="J3342" t="s">
        <v>564</v>
      </c>
      <c r="K3342" t="s">
        <v>4278</v>
      </c>
      <c r="L3342">
        <v>6.1</v>
      </c>
      <c r="M3342">
        <v>290000</v>
      </c>
      <c r="N3342">
        <v>3.4</v>
      </c>
      <c r="O3342">
        <v>8</v>
      </c>
      <c r="P3342" t="s">
        <v>53</v>
      </c>
    </row>
    <row r="3343" spans="1:16" x14ac:dyDescent="0.25">
      <c r="A3343" t="s">
        <v>7386</v>
      </c>
      <c r="B3343" t="s">
        <v>7387</v>
      </c>
      <c r="C3343" t="s">
        <v>29</v>
      </c>
      <c r="D3343" t="s">
        <v>50</v>
      </c>
      <c r="E3343" t="s">
        <v>44</v>
      </c>
      <c r="F3343" t="s">
        <v>128</v>
      </c>
      <c r="G3343" t="s">
        <v>22</v>
      </c>
      <c r="H3343" t="s">
        <v>23</v>
      </c>
      <c r="I3343" t="s">
        <v>57</v>
      </c>
      <c r="J3343" t="s">
        <v>4952</v>
      </c>
      <c r="L3343">
        <v>3.4</v>
      </c>
      <c r="M3343">
        <v>521000</v>
      </c>
      <c r="N3343">
        <v>4</v>
      </c>
      <c r="O3343">
        <v>1</v>
      </c>
      <c r="P3343" t="s">
        <v>26</v>
      </c>
    </row>
    <row r="3344" spans="1:16" x14ac:dyDescent="0.25">
      <c r="A3344" t="s">
        <v>7388</v>
      </c>
      <c r="B3344" t="s">
        <v>2096</v>
      </c>
      <c r="C3344" t="s">
        <v>18</v>
      </c>
      <c r="D3344" t="s">
        <v>79</v>
      </c>
      <c r="E3344" t="s">
        <v>20</v>
      </c>
      <c r="F3344" t="s">
        <v>39</v>
      </c>
      <c r="G3344" t="s">
        <v>33</v>
      </c>
      <c r="H3344" t="s">
        <v>23</v>
      </c>
      <c r="I3344" t="s">
        <v>35</v>
      </c>
      <c r="J3344" t="s">
        <v>5782</v>
      </c>
      <c r="L3344">
        <v>2</v>
      </c>
      <c r="M3344">
        <v>92000</v>
      </c>
      <c r="N3344">
        <v>5</v>
      </c>
      <c r="O3344">
        <v>1</v>
      </c>
      <c r="P3344" t="s">
        <v>26</v>
      </c>
    </row>
    <row r="3345" spans="1:16" x14ac:dyDescent="0.25">
      <c r="A3345" t="s">
        <v>7389</v>
      </c>
      <c r="B3345" t="s">
        <v>7390</v>
      </c>
      <c r="C3345" t="s">
        <v>18</v>
      </c>
      <c r="D3345" t="s">
        <v>43</v>
      </c>
      <c r="E3345" t="s">
        <v>44</v>
      </c>
      <c r="F3345" t="s">
        <v>128</v>
      </c>
      <c r="G3345" t="s">
        <v>33</v>
      </c>
      <c r="H3345" t="s">
        <v>46</v>
      </c>
      <c r="I3345" t="s">
        <v>35</v>
      </c>
      <c r="J3345" t="s">
        <v>3117</v>
      </c>
      <c r="L3345">
        <v>1.3</v>
      </c>
      <c r="M3345">
        <v>414000</v>
      </c>
      <c r="N3345">
        <v>4.5</v>
      </c>
      <c r="O3345">
        <v>8</v>
      </c>
      <c r="P3345" t="s">
        <v>26</v>
      </c>
    </row>
    <row r="3346" spans="1:16" x14ac:dyDescent="0.25">
      <c r="A3346" t="s">
        <v>7391</v>
      </c>
      <c r="B3346" t="s">
        <v>7392</v>
      </c>
      <c r="C3346" t="s">
        <v>18</v>
      </c>
      <c r="D3346" t="s">
        <v>30</v>
      </c>
      <c r="F3346" t="s">
        <v>32</v>
      </c>
      <c r="G3346" t="s">
        <v>80</v>
      </c>
      <c r="H3346" t="s">
        <v>34</v>
      </c>
      <c r="I3346" t="s">
        <v>57</v>
      </c>
      <c r="J3346" t="s">
        <v>3804</v>
      </c>
      <c r="L3346">
        <v>1.8</v>
      </c>
      <c r="M3346">
        <v>271000</v>
      </c>
      <c r="N3346">
        <v>3.6</v>
      </c>
      <c r="O3346">
        <v>8</v>
      </c>
      <c r="P3346" t="s">
        <v>26</v>
      </c>
    </row>
    <row r="3347" spans="1:16" x14ac:dyDescent="0.25">
      <c r="A3347" t="s">
        <v>7393</v>
      </c>
      <c r="B3347" t="s">
        <v>6278</v>
      </c>
      <c r="C3347" t="s">
        <v>18</v>
      </c>
      <c r="D3347" t="s">
        <v>50</v>
      </c>
      <c r="E3347" t="s">
        <v>20</v>
      </c>
      <c r="F3347" t="s">
        <v>128</v>
      </c>
      <c r="G3347" t="s">
        <v>69</v>
      </c>
      <c r="H3347" t="s">
        <v>34</v>
      </c>
      <c r="I3347" t="s">
        <v>75</v>
      </c>
      <c r="J3347" t="s">
        <v>1021</v>
      </c>
      <c r="L3347">
        <v>4.5999999999999996</v>
      </c>
      <c r="M3347">
        <v>595000</v>
      </c>
      <c r="N3347">
        <v>2.4</v>
      </c>
      <c r="O3347">
        <v>7</v>
      </c>
      <c r="P3347" t="s">
        <v>26</v>
      </c>
    </row>
    <row r="3348" spans="1:16" x14ac:dyDescent="0.25">
      <c r="A3348" t="s">
        <v>7394</v>
      </c>
      <c r="B3348" t="s">
        <v>3138</v>
      </c>
      <c r="C3348" t="s">
        <v>18</v>
      </c>
      <c r="D3348" t="s">
        <v>30</v>
      </c>
      <c r="E3348" t="s">
        <v>44</v>
      </c>
      <c r="F3348" t="s">
        <v>39</v>
      </c>
      <c r="G3348" t="s">
        <v>80</v>
      </c>
      <c r="H3348" t="s">
        <v>23</v>
      </c>
      <c r="I3348" t="s">
        <v>24</v>
      </c>
      <c r="J3348" t="s">
        <v>52</v>
      </c>
      <c r="L3348">
        <v>2.7</v>
      </c>
      <c r="M3348">
        <v>101000</v>
      </c>
      <c r="N3348">
        <v>2.8</v>
      </c>
      <c r="O3348">
        <v>3</v>
      </c>
      <c r="P3348" t="s">
        <v>26</v>
      </c>
    </row>
    <row r="3349" spans="1:16" x14ac:dyDescent="0.25">
      <c r="A3349" t="s">
        <v>7395</v>
      </c>
      <c r="B3349" t="s">
        <v>4206</v>
      </c>
      <c r="C3349" t="s">
        <v>29</v>
      </c>
      <c r="D3349" t="s">
        <v>30</v>
      </c>
      <c r="E3349" t="s">
        <v>20</v>
      </c>
      <c r="F3349" t="s">
        <v>39</v>
      </c>
      <c r="G3349" t="s">
        <v>22</v>
      </c>
      <c r="H3349" t="s">
        <v>34</v>
      </c>
      <c r="I3349" t="s">
        <v>57</v>
      </c>
      <c r="J3349" t="s">
        <v>7396</v>
      </c>
      <c r="L3349">
        <v>1.3</v>
      </c>
      <c r="M3349">
        <v>160000</v>
      </c>
      <c r="N3349">
        <v>2.8</v>
      </c>
      <c r="O3349">
        <v>13</v>
      </c>
      <c r="P3349" t="s">
        <v>26</v>
      </c>
    </row>
    <row r="3350" spans="1:16" x14ac:dyDescent="0.25">
      <c r="A3350" t="s">
        <v>7397</v>
      </c>
      <c r="B3350" t="s">
        <v>7398</v>
      </c>
      <c r="C3350" t="s">
        <v>18</v>
      </c>
      <c r="D3350" t="s">
        <v>43</v>
      </c>
      <c r="E3350" t="s">
        <v>44</v>
      </c>
      <c r="F3350" t="s">
        <v>128</v>
      </c>
      <c r="G3350" t="s">
        <v>22</v>
      </c>
      <c r="H3350" t="s">
        <v>34</v>
      </c>
      <c r="I3350" t="s">
        <v>24</v>
      </c>
      <c r="J3350" t="s">
        <v>2064</v>
      </c>
      <c r="K3350" t="s">
        <v>1221</v>
      </c>
      <c r="L3350">
        <v>2.4</v>
      </c>
      <c r="M3350">
        <v>481000</v>
      </c>
      <c r="N3350">
        <v>2.1</v>
      </c>
      <c r="O3350">
        <v>10</v>
      </c>
      <c r="P3350" t="s">
        <v>72</v>
      </c>
    </row>
    <row r="3351" spans="1:16" x14ac:dyDescent="0.25">
      <c r="A3351" t="s">
        <v>4182</v>
      </c>
      <c r="B3351" t="s">
        <v>1291</v>
      </c>
      <c r="C3351" t="s">
        <v>18</v>
      </c>
      <c r="D3351" t="s">
        <v>19</v>
      </c>
      <c r="E3351" t="s">
        <v>20</v>
      </c>
      <c r="F3351" t="s">
        <v>32</v>
      </c>
      <c r="G3351" t="s">
        <v>80</v>
      </c>
      <c r="H3351" t="s">
        <v>34</v>
      </c>
      <c r="I3351" t="s">
        <v>24</v>
      </c>
      <c r="J3351" t="s">
        <v>1779</v>
      </c>
      <c r="L3351">
        <v>6.1</v>
      </c>
      <c r="M3351">
        <v>323000</v>
      </c>
      <c r="N3351">
        <v>4.3</v>
      </c>
      <c r="O3351">
        <v>7</v>
      </c>
      <c r="P3351" t="s">
        <v>26</v>
      </c>
    </row>
    <row r="3352" spans="1:16" x14ac:dyDescent="0.25">
      <c r="A3352" t="s">
        <v>7399</v>
      </c>
      <c r="B3352" t="s">
        <v>1544</v>
      </c>
      <c r="C3352" t="s">
        <v>18</v>
      </c>
      <c r="D3352" t="s">
        <v>43</v>
      </c>
      <c r="E3352" t="s">
        <v>20</v>
      </c>
      <c r="F3352" t="s">
        <v>21</v>
      </c>
      <c r="G3352" t="s">
        <v>69</v>
      </c>
      <c r="H3352" t="s">
        <v>46</v>
      </c>
      <c r="I3352" t="s">
        <v>35</v>
      </c>
      <c r="J3352" t="s">
        <v>4383</v>
      </c>
      <c r="K3352" t="s">
        <v>6774</v>
      </c>
      <c r="L3352">
        <v>4.5</v>
      </c>
      <c r="M3352">
        <v>817000</v>
      </c>
      <c r="N3352">
        <v>3.8</v>
      </c>
      <c r="O3352">
        <v>11</v>
      </c>
      <c r="P3352" t="s">
        <v>53</v>
      </c>
    </row>
    <row r="3353" spans="1:16" x14ac:dyDescent="0.25">
      <c r="A3353" t="s">
        <v>7400</v>
      </c>
      <c r="B3353" t="s">
        <v>7401</v>
      </c>
      <c r="C3353" t="s">
        <v>18</v>
      </c>
      <c r="D3353" t="s">
        <v>19</v>
      </c>
      <c r="E3353" t="s">
        <v>20</v>
      </c>
      <c r="F3353" t="s">
        <v>21</v>
      </c>
      <c r="G3353" t="s">
        <v>69</v>
      </c>
      <c r="H3353" t="s">
        <v>23</v>
      </c>
      <c r="I3353" t="s">
        <v>24</v>
      </c>
      <c r="J3353" t="s">
        <v>1763</v>
      </c>
      <c r="L3353">
        <v>2.1</v>
      </c>
      <c r="M3353">
        <v>1045000</v>
      </c>
      <c r="N3353">
        <v>3.9</v>
      </c>
      <c r="O3353">
        <v>10</v>
      </c>
      <c r="P3353" t="s">
        <v>26</v>
      </c>
    </row>
    <row r="3354" spans="1:16" x14ac:dyDescent="0.25">
      <c r="A3354" t="s">
        <v>7402</v>
      </c>
      <c r="B3354" t="s">
        <v>3752</v>
      </c>
      <c r="C3354" t="s">
        <v>18</v>
      </c>
      <c r="D3354" t="s">
        <v>30</v>
      </c>
      <c r="E3354" t="s">
        <v>20</v>
      </c>
      <c r="F3354" t="s">
        <v>39</v>
      </c>
      <c r="G3354" t="s">
        <v>69</v>
      </c>
      <c r="H3354" t="s">
        <v>46</v>
      </c>
      <c r="I3354" t="s">
        <v>24</v>
      </c>
      <c r="J3354" t="s">
        <v>7403</v>
      </c>
      <c r="L3354">
        <v>4.5999999999999996</v>
      </c>
      <c r="N3354">
        <v>3.3</v>
      </c>
      <c r="O3354">
        <v>9</v>
      </c>
      <c r="P3354" t="s">
        <v>26</v>
      </c>
    </row>
    <row r="3355" spans="1:16" x14ac:dyDescent="0.25">
      <c r="A3355" t="s">
        <v>7404</v>
      </c>
      <c r="B3355" t="s">
        <v>7405</v>
      </c>
      <c r="C3355" t="s">
        <v>29</v>
      </c>
      <c r="D3355" t="s">
        <v>30</v>
      </c>
      <c r="E3355" t="s">
        <v>31</v>
      </c>
      <c r="F3355" t="s">
        <v>39</v>
      </c>
      <c r="G3355" t="s">
        <v>22</v>
      </c>
      <c r="H3355" t="s">
        <v>23</v>
      </c>
      <c r="I3355" t="s">
        <v>24</v>
      </c>
      <c r="J3355" t="s">
        <v>2534</v>
      </c>
      <c r="K3355" t="s">
        <v>859</v>
      </c>
      <c r="L3355">
        <v>5.2</v>
      </c>
      <c r="M3355">
        <v>128000</v>
      </c>
      <c r="N3355">
        <v>1.7</v>
      </c>
      <c r="O3355">
        <v>5</v>
      </c>
      <c r="P3355" t="s">
        <v>114</v>
      </c>
    </row>
    <row r="3356" spans="1:16" x14ac:dyDescent="0.25">
      <c r="A3356" t="s">
        <v>7406</v>
      </c>
      <c r="B3356" t="s">
        <v>6936</v>
      </c>
      <c r="C3356" t="s">
        <v>29</v>
      </c>
      <c r="D3356" t="s">
        <v>50</v>
      </c>
      <c r="E3356" t="s">
        <v>44</v>
      </c>
      <c r="F3356" t="s">
        <v>128</v>
      </c>
      <c r="G3356" t="s">
        <v>33</v>
      </c>
      <c r="H3356" t="s">
        <v>46</v>
      </c>
      <c r="I3356" t="s">
        <v>35</v>
      </c>
      <c r="J3356" t="s">
        <v>6011</v>
      </c>
      <c r="K3356" t="s">
        <v>7407</v>
      </c>
      <c r="L3356">
        <v>4.9000000000000004</v>
      </c>
      <c r="M3356">
        <v>440000</v>
      </c>
      <c r="N3356">
        <v>3.6</v>
      </c>
      <c r="O3356">
        <v>7</v>
      </c>
      <c r="P3356" t="s">
        <v>53</v>
      </c>
    </row>
    <row r="3357" spans="1:16" x14ac:dyDescent="0.25">
      <c r="A3357" t="s">
        <v>7408</v>
      </c>
      <c r="B3357" t="s">
        <v>6948</v>
      </c>
      <c r="C3357" t="s">
        <v>18</v>
      </c>
      <c r="D3357" t="s">
        <v>43</v>
      </c>
      <c r="E3357" t="s">
        <v>20</v>
      </c>
      <c r="F3357" t="s">
        <v>32</v>
      </c>
      <c r="G3357" t="s">
        <v>22</v>
      </c>
      <c r="H3357" t="s">
        <v>62</v>
      </c>
      <c r="I3357" t="s">
        <v>24</v>
      </c>
      <c r="J3357" t="s">
        <v>2568</v>
      </c>
      <c r="L3357">
        <v>1.3</v>
      </c>
      <c r="M3357">
        <v>281000</v>
      </c>
      <c r="N3357">
        <v>2.6</v>
      </c>
      <c r="O3357">
        <v>15</v>
      </c>
      <c r="P3357" t="s">
        <v>26</v>
      </c>
    </row>
    <row r="3358" spans="1:16" x14ac:dyDescent="0.25">
      <c r="A3358" t="s">
        <v>7409</v>
      </c>
      <c r="B3358" t="s">
        <v>7410</v>
      </c>
      <c r="C3358" t="s">
        <v>18</v>
      </c>
      <c r="D3358" t="s">
        <v>79</v>
      </c>
      <c r="E3358" t="s">
        <v>20</v>
      </c>
      <c r="G3358" t="s">
        <v>22</v>
      </c>
      <c r="H3358" t="s">
        <v>34</v>
      </c>
      <c r="I3358" t="s">
        <v>24</v>
      </c>
      <c r="J3358" t="s">
        <v>360</v>
      </c>
      <c r="L3358">
        <v>1.5</v>
      </c>
      <c r="M3358">
        <v>533000</v>
      </c>
      <c r="N3358">
        <v>4.0999999999999996</v>
      </c>
      <c r="O3358">
        <v>14</v>
      </c>
      <c r="P3358" t="s">
        <v>26</v>
      </c>
    </row>
    <row r="3359" spans="1:16" x14ac:dyDescent="0.25">
      <c r="A3359" t="s">
        <v>7411</v>
      </c>
      <c r="B3359" t="s">
        <v>6491</v>
      </c>
      <c r="C3359" t="s">
        <v>29</v>
      </c>
      <c r="E3359" t="s">
        <v>20</v>
      </c>
      <c r="F3359" t="s">
        <v>39</v>
      </c>
      <c r="G3359" t="s">
        <v>33</v>
      </c>
      <c r="H3359" t="s">
        <v>23</v>
      </c>
      <c r="J3359" t="s">
        <v>4229</v>
      </c>
      <c r="L3359">
        <v>4</v>
      </c>
      <c r="M3359">
        <v>141000</v>
      </c>
      <c r="N3359">
        <v>4.8</v>
      </c>
      <c r="O3359">
        <v>37</v>
      </c>
      <c r="P3359" t="s">
        <v>26</v>
      </c>
    </row>
    <row r="3360" spans="1:16" x14ac:dyDescent="0.25">
      <c r="A3360" t="s">
        <v>7412</v>
      </c>
      <c r="B3360" t="s">
        <v>2934</v>
      </c>
      <c r="C3360" t="s">
        <v>29</v>
      </c>
      <c r="D3360" t="s">
        <v>30</v>
      </c>
      <c r="E3360" t="s">
        <v>20</v>
      </c>
      <c r="F3360" t="s">
        <v>45</v>
      </c>
      <c r="G3360" t="s">
        <v>22</v>
      </c>
      <c r="H3360" t="s">
        <v>62</v>
      </c>
      <c r="I3360" t="s">
        <v>57</v>
      </c>
      <c r="J3360" t="s">
        <v>1516</v>
      </c>
      <c r="L3360">
        <v>3.6</v>
      </c>
      <c r="M3360">
        <v>1657000</v>
      </c>
      <c r="N3360">
        <v>4.0999999999999996</v>
      </c>
      <c r="O3360">
        <v>13</v>
      </c>
      <c r="P3360" t="s">
        <v>26</v>
      </c>
    </row>
    <row r="3361" spans="1:16" x14ac:dyDescent="0.25">
      <c r="A3361" t="s">
        <v>7413</v>
      </c>
      <c r="B3361" t="s">
        <v>5614</v>
      </c>
      <c r="C3361" t="s">
        <v>18</v>
      </c>
      <c r="D3361" t="s">
        <v>19</v>
      </c>
      <c r="E3361" t="s">
        <v>20</v>
      </c>
      <c r="F3361" t="s">
        <v>128</v>
      </c>
      <c r="G3361" t="s">
        <v>22</v>
      </c>
      <c r="H3361" t="s">
        <v>46</v>
      </c>
      <c r="I3361" t="s">
        <v>35</v>
      </c>
      <c r="J3361" t="s">
        <v>3580</v>
      </c>
      <c r="L3361">
        <v>1.7</v>
      </c>
      <c r="M3361">
        <v>563000</v>
      </c>
      <c r="N3361">
        <v>3.3</v>
      </c>
      <c r="O3361">
        <v>10</v>
      </c>
      <c r="P3361" t="s">
        <v>26</v>
      </c>
    </row>
    <row r="3362" spans="1:16" x14ac:dyDescent="0.25">
      <c r="A3362" t="s">
        <v>7414</v>
      </c>
      <c r="B3362" t="s">
        <v>1343</v>
      </c>
      <c r="C3362" t="s">
        <v>18</v>
      </c>
      <c r="D3362" t="s">
        <v>19</v>
      </c>
      <c r="E3362" t="s">
        <v>31</v>
      </c>
      <c r="F3362" t="s">
        <v>39</v>
      </c>
      <c r="G3362" t="s">
        <v>80</v>
      </c>
      <c r="H3362" t="s">
        <v>23</v>
      </c>
      <c r="I3362" t="s">
        <v>24</v>
      </c>
      <c r="J3362" t="s">
        <v>3474</v>
      </c>
      <c r="K3362" t="s">
        <v>4500</v>
      </c>
      <c r="L3362">
        <v>3</v>
      </c>
      <c r="M3362">
        <v>198000</v>
      </c>
      <c r="N3362">
        <v>2.7</v>
      </c>
      <c r="O3362">
        <v>1</v>
      </c>
      <c r="P3362" t="s">
        <v>114</v>
      </c>
    </row>
    <row r="3363" spans="1:16" x14ac:dyDescent="0.25">
      <c r="A3363" t="s">
        <v>7415</v>
      </c>
      <c r="B3363" t="s">
        <v>2668</v>
      </c>
      <c r="C3363" t="s">
        <v>18</v>
      </c>
      <c r="D3363" t="s">
        <v>79</v>
      </c>
      <c r="E3363" t="s">
        <v>20</v>
      </c>
      <c r="F3363" t="s">
        <v>45</v>
      </c>
      <c r="G3363" t="s">
        <v>22</v>
      </c>
      <c r="H3363" t="s">
        <v>46</v>
      </c>
      <c r="I3363" t="s">
        <v>35</v>
      </c>
      <c r="J3363" t="s">
        <v>1571</v>
      </c>
      <c r="K3363" t="s">
        <v>2439</v>
      </c>
      <c r="L3363">
        <v>3.8</v>
      </c>
      <c r="M3363">
        <v>1124000</v>
      </c>
      <c r="N3363">
        <v>3.4</v>
      </c>
      <c r="O3363">
        <v>6</v>
      </c>
      <c r="P3363" t="s">
        <v>53</v>
      </c>
    </row>
    <row r="3364" spans="1:16" x14ac:dyDescent="0.25">
      <c r="A3364" t="s">
        <v>7416</v>
      </c>
      <c r="B3364" t="s">
        <v>7417</v>
      </c>
      <c r="C3364" t="s">
        <v>29</v>
      </c>
      <c r="D3364" t="s">
        <v>79</v>
      </c>
      <c r="E3364" t="s">
        <v>20</v>
      </c>
      <c r="F3364" t="s">
        <v>32</v>
      </c>
      <c r="G3364" t="s">
        <v>33</v>
      </c>
      <c r="H3364" t="s">
        <v>23</v>
      </c>
      <c r="I3364" t="s">
        <v>24</v>
      </c>
      <c r="J3364" t="s">
        <v>47</v>
      </c>
      <c r="L3364">
        <v>3</v>
      </c>
      <c r="M3364">
        <v>253000</v>
      </c>
      <c r="N3364">
        <v>3.2</v>
      </c>
      <c r="P3364" t="s">
        <v>26</v>
      </c>
    </row>
    <row r="3365" spans="1:16" x14ac:dyDescent="0.25">
      <c r="A3365" t="s">
        <v>7418</v>
      </c>
      <c r="B3365" t="s">
        <v>7419</v>
      </c>
      <c r="C3365" t="s">
        <v>18</v>
      </c>
      <c r="D3365" t="s">
        <v>30</v>
      </c>
      <c r="E3365" t="s">
        <v>20</v>
      </c>
      <c r="F3365" t="s">
        <v>128</v>
      </c>
      <c r="G3365" t="s">
        <v>80</v>
      </c>
      <c r="H3365" t="s">
        <v>23</v>
      </c>
      <c r="J3365" t="s">
        <v>7420</v>
      </c>
      <c r="L3365">
        <v>5.9</v>
      </c>
      <c r="M3365">
        <v>565000</v>
      </c>
      <c r="N3365">
        <v>2.2999999999999998</v>
      </c>
      <c r="O3365">
        <v>13</v>
      </c>
      <c r="P3365" t="s">
        <v>26</v>
      </c>
    </row>
    <row r="3366" spans="1:16" x14ac:dyDescent="0.25">
      <c r="A3366" t="s">
        <v>7421</v>
      </c>
      <c r="B3366" t="s">
        <v>2133</v>
      </c>
      <c r="C3366" t="s">
        <v>18</v>
      </c>
      <c r="D3366" t="s">
        <v>79</v>
      </c>
      <c r="E3366" t="s">
        <v>20</v>
      </c>
      <c r="F3366" t="s">
        <v>32</v>
      </c>
      <c r="G3366" t="s">
        <v>22</v>
      </c>
      <c r="H3366" t="s">
        <v>34</v>
      </c>
      <c r="I3366" t="s">
        <v>57</v>
      </c>
      <c r="J3366" t="s">
        <v>1626</v>
      </c>
      <c r="L3366">
        <v>5.3</v>
      </c>
      <c r="M3366">
        <v>207000</v>
      </c>
      <c r="N3366">
        <v>4.8</v>
      </c>
      <c r="P3366" t="s">
        <v>26</v>
      </c>
    </row>
    <row r="3367" spans="1:16" x14ac:dyDescent="0.25">
      <c r="A3367" t="s">
        <v>7422</v>
      </c>
      <c r="B3367" t="s">
        <v>4633</v>
      </c>
      <c r="C3367" t="s">
        <v>18</v>
      </c>
      <c r="D3367" t="s">
        <v>50</v>
      </c>
      <c r="E3367" t="s">
        <v>31</v>
      </c>
      <c r="F3367" t="s">
        <v>128</v>
      </c>
      <c r="G3367" t="s">
        <v>22</v>
      </c>
      <c r="H3367" t="s">
        <v>46</v>
      </c>
      <c r="I3367" t="s">
        <v>75</v>
      </c>
      <c r="J3367" t="s">
        <v>7423</v>
      </c>
      <c r="K3367" t="s">
        <v>6530</v>
      </c>
      <c r="L3367">
        <v>4.7</v>
      </c>
      <c r="M3367">
        <v>380000</v>
      </c>
      <c r="N3367">
        <v>4.3</v>
      </c>
      <c r="O3367">
        <v>7</v>
      </c>
      <c r="P3367" t="s">
        <v>72</v>
      </c>
    </row>
    <row r="3368" spans="1:16" x14ac:dyDescent="0.25">
      <c r="A3368" t="s">
        <v>7424</v>
      </c>
      <c r="B3368" t="s">
        <v>4785</v>
      </c>
      <c r="C3368" t="s">
        <v>18</v>
      </c>
      <c r="D3368" t="s">
        <v>79</v>
      </c>
      <c r="E3368" t="s">
        <v>44</v>
      </c>
      <c r="F3368" t="s">
        <v>32</v>
      </c>
      <c r="G3368" t="s">
        <v>33</v>
      </c>
      <c r="H3368" t="s">
        <v>34</v>
      </c>
      <c r="I3368" t="s">
        <v>24</v>
      </c>
      <c r="J3368" t="s">
        <v>7157</v>
      </c>
      <c r="K3368" t="s">
        <v>4952</v>
      </c>
      <c r="L3368">
        <v>5.3</v>
      </c>
      <c r="M3368">
        <v>326000</v>
      </c>
      <c r="N3368">
        <v>3.5</v>
      </c>
      <c r="O3368">
        <v>0</v>
      </c>
      <c r="P3368" t="s">
        <v>53</v>
      </c>
    </row>
    <row r="3369" spans="1:16" x14ac:dyDescent="0.25">
      <c r="A3369" t="s">
        <v>7425</v>
      </c>
      <c r="B3369" t="s">
        <v>7426</v>
      </c>
      <c r="C3369" t="s">
        <v>29</v>
      </c>
      <c r="D3369" t="s">
        <v>43</v>
      </c>
      <c r="E3369" t="s">
        <v>44</v>
      </c>
      <c r="F3369" t="s">
        <v>21</v>
      </c>
      <c r="G3369" t="s">
        <v>22</v>
      </c>
      <c r="H3369" t="s">
        <v>34</v>
      </c>
      <c r="I3369" t="s">
        <v>57</v>
      </c>
      <c r="J3369" t="s">
        <v>1614</v>
      </c>
      <c r="L3369">
        <v>2.8</v>
      </c>
      <c r="M3369">
        <v>797000</v>
      </c>
      <c r="N3369">
        <v>4.5</v>
      </c>
      <c r="O3369">
        <v>8</v>
      </c>
      <c r="P3369" t="s">
        <v>26</v>
      </c>
    </row>
    <row r="3370" spans="1:16" x14ac:dyDescent="0.25">
      <c r="A3370" t="s">
        <v>7427</v>
      </c>
      <c r="B3370" t="s">
        <v>7428</v>
      </c>
      <c r="C3370" t="s">
        <v>29</v>
      </c>
      <c r="D3370" t="s">
        <v>30</v>
      </c>
      <c r="E3370" t="s">
        <v>20</v>
      </c>
      <c r="F3370" t="s">
        <v>21</v>
      </c>
      <c r="G3370" t="s">
        <v>22</v>
      </c>
      <c r="H3370" t="s">
        <v>46</v>
      </c>
      <c r="I3370" t="s">
        <v>75</v>
      </c>
      <c r="J3370" t="s">
        <v>5734</v>
      </c>
      <c r="K3370" t="s">
        <v>2091</v>
      </c>
      <c r="L3370">
        <v>5.9</v>
      </c>
      <c r="M3370">
        <v>857000</v>
      </c>
      <c r="N3370">
        <v>4.0999999999999996</v>
      </c>
      <c r="O3370">
        <v>11</v>
      </c>
      <c r="P3370" t="s">
        <v>53</v>
      </c>
    </row>
    <row r="3371" spans="1:16" x14ac:dyDescent="0.25">
      <c r="A3371" t="s">
        <v>7429</v>
      </c>
      <c r="B3371" t="s">
        <v>6836</v>
      </c>
      <c r="C3371" t="s">
        <v>18</v>
      </c>
      <c r="D3371" t="s">
        <v>30</v>
      </c>
      <c r="E3371" t="s">
        <v>31</v>
      </c>
      <c r="F3371" t="s">
        <v>21</v>
      </c>
      <c r="G3371" t="s">
        <v>80</v>
      </c>
      <c r="H3371" t="s">
        <v>34</v>
      </c>
      <c r="I3371" t="s">
        <v>24</v>
      </c>
      <c r="J3371" t="s">
        <v>1129</v>
      </c>
      <c r="K3371" t="s">
        <v>7430</v>
      </c>
      <c r="L3371">
        <v>5.0999999999999996</v>
      </c>
      <c r="M3371">
        <v>650000</v>
      </c>
      <c r="N3371">
        <v>3.5</v>
      </c>
      <c r="O3371">
        <v>3</v>
      </c>
      <c r="P3371" t="s">
        <v>72</v>
      </c>
    </row>
    <row r="3372" spans="1:16" x14ac:dyDescent="0.25">
      <c r="A3372" t="s">
        <v>7431</v>
      </c>
      <c r="B3372" t="s">
        <v>7432</v>
      </c>
      <c r="C3372" t="s">
        <v>18</v>
      </c>
      <c r="D3372" t="s">
        <v>79</v>
      </c>
      <c r="E3372" t="s">
        <v>44</v>
      </c>
      <c r="F3372" t="s">
        <v>32</v>
      </c>
      <c r="G3372" t="s">
        <v>80</v>
      </c>
      <c r="H3372" t="s">
        <v>34</v>
      </c>
      <c r="I3372" t="s">
        <v>24</v>
      </c>
      <c r="J3372" t="s">
        <v>7433</v>
      </c>
      <c r="L3372">
        <v>5.2</v>
      </c>
      <c r="M3372">
        <v>240000</v>
      </c>
      <c r="N3372">
        <v>3.2</v>
      </c>
      <c r="O3372">
        <v>13</v>
      </c>
      <c r="P3372" t="s">
        <v>26</v>
      </c>
    </row>
    <row r="3373" spans="1:16" x14ac:dyDescent="0.25">
      <c r="A3373" t="s">
        <v>7434</v>
      </c>
      <c r="B3373" t="s">
        <v>627</v>
      </c>
      <c r="C3373" t="s">
        <v>29</v>
      </c>
      <c r="D3373" t="s">
        <v>79</v>
      </c>
      <c r="E3373" t="s">
        <v>20</v>
      </c>
      <c r="F3373" t="s">
        <v>32</v>
      </c>
      <c r="G3373" t="s">
        <v>80</v>
      </c>
      <c r="H3373" t="s">
        <v>46</v>
      </c>
      <c r="I3373" t="s">
        <v>24</v>
      </c>
      <c r="J3373" t="s">
        <v>7435</v>
      </c>
      <c r="K3373" t="s">
        <v>7436</v>
      </c>
      <c r="L3373">
        <v>1.5</v>
      </c>
      <c r="M3373">
        <v>273000</v>
      </c>
      <c r="N3373">
        <v>3.4</v>
      </c>
      <c r="O3373">
        <v>14</v>
      </c>
      <c r="P3373" t="s">
        <v>53</v>
      </c>
    </row>
    <row r="3374" spans="1:16" x14ac:dyDescent="0.25">
      <c r="A3374" t="s">
        <v>7437</v>
      </c>
      <c r="B3374" t="s">
        <v>7438</v>
      </c>
      <c r="D3374" t="s">
        <v>19</v>
      </c>
      <c r="E3374" t="s">
        <v>20</v>
      </c>
      <c r="F3374" t="s">
        <v>32</v>
      </c>
      <c r="G3374" t="s">
        <v>69</v>
      </c>
      <c r="H3374" t="s">
        <v>23</v>
      </c>
      <c r="I3374" t="s">
        <v>24</v>
      </c>
      <c r="J3374" t="s">
        <v>901</v>
      </c>
      <c r="L3374">
        <v>6</v>
      </c>
      <c r="M3374">
        <v>277000</v>
      </c>
      <c r="N3374">
        <v>2.5</v>
      </c>
      <c r="O3374">
        <v>7</v>
      </c>
      <c r="P3374" t="s">
        <v>26</v>
      </c>
    </row>
    <row r="3375" spans="1:16" x14ac:dyDescent="0.25">
      <c r="A3375" t="s">
        <v>7439</v>
      </c>
      <c r="B3375" t="s">
        <v>7298</v>
      </c>
      <c r="C3375" t="s">
        <v>29</v>
      </c>
      <c r="D3375" t="s">
        <v>30</v>
      </c>
      <c r="E3375" t="s">
        <v>20</v>
      </c>
      <c r="F3375" t="s">
        <v>39</v>
      </c>
      <c r="G3375" t="s">
        <v>80</v>
      </c>
      <c r="H3375" t="s">
        <v>23</v>
      </c>
      <c r="I3375" t="s">
        <v>57</v>
      </c>
      <c r="J3375" t="s">
        <v>1785</v>
      </c>
      <c r="K3375" t="s">
        <v>6201</v>
      </c>
      <c r="L3375">
        <v>4</v>
      </c>
      <c r="M3375">
        <v>90000</v>
      </c>
      <c r="N3375">
        <v>3.3</v>
      </c>
      <c r="O3375">
        <v>1</v>
      </c>
      <c r="P3375" t="s">
        <v>114</v>
      </c>
    </row>
    <row r="3376" spans="1:16" x14ac:dyDescent="0.25">
      <c r="A3376" t="s">
        <v>7440</v>
      </c>
      <c r="B3376" t="s">
        <v>4661</v>
      </c>
      <c r="C3376" t="s">
        <v>29</v>
      </c>
      <c r="D3376" t="s">
        <v>50</v>
      </c>
      <c r="E3376" t="s">
        <v>20</v>
      </c>
      <c r="F3376" t="s">
        <v>32</v>
      </c>
      <c r="G3376" t="s">
        <v>33</v>
      </c>
      <c r="H3376" t="s">
        <v>34</v>
      </c>
      <c r="I3376" t="s">
        <v>57</v>
      </c>
      <c r="J3376" t="s">
        <v>1182</v>
      </c>
      <c r="K3376" t="s">
        <v>7441</v>
      </c>
      <c r="L3376">
        <v>3.5</v>
      </c>
      <c r="M3376">
        <v>235000</v>
      </c>
      <c r="N3376">
        <v>2.6</v>
      </c>
      <c r="O3376">
        <v>1</v>
      </c>
      <c r="P3376" t="s">
        <v>72</v>
      </c>
    </row>
    <row r="3377" spans="1:16" x14ac:dyDescent="0.25">
      <c r="A3377" t="s">
        <v>7442</v>
      </c>
      <c r="B3377" t="s">
        <v>4527</v>
      </c>
      <c r="C3377" t="s">
        <v>18</v>
      </c>
      <c r="D3377" t="s">
        <v>4697</v>
      </c>
      <c r="F3377" t="s">
        <v>39</v>
      </c>
      <c r="G3377" t="s">
        <v>33</v>
      </c>
      <c r="H3377" t="s">
        <v>23</v>
      </c>
      <c r="I3377" t="s">
        <v>35</v>
      </c>
      <c r="J3377" t="s">
        <v>3279</v>
      </c>
      <c r="L3377">
        <v>3.3</v>
      </c>
      <c r="M3377">
        <v>109000</v>
      </c>
      <c r="N3377">
        <v>2.4</v>
      </c>
      <c r="O3377">
        <v>5</v>
      </c>
      <c r="P3377" t="s">
        <v>26</v>
      </c>
    </row>
    <row r="3378" spans="1:16" x14ac:dyDescent="0.25">
      <c r="A3378" t="s">
        <v>7443</v>
      </c>
      <c r="B3378" t="s">
        <v>7444</v>
      </c>
      <c r="C3378" t="s">
        <v>29</v>
      </c>
      <c r="D3378" t="s">
        <v>19</v>
      </c>
      <c r="E3378" t="s">
        <v>20</v>
      </c>
      <c r="F3378" t="s">
        <v>32</v>
      </c>
      <c r="G3378" t="s">
        <v>33</v>
      </c>
      <c r="H3378" t="s">
        <v>34</v>
      </c>
      <c r="I3378" t="s">
        <v>24</v>
      </c>
      <c r="J3378" t="s">
        <v>1729</v>
      </c>
      <c r="L3378">
        <v>2.1</v>
      </c>
      <c r="M3378">
        <v>361000</v>
      </c>
      <c r="N3378">
        <v>3.2</v>
      </c>
      <c r="O3378">
        <v>9</v>
      </c>
      <c r="P3378" t="s">
        <v>26</v>
      </c>
    </row>
    <row r="3379" spans="1:16" x14ac:dyDescent="0.25">
      <c r="A3379" t="s">
        <v>7445</v>
      </c>
      <c r="B3379" t="s">
        <v>7446</v>
      </c>
      <c r="C3379" t="s">
        <v>18</v>
      </c>
      <c r="D3379" t="s">
        <v>79</v>
      </c>
      <c r="E3379" t="s">
        <v>20</v>
      </c>
      <c r="F3379" t="s">
        <v>128</v>
      </c>
      <c r="G3379" t="s">
        <v>22</v>
      </c>
      <c r="H3379" t="s">
        <v>23</v>
      </c>
      <c r="I3379" t="s">
        <v>24</v>
      </c>
      <c r="J3379" t="s">
        <v>168</v>
      </c>
      <c r="L3379">
        <v>1.6</v>
      </c>
      <c r="M3379">
        <v>570000</v>
      </c>
      <c r="N3379">
        <v>4.8</v>
      </c>
      <c r="O3379">
        <v>9</v>
      </c>
      <c r="P3379" t="s">
        <v>26</v>
      </c>
    </row>
    <row r="3380" spans="1:16" x14ac:dyDescent="0.25">
      <c r="A3380" t="s">
        <v>7447</v>
      </c>
      <c r="B3380" t="s">
        <v>6340</v>
      </c>
      <c r="C3380" t="s">
        <v>29</v>
      </c>
      <c r="D3380" t="s">
        <v>50</v>
      </c>
      <c r="E3380" t="s">
        <v>44</v>
      </c>
      <c r="F3380" t="s">
        <v>32</v>
      </c>
      <c r="G3380" t="s">
        <v>33</v>
      </c>
      <c r="H3380" t="s">
        <v>46</v>
      </c>
      <c r="I3380" t="s">
        <v>57</v>
      </c>
      <c r="J3380" t="s">
        <v>2037</v>
      </c>
      <c r="L3380">
        <v>1.9</v>
      </c>
      <c r="M3380">
        <v>299000</v>
      </c>
      <c r="N3380">
        <v>3.5</v>
      </c>
      <c r="O3380">
        <v>2</v>
      </c>
      <c r="P3380" t="s">
        <v>26</v>
      </c>
    </row>
    <row r="3381" spans="1:16" x14ac:dyDescent="0.25">
      <c r="A3381" t="s">
        <v>7448</v>
      </c>
      <c r="B3381" t="s">
        <v>7449</v>
      </c>
      <c r="C3381" t="s">
        <v>29</v>
      </c>
      <c r="D3381" t="s">
        <v>30</v>
      </c>
      <c r="E3381" t="s">
        <v>20</v>
      </c>
      <c r="F3381" t="s">
        <v>32</v>
      </c>
      <c r="G3381" t="s">
        <v>22</v>
      </c>
      <c r="H3381" t="s">
        <v>46</v>
      </c>
      <c r="I3381" t="s">
        <v>171</v>
      </c>
      <c r="J3381" t="s">
        <v>2953</v>
      </c>
      <c r="L3381">
        <v>2.1</v>
      </c>
      <c r="M3381">
        <v>323000</v>
      </c>
      <c r="N3381">
        <v>2.6</v>
      </c>
      <c r="O3381">
        <v>14</v>
      </c>
      <c r="P3381" t="s">
        <v>26</v>
      </c>
    </row>
    <row r="3382" spans="1:16" x14ac:dyDescent="0.25">
      <c r="A3382" t="s">
        <v>7450</v>
      </c>
      <c r="B3382" t="s">
        <v>1297</v>
      </c>
      <c r="C3382" t="s">
        <v>29</v>
      </c>
      <c r="D3382" t="s">
        <v>79</v>
      </c>
      <c r="E3382" t="s">
        <v>20</v>
      </c>
      <c r="F3382" t="s">
        <v>128</v>
      </c>
      <c r="G3382" t="s">
        <v>22</v>
      </c>
      <c r="H3382" t="s">
        <v>34</v>
      </c>
      <c r="I3382" t="s">
        <v>35</v>
      </c>
      <c r="J3382" t="s">
        <v>6424</v>
      </c>
      <c r="L3382">
        <v>4.2</v>
      </c>
      <c r="M3382">
        <v>498000</v>
      </c>
      <c r="N3382">
        <v>4.3</v>
      </c>
      <c r="O3382">
        <v>12</v>
      </c>
      <c r="P3382" t="s">
        <v>26</v>
      </c>
    </row>
    <row r="3383" spans="1:16" x14ac:dyDescent="0.25">
      <c r="A3383" t="s">
        <v>7451</v>
      </c>
      <c r="B3383" t="s">
        <v>1425</v>
      </c>
      <c r="C3383" t="s">
        <v>29</v>
      </c>
      <c r="D3383" t="s">
        <v>50</v>
      </c>
      <c r="E3383" t="s">
        <v>20</v>
      </c>
      <c r="F3383" t="s">
        <v>32</v>
      </c>
      <c r="G3383" t="s">
        <v>80</v>
      </c>
      <c r="H3383" t="s">
        <v>34</v>
      </c>
      <c r="I3383" t="s">
        <v>24</v>
      </c>
      <c r="J3383" t="s">
        <v>5664</v>
      </c>
      <c r="L3383">
        <v>3.2</v>
      </c>
      <c r="M3383">
        <v>269000</v>
      </c>
      <c r="N3383">
        <v>4.0999999999999996</v>
      </c>
      <c r="O3383">
        <v>20</v>
      </c>
      <c r="P3383" t="s">
        <v>26</v>
      </c>
    </row>
    <row r="3384" spans="1:16" x14ac:dyDescent="0.25">
      <c r="A3384" t="s">
        <v>7452</v>
      </c>
      <c r="B3384" t="s">
        <v>7453</v>
      </c>
      <c r="C3384" t="s">
        <v>18</v>
      </c>
      <c r="D3384" t="s">
        <v>79</v>
      </c>
      <c r="E3384" t="s">
        <v>20</v>
      </c>
      <c r="F3384" t="s">
        <v>128</v>
      </c>
      <c r="G3384" t="s">
        <v>80</v>
      </c>
      <c r="H3384" t="s">
        <v>23</v>
      </c>
      <c r="I3384" t="s">
        <v>35</v>
      </c>
      <c r="J3384" t="s">
        <v>469</v>
      </c>
      <c r="L3384">
        <v>4.8</v>
      </c>
      <c r="M3384">
        <v>571000</v>
      </c>
      <c r="N3384">
        <v>4.3</v>
      </c>
      <c r="O3384">
        <v>3</v>
      </c>
      <c r="P3384" t="s">
        <v>26</v>
      </c>
    </row>
    <row r="3385" spans="1:16" x14ac:dyDescent="0.25">
      <c r="A3385" t="s">
        <v>7454</v>
      </c>
      <c r="B3385" t="s">
        <v>6229</v>
      </c>
      <c r="C3385" t="s">
        <v>29</v>
      </c>
      <c r="D3385" t="s">
        <v>30</v>
      </c>
      <c r="E3385" t="s">
        <v>20</v>
      </c>
      <c r="F3385" t="s">
        <v>32</v>
      </c>
      <c r="G3385" t="s">
        <v>22</v>
      </c>
      <c r="H3385" t="s">
        <v>23</v>
      </c>
      <c r="I3385" t="s">
        <v>24</v>
      </c>
      <c r="J3385" t="s">
        <v>2384</v>
      </c>
      <c r="L3385">
        <v>3.4</v>
      </c>
      <c r="M3385">
        <v>284000</v>
      </c>
      <c r="N3385">
        <v>4.7</v>
      </c>
      <c r="O3385">
        <v>9</v>
      </c>
      <c r="P3385" t="s">
        <v>26</v>
      </c>
    </row>
    <row r="3386" spans="1:16" x14ac:dyDescent="0.25">
      <c r="A3386" t="s">
        <v>7455</v>
      </c>
      <c r="B3386" t="s">
        <v>5178</v>
      </c>
      <c r="C3386" t="s">
        <v>18</v>
      </c>
      <c r="D3386" t="s">
        <v>30</v>
      </c>
      <c r="E3386" t="s">
        <v>44</v>
      </c>
      <c r="F3386" t="s">
        <v>32</v>
      </c>
      <c r="G3386" t="s">
        <v>22</v>
      </c>
      <c r="H3386" t="s">
        <v>23</v>
      </c>
      <c r="I3386" t="s">
        <v>24</v>
      </c>
      <c r="J3386" t="s">
        <v>1184</v>
      </c>
      <c r="K3386" t="s">
        <v>4135</v>
      </c>
      <c r="L3386">
        <v>1.6</v>
      </c>
      <c r="M3386">
        <v>329000</v>
      </c>
      <c r="N3386">
        <v>2.2999999999999998</v>
      </c>
      <c r="P3386" t="s">
        <v>53</v>
      </c>
    </row>
    <row r="3387" spans="1:16" x14ac:dyDescent="0.25">
      <c r="A3387" t="s">
        <v>7456</v>
      </c>
      <c r="B3387" t="s">
        <v>6670</v>
      </c>
      <c r="C3387" t="s">
        <v>18</v>
      </c>
      <c r="D3387" t="s">
        <v>50</v>
      </c>
      <c r="E3387" t="s">
        <v>20</v>
      </c>
      <c r="F3387" t="s">
        <v>128</v>
      </c>
      <c r="G3387" t="s">
        <v>33</v>
      </c>
      <c r="H3387" t="s">
        <v>23</v>
      </c>
      <c r="I3387" t="s">
        <v>24</v>
      </c>
      <c r="J3387" t="s">
        <v>1893</v>
      </c>
      <c r="K3387" t="s">
        <v>2606</v>
      </c>
      <c r="L3387">
        <v>3.1</v>
      </c>
      <c r="M3387">
        <v>368000</v>
      </c>
      <c r="N3387">
        <v>4.7</v>
      </c>
      <c r="O3387">
        <v>39</v>
      </c>
      <c r="P3387" t="s">
        <v>53</v>
      </c>
    </row>
    <row r="3388" spans="1:16" x14ac:dyDescent="0.25">
      <c r="A3388" t="s">
        <v>7457</v>
      </c>
      <c r="B3388" t="s">
        <v>7458</v>
      </c>
      <c r="C3388" t="s">
        <v>18</v>
      </c>
      <c r="D3388" t="s">
        <v>43</v>
      </c>
      <c r="E3388" t="s">
        <v>20</v>
      </c>
      <c r="F3388" t="s">
        <v>39</v>
      </c>
      <c r="G3388" t="s">
        <v>22</v>
      </c>
      <c r="I3388" t="s">
        <v>24</v>
      </c>
      <c r="J3388" t="s">
        <v>4665</v>
      </c>
      <c r="L3388">
        <v>4.2</v>
      </c>
      <c r="M3388">
        <v>87000</v>
      </c>
      <c r="N3388">
        <v>4.4000000000000004</v>
      </c>
      <c r="O3388">
        <v>12</v>
      </c>
      <c r="P3388" t="s">
        <v>26</v>
      </c>
    </row>
    <row r="3389" spans="1:16" x14ac:dyDescent="0.25">
      <c r="A3389" t="s">
        <v>7459</v>
      </c>
      <c r="B3389" t="s">
        <v>7460</v>
      </c>
      <c r="C3389" t="s">
        <v>29</v>
      </c>
      <c r="D3389" t="s">
        <v>79</v>
      </c>
      <c r="E3389" t="s">
        <v>20</v>
      </c>
      <c r="F3389" t="s">
        <v>32</v>
      </c>
      <c r="G3389" t="s">
        <v>22</v>
      </c>
      <c r="H3389" t="s">
        <v>34</v>
      </c>
      <c r="I3389" t="s">
        <v>57</v>
      </c>
      <c r="J3389" t="s">
        <v>787</v>
      </c>
      <c r="L3389">
        <v>4.2</v>
      </c>
      <c r="M3389">
        <v>329000</v>
      </c>
      <c r="N3389">
        <v>2.2999999999999998</v>
      </c>
      <c r="P3389" t="s">
        <v>26</v>
      </c>
    </row>
    <row r="3390" spans="1:16" x14ac:dyDescent="0.25">
      <c r="A3390" t="s">
        <v>7461</v>
      </c>
      <c r="B3390" t="s">
        <v>5470</v>
      </c>
      <c r="C3390" t="s">
        <v>29</v>
      </c>
      <c r="D3390" t="s">
        <v>30</v>
      </c>
      <c r="E3390" t="s">
        <v>44</v>
      </c>
      <c r="F3390" t="s">
        <v>39</v>
      </c>
      <c r="G3390" t="s">
        <v>22</v>
      </c>
      <c r="H3390" t="s">
        <v>62</v>
      </c>
      <c r="I3390" t="s">
        <v>24</v>
      </c>
      <c r="J3390" t="s">
        <v>1798</v>
      </c>
      <c r="L3390">
        <v>5.3</v>
      </c>
      <c r="M3390">
        <v>98000</v>
      </c>
      <c r="N3390">
        <v>3.3</v>
      </c>
      <c r="O3390">
        <v>1</v>
      </c>
      <c r="P3390" t="s">
        <v>26</v>
      </c>
    </row>
    <row r="3391" spans="1:16" x14ac:dyDescent="0.25">
      <c r="A3391" t="s">
        <v>7462</v>
      </c>
      <c r="B3391" t="s">
        <v>6345</v>
      </c>
      <c r="C3391" t="s">
        <v>18</v>
      </c>
      <c r="D3391" t="s">
        <v>79</v>
      </c>
      <c r="E3391" t="s">
        <v>20</v>
      </c>
      <c r="F3391" t="s">
        <v>32</v>
      </c>
      <c r="G3391" t="s">
        <v>22</v>
      </c>
      <c r="I3391" t="s">
        <v>24</v>
      </c>
      <c r="J3391" t="s">
        <v>295</v>
      </c>
      <c r="L3391">
        <v>3.3</v>
      </c>
      <c r="M3391">
        <v>213000</v>
      </c>
      <c r="N3391">
        <v>4.2</v>
      </c>
      <c r="O3391">
        <v>12</v>
      </c>
      <c r="P3391" t="s">
        <v>26</v>
      </c>
    </row>
    <row r="3392" spans="1:16" x14ac:dyDescent="0.25">
      <c r="A3392" t="s">
        <v>7463</v>
      </c>
      <c r="B3392" t="s">
        <v>1390</v>
      </c>
      <c r="C3392" t="s">
        <v>18</v>
      </c>
      <c r="D3392" t="s">
        <v>50</v>
      </c>
      <c r="E3392" t="s">
        <v>20</v>
      </c>
      <c r="F3392" t="s">
        <v>32</v>
      </c>
      <c r="G3392" t="s">
        <v>80</v>
      </c>
      <c r="I3392" t="s">
        <v>24</v>
      </c>
      <c r="J3392" t="s">
        <v>2236</v>
      </c>
      <c r="K3392" t="s">
        <v>2993</v>
      </c>
      <c r="L3392">
        <v>2.4</v>
      </c>
      <c r="M3392">
        <v>226000</v>
      </c>
      <c r="N3392">
        <v>4.9000000000000004</v>
      </c>
      <c r="O3392">
        <v>12</v>
      </c>
      <c r="P3392" t="s">
        <v>53</v>
      </c>
    </row>
    <row r="3393" spans="1:16" x14ac:dyDescent="0.25">
      <c r="A3393" t="s">
        <v>7464</v>
      </c>
      <c r="B3393" t="s">
        <v>3519</v>
      </c>
      <c r="C3393" t="s">
        <v>29</v>
      </c>
      <c r="E3393" t="s">
        <v>31</v>
      </c>
      <c r="G3393" t="s">
        <v>22</v>
      </c>
      <c r="H3393" t="s">
        <v>23</v>
      </c>
      <c r="I3393" t="s">
        <v>24</v>
      </c>
      <c r="J3393" t="s">
        <v>5918</v>
      </c>
      <c r="K3393" t="s">
        <v>7465</v>
      </c>
      <c r="L3393">
        <v>3</v>
      </c>
      <c r="M3393">
        <v>575000</v>
      </c>
      <c r="N3393">
        <v>3.3</v>
      </c>
      <c r="O3393">
        <v>30</v>
      </c>
      <c r="P3393" t="s">
        <v>53</v>
      </c>
    </row>
    <row r="3394" spans="1:16" x14ac:dyDescent="0.25">
      <c r="A3394" t="s">
        <v>7466</v>
      </c>
      <c r="B3394" t="s">
        <v>7467</v>
      </c>
      <c r="C3394" t="s">
        <v>29</v>
      </c>
      <c r="D3394" t="s">
        <v>43</v>
      </c>
      <c r="E3394" t="s">
        <v>44</v>
      </c>
      <c r="F3394" t="s">
        <v>39</v>
      </c>
      <c r="G3394" t="s">
        <v>33</v>
      </c>
      <c r="I3394" t="s">
        <v>57</v>
      </c>
      <c r="J3394" t="s">
        <v>4132</v>
      </c>
      <c r="L3394">
        <v>5.8</v>
      </c>
      <c r="M3394">
        <v>150000</v>
      </c>
      <c r="N3394">
        <v>4</v>
      </c>
      <c r="O3394">
        <v>19</v>
      </c>
      <c r="P3394" t="s">
        <v>26</v>
      </c>
    </row>
    <row r="3395" spans="1:16" x14ac:dyDescent="0.25">
      <c r="A3395" t="s">
        <v>7468</v>
      </c>
      <c r="B3395" t="s">
        <v>3553</v>
      </c>
      <c r="C3395" t="s">
        <v>29</v>
      </c>
      <c r="D3395" t="s">
        <v>43</v>
      </c>
      <c r="E3395" t="s">
        <v>44</v>
      </c>
      <c r="F3395" t="s">
        <v>39</v>
      </c>
      <c r="G3395" t="s">
        <v>22</v>
      </c>
      <c r="H3395" t="s">
        <v>23</v>
      </c>
      <c r="I3395" t="s">
        <v>57</v>
      </c>
      <c r="J3395" t="s">
        <v>7396</v>
      </c>
      <c r="L3395">
        <v>1.3</v>
      </c>
      <c r="M3395">
        <v>86000</v>
      </c>
      <c r="N3395">
        <v>2.4</v>
      </c>
      <c r="O3395">
        <v>2</v>
      </c>
      <c r="P3395" t="s">
        <v>26</v>
      </c>
    </row>
    <row r="3396" spans="1:16" x14ac:dyDescent="0.25">
      <c r="A3396" t="s">
        <v>7469</v>
      </c>
      <c r="B3396" t="s">
        <v>7056</v>
      </c>
      <c r="C3396" t="s">
        <v>18</v>
      </c>
      <c r="D3396" t="s">
        <v>30</v>
      </c>
      <c r="E3396" t="s">
        <v>31</v>
      </c>
      <c r="F3396" t="s">
        <v>39</v>
      </c>
      <c r="G3396" t="s">
        <v>22</v>
      </c>
      <c r="H3396" t="s">
        <v>46</v>
      </c>
      <c r="I3396" t="s">
        <v>57</v>
      </c>
      <c r="J3396" t="s">
        <v>6267</v>
      </c>
      <c r="K3396" t="s">
        <v>1574</v>
      </c>
      <c r="L3396">
        <v>4.8</v>
      </c>
      <c r="M3396">
        <v>170000</v>
      </c>
      <c r="N3396">
        <v>3.2</v>
      </c>
      <c r="O3396">
        <v>27</v>
      </c>
      <c r="P3396" t="s">
        <v>53</v>
      </c>
    </row>
    <row r="3397" spans="1:16" x14ac:dyDescent="0.25">
      <c r="A3397" t="s">
        <v>7470</v>
      </c>
      <c r="B3397" t="s">
        <v>3247</v>
      </c>
      <c r="C3397" t="s">
        <v>29</v>
      </c>
      <c r="D3397" t="s">
        <v>30</v>
      </c>
      <c r="F3397" t="s">
        <v>39</v>
      </c>
      <c r="G3397" t="s">
        <v>33</v>
      </c>
      <c r="H3397" t="s">
        <v>46</v>
      </c>
      <c r="I3397" t="s">
        <v>24</v>
      </c>
      <c r="J3397" t="s">
        <v>5692</v>
      </c>
      <c r="L3397">
        <v>5.4</v>
      </c>
      <c r="M3397">
        <v>92000</v>
      </c>
      <c r="N3397">
        <v>2</v>
      </c>
      <c r="O3397">
        <v>6</v>
      </c>
      <c r="P3397" t="s">
        <v>26</v>
      </c>
    </row>
    <row r="3398" spans="1:16" x14ac:dyDescent="0.25">
      <c r="A3398" t="s">
        <v>7471</v>
      </c>
      <c r="B3398" t="s">
        <v>7472</v>
      </c>
      <c r="C3398" t="s">
        <v>29</v>
      </c>
      <c r="D3398" t="s">
        <v>43</v>
      </c>
      <c r="E3398" t="s">
        <v>31</v>
      </c>
      <c r="F3398" t="s">
        <v>21</v>
      </c>
      <c r="G3398" t="s">
        <v>33</v>
      </c>
      <c r="H3398" t="s">
        <v>23</v>
      </c>
      <c r="I3398" t="s">
        <v>24</v>
      </c>
      <c r="J3398" t="s">
        <v>713</v>
      </c>
      <c r="K3398" t="s">
        <v>239</v>
      </c>
      <c r="L3398">
        <v>2.2000000000000002</v>
      </c>
      <c r="M3398">
        <v>809000</v>
      </c>
      <c r="N3398">
        <v>4.3</v>
      </c>
      <c r="O3398">
        <v>7</v>
      </c>
      <c r="P3398" t="s">
        <v>72</v>
      </c>
    </row>
    <row r="3399" spans="1:16" x14ac:dyDescent="0.25">
      <c r="A3399" t="s">
        <v>7473</v>
      </c>
      <c r="B3399" t="s">
        <v>6051</v>
      </c>
      <c r="D3399" t="s">
        <v>43</v>
      </c>
      <c r="E3399" t="s">
        <v>31</v>
      </c>
      <c r="F3399" t="s">
        <v>39</v>
      </c>
      <c r="G3399" t="s">
        <v>69</v>
      </c>
      <c r="H3399" t="s">
        <v>34</v>
      </c>
      <c r="I3399" t="s">
        <v>24</v>
      </c>
      <c r="J3399" t="s">
        <v>3134</v>
      </c>
      <c r="L3399">
        <v>5.0999999999999996</v>
      </c>
      <c r="N3399">
        <v>3.7</v>
      </c>
      <c r="O3399">
        <v>7</v>
      </c>
      <c r="P3399" t="s">
        <v>26</v>
      </c>
    </row>
    <row r="3400" spans="1:16" x14ac:dyDescent="0.25">
      <c r="A3400" t="s">
        <v>7474</v>
      </c>
      <c r="B3400" t="s">
        <v>7475</v>
      </c>
      <c r="C3400" t="s">
        <v>18</v>
      </c>
      <c r="D3400" t="s">
        <v>43</v>
      </c>
      <c r="E3400" t="s">
        <v>20</v>
      </c>
      <c r="F3400" t="s">
        <v>21</v>
      </c>
      <c r="G3400" t="s">
        <v>80</v>
      </c>
      <c r="I3400" t="s">
        <v>75</v>
      </c>
      <c r="J3400" t="s">
        <v>472</v>
      </c>
      <c r="K3400" t="s">
        <v>1339</v>
      </c>
      <c r="L3400">
        <v>5.3</v>
      </c>
      <c r="M3400">
        <v>637000</v>
      </c>
      <c r="N3400">
        <v>4</v>
      </c>
      <c r="O3400">
        <v>14</v>
      </c>
      <c r="P3400" t="s">
        <v>72</v>
      </c>
    </row>
    <row r="3401" spans="1:16" x14ac:dyDescent="0.25">
      <c r="A3401" t="s">
        <v>7476</v>
      </c>
      <c r="B3401" t="s">
        <v>7477</v>
      </c>
      <c r="C3401" t="s">
        <v>29</v>
      </c>
      <c r="D3401" t="s">
        <v>19</v>
      </c>
      <c r="E3401" t="s">
        <v>20</v>
      </c>
      <c r="F3401" t="s">
        <v>39</v>
      </c>
      <c r="G3401" t="s">
        <v>33</v>
      </c>
      <c r="I3401" t="s">
        <v>24</v>
      </c>
      <c r="J3401" t="s">
        <v>5796</v>
      </c>
      <c r="L3401">
        <v>3.4</v>
      </c>
      <c r="M3401">
        <v>137000</v>
      </c>
      <c r="N3401">
        <v>4.2</v>
      </c>
      <c r="O3401">
        <v>8</v>
      </c>
      <c r="P3401" t="s">
        <v>26</v>
      </c>
    </row>
    <row r="3402" spans="1:16" x14ac:dyDescent="0.25">
      <c r="A3402" t="s">
        <v>7478</v>
      </c>
      <c r="B3402" t="s">
        <v>7112</v>
      </c>
      <c r="C3402" t="s">
        <v>29</v>
      </c>
      <c r="D3402" t="s">
        <v>50</v>
      </c>
      <c r="E3402" t="s">
        <v>20</v>
      </c>
      <c r="F3402" t="s">
        <v>39</v>
      </c>
      <c r="G3402" t="s">
        <v>69</v>
      </c>
      <c r="H3402" t="s">
        <v>34</v>
      </c>
      <c r="J3402" t="s">
        <v>921</v>
      </c>
      <c r="K3402" t="s">
        <v>1649</v>
      </c>
      <c r="L3402">
        <v>1.7</v>
      </c>
      <c r="M3402">
        <v>105000</v>
      </c>
      <c r="N3402">
        <v>3.2</v>
      </c>
      <c r="O3402">
        <v>2</v>
      </c>
      <c r="P3402" t="s">
        <v>114</v>
      </c>
    </row>
    <row r="3403" spans="1:16" x14ac:dyDescent="0.25">
      <c r="A3403" t="s">
        <v>7479</v>
      </c>
      <c r="B3403" t="s">
        <v>7480</v>
      </c>
      <c r="C3403" t="s">
        <v>29</v>
      </c>
      <c r="D3403" t="s">
        <v>43</v>
      </c>
      <c r="E3403" t="s">
        <v>20</v>
      </c>
      <c r="F3403" t="s">
        <v>32</v>
      </c>
      <c r="G3403" t="s">
        <v>80</v>
      </c>
      <c r="H3403" t="s">
        <v>46</v>
      </c>
      <c r="I3403" t="s">
        <v>57</v>
      </c>
      <c r="J3403" t="s">
        <v>5794</v>
      </c>
      <c r="L3403">
        <v>1.4</v>
      </c>
      <c r="M3403">
        <v>249000</v>
      </c>
      <c r="N3403">
        <v>4.5999999999999996</v>
      </c>
      <c r="O3403">
        <v>11</v>
      </c>
      <c r="P3403" t="s">
        <v>26</v>
      </c>
    </row>
    <row r="3404" spans="1:16" x14ac:dyDescent="0.25">
      <c r="A3404" t="s">
        <v>7481</v>
      </c>
      <c r="B3404" t="s">
        <v>796</v>
      </c>
      <c r="C3404" t="s">
        <v>18</v>
      </c>
      <c r="D3404" t="s">
        <v>50</v>
      </c>
      <c r="E3404" t="s">
        <v>20</v>
      </c>
      <c r="G3404" t="s">
        <v>22</v>
      </c>
      <c r="H3404" t="s">
        <v>23</v>
      </c>
      <c r="I3404" t="s">
        <v>24</v>
      </c>
      <c r="J3404" t="s">
        <v>847</v>
      </c>
      <c r="K3404" t="s">
        <v>7482</v>
      </c>
      <c r="L3404">
        <v>2.2999999999999998</v>
      </c>
      <c r="M3404">
        <v>158000</v>
      </c>
      <c r="N3404">
        <v>2.8</v>
      </c>
      <c r="O3404">
        <v>4</v>
      </c>
      <c r="P3404" t="s">
        <v>53</v>
      </c>
    </row>
    <row r="3405" spans="1:16" x14ac:dyDescent="0.25">
      <c r="A3405" t="s">
        <v>7483</v>
      </c>
      <c r="B3405" t="s">
        <v>7484</v>
      </c>
      <c r="C3405" t="s">
        <v>29</v>
      </c>
      <c r="D3405" t="s">
        <v>19</v>
      </c>
      <c r="E3405" t="s">
        <v>20</v>
      </c>
      <c r="F3405" t="s">
        <v>39</v>
      </c>
      <c r="G3405" t="s">
        <v>22</v>
      </c>
      <c r="H3405" t="s">
        <v>23</v>
      </c>
      <c r="I3405" t="s">
        <v>24</v>
      </c>
      <c r="J3405" t="s">
        <v>90</v>
      </c>
      <c r="L3405">
        <v>4.5</v>
      </c>
      <c r="M3405">
        <v>172000</v>
      </c>
      <c r="N3405">
        <v>3.8</v>
      </c>
      <c r="O3405">
        <v>2</v>
      </c>
      <c r="P3405" t="s">
        <v>26</v>
      </c>
    </row>
    <row r="3406" spans="1:16" x14ac:dyDescent="0.25">
      <c r="A3406" t="s">
        <v>7485</v>
      </c>
      <c r="B3406" t="s">
        <v>7486</v>
      </c>
      <c r="C3406" t="s">
        <v>18</v>
      </c>
      <c r="E3406" t="s">
        <v>20</v>
      </c>
      <c r="F3406" t="s">
        <v>32</v>
      </c>
      <c r="G3406" t="s">
        <v>22</v>
      </c>
      <c r="H3406" t="s">
        <v>34</v>
      </c>
      <c r="I3406" t="s">
        <v>35</v>
      </c>
      <c r="J3406" t="s">
        <v>7487</v>
      </c>
      <c r="K3406" t="s">
        <v>911</v>
      </c>
      <c r="L3406">
        <v>6</v>
      </c>
      <c r="M3406">
        <v>243000</v>
      </c>
      <c r="N3406">
        <v>2.9</v>
      </c>
      <c r="O3406">
        <v>12</v>
      </c>
      <c r="P3406" t="s">
        <v>114</v>
      </c>
    </row>
    <row r="3407" spans="1:16" x14ac:dyDescent="0.25">
      <c r="A3407" t="s">
        <v>7488</v>
      </c>
      <c r="B3407" t="s">
        <v>4271</v>
      </c>
      <c r="C3407" t="s">
        <v>29</v>
      </c>
      <c r="D3407" t="s">
        <v>19</v>
      </c>
      <c r="E3407" t="s">
        <v>20</v>
      </c>
      <c r="F3407" t="s">
        <v>32</v>
      </c>
      <c r="G3407" t="s">
        <v>69</v>
      </c>
      <c r="H3407" t="s">
        <v>62</v>
      </c>
      <c r="I3407" t="s">
        <v>35</v>
      </c>
      <c r="J3407" t="s">
        <v>2295</v>
      </c>
      <c r="L3407">
        <v>4.5999999999999996</v>
      </c>
      <c r="M3407">
        <v>379000</v>
      </c>
      <c r="N3407">
        <v>4.0999999999999996</v>
      </c>
      <c r="O3407">
        <v>2</v>
      </c>
      <c r="P3407" t="s">
        <v>26</v>
      </c>
    </row>
    <row r="3408" spans="1:16" x14ac:dyDescent="0.25">
      <c r="A3408" t="s">
        <v>7489</v>
      </c>
      <c r="B3408" t="s">
        <v>7490</v>
      </c>
      <c r="C3408" t="s">
        <v>18</v>
      </c>
      <c r="D3408" t="s">
        <v>19</v>
      </c>
      <c r="E3408" t="s">
        <v>20</v>
      </c>
      <c r="F3408" t="s">
        <v>39</v>
      </c>
      <c r="G3408" t="s">
        <v>33</v>
      </c>
      <c r="H3408" t="s">
        <v>23</v>
      </c>
      <c r="I3408" t="s">
        <v>57</v>
      </c>
      <c r="J3408" t="s">
        <v>5542</v>
      </c>
      <c r="L3408">
        <v>5.4</v>
      </c>
      <c r="M3408">
        <v>184000</v>
      </c>
      <c r="N3408">
        <v>4.2</v>
      </c>
      <c r="O3408">
        <v>7</v>
      </c>
      <c r="P3408" t="s">
        <v>26</v>
      </c>
    </row>
    <row r="3409" spans="1:16" x14ac:dyDescent="0.25">
      <c r="A3409" t="s">
        <v>7491</v>
      </c>
      <c r="B3409" t="s">
        <v>6605</v>
      </c>
      <c r="C3409" t="s">
        <v>29</v>
      </c>
      <c r="D3409" t="s">
        <v>30</v>
      </c>
      <c r="E3409" t="s">
        <v>20</v>
      </c>
      <c r="F3409" t="s">
        <v>32</v>
      </c>
      <c r="G3409" t="s">
        <v>69</v>
      </c>
      <c r="H3409" t="s">
        <v>23</v>
      </c>
      <c r="I3409" t="s">
        <v>35</v>
      </c>
      <c r="J3409" t="s">
        <v>4525</v>
      </c>
      <c r="K3409" t="s">
        <v>3813</v>
      </c>
      <c r="L3409">
        <v>3</v>
      </c>
      <c r="M3409">
        <v>217000</v>
      </c>
      <c r="N3409">
        <v>3</v>
      </c>
      <c r="O3409">
        <v>2</v>
      </c>
      <c r="P3409" t="s">
        <v>53</v>
      </c>
    </row>
    <row r="3410" spans="1:16" x14ac:dyDescent="0.25">
      <c r="A3410" t="s">
        <v>7492</v>
      </c>
      <c r="B3410" t="s">
        <v>6789</v>
      </c>
      <c r="C3410" t="s">
        <v>29</v>
      </c>
      <c r="D3410" t="s">
        <v>43</v>
      </c>
      <c r="E3410" t="s">
        <v>44</v>
      </c>
      <c r="F3410" t="s">
        <v>128</v>
      </c>
      <c r="G3410" t="s">
        <v>33</v>
      </c>
      <c r="H3410" t="s">
        <v>34</v>
      </c>
      <c r="I3410" t="s">
        <v>24</v>
      </c>
      <c r="J3410" t="s">
        <v>752</v>
      </c>
      <c r="L3410">
        <v>5.5</v>
      </c>
      <c r="M3410">
        <v>358000</v>
      </c>
      <c r="N3410">
        <v>2.2000000000000002</v>
      </c>
      <c r="O3410">
        <v>31</v>
      </c>
      <c r="P3410" t="s">
        <v>26</v>
      </c>
    </row>
    <row r="3411" spans="1:16" x14ac:dyDescent="0.25">
      <c r="A3411" t="s">
        <v>7493</v>
      </c>
      <c r="B3411" t="s">
        <v>7494</v>
      </c>
      <c r="C3411" t="s">
        <v>29</v>
      </c>
      <c r="D3411" t="s">
        <v>50</v>
      </c>
      <c r="E3411" t="s">
        <v>20</v>
      </c>
      <c r="F3411" t="s">
        <v>21</v>
      </c>
      <c r="G3411" t="s">
        <v>69</v>
      </c>
      <c r="H3411" t="s">
        <v>34</v>
      </c>
      <c r="I3411" t="s">
        <v>24</v>
      </c>
      <c r="J3411" t="s">
        <v>1169</v>
      </c>
      <c r="L3411">
        <v>1.7</v>
      </c>
      <c r="M3411">
        <v>752000</v>
      </c>
      <c r="N3411">
        <v>4.4000000000000004</v>
      </c>
      <c r="O3411">
        <v>13</v>
      </c>
      <c r="P3411" t="s">
        <v>26</v>
      </c>
    </row>
    <row r="3412" spans="1:16" x14ac:dyDescent="0.25">
      <c r="A3412" t="s">
        <v>7495</v>
      </c>
      <c r="B3412" t="s">
        <v>5522</v>
      </c>
      <c r="C3412" t="s">
        <v>29</v>
      </c>
      <c r="D3412" t="s">
        <v>79</v>
      </c>
      <c r="E3412" t="s">
        <v>20</v>
      </c>
      <c r="F3412" t="s">
        <v>39</v>
      </c>
      <c r="G3412" t="s">
        <v>22</v>
      </c>
      <c r="H3412" t="s">
        <v>62</v>
      </c>
      <c r="I3412" t="s">
        <v>57</v>
      </c>
      <c r="J3412" t="s">
        <v>526</v>
      </c>
      <c r="K3412" t="s">
        <v>2296</v>
      </c>
      <c r="L3412">
        <v>4</v>
      </c>
      <c r="M3412">
        <v>102000</v>
      </c>
      <c r="N3412">
        <v>4.7</v>
      </c>
      <c r="O3412">
        <v>9</v>
      </c>
      <c r="P3412" t="s">
        <v>72</v>
      </c>
    </row>
    <row r="3413" spans="1:16" x14ac:dyDescent="0.25">
      <c r="A3413" t="s">
        <v>7496</v>
      </c>
      <c r="B3413" t="s">
        <v>434</v>
      </c>
      <c r="C3413" t="s">
        <v>29</v>
      </c>
      <c r="D3413" t="s">
        <v>50</v>
      </c>
      <c r="E3413" t="s">
        <v>31</v>
      </c>
      <c r="F3413" t="s">
        <v>39</v>
      </c>
      <c r="G3413" t="s">
        <v>80</v>
      </c>
      <c r="H3413" t="s">
        <v>23</v>
      </c>
      <c r="I3413" t="s">
        <v>75</v>
      </c>
      <c r="J3413" t="s">
        <v>5211</v>
      </c>
      <c r="L3413">
        <v>3.9</v>
      </c>
      <c r="M3413">
        <v>151000</v>
      </c>
      <c r="N3413">
        <v>2.8</v>
      </c>
      <c r="O3413">
        <v>10</v>
      </c>
      <c r="P3413" t="s">
        <v>26</v>
      </c>
    </row>
    <row r="3414" spans="1:16" x14ac:dyDescent="0.25">
      <c r="A3414" t="s">
        <v>7497</v>
      </c>
      <c r="B3414" t="s">
        <v>7498</v>
      </c>
      <c r="C3414" t="s">
        <v>29</v>
      </c>
      <c r="D3414" t="s">
        <v>19</v>
      </c>
      <c r="E3414" t="s">
        <v>44</v>
      </c>
      <c r="F3414" t="s">
        <v>39</v>
      </c>
      <c r="G3414" t="s">
        <v>80</v>
      </c>
      <c r="H3414" t="s">
        <v>23</v>
      </c>
      <c r="I3414" t="s">
        <v>24</v>
      </c>
      <c r="J3414" t="s">
        <v>175</v>
      </c>
      <c r="L3414">
        <v>5.8</v>
      </c>
      <c r="M3414">
        <v>160000</v>
      </c>
      <c r="N3414">
        <v>4.5</v>
      </c>
      <c r="O3414">
        <v>7</v>
      </c>
      <c r="P3414" t="s">
        <v>26</v>
      </c>
    </row>
    <row r="3415" spans="1:16" x14ac:dyDescent="0.25">
      <c r="A3415" t="s">
        <v>7499</v>
      </c>
      <c r="B3415" t="s">
        <v>7419</v>
      </c>
      <c r="C3415" t="s">
        <v>18</v>
      </c>
      <c r="D3415" t="s">
        <v>79</v>
      </c>
      <c r="E3415" t="s">
        <v>20</v>
      </c>
      <c r="F3415" t="s">
        <v>32</v>
      </c>
      <c r="G3415" t="s">
        <v>22</v>
      </c>
      <c r="H3415" t="s">
        <v>34</v>
      </c>
      <c r="I3415" t="s">
        <v>24</v>
      </c>
      <c r="J3415" t="s">
        <v>2816</v>
      </c>
      <c r="L3415">
        <v>5.8</v>
      </c>
      <c r="M3415">
        <v>323000</v>
      </c>
      <c r="N3415">
        <v>4.2</v>
      </c>
      <c r="O3415">
        <v>14</v>
      </c>
      <c r="P3415" t="s">
        <v>26</v>
      </c>
    </row>
    <row r="3416" spans="1:16" x14ac:dyDescent="0.25">
      <c r="A3416" t="s">
        <v>7500</v>
      </c>
      <c r="B3416" t="s">
        <v>5748</v>
      </c>
      <c r="C3416" t="s">
        <v>29</v>
      </c>
      <c r="D3416" t="s">
        <v>50</v>
      </c>
      <c r="E3416" t="s">
        <v>20</v>
      </c>
      <c r="F3416" t="s">
        <v>32</v>
      </c>
      <c r="G3416" t="s">
        <v>22</v>
      </c>
      <c r="H3416" t="s">
        <v>23</v>
      </c>
      <c r="I3416" t="s">
        <v>24</v>
      </c>
      <c r="J3416" t="s">
        <v>7435</v>
      </c>
      <c r="L3416">
        <v>1.5</v>
      </c>
      <c r="M3416">
        <v>291000</v>
      </c>
      <c r="N3416">
        <v>3.7</v>
      </c>
      <c r="O3416">
        <v>11</v>
      </c>
      <c r="P3416" t="s">
        <v>26</v>
      </c>
    </row>
    <row r="3417" spans="1:16" x14ac:dyDescent="0.25">
      <c r="A3417" t="s">
        <v>7501</v>
      </c>
      <c r="B3417" t="s">
        <v>7502</v>
      </c>
      <c r="C3417" t="s">
        <v>18</v>
      </c>
      <c r="D3417" t="s">
        <v>79</v>
      </c>
      <c r="E3417" t="s">
        <v>20</v>
      </c>
      <c r="F3417" t="s">
        <v>128</v>
      </c>
      <c r="G3417" t="s">
        <v>33</v>
      </c>
      <c r="H3417" t="s">
        <v>34</v>
      </c>
      <c r="I3417" t="s">
        <v>24</v>
      </c>
      <c r="J3417" t="s">
        <v>3821</v>
      </c>
      <c r="L3417">
        <v>4.8</v>
      </c>
      <c r="M3417">
        <v>380000</v>
      </c>
      <c r="N3417">
        <v>2.1</v>
      </c>
      <c r="O3417">
        <v>13</v>
      </c>
      <c r="P3417" t="s">
        <v>26</v>
      </c>
    </row>
    <row r="3418" spans="1:16" x14ac:dyDescent="0.25">
      <c r="A3418" t="s">
        <v>7503</v>
      </c>
      <c r="B3418" t="s">
        <v>6550</v>
      </c>
      <c r="C3418" t="s">
        <v>18</v>
      </c>
      <c r="D3418" t="s">
        <v>50</v>
      </c>
      <c r="E3418" t="s">
        <v>20</v>
      </c>
      <c r="F3418" t="s">
        <v>39</v>
      </c>
      <c r="G3418" t="s">
        <v>22</v>
      </c>
      <c r="H3418" t="s">
        <v>62</v>
      </c>
      <c r="I3418" t="s">
        <v>57</v>
      </c>
      <c r="J3418" t="s">
        <v>3855</v>
      </c>
      <c r="L3418">
        <v>1.7</v>
      </c>
      <c r="M3418">
        <v>171000</v>
      </c>
      <c r="N3418">
        <v>3.4</v>
      </c>
      <c r="O3418">
        <v>0</v>
      </c>
      <c r="P3418" t="s">
        <v>26</v>
      </c>
    </row>
    <row r="3419" spans="1:16" x14ac:dyDescent="0.25">
      <c r="A3419" t="s">
        <v>7504</v>
      </c>
      <c r="B3419" t="s">
        <v>2074</v>
      </c>
      <c r="C3419" t="s">
        <v>29</v>
      </c>
      <c r="D3419" t="s">
        <v>19</v>
      </c>
      <c r="E3419" t="s">
        <v>44</v>
      </c>
      <c r="F3419" t="s">
        <v>32</v>
      </c>
      <c r="G3419" t="s">
        <v>80</v>
      </c>
      <c r="H3419" t="s">
        <v>23</v>
      </c>
      <c r="I3419" t="s">
        <v>35</v>
      </c>
      <c r="J3419" t="s">
        <v>2695</v>
      </c>
      <c r="K3419" t="s">
        <v>2224</v>
      </c>
      <c r="L3419">
        <v>5.6</v>
      </c>
      <c r="M3419">
        <v>385000</v>
      </c>
      <c r="N3419">
        <v>4.9000000000000004</v>
      </c>
      <c r="O3419">
        <v>8</v>
      </c>
      <c r="P3419" t="s">
        <v>72</v>
      </c>
    </row>
    <row r="3420" spans="1:16" x14ac:dyDescent="0.25">
      <c r="A3420" t="s">
        <v>7505</v>
      </c>
      <c r="B3420" t="s">
        <v>2632</v>
      </c>
      <c r="C3420" t="s">
        <v>18</v>
      </c>
      <c r="D3420" t="s">
        <v>50</v>
      </c>
      <c r="E3420" t="s">
        <v>20</v>
      </c>
      <c r="F3420" t="s">
        <v>128</v>
      </c>
      <c r="G3420" t="s">
        <v>80</v>
      </c>
      <c r="H3420" t="s">
        <v>23</v>
      </c>
      <c r="I3420" t="s">
        <v>24</v>
      </c>
      <c r="J3420" t="s">
        <v>7506</v>
      </c>
      <c r="L3420">
        <v>1.5</v>
      </c>
      <c r="M3420">
        <v>370000</v>
      </c>
      <c r="N3420">
        <v>4.0999999999999996</v>
      </c>
      <c r="O3420">
        <v>0</v>
      </c>
      <c r="P3420" t="s">
        <v>26</v>
      </c>
    </row>
    <row r="3421" spans="1:16" x14ac:dyDescent="0.25">
      <c r="A3421" t="s">
        <v>7507</v>
      </c>
      <c r="B3421" t="s">
        <v>4472</v>
      </c>
      <c r="C3421" t="s">
        <v>18</v>
      </c>
      <c r="D3421" t="s">
        <v>43</v>
      </c>
      <c r="E3421" t="s">
        <v>20</v>
      </c>
      <c r="F3421" t="s">
        <v>21</v>
      </c>
      <c r="G3421" t="s">
        <v>33</v>
      </c>
      <c r="H3421" t="s">
        <v>46</v>
      </c>
      <c r="I3421" t="s">
        <v>75</v>
      </c>
      <c r="J3421" t="s">
        <v>4295</v>
      </c>
      <c r="L3421">
        <v>5.5</v>
      </c>
      <c r="N3421">
        <v>4.3</v>
      </c>
      <c r="O3421">
        <v>12</v>
      </c>
      <c r="P3421" t="s">
        <v>26</v>
      </c>
    </row>
    <row r="3422" spans="1:16" x14ac:dyDescent="0.25">
      <c r="A3422" t="s">
        <v>7508</v>
      </c>
      <c r="B3422" t="s">
        <v>4795</v>
      </c>
      <c r="C3422" t="s">
        <v>18</v>
      </c>
      <c r="D3422" t="s">
        <v>19</v>
      </c>
      <c r="E3422" t="s">
        <v>20</v>
      </c>
      <c r="F3422" t="s">
        <v>32</v>
      </c>
      <c r="G3422" t="s">
        <v>22</v>
      </c>
      <c r="H3422" t="s">
        <v>23</v>
      </c>
      <c r="I3422" t="s">
        <v>35</v>
      </c>
      <c r="J3422" t="s">
        <v>7509</v>
      </c>
      <c r="L3422">
        <v>5.5</v>
      </c>
      <c r="M3422">
        <v>241000</v>
      </c>
      <c r="N3422">
        <v>4.9000000000000004</v>
      </c>
      <c r="O3422">
        <v>8</v>
      </c>
      <c r="P3422" t="s">
        <v>26</v>
      </c>
    </row>
    <row r="3423" spans="1:16" x14ac:dyDescent="0.25">
      <c r="A3423" t="s">
        <v>7510</v>
      </c>
      <c r="B3423" t="s">
        <v>5024</v>
      </c>
      <c r="C3423" t="s">
        <v>18</v>
      </c>
      <c r="D3423" t="s">
        <v>19</v>
      </c>
      <c r="E3423" t="s">
        <v>20</v>
      </c>
      <c r="F3423" t="s">
        <v>32</v>
      </c>
      <c r="G3423" t="s">
        <v>80</v>
      </c>
      <c r="H3423" t="s">
        <v>23</v>
      </c>
      <c r="I3423" t="s">
        <v>24</v>
      </c>
      <c r="J3423" t="s">
        <v>2498</v>
      </c>
      <c r="L3423">
        <v>5.0999999999999996</v>
      </c>
      <c r="M3423">
        <v>325000</v>
      </c>
      <c r="N3423">
        <v>2.4</v>
      </c>
      <c r="O3423">
        <v>11</v>
      </c>
      <c r="P3423" t="s">
        <v>26</v>
      </c>
    </row>
    <row r="3424" spans="1:16" x14ac:dyDescent="0.25">
      <c r="A3424" t="s">
        <v>7511</v>
      </c>
      <c r="B3424" t="s">
        <v>7512</v>
      </c>
      <c r="C3424" t="s">
        <v>18</v>
      </c>
      <c r="D3424" t="s">
        <v>50</v>
      </c>
      <c r="E3424" t="s">
        <v>20</v>
      </c>
      <c r="F3424" t="s">
        <v>32</v>
      </c>
      <c r="G3424" t="s">
        <v>80</v>
      </c>
      <c r="I3424" t="s">
        <v>24</v>
      </c>
      <c r="J3424" t="s">
        <v>5475</v>
      </c>
      <c r="L3424">
        <v>5.9</v>
      </c>
      <c r="M3424">
        <v>227000</v>
      </c>
      <c r="N3424">
        <v>3.5</v>
      </c>
      <c r="O3424">
        <v>3</v>
      </c>
      <c r="P3424" t="s">
        <v>26</v>
      </c>
    </row>
    <row r="3425" spans="1:16" x14ac:dyDescent="0.25">
      <c r="A3425" t="s">
        <v>7513</v>
      </c>
      <c r="B3425" t="s">
        <v>7514</v>
      </c>
      <c r="C3425" t="s">
        <v>18</v>
      </c>
      <c r="D3425" t="s">
        <v>30</v>
      </c>
      <c r="E3425" t="s">
        <v>20</v>
      </c>
      <c r="F3425" t="s">
        <v>21</v>
      </c>
      <c r="G3425" t="s">
        <v>80</v>
      </c>
      <c r="H3425" t="s">
        <v>23</v>
      </c>
      <c r="I3425" t="s">
        <v>35</v>
      </c>
      <c r="J3425" t="s">
        <v>1967</v>
      </c>
      <c r="K3425" t="s">
        <v>387</v>
      </c>
      <c r="L3425">
        <v>5.9</v>
      </c>
      <c r="M3425">
        <v>697000</v>
      </c>
      <c r="N3425">
        <v>3.3</v>
      </c>
      <c r="O3425">
        <v>13</v>
      </c>
      <c r="P3425" t="s">
        <v>53</v>
      </c>
    </row>
    <row r="3426" spans="1:16" x14ac:dyDescent="0.25">
      <c r="A3426" t="s">
        <v>7515</v>
      </c>
      <c r="B3426" t="s">
        <v>928</v>
      </c>
      <c r="C3426" t="s">
        <v>18</v>
      </c>
      <c r="D3426" t="s">
        <v>50</v>
      </c>
      <c r="E3426" t="s">
        <v>44</v>
      </c>
      <c r="F3426" t="s">
        <v>32</v>
      </c>
      <c r="G3426" t="s">
        <v>33</v>
      </c>
      <c r="H3426" t="s">
        <v>23</v>
      </c>
      <c r="I3426" t="s">
        <v>24</v>
      </c>
      <c r="J3426" t="s">
        <v>1534</v>
      </c>
      <c r="L3426">
        <v>5.2</v>
      </c>
      <c r="M3426">
        <v>283000</v>
      </c>
      <c r="N3426">
        <v>3.4</v>
      </c>
      <c r="O3426">
        <v>0</v>
      </c>
      <c r="P3426" t="s">
        <v>26</v>
      </c>
    </row>
    <row r="3427" spans="1:16" x14ac:dyDescent="0.25">
      <c r="A3427" t="s">
        <v>7516</v>
      </c>
      <c r="B3427" t="s">
        <v>3339</v>
      </c>
      <c r="C3427" t="s">
        <v>29</v>
      </c>
      <c r="D3427" t="s">
        <v>43</v>
      </c>
      <c r="E3427" t="s">
        <v>20</v>
      </c>
      <c r="F3427" t="s">
        <v>32</v>
      </c>
      <c r="G3427" t="s">
        <v>80</v>
      </c>
      <c r="H3427" t="s">
        <v>46</v>
      </c>
      <c r="I3427" t="s">
        <v>35</v>
      </c>
      <c r="J3427" t="s">
        <v>1294</v>
      </c>
      <c r="K3427" t="s">
        <v>7517</v>
      </c>
      <c r="L3427">
        <v>1.7</v>
      </c>
      <c r="M3427">
        <v>237000</v>
      </c>
      <c r="N3427">
        <v>2.7</v>
      </c>
      <c r="O3427">
        <v>5</v>
      </c>
      <c r="P3427" t="s">
        <v>53</v>
      </c>
    </row>
    <row r="3428" spans="1:16" x14ac:dyDescent="0.25">
      <c r="A3428" t="s">
        <v>7518</v>
      </c>
      <c r="B3428" t="s">
        <v>4046</v>
      </c>
      <c r="C3428" t="s">
        <v>18</v>
      </c>
      <c r="D3428" t="s">
        <v>50</v>
      </c>
      <c r="E3428" t="s">
        <v>20</v>
      </c>
      <c r="F3428" t="s">
        <v>32</v>
      </c>
      <c r="G3428" t="s">
        <v>22</v>
      </c>
      <c r="H3428" t="s">
        <v>62</v>
      </c>
      <c r="I3428" t="s">
        <v>24</v>
      </c>
      <c r="J3428" t="s">
        <v>1617</v>
      </c>
      <c r="K3428" t="s">
        <v>2502</v>
      </c>
      <c r="L3428">
        <v>5.6</v>
      </c>
      <c r="M3428">
        <v>216000</v>
      </c>
      <c r="N3428">
        <v>2.2000000000000002</v>
      </c>
      <c r="O3428">
        <v>36</v>
      </c>
      <c r="P3428" t="s">
        <v>72</v>
      </c>
    </row>
    <row r="3429" spans="1:16" x14ac:dyDescent="0.25">
      <c r="A3429" t="s">
        <v>7519</v>
      </c>
      <c r="B3429" t="s">
        <v>6546</v>
      </c>
      <c r="C3429" t="s">
        <v>29</v>
      </c>
      <c r="D3429" t="s">
        <v>50</v>
      </c>
      <c r="E3429" t="s">
        <v>20</v>
      </c>
      <c r="F3429" t="s">
        <v>128</v>
      </c>
      <c r="G3429" t="s">
        <v>80</v>
      </c>
      <c r="H3429" t="s">
        <v>23</v>
      </c>
      <c r="I3429" t="s">
        <v>24</v>
      </c>
      <c r="J3429" t="s">
        <v>7520</v>
      </c>
      <c r="K3429" t="s">
        <v>7521</v>
      </c>
      <c r="L3429">
        <v>5.9</v>
      </c>
      <c r="M3429">
        <v>475000</v>
      </c>
      <c r="N3429">
        <v>4.9000000000000004</v>
      </c>
      <c r="O3429">
        <v>6</v>
      </c>
      <c r="P3429" t="s">
        <v>114</v>
      </c>
    </row>
    <row r="3430" spans="1:16" x14ac:dyDescent="0.25">
      <c r="A3430" t="s">
        <v>7522</v>
      </c>
      <c r="B3430" t="s">
        <v>3866</v>
      </c>
      <c r="C3430" t="s">
        <v>29</v>
      </c>
      <c r="D3430" t="s">
        <v>19</v>
      </c>
      <c r="E3430" t="s">
        <v>44</v>
      </c>
      <c r="F3430" t="s">
        <v>21</v>
      </c>
      <c r="G3430" t="s">
        <v>22</v>
      </c>
      <c r="H3430" t="s">
        <v>46</v>
      </c>
      <c r="I3430" t="s">
        <v>35</v>
      </c>
      <c r="J3430" t="s">
        <v>6503</v>
      </c>
      <c r="L3430">
        <v>1.9</v>
      </c>
      <c r="M3430">
        <v>823000</v>
      </c>
      <c r="O3430">
        <v>12</v>
      </c>
      <c r="P3430" t="s">
        <v>26</v>
      </c>
    </row>
    <row r="3431" spans="1:16" x14ac:dyDescent="0.25">
      <c r="A3431" t="s">
        <v>7523</v>
      </c>
      <c r="B3431" t="s">
        <v>7379</v>
      </c>
      <c r="C3431" t="s">
        <v>18</v>
      </c>
      <c r="D3431" t="s">
        <v>43</v>
      </c>
      <c r="F3431" t="s">
        <v>32</v>
      </c>
      <c r="G3431" t="s">
        <v>80</v>
      </c>
      <c r="H3431" t="s">
        <v>23</v>
      </c>
      <c r="I3431" t="s">
        <v>24</v>
      </c>
      <c r="J3431" t="s">
        <v>7524</v>
      </c>
      <c r="L3431">
        <v>2.2000000000000002</v>
      </c>
      <c r="M3431">
        <v>292000</v>
      </c>
      <c r="N3431">
        <v>4.0999999999999996</v>
      </c>
      <c r="O3431">
        <v>9</v>
      </c>
      <c r="P3431" t="s">
        <v>26</v>
      </c>
    </row>
    <row r="3432" spans="1:16" x14ac:dyDescent="0.25">
      <c r="A3432" t="s">
        <v>7525</v>
      </c>
      <c r="B3432" t="s">
        <v>4733</v>
      </c>
      <c r="C3432" t="s">
        <v>29</v>
      </c>
      <c r="D3432" t="s">
        <v>30</v>
      </c>
      <c r="E3432" t="s">
        <v>44</v>
      </c>
      <c r="F3432" t="s">
        <v>39</v>
      </c>
      <c r="G3432" t="s">
        <v>22</v>
      </c>
      <c r="H3432" t="s">
        <v>34</v>
      </c>
      <c r="I3432" t="s">
        <v>24</v>
      </c>
      <c r="J3432" t="s">
        <v>6767</v>
      </c>
      <c r="L3432">
        <v>1.3</v>
      </c>
      <c r="M3432">
        <v>146000</v>
      </c>
      <c r="N3432">
        <v>2</v>
      </c>
      <c r="O3432">
        <v>0</v>
      </c>
      <c r="P3432" t="s">
        <v>26</v>
      </c>
    </row>
    <row r="3433" spans="1:16" x14ac:dyDescent="0.25">
      <c r="A3433" t="s">
        <v>7526</v>
      </c>
      <c r="B3433" t="s">
        <v>7527</v>
      </c>
      <c r="C3433" t="s">
        <v>29</v>
      </c>
      <c r="D3433" t="s">
        <v>50</v>
      </c>
      <c r="F3433" t="s">
        <v>32</v>
      </c>
      <c r="G3433" t="s">
        <v>22</v>
      </c>
      <c r="H3433" t="s">
        <v>23</v>
      </c>
      <c r="I3433" t="s">
        <v>24</v>
      </c>
      <c r="J3433" t="s">
        <v>7528</v>
      </c>
      <c r="K3433" t="s">
        <v>3180</v>
      </c>
      <c r="L3433">
        <v>1.7</v>
      </c>
      <c r="M3433">
        <v>311000</v>
      </c>
      <c r="N3433">
        <v>3.6</v>
      </c>
      <c r="P3433" t="s">
        <v>53</v>
      </c>
    </row>
    <row r="3434" spans="1:16" x14ac:dyDescent="0.25">
      <c r="A3434" t="s">
        <v>7529</v>
      </c>
      <c r="B3434" t="s">
        <v>7530</v>
      </c>
      <c r="C3434" t="s">
        <v>29</v>
      </c>
      <c r="D3434" t="s">
        <v>79</v>
      </c>
      <c r="E3434" t="s">
        <v>31</v>
      </c>
      <c r="F3434" t="s">
        <v>128</v>
      </c>
      <c r="G3434" t="s">
        <v>80</v>
      </c>
      <c r="H3434" t="s">
        <v>34</v>
      </c>
      <c r="I3434" t="s">
        <v>35</v>
      </c>
      <c r="J3434" t="s">
        <v>1642</v>
      </c>
      <c r="L3434">
        <v>6.2</v>
      </c>
      <c r="M3434">
        <v>477000</v>
      </c>
      <c r="N3434">
        <v>3.9</v>
      </c>
      <c r="O3434">
        <v>12</v>
      </c>
      <c r="P3434" t="s">
        <v>26</v>
      </c>
    </row>
    <row r="3435" spans="1:16" x14ac:dyDescent="0.25">
      <c r="A3435" t="s">
        <v>7531</v>
      </c>
      <c r="B3435" t="s">
        <v>7532</v>
      </c>
      <c r="C3435" t="s">
        <v>29</v>
      </c>
      <c r="D3435" t="s">
        <v>50</v>
      </c>
      <c r="E3435" t="s">
        <v>20</v>
      </c>
      <c r="F3435" t="s">
        <v>128</v>
      </c>
      <c r="G3435" t="s">
        <v>22</v>
      </c>
      <c r="H3435" t="s">
        <v>34</v>
      </c>
      <c r="I3435" t="s">
        <v>24</v>
      </c>
      <c r="J3435" t="s">
        <v>2643</v>
      </c>
      <c r="L3435">
        <v>3.8</v>
      </c>
      <c r="M3435">
        <v>464000</v>
      </c>
      <c r="N3435">
        <v>3.9</v>
      </c>
      <c r="O3435">
        <v>7</v>
      </c>
      <c r="P3435" t="s">
        <v>26</v>
      </c>
    </row>
    <row r="3436" spans="1:16" x14ac:dyDescent="0.25">
      <c r="A3436" t="s">
        <v>7533</v>
      </c>
      <c r="B3436" t="s">
        <v>1566</v>
      </c>
      <c r="C3436" t="s">
        <v>18</v>
      </c>
      <c r="D3436" t="s">
        <v>50</v>
      </c>
      <c r="E3436" t="s">
        <v>20</v>
      </c>
      <c r="G3436" t="s">
        <v>80</v>
      </c>
      <c r="H3436" t="s">
        <v>34</v>
      </c>
      <c r="I3436" t="s">
        <v>57</v>
      </c>
      <c r="J3436" t="s">
        <v>5965</v>
      </c>
      <c r="L3436">
        <v>6</v>
      </c>
      <c r="M3436">
        <v>179000</v>
      </c>
      <c r="N3436">
        <v>2</v>
      </c>
      <c r="O3436">
        <v>13</v>
      </c>
      <c r="P3436" t="s">
        <v>26</v>
      </c>
    </row>
    <row r="3437" spans="1:16" x14ac:dyDescent="0.25">
      <c r="A3437" t="s">
        <v>7534</v>
      </c>
      <c r="B3437" t="s">
        <v>2242</v>
      </c>
      <c r="C3437" t="s">
        <v>29</v>
      </c>
      <c r="D3437" t="s">
        <v>50</v>
      </c>
      <c r="E3437" t="s">
        <v>20</v>
      </c>
      <c r="F3437" t="s">
        <v>32</v>
      </c>
      <c r="G3437" t="s">
        <v>33</v>
      </c>
      <c r="H3437" t="s">
        <v>34</v>
      </c>
      <c r="I3437" t="s">
        <v>24</v>
      </c>
      <c r="J3437" t="s">
        <v>2768</v>
      </c>
      <c r="L3437">
        <v>3.8</v>
      </c>
      <c r="M3437">
        <v>329000</v>
      </c>
      <c r="N3437">
        <v>4.2</v>
      </c>
      <c r="O3437">
        <v>1</v>
      </c>
      <c r="P3437" t="s">
        <v>26</v>
      </c>
    </row>
    <row r="3438" spans="1:16" x14ac:dyDescent="0.25">
      <c r="A3438" t="s">
        <v>7535</v>
      </c>
      <c r="B3438" t="s">
        <v>3998</v>
      </c>
      <c r="C3438" t="s">
        <v>29</v>
      </c>
      <c r="D3438" t="s">
        <v>43</v>
      </c>
      <c r="E3438" t="s">
        <v>20</v>
      </c>
      <c r="F3438" t="s">
        <v>128</v>
      </c>
      <c r="G3438" t="s">
        <v>22</v>
      </c>
      <c r="H3438" t="s">
        <v>34</v>
      </c>
      <c r="I3438" t="s">
        <v>24</v>
      </c>
      <c r="J3438" t="s">
        <v>5882</v>
      </c>
      <c r="L3438">
        <v>4.4000000000000004</v>
      </c>
      <c r="M3438">
        <v>373000</v>
      </c>
      <c r="N3438">
        <v>3.2</v>
      </c>
      <c r="O3438">
        <v>33</v>
      </c>
      <c r="P3438" t="s">
        <v>26</v>
      </c>
    </row>
    <row r="3439" spans="1:16" x14ac:dyDescent="0.25">
      <c r="A3439" t="s">
        <v>7536</v>
      </c>
      <c r="B3439" t="s">
        <v>509</v>
      </c>
      <c r="C3439" t="s">
        <v>29</v>
      </c>
      <c r="D3439" t="s">
        <v>30</v>
      </c>
      <c r="E3439" t="s">
        <v>44</v>
      </c>
      <c r="F3439" t="s">
        <v>128</v>
      </c>
      <c r="G3439" t="s">
        <v>22</v>
      </c>
      <c r="H3439" t="s">
        <v>34</v>
      </c>
      <c r="I3439" t="s">
        <v>57</v>
      </c>
      <c r="J3439" t="s">
        <v>4635</v>
      </c>
      <c r="K3439" t="s">
        <v>7537</v>
      </c>
      <c r="L3439">
        <v>4.4000000000000004</v>
      </c>
      <c r="M3439">
        <v>399000</v>
      </c>
      <c r="N3439">
        <v>2.2999999999999998</v>
      </c>
      <c r="O3439">
        <v>7</v>
      </c>
      <c r="P3439" t="s">
        <v>53</v>
      </c>
    </row>
    <row r="3440" spans="1:16" x14ac:dyDescent="0.25">
      <c r="A3440" t="s">
        <v>7538</v>
      </c>
      <c r="B3440" t="s">
        <v>3090</v>
      </c>
      <c r="C3440" t="s">
        <v>18</v>
      </c>
      <c r="D3440" t="s">
        <v>43</v>
      </c>
      <c r="E3440" t="s">
        <v>20</v>
      </c>
      <c r="F3440" t="s">
        <v>32</v>
      </c>
      <c r="G3440" t="s">
        <v>22</v>
      </c>
      <c r="I3440" t="s">
        <v>35</v>
      </c>
      <c r="J3440" t="s">
        <v>2143</v>
      </c>
      <c r="K3440" t="s">
        <v>761</v>
      </c>
      <c r="L3440">
        <v>6.1</v>
      </c>
      <c r="M3440">
        <v>275000</v>
      </c>
      <c r="N3440">
        <v>4.7</v>
      </c>
      <c r="O3440">
        <v>7</v>
      </c>
      <c r="P3440" t="s">
        <v>53</v>
      </c>
    </row>
    <row r="3441" spans="1:16" x14ac:dyDescent="0.25">
      <c r="A3441" t="s">
        <v>7539</v>
      </c>
      <c r="B3441" t="s">
        <v>3342</v>
      </c>
      <c r="C3441" t="s">
        <v>29</v>
      </c>
      <c r="D3441" t="s">
        <v>50</v>
      </c>
      <c r="E3441" t="s">
        <v>31</v>
      </c>
      <c r="F3441" t="s">
        <v>128</v>
      </c>
      <c r="G3441" t="s">
        <v>22</v>
      </c>
      <c r="H3441" t="s">
        <v>46</v>
      </c>
      <c r="I3441" t="s">
        <v>35</v>
      </c>
      <c r="J3441" t="s">
        <v>132</v>
      </c>
      <c r="K3441" t="s">
        <v>5143</v>
      </c>
      <c r="L3441">
        <v>2.6</v>
      </c>
      <c r="M3441">
        <v>527000</v>
      </c>
      <c r="N3441">
        <v>2.2000000000000002</v>
      </c>
      <c r="O3441">
        <v>0</v>
      </c>
      <c r="P3441" t="s">
        <v>53</v>
      </c>
    </row>
    <row r="3442" spans="1:16" x14ac:dyDescent="0.25">
      <c r="A3442" t="s">
        <v>7540</v>
      </c>
      <c r="B3442" t="s">
        <v>362</v>
      </c>
      <c r="C3442" t="s">
        <v>18</v>
      </c>
      <c r="D3442" t="s">
        <v>30</v>
      </c>
      <c r="E3442" t="s">
        <v>44</v>
      </c>
      <c r="F3442" t="s">
        <v>39</v>
      </c>
      <c r="G3442" t="s">
        <v>80</v>
      </c>
      <c r="H3442" t="s">
        <v>46</v>
      </c>
      <c r="J3442" t="s">
        <v>2426</v>
      </c>
      <c r="K3442" t="s">
        <v>3120</v>
      </c>
      <c r="L3442">
        <v>5.9</v>
      </c>
      <c r="M3442">
        <v>125000</v>
      </c>
      <c r="N3442">
        <v>3.4</v>
      </c>
      <c r="O3442">
        <v>9</v>
      </c>
      <c r="P3442" t="s">
        <v>53</v>
      </c>
    </row>
    <row r="3443" spans="1:16" x14ac:dyDescent="0.25">
      <c r="A3443" t="s">
        <v>7541</v>
      </c>
      <c r="B3443" t="s">
        <v>7238</v>
      </c>
      <c r="C3443" t="s">
        <v>29</v>
      </c>
      <c r="D3443" t="s">
        <v>30</v>
      </c>
      <c r="E3443" t="s">
        <v>31</v>
      </c>
      <c r="F3443" t="s">
        <v>39</v>
      </c>
      <c r="G3443" t="s">
        <v>22</v>
      </c>
      <c r="H3443" t="s">
        <v>23</v>
      </c>
      <c r="I3443" t="s">
        <v>57</v>
      </c>
      <c r="J3443" t="s">
        <v>2471</v>
      </c>
      <c r="L3443">
        <v>3.3</v>
      </c>
      <c r="M3443">
        <v>105000</v>
      </c>
      <c r="N3443">
        <v>2.6</v>
      </c>
      <c r="P3443" t="s">
        <v>26</v>
      </c>
    </row>
    <row r="3444" spans="1:16" x14ac:dyDescent="0.25">
      <c r="A3444" t="s">
        <v>7542</v>
      </c>
      <c r="B3444" t="s">
        <v>6117</v>
      </c>
      <c r="C3444" t="s">
        <v>18</v>
      </c>
      <c r="D3444" t="s">
        <v>19</v>
      </c>
      <c r="E3444" t="s">
        <v>20</v>
      </c>
      <c r="F3444" t="s">
        <v>32</v>
      </c>
      <c r="G3444" t="s">
        <v>69</v>
      </c>
      <c r="H3444" t="s">
        <v>46</v>
      </c>
      <c r="I3444" t="s">
        <v>75</v>
      </c>
      <c r="J3444" t="s">
        <v>7521</v>
      </c>
      <c r="L3444">
        <v>3.3</v>
      </c>
      <c r="M3444">
        <v>334000</v>
      </c>
      <c r="N3444">
        <v>2.8</v>
      </c>
      <c r="P3444" t="s">
        <v>26</v>
      </c>
    </row>
    <row r="3445" spans="1:16" x14ac:dyDescent="0.25">
      <c r="A3445" t="s">
        <v>7543</v>
      </c>
      <c r="B3445" t="s">
        <v>7544</v>
      </c>
      <c r="C3445" t="s">
        <v>18</v>
      </c>
      <c r="D3445" t="s">
        <v>50</v>
      </c>
      <c r="E3445" t="s">
        <v>20</v>
      </c>
      <c r="F3445" t="s">
        <v>39</v>
      </c>
      <c r="G3445" t="s">
        <v>22</v>
      </c>
      <c r="H3445" t="s">
        <v>34</v>
      </c>
      <c r="I3445" t="s">
        <v>57</v>
      </c>
      <c r="J3445" t="s">
        <v>628</v>
      </c>
      <c r="K3445" t="s">
        <v>2182</v>
      </c>
      <c r="L3445">
        <v>2.1</v>
      </c>
      <c r="M3445">
        <v>159000</v>
      </c>
      <c r="N3445">
        <v>4.4000000000000004</v>
      </c>
      <c r="O3445">
        <v>6</v>
      </c>
      <c r="P3445" t="s">
        <v>53</v>
      </c>
    </row>
    <row r="3446" spans="1:16" x14ac:dyDescent="0.25">
      <c r="A3446" t="s">
        <v>7545</v>
      </c>
      <c r="B3446" t="s">
        <v>1524</v>
      </c>
      <c r="C3446" t="s">
        <v>18</v>
      </c>
      <c r="D3446" t="s">
        <v>19</v>
      </c>
      <c r="E3446" t="s">
        <v>20</v>
      </c>
      <c r="F3446" t="s">
        <v>21</v>
      </c>
      <c r="G3446" t="s">
        <v>80</v>
      </c>
      <c r="H3446" t="s">
        <v>46</v>
      </c>
      <c r="I3446" t="s">
        <v>24</v>
      </c>
      <c r="J3446" t="s">
        <v>6185</v>
      </c>
      <c r="L3446">
        <v>2.1</v>
      </c>
      <c r="M3446">
        <v>1007000</v>
      </c>
      <c r="N3446">
        <v>3.8</v>
      </c>
      <c r="P3446" t="s">
        <v>26</v>
      </c>
    </row>
    <row r="3447" spans="1:16" x14ac:dyDescent="0.25">
      <c r="A3447" t="s">
        <v>7546</v>
      </c>
      <c r="B3447" t="s">
        <v>3442</v>
      </c>
      <c r="C3447" t="s">
        <v>29</v>
      </c>
      <c r="D3447" t="s">
        <v>30</v>
      </c>
      <c r="E3447" t="s">
        <v>20</v>
      </c>
      <c r="F3447" t="s">
        <v>39</v>
      </c>
      <c r="G3447" t="s">
        <v>80</v>
      </c>
      <c r="H3447" t="s">
        <v>46</v>
      </c>
      <c r="I3447" t="s">
        <v>24</v>
      </c>
      <c r="J3447" t="s">
        <v>1629</v>
      </c>
      <c r="L3447">
        <v>3.8</v>
      </c>
      <c r="M3447">
        <v>178000</v>
      </c>
      <c r="N3447">
        <v>2.1</v>
      </c>
      <c r="O3447">
        <v>13</v>
      </c>
      <c r="P3447" t="s">
        <v>26</v>
      </c>
    </row>
    <row r="3448" spans="1:16" x14ac:dyDescent="0.25">
      <c r="A3448" t="s">
        <v>7547</v>
      </c>
      <c r="B3448" t="s">
        <v>4991</v>
      </c>
      <c r="C3448" t="s">
        <v>18</v>
      </c>
      <c r="D3448" t="s">
        <v>30</v>
      </c>
      <c r="E3448" t="s">
        <v>44</v>
      </c>
      <c r="F3448" t="s">
        <v>39</v>
      </c>
      <c r="G3448" t="s">
        <v>33</v>
      </c>
      <c r="H3448" t="s">
        <v>46</v>
      </c>
      <c r="I3448" t="s">
        <v>57</v>
      </c>
      <c r="J3448" t="s">
        <v>1817</v>
      </c>
      <c r="K3448" t="s">
        <v>2625</v>
      </c>
      <c r="L3448">
        <v>4.7</v>
      </c>
      <c r="M3448">
        <v>141000</v>
      </c>
      <c r="N3448">
        <v>2.7</v>
      </c>
      <c r="O3448">
        <v>13</v>
      </c>
      <c r="P3448" t="s">
        <v>53</v>
      </c>
    </row>
    <row r="3449" spans="1:16" x14ac:dyDescent="0.25">
      <c r="A3449" t="s">
        <v>7548</v>
      </c>
      <c r="B3449" t="s">
        <v>7549</v>
      </c>
      <c r="C3449" t="s">
        <v>29</v>
      </c>
      <c r="D3449" t="s">
        <v>30</v>
      </c>
      <c r="E3449" t="s">
        <v>20</v>
      </c>
      <c r="F3449" t="s">
        <v>32</v>
      </c>
      <c r="G3449" t="s">
        <v>22</v>
      </c>
      <c r="H3449" t="s">
        <v>46</v>
      </c>
      <c r="I3449" t="s">
        <v>75</v>
      </c>
      <c r="J3449" t="s">
        <v>3657</v>
      </c>
      <c r="L3449">
        <v>3.2</v>
      </c>
      <c r="M3449">
        <v>340000</v>
      </c>
      <c r="N3449">
        <v>3.4</v>
      </c>
      <c r="O3449">
        <v>0</v>
      </c>
      <c r="P3449" t="s">
        <v>26</v>
      </c>
    </row>
    <row r="3450" spans="1:16" x14ac:dyDescent="0.25">
      <c r="A3450" t="s">
        <v>7550</v>
      </c>
      <c r="B3450" t="s">
        <v>7551</v>
      </c>
      <c r="C3450" t="s">
        <v>18</v>
      </c>
      <c r="D3450" t="s">
        <v>50</v>
      </c>
      <c r="E3450" t="s">
        <v>20</v>
      </c>
      <c r="F3450" t="s">
        <v>32</v>
      </c>
      <c r="G3450" t="s">
        <v>33</v>
      </c>
      <c r="H3450" t="s">
        <v>62</v>
      </c>
      <c r="I3450" t="s">
        <v>24</v>
      </c>
      <c r="J3450" t="s">
        <v>2850</v>
      </c>
      <c r="K3450" t="s">
        <v>2071</v>
      </c>
      <c r="L3450">
        <v>4.4000000000000004</v>
      </c>
      <c r="M3450">
        <v>189000</v>
      </c>
      <c r="N3450">
        <v>2.2999999999999998</v>
      </c>
      <c r="O3450">
        <v>4</v>
      </c>
      <c r="P3450" t="s">
        <v>53</v>
      </c>
    </row>
    <row r="3451" spans="1:16" x14ac:dyDescent="0.25">
      <c r="A3451" t="s">
        <v>7552</v>
      </c>
      <c r="B3451" t="s">
        <v>7553</v>
      </c>
      <c r="C3451" t="s">
        <v>18</v>
      </c>
      <c r="D3451" t="s">
        <v>50</v>
      </c>
      <c r="E3451" t="s">
        <v>20</v>
      </c>
      <c r="F3451" t="s">
        <v>32</v>
      </c>
      <c r="G3451" t="s">
        <v>22</v>
      </c>
      <c r="H3451" t="s">
        <v>46</v>
      </c>
      <c r="I3451" t="s">
        <v>171</v>
      </c>
      <c r="J3451" t="s">
        <v>235</v>
      </c>
      <c r="L3451">
        <v>2.8</v>
      </c>
      <c r="M3451">
        <v>332000</v>
      </c>
      <c r="N3451">
        <v>4</v>
      </c>
      <c r="O3451">
        <v>3</v>
      </c>
      <c r="P3451" t="s">
        <v>26</v>
      </c>
    </row>
    <row r="3452" spans="1:16" x14ac:dyDescent="0.25">
      <c r="A3452" t="s">
        <v>7554</v>
      </c>
      <c r="B3452" t="s">
        <v>7555</v>
      </c>
      <c r="C3452" t="s">
        <v>18</v>
      </c>
      <c r="D3452" t="s">
        <v>43</v>
      </c>
      <c r="E3452" t="s">
        <v>31</v>
      </c>
      <c r="F3452" t="s">
        <v>39</v>
      </c>
      <c r="G3452" t="s">
        <v>69</v>
      </c>
      <c r="H3452" t="s">
        <v>46</v>
      </c>
      <c r="I3452" t="s">
        <v>35</v>
      </c>
      <c r="J3452" t="s">
        <v>339</v>
      </c>
      <c r="L3452">
        <v>2.2999999999999998</v>
      </c>
      <c r="M3452">
        <v>114000</v>
      </c>
      <c r="N3452">
        <v>3.1</v>
      </c>
      <c r="O3452">
        <v>4</v>
      </c>
      <c r="P3452" t="s">
        <v>26</v>
      </c>
    </row>
    <row r="3453" spans="1:16" x14ac:dyDescent="0.25">
      <c r="A3453" t="s">
        <v>7556</v>
      </c>
      <c r="B3453" t="s">
        <v>7557</v>
      </c>
      <c r="C3453" t="s">
        <v>18</v>
      </c>
      <c r="D3453" t="s">
        <v>19</v>
      </c>
      <c r="E3453" t="s">
        <v>44</v>
      </c>
      <c r="F3453" t="s">
        <v>32</v>
      </c>
      <c r="G3453" t="s">
        <v>22</v>
      </c>
      <c r="H3453" t="s">
        <v>46</v>
      </c>
      <c r="I3453" t="s">
        <v>57</v>
      </c>
      <c r="J3453" t="s">
        <v>4845</v>
      </c>
      <c r="L3453">
        <v>4.0999999999999996</v>
      </c>
      <c r="M3453">
        <v>338000</v>
      </c>
      <c r="N3453">
        <v>3</v>
      </c>
      <c r="O3453">
        <v>0</v>
      </c>
      <c r="P3453" t="s">
        <v>26</v>
      </c>
    </row>
    <row r="3454" spans="1:16" x14ac:dyDescent="0.25">
      <c r="A3454" t="s">
        <v>7558</v>
      </c>
      <c r="B3454" t="s">
        <v>7559</v>
      </c>
      <c r="C3454" t="s">
        <v>29</v>
      </c>
      <c r="D3454" t="s">
        <v>43</v>
      </c>
      <c r="E3454" t="s">
        <v>20</v>
      </c>
      <c r="F3454" t="s">
        <v>128</v>
      </c>
      <c r="G3454" t="s">
        <v>22</v>
      </c>
      <c r="H3454" t="s">
        <v>34</v>
      </c>
      <c r="I3454" t="s">
        <v>75</v>
      </c>
      <c r="J3454" t="s">
        <v>5542</v>
      </c>
      <c r="K3454" t="s">
        <v>5510</v>
      </c>
      <c r="L3454">
        <v>5.4</v>
      </c>
      <c r="M3454">
        <v>512000</v>
      </c>
      <c r="N3454">
        <v>4.5</v>
      </c>
      <c r="O3454">
        <v>8</v>
      </c>
      <c r="P3454" t="s">
        <v>72</v>
      </c>
    </row>
    <row r="3455" spans="1:16" x14ac:dyDescent="0.25">
      <c r="A3455" t="s">
        <v>7560</v>
      </c>
      <c r="B3455" t="s">
        <v>7561</v>
      </c>
      <c r="D3455" t="s">
        <v>43</v>
      </c>
      <c r="E3455" t="s">
        <v>44</v>
      </c>
      <c r="F3455" t="s">
        <v>128</v>
      </c>
      <c r="G3455" t="s">
        <v>33</v>
      </c>
      <c r="H3455" t="s">
        <v>23</v>
      </c>
      <c r="I3455" t="s">
        <v>24</v>
      </c>
      <c r="J3455" t="s">
        <v>6422</v>
      </c>
      <c r="L3455">
        <v>2.9</v>
      </c>
      <c r="M3455">
        <v>426000</v>
      </c>
      <c r="N3455">
        <v>4.3</v>
      </c>
      <c r="O3455">
        <v>13</v>
      </c>
      <c r="P3455" t="s">
        <v>26</v>
      </c>
    </row>
    <row r="3456" spans="1:16" x14ac:dyDescent="0.25">
      <c r="A3456" t="s">
        <v>7562</v>
      </c>
      <c r="B3456" t="s">
        <v>7563</v>
      </c>
      <c r="C3456" t="s">
        <v>18</v>
      </c>
      <c r="D3456" t="s">
        <v>30</v>
      </c>
      <c r="E3456" t="s">
        <v>20</v>
      </c>
      <c r="F3456" t="s">
        <v>32</v>
      </c>
      <c r="G3456" t="s">
        <v>33</v>
      </c>
      <c r="I3456" t="s">
        <v>35</v>
      </c>
      <c r="J3456" t="s">
        <v>1272</v>
      </c>
      <c r="K3456" t="s">
        <v>3875</v>
      </c>
      <c r="L3456">
        <v>2.9</v>
      </c>
      <c r="M3456">
        <v>265000</v>
      </c>
      <c r="O3456">
        <v>2</v>
      </c>
      <c r="P3456" t="s">
        <v>53</v>
      </c>
    </row>
    <row r="3457" spans="1:16" x14ac:dyDescent="0.25">
      <c r="A3457" t="s">
        <v>7564</v>
      </c>
      <c r="B3457" t="s">
        <v>1673</v>
      </c>
      <c r="C3457" t="s">
        <v>18</v>
      </c>
      <c r="D3457" t="s">
        <v>19</v>
      </c>
      <c r="E3457" t="s">
        <v>20</v>
      </c>
      <c r="F3457" t="s">
        <v>32</v>
      </c>
      <c r="G3457" t="s">
        <v>33</v>
      </c>
      <c r="H3457" t="s">
        <v>23</v>
      </c>
      <c r="J3457" t="s">
        <v>3291</v>
      </c>
      <c r="L3457">
        <v>6.1</v>
      </c>
      <c r="M3457">
        <v>360000</v>
      </c>
      <c r="N3457">
        <v>5</v>
      </c>
      <c r="O3457">
        <v>0</v>
      </c>
      <c r="P3457" t="s">
        <v>26</v>
      </c>
    </row>
    <row r="3458" spans="1:16" x14ac:dyDescent="0.25">
      <c r="A3458" t="s">
        <v>7565</v>
      </c>
      <c r="B3458" t="s">
        <v>7076</v>
      </c>
      <c r="C3458" t="s">
        <v>29</v>
      </c>
      <c r="D3458" t="s">
        <v>19</v>
      </c>
      <c r="E3458" t="s">
        <v>44</v>
      </c>
      <c r="F3458" t="s">
        <v>39</v>
      </c>
      <c r="G3458" t="s">
        <v>80</v>
      </c>
      <c r="H3458" t="s">
        <v>34</v>
      </c>
      <c r="I3458" t="s">
        <v>57</v>
      </c>
      <c r="J3458" t="s">
        <v>1194</v>
      </c>
      <c r="L3458">
        <v>3</v>
      </c>
      <c r="M3458">
        <v>198000</v>
      </c>
      <c r="N3458">
        <v>3.1</v>
      </c>
      <c r="O3458">
        <v>4</v>
      </c>
      <c r="P3458" t="s">
        <v>26</v>
      </c>
    </row>
    <row r="3459" spans="1:16" x14ac:dyDescent="0.25">
      <c r="A3459" t="s">
        <v>7566</v>
      </c>
      <c r="B3459" t="s">
        <v>5210</v>
      </c>
      <c r="C3459" t="s">
        <v>18</v>
      </c>
      <c r="D3459" t="s">
        <v>79</v>
      </c>
      <c r="E3459" t="s">
        <v>20</v>
      </c>
      <c r="F3459" t="s">
        <v>128</v>
      </c>
      <c r="G3459" t="s">
        <v>22</v>
      </c>
      <c r="H3459" t="s">
        <v>23</v>
      </c>
      <c r="I3459" t="s">
        <v>57</v>
      </c>
      <c r="J3459" t="s">
        <v>682</v>
      </c>
      <c r="L3459">
        <v>3.5</v>
      </c>
      <c r="M3459">
        <v>467000</v>
      </c>
      <c r="N3459">
        <v>3.8</v>
      </c>
      <c r="O3459">
        <v>8</v>
      </c>
      <c r="P3459" t="s">
        <v>26</v>
      </c>
    </row>
    <row r="3460" spans="1:16" x14ac:dyDescent="0.25">
      <c r="A3460" t="s">
        <v>7567</v>
      </c>
      <c r="B3460" t="s">
        <v>93</v>
      </c>
      <c r="C3460" t="s">
        <v>29</v>
      </c>
      <c r="D3460" t="s">
        <v>50</v>
      </c>
      <c r="E3460" t="s">
        <v>20</v>
      </c>
      <c r="F3460" t="s">
        <v>39</v>
      </c>
      <c r="G3460" t="s">
        <v>22</v>
      </c>
      <c r="H3460" t="s">
        <v>23</v>
      </c>
      <c r="I3460" t="s">
        <v>24</v>
      </c>
      <c r="J3460" t="s">
        <v>3078</v>
      </c>
      <c r="L3460">
        <v>4.7</v>
      </c>
      <c r="M3460">
        <v>161000</v>
      </c>
      <c r="N3460">
        <v>4.5</v>
      </c>
      <c r="O3460">
        <v>10</v>
      </c>
      <c r="P3460" t="s">
        <v>26</v>
      </c>
    </row>
    <row r="3461" spans="1:16" x14ac:dyDescent="0.25">
      <c r="A3461" t="s">
        <v>7568</v>
      </c>
      <c r="B3461" t="s">
        <v>3992</v>
      </c>
      <c r="C3461" t="s">
        <v>18</v>
      </c>
      <c r="D3461" t="s">
        <v>43</v>
      </c>
      <c r="F3461" t="s">
        <v>21</v>
      </c>
      <c r="G3461" t="s">
        <v>80</v>
      </c>
      <c r="H3461" t="s">
        <v>34</v>
      </c>
      <c r="I3461" t="s">
        <v>57</v>
      </c>
      <c r="J3461" t="s">
        <v>1382</v>
      </c>
      <c r="L3461">
        <v>5.4</v>
      </c>
      <c r="M3461">
        <v>834000</v>
      </c>
      <c r="N3461">
        <v>4.3</v>
      </c>
      <c r="O3461">
        <v>6</v>
      </c>
      <c r="P3461" t="s">
        <v>26</v>
      </c>
    </row>
    <row r="3462" spans="1:16" x14ac:dyDescent="0.25">
      <c r="A3462" t="s">
        <v>7569</v>
      </c>
      <c r="B3462" t="s">
        <v>5632</v>
      </c>
      <c r="C3462" t="s">
        <v>29</v>
      </c>
      <c r="D3462" t="s">
        <v>79</v>
      </c>
      <c r="E3462" t="s">
        <v>20</v>
      </c>
      <c r="F3462" t="s">
        <v>128</v>
      </c>
      <c r="G3462" t="s">
        <v>33</v>
      </c>
      <c r="H3462" t="s">
        <v>62</v>
      </c>
      <c r="I3462" t="s">
        <v>35</v>
      </c>
      <c r="J3462" t="s">
        <v>98</v>
      </c>
      <c r="L3462">
        <v>6.2</v>
      </c>
      <c r="M3462">
        <v>577000</v>
      </c>
      <c r="N3462">
        <v>2.2000000000000002</v>
      </c>
      <c r="O3462">
        <v>33</v>
      </c>
      <c r="P3462" t="s">
        <v>26</v>
      </c>
    </row>
    <row r="3463" spans="1:16" x14ac:dyDescent="0.25">
      <c r="A3463" t="s">
        <v>7570</v>
      </c>
      <c r="B3463" t="s">
        <v>7571</v>
      </c>
      <c r="C3463" t="s">
        <v>18</v>
      </c>
      <c r="D3463" t="s">
        <v>43</v>
      </c>
      <c r="E3463" t="s">
        <v>20</v>
      </c>
      <c r="F3463" t="s">
        <v>21</v>
      </c>
      <c r="G3463" t="s">
        <v>22</v>
      </c>
      <c r="H3463" t="s">
        <v>46</v>
      </c>
      <c r="I3463" t="s">
        <v>171</v>
      </c>
      <c r="J3463" t="s">
        <v>7572</v>
      </c>
      <c r="L3463">
        <v>5.3</v>
      </c>
      <c r="M3463">
        <v>600000</v>
      </c>
      <c r="N3463">
        <v>4.0999999999999996</v>
      </c>
      <c r="O3463">
        <v>15</v>
      </c>
      <c r="P3463" t="s">
        <v>26</v>
      </c>
    </row>
    <row r="3464" spans="1:16" x14ac:dyDescent="0.25">
      <c r="A3464" t="s">
        <v>7573</v>
      </c>
      <c r="B3464" t="s">
        <v>4017</v>
      </c>
      <c r="C3464" t="s">
        <v>18</v>
      </c>
      <c r="D3464" t="s">
        <v>50</v>
      </c>
      <c r="E3464" t="s">
        <v>20</v>
      </c>
      <c r="F3464" t="s">
        <v>32</v>
      </c>
      <c r="G3464" t="s">
        <v>33</v>
      </c>
      <c r="H3464" t="s">
        <v>23</v>
      </c>
      <c r="I3464" t="s">
        <v>75</v>
      </c>
      <c r="J3464" t="s">
        <v>7574</v>
      </c>
      <c r="K3464" t="s">
        <v>7047</v>
      </c>
      <c r="L3464">
        <v>4.3</v>
      </c>
      <c r="M3464">
        <v>275000</v>
      </c>
      <c r="N3464">
        <v>4.5999999999999996</v>
      </c>
      <c r="O3464">
        <v>11</v>
      </c>
      <c r="P3464" t="s">
        <v>53</v>
      </c>
    </row>
    <row r="3465" spans="1:16" x14ac:dyDescent="0.25">
      <c r="A3465" t="s">
        <v>7575</v>
      </c>
      <c r="B3465" t="s">
        <v>1500</v>
      </c>
      <c r="C3465" t="s">
        <v>18</v>
      </c>
      <c r="E3465" t="s">
        <v>31</v>
      </c>
      <c r="F3465" t="s">
        <v>128</v>
      </c>
      <c r="G3465" t="s">
        <v>33</v>
      </c>
      <c r="H3465" t="s">
        <v>23</v>
      </c>
      <c r="I3465" t="s">
        <v>24</v>
      </c>
      <c r="J3465" t="s">
        <v>4002</v>
      </c>
      <c r="L3465">
        <v>4.7</v>
      </c>
      <c r="M3465">
        <v>445000</v>
      </c>
      <c r="N3465">
        <v>3</v>
      </c>
      <c r="O3465">
        <v>12</v>
      </c>
      <c r="P3465" t="s">
        <v>26</v>
      </c>
    </row>
    <row r="3466" spans="1:16" x14ac:dyDescent="0.25">
      <c r="A3466" t="s">
        <v>7576</v>
      </c>
      <c r="B3466" t="s">
        <v>7571</v>
      </c>
      <c r="D3466" t="s">
        <v>79</v>
      </c>
      <c r="E3466" t="s">
        <v>20</v>
      </c>
      <c r="F3466" t="s">
        <v>21</v>
      </c>
      <c r="G3466" t="s">
        <v>80</v>
      </c>
      <c r="H3466" t="s">
        <v>34</v>
      </c>
      <c r="I3466" t="s">
        <v>35</v>
      </c>
      <c r="J3466" t="s">
        <v>1605</v>
      </c>
      <c r="K3466" t="s">
        <v>7577</v>
      </c>
      <c r="L3466">
        <v>2.9</v>
      </c>
      <c r="M3466">
        <v>630000</v>
      </c>
      <c r="N3466">
        <v>3.3</v>
      </c>
      <c r="O3466">
        <v>4</v>
      </c>
      <c r="P3466" t="s">
        <v>72</v>
      </c>
    </row>
    <row r="3467" spans="1:16" x14ac:dyDescent="0.25">
      <c r="A3467" t="s">
        <v>7578</v>
      </c>
      <c r="B3467" t="s">
        <v>7579</v>
      </c>
      <c r="C3467" t="s">
        <v>29</v>
      </c>
      <c r="D3467" t="s">
        <v>19</v>
      </c>
      <c r="E3467" t="s">
        <v>44</v>
      </c>
      <c r="F3467" t="s">
        <v>32</v>
      </c>
      <c r="G3467" t="s">
        <v>33</v>
      </c>
      <c r="H3467" t="s">
        <v>62</v>
      </c>
      <c r="I3467" t="s">
        <v>24</v>
      </c>
      <c r="J3467" t="s">
        <v>312</v>
      </c>
      <c r="L3467">
        <v>4.9000000000000004</v>
      </c>
      <c r="M3467">
        <v>367000</v>
      </c>
      <c r="O3467">
        <v>4</v>
      </c>
      <c r="P3467" t="s">
        <v>26</v>
      </c>
    </row>
    <row r="3468" spans="1:16" x14ac:dyDescent="0.25">
      <c r="A3468" t="s">
        <v>7580</v>
      </c>
      <c r="B3468" t="s">
        <v>5515</v>
      </c>
      <c r="C3468" t="s">
        <v>29</v>
      </c>
      <c r="D3468" t="s">
        <v>50</v>
      </c>
      <c r="E3468" t="s">
        <v>20</v>
      </c>
      <c r="F3468" t="s">
        <v>39</v>
      </c>
      <c r="G3468" t="s">
        <v>80</v>
      </c>
      <c r="H3468" t="s">
        <v>62</v>
      </c>
      <c r="I3468" t="s">
        <v>35</v>
      </c>
      <c r="J3468" t="s">
        <v>2476</v>
      </c>
      <c r="L3468">
        <v>3.5</v>
      </c>
      <c r="M3468">
        <v>178000</v>
      </c>
      <c r="N3468">
        <v>2.5</v>
      </c>
      <c r="O3468">
        <v>12</v>
      </c>
      <c r="P3468" t="s">
        <v>26</v>
      </c>
    </row>
    <row r="3469" spans="1:16" x14ac:dyDescent="0.25">
      <c r="A3469" t="s">
        <v>7581</v>
      </c>
      <c r="B3469" t="s">
        <v>7582</v>
      </c>
      <c r="C3469" t="s">
        <v>18</v>
      </c>
      <c r="D3469" t="s">
        <v>30</v>
      </c>
      <c r="E3469" t="s">
        <v>31</v>
      </c>
      <c r="F3469" t="s">
        <v>32</v>
      </c>
      <c r="G3469" t="s">
        <v>69</v>
      </c>
      <c r="H3469" t="s">
        <v>34</v>
      </c>
      <c r="I3469" t="s">
        <v>35</v>
      </c>
      <c r="J3469" t="s">
        <v>2413</v>
      </c>
      <c r="L3469">
        <v>4.0999999999999996</v>
      </c>
      <c r="M3469">
        <v>193000</v>
      </c>
      <c r="N3469">
        <v>2.2999999999999998</v>
      </c>
      <c r="O3469">
        <v>10</v>
      </c>
      <c r="P3469" t="s">
        <v>26</v>
      </c>
    </row>
    <row r="3470" spans="1:16" x14ac:dyDescent="0.25">
      <c r="A3470" t="s">
        <v>7583</v>
      </c>
      <c r="B3470" t="s">
        <v>4078</v>
      </c>
      <c r="C3470" t="s">
        <v>29</v>
      </c>
      <c r="D3470" t="s">
        <v>43</v>
      </c>
      <c r="E3470" t="s">
        <v>20</v>
      </c>
      <c r="F3470" t="s">
        <v>128</v>
      </c>
      <c r="G3470" t="s">
        <v>22</v>
      </c>
      <c r="H3470" t="s">
        <v>34</v>
      </c>
      <c r="I3470" t="s">
        <v>24</v>
      </c>
      <c r="J3470" t="s">
        <v>4742</v>
      </c>
      <c r="K3470" t="s">
        <v>7584</v>
      </c>
      <c r="L3470">
        <v>5</v>
      </c>
      <c r="M3470">
        <v>496000</v>
      </c>
      <c r="N3470">
        <v>2.7</v>
      </c>
      <c r="O3470">
        <v>8</v>
      </c>
      <c r="P3470" t="s">
        <v>53</v>
      </c>
    </row>
    <row r="3471" spans="1:16" x14ac:dyDescent="0.25">
      <c r="A3471" t="s">
        <v>7585</v>
      </c>
      <c r="B3471" t="s">
        <v>7586</v>
      </c>
      <c r="C3471" t="s">
        <v>18</v>
      </c>
      <c r="D3471" t="s">
        <v>79</v>
      </c>
      <c r="E3471" t="s">
        <v>20</v>
      </c>
      <c r="F3471" t="s">
        <v>32</v>
      </c>
      <c r="G3471" t="s">
        <v>33</v>
      </c>
      <c r="H3471" t="s">
        <v>34</v>
      </c>
      <c r="I3471" t="s">
        <v>35</v>
      </c>
      <c r="J3471" t="s">
        <v>5746</v>
      </c>
      <c r="L3471">
        <v>4.0999999999999996</v>
      </c>
      <c r="M3471">
        <v>261000</v>
      </c>
      <c r="N3471">
        <v>3.6</v>
      </c>
      <c r="O3471">
        <v>0</v>
      </c>
      <c r="P3471" t="s">
        <v>26</v>
      </c>
    </row>
    <row r="3472" spans="1:16" x14ac:dyDescent="0.25">
      <c r="A3472" t="s">
        <v>7587</v>
      </c>
      <c r="B3472" t="s">
        <v>5736</v>
      </c>
      <c r="C3472" t="s">
        <v>18</v>
      </c>
      <c r="D3472" t="s">
        <v>30</v>
      </c>
      <c r="E3472" t="s">
        <v>20</v>
      </c>
      <c r="F3472" t="s">
        <v>39</v>
      </c>
      <c r="G3472" t="s">
        <v>33</v>
      </c>
      <c r="H3472" t="s">
        <v>23</v>
      </c>
      <c r="I3472" t="s">
        <v>57</v>
      </c>
      <c r="J3472" t="s">
        <v>7588</v>
      </c>
      <c r="L3472">
        <v>2.4</v>
      </c>
      <c r="M3472">
        <v>154000</v>
      </c>
      <c r="N3472">
        <v>3.3</v>
      </c>
      <c r="P3472" t="s">
        <v>26</v>
      </c>
    </row>
    <row r="3473" spans="1:16" x14ac:dyDescent="0.25">
      <c r="A3473" t="s">
        <v>7589</v>
      </c>
      <c r="B3473" t="s">
        <v>7590</v>
      </c>
      <c r="C3473" t="s">
        <v>29</v>
      </c>
      <c r="D3473" t="s">
        <v>79</v>
      </c>
      <c r="E3473" t="s">
        <v>20</v>
      </c>
      <c r="F3473" t="s">
        <v>32</v>
      </c>
      <c r="G3473" t="s">
        <v>80</v>
      </c>
      <c r="H3473" t="s">
        <v>46</v>
      </c>
      <c r="I3473" t="s">
        <v>35</v>
      </c>
      <c r="J3473" t="s">
        <v>6428</v>
      </c>
      <c r="L3473">
        <v>2.6</v>
      </c>
      <c r="M3473">
        <v>250000</v>
      </c>
      <c r="N3473">
        <v>5</v>
      </c>
      <c r="O3473">
        <v>6</v>
      </c>
      <c r="P3473" t="s">
        <v>26</v>
      </c>
    </row>
    <row r="3474" spans="1:16" x14ac:dyDescent="0.25">
      <c r="A3474" t="s">
        <v>7591</v>
      </c>
      <c r="B3474" t="s">
        <v>2785</v>
      </c>
      <c r="C3474" t="s">
        <v>29</v>
      </c>
      <c r="D3474" t="s">
        <v>30</v>
      </c>
      <c r="E3474" t="s">
        <v>20</v>
      </c>
      <c r="F3474" t="s">
        <v>128</v>
      </c>
      <c r="G3474" t="s">
        <v>80</v>
      </c>
      <c r="H3474" t="s">
        <v>34</v>
      </c>
      <c r="I3474" t="s">
        <v>57</v>
      </c>
      <c r="J3474" t="s">
        <v>2305</v>
      </c>
      <c r="L3474">
        <v>4.3</v>
      </c>
      <c r="M3474">
        <v>470000</v>
      </c>
      <c r="N3474">
        <v>3</v>
      </c>
      <c r="O3474">
        <v>11</v>
      </c>
      <c r="P3474" t="s">
        <v>26</v>
      </c>
    </row>
    <row r="3475" spans="1:16" x14ac:dyDescent="0.25">
      <c r="A3475" t="s">
        <v>7592</v>
      </c>
      <c r="B3475" t="s">
        <v>3899</v>
      </c>
      <c r="C3475" t="s">
        <v>18</v>
      </c>
      <c r="D3475" t="s">
        <v>79</v>
      </c>
      <c r="E3475" t="s">
        <v>20</v>
      </c>
      <c r="F3475" t="s">
        <v>128</v>
      </c>
      <c r="G3475" t="s">
        <v>80</v>
      </c>
      <c r="H3475" t="s">
        <v>34</v>
      </c>
      <c r="J3475" t="s">
        <v>5546</v>
      </c>
      <c r="K3475" t="s">
        <v>2663</v>
      </c>
      <c r="L3475">
        <v>4.8</v>
      </c>
      <c r="M3475">
        <v>418000</v>
      </c>
      <c r="N3475">
        <v>3.9</v>
      </c>
      <c r="O3475">
        <v>10</v>
      </c>
      <c r="P3475" t="s">
        <v>53</v>
      </c>
    </row>
    <row r="3476" spans="1:16" x14ac:dyDescent="0.25">
      <c r="A3476" t="s">
        <v>7593</v>
      </c>
      <c r="B3476" t="s">
        <v>7594</v>
      </c>
      <c r="C3476" t="s">
        <v>29</v>
      </c>
      <c r="D3476" t="s">
        <v>19</v>
      </c>
      <c r="E3476" t="s">
        <v>20</v>
      </c>
      <c r="F3476" t="s">
        <v>128</v>
      </c>
      <c r="G3476" t="s">
        <v>80</v>
      </c>
      <c r="H3476" t="s">
        <v>46</v>
      </c>
      <c r="I3476" t="s">
        <v>57</v>
      </c>
      <c r="J3476" t="s">
        <v>1065</v>
      </c>
      <c r="L3476">
        <v>4</v>
      </c>
      <c r="M3476">
        <v>381000</v>
      </c>
      <c r="N3476">
        <v>3.8</v>
      </c>
      <c r="O3476">
        <v>14</v>
      </c>
      <c r="P3476" t="s">
        <v>26</v>
      </c>
    </row>
    <row r="3477" spans="1:16" x14ac:dyDescent="0.25">
      <c r="A3477" t="s">
        <v>7595</v>
      </c>
      <c r="B3477" t="s">
        <v>7596</v>
      </c>
      <c r="C3477" t="s">
        <v>29</v>
      </c>
      <c r="D3477" t="s">
        <v>50</v>
      </c>
      <c r="E3477" t="s">
        <v>44</v>
      </c>
      <c r="F3477" t="s">
        <v>39</v>
      </c>
      <c r="G3477" t="s">
        <v>22</v>
      </c>
      <c r="H3477" t="s">
        <v>34</v>
      </c>
      <c r="I3477" t="s">
        <v>35</v>
      </c>
      <c r="J3477" t="s">
        <v>484</v>
      </c>
      <c r="L3477">
        <v>4.2</v>
      </c>
      <c r="M3477">
        <v>93000</v>
      </c>
      <c r="N3477">
        <v>4.9000000000000004</v>
      </c>
      <c r="O3477">
        <v>5</v>
      </c>
      <c r="P3477" t="s">
        <v>26</v>
      </c>
    </row>
    <row r="3478" spans="1:16" x14ac:dyDescent="0.25">
      <c r="A3478" t="s">
        <v>5226</v>
      </c>
      <c r="B3478" t="s">
        <v>5227</v>
      </c>
      <c r="C3478" t="s">
        <v>29</v>
      </c>
      <c r="D3478" t="s">
        <v>50</v>
      </c>
      <c r="E3478" t="s">
        <v>20</v>
      </c>
      <c r="F3478" t="s">
        <v>21</v>
      </c>
      <c r="G3478" t="s">
        <v>22</v>
      </c>
      <c r="H3478" t="s">
        <v>34</v>
      </c>
      <c r="I3478" t="s">
        <v>24</v>
      </c>
      <c r="J3478" t="s">
        <v>5228</v>
      </c>
      <c r="L3478">
        <v>5.9</v>
      </c>
      <c r="M3478">
        <v>752000</v>
      </c>
      <c r="N3478">
        <v>4.0999999999999996</v>
      </c>
      <c r="O3478">
        <v>11</v>
      </c>
      <c r="P3478" t="s">
        <v>26</v>
      </c>
    </row>
    <row r="3479" spans="1:16" x14ac:dyDescent="0.25">
      <c r="A3479" t="s">
        <v>7597</v>
      </c>
      <c r="B3479" t="s">
        <v>7598</v>
      </c>
      <c r="C3479" t="s">
        <v>18</v>
      </c>
      <c r="D3479" t="s">
        <v>79</v>
      </c>
      <c r="E3479" t="s">
        <v>20</v>
      </c>
      <c r="F3479" t="s">
        <v>39</v>
      </c>
      <c r="G3479" t="s">
        <v>22</v>
      </c>
      <c r="H3479" t="s">
        <v>34</v>
      </c>
      <c r="I3479" t="s">
        <v>24</v>
      </c>
      <c r="J3479" t="s">
        <v>1827</v>
      </c>
      <c r="L3479">
        <v>3.5</v>
      </c>
      <c r="M3479">
        <v>136000</v>
      </c>
      <c r="N3479">
        <v>4.5999999999999996</v>
      </c>
      <c r="O3479">
        <v>22</v>
      </c>
      <c r="P3479" t="s">
        <v>26</v>
      </c>
    </row>
    <row r="3480" spans="1:16" x14ac:dyDescent="0.25">
      <c r="A3480" t="s">
        <v>7599</v>
      </c>
      <c r="B3480" t="s">
        <v>5440</v>
      </c>
      <c r="C3480" t="s">
        <v>29</v>
      </c>
      <c r="D3480" t="s">
        <v>30</v>
      </c>
      <c r="F3480" t="s">
        <v>39</v>
      </c>
      <c r="G3480" t="s">
        <v>69</v>
      </c>
      <c r="H3480" t="s">
        <v>46</v>
      </c>
      <c r="I3480" t="s">
        <v>57</v>
      </c>
      <c r="J3480" t="s">
        <v>5175</v>
      </c>
      <c r="L3480">
        <v>3.4</v>
      </c>
      <c r="M3480">
        <v>137000</v>
      </c>
      <c r="N3480">
        <v>1.6</v>
      </c>
      <c r="O3480">
        <v>5</v>
      </c>
      <c r="P3480" t="s">
        <v>26</v>
      </c>
    </row>
    <row r="3481" spans="1:16" x14ac:dyDescent="0.25">
      <c r="A3481" t="s">
        <v>7600</v>
      </c>
      <c r="B3481" t="s">
        <v>7601</v>
      </c>
      <c r="C3481" t="s">
        <v>18</v>
      </c>
      <c r="D3481" t="s">
        <v>30</v>
      </c>
      <c r="E3481" t="s">
        <v>20</v>
      </c>
      <c r="F3481" t="s">
        <v>39</v>
      </c>
      <c r="G3481" t="s">
        <v>22</v>
      </c>
      <c r="H3481" t="s">
        <v>23</v>
      </c>
      <c r="I3481" t="s">
        <v>35</v>
      </c>
      <c r="J3481" t="s">
        <v>2991</v>
      </c>
      <c r="K3481" t="s">
        <v>7602</v>
      </c>
      <c r="L3481">
        <v>2.8</v>
      </c>
      <c r="M3481">
        <v>122000</v>
      </c>
      <c r="N3481">
        <v>3</v>
      </c>
      <c r="O3481">
        <v>11</v>
      </c>
      <c r="P3481" t="s">
        <v>53</v>
      </c>
    </row>
    <row r="3482" spans="1:16" x14ac:dyDescent="0.25">
      <c r="A3482" t="s">
        <v>7603</v>
      </c>
      <c r="B3482" t="s">
        <v>7604</v>
      </c>
      <c r="C3482" t="s">
        <v>29</v>
      </c>
      <c r="D3482" t="s">
        <v>79</v>
      </c>
      <c r="E3482" t="s">
        <v>20</v>
      </c>
      <c r="F3482" t="s">
        <v>32</v>
      </c>
      <c r="G3482" t="s">
        <v>22</v>
      </c>
      <c r="H3482" t="s">
        <v>46</v>
      </c>
      <c r="I3482" t="s">
        <v>57</v>
      </c>
      <c r="J3482" t="s">
        <v>2657</v>
      </c>
      <c r="K3482" t="s">
        <v>911</v>
      </c>
      <c r="L3482">
        <v>2.9</v>
      </c>
      <c r="M3482">
        <v>287000</v>
      </c>
      <c r="N3482">
        <v>4.4000000000000004</v>
      </c>
      <c r="O3482">
        <v>22</v>
      </c>
      <c r="P3482" t="s">
        <v>72</v>
      </c>
    </row>
    <row r="3483" spans="1:16" x14ac:dyDescent="0.25">
      <c r="A3483" t="s">
        <v>7605</v>
      </c>
      <c r="B3483" t="s">
        <v>7606</v>
      </c>
      <c r="C3483" t="s">
        <v>29</v>
      </c>
      <c r="D3483" t="s">
        <v>19</v>
      </c>
      <c r="E3483" t="s">
        <v>20</v>
      </c>
      <c r="F3483" t="s">
        <v>39</v>
      </c>
      <c r="G3483" t="s">
        <v>22</v>
      </c>
      <c r="H3483" t="s">
        <v>34</v>
      </c>
      <c r="I3483" t="s">
        <v>57</v>
      </c>
      <c r="J3483" t="s">
        <v>7326</v>
      </c>
      <c r="L3483">
        <v>4.0999999999999996</v>
      </c>
      <c r="M3483">
        <v>132000</v>
      </c>
      <c r="N3483">
        <v>3.5</v>
      </c>
      <c r="O3483">
        <v>1</v>
      </c>
      <c r="P3483" t="s">
        <v>26</v>
      </c>
    </row>
    <row r="3484" spans="1:16" x14ac:dyDescent="0.25">
      <c r="A3484" t="s">
        <v>7607</v>
      </c>
      <c r="B3484" t="s">
        <v>3171</v>
      </c>
      <c r="C3484" t="s">
        <v>18</v>
      </c>
      <c r="D3484" t="s">
        <v>19</v>
      </c>
      <c r="E3484" t="s">
        <v>20</v>
      </c>
      <c r="F3484" t="s">
        <v>39</v>
      </c>
      <c r="G3484" t="s">
        <v>22</v>
      </c>
      <c r="H3484" t="s">
        <v>46</v>
      </c>
      <c r="I3484" t="s">
        <v>35</v>
      </c>
      <c r="J3484" t="s">
        <v>758</v>
      </c>
      <c r="L3484">
        <v>2.1</v>
      </c>
      <c r="M3484">
        <v>118000</v>
      </c>
      <c r="N3484">
        <v>4.3</v>
      </c>
      <c r="O3484">
        <v>3</v>
      </c>
      <c r="P3484" t="s">
        <v>26</v>
      </c>
    </row>
    <row r="3485" spans="1:16" x14ac:dyDescent="0.25">
      <c r="A3485" t="s">
        <v>7608</v>
      </c>
      <c r="B3485" t="s">
        <v>7369</v>
      </c>
      <c r="C3485" t="s">
        <v>29</v>
      </c>
      <c r="D3485" t="s">
        <v>79</v>
      </c>
      <c r="E3485" t="s">
        <v>44</v>
      </c>
      <c r="F3485" t="s">
        <v>39</v>
      </c>
      <c r="G3485" t="s">
        <v>80</v>
      </c>
      <c r="H3485" t="s">
        <v>23</v>
      </c>
      <c r="I3485" t="s">
        <v>24</v>
      </c>
      <c r="J3485" t="s">
        <v>5941</v>
      </c>
      <c r="L3485">
        <v>2</v>
      </c>
      <c r="M3485">
        <v>132000</v>
      </c>
      <c r="N3485">
        <v>2.7</v>
      </c>
      <c r="O3485">
        <v>0</v>
      </c>
      <c r="P3485" t="s">
        <v>26</v>
      </c>
    </row>
    <row r="3486" spans="1:16" x14ac:dyDescent="0.25">
      <c r="A3486" t="s">
        <v>7609</v>
      </c>
      <c r="B3486" t="s">
        <v>3194</v>
      </c>
      <c r="C3486" t="s">
        <v>29</v>
      </c>
      <c r="D3486" t="s">
        <v>50</v>
      </c>
      <c r="E3486" t="s">
        <v>20</v>
      </c>
      <c r="F3486" t="s">
        <v>32</v>
      </c>
      <c r="G3486" t="s">
        <v>22</v>
      </c>
      <c r="H3486" t="s">
        <v>46</v>
      </c>
      <c r="I3486" t="s">
        <v>75</v>
      </c>
      <c r="J3486" t="s">
        <v>162</v>
      </c>
      <c r="L3486">
        <v>5.5</v>
      </c>
      <c r="N3486">
        <v>4.5999999999999996</v>
      </c>
      <c r="O3486">
        <v>9</v>
      </c>
      <c r="P3486" t="s">
        <v>26</v>
      </c>
    </row>
    <row r="3487" spans="1:16" x14ac:dyDescent="0.25">
      <c r="A3487" t="s">
        <v>7610</v>
      </c>
      <c r="B3487" t="s">
        <v>1859</v>
      </c>
      <c r="C3487" t="s">
        <v>29</v>
      </c>
      <c r="D3487" t="s">
        <v>79</v>
      </c>
      <c r="E3487" t="s">
        <v>44</v>
      </c>
      <c r="F3487" t="s">
        <v>21</v>
      </c>
      <c r="G3487" t="s">
        <v>22</v>
      </c>
      <c r="H3487" t="s">
        <v>46</v>
      </c>
      <c r="I3487" t="s">
        <v>24</v>
      </c>
      <c r="J3487" t="s">
        <v>3782</v>
      </c>
      <c r="K3487" t="s">
        <v>7246</v>
      </c>
      <c r="L3487">
        <v>1.4</v>
      </c>
      <c r="M3487">
        <v>830000</v>
      </c>
      <c r="N3487">
        <v>4.4000000000000004</v>
      </c>
      <c r="P3487" t="s">
        <v>53</v>
      </c>
    </row>
    <row r="3488" spans="1:16" x14ac:dyDescent="0.25">
      <c r="A3488" t="s">
        <v>7611</v>
      </c>
      <c r="B3488" t="s">
        <v>3957</v>
      </c>
      <c r="C3488" t="s">
        <v>18</v>
      </c>
      <c r="D3488" t="s">
        <v>50</v>
      </c>
      <c r="E3488" t="s">
        <v>20</v>
      </c>
      <c r="F3488" t="s">
        <v>128</v>
      </c>
      <c r="G3488" t="s">
        <v>80</v>
      </c>
      <c r="H3488" t="s">
        <v>62</v>
      </c>
      <c r="I3488" t="s">
        <v>24</v>
      </c>
      <c r="J3488" t="s">
        <v>3565</v>
      </c>
      <c r="L3488">
        <v>4</v>
      </c>
      <c r="M3488">
        <v>479000</v>
      </c>
      <c r="N3488">
        <v>3.5</v>
      </c>
      <c r="O3488">
        <v>3</v>
      </c>
      <c r="P3488" t="s">
        <v>26</v>
      </c>
    </row>
    <row r="3489" spans="1:16" x14ac:dyDescent="0.25">
      <c r="A3489" t="s">
        <v>7612</v>
      </c>
      <c r="B3489" t="s">
        <v>2745</v>
      </c>
      <c r="C3489" t="s">
        <v>18</v>
      </c>
      <c r="D3489" t="s">
        <v>19</v>
      </c>
      <c r="E3489" t="s">
        <v>20</v>
      </c>
      <c r="F3489" t="s">
        <v>21</v>
      </c>
      <c r="G3489" t="s">
        <v>33</v>
      </c>
      <c r="H3489" t="s">
        <v>34</v>
      </c>
      <c r="I3489" t="s">
        <v>24</v>
      </c>
      <c r="J3489" t="s">
        <v>7613</v>
      </c>
      <c r="L3489">
        <v>5.7</v>
      </c>
      <c r="M3489">
        <v>1045000</v>
      </c>
      <c r="N3489">
        <v>3.6</v>
      </c>
      <c r="O3489">
        <v>0</v>
      </c>
      <c r="P3489" t="s">
        <v>26</v>
      </c>
    </row>
    <row r="3490" spans="1:16" x14ac:dyDescent="0.25">
      <c r="A3490" t="s">
        <v>7614</v>
      </c>
      <c r="B3490" t="s">
        <v>7615</v>
      </c>
      <c r="C3490" t="s">
        <v>29</v>
      </c>
      <c r="D3490" t="s">
        <v>79</v>
      </c>
      <c r="E3490" t="s">
        <v>20</v>
      </c>
      <c r="F3490" t="s">
        <v>21</v>
      </c>
      <c r="G3490" t="s">
        <v>22</v>
      </c>
      <c r="H3490" t="s">
        <v>46</v>
      </c>
      <c r="I3490" t="s">
        <v>57</v>
      </c>
      <c r="J3490" t="s">
        <v>2389</v>
      </c>
      <c r="L3490">
        <v>5.0999999999999996</v>
      </c>
      <c r="M3490">
        <v>892000</v>
      </c>
      <c r="N3490">
        <v>4.7</v>
      </c>
      <c r="O3490">
        <v>12</v>
      </c>
      <c r="P3490" t="s">
        <v>26</v>
      </c>
    </row>
    <row r="3491" spans="1:16" x14ac:dyDescent="0.25">
      <c r="A3491" t="s">
        <v>7616</v>
      </c>
      <c r="B3491" t="s">
        <v>7617</v>
      </c>
      <c r="C3491" t="s">
        <v>18</v>
      </c>
      <c r="D3491" t="s">
        <v>79</v>
      </c>
      <c r="E3491" t="s">
        <v>44</v>
      </c>
      <c r="F3491" t="s">
        <v>32</v>
      </c>
      <c r="G3491" t="s">
        <v>80</v>
      </c>
      <c r="H3491" t="s">
        <v>23</v>
      </c>
      <c r="I3491" t="s">
        <v>75</v>
      </c>
      <c r="J3491" t="s">
        <v>124</v>
      </c>
      <c r="L3491">
        <v>1.6</v>
      </c>
      <c r="M3491">
        <v>321000</v>
      </c>
      <c r="N3491">
        <v>3.3</v>
      </c>
      <c r="O3491">
        <v>11</v>
      </c>
      <c r="P3491" t="s">
        <v>26</v>
      </c>
    </row>
    <row r="3492" spans="1:16" x14ac:dyDescent="0.25">
      <c r="A3492" t="s">
        <v>7618</v>
      </c>
      <c r="B3492" t="s">
        <v>3155</v>
      </c>
      <c r="C3492" t="s">
        <v>18</v>
      </c>
      <c r="D3492" t="s">
        <v>30</v>
      </c>
      <c r="E3492" t="s">
        <v>31</v>
      </c>
      <c r="F3492" t="s">
        <v>128</v>
      </c>
      <c r="G3492" t="s">
        <v>22</v>
      </c>
      <c r="H3492" t="s">
        <v>34</v>
      </c>
      <c r="I3492" t="s">
        <v>35</v>
      </c>
      <c r="J3492" t="s">
        <v>6980</v>
      </c>
      <c r="K3492" t="s">
        <v>5016</v>
      </c>
      <c r="L3492">
        <v>3.4</v>
      </c>
      <c r="M3492">
        <v>456000</v>
      </c>
      <c r="N3492">
        <v>2.1</v>
      </c>
      <c r="O3492">
        <v>8</v>
      </c>
      <c r="P3492" t="s">
        <v>53</v>
      </c>
    </row>
    <row r="3493" spans="1:16" x14ac:dyDescent="0.25">
      <c r="A3493" t="s">
        <v>7619</v>
      </c>
      <c r="B3493" t="s">
        <v>7056</v>
      </c>
      <c r="C3493" t="s">
        <v>18</v>
      </c>
      <c r="D3493" t="s">
        <v>50</v>
      </c>
      <c r="E3493" t="s">
        <v>20</v>
      </c>
      <c r="F3493" t="s">
        <v>32</v>
      </c>
      <c r="G3493" t="s">
        <v>22</v>
      </c>
      <c r="H3493" t="s">
        <v>34</v>
      </c>
      <c r="I3493" t="s">
        <v>35</v>
      </c>
      <c r="J3493" t="s">
        <v>199</v>
      </c>
      <c r="L3493">
        <v>4.3</v>
      </c>
      <c r="M3493">
        <v>245000</v>
      </c>
      <c r="N3493">
        <v>4.7</v>
      </c>
      <c r="O3493">
        <v>4</v>
      </c>
      <c r="P3493" t="s">
        <v>26</v>
      </c>
    </row>
    <row r="3494" spans="1:16" x14ac:dyDescent="0.25">
      <c r="A3494" t="s">
        <v>7620</v>
      </c>
      <c r="B3494" t="s">
        <v>7621</v>
      </c>
      <c r="C3494" t="s">
        <v>29</v>
      </c>
      <c r="D3494" t="s">
        <v>79</v>
      </c>
      <c r="F3494" t="s">
        <v>32</v>
      </c>
      <c r="G3494" t="s">
        <v>80</v>
      </c>
      <c r="H3494" t="s">
        <v>62</v>
      </c>
      <c r="I3494" t="s">
        <v>57</v>
      </c>
      <c r="J3494" t="s">
        <v>997</v>
      </c>
      <c r="K3494" t="s">
        <v>7622</v>
      </c>
      <c r="L3494">
        <v>2.1</v>
      </c>
      <c r="M3494">
        <v>333000</v>
      </c>
      <c r="N3494">
        <v>4</v>
      </c>
      <c r="O3494">
        <v>4</v>
      </c>
      <c r="P3494" t="s">
        <v>72</v>
      </c>
    </row>
    <row r="3495" spans="1:16" x14ac:dyDescent="0.25">
      <c r="A3495" t="s">
        <v>7623</v>
      </c>
      <c r="B3495" t="s">
        <v>939</v>
      </c>
      <c r="C3495" t="s">
        <v>18</v>
      </c>
      <c r="D3495" t="s">
        <v>30</v>
      </c>
      <c r="F3495" t="s">
        <v>32</v>
      </c>
      <c r="G3495" t="s">
        <v>22</v>
      </c>
      <c r="H3495" t="s">
        <v>34</v>
      </c>
      <c r="I3495" t="s">
        <v>24</v>
      </c>
      <c r="J3495" t="s">
        <v>2756</v>
      </c>
      <c r="L3495">
        <v>3.9</v>
      </c>
      <c r="M3495">
        <v>196000</v>
      </c>
      <c r="N3495">
        <v>1.9</v>
      </c>
      <c r="O3495">
        <v>1</v>
      </c>
      <c r="P3495" t="s">
        <v>26</v>
      </c>
    </row>
    <row r="3496" spans="1:16" x14ac:dyDescent="0.25">
      <c r="A3496" t="s">
        <v>7624</v>
      </c>
      <c r="B3496" t="s">
        <v>7625</v>
      </c>
      <c r="C3496" t="s">
        <v>18</v>
      </c>
      <c r="D3496" t="s">
        <v>50</v>
      </c>
      <c r="E3496" t="s">
        <v>20</v>
      </c>
      <c r="F3496" t="s">
        <v>39</v>
      </c>
      <c r="G3496" t="s">
        <v>80</v>
      </c>
      <c r="I3496" t="s">
        <v>57</v>
      </c>
      <c r="J3496" t="s">
        <v>4094</v>
      </c>
      <c r="L3496">
        <v>6</v>
      </c>
      <c r="M3496">
        <v>139000</v>
      </c>
      <c r="N3496">
        <v>4.9000000000000004</v>
      </c>
      <c r="O3496">
        <v>36</v>
      </c>
      <c r="P3496" t="s">
        <v>26</v>
      </c>
    </row>
    <row r="3497" spans="1:16" x14ac:dyDescent="0.25">
      <c r="A3497" t="s">
        <v>7626</v>
      </c>
      <c r="B3497" t="s">
        <v>3005</v>
      </c>
      <c r="C3497" t="s">
        <v>18</v>
      </c>
      <c r="D3497" t="s">
        <v>30</v>
      </c>
      <c r="E3497" t="s">
        <v>44</v>
      </c>
      <c r="F3497" t="s">
        <v>39</v>
      </c>
      <c r="G3497" t="s">
        <v>80</v>
      </c>
      <c r="H3497" t="s">
        <v>34</v>
      </c>
      <c r="I3497" t="s">
        <v>24</v>
      </c>
      <c r="J3497" t="s">
        <v>637</v>
      </c>
      <c r="K3497" t="s">
        <v>530</v>
      </c>
      <c r="L3497">
        <v>4</v>
      </c>
      <c r="M3497">
        <v>136000</v>
      </c>
      <c r="N3497">
        <v>2</v>
      </c>
      <c r="O3497">
        <v>8</v>
      </c>
      <c r="P3497" t="s">
        <v>72</v>
      </c>
    </row>
    <row r="3498" spans="1:16" x14ac:dyDescent="0.25">
      <c r="A3498" t="s">
        <v>7627</v>
      </c>
      <c r="B3498" t="s">
        <v>7628</v>
      </c>
      <c r="C3498" t="s">
        <v>18</v>
      </c>
      <c r="D3498" t="s">
        <v>19</v>
      </c>
      <c r="E3498" t="s">
        <v>20</v>
      </c>
      <c r="F3498" t="s">
        <v>39</v>
      </c>
      <c r="G3498" t="s">
        <v>80</v>
      </c>
      <c r="H3498" t="s">
        <v>62</v>
      </c>
      <c r="I3498" t="s">
        <v>24</v>
      </c>
      <c r="J3498" t="s">
        <v>4772</v>
      </c>
      <c r="L3498">
        <v>3.7</v>
      </c>
      <c r="M3498">
        <v>148000</v>
      </c>
      <c r="N3498">
        <v>3</v>
      </c>
      <c r="P3498" t="s">
        <v>26</v>
      </c>
    </row>
    <row r="3499" spans="1:16" x14ac:dyDescent="0.25">
      <c r="A3499" t="s">
        <v>7629</v>
      </c>
      <c r="B3499" t="s">
        <v>7438</v>
      </c>
      <c r="C3499" t="s">
        <v>29</v>
      </c>
      <c r="D3499" t="s">
        <v>43</v>
      </c>
      <c r="E3499" t="s">
        <v>20</v>
      </c>
      <c r="F3499" t="s">
        <v>128</v>
      </c>
      <c r="G3499" t="s">
        <v>80</v>
      </c>
      <c r="H3499" t="s">
        <v>34</v>
      </c>
      <c r="I3499" t="s">
        <v>24</v>
      </c>
      <c r="J3499" t="s">
        <v>546</v>
      </c>
      <c r="L3499">
        <v>3.9</v>
      </c>
      <c r="M3499">
        <v>469000</v>
      </c>
      <c r="N3499">
        <v>2.9</v>
      </c>
      <c r="O3499">
        <v>2</v>
      </c>
      <c r="P3499" t="s">
        <v>26</v>
      </c>
    </row>
    <row r="3500" spans="1:16" x14ac:dyDescent="0.25">
      <c r="A3500" t="s">
        <v>7630</v>
      </c>
      <c r="B3500" t="s">
        <v>7631</v>
      </c>
      <c r="C3500" t="s">
        <v>18</v>
      </c>
      <c r="E3500" t="s">
        <v>20</v>
      </c>
      <c r="F3500" t="s">
        <v>128</v>
      </c>
      <c r="G3500" t="s">
        <v>80</v>
      </c>
      <c r="H3500" t="s">
        <v>34</v>
      </c>
      <c r="I3500" t="s">
        <v>24</v>
      </c>
      <c r="J3500" t="s">
        <v>1423</v>
      </c>
      <c r="L3500">
        <v>4.3</v>
      </c>
      <c r="M3500">
        <v>388000</v>
      </c>
      <c r="N3500">
        <v>3.1</v>
      </c>
      <c r="O3500">
        <v>2</v>
      </c>
      <c r="P3500" t="s">
        <v>26</v>
      </c>
    </row>
    <row r="3501" spans="1:16" x14ac:dyDescent="0.25">
      <c r="A3501" t="s">
        <v>7632</v>
      </c>
      <c r="B3501" t="s">
        <v>3149</v>
      </c>
      <c r="C3501" t="s">
        <v>29</v>
      </c>
      <c r="D3501" t="s">
        <v>50</v>
      </c>
      <c r="E3501" t="s">
        <v>20</v>
      </c>
      <c r="F3501" t="s">
        <v>32</v>
      </c>
      <c r="G3501" t="s">
        <v>33</v>
      </c>
      <c r="H3501" t="s">
        <v>62</v>
      </c>
      <c r="I3501" t="s">
        <v>171</v>
      </c>
      <c r="J3501" t="s">
        <v>1864</v>
      </c>
      <c r="L3501">
        <v>5.0999999999999996</v>
      </c>
      <c r="M3501">
        <v>314000</v>
      </c>
      <c r="N3501">
        <v>4.7</v>
      </c>
      <c r="O3501">
        <v>9</v>
      </c>
      <c r="P3501" t="s">
        <v>26</v>
      </c>
    </row>
    <row r="3502" spans="1:16" x14ac:dyDescent="0.25">
      <c r="A3502" t="s">
        <v>7633</v>
      </c>
      <c r="B3502" t="s">
        <v>7634</v>
      </c>
      <c r="C3502" t="s">
        <v>29</v>
      </c>
      <c r="D3502" t="s">
        <v>79</v>
      </c>
      <c r="E3502" t="s">
        <v>44</v>
      </c>
      <c r="F3502" t="s">
        <v>39</v>
      </c>
      <c r="G3502" t="s">
        <v>80</v>
      </c>
      <c r="H3502" t="s">
        <v>46</v>
      </c>
      <c r="I3502" t="s">
        <v>57</v>
      </c>
      <c r="J3502" t="s">
        <v>7635</v>
      </c>
      <c r="K3502" t="s">
        <v>7537</v>
      </c>
      <c r="L3502">
        <v>5.0999999999999996</v>
      </c>
      <c r="M3502">
        <v>180000</v>
      </c>
      <c r="N3502">
        <v>3</v>
      </c>
      <c r="O3502">
        <v>1</v>
      </c>
      <c r="P3502" t="s">
        <v>114</v>
      </c>
    </row>
    <row r="3503" spans="1:16" x14ac:dyDescent="0.25">
      <c r="A3503" t="s">
        <v>7636</v>
      </c>
      <c r="B3503" t="s">
        <v>333</v>
      </c>
      <c r="C3503" t="s">
        <v>18</v>
      </c>
      <c r="D3503" t="s">
        <v>79</v>
      </c>
      <c r="E3503" t="s">
        <v>20</v>
      </c>
      <c r="F3503" t="s">
        <v>128</v>
      </c>
      <c r="G3503" t="s">
        <v>80</v>
      </c>
      <c r="H3503" t="s">
        <v>46</v>
      </c>
      <c r="I3503" t="s">
        <v>57</v>
      </c>
      <c r="J3503" t="s">
        <v>749</v>
      </c>
      <c r="L3503">
        <v>2.2000000000000002</v>
      </c>
      <c r="M3503">
        <v>536000</v>
      </c>
      <c r="N3503">
        <v>2</v>
      </c>
      <c r="O3503">
        <v>7</v>
      </c>
      <c r="P3503" t="s">
        <v>26</v>
      </c>
    </row>
    <row r="3504" spans="1:16" x14ac:dyDescent="0.25">
      <c r="A3504" t="s">
        <v>7637</v>
      </c>
      <c r="B3504" t="s">
        <v>7638</v>
      </c>
      <c r="C3504" t="s">
        <v>29</v>
      </c>
      <c r="D3504" t="s">
        <v>30</v>
      </c>
      <c r="E3504" t="s">
        <v>20</v>
      </c>
      <c r="G3504" t="s">
        <v>22</v>
      </c>
      <c r="H3504" t="s">
        <v>23</v>
      </c>
      <c r="I3504" t="s">
        <v>57</v>
      </c>
      <c r="J3504" t="s">
        <v>4187</v>
      </c>
      <c r="K3504" t="s">
        <v>6248</v>
      </c>
      <c r="L3504">
        <v>5.4</v>
      </c>
      <c r="M3504">
        <v>326000</v>
      </c>
      <c r="N3504">
        <v>2.8</v>
      </c>
      <c r="O3504">
        <v>34</v>
      </c>
      <c r="P3504" t="s">
        <v>72</v>
      </c>
    </row>
    <row r="3505" spans="1:16" x14ac:dyDescent="0.25">
      <c r="A3505" t="s">
        <v>7639</v>
      </c>
      <c r="B3505" t="s">
        <v>5608</v>
      </c>
      <c r="C3505" t="s">
        <v>29</v>
      </c>
      <c r="D3505" t="s">
        <v>79</v>
      </c>
      <c r="E3505" t="s">
        <v>20</v>
      </c>
      <c r="F3505" t="s">
        <v>21</v>
      </c>
      <c r="G3505" t="s">
        <v>22</v>
      </c>
      <c r="H3505" t="s">
        <v>23</v>
      </c>
      <c r="I3505" t="s">
        <v>35</v>
      </c>
      <c r="J3505" t="s">
        <v>2502</v>
      </c>
      <c r="L3505">
        <v>3</v>
      </c>
      <c r="M3505">
        <v>682000</v>
      </c>
      <c r="N3505">
        <v>4</v>
      </c>
      <c r="O3505">
        <v>0</v>
      </c>
      <c r="P3505" t="s">
        <v>26</v>
      </c>
    </row>
    <row r="3506" spans="1:16" x14ac:dyDescent="0.25">
      <c r="A3506" t="s">
        <v>7640</v>
      </c>
      <c r="B3506" t="s">
        <v>7641</v>
      </c>
      <c r="C3506" t="s">
        <v>29</v>
      </c>
      <c r="D3506" t="s">
        <v>43</v>
      </c>
      <c r="E3506" t="s">
        <v>44</v>
      </c>
      <c r="F3506" t="s">
        <v>128</v>
      </c>
      <c r="G3506" t="s">
        <v>33</v>
      </c>
      <c r="H3506" t="s">
        <v>23</v>
      </c>
      <c r="I3506" t="s">
        <v>24</v>
      </c>
      <c r="J3506" t="s">
        <v>3590</v>
      </c>
      <c r="K3506" t="s">
        <v>5080</v>
      </c>
      <c r="L3506">
        <v>6</v>
      </c>
      <c r="M3506">
        <v>524000</v>
      </c>
      <c r="N3506">
        <v>3</v>
      </c>
      <c r="O3506">
        <v>19</v>
      </c>
      <c r="P3506" t="s">
        <v>53</v>
      </c>
    </row>
    <row r="3507" spans="1:16" x14ac:dyDescent="0.25">
      <c r="A3507" t="s">
        <v>7642</v>
      </c>
      <c r="B3507" t="s">
        <v>7643</v>
      </c>
      <c r="C3507" t="s">
        <v>18</v>
      </c>
      <c r="D3507" t="s">
        <v>50</v>
      </c>
      <c r="E3507" t="s">
        <v>20</v>
      </c>
      <c r="F3507" t="s">
        <v>32</v>
      </c>
      <c r="G3507" t="s">
        <v>22</v>
      </c>
      <c r="H3507" t="s">
        <v>62</v>
      </c>
      <c r="I3507" t="s">
        <v>24</v>
      </c>
      <c r="J3507" t="s">
        <v>1483</v>
      </c>
      <c r="K3507" t="s">
        <v>7644</v>
      </c>
      <c r="L3507">
        <v>1.9</v>
      </c>
      <c r="M3507">
        <v>197000</v>
      </c>
      <c r="N3507">
        <v>4.5</v>
      </c>
      <c r="O3507">
        <v>1</v>
      </c>
      <c r="P3507" t="s">
        <v>53</v>
      </c>
    </row>
    <row r="3508" spans="1:16" x14ac:dyDescent="0.25">
      <c r="A3508" t="s">
        <v>7645</v>
      </c>
      <c r="B3508" t="s">
        <v>7646</v>
      </c>
      <c r="C3508" t="s">
        <v>18</v>
      </c>
      <c r="D3508" t="s">
        <v>30</v>
      </c>
      <c r="E3508" t="s">
        <v>20</v>
      </c>
      <c r="F3508" t="s">
        <v>128</v>
      </c>
      <c r="G3508" t="s">
        <v>33</v>
      </c>
      <c r="I3508" t="s">
        <v>35</v>
      </c>
      <c r="J3508" t="s">
        <v>1321</v>
      </c>
      <c r="L3508">
        <v>3.1</v>
      </c>
      <c r="M3508">
        <v>378000</v>
      </c>
      <c r="N3508">
        <v>2.6</v>
      </c>
      <c r="O3508">
        <v>30</v>
      </c>
      <c r="P3508" t="s">
        <v>26</v>
      </c>
    </row>
    <row r="3509" spans="1:16" x14ac:dyDescent="0.25">
      <c r="A3509" t="s">
        <v>7647</v>
      </c>
      <c r="B3509" t="s">
        <v>3791</v>
      </c>
      <c r="C3509" t="s">
        <v>29</v>
      </c>
      <c r="D3509" t="s">
        <v>30</v>
      </c>
      <c r="E3509" t="s">
        <v>20</v>
      </c>
      <c r="F3509" t="s">
        <v>39</v>
      </c>
      <c r="G3509" t="s">
        <v>33</v>
      </c>
      <c r="H3509" t="s">
        <v>34</v>
      </c>
      <c r="I3509" t="s">
        <v>24</v>
      </c>
      <c r="J3509" t="s">
        <v>6169</v>
      </c>
      <c r="L3509">
        <v>4.7</v>
      </c>
      <c r="M3509">
        <v>104000</v>
      </c>
      <c r="N3509">
        <v>1.5</v>
      </c>
      <c r="O3509">
        <v>14</v>
      </c>
      <c r="P3509" t="s">
        <v>26</v>
      </c>
    </row>
    <row r="3510" spans="1:16" x14ac:dyDescent="0.25">
      <c r="A3510" t="s">
        <v>7648</v>
      </c>
      <c r="B3510" t="s">
        <v>4766</v>
      </c>
      <c r="C3510" t="s">
        <v>18</v>
      </c>
      <c r="D3510" t="s">
        <v>50</v>
      </c>
      <c r="E3510" t="s">
        <v>44</v>
      </c>
      <c r="F3510" t="s">
        <v>128</v>
      </c>
      <c r="G3510" t="s">
        <v>80</v>
      </c>
      <c r="H3510" t="s">
        <v>62</v>
      </c>
      <c r="I3510" t="s">
        <v>24</v>
      </c>
      <c r="J3510" t="s">
        <v>1145</v>
      </c>
      <c r="L3510">
        <v>2.1</v>
      </c>
      <c r="N3510">
        <v>2.7</v>
      </c>
      <c r="O3510">
        <v>8</v>
      </c>
      <c r="P3510" t="s">
        <v>26</v>
      </c>
    </row>
    <row r="3511" spans="1:16" x14ac:dyDescent="0.25">
      <c r="A3511" t="s">
        <v>7649</v>
      </c>
      <c r="B3511" t="s">
        <v>2188</v>
      </c>
      <c r="C3511" t="s">
        <v>29</v>
      </c>
      <c r="D3511" t="s">
        <v>19</v>
      </c>
      <c r="E3511" t="s">
        <v>20</v>
      </c>
      <c r="F3511" t="s">
        <v>32</v>
      </c>
      <c r="G3511" t="s">
        <v>22</v>
      </c>
      <c r="H3511" t="s">
        <v>34</v>
      </c>
      <c r="I3511" t="s">
        <v>35</v>
      </c>
      <c r="J3511" t="s">
        <v>3972</v>
      </c>
      <c r="K3511" t="s">
        <v>1434</v>
      </c>
      <c r="L3511">
        <v>5</v>
      </c>
      <c r="M3511">
        <v>385000</v>
      </c>
      <c r="N3511">
        <v>2.8</v>
      </c>
      <c r="O3511">
        <v>37</v>
      </c>
      <c r="P3511" t="s">
        <v>53</v>
      </c>
    </row>
    <row r="3512" spans="1:16" x14ac:dyDescent="0.25">
      <c r="A3512" t="s">
        <v>7650</v>
      </c>
      <c r="B3512" t="s">
        <v>5029</v>
      </c>
      <c r="C3512" t="s">
        <v>18</v>
      </c>
      <c r="D3512" t="s">
        <v>19</v>
      </c>
      <c r="E3512" t="s">
        <v>44</v>
      </c>
      <c r="F3512" t="s">
        <v>32</v>
      </c>
      <c r="G3512" t="s">
        <v>22</v>
      </c>
      <c r="H3512" t="s">
        <v>34</v>
      </c>
      <c r="I3512" t="s">
        <v>57</v>
      </c>
      <c r="J3512" t="s">
        <v>7651</v>
      </c>
      <c r="L3512">
        <v>2.2000000000000002</v>
      </c>
      <c r="M3512">
        <v>250000</v>
      </c>
      <c r="N3512">
        <v>4.5</v>
      </c>
      <c r="O3512">
        <v>4</v>
      </c>
      <c r="P3512" t="s">
        <v>26</v>
      </c>
    </row>
    <row r="3513" spans="1:16" x14ac:dyDescent="0.25">
      <c r="A3513" t="s">
        <v>7652</v>
      </c>
      <c r="B3513" t="s">
        <v>7184</v>
      </c>
      <c r="C3513" t="s">
        <v>29</v>
      </c>
      <c r="D3513" t="s">
        <v>50</v>
      </c>
      <c r="E3513" t="s">
        <v>20</v>
      </c>
      <c r="F3513" t="s">
        <v>39</v>
      </c>
      <c r="G3513" t="s">
        <v>69</v>
      </c>
      <c r="H3513" t="s">
        <v>34</v>
      </c>
      <c r="I3513" t="s">
        <v>35</v>
      </c>
      <c r="J3513" t="s">
        <v>7653</v>
      </c>
      <c r="K3513" t="s">
        <v>697</v>
      </c>
      <c r="L3513">
        <v>1.8</v>
      </c>
      <c r="M3513">
        <v>97000</v>
      </c>
      <c r="N3513">
        <v>4.3</v>
      </c>
      <c r="O3513">
        <v>8</v>
      </c>
      <c r="P3513" t="s">
        <v>72</v>
      </c>
    </row>
    <row r="3514" spans="1:16" x14ac:dyDescent="0.25">
      <c r="A3514" t="s">
        <v>7654</v>
      </c>
      <c r="B3514" t="s">
        <v>6519</v>
      </c>
      <c r="C3514" t="s">
        <v>29</v>
      </c>
      <c r="D3514" t="s">
        <v>43</v>
      </c>
      <c r="E3514" t="s">
        <v>20</v>
      </c>
      <c r="F3514" t="s">
        <v>45</v>
      </c>
      <c r="G3514" t="s">
        <v>80</v>
      </c>
      <c r="H3514" t="s">
        <v>23</v>
      </c>
      <c r="I3514" t="s">
        <v>24</v>
      </c>
      <c r="J3514" t="s">
        <v>549</v>
      </c>
      <c r="L3514">
        <v>4.5999999999999996</v>
      </c>
      <c r="M3514">
        <v>988000</v>
      </c>
      <c r="N3514">
        <v>4</v>
      </c>
      <c r="O3514">
        <v>2</v>
      </c>
      <c r="P3514" t="s">
        <v>26</v>
      </c>
    </row>
    <row r="3515" spans="1:16" x14ac:dyDescent="0.25">
      <c r="A3515" t="s">
        <v>7655</v>
      </c>
      <c r="B3515" t="s">
        <v>4627</v>
      </c>
      <c r="C3515" t="s">
        <v>18</v>
      </c>
      <c r="D3515" t="s">
        <v>30</v>
      </c>
      <c r="E3515" t="s">
        <v>20</v>
      </c>
      <c r="F3515" t="s">
        <v>32</v>
      </c>
      <c r="G3515" t="s">
        <v>80</v>
      </c>
      <c r="H3515" t="s">
        <v>23</v>
      </c>
      <c r="J3515" t="s">
        <v>5143</v>
      </c>
      <c r="L3515">
        <v>1.4</v>
      </c>
      <c r="M3515">
        <v>339000</v>
      </c>
      <c r="N3515">
        <v>4.8</v>
      </c>
      <c r="O3515">
        <v>25</v>
      </c>
      <c r="P3515" t="s">
        <v>26</v>
      </c>
    </row>
    <row r="3516" spans="1:16" x14ac:dyDescent="0.25">
      <c r="A3516" t="s">
        <v>7656</v>
      </c>
      <c r="B3516" t="s">
        <v>6417</v>
      </c>
      <c r="C3516" t="s">
        <v>18</v>
      </c>
      <c r="D3516" t="s">
        <v>43</v>
      </c>
      <c r="E3516" t="s">
        <v>20</v>
      </c>
      <c r="F3516" t="s">
        <v>32</v>
      </c>
      <c r="G3516" t="s">
        <v>22</v>
      </c>
      <c r="H3516" t="s">
        <v>62</v>
      </c>
      <c r="I3516" t="s">
        <v>24</v>
      </c>
      <c r="J3516" t="s">
        <v>360</v>
      </c>
      <c r="K3516" t="s">
        <v>7657</v>
      </c>
      <c r="L3516">
        <v>1.5</v>
      </c>
      <c r="M3516">
        <v>180000</v>
      </c>
      <c r="N3516">
        <v>4.7</v>
      </c>
      <c r="O3516">
        <v>5</v>
      </c>
      <c r="P3516" t="s">
        <v>53</v>
      </c>
    </row>
    <row r="3517" spans="1:16" x14ac:dyDescent="0.25">
      <c r="A3517" t="s">
        <v>7658</v>
      </c>
      <c r="B3517" t="s">
        <v>5268</v>
      </c>
      <c r="C3517" t="s">
        <v>18</v>
      </c>
      <c r="D3517" t="s">
        <v>79</v>
      </c>
      <c r="E3517" t="s">
        <v>20</v>
      </c>
      <c r="F3517" t="s">
        <v>32</v>
      </c>
      <c r="G3517" t="s">
        <v>80</v>
      </c>
      <c r="H3517" t="s">
        <v>34</v>
      </c>
      <c r="I3517" t="s">
        <v>75</v>
      </c>
      <c r="J3517" t="s">
        <v>320</v>
      </c>
      <c r="K3517" t="s">
        <v>583</v>
      </c>
      <c r="L3517">
        <v>5.8</v>
      </c>
      <c r="M3517">
        <v>338000</v>
      </c>
      <c r="N3517">
        <v>2.7</v>
      </c>
      <c r="O3517">
        <v>10</v>
      </c>
      <c r="P3517" t="s">
        <v>53</v>
      </c>
    </row>
    <row r="3518" spans="1:16" x14ac:dyDescent="0.25">
      <c r="A3518" t="s">
        <v>7659</v>
      </c>
      <c r="B3518" t="s">
        <v>7660</v>
      </c>
      <c r="C3518" t="s">
        <v>18</v>
      </c>
      <c r="D3518" t="s">
        <v>50</v>
      </c>
      <c r="E3518" t="s">
        <v>20</v>
      </c>
      <c r="F3518" t="s">
        <v>128</v>
      </c>
      <c r="G3518" t="s">
        <v>80</v>
      </c>
      <c r="H3518" t="s">
        <v>23</v>
      </c>
      <c r="I3518" t="s">
        <v>75</v>
      </c>
      <c r="J3518" t="s">
        <v>7661</v>
      </c>
      <c r="L3518">
        <v>4.3</v>
      </c>
      <c r="M3518">
        <v>449000</v>
      </c>
      <c r="N3518">
        <v>3.7</v>
      </c>
      <c r="O3518">
        <v>13</v>
      </c>
      <c r="P3518" t="s">
        <v>26</v>
      </c>
    </row>
    <row r="3519" spans="1:16" x14ac:dyDescent="0.25">
      <c r="A3519" t="s">
        <v>7662</v>
      </c>
      <c r="B3519" t="s">
        <v>2070</v>
      </c>
      <c r="D3519" t="s">
        <v>50</v>
      </c>
      <c r="E3519" t="s">
        <v>20</v>
      </c>
      <c r="F3519" t="s">
        <v>21</v>
      </c>
      <c r="G3519" t="s">
        <v>33</v>
      </c>
      <c r="H3519" t="s">
        <v>62</v>
      </c>
      <c r="I3519" t="s">
        <v>35</v>
      </c>
      <c r="J3519" t="s">
        <v>1213</v>
      </c>
      <c r="L3519">
        <v>5.5</v>
      </c>
      <c r="M3519">
        <v>634000</v>
      </c>
      <c r="N3519">
        <v>4.8</v>
      </c>
      <c r="O3519">
        <v>11</v>
      </c>
      <c r="P3519" t="s">
        <v>26</v>
      </c>
    </row>
    <row r="3520" spans="1:16" x14ac:dyDescent="0.25">
      <c r="A3520" t="s">
        <v>7663</v>
      </c>
      <c r="B3520" t="s">
        <v>3495</v>
      </c>
      <c r="C3520" t="s">
        <v>29</v>
      </c>
      <c r="D3520" t="s">
        <v>79</v>
      </c>
      <c r="E3520" t="s">
        <v>20</v>
      </c>
      <c r="F3520" t="s">
        <v>128</v>
      </c>
      <c r="G3520" t="s">
        <v>80</v>
      </c>
      <c r="H3520" t="s">
        <v>62</v>
      </c>
      <c r="I3520" t="s">
        <v>24</v>
      </c>
      <c r="J3520" t="s">
        <v>496</v>
      </c>
      <c r="K3520" t="s">
        <v>5715</v>
      </c>
      <c r="L3520">
        <v>1.9</v>
      </c>
      <c r="M3520">
        <v>421000</v>
      </c>
      <c r="N3520">
        <v>4.4000000000000004</v>
      </c>
      <c r="O3520">
        <v>2</v>
      </c>
      <c r="P3520" t="s">
        <v>53</v>
      </c>
    </row>
    <row r="3521" spans="1:16" x14ac:dyDescent="0.25">
      <c r="A3521" t="s">
        <v>7664</v>
      </c>
      <c r="B3521" t="s">
        <v>4678</v>
      </c>
      <c r="C3521" t="s">
        <v>29</v>
      </c>
      <c r="D3521" t="s">
        <v>50</v>
      </c>
      <c r="E3521" t="s">
        <v>20</v>
      </c>
      <c r="F3521" t="s">
        <v>32</v>
      </c>
      <c r="G3521" t="s">
        <v>22</v>
      </c>
      <c r="H3521" t="s">
        <v>46</v>
      </c>
      <c r="I3521" t="s">
        <v>24</v>
      </c>
      <c r="J3521" t="s">
        <v>1983</v>
      </c>
      <c r="K3521" t="s">
        <v>5649</v>
      </c>
      <c r="L3521">
        <v>5.3</v>
      </c>
      <c r="M3521">
        <v>304000</v>
      </c>
      <c r="N3521">
        <v>2.7</v>
      </c>
      <c r="O3521">
        <v>11</v>
      </c>
      <c r="P3521" t="s">
        <v>53</v>
      </c>
    </row>
    <row r="3522" spans="1:16" x14ac:dyDescent="0.25">
      <c r="A3522" t="s">
        <v>7665</v>
      </c>
      <c r="B3522" t="s">
        <v>7666</v>
      </c>
      <c r="C3522" t="s">
        <v>29</v>
      </c>
      <c r="D3522" t="s">
        <v>50</v>
      </c>
      <c r="E3522" t="s">
        <v>20</v>
      </c>
      <c r="F3522" t="s">
        <v>39</v>
      </c>
      <c r="G3522" t="s">
        <v>33</v>
      </c>
      <c r="H3522" t="s">
        <v>23</v>
      </c>
      <c r="I3522" t="s">
        <v>35</v>
      </c>
      <c r="J3522" t="s">
        <v>5039</v>
      </c>
      <c r="L3522">
        <v>2</v>
      </c>
      <c r="M3522">
        <v>117000</v>
      </c>
      <c r="P3522" t="s">
        <v>26</v>
      </c>
    </row>
    <row r="3523" spans="1:16" x14ac:dyDescent="0.25">
      <c r="A3523" t="s">
        <v>7667</v>
      </c>
      <c r="B3523" t="s">
        <v>4332</v>
      </c>
      <c r="C3523" t="s">
        <v>18</v>
      </c>
      <c r="D3523" t="s">
        <v>30</v>
      </c>
      <c r="E3523" t="s">
        <v>20</v>
      </c>
      <c r="F3523" t="s">
        <v>21</v>
      </c>
      <c r="G3523" t="s">
        <v>80</v>
      </c>
      <c r="I3523" t="s">
        <v>57</v>
      </c>
      <c r="J3523" t="s">
        <v>1652</v>
      </c>
      <c r="L3523">
        <v>2.8</v>
      </c>
      <c r="M3523">
        <v>795000</v>
      </c>
      <c r="N3523">
        <v>3.9</v>
      </c>
      <c r="O3523">
        <v>11</v>
      </c>
      <c r="P3523" t="s">
        <v>26</v>
      </c>
    </row>
    <row r="3524" spans="1:16" x14ac:dyDescent="0.25">
      <c r="A3524" t="s">
        <v>7668</v>
      </c>
      <c r="B3524" t="s">
        <v>1813</v>
      </c>
      <c r="C3524" t="s">
        <v>18</v>
      </c>
      <c r="D3524" t="s">
        <v>43</v>
      </c>
      <c r="E3524" t="s">
        <v>20</v>
      </c>
      <c r="F3524" t="s">
        <v>32</v>
      </c>
      <c r="G3524" t="s">
        <v>22</v>
      </c>
      <c r="H3524" t="s">
        <v>34</v>
      </c>
      <c r="I3524" t="s">
        <v>24</v>
      </c>
      <c r="J3524" t="s">
        <v>3584</v>
      </c>
      <c r="K3524" t="s">
        <v>504</v>
      </c>
      <c r="L3524">
        <v>4.9000000000000004</v>
      </c>
      <c r="M3524">
        <v>315000</v>
      </c>
      <c r="N3524">
        <v>4.4000000000000004</v>
      </c>
      <c r="P3524" t="s">
        <v>53</v>
      </c>
    </row>
    <row r="3525" spans="1:16" x14ac:dyDescent="0.25">
      <c r="A3525" t="s">
        <v>7669</v>
      </c>
      <c r="B3525" t="s">
        <v>4330</v>
      </c>
      <c r="C3525" t="s">
        <v>18</v>
      </c>
      <c r="D3525" t="s">
        <v>79</v>
      </c>
      <c r="E3525" t="s">
        <v>20</v>
      </c>
      <c r="F3525" t="s">
        <v>128</v>
      </c>
      <c r="G3525" t="s">
        <v>22</v>
      </c>
      <c r="H3525" t="s">
        <v>46</v>
      </c>
      <c r="I3525" t="s">
        <v>24</v>
      </c>
      <c r="J3525" t="s">
        <v>1651</v>
      </c>
      <c r="L3525">
        <v>6.1</v>
      </c>
      <c r="M3525">
        <v>435000</v>
      </c>
      <c r="N3525">
        <v>4</v>
      </c>
      <c r="O3525">
        <v>37</v>
      </c>
      <c r="P3525" t="s">
        <v>26</v>
      </c>
    </row>
    <row r="3526" spans="1:16" x14ac:dyDescent="0.25">
      <c r="A3526" t="s">
        <v>7670</v>
      </c>
      <c r="B3526" t="s">
        <v>3794</v>
      </c>
      <c r="C3526" t="s">
        <v>18</v>
      </c>
      <c r="D3526" t="s">
        <v>79</v>
      </c>
      <c r="E3526" t="s">
        <v>20</v>
      </c>
      <c r="F3526" t="s">
        <v>32</v>
      </c>
      <c r="G3526" t="s">
        <v>69</v>
      </c>
      <c r="H3526" t="s">
        <v>62</v>
      </c>
      <c r="I3526" t="s">
        <v>57</v>
      </c>
      <c r="J3526" t="s">
        <v>7167</v>
      </c>
      <c r="K3526" t="s">
        <v>1217</v>
      </c>
      <c r="L3526">
        <v>3.9</v>
      </c>
      <c r="M3526">
        <v>340000</v>
      </c>
      <c r="N3526">
        <v>2.6</v>
      </c>
      <c r="O3526">
        <v>13</v>
      </c>
      <c r="P3526" t="s">
        <v>72</v>
      </c>
    </row>
    <row r="3527" spans="1:16" x14ac:dyDescent="0.25">
      <c r="A3527" t="s">
        <v>7671</v>
      </c>
      <c r="B3527" t="s">
        <v>4368</v>
      </c>
      <c r="C3527" t="s">
        <v>29</v>
      </c>
      <c r="E3527" t="s">
        <v>20</v>
      </c>
      <c r="F3527" t="s">
        <v>128</v>
      </c>
      <c r="G3527" t="s">
        <v>22</v>
      </c>
      <c r="H3527" t="s">
        <v>46</v>
      </c>
      <c r="I3527" t="s">
        <v>57</v>
      </c>
      <c r="J3527" t="s">
        <v>231</v>
      </c>
      <c r="K3527" t="s">
        <v>4648</v>
      </c>
      <c r="L3527">
        <v>5.6</v>
      </c>
      <c r="O3527">
        <v>3</v>
      </c>
      <c r="P3527" t="s">
        <v>53</v>
      </c>
    </row>
    <row r="3528" spans="1:16" x14ac:dyDescent="0.25">
      <c r="A3528" t="s">
        <v>7672</v>
      </c>
      <c r="B3528" t="s">
        <v>3692</v>
      </c>
      <c r="C3528" t="s">
        <v>29</v>
      </c>
      <c r="D3528" t="s">
        <v>79</v>
      </c>
      <c r="E3528" t="s">
        <v>20</v>
      </c>
      <c r="F3528" t="s">
        <v>39</v>
      </c>
      <c r="G3528" t="s">
        <v>22</v>
      </c>
      <c r="H3528" t="s">
        <v>46</v>
      </c>
      <c r="I3528" t="s">
        <v>24</v>
      </c>
      <c r="J3528" t="s">
        <v>1646</v>
      </c>
      <c r="K3528" t="s">
        <v>967</v>
      </c>
      <c r="L3528">
        <v>3.9</v>
      </c>
      <c r="M3528">
        <v>116000</v>
      </c>
      <c r="N3528">
        <v>3.8</v>
      </c>
      <c r="O3528">
        <v>8</v>
      </c>
      <c r="P3528" t="s">
        <v>114</v>
      </c>
    </row>
    <row r="3529" spans="1:16" x14ac:dyDescent="0.25">
      <c r="A3529" t="s">
        <v>7673</v>
      </c>
      <c r="B3529" t="s">
        <v>2570</v>
      </c>
      <c r="C3529" t="s">
        <v>29</v>
      </c>
      <c r="D3529" t="s">
        <v>50</v>
      </c>
      <c r="E3529" t="s">
        <v>20</v>
      </c>
      <c r="F3529" t="s">
        <v>39</v>
      </c>
      <c r="G3529" t="s">
        <v>22</v>
      </c>
      <c r="H3529" t="s">
        <v>23</v>
      </c>
      <c r="I3529" t="s">
        <v>24</v>
      </c>
      <c r="J3529" t="s">
        <v>7674</v>
      </c>
      <c r="L3529">
        <v>3.2</v>
      </c>
      <c r="M3529">
        <v>152000</v>
      </c>
      <c r="N3529">
        <v>3.2</v>
      </c>
      <c r="O3529">
        <v>9</v>
      </c>
      <c r="P3529" t="s">
        <v>26</v>
      </c>
    </row>
    <row r="3530" spans="1:16" x14ac:dyDescent="0.25">
      <c r="A3530" t="s">
        <v>7675</v>
      </c>
      <c r="B3530" t="s">
        <v>301</v>
      </c>
      <c r="C3530" t="s">
        <v>18</v>
      </c>
      <c r="D3530" t="s">
        <v>50</v>
      </c>
      <c r="E3530" t="s">
        <v>20</v>
      </c>
      <c r="F3530" t="s">
        <v>39</v>
      </c>
      <c r="G3530" t="s">
        <v>22</v>
      </c>
      <c r="H3530" t="s">
        <v>46</v>
      </c>
      <c r="I3530" t="s">
        <v>35</v>
      </c>
      <c r="J3530" t="s">
        <v>1629</v>
      </c>
      <c r="K3530" t="s">
        <v>2422</v>
      </c>
      <c r="L3530">
        <v>3.8</v>
      </c>
      <c r="M3530">
        <v>159000</v>
      </c>
      <c r="N3530">
        <v>3.9</v>
      </c>
      <c r="O3530">
        <v>3</v>
      </c>
      <c r="P3530" t="s">
        <v>114</v>
      </c>
    </row>
    <row r="3531" spans="1:16" x14ac:dyDescent="0.25">
      <c r="A3531" t="s">
        <v>7676</v>
      </c>
      <c r="B3531" t="s">
        <v>4733</v>
      </c>
      <c r="C3531" t="s">
        <v>29</v>
      </c>
      <c r="D3531" t="s">
        <v>30</v>
      </c>
      <c r="E3531" t="s">
        <v>44</v>
      </c>
      <c r="F3531" t="s">
        <v>39</v>
      </c>
      <c r="G3531" t="s">
        <v>33</v>
      </c>
      <c r="H3531" t="s">
        <v>46</v>
      </c>
      <c r="I3531" t="s">
        <v>57</v>
      </c>
      <c r="J3531" t="s">
        <v>4778</v>
      </c>
      <c r="K3531" t="s">
        <v>6652</v>
      </c>
      <c r="L3531">
        <v>1.3</v>
      </c>
      <c r="M3531">
        <v>156000</v>
      </c>
      <c r="N3531">
        <v>2.6</v>
      </c>
      <c r="O3531">
        <v>1</v>
      </c>
      <c r="P3531" t="s">
        <v>72</v>
      </c>
    </row>
    <row r="3532" spans="1:16" x14ac:dyDescent="0.25">
      <c r="A3532" t="s">
        <v>7677</v>
      </c>
      <c r="B3532" t="s">
        <v>4701</v>
      </c>
      <c r="C3532" t="s">
        <v>18</v>
      </c>
      <c r="D3532" t="s">
        <v>50</v>
      </c>
      <c r="E3532" t="s">
        <v>31</v>
      </c>
      <c r="F3532" t="s">
        <v>21</v>
      </c>
      <c r="G3532" t="s">
        <v>80</v>
      </c>
      <c r="H3532" t="s">
        <v>23</v>
      </c>
      <c r="I3532" t="s">
        <v>57</v>
      </c>
      <c r="J3532" t="s">
        <v>7678</v>
      </c>
      <c r="L3532">
        <v>2.2999999999999998</v>
      </c>
      <c r="M3532">
        <v>843000</v>
      </c>
      <c r="N3532">
        <v>3.8</v>
      </c>
      <c r="O3532">
        <v>0</v>
      </c>
      <c r="P3532" t="s">
        <v>26</v>
      </c>
    </row>
    <row r="3533" spans="1:16" x14ac:dyDescent="0.25">
      <c r="A3533" t="s">
        <v>7679</v>
      </c>
      <c r="B3533" t="s">
        <v>5725</v>
      </c>
      <c r="D3533" t="s">
        <v>79</v>
      </c>
      <c r="E3533" t="s">
        <v>20</v>
      </c>
      <c r="F3533" t="s">
        <v>128</v>
      </c>
      <c r="G3533" t="s">
        <v>80</v>
      </c>
      <c r="H3533" t="s">
        <v>23</v>
      </c>
      <c r="I3533" t="s">
        <v>24</v>
      </c>
      <c r="J3533" t="s">
        <v>4358</v>
      </c>
      <c r="L3533">
        <v>5.9</v>
      </c>
      <c r="M3533">
        <v>598000</v>
      </c>
      <c r="N3533">
        <v>3.8</v>
      </c>
      <c r="O3533">
        <v>13</v>
      </c>
      <c r="P3533" t="s">
        <v>26</v>
      </c>
    </row>
    <row r="3534" spans="1:16" x14ac:dyDescent="0.25">
      <c r="A3534" t="s">
        <v>7680</v>
      </c>
      <c r="B3534" t="s">
        <v>7681</v>
      </c>
      <c r="C3534" t="s">
        <v>18</v>
      </c>
      <c r="D3534" t="s">
        <v>30</v>
      </c>
      <c r="E3534" t="s">
        <v>20</v>
      </c>
      <c r="F3534" t="s">
        <v>128</v>
      </c>
      <c r="G3534" t="s">
        <v>22</v>
      </c>
      <c r="H3534" t="s">
        <v>23</v>
      </c>
      <c r="I3534" t="s">
        <v>24</v>
      </c>
      <c r="J3534" t="s">
        <v>854</v>
      </c>
      <c r="K3534" t="s">
        <v>1649</v>
      </c>
      <c r="L3534">
        <v>6</v>
      </c>
      <c r="M3534">
        <v>472000</v>
      </c>
      <c r="N3534">
        <v>3.5</v>
      </c>
      <c r="O3534">
        <v>9</v>
      </c>
      <c r="P3534" t="s">
        <v>72</v>
      </c>
    </row>
    <row r="3535" spans="1:16" x14ac:dyDescent="0.25">
      <c r="A3535" t="s">
        <v>7682</v>
      </c>
      <c r="B3535" t="s">
        <v>1359</v>
      </c>
      <c r="C3535" t="s">
        <v>29</v>
      </c>
      <c r="D3535" t="s">
        <v>79</v>
      </c>
      <c r="E3535" t="s">
        <v>20</v>
      </c>
      <c r="F3535" t="s">
        <v>128</v>
      </c>
      <c r="G3535" t="s">
        <v>22</v>
      </c>
      <c r="H3535" t="s">
        <v>46</v>
      </c>
      <c r="I3535" t="s">
        <v>24</v>
      </c>
      <c r="J3535" t="s">
        <v>7683</v>
      </c>
      <c r="L3535">
        <v>5.6</v>
      </c>
      <c r="M3535">
        <v>464000</v>
      </c>
      <c r="N3535">
        <v>3.8</v>
      </c>
      <c r="O3535">
        <v>5</v>
      </c>
      <c r="P3535" t="s">
        <v>26</v>
      </c>
    </row>
    <row r="3536" spans="1:16" x14ac:dyDescent="0.25">
      <c r="A3536" t="s">
        <v>7684</v>
      </c>
      <c r="B3536" t="s">
        <v>2398</v>
      </c>
      <c r="C3536" t="s">
        <v>18</v>
      </c>
      <c r="D3536" t="s">
        <v>30</v>
      </c>
      <c r="E3536" t="s">
        <v>20</v>
      </c>
      <c r="F3536" t="s">
        <v>128</v>
      </c>
      <c r="G3536" t="s">
        <v>33</v>
      </c>
      <c r="H3536" t="s">
        <v>62</v>
      </c>
      <c r="I3536" t="s">
        <v>24</v>
      </c>
      <c r="J3536" t="s">
        <v>4281</v>
      </c>
      <c r="K3536" t="s">
        <v>7685</v>
      </c>
      <c r="L3536">
        <v>1.7</v>
      </c>
      <c r="M3536">
        <v>536000</v>
      </c>
      <c r="N3536">
        <v>4</v>
      </c>
      <c r="O3536">
        <v>3</v>
      </c>
      <c r="P3536" t="s">
        <v>53</v>
      </c>
    </row>
    <row r="3537" spans="1:16" x14ac:dyDescent="0.25">
      <c r="A3537" t="s">
        <v>7686</v>
      </c>
      <c r="B3537" t="s">
        <v>1064</v>
      </c>
      <c r="C3537" t="s">
        <v>29</v>
      </c>
      <c r="D3537" t="s">
        <v>79</v>
      </c>
      <c r="E3537" t="s">
        <v>44</v>
      </c>
      <c r="F3537" t="s">
        <v>128</v>
      </c>
      <c r="G3537" t="s">
        <v>80</v>
      </c>
      <c r="H3537" t="s">
        <v>34</v>
      </c>
      <c r="I3537" t="s">
        <v>75</v>
      </c>
      <c r="J3537" t="s">
        <v>1056</v>
      </c>
      <c r="L3537">
        <v>4.9000000000000004</v>
      </c>
      <c r="N3537">
        <v>2.4</v>
      </c>
      <c r="O3537">
        <v>2</v>
      </c>
      <c r="P3537" t="s">
        <v>26</v>
      </c>
    </row>
    <row r="3538" spans="1:16" x14ac:dyDescent="0.25">
      <c r="A3538" t="s">
        <v>7687</v>
      </c>
      <c r="B3538" t="s">
        <v>2195</v>
      </c>
      <c r="C3538" t="s">
        <v>18</v>
      </c>
      <c r="D3538" t="s">
        <v>79</v>
      </c>
      <c r="E3538" t="s">
        <v>20</v>
      </c>
      <c r="F3538" t="s">
        <v>39</v>
      </c>
      <c r="G3538" t="s">
        <v>22</v>
      </c>
      <c r="H3538" t="s">
        <v>34</v>
      </c>
      <c r="I3538" t="s">
        <v>35</v>
      </c>
      <c r="J3538" t="s">
        <v>3958</v>
      </c>
      <c r="L3538">
        <v>6.2</v>
      </c>
      <c r="M3538">
        <v>132000</v>
      </c>
      <c r="O3538">
        <v>32</v>
      </c>
      <c r="P3538" t="s">
        <v>26</v>
      </c>
    </row>
    <row r="3539" spans="1:16" x14ac:dyDescent="0.25">
      <c r="A3539" t="s">
        <v>7688</v>
      </c>
      <c r="B3539" t="s">
        <v>7689</v>
      </c>
      <c r="C3539" t="s">
        <v>29</v>
      </c>
      <c r="D3539" t="s">
        <v>79</v>
      </c>
      <c r="E3539" t="s">
        <v>20</v>
      </c>
      <c r="F3539" t="s">
        <v>45</v>
      </c>
      <c r="G3539" t="s">
        <v>33</v>
      </c>
      <c r="H3539" t="s">
        <v>46</v>
      </c>
      <c r="I3539" t="s">
        <v>75</v>
      </c>
      <c r="J3539" t="s">
        <v>3545</v>
      </c>
      <c r="L3539">
        <v>1.4</v>
      </c>
      <c r="M3539">
        <v>1391000</v>
      </c>
      <c r="N3539">
        <v>3</v>
      </c>
      <c r="O3539">
        <v>12</v>
      </c>
      <c r="P3539" t="s">
        <v>26</v>
      </c>
    </row>
    <row r="3540" spans="1:16" x14ac:dyDescent="0.25">
      <c r="A3540" t="s">
        <v>7690</v>
      </c>
      <c r="B3540" t="s">
        <v>6736</v>
      </c>
      <c r="C3540" t="s">
        <v>29</v>
      </c>
      <c r="D3540" t="s">
        <v>19</v>
      </c>
      <c r="E3540" t="s">
        <v>20</v>
      </c>
      <c r="F3540" t="s">
        <v>32</v>
      </c>
      <c r="G3540" t="s">
        <v>22</v>
      </c>
      <c r="H3540" t="s">
        <v>23</v>
      </c>
      <c r="I3540" t="s">
        <v>24</v>
      </c>
      <c r="J3540" t="s">
        <v>7661</v>
      </c>
      <c r="K3540" t="s">
        <v>4513</v>
      </c>
      <c r="L3540">
        <v>4.3</v>
      </c>
      <c r="M3540">
        <v>272000</v>
      </c>
      <c r="N3540">
        <v>4.5999999999999996</v>
      </c>
      <c r="O3540">
        <v>12</v>
      </c>
      <c r="P3540" t="s">
        <v>53</v>
      </c>
    </row>
    <row r="3541" spans="1:16" x14ac:dyDescent="0.25">
      <c r="A3541" t="s">
        <v>7691</v>
      </c>
      <c r="B3541" t="s">
        <v>5617</v>
      </c>
      <c r="C3541" t="s">
        <v>29</v>
      </c>
      <c r="D3541" t="s">
        <v>30</v>
      </c>
      <c r="F3541" t="s">
        <v>128</v>
      </c>
      <c r="G3541" t="s">
        <v>69</v>
      </c>
      <c r="H3541" t="s">
        <v>46</v>
      </c>
      <c r="I3541" t="s">
        <v>57</v>
      </c>
      <c r="J3541" t="s">
        <v>7692</v>
      </c>
      <c r="K3541" t="s">
        <v>52</v>
      </c>
      <c r="L3541">
        <v>3.6</v>
      </c>
      <c r="M3541">
        <v>470000</v>
      </c>
      <c r="N3541">
        <v>2.2999999999999998</v>
      </c>
      <c r="O3541">
        <v>10</v>
      </c>
      <c r="P3541" t="s">
        <v>53</v>
      </c>
    </row>
    <row r="3542" spans="1:16" x14ac:dyDescent="0.25">
      <c r="A3542" t="s">
        <v>7693</v>
      </c>
      <c r="B3542" t="s">
        <v>3649</v>
      </c>
      <c r="C3542" t="s">
        <v>29</v>
      </c>
      <c r="D3542" t="s">
        <v>19</v>
      </c>
      <c r="E3542" t="s">
        <v>44</v>
      </c>
      <c r="F3542" t="s">
        <v>39</v>
      </c>
      <c r="G3542" t="s">
        <v>80</v>
      </c>
      <c r="H3542" t="s">
        <v>34</v>
      </c>
      <c r="I3542" t="s">
        <v>24</v>
      </c>
      <c r="J3542" t="s">
        <v>3062</v>
      </c>
      <c r="K3542" t="s">
        <v>7694</v>
      </c>
      <c r="L3542">
        <v>2.2999999999999998</v>
      </c>
      <c r="M3542">
        <v>156000</v>
      </c>
      <c r="N3542">
        <v>2.6</v>
      </c>
      <c r="O3542">
        <v>33</v>
      </c>
      <c r="P3542" t="s">
        <v>53</v>
      </c>
    </row>
    <row r="3543" spans="1:16" x14ac:dyDescent="0.25">
      <c r="A3543" t="s">
        <v>7695</v>
      </c>
      <c r="B3543" t="s">
        <v>7696</v>
      </c>
      <c r="C3543" t="s">
        <v>18</v>
      </c>
      <c r="D3543" t="s">
        <v>79</v>
      </c>
      <c r="E3543" t="s">
        <v>20</v>
      </c>
      <c r="F3543" t="s">
        <v>128</v>
      </c>
      <c r="G3543" t="s">
        <v>33</v>
      </c>
      <c r="H3543" t="s">
        <v>46</v>
      </c>
      <c r="I3543" t="s">
        <v>24</v>
      </c>
      <c r="J3543" t="s">
        <v>7697</v>
      </c>
      <c r="L3543">
        <v>5.6</v>
      </c>
      <c r="M3543">
        <v>527000</v>
      </c>
      <c r="N3543">
        <v>2.4</v>
      </c>
      <c r="O3543">
        <v>7</v>
      </c>
      <c r="P3543" t="s">
        <v>26</v>
      </c>
    </row>
    <row r="3544" spans="1:16" x14ac:dyDescent="0.25">
      <c r="A3544" t="s">
        <v>7698</v>
      </c>
      <c r="B3544" t="s">
        <v>7699</v>
      </c>
      <c r="C3544" t="s">
        <v>29</v>
      </c>
      <c r="D3544" t="s">
        <v>19</v>
      </c>
      <c r="E3544" t="s">
        <v>20</v>
      </c>
      <c r="G3544" t="s">
        <v>33</v>
      </c>
      <c r="H3544" t="s">
        <v>23</v>
      </c>
      <c r="I3544" t="s">
        <v>24</v>
      </c>
      <c r="J3544" t="s">
        <v>2920</v>
      </c>
      <c r="L3544">
        <v>3.2</v>
      </c>
      <c r="M3544">
        <v>168000</v>
      </c>
      <c r="N3544">
        <v>2</v>
      </c>
      <c r="O3544">
        <v>13</v>
      </c>
      <c r="P3544" t="s">
        <v>26</v>
      </c>
    </row>
    <row r="3545" spans="1:16" x14ac:dyDescent="0.25">
      <c r="A3545" t="s">
        <v>7700</v>
      </c>
      <c r="B3545" t="s">
        <v>7701</v>
      </c>
      <c r="C3545" t="s">
        <v>29</v>
      </c>
      <c r="D3545" t="s">
        <v>79</v>
      </c>
      <c r="E3545" t="s">
        <v>20</v>
      </c>
      <c r="F3545" t="s">
        <v>32</v>
      </c>
      <c r="G3545" t="s">
        <v>80</v>
      </c>
      <c r="H3545" t="s">
        <v>23</v>
      </c>
      <c r="I3545" t="s">
        <v>75</v>
      </c>
      <c r="J3545" t="s">
        <v>411</v>
      </c>
      <c r="L3545">
        <v>3.1</v>
      </c>
      <c r="M3545">
        <v>251000</v>
      </c>
      <c r="N3545">
        <v>2.6</v>
      </c>
      <c r="O3545">
        <v>22</v>
      </c>
      <c r="P3545" t="s">
        <v>26</v>
      </c>
    </row>
    <row r="3546" spans="1:16" x14ac:dyDescent="0.25">
      <c r="A3546" t="s">
        <v>7702</v>
      </c>
      <c r="B3546" t="s">
        <v>3100</v>
      </c>
      <c r="C3546" t="s">
        <v>29</v>
      </c>
      <c r="D3546" t="s">
        <v>30</v>
      </c>
      <c r="E3546" t="s">
        <v>20</v>
      </c>
      <c r="F3546" t="s">
        <v>39</v>
      </c>
      <c r="G3546" t="s">
        <v>80</v>
      </c>
      <c r="H3546" t="s">
        <v>23</v>
      </c>
      <c r="I3546" t="s">
        <v>171</v>
      </c>
      <c r="J3546" t="s">
        <v>487</v>
      </c>
      <c r="K3546" t="s">
        <v>6815</v>
      </c>
      <c r="L3546">
        <v>1.9</v>
      </c>
      <c r="M3546">
        <v>115000</v>
      </c>
      <c r="N3546">
        <v>2.9</v>
      </c>
      <c r="O3546">
        <v>10</v>
      </c>
      <c r="P3546" t="s">
        <v>53</v>
      </c>
    </row>
    <row r="3547" spans="1:16" x14ac:dyDescent="0.25">
      <c r="A3547" t="s">
        <v>7703</v>
      </c>
      <c r="B3547" t="s">
        <v>4408</v>
      </c>
      <c r="C3547" t="s">
        <v>18</v>
      </c>
      <c r="D3547" t="s">
        <v>79</v>
      </c>
      <c r="E3547" t="s">
        <v>44</v>
      </c>
      <c r="F3547" t="s">
        <v>32</v>
      </c>
      <c r="G3547" t="s">
        <v>80</v>
      </c>
      <c r="H3547" t="s">
        <v>34</v>
      </c>
      <c r="I3547" t="s">
        <v>24</v>
      </c>
      <c r="J3547" t="s">
        <v>7704</v>
      </c>
      <c r="K3547" t="s">
        <v>7694</v>
      </c>
      <c r="L3547">
        <v>3</v>
      </c>
      <c r="N3547">
        <v>2.8</v>
      </c>
      <c r="O3547">
        <v>10</v>
      </c>
      <c r="P3547" t="s">
        <v>53</v>
      </c>
    </row>
    <row r="3548" spans="1:16" x14ac:dyDescent="0.25">
      <c r="A3548" t="s">
        <v>7705</v>
      </c>
      <c r="B3548" t="s">
        <v>6845</v>
      </c>
      <c r="C3548" t="s">
        <v>29</v>
      </c>
      <c r="D3548" t="s">
        <v>50</v>
      </c>
      <c r="E3548" t="s">
        <v>20</v>
      </c>
      <c r="F3548" t="s">
        <v>32</v>
      </c>
      <c r="G3548" t="s">
        <v>69</v>
      </c>
      <c r="H3548" t="s">
        <v>62</v>
      </c>
      <c r="I3548" t="s">
        <v>35</v>
      </c>
      <c r="J3548" t="s">
        <v>7706</v>
      </c>
      <c r="L3548">
        <v>2.5</v>
      </c>
      <c r="M3548">
        <v>232000</v>
      </c>
      <c r="N3548">
        <v>2.2999999999999998</v>
      </c>
      <c r="O3548">
        <v>12</v>
      </c>
      <c r="P3548" t="s">
        <v>26</v>
      </c>
    </row>
    <row r="3549" spans="1:16" x14ac:dyDescent="0.25">
      <c r="A3549" t="s">
        <v>7707</v>
      </c>
      <c r="B3549" t="s">
        <v>7708</v>
      </c>
      <c r="C3549" t="s">
        <v>29</v>
      </c>
      <c r="D3549" t="s">
        <v>50</v>
      </c>
      <c r="E3549" t="s">
        <v>20</v>
      </c>
      <c r="F3549" t="s">
        <v>39</v>
      </c>
      <c r="G3549" t="s">
        <v>33</v>
      </c>
      <c r="H3549" t="s">
        <v>23</v>
      </c>
      <c r="I3549" t="s">
        <v>35</v>
      </c>
      <c r="J3549" t="s">
        <v>2723</v>
      </c>
      <c r="L3549">
        <v>2.8</v>
      </c>
      <c r="M3549">
        <v>116000</v>
      </c>
      <c r="N3549">
        <v>4.2</v>
      </c>
      <c r="O3549">
        <v>0</v>
      </c>
      <c r="P3549" t="s">
        <v>26</v>
      </c>
    </row>
    <row r="3550" spans="1:16" x14ac:dyDescent="0.25">
      <c r="A3550" t="s">
        <v>7709</v>
      </c>
      <c r="B3550" t="s">
        <v>7710</v>
      </c>
      <c r="C3550" t="s">
        <v>29</v>
      </c>
      <c r="D3550" t="s">
        <v>19</v>
      </c>
      <c r="E3550" t="s">
        <v>20</v>
      </c>
      <c r="F3550" t="s">
        <v>32</v>
      </c>
      <c r="G3550" t="s">
        <v>80</v>
      </c>
      <c r="H3550" t="s">
        <v>23</v>
      </c>
      <c r="J3550" t="s">
        <v>1620</v>
      </c>
      <c r="L3550">
        <v>1.9</v>
      </c>
      <c r="M3550">
        <v>260000</v>
      </c>
      <c r="N3550">
        <v>3.3</v>
      </c>
      <c r="O3550">
        <v>2</v>
      </c>
      <c r="P3550" t="s">
        <v>26</v>
      </c>
    </row>
    <row r="3551" spans="1:16" x14ac:dyDescent="0.25">
      <c r="A3551" t="s">
        <v>7711</v>
      </c>
      <c r="B3551" t="s">
        <v>4040</v>
      </c>
      <c r="C3551" t="s">
        <v>18</v>
      </c>
      <c r="D3551" t="s">
        <v>43</v>
      </c>
      <c r="E3551" t="s">
        <v>20</v>
      </c>
      <c r="F3551" t="s">
        <v>32</v>
      </c>
      <c r="G3551" t="s">
        <v>33</v>
      </c>
      <c r="H3551" t="s">
        <v>23</v>
      </c>
      <c r="I3551" t="s">
        <v>24</v>
      </c>
      <c r="J3551" t="s">
        <v>1282</v>
      </c>
      <c r="K3551" t="s">
        <v>851</v>
      </c>
      <c r="L3551">
        <v>2</v>
      </c>
      <c r="M3551">
        <v>230000</v>
      </c>
      <c r="N3551">
        <v>2.1</v>
      </c>
      <c r="O3551">
        <v>4</v>
      </c>
      <c r="P3551" t="s">
        <v>53</v>
      </c>
    </row>
    <row r="3552" spans="1:16" x14ac:dyDescent="0.25">
      <c r="A3552" t="s">
        <v>7712</v>
      </c>
      <c r="B3552" t="s">
        <v>7713</v>
      </c>
      <c r="C3552" t="s">
        <v>18</v>
      </c>
      <c r="D3552" t="s">
        <v>79</v>
      </c>
      <c r="E3552" t="s">
        <v>20</v>
      </c>
      <c r="F3552" t="s">
        <v>32</v>
      </c>
      <c r="G3552" t="s">
        <v>69</v>
      </c>
      <c r="H3552" t="s">
        <v>23</v>
      </c>
      <c r="I3552" t="s">
        <v>24</v>
      </c>
      <c r="J3552" t="s">
        <v>7714</v>
      </c>
      <c r="L3552">
        <v>5.6</v>
      </c>
      <c r="M3552">
        <v>186000</v>
      </c>
      <c r="N3552">
        <v>2</v>
      </c>
      <c r="O3552">
        <v>6</v>
      </c>
      <c r="P3552" t="s">
        <v>26</v>
      </c>
    </row>
    <row r="3553" spans="1:16" x14ac:dyDescent="0.25">
      <c r="A3553" t="s">
        <v>7715</v>
      </c>
      <c r="B3553" t="s">
        <v>4156</v>
      </c>
      <c r="C3553" t="s">
        <v>18</v>
      </c>
      <c r="D3553" t="s">
        <v>30</v>
      </c>
      <c r="E3553" t="s">
        <v>20</v>
      </c>
      <c r="F3553" t="s">
        <v>21</v>
      </c>
      <c r="G3553" t="s">
        <v>69</v>
      </c>
      <c r="H3553" t="s">
        <v>62</v>
      </c>
      <c r="I3553" t="s">
        <v>57</v>
      </c>
      <c r="J3553" t="s">
        <v>2422</v>
      </c>
      <c r="L3553">
        <v>1.3</v>
      </c>
      <c r="N3553">
        <v>3.2</v>
      </c>
      <c r="O3553">
        <v>1</v>
      </c>
      <c r="P3553" t="s">
        <v>26</v>
      </c>
    </row>
    <row r="3554" spans="1:16" x14ac:dyDescent="0.25">
      <c r="A3554" t="s">
        <v>7716</v>
      </c>
      <c r="B3554" t="s">
        <v>4121</v>
      </c>
      <c r="C3554" t="s">
        <v>18</v>
      </c>
      <c r="D3554" t="s">
        <v>30</v>
      </c>
      <c r="E3554" t="s">
        <v>20</v>
      </c>
      <c r="F3554" t="s">
        <v>39</v>
      </c>
      <c r="G3554" t="s">
        <v>22</v>
      </c>
      <c r="H3554" t="s">
        <v>23</v>
      </c>
      <c r="I3554" t="s">
        <v>35</v>
      </c>
      <c r="J3554" t="s">
        <v>709</v>
      </c>
      <c r="L3554">
        <v>2.7</v>
      </c>
      <c r="M3554">
        <v>90000</v>
      </c>
      <c r="N3554">
        <v>2.2999999999999998</v>
      </c>
      <c r="O3554">
        <v>8</v>
      </c>
      <c r="P3554" t="s">
        <v>26</v>
      </c>
    </row>
    <row r="3555" spans="1:16" x14ac:dyDescent="0.25">
      <c r="A3555" t="s">
        <v>7717</v>
      </c>
      <c r="B3555" t="s">
        <v>7428</v>
      </c>
      <c r="D3555" t="s">
        <v>43</v>
      </c>
      <c r="E3555" t="s">
        <v>20</v>
      </c>
      <c r="F3555" t="s">
        <v>32</v>
      </c>
      <c r="G3555" t="s">
        <v>69</v>
      </c>
      <c r="H3555" t="s">
        <v>62</v>
      </c>
      <c r="I3555" t="s">
        <v>24</v>
      </c>
      <c r="J3555" t="s">
        <v>7718</v>
      </c>
      <c r="K3555" t="s">
        <v>306</v>
      </c>
      <c r="L3555">
        <v>4</v>
      </c>
      <c r="M3555">
        <v>292000</v>
      </c>
      <c r="N3555">
        <v>2.4</v>
      </c>
      <c r="O3555">
        <v>7</v>
      </c>
      <c r="P3555" t="s">
        <v>72</v>
      </c>
    </row>
    <row r="3556" spans="1:16" x14ac:dyDescent="0.25">
      <c r="A3556" t="s">
        <v>7719</v>
      </c>
      <c r="B3556" t="s">
        <v>7720</v>
      </c>
      <c r="C3556" t="s">
        <v>18</v>
      </c>
      <c r="D3556" t="s">
        <v>50</v>
      </c>
      <c r="E3556" t="s">
        <v>20</v>
      </c>
      <c r="F3556" t="s">
        <v>21</v>
      </c>
      <c r="G3556" t="s">
        <v>80</v>
      </c>
      <c r="I3556" t="s">
        <v>171</v>
      </c>
      <c r="J3556" t="s">
        <v>6655</v>
      </c>
      <c r="L3556">
        <v>4.7</v>
      </c>
      <c r="M3556">
        <v>613000</v>
      </c>
      <c r="N3556">
        <v>4.2</v>
      </c>
      <c r="O3556">
        <v>10</v>
      </c>
      <c r="P3556" t="s">
        <v>26</v>
      </c>
    </row>
    <row r="3557" spans="1:16" x14ac:dyDescent="0.25">
      <c r="A3557" t="s">
        <v>7721</v>
      </c>
      <c r="B3557" t="s">
        <v>7722</v>
      </c>
      <c r="C3557" t="s">
        <v>18</v>
      </c>
      <c r="D3557" t="s">
        <v>50</v>
      </c>
      <c r="E3557" t="s">
        <v>20</v>
      </c>
      <c r="F3557" t="s">
        <v>32</v>
      </c>
      <c r="G3557" t="s">
        <v>22</v>
      </c>
      <c r="I3557" t="s">
        <v>35</v>
      </c>
      <c r="J3557" t="s">
        <v>2511</v>
      </c>
      <c r="L3557">
        <v>1.8</v>
      </c>
      <c r="M3557">
        <v>224000</v>
      </c>
      <c r="N3557">
        <v>2.8</v>
      </c>
      <c r="O3557">
        <v>14</v>
      </c>
      <c r="P3557" t="s">
        <v>26</v>
      </c>
    </row>
    <row r="3558" spans="1:16" x14ac:dyDescent="0.25">
      <c r="A3558" t="s">
        <v>7723</v>
      </c>
      <c r="B3558" t="s">
        <v>1058</v>
      </c>
      <c r="C3558" t="s">
        <v>18</v>
      </c>
      <c r="D3558" t="s">
        <v>43</v>
      </c>
      <c r="E3558" t="s">
        <v>20</v>
      </c>
      <c r="F3558" t="s">
        <v>32</v>
      </c>
      <c r="G3558" t="s">
        <v>80</v>
      </c>
      <c r="H3558" t="s">
        <v>23</v>
      </c>
      <c r="I3558" t="s">
        <v>171</v>
      </c>
      <c r="J3558" t="s">
        <v>3618</v>
      </c>
      <c r="L3558">
        <v>3.8</v>
      </c>
      <c r="N3558">
        <v>2</v>
      </c>
      <c r="O3558">
        <v>35</v>
      </c>
      <c r="P3558" t="s">
        <v>26</v>
      </c>
    </row>
    <row r="3559" spans="1:16" x14ac:dyDescent="0.25">
      <c r="A3559" t="s">
        <v>7724</v>
      </c>
      <c r="B3559" t="s">
        <v>4418</v>
      </c>
      <c r="C3559" t="s">
        <v>18</v>
      </c>
      <c r="D3559" t="s">
        <v>43</v>
      </c>
      <c r="E3559" t="s">
        <v>44</v>
      </c>
      <c r="F3559" t="s">
        <v>32</v>
      </c>
      <c r="G3559" t="s">
        <v>80</v>
      </c>
      <c r="H3559" t="s">
        <v>23</v>
      </c>
      <c r="I3559" t="s">
        <v>24</v>
      </c>
      <c r="J3559" t="s">
        <v>3768</v>
      </c>
      <c r="K3559" t="s">
        <v>3326</v>
      </c>
      <c r="L3559">
        <v>5.7</v>
      </c>
      <c r="M3559">
        <v>312000</v>
      </c>
      <c r="N3559">
        <v>3.9</v>
      </c>
      <c r="O3559">
        <v>0</v>
      </c>
      <c r="P3559" t="s">
        <v>53</v>
      </c>
    </row>
    <row r="3560" spans="1:16" x14ac:dyDescent="0.25">
      <c r="A3560" t="s">
        <v>7725</v>
      </c>
      <c r="B3560" t="s">
        <v>7726</v>
      </c>
      <c r="C3560" t="s">
        <v>18</v>
      </c>
      <c r="D3560" t="s">
        <v>50</v>
      </c>
      <c r="E3560" t="s">
        <v>44</v>
      </c>
      <c r="F3560" t="s">
        <v>39</v>
      </c>
      <c r="G3560" t="s">
        <v>22</v>
      </c>
      <c r="H3560" t="s">
        <v>23</v>
      </c>
      <c r="I3560" t="s">
        <v>24</v>
      </c>
      <c r="J3560" t="s">
        <v>1494</v>
      </c>
      <c r="K3560" t="s">
        <v>7727</v>
      </c>
      <c r="L3560">
        <v>3</v>
      </c>
      <c r="M3560">
        <v>173000</v>
      </c>
      <c r="N3560">
        <v>2</v>
      </c>
      <c r="O3560">
        <v>25</v>
      </c>
      <c r="P3560" t="s">
        <v>114</v>
      </c>
    </row>
    <row r="3561" spans="1:16" x14ac:dyDescent="0.25">
      <c r="A3561" t="s">
        <v>7728</v>
      </c>
      <c r="B3561" t="s">
        <v>7729</v>
      </c>
      <c r="C3561" t="s">
        <v>29</v>
      </c>
      <c r="D3561" t="s">
        <v>19</v>
      </c>
      <c r="E3561" t="s">
        <v>20</v>
      </c>
      <c r="F3561" t="s">
        <v>32</v>
      </c>
      <c r="G3561" t="s">
        <v>22</v>
      </c>
      <c r="H3561" t="s">
        <v>62</v>
      </c>
      <c r="I3561" t="s">
        <v>57</v>
      </c>
      <c r="J3561" t="s">
        <v>7730</v>
      </c>
      <c r="L3561">
        <v>1.6</v>
      </c>
      <c r="M3561">
        <v>231000</v>
      </c>
      <c r="O3561">
        <v>10</v>
      </c>
      <c r="P3561" t="s">
        <v>26</v>
      </c>
    </row>
    <row r="3562" spans="1:16" x14ac:dyDescent="0.25">
      <c r="A3562" t="s">
        <v>7731</v>
      </c>
      <c r="B3562" t="s">
        <v>6975</v>
      </c>
      <c r="C3562" t="s">
        <v>18</v>
      </c>
      <c r="D3562" t="s">
        <v>79</v>
      </c>
      <c r="E3562" t="s">
        <v>44</v>
      </c>
      <c r="F3562" t="s">
        <v>128</v>
      </c>
      <c r="G3562" t="s">
        <v>22</v>
      </c>
      <c r="H3562" t="s">
        <v>23</v>
      </c>
      <c r="I3562" t="s">
        <v>57</v>
      </c>
      <c r="J3562" t="s">
        <v>2916</v>
      </c>
      <c r="L3562">
        <v>4.3</v>
      </c>
      <c r="M3562">
        <v>411000</v>
      </c>
      <c r="N3562">
        <v>2.1</v>
      </c>
      <c r="O3562">
        <v>4</v>
      </c>
      <c r="P3562" t="s">
        <v>26</v>
      </c>
    </row>
    <row r="3563" spans="1:16" x14ac:dyDescent="0.25">
      <c r="A3563" t="s">
        <v>7732</v>
      </c>
      <c r="B3563" t="s">
        <v>7733</v>
      </c>
      <c r="C3563" t="s">
        <v>29</v>
      </c>
      <c r="D3563" t="s">
        <v>30</v>
      </c>
      <c r="E3563" t="s">
        <v>20</v>
      </c>
      <c r="F3563" t="s">
        <v>39</v>
      </c>
      <c r="G3563" t="s">
        <v>69</v>
      </c>
      <c r="H3563" t="s">
        <v>23</v>
      </c>
      <c r="I3563" t="s">
        <v>57</v>
      </c>
      <c r="J3563" t="s">
        <v>2653</v>
      </c>
      <c r="L3563">
        <v>4.5</v>
      </c>
      <c r="M3563">
        <v>156000</v>
      </c>
      <c r="N3563">
        <v>3.4</v>
      </c>
      <c r="O3563">
        <v>4</v>
      </c>
      <c r="P3563" t="s">
        <v>26</v>
      </c>
    </row>
    <row r="3564" spans="1:16" x14ac:dyDescent="0.25">
      <c r="A3564" t="s">
        <v>7734</v>
      </c>
      <c r="B3564" t="s">
        <v>3344</v>
      </c>
      <c r="C3564" t="s">
        <v>29</v>
      </c>
      <c r="D3564" t="s">
        <v>30</v>
      </c>
      <c r="E3564" t="s">
        <v>20</v>
      </c>
      <c r="F3564" t="s">
        <v>32</v>
      </c>
      <c r="G3564" t="s">
        <v>69</v>
      </c>
      <c r="I3564" t="s">
        <v>24</v>
      </c>
      <c r="J3564" t="s">
        <v>5971</v>
      </c>
      <c r="L3564">
        <v>3.8</v>
      </c>
      <c r="M3564">
        <v>293000</v>
      </c>
      <c r="N3564">
        <v>3.1</v>
      </c>
      <c r="O3564">
        <v>24</v>
      </c>
      <c r="P3564" t="s">
        <v>26</v>
      </c>
    </row>
    <row r="3565" spans="1:16" x14ac:dyDescent="0.25">
      <c r="A3565" t="s">
        <v>7735</v>
      </c>
      <c r="B3565" t="s">
        <v>2302</v>
      </c>
      <c r="C3565" t="s">
        <v>18</v>
      </c>
      <c r="D3565" t="s">
        <v>43</v>
      </c>
      <c r="E3565" t="s">
        <v>31</v>
      </c>
      <c r="F3565" t="s">
        <v>32</v>
      </c>
      <c r="G3565" t="s">
        <v>33</v>
      </c>
      <c r="H3565" t="s">
        <v>23</v>
      </c>
      <c r="J3565" t="s">
        <v>4587</v>
      </c>
      <c r="L3565">
        <v>1.6</v>
      </c>
      <c r="M3565">
        <v>185000</v>
      </c>
      <c r="N3565">
        <v>5</v>
      </c>
      <c r="O3565">
        <v>3</v>
      </c>
      <c r="P3565" t="s">
        <v>26</v>
      </c>
    </row>
    <row r="3566" spans="1:16" x14ac:dyDescent="0.25">
      <c r="A3566" t="s">
        <v>7736</v>
      </c>
      <c r="B3566" t="s">
        <v>7737</v>
      </c>
      <c r="C3566" t="s">
        <v>18</v>
      </c>
      <c r="D3566" t="s">
        <v>30</v>
      </c>
      <c r="E3566" t="s">
        <v>20</v>
      </c>
      <c r="F3566" t="s">
        <v>39</v>
      </c>
      <c r="G3566" t="s">
        <v>22</v>
      </c>
      <c r="H3566" t="s">
        <v>34</v>
      </c>
      <c r="I3566" t="s">
        <v>35</v>
      </c>
      <c r="J3566" t="s">
        <v>2612</v>
      </c>
      <c r="K3566" t="s">
        <v>2094</v>
      </c>
      <c r="L3566">
        <v>6.1</v>
      </c>
      <c r="M3566">
        <v>96000</v>
      </c>
      <c r="N3566">
        <v>3.3</v>
      </c>
      <c r="O3566">
        <v>29</v>
      </c>
      <c r="P3566" t="s">
        <v>53</v>
      </c>
    </row>
    <row r="3567" spans="1:16" x14ac:dyDescent="0.25">
      <c r="A3567" t="s">
        <v>7738</v>
      </c>
      <c r="B3567" t="s">
        <v>1673</v>
      </c>
      <c r="C3567" t="s">
        <v>18</v>
      </c>
      <c r="D3567" t="s">
        <v>50</v>
      </c>
      <c r="F3567" t="s">
        <v>21</v>
      </c>
      <c r="G3567" t="s">
        <v>80</v>
      </c>
      <c r="H3567" t="s">
        <v>34</v>
      </c>
      <c r="I3567" t="s">
        <v>24</v>
      </c>
      <c r="J3567" t="s">
        <v>4249</v>
      </c>
      <c r="L3567">
        <v>5.9</v>
      </c>
      <c r="M3567">
        <v>743000</v>
      </c>
      <c r="N3567">
        <v>3.8</v>
      </c>
      <c r="O3567">
        <v>8</v>
      </c>
      <c r="P3567" t="s">
        <v>26</v>
      </c>
    </row>
    <row r="3568" spans="1:16" x14ac:dyDescent="0.25">
      <c r="A3568" t="s">
        <v>7739</v>
      </c>
      <c r="B3568" t="s">
        <v>6806</v>
      </c>
      <c r="C3568" t="s">
        <v>18</v>
      </c>
      <c r="D3568" t="s">
        <v>50</v>
      </c>
      <c r="E3568" t="s">
        <v>20</v>
      </c>
      <c r="F3568" t="s">
        <v>39</v>
      </c>
      <c r="G3568" t="s">
        <v>22</v>
      </c>
      <c r="H3568" t="s">
        <v>23</v>
      </c>
      <c r="I3568" t="s">
        <v>24</v>
      </c>
      <c r="J3568" t="s">
        <v>1494</v>
      </c>
      <c r="L3568">
        <v>3</v>
      </c>
      <c r="M3568">
        <v>179000</v>
      </c>
      <c r="N3568">
        <v>3.4</v>
      </c>
      <c r="P3568" t="s">
        <v>26</v>
      </c>
    </row>
    <row r="3569" spans="1:16" x14ac:dyDescent="0.25">
      <c r="A3569" t="s">
        <v>7740</v>
      </c>
      <c r="B3569" t="s">
        <v>7741</v>
      </c>
      <c r="C3569" t="s">
        <v>18</v>
      </c>
      <c r="D3569" t="s">
        <v>19</v>
      </c>
      <c r="E3569" t="s">
        <v>44</v>
      </c>
      <c r="F3569" t="s">
        <v>128</v>
      </c>
      <c r="G3569" t="s">
        <v>22</v>
      </c>
      <c r="H3569" t="s">
        <v>34</v>
      </c>
      <c r="I3569" t="s">
        <v>57</v>
      </c>
      <c r="J3569" t="s">
        <v>5294</v>
      </c>
      <c r="K3569" t="s">
        <v>1243</v>
      </c>
      <c r="L3569">
        <v>4.7</v>
      </c>
      <c r="M3569">
        <v>628000</v>
      </c>
      <c r="N3569">
        <v>3.4</v>
      </c>
      <c r="O3569">
        <v>26</v>
      </c>
      <c r="P3569" t="s">
        <v>53</v>
      </c>
    </row>
    <row r="3570" spans="1:16" x14ac:dyDescent="0.25">
      <c r="A3570" t="s">
        <v>7742</v>
      </c>
      <c r="B3570" t="s">
        <v>7743</v>
      </c>
      <c r="C3570" t="s">
        <v>18</v>
      </c>
      <c r="D3570" t="s">
        <v>50</v>
      </c>
      <c r="E3570" t="s">
        <v>20</v>
      </c>
      <c r="F3570" t="s">
        <v>39</v>
      </c>
      <c r="G3570" t="s">
        <v>22</v>
      </c>
      <c r="H3570" t="s">
        <v>62</v>
      </c>
      <c r="I3570" t="s">
        <v>57</v>
      </c>
      <c r="J3570" t="s">
        <v>1652</v>
      </c>
      <c r="L3570">
        <v>2.8</v>
      </c>
      <c r="M3570">
        <v>111000</v>
      </c>
      <c r="N3570">
        <v>3.9</v>
      </c>
      <c r="O3570">
        <v>6</v>
      </c>
      <c r="P3570" t="s">
        <v>26</v>
      </c>
    </row>
    <row r="3571" spans="1:16" x14ac:dyDescent="0.25">
      <c r="A3571" t="s">
        <v>7744</v>
      </c>
      <c r="B3571" t="s">
        <v>5561</v>
      </c>
      <c r="C3571" t="s">
        <v>29</v>
      </c>
      <c r="D3571" t="s">
        <v>43</v>
      </c>
      <c r="E3571" t="s">
        <v>20</v>
      </c>
      <c r="F3571" t="s">
        <v>21</v>
      </c>
      <c r="G3571" t="s">
        <v>33</v>
      </c>
      <c r="H3571" t="s">
        <v>23</v>
      </c>
      <c r="I3571" t="s">
        <v>35</v>
      </c>
      <c r="J3571" t="s">
        <v>1254</v>
      </c>
      <c r="L3571">
        <v>5.2</v>
      </c>
      <c r="M3571">
        <v>775000</v>
      </c>
      <c r="N3571">
        <v>3.8</v>
      </c>
      <c r="P3571" t="s">
        <v>26</v>
      </c>
    </row>
    <row r="3572" spans="1:16" x14ac:dyDescent="0.25">
      <c r="A3572" t="s">
        <v>7745</v>
      </c>
      <c r="B3572" t="s">
        <v>7746</v>
      </c>
      <c r="C3572" t="s">
        <v>18</v>
      </c>
      <c r="D3572" t="s">
        <v>50</v>
      </c>
      <c r="E3572" t="s">
        <v>20</v>
      </c>
      <c r="F3572" t="s">
        <v>39</v>
      </c>
      <c r="G3572" t="s">
        <v>80</v>
      </c>
      <c r="H3572" t="s">
        <v>23</v>
      </c>
      <c r="I3572" t="s">
        <v>35</v>
      </c>
      <c r="J3572" t="s">
        <v>7747</v>
      </c>
      <c r="L3572">
        <v>5.5</v>
      </c>
      <c r="M3572">
        <v>136000</v>
      </c>
      <c r="O3572">
        <v>12</v>
      </c>
      <c r="P3572" t="s">
        <v>26</v>
      </c>
    </row>
    <row r="3573" spans="1:16" x14ac:dyDescent="0.25">
      <c r="A3573" t="s">
        <v>7748</v>
      </c>
      <c r="B3573" t="s">
        <v>7749</v>
      </c>
      <c r="C3573" t="s">
        <v>18</v>
      </c>
      <c r="D3573" t="s">
        <v>50</v>
      </c>
      <c r="E3573" t="s">
        <v>44</v>
      </c>
      <c r="F3573" t="s">
        <v>32</v>
      </c>
      <c r="G3573" t="s">
        <v>33</v>
      </c>
      <c r="H3573" t="s">
        <v>23</v>
      </c>
      <c r="I3573" t="s">
        <v>24</v>
      </c>
      <c r="J3573" t="s">
        <v>3618</v>
      </c>
      <c r="L3573">
        <v>3.8</v>
      </c>
      <c r="M3573">
        <v>271000</v>
      </c>
      <c r="N3573">
        <v>4.5</v>
      </c>
      <c r="O3573">
        <v>5</v>
      </c>
      <c r="P3573" t="s">
        <v>26</v>
      </c>
    </row>
    <row r="3574" spans="1:16" x14ac:dyDescent="0.25">
      <c r="A3574" t="s">
        <v>7750</v>
      </c>
      <c r="B3574" t="s">
        <v>151</v>
      </c>
      <c r="C3574" t="s">
        <v>18</v>
      </c>
      <c r="D3574" t="s">
        <v>79</v>
      </c>
      <c r="E3574" t="s">
        <v>20</v>
      </c>
      <c r="F3574" t="s">
        <v>128</v>
      </c>
      <c r="G3574" t="s">
        <v>80</v>
      </c>
      <c r="H3574" t="s">
        <v>23</v>
      </c>
      <c r="I3574" t="s">
        <v>35</v>
      </c>
      <c r="J3574" t="s">
        <v>5987</v>
      </c>
      <c r="L3574">
        <v>5.6</v>
      </c>
      <c r="M3574">
        <v>564000</v>
      </c>
      <c r="N3574">
        <v>2.7</v>
      </c>
      <c r="O3574">
        <v>5</v>
      </c>
      <c r="P3574" t="s">
        <v>26</v>
      </c>
    </row>
    <row r="3575" spans="1:16" x14ac:dyDescent="0.25">
      <c r="A3575" t="s">
        <v>7751</v>
      </c>
      <c r="B3575" t="s">
        <v>7752</v>
      </c>
      <c r="C3575" t="s">
        <v>29</v>
      </c>
      <c r="D3575" t="s">
        <v>19</v>
      </c>
      <c r="E3575" t="s">
        <v>20</v>
      </c>
      <c r="F3575" t="s">
        <v>45</v>
      </c>
      <c r="G3575" t="s">
        <v>22</v>
      </c>
      <c r="H3575" t="s">
        <v>62</v>
      </c>
      <c r="I3575" t="s">
        <v>171</v>
      </c>
      <c r="J3575" t="s">
        <v>5787</v>
      </c>
      <c r="L3575">
        <v>2.7</v>
      </c>
      <c r="M3575">
        <v>2193000</v>
      </c>
      <c r="N3575">
        <v>4.7</v>
      </c>
      <c r="O3575">
        <v>2</v>
      </c>
      <c r="P3575" t="s">
        <v>26</v>
      </c>
    </row>
    <row r="3576" spans="1:16" x14ac:dyDescent="0.25">
      <c r="A3576" t="s">
        <v>7753</v>
      </c>
      <c r="B3576" t="s">
        <v>7490</v>
      </c>
      <c r="C3576" t="s">
        <v>18</v>
      </c>
      <c r="D3576" t="s">
        <v>43</v>
      </c>
      <c r="E3576" t="s">
        <v>20</v>
      </c>
      <c r="F3576" t="s">
        <v>39</v>
      </c>
      <c r="G3576" t="s">
        <v>22</v>
      </c>
      <c r="H3576" t="s">
        <v>23</v>
      </c>
      <c r="I3576" t="s">
        <v>171</v>
      </c>
      <c r="J3576" t="s">
        <v>36</v>
      </c>
      <c r="K3576" t="s">
        <v>4567</v>
      </c>
      <c r="L3576">
        <v>5.7</v>
      </c>
      <c r="M3576">
        <v>111000</v>
      </c>
      <c r="N3576">
        <v>4.9000000000000004</v>
      </c>
      <c r="O3576">
        <v>40</v>
      </c>
      <c r="P3576" t="s">
        <v>53</v>
      </c>
    </row>
    <row r="3577" spans="1:16" x14ac:dyDescent="0.25">
      <c r="A3577" t="s">
        <v>7754</v>
      </c>
      <c r="B3577" t="s">
        <v>2142</v>
      </c>
      <c r="D3577" t="s">
        <v>30</v>
      </c>
      <c r="E3577" t="s">
        <v>44</v>
      </c>
      <c r="F3577" t="s">
        <v>21</v>
      </c>
      <c r="G3577" t="s">
        <v>80</v>
      </c>
      <c r="H3577" t="s">
        <v>23</v>
      </c>
      <c r="I3577" t="s">
        <v>171</v>
      </c>
      <c r="J3577" t="s">
        <v>2350</v>
      </c>
      <c r="K3577" t="s">
        <v>510</v>
      </c>
      <c r="L3577">
        <v>6.2</v>
      </c>
      <c r="M3577">
        <v>611000</v>
      </c>
      <c r="N3577">
        <v>4.0999999999999996</v>
      </c>
      <c r="O3577">
        <v>13</v>
      </c>
      <c r="P3577" t="s">
        <v>53</v>
      </c>
    </row>
    <row r="3578" spans="1:16" x14ac:dyDescent="0.25">
      <c r="A3578" t="s">
        <v>7755</v>
      </c>
      <c r="B3578" t="s">
        <v>7756</v>
      </c>
      <c r="C3578" t="s">
        <v>18</v>
      </c>
      <c r="D3578" t="s">
        <v>30</v>
      </c>
      <c r="E3578" t="s">
        <v>20</v>
      </c>
      <c r="F3578" t="s">
        <v>32</v>
      </c>
      <c r="G3578" t="s">
        <v>80</v>
      </c>
      <c r="H3578" t="s">
        <v>23</v>
      </c>
      <c r="I3578" t="s">
        <v>24</v>
      </c>
      <c r="J3578" t="s">
        <v>1905</v>
      </c>
      <c r="L3578">
        <v>2.2000000000000002</v>
      </c>
      <c r="M3578">
        <v>210000</v>
      </c>
      <c r="N3578">
        <v>3.1</v>
      </c>
      <c r="O3578">
        <v>0</v>
      </c>
      <c r="P3578" t="s">
        <v>26</v>
      </c>
    </row>
    <row r="3579" spans="1:16" x14ac:dyDescent="0.25">
      <c r="A3579" t="s">
        <v>7757</v>
      </c>
      <c r="B3579" t="s">
        <v>7758</v>
      </c>
      <c r="C3579" t="s">
        <v>18</v>
      </c>
      <c r="D3579" t="s">
        <v>19</v>
      </c>
      <c r="E3579" t="s">
        <v>20</v>
      </c>
      <c r="F3579" t="s">
        <v>32</v>
      </c>
      <c r="G3579" t="s">
        <v>80</v>
      </c>
      <c r="H3579" t="s">
        <v>46</v>
      </c>
      <c r="I3579" t="s">
        <v>57</v>
      </c>
      <c r="J3579" t="s">
        <v>2464</v>
      </c>
      <c r="K3579" t="s">
        <v>1217</v>
      </c>
      <c r="L3579">
        <v>4.8</v>
      </c>
      <c r="M3579">
        <v>308000</v>
      </c>
      <c r="N3579">
        <v>4.9000000000000004</v>
      </c>
      <c r="O3579">
        <v>2</v>
      </c>
      <c r="P3579" t="s">
        <v>114</v>
      </c>
    </row>
    <row r="3580" spans="1:16" x14ac:dyDescent="0.25">
      <c r="A3580" t="s">
        <v>7759</v>
      </c>
      <c r="B3580" t="s">
        <v>3519</v>
      </c>
      <c r="C3580" t="s">
        <v>29</v>
      </c>
      <c r="D3580" t="s">
        <v>79</v>
      </c>
      <c r="E3580" t="s">
        <v>20</v>
      </c>
      <c r="F3580" t="s">
        <v>45</v>
      </c>
      <c r="G3580" t="s">
        <v>22</v>
      </c>
      <c r="H3580" t="s">
        <v>23</v>
      </c>
      <c r="I3580" t="s">
        <v>35</v>
      </c>
      <c r="J3580" t="s">
        <v>2223</v>
      </c>
      <c r="L3580">
        <v>4.8</v>
      </c>
      <c r="M3580">
        <v>1802000</v>
      </c>
      <c r="N3580">
        <v>3.8</v>
      </c>
      <c r="O3580">
        <v>8</v>
      </c>
      <c r="P3580" t="s">
        <v>26</v>
      </c>
    </row>
    <row r="3581" spans="1:16" x14ac:dyDescent="0.25">
      <c r="A3581" t="s">
        <v>7760</v>
      </c>
      <c r="B3581" t="s">
        <v>7761</v>
      </c>
      <c r="D3581" t="s">
        <v>43</v>
      </c>
      <c r="E3581" t="s">
        <v>20</v>
      </c>
      <c r="F3581" t="s">
        <v>32</v>
      </c>
      <c r="G3581" t="s">
        <v>33</v>
      </c>
      <c r="H3581" t="s">
        <v>23</v>
      </c>
      <c r="I3581" t="s">
        <v>24</v>
      </c>
      <c r="J3581" t="s">
        <v>7762</v>
      </c>
      <c r="L3581">
        <v>5.3</v>
      </c>
      <c r="M3581">
        <v>239000</v>
      </c>
      <c r="N3581">
        <v>2.2000000000000002</v>
      </c>
      <c r="O3581">
        <v>15</v>
      </c>
      <c r="P3581" t="s">
        <v>26</v>
      </c>
    </row>
    <row r="3582" spans="1:16" x14ac:dyDescent="0.25">
      <c r="A3582" t="s">
        <v>7763</v>
      </c>
      <c r="B3582" t="s">
        <v>7764</v>
      </c>
      <c r="C3582" t="s">
        <v>18</v>
      </c>
      <c r="D3582" t="s">
        <v>43</v>
      </c>
      <c r="E3582" t="s">
        <v>20</v>
      </c>
      <c r="F3582" t="s">
        <v>128</v>
      </c>
      <c r="G3582" t="s">
        <v>69</v>
      </c>
      <c r="H3582" t="s">
        <v>23</v>
      </c>
      <c r="I3582" t="s">
        <v>24</v>
      </c>
      <c r="J3582" t="s">
        <v>321</v>
      </c>
      <c r="K3582" t="s">
        <v>354</v>
      </c>
      <c r="L3582">
        <v>4.3</v>
      </c>
      <c r="M3582">
        <v>356000</v>
      </c>
      <c r="N3582">
        <v>3.7</v>
      </c>
      <c r="P3582" t="s">
        <v>114</v>
      </c>
    </row>
    <row r="3583" spans="1:16" x14ac:dyDescent="0.25">
      <c r="A3583" t="s">
        <v>7765</v>
      </c>
      <c r="B3583" t="s">
        <v>6605</v>
      </c>
      <c r="C3583" t="s">
        <v>29</v>
      </c>
      <c r="D3583" t="s">
        <v>50</v>
      </c>
      <c r="E3583" t="s">
        <v>20</v>
      </c>
      <c r="F3583" t="s">
        <v>128</v>
      </c>
      <c r="G3583" t="s">
        <v>33</v>
      </c>
      <c r="H3583" t="s">
        <v>62</v>
      </c>
      <c r="I3583" t="s">
        <v>24</v>
      </c>
      <c r="J3583" t="s">
        <v>5876</v>
      </c>
      <c r="L3583">
        <v>4.5999999999999996</v>
      </c>
      <c r="N3583">
        <v>2.6</v>
      </c>
      <c r="O3583">
        <v>2</v>
      </c>
      <c r="P3583" t="s">
        <v>26</v>
      </c>
    </row>
    <row r="3584" spans="1:16" x14ac:dyDescent="0.25">
      <c r="A3584" t="s">
        <v>7766</v>
      </c>
      <c r="B3584" t="s">
        <v>4511</v>
      </c>
      <c r="C3584" t="s">
        <v>18</v>
      </c>
      <c r="D3584" t="s">
        <v>50</v>
      </c>
      <c r="E3584" t="s">
        <v>31</v>
      </c>
      <c r="F3584" t="s">
        <v>21</v>
      </c>
      <c r="G3584" t="s">
        <v>80</v>
      </c>
      <c r="H3584" t="s">
        <v>34</v>
      </c>
      <c r="I3584" t="s">
        <v>24</v>
      </c>
      <c r="J3584" t="s">
        <v>7403</v>
      </c>
      <c r="K3584" t="s">
        <v>385</v>
      </c>
      <c r="L3584">
        <v>4.5999999999999996</v>
      </c>
      <c r="M3584">
        <v>728000</v>
      </c>
      <c r="N3584">
        <v>4.7</v>
      </c>
      <c r="O3584">
        <v>20</v>
      </c>
      <c r="P3584" t="s">
        <v>53</v>
      </c>
    </row>
    <row r="3585" spans="1:16" x14ac:dyDescent="0.25">
      <c r="A3585" t="s">
        <v>7767</v>
      </c>
      <c r="B3585" t="s">
        <v>7768</v>
      </c>
      <c r="C3585" t="s">
        <v>29</v>
      </c>
      <c r="D3585" t="s">
        <v>79</v>
      </c>
      <c r="F3585" t="s">
        <v>32</v>
      </c>
      <c r="G3585" t="s">
        <v>80</v>
      </c>
      <c r="H3585" t="s">
        <v>23</v>
      </c>
      <c r="I3585" t="s">
        <v>57</v>
      </c>
      <c r="J3585" t="s">
        <v>1803</v>
      </c>
      <c r="K3585" t="s">
        <v>4714</v>
      </c>
      <c r="L3585">
        <v>5.7</v>
      </c>
      <c r="M3585">
        <v>269000</v>
      </c>
      <c r="N3585">
        <v>2.7</v>
      </c>
      <c r="O3585">
        <v>4</v>
      </c>
      <c r="P3585" t="s">
        <v>53</v>
      </c>
    </row>
    <row r="3586" spans="1:16" x14ac:dyDescent="0.25">
      <c r="A3586" t="s">
        <v>7769</v>
      </c>
      <c r="B3586" t="s">
        <v>1829</v>
      </c>
      <c r="C3586" t="s">
        <v>29</v>
      </c>
      <c r="D3586" t="s">
        <v>50</v>
      </c>
      <c r="E3586" t="s">
        <v>44</v>
      </c>
      <c r="F3586" t="s">
        <v>32</v>
      </c>
      <c r="G3586" t="s">
        <v>22</v>
      </c>
      <c r="H3586" t="s">
        <v>23</v>
      </c>
      <c r="I3586" t="s">
        <v>57</v>
      </c>
      <c r="J3586" t="s">
        <v>2124</v>
      </c>
      <c r="L3586">
        <v>2.4</v>
      </c>
      <c r="M3586">
        <v>220000</v>
      </c>
      <c r="N3586">
        <v>2.7</v>
      </c>
      <c r="O3586">
        <v>12</v>
      </c>
      <c r="P3586" t="s">
        <v>26</v>
      </c>
    </row>
    <row r="3587" spans="1:16" x14ac:dyDescent="0.25">
      <c r="A3587" t="s">
        <v>7770</v>
      </c>
      <c r="B3587" t="s">
        <v>931</v>
      </c>
      <c r="C3587" t="s">
        <v>29</v>
      </c>
      <c r="D3587" t="s">
        <v>79</v>
      </c>
      <c r="E3587" t="s">
        <v>44</v>
      </c>
      <c r="F3587" t="s">
        <v>32</v>
      </c>
      <c r="G3587" t="s">
        <v>22</v>
      </c>
      <c r="H3587" t="s">
        <v>34</v>
      </c>
      <c r="I3587" t="s">
        <v>24</v>
      </c>
      <c r="J3587" t="s">
        <v>202</v>
      </c>
      <c r="L3587">
        <v>1.6</v>
      </c>
      <c r="M3587">
        <v>323000</v>
      </c>
      <c r="N3587">
        <v>4.9000000000000004</v>
      </c>
      <c r="O3587">
        <v>3</v>
      </c>
      <c r="P3587" t="s">
        <v>26</v>
      </c>
    </row>
    <row r="3588" spans="1:16" x14ac:dyDescent="0.25">
      <c r="A3588" t="s">
        <v>7771</v>
      </c>
      <c r="B3588" t="s">
        <v>1616</v>
      </c>
      <c r="C3588" t="s">
        <v>18</v>
      </c>
      <c r="E3588" t="s">
        <v>20</v>
      </c>
      <c r="F3588" t="s">
        <v>32</v>
      </c>
      <c r="G3588" t="s">
        <v>33</v>
      </c>
      <c r="H3588" t="s">
        <v>34</v>
      </c>
      <c r="I3588" t="s">
        <v>75</v>
      </c>
      <c r="J3588" t="s">
        <v>7772</v>
      </c>
      <c r="K3588" t="s">
        <v>6135</v>
      </c>
      <c r="L3588">
        <v>6.1</v>
      </c>
      <c r="M3588">
        <v>314000</v>
      </c>
      <c r="N3588">
        <v>2.2999999999999998</v>
      </c>
      <c r="O3588">
        <v>8</v>
      </c>
      <c r="P3588" t="s">
        <v>53</v>
      </c>
    </row>
    <row r="3589" spans="1:16" x14ac:dyDescent="0.25">
      <c r="A3589" t="s">
        <v>7773</v>
      </c>
      <c r="B3589" t="s">
        <v>7774</v>
      </c>
      <c r="C3589" t="s">
        <v>18</v>
      </c>
      <c r="D3589" t="s">
        <v>50</v>
      </c>
      <c r="E3589" t="s">
        <v>20</v>
      </c>
      <c r="F3589" t="s">
        <v>32</v>
      </c>
      <c r="G3589" t="s">
        <v>22</v>
      </c>
      <c r="H3589" t="s">
        <v>34</v>
      </c>
      <c r="I3589" t="s">
        <v>57</v>
      </c>
      <c r="J3589" t="s">
        <v>7775</v>
      </c>
      <c r="L3589">
        <v>5.8</v>
      </c>
      <c r="M3589">
        <v>271000</v>
      </c>
      <c r="O3589">
        <v>30</v>
      </c>
      <c r="P3589" t="s">
        <v>26</v>
      </c>
    </row>
    <row r="3590" spans="1:16" x14ac:dyDescent="0.25">
      <c r="A3590" t="s">
        <v>7776</v>
      </c>
      <c r="B3590" t="s">
        <v>42</v>
      </c>
      <c r="C3590" t="s">
        <v>18</v>
      </c>
      <c r="D3590" t="s">
        <v>79</v>
      </c>
      <c r="E3590" t="s">
        <v>20</v>
      </c>
      <c r="F3590" t="s">
        <v>128</v>
      </c>
      <c r="G3590" t="s">
        <v>22</v>
      </c>
      <c r="H3590" t="s">
        <v>34</v>
      </c>
      <c r="I3590" t="s">
        <v>24</v>
      </c>
      <c r="J3590" t="s">
        <v>6949</v>
      </c>
      <c r="L3590">
        <v>5.7</v>
      </c>
      <c r="M3590">
        <v>527000</v>
      </c>
      <c r="N3590">
        <v>2.5</v>
      </c>
      <c r="O3590">
        <v>8</v>
      </c>
      <c r="P3590" t="s">
        <v>26</v>
      </c>
    </row>
    <row r="3591" spans="1:16" x14ac:dyDescent="0.25">
      <c r="A3591" t="s">
        <v>7777</v>
      </c>
      <c r="B3591" t="s">
        <v>4053</v>
      </c>
      <c r="C3591" t="s">
        <v>18</v>
      </c>
      <c r="D3591" t="s">
        <v>19</v>
      </c>
      <c r="E3591" t="s">
        <v>31</v>
      </c>
      <c r="F3591" t="s">
        <v>39</v>
      </c>
      <c r="G3591" t="s">
        <v>22</v>
      </c>
      <c r="H3591" t="s">
        <v>34</v>
      </c>
      <c r="I3591" t="s">
        <v>75</v>
      </c>
      <c r="J3591" t="s">
        <v>235</v>
      </c>
      <c r="K3591" t="s">
        <v>1327</v>
      </c>
      <c r="L3591">
        <v>2.8</v>
      </c>
      <c r="M3591">
        <v>141000</v>
      </c>
      <c r="N3591">
        <v>4.0999999999999996</v>
      </c>
      <c r="O3591">
        <v>4</v>
      </c>
      <c r="P3591" t="s">
        <v>53</v>
      </c>
    </row>
    <row r="3592" spans="1:16" x14ac:dyDescent="0.25">
      <c r="A3592" t="s">
        <v>7778</v>
      </c>
      <c r="B3592" t="s">
        <v>4160</v>
      </c>
      <c r="C3592" t="s">
        <v>29</v>
      </c>
      <c r="D3592" t="s">
        <v>19</v>
      </c>
      <c r="E3592" t="s">
        <v>20</v>
      </c>
      <c r="F3592" t="s">
        <v>128</v>
      </c>
      <c r="G3592" t="s">
        <v>33</v>
      </c>
      <c r="H3592" t="s">
        <v>23</v>
      </c>
      <c r="I3592" t="s">
        <v>57</v>
      </c>
      <c r="J3592" t="s">
        <v>1091</v>
      </c>
      <c r="L3592">
        <v>3.2</v>
      </c>
      <c r="M3592">
        <v>512000</v>
      </c>
      <c r="N3592">
        <v>3.6</v>
      </c>
      <c r="O3592">
        <v>2</v>
      </c>
      <c r="P3592" t="s">
        <v>26</v>
      </c>
    </row>
    <row r="3593" spans="1:16" x14ac:dyDescent="0.25">
      <c r="A3593" t="s">
        <v>7779</v>
      </c>
      <c r="B3593" t="s">
        <v>3897</v>
      </c>
      <c r="C3593" t="s">
        <v>29</v>
      </c>
      <c r="D3593" t="s">
        <v>50</v>
      </c>
      <c r="E3593" t="s">
        <v>44</v>
      </c>
      <c r="F3593" t="s">
        <v>32</v>
      </c>
      <c r="G3593" t="s">
        <v>22</v>
      </c>
      <c r="H3593" t="s">
        <v>46</v>
      </c>
      <c r="I3593" t="s">
        <v>57</v>
      </c>
      <c r="J3593" t="s">
        <v>2534</v>
      </c>
      <c r="K3593" t="s">
        <v>7780</v>
      </c>
      <c r="L3593">
        <v>5.2</v>
      </c>
      <c r="M3593">
        <v>299000</v>
      </c>
      <c r="N3593">
        <v>2.1</v>
      </c>
      <c r="O3593">
        <v>10</v>
      </c>
      <c r="P3593" t="s">
        <v>72</v>
      </c>
    </row>
    <row r="3594" spans="1:16" x14ac:dyDescent="0.25">
      <c r="A3594" t="s">
        <v>7781</v>
      </c>
      <c r="B3594" t="s">
        <v>237</v>
      </c>
      <c r="C3594" t="s">
        <v>18</v>
      </c>
      <c r="D3594" t="s">
        <v>30</v>
      </c>
      <c r="E3594" t="s">
        <v>20</v>
      </c>
      <c r="F3594" t="s">
        <v>39</v>
      </c>
      <c r="G3594" t="s">
        <v>22</v>
      </c>
      <c r="H3594" t="s">
        <v>34</v>
      </c>
      <c r="I3594" t="s">
        <v>57</v>
      </c>
      <c r="J3594" t="s">
        <v>2937</v>
      </c>
      <c r="L3594">
        <v>2.4</v>
      </c>
      <c r="M3594">
        <v>119000</v>
      </c>
      <c r="N3594">
        <v>2.5</v>
      </c>
      <c r="O3594">
        <v>11</v>
      </c>
      <c r="P3594" t="s">
        <v>26</v>
      </c>
    </row>
    <row r="3595" spans="1:16" x14ac:dyDescent="0.25">
      <c r="A3595" t="s">
        <v>7782</v>
      </c>
      <c r="B3595" t="s">
        <v>7783</v>
      </c>
      <c r="C3595" t="s">
        <v>18</v>
      </c>
      <c r="D3595" t="s">
        <v>79</v>
      </c>
      <c r="E3595" t="s">
        <v>20</v>
      </c>
      <c r="F3595" t="s">
        <v>128</v>
      </c>
      <c r="G3595" t="s">
        <v>80</v>
      </c>
      <c r="H3595" t="s">
        <v>23</v>
      </c>
      <c r="I3595" t="s">
        <v>35</v>
      </c>
      <c r="J3595" t="s">
        <v>2997</v>
      </c>
      <c r="L3595">
        <v>2.6</v>
      </c>
      <c r="N3595">
        <v>4.5999999999999996</v>
      </c>
      <c r="P3595" t="s">
        <v>26</v>
      </c>
    </row>
    <row r="3596" spans="1:16" x14ac:dyDescent="0.25">
      <c r="A3596" t="s">
        <v>7784</v>
      </c>
      <c r="B3596" t="s">
        <v>3477</v>
      </c>
      <c r="C3596" t="s">
        <v>18</v>
      </c>
      <c r="E3596" t="s">
        <v>44</v>
      </c>
      <c r="F3596" t="s">
        <v>128</v>
      </c>
      <c r="G3596" t="s">
        <v>22</v>
      </c>
      <c r="H3596" t="s">
        <v>23</v>
      </c>
      <c r="I3596" t="s">
        <v>57</v>
      </c>
      <c r="J3596" t="s">
        <v>496</v>
      </c>
      <c r="K3596" t="s">
        <v>4366</v>
      </c>
      <c r="L3596">
        <v>1.9</v>
      </c>
      <c r="M3596">
        <v>492000</v>
      </c>
      <c r="N3596">
        <v>3</v>
      </c>
      <c r="O3596">
        <v>11</v>
      </c>
      <c r="P3596" t="s">
        <v>53</v>
      </c>
    </row>
    <row r="3597" spans="1:16" x14ac:dyDescent="0.25">
      <c r="A3597" t="s">
        <v>7785</v>
      </c>
      <c r="B3597" t="s">
        <v>571</v>
      </c>
      <c r="C3597" t="s">
        <v>29</v>
      </c>
      <c r="D3597" t="s">
        <v>79</v>
      </c>
      <c r="E3597" t="s">
        <v>20</v>
      </c>
      <c r="F3597" t="s">
        <v>128</v>
      </c>
      <c r="G3597" t="s">
        <v>22</v>
      </c>
      <c r="H3597" t="s">
        <v>23</v>
      </c>
      <c r="I3597" t="s">
        <v>35</v>
      </c>
      <c r="J3597" t="s">
        <v>7775</v>
      </c>
      <c r="L3597">
        <v>5.8</v>
      </c>
      <c r="M3597">
        <v>468000</v>
      </c>
      <c r="N3597">
        <v>4.0999999999999996</v>
      </c>
      <c r="O3597">
        <v>0</v>
      </c>
      <c r="P3597" t="s">
        <v>26</v>
      </c>
    </row>
    <row r="3598" spans="1:16" x14ac:dyDescent="0.25">
      <c r="A3598" t="s">
        <v>7786</v>
      </c>
      <c r="B3598" t="s">
        <v>5816</v>
      </c>
      <c r="C3598" t="s">
        <v>29</v>
      </c>
      <c r="D3598" t="s">
        <v>50</v>
      </c>
      <c r="E3598" t="s">
        <v>44</v>
      </c>
      <c r="F3598" t="s">
        <v>39</v>
      </c>
      <c r="G3598" t="s">
        <v>33</v>
      </c>
      <c r="H3598" t="s">
        <v>46</v>
      </c>
      <c r="I3598" t="s">
        <v>24</v>
      </c>
      <c r="J3598" t="s">
        <v>3953</v>
      </c>
      <c r="L3598">
        <v>2.6</v>
      </c>
      <c r="M3598">
        <v>103000</v>
      </c>
      <c r="N3598">
        <v>2.7</v>
      </c>
      <c r="O3598">
        <v>11</v>
      </c>
      <c r="P3598" t="s">
        <v>26</v>
      </c>
    </row>
    <row r="3599" spans="1:16" x14ac:dyDescent="0.25">
      <c r="A3599" t="s">
        <v>7787</v>
      </c>
      <c r="B3599" t="s">
        <v>4019</v>
      </c>
      <c r="C3599" t="s">
        <v>18</v>
      </c>
      <c r="D3599" t="s">
        <v>50</v>
      </c>
      <c r="E3599" t="s">
        <v>44</v>
      </c>
      <c r="F3599" t="s">
        <v>32</v>
      </c>
      <c r="G3599" t="s">
        <v>22</v>
      </c>
      <c r="I3599" t="s">
        <v>24</v>
      </c>
      <c r="J3599" t="s">
        <v>1810</v>
      </c>
      <c r="L3599">
        <v>2.7</v>
      </c>
      <c r="M3599">
        <v>244000</v>
      </c>
      <c r="N3599">
        <v>2.8</v>
      </c>
      <c r="O3599">
        <v>10</v>
      </c>
      <c r="P3599" t="s">
        <v>26</v>
      </c>
    </row>
    <row r="3600" spans="1:16" x14ac:dyDescent="0.25">
      <c r="A3600" t="s">
        <v>7788</v>
      </c>
      <c r="B3600" t="s">
        <v>7789</v>
      </c>
      <c r="C3600" t="s">
        <v>18</v>
      </c>
      <c r="D3600" t="s">
        <v>79</v>
      </c>
      <c r="E3600" t="s">
        <v>20</v>
      </c>
      <c r="F3600" t="s">
        <v>32</v>
      </c>
      <c r="G3600" t="s">
        <v>33</v>
      </c>
      <c r="H3600" t="s">
        <v>23</v>
      </c>
      <c r="I3600" t="s">
        <v>57</v>
      </c>
      <c r="J3600" t="s">
        <v>442</v>
      </c>
      <c r="L3600">
        <v>1.6</v>
      </c>
      <c r="M3600">
        <v>263000</v>
      </c>
      <c r="N3600">
        <v>2.4</v>
      </c>
      <c r="O3600">
        <v>24</v>
      </c>
      <c r="P3600" t="s">
        <v>26</v>
      </c>
    </row>
    <row r="3601" spans="1:16" x14ac:dyDescent="0.25">
      <c r="A3601" t="s">
        <v>7790</v>
      </c>
      <c r="B3601" t="s">
        <v>7791</v>
      </c>
      <c r="C3601" t="s">
        <v>29</v>
      </c>
      <c r="E3601" t="s">
        <v>20</v>
      </c>
      <c r="F3601" t="s">
        <v>128</v>
      </c>
      <c r="G3601" t="s">
        <v>80</v>
      </c>
      <c r="H3601" t="s">
        <v>62</v>
      </c>
      <c r="I3601" t="s">
        <v>24</v>
      </c>
      <c r="J3601" t="s">
        <v>783</v>
      </c>
      <c r="K3601" t="s">
        <v>5951</v>
      </c>
      <c r="L3601">
        <v>1.7</v>
      </c>
      <c r="M3601">
        <v>525000</v>
      </c>
      <c r="N3601">
        <v>2.2000000000000002</v>
      </c>
      <c r="O3601">
        <v>1</v>
      </c>
      <c r="P3601" t="s">
        <v>53</v>
      </c>
    </row>
    <row r="3602" spans="1:16" x14ac:dyDescent="0.25">
      <c r="A3602" t="s">
        <v>7792</v>
      </c>
      <c r="B3602" t="s">
        <v>5205</v>
      </c>
      <c r="C3602" t="s">
        <v>29</v>
      </c>
      <c r="D3602" t="s">
        <v>19</v>
      </c>
      <c r="E3602" t="s">
        <v>20</v>
      </c>
      <c r="F3602" t="s">
        <v>39</v>
      </c>
      <c r="G3602" t="s">
        <v>33</v>
      </c>
      <c r="H3602" t="s">
        <v>23</v>
      </c>
      <c r="I3602" t="s">
        <v>24</v>
      </c>
      <c r="J3602" t="s">
        <v>7793</v>
      </c>
      <c r="L3602">
        <v>4.4000000000000004</v>
      </c>
      <c r="M3602">
        <v>198000</v>
      </c>
      <c r="N3602">
        <v>4.5999999999999996</v>
      </c>
      <c r="P3602" t="s">
        <v>26</v>
      </c>
    </row>
    <row r="3603" spans="1:16" x14ac:dyDescent="0.25">
      <c r="A3603" t="s">
        <v>7794</v>
      </c>
      <c r="B3603" t="s">
        <v>1227</v>
      </c>
      <c r="C3603" t="s">
        <v>18</v>
      </c>
      <c r="E3603" t="s">
        <v>44</v>
      </c>
      <c r="F3603" t="s">
        <v>39</v>
      </c>
      <c r="G3603" t="s">
        <v>80</v>
      </c>
      <c r="H3603" t="s">
        <v>34</v>
      </c>
      <c r="I3603" t="s">
        <v>75</v>
      </c>
      <c r="J3603" t="s">
        <v>7795</v>
      </c>
      <c r="L3603">
        <v>6.2</v>
      </c>
      <c r="M3603">
        <v>103000</v>
      </c>
      <c r="N3603">
        <v>2.5</v>
      </c>
      <c r="O3603">
        <v>10</v>
      </c>
      <c r="P3603" t="s">
        <v>26</v>
      </c>
    </row>
    <row r="3604" spans="1:16" x14ac:dyDescent="0.25">
      <c r="A3604" t="s">
        <v>2647</v>
      </c>
      <c r="B3604" t="s">
        <v>2624</v>
      </c>
      <c r="C3604" t="s">
        <v>18</v>
      </c>
      <c r="D3604" t="s">
        <v>79</v>
      </c>
      <c r="E3604" t="s">
        <v>20</v>
      </c>
      <c r="F3604" t="s">
        <v>128</v>
      </c>
      <c r="G3604" t="s">
        <v>22</v>
      </c>
      <c r="H3604" t="s">
        <v>34</v>
      </c>
      <c r="I3604" t="s">
        <v>24</v>
      </c>
      <c r="J3604" t="s">
        <v>1554</v>
      </c>
      <c r="K3604" t="s">
        <v>2648</v>
      </c>
      <c r="L3604">
        <v>3.2</v>
      </c>
      <c r="M3604">
        <v>396000</v>
      </c>
      <c r="N3604">
        <v>3.3</v>
      </c>
      <c r="O3604">
        <v>30</v>
      </c>
      <c r="P3604" t="s">
        <v>114</v>
      </c>
    </row>
    <row r="3605" spans="1:16" x14ac:dyDescent="0.25">
      <c r="A3605" t="s">
        <v>7796</v>
      </c>
      <c r="B3605" t="s">
        <v>7797</v>
      </c>
      <c r="C3605" t="s">
        <v>29</v>
      </c>
      <c r="D3605" t="s">
        <v>79</v>
      </c>
      <c r="E3605" t="s">
        <v>20</v>
      </c>
      <c r="F3605" t="s">
        <v>32</v>
      </c>
      <c r="G3605" t="s">
        <v>22</v>
      </c>
      <c r="H3605" t="s">
        <v>46</v>
      </c>
      <c r="I3605" t="s">
        <v>57</v>
      </c>
      <c r="J3605" t="s">
        <v>956</v>
      </c>
      <c r="K3605" t="s">
        <v>5192</v>
      </c>
      <c r="L3605">
        <v>5.2</v>
      </c>
      <c r="M3605">
        <v>270000</v>
      </c>
      <c r="N3605">
        <v>4.7</v>
      </c>
      <c r="O3605">
        <v>6</v>
      </c>
      <c r="P3605" t="s">
        <v>114</v>
      </c>
    </row>
    <row r="3606" spans="1:16" x14ac:dyDescent="0.25">
      <c r="A3606" t="s">
        <v>7798</v>
      </c>
      <c r="B3606" t="s">
        <v>5968</v>
      </c>
      <c r="D3606" t="s">
        <v>79</v>
      </c>
      <c r="E3606" t="s">
        <v>20</v>
      </c>
      <c r="F3606" t="s">
        <v>128</v>
      </c>
      <c r="G3606" t="s">
        <v>80</v>
      </c>
      <c r="H3606" t="s">
        <v>46</v>
      </c>
      <c r="I3606" t="s">
        <v>171</v>
      </c>
      <c r="J3606" t="s">
        <v>5372</v>
      </c>
      <c r="L3606">
        <v>2</v>
      </c>
      <c r="M3606">
        <v>528000</v>
      </c>
      <c r="N3606">
        <v>3.2</v>
      </c>
      <c r="O3606">
        <v>25</v>
      </c>
      <c r="P3606" t="s">
        <v>26</v>
      </c>
    </row>
    <row r="3607" spans="1:16" x14ac:dyDescent="0.25">
      <c r="A3607" t="s">
        <v>7799</v>
      </c>
      <c r="B3607" t="s">
        <v>5291</v>
      </c>
      <c r="D3607" t="s">
        <v>79</v>
      </c>
      <c r="E3607" t="s">
        <v>44</v>
      </c>
      <c r="F3607" t="s">
        <v>39</v>
      </c>
      <c r="G3607" t="s">
        <v>33</v>
      </c>
      <c r="H3607" t="s">
        <v>23</v>
      </c>
      <c r="I3607" t="s">
        <v>24</v>
      </c>
      <c r="J3607" t="s">
        <v>926</v>
      </c>
      <c r="L3607">
        <v>3.4</v>
      </c>
      <c r="M3607">
        <v>147000</v>
      </c>
      <c r="N3607">
        <v>2</v>
      </c>
      <c r="O3607">
        <v>7</v>
      </c>
      <c r="P3607" t="s">
        <v>26</v>
      </c>
    </row>
    <row r="3608" spans="1:16" x14ac:dyDescent="0.25">
      <c r="A3608" t="s">
        <v>7800</v>
      </c>
      <c r="B3608" t="s">
        <v>93</v>
      </c>
      <c r="C3608" t="s">
        <v>29</v>
      </c>
      <c r="D3608" t="s">
        <v>50</v>
      </c>
      <c r="E3608" t="s">
        <v>20</v>
      </c>
      <c r="F3608" t="s">
        <v>39</v>
      </c>
      <c r="G3608" t="s">
        <v>22</v>
      </c>
      <c r="H3608" t="s">
        <v>46</v>
      </c>
      <c r="I3608" t="s">
        <v>57</v>
      </c>
      <c r="J3608" t="s">
        <v>503</v>
      </c>
      <c r="K3608" t="s">
        <v>7801</v>
      </c>
      <c r="L3608">
        <v>4.9000000000000004</v>
      </c>
      <c r="M3608">
        <v>93000</v>
      </c>
      <c r="N3608">
        <v>2.2000000000000002</v>
      </c>
      <c r="O3608">
        <v>10</v>
      </c>
      <c r="P3608" t="s">
        <v>53</v>
      </c>
    </row>
    <row r="3609" spans="1:16" x14ac:dyDescent="0.25">
      <c r="A3609" t="s">
        <v>7802</v>
      </c>
      <c r="B3609" t="s">
        <v>6058</v>
      </c>
      <c r="C3609" t="s">
        <v>29</v>
      </c>
      <c r="D3609" t="s">
        <v>79</v>
      </c>
      <c r="F3609" t="s">
        <v>128</v>
      </c>
      <c r="G3609" t="s">
        <v>80</v>
      </c>
      <c r="H3609" t="s">
        <v>46</v>
      </c>
      <c r="I3609" t="s">
        <v>75</v>
      </c>
      <c r="J3609" t="s">
        <v>2870</v>
      </c>
      <c r="L3609">
        <v>3.2</v>
      </c>
      <c r="M3609">
        <v>515000</v>
      </c>
      <c r="N3609">
        <v>2.5</v>
      </c>
      <c r="O3609">
        <v>7</v>
      </c>
      <c r="P3609" t="s">
        <v>26</v>
      </c>
    </row>
    <row r="3610" spans="1:16" x14ac:dyDescent="0.25">
      <c r="A3610" t="s">
        <v>7803</v>
      </c>
      <c r="B3610" t="s">
        <v>2009</v>
      </c>
      <c r="C3610" t="s">
        <v>18</v>
      </c>
      <c r="D3610" t="s">
        <v>79</v>
      </c>
      <c r="E3610" t="s">
        <v>44</v>
      </c>
      <c r="F3610" t="s">
        <v>21</v>
      </c>
      <c r="G3610" t="s">
        <v>22</v>
      </c>
      <c r="H3610" t="s">
        <v>23</v>
      </c>
      <c r="I3610" t="s">
        <v>24</v>
      </c>
      <c r="J3610" t="s">
        <v>4635</v>
      </c>
      <c r="K3610" t="s">
        <v>2146</v>
      </c>
      <c r="L3610">
        <v>4.4000000000000004</v>
      </c>
      <c r="M3610">
        <v>922000</v>
      </c>
      <c r="N3610">
        <v>4.4000000000000004</v>
      </c>
      <c r="O3610">
        <v>7</v>
      </c>
      <c r="P3610" t="s">
        <v>53</v>
      </c>
    </row>
    <row r="3611" spans="1:16" x14ac:dyDescent="0.25">
      <c r="A3611" t="s">
        <v>7804</v>
      </c>
      <c r="B3611" t="s">
        <v>2745</v>
      </c>
      <c r="C3611" t="s">
        <v>18</v>
      </c>
      <c r="D3611" t="s">
        <v>30</v>
      </c>
      <c r="F3611" t="s">
        <v>39</v>
      </c>
      <c r="G3611" t="s">
        <v>80</v>
      </c>
      <c r="H3611" t="s">
        <v>46</v>
      </c>
      <c r="I3611" t="s">
        <v>24</v>
      </c>
      <c r="J3611" t="s">
        <v>3670</v>
      </c>
      <c r="L3611">
        <v>2.5</v>
      </c>
      <c r="M3611">
        <v>155000</v>
      </c>
      <c r="N3611">
        <v>2.8</v>
      </c>
      <c r="O3611">
        <v>2</v>
      </c>
      <c r="P3611" t="s">
        <v>26</v>
      </c>
    </row>
    <row r="3612" spans="1:16" x14ac:dyDescent="0.25">
      <c r="A3612" t="s">
        <v>7805</v>
      </c>
      <c r="B3612" t="s">
        <v>574</v>
      </c>
      <c r="C3612" t="s">
        <v>29</v>
      </c>
      <c r="D3612" t="s">
        <v>30</v>
      </c>
      <c r="E3612" t="s">
        <v>20</v>
      </c>
      <c r="F3612" t="s">
        <v>39</v>
      </c>
      <c r="G3612" t="s">
        <v>22</v>
      </c>
      <c r="H3612" t="s">
        <v>34</v>
      </c>
      <c r="I3612" t="s">
        <v>24</v>
      </c>
      <c r="J3612" t="s">
        <v>2230</v>
      </c>
      <c r="L3612">
        <v>4.2</v>
      </c>
      <c r="M3612">
        <v>163000</v>
      </c>
      <c r="N3612">
        <v>1.8</v>
      </c>
      <c r="O3612">
        <v>8</v>
      </c>
      <c r="P3612" t="s">
        <v>26</v>
      </c>
    </row>
    <row r="3613" spans="1:16" x14ac:dyDescent="0.25">
      <c r="A3613" t="s">
        <v>7806</v>
      </c>
      <c r="B3613" t="s">
        <v>2591</v>
      </c>
      <c r="C3613" t="s">
        <v>29</v>
      </c>
      <c r="D3613" t="s">
        <v>43</v>
      </c>
      <c r="E3613" t="s">
        <v>44</v>
      </c>
      <c r="F3613" t="s">
        <v>128</v>
      </c>
      <c r="G3613" t="s">
        <v>80</v>
      </c>
      <c r="H3613" t="s">
        <v>23</v>
      </c>
      <c r="I3613" t="s">
        <v>24</v>
      </c>
      <c r="J3613" t="s">
        <v>7807</v>
      </c>
      <c r="L3613">
        <v>5.6</v>
      </c>
      <c r="M3613">
        <v>368000</v>
      </c>
      <c r="N3613">
        <v>4.4000000000000004</v>
      </c>
      <c r="O3613">
        <v>11</v>
      </c>
      <c r="P3613" t="s">
        <v>26</v>
      </c>
    </row>
    <row r="3614" spans="1:16" x14ac:dyDescent="0.25">
      <c r="A3614" t="s">
        <v>7808</v>
      </c>
      <c r="B3614" t="s">
        <v>3868</v>
      </c>
      <c r="C3614" t="s">
        <v>29</v>
      </c>
      <c r="D3614" t="s">
        <v>50</v>
      </c>
      <c r="E3614" t="s">
        <v>20</v>
      </c>
      <c r="F3614" t="s">
        <v>39</v>
      </c>
      <c r="G3614" t="s">
        <v>22</v>
      </c>
      <c r="H3614" t="s">
        <v>46</v>
      </c>
      <c r="I3614" t="s">
        <v>24</v>
      </c>
      <c r="J3614" t="s">
        <v>1810</v>
      </c>
      <c r="L3614">
        <v>2.7</v>
      </c>
      <c r="M3614">
        <v>103000</v>
      </c>
      <c r="N3614">
        <v>4.5999999999999996</v>
      </c>
      <c r="O3614">
        <v>13</v>
      </c>
      <c r="P3614" t="s">
        <v>26</v>
      </c>
    </row>
    <row r="3615" spans="1:16" x14ac:dyDescent="0.25">
      <c r="A3615" t="s">
        <v>7809</v>
      </c>
      <c r="B3615" t="s">
        <v>5405</v>
      </c>
      <c r="C3615" t="s">
        <v>29</v>
      </c>
      <c r="D3615" t="s">
        <v>19</v>
      </c>
      <c r="E3615" t="s">
        <v>44</v>
      </c>
      <c r="G3615" t="s">
        <v>22</v>
      </c>
      <c r="H3615" t="s">
        <v>34</v>
      </c>
      <c r="I3615" t="s">
        <v>24</v>
      </c>
      <c r="J3615" t="s">
        <v>2908</v>
      </c>
      <c r="K3615" t="s">
        <v>228</v>
      </c>
      <c r="L3615">
        <v>2.9</v>
      </c>
      <c r="M3615">
        <v>219000</v>
      </c>
      <c r="N3615">
        <v>4.4000000000000004</v>
      </c>
      <c r="O3615">
        <v>12</v>
      </c>
      <c r="P3615" t="s">
        <v>53</v>
      </c>
    </row>
    <row r="3616" spans="1:16" x14ac:dyDescent="0.25">
      <c r="A3616" t="s">
        <v>7810</v>
      </c>
      <c r="B3616" t="s">
        <v>4689</v>
      </c>
      <c r="C3616" t="s">
        <v>29</v>
      </c>
      <c r="D3616" t="s">
        <v>50</v>
      </c>
      <c r="E3616" t="s">
        <v>44</v>
      </c>
      <c r="F3616" t="s">
        <v>32</v>
      </c>
      <c r="G3616" t="s">
        <v>22</v>
      </c>
      <c r="H3616" t="s">
        <v>23</v>
      </c>
      <c r="I3616" t="s">
        <v>35</v>
      </c>
      <c r="J3616" t="s">
        <v>1131</v>
      </c>
      <c r="K3616" t="s">
        <v>1310</v>
      </c>
      <c r="L3616">
        <v>3.4</v>
      </c>
      <c r="M3616">
        <v>243000</v>
      </c>
      <c r="N3616">
        <v>4.3</v>
      </c>
      <c r="O3616">
        <v>10</v>
      </c>
      <c r="P3616" t="s">
        <v>53</v>
      </c>
    </row>
    <row r="3617" spans="1:16" x14ac:dyDescent="0.25">
      <c r="A3617" t="s">
        <v>7811</v>
      </c>
      <c r="B3617" t="s">
        <v>3586</v>
      </c>
      <c r="C3617" t="s">
        <v>18</v>
      </c>
      <c r="D3617" t="s">
        <v>19</v>
      </c>
      <c r="E3617" t="s">
        <v>44</v>
      </c>
      <c r="F3617" t="s">
        <v>128</v>
      </c>
      <c r="G3617" t="s">
        <v>22</v>
      </c>
      <c r="I3617" t="s">
        <v>75</v>
      </c>
      <c r="J3617" t="s">
        <v>5211</v>
      </c>
      <c r="K3617" t="s">
        <v>7436</v>
      </c>
      <c r="L3617">
        <v>3.9</v>
      </c>
      <c r="M3617">
        <v>660000</v>
      </c>
      <c r="N3617">
        <v>3.8</v>
      </c>
      <c r="O3617">
        <v>13</v>
      </c>
      <c r="P3617" t="s">
        <v>72</v>
      </c>
    </row>
    <row r="3618" spans="1:16" x14ac:dyDescent="0.25">
      <c r="A3618" t="s">
        <v>7812</v>
      </c>
      <c r="B3618" t="s">
        <v>2930</v>
      </c>
      <c r="C3618" t="s">
        <v>18</v>
      </c>
      <c r="E3618" t="s">
        <v>44</v>
      </c>
      <c r="F3618" t="s">
        <v>39</v>
      </c>
      <c r="G3618" t="s">
        <v>33</v>
      </c>
      <c r="H3618" t="s">
        <v>46</v>
      </c>
      <c r="I3618" t="s">
        <v>24</v>
      </c>
      <c r="J3618" t="s">
        <v>6509</v>
      </c>
      <c r="K3618" t="s">
        <v>4148</v>
      </c>
      <c r="L3618">
        <v>3.4</v>
      </c>
      <c r="M3618">
        <v>148000</v>
      </c>
      <c r="N3618">
        <v>2.5</v>
      </c>
      <c r="O3618">
        <v>5</v>
      </c>
      <c r="P3618" t="s">
        <v>53</v>
      </c>
    </row>
    <row r="3619" spans="1:16" x14ac:dyDescent="0.25">
      <c r="A3619" t="s">
        <v>7813</v>
      </c>
      <c r="B3619" t="s">
        <v>7814</v>
      </c>
      <c r="C3619" t="s">
        <v>18</v>
      </c>
      <c r="E3619" t="s">
        <v>20</v>
      </c>
      <c r="G3619" t="s">
        <v>22</v>
      </c>
      <c r="H3619" t="s">
        <v>46</v>
      </c>
      <c r="I3619" t="s">
        <v>24</v>
      </c>
      <c r="J3619" t="s">
        <v>2759</v>
      </c>
      <c r="K3619" t="s">
        <v>755</v>
      </c>
      <c r="L3619">
        <v>4.2</v>
      </c>
      <c r="M3619">
        <v>345000</v>
      </c>
      <c r="N3619">
        <v>4.9000000000000004</v>
      </c>
      <c r="O3619">
        <v>3</v>
      </c>
      <c r="P3619" t="s">
        <v>53</v>
      </c>
    </row>
    <row r="3620" spans="1:16" x14ac:dyDescent="0.25">
      <c r="A3620" t="s">
        <v>7815</v>
      </c>
      <c r="B3620" t="s">
        <v>7379</v>
      </c>
      <c r="C3620" t="s">
        <v>18</v>
      </c>
      <c r="E3620" t="s">
        <v>20</v>
      </c>
      <c r="F3620" t="s">
        <v>32</v>
      </c>
      <c r="G3620" t="s">
        <v>22</v>
      </c>
      <c r="H3620" t="s">
        <v>34</v>
      </c>
      <c r="I3620" t="s">
        <v>75</v>
      </c>
      <c r="J3620" t="s">
        <v>6578</v>
      </c>
      <c r="L3620">
        <v>3.4</v>
      </c>
      <c r="M3620">
        <v>338000</v>
      </c>
      <c r="N3620">
        <v>2.7</v>
      </c>
      <c r="O3620">
        <v>10</v>
      </c>
      <c r="P3620" t="s">
        <v>26</v>
      </c>
    </row>
    <row r="3621" spans="1:16" x14ac:dyDescent="0.25">
      <c r="A3621" t="s">
        <v>7816</v>
      </c>
      <c r="B3621" t="s">
        <v>374</v>
      </c>
      <c r="C3621" t="s">
        <v>29</v>
      </c>
      <c r="D3621" t="s">
        <v>50</v>
      </c>
      <c r="E3621" t="s">
        <v>44</v>
      </c>
      <c r="F3621" t="s">
        <v>39</v>
      </c>
      <c r="G3621" t="s">
        <v>80</v>
      </c>
      <c r="H3621" t="s">
        <v>23</v>
      </c>
      <c r="I3621" t="s">
        <v>24</v>
      </c>
      <c r="J3621" t="s">
        <v>4772</v>
      </c>
      <c r="K3621" t="s">
        <v>824</v>
      </c>
      <c r="L3621">
        <v>3.7</v>
      </c>
      <c r="M3621">
        <v>95000</v>
      </c>
      <c r="N3621">
        <v>4.7</v>
      </c>
      <c r="O3621">
        <v>2</v>
      </c>
      <c r="P3621" t="s">
        <v>53</v>
      </c>
    </row>
    <row r="3622" spans="1:16" x14ac:dyDescent="0.25">
      <c r="A3622" t="s">
        <v>7817</v>
      </c>
      <c r="B3622" t="s">
        <v>1688</v>
      </c>
      <c r="C3622" t="s">
        <v>29</v>
      </c>
      <c r="D3622" t="s">
        <v>19</v>
      </c>
      <c r="E3622" t="s">
        <v>20</v>
      </c>
      <c r="F3622" t="s">
        <v>32</v>
      </c>
      <c r="G3622" t="s">
        <v>80</v>
      </c>
      <c r="H3622" t="s">
        <v>23</v>
      </c>
      <c r="I3622" t="s">
        <v>75</v>
      </c>
      <c r="J3622" t="s">
        <v>1980</v>
      </c>
      <c r="K3622" t="s">
        <v>2983</v>
      </c>
      <c r="L3622">
        <v>5.3</v>
      </c>
      <c r="M3622">
        <v>323000</v>
      </c>
      <c r="N3622">
        <v>3.7</v>
      </c>
      <c r="O3622">
        <v>0</v>
      </c>
      <c r="P3622" t="s">
        <v>53</v>
      </c>
    </row>
    <row r="3623" spans="1:16" x14ac:dyDescent="0.25">
      <c r="A3623" t="s">
        <v>7818</v>
      </c>
      <c r="B3623" t="s">
        <v>3989</v>
      </c>
      <c r="D3623" t="s">
        <v>19</v>
      </c>
      <c r="E3623" t="s">
        <v>20</v>
      </c>
      <c r="F3623" t="s">
        <v>32</v>
      </c>
      <c r="G3623" t="s">
        <v>80</v>
      </c>
      <c r="H3623" t="s">
        <v>34</v>
      </c>
      <c r="J3623" t="s">
        <v>172</v>
      </c>
      <c r="K3623" t="s">
        <v>7588</v>
      </c>
      <c r="L3623">
        <v>4.3</v>
      </c>
      <c r="M3623">
        <v>268000</v>
      </c>
      <c r="N3623">
        <v>2.5</v>
      </c>
      <c r="O3623">
        <v>1</v>
      </c>
      <c r="P3623" t="s">
        <v>53</v>
      </c>
    </row>
    <row r="3624" spans="1:16" x14ac:dyDescent="0.25">
      <c r="A3624" t="s">
        <v>7819</v>
      </c>
      <c r="B3624" t="s">
        <v>7820</v>
      </c>
      <c r="C3624" t="s">
        <v>18</v>
      </c>
      <c r="D3624" t="s">
        <v>79</v>
      </c>
      <c r="E3624" t="s">
        <v>20</v>
      </c>
      <c r="F3624" t="s">
        <v>32</v>
      </c>
      <c r="G3624" t="s">
        <v>22</v>
      </c>
      <c r="H3624" t="s">
        <v>23</v>
      </c>
      <c r="I3624" t="s">
        <v>171</v>
      </c>
      <c r="J3624" t="s">
        <v>2100</v>
      </c>
      <c r="L3624">
        <v>1.3</v>
      </c>
      <c r="M3624">
        <v>337000</v>
      </c>
      <c r="N3624">
        <v>2.8</v>
      </c>
      <c r="O3624">
        <v>23</v>
      </c>
      <c r="P3624" t="s">
        <v>26</v>
      </c>
    </row>
    <row r="3625" spans="1:16" x14ac:dyDescent="0.25">
      <c r="A3625" t="s">
        <v>7821</v>
      </c>
      <c r="B3625" t="s">
        <v>7132</v>
      </c>
      <c r="C3625" t="s">
        <v>29</v>
      </c>
      <c r="D3625" t="s">
        <v>79</v>
      </c>
      <c r="F3625" t="s">
        <v>128</v>
      </c>
      <c r="G3625" t="s">
        <v>22</v>
      </c>
      <c r="H3625" t="s">
        <v>46</v>
      </c>
      <c r="I3625" t="s">
        <v>24</v>
      </c>
      <c r="J3625" t="s">
        <v>3139</v>
      </c>
      <c r="L3625">
        <v>1.9</v>
      </c>
      <c r="M3625">
        <v>362000</v>
      </c>
      <c r="N3625">
        <v>3.1</v>
      </c>
      <c r="O3625">
        <v>2</v>
      </c>
      <c r="P3625" t="s">
        <v>26</v>
      </c>
    </row>
    <row r="3626" spans="1:16" x14ac:dyDescent="0.25">
      <c r="A3626" t="s">
        <v>7822</v>
      </c>
      <c r="B3626" t="s">
        <v>7823</v>
      </c>
      <c r="C3626" t="s">
        <v>29</v>
      </c>
      <c r="D3626" t="s">
        <v>50</v>
      </c>
      <c r="E3626" t="s">
        <v>20</v>
      </c>
      <c r="F3626" t="s">
        <v>39</v>
      </c>
      <c r="G3626" t="s">
        <v>33</v>
      </c>
      <c r="H3626" t="s">
        <v>23</v>
      </c>
      <c r="I3626" t="s">
        <v>24</v>
      </c>
      <c r="J3626" t="s">
        <v>4011</v>
      </c>
      <c r="L3626">
        <v>5.0999999999999996</v>
      </c>
      <c r="M3626">
        <v>168000</v>
      </c>
      <c r="N3626">
        <v>4.8</v>
      </c>
      <c r="O3626">
        <v>10</v>
      </c>
      <c r="P3626" t="s">
        <v>26</v>
      </c>
    </row>
    <row r="3627" spans="1:16" x14ac:dyDescent="0.25">
      <c r="A3627" t="s">
        <v>7824</v>
      </c>
      <c r="B3627" t="s">
        <v>7825</v>
      </c>
      <c r="C3627" t="s">
        <v>29</v>
      </c>
      <c r="D3627" t="s">
        <v>43</v>
      </c>
      <c r="E3627" t="s">
        <v>20</v>
      </c>
      <c r="F3627" t="s">
        <v>39</v>
      </c>
      <c r="G3627" t="s">
        <v>22</v>
      </c>
      <c r="H3627" t="s">
        <v>46</v>
      </c>
      <c r="I3627" t="s">
        <v>35</v>
      </c>
      <c r="J3627" t="s">
        <v>4302</v>
      </c>
      <c r="K3627" t="s">
        <v>1115</v>
      </c>
      <c r="L3627">
        <v>3.7</v>
      </c>
      <c r="M3627">
        <v>154000</v>
      </c>
      <c r="N3627">
        <v>2.4</v>
      </c>
      <c r="O3627">
        <v>12</v>
      </c>
      <c r="P3627" t="s">
        <v>53</v>
      </c>
    </row>
    <row r="3628" spans="1:16" x14ac:dyDescent="0.25">
      <c r="A3628" t="s">
        <v>7826</v>
      </c>
      <c r="B3628" t="s">
        <v>7827</v>
      </c>
      <c r="C3628" t="s">
        <v>18</v>
      </c>
      <c r="D3628" t="s">
        <v>43</v>
      </c>
      <c r="E3628" t="s">
        <v>44</v>
      </c>
      <c r="F3628" t="s">
        <v>32</v>
      </c>
      <c r="G3628" t="s">
        <v>80</v>
      </c>
      <c r="H3628" t="s">
        <v>23</v>
      </c>
      <c r="J3628" t="s">
        <v>1382</v>
      </c>
      <c r="L3628">
        <v>5.4</v>
      </c>
      <c r="M3628">
        <v>276000</v>
      </c>
      <c r="N3628">
        <v>4.7</v>
      </c>
      <c r="P3628" t="s">
        <v>26</v>
      </c>
    </row>
    <row r="3629" spans="1:16" x14ac:dyDescent="0.25">
      <c r="A3629" t="s">
        <v>7828</v>
      </c>
      <c r="B3629" t="s">
        <v>5397</v>
      </c>
      <c r="C3629" t="s">
        <v>29</v>
      </c>
      <c r="D3629" t="s">
        <v>50</v>
      </c>
      <c r="E3629" t="s">
        <v>20</v>
      </c>
      <c r="F3629" t="s">
        <v>39</v>
      </c>
      <c r="G3629" t="s">
        <v>33</v>
      </c>
      <c r="H3629" t="s">
        <v>46</v>
      </c>
      <c r="I3629" t="s">
        <v>57</v>
      </c>
      <c r="J3629" t="s">
        <v>3828</v>
      </c>
      <c r="L3629">
        <v>2.7</v>
      </c>
      <c r="M3629">
        <v>169000</v>
      </c>
      <c r="N3629">
        <v>2.2999999999999998</v>
      </c>
      <c r="O3629">
        <v>9</v>
      </c>
      <c r="P3629" t="s">
        <v>26</v>
      </c>
    </row>
    <row r="3630" spans="1:16" x14ac:dyDescent="0.25">
      <c r="A3630" t="s">
        <v>7829</v>
      </c>
      <c r="B3630" t="s">
        <v>7830</v>
      </c>
      <c r="C3630" t="s">
        <v>29</v>
      </c>
      <c r="D3630" t="s">
        <v>19</v>
      </c>
      <c r="E3630" t="s">
        <v>20</v>
      </c>
      <c r="F3630" t="s">
        <v>39</v>
      </c>
      <c r="G3630" t="s">
        <v>22</v>
      </c>
      <c r="H3630" t="s">
        <v>23</v>
      </c>
      <c r="I3630" t="s">
        <v>24</v>
      </c>
      <c r="J3630" t="s">
        <v>2521</v>
      </c>
      <c r="L3630">
        <v>2.5</v>
      </c>
      <c r="M3630">
        <v>156000</v>
      </c>
      <c r="N3630">
        <v>3.6</v>
      </c>
      <c r="O3630">
        <v>14</v>
      </c>
      <c r="P3630" t="s">
        <v>26</v>
      </c>
    </row>
    <row r="3631" spans="1:16" x14ac:dyDescent="0.25">
      <c r="A3631" t="s">
        <v>7831</v>
      </c>
      <c r="B3631" t="s">
        <v>5054</v>
      </c>
      <c r="C3631" t="s">
        <v>29</v>
      </c>
      <c r="D3631" t="s">
        <v>30</v>
      </c>
      <c r="E3631" t="s">
        <v>20</v>
      </c>
      <c r="F3631" t="s">
        <v>39</v>
      </c>
      <c r="G3631" t="s">
        <v>22</v>
      </c>
      <c r="H3631" t="s">
        <v>23</v>
      </c>
      <c r="I3631" t="s">
        <v>24</v>
      </c>
      <c r="J3631" t="s">
        <v>7832</v>
      </c>
      <c r="L3631">
        <v>4.3</v>
      </c>
      <c r="M3631">
        <v>163000</v>
      </c>
      <c r="N3631">
        <v>2.9</v>
      </c>
      <c r="O3631">
        <v>5</v>
      </c>
      <c r="P3631" t="s">
        <v>26</v>
      </c>
    </row>
    <row r="3632" spans="1:16" x14ac:dyDescent="0.25">
      <c r="A3632" t="s">
        <v>7833</v>
      </c>
      <c r="B3632" t="s">
        <v>6426</v>
      </c>
      <c r="C3632" t="s">
        <v>29</v>
      </c>
      <c r="D3632" t="s">
        <v>79</v>
      </c>
      <c r="E3632" t="s">
        <v>20</v>
      </c>
      <c r="F3632" t="s">
        <v>32</v>
      </c>
      <c r="G3632" t="s">
        <v>80</v>
      </c>
      <c r="H3632" t="s">
        <v>23</v>
      </c>
      <c r="I3632" t="s">
        <v>57</v>
      </c>
      <c r="J3632" t="s">
        <v>6449</v>
      </c>
      <c r="L3632">
        <v>5.5</v>
      </c>
      <c r="M3632">
        <v>323000</v>
      </c>
      <c r="N3632">
        <v>3</v>
      </c>
      <c r="O3632">
        <v>4</v>
      </c>
      <c r="P3632" t="s">
        <v>26</v>
      </c>
    </row>
    <row r="3633" spans="1:16" x14ac:dyDescent="0.25">
      <c r="A3633" t="s">
        <v>7834</v>
      </c>
      <c r="B3633" t="s">
        <v>5012</v>
      </c>
      <c r="C3633" t="s">
        <v>29</v>
      </c>
      <c r="D3633" t="s">
        <v>19</v>
      </c>
      <c r="E3633" t="s">
        <v>20</v>
      </c>
      <c r="F3633" t="s">
        <v>128</v>
      </c>
      <c r="G3633" t="s">
        <v>80</v>
      </c>
      <c r="H3633" t="s">
        <v>46</v>
      </c>
      <c r="I3633" t="s">
        <v>57</v>
      </c>
      <c r="J3633" t="s">
        <v>575</v>
      </c>
      <c r="L3633">
        <v>1.7</v>
      </c>
      <c r="M3633">
        <v>396000</v>
      </c>
      <c r="N3633">
        <v>3.2</v>
      </c>
      <c r="O3633">
        <v>7</v>
      </c>
      <c r="P3633" t="s">
        <v>26</v>
      </c>
    </row>
    <row r="3634" spans="1:16" x14ac:dyDescent="0.25">
      <c r="A3634" t="s">
        <v>7835</v>
      </c>
      <c r="B3634" t="s">
        <v>7836</v>
      </c>
      <c r="C3634" t="s">
        <v>18</v>
      </c>
      <c r="D3634" t="s">
        <v>19</v>
      </c>
      <c r="E3634" t="s">
        <v>20</v>
      </c>
      <c r="F3634" t="s">
        <v>39</v>
      </c>
      <c r="G3634" t="s">
        <v>22</v>
      </c>
      <c r="H3634" t="s">
        <v>34</v>
      </c>
      <c r="J3634" t="s">
        <v>256</v>
      </c>
      <c r="L3634">
        <v>4.3</v>
      </c>
      <c r="M3634">
        <v>198000</v>
      </c>
      <c r="N3634">
        <v>3.9</v>
      </c>
      <c r="O3634">
        <v>8</v>
      </c>
      <c r="P3634" t="s">
        <v>26</v>
      </c>
    </row>
    <row r="3635" spans="1:16" x14ac:dyDescent="0.25">
      <c r="A3635" t="s">
        <v>7837</v>
      </c>
      <c r="B3635" t="s">
        <v>1969</v>
      </c>
      <c r="C3635" t="s">
        <v>18</v>
      </c>
      <c r="D3635" t="s">
        <v>30</v>
      </c>
      <c r="E3635" t="s">
        <v>31</v>
      </c>
      <c r="F3635" t="s">
        <v>32</v>
      </c>
      <c r="G3635" t="s">
        <v>33</v>
      </c>
      <c r="H3635" t="s">
        <v>34</v>
      </c>
      <c r="I3635" t="s">
        <v>24</v>
      </c>
      <c r="J3635" t="s">
        <v>3590</v>
      </c>
      <c r="L3635">
        <v>6</v>
      </c>
      <c r="M3635">
        <v>336000</v>
      </c>
      <c r="N3635">
        <v>4</v>
      </c>
      <c r="O3635">
        <v>14</v>
      </c>
      <c r="P3635" t="s">
        <v>26</v>
      </c>
    </row>
    <row r="3636" spans="1:16" x14ac:dyDescent="0.25">
      <c r="A3636" t="s">
        <v>7838</v>
      </c>
      <c r="B3636" t="s">
        <v>5097</v>
      </c>
      <c r="C3636" t="s">
        <v>18</v>
      </c>
      <c r="D3636" t="s">
        <v>79</v>
      </c>
      <c r="E3636" t="s">
        <v>20</v>
      </c>
      <c r="F3636" t="s">
        <v>128</v>
      </c>
      <c r="G3636" t="s">
        <v>22</v>
      </c>
      <c r="H3636" t="s">
        <v>34</v>
      </c>
      <c r="I3636" t="s">
        <v>75</v>
      </c>
      <c r="J3636" t="s">
        <v>2433</v>
      </c>
      <c r="K3636" t="s">
        <v>3628</v>
      </c>
      <c r="L3636">
        <v>3.9</v>
      </c>
      <c r="M3636">
        <v>560000</v>
      </c>
      <c r="N3636">
        <v>3.3</v>
      </c>
      <c r="O3636">
        <v>7</v>
      </c>
      <c r="P3636" t="s">
        <v>53</v>
      </c>
    </row>
    <row r="3637" spans="1:16" x14ac:dyDescent="0.25">
      <c r="A3637" t="s">
        <v>7839</v>
      </c>
      <c r="B3637" t="s">
        <v>356</v>
      </c>
      <c r="C3637" t="s">
        <v>18</v>
      </c>
      <c r="D3637" t="s">
        <v>30</v>
      </c>
      <c r="E3637" t="s">
        <v>31</v>
      </c>
      <c r="F3637" t="s">
        <v>21</v>
      </c>
      <c r="G3637" t="s">
        <v>80</v>
      </c>
      <c r="H3637" t="s">
        <v>46</v>
      </c>
      <c r="I3637" t="s">
        <v>24</v>
      </c>
      <c r="J3637" t="s">
        <v>560</v>
      </c>
      <c r="L3637">
        <v>1.7</v>
      </c>
      <c r="M3637">
        <v>689000</v>
      </c>
      <c r="N3637">
        <v>4.0999999999999996</v>
      </c>
      <c r="O3637">
        <v>7</v>
      </c>
      <c r="P3637" t="s">
        <v>26</v>
      </c>
    </row>
    <row r="3638" spans="1:16" x14ac:dyDescent="0.25">
      <c r="A3638" t="s">
        <v>7840</v>
      </c>
      <c r="B3638" t="s">
        <v>7841</v>
      </c>
      <c r="C3638" t="s">
        <v>29</v>
      </c>
      <c r="D3638" t="s">
        <v>30</v>
      </c>
      <c r="E3638" t="s">
        <v>20</v>
      </c>
      <c r="F3638" t="s">
        <v>128</v>
      </c>
      <c r="G3638" t="s">
        <v>22</v>
      </c>
      <c r="H3638" t="s">
        <v>46</v>
      </c>
      <c r="I3638" t="s">
        <v>171</v>
      </c>
      <c r="J3638" t="s">
        <v>3484</v>
      </c>
      <c r="K3638" t="s">
        <v>1743</v>
      </c>
      <c r="L3638">
        <v>3.5</v>
      </c>
      <c r="M3638">
        <v>384000</v>
      </c>
      <c r="N3638">
        <v>3.9</v>
      </c>
      <c r="O3638">
        <v>6</v>
      </c>
      <c r="P3638" t="s">
        <v>72</v>
      </c>
    </row>
    <row r="3639" spans="1:16" x14ac:dyDescent="0.25">
      <c r="A3639" t="s">
        <v>7842</v>
      </c>
      <c r="B3639" t="s">
        <v>7843</v>
      </c>
      <c r="C3639" t="s">
        <v>18</v>
      </c>
      <c r="D3639" t="s">
        <v>19</v>
      </c>
      <c r="E3639" t="s">
        <v>20</v>
      </c>
      <c r="F3639" t="s">
        <v>128</v>
      </c>
      <c r="G3639" t="s">
        <v>33</v>
      </c>
      <c r="H3639" t="s">
        <v>34</v>
      </c>
      <c r="I3639" t="s">
        <v>24</v>
      </c>
      <c r="J3639" t="s">
        <v>2476</v>
      </c>
      <c r="L3639">
        <v>3.5</v>
      </c>
      <c r="M3639">
        <v>494000</v>
      </c>
      <c r="N3639">
        <v>2.7</v>
      </c>
      <c r="O3639">
        <v>28</v>
      </c>
      <c r="P3639" t="s">
        <v>26</v>
      </c>
    </row>
    <row r="3640" spans="1:16" x14ac:dyDescent="0.25">
      <c r="A3640" t="s">
        <v>7844</v>
      </c>
      <c r="B3640" t="s">
        <v>7845</v>
      </c>
      <c r="C3640" t="s">
        <v>29</v>
      </c>
      <c r="D3640" t="s">
        <v>43</v>
      </c>
      <c r="E3640" t="s">
        <v>20</v>
      </c>
      <c r="F3640" t="s">
        <v>128</v>
      </c>
      <c r="G3640" t="s">
        <v>22</v>
      </c>
      <c r="H3640" t="s">
        <v>34</v>
      </c>
      <c r="I3640" t="s">
        <v>24</v>
      </c>
      <c r="J3640" t="s">
        <v>7846</v>
      </c>
      <c r="L3640">
        <v>4</v>
      </c>
      <c r="M3640">
        <v>407000</v>
      </c>
      <c r="N3640">
        <v>3.8</v>
      </c>
      <c r="O3640">
        <v>9</v>
      </c>
      <c r="P3640" t="s">
        <v>26</v>
      </c>
    </row>
    <row r="3641" spans="1:16" x14ac:dyDescent="0.25">
      <c r="A3641" t="s">
        <v>7847</v>
      </c>
      <c r="B3641" t="s">
        <v>7848</v>
      </c>
      <c r="C3641" t="s">
        <v>18</v>
      </c>
      <c r="D3641" t="s">
        <v>19</v>
      </c>
      <c r="E3641" t="s">
        <v>20</v>
      </c>
      <c r="G3641" t="s">
        <v>22</v>
      </c>
      <c r="H3641" t="s">
        <v>23</v>
      </c>
      <c r="I3641" t="s">
        <v>57</v>
      </c>
      <c r="J3641" t="s">
        <v>4419</v>
      </c>
      <c r="L3641">
        <v>6</v>
      </c>
      <c r="M3641">
        <v>1382000</v>
      </c>
      <c r="N3641">
        <v>4.4000000000000004</v>
      </c>
      <c r="O3641">
        <v>38</v>
      </c>
      <c r="P3641" t="s">
        <v>26</v>
      </c>
    </row>
    <row r="3642" spans="1:16" x14ac:dyDescent="0.25">
      <c r="A3642" t="s">
        <v>7849</v>
      </c>
      <c r="B3642" t="s">
        <v>2818</v>
      </c>
      <c r="C3642" t="s">
        <v>29</v>
      </c>
      <c r="D3642" t="s">
        <v>30</v>
      </c>
      <c r="E3642" t="s">
        <v>20</v>
      </c>
      <c r="F3642" t="s">
        <v>39</v>
      </c>
      <c r="G3642" t="s">
        <v>69</v>
      </c>
      <c r="H3642" t="s">
        <v>23</v>
      </c>
      <c r="J3642" t="s">
        <v>2499</v>
      </c>
      <c r="L3642">
        <v>2.2000000000000002</v>
      </c>
      <c r="M3642">
        <v>104000</v>
      </c>
      <c r="N3642">
        <v>2.7</v>
      </c>
      <c r="O3642">
        <v>3</v>
      </c>
      <c r="P3642" t="s">
        <v>26</v>
      </c>
    </row>
    <row r="3643" spans="1:16" x14ac:dyDescent="0.25">
      <c r="A3643" t="s">
        <v>7850</v>
      </c>
      <c r="B3643" t="s">
        <v>1081</v>
      </c>
      <c r="C3643" t="s">
        <v>29</v>
      </c>
      <c r="D3643" t="s">
        <v>30</v>
      </c>
      <c r="E3643" t="s">
        <v>44</v>
      </c>
      <c r="F3643" t="s">
        <v>128</v>
      </c>
      <c r="G3643" t="s">
        <v>80</v>
      </c>
      <c r="H3643" t="s">
        <v>23</v>
      </c>
      <c r="I3643" t="s">
        <v>35</v>
      </c>
      <c r="J3643" t="s">
        <v>3030</v>
      </c>
      <c r="K3643" t="s">
        <v>1555</v>
      </c>
      <c r="L3643">
        <v>3.6</v>
      </c>
      <c r="M3643">
        <v>460000</v>
      </c>
      <c r="N3643">
        <v>3.9</v>
      </c>
      <c r="O3643">
        <v>14</v>
      </c>
      <c r="P3643" t="s">
        <v>72</v>
      </c>
    </row>
    <row r="3644" spans="1:16" x14ac:dyDescent="0.25">
      <c r="A3644" t="s">
        <v>7851</v>
      </c>
      <c r="B3644" t="s">
        <v>2538</v>
      </c>
      <c r="C3644" t="s">
        <v>18</v>
      </c>
      <c r="D3644" t="s">
        <v>30</v>
      </c>
      <c r="E3644" t="s">
        <v>20</v>
      </c>
      <c r="F3644" t="s">
        <v>39</v>
      </c>
      <c r="G3644" t="s">
        <v>22</v>
      </c>
      <c r="H3644" t="s">
        <v>62</v>
      </c>
      <c r="I3644" t="s">
        <v>24</v>
      </c>
      <c r="J3644" t="s">
        <v>2189</v>
      </c>
      <c r="K3644" t="s">
        <v>1781</v>
      </c>
      <c r="L3644">
        <v>2.1</v>
      </c>
      <c r="M3644">
        <v>123000</v>
      </c>
      <c r="N3644">
        <v>3.1</v>
      </c>
      <c r="O3644">
        <v>2</v>
      </c>
      <c r="P3644" t="s">
        <v>72</v>
      </c>
    </row>
    <row r="3645" spans="1:16" x14ac:dyDescent="0.25">
      <c r="A3645" t="s">
        <v>7852</v>
      </c>
      <c r="B3645" t="s">
        <v>6755</v>
      </c>
      <c r="C3645" t="s">
        <v>29</v>
      </c>
      <c r="D3645" t="s">
        <v>50</v>
      </c>
      <c r="E3645" t="s">
        <v>20</v>
      </c>
      <c r="F3645" t="s">
        <v>32</v>
      </c>
      <c r="G3645" t="s">
        <v>69</v>
      </c>
      <c r="H3645" t="s">
        <v>34</v>
      </c>
      <c r="I3645" t="s">
        <v>57</v>
      </c>
      <c r="J3645" t="s">
        <v>81</v>
      </c>
      <c r="L3645">
        <v>6.1</v>
      </c>
      <c r="M3645">
        <v>327000</v>
      </c>
      <c r="N3645">
        <v>3.2</v>
      </c>
      <c r="O3645">
        <v>21</v>
      </c>
      <c r="P3645" t="s">
        <v>26</v>
      </c>
    </row>
    <row r="3646" spans="1:16" x14ac:dyDescent="0.25">
      <c r="A3646" t="s">
        <v>7853</v>
      </c>
      <c r="B3646" t="s">
        <v>1144</v>
      </c>
      <c r="C3646" t="s">
        <v>18</v>
      </c>
      <c r="D3646" t="s">
        <v>50</v>
      </c>
      <c r="E3646" t="s">
        <v>44</v>
      </c>
      <c r="F3646" t="s">
        <v>39</v>
      </c>
      <c r="G3646" t="s">
        <v>22</v>
      </c>
      <c r="H3646" t="s">
        <v>34</v>
      </c>
      <c r="J3646" t="s">
        <v>208</v>
      </c>
      <c r="L3646">
        <v>5.0999999999999996</v>
      </c>
      <c r="M3646">
        <v>101000</v>
      </c>
      <c r="N3646">
        <v>2.2999999999999998</v>
      </c>
      <c r="O3646">
        <v>30</v>
      </c>
      <c r="P3646" t="s">
        <v>26</v>
      </c>
    </row>
    <row r="3647" spans="1:16" x14ac:dyDescent="0.25">
      <c r="A3647" t="s">
        <v>7854</v>
      </c>
      <c r="B3647" t="s">
        <v>6782</v>
      </c>
      <c r="C3647" t="s">
        <v>29</v>
      </c>
      <c r="D3647" t="s">
        <v>30</v>
      </c>
      <c r="E3647" t="s">
        <v>20</v>
      </c>
      <c r="F3647" t="s">
        <v>32</v>
      </c>
      <c r="G3647" t="s">
        <v>22</v>
      </c>
      <c r="H3647" t="s">
        <v>23</v>
      </c>
      <c r="I3647" t="s">
        <v>57</v>
      </c>
      <c r="J3647" t="s">
        <v>1378</v>
      </c>
      <c r="L3647">
        <v>5.0999999999999996</v>
      </c>
      <c r="M3647">
        <v>226000</v>
      </c>
      <c r="N3647">
        <v>2.1</v>
      </c>
      <c r="O3647">
        <v>17</v>
      </c>
      <c r="P3647" t="s">
        <v>26</v>
      </c>
    </row>
    <row r="3648" spans="1:16" x14ac:dyDescent="0.25">
      <c r="A3648" t="s">
        <v>7855</v>
      </c>
      <c r="B3648" t="s">
        <v>7856</v>
      </c>
      <c r="C3648" t="s">
        <v>18</v>
      </c>
      <c r="E3648" t="s">
        <v>31</v>
      </c>
      <c r="F3648" t="s">
        <v>32</v>
      </c>
      <c r="G3648" t="s">
        <v>80</v>
      </c>
      <c r="H3648" t="s">
        <v>34</v>
      </c>
      <c r="I3648" t="s">
        <v>24</v>
      </c>
      <c r="J3648" t="s">
        <v>2002</v>
      </c>
      <c r="L3648">
        <v>4.9000000000000004</v>
      </c>
      <c r="M3648">
        <v>308000</v>
      </c>
      <c r="N3648">
        <v>2.5</v>
      </c>
      <c r="O3648">
        <v>5</v>
      </c>
      <c r="P3648" t="s">
        <v>26</v>
      </c>
    </row>
    <row r="3649" spans="1:16" x14ac:dyDescent="0.25">
      <c r="A3649" t="s">
        <v>7857</v>
      </c>
      <c r="B3649" t="s">
        <v>7146</v>
      </c>
      <c r="C3649" t="s">
        <v>18</v>
      </c>
      <c r="D3649" t="s">
        <v>30</v>
      </c>
      <c r="E3649" t="s">
        <v>20</v>
      </c>
      <c r="F3649" t="s">
        <v>32</v>
      </c>
      <c r="G3649" t="s">
        <v>80</v>
      </c>
      <c r="H3649" t="s">
        <v>34</v>
      </c>
      <c r="I3649" t="s">
        <v>24</v>
      </c>
      <c r="J3649" t="s">
        <v>5424</v>
      </c>
      <c r="K3649" t="s">
        <v>5292</v>
      </c>
      <c r="L3649">
        <v>5</v>
      </c>
      <c r="M3649">
        <v>237000</v>
      </c>
      <c r="N3649">
        <v>2.7</v>
      </c>
      <c r="O3649">
        <v>13</v>
      </c>
      <c r="P3649" t="s">
        <v>72</v>
      </c>
    </row>
    <row r="3650" spans="1:16" x14ac:dyDescent="0.25">
      <c r="A3650" t="s">
        <v>7858</v>
      </c>
      <c r="B3650" t="s">
        <v>7859</v>
      </c>
      <c r="C3650" t="s">
        <v>18</v>
      </c>
      <c r="D3650" t="s">
        <v>79</v>
      </c>
      <c r="E3650" t="s">
        <v>20</v>
      </c>
      <c r="F3650" t="s">
        <v>32</v>
      </c>
      <c r="G3650" t="s">
        <v>22</v>
      </c>
      <c r="H3650" t="s">
        <v>34</v>
      </c>
      <c r="I3650" t="s">
        <v>24</v>
      </c>
      <c r="J3650" t="s">
        <v>4713</v>
      </c>
      <c r="L3650">
        <v>5.6</v>
      </c>
      <c r="M3650">
        <v>237000</v>
      </c>
      <c r="N3650">
        <v>2.9</v>
      </c>
      <c r="P3650" t="s">
        <v>26</v>
      </c>
    </row>
    <row r="3651" spans="1:16" x14ac:dyDescent="0.25">
      <c r="A3651" t="s">
        <v>7860</v>
      </c>
      <c r="B3651" t="s">
        <v>7861</v>
      </c>
      <c r="D3651" t="s">
        <v>79</v>
      </c>
      <c r="E3651" t="s">
        <v>20</v>
      </c>
      <c r="F3651" t="s">
        <v>32</v>
      </c>
      <c r="G3651" t="s">
        <v>33</v>
      </c>
      <c r="H3651" t="s">
        <v>46</v>
      </c>
      <c r="I3651" t="s">
        <v>24</v>
      </c>
      <c r="J3651" t="s">
        <v>7862</v>
      </c>
      <c r="K3651" t="s">
        <v>145</v>
      </c>
      <c r="L3651">
        <v>2</v>
      </c>
      <c r="N3651">
        <v>3.4</v>
      </c>
      <c r="O3651">
        <v>12</v>
      </c>
      <c r="P3651" t="s">
        <v>114</v>
      </c>
    </row>
    <row r="3652" spans="1:16" x14ac:dyDescent="0.25">
      <c r="A3652" t="s">
        <v>7863</v>
      </c>
      <c r="B3652" t="s">
        <v>5073</v>
      </c>
      <c r="C3652" t="s">
        <v>29</v>
      </c>
      <c r="E3652" t="s">
        <v>20</v>
      </c>
      <c r="F3652" t="s">
        <v>39</v>
      </c>
      <c r="G3652" t="s">
        <v>33</v>
      </c>
      <c r="H3652" t="s">
        <v>62</v>
      </c>
      <c r="I3652" t="s">
        <v>24</v>
      </c>
      <c r="J3652" t="s">
        <v>3376</v>
      </c>
      <c r="L3652">
        <v>1.7</v>
      </c>
      <c r="M3652">
        <v>198000</v>
      </c>
      <c r="N3652">
        <v>3.9</v>
      </c>
      <c r="O3652">
        <v>2</v>
      </c>
      <c r="P3652" t="s">
        <v>26</v>
      </c>
    </row>
    <row r="3653" spans="1:16" x14ac:dyDescent="0.25">
      <c r="A3653" t="s">
        <v>7864</v>
      </c>
      <c r="B3653" t="s">
        <v>7201</v>
      </c>
      <c r="C3653" t="s">
        <v>18</v>
      </c>
      <c r="D3653" t="s">
        <v>50</v>
      </c>
      <c r="E3653" t="s">
        <v>44</v>
      </c>
      <c r="F3653" t="s">
        <v>32</v>
      </c>
      <c r="G3653" t="s">
        <v>80</v>
      </c>
      <c r="H3653" t="s">
        <v>23</v>
      </c>
      <c r="I3653" t="s">
        <v>57</v>
      </c>
      <c r="J3653" t="s">
        <v>3383</v>
      </c>
      <c r="L3653">
        <v>3.2</v>
      </c>
      <c r="M3653">
        <v>297000</v>
      </c>
      <c r="N3653">
        <v>4.8</v>
      </c>
      <c r="O3653">
        <v>3</v>
      </c>
      <c r="P3653" t="s">
        <v>26</v>
      </c>
    </row>
    <row r="3654" spans="1:16" x14ac:dyDescent="0.25">
      <c r="A3654" t="s">
        <v>7865</v>
      </c>
      <c r="B3654" t="s">
        <v>5341</v>
      </c>
      <c r="C3654" t="s">
        <v>29</v>
      </c>
      <c r="D3654" t="s">
        <v>50</v>
      </c>
      <c r="E3654" t="s">
        <v>20</v>
      </c>
      <c r="F3654" t="s">
        <v>128</v>
      </c>
      <c r="G3654" t="s">
        <v>80</v>
      </c>
      <c r="H3654" t="s">
        <v>46</v>
      </c>
      <c r="I3654" t="s">
        <v>35</v>
      </c>
      <c r="J3654" t="s">
        <v>4454</v>
      </c>
      <c r="L3654">
        <v>4</v>
      </c>
      <c r="M3654">
        <v>589000</v>
      </c>
      <c r="N3654">
        <v>4.2</v>
      </c>
      <c r="O3654">
        <v>7</v>
      </c>
      <c r="P3654" t="s">
        <v>26</v>
      </c>
    </row>
    <row r="3655" spans="1:16" x14ac:dyDescent="0.25">
      <c r="A3655" t="s">
        <v>7866</v>
      </c>
      <c r="B3655" t="s">
        <v>7726</v>
      </c>
      <c r="C3655" t="s">
        <v>18</v>
      </c>
      <c r="D3655" t="s">
        <v>19</v>
      </c>
      <c r="E3655" t="s">
        <v>31</v>
      </c>
      <c r="F3655" t="s">
        <v>32</v>
      </c>
      <c r="G3655" t="s">
        <v>80</v>
      </c>
      <c r="H3655" t="s">
        <v>46</v>
      </c>
      <c r="I3655" t="s">
        <v>24</v>
      </c>
      <c r="J3655" t="s">
        <v>1151</v>
      </c>
      <c r="L3655">
        <v>3.9</v>
      </c>
      <c r="M3655">
        <v>345000</v>
      </c>
      <c r="N3655">
        <v>4.3</v>
      </c>
      <c r="O3655">
        <v>5</v>
      </c>
      <c r="P3655" t="s">
        <v>26</v>
      </c>
    </row>
    <row r="3656" spans="1:16" x14ac:dyDescent="0.25">
      <c r="A3656" t="s">
        <v>7867</v>
      </c>
      <c r="B3656" t="s">
        <v>7868</v>
      </c>
      <c r="C3656" t="s">
        <v>18</v>
      </c>
      <c r="D3656" t="s">
        <v>50</v>
      </c>
      <c r="F3656" t="s">
        <v>32</v>
      </c>
      <c r="G3656" t="s">
        <v>80</v>
      </c>
      <c r="H3656" t="s">
        <v>23</v>
      </c>
      <c r="I3656" t="s">
        <v>171</v>
      </c>
      <c r="J3656" t="s">
        <v>2977</v>
      </c>
      <c r="L3656">
        <v>4.5999999999999996</v>
      </c>
      <c r="M3656">
        <v>281000</v>
      </c>
      <c r="N3656">
        <v>2.5</v>
      </c>
      <c r="O3656">
        <v>14</v>
      </c>
      <c r="P3656" t="s">
        <v>26</v>
      </c>
    </row>
    <row r="3657" spans="1:16" x14ac:dyDescent="0.25">
      <c r="A3657" t="s">
        <v>7869</v>
      </c>
      <c r="B3657" t="s">
        <v>992</v>
      </c>
      <c r="C3657" t="s">
        <v>29</v>
      </c>
      <c r="D3657" t="s">
        <v>30</v>
      </c>
      <c r="E3657" t="s">
        <v>20</v>
      </c>
      <c r="F3657" t="s">
        <v>32</v>
      </c>
      <c r="G3657" t="s">
        <v>80</v>
      </c>
      <c r="H3657" t="s">
        <v>46</v>
      </c>
      <c r="I3657" t="s">
        <v>24</v>
      </c>
      <c r="J3657" t="s">
        <v>3023</v>
      </c>
      <c r="L3657">
        <v>5.6</v>
      </c>
      <c r="M3657">
        <v>295000</v>
      </c>
      <c r="N3657">
        <v>3.4</v>
      </c>
      <c r="P3657" t="s">
        <v>26</v>
      </c>
    </row>
    <row r="3658" spans="1:16" x14ac:dyDescent="0.25">
      <c r="A3658" t="s">
        <v>7870</v>
      </c>
      <c r="B3658" t="s">
        <v>7871</v>
      </c>
      <c r="C3658" t="s">
        <v>29</v>
      </c>
      <c r="D3658" t="s">
        <v>50</v>
      </c>
      <c r="E3658" t="s">
        <v>44</v>
      </c>
      <c r="F3658" t="s">
        <v>128</v>
      </c>
      <c r="G3658" t="s">
        <v>80</v>
      </c>
      <c r="H3658" t="s">
        <v>34</v>
      </c>
      <c r="I3658" t="s">
        <v>35</v>
      </c>
      <c r="J3658" t="s">
        <v>1038</v>
      </c>
      <c r="K3658" t="s">
        <v>2434</v>
      </c>
      <c r="L3658">
        <v>3.2</v>
      </c>
      <c r="M3658">
        <v>442000</v>
      </c>
      <c r="N3658">
        <v>2</v>
      </c>
      <c r="O3658">
        <v>6</v>
      </c>
      <c r="P3658" t="s">
        <v>53</v>
      </c>
    </row>
    <row r="3659" spans="1:16" x14ac:dyDescent="0.25">
      <c r="A3659" t="s">
        <v>7872</v>
      </c>
      <c r="B3659" t="s">
        <v>6764</v>
      </c>
      <c r="C3659" t="s">
        <v>29</v>
      </c>
      <c r="D3659" t="s">
        <v>43</v>
      </c>
      <c r="E3659" t="s">
        <v>20</v>
      </c>
      <c r="F3659" t="s">
        <v>128</v>
      </c>
      <c r="G3659" t="s">
        <v>80</v>
      </c>
      <c r="H3659" t="s">
        <v>23</v>
      </c>
      <c r="I3659" t="s">
        <v>57</v>
      </c>
      <c r="J3659" t="s">
        <v>6566</v>
      </c>
      <c r="L3659">
        <v>2.8</v>
      </c>
      <c r="M3659">
        <v>531000</v>
      </c>
      <c r="N3659">
        <v>3.3</v>
      </c>
      <c r="O3659">
        <v>35</v>
      </c>
      <c r="P3659" t="s">
        <v>26</v>
      </c>
    </row>
    <row r="3660" spans="1:16" x14ac:dyDescent="0.25">
      <c r="A3660" t="s">
        <v>7873</v>
      </c>
      <c r="B3660" t="s">
        <v>6915</v>
      </c>
      <c r="C3660" t="s">
        <v>18</v>
      </c>
      <c r="D3660" t="s">
        <v>79</v>
      </c>
      <c r="E3660" t="s">
        <v>20</v>
      </c>
      <c r="F3660" t="s">
        <v>128</v>
      </c>
      <c r="G3660" t="s">
        <v>80</v>
      </c>
      <c r="H3660" t="s">
        <v>34</v>
      </c>
      <c r="I3660" t="s">
        <v>75</v>
      </c>
      <c r="J3660" t="s">
        <v>7874</v>
      </c>
      <c r="L3660">
        <v>6.1</v>
      </c>
      <c r="M3660">
        <v>396000</v>
      </c>
      <c r="N3660">
        <v>2.2999999999999998</v>
      </c>
      <c r="O3660">
        <v>11</v>
      </c>
      <c r="P3660" t="s">
        <v>26</v>
      </c>
    </row>
    <row r="3661" spans="1:16" x14ac:dyDescent="0.25">
      <c r="A3661" t="s">
        <v>7875</v>
      </c>
      <c r="B3661" t="s">
        <v>7758</v>
      </c>
      <c r="C3661" t="s">
        <v>18</v>
      </c>
      <c r="D3661" t="s">
        <v>50</v>
      </c>
      <c r="E3661" t="s">
        <v>20</v>
      </c>
      <c r="F3661" t="s">
        <v>39</v>
      </c>
      <c r="G3661" t="s">
        <v>22</v>
      </c>
      <c r="H3661" t="s">
        <v>23</v>
      </c>
      <c r="J3661" t="s">
        <v>2568</v>
      </c>
      <c r="L3661">
        <v>1.3</v>
      </c>
      <c r="M3661">
        <v>150000</v>
      </c>
      <c r="N3661">
        <v>4</v>
      </c>
      <c r="O3661">
        <v>10</v>
      </c>
      <c r="P3661" t="s">
        <v>26</v>
      </c>
    </row>
    <row r="3662" spans="1:16" x14ac:dyDescent="0.25">
      <c r="A3662" t="s">
        <v>7876</v>
      </c>
      <c r="B3662" t="s">
        <v>3281</v>
      </c>
      <c r="C3662" t="s">
        <v>18</v>
      </c>
      <c r="D3662" t="s">
        <v>79</v>
      </c>
      <c r="E3662" t="s">
        <v>20</v>
      </c>
      <c r="F3662" t="s">
        <v>32</v>
      </c>
      <c r="G3662" t="s">
        <v>33</v>
      </c>
      <c r="H3662" t="s">
        <v>34</v>
      </c>
      <c r="I3662" t="s">
        <v>35</v>
      </c>
      <c r="J3662" t="s">
        <v>5621</v>
      </c>
      <c r="L3662">
        <v>5.2</v>
      </c>
      <c r="M3662">
        <v>193000</v>
      </c>
      <c r="N3662">
        <v>2.7</v>
      </c>
      <c r="O3662">
        <v>13</v>
      </c>
      <c r="P3662" t="s">
        <v>26</v>
      </c>
    </row>
    <row r="3663" spans="1:16" x14ac:dyDescent="0.25">
      <c r="A3663" t="s">
        <v>7877</v>
      </c>
      <c r="B3663" t="s">
        <v>5227</v>
      </c>
      <c r="C3663" t="s">
        <v>29</v>
      </c>
      <c r="D3663" t="s">
        <v>19</v>
      </c>
      <c r="E3663" t="s">
        <v>31</v>
      </c>
      <c r="F3663" t="s">
        <v>32</v>
      </c>
      <c r="G3663" t="s">
        <v>80</v>
      </c>
      <c r="H3663" t="s">
        <v>34</v>
      </c>
      <c r="I3663" t="s">
        <v>57</v>
      </c>
      <c r="J3663" t="s">
        <v>3643</v>
      </c>
      <c r="K3663" t="s">
        <v>6124</v>
      </c>
      <c r="L3663">
        <v>5.4</v>
      </c>
      <c r="M3663">
        <v>372000</v>
      </c>
      <c r="N3663">
        <v>3.5</v>
      </c>
      <c r="O3663">
        <v>9</v>
      </c>
      <c r="P3663" t="s">
        <v>72</v>
      </c>
    </row>
    <row r="3664" spans="1:16" x14ac:dyDescent="0.25">
      <c r="A3664" t="s">
        <v>7878</v>
      </c>
      <c r="B3664" t="s">
        <v>690</v>
      </c>
      <c r="C3664" t="s">
        <v>18</v>
      </c>
      <c r="D3664" t="s">
        <v>50</v>
      </c>
      <c r="E3664" t="s">
        <v>20</v>
      </c>
      <c r="F3664" t="s">
        <v>128</v>
      </c>
      <c r="G3664" t="s">
        <v>33</v>
      </c>
      <c r="H3664" t="s">
        <v>62</v>
      </c>
      <c r="I3664" t="s">
        <v>35</v>
      </c>
      <c r="J3664" t="s">
        <v>3643</v>
      </c>
      <c r="K3664" t="s">
        <v>324</v>
      </c>
      <c r="L3664">
        <v>5.4</v>
      </c>
      <c r="M3664">
        <v>596000</v>
      </c>
      <c r="N3664">
        <v>3</v>
      </c>
      <c r="O3664">
        <v>10</v>
      </c>
      <c r="P3664" t="s">
        <v>53</v>
      </c>
    </row>
    <row r="3665" spans="1:16" x14ac:dyDescent="0.25">
      <c r="A3665" t="s">
        <v>7879</v>
      </c>
      <c r="B3665" t="s">
        <v>2394</v>
      </c>
      <c r="C3665" t="s">
        <v>29</v>
      </c>
      <c r="D3665" t="s">
        <v>50</v>
      </c>
      <c r="E3665" t="s">
        <v>31</v>
      </c>
      <c r="F3665" t="s">
        <v>39</v>
      </c>
      <c r="G3665" t="s">
        <v>22</v>
      </c>
      <c r="H3665" t="s">
        <v>46</v>
      </c>
      <c r="I3665" t="s">
        <v>57</v>
      </c>
      <c r="J3665" t="s">
        <v>3150</v>
      </c>
      <c r="L3665">
        <v>4.3</v>
      </c>
      <c r="M3665">
        <v>151000</v>
      </c>
      <c r="N3665">
        <v>3.7</v>
      </c>
      <c r="O3665">
        <v>21</v>
      </c>
      <c r="P3665" t="s">
        <v>26</v>
      </c>
    </row>
    <row r="3666" spans="1:16" x14ac:dyDescent="0.25">
      <c r="A3666" t="s">
        <v>7880</v>
      </c>
      <c r="B3666" t="s">
        <v>5759</v>
      </c>
      <c r="C3666" t="s">
        <v>29</v>
      </c>
      <c r="D3666" t="s">
        <v>43</v>
      </c>
      <c r="E3666" t="s">
        <v>20</v>
      </c>
      <c r="F3666" t="s">
        <v>128</v>
      </c>
      <c r="G3666" t="s">
        <v>22</v>
      </c>
      <c r="H3666" t="s">
        <v>23</v>
      </c>
      <c r="I3666" t="s">
        <v>57</v>
      </c>
      <c r="J3666" t="s">
        <v>2799</v>
      </c>
      <c r="L3666">
        <v>2.9</v>
      </c>
      <c r="M3666">
        <v>502000</v>
      </c>
      <c r="N3666">
        <v>4.4000000000000004</v>
      </c>
      <c r="O3666">
        <v>24</v>
      </c>
      <c r="P3666" t="s">
        <v>26</v>
      </c>
    </row>
    <row r="3667" spans="1:16" x14ac:dyDescent="0.25">
      <c r="A3667" t="s">
        <v>7881</v>
      </c>
      <c r="B3667" t="s">
        <v>5140</v>
      </c>
      <c r="C3667" t="s">
        <v>18</v>
      </c>
      <c r="D3667" t="s">
        <v>79</v>
      </c>
      <c r="E3667" t="s">
        <v>31</v>
      </c>
      <c r="F3667" t="s">
        <v>32</v>
      </c>
      <c r="G3667" t="s">
        <v>69</v>
      </c>
      <c r="H3667" t="s">
        <v>46</v>
      </c>
      <c r="I3667" t="s">
        <v>35</v>
      </c>
      <c r="J3667" t="s">
        <v>1951</v>
      </c>
      <c r="L3667">
        <v>5.9</v>
      </c>
      <c r="M3667">
        <v>182000</v>
      </c>
      <c r="N3667">
        <v>3</v>
      </c>
      <c r="O3667">
        <v>4</v>
      </c>
      <c r="P3667" t="s">
        <v>26</v>
      </c>
    </row>
    <row r="3668" spans="1:16" x14ac:dyDescent="0.25">
      <c r="A3668" t="s">
        <v>7882</v>
      </c>
      <c r="B3668" t="s">
        <v>368</v>
      </c>
      <c r="C3668" t="s">
        <v>29</v>
      </c>
      <c r="D3668" t="s">
        <v>19</v>
      </c>
      <c r="E3668" t="s">
        <v>31</v>
      </c>
      <c r="F3668" t="s">
        <v>32</v>
      </c>
      <c r="G3668" t="s">
        <v>22</v>
      </c>
      <c r="H3668" t="s">
        <v>23</v>
      </c>
      <c r="I3668" t="s">
        <v>75</v>
      </c>
      <c r="J3668" t="s">
        <v>5720</v>
      </c>
      <c r="L3668">
        <v>4.8</v>
      </c>
      <c r="M3668">
        <v>379000</v>
      </c>
      <c r="N3668">
        <v>3.7</v>
      </c>
      <c r="O3668">
        <v>12</v>
      </c>
      <c r="P3668" t="s">
        <v>26</v>
      </c>
    </row>
    <row r="3669" spans="1:16" x14ac:dyDescent="0.25">
      <c r="A3669" t="s">
        <v>7883</v>
      </c>
      <c r="B3669" t="s">
        <v>1458</v>
      </c>
      <c r="C3669" t="s">
        <v>29</v>
      </c>
      <c r="D3669" t="s">
        <v>30</v>
      </c>
      <c r="E3669" t="s">
        <v>20</v>
      </c>
      <c r="F3669" t="s">
        <v>39</v>
      </c>
      <c r="G3669" t="s">
        <v>22</v>
      </c>
      <c r="H3669" t="s">
        <v>34</v>
      </c>
      <c r="I3669" t="s">
        <v>24</v>
      </c>
      <c r="J3669" t="s">
        <v>645</v>
      </c>
      <c r="K3669" t="s">
        <v>7884</v>
      </c>
      <c r="L3669">
        <v>1.6</v>
      </c>
      <c r="M3669">
        <v>102000</v>
      </c>
      <c r="N3669">
        <v>2.8</v>
      </c>
      <c r="O3669">
        <v>14</v>
      </c>
      <c r="P3669" t="s">
        <v>114</v>
      </c>
    </row>
    <row r="3670" spans="1:16" x14ac:dyDescent="0.25">
      <c r="A3670" t="s">
        <v>7885</v>
      </c>
      <c r="B3670" t="s">
        <v>3624</v>
      </c>
      <c r="C3670" t="s">
        <v>29</v>
      </c>
      <c r="D3670" t="s">
        <v>19</v>
      </c>
      <c r="E3670" t="s">
        <v>20</v>
      </c>
      <c r="F3670" t="s">
        <v>21</v>
      </c>
      <c r="G3670" t="s">
        <v>22</v>
      </c>
      <c r="H3670" t="s">
        <v>46</v>
      </c>
      <c r="I3670" t="s">
        <v>57</v>
      </c>
      <c r="J3670" t="s">
        <v>2816</v>
      </c>
      <c r="L3670">
        <v>5.8</v>
      </c>
      <c r="M3670">
        <v>728000</v>
      </c>
      <c r="N3670">
        <v>3.3</v>
      </c>
      <c r="O3670">
        <v>4</v>
      </c>
      <c r="P3670" t="s">
        <v>26</v>
      </c>
    </row>
    <row r="3671" spans="1:16" x14ac:dyDescent="0.25">
      <c r="A3671" t="s">
        <v>7886</v>
      </c>
      <c r="B3671" t="s">
        <v>7887</v>
      </c>
      <c r="C3671" t="s">
        <v>29</v>
      </c>
      <c r="D3671" t="s">
        <v>50</v>
      </c>
      <c r="E3671" t="s">
        <v>20</v>
      </c>
      <c r="F3671" t="s">
        <v>32</v>
      </c>
      <c r="G3671" t="s">
        <v>22</v>
      </c>
      <c r="H3671" t="s">
        <v>34</v>
      </c>
      <c r="I3671" t="s">
        <v>57</v>
      </c>
      <c r="J3671" t="s">
        <v>117</v>
      </c>
      <c r="L3671">
        <v>3.9</v>
      </c>
      <c r="M3671">
        <v>246000</v>
      </c>
      <c r="N3671">
        <v>4.9000000000000004</v>
      </c>
      <c r="O3671">
        <v>5</v>
      </c>
      <c r="P3671" t="s">
        <v>26</v>
      </c>
    </row>
    <row r="3672" spans="1:16" x14ac:dyDescent="0.25">
      <c r="A3672" t="s">
        <v>7888</v>
      </c>
      <c r="B3672" t="s">
        <v>4553</v>
      </c>
      <c r="C3672" t="s">
        <v>29</v>
      </c>
      <c r="D3672" t="s">
        <v>19</v>
      </c>
      <c r="E3672" t="s">
        <v>20</v>
      </c>
      <c r="F3672" t="s">
        <v>32</v>
      </c>
      <c r="G3672" t="s">
        <v>22</v>
      </c>
      <c r="H3672" t="s">
        <v>46</v>
      </c>
      <c r="I3672" t="s">
        <v>35</v>
      </c>
      <c r="J3672" t="s">
        <v>3813</v>
      </c>
      <c r="K3672" t="s">
        <v>7889</v>
      </c>
      <c r="L3672">
        <v>2</v>
      </c>
      <c r="M3672">
        <v>338000</v>
      </c>
      <c r="N3672">
        <v>4.2</v>
      </c>
      <c r="O3672">
        <v>9</v>
      </c>
      <c r="P3672" t="s">
        <v>72</v>
      </c>
    </row>
    <row r="3673" spans="1:16" x14ac:dyDescent="0.25">
      <c r="A3673" t="s">
        <v>7890</v>
      </c>
      <c r="B3673" t="s">
        <v>4769</v>
      </c>
      <c r="C3673" t="s">
        <v>18</v>
      </c>
      <c r="D3673" t="s">
        <v>50</v>
      </c>
      <c r="E3673" t="s">
        <v>44</v>
      </c>
      <c r="F3673" t="s">
        <v>21</v>
      </c>
      <c r="G3673" t="s">
        <v>33</v>
      </c>
      <c r="H3673" t="s">
        <v>46</v>
      </c>
      <c r="I3673" t="s">
        <v>35</v>
      </c>
      <c r="J3673" t="s">
        <v>3748</v>
      </c>
      <c r="L3673">
        <v>2.1</v>
      </c>
      <c r="M3673">
        <v>758000</v>
      </c>
      <c r="N3673">
        <v>3.9</v>
      </c>
      <c r="O3673">
        <v>11</v>
      </c>
      <c r="P3673" t="s">
        <v>26</v>
      </c>
    </row>
    <row r="3674" spans="1:16" x14ac:dyDescent="0.25">
      <c r="A3674" t="s">
        <v>7891</v>
      </c>
      <c r="B3674" t="s">
        <v>7892</v>
      </c>
      <c r="C3674" t="s">
        <v>29</v>
      </c>
      <c r="D3674" t="s">
        <v>50</v>
      </c>
      <c r="E3674" t="s">
        <v>20</v>
      </c>
      <c r="F3674" t="s">
        <v>32</v>
      </c>
      <c r="G3674" t="s">
        <v>33</v>
      </c>
      <c r="H3674" t="s">
        <v>46</v>
      </c>
      <c r="I3674" t="s">
        <v>35</v>
      </c>
      <c r="J3674" t="s">
        <v>2107</v>
      </c>
      <c r="L3674">
        <v>1.3</v>
      </c>
      <c r="M3674">
        <v>289000</v>
      </c>
      <c r="N3674">
        <v>3.8</v>
      </c>
      <c r="O3674">
        <v>2</v>
      </c>
      <c r="P3674" t="s">
        <v>26</v>
      </c>
    </row>
    <row r="3675" spans="1:16" x14ac:dyDescent="0.25">
      <c r="A3675" t="s">
        <v>7893</v>
      </c>
      <c r="B3675" t="s">
        <v>4017</v>
      </c>
      <c r="C3675" t="s">
        <v>18</v>
      </c>
      <c r="D3675" t="s">
        <v>50</v>
      </c>
      <c r="E3675" t="s">
        <v>20</v>
      </c>
      <c r="F3675" t="s">
        <v>39</v>
      </c>
      <c r="G3675" t="s">
        <v>22</v>
      </c>
      <c r="H3675" t="s">
        <v>23</v>
      </c>
      <c r="I3675" t="s">
        <v>57</v>
      </c>
      <c r="J3675" t="s">
        <v>3478</v>
      </c>
      <c r="K3675" t="s">
        <v>1684</v>
      </c>
      <c r="L3675">
        <v>1.6</v>
      </c>
      <c r="N3675">
        <v>3.1</v>
      </c>
      <c r="O3675">
        <v>5</v>
      </c>
      <c r="P3675" t="s">
        <v>53</v>
      </c>
    </row>
    <row r="3676" spans="1:16" x14ac:dyDescent="0.25">
      <c r="A3676" t="s">
        <v>7894</v>
      </c>
      <c r="B3676" t="s">
        <v>1031</v>
      </c>
      <c r="C3676" t="s">
        <v>18</v>
      </c>
      <c r="D3676" t="s">
        <v>79</v>
      </c>
      <c r="E3676" t="s">
        <v>44</v>
      </c>
      <c r="F3676" t="s">
        <v>128</v>
      </c>
      <c r="G3676" t="s">
        <v>33</v>
      </c>
      <c r="H3676" t="s">
        <v>46</v>
      </c>
      <c r="I3676" t="s">
        <v>24</v>
      </c>
      <c r="J3676" t="s">
        <v>7588</v>
      </c>
      <c r="L3676">
        <v>2.4</v>
      </c>
      <c r="M3676">
        <v>539000</v>
      </c>
      <c r="N3676">
        <v>3</v>
      </c>
      <c r="O3676">
        <v>3</v>
      </c>
      <c r="P3676" t="s">
        <v>26</v>
      </c>
    </row>
    <row r="3677" spans="1:16" x14ac:dyDescent="0.25">
      <c r="A3677" t="s">
        <v>7895</v>
      </c>
      <c r="B3677" t="s">
        <v>2208</v>
      </c>
      <c r="C3677" t="s">
        <v>18</v>
      </c>
      <c r="D3677" t="s">
        <v>43</v>
      </c>
      <c r="E3677" t="s">
        <v>20</v>
      </c>
      <c r="F3677" t="s">
        <v>39</v>
      </c>
      <c r="G3677" t="s">
        <v>22</v>
      </c>
      <c r="H3677" t="s">
        <v>46</v>
      </c>
      <c r="I3677" t="s">
        <v>24</v>
      </c>
      <c r="J3677" t="s">
        <v>5930</v>
      </c>
      <c r="K3677" t="s">
        <v>7896</v>
      </c>
      <c r="L3677">
        <v>6.1</v>
      </c>
      <c r="M3677">
        <v>85000</v>
      </c>
      <c r="N3677">
        <v>3.5</v>
      </c>
      <c r="O3677">
        <v>21</v>
      </c>
      <c r="P3677" t="s">
        <v>53</v>
      </c>
    </row>
    <row r="3678" spans="1:16" x14ac:dyDescent="0.25">
      <c r="A3678" t="s">
        <v>7897</v>
      </c>
      <c r="B3678" t="s">
        <v>7898</v>
      </c>
      <c r="C3678" t="s">
        <v>29</v>
      </c>
      <c r="D3678" t="s">
        <v>79</v>
      </c>
      <c r="E3678" t="s">
        <v>20</v>
      </c>
      <c r="F3678" t="s">
        <v>39</v>
      </c>
      <c r="G3678" t="s">
        <v>22</v>
      </c>
      <c r="H3678" t="s">
        <v>46</v>
      </c>
      <c r="I3678" t="s">
        <v>35</v>
      </c>
      <c r="J3678" t="s">
        <v>5280</v>
      </c>
      <c r="L3678">
        <v>4</v>
      </c>
      <c r="M3678">
        <v>167000</v>
      </c>
      <c r="N3678">
        <v>3.4</v>
      </c>
      <c r="O3678">
        <v>1</v>
      </c>
      <c r="P3678" t="s">
        <v>26</v>
      </c>
    </row>
    <row r="3679" spans="1:16" x14ac:dyDescent="0.25">
      <c r="A3679" t="s">
        <v>7899</v>
      </c>
      <c r="B3679" t="s">
        <v>7900</v>
      </c>
      <c r="C3679" t="s">
        <v>18</v>
      </c>
      <c r="D3679" t="s">
        <v>50</v>
      </c>
      <c r="E3679" t="s">
        <v>31</v>
      </c>
      <c r="F3679" t="s">
        <v>128</v>
      </c>
      <c r="G3679" t="s">
        <v>80</v>
      </c>
      <c r="H3679" t="s">
        <v>46</v>
      </c>
      <c r="I3679" t="s">
        <v>171</v>
      </c>
      <c r="J3679" t="s">
        <v>2675</v>
      </c>
      <c r="L3679">
        <v>2.1</v>
      </c>
      <c r="M3679">
        <v>572000</v>
      </c>
      <c r="O3679">
        <v>14</v>
      </c>
      <c r="P3679" t="s">
        <v>26</v>
      </c>
    </row>
    <row r="3680" spans="1:16" x14ac:dyDescent="0.25">
      <c r="A3680" t="s">
        <v>7901</v>
      </c>
      <c r="B3680" t="s">
        <v>7902</v>
      </c>
      <c r="C3680" t="s">
        <v>29</v>
      </c>
      <c r="D3680" t="s">
        <v>50</v>
      </c>
      <c r="E3680" t="s">
        <v>20</v>
      </c>
      <c r="F3680" t="s">
        <v>32</v>
      </c>
      <c r="G3680" t="s">
        <v>22</v>
      </c>
      <c r="H3680" t="s">
        <v>62</v>
      </c>
      <c r="I3680" t="s">
        <v>57</v>
      </c>
      <c r="J3680" t="s">
        <v>855</v>
      </c>
      <c r="K3680" t="s">
        <v>565</v>
      </c>
      <c r="L3680">
        <v>3.9</v>
      </c>
      <c r="M3680">
        <v>289000</v>
      </c>
      <c r="N3680">
        <v>2.4</v>
      </c>
      <c r="O3680">
        <v>2</v>
      </c>
      <c r="P3680" t="s">
        <v>72</v>
      </c>
    </row>
    <row r="3681" spans="1:16" x14ac:dyDescent="0.25">
      <c r="A3681" t="s">
        <v>7903</v>
      </c>
      <c r="B3681" t="s">
        <v>669</v>
      </c>
      <c r="C3681" t="s">
        <v>29</v>
      </c>
      <c r="D3681" t="s">
        <v>30</v>
      </c>
      <c r="E3681" t="s">
        <v>20</v>
      </c>
      <c r="F3681" t="s">
        <v>32</v>
      </c>
      <c r="G3681" t="s">
        <v>22</v>
      </c>
      <c r="H3681" t="s">
        <v>62</v>
      </c>
      <c r="I3681" t="s">
        <v>24</v>
      </c>
      <c r="J3681" t="s">
        <v>279</v>
      </c>
      <c r="L3681">
        <v>2.9</v>
      </c>
      <c r="M3681">
        <v>222000</v>
      </c>
      <c r="N3681">
        <v>1.9</v>
      </c>
      <c r="O3681">
        <v>21</v>
      </c>
      <c r="P3681" t="s">
        <v>26</v>
      </c>
    </row>
    <row r="3682" spans="1:16" x14ac:dyDescent="0.25">
      <c r="A3682" t="s">
        <v>7904</v>
      </c>
      <c r="B3682" t="s">
        <v>7905</v>
      </c>
      <c r="D3682" t="s">
        <v>50</v>
      </c>
      <c r="E3682" t="s">
        <v>31</v>
      </c>
      <c r="F3682" t="s">
        <v>39</v>
      </c>
      <c r="G3682" t="s">
        <v>80</v>
      </c>
      <c r="H3682" t="s">
        <v>62</v>
      </c>
      <c r="I3682" t="s">
        <v>35</v>
      </c>
      <c r="J3682" t="s">
        <v>7039</v>
      </c>
      <c r="L3682">
        <v>2.4</v>
      </c>
      <c r="M3682">
        <v>139000</v>
      </c>
      <c r="N3682">
        <v>2.8</v>
      </c>
      <c r="O3682">
        <v>29</v>
      </c>
      <c r="P3682" t="s">
        <v>26</v>
      </c>
    </row>
    <row r="3683" spans="1:16" x14ac:dyDescent="0.25">
      <c r="A3683" t="s">
        <v>7906</v>
      </c>
      <c r="B3683" t="s">
        <v>86</v>
      </c>
      <c r="C3683" t="s">
        <v>29</v>
      </c>
      <c r="D3683" t="s">
        <v>79</v>
      </c>
      <c r="E3683" t="s">
        <v>31</v>
      </c>
      <c r="F3683" t="s">
        <v>39</v>
      </c>
      <c r="G3683" t="s">
        <v>69</v>
      </c>
      <c r="H3683" t="s">
        <v>34</v>
      </c>
      <c r="I3683" t="s">
        <v>24</v>
      </c>
      <c r="J3683" t="s">
        <v>292</v>
      </c>
      <c r="L3683">
        <v>2.7</v>
      </c>
      <c r="M3683">
        <v>145000</v>
      </c>
      <c r="N3683">
        <v>3.1</v>
      </c>
      <c r="O3683">
        <v>14</v>
      </c>
      <c r="P3683" t="s">
        <v>26</v>
      </c>
    </row>
    <row r="3684" spans="1:16" x14ac:dyDescent="0.25">
      <c r="A3684" t="s">
        <v>7907</v>
      </c>
      <c r="B3684" t="s">
        <v>7908</v>
      </c>
      <c r="D3684" t="s">
        <v>19</v>
      </c>
      <c r="E3684" t="s">
        <v>20</v>
      </c>
      <c r="G3684" t="s">
        <v>22</v>
      </c>
      <c r="H3684" t="s">
        <v>62</v>
      </c>
      <c r="I3684" t="s">
        <v>35</v>
      </c>
      <c r="J3684" t="s">
        <v>5741</v>
      </c>
      <c r="L3684">
        <v>4.5999999999999996</v>
      </c>
      <c r="M3684">
        <v>173000</v>
      </c>
      <c r="N3684">
        <v>3.3</v>
      </c>
      <c r="O3684">
        <v>4</v>
      </c>
      <c r="P3684" t="s">
        <v>26</v>
      </c>
    </row>
    <row r="3685" spans="1:16" x14ac:dyDescent="0.25">
      <c r="A3685" t="s">
        <v>7909</v>
      </c>
      <c r="B3685" t="s">
        <v>4825</v>
      </c>
      <c r="C3685" t="s">
        <v>29</v>
      </c>
      <c r="E3685" t="s">
        <v>20</v>
      </c>
      <c r="F3685" t="s">
        <v>128</v>
      </c>
      <c r="G3685" t="s">
        <v>22</v>
      </c>
      <c r="H3685" t="s">
        <v>34</v>
      </c>
      <c r="I3685" t="s">
        <v>24</v>
      </c>
      <c r="J3685" t="s">
        <v>1878</v>
      </c>
      <c r="L3685">
        <v>2</v>
      </c>
      <c r="M3685">
        <v>591000</v>
      </c>
      <c r="N3685">
        <v>2.2999999999999998</v>
      </c>
      <c r="O3685">
        <v>8</v>
      </c>
      <c r="P3685" t="s">
        <v>26</v>
      </c>
    </row>
    <row r="3686" spans="1:16" x14ac:dyDescent="0.25">
      <c r="A3686" t="s">
        <v>7910</v>
      </c>
      <c r="B3686" t="s">
        <v>1904</v>
      </c>
      <c r="C3686" t="s">
        <v>29</v>
      </c>
      <c r="D3686" t="s">
        <v>19</v>
      </c>
      <c r="E3686" t="s">
        <v>20</v>
      </c>
      <c r="F3686" t="s">
        <v>128</v>
      </c>
      <c r="G3686" t="s">
        <v>80</v>
      </c>
      <c r="H3686" t="s">
        <v>34</v>
      </c>
      <c r="I3686" t="s">
        <v>75</v>
      </c>
      <c r="J3686" t="s">
        <v>1385</v>
      </c>
      <c r="L3686">
        <v>3.6</v>
      </c>
      <c r="M3686">
        <v>449000</v>
      </c>
      <c r="N3686">
        <v>4.4000000000000004</v>
      </c>
      <c r="O3686">
        <v>3</v>
      </c>
      <c r="P3686" t="s">
        <v>26</v>
      </c>
    </row>
    <row r="3687" spans="1:16" x14ac:dyDescent="0.25">
      <c r="A3687" t="s">
        <v>7911</v>
      </c>
      <c r="B3687" t="s">
        <v>7912</v>
      </c>
      <c r="D3687" t="s">
        <v>50</v>
      </c>
      <c r="E3687" t="s">
        <v>31</v>
      </c>
      <c r="F3687" t="s">
        <v>32</v>
      </c>
      <c r="G3687" t="s">
        <v>69</v>
      </c>
      <c r="H3687" t="s">
        <v>23</v>
      </c>
      <c r="I3687" t="s">
        <v>57</v>
      </c>
      <c r="J3687" t="s">
        <v>5074</v>
      </c>
      <c r="K3687" t="s">
        <v>4875</v>
      </c>
      <c r="L3687">
        <v>5.7</v>
      </c>
      <c r="M3687">
        <v>198000</v>
      </c>
      <c r="N3687">
        <v>3.7</v>
      </c>
      <c r="O3687">
        <v>27</v>
      </c>
      <c r="P3687" t="s">
        <v>53</v>
      </c>
    </row>
    <row r="3688" spans="1:16" x14ac:dyDescent="0.25">
      <c r="A3688" t="s">
        <v>7913</v>
      </c>
      <c r="B3688" t="s">
        <v>2955</v>
      </c>
      <c r="C3688" t="s">
        <v>18</v>
      </c>
      <c r="D3688" t="s">
        <v>79</v>
      </c>
      <c r="E3688" t="s">
        <v>44</v>
      </c>
      <c r="F3688" t="s">
        <v>128</v>
      </c>
      <c r="G3688" t="s">
        <v>22</v>
      </c>
      <c r="H3688" t="s">
        <v>23</v>
      </c>
      <c r="I3688" t="s">
        <v>57</v>
      </c>
      <c r="J3688" t="s">
        <v>693</v>
      </c>
      <c r="K3688" t="s">
        <v>5195</v>
      </c>
      <c r="L3688">
        <v>1.3</v>
      </c>
      <c r="M3688">
        <v>370000</v>
      </c>
      <c r="N3688">
        <v>3.1</v>
      </c>
      <c r="O3688">
        <v>7</v>
      </c>
      <c r="P3688" t="s">
        <v>53</v>
      </c>
    </row>
    <row r="3689" spans="1:16" x14ac:dyDescent="0.25">
      <c r="A3689" t="s">
        <v>7914</v>
      </c>
      <c r="B3689" t="s">
        <v>5157</v>
      </c>
      <c r="C3689" t="s">
        <v>29</v>
      </c>
      <c r="D3689" t="s">
        <v>43</v>
      </c>
      <c r="E3689" t="s">
        <v>20</v>
      </c>
      <c r="F3689" t="s">
        <v>39</v>
      </c>
      <c r="G3689" t="s">
        <v>22</v>
      </c>
      <c r="H3689" t="s">
        <v>34</v>
      </c>
      <c r="I3689" t="s">
        <v>24</v>
      </c>
      <c r="J3689" t="s">
        <v>3048</v>
      </c>
      <c r="K3689" t="s">
        <v>3166</v>
      </c>
      <c r="L3689">
        <v>1.9</v>
      </c>
      <c r="M3689">
        <v>165000</v>
      </c>
      <c r="N3689">
        <v>4.2</v>
      </c>
      <c r="O3689">
        <v>15</v>
      </c>
      <c r="P3689" t="s">
        <v>72</v>
      </c>
    </row>
    <row r="3690" spans="1:16" x14ac:dyDescent="0.25">
      <c r="A3690" t="s">
        <v>7915</v>
      </c>
      <c r="B3690" t="s">
        <v>7916</v>
      </c>
      <c r="C3690" t="s">
        <v>18</v>
      </c>
      <c r="D3690" t="s">
        <v>19</v>
      </c>
      <c r="E3690" t="s">
        <v>44</v>
      </c>
      <c r="G3690" t="s">
        <v>80</v>
      </c>
      <c r="I3690" t="s">
        <v>75</v>
      </c>
      <c r="J3690" t="s">
        <v>466</v>
      </c>
      <c r="K3690" t="s">
        <v>7917</v>
      </c>
      <c r="L3690">
        <v>3.7</v>
      </c>
      <c r="M3690">
        <v>145000</v>
      </c>
      <c r="N3690">
        <v>3.2</v>
      </c>
      <c r="O3690">
        <v>14</v>
      </c>
      <c r="P3690" t="s">
        <v>53</v>
      </c>
    </row>
    <row r="3691" spans="1:16" x14ac:dyDescent="0.25">
      <c r="A3691" t="s">
        <v>7918</v>
      </c>
      <c r="B3691" t="s">
        <v>7919</v>
      </c>
      <c r="C3691" t="s">
        <v>18</v>
      </c>
      <c r="D3691" t="s">
        <v>30</v>
      </c>
      <c r="E3691" t="s">
        <v>31</v>
      </c>
      <c r="F3691" t="s">
        <v>21</v>
      </c>
      <c r="G3691" t="s">
        <v>80</v>
      </c>
      <c r="H3691" t="s">
        <v>46</v>
      </c>
      <c r="I3691" t="s">
        <v>57</v>
      </c>
      <c r="J3691" t="s">
        <v>408</v>
      </c>
      <c r="L3691">
        <v>4</v>
      </c>
      <c r="M3691">
        <v>674000</v>
      </c>
      <c r="N3691">
        <v>4.9000000000000004</v>
      </c>
      <c r="P3691" t="s">
        <v>26</v>
      </c>
    </row>
    <row r="3692" spans="1:16" x14ac:dyDescent="0.25">
      <c r="A3692" t="s">
        <v>7920</v>
      </c>
      <c r="B3692" t="s">
        <v>7921</v>
      </c>
      <c r="C3692" t="s">
        <v>18</v>
      </c>
      <c r="D3692" t="s">
        <v>79</v>
      </c>
      <c r="E3692" t="s">
        <v>20</v>
      </c>
      <c r="F3692" t="s">
        <v>32</v>
      </c>
      <c r="G3692" t="s">
        <v>80</v>
      </c>
      <c r="H3692" t="s">
        <v>23</v>
      </c>
      <c r="I3692" t="s">
        <v>35</v>
      </c>
      <c r="J3692" t="s">
        <v>3659</v>
      </c>
      <c r="L3692">
        <v>3.8</v>
      </c>
      <c r="M3692">
        <v>232000</v>
      </c>
      <c r="N3692">
        <v>3.5</v>
      </c>
      <c r="O3692">
        <v>19</v>
      </c>
      <c r="P3692" t="s">
        <v>26</v>
      </c>
    </row>
    <row r="3693" spans="1:16" x14ac:dyDescent="0.25">
      <c r="A3693" t="s">
        <v>7922</v>
      </c>
      <c r="B3693" t="s">
        <v>7923</v>
      </c>
      <c r="C3693" t="s">
        <v>29</v>
      </c>
      <c r="D3693" t="s">
        <v>19</v>
      </c>
      <c r="E3693" t="s">
        <v>44</v>
      </c>
      <c r="G3693" t="s">
        <v>80</v>
      </c>
      <c r="H3693" t="s">
        <v>62</v>
      </c>
      <c r="I3693" t="s">
        <v>35</v>
      </c>
      <c r="J3693" t="s">
        <v>5035</v>
      </c>
      <c r="K3693" t="s">
        <v>6558</v>
      </c>
      <c r="L3693">
        <v>3.4</v>
      </c>
      <c r="M3693">
        <v>157000</v>
      </c>
      <c r="N3693">
        <v>4.5999999999999996</v>
      </c>
      <c r="O3693">
        <v>0</v>
      </c>
      <c r="P3693" t="s">
        <v>53</v>
      </c>
    </row>
    <row r="3694" spans="1:16" x14ac:dyDescent="0.25">
      <c r="A3694" t="s">
        <v>7924</v>
      </c>
      <c r="B3694" t="s">
        <v>7925</v>
      </c>
      <c r="C3694" t="s">
        <v>29</v>
      </c>
      <c r="D3694" t="s">
        <v>43</v>
      </c>
      <c r="F3694" t="s">
        <v>128</v>
      </c>
      <c r="G3694" t="s">
        <v>80</v>
      </c>
      <c r="H3694" t="s">
        <v>34</v>
      </c>
      <c r="I3694" t="s">
        <v>57</v>
      </c>
      <c r="J3694" t="s">
        <v>7926</v>
      </c>
      <c r="K3694" t="s">
        <v>3745</v>
      </c>
      <c r="L3694">
        <v>4.5999999999999996</v>
      </c>
      <c r="M3694">
        <v>535000</v>
      </c>
      <c r="N3694">
        <v>2.7</v>
      </c>
      <c r="O3694">
        <v>34</v>
      </c>
      <c r="P3694" t="s">
        <v>72</v>
      </c>
    </row>
    <row r="3695" spans="1:16" x14ac:dyDescent="0.25">
      <c r="A3695" t="s">
        <v>7927</v>
      </c>
      <c r="B3695" t="s">
        <v>7928</v>
      </c>
      <c r="C3695" t="s">
        <v>29</v>
      </c>
      <c r="D3695" t="s">
        <v>50</v>
      </c>
      <c r="E3695" t="s">
        <v>20</v>
      </c>
      <c r="F3695" t="s">
        <v>32</v>
      </c>
      <c r="G3695" t="s">
        <v>80</v>
      </c>
      <c r="H3695" t="s">
        <v>23</v>
      </c>
      <c r="I3695" t="s">
        <v>35</v>
      </c>
      <c r="J3695" t="s">
        <v>6846</v>
      </c>
      <c r="K3695" t="s">
        <v>1636</v>
      </c>
      <c r="L3695">
        <v>4.8</v>
      </c>
      <c r="M3695">
        <v>264000</v>
      </c>
      <c r="N3695">
        <v>4.9000000000000004</v>
      </c>
      <c r="O3695">
        <v>5</v>
      </c>
      <c r="P3695" t="s">
        <v>53</v>
      </c>
    </row>
    <row r="3696" spans="1:16" x14ac:dyDescent="0.25">
      <c r="A3696" t="s">
        <v>7929</v>
      </c>
      <c r="B3696" t="s">
        <v>7930</v>
      </c>
      <c r="C3696" t="s">
        <v>18</v>
      </c>
      <c r="D3696" t="s">
        <v>79</v>
      </c>
      <c r="E3696" t="s">
        <v>20</v>
      </c>
      <c r="F3696" t="s">
        <v>21</v>
      </c>
      <c r="G3696" t="s">
        <v>33</v>
      </c>
      <c r="H3696" t="s">
        <v>46</v>
      </c>
      <c r="I3696" t="s">
        <v>24</v>
      </c>
      <c r="J3696" t="s">
        <v>4805</v>
      </c>
      <c r="L3696">
        <v>5.9</v>
      </c>
      <c r="M3696">
        <v>950000</v>
      </c>
      <c r="N3696">
        <v>4.7</v>
      </c>
      <c r="O3696">
        <v>1</v>
      </c>
      <c r="P3696" t="s">
        <v>26</v>
      </c>
    </row>
    <row r="3697" spans="1:16" x14ac:dyDescent="0.25">
      <c r="A3697" t="s">
        <v>7931</v>
      </c>
      <c r="B3697" t="s">
        <v>6297</v>
      </c>
      <c r="C3697" t="s">
        <v>18</v>
      </c>
      <c r="D3697" t="s">
        <v>43</v>
      </c>
      <c r="E3697" t="s">
        <v>31</v>
      </c>
      <c r="F3697" t="s">
        <v>128</v>
      </c>
      <c r="G3697" t="s">
        <v>22</v>
      </c>
      <c r="H3697" t="s">
        <v>34</v>
      </c>
      <c r="J3697" t="s">
        <v>484</v>
      </c>
      <c r="L3697">
        <v>4.2</v>
      </c>
      <c r="M3697">
        <v>465000</v>
      </c>
      <c r="N3697">
        <v>2.2999999999999998</v>
      </c>
      <c r="O3697">
        <v>8</v>
      </c>
      <c r="P3697" t="s">
        <v>26</v>
      </c>
    </row>
    <row r="3698" spans="1:16" x14ac:dyDescent="0.25">
      <c r="A3698" t="s">
        <v>7932</v>
      </c>
      <c r="B3698" t="s">
        <v>7933</v>
      </c>
      <c r="C3698" t="s">
        <v>18</v>
      </c>
      <c r="D3698" t="s">
        <v>43</v>
      </c>
      <c r="E3698" t="s">
        <v>20</v>
      </c>
      <c r="F3698" t="s">
        <v>39</v>
      </c>
      <c r="G3698" t="s">
        <v>80</v>
      </c>
      <c r="H3698" t="s">
        <v>34</v>
      </c>
      <c r="I3698" t="s">
        <v>24</v>
      </c>
      <c r="J3698" t="s">
        <v>231</v>
      </c>
      <c r="L3698">
        <v>5.6</v>
      </c>
      <c r="M3698">
        <v>111000</v>
      </c>
      <c r="N3698">
        <v>4.5</v>
      </c>
      <c r="O3698">
        <v>14</v>
      </c>
      <c r="P3698" t="s">
        <v>26</v>
      </c>
    </row>
    <row r="3699" spans="1:16" x14ac:dyDescent="0.25">
      <c r="A3699" t="s">
        <v>7934</v>
      </c>
      <c r="B3699" t="s">
        <v>7935</v>
      </c>
      <c r="C3699" t="s">
        <v>18</v>
      </c>
      <c r="D3699" t="s">
        <v>50</v>
      </c>
      <c r="E3699" t="s">
        <v>44</v>
      </c>
      <c r="F3699" t="s">
        <v>39</v>
      </c>
      <c r="G3699" t="s">
        <v>22</v>
      </c>
      <c r="H3699" t="s">
        <v>23</v>
      </c>
      <c r="I3699" t="s">
        <v>35</v>
      </c>
      <c r="J3699" t="s">
        <v>2355</v>
      </c>
      <c r="K3699" t="s">
        <v>3514</v>
      </c>
      <c r="L3699">
        <v>6.1</v>
      </c>
      <c r="M3699">
        <v>150000</v>
      </c>
      <c r="N3699">
        <v>2.9</v>
      </c>
      <c r="O3699">
        <v>5</v>
      </c>
      <c r="P3699" t="s">
        <v>26</v>
      </c>
    </row>
    <row r="3700" spans="1:16" x14ac:dyDescent="0.25">
      <c r="A3700" t="s">
        <v>7936</v>
      </c>
      <c r="B3700" t="s">
        <v>7937</v>
      </c>
      <c r="C3700" t="s">
        <v>29</v>
      </c>
      <c r="D3700" t="s">
        <v>50</v>
      </c>
      <c r="E3700" t="s">
        <v>44</v>
      </c>
      <c r="F3700" t="s">
        <v>32</v>
      </c>
      <c r="G3700" t="s">
        <v>69</v>
      </c>
      <c r="H3700" t="s">
        <v>34</v>
      </c>
      <c r="J3700" t="s">
        <v>2759</v>
      </c>
      <c r="L3700">
        <v>4.2</v>
      </c>
      <c r="M3700">
        <v>315000</v>
      </c>
      <c r="N3700">
        <v>2.2000000000000002</v>
      </c>
      <c r="O3700">
        <v>12</v>
      </c>
      <c r="P3700" t="s">
        <v>26</v>
      </c>
    </row>
    <row r="3701" spans="1:16" x14ac:dyDescent="0.25">
      <c r="A3701" t="s">
        <v>7938</v>
      </c>
      <c r="B3701" t="s">
        <v>7939</v>
      </c>
      <c r="C3701" t="s">
        <v>29</v>
      </c>
      <c r="D3701" t="s">
        <v>50</v>
      </c>
      <c r="E3701" t="s">
        <v>20</v>
      </c>
      <c r="F3701" t="s">
        <v>32</v>
      </c>
      <c r="G3701" t="s">
        <v>22</v>
      </c>
      <c r="H3701" t="s">
        <v>34</v>
      </c>
      <c r="I3701" t="s">
        <v>24</v>
      </c>
      <c r="J3701" t="s">
        <v>3748</v>
      </c>
      <c r="L3701">
        <v>2.1</v>
      </c>
      <c r="M3701">
        <v>227000</v>
      </c>
      <c r="N3701">
        <v>2.1</v>
      </c>
      <c r="O3701">
        <v>6</v>
      </c>
      <c r="P3701" t="s">
        <v>26</v>
      </c>
    </row>
    <row r="3702" spans="1:16" x14ac:dyDescent="0.25">
      <c r="A3702" t="s">
        <v>7940</v>
      </c>
      <c r="B3702" t="s">
        <v>7941</v>
      </c>
      <c r="C3702" t="s">
        <v>29</v>
      </c>
      <c r="D3702" t="s">
        <v>30</v>
      </c>
      <c r="E3702" t="s">
        <v>31</v>
      </c>
      <c r="F3702" t="s">
        <v>32</v>
      </c>
      <c r="G3702" t="s">
        <v>22</v>
      </c>
      <c r="H3702" t="s">
        <v>34</v>
      </c>
      <c r="I3702" t="s">
        <v>57</v>
      </c>
      <c r="J3702" t="s">
        <v>7942</v>
      </c>
      <c r="K3702" t="s">
        <v>4366</v>
      </c>
      <c r="L3702">
        <v>2</v>
      </c>
      <c r="M3702">
        <v>315000</v>
      </c>
      <c r="N3702">
        <v>4.9000000000000004</v>
      </c>
      <c r="O3702">
        <v>1</v>
      </c>
      <c r="P3702" t="s">
        <v>72</v>
      </c>
    </row>
    <row r="3703" spans="1:16" x14ac:dyDescent="0.25">
      <c r="A3703" t="s">
        <v>7943</v>
      </c>
      <c r="B3703" t="s">
        <v>7586</v>
      </c>
      <c r="C3703" t="s">
        <v>18</v>
      </c>
      <c r="D3703" t="s">
        <v>50</v>
      </c>
      <c r="E3703" t="s">
        <v>20</v>
      </c>
      <c r="F3703" t="s">
        <v>39</v>
      </c>
      <c r="G3703" t="s">
        <v>33</v>
      </c>
      <c r="H3703" t="s">
        <v>23</v>
      </c>
      <c r="I3703" t="s">
        <v>24</v>
      </c>
      <c r="J3703" t="s">
        <v>7944</v>
      </c>
      <c r="L3703">
        <v>5.4</v>
      </c>
      <c r="M3703">
        <v>169000</v>
      </c>
      <c r="N3703">
        <v>2.4</v>
      </c>
      <c r="O3703">
        <v>8</v>
      </c>
      <c r="P3703" t="s">
        <v>26</v>
      </c>
    </row>
    <row r="3704" spans="1:16" x14ac:dyDescent="0.25">
      <c r="A3704" t="s">
        <v>7945</v>
      </c>
      <c r="B3704" t="s">
        <v>444</v>
      </c>
      <c r="C3704" t="s">
        <v>29</v>
      </c>
      <c r="D3704" t="s">
        <v>30</v>
      </c>
      <c r="E3704" t="s">
        <v>20</v>
      </c>
      <c r="F3704" t="s">
        <v>39</v>
      </c>
      <c r="G3704" t="s">
        <v>22</v>
      </c>
      <c r="H3704" t="s">
        <v>34</v>
      </c>
      <c r="I3704" t="s">
        <v>171</v>
      </c>
      <c r="J3704" t="s">
        <v>2584</v>
      </c>
      <c r="L3704">
        <v>2.2999999999999998</v>
      </c>
      <c r="M3704">
        <v>158000</v>
      </c>
      <c r="N3704">
        <v>2.1</v>
      </c>
      <c r="O3704">
        <v>9</v>
      </c>
      <c r="P3704" t="s">
        <v>26</v>
      </c>
    </row>
    <row r="3705" spans="1:16" x14ac:dyDescent="0.25">
      <c r="A3705" t="s">
        <v>7415</v>
      </c>
      <c r="B3705" t="s">
        <v>2668</v>
      </c>
      <c r="C3705" t="s">
        <v>18</v>
      </c>
      <c r="D3705" t="s">
        <v>79</v>
      </c>
      <c r="E3705" t="s">
        <v>20</v>
      </c>
      <c r="F3705" t="s">
        <v>45</v>
      </c>
      <c r="G3705" t="s">
        <v>22</v>
      </c>
      <c r="H3705" t="s">
        <v>46</v>
      </c>
      <c r="I3705" t="s">
        <v>35</v>
      </c>
      <c r="J3705" t="s">
        <v>1571</v>
      </c>
      <c r="K3705" t="s">
        <v>2439</v>
      </c>
      <c r="L3705">
        <v>3.8</v>
      </c>
      <c r="M3705">
        <v>1124000</v>
      </c>
      <c r="N3705">
        <v>3.4</v>
      </c>
      <c r="O3705">
        <v>6</v>
      </c>
      <c r="P3705" t="s">
        <v>53</v>
      </c>
    </row>
    <row r="3706" spans="1:16" x14ac:dyDescent="0.25">
      <c r="A3706" t="s">
        <v>7946</v>
      </c>
      <c r="B3706" t="s">
        <v>3524</v>
      </c>
      <c r="C3706" t="s">
        <v>29</v>
      </c>
      <c r="D3706" t="s">
        <v>50</v>
      </c>
      <c r="E3706" t="s">
        <v>20</v>
      </c>
      <c r="F3706" t="s">
        <v>39</v>
      </c>
      <c r="G3706" t="s">
        <v>80</v>
      </c>
      <c r="H3706" t="s">
        <v>23</v>
      </c>
      <c r="J3706" t="s">
        <v>1098</v>
      </c>
      <c r="L3706">
        <v>3.5</v>
      </c>
      <c r="M3706">
        <v>174000</v>
      </c>
      <c r="N3706">
        <v>4.5999999999999996</v>
      </c>
      <c r="O3706">
        <v>21</v>
      </c>
      <c r="P3706" t="s">
        <v>53</v>
      </c>
    </row>
    <row r="3707" spans="1:16" x14ac:dyDescent="0.25">
      <c r="A3707" t="s">
        <v>7947</v>
      </c>
      <c r="B3707" t="s">
        <v>1940</v>
      </c>
      <c r="C3707" t="s">
        <v>18</v>
      </c>
      <c r="D3707" t="s">
        <v>30</v>
      </c>
      <c r="E3707" t="s">
        <v>44</v>
      </c>
      <c r="F3707" t="s">
        <v>128</v>
      </c>
      <c r="G3707" t="s">
        <v>80</v>
      </c>
      <c r="H3707" t="s">
        <v>23</v>
      </c>
      <c r="I3707" t="s">
        <v>35</v>
      </c>
      <c r="J3707" t="s">
        <v>5437</v>
      </c>
      <c r="K3707" t="s">
        <v>6732</v>
      </c>
      <c r="L3707">
        <v>1.6</v>
      </c>
      <c r="M3707">
        <v>429000</v>
      </c>
      <c r="N3707">
        <v>3.7</v>
      </c>
      <c r="O3707">
        <v>7</v>
      </c>
      <c r="P3707" t="s">
        <v>53</v>
      </c>
    </row>
    <row r="3708" spans="1:16" x14ac:dyDescent="0.25">
      <c r="A3708" t="s">
        <v>7948</v>
      </c>
      <c r="B3708" t="s">
        <v>2661</v>
      </c>
      <c r="C3708" t="s">
        <v>29</v>
      </c>
      <c r="D3708" t="s">
        <v>19</v>
      </c>
      <c r="E3708" t="s">
        <v>31</v>
      </c>
      <c r="F3708" t="s">
        <v>39</v>
      </c>
      <c r="G3708" t="s">
        <v>33</v>
      </c>
      <c r="H3708" t="s">
        <v>23</v>
      </c>
      <c r="I3708" t="s">
        <v>24</v>
      </c>
      <c r="J3708" t="s">
        <v>6585</v>
      </c>
      <c r="L3708">
        <v>3.8</v>
      </c>
      <c r="N3708">
        <v>3.5</v>
      </c>
      <c r="O3708">
        <v>4</v>
      </c>
      <c r="P3708" t="s">
        <v>26</v>
      </c>
    </row>
    <row r="3709" spans="1:16" x14ac:dyDescent="0.25">
      <c r="A3709" t="s">
        <v>7949</v>
      </c>
      <c r="B3709" t="s">
        <v>2501</v>
      </c>
      <c r="C3709" t="s">
        <v>29</v>
      </c>
      <c r="D3709" t="s">
        <v>30</v>
      </c>
      <c r="E3709" t="s">
        <v>20</v>
      </c>
      <c r="F3709" t="s">
        <v>32</v>
      </c>
      <c r="G3709" t="s">
        <v>22</v>
      </c>
      <c r="H3709" t="s">
        <v>23</v>
      </c>
      <c r="I3709" t="s">
        <v>24</v>
      </c>
      <c r="J3709" t="s">
        <v>1401</v>
      </c>
      <c r="L3709">
        <v>3.8</v>
      </c>
      <c r="M3709">
        <v>223000</v>
      </c>
      <c r="N3709">
        <v>2</v>
      </c>
      <c r="O3709">
        <v>4</v>
      </c>
      <c r="P3709" t="s">
        <v>26</v>
      </c>
    </row>
    <row r="3710" spans="1:16" x14ac:dyDescent="0.25">
      <c r="A3710" t="s">
        <v>7950</v>
      </c>
      <c r="B3710" t="s">
        <v>3072</v>
      </c>
      <c r="C3710" t="s">
        <v>18</v>
      </c>
      <c r="D3710" t="s">
        <v>43</v>
      </c>
      <c r="E3710" t="s">
        <v>20</v>
      </c>
      <c r="F3710" t="s">
        <v>39</v>
      </c>
      <c r="G3710" t="s">
        <v>22</v>
      </c>
      <c r="H3710" t="s">
        <v>34</v>
      </c>
      <c r="I3710" t="s">
        <v>24</v>
      </c>
      <c r="J3710" t="s">
        <v>1260</v>
      </c>
      <c r="L3710">
        <v>2.2000000000000002</v>
      </c>
      <c r="M3710">
        <v>95000</v>
      </c>
      <c r="N3710">
        <v>3.3</v>
      </c>
      <c r="O3710">
        <v>3</v>
      </c>
      <c r="P3710" t="s">
        <v>26</v>
      </c>
    </row>
    <row r="3711" spans="1:16" x14ac:dyDescent="0.25">
      <c r="A3711" t="s">
        <v>7951</v>
      </c>
      <c r="B3711" t="s">
        <v>7952</v>
      </c>
      <c r="C3711" t="s">
        <v>18</v>
      </c>
      <c r="D3711" t="s">
        <v>19</v>
      </c>
      <c r="E3711" t="s">
        <v>20</v>
      </c>
      <c r="F3711" t="s">
        <v>39</v>
      </c>
      <c r="G3711" t="s">
        <v>80</v>
      </c>
      <c r="H3711" t="s">
        <v>46</v>
      </c>
      <c r="I3711" t="s">
        <v>24</v>
      </c>
      <c r="J3711" t="s">
        <v>140</v>
      </c>
      <c r="K3711" t="s">
        <v>7953</v>
      </c>
      <c r="L3711">
        <v>3.1</v>
      </c>
      <c r="M3711">
        <v>191000</v>
      </c>
      <c r="N3711">
        <v>2.9</v>
      </c>
      <c r="O3711">
        <v>11</v>
      </c>
      <c r="P3711" t="s">
        <v>72</v>
      </c>
    </row>
    <row r="3712" spans="1:16" x14ac:dyDescent="0.25">
      <c r="A3712" t="s">
        <v>7954</v>
      </c>
      <c r="B3712" t="s">
        <v>1926</v>
      </c>
      <c r="C3712" t="s">
        <v>29</v>
      </c>
      <c r="D3712" t="s">
        <v>43</v>
      </c>
      <c r="E3712" t="s">
        <v>20</v>
      </c>
      <c r="F3712" t="s">
        <v>32</v>
      </c>
      <c r="G3712" t="s">
        <v>80</v>
      </c>
      <c r="H3712" t="s">
        <v>23</v>
      </c>
      <c r="I3712" t="s">
        <v>57</v>
      </c>
      <c r="J3712" t="s">
        <v>1554</v>
      </c>
      <c r="L3712">
        <v>3.2</v>
      </c>
      <c r="M3712">
        <v>286000</v>
      </c>
      <c r="N3712">
        <v>3.2</v>
      </c>
      <c r="O3712">
        <v>9</v>
      </c>
      <c r="P3712" t="s">
        <v>26</v>
      </c>
    </row>
    <row r="3713" spans="1:16" x14ac:dyDescent="0.25">
      <c r="A3713" t="s">
        <v>7955</v>
      </c>
      <c r="B3713" t="s">
        <v>7956</v>
      </c>
      <c r="C3713" t="s">
        <v>29</v>
      </c>
      <c r="D3713" t="s">
        <v>30</v>
      </c>
      <c r="E3713" t="s">
        <v>20</v>
      </c>
      <c r="F3713" t="s">
        <v>39</v>
      </c>
      <c r="G3713" t="s">
        <v>33</v>
      </c>
      <c r="H3713" t="s">
        <v>23</v>
      </c>
      <c r="I3713" t="s">
        <v>57</v>
      </c>
      <c r="J3713" t="s">
        <v>2956</v>
      </c>
      <c r="K3713" t="s">
        <v>381</v>
      </c>
      <c r="L3713">
        <v>4.8</v>
      </c>
      <c r="M3713">
        <v>119000</v>
      </c>
      <c r="N3713">
        <v>2.8</v>
      </c>
      <c r="O3713">
        <v>18</v>
      </c>
      <c r="P3713" t="s">
        <v>53</v>
      </c>
    </row>
    <row r="3714" spans="1:16" x14ac:dyDescent="0.25">
      <c r="A3714" t="s">
        <v>7957</v>
      </c>
      <c r="B3714" t="s">
        <v>7958</v>
      </c>
      <c r="C3714" t="s">
        <v>18</v>
      </c>
      <c r="D3714" t="s">
        <v>79</v>
      </c>
      <c r="E3714" t="s">
        <v>20</v>
      </c>
      <c r="F3714" t="s">
        <v>32</v>
      </c>
      <c r="G3714" t="s">
        <v>22</v>
      </c>
      <c r="H3714" t="s">
        <v>34</v>
      </c>
      <c r="I3714" t="s">
        <v>75</v>
      </c>
      <c r="J3714" t="s">
        <v>3748</v>
      </c>
      <c r="L3714">
        <v>2.1</v>
      </c>
      <c r="M3714">
        <v>301000</v>
      </c>
      <c r="N3714">
        <v>3.1</v>
      </c>
      <c r="O3714">
        <v>2</v>
      </c>
      <c r="P3714" t="s">
        <v>26</v>
      </c>
    </row>
    <row r="3715" spans="1:16" x14ac:dyDescent="0.25">
      <c r="A3715" t="s">
        <v>7959</v>
      </c>
      <c r="B3715" t="s">
        <v>5688</v>
      </c>
      <c r="C3715" t="s">
        <v>18</v>
      </c>
      <c r="D3715" t="s">
        <v>19</v>
      </c>
      <c r="E3715" t="s">
        <v>44</v>
      </c>
      <c r="F3715" t="s">
        <v>128</v>
      </c>
      <c r="G3715" t="s">
        <v>80</v>
      </c>
      <c r="H3715" t="s">
        <v>23</v>
      </c>
      <c r="I3715" t="s">
        <v>57</v>
      </c>
      <c r="J3715" t="s">
        <v>6765</v>
      </c>
      <c r="L3715">
        <v>2.1</v>
      </c>
      <c r="M3715">
        <v>641000</v>
      </c>
      <c r="N3715">
        <v>4.0999999999999996</v>
      </c>
      <c r="O3715">
        <v>4</v>
      </c>
      <c r="P3715" t="s">
        <v>26</v>
      </c>
    </row>
    <row r="3716" spans="1:16" x14ac:dyDescent="0.25">
      <c r="A3716" t="s">
        <v>7960</v>
      </c>
      <c r="B3716" t="s">
        <v>7154</v>
      </c>
      <c r="C3716" t="s">
        <v>18</v>
      </c>
      <c r="D3716" t="s">
        <v>30</v>
      </c>
      <c r="E3716" t="s">
        <v>20</v>
      </c>
      <c r="F3716" t="s">
        <v>39</v>
      </c>
      <c r="G3716" t="s">
        <v>80</v>
      </c>
      <c r="H3716" t="s">
        <v>23</v>
      </c>
      <c r="I3716" t="s">
        <v>57</v>
      </c>
      <c r="J3716" t="s">
        <v>199</v>
      </c>
      <c r="L3716">
        <v>4.3</v>
      </c>
      <c r="M3716">
        <v>179000</v>
      </c>
      <c r="N3716">
        <v>2.5</v>
      </c>
      <c r="O3716">
        <v>12</v>
      </c>
      <c r="P3716" t="s">
        <v>26</v>
      </c>
    </row>
    <row r="3717" spans="1:16" x14ac:dyDescent="0.25">
      <c r="A3717" t="s">
        <v>7961</v>
      </c>
      <c r="B3717" t="s">
        <v>3263</v>
      </c>
      <c r="C3717" t="s">
        <v>18</v>
      </c>
      <c r="D3717" t="s">
        <v>50</v>
      </c>
      <c r="E3717" t="s">
        <v>20</v>
      </c>
      <c r="F3717" t="s">
        <v>128</v>
      </c>
      <c r="G3717" t="s">
        <v>69</v>
      </c>
      <c r="H3717" t="s">
        <v>34</v>
      </c>
      <c r="I3717" t="s">
        <v>57</v>
      </c>
      <c r="J3717" t="s">
        <v>121</v>
      </c>
      <c r="L3717">
        <v>2.4</v>
      </c>
      <c r="M3717">
        <v>570000</v>
      </c>
      <c r="N3717">
        <v>4.9000000000000004</v>
      </c>
      <c r="O3717">
        <v>14</v>
      </c>
      <c r="P3717" t="s">
        <v>26</v>
      </c>
    </row>
    <row r="3718" spans="1:16" x14ac:dyDescent="0.25">
      <c r="A3718" t="s">
        <v>7962</v>
      </c>
      <c r="B3718" t="s">
        <v>7963</v>
      </c>
      <c r="C3718" t="s">
        <v>18</v>
      </c>
      <c r="D3718" t="s">
        <v>30</v>
      </c>
      <c r="E3718" t="s">
        <v>31</v>
      </c>
      <c r="F3718" t="s">
        <v>128</v>
      </c>
      <c r="G3718" t="s">
        <v>22</v>
      </c>
      <c r="H3718" t="s">
        <v>34</v>
      </c>
      <c r="I3718" t="s">
        <v>24</v>
      </c>
      <c r="J3718" t="s">
        <v>1095</v>
      </c>
      <c r="K3718" t="s">
        <v>2326</v>
      </c>
      <c r="L3718">
        <v>4.7</v>
      </c>
      <c r="M3718">
        <v>596000</v>
      </c>
      <c r="O3718">
        <v>6</v>
      </c>
      <c r="P3718" t="s">
        <v>53</v>
      </c>
    </row>
    <row r="3719" spans="1:16" x14ac:dyDescent="0.25">
      <c r="A3719" t="s">
        <v>7964</v>
      </c>
      <c r="B3719" t="s">
        <v>7347</v>
      </c>
      <c r="C3719" t="s">
        <v>29</v>
      </c>
      <c r="D3719" t="s">
        <v>50</v>
      </c>
      <c r="E3719" t="s">
        <v>44</v>
      </c>
      <c r="F3719" t="s">
        <v>39</v>
      </c>
      <c r="G3719" t="s">
        <v>22</v>
      </c>
      <c r="H3719" t="s">
        <v>34</v>
      </c>
      <c r="I3719" t="s">
        <v>75</v>
      </c>
      <c r="J3719" t="s">
        <v>7095</v>
      </c>
      <c r="K3719" t="s">
        <v>449</v>
      </c>
      <c r="L3719">
        <v>2.4</v>
      </c>
      <c r="M3719">
        <v>109000</v>
      </c>
      <c r="N3719">
        <v>2.2999999999999998</v>
      </c>
      <c r="O3719">
        <v>1</v>
      </c>
      <c r="P3719" t="s">
        <v>72</v>
      </c>
    </row>
    <row r="3720" spans="1:16" x14ac:dyDescent="0.25">
      <c r="A3720" t="s">
        <v>7965</v>
      </c>
      <c r="B3720" t="s">
        <v>548</v>
      </c>
      <c r="C3720" t="s">
        <v>18</v>
      </c>
      <c r="D3720" t="s">
        <v>19</v>
      </c>
      <c r="E3720" t="s">
        <v>44</v>
      </c>
      <c r="F3720" t="s">
        <v>39</v>
      </c>
      <c r="G3720" t="s">
        <v>33</v>
      </c>
      <c r="H3720" t="s">
        <v>23</v>
      </c>
      <c r="I3720" t="s">
        <v>75</v>
      </c>
      <c r="J3720" t="s">
        <v>2385</v>
      </c>
      <c r="K3720" t="s">
        <v>6400</v>
      </c>
      <c r="L3720">
        <v>1.6</v>
      </c>
      <c r="M3720">
        <v>198000</v>
      </c>
      <c r="N3720">
        <v>4.4000000000000004</v>
      </c>
      <c r="O3720">
        <v>4</v>
      </c>
      <c r="P3720" t="s">
        <v>53</v>
      </c>
    </row>
    <row r="3721" spans="1:16" x14ac:dyDescent="0.25">
      <c r="A3721" t="s">
        <v>7966</v>
      </c>
      <c r="B3721" t="s">
        <v>60</v>
      </c>
      <c r="C3721" t="s">
        <v>18</v>
      </c>
      <c r="D3721" t="s">
        <v>50</v>
      </c>
      <c r="E3721" t="s">
        <v>20</v>
      </c>
      <c r="F3721" t="s">
        <v>32</v>
      </c>
      <c r="G3721" t="s">
        <v>33</v>
      </c>
      <c r="H3721" t="s">
        <v>46</v>
      </c>
      <c r="I3721" t="s">
        <v>24</v>
      </c>
      <c r="J3721" t="s">
        <v>6496</v>
      </c>
      <c r="L3721">
        <v>1.7</v>
      </c>
      <c r="M3721">
        <v>249000</v>
      </c>
      <c r="N3721">
        <v>2.2999999999999998</v>
      </c>
      <c r="O3721">
        <v>5</v>
      </c>
      <c r="P3721" t="s">
        <v>26</v>
      </c>
    </row>
    <row r="3722" spans="1:16" x14ac:dyDescent="0.25">
      <c r="A3722" t="s">
        <v>7967</v>
      </c>
      <c r="B3722" t="s">
        <v>7968</v>
      </c>
      <c r="C3722" t="s">
        <v>18</v>
      </c>
      <c r="D3722" t="s">
        <v>30</v>
      </c>
      <c r="E3722" t="s">
        <v>20</v>
      </c>
      <c r="F3722" t="s">
        <v>32</v>
      </c>
      <c r="G3722" t="s">
        <v>33</v>
      </c>
      <c r="H3722" t="s">
        <v>62</v>
      </c>
      <c r="I3722" t="s">
        <v>24</v>
      </c>
      <c r="J3722" t="s">
        <v>6859</v>
      </c>
      <c r="L3722">
        <v>4.2</v>
      </c>
      <c r="M3722">
        <v>186000</v>
      </c>
      <c r="N3722">
        <v>1.8</v>
      </c>
      <c r="O3722">
        <v>6</v>
      </c>
      <c r="P3722" t="s">
        <v>26</v>
      </c>
    </row>
    <row r="3723" spans="1:16" x14ac:dyDescent="0.25">
      <c r="A3723" t="s">
        <v>7969</v>
      </c>
      <c r="B3723" t="s">
        <v>7970</v>
      </c>
      <c r="C3723" t="s">
        <v>18</v>
      </c>
      <c r="D3723" t="s">
        <v>79</v>
      </c>
      <c r="E3723" t="s">
        <v>20</v>
      </c>
      <c r="F3723" t="s">
        <v>39</v>
      </c>
      <c r="G3723" t="s">
        <v>22</v>
      </c>
      <c r="H3723" t="s">
        <v>46</v>
      </c>
      <c r="I3723" t="s">
        <v>24</v>
      </c>
      <c r="J3723" t="s">
        <v>2579</v>
      </c>
      <c r="K3723" t="s">
        <v>7971</v>
      </c>
      <c r="L3723">
        <v>3.7</v>
      </c>
      <c r="M3723">
        <v>136000</v>
      </c>
      <c r="N3723">
        <v>3.1</v>
      </c>
      <c r="O3723">
        <v>12</v>
      </c>
      <c r="P3723" t="s">
        <v>114</v>
      </c>
    </row>
    <row r="3724" spans="1:16" x14ac:dyDescent="0.25">
      <c r="A3724" t="s">
        <v>7972</v>
      </c>
      <c r="B3724" t="s">
        <v>5851</v>
      </c>
      <c r="C3724" t="s">
        <v>18</v>
      </c>
      <c r="D3724" t="s">
        <v>79</v>
      </c>
      <c r="E3724" t="s">
        <v>20</v>
      </c>
      <c r="F3724" t="s">
        <v>128</v>
      </c>
      <c r="G3724" t="s">
        <v>33</v>
      </c>
      <c r="H3724" t="s">
        <v>23</v>
      </c>
      <c r="I3724" t="s">
        <v>35</v>
      </c>
      <c r="J3724" t="s">
        <v>5876</v>
      </c>
      <c r="L3724">
        <v>4.5999999999999996</v>
      </c>
      <c r="M3724">
        <v>433000</v>
      </c>
      <c r="N3724">
        <v>2.2999999999999998</v>
      </c>
      <c r="O3724">
        <v>12</v>
      </c>
      <c r="P3724" t="s">
        <v>26</v>
      </c>
    </row>
    <row r="3725" spans="1:16" x14ac:dyDescent="0.25">
      <c r="A3725" t="s">
        <v>7973</v>
      </c>
      <c r="B3725" t="s">
        <v>5839</v>
      </c>
      <c r="C3725" t="s">
        <v>29</v>
      </c>
      <c r="D3725" t="s">
        <v>50</v>
      </c>
      <c r="E3725" t="s">
        <v>44</v>
      </c>
      <c r="F3725" t="s">
        <v>39</v>
      </c>
      <c r="G3725" t="s">
        <v>69</v>
      </c>
      <c r="H3725" t="s">
        <v>46</v>
      </c>
      <c r="I3725" t="s">
        <v>57</v>
      </c>
      <c r="J3725" t="s">
        <v>794</v>
      </c>
      <c r="L3725">
        <v>2.6</v>
      </c>
      <c r="M3725">
        <v>134000</v>
      </c>
      <c r="N3725">
        <v>4.3</v>
      </c>
      <c r="O3725">
        <v>27</v>
      </c>
      <c r="P3725" t="s">
        <v>26</v>
      </c>
    </row>
    <row r="3726" spans="1:16" x14ac:dyDescent="0.25">
      <c r="A3726" t="s">
        <v>7974</v>
      </c>
      <c r="B3726" t="s">
        <v>6488</v>
      </c>
      <c r="C3726" t="s">
        <v>29</v>
      </c>
      <c r="D3726" t="s">
        <v>19</v>
      </c>
      <c r="E3726" t="s">
        <v>20</v>
      </c>
      <c r="F3726" t="s">
        <v>39</v>
      </c>
      <c r="G3726" t="s">
        <v>22</v>
      </c>
      <c r="H3726" t="s">
        <v>23</v>
      </c>
      <c r="I3726" t="s">
        <v>24</v>
      </c>
      <c r="J3726" t="s">
        <v>4313</v>
      </c>
      <c r="L3726">
        <v>5.3</v>
      </c>
      <c r="M3726">
        <v>117000</v>
      </c>
      <c r="N3726">
        <v>3.1</v>
      </c>
      <c r="O3726">
        <v>14</v>
      </c>
      <c r="P3726" t="s">
        <v>26</v>
      </c>
    </row>
    <row r="3727" spans="1:16" x14ac:dyDescent="0.25">
      <c r="A3727" t="s">
        <v>7975</v>
      </c>
      <c r="B3727" t="s">
        <v>1667</v>
      </c>
      <c r="C3727" t="s">
        <v>29</v>
      </c>
      <c r="D3727" t="s">
        <v>50</v>
      </c>
      <c r="E3727" t="s">
        <v>20</v>
      </c>
      <c r="F3727" t="s">
        <v>39</v>
      </c>
      <c r="G3727" t="s">
        <v>33</v>
      </c>
      <c r="H3727" t="s">
        <v>34</v>
      </c>
      <c r="I3727" t="s">
        <v>24</v>
      </c>
      <c r="J3727" t="s">
        <v>610</v>
      </c>
      <c r="L3727">
        <v>1.9</v>
      </c>
      <c r="M3727">
        <v>102000</v>
      </c>
      <c r="N3727">
        <v>3</v>
      </c>
      <c r="O3727">
        <v>11</v>
      </c>
      <c r="P3727" t="s">
        <v>26</v>
      </c>
    </row>
    <row r="3728" spans="1:16" x14ac:dyDescent="0.25">
      <c r="A3728" t="s">
        <v>7976</v>
      </c>
      <c r="B3728" t="s">
        <v>4609</v>
      </c>
      <c r="C3728" t="s">
        <v>29</v>
      </c>
      <c r="D3728" t="s">
        <v>43</v>
      </c>
      <c r="F3728" t="s">
        <v>32</v>
      </c>
      <c r="G3728" t="s">
        <v>80</v>
      </c>
      <c r="H3728" t="s">
        <v>23</v>
      </c>
      <c r="I3728" t="s">
        <v>75</v>
      </c>
      <c r="J3728" t="s">
        <v>2521</v>
      </c>
      <c r="L3728">
        <v>2.5</v>
      </c>
      <c r="M3728">
        <v>306000</v>
      </c>
      <c r="N3728">
        <v>2.4</v>
      </c>
      <c r="O3728">
        <v>7</v>
      </c>
      <c r="P3728" t="s">
        <v>26</v>
      </c>
    </row>
    <row r="3729" spans="1:16" x14ac:dyDescent="0.25">
      <c r="A3729" t="s">
        <v>7977</v>
      </c>
      <c r="B3729" t="s">
        <v>7978</v>
      </c>
      <c r="C3729" t="s">
        <v>18</v>
      </c>
      <c r="D3729" t="s">
        <v>30</v>
      </c>
      <c r="E3729" t="s">
        <v>20</v>
      </c>
      <c r="F3729" t="s">
        <v>32</v>
      </c>
      <c r="G3729" t="s">
        <v>22</v>
      </c>
      <c r="H3729" t="s">
        <v>34</v>
      </c>
      <c r="I3729" t="s">
        <v>24</v>
      </c>
      <c r="J3729" t="s">
        <v>2355</v>
      </c>
      <c r="K3729" t="s">
        <v>1963</v>
      </c>
      <c r="L3729">
        <v>6.1</v>
      </c>
      <c r="M3729">
        <v>283000</v>
      </c>
      <c r="N3729">
        <v>4.9000000000000004</v>
      </c>
      <c r="O3729">
        <v>34</v>
      </c>
      <c r="P3729" t="s">
        <v>72</v>
      </c>
    </row>
    <row r="3730" spans="1:16" x14ac:dyDescent="0.25">
      <c r="A3730" t="s">
        <v>7979</v>
      </c>
      <c r="B3730" t="s">
        <v>7444</v>
      </c>
      <c r="C3730" t="s">
        <v>29</v>
      </c>
      <c r="D3730" t="s">
        <v>79</v>
      </c>
      <c r="E3730" t="s">
        <v>20</v>
      </c>
      <c r="F3730" t="s">
        <v>32</v>
      </c>
      <c r="G3730" t="s">
        <v>22</v>
      </c>
      <c r="H3730" t="s">
        <v>46</v>
      </c>
      <c r="I3730" t="s">
        <v>57</v>
      </c>
      <c r="J3730" t="s">
        <v>1385</v>
      </c>
      <c r="L3730">
        <v>3.6</v>
      </c>
      <c r="M3730">
        <v>331000</v>
      </c>
      <c r="N3730">
        <v>4.3</v>
      </c>
      <c r="O3730">
        <v>1</v>
      </c>
      <c r="P3730" t="s">
        <v>26</v>
      </c>
    </row>
    <row r="3731" spans="1:16" x14ac:dyDescent="0.25">
      <c r="A3731" t="s">
        <v>7980</v>
      </c>
      <c r="B3731" t="s">
        <v>6499</v>
      </c>
      <c r="C3731" t="s">
        <v>18</v>
      </c>
      <c r="D3731" t="s">
        <v>19</v>
      </c>
      <c r="E3731" t="s">
        <v>44</v>
      </c>
      <c r="F3731" t="s">
        <v>39</v>
      </c>
      <c r="G3731" t="s">
        <v>33</v>
      </c>
      <c r="H3731" t="s">
        <v>34</v>
      </c>
      <c r="I3731" t="s">
        <v>24</v>
      </c>
      <c r="J3731" t="s">
        <v>1041</v>
      </c>
      <c r="L3731">
        <v>4.7</v>
      </c>
      <c r="M3731">
        <v>170000</v>
      </c>
      <c r="N3731">
        <v>2.1</v>
      </c>
      <c r="O3731">
        <v>13</v>
      </c>
      <c r="P3731" t="s">
        <v>26</v>
      </c>
    </row>
    <row r="3732" spans="1:16" x14ac:dyDescent="0.25">
      <c r="A3732" t="s">
        <v>7981</v>
      </c>
      <c r="B3732" t="s">
        <v>7982</v>
      </c>
      <c r="C3732" t="s">
        <v>18</v>
      </c>
      <c r="D3732" t="s">
        <v>43</v>
      </c>
      <c r="E3732" t="s">
        <v>20</v>
      </c>
      <c r="F3732" t="s">
        <v>32</v>
      </c>
      <c r="G3732" t="s">
        <v>80</v>
      </c>
      <c r="H3732" t="s">
        <v>34</v>
      </c>
      <c r="I3732" t="s">
        <v>57</v>
      </c>
      <c r="J3732" t="s">
        <v>1303</v>
      </c>
      <c r="K3732" t="s">
        <v>5679</v>
      </c>
      <c r="L3732">
        <v>5.7</v>
      </c>
      <c r="M3732">
        <v>296000</v>
      </c>
      <c r="N3732">
        <v>4.0999999999999996</v>
      </c>
      <c r="O3732">
        <v>10</v>
      </c>
      <c r="P3732" t="s">
        <v>72</v>
      </c>
    </row>
    <row r="3733" spans="1:16" x14ac:dyDescent="0.25">
      <c r="A3733" t="s">
        <v>7983</v>
      </c>
      <c r="B3733" t="s">
        <v>5276</v>
      </c>
      <c r="D3733" t="s">
        <v>79</v>
      </c>
      <c r="E3733" t="s">
        <v>20</v>
      </c>
      <c r="F3733" t="s">
        <v>39</v>
      </c>
      <c r="G3733" t="s">
        <v>22</v>
      </c>
      <c r="H3733" t="s">
        <v>34</v>
      </c>
      <c r="I3733" t="s">
        <v>24</v>
      </c>
      <c r="J3733" t="s">
        <v>2166</v>
      </c>
      <c r="L3733">
        <v>3.7</v>
      </c>
      <c r="M3733">
        <v>110000</v>
      </c>
      <c r="N3733">
        <v>2.6</v>
      </c>
      <c r="O3733">
        <v>10</v>
      </c>
      <c r="P3733" t="s">
        <v>26</v>
      </c>
    </row>
    <row r="3734" spans="1:16" x14ac:dyDescent="0.25">
      <c r="A3734" t="s">
        <v>7984</v>
      </c>
      <c r="B3734" t="s">
        <v>7985</v>
      </c>
      <c r="C3734" t="s">
        <v>29</v>
      </c>
      <c r="D3734" t="s">
        <v>43</v>
      </c>
      <c r="E3734" t="s">
        <v>20</v>
      </c>
      <c r="F3734" t="s">
        <v>32</v>
      </c>
      <c r="G3734" t="s">
        <v>22</v>
      </c>
      <c r="H3734" t="s">
        <v>23</v>
      </c>
      <c r="I3734" t="s">
        <v>24</v>
      </c>
      <c r="J3734" t="s">
        <v>7986</v>
      </c>
      <c r="K3734" t="s">
        <v>4409</v>
      </c>
      <c r="L3734">
        <v>5.6</v>
      </c>
      <c r="M3734">
        <v>185000</v>
      </c>
      <c r="N3734">
        <v>2.5</v>
      </c>
      <c r="O3734">
        <v>6</v>
      </c>
      <c r="P3734" t="s">
        <v>72</v>
      </c>
    </row>
    <row r="3735" spans="1:16" x14ac:dyDescent="0.25">
      <c r="A3735" t="s">
        <v>7987</v>
      </c>
      <c r="B3735" t="s">
        <v>7988</v>
      </c>
      <c r="C3735" t="s">
        <v>18</v>
      </c>
      <c r="D3735" t="s">
        <v>43</v>
      </c>
      <c r="E3735" t="s">
        <v>31</v>
      </c>
      <c r="F3735" t="s">
        <v>39</v>
      </c>
      <c r="G3735" t="s">
        <v>22</v>
      </c>
      <c r="H3735" t="s">
        <v>62</v>
      </c>
      <c r="I3735" t="s">
        <v>24</v>
      </c>
      <c r="J3735" t="s">
        <v>5990</v>
      </c>
      <c r="K3735" t="s">
        <v>7989</v>
      </c>
      <c r="L3735">
        <v>1.8</v>
      </c>
      <c r="M3735">
        <v>144000</v>
      </c>
      <c r="O3735">
        <v>14</v>
      </c>
      <c r="P3735" t="s">
        <v>53</v>
      </c>
    </row>
    <row r="3736" spans="1:16" x14ac:dyDescent="0.25">
      <c r="A3736" t="s">
        <v>7990</v>
      </c>
      <c r="B3736" t="s">
        <v>7991</v>
      </c>
      <c r="C3736" t="s">
        <v>18</v>
      </c>
      <c r="D3736" t="s">
        <v>50</v>
      </c>
      <c r="E3736" t="s">
        <v>20</v>
      </c>
      <c r="F3736" t="s">
        <v>32</v>
      </c>
      <c r="G3736" t="s">
        <v>22</v>
      </c>
      <c r="H3736" t="s">
        <v>62</v>
      </c>
      <c r="I3736" t="s">
        <v>24</v>
      </c>
      <c r="J3736" t="s">
        <v>2381</v>
      </c>
      <c r="L3736">
        <v>3.3</v>
      </c>
      <c r="M3736">
        <v>236000</v>
      </c>
      <c r="N3736">
        <v>2.9</v>
      </c>
      <c r="P3736" t="s">
        <v>26</v>
      </c>
    </row>
    <row r="3737" spans="1:16" x14ac:dyDescent="0.25">
      <c r="A3737" t="s">
        <v>7992</v>
      </c>
      <c r="B3737" t="s">
        <v>942</v>
      </c>
      <c r="C3737" t="s">
        <v>18</v>
      </c>
      <c r="D3737" t="s">
        <v>43</v>
      </c>
      <c r="E3737" t="s">
        <v>20</v>
      </c>
      <c r="F3737" t="s">
        <v>128</v>
      </c>
      <c r="G3737" t="s">
        <v>33</v>
      </c>
      <c r="H3737" t="s">
        <v>34</v>
      </c>
      <c r="I3737" t="s">
        <v>24</v>
      </c>
      <c r="J3737" t="s">
        <v>2521</v>
      </c>
      <c r="K3737" t="s">
        <v>3514</v>
      </c>
      <c r="L3737">
        <v>2.5</v>
      </c>
      <c r="M3737">
        <v>350000</v>
      </c>
      <c r="N3737">
        <v>4</v>
      </c>
      <c r="O3737">
        <v>4</v>
      </c>
      <c r="P3737" t="s">
        <v>72</v>
      </c>
    </row>
    <row r="3738" spans="1:16" x14ac:dyDescent="0.25">
      <c r="A3738" t="s">
        <v>7993</v>
      </c>
      <c r="B3738" t="s">
        <v>1682</v>
      </c>
      <c r="C3738" t="s">
        <v>18</v>
      </c>
      <c r="D3738" t="s">
        <v>30</v>
      </c>
      <c r="E3738" t="s">
        <v>44</v>
      </c>
      <c r="F3738" t="s">
        <v>128</v>
      </c>
      <c r="G3738" t="s">
        <v>22</v>
      </c>
      <c r="H3738" t="s">
        <v>34</v>
      </c>
      <c r="I3738" t="s">
        <v>24</v>
      </c>
      <c r="J3738" t="s">
        <v>2795</v>
      </c>
      <c r="L3738">
        <v>3.9</v>
      </c>
      <c r="M3738">
        <v>522000</v>
      </c>
      <c r="N3738">
        <v>4.3</v>
      </c>
      <c r="O3738">
        <v>6</v>
      </c>
      <c r="P3738" t="s">
        <v>26</v>
      </c>
    </row>
    <row r="3739" spans="1:16" x14ac:dyDescent="0.25">
      <c r="A3739" t="s">
        <v>7994</v>
      </c>
      <c r="B3739" t="s">
        <v>7995</v>
      </c>
      <c r="C3739" t="s">
        <v>29</v>
      </c>
      <c r="D3739" t="s">
        <v>50</v>
      </c>
      <c r="E3739" t="s">
        <v>20</v>
      </c>
      <c r="F3739" t="s">
        <v>128</v>
      </c>
      <c r="G3739" t="s">
        <v>80</v>
      </c>
      <c r="H3739" t="s">
        <v>62</v>
      </c>
      <c r="I3739" t="s">
        <v>24</v>
      </c>
      <c r="J3739" t="s">
        <v>575</v>
      </c>
      <c r="K3739" t="s">
        <v>1092</v>
      </c>
      <c r="L3739">
        <v>1.7</v>
      </c>
      <c r="M3739">
        <v>593000</v>
      </c>
      <c r="N3739">
        <v>3.4</v>
      </c>
      <c r="O3739">
        <v>10</v>
      </c>
      <c r="P3739" t="s">
        <v>114</v>
      </c>
    </row>
    <row r="3740" spans="1:16" x14ac:dyDescent="0.25">
      <c r="A3740" t="s">
        <v>7996</v>
      </c>
      <c r="B3740" t="s">
        <v>7997</v>
      </c>
      <c r="C3740" t="s">
        <v>18</v>
      </c>
      <c r="D3740" t="s">
        <v>50</v>
      </c>
      <c r="E3740" t="s">
        <v>20</v>
      </c>
      <c r="F3740" t="s">
        <v>32</v>
      </c>
      <c r="G3740" t="s">
        <v>22</v>
      </c>
      <c r="H3740" t="s">
        <v>46</v>
      </c>
      <c r="I3740" t="s">
        <v>24</v>
      </c>
      <c r="J3740" t="s">
        <v>70</v>
      </c>
      <c r="L3740">
        <v>1.9</v>
      </c>
      <c r="M3740">
        <v>262000</v>
      </c>
      <c r="N3740">
        <v>3.1</v>
      </c>
      <c r="O3740">
        <v>10</v>
      </c>
      <c r="P3740" t="s">
        <v>26</v>
      </c>
    </row>
    <row r="3741" spans="1:16" x14ac:dyDescent="0.25">
      <c r="A3741" t="s">
        <v>7998</v>
      </c>
      <c r="B3741" t="s">
        <v>6867</v>
      </c>
      <c r="C3741" t="s">
        <v>18</v>
      </c>
      <c r="D3741" t="s">
        <v>30</v>
      </c>
      <c r="E3741" t="s">
        <v>31</v>
      </c>
      <c r="F3741" t="s">
        <v>128</v>
      </c>
      <c r="G3741" t="s">
        <v>33</v>
      </c>
      <c r="H3741" t="s">
        <v>46</v>
      </c>
      <c r="I3741" t="s">
        <v>57</v>
      </c>
      <c r="J3741" t="s">
        <v>926</v>
      </c>
      <c r="K3741" t="s">
        <v>453</v>
      </c>
      <c r="L3741">
        <v>3.4</v>
      </c>
      <c r="M3741">
        <v>533000</v>
      </c>
      <c r="N3741">
        <v>4.5</v>
      </c>
      <c r="O3741">
        <v>13</v>
      </c>
      <c r="P3741" t="s">
        <v>53</v>
      </c>
    </row>
    <row r="3742" spans="1:16" x14ac:dyDescent="0.25">
      <c r="A3742" t="s">
        <v>7999</v>
      </c>
      <c r="B3742" t="s">
        <v>6256</v>
      </c>
      <c r="C3742" t="s">
        <v>18</v>
      </c>
      <c r="D3742" t="s">
        <v>43</v>
      </c>
      <c r="E3742" t="s">
        <v>20</v>
      </c>
      <c r="F3742" t="s">
        <v>32</v>
      </c>
      <c r="G3742" t="s">
        <v>69</v>
      </c>
      <c r="H3742" t="s">
        <v>34</v>
      </c>
      <c r="I3742" t="s">
        <v>35</v>
      </c>
      <c r="J3742" t="s">
        <v>4088</v>
      </c>
      <c r="L3742">
        <v>3.7</v>
      </c>
      <c r="M3742">
        <v>286000</v>
      </c>
      <c r="N3742">
        <v>3.8</v>
      </c>
      <c r="O3742">
        <v>13</v>
      </c>
      <c r="P3742" t="s">
        <v>26</v>
      </c>
    </row>
    <row r="3743" spans="1:16" x14ac:dyDescent="0.25">
      <c r="A3743" t="s">
        <v>8000</v>
      </c>
      <c r="B3743" t="s">
        <v>8001</v>
      </c>
      <c r="D3743" t="s">
        <v>79</v>
      </c>
      <c r="E3743" t="s">
        <v>44</v>
      </c>
      <c r="G3743" t="s">
        <v>22</v>
      </c>
      <c r="H3743" t="s">
        <v>23</v>
      </c>
      <c r="I3743" t="s">
        <v>75</v>
      </c>
      <c r="J3743" t="s">
        <v>159</v>
      </c>
      <c r="L3743">
        <v>1.5</v>
      </c>
      <c r="M3743">
        <v>705000</v>
      </c>
      <c r="N3743">
        <v>3.7</v>
      </c>
      <c r="O3743">
        <v>10</v>
      </c>
      <c r="P3743" t="s">
        <v>26</v>
      </c>
    </row>
    <row r="3744" spans="1:16" x14ac:dyDescent="0.25">
      <c r="A3744" t="s">
        <v>8002</v>
      </c>
      <c r="B3744" t="s">
        <v>6364</v>
      </c>
      <c r="D3744" t="s">
        <v>79</v>
      </c>
      <c r="E3744" t="s">
        <v>44</v>
      </c>
      <c r="F3744" t="s">
        <v>32</v>
      </c>
      <c r="G3744" t="s">
        <v>80</v>
      </c>
      <c r="H3744" t="s">
        <v>46</v>
      </c>
      <c r="I3744" t="s">
        <v>24</v>
      </c>
      <c r="J3744" t="s">
        <v>800</v>
      </c>
      <c r="K3744" t="s">
        <v>606</v>
      </c>
      <c r="L3744">
        <v>5.9</v>
      </c>
      <c r="M3744">
        <v>267000</v>
      </c>
      <c r="N3744">
        <v>4.2</v>
      </c>
      <c r="O3744">
        <v>21</v>
      </c>
      <c r="P3744" t="s">
        <v>53</v>
      </c>
    </row>
    <row r="3745" spans="1:16" x14ac:dyDescent="0.25">
      <c r="A3745" t="s">
        <v>8003</v>
      </c>
      <c r="B3745" t="s">
        <v>2599</v>
      </c>
      <c r="C3745" t="s">
        <v>18</v>
      </c>
      <c r="D3745" t="s">
        <v>43</v>
      </c>
      <c r="E3745" t="s">
        <v>44</v>
      </c>
      <c r="F3745" t="s">
        <v>32</v>
      </c>
      <c r="G3745" t="s">
        <v>22</v>
      </c>
      <c r="I3745" t="s">
        <v>35</v>
      </c>
      <c r="J3745" t="s">
        <v>219</v>
      </c>
      <c r="L3745">
        <v>2.2999999999999998</v>
      </c>
      <c r="M3745">
        <v>266000</v>
      </c>
      <c r="O3745">
        <v>5</v>
      </c>
      <c r="P3745" t="s">
        <v>26</v>
      </c>
    </row>
    <row r="3746" spans="1:16" x14ac:dyDescent="0.25">
      <c r="A3746" t="s">
        <v>8004</v>
      </c>
      <c r="B3746" t="s">
        <v>4225</v>
      </c>
      <c r="C3746" t="s">
        <v>29</v>
      </c>
      <c r="D3746" t="s">
        <v>50</v>
      </c>
      <c r="F3746" t="s">
        <v>32</v>
      </c>
      <c r="G3746" t="s">
        <v>22</v>
      </c>
      <c r="H3746" t="s">
        <v>46</v>
      </c>
      <c r="I3746" t="s">
        <v>35</v>
      </c>
      <c r="J3746" t="s">
        <v>1115</v>
      </c>
      <c r="L3746">
        <v>2.2999999999999998</v>
      </c>
      <c r="M3746">
        <v>236000</v>
      </c>
      <c r="N3746">
        <v>2.5</v>
      </c>
      <c r="O3746">
        <v>2</v>
      </c>
      <c r="P3746" t="s">
        <v>26</v>
      </c>
    </row>
    <row r="3747" spans="1:16" x14ac:dyDescent="0.25">
      <c r="A3747" t="s">
        <v>8005</v>
      </c>
      <c r="B3747" t="s">
        <v>7046</v>
      </c>
      <c r="C3747" t="s">
        <v>18</v>
      </c>
      <c r="D3747" t="s">
        <v>30</v>
      </c>
      <c r="E3747" t="s">
        <v>20</v>
      </c>
      <c r="F3747" t="s">
        <v>32</v>
      </c>
      <c r="G3747" t="s">
        <v>22</v>
      </c>
      <c r="H3747" t="s">
        <v>46</v>
      </c>
      <c r="I3747" t="s">
        <v>57</v>
      </c>
      <c r="J3747" t="s">
        <v>1279</v>
      </c>
      <c r="K3747" t="s">
        <v>428</v>
      </c>
      <c r="L3747">
        <v>3.8</v>
      </c>
      <c r="M3747">
        <v>237000</v>
      </c>
      <c r="N3747">
        <v>1.8</v>
      </c>
      <c r="O3747">
        <v>7</v>
      </c>
      <c r="P3747" t="s">
        <v>53</v>
      </c>
    </row>
    <row r="3748" spans="1:16" x14ac:dyDescent="0.25">
      <c r="A3748" t="s">
        <v>8006</v>
      </c>
      <c r="B3748" t="s">
        <v>2826</v>
      </c>
      <c r="C3748" t="s">
        <v>18</v>
      </c>
      <c r="D3748" t="s">
        <v>43</v>
      </c>
      <c r="E3748" t="s">
        <v>20</v>
      </c>
      <c r="F3748" t="s">
        <v>39</v>
      </c>
      <c r="G3748" t="s">
        <v>80</v>
      </c>
      <c r="H3748" t="s">
        <v>46</v>
      </c>
      <c r="I3748" t="s">
        <v>24</v>
      </c>
      <c r="J3748" t="s">
        <v>7167</v>
      </c>
      <c r="L3748">
        <v>3.9</v>
      </c>
      <c r="M3748">
        <v>146000</v>
      </c>
      <c r="N3748">
        <v>4.3</v>
      </c>
      <c r="O3748">
        <v>12</v>
      </c>
      <c r="P3748" t="s">
        <v>26</v>
      </c>
    </row>
    <row r="3749" spans="1:16" x14ac:dyDescent="0.25">
      <c r="A3749" t="s">
        <v>8007</v>
      </c>
      <c r="B3749" t="s">
        <v>928</v>
      </c>
      <c r="C3749" t="s">
        <v>18</v>
      </c>
      <c r="D3749" t="s">
        <v>19</v>
      </c>
      <c r="E3749" t="s">
        <v>31</v>
      </c>
      <c r="F3749" t="s">
        <v>128</v>
      </c>
      <c r="G3749" t="s">
        <v>33</v>
      </c>
      <c r="H3749" t="s">
        <v>34</v>
      </c>
      <c r="I3749" t="s">
        <v>57</v>
      </c>
      <c r="J3749" t="s">
        <v>84</v>
      </c>
      <c r="L3749">
        <v>2.1</v>
      </c>
      <c r="M3749">
        <v>420000</v>
      </c>
      <c r="N3749">
        <v>2.4</v>
      </c>
      <c r="P3749" t="s">
        <v>26</v>
      </c>
    </row>
    <row r="3750" spans="1:16" x14ac:dyDescent="0.25">
      <c r="A3750" t="s">
        <v>8008</v>
      </c>
      <c r="B3750" t="s">
        <v>8009</v>
      </c>
      <c r="C3750" t="s">
        <v>18</v>
      </c>
      <c r="D3750" t="s">
        <v>79</v>
      </c>
      <c r="E3750" t="s">
        <v>44</v>
      </c>
      <c r="F3750" t="s">
        <v>128</v>
      </c>
      <c r="G3750" t="s">
        <v>80</v>
      </c>
      <c r="H3750" t="s">
        <v>46</v>
      </c>
      <c r="I3750" t="s">
        <v>171</v>
      </c>
      <c r="J3750" t="s">
        <v>1336</v>
      </c>
      <c r="L3750">
        <v>2.9</v>
      </c>
      <c r="M3750">
        <v>566000</v>
      </c>
      <c r="N3750">
        <v>2.7</v>
      </c>
      <c r="O3750">
        <v>7</v>
      </c>
      <c r="P3750" t="s">
        <v>26</v>
      </c>
    </row>
    <row r="3751" spans="1:16" x14ac:dyDescent="0.25">
      <c r="A3751" t="s">
        <v>8010</v>
      </c>
      <c r="B3751" t="s">
        <v>55</v>
      </c>
      <c r="C3751" t="s">
        <v>29</v>
      </c>
      <c r="D3751" t="s">
        <v>50</v>
      </c>
      <c r="E3751" t="s">
        <v>20</v>
      </c>
      <c r="F3751" t="s">
        <v>32</v>
      </c>
      <c r="G3751" t="s">
        <v>22</v>
      </c>
      <c r="H3751" t="s">
        <v>23</v>
      </c>
      <c r="I3751" t="s">
        <v>24</v>
      </c>
      <c r="J3751" t="s">
        <v>1269</v>
      </c>
      <c r="L3751">
        <v>4.0999999999999996</v>
      </c>
      <c r="M3751">
        <v>216000</v>
      </c>
      <c r="N3751">
        <v>4.5</v>
      </c>
      <c r="O3751">
        <v>5</v>
      </c>
      <c r="P3751" t="s">
        <v>26</v>
      </c>
    </row>
    <row r="3752" spans="1:16" x14ac:dyDescent="0.25">
      <c r="A3752" t="s">
        <v>8011</v>
      </c>
      <c r="B3752" t="s">
        <v>2852</v>
      </c>
      <c r="C3752" t="s">
        <v>18</v>
      </c>
      <c r="D3752" t="s">
        <v>19</v>
      </c>
      <c r="E3752" t="s">
        <v>20</v>
      </c>
      <c r="F3752" t="s">
        <v>32</v>
      </c>
      <c r="G3752" t="s">
        <v>69</v>
      </c>
      <c r="H3752" t="s">
        <v>34</v>
      </c>
      <c r="J3752" t="s">
        <v>1577</v>
      </c>
      <c r="L3752">
        <v>5.2</v>
      </c>
      <c r="M3752">
        <v>385000</v>
      </c>
      <c r="N3752">
        <v>3.7</v>
      </c>
      <c r="O3752">
        <v>8</v>
      </c>
      <c r="P3752" t="s">
        <v>26</v>
      </c>
    </row>
    <row r="3753" spans="1:16" x14ac:dyDescent="0.25">
      <c r="A3753" t="s">
        <v>8012</v>
      </c>
      <c r="B3753" t="s">
        <v>3598</v>
      </c>
      <c r="C3753" t="s">
        <v>18</v>
      </c>
      <c r="D3753" t="s">
        <v>79</v>
      </c>
      <c r="E3753" t="s">
        <v>20</v>
      </c>
      <c r="F3753" t="s">
        <v>32</v>
      </c>
      <c r="G3753" t="s">
        <v>22</v>
      </c>
      <c r="H3753" t="s">
        <v>23</v>
      </c>
      <c r="I3753" t="s">
        <v>57</v>
      </c>
      <c r="J3753" t="s">
        <v>2612</v>
      </c>
      <c r="L3753">
        <v>6.1</v>
      </c>
      <c r="M3753">
        <v>250000</v>
      </c>
      <c r="N3753">
        <v>3.1</v>
      </c>
      <c r="O3753">
        <v>9</v>
      </c>
      <c r="P3753" t="s">
        <v>26</v>
      </c>
    </row>
    <row r="3754" spans="1:16" x14ac:dyDescent="0.25">
      <c r="A3754" t="s">
        <v>8013</v>
      </c>
      <c r="B3754" t="s">
        <v>308</v>
      </c>
      <c r="C3754" t="s">
        <v>29</v>
      </c>
      <c r="D3754" t="s">
        <v>19</v>
      </c>
      <c r="E3754" t="s">
        <v>44</v>
      </c>
      <c r="F3754" t="s">
        <v>32</v>
      </c>
      <c r="G3754" t="s">
        <v>33</v>
      </c>
      <c r="H3754" t="s">
        <v>23</v>
      </c>
      <c r="I3754" t="s">
        <v>24</v>
      </c>
      <c r="J3754" t="s">
        <v>7780</v>
      </c>
      <c r="K3754" t="s">
        <v>905</v>
      </c>
      <c r="L3754">
        <v>3.7</v>
      </c>
      <c r="M3754">
        <v>385000</v>
      </c>
      <c r="N3754">
        <v>4.5999999999999996</v>
      </c>
      <c r="O3754">
        <v>11</v>
      </c>
      <c r="P3754" t="s">
        <v>53</v>
      </c>
    </row>
    <row r="3755" spans="1:16" x14ac:dyDescent="0.25">
      <c r="A3755" t="s">
        <v>8014</v>
      </c>
      <c r="B3755" t="s">
        <v>8015</v>
      </c>
      <c r="D3755" t="s">
        <v>30</v>
      </c>
      <c r="E3755" t="s">
        <v>44</v>
      </c>
      <c r="F3755" t="s">
        <v>39</v>
      </c>
      <c r="G3755" t="s">
        <v>33</v>
      </c>
      <c r="H3755" t="s">
        <v>34</v>
      </c>
      <c r="J3755" t="s">
        <v>5370</v>
      </c>
      <c r="K3755" t="s">
        <v>193</v>
      </c>
      <c r="L3755">
        <v>5.6</v>
      </c>
      <c r="M3755">
        <v>117000</v>
      </c>
      <c r="N3755">
        <v>3.1</v>
      </c>
      <c r="O3755">
        <v>4</v>
      </c>
      <c r="P3755" t="s">
        <v>53</v>
      </c>
    </row>
    <row r="3756" spans="1:16" x14ac:dyDescent="0.25">
      <c r="A3756" t="s">
        <v>8016</v>
      </c>
      <c r="B3756" t="s">
        <v>1776</v>
      </c>
      <c r="C3756" t="s">
        <v>29</v>
      </c>
      <c r="D3756" t="s">
        <v>50</v>
      </c>
      <c r="E3756" t="s">
        <v>20</v>
      </c>
      <c r="F3756" t="s">
        <v>39</v>
      </c>
      <c r="G3756" t="s">
        <v>22</v>
      </c>
      <c r="H3756" t="s">
        <v>34</v>
      </c>
      <c r="I3756" t="s">
        <v>24</v>
      </c>
      <c r="J3756" t="s">
        <v>8017</v>
      </c>
      <c r="L3756">
        <v>3.1</v>
      </c>
      <c r="M3756">
        <v>175000</v>
      </c>
      <c r="N3756">
        <v>2.7</v>
      </c>
      <c r="P3756" t="s">
        <v>26</v>
      </c>
    </row>
    <row r="3757" spans="1:16" x14ac:dyDescent="0.25">
      <c r="A3757" t="s">
        <v>8018</v>
      </c>
      <c r="B3757" t="s">
        <v>8019</v>
      </c>
      <c r="C3757" t="s">
        <v>29</v>
      </c>
      <c r="D3757" t="s">
        <v>79</v>
      </c>
      <c r="E3757" t="s">
        <v>20</v>
      </c>
      <c r="F3757" t="s">
        <v>21</v>
      </c>
      <c r="G3757" t="s">
        <v>22</v>
      </c>
      <c r="H3757" t="s">
        <v>62</v>
      </c>
      <c r="I3757" t="s">
        <v>57</v>
      </c>
      <c r="J3757" t="s">
        <v>8020</v>
      </c>
      <c r="L3757">
        <v>2.7</v>
      </c>
      <c r="M3757">
        <v>949000</v>
      </c>
      <c r="N3757">
        <v>4.3</v>
      </c>
      <c r="O3757">
        <v>28</v>
      </c>
      <c r="P3757" t="s">
        <v>26</v>
      </c>
    </row>
    <row r="3758" spans="1:16" x14ac:dyDescent="0.25">
      <c r="A3758" t="s">
        <v>8021</v>
      </c>
      <c r="B3758" t="s">
        <v>6105</v>
      </c>
      <c r="C3758" t="s">
        <v>18</v>
      </c>
      <c r="D3758" t="s">
        <v>30</v>
      </c>
      <c r="E3758" t="s">
        <v>44</v>
      </c>
      <c r="F3758" t="s">
        <v>45</v>
      </c>
      <c r="G3758" t="s">
        <v>80</v>
      </c>
      <c r="H3758" t="s">
        <v>34</v>
      </c>
      <c r="I3758" t="s">
        <v>35</v>
      </c>
      <c r="J3758" t="s">
        <v>289</v>
      </c>
      <c r="L3758">
        <v>5</v>
      </c>
      <c r="M3758">
        <v>1738000</v>
      </c>
      <c r="N3758">
        <v>3.5</v>
      </c>
      <c r="O3758">
        <v>10</v>
      </c>
      <c r="P3758" t="s">
        <v>26</v>
      </c>
    </row>
    <row r="3759" spans="1:16" x14ac:dyDescent="0.25">
      <c r="A3759" t="s">
        <v>8022</v>
      </c>
      <c r="B3759" t="s">
        <v>3247</v>
      </c>
      <c r="C3759" t="s">
        <v>29</v>
      </c>
      <c r="D3759" t="s">
        <v>30</v>
      </c>
      <c r="F3759" t="s">
        <v>32</v>
      </c>
      <c r="G3759" t="s">
        <v>69</v>
      </c>
      <c r="H3759" t="s">
        <v>34</v>
      </c>
      <c r="I3759" t="s">
        <v>35</v>
      </c>
      <c r="J3759" t="s">
        <v>7509</v>
      </c>
      <c r="K3759" t="s">
        <v>3925</v>
      </c>
      <c r="L3759">
        <v>5.5</v>
      </c>
      <c r="M3759">
        <v>269000</v>
      </c>
      <c r="N3759">
        <v>2.2000000000000002</v>
      </c>
      <c r="O3759">
        <v>9</v>
      </c>
      <c r="P3759" t="s">
        <v>53</v>
      </c>
    </row>
    <row r="3760" spans="1:16" x14ac:dyDescent="0.25">
      <c r="A3760" t="s">
        <v>8023</v>
      </c>
      <c r="B3760" t="s">
        <v>4216</v>
      </c>
      <c r="C3760" t="s">
        <v>18</v>
      </c>
      <c r="D3760" t="s">
        <v>30</v>
      </c>
      <c r="E3760" t="s">
        <v>44</v>
      </c>
      <c r="F3760" t="s">
        <v>32</v>
      </c>
      <c r="G3760" t="s">
        <v>33</v>
      </c>
      <c r="H3760" t="s">
        <v>62</v>
      </c>
      <c r="I3760" t="s">
        <v>57</v>
      </c>
      <c r="J3760" t="s">
        <v>8024</v>
      </c>
      <c r="L3760">
        <v>6.1</v>
      </c>
      <c r="M3760">
        <v>227000</v>
      </c>
      <c r="N3760">
        <v>2.1</v>
      </c>
      <c r="O3760">
        <v>10</v>
      </c>
      <c r="P3760" t="s">
        <v>26</v>
      </c>
    </row>
    <row r="3761" spans="1:16" x14ac:dyDescent="0.25">
      <c r="A3761" t="s">
        <v>8025</v>
      </c>
      <c r="B3761" t="s">
        <v>4515</v>
      </c>
      <c r="C3761" t="s">
        <v>18</v>
      </c>
      <c r="E3761" t="s">
        <v>44</v>
      </c>
      <c r="F3761" t="s">
        <v>21</v>
      </c>
      <c r="G3761" t="s">
        <v>22</v>
      </c>
      <c r="H3761" t="s">
        <v>23</v>
      </c>
      <c r="I3761" t="s">
        <v>24</v>
      </c>
      <c r="J3761" t="s">
        <v>4076</v>
      </c>
      <c r="K3761" t="s">
        <v>6086</v>
      </c>
      <c r="L3761">
        <v>5.8</v>
      </c>
      <c r="O3761">
        <v>0</v>
      </c>
      <c r="P3761" t="s">
        <v>53</v>
      </c>
    </row>
    <row r="3762" spans="1:16" x14ac:dyDescent="0.25">
      <c r="A3762" t="s">
        <v>8026</v>
      </c>
      <c r="B3762" t="s">
        <v>8027</v>
      </c>
      <c r="C3762" t="s">
        <v>29</v>
      </c>
      <c r="D3762" t="s">
        <v>30</v>
      </c>
      <c r="E3762" t="s">
        <v>20</v>
      </c>
      <c r="F3762" t="s">
        <v>32</v>
      </c>
      <c r="G3762" t="s">
        <v>22</v>
      </c>
      <c r="H3762" t="s">
        <v>23</v>
      </c>
      <c r="I3762" t="s">
        <v>24</v>
      </c>
      <c r="J3762" t="s">
        <v>5913</v>
      </c>
      <c r="L3762">
        <v>1.3</v>
      </c>
      <c r="M3762">
        <v>198000</v>
      </c>
      <c r="N3762">
        <v>3.1</v>
      </c>
      <c r="O3762">
        <v>8</v>
      </c>
      <c r="P3762" t="s">
        <v>26</v>
      </c>
    </row>
    <row r="3763" spans="1:16" x14ac:dyDescent="0.25">
      <c r="A3763" t="s">
        <v>8028</v>
      </c>
      <c r="B3763" t="s">
        <v>2232</v>
      </c>
      <c r="C3763" t="s">
        <v>29</v>
      </c>
      <c r="D3763" t="s">
        <v>50</v>
      </c>
      <c r="E3763" t="s">
        <v>44</v>
      </c>
      <c r="F3763" t="s">
        <v>39</v>
      </c>
      <c r="G3763" t="s">
        <v>22</v>
      </c>
      <c r="H3763" t="s">
        <v>23</v>
      </c>
      <c r="I3763" t="s">
        <v>57</v>
      </c>
      <c r="J3763" t="s">
        <v>7661</v>
      </c>
      <c r="K3763" t="s">
        <v>2292</v>
      </c>
      <c r="L3763">
        <v>4.3</v>
      </c>
      <c r="M3763">
        <v>112000</v>
      </c>
      <c r="N3763">
        <v>2.5</v>
      </c>
      <c r="O3763">
        <v>11</v>
      </c>
      <c r="P3763" t="s">
        <v>53</v>
      </c>
    </row>
    <row r="3764" spans="1:16" x14ac:dyDescent="0.25">
      <c r="A3764" t="s">
        <v>8029</v>
      </c>
      <c r="B3764" t="s">
        <v>8030</v>
      </c>
      <c r="C3764" t="s">
        <v>29</v>
      </c>
      <c r="D3764" t="s">
        <v>19</v>
      </c>
      <c r="F3764" t="s">
        <v>128</v>
      </c>
      <c r="G3764" t="s">
        <v>22</v>
      </c>
      <c r="H3764" t="s">
        <v>46</v>
      </c>
      <c r="I3764" t="s">
        <v>35</v>
      </c>
      <c r="J3764" t="s">
        <v>394</v>
      </c>
      <c r="L3764">
        <v>6.1</v>
      </c>
      <c r="N3764">
        <v>3.2</v>
      </c>
      <c r="O3764">
        <v>6</v>
      </c>
      <c r="P3764" t="s">
        <v>26</v>
      </c>
    </row>
    <row r="3765" spans="1:16" x14ac:dyDescent="0.25">
      <c r="A3765" t="s">
        <v>8031</v>
      </c>
      <c r="B3765" t="s">
        <v>8032</v>
      </c>
      <c r="C3765" t="s">
        <v>29</v>
      </c>
      <c r="D3765" t="s">
        <v>79</v>
      </c>
      <c r="E3765" t="s">
        <v>20</v>
      </c>
      <c r="F3765" t="s">
        <v>128</v>
      </c>
      <c r="G3765" t="s">
        <v>22</v>
      </c>
      <c r="H3765" t="s">
        <v>34</v>
      </c>
      <c r="I3765" t="s">
        <v>75</v>
      </c>
      <c r="J3765" t="s">
        <v>8033</v>
      </c>
      <c r="L3765">
        <v>2.2000000000000002</v>
      </c>
      <c r="M3765">
        <v>453000</v>
      </c>
      <c r="N3765">
        <v>4.3</v>
      </c>
      <c r="P3765" t="s">
        <v>26</v>
      </c>
    </row>
    <row r="3766" spans="1:16" x14ac:dyDescent="0.25">
      <c r="A3766" t="s">
        <v>8034</v>
      </c>
      <c r="B3766" t="s">
        <v>2142</v>
      </c>
      <c r="C3766" t="s">
        <v>18</v>
      </c>
      <c r="D3766" t="s">
        <v>43</v>
      </c>
      <c r="E3766" t="s">
        <v>44</v>
      </c>
      <c r="F3766" t="s">
        <v>32</v>
      </c>
      <c r="G3766" t="s">
        <v>80</v>
      </c>
      <c r="H3766" t="s">
        <v>23</v>
      </c>
      <c r="I3766" t="s">
        <v>24</v>
      </c>
      <c r="J3766" t="s">
        <v>3872</v>
      </c>
      <c r="L3766">
        <v>2.7</v>
      </c>
      <c r="M3766">
        <v>281000</v>
      </c>
      <c r="N3766">
        <v>4.5</v>
      </c>
      <c r="O3766">
        <v>11</v>
      </c>
      <c r="P3766" t="s">
        <v>26</v>
      </c>
    </row>
    <row r="3767" spans="1:16" x14ac:dyDescent="0.25">
      <c r="A3767" t="s">
        <v>8035</v>
      </c>
      <c r="B3767" t="s">
        <v>8036</v>
      </c>
      <c r="C3767" t="s">
        <v>29</v>
      </c>
      <c r="D3767" t="s">
        <v>30</v>
      </c>
      <c r="F3767" t="s">
        <v>32</v>
      </c>
      <c r="G3767" t="s">
        <v>80</v>
      </c>
      <c r="H3767" t="s">
        <v>23</v>
      </c>
      <c r="I3767" t="s">
        <v>35</v>
      </c>
      <c r="J3767" t="s">
        <v>4029</v>
      </c>
      <c r="K3767" t="s">
        <v>7644</v>
      </c>
      <c r="L3767">
        <v>4.4000000000000004</v>
      </c>
      <c r="M3767">
        <v>336000</v>
      </c>
      <c r="N3767">
        <v>3.6</v>
      </c>
      <c r="O3767">
        <v>38</v>
      </c>
      <c r="P3767" t="s">
        <v>53</v>
      </c>
    </row>
    <row r="3768" spans="1:16" x14ac:dyDescent="0.25">
      <c r="A3768" t="s">
        <v>8037</v>
      </c>
      <c r="B3768" t="s">
        <v>8038</v>
      </c>
      <c r="C3768" t="s">
        <v>18</v>
      </c>
      <c r="D3768" t="s">
        <v>50</v>
      </c>
      <c r="E3768" t="s">
        <v>31</v>
      </c>
      <c r="F3768" t="s">
        <v>39</v>
      </c>
      <c r="G3768" t="s">
        <v>69</v>
      </c>
      <c r="H3768" t="s">
        <v>34</v>
      </c>
      <c r="I3768" t="s">
        <v>171</v>
      </c>
      <c r="J3768" t="s">
        <v>351</v>
      </c>
      <c r="L3768">
        <v>5.4</v>
      </c>
      <c r="M3768">
        <v>143000</v>
      </c>
      <c r="N3768">
        <v>2.7</v>
      </c>
      <c r="O3768">
        <v>32</v>
      </c>
      <c r="P3768" t="s">
        <v>26</v>
      </c>
    </row>
    <row r="3769" spans="1:16" x14ac:dyDescent="0.25">
      <c r="A3769" t="s">
        <v>8039</v>
      </c>
      <c r="B3769" t="s">
        <v>624</v>
      </c>
      <c r="C3769" t="s">
        <v>18</v>
      </c>
      <c r="D3769" t="s">
        <v>50</v>
      </c>
      <c r="E3769" t="s">
        <v>20</v>
      </c>
      <c r="F3769" t="s">
        <v>128</v>
      </c>
      <c r="G3769" t="s">
        <v>22</v>
      </c>
      <c r="H3769" t="s">
        <v>34</v>
      </c>
      <c r="I3769" t="s">
        <v>35</v>
      </c>
      <c r="J3769" t="s">
        <v>3625</v>
      </c>
      <c r="L3769">
        <v>5.5</v>
      </c>
      <c r="N3769">
        <v>3.6</v>
      </c>
      <c r="O3769">
        <v>6</v>
      </c>
      <c r="P3769" t="s">
        <v>26</v>
      </c>
    </row>
    <row r="3770" spans="1:16" x14ac:dyDescent="0.25">
      <c r="A3770" t="s">
        <v>8040</v>
      </c>
      <c r="B3770" t="s">
        <v>1929</v>
      </c>
      <c r="C3770" t="s">
        <v>18</v>
      </c>
      <c r="D3770" t="s">
        <v>30</v>
      </c>
      <c r="E3770" t="s">
        <v>20</v>
      </c>
      <c r="F3770" t="s">
        <v>39</v>
      </c>
      <c r="G3770" t="s">
        <v>22</v>
      </c>
      <c r="H3770" t="s">
        <v>34</v>
      </c>
      <c r="I3770" t="s">
        <v>35</v>
      </c>
      <c r="J3770" t="s">
        <v>6585</v>
      </c>
      <c r="L3770">
        <v>3.8</v>
      </c>
      <c r="M3770">
        <v>166000</v>
      </c>
      <c r="N3770">
        <v>1.9</v>
      </c>
      <c r="O3770">
        <v>11</v>
      </c>
      <c r="P3770" t="s">
        <v>26</v>
      </c>
    </row>
    <row r="3771" spans="1:16" x14ac:dyDescent="0.25">
      <c r="A3771" t="s">
        <v>8041</v>
      </c>
      <c r="B3771" t="s">
        <v>7848</v>
      </c>
      <c r="C3771" t="s">
        <v>18</v>
      </c>
      <c r="D3771" t="s">
        <v>43</v>
      </c>
      <c r="E3771" t="s">
        <v>20</v>
      </c>
      <c r="F3771" t="s">
        <v>32</v>
      </c>
      <c r="G3771" t="s">
        <v>80</v>
      </c>
      <c r="H3771" t="s">
        <v>34</v>
      </c>
      <c r="I3771" t="s">
        <v>57</v>
      </c>
      <c r="J3771" t="s">
        <v>4373</v>
      </c>
      <c r="L3771">
        <v>3.3</v>
      </c>
      <c r="M3771">
        <v>180000</v>
      </c>
      <c r="N3771">
        <v>4.8</v>
      </c>
      <c r="O3771">
        <v>12</v>
      </c>
      <c r="P3771" t="s">
        <v>26</v>
      </c>
    </row>
    <row r="3772" spans="1:16" x14ac:dyDescent="0.25">
      <c r="A3772" t="s">
        <v>8042</v>
      </c>
      <c r="B3772" t="s">
        <v>49</v>
      </c>
      <c r="C3772" t="s">
        <v>18</v>
      </c>
      <c r="D3772" t="s">
        <v>30</v>
      </c>
      <c r="E3772" t="s">
        <v>20</v>
      </c>
      <c r="F3772" t="s">
        <v>32</v>
      </c>
      <c r="G3772" t="s">
        <v>33</v>
      </c>
      <c r="H3772" t="s">
        <v>23</v>
      </c>
      <c r="I3772" t="s">
        <v>24</v>
      </c>
      <c r="J3772" t="s">
        <v>4007</v>
      </c>
      <c r="L3772">
        <v>5.3</v>
      </c>
      <c r="M3772">
        <v>260000</v>
      </c>
      <c r="N3772">
        <v>4.5999999999999996</v>
      </c>
      <c r="O3772">
        <v>12</v>
      </c>
      <c r="P3772" t="s">
        <v>26</v>
      </c>
    </row>
    <row r="3773" spans="1:16" x14ac:dyDescent="0.25">
      <c r="A3773" t="s">
        <v>8043</v>
      </c>
      <c r="B3773" t="s">
        <v>8044</v>
      </c>
      <c r="C3773" t="s">
        <v>18</v>
      </c>
      <c r="D3773" t="s">
        <v>50</v>
      </c>
      <c r="E3773" t="s">
        <v>20</v>
      </c>
      <c r="F3773" t="s">
        <v>128</v>
      </c>
      <c r="G3773" t="s">
        <v>80</v>
      </c>
      <c r="H3773" t="s">
        <v>46</v>
      </c>
      <c r="I3773" t="s">
        <v>171</v>
      </c>
      <c r="J3773" t="s">
        <v>2579</v>
      </c>
      <c r="L3773">
        <v>3.7</v>
      </c>
      <c r="M3773">
        <v>425000</v>
      </c>
      <c r="N3773">
        <v>4.2</v>
      </c>
      <c r="O3773">
        <v>5</v>
      </c>
      <c r="P3773" t="s">
        <v>26</v>
      </c>
    </row>
    <row r="3774" spans="1:16" x14ac:dyDescent="0.25">
      <c r="A3774" t="s">
        <v>8045</v>
      </c>
      <c r="B3774" t="s">
        <v>4935</v>
      </c>
      <c r="C3774" t="s">
        <v>29</v>
      </c>
      <c r="E3774" t="s">
        <v>44</v>
      </c>
      <c r="G3774" t="s">
        <v>22</v>
      </c>
      <c r="H3774" t="s">
        <v>46</v>
      </c>
      <c r="I3774" t="s">
        <v>35</v>
      </c>
      <c r="J3774" t="s">
        <v>7780</v>
      </c>
      <c r="L3774">
        <v>3.7</v>
      </c>
      <c r="M3774">
        <v>180000</v>
      </c>
      <c r="N3774">
        <v>3.8</v>
      </c>
      <c r="O3774">
        <v>24</v>
      </c>
      <c r="P3774" t="s">
        <v>26</v>
      </c>
    </row>
    <row r="3775" spans="1:16" x14ac:dyDescent="0.25">
      <c r="A3775" t="s">
        <v>8046</v>
      </c>
      <c r="B3775" t="s">
        <v>3480</v>
      </c>
      <c r="C3775" t="s">
        <v>29</v>
      </c>
      <c r="D3775" t="s">
        <v>30</v>
      </c>
      <c r="E3775" t="s">
        <v>20</v>
      </c>
      <c r="F3775" t="s">
        <v>39</v>
      </c>
      <c r="G3775" t="s">
        <v>69</v>
      </c>
      <c r="H3775" t="s">
        <v>23</v>
      </c>
      <c r="I3775" t="s">
        <v>24</v>
      </c>
      <c r="J3775" t="s">
        <v>8047</v>
      </c>
      <c r="L3775">
        <v>2.5</v>
      </c>
      <c r="M3775">
        <v>139000</v>
      </c>
      <c r="N3775">
        <v>1.6</v>
      </c>
      <c r="O3775">
        <v>5</v>
      </c>
      <c r="P3775" t="s">
        <v>26</v>
      </c>
    </row>
    <row r="3776" spans="1:16" x14ac:dyDescent="0.25">
      <c r="A3776" t="s">
        <v>8048</v>
      </c>
      <c r="B3776" t="s">
        <v>8049</v>
      </c>
      <c r="C3776" t="s">
        <v>29</v>
      </c>
      <c r="D3776" t="s">
        <v>43</v>
      </c>
      <c r="E3776" t="s">
        <v>20</v>
      </c>
      <c r="F3776" t="s">
        <v>32</v>
      </c>
      <c r="G3776" t="s">
        <v>33</v>
      </c>
      <c r="H3776" t="s">
        <v>34</v>
      </c>
      <c r="I3776" t="s">
        <v>24</v>
      </c>
      <c r="J3776" t="s">
        <v>2384</v>
      </c>
      <c r="L3776">
        <v>3.4</v>
      </c>
      <c r="M3776">
        <v>270000</v>
      </c>
      <c r="O3776">
        <v>12</v>
      </c>
      <c r="P3776" t="s">
        <v>26</v>
      </c>
    </row>
    <row r="3777" spans="1:16" x14ac:dyDescent="0.25">
      <c r="A3777" t="s">
        <v>8050</v>
      </c>
      <c r="B3777" t="s">
        <v>65</v>
      </c>
      <c r="C3777" t="s">
        <v>18</v>
      </c>
      <c r="D3777" t="s">
        <v>43</v>
      </c>
      <c r="E3777" t="s">
        <v>20</v>
      </c>
      <c r="F3777" t="s">
        <v>32</v>
      </c>
      <c r="G3777" t="s">
        <v>33</v>
      </c>
      <c r="H3777" t="s">
        <v>46</v>
      </c>
      <c r="I3777" t="s">
        <v>24</v>
      </c>
      <c r="J3777" t="s">
        <v>8051</v>
      </c>
      <c r="L3777">
        <v>6.1</v>
      </c>
      <c r="M3777">
        <v>180000</v>
      </c>
      <c r="N3777">
        <v>4.8</v>
      </c>
      <c r="O3777">
        <v>13</v>
      </c>
      <c r="P3777" t="s">
        <v>26</v>
      </c>
    </row>
    <row r="3778" spans="1:16" x14ac:dyDescent="0.25">
      <c r="A3778" t="s">
        <v>8052</v>
      </c>
      <c r="B3778" t="s">
        <v>2801</v>
      </c>
      <c r="C3778" t="s">
        <v>18</v>
      </c>
      <c r="E3778" t="s">
        <v>20</v>
      </c>
      <c r="F3778" t="s">
        <v>39</v>
      </c>
      <c r="G3778" t="s">
        <v>22</v>
      </c>
      <c r="I3778" t="s">
        <v>24</v>
      </c>
      <c r="J3778" t="s">
        <v>5292</v>
      </c>
      <c r="L3778">
        <v>3.5</v>
      </c>
      <c r="N3778">
        <v>2.4</v>
      </c>
      <c r="O3778">
        <v>4</v>
      </c>
      <c r="P3778" t="s">
        <v>26</v>
      </c>
    </row>
    <row r="3779" spans="1:16" x14ac:dyDescent="0.25">
      <c r="A3779" t="s">
        <v>8053</v>
      </c>
      <c r="B3779" t="s">
        <v>4694</v>
      </c>
      <c r="C3779" t="s">
        <v>29</v>
      </c>
      <c r="D3779" t="s">
        <v>43</v>
      </c>
      <c r="E3779" t="s">
        <v>20</v>
      </c>
      <c r="F3779" t="s">
        <v>39</v>
      </c>
      <c r="G3779" t="s">
        <v>33</v>
      </c>
      <c r="H3779" t="s">
        <v>34</v>
      </c>
      <c r="I3779" t="s">
        <v>24</v>
      </c>
      <c r="J3779" t="s">
        <v>6360</v>
      </c>
      <c r="L3779">
        <v>2.2999999999999998</v>
      </c>
      <c r="M3779">
        <v>104000</v>
      </c>
      <c r="N3779">
        <v>3.5</v>
      </c>
      <c r="O3779">
        <v>6</v>
      </c>
      <c r="P3779" t="s">
        <v>26</v>
      </c>
    </row>
    <row r="3780" spans="1:16" x14ac:dyDescent="0.25">
      <c r="A3780" t="s">
        <v>8054</v>
      </c>
      <c r="B3780" t="s">
        <v>8055</v>
      </c>
      <c r="C3780" t="s">
        <v>29</v>
      </c>
      <c r="D3780" t="s">
        <v>43</v>
      </c>
      <c r="E3780" t="s">
        <v>20</v>
      </c>
      <c r="F3780" t="s">
        <v>128</v>
      </c>
      <c r="G3780" t="s">
        <v>69</v>
      </c>
      <c r="H3780" t="s">
        <v>46</v>
      </c>
      <c r="I3780" t="s">
        <v>24</v>
      </c>
      <c r="J3780" t="s">
        <v>1012</v>
      </c>
      <c r="K3780" t="s">
        <v>1609</v>
      </c>
      <c r="L3780">
        <v>4</v>
      </c>
      <c r="M3780">
        <v>354000</v>
      </c>
      <c r="N3780">
        <v>4.9000000000000004</v>
      </c>
      <c r="O3780">
        <v>12</v>
      </c>
      <c r="P3780" t="s">
        <v>53</v>
      </c>
    </row>
    <row r="3781" spans="1:16" x14ac:dyDescent="0.25">
      <c r="A3781" t="s">
        <v>8056</v>
      </c>
      <c r="B3781" t="s">
        <v>8057</v>
      </c>
      <c r="C3781" t="s">
        <v>29</v>
      </c>
      <c r="D3781" t="s">
        <v>50</v>
      </c>
      <c r="E3781" t="s">
        <v>31</v>
      </c>
      <c r="G3781" t="s">
        <v>80</v>
      </c>
      <c r="H3781" t="s">
        <v>46</v>
      </c>
      <c r="I3781" t="s">
        <v>75</v>
      </c>
      <c r="J3781" t="s">
        <v>8058</v>
      </c>
      <c r="K3781" t="s">
        <v>1145</v>
      </c>
      <c r="L3781">
        <v>5.4</v>
      </c>
      <c r="N3781">
        <v>3.3</v>
      </c>
      <c r="O3781">
        <v>9</v>
      </c>
      <c r="P3781" t="s">
        <v>114</v>
      </c>
    </row>
    <row r="3782" spans="1:16" x14ac:dyDescent="0.25">
      <c r="A3782" t="s">
        <v>8059</v>
      </c>
      <c r="B3782" t="s">
        <v>2661</v>
      </c>
      <c r="C3782" t="s">
        <v>29</v>
      </c>
      <c r="D3782" t="s">
        <v>79</v>
      </c>
      <c r="E3782" t="s">
        <v>20</v>
      </c>
      <c r="F3782" t="s">
        <v>128</v>
      </c>
      <c r="G3782" t="s">
        <v>22</v>
      </c>
      <c r="H3782" t="s">
        <v>23</v>
      </c>
      <c r="I3782" t="s">
        <v>57</v>
      </c>
      <c r="J3782" t="s">
        <v>3179</v>
      </c>
      <c r="K3782" t="s">
        <v>3234</v>
      </c>
      <c r="L3782">
        <v>6.1</v>
      </c>
      <c r="M3782">
        <v>384000</v>
      </c>
      <c r="N3782">
        <v>3.8</v>
      </c>
      <c r="O3782">
        <v>7</v>
      </c>
      <c r="P3782" t="s">
        <v>114</v>
      </c>
    </row>
    <row r="3783" spans="1:16" x14ac:dyDescent="0.25">
      <c r="A3783" t="s">
        <v>8060</v>
      </c>
      <c r="B3783" t="s">
        <v>3859</v>
      </c>
      <c r="C3783" t="s">
        <v>18</v>
      </c>
      <c r="D3783" t="s">
        <v>30</v>
      </c>
      <c r="E3783" t="s">
        <v>20</v>
      </c>
      <c r="F3783" t="s">
        <v>32</v>
      </c>
      <c r="G3783" t="s">
        <v>80</v>
      </c>
      <c r="H3783" t="s">
        <v>23</v>
      </c>
      <c r="I3783" t="s">
        <v>35</v>
      </c>
      <c r="J3783" t="s">
        <v>3224</v>
      </c>
      <c r="K3783" t="s">
        <v>8061</v>
      </c>
      <c r="L3783">
        <v>4</v>
      </c>
      <c r="M3783">
        <v>193000</v>
      </c>
      <c r="N3783">
        <v>2.4</v>
      </c>
      <c r="O3783">
        <v>11</v>
      </c>
      <c r="P3783" t="s">
        <v>53</v>
      </c>
    </row>
    <row r="3784" spans="1:16" x14ac:dyDescent="0.25">
      <c r="A3784" t="s">
        <v>8062</v>
      </c>
      <c r="B3784" t="s">
        <v>5950</v>
      </c>
      <c r="C3784" t="s">
        <v>18</v>
      </c>
      <c r="D3784" t="s">
        <v>19</v>
      </c>
      <c r="E3784" t="s">
        <v>20</v>
      </c>
      <c r="F3784" t="s">
        <v>21</v>
      </c>
      <c r="G3784" t="s">
        <v>33</v>
      </c>
      <c r="H3784" t="s">
        <v>34</v>
      </c>
      <c r="I3784" t="s">
        <v>57</v>
      </c>
      <c r="J3784" t="s">
        <v>5025</v>
      </c>
      <c r="L3784">
        <v>2.8</v>
      </c>
      <c r="M3784">
        <v>897000</v>
      </c>
      <c r="N3784">
        <v>4.8</v>
      </c>
      <c r="O3784">
        <v>5</v>
      </c>
      <c r="P3784" t="s">
        <v>26</v>
      </c>
    </row>
    <row r="3785" spans="1:16" x14ac:dyDescent="0.25">
      <c r="A3785" t="s">
        <v>8063</v>
      </c>
      <c r="B3785" t="s">
        <v>8064</v>
      </c>
      <c r="C3785" t="s">
        <v>29</v>
      </c>
      <c r="D3785" t="s">
        <v>50</v>
      </c>
      <c r="E3785" t="s">
        <v>20</v>
      </c>
      <c r="F3785" t="s">
        <v>128</v>
      </c>
      <c r="G3785" t="s">
        <v>80</v>
      </c>
      <c r="H3785" t="s">
        <v>46</v>
      </c>
      <c r="I3785" t="s">
        <v>35</v>
      </c>
      <c r="J3785" t="s">
        <v>8065</v>
      </c>
      <c r="L3785">
        <v>2.5</v>
      </c>
      <c r="M3785">
        <v>472000</v>
      </c>
      <c r="N3785">
        <v>2.1</v>
      </c>
      <c r="O3785">
        <v>13</v>
      </c>
      <c r="P3785" t="s">
        <v>26</v>
      </c>
    </row>
    <row r="3786" spans="1:16" x14ac:dyDescent="0.25">
      <c r="A3786" t="s">
        <v>8066</v>
      </c>
      <c r="B3786" t="s">
        <v>4785</v>
      </c>
      <c r="C3786" t="s">
        <v>18</v>
      </c>
      <c r="D3786" t="s">
        <v>79</v>
      </c>
      <c r="E3786" t="s">
        <v>20</v>
      </c>
      <c r="F3786" t="s">
        <v>128</v>
      </c>
      <c r="G3786" t="s">
        <v>22</v>
      </c>
      <c r="H3786" t="s">
        <v>34</v>
      </c>
      <c r="I3786" t="s">
        <v>24</v>
      </c>
      <c r="J3786" t="s">
        <v>8067</v>
      </c>
      <c r="L3786">
        <v>5</v>
      </c>
      <c r="M3786">
        <v>494000</v>
      </c>
      <c r="N3786">
        <v>3.6</v>
      </c>
      <c r="O3786">
        <v>14</v>
      </c>
      <c r="P3786" t="s">
        <v>26</v>
      </c>
    </row>
    <row r="3787" spans="1:16" x14ac:dyDescent="0.25">
      <c r="A3787" t="s">
        <v>8068</v>
      </c>
      <c r="B3787" t="s">
        <v>4386</v>
      </c>
      <c r="C3787" t="s">
        <v>18</v>
      </c>
      <c r="D3787" t="s">
        <v>43</v>
      </c>
      <c r="E3787" t="s">
        <v>20</v>
      </c>
      <c r="F3787" t="s">
        <v>128</v>
      </c>
      <c r="G3787" t="s">
        <v>80</v>
      </c>
      <c r="H3787" t="s">
        <v>23</v>
      </c>
      <c r="I3787" t="s">
        <v>24</v>
      </c>
      <c r="J3787" t="s">
        <v>5211</v>
      </c>
      <c r="L3787">
        <v>3.9</v>
      </c>
      <c r="M3787">
        <v>420000</v>
      </c>
      <c r="N3787">
        <v>3.9</v>
      </c>
      <c r="O3787">
        <v>3</v>
      </c>
      <c r="P3787" t="s">
        <v>26</v>
      </c>
    </row>
    <row r="3788" spans="1:16" x14ac:dyDescent="0.25">
      <c r="A3788" t="s">
        <v>8069</v>
      </c>
      <c r="B3788" t="s">
        <v>1441</v>
      </c>
      <c r="C3788" t="s">
        <v>29</v>
      </c>
      <c r="D3788" t="s">
        <v>30</v>
      </c>
      <c r="E3788" t="s">
        <v>20</v>
      </c>
      <c r="F3788" t="s">
        <v>32</v>
      </c>
      <c r="G3788" t="s">
        <v>22</v>
      </c>
      <c r="H3788" t="s">
        <v>34</v>
      </c>
      <c r="I3788" t="s">
        <v>24</v>
      </c>
      <c r="J3788" t="s">
        <v>2777</v>
      </c>
      <c r="L3788">
        <v>3</v>
      </c>
      <c r="M3788">
        <v>315000</v>
      </c>
      <c r="N3788">
        <v>4.7</v>
      </c>
      <c r="O3788">
        <v>10</v>
      </c>
      <c r="P3788" t="s">
        <v>26</v>
      </c>
    </row>
    <row r="3789" spans="1:16" x14ac:dyDescent="0.25">
      <c r="A3789" t="s">
        <v>8070</v>
      </c>
      <c r="B3789" t="s">
        <v>6008</v>
      </c>
      <c r="C3789" t="s">
        <v>29</v>
      </c>
      <c r="D3789" t="s">
        <v>50</v>
      </c>
      <c r="E3789" t="s">
        <v>20</v>
      </c>
      <c r="F3789" t="s">
        <v>32</v>
      </c>
      <c r="G3789" t="s">
        <v>22</v>
      </c>
      <c r="H3789" t="s">
        <v>23</v>
      </c>
      <c r="J3789" t="s">
        <v>7311</v>
      </c>
      <c r="L3789">
        <v>5.4</v>
      </c>
      <c r="M3789">
        <v>263000</v>
      </c>
      <c r="N3789">
        <v>3.1</v>
      </c>
      <c r="O3789">
        <v>13</v>
      </c>
      <c r="P3789" t="s">
        <v>26</v>
      </c>
    </row>
    <row r="3790" spans="1:16" x14ac:dyDescent="0.25">
      <c r="A3790" t="s">
        <v>8071</v>
      </c>
      <c r="B3790" t="s">
        <v>8072</v>
      </c>
      <c r="C3790" t="s">
        <v>29</v>
      </c>
      <c r="D3790" t="s">
        <v>30</v>
      </c>
      <c r="E3790" t="s">
        <v>20</v>
      </c>
      <c r="F3790" t="s">
        <v>32</v>
      </c>
      <c r="G3790" t="s">
        <v>33</v>
      </c>
      <c r="H3790" t="s">
        <v>62</v>
      </c>
      <c r="I3790" t="s">
        <v>35</v>
      </c>
      <c r="J3790" t="s">
        <v>3587</v>
      </c>
      <c r="L3790">
        <v>2.4</v>
      </c>
      <c r="M3790">
        <v>247000</v>
      </c>
      <c r="N3790">
        <v>2.7</v>
      </c>
      <c r="O3790">
        <v>6</v>
      </c>
      <c r="P3790" t="s">
        <v>26</v>
      </c>
    </row>
    <row r="3791" spans="1:16" x14ac:dyDescent="0.25">
      <c r="A3791" t="s">
        <v>8073</v>
      </c>
      <c r="B3791" t="s">
        <v>4575</v>
      </c>
      <c r="C3791" t="s">
        <v>18</v>
      </c>
      <c r="D3791" t="s">
        <v>79</v>
      </c>
      <c r="E3791" t="s">
        <v>20</v>
      </c>
      <c r="F3791" t="s">
        <v>32</v>
      </c>
      <c r="G3791" t="s">
        <v>69</v>
      </c>
      <c r="H3791" t="s">
        <v>23</v>
      </c>
      <c r="I3791" t="s">
        <v>24</v>
      </c>
      <c r="J3791" t="s">
        <v>5609</v>
      </c>
      <c r="L3791">
        <v>4</v>
      </c>
      <c r="M3791">
        <v>259000</v>
      </c>
      <c r="O3791">
        <v>38</v>
      </c>
      <c r="P3791" t="s">
        <v>26</v>
      </c>
    </row>
    <row r="3792" spans="1:16" x14ac:dyDescent="0.25">
      <c r="A3792" t="s">
        <v>8074</v>
      </c>
      <c r="B3792" t="s">
        <v>3385</v>
      </c>
      <c r="C3792" t="s">
        <v>252</v>
      </c>
      <c r="D3792" t="s">
        <v>30</v>
      </c>
      <c r="E3792" t="s">
        <v>20</v>
      </c>
      <c r="F3792" t="s">
        <v>39</v>
      </c>
      <c r="G3792" t="s">
        <v>22</v>
      </c>
      <c r="H3792" t="s">
        <v>23</v>
      </c>
      <c r="I3792" t="s">
        <v>24</v>
      </c>
      <c r="J3792" t="s">
        <v>1693</v>
      </c>
      <c r="K3792" t="s">
        <v>7348</v>
      </c>
      <c r="L3792">
        <v>1.8</v>
      </c>
      <c r="M3792">
        <v>85000</v>
      </c>
      <c r="N3792">
        <v>1.8</v>
      </c>
      <c r="O3792">
        <v>17</v>
      </c>
      <c r="P3792" t="s">
        <v>72</v>
      </c>
    </row>
    <row r="3793" spans="1:16" x14ac:dyDescent="0.25">
      <c r="A3793" t="s">
        <v>8075</v>
      </c>
      <c r="B3793" t="s">
        <v>2168</v>
      </c>
      <c r="C3793" t="s">
        <v>18</v>
      </c>
      <c r="D3793" t="s">
        <v>50</v>
      </c>
      <c r="E3793" t="s">
        <v>20</v>
      </c>
      <c r="F3793" t="s">
        <v>39</v>
      </c>
      <c r="G3793" t="s">
        <v>80</v>
      </c>
      <c r="H3793" t="s">
        <v>23</v>
      </c>
      <c r="I3793" t="s">
        <v>35</v>
      </c>
      <c r="J3793" t="s">
        <v>2768</v>
      </c>
      <c r="L3793">
        <v>3.8</v>
      </c>
      <c r="M3793">
        <v>171000</v>
      </c>
      <c r="N3793">
        <v>2.8</v>
      </c>
      <c r="O3793">
        <v>5</v>
      </c>
      <c r="P3793" t="s">
        <v>26</v>
      </c>
    </row>
    <row r="3794" spans="1:16" x14ac:dyDescent="0.25">
      <c r="A3794" t="s">
        <v>8076</v>
      </c>
      <c r="B3794" t="s">
        <v>1851</v>
      </c>
      <c r="C3794" t="s">
        <v>29</v>
      </c>
      <c r="D3794" t="s">
        <v>43</v>
      </c>
      <c r="E3794" t="s">
        <v>20</v>
      </c>
      <c r="F3794" t="s">
        <v>32</v>
      </c>
      <c r="G3794" t="s">
        <v>22</v>
      </c>
      <c r="H3794" t="s">
        <v>34</v>
      </c>
      <c r="I3794" t="s">
        <v>35</v>
      </c>
      <c r="J3794" t="s">
        <v>1709</v>
      </c>
      <c r="K3794" t="s">
        <v>382</v>
      </c>
      <c r="L3794">
        <v>5</v>
      </c>
      <c r="M3794">
        <v>267000</v>
      </c>
      <c r="N3794">
        <v>3</v>
      </c>
      <c r="O3794">
        <v>10</v>
      </c>
      <c r="P3794" t="s">
        <v>72</v>
      </c>
    </row>
    <row r="3795" spans="1:16" x14ac:dyDescent="0.25">
      <c r="A3795" t="s">
        <v>8077</v>
      </c>
      <c r="B3795" t="s">
        <v>8078</v>
      </c>
      <c r="C3795" t="s">
        <v>29</v>
      </c>
      <c r="D3795" t="s">
        <v>79</v>
      </c>
      <c r="E3795" t="s">
        <v>20</v>
      </c>
      <c r="F3795" t="s">
        <v>32</v>
      </c>
      <c r="G3795" t="s">
        <v>22</v>
      </c>
      <c r="H3795" t="s">
        <v>23</v>
      </c>
      <c r="I3795" t="s">
        <v>57</v>
      </c>
      <c r="J3795" t="s">
        <v>2612</v>
      </c>
      <c r="L3795">
        <v>6.1</v>
      </c>
      <c r="M3795">
        <v>221000</v>
      </c>
      <c r="N3795">
        <v>5</v>
      </c>
      <c r="O3795">
        <v>37</v>
      </c>
      <c r="P3795" t="s">
        <v>26</v>
      </c>
    </row>
    <row r="3796" spans="1:16" x14ac:dyDescent="0.25">
      <c r="A3796" t="s">
        <v>8079</v>
      </c>
      <c r="B3796" t="s">
        <v>2824</v>
      </c>
      <c r="C3796" t="s">
        <v>18</v>
      </c>
      <c r="D3796" t="s">
        <v>30</v>
      </c>
      <c r="E3796" t="s">
        <v>44</v>
      </c>
      <c r="F3796" t="s">
        <v>39</v>
      </c>
      <c r="G3796" t="s">
        <v>33</v>
      </c>
      <c r="H3796" t="s">
        <v>46</v>
      </c>
      <c r="I3796" t="s">
        <v>171</v>
      </c>
      <c r="J3796" t="s">
        <v>2066</v>
      </c>
      <c r="L3796">
        <v>3.8</v>
      </c>
      <c r="M3796">
        <v>157000</v>
      </c>
      <c r="N3796">
        <v>2</v>
      </c>
      <c r="O3796">
        <v>0</v>
      </c>
      <c r="P3796" t="s">
        <v>26</v>
      </c>
    </row>
    <row r="3797" spans="1:16" x14ac:dyDescent="0.25">
      <c r="A3797" t="s">
        <v>8080</v>
      </c>
      <c r="B3797" t="s">
        <v>8081</v>
      </c>
      <c r="C3797" t="s">
        <v>29</v>
      </c>
      <c r="D3797" t="s">
        <v>79</v>
      </c>
      <c r="E3797" t="s">
        <v>31</v>
      </c>
      <c r="F3797" t="s">
        <v>32</v>
      </c>
      <c r="G3797" t="s">
        <v>22</v>
      </c>
      <c r="H3797" t="s">
        <v>23</v>
      </c>
      <c r="I3797" t="s">
        <v>24</v>
      </c>
      <c r="J3797" t="s">
        <v>5431</v>
      </c>
      <c r="K3797" t="s">
        <v>5351</v>
      </c>
      <c r="L3797">
        <v>5.6</v>
      </c>
      <c r="M3797">
        <v>199000</v>
      </c>
      <c r="N3797">
        <v>4.5</v>
      </c>
      <c r="O3797">
        <v>0</v>
      </c>
      <c r="P3797" t="s">
        <v>53</v>
      </c>
    </row>
    <row r="3798" spans="1:16" x14ac:dyDescent="0.25">
      <c r="A3798" t="s">
        <v>8082</v>
      </c>
      <c r="B3798" t="s">
        <v>8083</v>
      </c>
      <c r="C3798" t="s">
        <v>18</v>
      </c>
      <c r="D3798" t="s">
        <v>43</v>
      </c>
      <c r="E3798" t="s">
        <v>31</v>
      </c>
      <c r="F3798" t="s">
        <v>39</v>
      </c>
      <c r="G3798" t="s">
        <v>22</v>
      </c>
      <c r="H3798" t="s">
        <v>23</v>
      </c>
      <c r="I3798" t="s">
        <v>35</v>
      </c>
      <c r="J3798" t="s">
        <v>2464</v>
      </c>
      <c r="K3798" t="s">
        <v>6501</v>
      </c>
      <c r="L3798">
        <v>4.8</v>
      </c>
      <c r="M3798">
        <v>113000</v>
      </c>
      <c r="N3798">
        <v>2.6</v>
      </c>
      <c r="O3798">
        <v>9</v>
      </c>
      <c r="P3798" t="s">
        <v>53</v>
      </c>
    </row>
    <row r="3799" spans="1:16" x14ac:dyDescent="0.25">
      <c r="A3799" t="s">
        <v>8084</v>
      </c>
      <c r="B3799" t="s">
        <v>1458</v>
      </c>
      <c r="C3799" t="s">
        <v>29</v>
      </c>
      <c r="D3799" t="s">
        <v>50</v>
      </c>
      <c r="E3799" t="s">
        <v>20</v>
      </c>
      <c r="F3799" t="s">
        <v>39</v>
      </c>
      <c r="G3799" t="s">
        <v>22</v>
      </c>
      <c r="H3799" t="s">
        <v>34</v>
      </c>
      <c r="I3799" t="s">
        <v>24</v>
      </c>
      <c r="J3799" t="s">
        <v>858</v>
      </c>
      <c r="K3799" t="s">
        <v>7506</v>
      </c>
      <c r="L3799">
        <v>2.4</v>
      </c>
      <c r="M3799">
        <v>161000</v>
      </c>
      <c r="N3799">
        <v>4.5999999999999996</v>
      </c>
      <c r="O3799">
        <v>11</v>
      </c>
      <c r="P3799" t="s">
        <v>72</v>
      </c>
    </row>
    <row r="3800" spans="1:16" x14ac:dyDescent="0.25">
      <c r="A3800" t="s">
        <v>8085</v>
      </c>
      <c r="B3800" t="s">
        <v>4287</v>
      </c>
      <c r="C3800" t="s">
        <v>18</v>
      </c>
      <c r="D3800" t="s">
        <v>79</v>
      </c>
      <c r="E3800" t="s">
        <v>31</v>
      </c>
      <c r="F3800" t="s">
        <v>32</v>
      </c>
      <c r="G3800" t="s">
        <v>22</v>
      </c>
      <c r="H3800" t="s">
        <v>34</v>
      </c>
      <c r="I3800" t="s">
        <v>35</v>
      </c>
      <c r="J3800" t="s">
        <v>309</v>
      </c>
      <c r="L3800">
        <v>5.6</v>
      </c>
      <c r="M3800">
        <v>270000</v>
      </c>
      <c r="N3800">
        <v>4.9000000000000004</v>
      </c>
      <c r="O3800">
        <v>37</v>
      </c>
      <c r="P3800" t="s">
        <v>26</v>
      </c>
    </row>
    <row r="3801" spans="1:16" x14ac:dyDescent="0.25">
      <c r="A3801" t="s">
        <v>8086</v>
      </c>
      <c r="B3801" t="s">
        <v>8087</v>
      </c>
      <c r="C3801" t="s">
        <v>29</v>
      </c>
      <c r="D3801" t="s">
        <v>43</v>
      </c>
      <c r="E3801" t="s">
        <v>20</v>
      </c>
      <c r="F3801" t="s">
        <v>32</v>
      </c>
      <c r="G3801" t="s">
        <v>33</v>
      </c>
      <c r="H3801" t="s">
        <v>46</v>
      </c>
      <c r="I3801" t="s">
        <v>24</v>
      </c>
      <c r="J3801" t="s">
        <v>6325</v>
      </c>
      <c r="L3801">
        <v>1.6</v>
      </c>
      <c r="M3801">
        <v>309000</v>
      </c>
      <c r="N3801">
        <v>2.7</v>
      </c>
      <c r="O3801">
        <v>11</v>
      </c>
      <c r="P3801" t="s">
        <v>26</v>
      </c>
    </row>
    <row r="3802" spans="1:16" x14ac:dyDescent="0.25">
      <c r="A3802" t="s">
        <v>8088</v>
      </c>
      <c r="B3802" t="s">
        <v>8089</v>
      </c>
      <c r="C3802" t="s">
        <v>29</v>
      </c>
      <c r="D3802" t="s">
        <v>19</v>
      </c>
      <c r="E3802" t="s">
        <v>20</v>
      </c>
      <c r="F3802" t="s">
        <v>21</v>
      </c>
      <c r="G3802" t="s">
        <v>22</v>
      </c>
      <c r="H3802" t="s">
        <v>46</v>
      </c>
      <c r="I3802" t="s">
        <v>35</v>
      </c>
      <c r="J3802" t="s">
        <v>7697</v>
      </c>
      <c r="L3802">
        <v>5.6</v>
      </c>
      <c r="M3802">
        <v>1038000</v>
      </c>
      <c r="N3802">
        <v>4.3</v>
      </c>
      <c r="O3802">
        <v>5</v>
      </c>
      <c r="P3802" t="s">
        <v>26</v>
      </c>
    </row>
    <row r="3803" spans="1:16" x14ac:dyDescent="0.25">
      <c r="A3803" t="s">
        <v>8090</v>
      </c>
      <c r="B3803" t="s">
        <v>1050</v>
      </c>
      <c r="C3803" t="s">
        <v>29</v>
      </c>
      <c r="D3803" t="s">
        <v>50</v>
      </c>
      <c r="E3803" t="s">
        <v>20</v>
      </c>
      <c r="F3803" t="s">
        <v>32</v>
      </c>
      <c r="G3803" t="s">
        <v>22</v>
      </c>
      <c r="H3803" t="s">
        <v>23</v>
      </c>
      <c r="I3803" t="s">
        <v>24</v>
      </c>
      <c r="J3803" t="s">
        <v>3688</v>
      </c>
      <c r="L3803">
        <v>3.2</v>
      </c>
      <c r="M3803">
        <v>225000</v>
      </c>
      <c r="N3803">
        <v>2.6</v>
      </c>
      <c r="O3803">
        <v>36</v>
      </c>
      <c r="P3803" t="s">
        <v>26</v>
      </c>
    </row>
    <row r="3804" spans="1:16" x14ac:dyDescent="0.25">
      <c r="A3804" t="s">
        <v>8091</v>
      </c>
      <c r="B3804" t="s">
        <v>7134</v>
      </c>
      <c r="C3804" t="s">
        <v>18</v>
      </c>
      <c r="D3804" t="s">
        <v>79</v>
      </c>
      <c r="E3804" t="s">
        <v>44</v>
      </c>
      <c r="F3804" t="s">
        <v>39</v>
      </c>
      <c r="G3804" t="s">
        <v>22</v>
      </c>
      <c r="H3804" t="s">
        <v>23</v>
      </c>
      <c r="I3804" t="s">
        <v>57</v>
      </c>
      <c r="J3804" t="s">
        <v>3227</v>
      </c>
      <c r="L3804">
        <v>4</v>
      </c>
      <c r="M3804">
        <v>159000</v>
      </c>
      <c r="N3804">
        <v>2.7</v>
      </c>
      <c r="O3804">
        <v>11</v>
      </c>
      <c r="P3804" t="s">
        <v>26</v>
      </c>
    </row>
    <row r="3805" spans="1:16" x14ac:dyDescent="0.25">
      <c r="A3805" t="s">
        <v>8092</v>
      </c>
      <c r="B3805" t="s">
        <v>7364</v>
      </c>
      <c r="C3805" t="s">
        <v>18</v>
      </c>
      <c r="D3805" t="s">
        <v>79</v>
      </c>
      <c r="E3805" t="s">
        <v>44</v>
      </c>
      <c r="F3805" t="s">
        <v>128</v>
      </c>
      <c r="G3805" t="s">
        <v>69</v>
      </c>
      <c r="H3805" t="s">
        <v>34</v>
      </c>
      <c r="I3805" t="s">
        <v>24</v>
      </c>
      <c r="J3805" t="s">
        <v>5137</v>
      </c>
      <c r="L3805">
        <v>6.1</v>
      </c>
      <c r="M3805">
        <v>420000</v>
      </c>
      <c r="N3805">
        <v>2.7</v>
      </c>
      <c r="O3805">
        <v>14</v>
      </c>
      <c r="P3805" t="s">
        <v>26</v>
      </c>
    </row>
    <row r="3806" spans="1:16" x14ac:dyDescent="0.25">
      <c r="A3806" t="s">
        <v>8093</v>
      </c>
      <c r="B3806" t="s">
        <v>8094</v>
      </c>
      <c r="C3806" t="s">
        <v>18</v>
      </c>
      <c r="D3806" t="s">
        <v>50</v>
      </c>
      <c r="E3806" t="s">
        <v>44</v>
      </c>
      <c r="F3806" t="s">
        <v>39</v>
      </c>
      <c r="G3806" t="s">
        <v>22</v>
      </c>
      <c r="H3806" t="s">
        <v>34</v>
      </c>
      <c r="I3806" t="s">
        <v>35</v>
      </c>
      <c r="J3806" t="s">
        <v>1182</v>
      </c>
      <c r="L3806">
        <v>3.5</v>
      </c>
      <c r="M3806">
        <v>96000</v>
      </c>
      <c r="N3806">
        <v>5</v>
      </c>
      <c r="O3806">
        <v>9</v>
      </c>
      <c r="P3806" t="s">
        <v>26</v>
      </c>
    </row>
    <row r="3807" spans="1:16" x14ac:dyDescent="0.25">
      <c r="A3807" t="s">
        <v>8095</v>
      </c>
      <c r="B3807" t="s">
        <v>8096</v>
      </c>
      <c r="C3807" t="s">
        <v>18</v>
      </c>
      <c r="D3807" t="s">
        <v>30</v>
      </c>
      <c r="E3807" t="s">
        <v>20</v>
      </c>
      <c r="F3807" t="s">
        <v>39</v>
      </c>
      <c r="G3807" t="s">
        <v>80</v>
      </c>
      <c r="H3807" t="s">
        <v>34</v>
      </c>
      <c r="I3807" t="s">
        <v>57</v>
      </c>
      <c r="J3807" t="s">
        <v>4122</v>
      </c>
      <c r="K3807" t="s">
        <v>1649</v>
      </c>
      <c r="L3807">
        <v>1.5</v>
      </c>
      <c r="M3807">
        <v>110000</v>
      </c>
      <c r="N3807">
        <v>1.7</v>
      </c>
      <c r="O3807">
        <v>4</v>
      </c>
      <c r="P3807" t="s">
        <v>53</v>
      </c>
    </row>
    <row r="3808" spans="1:16" x14ac:dyDescent="0.25">
      <c r="A3808" t="s">
        <v>8097</v>
      </c>
      <c r="B3808" t="s">
        <v>8098</v>
      </c>
      <c r="C3808" t="s">
        <v>18</v>
      </c>
      <c r="D3808" t="s">
        <v>79</v>
      </c>
      <c r="E3808" t="s">
        <v>20</v>
      </c>
      <c r="G3808" t="s">
        <v>80</v>
      </c>
      <c r="H3808" t="s">
        <v>46</v>
      </c>
      <c r="I3808" t="s">
        <v>75</v>
      </c>
      <c r="J3808" t="s">
        <v>1123</v>
      </c>
      <c r="L3808">
        <v>4.9000000000000004</v>
      </c>
      <c r="M3808">
        <v>331000</v>
      </c>
      <c r="N3808">
        <v>2.5</v>
      </c>
      <c r="O3808">
        <v>8</v>
      </c>
      <c r="P3808" t="s">
        <v>26</v>
      </c>
    </row>
    <row r="3809" spans="1:16" x14ac:dyDescent="0.25">
      <c r="A3809" t="s">
        <v>8099</v>
      </c>
      <c r="B3809" t="s">
        <v>5897</v>
      </c>
      <c r="C3809" t="s">
        <v>29</v>
      </c>
      <c r="D3809" t="s">
        <v>30</v>
      </c>
      <c r="E3809" t="s">
        <v>20</v>
      </c>
      <c r="F3809" t="s">
        <v>39</v>
      </c>
      <c r="G3809" t="s">
        <v>33</v>
      </c>
      <c r="H3809" t="s">
        <v>46</v>
      </c>
      <c r="I3809" t="s">
        <v>57</v>
      </c>
      <c r="J3809" t="s">
        <v>5382</v>
      </c>
      <c r="L3809">
        <v>5.5</v>
      </c>
      <c r="M3809">
        <v>121000</v>
      </c>
      <c r="N3809">
        <v>3.5</v>
      </c>
      <c r="O3809">
        <v>6</v>
      </c>
      <c r="P3809" t="s">
        <v>26</v>
      </c>
    </row>
    <row r="3810" spans="1:16" x14ac:dyDescent="0.25">
      <c r="A3810" t="s">
        <v>8100</v>
      </c>
      <c r="B3810" t="s">
        <v>7241</v>
      </c>
      <c r="C3810" t="s">
        <v>18</v>
      </c>
      <c r="D3810" t="s">
        <v>50</v>
      </c>
      <c r="E3810" t="s">
        <v>20</v>
      </c>
      <c r="G3810" t="s">
        <v>80</v>
      </c>
      <c r="H3810" t="s">
        <v>46</v>
      </c>
      <c r="I3810" t="s">
        <v>24</v>
      </c>
      <c r="J3810" t="s">
        <v>8101</v>
      </c>
      <c r="L3810">
        <v>4.9000000000000004</v>
      </c>
      <c r="M3810">
        <v>152000</v>
      </c>
      <c r="N3810">
        <v>2.6</v>
      </c>
      <c r="O3810">
        <v>1</v>
      </c>
      <c r="P3810" t="s">
        <v>26</v>
      </c>
    </row>
    <row r="3811" spans="1:16" x14ac:dyDescent="0.25">
      <c r="A3811" t="s">
        <v>8102</v>
      </c>
      <c r="B3811" t="s">
        <v>8103</v>
      </c>
      <c r="C3811" t="s">
        <v>29</v>
      </c>
      <c r="E3811" t="s">
        <v>20</v>
      </c>
      <c r="F3811" t="s">
        <v>39</v>
      </c>
      <c r="G3811" t="s">
        <v>80</v>
      </c>
      <c r="H3811" t="s">
        <v>34</v>
      </c>
      <c r="I3811" t="s">
        <v>24</v>
      </c>
      <c r="J3811" t="s">
        <v>1062</v>
      </c>
      <c r="L3811">
        <v>3.2</v>
      </c>
      <c r="M3811">
        <v>127000</v>
      </c>
      <c r="N3811">
        <v>2</v>
      </c>
      <c r="O3811">
        <v>3</v>
      </c>
      <c r="P3811" t="s">
        <v>26</v>
      </c>
    </row>
    <row r="3812" spans="1:16" x14ac:dyDescent="0.25">
      <c r="A3812" t="s">
        <v>8104</v>
      </c>
      <c r="B3812" t="s">
        <v>1469</v>
      </c>
      <c r="C3812" t="s">
        <v>18</v>
      </c>
      <c r="D3812" t="s">
        <v>30</v>
      </c>
      <c r="E3812" t="s">
        <v>20</v>
      </c>
      <c r="F3812" t="s">
        <v>21</v>
      </c>
      <c r="G3812" t="s">
        <v>22</v>
      </c>
      <c r="H3812" t="s">
        <v>46</v>
      </c>
      <c r="I3812" t="s">
        <v>57</v>
      </c>
      <c r="J3812" t="s">
        <v>5424</v>
      </c>
      <c r="K3812" t="s">
        <v>583</v>
      </c>
      <c r="L3812">
        <v>5</v>
      </c>
      <c r="M3812">
        <v>623000</v>
      </c>
      <c r="N3812">
        <v>3.9</v>
      </c>
      <c r="O3812">
        <v>36</v>
      </c>
      <c r="P3812" t="s">
        <v>114</v>
      </c>
    </row>
    <row r="3813" spans="1:16" x14ac:dyDescent="0.25">
      <c r="A3813" t="s">
        <v>8105</v>
      </c>
      <c r="B3813" t="s">
        <v>1308</v>
      </c>
      <c r="C3813" t="s">
        <v>18</v>
      </c>
      <c r="D3813" t="s">
        <v>19</v>
      </c>
      <c r="E3813" t="s">
        <v>20</v>
      </c>
      <c r="F3813" t="s">
        <v>21</v>
      </c>
      <c r="G3813" t="s">
        <v>22</v>
      </c>
      <c r="H3813" t="s">
        <v>46</v>
      </c>
      <c r="I3813" t="s">
        <v>75</v>
      </c>
      <c r="J3813" t="s">
        <v>3245</v>
      </c>
      <c r="L3813">
        <v>4.3</v>
      </c>
      <c r="M3813">
        <v>1001000</v>
      </c>
      <c r="N3813">
        <v>3.5</v>
      </c>
      <c r="O3813">
        <v>14</v>
      </c>
      <c r="P3813" t="s">
        <v>26</v>
      </c>
    </row>
    <row r="3814" spans="1:16" x14ac:dyDescent="0.25">
      <c r="A3814" t="s">
        <v>8106</v>
      </c>
      <c r="B3814" t="s">
        <v>7868</v>
      </c>
      <c r="C3814" t="s">
        <v>18</v>
      </c>
      <c r="D3814" t="s">
        <v>50</v>
      </c>
      <c r="E3814" t="s">
        <v>44</v>
      </c>
      <c r="F3814" t="s">
        <v>39</v>
      </c>
      <c r="G3814" t="s">
        <v>80</v>
      </c>
      <c r="H3814" t="s">
        <v>23</v>
      </c>
      <c r="I3814" t="s">
        <v>171</v>
      </c>
      <c r="J3814" t="s">
        <v>1455</v>
      </c>
      <c r="K3814" t="s">
        <v>3276</v>
      </c>
      <c r="L3814">
        <v>3.8</v>
      </c>
      <c r="M3814">
        <v>172000</v>
      </c>
      <c r="N3814">
        <v>3.8</v>
      </c>
      <c r="O3814">
        <v>17</v>
      </c>
      <c r="P3814" t="s">
        <v>53</v>
      </c>
    </row>
    <row r="3815" spans="1:16" x14ac:dyDescent="0.25">
      <c r="A3815" t="s">
        <v>8107</v>
      </c>
      <c r="B3815" t="s">
        <v>120</v>
      </c>
      <c r="C3815" t="s">
        <v>18</v>
      </c>
      <c r="D3815" t="s">
        <v>43</v>
      </c>
      <c r="E3815" t="s">
        <v>44</v>
      </c>
      <c r="F3815" t="s">
        <v>21</v>
      </c>
      <c r="G3815" t="s">
        <v>80</v>
      </c>
      <c r="H3815" t="s">
        <v>34</v>
      </c>
      <c r="I3815" t="s">
        <v>24</v>
      </c>
      <c r="J3815" t="s">
        <v>302</v>
      </c>
      <c r="K3815" t="s">
        <v>2292</v>
      </c>
      <c r="L3815">
        <v>2.9</v>
      </c>
      <c r="M3815">
        <v>745000</v>
      </c>
      <c r="N3815">
        <v>3.6</v>
      </c>
      <c r="O3815">
        <v>11</v>
      </c>
      <c r="P3815" t="s">
        <v>53</v>
      </c>
    </row>
    <row r="3816" spans="1:16" x14ac:dyDescent="0.25">
      <c r="A3816" t="s">
        <v>8108</v>
      </c>
      <c r="B3816" t="s">
        <v>1487</v>
      </c>
      <c r="C3816" t="s">
        <v>18</v>
      </c>
      <c r="D3816" t="s">
        <v>79</v>
      </c>
      <c r="E3816" t="s">
        <v>31</v>
      </c>
      <c r="F3816" t="s">
        <v>128</v>
      </c>
      <c r="G3816" t="s">
        <v>33</v>
      </c>
      <c r="I3816" t="s">
        <v>57</v>
      </c>
      <c r="J3816" t="s">
        <v>7282</v>
      </c>
      <c r="K3816" t="s">
        <v>2920</v>
      </c>
      <c r="L3816">
        <v>3.8</v>
      </c>
      <c r="N3816">
        <v>4.0999999999999996</v>
      </c>
      <c r="O3816">
        <v>7</v>
      </c>
      <c r="P3816" t="s">
        <v>53</v>
      </c>
    </row>
    <row r="3817" spans="1:16" x14ac:dyDescent="0.25">
      <c r="A3817" t="s">
        <v>8109</v>
      </c>
      <c r="B3817" t="s">
        <v>8110</v>
      </c>
      <c r="C3817" t="s">
        <v>29</v>
      </c>
      <c r="D3817" t="s">
        <v>50</v>
      </c>
      <c r="E3817" t="s">
        <v>20</v>
      </c>
      <c r="F3817" t="s">
        <v>32</v>
      </c>
      <c r="G3817" t="s">
        <v>33</v>
      </c>
      <c r="H3817" t="s">
        <v>34</v>
      </c>
      <c r="I3817" t="s">
        <v>35</v>
      </c>
      <c r="J3817" t="s">
        <v>3748</v>
      </c>
      <c r="L3817">
        <v>2.1</v>
      </c>
      <c r="M3817">
        <v>294000</v>
      </c>
      <c r="N3817">
        <v>4.7</v>
      </c>
      <c r="O3817">
        <v>1</v>
      </c>
      <c r="P3817" t="s">
        <v>26</v>
      </c>
    </row>
    <row r="3818" spans="1:16" x14ac:dyDescent="0.25">
      <c r="A3818" t="s">
        <v>8111</v>
      </c>
      <c r="B3818" t="s">
        <v>8112</v>
      </c>
      <c r="C3818" t="s">
        <v>29</v>
      </c>
      <c r="D3818" t="s">
        <v>30</v>
      </c>
      <c r="E3818" t="s">
        <v>44</v>
      </c>
      <c r="F3818" t="s">
        <v>39</v>
      </c>
      <c r="G3818" t="s">
        <v>22</v>
      </c>
      <c r="H3818" t="s">
        <v>34</v>
      </c>
      <c r="I3818" t="s">
        <v>24</v>
      </c>
      <c r="J3818" t="s">
        <v>1257</v>
      </c>
      <c r="K3818" t="s">
        <v>7971</v>
      </c>
      <c r="L3818">
        <v>4.4000000000000004</v>
      </c>
      <c r="M3818">
        <v>153000</v>
      </c>
      <c r="N3818">
        <v>2.7</v>
      </c>
      <c r="O3818">
        <v>5</v>
      </c>
      <c r="P3818" t="s">
        <v>53</v>
      </c>
    </row>
    <row r="3819" spans="1:16" x14ac:dyDescent="0.25">
      <c r="A3819" t="s">
        <v>8113</v>
      </c>
      <c r="B3819" t="s">
        <v>3528</v>
      </c>
      <c r="C3819" t="s">
        <v>29</v>
      </c>
      <c r="D3819" t="s">
        <v>30</v>
      </c>
      <c r="E3819" t="s">
        <v>20</v>
      </c>
      <c r="F3819" t="s">
        <v>32</v>
      </c>
      <c r="G3819" t="s">
        <v>22</v>
      </c>
      <c r="H3819" t="s">
        <v>46</v>
      </c>
      <c r="I3819" t="s">
        <v>171</v>
      </c>
      <c r="J3819" t="s">
        <v>8033</v>
      </c>
      <c r="K3819" t="s">
        <v>4177</v>
      </c>
      <c r="L3819">
        <v>2.2000000000000002</v>
      </c>
      <c r="M3819">
        <v>242000</v>
      </c>
      <c r="N3819">
        <v>3.2</v>
      </c>
      <c r="O3819">
        <v>27</v>
      </c>
      <c r="P3819" t="s">
        <v>53</v>
      </c>
    </row>
    <row r="3820" spans="1:16" x14ac:dyDescent="0.25">
      <c r="A3820" t="s">
        <v>8114</v>
      </c>
      <c r="B3820" t="s">
        <v>4078</v>
      </c>
      <c r="C3820" t="s">
        <v>29</v>
      </c>
      <c r="D3820" t="s">
        <v>30</v>
      </c>
      <c r="E3820" t="s">
        <v>31</v>
      </c>
      <c r="F3820" t="s">
        <v>39</v>
      </c>
      <c r="G3820" t="s">
        <v>33</v>
      </c>
      <c r="H3820" t="s">
        <v>34</v>
      </c>
      <c r="I3820" t="s">
        <v>57</v>
      </c>
      <c r="J3820" t="s">
        <v>2166</v>
      </c>
      <c r="K3820" t="s">
        <v>8115</v>
      </c>
      <c r="L3820">
        <v>3.7</v>
      </c>
      <c r="N3820">
        <v>2</v>
      </c>
      <c r="O3820">
        <v>0</v>
      </c>
      <c r="P3820" t="s">
        <v>53</v>
      </c>
    </row>
    <row r="3821" spans="1:16" x14ac:dyDescent="0.25">
      <c r="A3821" t="s">
        <v>8116</v>
      </c>
      <c r="B3821" t="s">
        <v>8117</v>
      </c>
      <c r="C3821" t="s">
        <v>29</v>
      </c>
      <c r="D3821" t="s">
        <v>79</v>
      </c>
      <c r="E3821" t="s">
        <v>20</v>
      </c>
      <c r="F3821" t="s">
        <v>128</v>
      </c>
      <c r="G3821" t="s">
        <v>33</v>
      </c>
      <c r="H3821" t="s">
        <v>46</v>
      </c>
      <c r="I3821" t="s">
        <v>35</v>
      </c>
      <c r="J3821" t="s">
        <v>4326</v>
      </c>
      <c r="L3821">
        <v>2.2999999999999998</v>
      </c>
      <c r="M3821">
        <v>448000</v>
      </c>
      <c r="N3821">
        <v>2.1</v>
      </c>
      <c r="O3821">
        <v>13</v>
      </c>
      <c r="P3821" t="s">
        <v>26</v>
      </c>
    </row>
    <row r="3822" spans="1:16" x14ac:dyDescent="0.25">
      <c r="A3822" t="s">
        <v>8118</v>
      </c>
      <c r="B3822" t="s">
        <v>1323</v>
      </c>
      <c r="C3822" t="s">
        <v>29</v>
      </c>
      <c r="D3822" t="s">
        <v>43</v>
      </c>
      <c r="E3822" t="s">
        <v>31</v>
      </c>
      <c r="F3822" t="s">
        <v>128</v>
      </c>
      <c r="G3822" t="s">
        <v>80</v>
      </c>
      <c r="H3822" t="s">
        <v>46</v>
      </c>
      <c r="I3822" t="s">
        <v>57</v>
      </c>
      <c r="J3822" t="s">
        <v>4487</v>
      </c>
      <c r="K3822" t="s">
        <v>6470</v>
      </c>
      <c r="L3822">
        <v>4.3</v>
      </c>
      <c r="M3822">
        <v>389000</v>
      </c>
      <c r="N3822">
        <v>3.2</v>
      </c>
      <c r="O3822">
        <v>14</v>
      </c>
      <c r="P3822" t="s">
        <v>53</v>
      </c>
    </row>
    <row r="3823" spans="1:16" x14ac:dyDescent="0.25">
      <c r="A3823" t="s">
        <v>8119</v>
      </c>
      <c r="B3823" t="s">
        <v>3895</v>
      </c>
      <c r="C3823" t="s">
        <v>29</v>
      </c>
      <c r="D3823" t="s">
        <v>30</v>
      </c>
      <c r="E3823" t="s">
        <v>20</v>
      </c>
      <c r="F3823" t="s">
        <v>32</v>
      </c>
      <c r="G3823" t="s">
        <v>80</v>
      </c>
      <c r="I3823" t="s">
        <v>35</v>
      </c>
      <c r="J3823" t="s">
        <v>4339</v>
      </c>
      <c r="K3823" t="s">
        <v>2186</v>
      </c>
      <c r="L3823">
        <v>5.0999999999999996</v>
      </c>
      <c r="M3823">
        <v>311000</v>
      </c>
      <c r="N3823">
        <v>2.6</v>
      </c>
      <c r="O3823">
        <v>4</v>
      </c>
      <c r="P3823" t="s">
        <v>53</v>
      </c>
    </row>
    <row r="3824" spans="1:16" x14ac:dyDescent="0.25">
      <c r="A3824" t="s">
        <v>8120</v>
      </c>
      <c r="B3824" t="s">
        <v>5984</v>
      </c>
      <c r="C3824" t="s">
        <v>18</v>
      </c>
      <c r="D3824" t="s">
        <v>30</v>
      </c>
      <c r="E3824" t="s">
        <v>20</v>
      </c>
      <c r="F3824" t="s">
        <v>21</v>
      </c>
      <c r="G3824" t="s">
        <v>80</v>
      </c>
      <c r="I3824" t="s">
        <v>57</v>
      </c>
      <c r="J3824" t="s">
        <v>5954</v>
      </c>
      <c r="L3824">
        <v>5.8</v>
      </c>
      <c r="M3824">
        <v>873000</v>
      </c>
      <c r="N3824">
        <v>3.7</v>
      </c>
      <c r="O3824">
        <v>4</v>
      </c>
      <c r="P3824" t="s">
        <v>26</v>
      </c>
    </row>
    <row r="3825" spans="1:16" x14ac:dyDescent="0.25">
      <c r="A3825" t="s">
        <v>8121</v>
      </c>
      <c r="B3825" t="s">
        <v>4825</v>
      </c>
      <c r="C3825" t="s">
        <v>29</v>
      </c>
      <c r="D3825" t="s">
        <v>79</v>
      </c>
      <c r="E3825" t="s">
        <v>20</v>
      </c>
      <c r="F3825" t="s">
        <v>128</v>
      </c>
      <c r="G3825" t="s">
        <v>80</v>
      </c>
      <c r="H3825" t="s">
        <v>62</v>
      </c>
      <c r="I3825" t="s">
        <v>24</v>
      </c>
      <c r="J3825" t="s">
        <v>3942</v>
      </c>
      <c r="L3825">
        <v>3.1</v>
      </c>
      <c r="M3825">
        <v>572000</v>
      </c>
      <c r="N3825">
        <v>4.4000000000000004</v>
      </c>
      <c r="O3825">
        <v>2</v>
      </c>
      <c r="P3825" t="s">
        <v>26</v>
      </c>
    </row>
    <row r="3826" spans="1:16" x14ac:dyDescent="0.25">
      <c r="A3826" t="s">
        <v>8122</v>
      </c>
      <c r="B3826" t="s">
        <v>8123</v>
      </c>
      <c r="C3826" t="s">
        <v>29</v>
      </c>
      <c r="D3826" t="s">
        <v>79</v>
      </c>
      <c r="E3826" t="s">
        <v>44</v>
      </c>
      <c r="F3826" t="s">
        <v>32</v>
      </c>
      <c r="G3826" t="s">
        <v>22</v>
      </c>
      <c r="H3826" t="s">
        <v>23</v>
      </c>
      <c r="I3826" t="s">
        <v>24</v>
      </c>
      <c r="J3826" t="s">
        <v>2007</v>
      </c>
      <c r="L3826">
        <v>1.8</v>
      </c>
      <c r="M3826">
        <v>180000</v>
      </c>
      <c r="N3826">
        <v>4.8</v>
      </c>
      <c r="O3826">
        <v>35</v>
      </c>
      <c r="P3826" t="s">
        <v>26</v>
      </c>
    </row>
    <row r="3827" spans="1:16" x14ac:dyDescent="0.25">
      <c r="A3827" t="s">
        <v>8124</v>
      </c>
      <c r="B3827" t="s">
        <v>2972</v>
      </c>
      <c r="C3827" t="s">
        <v>18</v>
      </c>
      <c r="D3827" t="s">
        <v>43</v>
      </c>
      <c r="E3827" t="s">
        <v>20</v>
      </c>
      <c r="F3827" t="s">
        <v>32</v>
      </c>
      <c r="G3827" t="s">
        <v>69</v>
      </c>
      <c r="H3827" t="s">
        <v>46</v>
      </c>
      <c r="I3827" t="s">
        <v>75</v>
      </c>
      <c r="J3827" t="s">
        <v>572</v>
      </c>
      <c r="L3827">
        <v>4.5</v>
      </c>
      <c r="M3827">
        <v>292000</v>
      </c>
      <c r="O3827">
        <v>37</v>
      </c>
      <c r="P3827" t="s">
        <v>26</v>
      </c>
    </row>
    <row r="3828" spans="1:16" x14ac:dyDescent="0.25">
      <c r="A3828" t="s">
        <v>8125</v>
      </c>
      <c r="B3828" t="s">
        <v>913</v>
      </c>
      <c r="C3828" t="s">
        <v>29</v>
      </c>
      <c r="D3828" t="s">
        <v>30</v>
      </c>
      <c r="E3828" t="s">
        <v>20</v>
      </c>
      <c r="F3828" t="s">
        <v>32</v>
      </c>
      <c r="G3828" t="s">
        <v>80</v>
      </c>
      <c r="H3828" t="s">
        <v>34</v>
      </c>
      <c r="I3828" t="s">
        <v>24</v>
      </c>
      <c r="J3828" t="s">
        <v>6323</v>
      </c>
      <c r="K3828" t="s">
        <v>6150</v>
      </c>
      <c r="L3828">
        <v>4.9000000000000004</v>
      </c>
      <c r="M3828">
        <v>271000</v>
      </c>
      <c r="N3828">
        <v>2.9</v>
      </c>
      <c r="O3828">
        <v>7</v>
      </c>
      <c r="P3828" t="s">
        <v>72</v>
      </c>
    </row>
    <row r="3829" spans="1:16" x14ac:dyDescent="0.25">
      <c r="A3829" t="s">
        <v>8126</v>
      </c>
      <c r="B3829" t="s">
        <v>3770</v>
      </c>
      <c r="C3829" t="s">
        <v>18</v>
      </c>
      <c r="D3829" t="s">
        <v>50</v>
      </c>
      <c r="E3829" t="s">
        <v>20</v>
      </c>
      <c r="F3829" t="s">
        <v>32</v>
      </c>
      <c r="G3829" t="s">
        <v>22</v>
      </c>
      <c r="H3829" t="s">
        <v>46</v>
      </c>
      <c r="I3829" t="s">
        <v>24</v>
      </c>
      <c r="J3829" t="s">
        <v>7762</v>
      </c>
      <c r="L3829">
        <v>5.3</v>
      </c>
      <c r="M3829">
        <v>266000</v>
      </c>
      <c r="N3829">
        <v>3.9</v>
      </c>
      <c r="O3829">
        <v>0</v>
      </c>
      <c r="P3829" t="s">
        <v>26</v>
      </c>
    </row>
    <row r="3830" spans="1:16" x14ac:dyDescent="0.25">
      <c r="A3830" t="s">
        <v>8127</v>
      </c>
      <c r="B3830" t="s">
        <v>4991</v>
      </c>
      <c r="C3830" t="s">
        <v>18</v>
      </c>
      <c r="D3830" t="s">
        <v>30</v>
      </c>
      <c r="E3830" t="s">
        <v>44</v>
      </c>
      <c r="F3830" t="s">
        <v>39</v>
      </c>
      <c r="G3830" t="s">
        <v>33</v>
      </c>
      <c r="H3830" t="s">
        <v>34</v>
      </c>
      <c r="I3830" t="s">
        <v>57</v>
      </c>
      <c r="J3830" t="s">
        <v>4404</v>
      </c>
      <c r="K3830" t="s">
        <v>1413</v>
      </c>
      <c r="L3830">
        <v>2.9</v>
      </c>
      <c r="M3830">
        <v>163000</v>
      </c>
      <c r="N3830">
        <v>3</v>
      </c>
      <c r="O3830">
        <v>0</v>
      </c>
      <c r="P3830" t="s">
        <v>53</v>
      </c>
    </row>
    <row r="3831" spans="1:16" x14ac:dyDescent="0.25">
      <c r="A3831" t="s">
        <v>8128</v>
      </c>
      <c r="B3831" t="s">
        <v>8078</v>
      </c>
      <c r="C3831" t="s">
        <v>29</v>
      </c>
      <c r="D3831" t="s">
        <v>19</v>
      </c>
      <c r="E3831" t="s">
        <v>20</v>
      </c>
      <c r="F3831" t="s">
        <v>128</v>
      </c>
      <c r="G3831" t="s">
        <v>22</v>
      </c>
      <c r="H3831" t="s">
        <v>46</v>
      </c>
      <c r="I3831" t="s">
        <v>57</v>
      </c>
      <c r="J3831" t="s">
        <v>503</v>
      </c>
      <c r="L3831">
        <v>4.9000000000000004</v>
      </c>
      <c r="M3831">
        <v>450000</v>
      </c>
      <c r="N3831">
        <v>2.6</v>
      </c>
      <c r="O3831">
        <v>38</v>
      </c>
      <c r="P3831" t="s">
        <v>26</v>
      </c>
    </row>
    <row r="3832" spans="1:16" x14ac:dyDescent="0.25">
      <c r="A3832" t="s">
        <v>8129</v>
      </c>
      <c r="B3832" t="s">
        <v>8130</v>
      </c>
      <c r="C3832" t="s">
        <v>29</v>
      </c>
      <c r="D3832" t="s">
        <v>50</v>
      </c>
      <c r="E3832" t="s">
        <v>31</v>
      </c>
      <c r="F3832" t="s">
        <v>32</v>
      </c>
      <c r="G3832" t="s">
        <v>69</v>
      </c>
      <c r="H3832" t="s">
        <v>46</v>
      </c>
      <c r="I3832" t="s">
        <v>171</v>
      </c>
      <c r="J3832" t="s">
        <v>4201</v>
      </c>
      <c r="K3832" t="s">
        <v>5609</v>
      </c>
      <c r="L3832">
        <v>5.9</v>
      </c>
      <c r="M3832">
        <v>248000</v>
      </c>
      <c r="O3832">
        <v>5</v>
      </c>
      <c r="P3832" t="s">
        <v>53</v>
      </c>
    </row>
    <row r="3833" spans="1:16" x14ac:dyDescent="0.25">
      <c r="A3833" t="s">
        <v>8131</v>
      </c>
      <c r="B3833" t="s">
        <v>4792</v>
      </c>
      <c r="C3833" t="s">
        <v>18</v>
      </c>
      <c r="D3833" t="s">
        <v>50</v>
      </c>
      <c r="E3833" t="s">
        <v>20</v>
      </c>
      <c r="F3833" t="s">
        <v>39</v>
      </c>
      <c r="G3833" t="s">
        <v>80</v>
      </c>
      <c r="H3833" t="s">
        <v>34</v>
      </c>
      <c r="I3833" t="s">
        <v>35</v>
      </c>
      <c r="J3833" t="s">
        <v>8132</v>
      </c>
      <c r="K3833" t="s">
        <v>2993</v>
      </c>
      <c r="L3833">
        <v>5.4</v>
      </c>
      <c r="M3833">
        <v>92000</v>
      </c>
      <c r="N3833">
        <v>3.7</v>
      </c>
      <c r="O3833">
        <v>11</v>
      </c>
      <c r="P3833" t="s">
        <v>114</v>
      </c>
    </row>
    <row r="3834" spans="1:16" x14ac:dyDescent="0.25">
      <c r="A3834" t="s">
        <v>8133</v>
      </c>
      <c r="B3834" t="s">
        <v>2106</v>
      </c>
      <c r="C3834" t="s">
        <v>18</v>
      </c>
      <c r="D3834" t="s">
        <v>79</v>
      </c>
      <c r="E3834" t="s">
        <v>20</v>
      </c>
      <c r="F3834" t="s">
        <v>39</v>
      </c>
      <c r="G3834" t="s">
        <v>80</v>
      </c>
      <c r="H3834" t="s">
        <v>62</v>
      </c>
      <c r="I3834" t="s">
        <v>24</v>
      </c>
      <c r="J3834" t="s">
        <v>2746</v>
      </c>
      <c r="K3834" t="s">
        <v>8134</v>
      </c>
      <c r="L3834">
        <v>6.1</v>
      </c>
      <c r="M3834">
        <v>102000</v>
      </c>
      <c r="N3834">
        <v>2.8</v>
      </c>
      <c r="O3834">
        <v>36</v>
      </c>
      <c r="P3834" t="s">
        <v>53</v>
      </c>
    </row>
    <row r="3835" spans="1:16" x14ac:dyDescent="0.25">
      <c r="A3835" t="s">
        <v>8135</v>
      </c>
      <c r="B3835" t="s">
        <v>2112</v>
      </c>
      <c r="C3835" t="s">
        <v>29</v>
      </c>
      <c r="D3835" t="s">
        <v>19</v>
      </c>
      <c r="E3835" t="s">
        <v>44</v>
      </c>
      <c r="F3835" t="s">
        <v>32</v>
      </c>
      <c r="G3835" t="s">
        <v>80</v>
      </c>
      <c r="H3835" t="s">
        <v>23</v>
      </c>
      <c r="I3835" t="s">
        <v>57</v>
      </c>
      <c r="J3835" t="s">
        <v>2937</v>
      </c>
      <c r="K3835" t="s">
        <v>125</v>
      </c>
      <c r="L3835">
        <v>2.4</v>
      </c>
      <c r="M3835">
        <v>385000</v>
      </c>
      <c r="O3835">
        <v>5</v>
      </c>
      <c r="P3835" t="s">
        <v>53</v>
      </c>
    </row>
    <row r="3836" spans="1:16" x14ac:dyDescent="0.25">
      <c r="A3836" t="s">
        <v>8136</v>
      </c>
      <c r="B3836" t="s">
        <v>8072</v>
      </c>
      <c r="C3836" t="s">
        <v>29</v>
      </c>
      <c r="D3836" t="s">
        <v>61</v>
      </c>
      <c r="E3836" t="s">
        <v>20</v>
      </c>
      <c r="F3836" t="s">
        <v>39</v>
      </c>
      <c r="G3836" t="s">
        <v>80</v>
      </c>
      <c r="H3836" t="s">
        <v>23</v>
      </c>
      <c r="J3836" t="s">
        <v>3036</v>
      </c>
      <c r="L3836">
        <v>5.0999999999999996</v>
      </c>
      <c r="M3836">
        <v>195000</v>
      </c>
      <c r="N3836">
        <v>3.6</v>
      </c>
      <c r="O3836">
        <v>3</v>
      </c>
      <c r="P3836" t="s">
        <v>26</v>
      </c>
    </row>
    <row r="3837" spans="1:16" x14ac:dyDescent="0.25">
      <c r="A3837" t="s">
        <v>8137</v>
      </c>
      <c r="B3837" t="s">
        <v>5194</v>
      </c>
      <c r="C3837" t="s">
        <v>18</v>
      </c>
      <c r="D3837" t="s">
        <v>43</v>
      </c>
      <c r="E3837" t="s">
        <v>20</v>
      </c>
      <c r="F3837" t="s">
        <v>128</v>
      </c>
      <c r="G3837" t="s">
        <v>22</v>
      </c>
      <c r="H3837" t="s">
        <v>23</v>
      </c>
      <c r="I3837" t="s">
        <v>35</v>
      </c>
      <c r="J3837" t="s">
        <v>815</v>
      </c>
      <c r="L3837">
        <v>1.5</v>
      </c>
      <c r="M3837">
        <v>436000</v>
      </c>
      <c r="O3837">
        <v>1</v>
      </c>
      <c r="P3837" t="s">
        <v>26</v>
      </c>
    </row>
    <row r="3838" spans="1:16" x14ac:dyDescent="0.25">
      <c r="A3838" t="s">
        <v>8138</v>
      </c>
      <c r="B3838" t="s">
        <v>5246</v>
      </c>
      <c r="C3838" t="s">
        <v>29</v>
      </c>
      <c r="D3838" t="s">
        <v>79</v>
      </c>
      <c r="E3838" t="s">
        <v>20</v>
      </c>
      <c r="F3838" t="s">
        <v>39</v>
      </c>
      <c r="G3838" t="s">
        <v>22</v>
      </c>
      <c r="H3838" t="s">
        <v>62</v>
      </c>
      <c r="I3838" t="s">
        <v>24</v>
      </c>
      <c r="J3838" t="s">
        <v>7528</v>
      </c>
      <c r="K3838" t="s">
        <v>6732</v>
      </c>
      <c r="L3838">
        <v>1.7</v>
      </c>
      <c r="M3838">
        <v>89000</v>
      </c>
      <c r="N3838">
        <v>2.2000000000000002</v>
      </c>
      <c r="O3838">
        <v>13</v>
      </c>
      <c r="P3838" t="s">
        <v>53</v>
      </c>
    </row>
    <row r="3839" spans="1:16" x14ac:dyDescent="0.25">
      <c r="A3839" t="s">
        <v>8139</v>
      </c>
      <c r="B3839" t="s">
        <v>2251</v>
      </c>
      <c r="C3839" t="s">
        <v>29</v>
      </c>
      <c r="D3839" t="s">
        <v>19</v>
      </c>
      <c r="E3839" t="s">
        <v>31</v>
      </c>
      <c r="F3839" t="s">
        <v>39</v>
      </c>
      <c r="G3839" t="s">
        <v>80</v>
      </c>
      <c r="H3839" t="s">
        <v>46</v>
      </c>
      <c r="I3839" t="s">
        <v>57</v>
      </c>
      <c r="J3839" t="s">
        <v>2280</v>
      </c>
      <c r="K3839" t="s">
        <v>8140</v>
      </c>
      <c r="L3839">
        <v>1.6</v>
      </c>
      <c r="N3839">
        <v>2.1</v>
      </c>
      <c r="P3839" t="s">
        <v>53</v>
      </c>
    </row>
    <row r="3840" spans="1:16" x14ac:dyDescent="0.25">
      <c r="A3840" t="s">
        <v>8141</v>
      </c>
      <c r="B3840" t="s">
        <v>1885</v>
      </c>
      <c r="C3840" t="s">
        <v>29</v>
      </c>
      <c r="D3840" t="s">
        <v>50</v>
      </c>
      <c r="E3840" t="s">
        <v>20</v>
      </c>
      <c r="F3840" t="s">
        <v>32</v>
      </c>
      <c r="G3840" t="s">
        <v>22</v>
      </c>
      <c r="H3840" t="s">
        <v>34</v>
      </c>
      <c r="I3840" t="s">
        <v>75</v>
      </c>
      <c r="J3840" t="s">
        <v>2252</v>
      </c>
      <c r="L3840">
        <v>2.5</v>
      </c>
      <c r="M3840">
        <v>347000</v>
      </c>
      <c r="O3840">
        <v>4</v>
      </c>
      <c r="P3840" t="s">
        <v>26</v>
      </c>
    </row>
    <row r="3841" spans="1:16" x14ac:dyDescent="0.25">
      <c r="A3841" t="s">
        <v>8142</v>
      </c>
      <c r="B3841" t="s">
        <v>8143</v>
      </c>
      <c r="C3841" t="s">
        <v>18</v>
      </c>
      <c r="D3841" t="s">
        <v>30</v>
      </c>
      <c r="E3841" t="s">
        <v>20</v>
      </c>
      <c r="F3841" t="s">
        <v>39</v>
      </c>
      <c r="G3841" t="s">
        <v>80</v>
      </c>
      <c r="H3841" t="s">
        <v>23</v>
      </c>
      <c r="I3841" t="s">
        <v>24</v>
      </c>
      <c r="J3841" t="s">
        <v>3297</v>
      </c>
      <c r="L3841">
        <v>1.7</v>
      </c>
      <c r="M3841">
        <v>110000</v>
      </c>
      <c r="N3841">
        <v>2</v>
      </c>
      <c r="O3841">
        <v>10</v>
      </c>
      <c r="P3841" t="s">
        <v>26</v>
      </c>
    </row>
    <row r="3842" spans="1:16" x14ac:dyDescent="0.25">
      <c r="A3842" t="s">
        <v>8144</v>
      </c>
      <c r="B3842" t="s">
        <v>4754</v>
      </c>
      <c r="C3842" t="s">
        <v>18</v>
      </c>
      <c r="D3842" t="s">
        <v>43</v>
      </c>
      <c r="E3842" t="s">
        <v>44</v>
      </c>
      <c r="F3842" t="s">
        <v>32</v>
      </c>
      <c r="G3842" t="s">
        <v>33</v>
      </c>
      <c r="H3842" t="s">
        <v>62</v>
      </c>
      <c r="I3842" t="s">
        <v>24</v>
      </c>
      <c r="J3842" t="s">
        <v>970</v>
      </c>
      <c r="L3842">
        <v>1.4</v>
      </c>
      <c r="M3842">
        <v>283000</v>
      </c>
      <c r="N3842">
        <v>4.0999999999999996</v>
      </c>
      <c r="O3842">
        <v>9</v>
      </c>
      <c r="P3842" t="s">
        <v>26</v>
      </c>
    </row>
    <row r="3843" spans="1:16" x14ac:dyDescent="0.25">
      <c r="A3843" t="s">
        <v>8145</v>
      </c>
      <c r="B3843" t="s">
        <v>8146</v>
      </c>
      <c r="C3843" t="s">
        <v>29</v>
      </c>
      <c r="D3843" t="s">
        <v>19</v>
      </c>
      <c r="E3843" t="s">
        <v>20</v>
      </c>
      <c r="F3843" t="s">
        <v>39</v>
      </c>
      <c r="G3843" t="s">
        <v>22</v>
      </c>
      <c r="H3843" t="s">
        <v>23</v>
      </c>
      <c r="I3843" t="s">
        <v>57</v>
      </c>
      <c r="J3843" t="s">
        <v>1507</v>
      </c>
      <c r="L3843">
        <v>3.1</v>
      </c>
      <c r="M3843">
        <v>107000</v>
      </c>
      <c r="N3843">
        <v>2.5</v>
      </c>
      <c r="O3843">
        <v>2</v>
      </c>
      <c r="P3843" t="s">
        <v>26</v>
      </c>
    </row>
    <row r="3844" spans="1:16" x14ac:dyDescent="0.25">
      <c r="A3844" t="s">
        <v>8147</v>
      </c>
      <c r="B3844" t="s">
        <v>8148</v>
      </c>
      <c r="C3844" t="s">
        <v>18</v>
      </c>
      <c r="D3844" t="s">
        <v>30</v>
      </c>
      <c r="E3844" t="s">
        <v>20</v>
      </c>
      <c r="F3844" t="s">
        <v>32</v>
      </c>
      <c r="G3844" t="s">
        <v>69</v>
      </c>
      <c r="H3844" t="s">
        <v>23</v>
      </c>
      <c r="J3844" t="s">
        <v>3684</v>
      </c>
      <c r="L3844">
        <v>5.5</v>
      </c>
      <c r="M3844">
        <v>290000</v>
      </c>
      <c r="N3844">
        <v>2.9</v>
      </c>
      <c r="O3844">
        <v>38</v>
      </c>
      <c r="P3844" t="s">
        <v>26</v>
      </c>
    </row>
    <row r="3845" spans="1:16" x14ac:dyDescent="0.25">
      <c r="A3845" t="s">
        <v>8149</v>
      </c>
      <c r="B3845" t="s">
        <v>3433</v>
      </c>
      <c r="C3845" t="s">
        <v>18</v>
      </c>
      <c r="D3845" t="s">
        <v>79</v>
      </c>
      <c r="E3845" t="s">
        <v>44</v>
      </c>
      <c r="F3845" t="s">
        <v>45</v>
      </c>
      <c r="G3845" t="s">
        <v>80</v>
      </c>
      <c r="H3845" t="s">
        <v>34</v>
      </c>
      <c r="I3845" t="s">
        <v>24</v>
      </c>
      <c r="J3845" t="s">
        <v>282</v>
      </c>
      <c r="K3845" t="s">
        <v>4781</v>
      </c>
      <c r="L3845">
        <v>1.8</v>
      </c>
      <c r="M3845">
        <v>1140000</v>
      </c>
      <c r="N3845">
        <v>3.9</v>
      </c>
      <c r="O3845">
        <v>8</v>
      </c>
      <c r="P3845" t="s">
        <v>53</v>
      </c>
    </row>
    <row r="3846" spans="1:16" x14ac:dyDescent="0.25">
      <c r="A3846" t="s">
        <v>8150</v>
      </c>
      <c r="B3846" t="s">
        <v>8151</v>
      </c>
      <c r="C3846" t="s">
        <v>18</v>
      </c>
      <c r="D3846" t="s">
        <v>50</v>
      </c>
      <c r="E3846" t="s">
        <v>44</v>
      </c>
      <c r="F3846" t="s">
        <v>32</v>
      </c>
      <c r="G3846" t="s">
        <v>22</v>
      </c>
      <c r="H3846" t="s">
        <v>46</v>
      </c>
      <c r="I3846" t="s">
        <v>24</v>
      </c>
      <c r="J3846" t="s">
        <v>2216</v>
      </c>
      <c r="K3846" t="s">
        <v>3569</v>
      </c>
      <c r="L3846">
        <v>1.4</v>
      </c>
      <c r="M3846">
        <v>290000</v>
      </c>
      <c r="N3846">
        <v>2.7</v>
      </c>
      <c r="O3846">
        <v>12</v>
      </c>
      <c r="P3846" t="s">
        <v>114</v>
      </c>
    </row>
    <row r="3847" spans="1:16" x14ac:dyDescent="0.25">
      <c r="A3847" t="s">
        <v>8152</v>
      </c>
      <c r="B3847" t="s">
        <v>5548</v>
      </c>
      <c r="C3847" t="s">
        <v>29</v>
      </c>
      <c r="D3847" t="s">
        <v>30</v>
      </c>
      <c r="E3847" t="s">
        <v>20</v>
      </c>
      <c r="F3847" t="s">
        <v>32</v>
      </c>
      <c r="G3847" t="s">
        <v>22</v>
      </c>
      <c r="H3847" t="s">
        <v>46</v>
      </c>
      <c r="I3847" t="s">
        <v>171</v>
      </c>
      <c r="J3847" t="s">
        <v>1220</v>
      </c>
      <c r="K3847" t="s">
        <v>2719</v>
      </c>
      <c r="L3847">
        <v>2.2999999999999998</v>
      </c>
      <c r="M3847">
        <v>288000</v>
      </c>
      <c r="N3847">
        <v>4.9000000000000004</v>
      </c>
      <c r="O3847">
        <v>14</v>
      </c>
      <c r="P3847" t="s">
        <v>114</v>
      </c>
    </row>
    <row r="3848" spans="1:16" x14ac:dyDescent="0.25">
      <c r="A3848" t="s">
        <v>8153</v>
      </c>
      <c r="B3848" t="s">
        <v>1297</v>
      </c>
      <c r="C3848" t="s">
        <v>29</v>
      </c>
      <c r="D3848" t="s">
        <v>30</v>
      </c>
      <c r="E3848" t="s">
        <v>31</v>
      </c>
      <c r="F3848" t="s">
        <v>128</v>
      </c>
      <c r="G3848" t="s">
        <v>22</v>
      </c>
      <c r="H3848" t="s">
        <v>23</v>
      </c>
      <c r="I3848" t="s">
        <v>75</v>
      </c>
      <c r="J3848" t="s">
        <v>3835</v>
      </c>
      <c r="L3848">
        <v>3.1</v>
      </c>
      <c r="M3848">
        <v>532000</v>
      </c>
      <c r="N3848">
        <v>3.7</v>
      </c>
      <c r="O3848">
        <v>1</v>
      </c>
      <c r="P3848" t="s">
        <v>26</v>
      </c>
    </row>
    <row r="3849" spans="1:16" x14ac:dyDescent="0.25">
      <c r="A3849" t="s">
        <v>8154</v>
      </c>
      <c r="B3849" t="s">
        <v>3375</v>
      </c>
      <c r="C3849" t="s">
        <v>18</v>
      </c>
      <c r="D3849" t="s">
        <v>19</v>
      </c>
      <c r="E3849" t="s">
        <v>31</v>
      </c>
      <c r="F3849" t="s">
        <v>128</v>
      </c>
      <c r="G3849" t="s">
        <v>80</v>
      </c>
      <c r="H3849" t="s">
        <v>34</v>
      </c>
      <c r="I3849" t="s">
        <v>35</v>
      </c>
      <c r="J3849" t="s">
        <v>1021</v>
      </c>
      <c r="L3849">
        <v>4.5999999999999996</v>
      </c>
      <c r="M3849">
        <v>660000</v>
      </c>
      <c r="N3849">
        <v>4</v>
      </c>
      <c r="O3849">
        <v>8</v>
      </c>
      <c r="P3849" t="s">
        <v>26</v>
      </c>
    </row>
    <row r="3850" spans="1:16" x14ac:dyDescent="0.25">
      <c r="A3850" t="s">
        <v>8155</v>
      </c>
      <c r="B3850" t="s">
        <v>8156</v>
      </c>
      <c r="C3850" t="s">
        <v>18</v>
      </c>
      <c r="E3850" t="s">
        <v>20</v>
      </c>
      <c r="F3850" t="s">
        <v>39</v>
      </c>
      <c r="G3850" t="s">
        <v>80</v>
      </c>
      <c r="H3850" t="s">
        <v>34</v>
      </c>
      <c r="I3850" t="s">
        <v>57</v>
      </c>
      <c r="J3850" t="s">
        <v>4151</v>
      </c>
      <c r="K3850" t="s">
        <v>7441</v>
      </c>
      <c r="L3850">
        <v>5</v>
      </c>
      <c r="M3850">
        <v>158000</v>
      </c>
      <c r="N3850">
        <v>2.4</v>
      </c>
      <c r="O3850">
        <v>4</v>
      </c>
      <c r="P3850" t="s">
        <v>53</v>
      </c>
    </row>
    <row r="3851" spans="1:16" x14ac:dyDescent="0.25">
      <c r="A3851" t="s">
        <v>5685</v>
      </c>
      <c r="B3851" t="s">
        <v>4006</v>
      </c>
      <c r="C3851" t="s">
        <v>18</v>
      </c>
      <c r="D3851" t="s">
        <v>79</v>
      </c>
      <c r="E3851" t="s">
        <v>20</v>
      </c>
      <c r="F3851" t="s">
        <v>21</v>
      </c>
      <c r="G3851" t="s">
        <v>80</v>
      </c>
      <c r="H3851" t="s">
        <v>34</v>
      </c>
      <c r="I3851" t="s">
        <v>57</v>
      </c>
      <c r="J3851" t="s">
        <v>99</v>
      </c>
      <c r="K3851" t="s">
        <v>5686</v>
      </c>
      <c r="L3851">
        <v>2.2000000000000002</v>
      </c>
      <c r="M3851">
        <v>939000</v>
      </c>
      <c r="N3851">
        <v>3.2</v>
      </c>
      <c r="O3851">
        <v>2</v>
      </c>
      <c r="P3851" t="s">
        <v>114</v>
      </c>
    </row>
    <row r="3852" spans="1:16" x14ac:dyDescent="0.25">
      <c r="A3852" t="s">
        <v>8157</v>
      </c>
      <c r="B3852" t="s">
        <v>8158</v>
      </c>
      <c r="C3852" t="s">
        <v>18</v>
      </c>
      <c r="D3852" t="s">
        <v>43</v>
      </c>
      <c r="E3852" t="s">
        <v>44</v>
      </c>
      <c r="F3852" t="s">
        <v>45</v>
      </c>
      <c r="G3852" t="s">
        <v>22</v>
      </c>
      <c r="H3852" t="s">
        <v>34</v>
      </c>
      <c r="I3852" t="s">
        <v>24</v>
      </c>
      <c r="J3852" t="s">
        <v>5189</v>
      </c>
      <c r="L3852">
        <v>3.4</v>
      </c>
      <c r="M3852">
        <v>1068000</v>
      </c>
      <c r="N3852">
        <v>3</v>
      </c>
      <c r="O3852">
        <v>0</v>
      </c>
      <c r="P3852" t="s">
        <v>26</v>
      </c>
    </row>
    <row r="3853" spans="1:16" x14ac:dyDescent="0.25">
      <c r="A3853" t="s">
        <v>8159</v>
      </c>
      <c r="B3853" t="s">
        <v>3692</v>
      </c>
      <c r="C3853" t="s">
        <v>29</v>
      </c>
      <c r="D3853" t="s">
        <v>30</v>
      </c>
      <c r="E3853" t="s">
        <v>20</v>
      </c>
      <c r="F3853" t="s">
        <v>128</v>
      </c>
      <c r="G3853" t="s">
        <v>33</v>
      </c>
      <c r="H3853" t="s">
        <v>46</v>
      </c>
      <c r="I3853" t="s">
        <v>24</v>
      </c>
      <c r="J3853" t="s">
        <v>4214</v>
      </c>
      <c r="K3853" t="s">
        <v>3713</v>
      </c>
      <c r="L3853">
        <v>1.4</v>
      </c>
      <c r="M3853">
        <v>446000</v>
      </c>
      <c r="O3853">
        <v>13</v>
      </c>
      <c r="P3853" t="s">
        <v>53</v>
      </c>
    </row>
    <row r="3854" spans="1:16" x14ac:dyDescent="0.25">
      <c r="A3854" t="s">
        <v>8160</v>
      </c>
      <c r="B3854" t="s">
        <v>3794</v>
      </c>
      <c r="C3854" t="s">
        <v>18</v>
      </c>
      <c r="D3854" t="s">
        <v>79</v>
      </c>
      <c r="E3854" t="s">
        <v>20</v>
      </c>
      <c r="F3854" t="s">
        <v>32</v>
      </c>
      <c r="G3854" t="s">
        <v>33</v>
      </c>
      <c r="H3854" t="s">
        <v>34</v>
      </c>
      <c r="I3854" t="s">
        <v>24</v>
      </c>
      <c r="J3854" t="s">
        <v>282</v>
      </c>
      <c r="L3854">
        <v>1.8</v>
      </c>
      <c r="M3854">
        <v>317000</v>
      </c>
      <c r="N3854">
        <v>4.3</v>
      </c>
      <c r="O3854">
        <v>13</v>
      </c>
      <c r="P3854" t="s">
        <v>26</v>
      </c>
    </row>
    <row r="3855" spans="1:16" x14ac:dyDescent="0.25">
      <c r="A3855" t="s">
        <v>8161</v>
      </c>
      <c r="B3855" t="s">
        <v>3572</v>
      </c>
      <c r="C3855" t="s">
        <v>18</v>
      </c>
      <c r="D3855" t="s">
        <v>43</v>
      </c>
      <c r="E3855" t="s">
        <v>31</v>
      </c>
      <c r="F3855" t="s">
        <v>45</v>
      </c>
      <c r="G3855" t="s">
        <v>80</v>
      </c>
      <c r="H3855" t="s">
        <v>34</v>
      </c>
      <c r="I3855" t="s">
        <v>24</v>
      </c>
      <c r="J3855" t="s">
        <v>685</v>
      </c>
      <c r="L3855">
        <v>4.8</v>
      </c>
      <c r="M3855">
        <v>1657000</v>
      </c>
      <c r="N3855">
        <v>4.5</v>
      </c>
      <c r="O3855">
        <v>11</v>
      </c>
      <c r="P3855" t="s">
        <v>26</v>
      </c>
    </row>
    <row r="3856" spans="1:16" x14ac:dyDescent="0.25">
      <c r="A3856" t="s">
        <v>6512</v>
      </c>
      <c r="B3856" t="s">
        <v>6266</v>
      </c>
      <c r="C3856" t="s">
        <v>18</v>
      </c>
      <c r="D3856" t="s">
        <v>79</v>
      </c>
      <c r="E3856" t="s">
        <v>44</v>
      </c>
      <c r="F3856" t="s">
        <v>128</v>
      </c>
      <c r="G3856" t="s">
        <v>22</v>
      </c>
      <c r="H3856" t="s">
        <v>34</v>
      </c>
      <c r="I3856" t="s">
        <v>57</v>
      </c>
      <c r="J3856" t="s">
        <v>4540</v>
      </c>
      <c r="L3856">
        <v>5</v>
      </c>
      <c r="M3856">
        <v>390000</v>
      </c>
      <c r="N3856">
        <v>3.2</v>
      </c>
      <c r="O3856">
        <v>5</v>
      </c>
      <c r="P3856" t="s">
        <v>26</v>
      </c>
    </row>
    <row r="3857" spans="1:16" x14ac:dyDescent="0.25">
      <c r="A3857" t="s">
        <v>8162</v>
      </c>
      <c r="B3857" t="s">
        <v>8163</v>
      </c>
      <c r="C3857" t="s">
        <v>18</v>
      </c>
      <c r="D3857" t="s">
        <v>79</v>
      </c>
      <c r="E3857" t="s">
        <v>31</v>
      </c>
      <c r="F3857" t="s">
        <v>45</v>
      </c>
      <c r="G3857" t="s">
        <v>80</v>
      </c>
      <c r="H3857" t="s">
        <v>34</v>
      </c>
      <c r="I3857" t="s">
        <v>57</v>
      </c>
      <c r="J3857" t="s">
        <v>4461</v>
      </c>
      <c r="K3857" t="s">
        <v>5189</v>
      </c>
      <c r="L3857">
        <v>5.5</v>
      </c>
      <c r="M3857">
        <v>1349000</v>
      </c>
      <c r="N3857">
        <v>4.2</v>
      </c>
      <c r="O3857">
        <v>13</v>
      </c>
      <c r="P3857" t="s">
        <v>72</v>
      </c>
    </row>
    <row r="3858" spans="1:16" x14ac:dyDescent="0.25">
      <c r="A3858" t="s">
        <v>8164</v>
      </c>
      <c r="B3858" t="s">
        <v>8165</v>
      </c>
      <c r="C3858" t="s">
        <v>18</v>
      </c>
      <c r="D3858" t="s">
        <v>19</v>
      </c>
      <c r="E3858" t="s">
        <v>20</v>
      </c>
      <c r="F3858" t="s">
        <v>32</v>
      </c>
      <c r="G3858" t="s">
        <v>80</v>
      </c>
      <c r="H3858" t="s">
        <v>62</v>
      </c>
      <c r="I3858" t="s">
        <v>171</v>
      </c>
      <c r="J3858" t="s">
        <v>8166</v>
      </c>
      <c r="K3858" t="s">
        <v>4269</v>
      </c>
      <c r="L3858">
        <v>4.2</v>
      </c>
      <c r="M3858">
        <v>202000</v>
      </c>
      <c r="N3858">
        <v>2.4</v>
      </c>
      <c r="O3858">
        <v>14</v>
      </c>
      <c r="P3858" t="s">
        <v>72</v>
      </c>
    </row>
    <row r="3859" spans="1:16" x14ac:dyDescent="0.25">
      <c r="A3859" t="s">
        <v>8167</v>
      </c>
      <c r="B3859" t="s">
        <v>1365</v>
      </c>
      <c r="C3859" t="s">
        <v>29</v>
      </c>
      <c r="D3859" t="s">
        <v>79</v>
      </c>
      <c r="E3859" t="s">
        <v>20</v>
      </c>
      <c r="F3859" t="s">
        <v>128</v>
      </c>
      <c r="G3859" t="s">
        <v>22</v>
      </c>
      <c r="H3859" t="s">
        <v>34</v>
      </c>
      <c r="I3859" t="s">
        <v>57</v>
      </c>
      <c r="J3859" t="s">
        <v>2656</v>
      </c>
      <c r="L3859">
        <v>4</v>
      </c>
      <c r="M3859">
        <v>459000</v>
      </c>
      <c r="N3859">
        <v>2.2000000000000002</v>
      </c>
      <c r="O3859">
        <v>18</v>
      </c>
      <c r="P3859" t="s">
        <v>26</v>
      </c>
    </row>
    <row r="3860" spans="1:16" x14ac:dyDescent="0.25">
      <c r="A3860" t="s">
        <v>8168</v>
      </c>
      <c r="B3860" t="s">
        <v>2020</v>
      </c>
      <c r="C3860" t="s">
        <v>29</v>
      </c>
      <c r="D3860" t="s">
        <v>19</v>
      </c>
      <c r="E3860" t="s">
        <v>44</v>
      </c>
      <c r="F3860" t="s">
        <v>39</v>
      </c>
      <c r="G3860" t="s">
        <v>22</v>
      </c>
      <c r="H3860" t="s">
        <v>34</v>
      </c>
      <c r="I3860" t="s">
        <v>171</v>
      </c>
      <c r="J3860" t="s">
        <v>1091</v>
      </c>
      <c r="K3860" t="s">
        <v>8169</v>
      </c>
      <c r="L3860">
        <v>3.2</v>
      </c>
      <c r="N3860">
        <v>3.2</v>
      </c>
      <c r="O3860">
        <v>6</v>
      </c>
      <c r="P3860" t="s">
        <v>53</v>
      </c>
    </row>
    <row r="3861" spans="1:16" x14ac:dyDescent="0.25">
      <c r="A3861" t="s">
        <v>8170</v>
      </c>
      <c r="B3861" t="s">
        <v>5008</v>
      </c>
      <c r="C3861" t="s">
        <v>29</v>
      </c>
      <c r="D3861" t="s">
        <v>50</v>
      </c>
      <c r="E3861" t="s">
        <v>20</v>
      </c>
      <c r="F3861" t="s">
        <v>39</v>
      </c>
      <c r="G3861" t="s">
        <v>22</v>
      </c>
      <c r="H3861" t="s">
        <v>34</v>
      </c>
      <c r="I3861" t="s">
        <v>57</v>
      </c>
      <c r="J3861" t="s">
        <v>4790</v>
      </c>
      <c r="K3861" t="s">
        <v>7694</v>
      </c>
      <c r="L3861">
        <v>2.8</v>
      </c>
      <c r="M3861">
        <v>145000</v>
      </c>
      <c r="N3861">
        <v>2.2999999999999998</v>
      </c>
      <c r="O3861">
        <v>12</v>
      </c>
      <c r="P3861" t="s">
        <v>72</v>
      </c>
    </row>
    <row r="3862" spans="1:16" x14ac:dyDescent="0.25">
      <c r="A3862" t="s">
        <v>8171</v>
      </c>
      <c r="B3862" t="s">
        <v>5274</v>
      </c>
      <c r="E3862" t="s">
        <v>44</v>
      </c>
      <c r="F3862" t="s">
        <v>32</v>
      </c>
      <c r="G3862" t="s">
        <v>22</v>
      </c>
      <c r="H3862" t="s">
        <v>23</v>
      </c>
      <c r="I3862" t="s">
        <v>57</v>
      </c>
      <c r="J3862" t="s">
        <v>1696</v>
      </c>
      <c r="L3862">
        <v>5.2</v>
      </c>
      <c r="M3862">
        <v>332000</v>
      </c>
      <c r="N3862">
        <v>3</v>
      </c>
      <c r="O3862">
        <v>1</v>
      </c>
      <c r="P3862" t="s">
        <v>26</v>
      </c>
    </row>
    <row r="3863" spans="1:16" x14ac:dyDescent="0.25">
      <c r="A3863" t="s">
        <v>8172</v>
      </c>
      <c r="B3863" t="s">
        <v>8173</v>
      </c>
      <c r="C3863" t="s">
        <v>29</v>
      </c>
      <c r="D3863" t="s">
        <v>50</v>
      </c>
      <c r="E3863" t="s">
        <v>20</v>
      </c>
      <c r="F3863" t="s">
        <v>32</v>
      </c>
      <c r="G3863" t="s">
        <v>22</v>
      </c>
      <c r="H3863" t="s">
        <v>46</v>
      </c>
      <c r="I3863" t="s">
        <v>57</v>
      </c>
      <c r="J3863" t="s">
        <v>5277</v>
      </c>
      <c r="L3863">
        <v>3.4</v>
      </c>
      <c r="M3863">
        <v>232000</v>
      </c>
      <c r="N3863">
        <v>4.3</v>
      </c>
      <c r="O3863">
        <v>10</v>
      </c>
      <c r="P3863" t="s">
        <v>26</v>
      </c>
    </row>
    <row r="3864" spans="1:16" x14ac:dyDescent="0.25">
      <c r="A3864" t="s">
        <v>8174</v>
      </c>
      <c r="B3864" t="s">
        <v>2895</v>
      </c>
      <c r="C3864" t="s">
        <v>18</v>
      </c>
      <c r="D3864" t="s">
        <v>43</v>
      </c>
      <c r="E3864" t="s">
        <v>20</v>
      </c>
      <c r="F3864" t="s">
        <v>128</v>
      </c>
      <c r="G3864" t="s">
        <v>80</v>
      </c>
      <c r="H3864" t="s">
        <v>23</v>
      </c>
      <c r="I3864" t="s">
        <v>35</v>
      </c>
      <c r="J3864" t="s">
        <v>4518</v>
      </c>
      <c r="K3864" t="s">
        <v>6086</v>
      </c>
      <c r="L3864">
        <v>4.7</v>
      </c>
      <c r="M3864">
        <v>380000</v>
      </c>
      <c r="N3864">
        <v>3.3</v>
      </c>
      <c r="O3864">
        <v>9</v>
      </c>
      <c r="P3864" t="s">
        <v>53</v>
      </c>
    </row>
    <row r="3865" spans="1:16" x14ac:dyDescent="0.25">
      <c r="A3865" t="s">
        <v>8175</v>
      </c>
      <c r="B3865" t="s">
        <v>368</v>
      </c>
      <c r="C3865" t="s">
        <v>29</v>
      </c>
      <c r="D3865" t="s">
        <v>19</v>
      </c>
      <c r="E3865" t="s">
        <v>20</v>
      </c>
      <c r="F3865" t="s">
        <v>128</v>
      </c>
      <c r="G3865" t="s">
        <v>22</v>
      </c>
      <c r="H3865" t="s">
        <v>23</v>
      </c>
      <c r="I3865" t="s">
        <v>35</v>
      </c>
      <c r="J3865" t="s">
        <v>496</v>
      </c>
      <c r="L3865">
        <v>1.9</v>
      </c>
      <c r="M3865">
        <v>543000</v>
      </c>
      <c r="N3865">
        <v>2.2000000000000002</v>
      </c>
      <c r="O3865">
        <v>7</v>
      </c>
      <c r="P3865" t="s">
        <v>26</v>
      </c>
    </row>
    <row r="3866" spans="1:16" x14ac:dyDescent="0.25">
      <c r="A3866" t="s">
        <v>8176</v>
      </c>
      <c r="B3866" t="s">
        <v>4566</v>
      </c>
      <c r="C3866" t="s">
        <v>18</v>
      </c>
      <c r="D3866" t="s">
        <v>30</v>
      </c>
      <c r="E3866" t="s">
        <v>20</v>
      </c>
      <c r="F3866" t="s">
        <v>39</v>
      </c>
      <c r="G3866" t="s">
        <v>33</v>
      </c>
      <c r="H3866" t="s">
        <v>34</v>
      </c>
      <c r="I3866" t="s">
        <v>35</v>
      </c>
      <c r="J3866" t="s">
        <v>1677</v>
      </c>
      <c r="L3866">
        <v>5.7</v>
      </c>
      <c r="M3866">
        <v>164000</v>
      </c>
      <c r="O3866">
        <v>5</v>
      </c>
      <c r="P3866" t="s">
        <v>26</v>
      </c>
    </row>
    <row r="3867" spans="1:16" x14ac:dyDescent="0.25">
      <c r="A3867" t="s">
        <v>8177</v>
      </c>
      <c r="B3867" t="s">
        <v>3854</v>
      </c>
      <c r="C3867" t="s">
        <v>29</v>
      </c>
      <c r="D3867" t="s">
        <v>50</v>
      </c>
      <c r="E3867" t="s">
        <v>20</v>
      </c>
      <c r="F3867" t="s">
        <v>32</v>
      </c>
      <c r="G3867" t="s">
        <v>69</v>
      </c>
      <c r="H3867" t="s">
        <v>34</v>
      </c>
      <c r="I3867" t="s">
        <v>24</v>
      </c>
      <c r="J3867" t="s">
        <v>2940</v>
      </c>
      <c r="L3867">
        <v>5.7</v>
      </c>
      <c r="M3867">
        <v>233000</v>
      </c>
      <c r="N3867">
        <v>5</v>
      </c>
      <c r="O3867">
        <v>0</v>
      </c>
      <c r="P3867" t="s">
        <v>26</v>
      </c>
    </row>
    <row r="3868" spans="1:16" x14ac:dyDescent="0.25">
      <c r="A3868" t="s">
        <v>8178</v>
      </c>
      <c r="B3868" t="s">
        <v>8179</v>
      </c>
      <c r="C3868" t="s">
        <v>29</v>
      </c>
      <c r="D3868" t="s">
        <v>19</v>
      </c>
      <c r="E3868" t="s">
        <v>20</v>
      </c>
      <c r="F3868" t="s">
        <v>128</v>
      </c>
      <c r="G3868" t="s">
        <v>22</v>
      </c>
      <c r="H3868" t="s">
        <v>46</v>
      </c>
      <c r="I3868" t="s">
        <v>35</v>
      </c>
      <c r="J3868" t="s">
        <v>3964</v>
      </c>
      <c r="L3868">
        <v>4.5</v>
      </c>
      <c r="M3868">
        <v>557000</v>
      </c>
      <c r="N3868">
        <v>4.2</v>
      </c>
      <c r="O3868">
        <v>33</v>
      </c>
      <c r="P3868" t="s">
        <v>26</v>
      </c>
    </row>
    <row r="3869" spans="1:16" x14ac:dyDescent="0.25">
      <c r="A3869" t="s">
        <v>8180</v>
      </c>
      <c r="B3869" t="s">
        <v>8032</v>
      </c>
      <c r="C3869" t="s">
        <v>29</v>
      </c>
      <c r="E3869" t="s">
        <v>20</v>
      </c>
      <c r="F3869" t="s">
        <v>39</v>
      </c>
      <c r="G3869" t="s">
        <v>22</v>
      </c>
      <c r="I3869" t="s">
        <v>35</v>
      </c>
      <c r="J3869" t="s">
        <v>2499</v>
      </c>
      <c r="L3869">
        <v>2.2000000000000002</v>
      </c>
      <c r="M3869">
        <v>152000</v>
      </c>
      <c r="N3869">
        <v>3.9</v>
      </c>
      <c r="O3869">
        <v>18</v>
      </c>
      <c r="P3869" t="s">
        <v>26</v>
      </c>
    </row>
    <row r="3870" spans="1:16" x14ac:dyDescent="0.25">
      <c r="A3870" t="s">
        <v>8181</v>
      </c>
      <c r="B3870" t="s">
        <v>8182</v>
      </c>
      <c r="C3870" t="s">
        <v>29</v>
      </c>
      <c r="E3870" t="s">
        <v>20</v>
      </c>
      <c r="G3870" t="s">
        <v>33</v>
      </c>
      <c r="H3870" t="s">
        <v>23</v>
      </c>
      <c r="I3870" t="s">
        <v>24</v>
      </c>
      <c r="J3870" t="s">
        <v>3453</v>
      </c>
      <c r="L3870">
        <v>2</v>
      </c>
      <c r="M3870">
        <v>323000</v>
      </c>
      <c r="N3870">
        <v>3.5</v>
      </c>
      <c r="O3870">
        <v>11</v>
      </c>
      <c r="P3870" t="s">
        <v>26</v>
      </c>
    </row>
    <row r="3871" spans="1:16" x14ac:dyDescent="0.25">
      <c r="A3871" t="s">
        <v>8183</v>
      </c>
      <c r="B3871" t="s">
        <v>8184</v>
      </c>
      <c r="C3871" t="s">
        <v>29</v>
      </c>
      <c r="D3871" t="s">
        <v>50</v>
      </c>
      <c r="E3871" t="s">
        <v>20</v>
      </c>
      <c r="F3871" t="s">
        <v>32</v>
      </c>
      <c r="G3871" t="s">
        <v>80</v>
      </c>
      <c r="H3871" t="s">
        <v>34</v>
      </c>
      <c r="I3871" t="s">
        <v>171</v>
      </c>
      <c r="J3871" t="s">
        <v>2075</v>
      </c>
      <c r="L3871">
        <v>2.7</v>
      </c>
      <c r="M3871">
        <v>216000</v>
      </c>
      <c r="N3871">
        <v>4</v>
      </c>
      <c r="O3871">
        <v>2</v>
      </c>
      <c r="P3871" t="s">
        <v>26</v>
      </c>
    </row>
    <row r="3872" spans="1:16" x14ac:dyDescent="0.25">
      <c r="A3872" t="s">
        <v>8185</v>
      </c>
      <c r="B3872" t="s">
        <v>2812</v>
      </c>
      <c r="C3872" t="s">
        <v>18</v>
      </c>
      <c r="D3872" t="s">
        <v>79</v>
      </c>
      <c r="E3872" t="s">
        <v>20</v>
      </c>
      <c r="F3872" t="s">
        <v>39</v>
      </c>
      <c r="G3872" t="s">
        <v>69</v>
      </c>
      <c r="H3872" t="s">
        <v>46</v>
      </c>
      <c r="I3872" t="s">
        <v>24</v>
      </c>
      <c r="J3872" t="s">
        <v>4390</v>
      </c>
      <c r="L3872">
        <v>2.5</v>
      </c>
      <c r="M3872">
        <v>158000</v>
      </c>
      <c r="N3872">
        <v>3</v>
      </c>
      <c r="O3872">
        <v>13</v>
      </c>
      <c r="P3872" t="s">
        <v>26</v>
      </c>
    </row>
    <row r="3873" spans="1:16" x14ac:dyDescent="0.25">
      <c r="A3873" t="s">
        <v>8186</v>
      </c>
      <c r="B3873" t="s">
        <v>4932</v>
      </c>
      <c r="C3873" t="s">
        <v>18</v>
      </c>
      <c r="D3873" t="s">
        <v>30</v>
      </c>
      <c r="E3873" t="s">
        <v>20</v>
      </c>
      <c r="F3873" t="s">
        <v>39</v>
      </c>
      <c r="G3873" t="s">
        <v>80</v>
      </c>
      <c r="I3873" t="s">
        <v>75</v>
      </c>
      <c r="J3873" t="s">
        <v>6961</v>
      </c>
      <c r="L3873">
        <v>3.6</v>
      </c>
      <c r="M3873">
        <v>92000</v>
      </c>
      <c r="N3873">
        <v>3.3</v>
      </c>
      <c r="O3873">
        <v>13</v>
      </c>
      <c r="P3873" t="s">
        <v>26</v>
      </c>
    </row>
    <row r="3874" spans="1:16" x14ac:dyDescent="0.25">
      <c r="A3874" t="s">
        <v>8187</v>
      </c>
      <c r="B3874" t="s">
        <v>8188</v>
      </c>
      <c r="C3874" t="s">
        <v>29</v>
      </c>
      <c r="D3874" t="s">
        <v>30</v>
      </c>
      <c r="E3874" t="s">
        <v>20</v>
      </c>
      <c r="F3874" t="s">
        <v>39</v>
      </c>
      <c r="G3874" t="s">
        <v>69</v>
      </c>
      <c r="H3874" t="s">
        <v>34</v>
      </c>
      <c r="I3874" t="s">
        <v>35</v>
      </c>
      <c r="J3874" t="s">
        <v>3053</v>
      </c>
      <c r="L3874">
        <v>2</v>
      </c>
      <c r="M3874">
        <v>112000</v>
      </c>
      <c r="N3874">
        <v>2.8</v>
      </c>
      <c r="O3874">
        <v>39</v>
      </c>
      <c r="P3874" t="s">
        <v>26</v>
      </c>
    </row>
    <row r="3875" spans="1:16" x14ac:dyDescent="0.25">
      <c r="A3875" t="s">
        <v>8189</v>
      </c>
      <c r="B3875" t="s">
        <v>6505</v>
      </c>
      <c r="C3875" t="s">
        <v>18</v>
      </c>
      <c r="D3875" t="s">
        <v>50</v>
      </c>
      <c r="F3875" t="s">
        <v>128</v>
      </c>
      <c r="G3875" t="s">
        <v>33</v>
      </c>
      <c r="I3875" t="s">
        <v>35</v>
      </c>
      <c r="J3875" t="s">
        <v>3353</v>
      </c>
      <c r="L3875">
        <v>5.8</v>
      </c>
      <c r="M3875">
        <v>465000</v>
      </c>
      <c r="N3875">
        <v>2.1</v>
      </c>
      <c r="O3875">
        <v>10</v>
      </c>
      <c r="P3875" t="s">
        <v>26</v>
      </c>
    </row>
    <row r="3876" spans="1:16" x14ac:dyDescent="0.25">
      <c r="A3876" t="s">
        <v>8190</v>
      </c>
      <c r="B3876" t="s">
        <v>7590</v>
      </c>
      <c r="C3876" t="s">
        <v>29</v>
      </c>
      <c r="D3876" t="s">
        <v>43</v>
      </c>
      <c r="E3876" t="s">
        <v>20</v>
      </c>
      <c r="F3876" t="s">
        <v>128</v>
      </c>
      <c r="G3876" t="s">
        <v>80</v>
      </c>
      <c r="H3876" t="s">
        <v>62</v>
      </c>
      <c r="I3876" t="s">
        <v>57</v>
      </c>
      <c r="J3876" t="s">
        <v>3134</v>
      </c>
      <c r="L3876">
        <v>5.0999999999999996</v>
      </c>
      <c r="M3876">
        <v>352000</v>
      </c>
      <c r="N3876">
        <v>2.7</v>
      </c>
      <c r="O3876">
        <v>14</v>
      </c>
      <c r="P3876" t="s">
        <v>26</v>
      </c>
    </row>
    <row r="3877" spans="1:16" x14ac:dyDescent="0.25">
      <c r="A3877" t="s">
        <v>8191</v>
      </c>
      <c r="B3877" t="s">
        <v>7743</v>
      </c>
      <c r="C3877" t="s">
        <v>18</v>
      </c>
      <c r="D3877" t="s">
        <v>43</v>
      </c>
      <c r="E3877" t="s">
        <v>31</v>
      </c>
      <c r="F3877" t="s">
        <v>32</v>
      </c>
      <c r="G3877" t="s">
        <v>69</v>
      </c>
      <c r="H3877" t="s">
        <v>34</v>
      </c>
      <c r="I3877" t="s">
        <v>75</v>
      </c>
      <c r="J3877" t="s">
        <v>1263</v>
      </c>
      <c r="L3877">
        <v>3.9</v>
      </c>
      <c r="M3877">
        <v>224000</v>
      </c>
      <c r="N3877">
        <v>2.9</v>
      </c>
      <c r="O3877">
        <v>8</v>
      </c>
      <c r="P3877" t="s">
        <v>26</v>
      </c>
    </row>
    <row r="3878" spans="1:16" x14ac:dyDescent="0.25">
      <c r="A3878" t="s">
        <v>8192</v>
      </c>
      <c r="B3878" t="s">
        <v>8193</v>
      </c>
      <c r="C3878" t="s">
        <v>29</v>
      </c>
      <c r="D3878" t="s">
        <v>79</v>
      </c>
      <c r="E3878" t="s">
        <v>44</v>
      </c>
      <c r="F3878" t="s">
        <v>128</v>
      </c>
      <c r="G3878" t="s">
        <v>22</v>
      </c>
      <c r="H3878" t="s">
        <v>46</v>
      </c>
      <c r="I3878" t="s">
        <v>24</v>
      </c>
      <c r="J3878" t="s">
        <v>2047</v>
      </c>
      <c r="L3878">
        <v>1.3</v>
      </c>
      <c r="M3878">
        <v>553000</v>
      </c>
      <c r="N3878">
        <v>4.7</v>
      </c>
      <c r="O3878">
        <v>2</v>
      </c>
      <c r="P3878" t="s">
        <v>26</v>
      </c>
    </row>
    <row r="3879" spans="1:16" x14ac:dyDescent="0.25">
      <c r="A3879" t="s">
        <v>8194</v>
      </c>
      <c r="B3879" t="s">
        <v>2836</v>
      </c>
      <c r="C3879" t="s">
        <v>29</v>
      </c>
      <c r="D3879" t="s">
        <v>43</v>
      </c>
      <c r="E3879" t="s">
        <v>20</v>
      </c>
      <c r="F3879" t="s">
        <v>39</v>
      </c>
      <c r="G3879" t="s">
        <v>22</v>
      </c>
      <c r="H3879" t="s">
        <v>34</v>
      </c>
      <c r="J3879" t="s">
        <v>1141</v>
      </c>
      <c r="L3879">
        <v>5.8</v>
      </c>
      <c r="M3879">
        <v>139000</v>
      </c>
      <c r="N3879">
        <v>4</v>
      </c>
      <c r="O3879">
        <v>10</v>
      </c>
      <c r="P3879" t="s">
        <v>26</v>
      </c>
    </row>
    <row r="3880" spans="1:16" x14ac:dyDescent="0.25">
      <c r="A3880" t="s">
        <v>8195</v>
      </c>
      <c r="B3880" t="s">
        <v>1137</v>
      </c>
      <c r="C3880" t="s">
        <v>18</v>
      </c>
      <c r="D3880" t="s">
        <v>19</v>
      </c>
      <c r="E3880" t="s">
        <v>20</v>
      </c>
      <c r="F3880" t="s">
        <v>128</v>
      </c>
      <c r="G3880" t="s">
        <v>33</v>
      </c>
      <c r="H3880" t="s">
        <v>34</v>
      </c>
      <c r="I3880" t="s">
        <v>171</v>
      </c>
      <c r="J3880" t="s">
        <v>6785</v>
      </c>
      <c r="L3880">
        <v>1.6</v>
      </c>
      <c r="M3880">
        <v>631000</v>
      </c>
      <c r="O3880">
        <v>9</v>
      </c>
      <c r="P3880" t="s">
        <v>26</v>
      </c>
    </row>
    <row r="3881" spans="1:16" x14ac:dyDescent="0.25">
      <c r="A3881" t="s">
        <v>8196</v>
      </c>
      <c r="B3881" t="s">
        <v>6674</v>
      </c>
      <c r="C3881" t="s">
        <v>29</v>
      </c>
      <c r="D3881" t="s">
        <v>79</v>
      </c>
      <c r="E3881" t="s">
        <v>20</v>
      </c>
      <c r="F3881" t="s">
        <v>128</v>
      </c>
      <c r="G3881" t="s">
        <v>22</v>
      </c>
      <c r="H3881" t="s">
        <v>46</v>
      </c>
      <c r="I3881" t="s">
        <v>24</v>
      </c>
      <c r="J3881" t="s">
        <v>5006</v>
      </c>
      <c r="L3881">
        <v>5</v>
      </c>
      <c r="M3881">
        <v>477000</v>
      </c>
      <c r="N3881">
        <v>4.3</v>
      </c>
      <c r="O3881">
        <v>8</v>
      </c>
      <c r="P3881" t="s">
        <v>26</v>
      </c>
    </row>
    <row r="3882" spans="1:16" x14ac:dyDescent="0.25">
      <c r="A3882" t="s">
        <v>8197</v>
      </c>
      <c r="B3882" t="s">
        <v>8198</v>
      </c>
      <c r="C3882" t="s">
        <v>29</v>
      </c>
      <c r="E3882" t="s">
        <v>20</v>
      </c>
      <c r="F3882" t="s">
        <v>39</v>
      </c>
      <c r="G3882" t="s">
        <v>80</v>
      </c>
      <c r="H3882" t="s">
        <v>46</v>
      </c>
      <c r="I3882" t="s">
        <v>57</v>
      </c>
      <c r="J3882" t="s">
        <v>8199</v>
      </c>
      <c r="L3882">
        <v>3.6</v>
      </c>
      <c r="M3882">
        <v>150000</v>
      </c>
      <c r="O3882">
        <v>11</v>
      </c>
      <c r="P3882" t="s">
        <v>26</v>
      </c>
    </row>
    <row r="3883" spans="1:16" x14ac:dyDescent="0.25">
      <c r="A3883" t="s">
        <v>8200</v>
      </c>
      <c r="B3883" t="s">
        <v>8201</v>
      </c>
      <c r="C3883" t="s">
        <v>29</v>
      </c>
      <c r="D3883" t="s">
        <v>30</v>
      </c>
      <c r="E3883" t="s">
        <v>20</v>
      </c>
      <c r="F3883" t="s">
        <v>32</v>
      </c>
      <c r="G3883" t="s">
        <v>33</v>
      </c>
      <c r="H3883" t="s">
        <v>46</v>
      </c>
      <c r="I3883" t="s">
        <v>57</v>
      </c>
      <c r="J3883" t="s">
        <v>313</v>
      </c>
      <c r="K3883" t="s">
        <v>3637</v>
      </c>
      <c r="L3883">
        <v>3.5</v>
      </c>
      <c r="M3883">
        <v>248000</v>
      </c>
      <c r="N3883">
        <v>2.2000000000000002</v>
      </c>
      <c r="O3883">
        <v>6</v>
      </c>
      <c r="P3883" t="s">
        <v>114</v>
      </c>
    </row>
    <row r="3884" spans="1:16" x14ac:dyDescent="0.25">
      <c r="A3884" t="s">
        <v>8202</v>
      </c>
      <c r="B3884" t="s">
        <v>3197</v>
      </c>
      <c r="C3884" t="s">
        <v>29</v>
      </c>
      <c r="D3884" t="s">
        <v>30</v>
      </c>
      <c r="E3884" t="s">
        <v>20</v>
      </c>
      <c r="G3884" t="s">
        <v>33</v>
      </c>
      <c r="I3884" t="s">
        <v>75</v>
      </c>
      <c r="J3884" t="s">
        <v>1875</v>
      </c>
      <c r="L3884">
        <v>4.3</v>
      </c>
      <c r="M3884">
        <v>704000</v>
      </c>
      <c r="N3884">
        <v>3.6</v>
      </c>
      <c r="O3884">
        <v>14</v>
      </c>
      <c r="P3884" t="s">
        <v>26</v>
      </c>
    </row>
    <row r="3885" spans="1:16" x14ac:dyDescent="0.25">
      <c r="A3885" t="s">
        <v>8203</v>
      </c>
      <c r="B3885" t="s">
        <v>8204</v>
      </c>
      <c r="C3885" t="s">
        <v>29</v>
      </c>
      <c r="D3885" t="s">
        <v>43</v>
      </c>
      <c r="E3885" t="s">
        <v>20</v>
      </c>
      <c r="F3885" t="s">
        <v>39</v>
      </c>
      <c r="G3885" t="s">
        <v>33</v>
      </c>
      <c r="I3885" t="s">
        <v>24</v>
      </c>
      <c r="J3885" t="s">
        <v>1406</v>
      </c>
      <c r="K3885" t="s">
        <v>1357</v>
      </c>
      <c r="L3885">
        <v>3.6</v>
      </c>
      <c r="M3885">
        <v>143000</v>
      </c>
      <c r="N3885">
        <v>3</v>
      </c>
      <c r="O3885">
        <v>5</v>
      </c>
      <c r="P3885" t="s">
        <v>114</v>
      </c>
    </row>
    <row r="3886" spans="1:16" x14ac:dyDescent="0.25">
      <c r="A3886" t="s">
        <v>8205</v>
      </c>
      <c r="B3886" t="s">
        <v>1094</v>
      </c>
      <c r="C3886" t="s">
        <v>18</v>
      </c>
      <c r="D3886" t="s">
        <v>79</v>
      </c>
      <c r="E3886" t="s">
        <v>20</v>
      </c>
      <c r="F3886" t="s">
        <v>21</v>
      </c>
      <c r="G3886" t="s">
        <v>33</v>
      </c>
      <c r="H3886" t="s">
        <v>23</v>
      </c>
      <c r="I3886" t="s">
        <v>171</v>
      </c>
      <c r="J3886" t="s">
        <v>1814</v>
      </c>
      <c r="L3886">
        <v>5.3</v>
      </c>
      <c r="M3886">
        <v>933000</v>
      </c>
      <c r="N3886">
        <v>3.4</v>
      </c>
      <c r="O3886">
        <v>0</v>
      </c>
      <c r="P3886" t="s">
        <v>26</v>
      </c>
    </row>
    <row r="3887" spans="1:16" x14ac:dyDescent="0.25">
      <c r="A3887" t="s">
        <v>8206</v>
      </c>
      <c r="B3887" t="s">
        <v>8207</v>
      </c>
      <c r="C3887" t="s">
        <v>29</v>
      </c>
      <c r="D3887" t="s">
        <v>19</v>
      </c>
      <c r="E3887" t="s">
        <v>20</v>
      </c>
      <c r="F3887" t="s">
        <v>32</v>
      </c>
      <c r="G3887" t="s">
        <v>33</v>
      </c>
      <c r="H3887" t="s">
        <v>46</v>
      </c>
      <c r="I3887" t="s">
        <v>24</v>
      </c>
      <c r="J3887" t="s">
        <v>227</v>
      </c>
      <c r="L3887">
        <v>4.5</v>
      </c>
      <c r="M3887">
        <v>215000</v>
      </c>
      <c r="N3887">
        <v>3</v>
      </c>
      <c r="O3887">
        <v>26</v>
      </c>
      <c r="P3887" t="s">
        <v>26</v>
      </c>
    </row>
    <row r="3888" spans="1:16" x14ac:dyDescent="0.25">
      <c r="A3888" t="s">
        <v>8208</v>
      </c>
      <c r="B3888" t="s">
        <v>8209</v>
      </c>
      <c r="C3888" t="s">
        <v>18</v>
      </c>
      <c r="D3888" t="s">
        <v>19</v>
      </c>
      <c r="E3888" t="s">
        <v>20</v>
      </c>
      <c r="F3888" t="s">
        <v>32</v>
      </c>
      <c r="G3888" t="s">
        <v>33</v>
      </c>
      <c r="H3888" t="s">
        <v>34</v>
      </c>
      <c r="I3888" t="s">
        <v>57</v>
      </c>
      <c r="J3888" t="s">
        <v>7714</v>
      </c>
      <c r="L3888">
        <v>5.6</v>
      </c>
      <c r="M3888">
        <v>344000</v>
      </c>
      <c r="O3888">
        <v>32</v>
      </c>
      <c r="P3888" t="s">
        <v>26</v>
      </c>
    </row>
    <row r="3889" spans="1:16" x14ac:dyDescent="0.25">
      <c r="A3889" t="s">
        <v>8210</v>
      </c>
      <c r="B3889" t="s">
        <v>4053</v>
      </c>
      <c r="C3889" t="s">
        <v>18</v>
      </c>
      <c r="D3889" t="s">
        <v>79</v>
      </c>
      <c r="E3889" t="s">
        <v>20</v>
      </c>
      <c r="F3889" t="s">
        <v>39</v>
      </c>
      <c r="G3889" t="s">
        <v>33</v>
      </c>
      <c r="H3889" t="s">
        <v>23</v>
      </c>
      <c r="I3889" t="s">
        <v>35</v>
      </c>
      <c r="J3889" t="s">
        <v>526</v>
      </c>
      <c r="L3889">
        <v>4</v>
      </c>
      <c r="M3889">
        <v>131000</v>
      </c>
      <c r="N3889">
        <v>2.1</v>
      </c>
      <c r="O3889">
        <v>13</v>
      </c>
      <c r="P3889" t="s">
        <v>26</v>
      </c>
    </row>
    <row r="3890" spans="1:16" x14ac:dyDescent="0.25">
      <c r="A3890" t="s">
        <v>8211</v>
      </c>
      <c r="B3890" t="s">
        <v>4498</v>
      </c>
      <c r="C3890" t="s">
        <v>29</v>
      </c>
      <c r="D3890" t="s">
        <v>30</v>
      </c>
      <c r="E3890" t="s">
        <v>20</v>
      </c>
      <c r="F3890" t="s">
        <v>128</v>
      </c>
      <c r="G3890" t="s">
        <v>22</v>
      </c>
      <c r="H3890" t="s">
        <v>34</v>
      </c>
      <c r="I3890" t="s">
        <v>35</v>
      </c>
      <c r="J3890" t="s">
        <v>4894</v>
      </c>
      <c r="L3890">
        <v>4.5</v>
      </c>
      <c r="M3890">
        <v>450000</v>
      </c>
      <c r="N3890">
        <v>3.3</v>
      </c>
      <c r="O3890">
        <v>2</v>
      </c>
      <c r="P3890" t="s">
        <v>26</v>
      </c>
    </row>
    <row r="3891" spans="1:16" x14ac:dyDescent="0.25">
      <c r="A3891" t="s">
        <v>8212</v>
      </c>
      <c r="B3891" t="s">
        <v>1723</v>
      </c>
      <c r="C3891" t="s">
        <v>18</v>
      </c>
      <c r="E3891" t="s">
        <v>20</v>
      </c>
      <c r="F3891" t="s">
        <v>128</v>
      </c>
      <c r="G3891" t="s">
        <v>33</v>
      </c>
      <c r="H3891" t="s">
        <v>34</v>
      </c>
      <c r="I3891" t="s">
        <v>75</v>
      </c>
      <c r="J3891" t="s">
        <v>8213</v>
      </c>
      <c r="L3891">
        <v>1.8</v>
      </c>
      <c r="M3891">
        <v>371000</v>
      </c>
      <c r="N3891">
        <v>2.5</v>
      </c>
      <c r="O3891">
        <v>1</v>
      </c>
      <c r="P3891" t="s">
        <v>26</v>
      </c>
    </row>
    <row r="3892" spans="1:16" x14ac:dyDescent="0.25">
      <c r="A3892" t="s">
        <v>8214</v>
      </c>
      <c r="B3892" t="s">
        <v>8215</v>
      </c>
      <c r="D3892" t="s">
        <v>19</v>
      </c>
      <c r="F3892" t="s">
        <v>128</v>
      </c>
      <c r="G3892" t="s">
        <v>22</v>
      </c>
      <c r="H3892" t="s">
        <v>23</v>
      </c>
      <c r="I3892" t="s">
        <v>35</v>
      </c>
      <c r="J3892" t="s">
        <v>3057</v>
      </c>
      <c r="K3892" t="s">
        <v>3581</v>
      </c>
      <c r="L3892">
        <v>5.4</v>
      </c>
      <c r="M3892">
        <v>660000</v>
      </c>
      <c r="O3892">
        <v>28</v>
      </c>
      <c r="P3892" t="s">
        <v>53</v>
      </c>
    </row>
    <row r="3893" spans="1:16" x14ac:dyDescent="0.25">
      <c r="A3893" t="s">
        <v>8216</v>
      </c>
      <c r="B3893" t="s">
        <v>7475</v>
      </c>
      <c r="C3893" t="s">
        <v>18</v>
      </c>
      <c r="D3893" t="s">
        <v>43</v>
      </c>
      <c r="E3893" t="s">
        <v>20</v>
      </c>
      <c r="F3893" t="s">
        <v>39</v>
      </c>
      <c r="G3893" t="s">
        <v>22</v>
      </c>
      <c r="H3893" t="s">
        <v>23</v>
      </c>
      <c r="I3893" t="s">
        <v>24</v>
      </c>
      <c r="J3893" t="s">
        <v>5908</v>
      </c>
      <c r="L3893">
        <v>4.9000000000000004</v>
      </c>
      <c r="M3893">
        <v>130000</v>
      </c>
      <c r="N3893">
        <v>4.9000000000000004</v>
      </c>
      <c r="O3893">
        <v>5</v>
      </c>
      <c r="P3893" t="s">
        <v>26</v>
      </c>
    </row>
    <row r="3894" spans="1:16" x14ac:dyDescent="0.25">
      <c r="A3894" t="s">
        <v>8217</v>
      </c>
      <c r="B3894" t="s">
        <v>8218</v>
      </c>
      <c r="C3894" t="s">
        <v>29</v>
      </c>
      <c r="D3894" t="s">
        <v>50</v>
      </c>
      <c r="E3894" t="s">
        <v>20</v>
      </c>
      <c r="F3894" t="s">
        <v>128</v>
      </c>
      <c r="G3894" t="s">
        <v>69</v>
      </c>
      <c r="H3894" t="s">
        <v>23</v>
      </c>
      <c r="I3894" t="s">
        <v>24</v>
      </c>
      <c r="J3894" t="s">
        <v>2236</v>
      </c>
      <c r="K3894" t="s">
        <v>2434</v>
      </c>
      <c r="L3894">
        <v>2.4</v>
      </c>
      <c r="M3894">
        <v>558000</v>
      </c>
      <c r="N3894">
        <v>3</v>
      </c>
      <c r="O3894">
        <v>4</v>
      </c>
      <c r="P3894" t="s">
        <v>114</v>
      </c>
    </row>
    <row r="3895" spans="1:16" x14ac:dyDescent="0.25">
      <c r="A3895" t="s">
        <v>8219</v>
      </c>
      <c r="B3895" t="s">
        <v>1111</v>
      </c>
      <c r="C3895" t="s">
        <v>29</v>
      </c>
      <c r="D3895" t="s">
        <v>50</v>
      </c>
      <c r="E3895" t="s">
        <v>20</v>
      </c>
      <c r="F3895" t="s">
        <v>128</v>
      </c>
      <c r="G3895" t="s">
        <v>22</v>
      </c>
      <c r="H3895" t="s">
        <v>46</v>
      </c>
      <c r="I3895" t="s">
        <v>24</v>
      </c>
      <c r="J3895" t="s">
        <v>8220</v>
      </c>
      <c r="K3895" t="s">
        <v>4750</v>
      </c>
      <c r="L3895">
        <v>5.9</v>
      </c>
      <c r="M3895">
        <v>478000</v>
      </c>
      <c r="N3895">
        <v>2.7</v>
      </c>
      <c r="O3895">
        <v>38</v>
      </c>
      <c r="P3895" t="s">
        <v>72</v>
      </c>
    </row>
    <row r="3896" spans="1:16" x14ac:dyDescent="0.25">
      <c r="A3896" t="s">
        <v>8221</v>
      </c>
      <c r="B3896" t="s">
        <v>2050</v>
      </c>
      <c r="C3896" t="s">
        <v>29</v>
      </c>
      <c r="D3896" t="s">
        <v>30</v>
      </c>
      <c r="E3896" t="s">
        <v>20</v>
      </c>
      <c r="F3896" t="s">
        <v>39</v>
      </c>
      <c r="G3896" t="s">
        <v>33</v>
      </c>
      <c r="H3896" t="s">
        <v>34</v>
      </c>
      <c r="I3896" t="s">
        <v>35</v>
      </c>
      <c r="J3896" t="s">
        <v>6011</v>
      </c>
      <c r="K3896" t="s">
        <v>591</v>
      </c>
      <c r="L3896">
        <v>4.9000000000000004</v>
      </c>
      <c r="M3896">
        <v>100000</v>
      </c>
      <c r="N3896">
        <v>2.2000000000000002</v>
      </c>
      <c r="O3896">
        <v>14</v>
      </c>
      <c r="P3896" t="s">
        <v>53</v>
      </c>
    </row>
    <row r="3897" spans="1:16" x14ac:dyDescent="0.25">
      <c r="A3897" t="s">
        <v>8222</v>
      </c>
      <c r="B3897" t="s">
        <v>8223</v>
      </c>
      <c r="C3897" t="s">
        <v>29</v>
      </c>
      <c r="D3897" t="s">
        <v>30</v>
      </c>
      <c r="E3897" t="s">
        <v>20</v>
      </c>
      <c r="F3897" t="s">
        <v>39</v>
      </c>
      <c r="G3897" t="s">
        <v>69</v>
      </c>
      <c r="H3897" t="s">
        <v>34</v>
      </c>
      <c r="I3897" t="s">
        <v>75</v>
      </c>
      <c r="J3897" t="s">
        <v>6566</v>
      </c>
      <c r="K3897" t="s">
        <v>6217</v>
      </c>
      <c r="L3897">
        <v>2.8</v>
      </c>
      <c r="M3897">
        <v>99000</v>
      </c>
      <c r="N3897">
        <v>3.3</v>
      </c>
      <c r="O3897">
        <v>12</v>
      </c>
      <c r="P3897" t="s">
        <v>72</v>
      </c>
    </row>
    <row r="3898" spans="1:16" x14ac:dyDescent="0.25">
      <c r="A3898" t="s">
        <v>8224</v>
      </c>
      <c r="B3898" t="s">
        <v>8225</v>
      </c>
      <c r="C3898" t="s">
        <v>18</v>
      </c>
      <c r="D3898" t="s">
        <v>50</v>
      </c>
      <c r="E3898" t="s">
        <v>20</v>
      </c>
      <c r="F3898" t="s">
        <v>32</v>
      </c>
      <c r="G3898" t="s">
        <v>22</v>
      </c>
      <c r="H3898" t="s">
        <v>62</v>
      </c>
      <c r="I3898" t="s">
        <v>57</v>
      </c>
      <c r="J3898" t="s">
        <v>422</v>
      </c>
      <c r="K3898" t="s">
        <v>3242</v>
      </c>
      <c r="L3898">
        <v>3.5</v>
      </c>
      <c r="M3898">
        <v>182000</v>
      </c>
      <c r="N3898">
        <v>2.8</v>
      </c>
      <c r="O3898">
        <v>7</v>
      </c>
      <c r="P3898" t="s">
        <v>53</v>
      </c>
    </row>
    <row r="3899" spans="1:16" x14ac:dyDescent="0.25">
      <c r="A3899" t="s">
        <v>8226</v>
      </c>
      <c r="B3899" t="s">
        <v>6670</v>
      </c>
      <c r="C3899" t="s">
        <v>18</v>
      </c>
      <c r="D3899" t="s">
        <v>79</v>
      </c>
      <c r="E3899" t="s">
        <v>20</v>
      </c>
      <c r="F3899" t="s">
        <v>45</v>
      </c>
      <c r="G3899" t="s">
        <v>22</v>
      </c>
      <c r="H3899" t="s">
        <v>23</v>
      </c>
      <c r="I3899" t="s">
        <v>24</v>
      </c>
      <c r="J3899" t="s">
        <v>6288</v>
      </c>
      <c r="L3899">
        <v>2.4</v>
      </c>
      <c r="M3899">
        <v>1997000</v>
      </c>
      <c r="N3899">
        <v>4.5999999999999996</v>
      </c>
      <c r="O3899">
        <v>13</v>
      </c>
      <c r="P3899" t="s">
        <v>26</v>
      </c>
    </row>
    <row r="3900" spans="1:16" x14ac:dyDescent="0.25">
      <c r="A3900" t="s">
        <v>8227</v>
      </c>
      <c r="B3900" t="s">
        <v>6315</v>
      </c>
      <c r="C3900" t="s">
        <v>18</v>
      </c>
      <c r="D3900" t="s">
        <v>19</v>
      </c>
      <c r="E3900" t="s">
        <v>20</v>
      </c>
      <c r="F3900" t="s">
        <v>128</v>
      </c>
      <c r="G3900" t="s">
        <v>33</v>
      </c>
      <c r="H3900" t="s">
        <v>46</v>
      </c>
      <c r="I3900" t="s">
        <v>24</v>
      </c>
      <c r="J3900" t="s">
        <v>1398</v>
      </c>
      <c r="K3900" t="s">
        <v>8228</v>
      </c>
      <c r="L3900">
        <v>3</v>
      </c>
      <c r="M3900">
        <v>562000</v>
      </c>
      <c r="N3900">
        <v>4.5</v>
      </c>
      <c r="O3900">
        <v>14</v>
      </c>
      <c r="P3900" t="s">
        <v>53</v>
      </c>
    </row>
    <row r="3901" spans="1:16" x14ac:dyDescent="0.25">
      <c r="A3901" t="s">
        <v>8229</v>
      </c>
      <c r="B3901" t="s">
        <v>5678</v>
      </c>
      <c r="C3901" t="s">
        <v>18</v>
      </c>
      <c r="E3901" t="s">
        <v>20</v>
      </c>
      <c r="F3901" t="s">
        <v>32</v>
      </c>
      <c r="G3901" t="s">
        <v>80</v>
      </c>
      <c r="H3901" t="s">
        <v>46</v>
      </c>
      <c r="I3901" t="s">
        <v>24</v>
      </c>
      <c r="J3901" t="s">
        <v>5990</v>
      </c>
      <c r="K3901" t="s">
        <v>91</v>
      </c>
      <c r="L3901">
        <v>1.8</v>
      </c>
      <c r="M3901">
        <v>253000</v>
      </c>
      <c r="N3901">
        <v>2.4</v>
      </c>
      <c r="O3901">
        <v>10</v>
      </c>
      <c r="P3901" t="s">
        <v>53</v>
      </c>
    </row>
    <row r="3902" spans="1:16" x14ac:dyDescent="0.25">
      <c r="A3902" t="s">
        <v>8230</v>
      </c>
      <c r="B3902" t="s">
        <v>8231</v>
      </c>
      <c r="C3902" t="s">
        <v>18</v>
      </c>
      <c r="D3902" t="s">
        <v>79</v>
      </c>
      <c r="E3902" t="s">
        <v>20</v>
      </c>
      <c r="F3902" t="s">
        <v>39</v>
      </c>
      <c r="G3902" t="s">
        <v>33</v>
      </c>
      <c r="H3902" t="s">
        <v>34</v>
      </c>
      <c r="I3902" t="s">
        <v>35</v>
      </c>
      <c r="J3902" t="s">
        <v>5258</v>
      </c>
      <c r="L3902">
        <v>2.4</v>
      </c>
      <c r="M3902">
        <v>139000</v>
      </c>
      <c r="N3902">
        <v>4.7</v>
      </c>
      <c r="O3902">
        <v>13</v>
      </c>
      <c r="P3902" t="s">
        <v>26</v>
      </c>
    </row>
    <row r="3903" spans="1:16" x14ac:dyDescent="0.25">
      <c r="A3903" t="s">
        <v>8232</v>
      </c>
      <c r="B3903" t="s">
        <v>8233</v>
      </c>
      <c r="C3903" t="s">
        <v>29</v>
      </c>
      <c r="D3903" t="s">
        <v>30</v>
      </c>
      <c r="E3903" t="s">
        <v>20</v>
      </c>
      <c r="F3903" t="s">
        <v>39</v>
      </c>
      <c r="G3903" t="s">
        <v>22</v>
      </c>
      <c r="H3903" t="s">
        <v>23</v>
      </c>
      <c r="I3903" t="s">
        <v>24</v>
      </c>
      <c r="J3903" t="s">
        <v>2499</v>
      </c>
      <c r="K3903" t="s">
        <v>8234</v>
      </c>
      <c r="L3903">
        <v>2.2000000000000002</v>
      </c>
      <c r="M3903">
        <v>130000</v>
      </c>
      <c r="N3903">
        <v>1.8</v>
      </c>
      <c r="O3903">
        <v>0</v>
      </c>
      <c r="P3903" t="s">
        <v>53</v>
      </c>
    </row>
    <row r="3904" spans="1:16" x14ac:dyDescent="0.25">
      <c r="A3904" t="s">
        <v>8235</v>
      </c>
      <c r="B3904" t="s">
        <v>7923</v>
      </c>
      <c r="C3904" t="s">
        <v>29</v>
      </c>
      <c r="D3904" t="s">
        <v>79</v>
      </c>
      <c r="E3904" t="s">
        <v>20</v>
      </c>
      <c r="F3904" t="s">
        <v>128</v>
      </c>
      <c r="G3904" t="s">
        <v>22</v>
      </c>
      <c r="H3904" t="s">
        <v>23</v>
      </c>
      <c r="I3904" t="s">
        <v>57</v>
      </c>
      <c r="J3904" t="s">
        <v>4307</v>
      </c>
      <c r="L3904">
        <v>3.1</v>
      </c>
      <c r="M3904">
        <v>383000</v>
      </c>
      <c r="N3904">
        <v>3.7</v>
      </c>
      <c r="O3904">
        <v>5</v>
      </c>
      <c r="P3904" t="s">
        <v>26</v>
      </c>
    </row>
    <row r="3905" spans="1:16" x14ac:dyDescent="0.25">
      <c r="A3905" t="s">
        <v>8236</v>
      </c>
      <c r="B3905" t="s">
        <v>4584</v>
      </c>
      <c r="C3905" t="s">
        <v>29</v>
      </c>
      <c r="D3905" t="s">
        <v>50</v>
      </c>
      <c r="E3905" t="s">
        <v>20</v>
      </c>
      <c r="F3905" t="s">
        <v>128</v>
      </c>
      <c r="G3905" t="s">
        <v>80</v>
      </c>
      <c r="H3905" t="s">
        <v>62</v>
      </c>
      <c r="I3905" t="s">
        <v>57</v>
      </c>
      <c r="J3905" t="s">
        <v>4548</v>
      </c>
      <c r="L3905">
        <v>4.8</v>
      </c>
      <c r="M3905">
        <v>450000</v>
      </c>
      <c r="N3905">
        <v>2.6</v>
      </c>
      <c r="O3905">
        <v>9</v>
      </c>
      <c r="P3905" t="s">
        <v>26</v>
      </c>
    </row>
    <row r="3906" spans="1:16" x14ac:dyDescent="0.25">
      <c r="A3906" t="s">
        <v>8237</v>
      </c>
      <c r="B3906" t="s">
        <v>2011</v>
      </c>
      <c r="C3906" t="s">
        <v>18</v>
      </c>
      <c r="D3906" t="s">
        <v>50</v>
      </c>
      <c r="E3906" t="s">
        <v>31</v>
      </c>
      <c r="F3906" t="s">
        <v>128</v>
      </c>
      <c r="G3906" t="s">
        <v>22</v>
      </c>
      <c r="H3906" t="s">
        <v>23</v>
      </c>
      <c r="I3906" t="s">
        <v>35</v>
      </c>
      <c r="J3906" t="s">
        <v>2893</v>
      </c>
      <c r="L3906">
        <v>5.7</v>
      </c>
      <c r="M3906">
        <v>373000</v>
      </c>
      <c r="N3906">
        <v>2.2999999999999998</v>
      </c>
      <c r="O3906">
        <v>9</v>
      </c>
      <c r="P3906" t="s">
        <v>26</v>
      </c>
    </row>
    <row r="3907" spans="1:16" x14ac:dyDescent="0.25">
      <c r="A3907" t="s">
        <v>8238</v>
      </c>
      <c r="B3907" t="s">
        <v>134</v>
      </c>
      <c r="C3907" t="s">
        <v>18</v>
      </c>
      <c r="D3907" t="s">
        <v>19</v>
      </c>
      <c r="E3907" t="s">
        <v>20</v>
      </c>
      <c r="F3907" t="s">
        <v>32</v>
      </c>
      <c r="G3907" t="s">
        <v>22</v>
      </c>
      <c r="H3907" t="s">
        <v>46</v>
      </c>
      <c r="I3907" t="s">
        <v>24</v>
      </c>
      <c r="J3907" t="s">
        <v>242</v>
      </c>
      <c r="K3907" t="s">
        <v>4543</v>
      </c>
      <c r="L3907">
        <v>4.4000000000000004</v>
      </c>
      <c r="M3907">
        <v>352000</v>
      </c>
      <c r="N3907">
        <v>4.9000000000000004</v>
      </c>
      <c r="P3907" t="s">
        <v>114</v>
      </c>
    </row>
    <row r="3908" spans="1:16" x14ac:dyDescent="0.25">
      <c r="A3908" t="s">
        <v>8239</v>
      </c>
      <c r="B3908" t="s">
        <v>8240</v>
      </c>
      <c r="C3908" t="s">
        <v>18</v>
      </c>
      <c r="D3908" t="s">
        <v>50</v>
      </c>
      <c r="E3908" t="s">
        <v>44</v>
      </c>
      <c r="F3908" t="s">
        <v>39</v>
      </c>
      <c r="G3908" t="s">
        <v>33</v>
      </c>
      <c r="H3908" t="s">
        <v>46</v>
      </c>
      <c r="I3908" t="s">
        <v>24</v>
      </c>
      <c r="J3908" t="s">
        <v>2274</v>
      </c>
      <c r="K3908" t="s">
        <v>4258</v>
      </c>
      <c r="L3908">
        <v>5.0999999999999996</v>
      </c>
      <c r="M3908">
        <v>136000</v>
      </c>
      <c r="N3908">
        <v>3.3</v>
      </c>
      <c r="O3908">
        <v>5</v>
      </c>
      <c r="P3908" t="s">
        <v>53</v>
      </c>
    </row>
    <row r="3909" spans="1:16" x14ac:dyDescent="0.25">
      <c r="A3909" t="s">
        <v>8241</v>
      </c>
      <c r="B3909" t="s">
        <v>8242</v>
      </c>
      <c r="C3909" t="s">
        <v>29</v>
      </c>
      <c r="D3909" t="s">
        <v>43</v>
      </c>
      <c r="G3909" t="s">
        <v>22</v>
      </c>
      <c r="H3909" t="s">
        <v>23</v>
      </c>
      <c r="I3909" t="s">
        <v>24</v>
      </c>
      <c r="J3909" t="s">
        <v>2653</v>
      </c>
      <c r="K3909" t="s">
        <v>6350</v>
      </c>
      <c r="L3909">
        <v>4.5</v>
      </c>
      <c r="M3909">
        <v>158000</v>
      </c>
      <c r="N3909">
        <v>3.6</v>
      </c>
      <c r="O3909">
        <v>10</v>
      </c>
      <c r="P3909" t="s">
        <v>53</v>
      </c>
    </row>
    <row r="3910" spans="1:16" x14ac:dyDescent="0.25">
      <c r="A3910" t="s">
        <v>8243</v>
      </c>
      <c r="B3910" t="s">
        <v>1268</v>
      </c>
      <c r="C3910" t="s">
        <v>29</v>
      </c>
      <c r="D3910" t="s">
        <v>79</v>
      </c>
      <c r="E3910" t="s">
        <v>20</v>
      </c>
      <c r="F3910" t="s">
        <v>32</v>
      </c>
      <c r="G3910" t="s">
        <v>22</v>
      </c>
      <c r="H3910" t="s">
        <v>46</v>
      </c>
      <c r="I3910" t="s">
        <v>57</v>
      </c>
      <c r="J3910" t="s">
        <v>1519</v>
      </c>
      <c r="L3910">
        <v>5.0999999999999996</v>
      </c>
      <c r="M3910">
        <v>240000</v>
      </c>
      <c r="N3910">
        <v>3.5</v>
      </c>
      <c r="O3910">
        <v>13</v>
      </c>
      <c r="P3910" t="s">
        <v>26</v>
      </c>
    </row>
    <row r="3911" spans="1:16" x14ac:dyDescent="0.25">
      <c r="A3911" t="s">
        <v>8244</v>
      </c>
      <c r="B3911" t="s">
        <v>8245</v>
      </c>
      <c r="C3911" t="s">
        <v>18</v>
      </c>
      <c r="D3911" t="s">
        <v>30</v>
      </c>
      <c r="E3911" t="s">
        <v>20</v>
      </c>
      <c r="F3911" t="s">
        <v>39</v>
      </c>
      <c r="G3911" t="s">
        <v>80</v>
      </c>
      <c r="H3911" t="s">
        <v>23</v>
      </c>
      <c r="I3911" t="s">
        <v>24</v>
      </c>
      <c r="J3911" t="s">
        <v>4269</v>
      </c>
      <c r="L3911">
        <v>3</v>
      </c>
      <c r="M3911">
        <v>132000</v>
      </c>
      <c r="N3911">
        <v>1.9</v>
      </c>
      <c r="O3911">
        <v>6</v>
      </c>
      <c r="P3911" t="s">
        <v>26</v>
      </c>
    </row>
    <row r="3912" spans="1:16" x14ac:dyDescent="0.25">
      <c r="A3912" t="s">
        <v>8246</v>
      </c>
      <c r="B3912" t="s">
        <v>2873</v>
      </c>
      <c r="C3912" t="s">
        <v>18</v>
      </c>
      <c r="D3912" t="s">
        <v>30</v>
      </c>
      <c r="E3912" t="s">
        <v>20</v>
      </c>
      <c r="F3912" t="s">
        <v>21</v>
      </c>
      <c r="G3912" t="s">
        <v>80</v>
      </c>
      <c r="H3912" t="s">
        <v>46</v>
      </c>
      <c r="I3912" t="s">
        <v>24</v>
      </c>
      <c r="J3912" t="s">
        <v>1059</v>
      </c>
      <c r="L3912">
        <v>2.5</v>
      </c>
      <c r="M3912">
        <v>691000</v>
      </c>
      <c r="N3912">
        <v>3.2</v>
      </c>
      <c r="O3912">
        <v>7</v>
      </c>
      <c r="P3912" t="s">
        <v>26</v>
      </c>
    </row>
    <row r="3913" spans="1:16" x14ac:dyDescent="0.25">
      <c r="A3913" t="s">
        <v>8247</v>
      </c>
      <c r="B3913" t="s">
        <v>4533</v>
      </c>
      <c r="D3913" t="s">
        <v>43</v>
      </c>
      <c r="E3913" t="s">
        <v>44</v>
      </c>
      <c r="F3913" t="s">
        <v>32</v>
      </c>
      <c r="G3913" t="s">
        <v>69</v>
      </c>
      <c r="H3913" t="s">
        <v>34</v>
      </c>
      <c r="I3913" t="s">
        <v>57</v>
      </c>
      <c r="J3913" t="s">
        <v>2827</v>
      </c>
      <c r="L3913">
        <v>5.5</v>
      </c>
      <c r="M3913">
        <v>215000</v>
      </c>
      <c r="N3913">
        <v>3.4</v>
      </c>
      <c r="O3913">
        <v>6</v>
      </c>
      <c r="P3913" t="s">
        <v>26</v>
      </c>
    </row>
    <row r="3914" spans="1:16" x14ac:dyDescent="0.25">
      <c r="A3914" t="s">
        <v>8248</v>
      </c>
      <c r="B3914" t="s">
        <v>7310</v>
      </c>
      <c r="D3914" t="s">
        <v>30</v>
      </c>
      <c r="E3914" t="s">
        <v>44</v>
      </c>
      <c r="F3914" t="s">
        <v>39</v>
      </c>
      <c r="G3914" t="s">
        <v>80</v>
      </c>
      <c r="H3914" t="s">
        <v>46</v>
      </c>
      <c r="I3914" t="s">
        <v>35</v>
      </c>
      <c r="J3914" t="s">
        <v>2335</v>
      </c>
      <c r="K3914" t="s">
        <v>645</v>
      </c>
      <c r="L3914">
        <v>3</v>
      </c>
      <c r="M3914">
        <v>151000</v>
      </c>
      <c r="N3914">
        <v>3.1</v>
      </c>
      <c r="O3914">
        <v>6</v>
      </c>
      <c r="P3914" t="s">
        <v>53</v>
      </c>
    </row>
    <row r="3915" spans="1:16" x14ac:dyDescent="0.25">
      <c r="A3915" t="s">
        <v>8249</v>
      </c>
      <c r="B3915" t="s">
        <v>393</v>
      </c>
      <c r="C3915" t="s">
        <v>18</v>
      </c>
      <c r="D3915" t="s">
        <v>30</v>
      </c>
      <c r="E3915" t="s">
        <v>20</v>
      </c>
      <c r="F3915" t="s">
        <v>32</v>
      </c>
      <c r="G3915" t="s">
        <v>33</v>
      </c>
      <c r="H3915" t="s">
        <v>23</v>
      </c>
      <c r="I3915" t="s">
        <v>24</v>
      </c>
      <c r="J3915" t="s">
        <v>1537</v>
      </c>
      <c r="L3915">
        <v>3.8</v>
      </c>
      <c r="M3915">
        <v>293000</v>
      </c>
      <c r="N3915">
        <v>4.7</v>
      </c>
      <c r="O3915">
        <v>9</v>
      </c>
      <c r="P3915" t="s">
        <v>26</v>
      </c>
    </row>
    <row r="3916" spans="1:16" x14ac:dyDescent="0.25">
      <c r="A3916" t="s">
        <v>8250</v>
      </c>
      <c r="B3916" t="s">
        <v>8251</v>
      </c>
      <c r="C3916" t="s">
        <v>18</v>
      </c>
      <c r="D3916" t="s">
        <v>43</v>
      </c>
      <c r="E3916" t="s">
        <v>20</v>
      </c>
      <c r="F3916" t="s">
        <v>21</v>
      </c>
      <c r="G3916" t="s">
        <v>22</v>
      </c>
      <c r="H3916" t="s">
        <v>23</v>
      </c>
      <c r="I3916" t="s">
        <v>57</v>
      </c>
      <c r="J3916" t="s">
        <v>8252</v>
      </c>
      <c r="K3916" t="s">
        <v>4977</v>
      </c>
      <c r="L3916">
        <v>1.9</v>
      </c>
      <c r="M3916">
        <v>818000</v>
      </c>
      <c r="N3916">
        <v>3.6</v>
      </c>
      <c r="O3916">
        <v>10</v>
      </c>
      <c r="P3916" t="s">
        <v>53</v>
      </c>
    </row>
    <row r="3917" spans="1:16" x14ac:dyDescent="0.25">
      <c r="A3917" t="s">
        <v>8253</v>
      </c>
      <c r="B3917" t="s">
        <v>5148</v>
      </c>
      <c r="C3917" t="s">
        <v>29</v>
      </c>
      <c r="D3917" t="s">
        <v>79</v>
      </c>
      <c r="E3917" t="s">
        <v>20</v>
      </c>
      <c r="F3917" t="s">
        <v>32</v>
      </c>
      <c r="G3917" t="s">
        <v>22</v>
      </c>
      <c r="H3917" t="s">
        <v>23</v>
      </c>
      <c r="I3917" t="s">
        <v>75</v>
      </c>
      <c r="J3917" t="s">
        <v>3881</v>
      </c>
      <c r="L3917">
        <v>4.9000000000000004</v>
      </c>
      <c r="M3917">
        <v>272000</v>
      </c>
      <c r="N3917">
        <v>3.7</v>
      </c>
      <c r="O3917">
        <v>12</v>
      </c>
      <c r="P3917" t="s">
        <v>26</v>
      </c>
    </row>
    <row r="3918" spans="1:16" x14ac:dyDescent="0.25">
      <c r="A3918" t="s">
        <v>8254</v>
      </c>
      <c r="B3918" t="s">
        <v>3550</v>
      </c>
      <c r="D3918" t="s">
        <v>79</v>
      </c>
      <c r="E3918" t="s">
        <v>20</v>
      </c>
      <c r="F3918" t="s">
        <v>32</v>
      </c>
      <c r="G3918" t="s">
        <v>69</v>
      </c>
      <c r="H3918" t="s">
        <v>46</v>
      </c>
      <c r="J3918" t="s">
        <v>634</v>
      </c>
      <c r="K3918" t="s">
        <v>7436</v>
      </c>
      <c r="L3918">
        <v>5.5</v>
      </c>
      <c r="M3918">
        <v>203000</v>
      </c>
      <c r="N3918">
        <v>4</v>
      </c>
      <c r="O3918">
        <v>13</v>
      </c>
      <c r="P3918" t="s">
        <v>72</v>
      </c>
    </row>
    <row r="3919" spans="1:16" x14ac:dyDescent="0.25">
      <c r="A3919" t="s">
        <v>8255</v>
      </c>
      <c r="B3919" t="s">
        <v>1140</v>
      </c>
      <c r="C3919" t="s">
        <v>18</v>
      </c>
      <c r="D3919" t="s">
        <v>43</v>
      </c>
      <c r="E3919" t="s">
        <v>31</v>
      </c>
      <c r="F3919" t="s">
        <v>128</v>
      </c>
      <c r="G3919" t="s">
        <v>80</v>
      </c>
      <c r="H3919" t="s">
        <v>23</v>
      </c>
      <c r="I3919" t="s">
        <v>35</v>
      </c>
      <c r="J3919" t="s">
        <v>4373</v>
      </c>
      <c r="L3919">
        <v>3.3</v>
      </c>
      <c r="M3919">
        <v>557000</v>
      </c>
      <c r="N3919">
        <v>4.8</v>
      </c>
      <c r="O3919">
        <v>0</v>
      </c>
      <c r="P3919" t="s">
        <v>26</v>
      </c>
    </row>
    <row r="3920" spans="1:16" x14ac:dyDescent="0.25">
      <c r="A3920" t="s">
        <v>8256</v>
      </c>
      <c r="B3920" t="s">
        <v>495</v>
      </c>
      <c r="C3920" t="s">
        <v>29</v>
      </c>
      <c r="D3920" t="s">
        <v>43</v>
      </c>
      <c r="E3920" t="s">
        <v>44</v>
      </c>
      <c r="F3920" t="s">
        <v>32</v>
      </c>
      <c r="G3920" t="s">
        <v>22</v>
      </c>
      <c r="H3920" t="s">
        <v>62</v>
      </c>
      <c r="I3920" t="s">
        <v>57</v>
      </c>
      <c r="J3920" t="s">
        <v>3463</v>
      </c>
      <c r="L3920">
        <v>5.8</v>
      </c>
      <c r="M3920">
        <v>279000</v>
      </c>
      <c r="N3920">
        <v>4.5999999999999996</v>
      </c>
      <c r="O3920">
        <v>32</v>
      </c>
      <c r="P3920" t="s">
        <v>26</v>
      </c>
    </row>
    <row r="3921" spans="1:16" x14ac:dyDescent="0.25">
      <c r="A3921" t="s">
        <v>8257</v>
      </c>
      <c r="B3921" t="s">
        <v>5869</v>
      </c>
      <c r="C3921" t="s">
        <v>18</v>
      </c>
      <c r="D3921" t="s">
        <v>50</v>
      </c>
      <c r="E3921" t="s">
        <v>20</v>
      </c>
      <c r="F3921" t="s">
        <v>32</v>
      </c>
      <c r="G3921" t="s">
        <v>80</v>
      </c>
      <c r="H3921" t="s">
        <v>62</v>
      </c>
      <c r="I3921" t="s">
        <v>24</v>
      </c>
      <c r="J3921" t="s">
        <v>4454</v>
      </c>
      <c r="L3921">
        <v>4</v>
      </c>
      <c r="M3921">
        <v>241000</v>
      </c>
      <c r="N3921">
        <v>4.7</v>
      </c>
      <c r="O3921">
        <v>3</v>
      </c>
      <c r="P3921" t="s">
        <v>26</v>
      </c>
    </row>
    <row r="3922" spans="1:16" x14ac:dyDescent="0.25">
      <c r="A3922" t="s">
        <v>8258</v>
      </c>
      <c r="B3922" t="s">
        <v>8259</v>
      </c>
      <c r="C3922" t="s">
        <v>29</v>
      </c>
      <c r="D3922" t="s">
        <v>50</v>
      </c>
      <c r="E3922" t="s">
        <v>44</v>
      </c>
      <c r="F3922" t="s">
        <v>39</v>
      </c>
      <c r="G3922" t="s">
        <v>22</v>
      </c>
      <c r="I3922" t="s">
        <v>57</v>
      </c>
      <c r="J3922" t="s">
        <v>3764</v>
      </c>
      <c r="L3922">
        <v>4.7</v>
      </c>
      <c r="M3922">
        <v>153000</v>
      </c>
      <c r="N3922">
        <v>4.7</v>
      </c>
      <c r="P3922" t="s">
        <v>26</v>
      </c>
    </row>
    <row r="3923" spans="1:16" x14ac:dyDescent="0.25">
      <c r="A3923" t="s">
        <v>8260</v>
      </c>
      <c r="B3923" t="s">
        <v>5503</v>
      </c>
      <c r="C3923" t="s">
        <v>29</v>
      </c>
      <c r="D3923" t="s">
        <v>79</v>
      </c>
      <c r="E3923" t="s">
        <v>44</v>
      </c>
      <c r="F3923" t="s">
        <v>32</v>
      </c>
      <c r="G3923" t="s">
        <v>22</v>
      </c>
      <c r="H3923" t="s">
        <v>46</v>
      </c>
      <c r="I3923" t="s">
        <v>75</v>
      </c>
      <c r="J3923" t="s">
        <v>1538</v>
      </c>
      <c r="K3923" t="s">
        <v>4014</v>
      </c>
      <c r="L3923">
        <v>1.7</v>
      </c>
      <c r="M3923">
        <v>325000</v>
      </c>
      <c r="N3923">
        <v>3.8</v>
      </c>
      <c r="O3923">
        <v>14</v>
      </c>
      <c r="P3923" t="s">
        <v>53</v>
      </c>
    </row>
    <row r="3924" spans="1:16" x14ac:dyDescent="0.25">
      <c r="A3924" t="s">
        <v>8261</v>
      </c>
      <c r="B3924" t="s">
        <v>8262</v>
      </c>
      <c r="C3924" t="s">
        <v>29</v>
      </c>
      <c r="D3924" t="s">
        <v>50</v>
      </c>
      <c r="E3924" t="s">
        <v>20</v>
      </c>
      <c r="F3924" t="s">
        <v>32</v>
      </c>
      <c r="G3924" t="s">
        <v>80</v>
      </c>
      <c r="H3924" t="s">
        <v>46</v>
      </c>
      <c r="I3924" t="s">
        <v>171</v>
      </c>
      <c r="J3924" t="s">
        <v>6113</v>
      </c>
      <c r="L3924">
        <v>2.9</v>
      </c>
      <c r="M3924">
        <v>226000</v>
      </c>
      <c r="N3924">
        <v>3.9</v>
      </c>
      <c r="O3924">
        <v>7</v>
      </c>
      <c r="P3924" t="s">
        <v>26</v>
      </c>
    </row>
    <row r="3925" spans="1:16" x14ac:dyDescent="0.25">
      <c r="A3925" t="s">
        <v>8263</v>
      </c>
      <c r="B3925" t="s">
        <v>7351</v>
      </c>
      <c r="C3925" t="s">
        <v>18</v>
      </c>
      <c r="D3925" t="s">
        <v>19</v>
      </c>
      <c r="E3925" t="s">
        <v>20</v>
      </c>
      <c r="G3925" t="s">
        <v>22</v>
      </c>
      <c r="H3925" t="s">
        <v>34</v>
      </c>
      <c r="I3925" t="s">
        <v>35</v>
      </c>
      <c r="J3925" t="s">
        <v>6160</v>
      </c>
      <c r="L3925">
        <v>2.1</v>
      </c>
      <c r="M3925">
        <v>578000</v>
      </c>
      <c r="N3925">
        <v>2.2000000000000002</v>
      </c>
      <c r="O3925">
        <v>1</v>
      </c>
      <c r="P3925" t="s">
        <v>26</v>
      </c>
    </row>
    <row r="3926" spans="1:16" x14ac:dyDescent="0.25">
      <c r="A3926" t="s">
        <v>8264</v>
      </c>
      <c r="B3926" t="s">
        <v>8265</v>
      </c>
      <c r="C3926" t="s">
        <v>18</v>
      </c>
      <c r="D3926" t="s">
        <v>30</v>
      </c>
      <c r="E3926" t="s">
        <v>20</v>
      </c>
      <c r="F3926" t="s">
        <v>39</v>
      </c>
      <c r="G3926" t="s">
        <v>22</v>
      </c>
      <c r="H3926" t="s">
        <v>46</v>
      </c>
      <c r="I3926" t="s">
        <v>75</v>
      </c>
      <c r="J3926" t="s">
        <v>481</v>
      </c>
      <c r="L3926">
        <v>4.4000000000000004</v>
      </c>
      <c r="M3926">
        <v>139000</v>
      </c>
      <c r="N3926">
        <v>1.9</v>
      </c>
      <c r="O3926">
        <v>4</v>
      </c>
      <c r="P3926" t="s">
        <v>26</v>
      </c>
    </row>
    <row r="3927" spans="1:16" x14ac:dyDescent="0.25">
      <c r="A3927" t="s">
        <v>8266</v>
      </c>
      <c r="B3927" t="s">
        <v>8267</v>
      </c>
      <c r="C3927" t="s">
        <v>18</v>
      </c>
      <c r="D3927" t="s">
        <v>50</v>
      </c>
      <c r="E3927" t="s">
        <v>44</v>
      </c>
      <c r="F3927" t="s">
        <v>39</v>
      </c>
      <c r="G3927" t="s">
        <v>22</v>
      </c>
      <c r="H3927" t="s">
        <v>23</v>
      </c>
      <c r="I3927" t="s">
        <v>24</v>
      </c>
      <c r="J3927" t="s">
        <v>3053</v>
      </c>
      <c r="K3927" t="s">
        <v>8268</v>
      </c>
      <c r="L3927">
        <v>2</v>
      </c>
      <c r="M3927">
        <v>113000</v>
      </c>
      <c r="N3927">
        <v>2.5</v>
      </c>
      <c r="O3927">
        <v>26</v>
      </c>
      <c r="P3927" t="s">
        <v>114</v>
      </c>
    </row>
    <row r="3928" spans="1:16" x14ac:dyDescent="0.25">
      <c r="A3928" t="s">
        <v>8269</v>
      </c>
      <c r="B3928" t="s">
        <v>8270</v>
      </c>
      <c r="C3928" t="s">
        <v>18</v>
      </c>
      <c r="D3928" t="s">
        <v>19</v>
      </c>
      <c r="E3928" t="s">
        <v>20</v>
      </c>
      <c r="F3928" t="s">
        <v>32</v>
      </c>
      <c r="G3928" t="s">
        <v>80</v>
      </c>
      <c r="H3928" t="s">
        <v>34</v>
      </c>
      <c r="I3928" t="s">
        <v>57</v>
      </c>
      <c r="J3928" t="s">
        <v>3350</v>
      </c>
      <c r="L3928">
        <v>5.7</v>
      </c>
      <c r="M3928">
        <v>288000</v>
      </c>
      <c r="N3928">
        <v>3.4</v>
      </c>
      <c r="O3928">
        <v>11</v>
      </c>
      <c r="P3928" t="s">
        <v>26</v>
      </c>
    </row>
    <row r="3929" spans="1:16" x14ac:dyDescent="0.25">
      <c r="A3929" t="s">
        <v>8271</v>
      </c>
      <c r="B3929" t="s">
        <v>3359</v>
      </c>
      <c r="C3929" t="s">
        <v>18</v>
      </c>
      <c r="D3929" t="s">
        <v>30</v>
      </c>
      <c r="E3929" t="s">
        <v>20</v>
      </c>
      <c r="F3929" t="s">
        <v>32</v>
      </c>
      <c r="G3929" t="s">
        <v>80</v>
      </c>
      <c r="I3929" t="s">
        <v>35</v>
      </c>
      <c r="J3929" t="s">
        <v>5579</v>
      </c>
      <c r="K3929" t="s">
        <v>997</v>
      </c>
      <c r="L3929">
        <v>3.7</v>
      </c>
      <c r="M3929">
        <v>285000</v>
      </c>
      <c r="N3929">
        <v>2.8</v>
      </c>
      <c r="O3929">
        <v>9</v>
      </c>
      <c r="P3929" t="s">
        <v>72</v>
      </c>
    </row>
    <row r="3930" spans="1:16" x14ac:dyDescent="0.25">
      <c r="A3930" t="s">
        <v>8272</v>
      </c>
      <c r="B3930" t="s">
        <v>1500</v>
      </c>
      <c r="C3930" t="s">
        <v>18</v>
      </c>
      <c r="D3930" t="s">
        <v>79</v>
      </c>
      <c r="E3930" t="s">
        <v>44</v>
      </c>
      <c r="F3930" t="s">
        <v>45</v>
      </c>
      <c r="G3930" t="s">
        <v>69</v>
      </c>
      <c r="H3930" t="s">
        <v>23</v>
      </c>
      <c r="I3930" t="s">
        <v>171</v>
      </c>
      <c r="J3930" t="s">
        <v>4346</v>
      </c>
      <c r="K3930" t="s">
        <v>1674</v>
      </c>
      <c r="L3930">
        <v>6.1</v>
      </c>
      <c r="N3930">
        <v>3.6</v>
      </c>
      <c r="O3930">
        <v>14</v>
      </c>
      <c r="P3930" t="s">
        <v>53</v>
      </c>
    </row>
    <row r="3931" spans="1:16" x14ac:dyDescent="0.25">
      <c r="A3931" t="s">
        <v>8273</v>
      </c>
      <c r="B3931" t="s">
        <v>3275</v>
      </c>
      <c r="C3931" t="s">
        <v>18</v>
      </c>
      <c r="D3931" t="s">
        <v>30</v>
      </c>
      <c r="E3931" t="s">
        <v>20</v>
      </c>
      <c r="F3931" t="s">
        <v>128</v>
      </c>
      <c r="G3931" t="s">
        <v>22</v>
      </c>
      <c r="H3931" t="s">
        <v>23</v>
      </c>
      <c r="I3931" t="s">
        <v>75</v>
      </c>
      <c r="J3931" t="s">
        <v>7332</v>
      </c>
      <c r="K3931" t="s">
        <v>5957</v>
      </c>
      <c r="L3931">
        <v>6.1</v>
      </c>
      <c r="N3931">
        <v>2.2000000000000002</v>
      </c>
      <c r="O3931">
        <v>7</v>
      </c>
      <c r="P3931" t="s">
        <v>53</v>
      </c>
    </row>
    <row r="3932" spans="1:16" x14ac:dyDescent="0.25">
      <c r="A3932" t="s">
        <v>8274</v>
      </c>
      <c r="B3932" t="s">
        <v>8275</v>
      </c>
      <c r="C3932" t="s">
        <v>29</v>
      </c>
      <c r="F3932" t="s">
        <v>128</v>
      </c>
      <c r="G3932" t="s">
        <v>80</v>
      </c>
      <c r="H3932" t="s">
        <v>23</v>
      </c>
      <c r="I3932" t="s">
        <v>57</v>
      </c>
      <c r="J3932" t="s">
        <v>3801</v>
      </c>
      <c r="L3932">
        <v>2.9</v>
      </c>
      <c r="M3932">
        <v>412000</v>
      </c>
      <c r="N3932">
        <v>3.6</v>
      </c>
      <c r="O3932">
        <v>4</v>
      </c>
      <c r="P3932" t="s">
        <v>26</v>
      </c>
    </row>
    <row r="3933" spans="1:16" x14ac:dyDescent="0.25">
      <c r="A3933" t="s">
        <v>8276</v>
      </c>
      <c r="B3933" t="s">
        <v>5169</v>
      </c>
      <c r="C3933" t="s">
        <v>29</v>
      </c>
      <c r="D3933" t="s">
        <v>30</v>
      </c>
      <c r="E3933" t="s">
        <v>20</v>
      </c>
      <c r="F3933" t="s">
        <v>39</v>
      </c>
      <c r="G3933" t="s">
        <v>22</v>
      </c>
      <c r="H3933" t="s">
        <v>62</v>
      </c>
      <c r="I3933" t="s">
        <v>75</v>
      </c>
      <c r="J3933" t="s">
        <v>276</v>
      </c>
      <c r="L3933">
        <v>1.3</v>
      </c>
      <c r="M3933">
        <v>148000</v>
      </c>
      <c r="N3933">
        <v>2.1</v>
      </c>
      <c r="O3933">
        <v>14</v>
      </c>
      <c r="P3933" t="s">
        <v>26</v>
      </c>
    </row>
    <row r="3934" spans="1:16" x14ac:dyDescent="0.25">
      <c r="A3934" t="s">
        <v>8277</v>
      </c>
      <c r="B3934" t="s">
        <v>8278</v>
      </c>
      <c r="C3934" t="s">
        <v>18</v>
      </c>
      <c r="D3934" t="s">
        <v>43</v>
      </c>
      <c r="E3934" t="s">
        <v>20</v>
      </c>
      <c r="F3934" t="s">
        <v>21</v>
      </c>
      <c r="G3934" t="s">
        <v>22</v>
      </c>
      <c r="H3934" t="s">
        <v>23</v>
      </c>
      <c r="I3934" t="s">
        <v>57</v>
      </c>
      <c r="J3934" t="s">
        <v>397</v>
      </c>
      <c r="L3934">
        <v>4.0999999999999996</v>
      </c>
      <c r="M3934">
        <v>600000</v>
      </c>
      <c r="N3934">
        <v>3.7</v>
      </c>
      <c r="O3934">
        <v>6</v>
      </c>
      <c r="P3934" t="s">
        <v>26</v>
      </c>
    </row>
    <row r="3935" spans="1:16" x14ac:dyDescent="0.25">
      <c r="A3935" t="s">
        <v>8279</v>
      </c>
      <c r="B3935" t="s">
        <v>268</v>
      </c>
      <c r="C3935" t="s">
        <v>18</v>
      </c>
      <c r="D3935" t="s">
        <v>50</v>
      </c>
      <c r="E3935" t="s">
        <v>20</v>
      </c>
      <c r="F3935" t="s">
        <v>128</v>
      </c>
      <c r="G3935" t="s">
        <v>22</v>
      </c>
      <c r="H3935" t="s">
        <v>23</v>
      </c>
      <c r="I3935" t="s">
        <v>35</v>
      </c>
      <c r="J3935" t="s">
        <v>245</v>
      </c>
      <c r="K3935" t="s">
        <v>8280</v>
      </c>
      <c r="L3935">
        <v>2.2999999999999998</v>
      </c>
      <c r="M3935">
        <v>412000</v>
      </c>
      <c r="N3935">
        <v>4.5</v>
      </c>
      <c r="P3935" t="s">
        <v>53</v>
      </c>
    </row>
    <row r="3936" spans="1:16" x14ac:dyDescent="0.25">
      <c r="A3936" t="s">
        <v>8281</v>
      </c>
      <c r="B3936" t="s">
        <v>3201</v>
      </c>
      <c r="C3936" t="s">
        <v>18</v>
      </c>
      <c r="D3936" t="s">
        <v>43</v>
      </c>
      <c r="E3936" t="s">
        <v>31</v>
      </c>
      <c r="F3936" t="s">
        <v>39</v>
      </c>
      <c r="G3936" t="s">
        <v>22</v>
      </c>
      <c r="H3936" t="s">
        <v>62</v>
      </c>
      <c r="I3936" t="s">
        <v>57</v>
      </c>
      <c r="J3936" t="s">
        <v>4416</v>
      </c>
      <c r="L3936">
        <v>5.2</v>
      </c>
      <c r="M3936">
        <v>136000</v>
      </c>
      <c r="N3936">
        <v>2.2000000000000002</v>
      </c>
      <c r="O3936">
        <v>0</v>
      </c>
      <c r="P3936" t="s">
        <v>26</v>
      </c>
    </row>
    <row r="3937" spans="1:16" x14ac:dyDescent="0.25">
      <c r="A3937" t="s">
        <v>8282</v>
      </c>
      <c r="B3937" t="s">
        <v>2845</v>
      </c>
      <c r="C3937" t="s">
        <v>29</v>
      </c>
      <c r="D3937" t="s">
        <v>50</v>
      </c>
      <c r="E3937" t="s">
        <v>20</v>
      </c>
      <c r="F3937" t="s">
        <v>21</v>
      </c>
      <c r="G3937" t="s">
        <v>69</v>
      </c>
      <c r="H3937" t="s">
        <v>23</v>
      </c>
      <c r="I3937" t="s">
        <v>75</v>
      </c>
      <c r="J3937" t="s">
        <v>5806</v>
      </c>
      <c r="L3937">
        <v>3.9</v>
      </c>
      <c r="M3937">
        <v>795000</v>
      </c>
      <c r="N3937">
        <v>4.4000000000000004</v>
      </c>
      <c r="O3937">
        <v>6</v>
      </c>
      <c r="P3937" t="s">
        <v>26</v>
      </c>
    </row>
    <row r="3938" spans="1:16" x14ac:dyDescent="0.25">
      <c r="A3938" t="s">
        <v>8283</v>
      </c>
      <c r="B3938" t="s">
        <v>8284</v>
      </c>
      <c r="C3938" t="s">
        <v>29</v>
      </c>
      <c r="D3938" t="s">
        <v>30</v>
      </c>
      <c r="E3938" t="s">
        <v>44</v>
      </c>
      <c r="F3938" t="s">
        <v>32</v>
      </c>
      <c r="G3938" t="s">
        <v>80</v>
      </c>
      <c r="H3938" t="s">
        <v>23</v>
      </c>
      <c r="I3938" t="s">
        <v>75</v>
      </c>
      <c r="J3938" t="s">
        <v>8285</v>
      </c>
      <c r="L3938">
        <v>4.5</v>
      </c>
      <c r="M3938">
        <v>256000</v>
      </c>
      <c r="N3938">
        <v>4.2</v>
      </c>
      <c r="O3938">
        <v>7</v>
      </c>
      <c r="P3938" t="s">
        <v>26</v>
      </c>
    </row>
    <row r="3939" spans="1:16" x14ac:dyDescent="0.25">
      <c r="A3939" t="s">
        <v>8286</v>
      </c>
      <c r="B3939" t="s">
        <v>8287</v>
      </c>
      <c r="C3939" t="s">
        <v>18</v>
      </c>
      <c r="D3939" t="s">
        <v>19</v>
      </c>
      <c r="E3939" t="s">
        <v>20</v>
      </c>
      <c r="F3939" t="s">
        <v>128</v>
      </c>
      <c r="G3939" t="s">
        <v>22</v>
      </c>
      <c r="H3939" t="s">
        <v>23</v>
      </c>
      <c r="I3939" t="s">
        <v>24</v>
      </c>
      <c r="J3939" t="s">
        <v>2518</v>
      </c>
      <c r="L3939">
        <v>3.8</v>
      </c>
      <c r="M3939">
        <v>476000</v>
      </c>
      <c r="N3939">
        <v>4.2</v>
      </c>
      <c r="O3939">
        <v>8</v>
      </c>
      <c r="P3939" t="s">
        <v>26</v>
      </c>
    </row>
    <row r="3940" spans="1:16" x14ac:dyDescent="0.25">
      <c r="A3940" t="s">
        <v>8288</v>
      </c>
      <c r="B3940" t="s">
        <v>3859</v>
      </c>
      <c r="C3940" t="s">
        <v>18</v>
      </c>
      <c r="D3940" t="s">
        <v>50</v>
      </c>
      <c r="E3940" t="s">
        <v>20</v>
      </c>
      <c r="F3940" t="s">
        <v>32</v>
      </c>
      <c r="G3940" t="s">
        <v>80</v>
      </c>
      <c r="H3940" t="s">
        <v>46</v>
      </c>
      <c r="I3940" t="s">
        <v>171</v>
      </c>
      <c r="J3940" t="s">
        <v>3033</v>
      </c>
      <c r="L3940">
        <v>3.5</v>
      </c>
      <c r="M3940">
        <v>199000</v>
      </c>
      <c r="N3940">
        <v>3.2</v>
      </c>
      <c r="O3940">
        <v>23</v>
      </c>
      <c r="P3940" t="s">
        <v>26</v>
      </c>
    </row>
    <row r="3941" spans="1:16" x14ac:dyDescent="0.25">
      <c r="A3941" t="s">
        <v>8289</v>
      </c>
      <c r="B3941" t="s">
        <v>5515</v>
      </c>
      <c r="C3941" t="s">
        <v>29</v>
      </c>
      <c r="D3941" t="s">
        <v>30</v>
      </c>
      <c r="E3941" t="s">
        <v>44</v>
      </c>
      <c r="F3941" t="s">
        <v>32</v>
      </c>
      <c r="G3941" t="s">
        <v>80</v>
      </c>
      <c r="H3941" t="s">
        <v>34</v>
      </c>
      <c r="I3941" t="s">
        <v>57</v>
      </c>
      <c r="J3941" t="s">
        <v>872</v>
      </c>
      <c r="L3941">
        <v>3.8</v>
      </c>
      <c r="M3941">
        <v>280000</v>
      </c>
      <c r="N3941">
        <v>3.9</v>
      </c>
      <c r="O3941">
        <v>12</v>
      </c>
      <c r="P3941" t="s">
        <v>26</v>
      </c>
    </row>
    <row r="3942" spans="1:16" x14ac:dyDescent="0.25">
      <c r="A3942" t="s">
        <v>8290</v>
      </c>
      <c r="B3942" t="s">
        <v>6755</v>
      </c>
      <c r="C3942" t="s">
        <v>29</v>
      </c>
      <c r="D3942" t="s">
        <v>30</v>
      </c>
      <c r="E3942" t="s">
        <v>44</v>
      </c>
      <c r="F3942" t="s">
        <v>32</v>
      </c>
      <c r="G3942" t="s">
        <v>22</v>
      </c>
      <c r="H3942" t="s">
        <v>46</v>
      </c>
      <c r="I3942" t="s">
        <v>24</v>
      </c>
      <c r="J3942" t="s">
        <v>1000</v>
      </c>
      <c r="L3942">
        <v>3.2</v>
      </c>
      <c r="M3942">
        <v>255000</v>
      </c>
      <c r="N3942">
        <v>4</v>
      </c>
      <c r="O3942">
        <v>38</v>
      </c>
      <c r="P3942" t="s">
        <v>26</v>
      </c>
    </row>
    <row r="3943" spans="1:16" x14ac:dyDescent="0.25">
      <c r="A3943" t="s">
        <v>8291</v>
      </c>
      <c r="B3943" t="s">
        <v>3773</v>
      </c>
      <c r="C3943" t="s">
        <v>29</v>
      </c>
      <c r="D3943" t="s">
        <v>50</v>
      </c>
      <c r="E3943" t="s">
        <v>44</v>
      </c>
      <c r="F3943" t="s">
        <v>21</v>
      </c>
      <c r="G3943" t="s">
        <v>80</v>
      </c>
      <c r="H3943" t="s">
        <v>34</v>
      </c>
      <c r="I3943" t="s">
        <v>24</v>
      </c>
      <c r="J3943" t="s">
        <v>3740</v>
      </c>
      <c r="L3943">
        <v>3.3</v>
      </c>
      <c r="M3943">
        <v>721000</v>
      </c>
      <c r="N3943">
        <v>3.7</v>
      </c>
      <c r="O3943">
        <v>4</v>
      </c>
      <c r="P3943" t="s">
        <v>26</v>
      </c>
    </row>
    <row r="3944" spans="1:16" x14ac:dyDescent="0.25">
      <c r="A3944" t="s">
        <v>8292</v>
      </c>
      <c r="B3944" t="s">
        <v>6555</v>
      </c>
      <c r="C3944" t="s">
        <v>18</v>
      </c>
      <c r="D3944" t="s">
        <v>50</v>
      </c>
      <c r="E3944" t="s">
        <v>20</v>
      </c>
      <c r="F3944" t="s">
        <v>32</v>
      </c>
      <c r="G3944" t="s">
        <v>33</v>
      </c>
      <c r="H3944" t="s">
        <v>34</v>
      </c>
      <c r="I3944" t="s">
        <v>57</v>
      </c>
      <c r="J3944" t="s">
        <v>1642</v>
      </c>
      <c r="L3944">
        <v>6.2</v>
      </c>
      <c r="M3944">
        <v>327000</v>
      </c>
      <c r="O3944">
        <v>11</v>
      </c>
      <c r="P3944" t="s">
        <v>26</v>
      </c>
    </row>
    <row r="3945" spans="1:16" x14ac:dyDescent="0.25">
      <c r="A3945" t="s">
        <v>8293</v>
      </c>
      <c r="B3945" t="s">
        <v>8294</v>
      </c>
      <c r="C3945" t="s">
        <v>18</v>
      </c>
      <c r="D3945" t="s">
        <v>19</v>
      </c>
      <c r="E3945" t="s">
        <v>31</v>
      </c>
      <c r="F3945" t="s">
        <v>32</v>
      </c>
      <c r="G3945" t="s">
        <v>80</v>
      </c>
      <c r="H3945" t="s">
        <v>23</v>
      </c>
      <c r="I3945" t="s">
        <v>24</v>
      </c>
      <c r="J3945" t="s">
        <v>5361</v>
      </c>
      <c r="L3945">
        <v>4.2</v>
      </c>
      <c r="M3945">
        <v>261000</v>
      </c>
      <c r="N3945">
        <v>3.1</v>
      </c>
      <c r="O3945">
        <v>13</v>
      </c>
      <c r="P3945" t="s">
        <v>26</v>
      </c>
    </row>
    <row r="3946" spans="1:16" x14ac:dyDescent="0.25">
      <c r="A3946" t="s">
        <v>8295</v>
      </c>
      <c r="B3946" t="s">
        <v>2284</v>
      </c>
      <c r="C3946" t="s">
        <v>18</v>
      </c>
      <c r="D3946" t="s">
        <v>79</v>
      </c>
      <c r="E3946" t="s">
        <v>44</v>
      </c>
      <c r="F3946" t="s">
        <v>128</v>
      </c>
      <c r="G3946" t="s">
        <v>33</v>
      </c>
      <c r="I3946" t="s">
        <v>24</v>
      </c>
      <c r="J3946" t="s">
        <v>4635</v>
      </c>
      <c r="L3946">
        <v>4.4000000000000004</v>
      </c>
      <c r="M3946">
        <v>351000</v>
      </c>
      <c r="N3946">
        <v>4.3</v>
      </c>
      <c r="O3946">
        <v>14</v>
      </c>
      <c r="P3946" t="s">
        <v>26</v>
      </c>
    </row>
    <row r="3947" spans="1:16" x14ac:dyDescent="0.25">
      <c r="A3947" t="s">
        <v>8296</v>
      </c>
      <c r="B3947" t="s">
        <v>8297</v>
      </c>
      <c r="C3947" t="s">
        <v>18</v>
      </c>
      <c r="D3947" t="s">
        <v>19</v>
      </c>
      <c r="E3947" t="s">
        <v>20</v>
      </c>
      <c r="F3947" t="s">
        <v>32</v>
      </c>
      <c r="G3947" t="s">
        <v>69</v>
      </c>
      <c r="H3947" t="s">
        <v>46</v>
      </c>
      <c r="I3947" t="s">
        <v>35</v>
      </c>
      <c r="J3947" t="s">
        <v>2460</v>
      </c>
      <c r="L3947">
        <v>3.9</v>
      </c>
      <c r="M3947">
        <v>209000</v>
      </c>
      <c r="N3947">
        <v>2.8</v>
      </c>
      <c r="O3947">
        <v>9</v>
      </c>
      <c r="P3947" t="s">
        <v>26</v>
      </c>
    </row>
    <row r="3948" spans="1:16" x14ac:dyDescent="0.25">
      <c r="A3948" t="s">
        <v>8298</v>
      </c>
      <c r="B3948" t="s">
        <v>8299</v>
      </c>
      <c r="C3948" t="s">
        <v>18</v>
      </c>
      <c r="D3948" t="s">
        <v>30</v>
      </c>
      <c r="E3948" t="s">
        <v>44</v>
      </c>
      <c r="F3948" t="s">
        <v>45</v>
      </c>
      <c r="G3948" t="s">
        <v>33</v>
      </c>
      <c r="H3948" t="s">
        <v>46</v>
      </c>
      <c r="I3948" t="s">
        <v>24</v>
      </c>
      <c r="J3948" t="s">
        <v>1237</v>
      </c>
      <c r="K3948" t="s">
        <v>1188</v>
      </c>
      <c r="L3948">
        <v>1.7</v>
      </c>
      <c r="M3948">
        <v>1815000</v>
      </c>
      <c r="N3948">
        <v>3.2</v>
      </c>
      <c r="O3948">
        <v>40</v>
      </c>
      <c r="P3948" t="s">
        <v>53</v>
      </c>
    </row>
    <row r="3949" spans="1:16" x14ac:dyDescent="0.25">
      <c r="A3949" t="s">
        <v>8300</v>
      </c>
      <c r="B3949" t="s">
        <v>6103</v>
      </c>
      <c r="C3949" t="s">
        <v>18</v>
      </c>
      <c r="D3949" t="s">
        <v>79</v>
      </c>
      <c r="E3949" t="s">
        <v>20</v>
      </c>
      <c r="F3949" t="s">
        <v>128</v>
      </c>
      <c r="G3949" t="s">
        <v>80</v>
      </c>
      <c r="H3949" t="s">
        <v>23</v>
      </c>
      <c r="I3949" t="s">
        <v>24</v>
      </c>
      <c r="J3949" t="s">
        <v>4500</v>
      </c>
      <c r="L3949">
        <v>2.4</v>
      </c>
      <c r="M3949">
        <v>366000</v>
      </c>
      <c r="N3949">
        <v>4.5999999999999996</v>
      </c>
      <c r="O3949">
        <v>5</v>
      </c>
      <c r="P3949" t="s">
        <v>26</v>
      </c>
    </row>
    <row r="3950" spans="1:16" x14ac:dyDescent="0.25">
      <c r="A3950" t="s">
        <v>8301</v>
      </c>
      <c r="B3950" t="s">
        <v>8302</v>
      </c>
      <c r="C3950" t="s">
        <v>18</v>
      </c>
      <c r="D3950" t="s">
        <v>19</v>
      </c>
      <c r="E3950" t="s">
        <v>31</v>
      </c>
      <c r="F3950" t="s">
        <v>39</v>
      </c>
      <c r="G3950" t="s">
        <v>22</v>
      </c>
      <c r="H3950" t="s">
        <v>23</v>
      </c>
      <c r="I3950" t="s">
        <v>171</v>
      </c>
      <c r="J3950" t="s">
        <v>5418</v>
      </c>
      <c r="L3950">
        <v>5.3</v>
      </c>
      <c r="M3950">
        <v>157000</v>
      </c>
      <c r="N3950">
        <v>4.3</v>
      </c>
      <c r="O3950">
        <v>11</v>
      </c>
      <c r="P3950" t="s">
        <v>26</v>
      </c>
    </row>
    <row r="3951" spans="1:16" x14ac:dyDescent="0.25">
      <c r="A3951" t="s">
        <v>8303</v>
      </c>
      <c r="B3951" t="s">
        <v>8304</v>
      </c>
      <c r="D3951" t="s">
        <v>30</v>
      </c>
      <c r="E3951" t="s">
        <v>20</v>
      </c>
      <c r="F3951" t="s">
        <v>39</v>
      </c>
      <c r="G3951" t="s">
        <v>69</v>
      </c>
      <c r="H3951" t="s">
        <v>34</v>
      </c>
      <c r="I3951" t="s">
        <v>57</v>
      </c>
      <c r="J3951" t="s">
        <v>4373</v>
      </c>
      <c r="K3951" t="s">
        <v>847</v>
      </c>
      <c r="L3951">
        <v>3.3</v>
      </c>
      <c r="M3951">
        <v>166000</v>
      </c>
      <c r="N3951">
        <v>2.5</v>
      </c>
      <c r="O3951">
        <v>0</v>
      </c>
      <c r="P3951" t="s">
        <v>72</v>
      </c>
    </row>
    <row r="3952" spans="1:16" x14ac:dyDescent="0.25">
      <c r="A3952" t="s">
        <v>8305</v>
      </c>
      <c r="B3952" t="s">
        <v>7486</v>
      </c>
      <c r="C3952" t="s">
        <v>18</v>
      </c>
      <c r="D3952" t="s">
        <v>50</v>
      </c>
      <c r="E3952" t="s">
        <v>31</v>
      </c>
      <c r="F3952" t="s">
        <v>39</v>
      </c>
      <c r="G3952" t="s">
        <v>22</v>
      </c>
      <c r="H3952" t="s">
        <v>23</v>
      </c>
      <c r="I3952" t="s">
        <v>57</v>
      </c>
      <c r="J3952" t="s">
        <v>4381</v>
      </c>
      <c r="L3952">
        <v>4.0999999999999996</v>
      </c>
      <c r="M3952">
        <v>114000</v>
      </c>
      <c r="N3952">
        <v>3.4</v>
      </c>
      <c r="O3952">
        <v>13</v>
      </c>
      <c r="P3952" t="s">
        <v>26</v>
      </c>
    </row>
    <row r="3953" spans="1:16" x14ac:dyDescent="0.25">
      <c r="A3953" t="s">
        <v>8306</v>
      </c>
      <c r="B3953" t="s">
        <v>8307</v>
      </c>
      <c r="D3953" t="s">
        <v>50</v>
      </c>
      <c r="E3953" t="s">
        <v>20</v>
      </c>
      <c r="G3953" t="s">
        <v>22</v>
      </c>
      <c r="H3953" t="s">
        <v>23</v>
      </c>
      <c r="I3953" t="s">
        <v>35</v>
      </c>
      <c r="J3953" t="s">
        <v>6753</v>
      </c>
      <c r="K3953" t="s">
        <v>3238</v>
      </c>
      <c r="L3953">
        <v>3.5</v>
      </c>
      <c r="N3953">
        <v>2.1</v>
      </c>
      <c r="O3953">
        <v>13</v>
      </c>
      <c r="P3953" t="s">
        <v>72</v>
      </c>
    </row>
    <row r="3954" spans="1:16" x14ac:dyDescent="0.25">
      <c r="A3954" t="s">
        <v>8308</v>
      </c>
      <c r="B3954" t="s">
        <v>552</v>
      </c>
      <c r="C3954" t="s">
        <v>18</v>
      </c>
      <c r="D3954" t="s">
        <v>43</v>
      </c>
      <c r="E3954" t="s">
        <v>20</v>
      </c>
      <c r="F3954" t="s">
        <v>39</v>
      </c>
      <c r="G3954" t="s">
        <v>22</v>
      </c>
      <c r="H3954" t="s">
        <v>23</v>
      </c>
      <c r="I3954" t="s">
        <v>35</v>
      </c>
      <c r="J3954" t="s">
        <v>634</v>
      </c>
      <c r="K3954" t="s">
        <v>2402</v>
      </c>
      <c r="L3954">
        <v>5.5</v>
      </c>
      <c r="M3954">
        <v>85000</v>
      </c>
      <c r="N3954">
        <v>3.2</v>
      </c>
      <c r="O3954">
        <v>3</v>
      </c>
      <c r="P3954" t="s">
        <v>53</v>
      </c>
    </row>
    <row r="3955" spans="1:16" x14ac:dyDescent="0.25">
      <c r="A3955" t="s">
        <v>8309</v>
      </c>
      <c r="B3955" t="s">
        <v>1867</v>
      </c>
      <c r="C3955" t="s">
        <v>18</v>
      </c>
      <c r="D3955" t="s">
        <v>30</v>
      </c>
      <c r="E3955" t="s">
        <v>20</v>
      </c>
      <c r="F3955" t="s">
        <v>32</v>
      </c>
      <c r="G3955" t="s">
        <v>33</v>
      </c>
      <c r="H3955" t="s">
        <v>46</v>
      </c>
      <c r="I3955" t="s">
        <v>75</v>
      </c>
      <c r="J3955" t="s">
        <v>2470</v>
      </c>
      <c r="L3955">
        <v>4.5</v>
      </c>
      <c r="M3955">
        <v>300000</v>
      </c>
      <c r="O3955">
        <v>14</v>
      </c>
      <c r="P3955" t="s">
        <v>26</v>
      </c>
    </row>
    <row r="3956" spans="1:16" x14ac:dyDescent="0.25">
      <c r="A3956" t="s">
        <v>8310</v>
      </c>
      <c r="B3956" t="s">
        <v>6508</v>
      </c>
      <c r="C3956" t="s">
        <v>18</v>
      </c>
      <c r="D3956" t="s">
        <v>79</v>
      </c>
      <c r="E3956" t="s">
        <v>20</v>
      </c>
      <c r="F3956" t="s">
        <v>39</v>
      </c>
      <c r="G3956" t="s">
        <v>80</v>
      </c>
      <c r="H3956" t="s">
        <v>34</v>
      </c>
      <c r="I3956" t="s">
        <v>57</v>
      </c>
      <c r="J3956" t="s">
        <v>5155</v>
      </c>
      <c r="L3956">
        <v>6.2</v>
      </c>
      <c r="M3956">
        <v>139000</v>
      </c>
      <c r="N3956">
        <v>3.2</v>
      </c>
      <c r="O3956">
        <v>14</v>
      </c>
      <c r="P3956" t="s">
        <v>26</v>
      </c>
    </row>
    <row r="3957" spans="1:16" x14ac:dyDescent="0.25">
      <c r="A3957" t="s">
        <v>8311</v>
      </c>
      <c r="B3957" t="s">
        <v>8312</v>
      </c>
      <c r="C3957" t="s">
        <v>29</v>
      </c>
      <c r="D3957" t="s">
        <v>50</v>
      </c>
      <c r="E3957" t="s">
        <v>20</v>
      </c>
      <c r="F3957" t="s">
        <v>39</v>
      </c>
      <c r="G3957" t="s">
        <v>33</v>
      </c>
      <c r="H3957" t="s">
        <v>34</v>
      </c>
      <c r="I3957" t="s">
        <v>75</v>
      </c>
      <c r="J3957" t="s">
        <v>5546</v>
      </c>
      <c r="L3957">
        <v>4.8</v>
      </c>
      <c r="M3957">
        <v>177000</v>
      </c>
      <c r="N3957">
        <v>2.4</v>
      </c>
      <c r="O3957">
        <v>7</v>
      </c>
      <c r="P3957" t="s">
        <v>26</v>
      </c>
    </row>
    <row r="3958" spans="1:16" x14ac:dyDescent="0.25">
      <c r="A3958" t="s">
        <v>8313</v>
      </c>
      <c r="B3958" t="s">
        <v>8314</v>
      </c>
      <c r="C3958" t="s">
        <v>29</v>
      </c>
      <c r="D3958" t="s">
        <v>19</v>
      </c>
      <c r="E3958" t="s">
        <v>20</v>
      </c>
      <c r="F3958" t="s">
        <v>39</v>
      </c>
      <c r="G3958" t="s">
        <v>33</v>
      </c>
      <c r="H3958" t="s">
        <v>34</v>
      </c>
      <c r="I3958" t="s">
        <v>24</v>
      </c>
      <c r="J3958" t="s">
        <v>3033</v>
      </c>
      <c r="L3958">
        <v>3.5</v>
      </c>
      <c r="M3958">
        <v>133000</v>
      </c>
      <c r="N3958">
        <v>2.9</v>
      </c>
      <c r="O3958">
        <v>10</v>
      </c>
      <c r="P3958" t="s">
        <v>26</v>
      </c>
    </row>
    <row r="3959" spans="1:16" x14ac:dyDescent="0.25">
      <c r="A3959" t="s">
        <v>8315</v>
      </c>
      <c r="B3959" t="s">
        <v>977</v>
      </c>
      <c r="C3959" t="s">
        <v>18</v>
      </c>
      <c r="D3959" t="s">
        <v>79</v>
      </c>
      <c r="E3959" t="s">
        <v>20</v>
      </c>
      <c r="F3959" t="s">
        <v>39</v>
      </c>
      <c r="G3959" t="s">
        <v>22</v>
      </c>
      <c r="H3959" t="s">
        <v>23</v>
      </c>
      <c r="I3959" t="s">
        <v>24</v>
      </c>
      <c r="J3959" t="s">
        <v>2091</v>
      </c>
      <c r="L3959">
        <v>5.3</v>
      </c>
      <c r="M3959">
        <v>122000</v>
      </c>
      <c r="N3959">
        <v>3.9</v>
      </c>
      <c r="O3959">
        <v>13</v>
      </c>
      <c r="P3959" t="s">
        <v>26</v>
      </c>
    </row>
    <row r="3960" spans="1:16" x14ac:dyDescent="0.25">
      <c r="A3960" t="s">
        <v>8316</v>
      </c>
      <c r="B3960" t="s">
        <v>5221</v>
      </c>
      <c r="C3960" t="s">
        <v>18</v>
      </c>
      <c r="D3960" t="s">
        <v>30</v>
      </c>
      <c r="E3960" t="s">
        <v>44</v>
      </c>
      <c r="F3960" t="s">
        <v>128</v>
      </c>
      <c r="G3960" t="s">
        <v>80</v>
      </c>
      <c r="H3960" t="s">
        <v>34</v>
      </c>
      <c r="I3960" t="s">
        <v>35</v>
      </c>
      <c r="J3960" t="s">
        <v>4166</v>
      </c>
      <c r="L3960">
        <v>5.5</v>
      </c>
      <c r="M3960">
        <v>515000</v>
      </c>
      <c r="N3960">
        <v>4.3</v>
      </c>
      <c r="O3960">
        <v>10</v>
      </c>
      <c r="P3960" t="s">
        <v>26</v>
      </c>
    </row>
    <row r="3961" spans="1:16" x14ac:dyDescent="0.25">
      <c r="A3961" t="s">
        <v>8317</v>
      </c>
      <c r="B3961" t="s">
        <v>877</v>
      </c>
      <c r="C3961" t="s">
        <v>29</v>
      </c>
      <c r="D3961" t="s">
        <v>30</v>
      </c>
      <c r="E3961" t="s">
        <v>31</v>
      </c>
      <c r="F3961" t="s">
        <v>45</v>
      </c>
      <c r="G3961" t="s">
        <v>22</v>
      </c>
      <c r="H3961" t="s">
        <v>46</v>
      </c>
      <c r="I3961" t="s">
        <v>171</v>
      </c>
      <c r="J3961" t="s">
        <v>1774</v>
      </c>
      <c r="K3961" t="s">
        <v>1062</v>
      </c>
      <c r="L3961">
        <v>6.2</v>
      </c>
      <c r="M3961">
        <v>1054000</v>
      </c>
      <c r="N3961">
        <v>3.4</v>
      </c>
      <c r="O3961">
        <v>8</v>
      </c>
      <c r="P3961" t="s">
        <v>53</v>
      </c>
    </row>
    <row r="3962" spans="1:16" x14ac:dyDescent="0.25">
      <c r="A3962" t="s">
        <v>8318</v>
      </c>
      <c r="B3962" t="s">
        <v>4408</v>
      </c>
      <c r="C3962" t="s">
        <v>18</v>
      </c>
      <c r="D3962" t="s">
        <v>30</v>
      </c>
      <c r="E3962" t="s">
        <v>44</v>
      </c>
      <c r="F3962" t="s">
        <v>21</v>
      </c>
      <c r="G3962" t="s">
        <v>33</v>
      </c>
      <c r="H3962" t="s">
        <v>46</v>
      </c>
      <c r="I3962" t="s">
        <v>24</v>
      </c>
      <c r="J3962" t="s">
        <v>3353</v>
      </c>
      <c r="L3962">
        <v>5.8</v>
      </c>
      <c r="M3962">
        <v>831000</v>
      </c>
      <c r="N3962">
        <v>4.5999999999999996</v>
      </c>
      <c r="O3962">
        <v>13</v>
      </c>
      <c r="P3962" t="s">
        <v>26</v>
      </c>
    </row>
    <row r="3963" spans="1:16" x14ac:dyDescent="0.25">
      <c r="A3963" t="s">
        <v>8319</v>
      </c>
      <c r="B3963" t="s">
        <v>660</v>
      </c>
      <c r="C3963" t="s">
        <v>29</v>
      </c>
      <c r="D3963" t="s">
        <v>50</v>
      </c>
      <c r="E3963" t="s">
        <v>44</v>
      </c>
      <c r="F3963" t="s">
        <v>39</v>
      </c>
      <c r="G3963" t="s">
        <v>22</v>
      </c>
      <c r="H3963" t="s">
        <v>62</v>
      </c>
      <c r="I3963" t="s">
        <v>75</v>
      </c>
      <c r="J3963" t="s">
        <v>1558</v>
      </c>
      <c r="L3963">
        <v>3.7</v>
      </c>
      <c r="M3963">
        <v>121000</v>
      </c>
      <c r="N3963">
        <v>4.8</v>
      </c>
      <c r="O3963">
        <v>3</v>
      </c>
      <c r="P3963" t="s">
        <v>26</v>
      </c>
    </row>
    <row r="3964" spans="1:16" x14ac:dyDescent="0.25">
      <c r="A3964" t="s">
        <v>8320</v>
      </c>
      <c r="B3964" t="s">
        <v>8321</v>
      </c>
      <c r="C3964" t="s">
        <v>18</v>
      </c>
      <c r="D3964" t="s">
        <v>19</v>
      </c>
      <c r="E3964" t="s">
        <v>20</v>
      </c>
      <c r="F3964" t="s">
        <v>128</v>
      </c>
      <c r="G3964" t="s">
        <v>33</v>
      </c>
      <c r="J3964" t="s">
        <v>1677</v>
      </c>
      <c r="L3964">
        <v>5.7</v>
      </c>
      <c r="M3964">
        <v>530000</v>
      </c>
      <c r="N3964">
        <v>3.2</v>
      </c>
      <c r="O3964">
        <v>8</v>
      </c>
      <c r="P3964" t="s">
        <v>26</v>
      </c>
    </row>
    <row r="3965" spans="1:16" x14ac:dyDescent="0.25">
      <c r="A3965" t="s">
        <v>8322</v>
      </c>
      <c r="B3965" t="s">
        <v>1625</v>
      </c>
      <c r="C3965" t="s">
        <v>29</v>
      </c>
      <c r="D3965" t="s">
        <v>30</v>
      </c>
      <c r="E3965" t="s">
        <v>44</v>
      </c>
      <c r="F3965" t="s">
        <v>32</v>
      </c>
      <c r="G3965" t="s">
        <v>33</v>
      </c>
      <c r="I3965" t="s">
        <v>35</v>
      </c>
      <c r="J3965" t="s">
        <v>3782</v>
      </c>
      <c r="L3965">
        <v>1.4</v>
      </c>
      <c r="M3965">
        <v>185000</v>
      </c>
      <c r="N3965">
        <v>3.3</v>
      </c>
      <c r="O3965">
        <v>13</v>
      </c>
      <c r="P3965" t="s">
        <v>26</v>
      </c>
    </row>
    <row r="3966" spans="1:16" x14ac:dyDescent="0.25">
      <c r="A3966" t="s">
        <v>8323</v>
      </c>
      <c r="B3966" t="s">
        <v>1050</v>
      </c>
      <c r="C3966" t="s">
        <v>29</v>
      </c>
      <c r="D3966" t="s">
        <v>30</v>
      </c>
      <c r="E3966" t="s">
        <v>20</v>
      </c>
      <c r="F3966" t="s">
        <v>39</v>
      </c>
      <c r="G3966" t="s">
        <v>22</v>
      </c>
      <c r="H3966" t="s">
        <v>23</v>
      </c>
      <c r="I3966" t="s">
        <v>24</v>
      </c>
      <c r="J3966" t="s">
        <v>6703</v>
      </c>
      <c r="K3966" t="s">
        <v>66</v>
      </c>
      <c r="L3966">
        <v>3.3</v>
      </c>
      <c r="M3966">
        <v>128000</v>
      </c>
      <c r="N3966">
        <v>2.2000000000000002</v>
      </c>
      <c r="O3966">
        <v>8</v>
      </c>
      <c r="P3966" t="s">
        <v>72</v>
      </c>
    </row>
    <row r="3967" spans="1:16" x14ac:dyDescent="0.25">
      <c r="A3967" t="s">
        <v>8324</v>
      </c>
      <c r="B3967" t="s">
        <v>8325</v>
      </c>
      <c r="C3967" t="s">
        <v>29</v>
      </c>
      <c r="D3967" t="s">
        <v>19</v>
      </c>
      <c r="E3967" t="s">
        <v>31</v>
      </c>
      <c r="F3967" t="s">
        <v>39</v>
      </c>
      <c r="G3967" t="s">
        <v>22</v>
      </c>
      <c r="H3967" t="s">
        <v>34</v>
      </c>
      <c r="I3967" t="s">
        <v>24</v>
      </c>
      <c r="J3967" t="s">
        <v>8132</v>
      </c>
      <c r="L3967">
        <v>5.4</v>
      </c>
      <c r="M3967">
        <v>155000</v>
      </c>
      <c r="N3967">
        <v>2.6</v>
      </c>
      <c r="O3967">
        <v>13</v>
      </c>
      <c r="P3967" t="s">
        <v>26</v>
      </c>
    </row>
    <row r="3968" spans="1:16" x14ac:dyDescent="0.25">
      <c r="A3968" t="s">
        <v>8326</v>
      </c>
      <c r="B3968" t="s">
        <v>4949</v>
      </c>
      <c r="C3968" t="s">
        <v>29</v>
      </c>
      <c r="D3968" t="s">
        <v>30</v>
      </c>
      <c r="E3968" t="s">
        <v>20</v>
      </c>
      <c r="F3968" t="s">
        <v>128</v>
      </c>
      <c r="G3968" t="s">
        <v>80</v>
      </c>
      <c r="H3968" t="s">
        <v>23</v>
      </c>
      <c r="I3968" t="s">
        <v>24</v>
      </c>
      <c r="J3968" t="s">
        <v>2831</v>
      </c>
      <c r="K3968" t="s">
        <v>4628</v>
      </c>
      <c r="L3968">
        <v>3</v>
      </c>
      <c r="M3968">
        <v>466000</v>
      </c>
      <c r="N3968">
        <v>4.7</v>
      </c>
      <c r="O3968">
        <v>10</v>
      </c>
      <c r="P3968" t="s">
        <v>53</v>
      </c>
    </row>
    <row r="3969" spans="1:16" x14ac:dyDescent="0.25">
      <c r="A3969" t="s">
        <v>8327</v>
      </c>
      <c r="B3969" t="s">
        <v>4451</v>
      </c>
      <c r="C3969" t="s">
        <v>18</v>
      </c>
      <c r="D3969" t="s">
        <v>19</v>
      </c>
      <c r="E3969" t="s">
        <v>20</v>
      </c>
      <c r="F3969" t="s">
        <v>32</v>
      </c>
      <c r="G3969" t="s">
        <v>80</v>
      </c>
      <c r="H3969" t="s">
        <v>46</v>
      </c>
      <c r="I3969" t="s">
        <v>75</v>
      </c>
      <c r="J3969" t="s">
        <v>2285</v>
      </c>
      <c r="L3969">
        <v>1.7</v>
      </c>
      <c r="M3969">
        <v>246000</v>
      </c>
      <c r="N3969">
        <v>4.4000000000000004</v>
      </c>
      <c r="O3969">
        <v>2</v>
      </c>
      <c r="P3969" t="s">
        <v>26</v>
      </c>
    </row>
    <row r="3970" spans="1:16" x14ac:dyDescent="0.25">
      <c r="A3970" t="s">
        <v>8328</v>
      </c>
      <c r="B3970" t="s">
        <v>3290</v>
      </c>
      <c r="C3970" t="s">
        <v>18</v>
      </c>
      <c r="D3970" t="s">
        <v>79</v>
      </c>
      <c r="E3970" t="s">
        <v>20</v>
      </c>
      <c r="F3970" t="s">
        <v>32</v>
      </c>
      <c r="G3970" t="s">
        <v>22</v>
      </c>
      <c r="H3970" t="s">
        <v>46</v>
      </c>
      <c r="I3970" t="s">
        <v>24</v>
      </c>
      <c r="J3970" t="s">
        <v>500</v>
      </c>
      <c r="K3970" t="s">
        <v>3279</v>
      </c>
      <c r="L3970">
        <v>5.5</v>
      </c>
      <c r="N3970">
        <v>2.7</v>
      </c>
      <c r="O3970">
        <v>1</v>
      </c>
      <c r="P3970" t="s">
        <v>72</v>
      </c>
    </row>
    <row r="3971" spans="1:16" x14ac:dyDescent="0.25">
      <c r="A3971" t="s">
        <v>8329</v>
      </c>
      <c r="B3971" t="s">
        <v>492</v>
      </c>
      <c r="C3971" t="s">
        <v>18</v>
      </c>
      <c r="D3971" t="s">
        <v>50</v>
      </c>
      <c r="E3971" t="s">
        <v>44</v>
      </c>
      <c r="F3971" t="s">
        <v>128</v>
      </c>
      <c r="G3971" t="s">
        <v>22</v>
      </c>
      <c r="H3971" t="s">
        <v>46</v>
      </c>
      <c r="I3971" t="s">
        <v>35</v>
      </c>
      <c r="J3971" t="s">
        <v>7506</v>
      </c>
      <c r="L3971">
        <v>1.5</v>
      </c>
      <c r="M3971">
        <v>453000</v>
      </c>
      <c r="N3971">
        <v>2.2999999999999998</v>
      </c>
      <c r="O3971">
        <v>12</v>
      </c>
      <c r="P3971" t="s">
        <v>26</v>
      </c>
    </row>
    <row r="3972" spans="1:16" x14ac:dyDescent="0.25">
      <c r="A3972" t="s">
        <v>8330</v>
      </c>
      <c r="B3972" t="s">
        <v>1873</v>
      </c>
      <c r="D3972" t="s">
        <v>79</v>
      </c>
      <c r="E3972" t="s">
        <v>44</v>
      </c>
      <c r="F3972" t="s">
        <v>32</v>
      </c>
      <c r="G3972" t="s">
        <v>22</v>
      </c>
      <c r="H3972" t="s">
        <v>34</v>
      </c>
      <c r="I3972" t="s">
        <v>24</v>
      </c>
      <c r="J3972" t="s">
        <v>504</v>
      </c>
      <c r="L3972">
        <v>2.9</v>
      </c>
      <c r="N3972">
        <v>3.8</v>
      </c>
      <c r="O3972">
        <v>4</v>
      </c>
      <c r="P3972" t="s">
        <v>26</v>
      </c>
    </row>
    <row r="3973" spans="1:16" x14ac:dyDescent="0.25">
      <c r="A3973" t="s">
        <v>8331</v>
      </c>
      <c r="B3973" t="s">
        <v>6856</v>
      </c>
      <c r="C3973" t="s">
        <v>29</v>
      </c>
      <c r="D3973" t="s">
        <v>50</v>
      </c>
      <c r="E3973" t="s">
        <v>20</v>
      </c>
      <c r="F3973" t="s">
        <v>32</v>
      </c>
      <c r="G3973" t="s">
        <v>22</v>
      </c>
      <c r="H3973" t="s">
        <v>23</v>
      </c>
      <c r="I3973" t="s">
        <v>24</v>
      </c>
      <c r="J3973" t="s">
        <v>3256</v>
      </c>
      <c r="L3973">
        <v>2.6</v>
      </c>
      <c r="M3973">
        <v>273000</v>
      </c>
      <c r="N3973">
        <v>3.3</v>
      </c>
      <c r="O3973">
        <v>9</v>
      </c>
      <c r="P3973" t="s">
        <v>26</v>
      </c>
    </row>
    <row r="3974" spans="1:16" x14ac:dyDescent="0.25">
      <c r="A3974" t="s">
        <v>8332</v>
      </c>
      <c r="B3974" t="s">
        <v>2357</v>
      </c>
      <c r="C3974" t="s">
        <v>29</v>
      </c>
      <c r="D3974" t="s">
        <v>79</v>
      </c>
      <c r="E3974" t="s">
        <v>44</v>
      </c>
      <c r="F3974" t="s">
        <v>39</v>
      </c>
      <c r="G3974" t="s">
        <v>80</v>
      </c>
      <c r="H3974" t="s">
        <v>46</v>
      </c>
      <c r="I3974" t="s">
        <v>75</v>
      </c>
      <c r="J3974" t="s">
        <v>4540</v>
      </c>
      <c r="K3974" t="s">
        <v>2287</v>
      </c>
      <c r="L3974">
        <v>5</v>
      </c>
      <c r="M3974">
        <v>164000</v>
      </c>
      <c r="N3974">
        <v>3.8</v>
      </c>
      <c r="O3974">
        <v>17</v>
      </c>
      <c r="P3974" t="s">
        <v>114</v>
      </c>
    </row>
    <row r="3975" spans="1:16" x14ac:dyDescent="0.25">
      <c r="A3975" t="s">
        <v>8333</v>
      </c>
      <c r="B3975" t="s">
        <v>6641</v>
      </c>
      <c r="C3975" t="s">
        <v>18</v>
      </c>
      <c r="D3975" t="s">
        <v>79</v>
      </c>
      <c r="E3975" t="s">
        <v>20</v>
      </c>
      <c r="F3975" t="s">
        <v>32</v>
      </c>
      <c r="G3975" t="s">
        <v>33</v>
      </c>
      <c r="H3975" t="s">
        <v>34</v>
      </c>
      <c r="I3975" t="s">
        <v>24</v>
      </c>
      <c r="J3975" t="s">
        <v>4425</v>
      </c>
      <c r="L3975">
        <v>2.2000000000000002</v>
      </c>
      <c r="M3975">
        <v>319000</v>
      </c>
      <c r="N3975">
        <v>4.2</v>
      </c>
      <c r="O3975">
        <v>26</v>
      </c>
      <c r="P3975" t="s">
        <v>26</v>
      </c>
    </row>
    <row r="3976" spans="1:16" x14ac:dyDescent="0.25">
      <c r="A3976" t="s">
        <v>8334</v>
      </c>
      <c r="B3976" t="s">
        <v>8335</v>
      </c>
      <c r="C3976" t="s">
        <v>29</v>
      </c>
      <c r="D3976" t="s">
        <v>79</v>
      </c>
      <c r="F3976" t="s">
        <v>32</v>
      </c>
      <c r="G3976" t="s">
        <v>22</v>
      </c>
      <c r="H3976" t="s">
        <v>46</v>
      </c>
      <c r="I3976" t="s">
        <v>35</v>
      </c>
      <c r="J3976" t="s">
        <v>231</v>
      </c>
      <c r="K3976" t="s">
        <v>3890</v>
      </c>
      <c r="L3976">
        <v>5.6</v>
      </c>
      <c r="M3976">
        <v>275000</v>
      </c>
      <c r="O3976">
        <v>31</v>
      </c>
      <c r="P3976" t="s">
        <v>53</v>
      </c>
    </row>
    <row r="3977" spans="1:16" x14ac:dyDescent="0.25">
      <c r="A3977" t="s">
        <v>8336</v>
      </c>
      <c r="B3977" t="s">
        <v>8337</v>
      </c>
      <c r="C3977" t="s">
        <v>29</v>
      </c>
      <c r="D3977" t="s">
        <v>50</v>
      </c>
      <c r="E3977" t="s">
        <v>20</v>
      </c>
      <c r="F3977" t="s">
        <v>32</v>
      </c>
      <c r="G3977" t="s">
        <v>80</v>
      </c>
      <c r="H3977" t="s">
        <v>23</v>
      </c>
      <c r="I3977" t="s">
        <v>57</v>
      </c>
      <c r="J3977" t="s">
        <v>878</v>
      </c>
      <c r="L3977">
        <v>2</v>
      </c>
      <c r="M3977">
        <v>315000</v>
      </c>
      <c r="N3977">
        <v>2.5</v>
      </c>
      <c r="O3977">
        <v>0</v>
      </c>
      <c r="P3977" t="s">
        <v>26</v>
      </c>
    </row>
    <row r="3978" spans="1:16" x14ac:dyDescent="0.25">
      <c r="A3978" t="s">
        <v>8338</v>
      </c>
      <c r="B3978" t="s">
        <v>6278</v>
      </c>
      <c r="C3978" t="s">
        <v>29</v>
      </c>
      <c r="D3978" t="s">
        <v>43</v>
      </c>
      <c r="E3978" t="s">
        <v>20</v>
      </c>
      <c r="F3978" t="s">
        <v>32</v>
      </c>
      <c r="G3978" t="s">
        <v>22</v>
      </c>
      <c r="H3978" t="s">
        <v>34</v>
      </c>
      <c r="I3978" t="s">
        <v>57</v>
      </c>
      <c r="J3978" t="s">
        <v>8067</v>
      </c>
      <c r="K3978" t="s">
        <v>2430</v>
      </c>
      <c r="L3978">
        <v>5</v>
      </c>
      <c r="M3978">
        <v>207000</v>
      </c>
      <c r="N3978">
        <v>2.1</v>
      </c>
      <c r="O3978">
        <v>11</v>
      </c>
      <c r="P3978" t="s">
        <v>53</v>
      </c>
    </row>
    <row r="3979" spans="1:16" x14ac:dyDescent="0.25">
      <c r="A3979" t="s">
        <v>8339</v>
      </c>
      <c r="B3979" t="s">
        <v>1802</v>
      </c>
      <c r="C3979" t="s">
        <v>18</v>
      </c>
      <c r="D3979" t="s">
        <v>50</v>
      </c>
      <c r="E3979" t="s">
        <v>20</v>
      </c>
      <c r="F3979" t="s">
        <v>39</v>
      </c>
      <c r="G3979" t="s">
        <v>22</v>
      </c>
      <c r="H3979" t="s">
        <v>23</v>
      </c>
      <c r="I3979" t="s">
        <v>57</v>
      </c>
      <c r="J3979" t="s">
        <v>5927</v>
      </c>
      <c r="K3979" t="s">
        <v>1646</v>
      </c>
      <c r="L3979">
        <v>5.2</v>
      </c>
      <c r="M3979">
        <v>117000</v>
      </c>
      <c r="N3979">
        <v>3.5</v>
      </c>
      <c r="O3979">
        <v>4</v>
      </c>
      <c r="P3979" t="s">
        <v>53</v>
      </c>
    </row>
    <row r="3980" spans="1:16" x14ac:dyDescent="0.25">
      <c r="A3980" t="s">
        <v>8340</v>
      </c>
      <c r="B3980" t="s">
        <v>6182</v>
      </c>
      <c r="C3980" t="s">
        <v>18</v>
      </c>
      <c r="D3980" t="s">
        <v>30</v>
      </c>
      <c r="F3980" t="s">
        <v>32</v>
      </c>
      <c r="G3980" t="s">
        <v>69</v>
      </c>
      <c r="I3980" t="s">
        <v>57</v>
      </c>
      <c r="J3980" t="s">
        <v>8341</v>
      </c>
      <c r="K3980" t="s">
        <v>6732</v>
      </c>
      <c r="L3980">
        <v>2.9</v>
      </c>
      <c r="M3980">
        <v>258000</v>
      </c>
      <c r="N3980">
        <v>4.7</v>
      </c>
      <c r="O3980">
        <v>14</v>
      </c>
      <c r="P3980" t="s">
        <v>53</v>
      </c>
    </row>
    <row r="3981" spans="1:16" x14ac:dyDescent="0.25">
      <c r="A3981" t="s">
        <v>8342</v>
      </c>
      <c r="B3981" t="s">
        <v>3203</v>
      </c>
      <c r="C3981" t="s">
        <v>18</v>
      </c>
      <c r="D3981" t="s">
        <v>43</v>
      </c>
      <c r="E3981" t="s">
        <v>20</v>
      </c>
      <c r="F3981" t="s">
        <v>32</v>
      </c>
      <c r="G3981" t="s">
        <v>22</v>
      </c>
      <c r="H3981" t="s">
        <v>23</v>
      </c>
      <c r="I3981" t="s">
        <v>35</v>
      </c>
      <c r="J3981" t="s">
        <v>7674</v>
      </c>
      <c r="L3981">
        <v>3.2</v>
      </c>
      <c r="M3981">
        <v>196000</v>
      </c>
      <c r="N3981">
        <v>4.5</v>
      </c>
      <c r="O3981">
        <v>31</v>
      </c>
      <c r="P3981" t="s">
        <v>26</v>
      </c>
    </row>
    <row r="3982" spans="1:16" x14ac:dyDescent="0.25">
      <c r="A3982" t="s">
        <v>8343</v>
      </c>
      <c r="B3982" t="s">
        <v>725</v>
      </c>
      <c r="C3982" t="s">
        <v>29</v>
      </c>
      <c r="D3982" t="s">
        <v>19</v>
      </c>
      <c r="E3982" t="s">
        <v>20</v>
      </c>
      <c r="F3982" t="s">
        <v>39</v>
      </c>
      <c r="G3982" t="s">
        <v>33</v>
      </c>
      <c r="H3982" t="s">
        <v>23</v>
      </c>
      <c r="I3982" t="s">
        <v>57</v>
      </c>
      <c r="J3982" t="s">
        <v>3036</v>
      </c>
      <c r="K3982" t="s">
        <v>4740</v>
      </c>
      <c r="L3982">
        <v>5.0999999999999996</v>
      </c>
      <c r="M3982">
        <v>135000</v>
      </c>
      <c r="N3982">
        <v>4.0999999999999996</v>
      </c>
      <c r="O3982">
        <v>2</v>
      </c>
      <c r="P3982" t="s">
        <v>72</v>
      </c>
    </row>
    <row r="3983" spans="1:16" x14ac:dyDescent="0.25">
      <c r="A3983" t="s">
        <v>8344</v>
      </c>
      <c r="B3983" t="s">
        <v>2712</v>
      </c>
      <c r="D3983" t="s">
        <v>19</v>
      </c>
      <c r="E3983" t="s">
        <v>20</v>
      </c>
      <c r="F3983" t="s">
        <v>128</v>
      </c>
      <c r="G3983" t="s">
        <v>33</v>
      </c>
      <c r="H3983" t="s">
        <v>34</v>
      </c>
      <c r="I3983" t="s">
        <v>75</v>
      </c>
      <c r="J3983" t="s">
        <v>6098</v>
      </c>
      <c r="L3983">
        <v>2.5</v>
      </c>
      <c r="M3983">
        <v>639000</v>
      </c>
      <c r="N3983">
        <v>4.4000000000000004</v>
      </c>
      <c r="O3983">
        <v>8</v>
      </c>
      <c r="P3983" t="s">
        <v>26</v>
      </c>
    </row>
    <row r="3984" spans="1:16" x14ac:dyDescent="0.25">
      <c r="A3984" t="s">
        <v>8345</v>
      </c>
      <c r="B3984" t="s">
        <v>1490</v>
      </c>
      <c r="C3984" t="s">
        <v>29</v>
      </c>
      <c r="D3984" t="s">
        <v>43</v>
      </c>
      <c r="E3984" t="s">
        <v>20</v>
      </c>
      <c r="F3984" t="s">
        <v>32</v>
      </c>
      <c r="G3984" t="s">
        <v>22</v>
      </c>
      <c r="H3984" t="s">
        <v>23</v>
      </c>
      <c r="I3984" t="s">
        <v>35</v>
      </c>
      <c r="J3984" t="s">
        <v>4249</v>
      </c>
      <c r="K3984" t="s">
        <v>575</v>
      </c>
      <c r="L3984">
        <v>5.9</v>
      </c>
      <c r="M3984">
        <v>225000</v>
      </c>
      <c r="N3984">
        <v>3.3</v>
      </c>
      <c r="O3984">
        <v>3</v>
      </c>
      <c r="P3984" t="s">
        <v>72</v>
      </c>
    </row>
    <row r="3985" spans="1:16" x14ac:dyDescent="0.25">
      <c r="A3985" t="s">
        <v>8346</v>
      </c>
      <c r="B3985" t="s">
        <v>8347</v>
      </c>
      <c r="C3985" t="s">
        <v>18</v>
      </c>
      <c r="D3985" t="s">
        <v>30</v>
      </c>
      <c r="E3985" t="s">
        <v>31</v>
      </c>
      <c r="G3985" t="s">
        <v>80</v>
      </c>
      <c r="H3985" t="s">
        <v>34</v>
      </c>
      <c r="I3985" t="s">
        <v>24</v>
      </c>
      <c r="J3985" t="s">
        <v>7352</v>
      </c>
      <c r="K3985" t="s">
        <v>1164</v>
      </c>
      <c r="L3985">
        <v>2.6</v>
      </c>
      <c r="M3985">
        <v>202000</v>
      </c>
      <c r="N3985">
        <v>3.1</v>
      </c>
      <c r="O3985">
        <v>7</v>
      </c>
      <c r="P3985" t="s">
        <v>53</v>
      </c>
    </row>
    <row r="3986" spans="1:16" x14ac:dyDescent="0.25">
      <c r="A3986" t="s">
        <v>8348</v>
      </c>
      <c r="B3986" t="s">
        <v>7905</v>
      </c>
      <c r="C3986" t="s">
        <v>29</v>
      </c>
      <c r="D3986" t="s">
        <v>50</v>
      </c>
      <c r="E3986" t="s">
        <v>20</v>
      </c>
      <c r="F3986" t="s">
        <v>32</v>
      </c>
      <c r="G3986" t="s">
        <v>22</v>
      </c>
      <c r="H3986" t="s">
        <v>46</v>
      </c>
      <c r="I3986" t="s">
        <v>171</v>
      </c>
      <c r="J3986" t="s">
        <v>148</v>
      </c>
      <c r="L3986">
        <v>5.5</v>
      </c>
      <c r="M3986">
        <v>272000</v>
      </c>
      <c r="N3986">
        <v>3.4</v>
      </c>
      <c r="O3986">
        <v>12</v>
      </c>
      <c r="P3986" t="s">
        <v>26</v>
      </c>
    </row>
    <row r="3987" spans="1:16" x14ac:dyDescent="0.25">
      <c r="A3987" t="s">
        <v>8349</v>
      </c>
      <c r="B3987" t="s">
        <v>4394</v>
      </c>
      <c r="C3987" t="s">
        <v>18</v>
      </c>
      <c r="D3987" t="s">
        <v>19</v>
      </c>
      <c r="E3987" t="s">
        <v>31</v>
      </c>
      <c r="F3987" t="s">
        <v>32</v>
      </c>
      <c r="G3987" t="s">
        <v>22</v>
      </c>
      <c r="H3987" t="s">
        <v>23</v>
      </c>
      <c r="I3987" t="s">
        <v>35</v>
      </c>
      <c r="J3987" t="s">
        <v>5483</v>
      </c>
      <c r="K3987" t="s">
        <v>4812</v>
      </c>
      <c r="L3987">
        <v>2</v>
      </c>
      <c r="M3987">
        <v>385000</v>
      </c>
      <c r="N3987">
        <v>4.3</v>
      </c>
      <c r="O3987">
        <v>12</v>
      </c>
      <c r="P3987" t="s">
        <v>72</v>
      </c>
    </row>
    <row r="3988" spans="1:16" x14ac:dyDescent="0.25">
      <c r="A3988" t="s">
        <v>8350</v>
      </c>
      <c r="B3988" t="s">
        <v>829</v>
      </c>
      <c r="C3988" t="s">
        <v>29</v>
      </c>
      <c r="D3988" t="s">
        <v>43</v>
      </c>
      <c r="E3988" t="s">
        <v>20</v>
      </c>
      <c r="F3988" t="s">
        <v>128</v>
      </c>
      <c r="G3988" t="s">
        <v>33</v>
      </c>
      <c r="H3988" t="s">
        <v>46</v>
      </c>
      <c r="I3988" t="s">
        <v>24</v>
      </c>
      <c r="J3988" t="s">
        <v>1025</v>
      </c>
      <c r="L3988">
        <v>4.5</v>
      </c>
      <c r="M3988">
        <v>400000</v>
      </c>
      <c r="N3988">
        <v>3.8</v>
      </c>
      <c r="O3988">
        <v>12</v>
      </c>
      <c r="P3988" t="s">
        <v>26</v>
      </c>
    </row>
    <row r="3989" spans="1:16" x14ac:dyDescent="0.25">
      <c r="A3989" t="s">
        <v>8351</v>
      </c>
      <c r="B3989" t="s">
        <v>2936</v>
      </c>
      <c r="C3989" t="s">
        <v>29</v>
      </c>
      <c r="D3989" t="s">
        <v>30</v>
      </c>
      <c r="E3989" t="s">
        <v>20</v>
      </c>
      <c r="F3989" t="s">
        <v>39</v>
      </c>
      <c r="G3989" t="s">
        <v>80</v>
      </c>
      <c r="H3989" t="s">
        <v>46</v>
      </c>
      <c r="I3989" t="s">
        <v>24</v>
      </c>
      <c r="J3989" t="s">
        <v>5134</v>
      </c>
      <c r="K3989" t="s">
        <v>5441</v>
      </c>
      <c r="L3989">
        <v>2.9</v>
      </c>
      <c r="M3989">
        <v>128000</v>
      </c>
      <c r="N3989">
        <v>3.1</v>
      </c>
      <c r="O3989">
        <v>9</v>
      </c>
      <c r="P3989" t="s">
        <v>53</v>
      </c>
    </row>
    <row r="3990" spans="1:16" x14ac:dyDescent="0.25">
      <c r="A3990" t="s">
        <v>8352</v>
      </c>
      <c r="B3990" t="s">
        <v>8353</v>
      </c>
      <c r="C3990" t="s">
        <v>18</v>
      </c>
      <c r="E3990" t="s">
        <v>20</v>
      </c>
      <c r="F3990" t="s">
        <v>21</v>
      </c>
      <c r="G3990" t="s">
        <v>80</v>
      </c>
      <c r="H3990" t="s">
        <v>62</v>
      </c>
      <c r="I3990" t="s">
        <v>24</v>
      </c>
      <c r="J3990" t="s">
        <v>2766</v>
      </c>
      <c r="L3990">
        <v>4.5999999999999996</v>
      </c>
      <c r="M3990">
        <v>639000</v>
      </c>
      <c r="N3990">
        <v>3.3</v>
      </c>
      <c r="O3990">
        <v>8</v>
      </c>
      <c r="P3990" t="s">
        <v>26</v>
      </c>
    </row>
    <row r="3991" spans="1:16" x14ac:dyDescent="0.25">
      <c r="A3991" t="s">
        <v>8354</v>
      </c>
      <c r="B3991" t="s">
        <v>2188</v>
      </c>
      <c r="C3991" t="s">
        <v>29</v>
      </c>
      <c r="D3991" t="s">
        <v>50</v>
      </c>
      <c r="E3991" t="s">
        <v>20</v>
      </c>
      <c r="F3991" t="s">
        <v>39</v>
      </c>
      <c r="G3991" t="s">
        <v>80</v>
      </c>
      <c r="H3991" t="s">
        <v>34</v>
      </c>
      <c r="I3991" t="s">
        <v>57</v>
      </c>
      <c r="J3991" t="s">
        <v>1353</v>
      </c>
      <c r="L3991">
        <v>4</v>
      </c>
      <c r="M3991">
        <v>148000</v>
      </c>
      <c r="N3991">
        <v>2.2000000000000002</v>
      </c>
      <c r="O3991">
        <v>0</v>
      </c>
      <c r="P3991" t="s">
        <v>26</v>
      </c>
    </row>
    <row r="3992" spans="1:16" x14ac:dyDescent="0.25">
      <c r="A3992" t="s">
        <v>8355</v>
      </c>
      <c r="B3992" t="s">
        <v>574</v>
      </c>
      <c r="C3992" t="s">
        <v>29</v>
      </c>
      <c r="D3992" t="s">
        <v>79</v>
      </c>
      <c r="E3992" t="s">
        <v>20</v>
      </c>
      <c r="F3992" t="s">
        <v>21</v>
      </c>
      <c r="G3992" t="s">
        <v>80</v>
      </c>
      <c r="H3992" t="s">
        <v>34</v>
      </c>
      <c r="I3992" t="s">
        <v>75</v>
      </c>
      <c r="J3992" t="s">
        <v>981</v>
      </c>
      <c r="L3992">
        <v>4.5</v>
      </c>
      <c r="M3992">
        <v>752000</v>
      </c>
      <c r="N3992">
        <v>3.7</v>
      </c>
      <c r="O3992">
        <v>7</v>
      </c>
      <c r="P3992" t="s">
        <v>26</v>
      </c>
    </row>
    <row r="3993" spans="1:16" x14ac:dyDescent="0.25">
      <c r="A3993" t="s">
        <v>8356</v>
      </c>
      <c r="B3993" t="s">
        <v>8357</v>
      </c>
      <c r="C3993" t="s">
        <v>18</v>
      </c>
      <c r="D3993" t="s">
        <v>79</v>
      </c>
      <c r="E3993" t="s">
        <v>20</v>
      </c>
      <c r="F3993" t="s">
        <v>128</v>
      </c>
      <c r="G3993" t="s">
        <v>80</v>
      </c>
      <c r="H3993" t="s">
        <v>23</v>
      </c>
      <c r="I3993" t="s">
        <v>75</v>
      </c>
      <c r="J3993" t="s">
        <v>4324</v>
      </c>
      <c r="L3993">
        <v>2.7</v>
      </c>
      <c r="M3993">
        <v>556000</v>
      </c>
      <c r="N3993">
        <v>2.6</v>
      </c>
      <c r="O3993">
        <v>9</v>
      </c>
      <c r="P3993" t="s">
        <v>26</v>
      </c>
    </row>
    <row r="3994" spans="1:16" x14ac:dyDescent="0.25">
      <c r="A3994" t="s">
        <v>8358</v>
      </c>
      <c r="B3994" t="s">
        <v>2383</v>
      </c>
      <c r="C3994" t="s">
        <v>29</v>
      </c>
      <c r="D3994" t="s">
        <v>19</v>
      </c>
      <c r="E3994" t="s">
        <v>20</v>
      </c>
      <c r="G3994" t="s">
        <v>22</v>
      </c>
      <c r="H3994" t="s">
        <v>46</v>
      </c>
      <c r="I3994" t="s">
        <v>24</v>
      </c>
      <c r="J3994" t="s">
        <v>2335</v>
      </c>
      <c r="L3994">
        <v>3</v>
      </c>
      <c r="M3994">
        <v>397000</v>
      </c>
      <c r="N3994">
        <v>3.4</v>
      </c>
      <c r="O3994">
        <v>2</v>
      </c>
      <c r="P3994" t="s">
        <v>26</v>
      </c>
    </row>
    <row r="3995" spans="1:16" x14ac:dyDescent="0.25">
      <c r="A3995" t="s">
        <v>8359</v>
      </c>
      <c r="B3995" t="s">
        <v>8360</v>
      </c>
      <c r="C3995" t="s">
        <v>18</v>
      </c>
      <c r="D3995" t="s">
        <v>50</v>
      </c>
      <c r="E3995" t="s">
        <v>20</v>
      </c>
      <c r="F3995" t="s">
        <v>39</v>
      </c>
      <c r="G3995" t="s">
        <v>33</v>
      </c>
      <c r="H3995" t="s">
        <v>34</v>
      </c>
      <c r="J3995" t="s">
        <v>2822</v>
      </c>
      <c r="L3995">
        <v>3</v>
      </c>
      <c r="M3995">
        <v>111000</v>
      </c>
      <c r="N3995">
        <v>4.2</v>
      </c>
      <c r="O3995">
        <v>13</v>
      </c>
      <c r="P3995" t="s">
        <v>26</v>
      </c>
    </row>
    <row r="3996" spans="1:16" x14ac:dyDescent="0.25">
      <c r="A3996" t="s">
        <v>8361</v>
      </c>
      <c r="B3996" t="s">
        <v>8362</v>
      </c>
      <c r="C3996" t="s">
        <v>29</v>
      </c>
      <c r="D3996" t="s">
        <v>50</v>
      </c>
      <c r="E3996" t="s">
        <v>20</v>
      </c>
      <c r="F3996" t="s">
        <v>39</v>
      </c>
      <c r="G3996" t="s">
        <v>22</v>
      </c>
      <c r="H3996" t="s">
        <v>62</v>
      </c>
      <c r="I3996" t="s">
        <v>57</v>
      </c>
      <c r="J3996" t="s">
        <v>94</v>
      </c>
      <c r="L3996">
        <v>3.7</v>
      </c>
      <c r="N3996">
        <v>4.7</v>
      </c>
      <c r="O3996">
        <v>21</v>
      </c>
      <c r="P3996" t="s">
        <v>26</v>
      </c>
    </row>
    <row r="3997" spans="1:16" x14ac:dyDescent="0.25">
      <c r="A3997" t="s">
        <v>8363</v>
      </c>
      <c r="B3997" t="s">
        <v>8364</v>
      </c>
      <c r="C3997" t="s">
        <v>29</v>
      </c>
      <c r="D3997" t="s">
        <v>50</v>
      </c>
      <c r="E3997" t="s">
        <v>20</v>
      </c>
      <c r="G3997" t="s">
        <v>69</v>
      </c>
      <c r="H3997" t="s">
        <v>46</v>
      </c>
      <c r="I3997" t="s">
        <v>24</v>
      </c>
      <c r="J3997" t="s">
        <v>1439</v>
      </c>
      <c r="K3997" t="s">
        <v>5997</v>
      </c>
      <c r="L3997">
        <v>1.8</v>
      </c>
      <c r="M3997">
        <v>153000</v>
      </c>
      <c r="N3997">
        <v>4.8</v>
      </c>
      <c r="O3997">
        <v>3</v>
      </c>
      <c r="P3997" t="s">
        <v>53</v>
      </c>
    </row>
    <row r="3998" spans="1:16" x14ac:dyDescent="0.25">
      <c r="A3998" t="s">
        <v>8365</v>
      </c>
      <c r="B3998" t="s">
        <v>8366</v>
      </c>
      <c r="C3998" t="s">
        <v>29</v>
      </c>
      <c r="D3998" t="s">
        <v>50</v>
      </c>
      <c r="E3998" t="s">
        <v>20</v>
      </c>
      <c r="F3998" t="s">
        <v>39</v>
      </c>
      <c r="G3998" t="s">
        <v>80</v>
      </c>
      <c r="I3998" t="s">
        <v>57</v>
      </c>
      <c r="J3998" t="s">
        <v>2185</v>
      </c>
      <c r="K3998" t="s">
        <v>493</v>
      </c>
      <c r="L3998">
        <v>4.5999999999999996</v>
      </c>
      <c r="M3998">
        <v>158000</v>
      </c>
      <c r="N3998">
        <v>3.1</v>
      </c>
      <c r="O3998">
        <v>4</v>
      </c>
      <c r="P3998" t="s">
        <v>114</v>
      </c>
    </row>
    <row r="3999" spans="1:16" x14ac:dyDescent="0.25">
      <c r="A3999" t="s">
        <v>8367</v>
      </c>
      <c r="B3999" t="s">
        <v>8094</v>
      </c>
      <c r="C3999" t="s">
        <v>18</v>
      </c>
      <c r="D3999" t="s">
        <v>50</v>
      </c>
      <c r="E3999" t="s">
        <v>44</v>
      </c>
      <c r="F3999" t="s">
        <v>39</v>
      </c>
      <c r="G3999" t="s">
        <v>80</v>
      </c>
      <c r="H3999" t="s">
        <v>34</v>
      </c>
      <c r="I3999" t="s">
        <v>35</v>
      </c>
      <c r="J3999" t="s">
        <v>1112</v>
      </c>
      <c r="L3999">
        <v>2.4</v>
      </c>
      <c r="M3999">
        <v>159000</v>
      </c>
      <c r="N3999">
        <v>2.2999999999999998</v>
      </c>
      <c r="O3999">
        <v>2</v>
      </c>
      <c r="P3999" t="s">
        <v>26</v>
      </c>
    </row>
    <row r="4000" spans="1:16" x14ac:dyDescent="0.25">
      <c r="A4000" t="s">
        <v>8368</v>
      </c>
      <c r="B4000" t="s">
        <v>2976</v>
      </c>
      <c r="C4000" t="s">
        <v>18</v>
      </c>
      <c r="D4000" t="s">
        <v>30</v>
      </c>
      <c r="E4000" t="s">
        <v>44</v>
      </c>
      <c r="F4000" t="s">
        <v>128</v>
      </c>
      <c r="G4000" t="s">
        <v>80</v>
      </c>
      <c r="H4000" t="s">
        <v>23</v>
      </c>
      <c r="I4000" t="s">
        <v>24</v>
      </c>
      <c r="J4000" t="s">
        <v>1759</v>
      </c>
      <c r="K4000" t="s">
        <v>327</v>
      </c>
      <c r="L4000">
        <v>5.9</v>
      </c>
      <c r="M4000">
        <v>507000</v>
      </c>
      <c r="N4000">
        <v>4.4000000000000004</v>
      </c>
      <c r="O4000">
        <v>5</v>
      </c>
      <c r="P4000" t="s">
        <v>53</v>
      </c>
    </row>
    <row r="4001" spans="1:16" x14ac:dyDescent="0.25">
      <c r="A4001" t="s">
        <v>8369</v>
      </c>
      <c r="B4001" t="s">
        <v>8370</v>
      </c>
      <c r="C4001" t="s">
        <v>18</v>
      </c>
      <c r="D4001" t="s">
        <v>30</v>
      </c>
      <c r="E4001" t="s">
        <v>20</v>
      </c>
      <c r="F4001" t="s">
        <v>32</v>
      </c>
      <c r="G4001" t="s">
        <v>33</v>
      </c>
      <c r="H4001" t="s">
        <v>46</v>
      </c>
      <c r="I4001" t="s">
        <v>24</v>
      </c>
      <c r="J4001" t="s">
        <v>6929</v>
      </c>
      <c r="K4001" t="s">
        <v>8371</v>
      </c>
      <c r="L4001">
        <v>3.3</v>
      </c>
      <c r="M4001">
        <v>278000</v>
      </c>
      <c r="N4001">
        <v>3.9</v>
      </c>
      <c r="O4001">
        <v>9</v>
      </c>
      <c r="P4001" t="s">
        <v>53</v>
      </c>
    </row>
    <row r="4002" spans="1:16" x14ac:dyDescent="0.25">
      <c r="A4002" t="s">
        <v>8372</v>
      </c>
      <c r="B4002" t="s">
        <v>8373</v>
      </c>
      <c r="C4002" t="s">
        <v>29</v>
      </c>
      <c r="D4002" t="s">
        <v>43</v>
      </c>
      <c r="E4002" t="s">
        <v>44</v>
      </c>
      <c r="G4002" t="s">
        <v>22</v>
      </c>
      <c r="H4002" t="s">
        <v>46</v>
      </c>
      <c r="I4002" t="s">
        <v>57</v>
      </c>
      <c r="J4002" t="s">
        <v>4752</v>
      </c>
      <c r="L4002">
        <v>5.9</v>
      </c>
      <c r="M4002">
        <v>195000</v>
      </c>
      <c r="N4002">
        <v>2.7</v>
      </c>
      <c r="O4002">
        <v>12</v>
      </c>
      <c r="P4002" t="s">
        <v>26</v>
      </c>
    </row>
    <row r="4003" spans="1:16" x14ac:dyDescent="0.25">
      <c r="A4003" t="s">
        <v>8374</v>
      </c>
      <c r="B4003" t="s">
        <v>8375</v>
      </c>
      <c r="C4003" t="s">
        <v>29</v>
      </c>
      <c r="D4003" t="s">
        <v>43</v>
      </c>
      <c r="E4003" t="s">
        <v>20</v>
      </c>
      <c r="F4003" t="s">
        <v>128</v>
      </c>
      <c r="G4003" t="s">
        <v>22</v>
      </c>
      <c r="H4003" t="s">
        <v>46</v>
      </c>
      <c r="I4003" t="s">
        <v>171</v>
      </c>
      <c r="J4003" t="s">
        <v>6399</v>
      </c>
      <c r="L4003">
        <v>2.4</v>
      </c>
      <c r="M4003">
        <v>350000</v>
      </c>
      <c r="N4003">
        <v>4.2</v>
      </c>
      <c r="O4003">
        <v>9</v>
      </c>
      <c r="P4003" t="s">
        <v>26</v>
      </c>
    </row>
    <row r="4004" spans="1:16" x14ac:dyDescent="0.25">
      <c r="A4004" t="s">
        <v>8376</v>
      </c>
      <c r="B4004" t="s">
        <v>4674</v>
      </c>
      <c r="C4004" t="s">
        <v>18</v>
      </c>
      <c r="D4004" t="s">
        <v>79</v>
      </c>
      <c r="E4004" t="s">
        <v>44</v>
      </c>
      <c r="F4004" t="s">
        <v>32</v>
      </c>
      <c r="G4004" t="s">
        <v>33</v>
      </c>
      <c r="H4004" t="s">
        <v>46</v>
      </c>
      <c r="I4004" t="s">
        <v>35</v>
      </c>
      <c r="J4004" t="s">
        <v>6655</v>
      </c>
      <c r="K4004" t="s">
        <v>5937</v>
      </c>
      <c r="L4004">
        <v>4.7</v>
      </c>
      <c r="M4004">
        <v>312000</v>
      </c>
      <c r="N4004">
        <v>4.5</v>
      </c>
      <c r="O4004">
        <v>13</v>
      </c>
      <c r="P4004" t="s">
        <v>53</v>
      </c>
    </row>
    <row r="4005" spans="1:16" x14ac:dyDescent="0.25">
      <c r="A4005" t="s">
        <v>8377</v>
      </c>
      <c r="B4005" t="s">
        <v>2148</v>
      </c>
      <c r="C4005" t="s">
        <v>18</v>
      </c>
      <c r="D4005" t="s">
        <v>19</v>
      </c>
      <c r="E4005" t="s">
        <v>20</v>
      </c>
      <c r="F4005" t="s">
        <v>32</v>
      </c>
      <c r="G4005" t="s">
        <v>69</v>
      </c>
      <c r="H4005" t="s">
        <v>46</v>
      </c>
      <c r="I4005" t="s">
        <v>24</v>
      </c>
      <c r="J4005" t="s">
        <v>628</v>
      </c>
      <c r="L4005">
        <v>2.1</v>
      </c>
      <c r="M4005">
        <v>293000</v>
      </c>
      <c r="N4005">
        <v>4.5999999999999996</v>
      </c>
      <c r="O4005">
        <v>3</v>
      </c>
      <c r="P4005" t="s">
        <v>26</v>
      </c>
    </row>
    <row r="4006" spans="1:16" x14ac:dyDescent="0.25">
      <c r="A4006" t="s">
        <v>8378</v>
      </c>
      <c r="B4006" t="s">
        <v>8379</v>
      </c>
      <c r="C4006" t="s">
        <v>18</v>
      </c>
      <c r="D4006" t="s">
        <v>19</v>
      </c>
      <c r="E4006" t="s">
        <v>31</v>
      </c>
      <c r="F4006" t="s">
        <v>32</v>
      </c>
      <c r="G4006" t="s">
        <v>80</v>
      </c>
      <c r="H4006" t="s">
        <v>46</v>
      </c>
      <c r="I4006" t="s">
        <v>24</v>
      </c>
      <c r="J4006" t="s">
        <v>1106</v>
      </c>
      <c r="L4006">
        <v>4.2</v>
      </c>
      <c r="M4006">
        <v>232000</v>
      </c>
      <c r="N4006">
        <v>3.6</v>
      </c>
      <c r="O4006">
        <v>8</v>
      </c>
      <c r="P4006" t="s">
        <v>26</v>
      </c>
    </row>
    <row r="4007" spans="1:16" x14ac:dyDescent="0.25">
      <c r="A4007" t="s">
        <v>8380</v>
      </c>
      <c r="B4007" t="s">
        <v>8381</v>
      </c>
      <c r="C4007" t="s">
        <v>29</v>
      </c>
      <c r="D4007" t="s">
        <v>19</v>
      </c>
      <c r="E4007" t="s">
        <v>20</v>
      </c>
      <c r="F4007" t="s">
        <v>39</v>
      </c>
      <c r="G4007" t="s">
        <v>33</v>
      </c>
      <c r="H4007" t="s">
        <v>34</v>
      </c>
      <c r="I4007" t="s">
        <v>24</v>
      </c>
      <c r="J4007" t="s">
        <v>3785</v>
      </c>
      <c r="L4007">
        <v>5.4</v>
      </c>
      <c r="M4007">
        <v>198000</v>
      </c>
      <c r="P4007" t="s">
        <v>26</v>
      </c>
    </row>
    <row r="4008" spans="1:16" x14ac:dyDescent="0.25">
      <c r="A4008" t="s">
        <v>8382</v>
      </c>
      <c r="B4008" t="s">
        <v>802</v>
      </c>
      <c r="D4008" t="s">
        <v>50</v>
      </c>
      <c r="E4008" t="s">
        <v>20</v>
      </c>
      <c r="F4008" t="s">
        <v>21</v>
      </c>
      <c r="G4008" t="s">
        <v>80</v>
      </c>
      <c r="H4008" t="s">
        <v>34</v>
      </c>
      <c r="I4008" t="s">
        <v>24</v>
      </c>
      <c r="J4008" t="s">
        <v>6582</v>
      </c>
      <c r="L4008">
        <v>3.9</v>
      </c>
      <c r="M4008">
        <v>725000</v>
      </c>
      <c r="N4008">
        <v>4.5</v>
      </c>
      <c r="O4008">
        <v>8</v>
      </c>
      <c r="P4008" t="s">
        <v>26</v>
      </c>
    </row>
    <row r="4009" spans="1:16" x14ac:dyDescent="0.25">
      <c r="A4009" t="s">
        <v>8383</v>
      </c>
      <c r="B4009" t="s">
        <v>4197</v>
      </c>
      <c r="C4009" t="s">
        <v>29</v>
      </c>
      <c r="D4009" t="s">
        <v>50</v>
      </c>
      <c r="E4009" t="s">
        <v>20</v>
      </c>
      <c r="F4009" t="s">
        <v>128</v>
      </c>
      <c r="G4009" t="s">
        <v>80</v>
      </c>
      <c r="H4009" t="s">
        <v>23</v>
      </c>
      <c r="I4009" t="s">
        <v>57</v>
      </c>
      <c r="J4009" t="s">
        <v>748</v>
      </c>
      <c r="K4009" t="s">
        <v>8384</v>
      </c>
      <c r="L4009">
        <v>4.5999999999999996</v>
      </c>
      <c r="M4009">
        <v>502000</v>
      </c>
      <c r="N4009">
        <v>2.1</v>
      </c>
      <c r="O4009">
        <v>12</v>
      </c>
      <c r="P4009" t="s">
        <v>72</v>
      </c>
    </row>
    <row r="4010" spans="1:16" x14ac:dyDescent="0.25">
      <c r="A4010" t="s">
        <v>8385</v>
      </c>
      <c r="B4010" t="s">
        <v>7601</v>
      </c>
      <c r="C4010" t="s">
        <v>18</v>
      </c>
      <c r="D4010" t="s">
        <v>30</v>
      </c>
      <c r="E4010" t="s">
        <v>20</v>
      </c>
      <c r="F4010" t="s">
        <v>32</v>
      </c>
      <c r="G4010" t="s">
        <v>22</v>
      </c>
      <c r="H4010" t="s">
        <v>23</v>
      </c>
      <c r="I4010" t="s">
        <v>24</v>
      </c>
      <c r="J4010" t="s">
        <v>5621</v>
      </c>
      <c r="L4010">
        <v>5.2</v>
      </c>
      <c r="M4010">
        <v>288000</v>
      </c>
      <c r="N4010">
        <v>2.4</v>
      </c>
      <c r="O4010">
        <v>10</v>
      </c>
      <c r="P4010" t="s">
        <v>26</v>
      </c>
    </row>
    <row r="4011" spans="1:16" x14ac:dyDescent="0.25">
      <c r="A4011" t="s">
        <v>7816</v>
      </c>
      <c r="B4011" t="s">
        <v>374</v>
      </c>
      <c r="C4011" t="s">
        <v>29</v>
      </c>
      <c r="D4011" t="s">
        <v>50</v>
      </c>
      <c r="E4011" t="s">
        <v>44</v>
      </c>
      <c r="F4011" t="s">
        <v>39</v>
      </c>
      <c r="G4011" t="s">
        <v>80</v>
      </c>
      <c r="H4011" t="s">
        <v>23</v>
      </c>
      <c r="I4011" t="s">
        <v>24</v>
      </c>
      <c r="J4011" t="s">
        <v>4772</v>
      </c>
      <c r="K4011" t="s">
        <v>824</v>
      </c>
      <c r="L4011">
        <v>3.7</v>
      </c>
      <c r="M4011">
        <v>95000</v>
      </c>
      <c r="N4011">
        <v>4.7</v>
      </c>
      <c r="O4011">
        <v>2</v>
      </c>
      <c r="P4011" t="s">
        <v>53</v>
      </c>
    </row>
    <row r="4012" spans="1:16" x14ac:dyDescent="0.25">
      <c r="A4012" t="s">
        <v>8386</v>
      </c>
      <c r="B4012" t="s">
        <v>174</v>
      </c>
      <c r="C4012" t="s">
        <v>18</v>
      </c>
      <c r="D4012" t="s">
        <v>30</v>
      </c>
      <c r="E4012" t="s">
        <v>20</v>
      </c>
      <c r="F4012" t="s">
        <v>32</v>
      </c>
      <c r="G4012" t="s">
        <v>33</v>
      </c>
      <c r="H4012" t="s">
        <v>46</v>
      </c>
      <c r="I4012" t="s">
        <v>35</v>
      </c>
      <c r="J4012" t="s">
        <v>1606</v>
      </c>
      <c r="L4012">
        <v>1.4</v>
      </c>
      <c r="M4012">
        <v>214000</v>
      </c>
      <c r="N4012">
        <v>1.6</v>
      </c>
      <c r="O4012">
        <v>6</v>
      </c>
      <c r="P4012" t="s">
        <v>26</v>
      </c>
    </row>
    <row r="4013" spans="1:16" x14ac:dyDescent="0.25">
      <c r="A4013" t="s">
        <v>8387</v>
      </c>
      <c r="B4013" t="s">
        <v>4110</v>
      </c>
      <c r="C4013" t="s">
        <v>18</v>
      </c>
      <c r="D4013" t="s">
        <v>50</v>
      </c>
      <c r="E4013" t="s">
        <v>20</v>
      </c>
      <c r="F4013" t="s">
        <v>128</v>
      </c>
      <c r="G4013" t="s">
        <v>22</v>
      </c>
      <c r="I4013" t="s">
        <v>35</v>
      </c>
      <c r="J4013" t="s">
        <v>630</v>
      </c>
      <c r="K4013" t="s">
        <v>8388</v>
      </c>
      <c r="L4013">
        <v>4.7</v>
      </c>
      <c r="M4013">
        <v>510000</v>
      </c>
      <c r="N4013">
        <v>2.6</v>
      </c>
      <c r="O4013">
        <v>20</v>
      </c>
      <c r="P4013" t="s">
        <v>72</v>
      </c>
    </row>
    <row r="4014" spans="1:16" x14ac:dyDescent="0.25">
      <c r="A4014" t="s">
        <v>8389</v>
      </c>
      <c r="B4014" t="s">
        <v>6010</v>
      </c>
      <c r="C4014" t="s">
        <v>29</v>
      </c>
      <c r="D4014" t="s">
        <v>50</v>
      </c>
      <c r="E4014" t="s">
        <v>20</v>
      </c>
      <c r="F4014" t="s">
        <v>39</v>
      </c>
      <c r="G4014" t="s">
        <v>22</v>
      </c>
      <c r="H4014" t="s">
        <v>34</v>
      </c>
      <c r="I4014" t="s">
        <v>75</v>
      </c>
      <c r="J4014" t="s">
        <v>8024</v>
      </c>
      <c r="L4014">
        <v>6.1</v>
      </c>
      <c r="M4014">
        <v>144000</v>
      </c>
      <c r="N4014">
        <v>2.5</v>
      </c>
      <c r="O4014">
        <v>5</v>
      </c>
      <c r="P4014" t="s">
        <v>26</v>
      </c>
    </row>
    <row r="4015" spans="1:16" x14ac:dyDescent="0.25">
      <c r="A4015" t="s">
        <v>8390</v>
      </c>
      <c r="B4015" t="s">
        <v>2815</v>
      </c>
      <c r="C4015" t="s">
        <v>29</v>
      </c>
      <c r="D4015" t="s">
        <v>19</v>
      </c>
      <c r="E4015" t="s">
        <v>20</v>
      </c>
      <c r="F4015" t="s">
        <v>32</v>
      </c>
      <c r="G4015" t="s">
        <v>80</v>
      </c>
      <c r="H4015" t="s">
        <v>46</v>
      </c>
      <c r="I4015" t="s">
        <v>24</v>
      </c>
      <c r="J4015" t="s">
        <v>5908</v>
      </c>
      <c r="K4015" t="s">
        <v>2622</v>
      </c>
      <c r="L4015">
        <v>4.9000000000000004</v>
      </c>
      <c r="M4015">
        <v>256000</v>
      </c>
      <c r="N4015">
        <v>4.5999999999999996</v>
      </c>
      <c r="O4015">
        <v>0</v>
      </c>
      <c r="P4015" t="s">
        <v>53</v>
      </c>
    </row>
    <row r="4016" spans="1:16" x14ac:dyDescent="0.25">
      <c r="A4016" t="s">
        <v>8391</v>
      </c>
      <c r="B4016" t="s">
        <v>8392</v>
      </c>
      <c r="C4016" t="s">
        <v>29</v>
      </c>
      <c r="D4016" t="s">
        <v>30</v>
      </c>
      <c r="F4016" t="s">
        <v>39</v>
      </c>
      <c r="G4016" t="s">
        <v>22</v>
      </c>
      <c r="H4016" t="s">
        <v>34</v>
      </c>
      <c r="I4016" t="s">
        <v>57</v>
      </c>
      <c r="J4016" t="s">
        <v>2551</v>
      </c>
      <c r="K4016" t="s">
        <v>1098</v>
      </c>
      <c r="L4016">
        <v>4.5999999999999996</v>
      </c>
      <c r="M4016">
        <v>92000</v>
      </c>
      <c r="N4016">
        <v>2.2000000000000002</v>
      </c>
      <c r="O4016">
        <v>12</v>
      </c>
      <c r="P4016" t="s">
        <v>53</v>
      </c>
    </row>
    <row r="4017" spans="1:16" x14ac:dyDescent="0.25">
      <c r="A4017" t="s">
        <v>8393</v>
      </c>
      <c r="B4017" t="s">
        <v>8394</v>
      </c>
      <c r="C4017" t="s">
        <v>29</v>
      </c>
      <c r="D4017" t="s">
        <v>30</v>
      </c>
      <c r="E4017" t="s">
        <v>20</v>
      </c>
      <c r="F4017" t="s">
        <v>128</v>
      </c>
      <c r="G4017" t="s">
        <v>80</v>
      </c>
      <c r="H4017" t="s">
        <v>23</v>
      </c>
      <c r="I4017" t="s">
        <v>35</v>
      </c>
      <c r="J4017" t="s">
        <v>987</v>
      </c>
      <c r="L4017">
        <v>4.5999999999999996</v>
      </c>
      <c r="M4017">
        <v>421000</v>
      </c>
      <c r="N4017">
        <v>3.6</v>
      </c>
      <c r="O4017">
        <v>1</v>
      </c>
      <c r="P4017" t="s">
        <v>26</v>
      </c>
    </row>
    <row r="4018" spans="1:16" x14ac:dyDescent="0.25">
      <c r="A4018" t="s">
        <v>8395</v>
      </c>
      <c r="B4018" t="s">
        <v>8396</v>
      </c>
      <c r="C4018" t="s">
        <v>18</v>
      </c>
      <c r="D4018" t="s">
        <v>50</v>
      </c>
      <c r="F4018" t="s">
        <v>32</v>
      </c>
      <c r="G4018" t="s">
        <v>80</v>
      </c>
      <c r="H4018" t="s">
        <v>46</v>
      </c>
      <c r="I4018" t="s">
        <v>57</v>
      </c>
      <c r="J4018" t="s">
        <v>6360</v>
      </c>
      <c r="L4018">
        <v>2.2999999999999998</v>
      </c>
      <c r="M4018">
        <v>184000</v>
      </c>
      <c r="N4018">
        <v>2.5</v>
      </c>
      <c r="O4018">
        <v>7</v>
      </c>
      <c r="P4018" t="s">
        <v>26</v>
      </c>
    </row>
    <row r="4019" spans="1:16" x14ac:dyDescent="0.25">
      <c r="A4019" t="s">
        <v>430</v>
      </c>
      <c r="B4019" t="s">
        <v>431</v>
      </c>
      <c r="C4019" t="s">
        <v>29</v>
      </c>
      <c r="D4019" t="s">
        <v>19</v>
      </c>
      <c r="E4019" t="s">
        <v>20</v>
      </c>
      <c r="G4019" t="s">
        <v>80</v>
      </c>
      <c r="H4019" t="s">
        <v>34</v>
      </c>
      <c r="I4019" t="s">
        <v>35</v>
      </c>
      <c r="J4019" t="s">
        <v>432</v>
      </c>
      <c r="L4019">
        <v>5.9</v>
      </c>
      <c r="M4019">
        <v>118000</v>
      </c>
      <c r="N4019">
        <v>3.7</v>
      </c>
      <c r="O4019">
        <v>0</v>
      </c>
      <c r="P4019" t="s">
        <v>26</v>
      </c>
    </row>
    <row r="4020" spans="1:16" x14ac:dyDescent="0.25">
      <c r="A4020" t="s">
        <v>8397</v>
      </c>
      <c r="B4020" t="s">
        <v>6519</v>
      </c>
      <c r="C4020" t="s">
        <v>29</v>
      </c>
      <c r="D4020" t="s">
        <v>79</v>
      </c>
      <c r="E4020" t="s">
        <v>20</v>
      </c>
      <c r="F4020" t="s">
        <v>32</v>
      </c>
      <c r="G4020" t="s">
        <v>22</v>
      </c>
      <c r="H4020" t="s">
        <v>46</v>
      </c>
      <c r="I4020" t="s">
        <v>35</v>
      </c>
      <c r="J4020" t="s">
        <v>815</v>
      </c>
      <c r="K4020" t="s">
        <v>2999</v>
      </c>
      <c r="L4020">
        <v>1.5</v>
      </c>
      <c r="M4020">
        <v>275000</v>
      </c>
      <c r="N4020">
        <v>2.2999999999999998</v>
      </c>
      <c r="P4020" t="s">
        <v>53</v>
      </c>
    </row>
    <row r="4021" spans="1:16" x14ac:dyDescent="0.25">
      <c r="A4021" t="s">
        <v>8398</v>
      </c>
      <c r="B4021" t="s">
        <v>3984</v>
      </c>
      <c r="C4021" t="s">
        <v>18</v>
      </c>
      <c r="D4021" t="s">
        <v>50</v>
      </c>
      <c r="E4021" t="s">
        <v>31</v>
      </c>
      <c r="F4021" t="s">
        <v>39</v>
      </c>
      <c r="G4021" t="s">
        <v>80</v>
      </c>
      <c r="H4021" t="s">
        <v>46</v>
      </c>
      <c r="I4021" t="s">
        <v>35</v>
      </c>
      <c r="J4021" t="s">
        <v>1382</v>
      </c>
      <c r="L4021">
        <v>5.4</v>
      </c>
      <c r="M4021">
        <v>106000</v>
      </c>
      <c r="N4021">
        <v>4.5</v>
      </c>
      <c r="O4021">
        <v>3</v>
      </c>
      <c r="P4021" t="s">
        <v>26</v>
      </c>
    </row>
    <row r="4022" spans="1:16" x14ac:dyDescent="0.25">
      <c r="A4022" t="s">
        <v>8399</v>
      </c>
      <c r="B4022" t="s">
        <v>5076</v>
      </c>
      <c r="C4022" t="s">
        <v>18</v>
      </c>
      <c r="D4022" t="s">
        <v>79</v>
      </c>
      <c r="E4022" t="s">
        <v>31</v>
      </c>
      <c r="F4022" t="s">
        <v>128</v>
      </c>
      <c r="G4022" t="s">
        <v>22</v>
      </c>
      <c r="H4022" t="s">
        <v>23</v>
      </c>
      <c r="I4022" t="s">
        <v>24</v>
      </c>
      <c r="J4022" t="s">
        <v>2480</v>
      </c>
      <c r="L4022">
        <v>2.1</v>
      </c>
      <c r="N4022">
        <v>4.8</v>
      </c>
      <c r="O4022">
        <v>3</v>
      </c>
      <c r="P4022" t="s">
        <v>26</v>
      </c>
    </row>
    <row r="4023" spans="1:16" x14ac:dyDescent="0.25">
      <c r="A4023" t="s">
        <v>8400</v>
      </c>
      <c r="B4023" t="s">
        <v>8401</v>
      </c>
      <c r="C4023" t="s">
        <v>29</v>
      </c>
      <c r="D4023" t="s">
        <v>19</v>
      </c>
      <c r="E4023" t="s">
        <v>20</v>
      </c>
      <c r="F4023" t="s">
        <v>128</v>
      </c>
      <c r="G4023" t="s">
        <v>69</v>
      </c>
      <c r="H4023" t="s">
        <v>62</v>
      </c>
      <c r="I4023" t="s">
        <v>57</v>
      </c>
      <c r="J4023" t="s">
        <v>2458</v>
      </c>
      <c r="K4023" t="s">
        <v>3049</v>
      </c>
      <c r="L4023">
        <v>2.4</v>
      </c>
      <c r="M4023">
        <v>556000</v>
      </c>
      <c r="N4023">
        <v>4.7</v>
      </c>
      <c r="O4023">
        <v>13</v>
      </c>
      <c r="P4023" t="s">
        <v>53</v>
      </c>
    </row>
    <row r="4024" spans="1:16" x14ac:dyDescent="0.25">
      <c r="A4024" t="s">
        <v>6152</v>
      </c>
      <c r="B4024" t="s">
        <v>3187</v>
      </c>
      <c r="C4024" t="s">
        <v>29</v>
      </c>
      <c r="D4024" t="s">
        <v>79</v>
      </c>
      <c r="E4024" t="s">
        <v>20</v>
      </c>
      <c r="F4024" t="s">
        <v>128</v>
      </c>
      <c r="G4024" t="s">
        <v>22</v>
      </c>
      <c r="H4024" t="s">
        <v>46</v>
      </c>
      <c r="I4024" t="s">
        <v>24</v>
      </c>
      <c r="J4024" t="s">
        <v>3256</v>
      </c>
      <c r="K4024" t="s">
        <v>1285</v>
      </c>
      <c r="L4024">
        <v>2.6</v>
      </c>
      <c r="M4024">
        <v>547000</v>
      </c>
      <c r="N4024">
        <v>3.6</v>
      </c>
      <c r="O4024">
        <v>10</v>
      </c>
      <c r="P4024" t="s">
        <v>53</v>
      </c>
    </row>
    <row r="4025" spans="1:16" x14ac:dyDescent="0.25">
      <c r="A4025" t="s">
        <v>8402</v>
      </c>
      <c r="B4025" t="s">
        <v>3957</v>
      </c>
      <c r="C4025" t="s">
        <v>18</v>
      </c>
      <c r="D4025" t="s">
        <v>50</v>
      </c>
      <c r="E4025" t="s">
        <v>20</v>
      </c>
      <c r="F4025" t="s">
        <v>32</v>
      </c>
      <c r="G4025" t="s">
        <v>22</v>
      </c>
      <c r="H4025" t="s">
        <v>62</v>
      </c>
      <c r="I4025" t="s">
        <v>24</v>
      </c>
      <c r="J4025" t="s">
        <v>2023</v>
      </c>
      <c r="K4025" t="s">
        <v>3587</v>
      </c>
      <c r="L4025">
        <v>3.2</v>
      </c>
      <c r="M4025">
        <v>251000</v>
      </c>
      <c r="N4025">
        <v>4.2</v>
      </c>
      <c r="O4025">
        <v>14</v>
      </c>
      <c r="P4025" t="s">
        <v>53</v>
      </c>
    </row>
    <row r="4026" spans="1:16" x14ac:dyDescent="0.25">
      <c r="A4026" t="s">
        <v>8403</v>
      </c>
      <c r="B4026" t="s">
        <v>8404</v>
      </c>
      <c r="C4026" t="s">
        <v>29</v>
      </c>
      <c r="D4026" t="s">
        <v>30</v>
      </c>
      <c r="E4026" t="s">
        <v>20</v>
      </c>
      <c r="F4026" t="s">
        <v>32</v>
      </c>
      <c r="G4026" t="s">
        <v>22</v>
      </c>
      <c r="H4026" t="s">
        <v>34</v>
      </c>
      <c r="I4026" t="s">
        <v>24</v>
      </c>
      <c r="J4026" t="s">
        <v>2365</v>
      </c>
      <c r="L4026">
        <v>5.2</v>
      </c>
      <c r="M4026">
        <v>240000</v>
      </c>
      <c r="O4026">
        <v>6</v>
      </c>
      <c r="P4026" t="s">
        <v>26</v>
      </c>
    </row>
    <row r="4027" spans="1:16" x14ac:dyDescent="0.25">
      <c r="A4027" t="s">
        <v>8405</v>
      </c>
      <c r="B4027" t="s">
        <v>4627</v>
      </c>
      <c r="C4027" t="s">
        <v>18</v>
      </c>
      <c r="D4027" t="s">
        <v>30</v>
      </c>
      <c r="E4027" t="s">
        <v>20</v>
      </c>
      <c r="F4027" t="s">
        <v>128</v>
      </c>
      <c r="G4027" t="s">
        <v>22</v>
      </c>
      <c r="H4027" t="s">
        <v>23</v>
      </c>
      <c r="I4027" t="s">
        <v>24</v>
      </c>
      <c r="J4027" t="s">
        <v>4772</v>
      </c>
      <c r="L4027">
        <v>3.7</v>
      </c>
      <c r="M4027">
        <v>358000</v>
      </c>
      <c r="N4027">
        <v>4</v>
      </c>
      <c r="O4027">
        <v>9</v>
      </c>
      <c r="P4027" t="s">
        <v>26</v>
      </c>
    </row>
    <row r="4028" spans="1:16" x14ac:dyDescent="0.25">
      <c r="A4028" t="s">
        <v>8406</v>
      </c>
      <c r="B4028" t="s">
        <v>1958</v>
      </c>
      <c r="C4028" t="s">
        <v>18</v>
      </c>
      <c r="D4028" t="s">
        <v>30</v>
      </c>
      <c r="E4028" t="s">
        <v>20</v>
      </c>
      <c r="F4028" t="s">
        <v>39</v>
      </c>
      <c r="G4028" t="s">
        <v>22</v>
      </c>
      <c r="H4028" t="s">
        <v>23</v>
      </c>
      <c r="I4028" t="s">
        <v>171</v>
      </c>
      <c r="J4028" t="s">
        <v>1591</v>
      </c>
      <c r="K4028" t="s">
        <v>5801</v>
      </c>
      <c r="L4028">
        <v>4.8</v>
      </c>
      <c r="M4028">
        <v>154000</v>
      </c>
      <c r="N4028">
        <v>2.5</v>
      </c>
      <c r="O4028">
        <v>11</v>
      </c>
      <c r="P4028" t="s">
        <v>53</v>
      </c>
    </row>
    <row r="4029" spans="1:16" x14ac:dyDescent="0.25">
      <c r="A4029" t="s">
        <v>8407</v>
      </c>
      <c r="B4029" t="s">
        <v>7390</v>
      </c>
      <c r="C4029" t="s">
        <v>18</v>
      </c>
      <c r="D4029" t="s">
        <v>19</v>
      </c>
      <c r="E4029" t="s">
        <v>20</v>
      </c>
      <c r="F4029" t="s">
        <v>128</v>
      </c>
      <c r="G4029" t="s">
        <v>33</v>
      </c>
      <c r="H4029" t="s">
        <v>23</v>
      </c>
      <c r="I4029" t="s">
        <v>57</v>
      </c>
      <c r="J4029" t="s">
        <v>1129</v>
      </c>
      <c r="L4029">
        <v>5.0999999999999996</v>
      </c>
      <c r="M4029">
        <v>436000</v>
      </c>
      <c r="N4029">
        <v>3.3</v>
      </c>
      <c r="O4029">
        <v>13</v>
      </c>
      <c r="P4029" t="s">
        <v>26</v>
      </c>
    </row>
    <row r="4030" spans="1:16" x14ac:dyDescent="0.25">
      <c r="A4030" t="s">
        <v>8408</v>
      </c>
      <c r="B4030" t="s">
        <v>1111</v>
      </c>
      <c r="C4030" t="s">
        <v>29</v>
      </c>
      <c r="D4030" t="s">
        <v>19</v>
      </c>
      <c r="E4030" t="s">
        <v>31</v>
      </c>
      <c r="G4030" t="s">
        <v>80</v>
      </c>
      <c r="H4030" t="s">
        <v>46</v>
      </c>
      <c r="I4030" t="s">
        <v>24</v>
      </c>
      <c r="J4030" t="s">
        <v>2713</v>
      </c>
      <c r="L4030">
        <v>3.4</v>
      </c>
      <c r="M4030">
        <v>149000</v>
      </c>
      <c r="N4030">
        <v>3.9</v>
      </c>
      <c r="O4030">
        <v>3</v>
      </c>
      <c r="P4030" t="s">
        <v>26</v>
      </c>
    </row>
    <row r="4031" spans="1:16" x14ac:dyDescent="0.25">
      <c r="A4031" t="s">
        <v>8409</v>
      </c>
      <c r="B4031" t="s">
        <v>6814</v>
      </c>
      <c r="C4031" t="s">
        <v>18</v>
      </c>
      <c r="D4031" t="s">
        <v>19</v>
      </c>
      <c r="E4031" t="s">
        <v>20</v>
      </c>
      <c r="F4031" t="s">
        <v>128</v>
      </c>
      <c r="G4031" t="s">
        <v>22</v>
      </c>
      <c r="H4031" t="s">
        <v>34</v>
      </c>
      <c r="I4031" t="s">
        <v>35</v>
      </c>
      <c r="J4031" t="s">
        <v>4322</v>
      </c>
      <c r="L4031">
        <v>3.4</v>
      </c>
      <c r="M4031">
        <v>450000</v>
      </c>
      <c r="N4031">
        <v>4.0999999999999996</v>
      </c>
      <c r="O4031">
        <v>9</v>
      </c>
      <c r="P4031" t="s">
        <v>26</v>
      </c>
    </row>
    <row r="4032" spans="1:16" x14ac:dyDescent="0.25">
      <c r="A4032" t="s">
        <v>8410</v>
      </c>
      <c r="B4032" t="s">
        <v>8411</v>
      </c>
      <c r="C4032" t="s">
        <v>18</v>
      </c>
      <c r="D4032" t="s">
        <v>79</v>
      </c>
      <c r="E4032" t="s">
        <v>20</v>
      </c>
      <c r="F4032" t="s">
        <v>39</v>
      </c>
      <c r="G4032" t="s">
        <v>33</v>
      </c>
      <c r="H4032" t="s">
        <v>23</v>
      </c>
      <c r="I4032" t="s">
        <v>57</v>
      </c>
      <c r="J4032" t="s">
        <v>2004</v>
      </c>
      <c r="L4032">
        <v>5</v>
      </c>
      <c r="M4032">
        <v>139000</v>
      </c>
      <c r="N4032">
        <v>2.5</v>
      </c>
      <c r="O4032">
        <v>2</v>
      </c>
      <c r="P4032" t="s">
        <v>26</v>
      </c>
    </row>
    <row r="4033" spans="1:16" x14ac:dyDescent="0.25">
      <c r="A4033" t="s">
        <v>1255</v>
      </c>
      <c r="B4033" t="s">
        <v>1256</v>
      </c>
      <c r="C4033" t="s">
        <v>29</v>
      </c>
      <c r="D4033" t="s">
        <v>50</v>
      </c>
      <c r="E4033" t="s">
        <v>20</v>
      </c>
      <c r="F4033" t="s">
        <v>128</v>
      </c>
      <c r="G4033" t="s">
        <v>80</v>
      </c>
      <c r="H4033" t="s">
        <v>34</v>
      </c>
      <c r="I4033" t="s">
        <v>57</v>
      </c>
      <c r="J4033" t="s">
        <v>1257</v>
      </c>
      <c r="L4033">
        <v>4.4000000000000004</v>
      </c>
      <c r="M4033">
        <v>597000</v>
      </c>
      <c r="N4033">
        <v>4.5999999999999996</v>
      </c>
      <c r="O4033">
        <v>3</v>
      </c>
      <c r="P4033" t="s">
        <v>26</v>
      </c>
    </row>
    <row r="4034" spans="1:16" x14ac:dyDescent="0.25">
      <c r="A4034" t="s">
        <v>8412</v>
      </c>
      <c r="B4034" t="s">
        <v>8413</v>
      </c>
      <c r="C4034" t="s">
        <v>29</v>
      </c>
      <c r="D4034" t="s">
        <v>19</v>
      </c>
      <c r="E4034" t="s">
        <v>31</v>
      </c>
      <c r="F4034" t="s">
        <v>39</v>
      </c>
      <c r="G4034" t="s">
        <v>69</v>
      </c>
      <c r="H4034" t="s">
        <v>46</v>
      </c>
      <c r="I4034" t="s">
        <v>24</v>
      </c>
      <c r="J4034" t="s">
        <v>2320</v>
      </c>
      <c r="L4034">
        <v>5.7</v>
      </c>
      <c r="M4034">
        <v>198000</v>
      </c>
      <c r="N4034">
        <v>2.1</v>
      </c>
      <c r="O4034">
        <v>6</v>
      </c>
      <c r="P4034" t="s">
        <v>26</v>
      </c>
    </row>
    <row r="4035" spans="1:16" x14ac:dyDescent="0.25">
      <c r="A4035" t="s">
        <v>8414</v>
      </c>
      <c r="B4035" t="s">
        <v>6349</v>
      </c>
      <c r="C4035" t="s">
        <v>29</v>
      </c>
      <c r="D4035" t="s">
        <v>30</v>
      </c>
      <c r="E4035" t="s">
        <v>44</v>
      </c>
      <c r="F4035" t="s">
        <v>39</v>
      </c>
      <c r="G4035" t="s">
        <v>80</v>
      </c>
      <c r="H4035" t="s">
        <v>23</v>
      </c>
      <c r="I4035" t="s">
        <v>57</v>
      </c>
      <c r="J4035" t="s">
        <v>3390</v>
      </c>
      <c r="K4035" t="s">
        <v>4355</v>
      </c>
      <c r="L4035">
        <v>2.6</v>
      </c>
      <c r="M4035">
        <v>103000</v>
      </c>
      <c r="N4035">
        <v>1.5</v>
      </c>
      <c r="O4035">
        <v>35</v>
      </c>
      <c r="P4035" t="s">
        <v>53</v>
      </c>
    </row>
    <row r="4036" spans="1:16" x14ac:dyDescent="0.25">
      <c r="A4036" t="s">
        <v>8415</v>
      </c>
      <c r="B4036" t="s">
        <v>8416</v>
      </c>
      <c r="C4036" t="s">
        <v>18</v>
      </c>
      <c r="D4036" t="s">
        <v>50</v>
      </c>
      <c r="E4036" t="s">
        <v>20</v>
      </c>
      <c r="F4036" t="s">
        <v>32</v>
      </c>
      <c r="G4036" t="s">
        <v>22</v>
      </c>
      <c r="H4036" t="s">
        <v>23</v>
      </c>
      <c r="I4036" t="s">
        <v>57</v>
      </c>
      <c r="J4036" t="s">
        <v>8417</v>
      </c>
      <c r="L4036">
        <v>5.7</v>
      </c>
      <c r="M4036">
        <v>272000</v>
      </c>
      <c r="N4036">
        <v>3.7</v>
      </c>
      <c r="O4036">
        <v>8</v>
      </c>
      <c r="P4036" t="s">
        <v>26</v>
      </c>
    </row>
    <row r="4037" spans="1:16" x14ac:dyDescent="0.25">
      <c r="A4037" t="s">
        <v>531</v>
      </c>
      <c r="B4037" t="s">
        <v>532</v>
      </c>
      <c r="C4037" t="s">
        <v>29</v>
      </c>
      <c r="D4037" t="s">
        <v>79</v>
      </c>
      <c r="E4037" t="s">
        <v>20</v>
      </c>
      <c r="F4037" t="s">
        <v>128</v>
      </c>
      <c r="G4037" t="s">
        <v>69</v>
      </c>
      <c r="H4037" t="s">
        <v>23</v>
      </c>
      <c r="I4037" t="s">
        <v>24</v>
      </c>
      <c r="J4037" t="s">
        <v>533</v>
      </c>
      <c r="L4037">
        <v>3.1</v>
      </c>
      <c r="M4037">
        <v>474000</v>
      </c>
      <c r="N4037">
        <v>2.2000000000000002</v>
      </c>
      <c r="O4037">
        <v>6</v>
      </c>
      <c r="P4037" t="s">
        <v>26</v>
      </c>
    </row>
    <row r="4038" spans="1:16" x14ac:dyDescent="0.25">
      <c r="A4038" t="s">
        <v>8418</v>
      </c>
      <c r="B4038" t="s">
        <v>3934</v>
      </c>
      <c r="C4038" t="s">
        <v>29</v>
      </c>
      <c r="D4038" t="s">
        <v>50</v>
      </c>
      <c r="E4038" t="s">
        <v>44</v>
      </c>
      <c r="F4038" t="s">
        <v>32</v>
      </c>
      <c r="G4038" t="s">
        <v>80</v>
      </c>
      <c r="H4038" t="s">
        <v>46</v>
      </c>
      <c r="I4038" t="s">
        <v>35</v>
      </c>
      <c r="J4038" t="s">
        <v>5546</v>
      </c>
      <c r="K4038" t="s">
        <v>2013</v>
      </c>
      <c r="L4038">
        <v>4.8</v>
      </c>
      <c r="M4038">
        <v>205000</v>
      </c>
      <c r="N4038">
        <v>2</v>
      </c>
      <c r="O4038">
        <v>8</v>
      </c>
      <c r="P4038" t="s">
        <v>53</v>
      </c>
    </row>
    <row r="4039" spans="1:16" x14ac:dyDescent="0.25">
      <c r="A4039" t="s">
        <v>8419</v>
      </c>
      <c r="B4039" t="s">
        <v>3142</v>
      </c>
      <c r="C4039" t="s">
        <v>29</v>
      </c>
      <c r="D4039" t="s">
        <v>50</v>
      </c>
      <c r="E4039" t="s">
        <v>20</v>
      </c>
      <c r="F4039" t="s">
        <v>39</v>
      </c>
      <c r="G4039" t="s">
        <v>69</v>
      </c>
      <c r="H4039" t="s">
        <v>34</v>
      </c>
      <c r="I4039" t="s">
        <v>57</v>
      </c>
      <c r="J4039" t="s">
        <v>2919</v>
      </c>
      <c r="K4039" t="s">
        <v>3520</v>
      </c>
      <c r="L4039">
        <v>6</v>
      </c>
      <c r="M4039">
        <v>149000</v>
      </c>
      <c r="N4039">
        <v>2.2000000000000002</v>
      </c>
      <c r="O4039">
        <v>32</v>
      </c>
      <c r="P4039" t="s">
        <v>53</v>
      </c>
    </row>
    <row r="4040" spans="1:16" x14ac:dyDescent="0.25">
      <c r="A4040" t="s">
        <v>8420</v>
      </c>
      <c r="B4040" t="s">
        <v>8421</v>
      </c>
      <c r="C4040" t="s">
        <v>29</v>
      </c>
      <c r="D4040" t="s">
        <v>19</v>
      </c>
      <c r="E4040" t="s">
        <v>20</v>
      </c>
      <c r="F4040" t="s">
        <v>32</v>
      </c>
      <c r="G4040" t="s">
        <v>22</v>
      </c>
      <c r="H4040" t="s">
        <v>46</v>
      </c>
      <c r="I4040" t="s">
        <v>24</v>
      </c>
      <c r="J4040" t="s">
        <v>878</v>
      </c>
      <c r="L4040">
        <v>2</v>
      </c>
      <c r="M4040">
        <v>363000</v>
      </c>
      <c r="N4040">
        <v>2.9</v>
      </c>
      <c r="O4040">
        <v>11</v>
      </c>
      <c r="P4040" t="s">
        <v>26</v>
      </c>
    </row>
    <row r="4041" spans="1:16" x14ac:dyDescent="0.25">
      <c r="A4041" t="s">
        <v>8422</v>
      </c>
      <c r="B4041" t="s">
        <v>8423</v>
      </c>
      <c r="C4041" t="s">
        <v>29</v>
      </c>
      <c r="D4041" t="s">
        <v>50</v>
      </c>
      <c r="E4041" t="s">
        <v>20</v>
      </c>
      <c r="F4041" t="s">
        <v>39</v>
      </c>
      <c r="G4041" t="s">
        <v>22</v>
      </c>
      <c r="H4041" t="s">
        <v>46</v>
      </c>
      <c r="I4041" t="s">
        <v>24</v>
      </c>
      <c r="J4041" t="s">
        <v>894</v>
      </c>
      <c r="L4041">
        <v>3.3</v>
      </c>
      <c r="M4041">
        <v>142000</v>
      </c>
      <c r="N4041">
        <v>2.4</v>
      </c>
      <c r="O4041">
        <v>1</v>
      </c>
      <c r="P4041" t="s">
        <v>26</v>
      </c>
    </row>
    <row r="4042" spans="1:16" x14ac:dyDescent="0.25">
      <c r="A4042" t="s">
        <v>8424</v>
      </c>
      <c r="B4042" t="s">
        <v>8425</v>
      </c>
      <c r="C4042" t="s">
        <v>18</v>
      </c>
      <c r="D4042" t="s">
        <v>50</v>
      </c>
      <c r="E4042" t="s">
        <v>44</v>
      </c>
      <c r="F4042" t="s">
        <v>39</v>
      </c>
      <c r="G4042" t="s">
        <v>33</v>
      </c>
      <c r="H4042" t="s">
        <v>46</v>
      </c>
      <c r="I4042" t="s">
        <v>24</v>
      </c>
      <c r="J4042" t="s">
        <v>175</v>
      </c>
      <c r="L4042">
        <v>5.8</v>
      </c>
      <c r="M4042">
        <v>175000</v>
      </c>
      <c r="N4042">
        <v>2.4</v>
      </c>
      <c r="O4042">
        <v>1</v>
      </c>
      <c r="P4042" t="s">
        <v>26</v>
      </c>
    </row>
    <row r="4043" spans="1:16" x14ac:dyDescent="0.25">
      <c r="A4043" t="s">
        <v>8426</v>
      </c>
      <c r="B4043" t="s">
        <v>8427</v>
      </c>
      <c r="C4043" t="s">
        <v>29</v>
      </c>
      <c r="D4043" t="s">
        <v>79</v>
      </c>
      <c r="E4043" t="s">
        <v>20</v>
      </c>
      <c r="G4043" t="s">
        <v>69</v>
      </c>
      <c r="H4043" t="s">
        <v>23</v>
      </c>
      <c r="I4043" t="s">
        <v>171</v>
      </c>
      <c r="J4043" t="s">
        <v>1997</v>
      </c>
      <c r="K4043" t="s">
        <v>276</v>
      </c>
      <c r="L4043">
        <v>2.4</v>
      </c>
      <c r="M4043">
        <v>580000</v>
      </c>
      <c r="N4043">
        <v>4</v>
      </c>
      <c r="O4043">
        <v>0</v>
      </c>
      <c r="P4043" t="s">
        <v>72</v>
      </c>
    </row>
    <row r="4044" spans="1:16" x14ac:dyDescent="0.25">
      <c r="A4044" t="s">
        <v>8428</v>
      </c>
      <c r="B4044" t="s">
        <v>8429</v>
      </c>
      <c r="C4044" t="s">
        <v>29</v>
      </c>
      <c r="D4044" t="s">
        <v>79</v>
      </c>
      <c r="E4044" t="s">
        <v>20</v>
      </c>
      <c r="F4044" t="s">
        <v>128</v>
      </c>
      <c r="G4044" t="s">
        <v>33</v>
      </c>
      <c r="H4044" t="s">
        <v>34</v>
      </c>
      <c r="I4044" t="s">
        <v>35</v>
      </c>
      <c r="J4044" t="s">
        <v>6086</v>
      </c>
      <c r="L4044">
        <v>1.3</v>
      </c>
      <c r="M4044">
        <v>458000</v>
      </c>
      <c r="N4044">
        <v>2.8</v>
      </c>
      <c r="O4044">
        <v>4</v>
      </c>
      <c r="P4044" t="s">
        <v>26</v>
      </c>
    </row>
    <row r="4045" spans="1:16" x14ac:dyDescent="0.25">
      <c r="A4045" t="s">
        <v>8430</v>
      </c>
      <c r="B4045" t="s">
        <v>8431</v>
      </c>
      <c r="C4045" t="s">
        <v>29</v>
      </c>
      <c r="D4045" t="s">
        <v>50</v>
      </c>
      <c r="E4045" t="s">
        <v>20</v>
      </c>
      <c r="G4045" t="s">
        <v>33</v>
      </c>
      <c r="H4045" t="s">
        <v>23</v>
      </c>
      <c r="J4045" t="s">
        <v>478</v>
      </c>
      <c r="L4045">
        <v>1.3</v>
      </c>
      <c r="M4045">
        <v>125000</v>
      </c>
      <c r="N4045">
        <v>2.4</v>
      </c>
      <c r="O4045">
        <v>11</v>
      </c>
      <c r="P4045" t="s">
        <v>26</v>
      </c>
    </row>
    <row r="4046" spans="1:16" x14ac:dyDescent="0.25">
      <c r="A4046" t="s">
        <v>8432</v>
      </c>
      <c r="B4046" t="s">
        <v>7221</v>
      </c>
      <c r="D4046" t="s">
        <v>79</v>
      </c>
      <c r="E4046" t="s">
        <v>31</v>
      </c>
      <c r="F4046" t="s">
        <v>39</v>
      </c>
      <c r="G4046" t="s">
        <v>22</v>
      </c>
      <c r="H4046" t="s">
        <v>46</v>
      </c>
      <c r="I4046" t="s">
        <v>57</v>
      </c>
      <c r="J4046" t="s">
        <v>2813</v>
      </c>
      <c r="L4046">
        <v>5</v>
      </c>
      <c r="M4046">
        <v>124000</v>
      </c>
      <c r="N4046">
        <v>4.2</v>
      </c>
      <c r="O4046">
        <v>8</v>
      </c>
      <c r="P4046" t="s">
        <v>26</v>
      </c>
    </row>
    <row r="4047" spans="1:16" x14ac:dyDescent="0.25">
      <c r="A4047" t="s">
        <v>8433</v>
      </c>
      <c r="B4047" t="s">
        <v>3365</v>
      </c>
      <c r="C4047" t="s">
        <v>18</v>
      </c>
      <c r="D4047" t="s">
        <v>19</v>
      </c>
      <c r="E4047" t="s">
        <v>44</v>
      </c>
      <c r="F4047" t="s">
        <v>32</v>
      </c>
      <c r="G4047" t="s">
        <v>80</v>
      </c>
      <c r="H4047" t="s">
        <v>46</v>
      </c>
      <c r="I4047" t="s">
        <v>57</v>
      </c>
      <c r="J4047" t="s">
        <v>168</v>
      </c>
      <c r="L4047">
        <v>1.6</v>
      </c>
      <c r="M4047">
        <v>260000</v>
      </c>
      <c r="N4047">
        <v>2.6</v>
      </c>
      <c r="O4047">
        <v>4</v>
      </c>
      <c r="P4047" t="s">
        <v>26</v>
      </c>
    </row>
    <row r="4048" spans="1:16" x14ac:dyDescent="0.25">
      <c r="A4048" t="s">
        <v>8434</v>
      </c>
      <c r="B4048" t="s">
        <v>3978</v>
      </c>
      <c r="C4048" t="s">
        <v>18</v>
      </c>
      <c r="D4048" t="s">
        <v>30</v>
      </c>
      <c r="E4048" t="s">
        <v>44</v>
      </c>
      <c r="F4048" t="s">
        <v>32</v>
      </c>
      <c r="G4048" t="s">
        <v>80</v>
      </c>
      <c r="H4048" t="s">
        <v>34</v>
      </c>
      <c r="J4048" t="s">
        <v>3450</v>
      </c>
      <c r="L4048">
        <v>3</v>
      </c>
      <c r="M4048">
        <v>309000</v>
      </c>
      <c r="N4048">
        <v>4.3</v>
      </c>
      <c r="O4048">
        <v>2</v>
      </c>
      <c r="P4048" t="s">
        <v>26</v>
      </c>
    </row>
    <row r="4049" spans="1:16" x14ac:dyDescent="0.25">
      <c r="A4049" t="s">
        <v>8435</v>
      </c>
      <c r="B4049" t="s">
        <v>8436</v>
      </c>
      <c r="C4049" t="s">
        <v>29</v>
      </c>
      <c r="D4049" t="s">
        <v>50</v>
      </c>
      <c r="E4049" t="s">
        <v>44</v>
      </c>
      <c r="F4049" t="s">
        <v>39</v>
      </c>
      <c r="G4049" t="s">
        <v>80</v>
      </c>
      <c r="H4049" t="s">
        <v>34</v>
      </c>
      <c r="J4049" t="s">
        <v>2768</v>
      </c>
      <c r="K4049" t="s">
        <v>202</v>
      </c>
      <c r="L4049">
        <v>3.8</v>
      </c>
      <c r="M4049">
        <v>86000</v>
      </c>
      <c r="N4049">
        <v>3.5</v>
      </c>
      <c r="O4049">
        <v>9</v>
      </c>
      <c r="P4049" t="s">
        <v>53</v>
      </c>
    </row>
    <row r="4050" spans="1:16" x14ac:dyDescent="0.25">
      <c r="A4050" t="s">
        <v>8437</v>
      </c>
      <c r="B4050" t="s">
        <v>8438</v>
      </c>
      <c r="C4050" t="s">
        <v>18</v>
      </c>
      <c r="D4050" t="s">
        <v>19</v>
      </c>
      <c r="E4050" t="s">
        <v>20</v>
      </c>
      <c r="F4050" t="s">
        <v>39</v>
      </c>
      <c r="G4050" t="s">
        <v>22</v>
      </c>
      <c r="H4050" t="s">
        <v>46</v>
      </c>
      <c r="I4050" t="s">
        <v>24</v>
      </c>
      <c r="J4050" t="s">
        <v>3421</v>
      </c>
      <c r="K4050" t="s">
        <v>3919</v>
      </c>
      <c r="L4050">
        <v>6</v>
      </c>
      <c r="M4050">
        <v>135000</v>
      </c>
      <c r="N4050">
        <v>2.1</v>
      </c>
      <c r="O4050">
        <v>11</v>
      </c>
      <c r="P4050" t="s">
        <v>53</v>
      </c>
    </row>
    <row r="4051" spans="1:16" x14ac:dyDescent="0.25">
      <c r="A4051" t="s">
        <v>8439</v>
      </c>
      <c r="B4051" t="s">
        <v>134</v>
      </c>
      <c r="C4051" t="s">
        <v>18</v>
      </c>
      <c r="D4051" t="s">
        <v>19</v>
      </c>
      <c r="E4051" t="s">
        <v>20</v>
      </c>
      <c r="F4051" t="s">
        <v>39</v>
      </c>
      <c r="G4051" t="s">
        <v>80</v>
      </c>
      <c r="H4051" t="s">
        <v>46</v>
      </c>
      <c r="I4051" t="s">
        <v>24</v>
      </c>
      <c r="J4051" t="s">
        <v>8440</v>
      </c>
      <c r="L4051">
        <v>4.2</v>
      </c>
      <c r="M4051">
        <v>198000</v>
      </c>
      <c r="N4051">
        <v>2.4</v>
      </c>
      <c r="O4051">
        <v>4</v>
      </c>
      <c r="P4051" t="s">
        <v>26</v>
      </c>
    </row>
    <row r="4052" spans="1:16" x14ac:dyDescent="0.25">
      <c r="A4052" t="s">
        <v>8441</v>
      </c>
      <c r="B4052" t="s">
        <v>6320</v>
      </c>
      <c r="C4052" t="s">
        <v>29</v>
      </c>
      <c r="D4052" t="s">
        <v>19</v>
      </c>
      <c r="E4052" t="s">
        <v>44</v>
      </c>
      <c r="F4052" t="s">
        <v>39</v>
      </c>
      <c r="G4052" t="s">
        <v>69</v>
      </c>
      <c r="H4052" t="s">
        <v>23</v>
      </c>
      <c r="I4052" t="s">
        <v>24</v>
      </c>
      <c r="J4052" t="s">
        <v>8442</v>
      </c>
      <c r="K4052" t="s">
        <v>2213</v>
      </c>
      <c r="L4052">
        <v>4.5</v>
      </c>
      <c r="M4052">
        <v>185000</v>
      </c>
      <c r="N4052">
        <v>2.1</v>
      </c>
      <c r="O4052">
        <v>6</v>
      </c>
      <c r="P4052" t="s">
        <v>72</v>
      </c>
    </row>
    <row r="4053" spans="1:16" x14ac:dyDescent="0.25">
      <c r="A4053" t="s">
        <v>8443</v>
      </c>
      <c r="B4053" t="s">
        <v>2972</v>
      </c>
      <c r="C4053" t="s">
        <v>18</v>
      </c>
      <c r="D4053" t="s">
        <v>30</v>
      </c>
      <c r="E4053" t="s">
        <v>20</v>
      </c>
      <c r="F4053" t="s">
        <v>128</v>
      </c>
      <c r="G4053" t="s">
        <v>80</v>
      </c>
      <c r="H4053" t="s">
        <v>34</v>
      </c>
      <c r="I4053" t="s">
        <v>75</v>
      </c>
      <c r="J4053" t="s">
        <v>3110</v>
      </c>
      <c r="L4053">
        <v>4.2</v>
      </c>
      <c r="M4053">
        <v>586000</v>
      </c>
      <c r="O4053">
        <v>4</v>
      </c>
      <c r="P4053" t="s">
        <v>26</v>
      </c>
    </row>
    <row r="4054" spans="1:16" x14ac:dyDescent="0.25">
      <c r="A4054" t="s">
        <v>8444</v>
      </c>
      <c r="B4054" t="s">
        <v>853</v>
      </c>
      <c r="C4054" t="s">
        <v>29</v>
      </c>
      <c r="D4054" t="s">
        <v>19</v>
      </c>
      <c r="E4054" t="s">
        <v>20</v>
      </c>
      <c r="F4054" t="s">
        <v>21</v>
      </c>
      <c r="G4054" t="s">
        <v>33</v>
      </c>
      <c r="H4054" t="s">
        <v>34</v>
      </c>
      <c r="I4054" t="s">
        <v>24</v>
      </c>
      <c r="J4054" t="s">
        <v>658</v>
      </c>
      <c r="K4054" t="s">
        <v>2292</v>
      </c>
      <c r="L4054">
        <v>5.7</v>
      </c>
      <c r="M4054">
        <v>822000</v>
      </c>
      <c r="N4054">
        <v>3.6</v>
      </c>
      <c r="O4054">
        <v>2</v>
      </c>
      <c r="P4054" t="s">
        <v>53</v>
      </c>
    </row>
    <row r="4055" spans="1:16" x14ac:dyDescent="0.25">
      <c r="A4055" t="s">
        <v>8445</v>
      </c>
      <c r="B4055" t="s">
        <v>3934</v>
      </c>
      <c r="C4055" t="s">
        <v>29</v>
      </c>
      <c r="D4055" t="s">
        <v>50</v>
      </c>
      <c r="E4055" t="s">
        <v>20</v>
      </c>
      <c r="F4055" t="s">
        <v>21</v>
      </c>
      <c r="G4055" t="s">
        <v>22</v>
      </c>
      <c r="H4055" t="s">
        <v>23</v>
      </c>
      <c r="I4055" t="s">
        <v>24</v>
      </c>
      <c r="J4055" t="s">
        <v>2768</v>
      </c>
      <c r="L4055">
        <v>3.8</v>
      </c>
      <c r="M4055">
        <v>863000</v>
      </c>
      <c r="N4055">
        <v>3.1</v>
      </c>
      <c r="P4055" t="s">
        <v>26</v>
      </c>
    </row>
    <row r="4056" spans="1:16" x14ac:dyDescent="0.25">
      <c r="A4056" t="s">
        <v>8446</v>
      </c>
      <c r="B4056" t="s">
        <v>548</v>
      </c>
      <c r="C4056" t="s">
        <v>18</v>
      </c>
      <c r="D4056" t="s">
        <v>30</v>
      </c>
      <c r="E4056" t="s">
        <v>20</v>
      </c>
      <c r="F4056" t="s">
        <v>39</v>
      </c>
      <c r="G4056" t="s">
        <v>22</v>
      </c>
      <c r="H4056" t="s">
        <v>23</v>
      </c>
      <c r="I4056" t="s">
        <v>75</v>
      </c>
      <c r="J4056" t="s">
        <v>3091</v>
      </c>
      <c r="L4056">
        <v>4.3</v>
      </c>
      <c r="M4056">
        <v>139000</v>
      </c>
      <c r="N4056">
        <v>1.7</v>
      </c>
      <c r="O4056">
        <v>19</v>
      </c>
      <c r="P4056" t="s">
        <v>26</v>
      </c>
    </row>
    <row r="4057" spans="1:16" x14ac:dyDescent="0.25">
      <c r="A4057" t="s">
        <v>8447</v>
      </c>
      <c r="B4057" t="s">
        <v>8448</v>
      </c>
      <c r="C4057" t="s">
        <v>29</v>
      </c>
      <c r="D4057" t="s">
        <v>30</v>
      </c>
      <c r="E4057" t="s">
        <v>20</v>
      </c>
      <c r="F4057" t="s">
        <v>128</v>
      </c>
      <c r="G4057" t="s">
        <v>33</v>
      </c>
      <c r="H4057" t="s">
        <v>23</v>
      </c>
      <c r="I4057" t="s">
        <v>24</v>
      </c>
      <c r="J4057" t="s">
        <v>8449</v>
      </c>
      <c r="K4057" t="s">
        <v>7706</v>
      </c>
      <c r="L4057">
        <v>5.2</v>
      </c>
      <c r="M4057">
        <v>591000</v>
      </c>
      <c r="N4057">
        <v>2.8</v>
      </c>
      <c r="O4057">
        <v>1</v>
      </c>
      <c r="P4057" t="s">
        <v>53</v>
      </c>
    </row>
    <row r="4058" spans="1:16" x14ac:dyDescent="0.25">
      <c r="A4058" t="s">
        <v>8450</v>
      </c>
      <c r="B4058" t="s">
        <v>2115</v>
      </c>
      <c r="C4058" t="s">
        <v>29</v>
      </c>
      <c r="D4058" t="s">
        <v>50</v>
      </c>
      <c r="E4058" t="s">
        <v>20</v>
      </c>
      <c r="F4058" t="s">
        <v>39</v>
      </c>
      <c r="G4058" t="s">
        <v>33</v>
      </c>
      <c r="H4058" t="s">
        <v>46</v>
      </c>
      <c r="I4058" t="s">
        <v>57</v>
      </c>
      <c r="J4058" t="s">
        <v>1600</v>
      </c>
      <c r="L4058">
        <v>5.2</v>
      </c>
      <c r="M4058">
        <v>132000</v>
      </c>
      <c r="N4058">
        <v>3.5</v>
      </c>
      <c r="O4058">
        <v>8</v>
      </c>
      <c r="P4058" t="s">
        <v>26</v>
      </c>
    </row>
    <row r="4059" spans="1:16" x14ac:dyDescent="0.25">
      <c r="A4059" t="s">
        <v>8451</v>
      </c>
      <c r="B4059" t="s">
        <v>288</v>
      </c>
      <c r="C4059" t="s">
        <v>18</v>
      </c>
      <c r="D4059" t="s">
        <v>79</v>
      </c>
      <c r="E4059" t="s">
        <v>44</v>
      </c>
      <c r="F4059" t="s">
        <v>21</v>
      </c>
      <c r="G4059" t="s">
        <v>69</v>
      </c>
      <c r="H4059" t="s">
        <v>62</v>
      </c>
      <c r="I4059" t="s">
        <v>35</v>
      </c>
      <c r="J4059" t="s">
        <v>779</v>
      </c>
      <c r="L4059">
        <v>5.5</v>
      </c>
      <c r="M4059">
        <v>832000</v>
      </c>
      <c r="N4059">
        <v>4.5999999999999996</v>
      </c>
      <c r="O4059">
        <v>17</v>
      </c>
      <c r="P4059" t="s">
        <v>26</v>
      </c>
    </row>
    <row r="4060" spans="1:16" x14ac:dyDescent="0.25">
      <c r="A4060" t="s">
        <v>8452</v>
      </c>
      <c r="B4060" t="s">
        <v>5748</v>
      </c>
      <c r="C4060" t="s">
        <v>29</v>
      </c>
      <c r="D4060" t="s">
        <v>43</v>
      </c>
      <c r="E4060" t="s">
        <v>20</v>
      </c>
      <c r="F4060" t="s">
        <v>32</v>
      </c>
      <c r="G4060" t="s">
        <v>69</v>
      </c>
      <c r="H4060" t="s">
        <v>46</v>
      </c>
      <c r="I4060" t="s">
        <v>57</v>
      </c>
      <c r="J4060" t="s">
        <v>8453</v>
      </c>
      <c r="L4060">
        <v>5.4</v>
      </c>
      <c r="M4060">
        <v>249000</v>
      </c>
      <c r="N4060">
        <v>4.9000000000000004</v>
      </c>
      <c r="O4060">
        <v>2</v>
      </c>
      <c r="P4060" t="s">
        <v>26</v>
      </c>
    </row>
    <row r="4061" spans="1:16" x14ac:dyDescent="0.25">
      <c r="A4061" t="s">
        <v>8454</v>
      </c>
      <c r="B4061" t="s">
        <v>5395</v>
      </c>
      <c r="C4061" t="s">
        <v>18</v>
      </c>
      <c r="D4061" t="s">
        <v>30</v>
      </c>
      <c r="E4061" t="s">
        <v>20</v>
      </c>
      <c r="F4061" t="s">
        <v>39</v>
      </c>
      <c r="G4061" t="s">
        <v>33</v>
      </c>
      <c r="H4061" t="s">
        <v>34</v>
      </c>
      <c r="I4061" t="s">
        <v>24</v>
      </c>
      <c r="J4061" t="s">
        <v>5971</v>
      </c>
      <c r="L4061">
        <v>3.8</v>
      </c>
      <c r="M4061">
        <v>150000</v>
      </c>
      <c r="N4061">
        <v>2.7</v>
      </c>
      <c r="O4061">
        <v>5</v>
      </c>
      <c r="P4061" t="s">
        <v>26</v>
      </c>
    </row>
    <row r="4062" spans="1:16" x14ac:dyDescent="0.25">
      <c r="A4062" t="s">
        <v>8455</v>
      </c>
      <c r="B4062" t="s">
        <v>42</v>
      </c>
      <c r="C4062" t="s">
        <v>18</v>
      </c>
      <c r="D4062" t="s">
        <v>19</v>
      </c>
      <c r="E4062" t="s">
        <v>31</v>
      </c>
      <c r="F4062" t="s">
        <v>32</v>
      </c>
      <c r="G4062" t="s">
        <v>33</v>
      </c>
      <c r="H4062" t="s">
        <v>23</v>
      </c>
      <c r="I4062" t="s">
        <v>57</v>
      </c>
      <c r="J4062" t="s">
        <v>1041</v>
      </c>
      <c r="L4062">
        <v>4.7</v>
      </c>
      <c r="M4062">
        <v>313000</v>
      </c>
      <c r="N4062">
        <v>2.8</v>
      </c>
      <c r="O4062">
        <v>9</v>
      </c>
      <c r="P4062" t="s">
        <v>26</v>
      </c>
    </row>
    <row r="4063" spans="1:16" x14ac:dyDescent="0.25">
      <c r="A4063" t="s">
        <v>8456</v>
      </c>
      <c r="B4063" t="s">
        <v>8457</v>
      </c>
      <c r="C4063" t="s">
        <v>29</v>
      </c>
      <c r="D4063" t="s">
        <v>79</v>
      </c>
      <c r="E4063" t="s">
        <v>20</v>
      </c>
      <c r="F4063" t="s">
        <v>39</v>
      </c>
      <c r="G4063" t="s">
        <v>22</v>
      </c>
      <c r="H4063" t="s">
        <v>46</v>
      </c>
      <c r="I4063" t="s">
        <v>24</v>
      </c>
      <c r="J4063" t="s">
        <v>8065</v>
      </c>
      <c r="K4063" t="s">
        <v>8458</v>
      </c>
      <c r="L4063">
        <v>2.5</v>
      </c>
      <c r="M4063">
        <v>173000</v>
      </c>
      <c r="N4063">
        <v>2.5</v>
      </c>
      <c r="O4063">
        <v>10</v>
      </c>
      <c r="P4063" t="s">
        <v>114</v>
      </c>
    </row>
    <row r="4064" spans="1:16" x14ac:dyDescent="0.25">
      <c r="A4064" t="s">
        <v>8459</v>
      </c>
      <c r="B4064" t="s">
        <v>5711</v>
      </c>
      <c r="C4064" t="s">
        <v>252</v>
      </c>
      <c r="D4064" t="s">
        <v>30</v>
      </c>
      <c r="E4064" t="s">
        <v>20</v>
      </c>
      <c r="F4064" t="s">
        <v>128</v>
      </c>
      <c r="G4064" t="s">
        <v>33</v>
      </c>
      <c r="H4064" t="s">
        <v>23</v>
      </c>
      <c r="I4064" t="s">
        <v>24</v>
      </c>
      <c r="J4064" t="s">
        <v>8460</v>
      </c>
      <c r="K4064" t="s">
        <v>4258</v>
      </c>
      <c r="L4064">
        <v>6.1</v>
      </c>
      <c r="M4064">
        <v>493000</v>
      </c>
      <c r="N4064">
        <v>5</v>
      </c>
      <c r="O4064">
        <v>2</v>
      </c>
      <c r="P4064" t="s">
        <v>53</v>
      </c>
    </row>
    <row r="4065" spans="1:16" x14ac:dyDescent="0.25">
      <c r="A4065" t="s">
        <v>8461</v>
      </c>
      <c r="B4065" t="s">
        <v>7908</v>
      </c>
      <c r="C4065" t="s">
        <v>18</v>
      </c>
      <c r="D4065" t="s">
        <v>19</v>
      </c>
      <c r="E4065" t="s">
        <v>44</v>
      </c>
      <c r="F4065" t="s">
        <v>39</v>
      </c>
      <c r="G4065" t="s">
        <v>80</v>
      </c>
      <c r="H4065" t="s">
        <v>34</v>
      </c>
      <c r="I4065" t="s">
        <v>24</v>
      </c>
      <c r="J4065" t="s">
        <v>2916</v>
      </c>
      <c r="L4065">
        <v>4.3</v>
      </c>
      <c r="M4065">
        <v>125000</v>
      </c>
      <c r="O4065">
        <v>12</v>
      </c>
      <c r="P4065" t="s">
        <v>26</v>
      </c>
    </row>
    <row r="4066" spans="1:16" x14ac:dyDescent="0.25">
      <c r="A4066" t="s">
        <v>8462</v>
      </c>
      <c r="B4066" t="s">
        <v>6210</v>
      </c>
      <c r="C4066" t="s">
        <v>29</v>
      </c>
      <c r="D4066" t="s">
        <v>19</v>
      </c>
      <c r="E4066" t="s">
        <v>20</v>
      </c>
      <c r="F4066" t="s">
        <v>39</v>
      </c>
      <c r="G4066" t="s">
        <v>22</v>
      </c>
      <c r="H4066" t="s">
        <v>34</v>
      </c>
      <c r="I4066" t="s">
        <v>35</v>
      </c>
      <c r="J4066" t="s">
        <v>6949</v>
      </c>
      <c r="L4066">
        <v>5.7</v>
      </c>
      <c r="M4066">
        <v>196000</v>
      </c>
      <c r="N4066">
        <v>4.0999999999999996</v>
      </c>
      <c r="O4066">
        <v>1</v>
      </c>
      <c r="P4066" t="s">
        <v>26</v>
      </c>
    </row>
    <row r="4067" spans="1:16" x14ac:dyDescent="0.25">
      <c r="A4067" t="s">
        <v>8463</v>
      </c>
      <c r="B4067" t="s">
        <v>8464</v>
      </c>
      <c r="C4067" t="s">
        <v>29</v>
      </c>
      <c r="D4067" t="s">
        <v>43</v>
      </c>
      <c r="E4067" t="s">
        <v>44</v>
      </c>
      <c r="F4067" t="s">
        <v>32</v>
      </c>
      <c r="G4067" t="s">
        <v>33</v>
      </c>
      <c r="H4067" t="s">
        <v>23</v>
      </c>
      <c r="I4067" t="s">
        <v>75</v>
      </c>
      <c r="J4067" t="s">
        <v>316</v>
      </c>
      <c r="K4067" t="s">
        <v>6815</v>
      </c>
      <c r="L4067">
        <v>2.7</v>
      </c>
      <c r="M4067">
        <v>258000</v>
      </c>
      <c r="N4067">
        <v>4.0999999999999996</v>
      </c>
      <c r="O4067">
        <v>13</v>
      </c>
      <c r="P4067" t="s">
        <v>53</v>
      </c>
    </row>
    <row r="4068" spans="1:16" x14ac:dyDescent="0.25">
      <c r="A4068" t="s">
        <v>8465</v>
      </c>
      <c r="B4068" t="s">
        <v>3194</v>
      </c>
      <c r="C4068" t="s">
        <v>29</v>
      </c>
      <c r="D4068" t="s">
        <v>79</v>
      </c>
      <c r="E4068" t="s">
        <v>20</v>
      </c>
      <c r="F4068" t="s">
        <v>39</v>
      </c>
      <c r="G4068" t="s">
        <v>33</v>
      </c>
      <c r="H4068" t="s">
        <v>34</v>
      </c>
      <c r="I4068" t="s">
        <v>24</v>
      </c>
      <c r="J4068" t="s">
        <v>7280</v>
      </c>
      <c r="K4068" t="s">
        <v>306</v>
      </c>
      <c r="L4068">
        <v>5.3</v>
      </c>
      <c r="M4068">
        <v>158000</v>
      </c>
      <c r="N4068">
        <v>3.8</v>
      </c>
      <c r="P4068" t="s">
        <v>72</v>
      </c>
    </row>
    <row r="4069" spans="1:16" x14ac:dyDescent="0.25">
      <c r="A4069" t="s">
        <v>892</v>
      </c>
      <c r="B4069" t="s">
        <v>893</v>
      </c>
      <c r="C4069" t="s">
        <v>29</v>
      </c>
      <c r="D4069" t="s">
        <v>43</v>
      </c>
      <c r="E4069" t="s">
        <v>20</v>
      </c>
      <c r="F4069" t="s">
        <v>21</v>
      </c>
      <c r="G4069" t="s">
        <v>33</v>
      </c>
      <c r="H4069" t="s">
        <v>23</v>
      </c>
      <c r="I4069" t="s">
        <v>24</v>
      </c>
      <c r="J4069" t="s">
        <v>894</v>
      </c>
      <c r="K4069" t="s">
        <v>895</v>
      </c>
      <c r="L4069">
        <v>3.3</v>
      </c>
      <c r="M4069">
        <v>740000</v>
      </c>
      <c r="N4069">
        <v>4.4000000000000004</v>
      </c>
      <c r="O4069">
        <v>1</v>
      </c>
      <c r="P4069" t="s">
        <v>72</v>
      </c>
    </row>
    <row r="4070" spans="1:16" x14ac:dyDescent="0.25">
      <c r="A4070" t="s">
        <v>8466</v>
      </c>
      <c r="B4070" t="s">
        <v>5522</v>
      </c>
      <c r="C4070" t="s">
        <v>29</v>
      </c>
      <c r="D4070" t="s">
        <v>19</v>
      </c>
      <c r="E4070" t="s">
        <v>20</v>
      </c>
      <c r="F4070" t="s">
        <v>128</v>
      </c>
      <c r="G4070" t="s">
        <v>69</v>
      </c>
      <c r="H4070" t="s">
        <v>34</v>
      </c>
      <c r="I4070" t="s">
        <v>75</v>
      </c>
      <c r="J4070" t="s">
        <v>1703</v>
      </c>
      <c r="L4070">
        <v>5.9</v>
      </c>
      <c r="M4070">
        <v>415000</v>
      </c>
      <c r="O4070">
        <v>10</v>
      </c>
      <c r="P4070" t="s">
        <v>26</v>
      </c>
    </row>
    <row r="4071" spans="1:16" x14ac:dyDescent="0.25">
      <c r="A4071" t="s">
        <v>8467</v>
      </c>
      <c r="B4071" t="s">
        <v>8468</v>
      </c>
      <c r="C4071" t="s">
        <v>29</v>
      </c>
      <c r="D4071" t="s">
        <v>19</v>
      </c>
      <c r="E4071" t="s">
        <v>44</v>
      </c>
      <c r="F4071" t="s">
        <v>39</v>
      </c>
      <c r="G4071" t="s">
        <v>33</v>
      </c>
      <c r="H4071" t="s">
        <v>46</v>
      </c>
      <c r="I4071" t="s">
        <v>75</v>
      </c>
      <c r="J4071" t="s">
        <v>155</v>
      </c>
      <c r="L4071">
        <v>3.1</v>
      </c>
      <c r="M4071">
        <v>101000</v>
      </c>
      <c r="N4071">
        <v>2.4</v>
      </c>
      <c r="O4071">
        <v>0</v>
      </c>
      <c r="P4071" t="s">
        <v>26</v>
      </c>
    </row>
    <row r="4072" spans="1:16" x14ac:dyDescent="0.25">
      <c r="A4072" t="s">
        <v>8469</v>
      </c>
      <c r="B4072" t="s">
        <v>1794</v>
      </c>
      <c r="C4072" t="s">
        <v>18</v>
      </c>
      <c r="D4072" t="s">
        <v>50</v>
      </c>
      <c r="E4072" t="s">
        <v>44</v>
      </c>
      <c r="F4072" t="s">
        <v>21</v>
      </c>
      <c r="G4072" t="s">
        <v>22</v>
      </c>
      <c r="H4072" t="s">
        <v>62</v>
      </c>
      <c r="J4072" t="s">
        <v>8470</v>
      </c>
      <c r="K4072" t="s">
        <v>4587</v>
      </c>
      <c r="L4072">
        <v>4.8</v>
      </c>
      <c r="M4072">
        <v>845000</v>
      </c>
      <c r="N4072">
        <v>3.2</v>
      </c>
      <c r="O4072">
        <v>5</v>
      </c>
      <c r="P4072" t="s">
        <v>53</v>
      </c>
    </row>
    <row r="4073" spans="1:16" x14ac:dyDescent="0.25">
      <c r="A4073" t="s">
        <v>8471</v>
      </c>
      <c r="B4073" t="s">
        <v>4372</v>
      </c>
      <c r="C4073" t="s">
        <v>29</v>
      </c>
      <c r="D4073" t="s">
        <v>30</v>
      </c>
      <c r="E4073" t="s">
        <v>20</v>
      </c>
      <c r="F4073" t="s">
        <v>39</v>
      </c>
      <c r="G4073" t="s">
        <v>22</v>
      </c>
      <c r="H4073" t="s">
        <v>62</v>
      </c>
      <c r="I4073" t="s">
        <v>75</v>
      </c>
      <c r="J4073" t="s">
        <v>4637</v>
      </c>
      <c r="L4073">
        <v>5.5</v>
      </c>
      <c r="M4073">
        <v>92000</v>
      </c>
      <c r="N4073">
        <v>1.9</v>
      </c>
      <c r="O4073">
        <v>8</v>
      </c>
      <c r="P4073" t="s">
        <v>26</v>
      </c>
    </row>
    <row r="4074" spans="1:16" x14ac:dyDescent="0.25">
      <c r="A4074" t="s">
        <v>8472</v>
      </c>
      <c r="B4074" t="s">
        <v>3250</v>
      </c>
      <c r="D4074" t="s">
        <v>19</v>
      </c>
      <c r="E4074" t="s">
        <v>44</v>
      </c>
      <c r="G4074" t="s">
        <v>33</v>
      </c>
      <c r="H4074" t="s">
        <v>34</v>
      </c>
      <c r="I4074" t="s">
        <v>35</v>
      </c>
      <c r="J4074" t="s">
        <v>791</v>
      </c>
      <c r="K4074" t="s">
        <v>8473</v>
      </c>
      <c r="L4074">
        <v>5.4</v>
      </c>
      <c r="M4074">
        <v>322000</v>
      </c>
      <c r="N4074">
        <v>3.5</v>
      </c>
      <c r="O4074">
        <v>31</v>
      </c>
      <c r="P4074" t="s">
        <v>53</v>
      </c>
    </row>
    <row r="4075" spans="1:16" x14ac:dyDescent="0.25">
      <c r="A4075" t="s">
        <v>8474</v>
      </c>
      <c r="B4075" t="s">
        <v>5443</v>
      </c>
      <c r="C4075" t="s">
        <v>18</v>
      </c>
      <c r="E4075" t="s">
        <v>44</v>
      </c>
      <c r="F4075" t="s">
        <v>21</v>
      </c>
      <c r="G4075" t="s">
        <v>80</v>
      </c>
      <c r="H4075" t="s">
        <v>46</v>
      </c>
      <c r="I4075" t="s">
        <v>35</v>
      </c>
      <c r="J4075" t="s">
        <v>3284</v>
      </c>
      <c r="L4075">
        <v>2.2000000000000002</v>
      </c>
      <c r="M4075">
        <v>734000</v>
      </c>
      <c r="N4075">
        <v>4.5</v>
      </c>
      <c r="O4075">
        <v>2</v>
      </c>
      <c r="P4075" t="s">
        <v>26</v>
      </c>
    </row>
    <row r="4076" spans="1:16" x14ac:dyDescent="0.25">
      <c r="A4076" t="s">
        <v>8475</v>
      </c>
      <c r="B4076" t="s">
        <v>8476</v>
      </c>
      <c r="C4076" t="s">
        <v>18</v>
      </c>
      <c r="D4076" t="s">
        <v>43</v>
      </c>
      <c r="E4076" t="s">
        <v>31</v>
      </c>
      <c r="F4076" t="s">
        <v>21</v>
      </c>
      <c r="G4076" t="s">
        <v>22</v>
      </c>
      <c r="H4076" t="s">
        <v>46</v>
      </c>
      <c r="I4076" t="s">
        <v>171</v>
      </c>
      <c r="J4076" t="s">
        <v>1671</v>
      </c>
      <c r="L4076">
        <v>4.9000000000000004</v>
      </c>
      <c r="M4076">
        <v>600000</v>
      </c>
      <c r="N4076">
        <v>4.4000000000000004</v>
      </c>
      <c r="O4076">
        <v>3</v>
      </c>
      <c r="P4076" t="s">
        <v>26</v>
      </c>
    </row>
    <row r="4077" spans="1:16" x14ac:dyDescent="0.25">
      <c r="A4077" t="s">
        <v>8477</v>
      </c>
      <c r="B4077" t="s">
        <v>1277</v>
      </c>
      <c r="C4077" t="s">
        <v>29</v>
      </c>
      <c r="D4077" t="s">
        <v>30</v>
      </c>
      <c r="E4077" t="s">
        <v>20</v>
      </c>
      <c r="F4077" t="s">
        <v>32</v>
      </c>
      <c r="G4077" t="s">
        <v>22</v>
      </c>
      <c r="H4077" t="s">
        <v>34</v>
      </c>
      <c r="I4077" t="s">
        <v>24</v>
      </c>
      <c r="J4077" t="s">
        <v>2879</v>
      </c>
      <c r="K4077" t="s">
        <v>425</v>
      </c>
      <c r="L4077">
        <v>4.9000000000000004</v>
      </c>
      <c r="M4077">
        <v>256000</v>
      </c>
      <c r="N4077">
        <v>2.2999999999999998</v>
      </c>
      <c r="O4077">
        <v>1</v>
      </c>
      <c r="P4077" t="s">
        <v>53</v>
      </c>
    </row>
    <row r="4078" spans="1:16" x14ac:dyDescent="0.25">
      <c r="A4078" t="s">
        <v>8478</v>
      </c>
      <c r="B4078" t="s">
        <v>4639</v>
      </c>
      <c r="C4078" t="s">
        <v>29</v>
      </c>
      <c r="D4078" t="s">
        <v>30</v>
      </c>
      <c r="E4078" t="s">
        <v>20</v>
      </c>
      <c r="F4078" t="s">
        <v>32</v>
      </c>
      <c r="G4078" t="s">
        <v>22</v>
      </c>
      <c r="H4078" t="s">
        <v>23</v>
      </c>
      <c r="I4078" t="s">
        <v>57</v>
      </c>
      <c r="J4078" t="s">
        <v>1874</v>
      </c>
      <c r="L4078">
        <v>5.4</v>
      </c>
      <c r="M4078">
        <v>210000</v>
      </c>
      <c r="N4078">
        <v>1.8</v>
      </c>
      <c r="O4078">
        <v>2</v>
      </c>
      <c r="P4078" t="s">
        <v>26</v>
      </c>
    </row>
    <row r="4079" spans="1:16" x14ac:dyDescent="0.25">
      <c r="A4079" t="s">
        <v>8479</v>
      </c>
      <c r="B4079" t="s">
        <v>1072</v>
      </c>
      <c r="C4079" t="s">
        <v>29</v>
      </c>
      <c r="D4079" t="s">
        <v>19</v>
      </c>
      <c r="E4079" t="s">
        <v>20</v>
      </c>
      <c r="F4079" t="s">
        <v>21</v>
      </c>
      <c r="G4079" t="s">
        <v>80</v>
      </c>
      <c r="H4079" t="s">
        <v>46</v>
      </c>
      <c r="I4079" t="s">
        <v>24</v>
      </c>
      <c r="J4079" t="s">
        <v>504</v>
      </c>
      <c r="L4079">
        <v>2.9</v>
      </c>
      <c r="M4079">
        <v>763000</v>
      </c>
      <c r="N4079">
        <v>3.5</v>
      </c>
      <c r="O4079">
        <v>6</v>
      </c>
      <c r="P4079" t="s">
        <v>26</v>
      </c>
    </row>
    <row r="4080" spans="1:16" x14ac:dyDescent="0.25">
      <c r="A4080" t="s">
        <v>8480</v>
      </c>
      <c r="B4080" t="s">
        <v>3874</v>
      </c>
      <c r="C4080" t="s">
        <v>29</v>
      </c>
      <c r="D4080" t="s">
        <v>30</v>
      </c>
      <c r="E4080" t="s">
        <v>20</v>
      </c>
      <c r="F4080" t="s">
        <v>128</v>
      </c>
      <c r="G4080" t="s">
        <v>22</v>
      </c>
      <c r="H4080" t="s">
        <v>34</v>
      </c>
      <c r="I4080" t="s">
        <v>24</v>
      </c>
      <c r="J4080" t="s">
        <v>4409</v>
      </c>
      <c r="K4080" t="s">
        <v>784</v>
      </c>
      <c r="L4080">
        <v>2.7</v>
      </c>
      <c r="M4080">
        <v>438000</v>
      </c>
      <c r="N4080">
        <v>3.8</v>
      </c>
      <c r="O4080">
        <v>35</v>
      </c>
      <c r="P4080" t="s">
        <v>53</v>
      </c>
    </row>
    <row r="4081" spans="1:16" x14ac:dyDescent="0.25">
      <c r="A4081" t="s">
        <v>8481</v>
      </c>
      <c r="B4081" t="s">
        <v>3419</v>
      </c>
      <c r="C4081" t="s">
        <v>29</v>
      </c>
      <c r="D4081" t="s">
        <v>50</v>
      </c>
      <c r="F4081" t="s">
        <v>32</v>
      </c>
      <c r="G4081" t="s">
        <v>80</v>
      </c>
      <c r="H4081" t="s">
        <v>62</v>
      </c>
      <c r="I4081" t="s">
        <v>24</v>
      </c>
      <c r="J4081" t="s">
        <v>3434</v>
      </c>
      <c r="L4081">
        <v>5.7</v>
      </c>
      <c r="M4081">
        <v>316000</v>
      </c>
      <c r="N4081">
        <v>3.8</v>
      </c>
      <c r="O4081">
        <v>8</v>
      </c>
      <c r="P4081" t="s">
        <v>26</v>
      </c>
    </row>
    <row r="4082" spans="1:16" x14ac:dyDescent="0.25">
      <c r="A4082" t="s">
        <v>8482</v>
      </c>
      <c r="B4082" t="s">
        <v>8483</v>
      </c>
      <c r="C4082" t="s">
        <v>29</v>
      </c>
      <c r="D4082" t="s">
        <v>50</v>
      </c>
      <c r="E4082" t="s">
        <v>20</v>
      </c>
      <c r="F4082" t="s">
        <v>39</v>
      </c>
      <c r="G4082" t="s">
        <v>22</v>
      </c>
      <c r="H4082" t="s">
        <v>46</v>
      </c>
      <c r="I4082" t="s">
        <v>24</v>
      </c>
      <c r="J4082" t="s">
        <v>51</v>
      </c>
      <c r="L4082">
        <v>4.9000000000000004</v>
      </c>
      <c r="M4082">
        <v>166000</v>
      </c>
      <c r="N4082">
        <v>3.3</v>
      </c>
      <c r="O4082">
        <v>2</v>
      </c>
      <c r="P4082" t="s">
        <v>26</v>
      </c>
    </row>
    <row r="4083" spans="1:16" x14ac:dyDescent="0.25">
      <c r="A4083" t="s">
        <v>8484</v>
      </c>
      <c r="B4083" t="s">
        <v>2106</v>
      </c>
      <c r="C4083" t="s">
        <v>18</v>
      </c>
      <c r="D4083" t="s">
        <v>19</v>
      </c>
      <c r="E4083" t="s">
        <v>44</v>
      </c>
      <c r="F4083" t="s">
        <v>21</v>
      </c>
      <c r="G4083" t="s">
        <v>80</v>
      </c>
      <c r="H4083" t="s">
        <v>34</v>
      </c>
      <c r="I4083" t="s">
        <v>35</v>
      </c>
      <c r="J4083" t="s">
        <v>8252</v>
      </c>
      <c r="K4083" t="s">
        <v>8485</v>
      </c>
      <c r="L4083">
        <v>1.9</v>
      </c>
      <c r="M4083">
        <v>1045000</v>
      </c>
      <c r="N4083">
        <v>4.3</v>
      </c>
      <c r="O4083">
        <v>22</v>
      </c>
      <c r="P4083" t="s">
        <v>53</v>
      </c>
    </row>
    <row r="4084" spans="1:16" x14ac:dyDescent="0.25">
      <c r="A4084" t="s">
        <v>8486</v>
      </c>
      <c r="B4084" t="s">
        <v>5811</v>
      </c>
      <c r="C4084" t="s">
        <v>18</v>
      </c>
      <c r="D4084" t="s">
        <v>19</v>
      </c>
      <c r="E4084" t="s">
        <v>44</v>
      </c>
      <c r="F4084" t="s">
        <v>21</v>
      </c>
      <c r="G4084" t="s">
        <v>33</v>
      </c>
      <c r="H4084" t="s">
        <v>34</v>
      </c>
      <c r="I4084" t="s">
        <v>24</v>
      </c>
      <c r="J4084" t="s">
        <v>3921</v>
      </c>
      <c r="K4084" t="s">
        <v>5112</v>
      </c>
      <c r="L4084">
        <v>3.4</v>
      </c>
      <c r="N4084">
        <v>4.5999999999999996</v>
      </c>
      <c r="O4084">
        <v>2</v>
      </c>
      <c r="P4084" t="s">
        <v>72</v>
      </c>
    </row>
    <row r="4085" spans="1:16" x14ac:dyDescent="0.25">
      <c r="A4085" t="s">
        <v>8487</v>
      </c>
      <c r="B4085" t="s">
        <v>4447</v>
      </c>
      <c r="C4085" t="s">
        <v>18</v>
      </c>
      <c r="D4085" t="s">
        <v>30</v>
      </c>
      <c r="E4085" t="s">
        <v>31</v>
      </c>
      <c r="F4085" t="s">
        <v>39</v>
      </c>
      <c r="G4085" t="s">
        <v>33</v>
      </c>
      <c r="H4085" t="s">
        <v>46</v>
      </c>
      <c r="I4085" t="s">
        <v>35</v>
      </c>
      <c r="J4085" t="s">
        <v>5820</v>
      </c>
      <c r="L4085">
        <v>4.9000000000000004</v>
      </c>
      <c r="M4085">
        <v>94000</v>
      </c>
      <c r="N4085">
        <v>2.2999999999999998</v>
      </c>
      <c r="O4085">
        <v>7</v>
      </c>
      <c r="P4085" t="s">
        <v>26</v>
      </c>
    </row>
    <row r="4086" spans="1:16" x14ac:dyDescent="0.25">
      <c r="A4086" t="s">
        <v>8488</v>
      </c>
      <c r="B4086" t="s">
        <v>1443</v>
      </c>
      <c r="C4086" t="s">
        <v>18</v>
      </c>
      <c r="D4086" t="s">
        <v>50</v>
      </c>
      <c r="E4086" t="s">
        <v>20</v>
      </c>
      <c r="F4086" t="s">
        <v>32</v>
      </c>
      <c r="G4086" t="s">
        <v>22</v>
      </c>
      <c r="H4086" t="s">
        <v>46</v>
      </c>
      <c r="I4086" t="s">
        <v>24</v>
      </c>
      <c r="J4086" t="s">
        <v>3443</v>
      </c>
      <c r="K4086" t="s">
        <v>6767</v>
      </c>
      <c r="L4086">
        <v>4.4000000000000004</v>
      </c>
      <c r="M4086">
        <v>289000</v>
      </c>
      <c r="N4086">
        <v>3.6</v>
      </c>
      <c r="O4086">
        <v>11</v>
      </c>
      <c r="P4086" t="s">
        <v>53</v>
      </c>
    </row>
    <row r="4087" spans="1:16" x14ac:dyDescent="0.25">
      <c r="A4087" t="s">
        <v>8489</v>
      </c>
      <c r="B4087" t="s">
        <v>8490</v>
      </c>
      <c r="C4087" t="s">
        <v>18</v>
      </c>
      <c r="D4087" t="s">
        <v>43</v>
      </c>
      <c r="E4087" t="s">
        <v>44</v>
      </c>
      <c r="F4087" t="s">
        <v>128</v>
      </c>
      <c r="G4087" t="s">
        <v>22</v>
      </c>
      <c r="H4087" t="s">
        <v>46</v>
      </c>
      <c r="I4087" t="s">
        <v>57</v>
      </c>
      <c r="J4087" t="s">
        <v>5860</v>
      </c>
      <c r="L4087">
        <v>1.7</v>
      </c>
      <c r="M4087">
        <v>421000</v>
      </c>
      <c r="O4087">
        <v>14</v>
      </c>
      <c r="P4087" t="s">
        <v>26</v>
      </c>
    </row>
    <row r="4088" spans="1:16" x14ac:dyDescent="0.25">
      <c r="A4088" t="s">
        <v>8491</v>
      </c>
      <c r="B4088" t="s">
        <v>1992</v>
      </c>
      <c r="C4088" t="s">
        <v>18</v>
      </c>
      <c r="D4088" t="s">
        <v>19</v>
      </c>
      <c r="E4088" t="s">
        <v>20</v>
      </c>
      <c r="F4088" t="s">
        <v>21</v>
      </c>
      <c r="G4088" t="s">
        <v>22</v>
      </c>
      <c r="H4088" t="s">
        <v>34</v>
      </c>
      <c r="I4088" t="s">
        <v>75</v>
      </c>
      <c r="J4088" t="s">
        <v>4288</v>
      </c>
      <c r="K4088" t="s">
        <v>4022</v>
      </c>
      <c r="L4088">
        <v>5</v>
      </c>
      <c r="M4088">
        <v>800000</v>
      </c>
      <c r="N4088">
        <v>4</v>
      </c>
      <c r="O4088">
        <v>8</v>
      </c>
      <c r="P4088" t="s">
        <v>72</v>
      </c>
    </row>
    <row r="4089" spans="1:16" x14ac:dyDescent="0.25">
      <c r="A4089" t="s">
        <v>8492</v>
      </c>
      <c r="B4089" t="s">
        <v>8493</v>
      </c>
      <c r="C4089" t="s">
        <v>18</v>
      </c>
      <c r="D4089" t="s">
        <v>50</v>
      </c>
      <c r="E4089" t="s">
        <v>20</v>
      </c>
      <c r="F4089" t="s">
        <v>21</v>
      </c>
      <c r="G4089" t="s">
        <v>80</v>
      </c>
      <c r="H4089" t="s">
        <v>23</v>
      </c>
      <c r="I4089" t="s">
        <v>35</v>
      </c>
      <c r="J4089" t="s">
        <v>6600</v>
      </c>
      <c r="K4089" t="s">
        <v>1385</v>
      </c>
      <c r="L4089">
        <v>6.2</v>
      </c>
      <c r="M4089">
        <v>739000</v>
      </c>
      <c r="N4089">
        <v>4.9000000000000004</v>
      </c>
      <c r="O4089">
        <v>10</v>
      </c>
      <c r="P4089" t="s">
        <v>72</v>
      </c>
    </row>
    <row r="4090" spans="1:16" x14ac:dyDescent="0.25">
      <c r="A4090" t="s">
        <v>8494</v>
      </c>
      <c r="B4090" t="s">
        <v>8495</v>
      </c>
      <c r="C4090" t="s">
        <v>29</v>
      </c>
      <c r="D4090" t="s">
        <v>30</v>
      </c>
      <c r="E4090" t="s">
        <v>20</v>
      </c>
      <c r="F4090" t="s">
        <v>32</v>
      </c>
      <c r="G4090" t="s">
        <v>22</v>
      </c>
      <c r="H4090" t="s">
        <v>23</v>
      </c>
      <c r="I4090" t="s">
        <v>24</v>
      </c>
      <c r="J4090" t="s">
        <v>1927</v>
      </c>
      <c r="L4090">
        <v>3.6</v>
      </c>
      <c r="M4090">
        <v>193000</v>
      </c>
      <c r="N4090">
        <v>3.2</v>
      </c>
      <c r="O4090">
        <v>14</v>
      </c>
      <c r="P4090" t="s">
        <v>26</v>
      </c>
    </row>
    <row r="4091" spans="1:16" x14ac:dyDescent="0.25">
      <c r="A4091" t="s">
        <v>8496</v>
      </c>
      <c r="B4091" t="s">
        <v>2346</v>
      </c>
      <c r="C4091" t="s">
        <v>18</v>
      </c>
      <c r="D4091" t="s">
        <v>50</v>
      </c>
      <c r="E4091" t="s">
        <v>20</v>
      </c>
      <c r="F4091" t="s">
        <v>32</v>
      </c>
      <c r="G4091" t="s">
        <v>80</v>
      </c>
      <c r="H4091" t="s">
        <v>34</v>
      </c>
      <c r="I4091" t="s">
        <v>24</v>
      </c>
      <c r="J4091" t="s">
        <v>1234</v>
      </c>
      <c r="L4091">
        <v>3.8</v>
      </c>
      <c r="M4091">
        <v>262000</v>
      </c>
      <c r="N4091">
        <v>3.7</v>
      </c>
      <c r="O4091">
        <v>6</v>
      </c>
      <c r="P4091" t="s">
        <v>26</v>
      </c>
    </row>
    <row r="4092" spans="1:16" x14ac:dyDescent="0.25">
      <c r="A4092" t="s">
        <v>8497</v>
      </c>
      <c r="B4092" t="s">
        <v>4200</v>
      </c>
      <c r="C4092" t="s">
        <v>29</v>
      </c>
      <c r="D4092" t="s">
        <v>19</v>
      </c>
      <c r="E4092" t="s">
        <v>20</v>
      </c>
      <c r="F4092" t="s">
        <v>39</v>
      </c>
      <c r="G4092" t="s">
        <v>22</v>
      </c>
      <c r="H4092" t="s">
        <v>23</v>
      </c>
      <c r="I4092" t="s">
        <v>57</v>
      </c>
      <c r="J4092" t="s">
        <v>4072</v>
      </c>
      <c r="K4092" t="s">
        <v>2983</v>
      </c>
      <c r="L4092">
        <v>5.7</v>
      </c>
      <c r="M4092">
        <v>152000</v>
      </c>
      <c r="N4092">
        <v>4</v>
      </c>
      <c r="O4092">
        <v>10</v>
      </c>
      <c r="P4092" t="s">
        <v>53</v>
      </c>
    </row>
    <row r="4093" spans="1:16" x14ac:dyDescent="0.25">
      <c r="A4093" t="s">
        <v>8498</v>
      </c>
      <c r="B4093" t="s">
        <v>1140</v>
      </c>
      <c r="C4093" t="s">
        <v>18</v>
      </c>
      <c r="D4093" t="s">
        <v>50</v>
      </c>
      <c r="E4093" t="s">
        <v>20</v>
      </c>
      <c r="F4093" t="s">
        <v>32</v>
      </c>
      <c r="G4093" t="s">
        <v>80</v>
      </c>
      <c r="H4093" t="s">
        <v>23</v>
      </c>
      <c r="I4093" t="s">
        <v>75</v>
      </c>
      <c r="J4093" t="s">
        <v>1065</v>
      </c>
      <c r="L4093">
        <v>4</v>
      </c>
      <c r="M4093">
        <v>260000</v>
      </c>
      <c r="N4093">
        <v>3.1</v>
      </c>
      <c r="O4093">
        <v>0</v>
      </c>
      <c r="P4093" t="s">
        <v>26</v>
      </c>
    </row>
    <row r="4094" spans="1:16" x14ac:dyDescent="0.25">
      <c r="A4094" t="s">
        <v>8499</v>
      </c>
      <c r="B4094" t="s">
        <v>6173</v>
      </c>
      <c r="C4094" t="s">
        <v>29</v>
      </c>
      <c r="D4094" t="s">
        <v>79</v>
      </c>
      <c r="E4094" t="s">
        <v>20</v>
      </c>
      <c r="F4094" t="s">
        <v>45</v>
      </c>
      <c r="G4094" t="s">
        <v>33</v>
      </c>
      <c r="H4094" t="s">
        <v>46</v>
      </c>
      <c r="I4094" t="s">
        <v>24</v>
      </c>
      <c r="J4094" t="s">
        <v>8500</v>
      </c>
      <c r="L4094">
        <v>1.3</v>
      </c>
      <c r="M4094">
        <v>1358000</v>
      </c>
      <c r="N4094">
        <v>4.2</v>
      </c>
      <c r="O4094">
        <v>15</v>
      </c>
      <c r="P4094" t="s">
        <v>26</v>
      </c>
    </row>
    <row r="4095" spans="1:16" x14ac:dyDescent="0.25">
      <c r="A4095" t="s">
        <v>8501</v>
      </c>
      <c r="B4095" t="s">
        <v>939</v>
      </c>
      <c r="C4095" t="s">
        <v>18</v>
      </c>
      <c r="D4095" t="s">
        <v>43</v>
      </c>
      <c r="E4095" t="s">
        <v>20</v>
      </c>
      <c r="F4095" t="s">
        <v>39</v>
      </c>
      <c r="G4095" t="s">
        <v>80</v>
      </c>
      <c r="H4095" t="s">
        <v>62</v>
      </c>
      <c r="I4095" t="s">
        <v>57</v>
      </c>
      <c r="J4095" t="s">
        <v>887</v>
      </c>
      <c r="L4095">
        <v>4.3</v>
      </c>
      <c r="M4095">
        <v>129000</v>
      </c>
      <c r="N4095">
        <v>3.2</v>
      </c>
      <c r="O4095">
        <v>16</v>
      </c>
      <c r="P4095" t="s">
        <v>26</v>
      </c>
    </row>
    <row r="4096" spans="1:16" x14ac:dyDescent="0.25">
      <c r="A4096" t="s">
        <v>8502</v>
      </c>
      <c r="B4096" t="s">
        <v>2758</v>
      </c>
      <c r="C4096" t="s">
        <v>18</v>
      </c>
      <c r="D4096" t="s">
        <v>30</v>
      </c>
      <c r="E4096" t="s">
        <v>20</v>
      </c>
      <c r="F4096" t="s">
        <v>128</v>
      </c>
      <c r="G4096" t="s">
        <v>80</v>
      </c>
      <c r="H4096" t="s">
        <v>34</v>
      </c>
      <c r="I4096" t="s">
        <v>57</v>
      </c>
      <c r="J4096" t="s">
        <v>7015</v>
      </c>
      <c r="L4096">
        <v>2.1</v>
      </c>
      <c r="M4096">
        <v>523000</v>
      </c>
      <c r="N4096">
        <v>2.6</v>
      </c>
      <c r="O4096">
        <v>6</v>
      </c>
      <c r="P4096" t="s">
        <v>26</v>
      </c>
    </row>
    <row r="4097" spans="1:16" x14ac:dyDescent="0.25">
      <c r="A4097" t="s">
        <v>8503</v>
      </c>
      <c r="B4097" t="s">
        <v>5711</v>
      </c>
      <c r="C4097" t="s">
        <v>18</v>
      </c>
      <c r="D4097" t="s">
        <v>43</v>
      </c>
      <c r="E4097" t="s">
        <v>20</v>
      </c>
      <c r="F4097" t="s">
        <v>128</v>
      </c>
      <c r="G4097" t="s">
        <v>22</v>
      </c>
      <c r="H4097" t="s">
        <v>34</v>
      </c>
      <c r="I4097" t="s">
        <v>24</v>
      </c>
      <c r="J4097" t="s">
        <v>149</v>
      </c>
      <c r="L4097">
        <v>2.5</v>
      </c>
      <c r="M4097">
        <v>366000</v>
      </c>
      <c r="N4097">
        <v>3.1</v>
      </c>
      <c r="O4097">
        <v>14</v>
      </c>
      <c r="P4097" t="s">
        <v>26</v>
      </c>
    </row>
    <row r="4098" spans="1:16" x14ac:dyDescent="0.25">
      <c r="A4098" t="s">
        <v>8504</v>
      </c>
      <c r="B4098" t="s">
        <v>2346</v>
      </c>
      <c r="C4098" t="s">
        <v>18</v>
      </c>
      <c r="D4098" t="s">
        <v>50</v>
      </c>
      <c r="E4098" t="s">
        <v>20</v>
      </c>
      <c r="F4098" t="s">
        <v>39</v>
      </c>
      <c r="G4098" t="s">
        <v>69</v>
      </c>
      <c r="H4098" t="s">
        <v>46</v>
      </c>
      <c r="I4098" t="s">
        <v>24</v>
      </c>
      <c r="J4098" t="s">
        <v>4365</v>
      </c>
      <c r="K4098" t="s">
        <v>2993</v>
      </c>
      <c r="L4098">
        <v>1.6</v>
      </c>
      <c r="M4098">
        <v>139000</v>
      </c>
      <c r="N4098">
        <v>3.6</v>
      </c>
      <c r="O4098">
        <v>13</v>
      </c>
      <c r="P4098" t="s">
        <v>53</v>
      </c>
    </row>
    <row r="4099" spans="1:16" x14ac:dyDescent="0.25">
      <c r="A4099" t="s">
        <v>8505</v>
      </c>
      <c r="B4099" t="s">
        <v>6002</v>
      </c>
      <c r="C4099" t="s">
        <v>29</v>
      </c>
      <c r="D4099" t="s">
        <v>50</v>
      </c>
      <c r="E4099" t="s">
        <v>44</v>
      </c>
      <c r="G4099" t="s">
        <v>22</v>
      </c>
      <c r="H4099" t="s">
        <v>34</v>
      </c>
      <c r="J4099" t="s">
        <v>7031</v>
      </c>
      <c r="L4099">
        <v>2.2999999999999998</v>
      </c>
      <c r="M4099">
        <v>215000</v>
      </c>
      <c r="N4099">
        <v>4.0999999999999996</v>
      </c>
      <c r="O4099">
        <v>5</v>
      </c>
      <c r="P4099" t="s">
        <v>26</v>
      </c>
    </row>
    <row r="4100" spans="1:16" x14ac:dyDescent="0.25">
      <c r="A4100" t="s">
        <v>8506</v>
      </c>
      <c r="B4100" t="s">
        <v>8507</v>
      </c>
      <c r="C4100" t="s">
        <v>29</v>
      </c>
      <c r="D4100" t="s">
        <v>30</v>
      </c>
      <c r="E4100" t="s">
        <v>44</v>
      </c>
      <c r="F4100" t="s">
        <v>32</v>
      </c>
      <c r="G4100" t="s">
        <v>80</v>
      </c>
      <c r="H4100" t="s">
        <v>34</v>
      </c>
      <c r="I4100" t="s">
        <v>35</v>
      </c>
      <c r="J4100" t="s">
        <v>888</v>
      </c>
      <c r="L4100">
        <v>2.8</v>
      </c>
      <c r="M4100">
        <v>316000</v>
      </c>
      <c r="N4100">
        <v>3.3</v>
      </c>
      <c r="O4100">
        <v>11</v>
      </c>
      <c r="P4100" t="s">
        <v>26</v>
      </c>
    </row>
    <row r="4101" spans="1:16" x14ac:dyDescent="0.25">
      <c r="A4101" t="s">
        <v>8508</v>
      </c>
      <c r="B4101" t="s">
        <v>8509</v>
      </c>
      <c r="C4101" t="s">
        <v>18</v>
      </c>
      <c r="D4101" t="s">
        <v>79</v>
      </c>
      <c r="E4101" t="s">
        <v>20</v>
      </c>
      <c r="F4101" t="s">
        <v>45</v>
      </c>
      <c r="G4101" t="s">
        <v>80</v>
      </c>
      <c r="H4101" t="s">
        <v>34</v>
      </c>
      <c r="I4101" t="s">
        <v>24</v>
      </c>
      <c r="J4101" t="s">
        <v>6566</v>
      </c>
      <c r="L4101">
        <v>2.8</v>
      </c>
      <c r="M4101">
        <v>1194000</v>
      </c>
      <c r="N4101">
        <v>5</v>
      </c>
      <c r="O4101">
        <v>5</v>
      </c>
      <c r="P4101" t="s">
        <v>26</v>
      </c>
    </row>
    <row r="4102" spans="1:16" x14ac:dyDescent="0.25">
      <c r="A4102" t="s">
        <v>8510</v>
      </c>
      <c r="B4102" t="s">
        <v>5889</v>
      </c>
      <c r="C4102" t="s">
        <v>18</v>
      </c>
      <c r="D4102" t="s">
        <v>50</v>
      </c>
      <c r="E4102" t="s">
        <v>44</v>
      </c>
      <c r="F4102" t="s">
        <v>32</v>
      </c>
      <c r="G4102" t="s">
        <v>80</v>
      </c>
      <c r="H4102" t="s">
        <v>46</v>
      </c>
      <c r="I4102" t="s">
        <v>24</v>
      </c>
      <c r="J4102" t="s">
        <v>8511</v>
      </c>
      <c r="L4102">
        <v>5</v>
      </c>
      <c r="M4102">
        <v>283000</v>
      </c>
      <c r="N4102">
        <v>3.5</v>
      </c>
      <c r="O4102">
        <v>29</v>
      </c>
      <c r="P4102" t="s">
        <v>26</v>
      </c>
    </row>
    <row r="4103" spans="1:16" x14ac:dyDescent="0.25">
      <c r="A4103" t="s">
        <v>8512</v>
      </c>
      <c r="B4103" t="s">
        <v>4429</v>
      </c>
      <c r="C4103" t="s">
        <v>29</v>
      </c>
      <c r="D4103" t="s">
        <v>79</v>
      </c>
      <c r="E4103" t="s">
        <v>44</v>
      </c>
      <c r="F4103" t="s">
        <v>32</v>
      </c>
      <c r="G4103" t="s">
        <v>80</v>
      </c>
      <c r="H4103" t="s">
        <v>23</v>
      </c>
      <c r="I4103" t="s">
        <v>57</v>
      </c>
      <c r="J4103" t="s">
        <v>339</v>
      </c>
      <c r="L4103">
        <v>2.2999999999999998</v>
      </c>
      <c r="M4103">
        <v>315000</v>
      </c>
      <c r="N4103">
        <v>3.1</v>
      </c>
      <c r="O4103">
        <v>6</v>
      </c>
      <c r="P4103" t="s">
        <v>26</v>
      </c>
    </row>
    <row r="4104" spans="1:16" x14ac:dyDescent="0.25">
      <c r="A4104" t="s">
        <v>5400</v>
      </c>
      <c r="B4104" t="s">
        <v>5401</v>
      </c>
      <c r="C4104" t="s">
        <v>18</v>
      </c>
      <c r="D4104" t="s">
        <v>50</v>
      </c>
      <c r="E4104" t="s">
        <v>20</v>
      </c>
      <c r="F4104" t="s">
        <v>21</v>
      </c>
      <c r="G4104" t="s">
        <v>22</v>
      </c>
      <c r="H4104" t="s">
        <v>46</v>
      </c>
      <c r="I4104" t="s">
        <v>24</v>
      </c>
      <c r="J4104" t="s">
        <v>560</v>
      </c>
      <c r="L4104">
        <v>1.7</v>
      </c>
      <c r="M4104">
        <v>779000</v>
      </c>
      <c r="N4104">
        <v>5</v>
      </c>
      <c r="O4104">
        <v>11</v>
      </c>
      <c r="P4104" t="s">
        <v>26</v>
      </c>
    </row>
    <row r="4105" spans="1:16" x14ac:dyDescent="0.25">
      <c r="A4105" t="s">
        <v>8513</v>
      </c>
      <c r="B4105" t="s">
        <v>1996</v>
      </c>
      <c r="C4105" t="s">
        <v>18</v>
      </c>
      <c r="D4105" t="s">
        <v>50</v>
      </c>
      <c r="E4105" t="s">
        <v>20</v>
      </c>
      <c r="F4105" t="s">
        <v>32</v>
      </c>
      <c r="G4105" t="s">
        <v>80</v>
      </c>
      <c r="H4105" t="s">
        <v>34</v>
      </c>
      <c r="I4105" t="s">
        <v>35</v>
      </c>
      <c r="J4105" t="s">
        <v>6578</v>
      </c>
      <c r="K4105" t="s">
        <v>5761</v>
      </c>
      <c r="L4105">
        <v>3.4</v>
      </c>
      <c r="M4105">
        <v>293000</v>
      </c>
      <c r="N4105">
        <v>2.2999999999999998</v>
      </c>
      <c r="O4105">
        <v>27</v>
      </c>
      <c r="P4105" t="s">
        <v>114</v>
      </c>
    </row>
    <row r="4106" spans="1:16" x14ac:dyDescent="0.25">
      <c r="A4106" t="s">
        <v>8514</v>
      </c>
      <c r="B4106" t="s">
        <v>2148</v>
      </c>
      <c r="C4106" t="s">
        <v>18</v>
      </c>
      <c r="D4106" t="s">
        <v>50</v>
      </c>
      <c r="E4106" t="s">
        <v>44</v>
      </c>
      <c r="F4106" t="s">
        <v>39</v>
      </c>
      <c r="G4106" t="s">
        <v>80</v>
      </c>
      <c r="H4106" t="s">
        <v>46</v>
      </c>
      <c r="I4106" t="s">
        <v>24</v>
      </c>
      <c r="J4106" t="s">
        <v>3011</v>
      </c>
      <c r="L4106">
        <v>6</v>
      </c>
      <c r="M4106">
        <v>146000</v>
      </c>
      <c r="N4106">
        <v>2.8</v>
      </c>
      <c r="O4106">
        <v>1</v>
      </c>
      <c r="P4106" t="s">
        <v>26</v>
      </c>
    </row>
    <row r="4107" spans="1:16" x14ac:dyDescent="0.25">
      <c r="A4107" t="s">
        <v>8515</v>
      </c>
      <c r="B4107" t="s">
        <v>3871</v>
      </c>
      <c r="C4107" t="s">
        <v>18</v>
      </c>
      <c r="D4107" t="s">
        <v>79</v>
      </c>
      <c r="E4107" t="s">
        <v>31</v>
      </c>
      <c r="F4107" t="s">
        <v>32</v>
      </c>
      <c r="G4107" t="s">
        <v>33</v>
      </c>
      <c r="H4107" t="s">
        <v>62</v>
      </c>
      <c r="I4107" t="s">
        <v>57</v>
      </c>
      <c r="J4107" t="s">
        <v>3813</v>
      </c>
      <c r="L4107">
        <v>2</v>
      </c>
      <c r="M4107">
        <v>208000</v>
      </c>
      <c r="N4107">
        <v>4.4000000000000004</v>
      </c>
      <c r="O4107">
        <v>5</v>
      </c>
      <c r="P4107" t="s">
        <v>26</v>
      </c>
    </row>
    <row r="4108" spans="1:16" x14ac:dyDescent="0.25">
      <c r="A4108" t="s">
        <v>8516</v>
      </c>
      <c r="B4108" t="s">
        <v>5073</v>
      </c>
      <c r="D4108" t="s">
        <v>43</v>
      </c>
      <c r="E4108" t="s">
        <v>20</v>
      </c>
      <c r="F4108" t="s">
        <v>39</v>
      </c>
      <c r="G4108" t="s">
        <v>80</v>
      </c>
      <c r="H4108" t="s">
        <v>23</v>
      </c>
      <c r="I4108" t="s">
        <v>35</v>
      </c>
      <c r="J4108" t="s">
        <v>1106</v>
      </c>
      <c r="L4108">
        <v>4.2</v>
      </c>
      <c r="M4108">
        <v>92000</v>
      </c>
      <c r="N4108">
        <v>2.8</v>
      </c>
      <c r="O4108">
        <v>13</v>
      </c>
      <c r="P4108" t="s">
        <v>26</v>
      </c>
    </row>
    <row r="4109" spans="1:16" x14ac:dyDescent="0.25">
      <c r="A4109" t="s">
        <v>8517</v>
      </c>
      <c r="B4109" t="s">
        <v>2881</v>
      </c>
      <c r="C4109" t="s">
        <v>29</v>
      </c>
      <c r="D4109" t="s">
        <v>50</v>
      </c>
      <c r="E4109" t="s">
        <v>44</v>
      </c>
      <c r="F4109" t="s">
        <v>39</v>
      </c>
      <c r="G4109" t="s">
        <v>80</v>
      </c>
      <c r="H4109" t="s">
        <v>46</v>
      </c>
      <c r="I4109" t="s">
        <v>24</v>
      </c>
      <c r="J4109" t="s">
        <v>1860</v>
      </c>
      <c r="L4109">
        <v>5</v>
      </c>
      <c r="M4109">
        <v>177000</v>
      </c>
      <c r="N4109">
        <v>4</v>
      </c>
      <c r="O4109">
        <v>0</v>
      </c>
      <c r="P4109" t="s">
        <v>26</v>
      </c>
    </row>
    <row r="4110" spans="1:16" x14ac:dyDescent="0.25">
      <c r="A4110" t="s">
        <v>8518</v>
      </c>
      <c r="B4110" t="s">
        <v>8519</v>
      </c>
      <c r="C4110" t="s">
        <v>18</v>
      </c>
      <c r="D4110" t="s">
        <v>50</v>
      </c>
      <c r="E4110" t="s">
        <v>44</v>
      </c>
      <c r="F4110" t="s">
        <v>45</v>
      </c>
      <c r="G4110" t="s">
        <v>69</v>
      </c>
      <c r="H4110" t="s">
        <v>34</v>
      </c>
      <c r="I4110" t="s">
        <v>171</v>
      </c>
      <c r="J4110" t="s">
        <v>102</v>
      </c>
      <c r="L4110">
        <v>4.3</v>
      </c>
      <c r="M4110">
        <v>1030000</v>
      </c>
      <c r="N4110">
        <v>4.9000000000000004</v>
      </c>
      <c r="O4110">
        <v>8</v>
      </c>
      <c r="P4110" t="s">
        <v>26</v>
      </c>
    </row>
    <row r="4111" spans="1:16" x14ac:dyDescent="0.25">
      <c r="A4111" t="s">
        <v>8520</v>
      </c>
      <c r="B4111" t="s">
        <v>3586</v>
      </c>
      <c r="C4111" t="s">
        <v>18</v>
      </c>
      <c r="D4111" t="s">
        <v>50</v>
      </c>
      <c r="E4111" t="s">
        <v>20</v>
      </c>
      <c r="G4111" t="s">
        <v>22</v>
      </c>
      <c r="H4111" t="s">
        <v>23</v>
      </c>
      <c r="I4111" t="s">
        <v>24</v>
      </c>
      <c r="J4111" t="s">
        <v>3499</v>
      </c>
      <c r="L4111">
        <v>1.5</v>
      </c>
      <c r="M4111">
        <v>477000</v>
      </c>
      <c r="N4111">
        <v>2.7</v>
      </c>
      <c r="O4111">
        <v>7</v>
      </c>
      <c r="P4111" t="s">
        <v>26</v>
      </c>
    </row>
    <row r="4112" spans="1:16" x14ac:dyDescent="0.25">
      <c r="A4112" t="s">
        <v>8521</v>
      </c>
      <c r="B4112" t="s">
        <v>6836</v>
      </c>
      <c r="C4112" t="s">
        <v>18</v>
      </c>
      <c r="D4112" t="s">
        <v>79</v>
      </c>
      <c r="E4112" t="s">
        <v>20</v>
      </c>
      <c r="G4112" t="s">
        <v>22</v>
      </c>
      <c r="H4112" t="s">
        <v>23</v>
      </c>
      <c r="I4112" t="s">
        <v>24</v>
      </c>
      <c r="J4112" t="s">
        <v>3864</v>
      </c>
      <c r="L4112">
        <v>3.3</v>
      </c>
      <c r="N4112">
        <v>4.0999999999999996</v>
      </c>
      <c r="O4112">
        <v>27</v>
      </c>
      <c r="P4112" t="s">
        <v>26</v>
      </c>
    </row>
    <row r="4113" spans="1:16" x14ac:dyDescent="0.25">
      <c r="A4113" t="s">
        <v>8522</v>
      </c>
      <c r="B4113" t="s">
        <v>4318</v>
      </c>
      <c r="C4113" t="s">
        <v>29</v>
      </c>
      <c r="D4113" t="s">
        <v>30</v>
      </c>
      <c r="E4113" t="s">
        <v>20</v>
      </c>
      <c r="F4113" t="s">
        <v>21</v>
      </c>
      <c r="G4113" t="s">
        <v>80</v>
      </c>
      <c r="H4113" t="s">
        <v>23</v>
      </c>
      <c r="I4113" t="s">
        <v>24</v>
      </c>
      <c r="J4113" t="s">
        <v>4493</v>
      </c>
      <c r="L4113">
        <v>5.4</v>
      </c>
      <c r="N4113">
        <v>4.5999999999999996</v>
      </c>
      <c r="O4113">
        <v>10</v>
      </c>
      <c r="P4113" t="s">
        <v>26</v>
      </c>
    </row>
    <row r="4114" spans="1:16" x14ac:dyDescent="0.25">
      <c r="A4114" t="s">
        <v>8523</v>
      </c>
      <c r="B4114" t="s">
        <v>8524</v>
      </c>
      <c r="C4114" t="s">
        <v>18</v>
      </c>
      <c r="D4114" t="s">
        <v>30</v>
      </c>
      <c r="E4114" t="s">
        <v>31</v>
      </c>
      <c r="F4114" t="s">
        <v>39</v>
      </c>
      <c r="G4114" t="s">
        <v>69</v>
      </c>
      <c r="H4114" t="s">
        <v>34</v>
      </c>
      <c r="I4114" t="s">
        <v>75</v>
      </c>
      <c r="J4114" t="s">
        <v>1056</v>
      </c>
      <c r="K4114" t="s">
        <v>7704</v>
      </c>
      <c r="L4114">
        <v>4.9000000000000004</v>
      </c>
      <c r="M4114">
        <v>98000</v>
      </c>
      <c r="N4114">
        <v>3.5</v>
      </c>
      <c r="O4114">
        <v>11</v>
      </c>
      <c r="P4114" t="s">
        <v>53</v>
      </c>
    </row>
    <row r="4115" spans="1:16" x14ac:dyDescent="0.25">
      <c r="A4115" t="s">
        <v>8525</v>
      </c>
      <c r="B4115" t="s">
        <v>2360</v>
      </c>
      <c r="D4115" t="s">
        <v>19</v>
      </c>
      <c r="E4115" t="s">
        <v>20</v>
      </c>
      <c r="G4115" t="s">
        <v>22</v>
      </c>
      <c r="H4115" t="s">
        <v>62</v>
      </c>
      <c r="I4115" t="s">
        <v>24</v>
      </c>
      <c r="J4115" t="s">
        <v>321</v>
      </c>
      <c r="L4115">
        <v>4.3</v>
      </c>
      <c r="M4115">
        <v>150000</v>
      </c>
      <c r="N4115">
        <v>2.6</v>
      </c>
      <c r="O4115">
        <v>12</v>
      </c>
      <c r="P4115" t="s">
        <v>26</v>
      </c>
    </row>
    <row r="4116" spans="1:16" x14ac:dyDescent="0.25">
      <c r="A4116" t="s">
        <v>8526</v>
      </c>
      <c r="B4116" t="s">
        <v>8527</v>
      </c>
      <c r="C4116" t="s">
        <v>18</v>
      </c>
      <c r="D4116" t="s">
        <v>50</v>
      </c>
      <c r="E4116" t="s">
        <v>20</v>
      </c>
      <c r="G4116" t="s">
        <v>80</v>
      </c>
      <c r="H4116" t="s">
        <v>46</v>
      </c>
      <c r="I4116" t="s">
        <v>171</v>
      </c>
      <c r="J4116" t="s">
        <v>4416</v>
      </c>
      <c r="K4116" t="s">
        <v>385</v>
      </c>
      <c r="L4116">
        <v>5.2</v>
      </c>
      <c r="M4116">
        <v>183000</v>
      </c>
      <c r="N4116">
        <v>2</v>
      </c>
      <c r="O4116">
        <v>3</v>
      </c>
      <c r="P4116" t="s">
        <v>53</v>
      </c>
    </row>
    <row r="4117" spans="1:16" x14ac:dyDescent="0.25">
      <c r="A4117" t="s">
        <v>8528</v>
      </c>
      <c r="B4117" t="s">
        <v>8529</v>
      </c>
      <c r="C4117" t="s">
        <v>18</v>
      </c>
      <c r="D4117" t="s">
        <v>79</v>
      </c>
      <c r="E4117" t="s">
        <v>20</v>
      </c>
      <c r="F4117" t="s">
        <v>128</v>
      </c>
      <c r="G4117" t="s">
        <v>22</v>
      </c>
      <c r="H4117" t="s">
        <v>34</v>
      </c>
      <c r="J4117" t="s">
        <v>3264</v>
      </c>
      <c r="L4117">
        <v>2.7</v>
      </c>
      <c r="M4117">
        <v>440000</v>
      </c>
      <c r="N4117">
        <v>2.1</v>
      </c>
      <c r="O4117">
        <v>5</v>
      </c>
      <c r="P4117" t="s">
        <v>26</v>
      </c>
    </row>
    <row r="4118" spans="1:16" x14ac:dyDescent="0.25">
      <c r="A4118" t="s">
        <v>8530</v>
      </c>
      <c r="B4118" t="s">
        <v>8531</v>
      </c>
      <c r="C4118" t="s">
        <v>29</v>
      </c>
      <c r="D4118" t="s">
        <v>50</v>
      </c>
      <c r="E4118" t="s">
        <v>44</v>
      </c>
      <c r="F4118" t="s">
        <v>21</v>
      </c>
      <c r="G4118" t="s">
        <v>33</v>
      </c>
      <c r="H4118" t="s">
        <v>23</v>
      </c>
      <c r="I4118" t="s">
        <v>75</v>
      </c>
      <c r="J4118" t="s">
        <v>4333</v>
      </c>
      <c r="K4118" t="s">
        <v>1037</v>
      </c>
      <c r="L4118">
        <v>5.8</v>
      </c>
      <c r="M4118">
        <v>895000</v>
      </c>
      <c r="N4118">
        <v>4.0999999999999996</v>
      </c>
      <c r="O4118">
        <v>9</v>
      </c>
      <c r="P4118" t="s">
        <v>72</v>
      </c>
    </row>
    <row r="4119" spans="1:16" x14ac:dyDescent="0.25">
      <c r="A4119" t="s">
        <v>8532</v>
      </c>
      <c r="B4119" t="s">
        <v>6614</v>
      </c>
      <c r="C4119" t="s">
        <v>29</v>
      </c>
      <c r="D4119" t="s">
        <v>30</v>
      </c>
      <c r="E4119" t="s">
        <v>20</v>
      </c>
      <c r="F4119" t="s">
        <v>39</v>
      </c>
      <c r="G4119" t="s">
        <v>80</v>
      </c>
      <c r="H4119" t="s">
        <v>34</v>
      </c>
      <c r="I4119" t="s">
        <v>24</v>
      </c>
      <c r="J4119" t="s">
        <v>8533</v>
      </c>
      <c r="K4119" t="s">
        <v>1977</v>
      </c>
      <c r="L4119">
        <v>1.4</v>
      </c>
      <c r="M4119">
        <v>98000</v>
      </c>
      <c r="N4119">
        <v>3.1</v>
      </c>
      <c r="O4119">
        <v>4</v>
      </c>
      <c r="P4119" t="s">
        <v>53</v>
      </c>
    </row>
    <row r="4120" spans="1:16" x14ac:dyDescent="0.25">
      <c r="A4120" t="s">
        <v>8534</v>
      </c>
      <c r="B4120" t="s">
        <v>5844</v>
      </c>
      <c r="C4120" t="s">
        <v>18</v>
      </c>
      <c r="D4120" t="s">
        <v>50</v>
      </c>
      <c r="E4120" t="s">
        <v>31</v>
      </c>
      <c r="F4120" t="s">
        <v>39</v>
      </c>
      <c r="G4120" t="s">
        <v>22</v>
      </c>
      <c r="H4120" t="s">
        <v>34</v>
      </c>
      <c r="I4120" t="s">
        <v>24</v>
      </c>
      <c r="J4120" t="s">
        <v>5496</v>
      </c>
      <c r="L4120">
        <v>4.9000000000000004</v>
      </c>
      <c r="M4120">
        <v>96000</v>
      </c>
      <c r="N4120">
        <v>3.1</v>
      </c>
      <c r="O4120">
        <v>1</v>
      </c>
      <c r="P4120" t="s">
        <v>26</v>
      </c>
    </row>
    <row r="4121" spans="1:16" x14ac:dyDescent="0.25">
      <c r="A4121" t="s">
        <v>8535</v>
      </c>
      <c r="B4121" t="s">
        <v>5109</v>
      </c>
      <c r="C4121" t="s">
        <v>29</v>
      </c>
      <c r="D4121" t="s">
        <v>50</v>
      </c>
      <c r="E4121" t="s">
        <v>20</v>
      </c>
      <c r="F4121" t="s">
        <v>39</v>
      </c>
      <c r="G4121" t="s">
        <v>22</v>
      </c>
      <c r="H4121" t="s">
        <v>34</v>
      </c>
      <c r="I4121" t="s">
        <v>57</v>
      </c>
      <c r="J4121" t="s">
        <v>4288</v>
      </c>
      <c r="L4121">
        <v>5</v>
      </c>
      <c r="M4121">
        <v>130000</v>
      </c>
      <c r="N4121">
        <v>2.1</v>
      </c>
      <c r="O4121">
        <v>13</v>
      </c>
      <c r="P4121" t="s">
        <v>26</v>
      </c>
    </row>
    <row r="4122" spans="1:16" x14ac:dyDescent="0.25">
      <c r="A4122" t="s">
        <v>8536</v>
      </c>
      <c r="B4122" t="s">
        <v>8537</v>
      </c>
      <c r="C4122" t="s">
        <v>18</v>
      </c>
      <c r="D4122" t="s">
        <v>30</v>
      </c>
      <c r="E4122" t="s">
        <v>44</v>
      </c>
      <c r="F4122" t="s">
        <v>32</v>
      </c>
      <c r="G4122" t="s">
        <v>33</v>
      </c>
      <c r="H4122" t="s">
        <v>23</v>
      </c>
      <c r="I4122" t="s">
        <v>24</v>
      </c>
      <c r="J4122" t="s">
        <v>2110</v>
      </c>
      <c r="K4122" t="s">
        <v>3889</v>
      </c>
      <c r="L4122">
        <v>5.8</v>
      </c>
      <c r="M4122">
        <v>204000</v>
      </c>
      <c r="N4122">
        <v>2.8</v>
      </c>
      <c r="O4122">
        <v>14</v>
      </c>
      <c r="P4122" t="s">
        <v>53</v>
      </c>
    </row>
    <row r="4123" spans="1:16" x14ac:dyDescent="0.25">
      <c r="A4123" t="s">
        <v>8538</v>
      </c>
      <c r="B4123" t="s">
        <v>8539</v>
      </c>
      <c r="C4123" t="s">
        <v>18</v>
      </c>
      <c r="D4123" t="s">
        <v>50</v>
      </c>
      <c r="E4123" t="s">
        <v>31</v>
      </c>
      <c r="F4123" t="s">
        <v>32</v>
      </c>
      <c r="G4123" t="s">
        <v>69</v>
      </c>
      <c r="H4123" t="s">
        <v>23</v>
      </c>
      <c r="I4123" t="s">
        <v>75</v>
      </c>
      <c r="J4123" t="s">
        <v>3634</v>
      </c>
      <c r="L4123">
        <v>5</v>
      </c>
      <c r="M4123">
        <v>268000</v>
      </c>
      <c r="N4123">
        <v>4.8</v>
      </c>
      <c r="O4123">
        <v>6</v>
      </c>
      <c r="P4123" t="s">
        <v>26</v>
      </c>
    </row>
    <row r="4124" spans="1:16" x14ac:dyDescent="0.25">
      <c r="A4124" t="s">
        <v>8540</v>
      </c>
      <c r="B4124" t="s">
        <v>7085</v>
      </c>
      <c r="C4124" t="s">
        <v>18</v>
      </c>
      <c r="D4124" t="s">
        <v>50</v>
      </c>
      <c r="E4124" t="s">
        <v>20</v>
      </c>
      <c r="F4124" t="s">
        <v>128</v>
      </c>
      <c r="G4124" t="s">
        <v>69</v>
      </c>
      <c r="H4124" t="s">
        <v>23</v>
      </c>
      <c r="I4124" t="s">
        <v>57</v>
      </c>
      <c r="J4124" t="s">
        <v>351</v>
      </c>
      <c r="K4124" t="s">
        <v>8541</v>
      </c>
      <c r="L4124">
        <v>5.4</v>
      </c>
      <c r="M4124">
        <v>549000</v>
      </c>
      <c r="N4124">
        <v>4.4000000000000004</v>
      </c>
      <c r="O4124">
        <v>3</v>
      </c>
      <c r="P4124" t="s">
        <v>53</v>
      </c>
    </row>
    <row r="4125" spans="1:16" x14ac:dyDescent="0.25">
      <c r="A4125" t="s">
        <v>8542</v>
      </c>
      <c r="B4125" t="s">
        <v>8543</v>
      </c>
      <c r="C4125" t="s">
        <v>18</v>
      </c>
      <c r="D4125" t="s">
        <v>43</v>
      </c>
      <c r="E4125" t="s">
        <v>20</v>
      </c>
      <c r="F4125" t="s">
        <v>32</v>
      </c>
      <c r="G4125" t="s">
        <v>22</v>
      </c>
      <c r="H4125" t="s">
        <v>34</v>
      </c>
      <c r="I4125" t="s">
        <v>24</v>
      </c>
      <c r="J4125" t="s">
        <v>5091</v>
      </c>
      <c r="L4125">
        <v>2.6</v>
      </c>
      <c r="M4125">
        <v>270000</v>
      </c>
      <c r="N4125">
        <v>4.2</v>
      </c>
      <c r="O4125">
        <v>11</v>
      </c>
      <c r="P4125" t="s">
        <v>26</v>
      </c>
    </row>
    <row r="4126" spans="1:16" x14ac:dyDescent="0.25">
      <c r="A4126" t="s">
        <v>8544</v>
      </c>
      <c r="B4126" t="s">
        <v>8545</v>
      </c>
      <c r="C4126" t="s">
        <v>18</v>
      </c>
      <c r="E4126" t="s">
        <v>20</v>
      </c>
      <c r="F4126" t="s">
        <v>32</v>
      </c>
      <c r="G4126" t="s">
        <v>33</v>
      </c>
      <c r="H4126" t="s">
        <v>34</v>
      </c>
      <c r="I4126" t="s">
        <v>171</v>
      </c>
      <c r="J4126" t="s">
        <v>1012</v>
      </c>
      <c r="K4126" t="s">
        <v>360</v>
      </c>
      <c r="L4126">
        <v>4</v>
      </c>
      <c r="M4126">
        <v>250000</v>
      </c>
      <c r="N4126">
        <v>3.8</v>
      </c>
      <c r="O4126">
        <v>7</v>
      </c>
      <c r="P4126" t="s">
        <v>53</v>
      </c>
    </row>
    <row r="4127" spans="1:16" x14ac:dyDescent="0.25">
      <c r="A4127" t="s">
        <v>8546</v>
      </c>
      <c r="B4127" t="s">
        <v>8547</v>
      </c>
      <c r="C4127" t="s">
        <v>29</v>
      </c>
      <c r="D4127" t="s">
        <v>50</v>
      </c>
      <c r="E4127" t="s">
        <v>44</v>
      </c>
      <c r="G4127" t="s">
        <v>80</v>
      </c>
      <c r="H4127" t="s">
        <v>62</v>
      </c>
      <c r="I4127" t="s">
        <v>57</v>
      </c>
      <c r="J4127" t="s">
        <v>3227</v>
      </c>
      <c r="K4127" t="s">
        <v>1538</v>
      </c>
      <c r="L4127">
        <v>4</v>
      </c>
      <c r="M4127">
        <v>319000</v>
      </c>
      <c r="N4127">
        <v>3.7</v>
      </c>
      <c r="O4127">
        <v>7</v>
      </c>
      <c r="P4127" t="s">
        <v>114</v>
      </c>
    </row>
    <row r="4128" spans="1:16" x14ac:dyDescent="0.25">
      <c r="A4128" t="s">
        <v>8548</v>
      </c>
      <c r="B4128" t="s">
        <v>5628</v>
      </c>
      <c r="C4128" t="s">
        <v>29</v>
      </c>
      <c r="D4128" t="s">
        <v>79</v>
      </c>
      <c r="E4128" t="s">
        <v>31</v>
      </c>
      <c r="F4128" t="s">
        <v>39</v>
      </c>
      <c r="G4128" t="s">
        <v>80</v>
      </c>
      <c r="H4128" t="s">
        <v>34</v>
      </c>
      <c r="I4128" t="s">
        <v>24</v>
      </c>
      <c r="J4128" t="s">
        <v>4346</v>
      </c>
      <c r="L4128">
        <v>6.1</v>
      </c>
      <c r="N4128">
        <v>4.3</v>
      </c>
      <c r="O4128">
        <v>6</v>
      </c>
      <c r="P4128" t="s">
        <v>26</v>
      </c>
    </row>
    <row r="4129" spans="1:16" x14ac:dyDescent="0.25">
      <c r="A4129" t="s">
        <v>8549</v>
      </c>
      <c r="B4129" t="s">
        <v>6745</v>
      </c>
      <c r="C4129" t="s">
        <v>29</v>
      </c>
      <c r="D4129" t="s">
        <v>43</v>
      </c>
      <c r="E4129" t="s">
        <v>20</v>
      </c>
      <c r="F4129" t="s">
        <v>128</v>
      </c>
      <c r="G4129" t="s">
        <v>80</v>
      </c>
      <c r="I4129" t="s">
        <v>24</v>
      </c>
      <c r="J4129" t="s">
        <v>1115</v>
      </c>
      <c r="K4129" t="s">
        <v>257</v>
      </c>
      <c r="L4129">
        <v>2.2999999999999998</v>
      </c>
      <c r="M4129">
        <v>403000</v>
      </c>
      <c r="N4129">
        <v>2.2000000000000002</v>
      </c>
      <c r="O4129">
        <v>14</v>
      </c>
      <c r="P4129" t="s">
        <v>72</v>
      </c>
    </row>
    <row r="4130" spans="1:16" x14ac:dyDescent="0.25">
      <c r="A4130" t="s">
        <v>8550</v>
      </c>
      <c r="B4130" t="s">
        <v>8551</v>
      </c>
      <c r="C4130" t="s">
        <v>29</v>
      </c>
      <c r="D4130" t="s">
        <v>79</v>
      </c>
      <c r="E4130" t="s">
        <v>20</v>
      </c>
      <c r="F4130" t="s">
        <v>128</v>
      </c>
      <c r="G4130" t="s">
        <v>33</v>
      </c>
      <c r="H4130" t="s">
        <v>34</v>
      </c>
      <c r="I4130" t="s">
        <v>35</v>
      </c>
      <c r="J4130" t="s">
        <v>3188</v>
      </c>
      <c r="L4130">
        <v>4.5999999999999996</v>
      </c>
      <c r="M4130">
        <v>353000</v>
      </c>
      <c r="N4130">
        <v>3</v>
      </c>
      <c r="O4130">
        <v>7</v>
      </c>
      <c r="P4130" t="s">
        <v>26</v>
      </c>
    </row>
    <row r="4131" spans="1:16" x14ac:dyDescent="0.25">
      <c r="A4131" t="s">
        <v>8552</v>
      </c>
      <c r="B4131" t="s">
        <v>4877</v>
      </c>
      <c r="C4131" t="s">
        <v>18</v>
      </c>
      <c r="D4131" t="s">
        <v>50</v>
      </c>
      <c r="E4131" t="s">
        <v>44</v>
      </c>
      <c r="F4131" t="s">
        <v>39</v>
      </c>
      <c r="G4131" t="s">
        <v>80</v>
      </c>
      <c r="H4131" t="s">
        <v>23</v>
      </c>
      <c r="I4131" t="s">
        <v>57</v>
      </c>
      <c r="J4131" t="s">
        <v>2487</v>
      </c>
      <c r="L4131">
        <v>1.6</v>
      </c>
      <c r="M4131">
        <v>138000</v>
      </c>
      <c r="N4131">
        <v>4.8</v>
      </c>
      <c r="O4131">
        <v>1</v>
      </c>
      <c r="P4131" t="s">
        <v>26</v>
      </c>
    </row>
    <row r="4132" spans="1:16" x14ac:dyDescent="0.25">
      <c r="A4132" t="s">
        <v>8553</v>
      </c>
      <c r="B4132" t="s">
        <v>4976</v>
      </c>
      <c r="C4132" t="s">
        <v>29</v>
      </c>
      <c r="D4132" t="s">
        <v>50</v>
      </c>
      <c r="E4132" t="s">
        <v>20</v>
      </c>
      <c r="F4132" t="s">
        <v>32</v>
      </c>
      <c r="G4132" t="s">
        <v>22</v>
      </c>
      <c r="H4132" t="s">
        <v>62</v>
      </c>
      <c r="J4132" t="s">
        <v>279</v>
      </c>
      <c r="K4132" t="s">
        <v>2941</v>
      </c>
      <c r="L4132">
        <v>2.9</v>
      </c>
      <c r="M4132">
        <v>301000</v>
      </c>
      <c r="O4132">
        <v>10</v>
      </c>
      <c r="P4132" t="s">
        <v>53</v>
      </c>
    </row>
    <row r="4133" spans="1:16" x14ac:dyDescent="0.25">
      <c r="A4133" t="s">
        <v>8554</v>
      </c>
      <c r="B4133" t="s">
        <v>2360</v>
      </c>
      <c r="C4133" t="s">
        <v>29</v>
      </c>
      <c r="D4133" t="s">
        <v>50</v>
      </c>
      <c r="E4133" t="s">
        <v>20</v>
      </c>
      <c r="F4133" t="s">
        <v>128</v>
      </c>
      <c r="G4133" t="s">
        <v>22</v>
      </c>
      <c r="H4133" t="s">
        <v>34</v>
      </c>
      <c r="I4133" t="s">
        <v>24</v>
      </c>
      <c r="J4133" t="s">
        <v>1225</v>
      </c>
      <c r="K4133" t="s">
        <v>3066</v>
      </c>
      <c r="L4133">
        <v>4.3</v>
      </c>
      <c r="M4133">
        <v>508000</v>
      </c>
      <c r="N4133">
        <v>2.5</v>
      </c>
      <c r="O4133">
        <v>6</v>
      </c>
      <c r="P4133" t="s">
        <v>53</v>
      </c>
    </row>
    <row r="4134" spans="1:16" x14ac:dyDescent="0.25">
      <c r="A4134" t="s">
        <v>8555</v>
      </c>
      <c r="B4134" t="s">
        <v>4619</v>
      </c>
      <c r="C4134" t="s">
        <v>18</v>
      </c>
      <c r="D4134" t="s">
        <v>30</v>
      </c>
      <c r="E4134" t="s">
        <v>31</v>
      </c>
      <c r="F4134" t="s">
        <v>39</v>
      </c>
      <c r="G4134" t="s">
        <v>80</v>
      </c>
      <c r="H4134" t="s">
        <v>23</v>
      </c>
      <c r="I4134" t="s">
        <v>57</v>
      </c>
      <c r="J4134" t="s">
        <v>493</v>
      </c>
      <c r="L4134">
        <v>1.7</v>
      </c>
      <c r="M4134">
        <v>129000</v>
      </c>
      <c r="N4134">
        <v>3.1</v>
      </c>
      <c r="O4134">
        <v>0</v>
      </c>
      <c r="P4134" t="s">
        <v>26</v>
      </c>
    </row>
    <row r="4135" spans="1:16" x14ac:dyDescent="0.25">
      <c r="A4135" t="s">
        <v>8556</v>
      </c>
      <c r="B4135" t="s">
        <v>8557</v>
      </c>
      <c r="C4135" t="s">
        <v>29</v>
      </c>
      <c r="E4135" t="s">
        <v>20</v>
      </c>
      <c r="F4135" t="s">
        <v>128</v>
      </c>
      <c r="G4135" t="s">
        <v>33</v>
      </c>
      <c r="I4135" t="s">
        <v>57</v>
      </c>
      <c r="J4135" t="s">
        <v>4041</v>
      </c>
      <c r="K4135" t="s">
        <v>1684</v>
      </c>
      <c r="L4135">
        <v>1.3</v>
      </c>
      <c r="M4135">
        <v>496000</v>
      </c>
      <c r="N4135">
        <v>4.7</v>
      </c>
      <c r="P4135" t="s">
        <v>53</v>
      </c>
    </row>
    <row r="4136" spans="1:16" x14ac:dyDescent="0.25">
      <c r="A4136" t="s">
        <v>8558</v>
      </c>
      <c r="B4136" t="s">
        <v>2575</v>
      </c>
      <c r="C4136" t="s">
        <v>18</v>
      </c>
      <c r="D4136" t="s">
        <v>43</v>
      </c>
      <c r="E4136" t="s">
        <v>20</v>
      </c>
      <c r="F4136" t="s">
        <v>45</v>
      </c>
      <c r="G4136" t="s">
        <v>22</v>
      </c>
      <c r="H4136" t="s">
        <v>23</v>
      </c>
      <c r="I4136" t="s">
        <v>24</v>
      </c>
      <c r="J4136" t="s">
        <v>4642</v>
      </c>
      <c r="L4136">
        <v>4.0999999999999996</v>
      </c>
      <c r="M4136">
        <v>1471000</v>
      </c>
      <c r="N4136">
        <v>4</v>
      </c>
      <c r="O4136">
        <v>40</v>
      </c>
      <c r="P4136" t="s">
        <v>26</v>
      </c>
    </row>
    <row r="4137" spans="1:16" x14ac:dyDescent="0.25">
      <c r="A4137" t="s">
        <v>8559</v>
      </c>
      <c r="B4137" t="s">
        <v>3666</v>
      </c>
      <c r="C4137" t="s">
        <v>29</v>
      </c>
      <c r="D4137" t="s">
        <v>50</v>
      </c>
      <c r="E4137" t="s">
        <v>20</v>
      </c>
      <c r="F4137" t="s">
        <v>32</v>
      </c>
      <c r="G4137" t="s">
        <v>69</v>
      </c>
      <c r="H4137" t="s">
        <v>34</v>
      </c>
      <c r="I4137" t="s">
        <v>75</v>
      </c>
      <c r="J4137" t="s">
        <v>3085</v>
      </c>
      <c r="L4137">
        <v>4.0999999999999996</v>
      </c>
      <c r="M4137">
        <v>227000</v>
      </c>
      <c r="N4137">
        <v>3.2</v>
      </c>
      <c r="O4137">
        <v>7</v>
      </c>
      <c r="P4137" t="s">
        <v>26</v>
      </c>
    </row>
    <row r="4138" spans="1:16" x14ac:dyDescent="0.25">
      <c r="A4138" t="s">
        <v>8560</v>
      </c>
      <c r="B4138" t="s">
        <v>2279</v>
      </c>
      <c r="C4138" t="s">
        <v>18</v>
      </c>
      <c r="D4138" t="s">
        <v>30</v>
      </c>
      <c r="F4138" t="s">
        <v>32</v>
      </c>
      <c r="G4138" t="s">
        <v>33</v>
      </c>
      <c r="H4138" t="s">
        <v>34</v>
      </c>
      <c r="I4138" t="s">
        <v>57</v>
      </c>
      <c r="J4138" t="s">
        <v>6570</v>
      </c>
      <c r="K4138" t="s">
        <v>2344</v>
      </c>
      <c r="L4138">
        <v>4.3</v>
      </c>
      <c r="M4138">
        <v>281000</v>
      </c>
      <c r="N4138">
        <v>4.3</v>
      </c>
      <c r="O4138">
        <v>1</v>
      </c>
      <c r="P4138" t="s">
        <v>53</v>
      </c>
    </row>
    <row r="4139" spans="1:16" x14ac:dyDescent="0.25">
      <c r="A4139" t="s">
        <v>8561</v>
      </c>
      <c r="B4139" t="s">
        <v>1201</v>
      </c>
      <c r="C4139" t="s">
        <v>29</v>
      </c>
      <c r="D4139" t="s">
        <v>50</v>
      </c>
      <c r="E4139" t="s">
        <v>20</v>
      </c>
      <c r="F4139" t="s">
        <v>32</v>
      </c>
      <c r="G4139" t="s">
        <v>22</v>
      </c>
      <c r="H4139" t="s">
        <v>34</v>
      </c>
      <c r="I4139" t="s">
        <v>57</v>
      </c>
      <c r="J4139" t="s">
        <v>1097</v>
      </c>
      <c r="L4139">
        <v>4.0999999999999996</v>
      </c>
      <c r="M4139">
        <v>181000</v>
      </c>
      <c r="N4139">
        <v>4.2</v>
      </c>
      <c r="O4139">
        <v>2</v>
      </c>
      <c r="P4139" t="s">
        <v>26</v>
      </c>
    </row>
    <row r="4140" spans="1:16" x14ac:dyDescent="0.25">
      <c r="A4140" t="s">
        <v>8562</v>
      </c>
      <c r="B4140" t="s">
        <v>1915</v>
      </c>
      <c r="C4140" t="s">
        <v>29</v>
      </c>
      <c r="D4140" t="s">
        <v>50</v>
      </c>
      <c r="E4140" t="s">
        <v>20</v>
      </c>
      <c r="F4140" t="s">
        <v>39</v>
      </c>
      <c r="G4140" t="s">
        <v>80</v>
      </c>
      <c r="H4140" t="s">
        <v>23</v>
      </c>
      <c r="I4140" t="s">
        <v>24</v>
      </c>
      <c r="J4140" t="s">
        <v>397</v>
      </c>
      <c r="L4140">
        <v>4.0999999999999996</v>
      </c>
      <c r="M4140">
        <v>137000</v>
      </c>
      <c r="N4140">
        <v>4.2</v>
      </c>
      <c r="O4140">
        <v>6</v>
      </c>
      <c r="P4140" t="s">
        <v>26</v>
      </c>
    </row>
    <row r="4141" spans="1:16" x14ac:dyDescent="0.25">
      <c r="A4141" t="s">
        <v>8563</v>
      </c>
      <c r="B4141" t="s">
        <v>4550</v>
      </c>
      <c r="C4141" t="s">
        <v>18</v>
      </c>
      <c r="D4141" t="s">
        <v>79</v>
      </c>
      <c r="E4141" t="s">
        <v>20</v>
      </c>
      <c r="F4141" t="s">
        <v>32</v>
      </c>
      <c r="G4141" t="s">
        <v>22</v>
      </c>
      <c r="H4141" t="s">
        <v>23</v>
      </c>
      <c r="J4141" t="s">
        <v>3860</v>
      </c>
      <c r="L4141">
        <v>4.4000000000000004</v>
      </c>
      <c r="M4141">
        <v>195000</v>
      </c>
      <c r="N4141">
        <v>2.4</v>
      </c>
      <c r="O4141">
        <v>20</v>
      </c>
      <c r="P4141" t="s">
        <v>26</v>
      </c>
    </row>
    <row r="4142" spans="1:16" x14ac:dyDescent="0.25">
      <c r="A4142" t="s">
        <v>8564</v>
      </c>
      <c r="B4142" t="s">
        <v>650</v>
      </c>
      <c r="C4142" t="s">
        <v>29</v>
      </c>
      <c r="D4142" t="s">
        <v>43</v>
      </c>
      <c r="E4142" t="s">
        <v>20</v>
      </c>
      <c r="F4142" t="s">
        <v>21</v>
      </c>
      <c r="G4142" t="s">
        <v>80</v>
      </c>
      <c r="H4142" t="s">
        <v>23</v>
      </c>
      <c r="I4142" t="s">
        <v>24</v>
      </c>
      <c r="J4142" t="s">
        <v>2843</v>
      </c>
      <c r="L4142">
        <v>2.9</v>
      </c>
      <c r="M4142">
        <v>600000</v>
      </c>
      <c r="N4142">
        <v>4.3</v>
      </c>
      <c r="O4142">
        <v>7</v>
      </c>
      <c r="P4142" t="s">
        <v>26</v>
      </c>
    </row>
    <row r="4143" spans="1:16" x14ac:dyDescent="0.25">
      <c r="A4143" t="s">
        <v>8565</v>
      </c>
      <c r="B4143" t="s">
        <v>2026</v>
      </c>
      <c r="C4143" t="s">
        <v>18</v>
      </c>
      <c r="E4143" t="s">
        <v>31</v>
      </c>
      <c r="F4143" t="s">
        <v>21</v>
      </c>
      <c r="G4143" t="s">
        <v>22</v>
      </c>
      <c r="I4143" t="s">
        <v>35</v>
      </c>
      <c r="J4143" t="s">
        <v>2850</v>
      </c>
      <c r="K4143" t="s">
        <v>2896</v>
      </c>
      <c r="L4143">
        <v>4.4000000000000004</v>
      </c>
      <c r="M4143">
        <v>818000</v>
      </c>
      <c r="N4143">
        <v>4.9000000000000004</v>
      </c>
      <c r="O4143">
        <v>0</v>
      </c>
      <c r="P4143" t="s">
        <v>53</v>
      </c>
    </row>
    <row r="4144" spans="1:16" x14ac:dyDescent="0.25">
      <c r="A4144" t="s">
        <v>8566</v>
      </c>
      <c r="B4144" t="s">
        <v>8567</v>
      </c>
      <c r="D4144" t="s">
        <v>43</v>
      </c>
      <c r="E4144" t="s">
        <v>20</v>
      </c>
      <c r="F4144" t="s">
        <v>39</v>
      </c>
      <c r="G4144" t="s">
        <v>80</v>
      </c>
      <c r="H4144" t="s">
        <v>46</v>
      </c>
      <c r="I4144" t="s">
        <v>35</v>
      </c>
      <c r="J4144" t="s">
        <v>5242</v>
      </c>
      <c r="L4144">
        <v>2.8</v>
      </c>
      <c r="M4144">
        <v>159000</v>
      </c>
      <c r="N4144">
        <v>4.2</v>
      </c>
      <c r="P4144" t="s">
        <v>26</v>
      </c>
    </row>
    <row r="4145" spans="1:16" x14ac:dyDescent="0.25">
      <c r="A4145" t="s">
        <v>8568</v>
      </c>
      <c r="B4145" t="s">
        <v>8569</v>
      </c>
      <c r="C4145" t="s">
        <v>29</v>
      </c>
      <c r="D4145" t="s">
        <v>79</v>
      </c>
      <c r="E4145" t="s">
        <v>20</v>
      </c>
      <c r="F4145" t="s">
        <v>45</v>
      </c>
      <c r="G4145" t="s">
        <v>22</v>
      </c>
      <c r="H4145" t="s">
        <v>46</v>
      </c>
      <c r="J4145" t="s">
        <v>8570</v>
      </c>
      <c r="K4145" t="s">
        <v>755</v>
      </c>
      <c r="L4145">
        <v>3.4</v>
      </c>
      <c r="M4145">
        <v>1452000</v>
      </c>
      <c r="N4145">
        <v>4.2</v>
      </c>
      <c r="O4145">
        <v>12</v>
      </c>
      <c r="P4145" t="s">
        <v>72</v>
      </c>
    </row>
    <row r="4146" spans="1:16" x14ac:dyDescent="0.25">
      <c r="A4146" t="s">
        <v>8571</v>
      </c>
      <c r="B4146" t="s">
        <v>7186</v>
      </c>
      <c r="C4146" t="s">
        <v>29</v>
      </c>
      <c r="D4146" t="s">
        <v>30</v>
      </c>
      <c r="E4146" t="s">
        <v>20</v>
      </c>
      <c r="F4146" t="s">
        <v>21</v>
      </c>
      <c r="G4146" t="s">
        <v>22</v>
      </c>
      <c r="H4146" t="s">
        <v>46</v>
      </c>
      <c r="I4146" t="s">
        <v>24</v>
      </c>
      <c r="J4146" t="s">
        <v>3612</v>
      </c>
      <c r="L4146">
        <v>4.4000000000000004</v>
      </c>
      <c r="M4146">
        <v>840000</v>
      </c>
      <c r="N4146">
        <v>4.3</v>
      </c>
      <c r="O4146">
        <v>5</v>
      </c>
      <c r="P4146" t="s">
        <v>26</v>
      </c>
    </row>
    <row r="4147" spans="1:16" x14ac:dyDescent="0.25">
      <c r="A4147" t="s">
        <v>8572</v>
      </c>
      <c r="B4147" t="s">
        <v>8307</v>
      </c>
      <c r="C4147" t="s">
        <v>18</v>
      </c>
      <c r="D4147" t="s">
        <v>30</v>
      </c>
      <c r="E4147" t="s">
        <v>31</v>
      </c>
      <c r="F4147" t="s">
        <v>32</v>
      </c>
      <c r="G4147" t="s">
        <v>33</v>
      </c>
      <c r="H4147" t="s">
        <v>23</v>
      </c>
      <c r="I4147" t="s">
        <v>24</v>
      </c>
      <c r="J4147" t="s">
        <v>827</v>
      </c>
      <c r="L4147">
        <v>4.5999999999999996</v>
      </c>
      <c r="M4147">
        <v>187000</v>
      </c>
      <c r="N4147">
        <v>1.9</v>
      </c>
      <c r="O4147">
        <v>3</v>
      </c>
      <c r="P4147" t="s">
        <v>26</v>
      </c>
    </row>
    <row r="4148" spans="1:16" x14ac:dyDescent="0.25">
      <c r="A4148" t="s">
        <v>8573</v>
      </c>
      <c r="B4148" t="s">
        <v>7356</v>
      </c>
      <c r="C4148" t="s">
        <v>18</v>
      </c>
      <c r="D4148" t="s">
        <v>79</v>
      </c>
      <c r="E4148" t="s">
        <v>20</v>
      </c>
      <c r="F4148" t="s">
        <v>128</v>
      </c>
      <c r="G4148" t="s">
        <v>33</v>
      </c>
      <c r="H4148" t="s">
        <v>46</v>
      </c>
      <c r="I4148" t="s">
        <v>171</v>
      </c>
      <c r="J4148" t="s">
        <v>6906</v>
      </c>
      <c r="L4148">
        <v>1.3</v>
      </c>
      <c r="M4148">
        <v>397000</v>
      </c>
      <c r="N4148">
        <v>4.3</v>
      </c>
      <c r="O4148">
        <v>10</v>
      </c>
      <c r="P4148" t="s">
        <v>26</v>
      </c>
    </row>
    <row r="4149" spans="1:16" x14ac:dyDescent="0.25">
      <c r="A4149" t="s">
        <v>8574</v>
      </c>
      <c r="B4149" t="s">
        <v>8575</v>
      </c>
      <c r="C4149" t="s">
        <v>29</v>
      </c>
      <c r="D4149" t="s">
        <v>30</v>
      </c>
      <c r="E4149" t="s">
        <v>44</v>
      </c>
      <c r="F4149" t="s">
        <v>39</v>
      </c>
      <c r="G4149" t="s">
        <v>33</v>
      </c>
      <c r="H4149" t="s">
        <v>34</v>
      </c>
      <c r="I4149" t="s">
        <v>57</v>
      </c>
      <c r="J4149" t="s">
        <v>4309</v>
      </c>
      <c r="K4149" t="s">
        <v>1145</v>
      </c>
      <c r="L4149">
        <v>3.1</v>
      </c>
      <c r="M4149">
        <v>119000</v>
      </c>
      <c r="N4149">
        <v>2</v>
      </c>
      <c r="O4149">
        <v>5</v>
      </c>
      <c r="P4149" t="s">
        <v>53</v>
      </c>
    </row>
    <row r="4150" spans="1:16" x14ac:dyDescent="0.25">
      <c r="A4150" t="s">
        <v>8576</v>
      </c>
      <c r="B4150" t="s">
        <v>8577</v>
      </c>
      <c r="C4150" t="s">
        <v>18</v>
      </c>
      <c r="D4150" t="s">
        <v>43</v>
      </c>
      <c r="E4150" t="s">
        <v>44</v>
      </c>
      <c r="F4150" t="s">
        <v>32</v>
      </c>
      <c r="G4150" t="s">
        <v>33</v>
      </c>
      <c r="H4150" t="s">
        <v>23</v>
      </c>
      <c r="I4150" t="s">
        <v>57</v>
      </c>
      <c r="J4150" t="s">
        <v>3506</v>
      </c>
      <c r="K4150" t="s">
        <v>5573</v>
      </c>
      <c r="L4150">
        <v>2.7</v>
      </c>
      <c r="M4150">
        <v>180000</v>
      </c>
      <c r="N4150">
        <v>3.5</v>
      </c>
      <c r="O4150">
        <v>13</v>
      </c>
      <c r="P4150" t="s">
        <v>53</v>
      </c>
    </row>
    <row r="4151" spans="1:16" x14ac:dyDescent="0.25">
      <c r="A4151" t="s">
        <v>8578</v>
      </c>
      <c r="B4151" t="s">
        <v>6893</v>
      </c>
      <c r="C4151" t="s">
        <v>18</v>
      </c>
      <c r="D4151" t="s">
        <v>19</v>
      </c>
      <c r="E4151" t="s">
        <v>44</v>
      </c>
      <c r="F4151" t="s">
        <v>39</v>
      </c>
      <c r="G4151" t="s">
        <v>33</v>
      </c>
      <c r="H4151" t="s">
        <v>23</v>
      </c>
      <c r="I4151" t="s">
        <v>171</v>
      </c>
      <c r="J4151" t="s">
        <v>5112</v>
      </c>
      <c r="K4151" t="s">
        <v>4014</v>
      </c>
      <c r="L4151">
        <v>2.4</v>
      </c>
      <c r="M4151">
        <v>127000</v>
      </c>
      <c r="N4151">
        <v>3.8</v>
      </c>
      <c r="O4151">
        <v>30</v>
      </c>
      <c r="P4151" t="s">
        <v>53</v>
      </c>
    </row>
    <row r="4152" spans="1:16" x14ac:dyDescent="0.25">
      <c r="A4152" t="s">
        <v>8579</v>
      </c>
      <c r="B4152" t="s">
        <v>2550</v>
      </c>
      <c r="C4152" t="s">
        <v>29</v>
      </c>
      <c r="D4152" t="s">
        <v>43</v>
      </c>
      <c r="E4152" t="s">
        <v>20</v>
      </c>
      <c r="F4152" t="s">
        <v>32</v>
      </c>
      <c r="G4152" t="s">
        <v>22</v>
      </c>
      <c r="H4152" t="s">
        <v>46</v>
      </c>
      <c r="I4152" t="s">
        <v>57</v>
      </c>
      <c r="J4152" t="s">
        <v>4790</v>
      </c>
      <c r="K4152" t="s">
        <v>168</v>
      </c>
      <c r="L4152">
        <v>2.8</v>
      </c>
      <c r="M4152">
        <v>262000</v>
      </c>
      <c r="N4152">
        <v>4.9000000000000004</v>
      </c>
      <c r="O4152">
        <v>9</v>
      </c>
      <c r="P4152" t="s">
        <v>72</v>
      </c>
    </row>
    <row r="4153" spans="1:16" x14ac:dyDescent="0.25">
      <c r="A4153" t="s">
        <v>8580</v>
      </c>
      <c r="B4153" t="s">
        <v>6379</v>
      </c>
      <c r="C4153" t="s">
        <v>29</v>
      </c>
      <c r="D4153" t="s">
        <v>79</v>
      </c>
      <c r="F4153" t="s">
        <v>39</v>
      </c>
      <c r="G4153" t="s">
        <v>80</v>
      </c>
      <c r="H4153" t="s">
        <v>46</v>
      </c>
      <c r="I4153" t="s">
        <v>24</v>
      </c>
      <c r="J4153" t="s">
        <v>136</v>
      </c>
      <c r="K4153" t="s">
        <v>6719</v>
      </c>
      <c r="L4153">
        <v>2.4</v>
      </c>
      <c r="M4153">
        <v>136000</v>
      </c>
      <c r="N4153">
        <v>3.5</v>
      </c>
      <c r="O4153">
        <v>29</v>
      </c>
      <c r="P4153" t="s">
        <v>53</v>
      </c>
    </row>
    <row r="4154" spans="1:16" x14ac:dyDescent="0.25">
      <c r="A4154" t="s">
        <v>8581</v>
      </c>
      <c r="B4154" t="s">
        <v>8582</v>
      </c>
      <c r="C4154" t="s">
        <v>29</v>
      </c>
      <c r="D4154" t="s">
        <v>79</v>
      </c>
      <c r="E4154" t="s">
        <v>20</v>
      </c>
      <c r="F4154" t="s">
        <v>128</v>
      </c>
      <c r="G4154" t="s">
        <v>69</v>
      </c>
      <c r="H4154" t="s">
        <v>46</v>
      </c>
      <c r="I4154" t="s">
        <v>57</v>
      </c>
      <c r="J4154" t="s">
        <v>4011</v>
      </c>
      <c r="L4154">
        <v>5.0999999999999996</v>
      </c>
      <c r="M4154">
        <v>410000</v>
      </c>
      <c r="N4154">
        <v>2.2000000000000002</v>
      </c>
      <c r="O4154">
        <v>13</v>
      </c>
      <c r="P4154" t="s">
        <v>26</v>
      </c>
    </row>
    <row r="4155" spans="1:16" x14ac:dyDescent="0.25">
      <c r="A4155" t="s">
        <v>8583</v>
      </c>
      <c r="B4155" t="s">
        <v>4173</v>
      </c>
      <c r="C4155" t="s">
        <v>18</v>
      </c>
      <c r="D4155" t="s">
        <v>30</v>
      </c>
      <c r="E4155" t="s">
        <v>20</v>
      </c>
      <c r="G4155" t="s">
        <v>22</v>
      </c>
      <c r="H4155" t="s">
        <v>46</v>
      </c>
      <c r="I4155" t="s">
        <v>24</v>
      </c>
      <c r="J4155" t="s">
        <v>6668</v>
      </c>
      <c r="K4155" t="s">
        <v>7896</v>
      </c>
      <c r="L4155">
        <v>5.7</v>
      </c>
      <c r="M4155">
        <v>322000</v>
      </c>
      <c r="N4155">
        <v>3.6</v>
      </c>
      <c r="O4155">
        <v>1</v>
      </c>
      <c r="P4155" t="s">
        <v>72</v>
      </c>
    </row>
    <row r="4156" spans="1:16" x14ac:dyDescent="0.25">
      <c r="A4156" t="s">
        <v>8584</v>
      </c>
      <c r="B4156" t="s">
        <v>8585</v>
      </c>
      <c r="C4156" t="s">
        <v>29</v>
      </c>
      <c r="D4156" t="s">
        <v>50</v>
      </c>
      <c r="E4156" t="s">
        <v>20</v>
      </c>
      <c r="F4156" t="s">
        <v>32</v>
      </c>
      <c r="G4156" t="s">
        <v>33</v>
      </c>
      <c r="H4156" t="s">
        <v>23</v>
      </c>
      <c r="I4156" t="s">
        <v>35</v>
      </c>
      <c r="J4156" t="s">
        <v>8586</v>
      </c>
      <c r="L4156">
        <v>4</v>
      </c>
      <c r="M4156">
        <v>185000</v>
      </c>
      <c r="N4156">
        <v>3.8</v>
      </c>
      <c r="O4156">
        <v>9</v>
      </c>
      <c r="P4156" t="s">
        <v>26</v>
      </c>
    </row>
    <row r="4157" spans="1:16" x14ac:dyDescent="0.25">
      <c r="A4157" t="s">
        <v>8587</v>
      </c>
      <c r="B4157" t="s">
        <v>8588</v>
      </c>
      <c r="C4157" t="s">
        <v>29</v>
      </c>
      <c r="D4157" t="s">
        <v>19</v>
      </c>
      <c r="E4157" t="s">
        <v>20</v>
      </c>
      <c r="F4157" t="s">
        <v>128</v>
      </c>
      <c r="G4157" t="s">
        <v>80</v>
      </c>
      <c r="H4157" t="s">
        <v>34</v>
      </c>
      <c r="I4157" t="s">
        <v>57</v>
      </c>
      <c r="J4157" t="s">
        <v>3551</v>
      </c>
      <c r="L4157">
        <v>4.3</v>
      </c>
      <c r="M4157">
        <v>525000</v>
      </c>
      <c r="N4157">
        <v>3.5</v>
      </c>
      <c r="O4157">
        <v>13</v>
      </c>
      <c r="P4157" t="s">
        <v>26</v>
      </c>
    </row>
    <row r="4158" spans="1:16" x14ac:dyDescent="0.25">
      <c r="A4158" t="s">
        <v>8589</v>
      </c>
      <c r="B4158" t="s">
        <v>6232</v>
      </c>
      <c r="C4158" t="s">
        <v>18</v>
      </c>
      <c r="D4158" t="s">
        <v>79</v>
      </c>
      <c r="E4158" t="s">
        <v>20</v>
      </c>
      <c r="F4158" t="s">
        <v>21</v>
      </c>
      <c r="G4158" t="s">
        <v>33</v>
      </c>
      <c r="H4158" t="s">
        <v>46</v>
      </c>
      <c r="I4158" t="s">
        <v>57</v>
      </c>
      <c r="J4158" t="s">
        <v>3599</v>
      </c>
      <c r="L4158">
        <v>3.4</v>
      </c>
      <c r="M4158">
        <v>879000</v>
      </c>
      <c r="N4158">
        <v>3.8</v>
      </c>
      <c r="O4158">
        <v>14</v>
      </c>
      <c r="P4158" t="s">
        <v>26</v>
      </c>
    </row>
    <row r="4159" spans="1:16" x14ac:dyDescent="0.25">
      <c r="A4159" t="s">
        <v>8590</v>
      </c>
      <c r="B4159" t="s">
        <v>8591</v>
      </c>
      <c r="C4159" t="s">
        <v>18</v>
      </c>
      <c r="D4159" t="s">
        <v>79</v>
      </c>
      <c r="E4159" t="s">
        <v>20</v>
      </c>
      <c r="F4159" t="s">
        <v>45</v>
      </c>
      <c r="G4159" t="s">
        <v>80</v>
      </c>
      <c r="H4159" t="s">
        <v>23</v>
      </c>
      <c r="I4159" t="s">
        <v>24</v>
      </c>
      <c r="J4159" t="s">
        <v>7031</v>
      </c>
      <c r="L4159">
        <v>2.2999999999999998</v>
      </c>
      <c r="M4159">
        <v>1858000</v>
      </c>
      <c r="N4159">
        <v>3.2</v>
      </c>
      <c r="O4159">
        <v>12</v>
      </c>
      <c r="P4159" t="s">
        <v>26</v>
      </c>
    </row>
    <row r="4160" spans="1:16" x14ac:dyDescent="0.25">
      <c r="A4160" t="s">
        <v>8592</v>
      </c>
      <c r="B4160" t="s">
        <v>4128</v>
      </c>
      <c r="C4160" t="s">
        <v>18</v>
      </c>
      <c r="D4160" t="s">
        <v>19</v>
      </c>
      <c r="F4160" t="s">
        <v>32</v>
      </c>
      <c r="G4160" t="s">
        <v>33</v>
      </c>
      <c r="H4160" t="s">
        <v>46</v>
      </c>
      <c r="I4160" t="s">
        <v>35</v>
      </c>
      <c r="J4160" t="s">
        <v>2236</v>
      </c>
      <c r="L4160">
        <v>2.4</v>
      </c>
      <c r="M4160">
        <v>361000</v>
      </c>
      <c r="N4160">
        <v>3.6</v>
      </c>
      <c r="O4160">
        <v>3</v>
      </c>
      <c r="P4160" t="s">
        <v>26</v>
      </c>
    </row>
    <row r="4161" spans="1:16" x14ac:dyDescent="0.25">
      <c r="A4161" t="s">
        <v>8593</v>
      </c>
      <c r="B4161" t="s">
        <v>8594</v>
      </c>
      <c r="C4161" t="s">
        <v>18</v>
      </c>
      <c r="D4161" t="s">
        <v>19</v>
      </c>
      <c r="E4161" t="s">
        <v>20</v>
      </c>
      <c r="F4161" t="s">
        <v>39</v>
      </c>
      <c r="G4161" t="s">
        <v>80</v>
      </c>
      <c r="H4161" t="s">
        <v>46</v>
      </c>
      <c r="I4161" t="s">
        <v>57</v>
      </c>
      <c r="J4161" t="s">
        <v>3330</v>
      </c>
      <c r="L4161">
        <v>1.4</v>
      </c>
      <c r="M4161">
        <v>140000</v>
      </c>
      <c r="N4161">
        <v>4.8</v>
      </c>
      <c r="O4161">
        <v>31</v>
      </c>
      <c r="P4161" t="s">
        <v>26</v>
      </c>
    </row>
    <row r="4162" spans="1:16" x14ac:dyDescent="0.25">
      <c r="A4162" t="s">
        <v>8595</v>
      </c>
      <c r="B4162" t="s">
        <v>4573</v>
      </c>
      <c r="C4162" t="s">
        <v>18</v>
      </c>
      <c r="D4162" t="s">
        <v>43</v>
      </c>
      <c r="E4162" t="s">
        <v>20</v>
      </c>
      <c r="F4162" t="s">
        <v>32</v>
      </c>
      <c r="G4162" t="s">
        <v>22</v>
      </c>
      <c r="H4162" t="s">
        <v>46</v>
      </c>
      <c r="I4162" t="s">
        <v>24</v>
      </c>
      <c r="J4162" t="s">
        <v>2827</v>
      </c>
      <c r="L4162">
        <v>5.5</v>
      </c>
      <c r="M4162">
        <v>315000</v>
      </c>
      <c r="N4162">
        <v>3.7</v>
      </c>
      <c r="O4162">
        <v>2</v>
      </c>
      <c r="P4162" t="s">
        <v>26</v>
      </c>
    </row>
    <row r="4163" spans="1:16" x14ac:dyDescent="0.25">
      <c r="A4163" t="s">
        <v>8596</v>
      </c>
      <c r="B4163" t="s">
        <v>1125</v>
      </c>
      <c r="C4163" t="s">
        <v>18</v>
      </c>
      <c r="D4163" t="s">
        <v>79</v>
      </c>
      <c r="E4163" t="s">
        <v>20</v>
      </c>
      <c r="G4163" t="s">
        <v>69</v>
      </c>
      <c r="H4163" t="s">
        <v>62</v>
      </c>
      <c r="I4163" t="s">
        <v>57</v>
      </c>
      <c r="J4163" t="s">
        <v>2417</v>
      </c>
      <c r="L4163">
        <v>3</v>
      </c>
      <c r="M4163">
        <v>209000</v>
      </c>
      <c r="N4163">
        <v>4.0999999999999996</v>
      </c>
      <c r="O4163">
        <v>7</v>
      </c>
      <c r="P4163" t="s">
        <v>26</v>
      </c>
    </row>
    <row r="4164" spans="1:16" x14ac:dyDescent="0.25">
      <c r="A4164" t="s">
        <v>8597</v>
      </c>
      <c r="B4164" t="s">
        <v>4036</v>
      </c>
      <c r="C4164" t="s">
        <v>18</v>
      </c>
      <c r="D4164" t="s">
        <v>79</v>
      </c>
      <c r="E4164" t="s">
        <v>44</v>
      </c>
      <c r="F4164" t="s">
        <v>39</v>
      </c>
      <c r="G4164" t="s">
        <v>22</v>
      </c>
      <c r="H4164" t="s">
        <v>23</v>
      </c>
      <c r="I4164" t="s">
        <v>57</v>
      </c>
      <c r="J4164" t="s">
        <v>3561</v>
      </c>
      <c r="L4164">
        <v>2</v>
      </c>
      <c r="N4164">
        <v>4.8</v>
      </c>
      <c r="O4164">
        <v>9</v>
      </c>
      <c r="P4164" t="s">
        <v>26</v>
      </c>
    </row>
    <row r="4165" spans="1:16" x14ac:dyDescent="0.25">
      <c r="A4165" t="s">
        <v>8598</v>
      </c>
      <c r="B4165" t="s">
        <v>4284</v>
      </c>
      <c r="C4165" t="s">
        <v>18</v>
      </c>
      <c r="D4165" t="s">
        <v>30</v>
      </c>
      <c r="E4165" t="s">
        <v>20</v>
      </c>
      <c r="F4165" t="s">
        <v>39</v>
      </c>
      <c r="G4165" t="s">
        <v>22</v>
      </c>
      <c r="H4165" t="s">
        <v>62</v>
      </c>
      <c r="I4165" t="s">
        <v>35</v>
      </c>
      <c r="J4165" t="s">
        <v>7775</v>
      </c>
      <c r="K4165" t="s">
        <v>5860</v>
      </c>
      <c r="L4165">
        <v>5.8</v>
      </c>
      <c r="N4165">
        <v>2.6</v>
      </c>
      <c r="O4165">
        <v>1</v>
      </c>
      <c r="P4165" t="s">
        <v>53</v>
      </c>
    </row>
    <row r="4166" spans="1:16" x14ac:dyDescent="0.25">
      <c r="A4166" t="s">
        <v>8599</v>
      </c>
      <c r="B4166" t="s">
        <v>8600</v>
      </c>
      <c r="C4166" t="s">
        <v>18</v>
      </c>
      <c r="D4166" t="s">
        <v>30</v>
      </c>
      <c r="E4166" t="s">
        <v>20</v>
      </c>
      <c r="F4166" t="s">
        <v>39</v>
      </c>
      <c r="G4166" t="s">
        <v>22</v>
      </c>
      <c r="H4166" t="s">
        <v>46</v>
      </c>
      <c r="I4166" t="s">
        <v>24</v>
      </c>
      <c r="J4166" t="s">
        <v>1225</v>
      </c>
      <c r="L4166">
        <v>4.3</v>
      </c>
      <c r="M4166">
        <v>176000</v>
      </c>
      <c r="N4166">
        <v>2.4</v>
      </c>
      <c r="O4166">
        <v>4</v>
      </c>
      <c r="P4166" t="s">
        <v>26</v>
      </c>
    </row>
    <row r="4167" spans="1:16" x14ac:dyDescent="0.25">
      <c r="A4167" t="s">
        <v>8601</v>
      </c>
      <c r="B4167" t="s">
        <v>2123</v>
      </c>
      <c r="C4167" t="s">
        <v>29</v>
      </c>
      <c r="D4167" t="s">
        <v>19</v>
      </c>
      <c r="E4167" t="s">
        <v>20</v>
      </c>
      <c r="F4167" t="s">
        <v>39</v>
      </c>
      <c r="G4167" t="s">
        <v>22</v>
      </c>
      <c r="H4167" t="s">
        <v>23</v>
      </c>
      <c r="I4167" t="s">
        <v>35</v>
      </c>
      <c r="J4167" t="s">
        <v>4658</v>
      </c>
      <c r="L4167">
        <v>5.3</v>
      </c>
      <c r="M4167">
        <v>146000</v>
      </c>
      <c r="N4167">
        <v>2.1</v>
      </c>
      <c r="O4167">
        <v>7</v>
      </c>
      <c r="P4167" t="s">
        <v>26</v>
      </c>
    </row>
    <row r="4168" spans="1:16" x14ac:dyDescent="0.25">
      <c r="A4168" t="s">
        <v>8602</v>
      </c>
      <c r="B4168" t="s">
        <v>4130</v>
      </c>
      <c r="C4168" t="s">
        <v>18</v>
      </c>
      <c r="D4168" t="s">
        <v>50</v>
      </c>
      <c r="E4168" t="s">
        <v>20</v>
      </c>
      <c r="F4168" t="s">
        <v>32</v>
      </c>
      <c r="G4168" t="s">
        <v>33</v>
      </c>
      <c r="H4168" t="s">
        <v>23</v>
      </c>
      <c r="I4168" t="s">
        <v>57</v>
      </c>
      <c r="J4168" t="s">
        <v>1674</v>
      </c>
      <c r="L4168">
        <v>1.7</v>
      </c>
      <c r="M4168">
        <v>317000</v>
      </c>
      <c r="N4168">
        <v>2.5</v>
      </c>
      <c r="O4168">
        <v>31</v>
      </c>
      <c r="P4168" t="s">
        <v>26</v>
      </c>
    </row>
    <row r="4169" spans="1:16" x14ac:dyDescent="0.25">
      <c r="A4169" t="s">
        <v>8603</v>
      </c>
      <c r="B4169" t="s">
        <v>5183</v>
      </c>
      <c r="D4169" t="s">
        <v>30</v>
      </c>
      <c r="E4169" t="s">
        <v>44</v>
      </c>
      <c r="F4169" t="s">
        <v>32</v>
      </c>
      <c r="G4169" t="s">
        <v>33</v>
      </c>
      <c r="H4169" t="s">
        <v>34</v>
      </c>
      <c r="I4169" t="s">
        <v>57</v>
      </c>
      <c r="J4169" t="s">
        <v>2850</v>
      </c>
      <c r="K4169" t="s">
        <v>7917</v>
      </c>
      <c r="L4169">
        <v>4.4000000000000004</v>
      </c>
      <c r="M4169">
        <v>347000</v>
      </c>
      <c r="N4169">
        <v>3.5</v>
      </c>
      <c r="O4169">
        <v>1</v>
      </c>
      <c r="P4169" t="s">
        <v>72</v>
      </c>
    </row>
    <row r="4170" spans="1:16" x14ac:dyDescent="0.25">
      <c r="A4170" t="s">
        <v>8604</v>
      </c>
      <c r="B4170" t="s">
        <v>4719</v>
      </c>
      <c r="C4170" t="s">
        <v>29</v>
      </c>
      <c r="D4170" t="s">
        <v>43</v>
      </c>
      <c r="E4170" t="s">
        <v>20</v>
      </c>
      <c r="F4170" t="s">
        <v>39</v>
      </c>
      <c r="G4170" t="s">
        <v>22</v>
      </c>
      <c r="H4170" t="s">
        <v>23</v>
      </c>
      <c r="I4170" t="s">
        <v>35</v>
      </c>
      <c r="J4170" t="s">
        <v>533</v>
      </c>
      <c r="L4170">
        <v>3.1</v>
      </c>
      <c r="M4170">
        <v>108000</v>
      </c>
      <c r="N4170">
        <v>2.4</v>
      </c>
      <c r="O4170">
        <v>8</v>
      </c>
      <c r="P4170" t="s">
        <v>26</v>
      </c>
    </row>
    <row r="4171" spans="1:16" x14ac:dyDescent="0.25">
      <c r="A4171" t="s">
        <v>8605</v>
      </c>
      <c r="B4171" t="s">
        <v>2378</v>
      </c>
      <c r="C4171" t="s">
        <v>29</v>
      </c>
      <c r="D4171" t="s">
        <v>79</v>
      </c>
      <c r="E4171" t="s">
        <v>20</v>
      </c>
      <c r="F4171" t="s">
        <v>45</v>
      </c>
      <c r="G4171" t="s">
        <v>80</v>
      </c>
      <c r="H4171" t="s">
        <v>46</v>
      </c>
      <c r="I4171" t="s">
        <v>24</v>
      </c>
      <c r="J4171" t="s">
        <v>5128</v>
      </c>
      <c r="K4171" t="s">
        <v>2751</v>
      </c>
      <c r="L4171">
        <v>5.2</v>
      </c>
      <c r="M4171">
        <v>1690000</v>
      </c>
      <c r="N4171">
        <v>3.1</v>
      </c>
      <c r="O4171">
        <v>4</v>
      </c>
      <c r="P4171" t="s">
        <v>114</v>
      </c>
    </row>
    <row r="4172" spans="1:16" x14ac:dyDescent="0.25">
      <c r="A4172" t="s">
        <v>8606</v>
      </c>
      <c r="B4172" t="s">
        <v>8607</v>
      </c>
      <c r="C4172" t="s">
        <v>18</v>
      </c>
      <c r="D4172" t="s">
        <v>50</v>
      </c>
      <c r="E4172" t="s">
        <v>20</v>
      </c>
      <c r="F4172" t="s">
        <v>39</v>
      </c>
      <c r="G4172" t="s">
        <v>33</v>
      </c>
      <c r="H4172" t="s">
        <v>62</v>
      </c>
      <c r="I4172" t="s">
        <v>24</v>
      </c>
      <c r="J4172" t="s">
        <v>378</v>
      </c>
      <c r="L4172">
        <v>5.6</v>
      </c>
      <c r="M4172">
        <v>91000</v>
      </c>
      <c r="N4172">
        <v>2.4</v>
      </c>
      <c r="O4172">
        <v>2</v>
      </c>
      <c r="P4172" t="s">
        <v>26</v>
      </c>
    </row>
    <row r="4173" spans="1:16" x14ac:dyDescent="0.25">
      <c r="A4173" t="s">
        <v>8608</v>
      </c>
      <c r="B4173" t="s">
        <v>4836</v>
      </c>
      <c r="C4173" t="s">
        <v>29</v>
      </c>
      <c r="D4173" t="s">
        <v>43</v>
      </c>
      <c r="E4173" t="s">
        <v>44</v>
      </c>
      <c r="F4173" t="s">
        <v>21</v>
      </c>
      <c r="G4173" t="s">
        <v>33</v>
      </c>
      <c r="H4173" t="s">
        <v>62</v>
      </c>
      <c r="I4173" t="s">
        <v>57</v>
      </c>
      <c r="J4173" t="s">
        <v>1558</v>
      </c>
      <c r="K4173" t="s">
        <v>5775</v>
      </c>
      <c r="L4173">
        <v>3.7</v>
      </c>
      <c r="M4173">
        <v>631000</v>
      </c>
      <c r="N4173">
        <v>4.3</v>
      </c>
      <c r="O4173">
        <v>8</v>
      </c>
      <c r="P4173" t="s">
        <v>72</v>
      </c>
    </row>
    <row r="4174" spans="1:16" x14ac:dyDescent="0.25">
      <c r="A4174" t="s">
        <v>8609</v>
      </c>
      <c r="B4174" t="s">
        <v>8610</v>
      </c>
      <c r="C4174" t="s">
        <v>29</v>
      </c>
      <c r="D4174" t="s">
        <v>50</v>
      </c>
      <c r="F4174" t="s">
        <v>39</v>
      </c>
      <c r="G4174" t="s">
        <v>80</v>
      </c>
      <c r="H4174" t="s">
        <v>23</v>
      </c>
      <c r="I4174" t="s">
        <v>171</v>
      </c>
      <c r="J4174" t="s">
        <v>2146</v>
      </c>
      <c r="K4174" t="s">
        <v>5826</v>
      </c>
      <c r="L4174">
        <v>2.2999999999999998</v>
      </c>
      <c r="M4174">
        <v>142000</v>
      </c>
      <c r="N4174">
        <v>4.2</v>
      </c>
      <c r="O4174">
        <v>7</v>
      </c>
      <c r="P4174" t="s">
        <v>53</v>
      </c>
    </row>
    <row r="4175" spans="1:16" x14ac:dyDescent="0.25">
      <c r="A4175" t="s">
        <v>8611</v>
      </c>
      <c r="B4175" t="s">
        <v>1436</v>
      </c>
      <c r="C4175" t="s">
        <v>18</v>
      </c>
      <c r="D4175" t="s">
        <v>43</v>
      </c>
      <c r="E4175" t="s">
        <v>31</v>
      </c>
      <c r="F4175" t="s">
        <v>39</v>
      </c>
      <c r="G4175" t="s">
        <v>69</v>
      </c>
      <c r="H4175" t="s">
        <v>46</v>
      </c>
      <c r="I4175" t="s">
        <v>35</v>
      </c>
      <c r="J4175" t="s">
        <v>6184</v>
      </c>
      <c r="L4175">
        <v>3.7</v>
      </c>
      <c r="M4175">
        <v>85000</v>
      </c>
      <c r="N4175">
        <v>4.7</v>
      </c>
      <c r="O4175">
        <v>14</v>
      </c>
      <c r="P4175" t="s">
        <v>26</v>
      </c>
    </row>
    <row r="4176" spans="1:16" x14ac:dyDescent="0.25">
      <c r="A4176" t="s">
        <v>8612</v>
      </c>
      <c r="B4176" t="s">
        <v>8613</v>
      </c>
      <c r="C4176" t="s">
        <v>29</v>
      </c>
      <c r="D4176" t="s">
        <v>19</v>
      </c>
      <c r="F4176" t="s">
        <v>32</v>
      </c>
      <c r="G4176" t="s">
        <v>33</v>
      </c>
      <c r="H4176" t="s">
        <v>23</v>
      </c>
      <c r="I4176" t="s">
        <v>24</v>
      </c>
      <c r="J4176" t="s">
        <v>6123</v>
      </c>
      <c r="L4176">
        <v>5.4</v>
      </c>
      <c r="M4176">
        <v>230000</v>
      </c>
      <c r="N4176">
        <v>4</v>
      </c>
      <c r="P4176" t="s">
        <v>26</v>
      </c>
    </row>
    <row r="4177" spans="1:16" x14ac:dyDescent="0.25">
      <c r="A4177" t="s">
        <v>8614</v>
      </c>
      <c r="B4177" t="s">
        <v>8615</v>
      </c>
      <c r="C4177" t="s">
        <v>18</v>
      </c>
      <c r="D4177" t="s">
        <v>50</v>
      </c>
      <c r="E4177" t="s">
        <v>44</v>
      </c>
      <c r="F4177" t="s">
        <v>39</v>
      </c>
      <c r="G4177" t="s">
        <v>33</v>
      </c>
      <c r="H4177" t="s">
        <v>23</v>
      </c>
      <c r="I4177" t="s">
        <v>24</v>
      </c>
      <c r="J4177" t="s">
        <v>1432</v>
      </c>
      <c r="K4177" t="s">
        <v>2120</v>
      </c>
      <c r="L4177">
        <v>2.5</v>
      </c>
      <c r="M4177">
        <v>136000</v>
      </c>
      <c r="N4177">
        <v>3.4</v>
      </c>
      <c r="O4177">
        <v>6</v>
      </c>
      <c r="P4177" t="s">
        <v>53</v>
      </c>
    </row>
    <row r="4178" spans="1:16" x14ac:dyDescent="0.25">
      <c r="A4178" t="s">
        <v>8616</v>
      </c>
      <c r="B4178" t="s">
        <v>2251</v>
      </c>
      <c r="C4178" t="s">
        <v>29</v>
      </c>
      <c r="D4178" t="s">
        <v>50</v>
      </c>
      <c r="E4178" t="s">
        <v>44</v>
      </c>
      <c r="F4178" t="s">
        <v>128</v>
      </c>
      <c r="G4178" t="s">
        <v>22</v>
      </c>
      <c r="H4178" t="s">
        <v>23</v>
      </c>
      <c r="I4178" t="s">
        <v>24</v>
      </c>
      <c r="J4178" t="s">
        <v>4309</v>
      </c>
      <c r="K4178" t="s">
        <v>305</v>
      </c>
      <c r="L4178">
        <v>3.1</v>
      </c>
      <c r="M4178">
        <v>408000</v>
      </c>
      <c r="N4178">
        <v>4.0999999999999996</v>
      </c>
      <c r="O4178">
        <v>11</v>
      </c>
      <c r="P4178" t="s">
        <v>53</v>
      </c>
    </row>
    <row r="4179" spans="1:16" x14ac:dyDescent="0.25">
      <c r="A4179" t="s">
        <v>8617</v>
      </c>
      <c r="B4179" t="s">
        <v>8123</v>
      </c>
      <c r="C4179" t="s">
        <v>29</v>
      </c>
      <c r="D4179" t="s">
        <v>30</v>
      </c>
      <c r="E4179" t="s">
        <v>44</v>
      </c>
      <c r="F4179" t="s">
        <v>128</v>
      </c>
      <c r="G4179" t="s">
        <v>22</v>
      </c>
      <c r="H4179" t="s">
        <v>23</v>
      </c>
      <c r="I4179" t="s">
        <v>24</v>
      </c>
      <c r="J4179" t="s">
        <v>87</v>
      </c>
      <c r="L4179">
        <v>3</v>
      </c>
      <c r="M4179">
        <v>485000</v>
      </c>
      <c r="N4179">
        <v>4</v>
      </c>
      <c r="O4179">
        <v>20</v>
      </c>
      <c r="P4179" t="s">
        <v>26</v>
      </c>
    </row>
    <row r="4180" spans="1:16" x14ac:dyDescent="0.25">
      <c r="A4180" t="s">
        <v>8618</v>
      </c>
      <c r="B4180" t="s">
        <v>2694</v>
      </c>
      <c r="C4180" t="s">
        <v>29</v>
      </c>
      <c r="D4180" t="s">
        <v>50</v>
      </c>
      <c r="E4180" t="s">
        <v>44</v>
      </c>
      <c r="F4180" t="s">
        <v>39</v>
      </c>
      <c r="G4180" t="s">
        <v>33</v>
      </c>
      <c r="H4180" t="s">
        <v>46</v>
      </c>
      <c r="J4180" t="s">
        <v>5957</v>
      </c>
      <c r="L4180">
        <v>4.5</v>
      </c>
      <c r="M4180">
        <v>143000</v>
      </c>
      <c r="N4180">
        <v>4.7</v>
      </c>
      <c r="O4180">
        <v>10</v>
      </c>
      <c r="P4180" t="s">
        <v>26</v>
      </c>
    </row>
    <row r="4181" spans="1:16" x14ac:dyDescent="0.25">
      <c r="A4181" t="s">
        <v>8619</v>
      </c>
      <c r="B4181" t="s">
        <v>4449</v>
      </c>
      <c r="C4181" t="s">
        <v>18</v>
      </c>
      <c r="E4181" t="s">
        <v>44</v>
      </c>
      <c r="F4181" t="s">
        <v>39</v>
      </c>
      <c r="G4181" t="s">
        <v>22</v>
      </c>
      <c r="H4181" t="s">
        <v>34</v>
      </c>
      <c r="I4181" t="s">
        <v>35</v>
      </c>
      <c r="J4181" t="s">
        <v>360</v>
      </c>
      <c r="K4181" t="s">
        <v>4366</v>
      </c>
      <c r="L4181">
        <v>1.5</v>
      </c>
      <c r="M4181">
        <v>145000</v>
      </c>
      <c r="N4181">
        <v>3.3</v>
      </c>
      <c r="O4181">
        <v>1</v>
      </c>
      <c r="P4181" t="s">
        <v>53</v>
      </c>
    </row>
    <row r="4182" spans="1:16" x14ac:dyDescent="0.25">
      <c r="A4182" t="s">
        <v>8620</v>
      </c>
      <c r="B4182" t="s">
        <v>3610</v>
      </c>
      <c r="C4182" t="s">
        <v>18</v>
      </c>
      <c r="D4182" t="s">
        <v>50</v>
      </c>
      <c r="E4182" t="s">
        <v>44</v>
      </c>
      <c r="F4182" t="s">
        <v>128</v>
      </c>
      <c r="G4182" t="s">
        <v>80</v>
      </c>
      <c r="H4182" t="s">
        <v>23</v>
      </c>
      <c r="I4182" t="s">
        <v>24</v>
      </c>
      <c r="J4182" t="s">
        <v>3506</v>
      </c>
      <c r="K4182" t="s">
        <v>565</v>
      </c>
      <c r="L4182">
        <v>2.7</v>
      </c>
      <c r="N4182">
        <v>4.0999999999999996</v>
      </c>
      <c r="O4182">
        <v>1</v>
      </c>
      <c r="P4182" t="s">
        <v>72</v>
      </c>
    </row>
    <row r="4183" spans="1:16" x14ac:dyDescent="0.25">
      <c r="A4183" t="s">
        <v>8621</v>
      </c>
      <c r="B4183" t="s">
        <v>6276</v>
      </c>
      <c r="C4183" t="s">
        <v>29</v>
      </c>
      <c r="D4183" t="s">
        <v>50</v>
      </c>
      <c r="E4183" t="s">
        <v>20</v>
      </c>
      <c r="F4183" t="s">
        <v>39</v>
      </c>
      <c r="G4183" t="s">
        <v>80</v>
      </c>
      <c r="H4183" t="s">
        <v>46</v>
      </c>
      <c r="I4183" t="s">
        <v>57</v>
      </c>
      <c r="J4183" t="s">
        <v>3969</v>
      </c>
      <c r="L4183">
        <v>2.7</v>
      </c>
      <c r="M4183">
        <v>170000</v>
      </c>
      <c r="N4183">
        <v>2.2000000000000002</v>
      </c>
      <c r="O4183">
        <v>4</v>
      </c>
      <c r="P4183" t="s">
        <v>26</v>
      </c>
    </row>
    <row r="4184" spans="1:16" x14ac:dyDescent="0.25">
      <c r="A4184" t="s">
        <v>8622</v>
      </c>
      <c r="B4184" t="s">
        <v>8623</v>
      </c>
      <c r="C4184" t="s">
        <v>18</v>
      </c>
      <c r="D4184" t="s">
        <v>43</v>
      </c>
      <c r="E4184" t="s">
        <v>20</v>
      </c>
      <c r="F4184" t="s">
        <v>32</v>
      </c>
      <c r="G4184" t="s">
        <v>22</v>
      </c>
      <c r="H4184" t="s">
        <v>23</v>
      </c>
      <c r="I4184" t="s">
        <v>24</v>
      </c>
      <c r="J4184" t="s">
        <v>2718</v>
      </c>
      <c r="L4184">
        <v>2.8</v>
      </c>
      <c r="M4184">
        <v>182000</v>
      </c>
      <c r="N4184">
        <v>5</v>
      </c>
      <c r="O4184">
        <v>12</v>
      </c>
      <c r="P4184" t="s">
        <v>26</v>
      </c>
    </row>
    <row r="4185" spans="1:16" x14ac:dyDescent="0.25">
      <c r="A4185" t="s">
        <v>8624</v>
      </c>
      <c r="B4185" t="s">
        <v>4804</v>
      </c>
      <c r="C4185" t="s">
        <v>18</v>
      </c>
      <c r="D4185" t="s">
        <v>50</v>
      </c>
      <c r="E4185" t="s">
        <v>20</v>
      </c>
      <c r="F4185" t="s">
        <v>32</v>
      </c>
      <c r="G4185" t="s">
        <v>33</v>
      </c>
      <c r="H4185" t="s">
        <v>23</v>
      </c>
      <c r="I4185" t="s">
        <v>35</v>
      </c>
      <c r="J4185" t="s">
        <v>1375</v>
      </c>
      <c r="L4185">
        <v>3.7</v>
      </c>
      <c r="M4185">
        <v>345000</v>
      </c>
      <c r="N4185">
        <v>2.1</v>
      </c>
      <c r="O4185">
        <v>12</v>
      </c>
      <c r="P4185" t="s">
        <v>26</v>
      </c>
    </row>
    <row r="4186" spans="1:16" x14ac:dyDescent="0.25">
      <c r="A4186" t="s">
        <v>8625</v>
      </c>
      <c r="B4186" t="s">
        <v>6985</v>
      </c>
      <c r="C4186" t="s">
        <v>29</v>
      </c>
      <c r="D4186" t="s">
        <v>50</v>
      </c>
      <c r="E4186" t="s">
        <v>20</v>
      </c>
      <c r="F4186" t="s">
        <v>39</v>
      </c>
      <c r="G4186" t="s">
        <v>80</v>
      </c>
      <c r="H4186" t="s">
        <v>34</v>
      </c>
      <c r="I4186" t="s">
        <v>57</v>
      </c>
      <c r="J4186" t="s">
        <v>917</v>
      </c>
      <c r="K4186" t="s">
        <v>2192</v>
      </c>
      <c r="L4186">
        <v>6</v>
      </c>
      <c r="M4186">
        <v>146000</v>
      </c>
      <c r="N4186">
        <v>4.0999999999999996</v>
      </c>
      <c r="O4186">
        <v>10</v>
      </c>
      <c r="P4186" t="s">
        <v>114</v>
      </c>
    </row>
    <row r="4187" spans="1:16" x14ac:dyDescent="0.25">
      <c r="A4187" t="s">
        <v>8626</v>
      </c>
      <c r="B4187" t="s">
        <v>602</v>
      </c>
      <c r="C4187" t="s">
        <v>29</v>
      </c>
      <c r="D4187" t="s">
        <v>50</v>
      </c>
      <c r="E4187" t="s">
        <v>20</v>
      </c>
      <c r="F4187" t="s">
        <v>39</v>
      </c>
      <c r="G4187" t="s">
        <v>22</v>
      </c>
      <c r="H4187" t="s">
        <v>34</v>
      </c>
      <c r="I4187" t="s">
        <v>35</v>
      </c>
      <c r="J4187" t="s">
        <v>2103</v>
      </c>
      <c r="L4187">
        <v>1.9</v>
      </c>
      <c r="M4187">
        <v>86000</v>
      </c>
      <c r="N4187">
        <v>3.2</v>
      </c>
      <c r="O4187">
        <v>2</v>
      </c>
      <c r="P4187" t="s">
        <v>26</v>
      </c>
    </row>
    <row r="4188" spans="1:16" x14ac:dyDescent="0.25">
      <c r="A4188" t="s">
        <v>8627</v>
      </c>
      <c r="B4188" t="s">
        <v>4287</v>
      </c>
      <c r="C4188" t="s">
        <v>18</v>
      </c>
      <c r="D4188" t="s">
        <v>50</v>
      </c>
      <c r="E4188" t="s">
        <v>31</v>
      </c>
      <c r="F4188" t="s">
        <v>39</v>
      </c>
      <c r="G4188" t="s">
        <v>22</v>
      </c>
      <c r="H4188" t="s">
        <v>23</v>
      </c>
      <c r="I4188" t="s">
        <v>35</v>
      </c>
      <c r="J4188" t="s">
        <v>4772</v>
      </c>
      <c r="K4188" t="s">
        <v>2157</v>
      </c>
      <c r="L4188">
        <v>3.7</v>
      </c>
      <c r="M4188">
        <v>123000</v>
      </c>
      <c r="N4188">
        <v>3.4</v>
      </c>
      <c r="O4188">
        <v>12</v>
      </c>
      <c r="P4188" t="s">
        <v>53</v>
      </c>
    </row>
    <row r="4189" spans="1:16" x14ac:dyDescent="0.25">
      <c r="A4189" t="s">
        <v>8628</v>
      </c>
      <c r="B4189" t="s">
        <v>2668</v>
      </c>
      <c r="C4189" t="s">
        <v>18</v>
      </c>
      <c r="D4189" t="s">
        <v>79</v>
      </c>
      <c r="E4189" t="s">
        <v>31</v>
      </c>
      <c r="F4189" t="s">
        <v>32</v>
      </c>
      <c r="G4189" t="s">
        <v>80</v>
      </c>
      <c r="H4189" t="s">
        <v>46</v>
      </c>
      <c r="I4189" t="s">
        <v>24</v>
      </c>
      <c r="J4189" t="s">
        <v>292</v>
      </c>
      <c r="K4189" t="s">
        <v>8629</v>
      </c>
      <c r="L4189">
        <v>2.7</v>
      </c>
      <c r="M4189">
        <v>202000</v>
      </c>
      <c r="N4189">
        <v>3.1</v>
      </c>
      <c r="O4189">
        <v>17</v>
      </c>
      <c r="P4189" t="s">
        <v>53</v>
      </c>
    </row>
    <row r="4190" spans="1:16" x14ac:dyDescent="0.25">
      <c r="A4190" t="s">
        <v>8630</v>
      </c>
      <c r="B4190" t="s">
        <v>8631</v>
      </c>
      <c r="C4190" t="s">
        <v>29</v>
      </c>
      <c r="E4190" t="s">
        <v>31</v>
      </c>
      <c r="F4190" t="s">
        <v>32</v>
      </c>
      <c r="G4190" t="s">
        <v>80</v>
      </c>
      <c r="H4190" t="s">
        <v>23</v>
      </c>
      <c r="I4190" t="s">
        <v>24</v>
      </c>
      <c r="J4190" t="s">
        <v>673</v>
      </c>
      <c r="L4190">
        <v>4.3</v>
      </c>
      <c r="M4190">
        <v>223000</v>
      </c>
      <c r="N4190">
        <v>2.4</v>
      </c>
      <c r="O4190">
        <v>13</v>
      </c>
      <c r="P4190" t="s">
        <v>26</v>
      </c>
    </row>
    <row r="4191" spans="1:16" x14ac:dyDescent="0.25">
      <c r="A4191" t="s">
        <v>8632</v>
      </c>
      <c r="B4191" t="s">
        <v>8633</v>
      </c>
      <c r="C4191" t="s">
        <v>29</v>
      </c>
      <c r="D4191" t="s">
        <v>79</v>
      </c>
      <c r="E4191" t="s">
        <v>20</v>
      </c>
      <c r="G4191" t="s">
        <v>22</v>
      </c>
      <c r="H4191" t="s">
        <v>23</v>
      </c>
      <c r="I4191" t="s">
        <v>35</v>
      </c>
      <c r="J4191" t="s">
        <v>4242</v>
      </c>
      <c r="L4191">
        <v>2</v>
      </c>
      <c r="M4191">
        <v>525000</v>
      </c>
      <c r="N4191">
        <v>2.2000000000000002</v>
      </c>
      <c r="O4191">
        <v>10</v>
      </c>
      <c r="P4191" t="s">
        <v>26</v>
      </c>
    </row>
    <row r="4192" spans="1:16" x14ac:dyDescent="0.25">
      <c r="A4192" t="s">
        <v>8634</v>
      </c>
      <c r="B4192" t="s">
        <v>2659</v>
      </c>
      <c r="C4192" t="s">
        <v>29</v>
      </c>
      <c r="E4192" t="s">
        <v>20</v>
      </c>
      <c r="F4192" t="s">
        <v>32</v>
      </c>
      <c r="G4192" t="s">
        <v>80</v>
      </c>
      <c r="H4192" t="s">
        <v>62</v>
      </c>
      <c r="I4192" t="s">
        <v>57</v>
      </c>
      <c r="J4192" t="s">
        <v>4319</v>
      </c>
      <c r="K4192" t="s">
        <v>1574</v>
      </c>
      <c r="L4192">
        <v>3</v>
      </c>
      <c r="M4192">
        <v>302000</v>
      </c>
      <c r="N4192">
        <v>4.2</v>
      </c>
      <c r="O4192">
        <v>8</v>
      </c>
      <c r="P4192" t="s">
        <v>72</v>
      </c>
    </row>
    <row r="4193" spans="1:16" x14ac:dyDescent="0.25">
      <c r="A4193" t="s">
        <v>8635</v>
      </c>
      <c r="B4193" t="s">
        <v>5045</v>
      </c>
      <c r="C4193" t="s">
        <v>29</v>
      </c>
      <c r="D4193" t="s">
        <v>30</v>
      </c>
      <c r="E4193" t="s">
        <v>31</v>
      </c>
      <c r="F4193" t="s">
        <v>39</v>
      </c>
      <c r="G4193" t="s">
        <v>33</v>
      </c>
      <c r="H4193" t="s">
        <v>23</v>
      </c>
      <c r="I4193" t="s">
        <v>35</v>
      </c>
      <c r="J4193" t="s">
        <v>3245</v>
      </c>
      <c r="L4193">
        <v>4.3</v>
      </c>
      <c r="M4193">
        <v>157000</v>
      </c>
      <c r="N4193">
        <v>2</v>
      </c>
      <c r="O4193">
        <v>9</v>
      </c>
      <c r="P4193" t="s">
        <v>26</v>
      </c>
    </row>
    <row r="4194" spans="1:16" x14ac:dyDescent="0.25">
      <c r="A4194" t="s">
        <v>8636</v>
      </c>
      <c r="B4194" t="s">
        <v>8278</v>
      </c>
      <c r="C4194" t="s">
        <v>18</v>
      </c>
      <c r="D4194" t="s">
        <v>30</v>
      </c>
      <c r="E4194" t="s">
        <v>20</v>
      </c>
      <c r="F4194" t="s">
        <v>39</v>
      </c>
      <c r="G4194" t="s">
        <v>22</v>
      </c>
      <c r="H4194" t="s">
        <v>62</v>
      </c>
      <c r="I4194" t="s">
        <v>171</v>
      </c>
      <c r="J4194" t="s">
        <v>6086</v>
      </c>
      <c r="L4194">
        <v>1.3</v>
      </c>
      <c r="M4194">
        <v>120000</v>
      </c>
      <c r="N4194">
        <v>1.6</v>
      </c>
      <c r="O4194">
        <v>3</v>
      </c>
      <c r="P4194" t="s">
        <v>26</v>
      </c>
    </row>
    <row r="4195" spans="1:16" x14ac:dyDescent="0.25">
      <c r="A4195" t="s">
        <v>8637</v>
      </c>
      <c r="B4195" t="s">
        <v>7410</v>
      </c>
      <c r="C4195" t="s">
        <v>18</v>
      </c>
      <c r="D4195" t="s">
        <v>19</v>
      </c>
      <c r="E4195" t="s">
        <v>20</v>
      </c>
      <c r="F4195" t="s">
        <v>32</v>
      </c>
      <c r="G4195" t="s">
        <v>80</v>
      </c>
      <c r="H4195" t="s">
        <v>34</v>
      </c>
      <c r="I4195" t="s">
        <v>24</v>
      </c>
      <c r="J4195" t="s">
        <v>7697</v>
      </c>
      <c r="L4195">
        <v>5.6</v>
      </c>
      <c r="M4195">
        <v>329000</v>
      </c>
      <c r="O4195">
        <v>2</v>
      </c>
      <c r="P4195" t="s">
        <v>26</v>
      </c>
    </row>
    <row r="4196" spans="1:16" x14ac:dyDescent="0.25">
      <c r="A4196" t="s">
        <v>8638</v>
      </c>
      <c r="B4196" t="s">
        <v>8639</v>
      </c>
      <c r="C4196" t="s">
        <v>18</v>
      </c>
      <c r="D4196" t="s">
        <v>79</v>
      </c>
      <c r="E4196" t="s">
        <v>44</v>
      </c>
      <c r="F4196" t="s">
        <v>39</v>
      </c>
      <c r="G4196" t="s">
        <v>69</v>
      </c>
      <c r="H4196" t="s">
        <v>23</v>
      </c>
      <c r="I4196" t="s">
        <v>171</v>
      </c>
      <c r="J4196" t="s">
        <v>238</v>
      </c>
      <c r="L4196">
        <v>2.1</v>
      </c>
      <c r="M4196">
        <v>142000</v>
      </c>
      <c r="N4196">
        <v>4</v>
      </c>
      <c r="O4196">
        <v>6</v>
      </c>
      <c r="P4196" t="s">
        <v>26</v>
      </c>
    </row>
    <row r="4197" spans="1:16" x14ac:dyDescent="0.25">
      <c r="A4197" t="s">
        <v>8640</v>
      </c>
      <c r="B4197" t="s">
        <v>8240</v>
      </c>
      <c r="C4197" t="s">
        <v>18</v>
      </c>
      <c r="D4197" t="s">
        <v>79</v>
      </c>
      <c r="E4197" t="s">
        <v>20</v>
      </c>
      <c r="F4197" t="s">
        <v>45</v>
      </c>
      <c r="G4197" t="s">
        <v>33</v>
      </c>
      <c r="I4197" t="s">
        <v>57</v>
      </c>
      <c r="J4197" t="s">
        <v>5280</v>
      </c>
      <c r="K4197" t="s">
        <v>1015</v>
      </c>
      <c r="L4197">
        <v>4</v>
      </c>
      <c r="M4197">
        <v>1277000</v>
      </c>
      <c r="N4197">
        <v>3.3</v>
      </c>
      <c r="O4197">
        <v>0</v>
      </c>
      <c r="P4197" t="s">
        <v>72</v>
      </c>
    </row>
    <row r="4198" spans="1:16" x14ac:dyDescent="0.25">
      <c r="A4198" t="s">
        <v>8641</v>
      </c>
      <c r="B4198" t="s">
        <v>582</v>
      </c>
      <c r="C4198" t="s">
        <v>18</v>
      </c>
      <c r="D4198" t="s">
        <v>30</v>
      </c>
      <c r="E4198" t="s">
        <v>31</v>
      </c>
      <c r="F4198" t="s">
        <v>39</v>
      </c>
      <c r="G4198" t="s">
        <v>22</v>
      </c>
      <c r="H4198" t="s">
        <v>34</v>
      </c>
      <c r="I4198" t="s">
        <v>35</v>
      </c>
      <c r="J4198" t="s">
        <v>8642</v>
      </c>
      <c r="K4198" t="s">
        <v>1451</v>
      </c>
      <c r="L4198">
        <v>4.8</v>
      </c>
      <c r="M4198">
        <v>157000</v>
      </c>
      <c r="N4198">
        <v>2.7</v>
      </c>
      <c r="O4198">
        <v>8</v>
      </c>
      <c r="P4198" t="s">
        <v>72</v>
      </c>
    </row>
    <row r="4199" spans="1:16" x14ac:dyDescent="0.25">
      <c r="A4199" t="s">
        <v>8643</v>
      </c>
      <c r="B4199" t="s">
        <v>8644</v>
      </c>
      <c r="C4199" t="s">
        <v>29</v>
      </c>
      <c r="D4199" t="s">
        <v>2782</v>
      </c>
      <c r="E4199" t="s">
        <v>20</v>
      </c>
      <c r="F4199" t="s">
        <v>32</v>
      </c>
      <c r="G4199" t="s">
        <v>22</v>
      </c>
      <c r="H4199" t="s">
        <v>46</v>
      </c>
      <c r="I4199" t="s">
        <v>57</v>
      </c>
      <c r="J4199" t="s">
        <v>400</v>
      </c>
      <c r="L4199">
        <v>4.3</v>
      </c>
      <c r="M4199">
        <v>285000</v>
      </c>
      <c r="N4199">
        <v>4.2</v>
      </c>
      <c r="O4199">
        <v>3</v>
      </c>
      <c r="P4199" t="s">
        <v>26</v>
      </c>
    </row>
    <row r="4200" spans="1:16" x14ac:dyDescent="0.25">
      <c r="A4200" t="s">
        <v>8645</v>
      </c>
      <c r="B4200" t="s">
        <v>2284</v>
      </c>
      <c r="C4200" t="s">
        <v>18</v>
      </c>
      <c r="D4200" t="s">
        <v>30</v>
      </c>
      <c r="E4200" t="s">
        <v>20</v>
      </c>
      <c r="F4200" t="s">
        <v>128</v>
      </c>
      <c r="G4200" t="s">
        <v>69</v>
      </c>
      <c r="H4200" t="s">
        <v>23</v>
      </c>
      <c r="I4200" t="s">
        <v>35</v>
      </c>
      <c r="J4200" t="s">
        <v>5854</v>
      </c>
      <c r="L4200">
        <v>6.2</v>
      </c>
      <c r="M4200">
        <v>381000</v>
      </c>
      <c r="N4200">
        <v>3</v>
      </c>
      <c r="O4200">
        <v>6</v>
      </c>
      <c r="P4200" t="s">
        <v>26</v>
      </c>
    </row>
    <row r="4201" spans="1:16" x14ac:dyDescent="0.25">
      <c r="A4201" t="s">
        <v>8646</v>
      </c>
      <c r="B4201" t="s">
        <v>2762</v>
      </c>
      <c r="C4201" t="s">
        <v>29</v>
      </c>
      <c r="D4201" t="s">
        <v>50</v>
      </c>
      <c r="E4201" t="s">
        <v>44</v>
      </c>
      <c r="F4201" t="s">
        <v>32</v>
      </c>
      <c r="G4201" t="s">
        <v>33</v>
      </c>
      <c r="H4201" t="s">
        <v>34</v>
      </c>
      <c r="I4201" t="s">
        <v>171</v>
      </c>
      <c r="J4201" t="s">
        <v>2802</v>
      </c>
      <c r="L4201">
        <v>6.2</v>
      </c>
      <c r="M4201">
        <v>340000</v>
      </c>
      <c r="N4201">
        <v>3.2</v>
      </c>
      <c r="O4201">
        <v>10</v>
      </c>
      <c r="P4201" t="s">
        <v>26</v>
      </c>
    </row>
    <row r="4202" spans="1:16" x14ac:dyDescent="0.25">
      <c r="A4202" t="s">
        <v>8647</v>
      </c>
      <c r="B4202" t="s">
        <v>1174</v>
      </c>
      <c r="C4202" t="s">
        <v>18</v>
      </c>
      <c r="D4202" t="s">
        <v>30</v>
      </c>
      <c r="F4202" t="s">
        <v>128</v>
      </c>
      <c r="G4202" t="s">
        <v>22</v>
      </c>
      <c r="H4202" t="s">
        <v>34</v>
      </c>
      <c r="I4202" t="s">
        <v>57</v>
      </c>
      <c r="J4202" t="s">
        <v>2983</v>
      </c>
      <c r="L4202">
        <v>1.7</v>
      </c>
      <c r="M4202">
        <v>592000</v>
      </c>
      <c r="N4202">
        <v>4.3</v>
      </c>
      <c r="O4202">
        <v>2</v>
      </c>
      <c r="P4202" t="s">
        <v>26</v>
      </c>
    </row>
    <row r="4203" spans="1:16" x14ac:dyDescent="0.25">
      <c r="A4203" t="s">
        <v>8648</v>
      </c>
      <c r="B4203" t="s">
        <v>3447</v>
      </c>
      <c r="C4203" t="s">
        <v>29</v>
      </c>
      <c r="D4203" t="s">
        <v>19</v>
      </c>
      <c r="E4203" t="s">
        <v>20</v>
      </c>
      <c r="F4203" t="s">
        <v>32</v>
      </c>
      <c r="G4203" t="s">
        <v>33</v>
      </c>
      <c r="H4203" t="s">
        <v>46</v>
      </c>
      <c r="I4203" t="s">
        <v>24</v>
      </c>
      <c r="J4203" t="s">
        <v>2075</v>
      </c>
      <c r="L4203">
        <v>2.7</v>
      </c>
      <c r="M4203">
        <v>232000</v>
      </c>
      <c r="N4203">
        <v>2.6</v>
      </c>
      <c r="O4203">
        <v>0</v>
      </c>
      <c r="P4203" t="s">
        <v>26</v>
      </c>
    </row>
    <row r="4204" spans="1:16" x14ac:dyDescent="0.25">
      <c r="A4204" t="s">
        <v>8649</v>
      </c>
      <c r="B4204" t="s">
        <v>8650</v>
      </c>
      <c r="C4204" t="s">
        <v>29</v>
      </c>
      <c r="D4204" t="s">
        <v>43</v>
      </c>
      <c r="E4204" t="s">
        <v>20</v>
      </c>
      <c r="F4204" t="s">
        <v>32</v>
      </c>
      <c r="G4204" t="s">
        <v>22</v>
      </c>
      <c r="H4204" t="s">
        <v>34</v>
      </c>
      <c r="I4204" t="s">
        <v>35</v>
      </c>
      <c r="J4204" t="s">
        <v>3421</v>
      </c>
      <c r="L4204">
        <v>6</v>
      </c>
      <c r="M4204">
        <v>210000</v>
      </c>
      <c r="N4204">
        <v>2.9</v>
      </c>
      <c r="O4204">
        <v>14</v>
      </c>
      <c r="P4204" t="s">
        <v>26</v>
      </c>
    </row>
    <row r="4205" spans="1:16" x14ac:dyDescent="0.25">
      <c r="A4205" t="s">
        <v>8651</v>
      </c>
      <c r="B4205" t="s">
        <v>4531</v>
      </c>
      <c r="C4205" t="s">
        <v>18</v>
      </c>
      <c r="D4205" t="s">
        <v>30</v>
      </c>
      <c r="E4205" t="s">
        <v>31</v>
      </c>
      <c r="F4205" t="s">
        <v>39</v>
      </c>
      <c r="G4205" t="s">
        <v>80</v>
      </c>
      <c r="H4205" t="s">
        <v>34</v>
      </c>
      <c r="I4205" t="s">
        <v>57</v>
      </c>
      <c r="J4205" t="s">
        <v>8652</v>
      </c>
      <c r="L4205">
        <v>5.0999999999999996</v>
      </c>
      <c r="M4205">
        <v>122000</v>
      </c>
      <c r="N4205">
        <v>2.5</v>
      </c>
      <c r="O4205">
        <v>0</v>
      </c>
      <c r="P4205" t="s">
        <v>26</v>
      </c>
    </row>
    <row r="4206" spans="1:16" x14ac:dyDescent="0.25">
      <c r="A4206" t="s">
        <v>8653</v>
      </c>
      <c r="B4206" t="s">
        <v>8654</v>
      </c>
      <c r="C4206" t="s">
        <v>29</v>
      </c>
      <c r="D4206" t="s">
        <v>30</v>
      </c>
      <c r="E4206" t="s">
        <v>20</v>
      </c>
      <c r="F4206" t="s">
        <v>32</v>
      </c>
      <c r="G4206" t="s">
        <v>22</v>
      </c>
      <c r="H4206" t="s">
        <v>46</v>
      </c>
      <c r="I4206" t="s">
        <v>57</v>
      </c>
      <c r="J4206" t="s">
        <v>1379</v>
      </c>
      <c r="L4206">
        <v>1.6</v>
      </c>
      <c r="M4206">
        <v>226000</v>
      </c>
      <c r="N4206">
        <v>3.1</v>
      </c>
      <c r="O4206">
        <v>10</v>
      </c>
      <c r="P4206" t="s">
        <v>26</v>
      </c>
    </row>
    <row r="4207" spans="1:16" x14ac:dyDescent="0.25">
      <c r="A4207" t="s">
        <v>8655</v>
      </c>
      <c r="B4207" t="s">
        <v>8656</v>
      </c>
      <c r="C4207" t="s">
        <v>29</v>
      </c>
      <c r="D4207" t="s">
        <v>79</v>
      </c>
      <c r="E4207" t="s">
        <v>20</v>
      </c>
      <c r="F4207" t="s">
        <v>32</v>
      </c>
      <c r="G4207" t="s">
        <v>22</v>
      </c>
      <c r="H4207" t="s">
        <v>34</v>
      </c>
      <c r="I4207" t="s">
        <v>35</v>
      </c>
      <c r="J4207" t="s">
        <v>2622</v>
      </c>
      <c r="L4207">
        <v>2</v>
      </c>
      <c r="N4207">
        <v>4.9000000000000004</v>
      </c>
      <c r="O4207">
        <v>24</v>
      </c>
      <c r="P4207" t="s">
        <v>26</v>
      </c>
    </row>
    <row r="4208" spans="1:16" x14ac:dyDescent="0.25">
      <c r="A4208" t="s">
        <v>8657</v>
      </c>
      <c r="B4208" t="s">
        <v>1443</v>
      </c>
      <c r="C4208" t="s">
        <v>18</v>
      </c>
      <c r="D4208" t="s">
        <v>43</v>
      </c>
      <c r="E4208" t="s">
        <v>20</v>
      </c>
      <c r="F4208" t="s">
        <v>128</v>
      </c>
      <c r="G4208" t="s">
        <v>69</v>
      </c>
      <c r="H4208" t="s">
        <v>46</v>
      </c>
      <c r="I4208" t="s">
        <v>24</v>
      </c>
      <c r="J4208" t="s">
        <v>5052</v>
      </c>
      <c r="K4208" t="s">
        <v>2525</v>
      </c>
      <c r="L4208">
        <v>5.0999999999999996</v>
      </c>
      <c r="M4208">
        <v>481000</v>
      </c>
      <c r="N4208">
        <v>3.5</v>
      </c>
      <c r="O4208">
        <v>11</v>
      </c>
      <c r="P4208" t="s">
        <v>53</v>
      </c>
    </row>
    <row r="4209" spans="1:16" x14ac:dyDescent="0.25">
      <c r="A4209" t="s">
        <v>8658</v>
      </c>
      <c r="B4209" t="s">
        <v>2670</v>
      </c>
      <c r="C4209" t="s">
        <v>18</v>
      </c>
      <c r="D4209" t="s">
        <v>50</v>
      </c>
      <c r="E4209" t="s">
        <v>20</v>
      </c>
      <c r="G4209" t="s">
        <v>22</v>
      </c>
      <c r="H4209" t="s">
        <v>46</v>
      </c>
      <c r="I4209" t="s">
        <v>24</v>
      </c>
      <c r="J4209" t="s">
        <v>345</v>
      </c>
      <c r="L4209">
        <v>6.2</v>
      </c>
      <c r="N4209">
        <v>3.3</v>
      </c>
      <c r="O4209">
        <v>1</v>
      </c>
      <c r="P4209" t="s">
        <v>26</v>
      </c>
    </row>
    <row r="4210" spans="1:16" x14ac:dyDescent="0.25">
      <c r="A4210" t="s">
        <v>8659</v>
      </c>
      <c r="B4210" t="s">
        <v>8660</v>
      </c>
      <c r="C4210" t="s">
        <v>18</v>
      </c>
      <c r="E4210" t="s">
        <v>44</v>
      </c>
      <c r="F4210" t="s">
        <v>32</v>
      </c>
      <c r="G4210" t="s">
        <v>22</v>
      </c>
      <c r="H4210" t="s">
        <v>34</v>
      </c>
      <c r="I4210" t="s">
        <v>24</v>
      </c>
      <c r="J4210" t="s">
        <v>4500</v>
      </c>
      <c r="L4210">
        <v>2.4</v>
      </c>
      <c r="M4210">
        <v>229000</v>
      </c>
      <c r="N4210">
        <v>3</v>
      </c>
      <c r="O4210">
        <v>1</v>
      </c>
      <c r="P4210" t="s">
        <v>26</v>
      </c>
    </row>
    <row r="4211" spans="1:16" x14ac:dyDescent="0.25">
      <c r="A4211" t="s">
        <v>8661</v>
      </c>
      <c r="B4211" t="s">
        <v>4110</v>
      </c>
      <c r="C4211" t="s">
        <v>18</v>
      </c>
      <c r="D4211" t="s">
        <v>79</v>
      </c>
      <c r="E4211" t="s">
        <v>20</v>
      </c>
      <c r="F4211" t="s">
        <v>32</v>
      </c>
      <c r="G4211" t="s">
        <v>80</v>
      </c>
      <c r="H4211" t="s">
        <v>23</v>
      </c>
      <c r="I4211" t="s">
        <v>57</v>
      </c>
      <c r="J4211" t="s">
        <v>5542</v>
      </c>
      <c r="L4211">
        <v>5.4</v>
      </c>
      <c r="M4211">
        <v>189000</v>
      </c>
      <c r="N4211">
        <v>3</v>
      </c>
      <c r="O4211">
        <v>16</v>
      </c>
      <c r="P4211" t="s">
        <v>26</v>
      </c>
    </row>
    <row r="4212" spans="1:16" x14ac:dyDescent="0.25">
      <c r="A4212" t="s">
        <v>8662</v>
      </c>
      <c r="B4212" t="s">
        <v>1104</v>
      </c>
      <c r="C4212" t="s">
        <v>18</v>
      </c>
      <c r="D4212" t="s">
        <v>19</v>
      </c>
      <c r="E4212" t="s">
        <v>20</v>
      </c>
      <c r="F4212" t="s">
        <v>39</v>
      </c>
      <c r="G4212" t="s">
        <v>69</v>
      </c>
      <c r="H4212" t="s">
        <v>46</v>
      </c>
      <c r="I4212" t="s">
        <v>24</v>
      </c>
      <c r="J4212" t="s">
        <v>2686</v>
      </c>
      <c r="L4212">
        <v>5.9</v>
      </c>
      <c r="M4212">
        <v>198000</v>
      </c>
      <c r="N4212">
        <v>4.5</v>
      </c>
      <c r="O4212">
        <v>23</v>
      </c>
      <c r="P4212" t="s">
        <v>26</v>
      </c>
    </row>
    <row r="4213" spans="1:16" x14ac:dyDescent="0.25">
      <c r="A4213" t="s">
        <v>8663</v>
      </c>
      <c r="B4213" t="s">
        <v>8664</v>
      </c>
      <c r="C4213" t="s">
        <v>18</v>
      </c>
      <c r="D4213" t="s">
        <v>50</v>
      </c>
      <c r="E4213" t="s">
        <v>20</v>
      </c>
      <c r="F4213" t="s">
        <v>128</v>
      </c>
      <c r="G4213" t="s">
        <v>80</v>
      </c>
      <c r="H4213" t="s">
        <v>23</v>
      </c>
      <c r="I4213" t="s">
        <v>24</v>
      </c>
      <c r="J4213" t="s">
        <v>6052</v>
      </c>
      <c r="K4213" t="s">
        <v>5388</v>
      </c>
      <c r="L4213">
        <v>3.2</v>
      </c>
      <c r="M4213">
        <v>556000</v>
      </c>
      <c r="N4213">
        <v>4.4000000000000004</v>
      </c>
      <c r="O4213">
        <v>1</v>
      </c>
      <c r="P4213" t="s">
        <v>53</v>
      </c>
    </row>
    <row r="4214" spans="1:16" x14ac:dyDescent="0.25">
      <c r="A4214" t="s">
        <v>8665</v>
      </c>
      <c r="B4214" t="s">
        <v>8666</v>
      </c>
      <c r="C4214" t="s">
        <v>29</v>
      </c>
      <c r="F4214" t="s">
        <v>39</v>
      </c>
      <c r="G4214" t="s">
        <v>22</v>
      </c>
      <c r="H4214" t="s">
        <v>34</v>
      </c>
      <c r="I4214" t="s">
        <v>35</v>
      </c>
      <c r="J4214" t="s">
        <v>1526</v>
      </c>
      <c r="K4214" t="s">
        <v>4500</v>
      </c>
      <c r="L4214">
        <v>3.6</v>
      </c>
      <c r="M4214">
        <v>147000</v>
      </c>
      <c r="N4214">
        <v>3.5</v>
      </c>
      <c r="O4214">
        <v>14</v>
      </c>
      <c r="P4214" t="s">
        <v>114</v>
      </c>
    </row>
    <row r="4215" spans="1:16" x14ac:dyDescent="0.25">
      <c r="A4215" t="s">
        <v>8667</v>
      </c>
      <c r="B4215" t="s">
        <v>8668</v>
      </c>
      <c r="C4215" t="s">
        <v>18</v>
      </c>
      <c r="D4215" t="s">
        <v>50</v>
      </c>
      <c r="E4215" t="s">
        <v>20</v>
      </c>
      <c r="G4215" t="s">
        <v>22</v>
      </c>
      <c r="H4215" t="s">
        <v>34</v>
      </c>
      <c r="I4215" t="s">
        <v>35</v>
      </c>
      <c r="J4215" t="s">
        <v>103</v>
      </c>
      <c r="K4215" t="s">
        <v>2743</v>
      </c>
      <c r="L4215">
        <v>2.2999999999999998</v>
      </c>
      <c r="M4215">
        <v>434000</v>
      </c>
      <c r="O4215">
        <v>7</v>
      </c>
      <c r="P4215" t="s">
        <v>53</v>
      </c>
    </row>
    <row r="4216" spans="1:16" x14ac:dyDescent="0.25">
      <c r="A4216" t="s">
        <v>8669</v>
      </c>
      <c r="B4216" t="s">
        <v>6291</v>
      </c>
      <c r="C4216" t="s">
        <v>18</v>
      </c>
      <c r="D4216" t="s">
        <v>79</v>
      </c>
      <c r="E4216" t="s">
        <v>44</v>
      </c>
      <c r="F4216" t="s">
        <v>32</v>
      </c>
      <c r="G4216" t="s">
        <v>33</v>
      </c>
      <c r="H4216" t="s">
        <v>34</v>
      </c>
      <c r="I4216" t="s">
        <v>75</v>
      </c>
      <c r="J4216" t="s">
        <v>1652</v>
      </c>
      <c r="L4216">
        <v>2.8</v>
      </c>
      <c r="M4216">
        <v>256000</v>
      </c>
      <c r="O4216">
        <v>17</v>
      </c>
      <c r="P4216" t="s">
        <v>26</v>
      </c>
    </row>
    <row r="4217" spans="1:16" x14ac:dyDescent="0.25">
      <c r="A4217" t="s">
        <v>8670</v>
      </c>
      <c r="B4217" t="s">
        <v>3171</v>
      </c>
      <c r="C4217" t="s">
        <v>18</v>
      </c>
      <c r="D4217" t="s">
        <v>79</v>
      </c>
      <c r="E4217" t="s">
        <v>20</v>
      </c>
      <c r="F4217" t="s">
        <v>128</v>
      </c>
      <c r="G4217" t="s">
        <v>22</v>
      </c>
      <c r="H4217" t="s">
        <v>46</v>
      </c>
      <c r="I4217" t="s">
        <v>35</v>
      </c>
      <c r="J4217" t="s">
        <v>338</v>
      </c>
      <c r="K4217" t="s">
        <v>8671</v>
      </c>
      <c r="L4217">
        <v>4.3</v>
      </c>
      <c r="M4217">
        <v>547000</v>
      </c>
      <c r="N4217">
        <v>4.7</v>
      </c>
      <c r="O4217">
        <v>13</v>
      </c>
      <c r="P4217" t="s">
        <v>53</v>
      </c>
    </row>
    <row r="4218" spans="1:16" x14ac:dyDescent="0.25">
      <c r="A4218" t="s">
        <v>8672</v>
      </c>
      <c r="B4218" t="s">
        <v>3205</v>
      </c>
      <c r="C4218" t="s">
        <v>18</v>
      </c>
      <c r="D4218" t="s">
        <v>79</v>
      </c>
      <c r="E4218" t="s">
        <v>20</v>
      </c>
      <c r="F4218" t="s">
        <v>128</v>
      </c>
      <c r="G4218" t="s">
        <v>22</v>
      </c>
      <c r="H4218" t="s">
        <v>46</v>
      </c>
      <c r="I4218" t="s">
        <v>24</v>
      </c>
      <c r="J4218" t="s">
        <v>456</v>
      </c>
      <c r="K4218" t="s">
        <v>6279</v>
      </c>
      <c r="L4218">
        <v>5.5</v>
      </c>
      <c r="M4218">
        <v>518000</v>
      </c>
      <c r="N4218">
        <v>2.9</v>
      </c>
      <c r="O4218">
        <v>12</v>
      </c>
      <c r="P4218" t="s">
        <v>72</v>
      </c>
    </row>
    <row r="4219" spans="1:16" x14ac:dyDescent="0.25">
      <c r="A4219" t="s">
        <v>8673</v>
      </c>
      <c r="B4219" t="s">
        <v>1506</v>
      </c>
      <c r="C4219" t="s">
        <v>29</v>
      </c>
      <c r="D4219" t="s">
        <v>79</v>
      </c>
      <c r="E4219" t="s">
        <v>44</v>
      </c>
      <c r="F4219" t="s">
        <v>128</v>
      </c>
      <c r="G4219" t="s">
        <v>22</v>
      </c>
      <c r="H4219" t="s">
        <v>34</v>
      </c>
      <c r="I4219" t="s">
        <v>57</v>
      </c>
      <c r="J4219" t="s">
        <v>2856</v>
      </c>
      <c r="L4219">
        <v>5.6</v>
      </c>
      <c r="M4219">
        <v>528000</v>
      </c>
      <c r="O4219">
        <v>10</v>
      </c>
      <c r="P4219" t="s">
        <v>26</v>
      </c>
    </row>
    <row r="4220" spans="1:16" x14ac:dyDescent="0.25">
      <c r="A4220" t="s">
        <v>8674</v>
      </c>
      <c r="B4220" t="s">
        <v>8547</v>
      </c>
      <c r="C4220" t="s">
        <v>29</v>
      </c>
      <c r="D4220" t="s">
        <v>79</v>
      </c>
      <c r="E4220" t="s">
        <v>20</v>
      </c>
      <c r="F4220" t="s">
        <v>39</v>
      </c>
      <c r="G4220" t="s">
        <v>69</v>
      </c>
      <c r="H4220" t="s">
        <v>46</v>
      </c>
      <c r="I4220" t="s">
        <v>35</v>
      </c>
      <c r="J4220" t="s">
        <v>3544</v>
      </c>
      <c r="L4220">
        <v>2.5</v>
      </c>
      <c r="M4220">
        <v>146000</v>
      </c>
      <c r="N4220">
        <v>3.4</v>
      </c>
      <c r="O4220">
        <v>25</v>
      </c>
      <c r="P4220" t="s">
        <v>26</v>
      </c>
    </row>
    <row r="4221" spans="1:16" x14ac:dyDescent="0.25">
      <c r="A4221" t="s">
        <v>8675</v>
      </c>
      <c r="B4221" t="s">
        <v>1740</v>
      </c>
      <c r="C4221" t="s">
        <v>18</v>
      </c>
      <c r="D4221" t="s">
        <v>19</v>
      </c>
      <c r="E4221" t="s">
        <v>31</v>
      </c>
      <c r="F4221" t="s">
        <v>128</v>
      </c>
      <c r="G4221" t="s">
        <v>80</v>
      </c>
      <c r="H4221" t="s">
        <v>46</v>
      </c>
      <c r="I4221" t="s">
        <v>24</v>
      </c>
      <c r="J4221" t="s">
        <v>978</v>
      </c>
      <c r="L4221">
        <v>1.5</v>
      </c>
      <c r="M4221">
        <v>660000</v>
      </c>
      <c r="N4221">
        <v>3.9</v>
      </c>
      <c r="O4221">
        <v>10</v>
      </c>
      <c r="P4221" t="s">
        <v>26</v>
      </c>
    </row>
    <row r="4222" spans="1:16" x14ac:dyDescent="0.25">
      <c r="A4222" t="s">
        <v>8676</v>
      </c>
      <c r="B4222" t="s">
        <v>123</v>
      </c>
      <c r="C4222" t="s">
        <v>29</v>
      </c>
      <c r="D4222" t="s">
        <v>43</v>
      </c>
      <c r="E4222" t="s">
        <v>20</v>
      </c>
      <c r="F4222" t="s">
        <v>32</v>
      </c>
      <c r="G4222" t="s">
        <v>69</v>
      </c>
      <c r="H4222" t="s">
        <v>23</v>
      </c>
      <c r="I4222" t="s">
        <v>24</v>
      </c>
      <c r="J4222" t="s">
        <v>3832</v>
      </c>
      <c r="K4222" t="s">
        <v>3117</v>
      </c>
      <c r="L4222">
        <v>3</v>
      </c>
      <c r="M4222">
        <v>186000</v>
      </c>
      <c r="N4222">
        <v>2.7</v>
      </c>
      <c r="O4222">
        <v>11</v>
      </c>
      <c r="P4222" t="s">
        <v>72</v>
      </c>
    </row>
    <row r="4223" spans="1:16" x14ac:dyDescent="0.25">
      <c r="A4223" t="s">
        <v>8677</v>
      </c>
      <c r="B4223" t="s">
        <v>7160</v>
      </c>
      <c r="C4223" t="s">
        <v>18</v>
      </c>
      <c r="D4223" t="s">
        <v>79</v>
      </c>
      <c r="E4223" t="s">
        <v>20</v>
      </c>
      <c r="F4223" t="s">
        <v>128</v>
      </c>
      <c r="G4223" t="s">
        <v>80</v>
      </c>
      <c r="H4223" t="s">
        <v>23</v>
      </c>
      <c r="I4223" t="s">
        <v>35</v>
      </c>
      <c r="J4223" t="s">
        <v>8440</v>
      </c>
      <c r="K4223" t="s">
        <v>412</v>
      </c>
      <c r="L4223">
        <v>4.2</v>
      </c>
      <c r="M4223">
        <v>469000</v>
      </c>
      <c r="N4223">
        <v>3.1</v>
      </c>
      <c r="O4223">
        <v>10</v>
      </c>
      <c r="P4223" t="s">
        <v>114</v>
      </c>
    </row>
    <row r="4224" spans="1:16" x14ac:dyDescent="0.25">
      <c r="A4224" t="s">
        <v>8678</v>
      </c>
      <c r="B4224" t="s">
        <v>347</v>
      </c>
      <c r="C4224" t="s">
        <v>18</v>
      </c>
      <c r="D4224" t="s">
        <v>19</v>
      </c>
      <c r="E4224" t="s">
        <v>31</v>
      </c>
      <c r="F4224" t="s">
        <v>32</v>
      </c>
      <c r="G4224" t="s">
        <v>69</v>
      </c>
      <c r="H4224" t="s">
        <v>23</v>
      </c>
      <c r="I4224" t="s">
        <v>35</v>
      </c>
      <c r="J4224" t="s">
        <v>1918</v>
      </c>
      <c r="L4224">
        <v>2.6</v>
      </c>
      <c r="M4224">
        <v>382000</v>
      </c>
      <c r="N4224">
        <v>2.7</v>
      </c>
      <c r="O4224">
        <v>6</v>
      </c>
      <c r="P4224" t="s">
        <v>26</v>
      </c>
    </row>
    <row r="4225" spans="1:16" x14ac:dyDescent="0.25">
      <c r="A4225" t="s">
        <v>8679</v>
      </c>
      <c r="B4225" t="s">
        <v>3322</v>
      </c>
      <c r="C4225" t="s">
        <v>29</v>
      </c>
      <c r="D4225" t="s">
        <v>43</v>
      </c>
      <c r="E4225" t="s">
        <v>20</v>
      </c>
      <c r="F4225" t="s">
        <v>128</v>
      </c>
      <c r="G4225" t="s">
        <v>69</v>
      </c>
      <c r="H4225" t="s">
        <v>46</v>
      </c>
      <c r="I4225" t="s">
        <v>24</v>
      </c>
      <c r="J4225" t="s">
        <v>946</v>
      </c>
      <c r="L4225">
        <v>5.8</v>
      </c>
      <c r="M4225">
        <v>475000</v>
      </c>
      <c r="N4225">
        <v>4</v>
      </c>
      <c r="O4225">
        <v>3</v>
      </c>
      <c r="P4225" t="s">
        <v>26</v>
      </c>
    </row>
    <row r="4226" spans="1:16" x14ac:dyDescent="0.25">
      <c r="A4226" t="s">
        <v>8680</v>
      </c>
      <c r="B4226" t="s">
        <v>1239</v>
      </c>
      <c r="C4226" t="s">
        <v>29</v>
      </c>
      <c r="D4226" t="s">
        <v>19</v>
      </c>
      <c r="E4226" t="s">
        <v>44</v>
      </c>
      <c r="F4226" t="s">
        <v>128</v>
      </c>
      <c r="G4226" t="s">
        <v>69</v>
      </c>
      <c r="H4226" t="s">
        <v>23</v>
      </c>
      <c r="I4226" t="s">
        <v>57</v>
      </c>
      <c r="J4226" t="s">
        <v>5437</v>
      </c>
      <c r="L4226">
        <v>1.6</v>
      </c>
      <c r="M4226">
        <v>616000</v>
      </c>
      <c r="N4226">
        <v>2.6</v>
      </c>
      <c r="O4226">
        <v>4</v>
      </c>
      <c r="P4226" t="s">
        <v>26</v>
      </c>
    </row>
    <row r="4227" spans="1:16" x14ac:dyDescent="0.25">
      <c r="A4227" t="s">
        <v>8681</v>
      </c>
      <c r="B4227" t="s">
        <v>6589</v>
      </c>
      <c r="C4227" t="s">
        <v>29</v>
      </c>
      <c r="E4227" t="s">
        <v>44</v>
      </c>
      <c r="F4227" t="s">
        <v>45</v>
      </c>
      <c r="G4227" t="s">
        <v>22</v>
      </c>
      <c r="H4227" t="s">
        <v>34</v>
      </c>
      <c r="I4227" t="s">
        <v>35</v>
      </c>
      <c r="J4227" t="s">
        <v>4302</v>
      </c>
      <c r="K4227" t="s">
        <v>6355</v>
      </c>
      <c r="L4227">
        <v>3.7</v>
      </c>
      <c r="M4227">
        <v>1764000</v>
      </c>
      <c r="N4227">
        <v>4.5</v>
      </c>
      <c r="O4227">
        <v>7</v>
      </c>
      <c r="P4227" t="s">
        <v>53</v>
      </c>
    </row>
    <row r="4228" spans="1:16" x14ac:dyDescent="0.25">
      <c r="A4228" t="s">
        <v>8682</v>
      </c>
      <c r="B4228" t="s">
        <v>8683</v>
      </c>
      <c r="C4228" t="s">
        <v>18</v>
      </c>
      <c r="D4228" t="s">
        <v>19</v>
      </c>
      <c r="E4228" t="s">
        <v>20</v>
      </c>
      <c r="F4228" t="s">
        <v>39</v>
      </c>
      <c r="G4228" t="s">
        <v>80</v>
      </c>
      <c r="H4228" t="s">
        <v>34</v>
      </c>
      <c r="I4228" t="s">
        <v>24</v>
      </c>
      <c r="J4228" t="s">
        <v>3782</v>
      </c>
      <c r="K4228" t="s">
        <v>1887</v>
      </c>
      <c r="L4228">
        <v>1.4</v>
      </c>
      <c r="M4228">
        <v>128000</v>
      </c>
      <c r="N4228">
        <v>4.0999999999999996</v>
      </c>
      <c r="O4228">
        <v>9</v>
      </c>
      <c r="P4228" t="s">
        <v>72</v>
      </c>
    </row>
    <row r="4229" spans="1:16" x14ac:dyDescent="0.25">
      <c r="A4229" t="s">
        <v>8684</v>
      </c>
      <c r="B4229" t="s">
        <v>8685</v>
      </c>
      <c r="C4229" t="s">
        <v>18</v>
      </c>
      <c r="D4229" t="s">
        <v>43</v>
      </c>
      <c r="E4229" t="s">
        <v>44</v>
      </c>
      <c r="F4229" t="s">
        <v>21</v>
      </c>
      <c r="G4229" t="s">
        <v>33</v>
      </c>
      <c r="H4229" t="s">
        <v>62</v>
      </c>
      <c r="I4229" t="s">
        <v>24</v>
      </c>
      <c r="J4229" t="s">
        <v>8047</v>
      </c>
      <c r="L4229">
        <v>2.5</v>
      </c>
      <c r="M4229">
        <v>600000</v>
      </c>
      <c r="N4229">
        <v>4.4000000000000004</v>
      </c>
      <c r="O4229">
        <v>7</v>
      </c>
      <c r="P4229" t="s">
        <v>26</v>
      </c>
    </row>
    <row r="4230" spans="1:16" x14ac:dyDescent="0.25">
      <c r="A4230" t="s">
        <v>8686</v>
      </c>
      <c r="B4230" t="s">
        <v>5355</v>
      </c>
      <c r="C4230" t="s">
        <v>18</v>
      </c>
      <c r="D4230" t="s">
        <v>79</v>
      </c>
      <c r="E4230" t="s">
        <v>44</v>
      </c>
      <c r="F4230" t="s">
        <v>32</v>
      </c>
      <c r="G4230" t="s">
        <v>22</v>
      </c>
      <c r="I4230" t="s">
        <v>24</v>
      </c>
      <c r="J4230" t="s">
        <v>1839</v>
      </c>
      <c r="L4230">
        <v>5.7</v>
      </c>
      <c r="M4230">
        <v>263000</v>
      </c>
      <c r="N4230">
        <v>2.9</v>
      </c>
      <c r="O4230">
        <v>14</v>
      </c>
      <c r="P4230" t="s">
        <v>26</v>
      </c>
    </row>
    <row r="4231" spans="1:16" x14ac:dyDescent="0.25">
      <c r="A4231" t="s">
        <v>8687</v>
      </c>
      <c r="B4231" t="s">
        <v>8688</v>
      </c>
      <c r="C4231" t="s">
        <v>18</v>
      </c>
      <c r="D4231" t="s">
        <v>50</v>
      </c>
      <c r="E4231" t="s">
        <v>20</v>
      </c>
      <c r="F4231" t="s">
        <v>39</v>
      </c>
      <c r="G4231" t="s">
        <v>22</v>
      </c>
      <c r="H4231" t="s">
        <v>46</v>
      </c>
      <c r="I4231" t="s">
        <v>24</v>
      </c>
      <c r="J4231" t="s">
        <v>8689</v>
      </c>
      <c r="L4231">
        <v>2.5</v>
      </c>
      <c r="M4231">
        <v>118000</v>
      </c>
      <c r="N4231">
        <v>4.5999999999999996</v>
      </c>
      <c r="O4231">
        <v>2</v>
      </c>
      <c r="P4231" t="s">
        <v>26</v>
      </c>
    </row>
    <row r="4232" spans="1:16" x14ac:dyDescent="0.25">
      <c r="A4232" t="s">
        <v>8690</v>
      </c>
      <c r="B4232" t="s">
        <v>2979</v>
      </c>
      <c r="C4232" t="s">
        <v>29</v>
      </c>
      <c r="D4232" t="s">
        <v>79</v>
      </c>
      <c r="E4232" t="s">
        <v>20</v>
      </c>
      <c r="F4232" t="s">
        <v>39</v>
      </c>
      <c r="G4232" t="s">
        <v>33</v>
      </c>
      <c r="H4232" t="s">
        <v>34</v>
      </c>
      <c r="I4232" t="s">
        <v>35</v>
      </c>
      <c r="J4232" t="s">
        <v>2662</v>
      </c>
      <c r="L4232">
        <v>3.2</v>
      </c>
      <c r="M4232">
        <v>101000</v>
      </c>
      <c r="N4232">
        <v>4.9000000000000004</v>
      </c>
      <c r="O4232">
        <v>3</v>
      </c>
      <c r="P4232" t="s">
        <v>26</v>
      </c>
    </row>
    <row r="4233" spans="1:16" x14ac:dyDescent="0.25">
      <c r="A4233" t="s">
        <v>8691</v>
      </c>
      <c r="B4233" t="s">
        <v>8692</v>
      </c>
      <c r="C4233" t="s">
        <v>29</v>
      </c>
      <c r="D4233" t="s">
        <v>30</v>
      </c>
      <c r="E4233" t="s">
        <v>20</v>
      </c>
      <c r="F4233" t="s">
        <v>39</v>
      </c>
      <c r="G4233" t="s">
        <v>33</v>
      </c>
      <c r="H4233" t="s">
        <v>23</v>
      </c>
      <c r="I4233" t="s">
        <v>24</v>
      </c>
      <c r="J4233" t="s">
        <v>3117</v>
      </c>
      <c r="K4233" t="s">
        <v>1562</v>
      </c>
      <c r="L4233">
        <v>1.3</v>
      </c>
      <c r="M4233">
        <v>86000</v>
      </c>
      <c r="N4233">
        <v>1.5</v>
      </c>
      <c r="O4233">
        <v>24</v>
      </c>
      <c r="P4233" t="s">
        <v>72</v>
      </c>
    </row>
    <row r="4234" spans="1:16" x14ac:dyDescent="0.25">
      <c r="A4234" t="s">
        <v>8693</v>
      </c>
      <c r="B4234" t="s">
        <v>2731</v>
      </c>
      <c r="C4234" t="s">
        <v>29</v>
      </c>
      <c r="D4234" t="s">
        <v>30</v>
      </c>
      <c r="E4234" t="s">
        <v>20</v>
      </c>
      <c r="F4234" t="s">
        <v>39</v>
      </c>
      <c r="G4234" t="s">
        <v>69</v>
      </c>
      <c r="H4234" t="s">
        <v>34</v>
      </c>
      <c r="I4234" t="s">
        <v>57</v>
      </c>
      <c r="J4234" t="s">
        <v>2200</v>
      </c>
      <c r="K4234" t="s">
        <v>3671</v>
      </c>
      <c r="L4234">
        <v>1.8</v>
      </c>
      <c r="M4234">
        <v>111000</v>
      </c>
      <c r="N4234">
        <v>1.5</v>
      </c>
      <c r="O4234">
        <v>14</v>
      </c>
      <c r="P4234" t="s">
        <v>53</v>
      </c>
    </row>
    <row r="4235" spans="1:16" x14ac:dyDescent="0.25">
      <c r="A4235" t="s">
        <v>8694</v>
      </c>
      <c r="B4235" t="s">
        <v>1323</v>
      </c>
      <c r="C4235" t="s">
        <v>29</v>
      </c>
      <c r="D4235" t="s">
        <v>19</v>
      </c>
      <c r="E4235" t="s">
        <v>20</v>
      </c>
      <c r="F4235" t="s">
        <v>128</v>
      </c>
      <c r="G4235" t="s">
        <v>80</v>
      </c>
      <c r="H4235" t="s">
        <v>46</v>
      </c>
      <c r="I4235" t="s">
        <v>35</v>
      </c>
      <c r="J4235" t="s">
        <v>1548</v>
      </c>
      <c r="L4235">
        <v>2.8</v>
      </c>
      <c r="M4235">
        <v>660000</v>
      </c>
      <c r="N4235">
        <v>3.6</v>
      </c>
      <c r="O4235">
        <v>1</v>
      </c>
      <c r="P4235" t="s">
        <v>26</v>
      </c>
    </row>
    <row r="4236" spans="1:16" x14ac:dyDescent="0.25">
      <c r="A4236" t="s">
        <v>8695</v>
      </c>
      <c r="B4236" t="s">
        <v>4053</v>
      </c>
      <c r="C4236" t="s">
        <v>18</v>
      </c>
      <c r="D4236" t="s">
        <v>30</v>
      </c>
      <c r="E4236" t="s">
        <v>20</v>
      </c>
      <c r="F4236" t="s">
        <v>39</v>
      </c>
      <c r="G4236" t="s">
        <v>80</v>
      </c>
      <c r="H4236" t="s">
        <v>23</v>
      </c>
      <c r="I4236" t="s">
        <v>24</v>
      </c>
      <c r="J4236" t="s">
        <v>1161</v>
      </c>
      <c r="L4236">
        <v>6</v>
      </c>
      <c r="M4236">
        <v>130000</v>
      </c>
      <c r="N4236">
        <v>2.4</v>
      </c>
      <c r="O4236">
        <v>3</v>
      </c>
      <c r="P4236" t="s">
        <v>26</v>
      </c>
    </row>
    <row r="4237" spans="1:16" x14ac:dyDescent="0.25">
      <c r="A4237" t="s">
        <v>8696</v>
      </c>
      <c r="B4237" t="s">
        <v>3747</v>
      </c>
      <c r="C4237" t="s">
        <v>18</v>
      </c>
      <c r="D4237" t="s">
        <v>30</v>
      </c>
      <c r="E4237" t="s">
        <v>20</v>
      </c>
      <c r="F4237" t="s">
        <v>32</v>
      </c>
      <c r="G4237" t="s">
        <v>22</v>
      </c>
      <c r="H4237" t="s">
        <v>23</v>
      </c>
      <c r="I4237" t="s">
        <v>24</v>
      </c>
      <c r="J4237" t="s">
        <v>8697</v>
      </c>
      <c r="L4237">
        <v>4.2</v>
      </c>
      <c r="M4237">
        <v>184000</v>
      </c>
      <c r="N4237">
        <v>2.9</v>
      </c>
      <c r="O4237">
        <v>8</v>
      </c>
      <c r="P4237" t="s">
        <v>26</v>
      </c>
    </row>
    <row r="4238" spans="1:16" x14ac:dyDescent="0.25">
      <c r="A4238" t="s">
        <v>8698</v>
      </c>
      <c r="B4238" t="s">
        <v>8699</v>
      </c>
      <c r="C4238" t="s">
        <v>18</v>
      </c>
      <c r="D4238" t="s">
        <v>43</v>
      </c>
      <c r="E4238" t="s">
        <v>20</v>
      </c>
      <c r="F4238" t="s">
        <v>21</v>
      </c>
      <c r="G4238" t="s">
        <v>80</v>
      </c>
      <c r="H4238" t="s">
        <v>46</v>
      </c>
      <c r="I4238" t="s">
        <v>75</v>
      </c>
      <c r="J4238" t="s">
        <v>2455</v>
      </c>
      <c r="L4238">
        <v>5.4</v>
      </c>
      <c r="M4238">
        <v>786000</v>
      </c>
      <c r="N4238">
        <v>3.2</v>
      </c>
      <c r="O4238">
        <v>6</v>
      </c>
      <c r="P4238" t="s">
        <v>26</v>
      </c>
    </row>
    <row r="4239" spans="1:16" x14ac:dyDescent="0.25">
      <c r="A4239" t="s">
        <v>8700</v>
      </c>
      <c r="B4239" t="s">
        <v>4593</v>
      </c>
      <c r="C4239" t="s">
        <v>29</v>
      </c>
      <c r="D4239" t="s">
        <v>30</v>
      </c>
      <c r="E4239" t="s">
        <v>20</v>
      </c>
      <c r="F4239" t="s">
        <v>39</v>
      </c>
      <c r="G4239" t="s">
        <v>22</v>
      </c>
      <c r="H4239" t="s">
        <v>34</v>
      </c>
      <c r="I4239" t="s">
        <v>57</v>
      </c>
      <c r="J4239" t="s">
        <v>7509</v>
      </c>
      <c r="K4239" t="s">
        <v>1176</v>
      </c>
      <c r="L4239">
        <v>5.5</v>
      </c>
      <c r="M4239">
        <v>121000</v>
      </c>
      <c r="N4239">
        <v>1.6</v>
      </c>
      <c r="O4239">
        <v>21</v>
      </c>
      <c r="P4239" t="s">
        <v>53</v>
      </c>
    </row>
    <row r="4240" spans="1:16" x14ac:dyDescent="0.25">
      <c r="A4240" t="s">
        <v>8701</v>
      </c>
      <c r="B4240" t="s">
        <v>7209</v>
      </c>
      <c r="C4240" t="s">
        <v>18</v>
      </c>
      <c r="D4240" t="s">
        <v>79</v>
      </c>
      <c r="E4240" t="s">
        <v>44</v>
      </c>
      <c r="F4240" t="s">
        <v>39</v>
      </c>
      <c r="G4240" t="s">
        <v>33</v>
      </c>
      <c r="H4240" t="s">
        <v>23</v>
      </c>
      <c r="I4240" t="s">
        <v>171</v>
      </c>
      <c r="J4240" t="s">
        <v>748</v>
      </c>
      <c r="L4240">
        <v>4.5999999999999996</v>
      </c>
      <c r="M4240">
        <v>131000</v>
      </c>
      <c r="N4240">
        <v>4.7</v>
      </c>
      <c r="O4240">
        <v>0</v>
      </c>
      <c r="P4240" t="s">
        <v>26</v>
      </c>
    </row>
    <row r="4241" spans="1:16" x14ac:dyDescent="0.25">
      <c r="A4241" t="s">
        <v>8702</v>
      </c>
      <c r="B4241" t="s">
        <v>6893</v>
      </c>
      <c r="C4241" t="s">
        <v>18</v>
      </c>
      <c r="D4241" t="s">
        <v>79</v>
      </c>
      <c r="E4241" t="s">
        <v>44</v>
      </c>
      <c r="F4241" t="s">
        <v>21</v>
      </c>
      <c r="G4241" t="s">
        <v>22</v>
      </c>
      <c r="H4241" t="s">
        <v>34</v>
      </c>
      <c r="I4241" t="s">
        <v>35</v>
      </c>
      <c r="J4241" t="s">
        <v>3326</v>
      </c>
      <c r="L4241">
        <v>2.4</v>
      </c>
      <c r="M4241">
        <v>710000</v>
      </c>
      <c r="N4241">
        <v>4.5</v>
      </c>
      <c r="O4241">
        <v>5</v>
      </c>
      <c r="P4241" t="s">
        <v>26</v>
      </c>
    </row>
    <row r="4242" spans="1:16" x14ac:dyDescent="0.25">
      <c r="A4242" t="s">
        <v>8703</v>
      </c>
      <c r="B4242" t="s">
        <v>5282</v>
      </c>
      <c r="C4242" t="s">
        <v>18</v>
      </c>
      <c r="D4242" t="s">
        <v>43</v>
      </c>
      <c r="E4242" t="s">
        <v>31</v>
      </c>
      <c r="F4242" t="s">
        <v>39</v>
      </c>
      <c r="G4242" t="s">
        <v>80</v>
      </c>
      <c r="H4242" t="s">
        <v>23</v>
      </c>
      <c r="I4242" t="s">
        <v>24</v>
      </c>
      <c r="J4242" t="s">
        <v>5262</v>
      </c>
      <c r="L4242">
        <v>4.2</v>
      </c>
      <c r="M4242">
        <v>116000</v>
      </c>
      <c r="N4242">
        <v>4.8</v>
      </c>
      <c r="O4242">
        <v>37</v>
      </c>
      <c r="P4242" t="s">
        <v>26</v>
      </c>
    </row>
    <row r="4243" spans="1:16" x14ac:dyDescent="0.25">
      <c r="A4243" t="s">
        <v>8704</v>
      </c>
      <c r="B4243" t="s">
        <v>6750</v>
      </c>
      <c r="C4243" t="s">
        <v>29</v>
      </c>
      <c r="D4243" t="s">
        <v>50</v>
      </c>
      <c r="E4243" t="s">
        <v>20</v>
      </c>
      <c r="F4243" t="s">
        <v>39</v>
      </c>
      <c r="G4243" t="s">
        <v>22</v>
      </c>
      <c r="H4243" t="s">
        <v>62</v>
      </c>
      <c r="I4243" t="s">
        <v>75</v>
      </c>
      <c r="J4243" t="s">
        <v>269</v>
      </c>
      <c r="K4243" t="s">
        <v>3238</v>
      </c>
      <c r="L4243">
        <v>2.8</v>
      </c>
      <c r="M4243">
        <v>106000</v>
      </c>
      <c r="N4243">
        <v>3.2</v>
      </c>
      <c r="O4243">
        <v>13</v>
      </c>
      <c r="P4243" t="s">
        <v>53</v>
      </c>
    </row>
    <row r="4244" spans="1:16" x14ac:dyDescent="0.25">
      <c r="A4244" t="s">
        <v>8705</v>
      </c>
      <c r="B4244" t="s">
        <v>8706</v>
      </c>
      <c r="C4244" t="s">
        <v>29</v>
      </c>
      <c r="D4244" t="s">
        <v>50</v>
      </c>
      <c r="E4244" t="s">
        <v>20</v>
      </c>
      <c r="F4244" t="s">
        <v>32</v>
      </c>
      <c r="G4244" t="s">
        <v>33</v>
      </c>
      <c r="H4244" t="s">
        <v>34</v>
      </c>
      <c r="I4244" t="s">
        <v>24</v>
      </c>
      <c r="J4244" t="s">
        <v>487</v>
      </c>
      <c r="L4244">
        <v>1.9</v>
      </c>
      <c r="M4244">
        <v>209000</v>
      </c>
      <c r="N4244">
        <v>2.9</v>
      </c>
      <c r="O4244">
        <v>12</v>
      </c>
      <c r="P4244" t="s">
        <v>26</v>
      </c>
    </row>
    <row r="4245" spans="1:16" x14ac:dyDescent="0.25">
      <c r="A4245" t="s">
        <v>8707</v>
      </c>
      <c r="B4245" t="s">
        <v>3844</v>
      </c>
      <c r="C4245" t="s">
        <v>18</v>
      </c>
      <c r="D4245" t="s">
        <v>50</v>
      </c>
      <c r="E4245" t="s">
        <v>20</v>
      </c>
      <c r="F4245" t="s">
        <v>32</v>
      </c>
      <c r="G4245" t="s">
        <v>80</v>
      </c>
      <c r="H4245" t="s">
        <v>46</v>
      </c>
      <c r="I4245" t="s">
        <v>24</v>
      </c>
      <c r="J4245" t="s">
        <v>2399</v>
      </c>
      <c r="L4245">
        <v>1.6</v>
      </c>
      <c r="M4245">
        <v>332000</v>
      </c>
      <c r="N4245">
        <v>3.3</v>
      </c>
      <c r="O4245">
        <v>13</v>
      </c>
      <c r="P4245" t="s">
        <v>26</v>
      </c>
    </row>
    <row r="4246" spans="1:16" x14ac:dyDescent="0.25">
      <c r="A4246" t="s">
        <v>8708</v>
      </c>
      <c r="B4246" t="s">
        <v>1585</v>
      </c>
      <c r="C4246" t="s">
        <v>18</v>
      </c>
      <c r="D4246" t="s">
        <v>50</v>
      </c>
      <c r="E4246" t="s">
        <v>20</v>
      </c>
      <c r="F4246" t="s">
        <v>128</v>
      </c>
      <c r="G4246" t="s">
        <v>22</v>
      </c>
      <c r="H4246" t="s">
        <v>34</v>
      </c>
      <c r="I4246" t="s">
        <v>35</v>
      </c>
      <c r="J4246" t="s">
        <v>769</v>
      </c>
      <c r="L4246">
        <v>3.7</v>
      </c>
      <c r="M4246">
        <v>482000</v>
      </c>
      <c r="N4246">
        <v>4.2</v>
      </c>
      <c r="O4246">
        <v>8</v>
      </c>
      <c r="P4246" t="s">
        <v>26</v>
      </c>
    </row>
    <row r="4247" spans="1:16" x14ac:dyDescent="0.25">
      <c r="A4247" t="s">
        <v>8709</v>
      </c>
      <c r="B4247" t="s">
        <v>790</v>
      </c>
      <c r="C4247" t="s">
        <v>18</v>
      </c>
      <c r="D4247" t="s">
        <v>50</v>
      </c>
      <c r="E4247" t="s">
        <v>44</v>
      </c>
      <c r="F4247" t="s">
        <v>39</v>
      </c>
      <c r="G4247" t="s">
        <v>80</v>
      </c>
      <c r="H4247" t="s">
        <v>23</v>
      </c>
      <c r="I4247" t="s">
        <v>35</v>
      </c>
      <c r="J4247" t="s">
        <v>1178</v>
      </c>
      <c r="K4247" t="s">
        <v>2186</v>
      </c>
      <c r="L4247">
        <v>4.5</v>
      </c>
      <c r="M4247">
        <v>96000</v>
      </c>
      <c r="N4247">
        <v>2.5</v>
      </c>
      <c r="O4247">
        <v>12</v>
      </c>
      <c r="P4247" t="s">
        <v>114</v>
      </c>
    </row>
    <row r="4248" spans="1:16" x14ac:dyDescent="0.25">
      <c r="A4248" t="s">
        <v>8710</v>
      </c>
      <c r="B4248" t="s">
        <v>3272</v>
      </c>
      <c r="C4248" t="s">
        <v>29</v>
      </c>
      <c r="D4248" t="s">
        <v>30</v>
      </c>
      <c r="E4248" t="s">
        <v>31</v>
      </c>
      <c r="F4248" t="s">
        <v>21</v>
      </c>
      <c r="G4248" t="s">
        <v>80</v>
      </c>
      <c r="H4248" t="s">
        <v>23</v>
      </c>
      <c r="I4248" t="s">
        <v>35</v>
      </c>
      <c r="J4248" t="s">
        <v>2505</v>
      </c>
      <c r="L4248">
        <v>3</v>
      </c>
      <c r="M4248">
        <v>928000</v>
      </c>
      <c r="N4248">
        <v>3.9</v>
      </c>
      <c r="O4248">
        <v>3</v>
      </c>
      <c r="P4248" t="s">
        <v>26</v>
      </c>
    </row>
    <row r="4249" spans="1:16" x14ac:dyDescent="0.25">
      <c r="A4249" t="s">
        <v>8711</v>
      </c>
      <c r="B4249" t="s">
        <v>1644</v>
      </c>
      <c r="C4249" t="s">
        <v>18</v>
      </c>
      <c r="D4249" t="s">
        <v>30</v>
      </c>
      <c r="E4249" t="s">
        <v>31</v>
      </c>
      <c r="F4249" t="s">
        <v>21</v>
      </c>
      <c r="G4249" t="s">
        <v>80</v>
      </c>
      <c r="H4249" t="s">
        <v>34</v>
      </c>
      <c r="I4249" t="s">
        <v>57</v>
      </c>
      <c r="J4249" t="s">
        <v>3150</v>
      </c>
      <c r="L4249">
        <v>4.3</v>
      </c>
      <c r="M4249">
        <v>602000</v>
      </c>
      <c r="N4249">
        <v>3.5</v>
      </c>
      <c r="O4249">
        <v>10</v>
      </c>
      <c r="P4249" t="s">
        <v>26</v>
      </c>
    </row>
    <row r="4250" spans="1:16" x14ac:dyDescent="0.25">
      <c r="A4250" t="s">
        <v>8712</v>
      </c>
      <c r="B4250" t="s">
        <v>1907</v>
      </c>
      <c r="C4250" t="s">
        <v>18</v>
      </c>
      <c r="D4250" t="s">
        <v>50</v>
      </c>
      <c r="E4250" t="s">
        <v>20</v>
      </c>
      <c r="F4250" t="s">
        <v>39</v>
      </c>
      <c r="G4250" t="s">
        <v>80</v>
      </c>
      <c r="H4250" t="s">
        <v>34</v>
      </c>
      <c r="I4250" t="s">
        <v>57</v>
      </c>
      <c r="J4250" t="s">
        <v>8713</v>
      </c>
      <c r="L4250">
        <v>2.1</v>
      </c>
      <c r="M4250">
        <v>88000</v>
      </c>
      <c r="N4250">
        <v>4.0999999999999996</v>
      </c>
      <c r="O4250">
        <v>3</v>
      </c>
      <c r="P4250" t="s">
        <v>26</v>
      </c>
    </row>
    <row r="4251" spans="1:16" x14ac:dyDescent="0.25">
      <c r="A4251" t="s">
        <v>8714</v>
      </c>
      <c r="B4251" t="s">
        <v>8715</v>
      </c>
      <c r="C4251" t="s">
        <v>29</v>
      </c>
      <c r="D4251" t="s">
        <v>50</v>
      </c>
      <c r="E4251" t="s">
        <v>31</v>
      </c>
      <c r="F4251" t="s">
        <v>32</v>
      </c>
      <c r="G4251" t="s">
        <v>22</v>
      </c>
      <c r="H4251" t="s">
        <v>34</v>
      </c>
      <c r="I4251" t="s">
        <v>35</v>
      </c>
      <c r="J4251" t="s">
        <v>1363</v>
      </c>
      <c r="L4251">
        <v>5.6</v>
      </c>
      <c r="M4251">
        <v>282000</v>
      </c>
      <c r="N4251">
        <v>3.1</v>
      </c>
      <c r="O4251">
        <v>13</v>
      </c>
      <c r="P4251" t="s">
        <v>26</v>
      </c>
    </row>
    <row r="4252" spans="1:16" x14ac:dyDescent="0.25">
      <c r="A4252" t="s">
        <v>8716</v>
      </c>
      <c r="B4252" t="s">
        <v>5387</v>
      </c>
      <c r="C4252" t="s">
        <v>18</v>
      </c>
      <c r="D4252" t="s">
        <v>19</v>
      </c>
      <c r="E4252" t="s">
        <v>44</v>
      </c>
      <c r="G4252" t="s">
        <v>22</v>
      </c>
      <c r="I4252" t="s">
        <v>24</v>
      </c>
      <c r="J4252" t="s">
        <v>8717</v>
      </c>
      <c r="L4252">
        <v>5</v>
      </c>
      <c r="M4252">
        <v>154000</v>
      </c>
      <c r="N4252">
        <v>4.2</v>
      </c>
      <c r="O4252">
        <v>22</v>
      </c>
      <c r="P4252" t="s">
        <v>26</v>
      </c>
    </row>
    <row r="4253" spans="1:16" x14ac:dyDescent="0.25">
      <c r="A4253" t="s">
        <v>8718</v>
      </c>
      <c r="B4253" t="s">
        <v>1976</v>
      </c>
      <c r="C4253" t="s">
        <v>18</v>
      </c>
      <c r="D4253" t="s">
        <v>79</v>
      </c>
      <c r="E4253" t="s">
        <v>44</v>
      </c>
      <c r="F4253" t="s">
        <v>128</v>
      </c>
      <c r="G4253" t="s">
        <v>33</v>
      </c>
      <c r="H4253" t="s">
        <v>46</v>
      </c>
      <c r="I4253" t="s">
        <v>57</v>
      </c>
      <c r="J4253" t="s">
        <v>2016</v>
      </c>
      <c r="L4253">
        <v>1.9</v>
      </c>
      <c r="M4253">
        <v>464000</v>
      </c>
      <c r="N4253">
        <v>3</v>
      </c>
      <c r="O4253">
        <v>14</v>
      </c>
      <c r="P4253" t="s">
        <v>26</v>
      </c>
    </row>
    <row r="4254" spans="1:16" x14ac:dyDescent="0.25">
      <c r="A4254" t="s">
        <v>8719</v>
      </c>
      <c r="B4254" t="s">
        <v>458</v>
      </c>
      <c r="C4254" t="s">
        <v>18</v>
      </c>
      <c r="D4254" t="s">
        <v>50</v>
      </c>
      <c r="F4254" t="s">
        <v>39</v>
      </c>
      <c r="G4254" t="s">
        <v>22</v>
      </c>
      <c r="H4254" t="s">
        <v>23</v>
      </c>
      <c r="I4254" t="s">
        <v>35</v>
      </c>
      <c r="J4254" t="s">
        <v>2592</v>
      </c>
      <c r="L4254">
        <v>4.3</v>
      </c>
      <c r="M4254">
        <v>163000</v>
      </c>
      <c r="N4254">
        <v>4.4000000000000004</v>
      </c>
      <c r="O4254">
        <v>10</v>
      </c>
      <c r="P4254" t="s">
        <v>26</v>
      </c>
    </row>
    <row r="4255" spans="1:16" x14ac:dyDescent="0.25">
      <c r="A4255" t="s">
        <v>8720</v>
      </c>
      <c r="B4255" t="s">
        <v>8721</v>
      </c>
      <c r="C4255" t="s">
        <v>29</v>
      </c>
      <c r="D4255" t="s">
        <v>30</v>
      </c>
      <c r="E4255" t="s">
        <v>20</v>
      </c>
      <c r="F4255" t="s">
        <v>39</v>
      </c>
      <c r="G4255" t="s">
        <v>33</v>
      </c>
      <c r="H4255" t="s">
        <v>62</v>
      </c>
      <c r="I4255" t="s">
        <v>57</v>
      </c>
      <c r="J4255" t="s">
        <v>6245</v>
      </c>
      <c r="K4255" t="s">
        <v>1199</v>
      </c>
      <c r="L4255">
        <v>1.5</v>
      </c>
      <c r="M4255">
        <v>107000</v>
      </c>
      <c r="N4255">
        <v>2.2999999999999998</v>
      </c>
      <c r="O4255">
        <v>13</v>
      </c>
      <c r="P4255" t="s">
        <v>114</v>
      </c>
    </row>
    <row r="4256" spans="1:16" x14ac:dyDescent="0.25">
      <c r="A4256" t="s">
        <v>8722</v>
      </c>
      <c r="B4256" t="s">
        <v>451</v>
      </c>
      <c r="C4256" t="s">
        <v>29</v>
      </c>
      <c r="D4256" t="s">
        <v>30</v>
      </c>
      <c r="E4256" t="s">
        <v>20</v>
      </c>
      <c r="F4256" t="s">
        <v>128</v>
      </c>
      <c r="G4256" t="s">
        <v>22</v>
      </c>
      <c r="H4256" t="s">
        <v>23</v>
      </c>
      <c r="I4256" t="s">
        <v>24</v>
      </c>
      <c r="J4256" t="s">
        <v>1890</v>
      </c>
      <c r="L4256">
        <v>3.9</v>
      </c>
      <c r="M4256">
        <v>368000</v>
      </c>
      <c r="N4256">
        <v>3.5</v>
      </c>
      <c r="O4256">
        <v>9</v>
      </c>
      <c r="P4256" t="s">
        <v>26</v>
      </c>
    </row>
    <row r="4257" spans="1:16" x14ac:dyDescent="0.25">
      <c r="A4257" t="s">
        <v>8723</v>
      </c>
      <c r="B4257" t="s">
        <v>8724</v>
      </c>
      <c r="C4257" t="s">
        <v>252</v>
      </c>
      <c r="D4257" t="s">
        <v>43</v>
      </c>
      <c r="E4257" t="s">
        <v>31</v>
      </c>
      <c r="F4257" t="s">
        <v>39</v>
      </c>
      <c r="G4257" t="s">
        <v>80</v>
      </c>
      <c r="H4257" t="s">
        <v>62</v>
      </c>
      <c r="I4257" t="s">
        <v>57</v>
      </c>
      <c r="J4257" t="s">
        <v>2956</v>
      </c>
      <c r="L4257">
        <v>4.8</v>
      </c>
      <c r="M4257">
        <v>159000</v>
      </c>
      <c r="N4257">
        <v>3.3</v>
      </c>
      <c r="O4257">
        <v>4</v>
      </c>
      <c r="P4257" t="s">
        <v>26</v>
      </c>
    </row>
    <row r="4258" spans="1:16" x14ac:dyDescent="0.25">
      <c r="A4258" t="s">
        <v>8725</v>
      </c>
      <c r="B4258" t="s">
        <v>2770</v>
      </c>
      <c r="C4258" t="s">
        <v>29</v>
      </c>
      <c r="D4258" t="s">
        <v>50</v>
      </c>
      <c r="E4258" t="s">
        <v>44</v>
      </c>
      <c r="F4258" t="s">
        <v>32</v>
      </c>
      <c r="G4258" t="s">
        <v>22</v>
      </c>
      <c r="H4258" t="s">
        <v>34</v>
      </c>
      <c r="I4258" t="s">
        <v>35</v>
      </c>
      <c r="J4258" t="s">
        <v>2044</v>
      </c>
      <c r="L4258">
        <v>4.2</v>
      </c>
      <c r="M4258">
        <v>237000</v>
      </c>
      <c r="N4258">
        <v>2.6</v>
      </c>
      <c r="O4258">
        <v>25</v>
      </c>
      <c r="P4258" t="s">
        <v>26</v>
      </c>
    </row>
    <row r="4259" spans="1:16" x14ac:dyDescent="0.25">
      <c r="A4259" t="s">
        <v>8726</v>
      </c>
      <c r="B4259" t="s">
        <v>2836</v>
      </c>
      <c r="C4259" t="s">
        <v>29</v>
      </c>
      <c r="D4259" t="s">
        <v>30</v>
      </c>
      <c r="E4259" t="s">
        <v>44</v>
      </c>
      <c r="F4259" t="s">
        <v>32</v>
      </c>
      <c r="G4259" t="s">
        <v>33</v>
      </c>
      <c r="H4259" t="s">
        <v>23</v>
      </c>
      <c r="I4259" t="s">
        <v>35</v>
      </c>
      <c r="J4259" t="s">
        <v>3493</v>
      </c>
      <c r="L4259">
        <v>2</v>
      </c>
      <c r="M4259">
        <v>257000</v>
      </c>
      <c r="N4259">
        <v>3.3</v>
      </c>
      <c r="O4259">
        <v>11</v>
      </c>
      <c r="P4259" t="s">
        <v>26</v>
      </c>
    </row>
    <row r="4260" spans="1:16" x14ac:dyDescent="0.25">
      <c r="A4260" t="s">
        <v>8727</v>
      </c>
      <c r="B4260" t="s">
        <v>6757</v>
      </c>
      <c r="C4260" t="s">
        <v>29</v>
      </c>
      <c r="D4260" t="s">
        <v>43</v>
      </c>
      <c r="E4260" t="s">
        <v>20</v>
      </c>
      <c r="F4260" t="s">
        <v>32</v>
      </c>
      <c r="G4260" t="s">
        <v>22</v>
      </c>
      <c r="H4260" t="s">
        <v>46</v>
      </c>
      <c r="I4260" t="s">
        <v>35</v>
      </c>
      <c r="J4260" t="s">
        <v>5382</v>
      </c>
      <c r="L4260">
        <v>5.5</v>
      </c>
      <c r="M4260">
        <v>308000</v>
      </c>
      <c r="N4260">
        <v>2</v>
      </c>
      <c r="O4260">
        <v>11</v>
      </c>
      <c r="P4260" t="s">
        <v>26</v>
      </c>
    </row>
    <row r="4261" spans="1:16" x14ac:dyDescent="0.25">
      <c r="A4261" t="s">
        <v>8728</v>
      </c>
      <c r="B4261" t="s">
        <v>8729</v>
      </c>
      <c r="C4261" t="s">
        <v>29</v>
      </c>
      <c r="D4261" t="s">
        <v>30</v>
      </c>
      <c r="E4261" t="s">
        <v>20</v>
      </c>
      <c r="F4261" t="s">
        <v>32</v>
      </c>
      <c r="G4261" t="s">
        <v>80</v>
      </c>
      <c r="H4261" t="s">
        <v>23</v>
      </c>
      <c r="I4261" t="s">
        <v>24</v>
      </c>
      <c r="J4261" t="s">
        <v>232</v>
      </c>
      <c r="L4261">
        <v>3.5</v>
      </c>
      <c r="M4261">
        <v>292000</v>
      </c>
      <c r="N4261">
        <v>2</v>
      </c>
      <c r="O4261">
        <v>6</v>
      </c>
      <c r="P4261" t="s">
        <v>26</v>
      </c>
    </row>
    <row r="4262" spans="1:16" x14ac:dyDescent="0.25">
      <c r="A4262" t="s">
        <v>8730</v>
      </c>
      <c r="B4262" t="s">
        <v>8731</v>
      </c>
      <c r="C4262" t="s">
        <v>29</v>
      </c>
      <c r="D4262" t="s">
        <v>19</v>
      </c>
      <c r="E4262" t="s">
        <v>20</v>
      </c>
      <c r="F4262" t="s">
        <v>39</v>
      </c>
      <c r="G4262" t="s">
        <v>69</v>
      </c>
      <c r="H4262" t="s">
        <v>46</v>
      </c>
      <c r="I4262" t="s">
        <v>75</v>
      </c>
      <c r="J4262" t="s">
        <v>858</v>
      </c>
      <c r="K4262" t="s">
        <v>5990</v>
      </c>
      <c r="L4262">
        <v>2.4</v>
      </c>
      <c r="N4262">
        <v>2.9</v>
      </c>
      <c r="O4262">
        <v>4</v>
      </c>
      <c r="P4262" t="s">
        <v>53</v>
      </c>
    </row>
    <row r="4263" spans="1:16" x14ac:dyDescent="0.25">
      <c r="A4263" t="s">
        <v>8732</v>
      </c>
      <c r="B4263" t="s">
        <v>1692</v>
      </c>
      <c r="C4263" t="s">
        <v>18</v>
      </c>
      <c r="D4263" t="s">
        <v>30</v>
      </c>
      <c r="E4263" t="s">
        <v>44</v>
      </c>
      <c r="G4263" t="s">
        <v>80</v>
      </c>
      <c r="H4263" t="s">
        <v>46</v>
      </c>
      <c r="I4263" t="s">
        <v>24</v>
      </c>
      <c r="J4263" t="s">
        <v>6449</v>
      </c>
      <c r="K4263" t="s">
        <v>8733</v>
      </c>
      <c r="L4263">
        <v>5.5</v>
      </c>
      <c r="M4263">
        <v>317000</v>
      </c>
      <c r="N4263">
        <v>4.5</v>
      </c>
      <c r="O4263">
        <v>9</v>
      </c>
      <c r="P4263" t="s">
        <v>53</v>
      </c>
    </row>
    <row r="4264" spans="1:16" x14ac:dyDescent="0.25">
      <c r="A4264" t="s">
        <v>8734</v>
      </c>
      <c r="B4264" t="s">
        <v>3136</v>
      </c>
      <c r="C4264" t="s">
        <v>29</v>
      </c>
      <c r="D4264" t="s">
        <v>50</v>
      </c>
      <c r="E4264" t="s">
        <v>20</v>
      </c>
      <c r="F4264" t="s">
        <v>21</v>
      </c>
      <c r="G4264" t="s">
        <v>22</v>
      </c>
      <c r="H4264" t="s">
        <v>23</v>
      </c>
      <c r="I4264" t="s">
        <v>35</v>
      </c>
      <c r="J4264" t="s">
        <v>2956</v>
      </c>
      <c r="K4264" t="s">
        <v>5302</v>
      </c>
      <c r="L4264">
        <v>4.8</v>
      </c>
      <c r="M4264">
        <v>829000</v>
      </c>
      <c r="N4264">
        <v>3.5</v>
      </c>
      <c r="O4264">
        <v>8</v>
      </c>
      <c r="P4264" t="s">
        <v>53</v>
      </c>
    </row>
    <row r="4265" spans="1:16" x14ac:dyDescent="0.25">
      <c r="A4265" t="s">
        <v>8735</v>
      </c>
      <c r="B4265" t="s">
        <v>8736</v>
      </c>
      <c r="C4265" t="s">
        <v>29</v>
      </c>
      <c r="D4265" t="s">
        <v>79</v>
      </c>
      <c r="E4265" t="s">
        <v>20</v>
      </c>
      <c r="F4265" t="s">
        <v>128</v>
      </c>
      <c r="G4265" t="s">
        <v>22</v>
      </c>
      <c r="H4265" t="s">
        <v>23</v>
      </c>
      <c r="I4265" t="s">
        <v>35</v>
      </c>
      <c r="J4265" t="s">
        <v>5927</v>
      </c>
      <c r="L4265">
        <v>5.2</v>
      </c>
      <c r="M4265">
        <v>434000</v>
      </c>
      <c r="N4265">
        <v>4.4000000000000004</v>
      </c>
      <c r="O4265">
        <v>10</v>
      </c>
      <c r="P4265" t="s">
        <v>26</v>
      </c>
    </row>
    <row r="4266" spans="1:16" x14ac:dyDescent="0.25">
      <c r="A4266" t="s">
        <v>8737</v>
      </c>
      <c r="B4266" t="s">
        <v>7514</v>
      </c>
      <c r="C4266" t="s">
        <v>18</v>
      </c>
      <c r="D4266" t="s">
        <v>19</v>
      </c>
      <c r="E4266" t="s">
        <v>20</v>
      </c>
      <c r="F4266" t="s">
        <v>128</v>
      </c>
      <c r="G4266" t="s">
        <v>22</v>
      </c>
      <c r="H4266" t="s">
        <v>23</v>
      </c>
      <c r="I4266" t="s">
        <v>35</v>
      </c>
      <c r="J4266" t="s">
        <v>549</v>
      </c>
      <c r="L4266">
        <v>4.5999999999999996</v>
      </c>
      <c r="M4266">
        <v>577000</v>
      </c>
      <c r="N4266">
        <v>3.3</v>
      </c>
      <c r="O4266">
        <v>0</v>
      </c>
      <c r="P4266" t="s">
        <v>26</v>
      </c>
    </row>
    <row r="4267" spans="1:16" x14ac:dyDescent="0.25">
      <c r="A4267" t="s">
        <v>8738</v>
      </c>
      <c r="B4267" t="s">
        <v>4785</v>
      </c>
      <c r="D4267" t="s">
        <v>50</v>
      </c>
      <c r="E4267" t="s">
        <v>44</v>
      </c>
      <c r="F4267" t="s">
        <v>32</v>
      </c>
      <c r="G4267" t="s">
        <v>80</v>
      </c>
      <c r="H4267" t="s">
        <v>34</v>
      </c>
      <c r="I4267" t="s">
        <v>24</v>
      </c>
      <c r="J4267" t="s">
        <v>52</v>
      </c>
      <c r="L4267">
        <v>2.7</v>
      </c>
      <c r="N4267">
        <v>2.8</v>
      </c>
      <c r="O4267">
        <v>9</v>
      </c>
      <c r="P4267" t="s">
        <v>26</v>
      </c>
    </row>
    <row r="4268" spans="1:16" x14ac:dyDescent="0.25">
      <c r="A4268" t="s">
        <v>8739</v>
      </c>
      <c r="B4268" t="s">
        <v>826</v>
      </c>
      <c r="C4268" t="s">
        <v>18</v>
      </c>
      <c r="D4268" t="s">
        <v>43</v>
      </c>
      <c r="E4268" t="s">
        <v>20</v>
      </c>
      <c r="F4268" t="s">
        <v>21</v>
      </c>
      <c r="G4268" t="s">
        <v>22</v>
      </c>
      <c r="H4268" t="s">
        <v>23</v>
      </c>
      <c r="I4268" t="s">
        <v>24</v>
      </c>
      <c r="J4268" t="s">
        <v>5022</v>
      </c>
      <c r="K4268" t="s">
        <v>3690</v>
      </c>
      <c r="L4268">
        <v>5.8</v>
      </c>
      <c r="M4268">
        <v>838000</v>
      </c>
      <c r="N4268">
        <v>3.3</v>
      </c>
      <c r="O4268">
        <v>4</v>
      </c>
      <c r="P4268" t="s">
        <v>53</v>
      </c>
    </row>
    <row r="4269" spans="1:16" x14ac:dyDescent="0.25">
      <c r="A4269" t="s">
        <v>8740</v>
      </c>
      <c r="B4269" t="s">
        <v>8741</v>
      </c>
      <c r="C4269" t="s">
        <v>18</v>
      </c>
      <c r="D4269" t="s">
        <v>19</v>
      </c>
      <c r="E4269" t="s">
        <v>44</v>
      </c>
      <c r="F4269" t="s">
        <v>39</v>
      </c>
      <c r="G4269" t="s">
        <v>80</v>
      </c>
      <c r="H4269" t="s">
        <v>46</v>
      </c>
      <c r="I4269" t="s">
        <v>57</v>
      </c>
      <c r="J4269" t="s">
        <v>4108</v>
      </c>
      <c r="K4269" t="s">
        <v>2287</v>
      </c>
      <c r="L4269">
        <v>3.8</v>
      </c>
      <c r="M4269">
        <v>112000</v>
      </c>
      <c r="N4269">
        <v>4.5999999999999996</v>
      </c>
      <c r="O4269">
        <v>3</v>
      </c>
      <c r="P4269" t="s">
        <v>53</v>
      </c>
    </row>
    <row r="4270" spans="1:16" x14ac:dyDescent="0.25">
      <c r="A4270" t="s">
        <v>8742</v>
      </c>
      <c r="B4270" t="s">
        <v>2363</v>
      </c>
      <c r="C4270" t="s">
        <v>29</v>
      </c>
      <c r="D4270" t="s">
        <v>19</v>
      </c>
      <c r="E4270" t="s">
        <v>20</v>
      </c>
      <c r="F4270" t="s">
        <v>32</v>
      </c>
      <c r="G4270" t="s">
        <v>22</v>
      </c>
      <c r="H4270" t="s">
        <v>23</v>
      </c>
      <c r="I4270" t="s">
        <v>75</v>
      </c>
      <c r="J4270" t="s">
        <v>3643</v>
      </c>
      <c r="L4270">
        <v>5.4</v>
      </c>
      <c r="M4270">
        <v>355000</v>
      </c>
      <c r="N4270">
        <v>3.2</v>
      </c>
      <c r="O4270">
        <v>9</v>
      </c>
      <c r="P4270" t="s">
        <v>26</v>
      </c>
    </row>
    <row r="4271" spans="1:16" x14ac:dyDescent="0.25">
      <c r="A4271" t="s">
        <v>8743</v>
      </c>
      <c r="B4271" t="s">
        <v>8744</v>
      </c>
      <c r="D4271" t="s">
        <v>43</v>
      </c>
      <c r="E4271" t="s">
        <v>20</v>
      </c>
      <c r="F4271" t="s">
        <v>39</v>
      </c>
      <c r="G4271" t="s">
        <v>22</v>
      </c>
      <c r="H4271" t="s">
        <v>34</v>
      </c>
      <c r="I4271" t="s">
        <v>35</v>
      </c>
      <c r="J4271" t="s">
        <v>2499</v>
      </c>
      <c r="L4271">
        <v>2.2000000000000002</v>
      </c>
      <c r="M4271">
        <v>161000</v>
      </c>
      <c r="N4271">
        <v>2.5</v>
      </c>
      <c r="O4271">
        <v>0</v>
      </c>
      <c r="P4271" t="s">
        <v>26</v>
      </c>
    </row>
    <row r="4272" spans="1:16" x14ac:dyDescent="0.25">
      <c r="A4272" t="s">
        <v>8745</v>
      </c>
      <c r="B4272" t="s">
        <v>8746</v>
      </c>
      <c r="C4272" t="s">
        <v>18</v>
      </c>
      <c r="D4272" t="s">
        <v>50</v>
      </c>
      <c r="E4272" t="s">
        <v>20</v>
      </c>
      <c r="F4272" t="s">
        <v>39</v>
      </c>
      <c r="G4272" t="s">
        <v>80</v>
      </c>
      <c r="H4272" t="s">
        <v>34</v>
      </c>
      <c r="I4272" t="s">
        <v>57</v>
      </c>
      <c r="J4272" t="s">
        <v>8747</v>
      </c>
      <c r="L4272">
        <v>4.9000000000000004</v>
      </c>
      <c r="M4272">
        <v>173000</v>
      </c>
      <c r="N4272">
        <v>4.2</v>
      </c>
      <c r="O4272">
        <v>4</v>
      </c>
      <c r="P4272" t="s">
        <v>26</v>
      </c>
    </row>
    <row r="4273" spans="1:16" x14ac:dyDescent="0.25">
      <c r="A4273" t="s">
        <v>8748</v>
      </c>
      <c r="B4273" t="s">
        <v>8749</v>
      </c>
      <c r="D4273" t="s">
        <v>43</v>
      </c>
      <c r="E4273" t="s">
        <v>20</v>
      </c>
      <c r="F4273" t="s">
        <v>39</v>
      </c>
      <c r="G4273" t="s">
        <v>80</v>
      </c>
      <c r="H4273" t="s">
        <v>23</v>
      </c>
      <c r="I4273" t="s">
        <v>57</v>
      </c>
      <c r="J4273" t="s">
        <v>5112</v>
      </c>
      <c r="L4273">
        <v>2.4</v>
      </c>
      <c r="M4273">
        <v>151000</v>
      </c>
      <c r="N4273">
        <v>3.3</v>
      </c>
      <c r="O4273">
        <v>0</v>
      </c>
      <c r="P4273" t="s">
        <v>26</v>
      </c>
    </row>
    <row r="4274" spans="1:16" x14ac:dyDescent="0.25">
      <c r="A4274" t="s">
        <v>8750</v>
      </c>
      <c r="B4274" t="s">
        <v>1841</v>
      </c>
      <c r="C4274" t="s">
        <v>29</v>
      </c>
      <c r="D4274" t="s">
        <v>43</v>
      </c>
      <c r="E4274" t="s">
        <v>20</v>
      </c>
      <c r="F4274" t="s">
        <v>32</v>
      </c>
      <c r="G4274" t="s">
        <v>33</v>
      </c>
      <c r="H4274" t="s">
        <v>23</v>
      </c>
      <c r="I4274" t="s">
        <v>24</v>
      </c>
      <c r="J4274" t="s">
        <v>1423</v>
      </c>
      <c r="L4274">
        <v>4.3</v>
      </c>
      <c r="M4274">
        <v>288000</v>
      </c>
      <c r="N4274">
        <v>3.2</v>
      </c>
      <c r="O4274">
        <v>2</v>
      </c>
      <c r="P4274" t="s">
        <v>26</v>
      </c>
    </row>
    <row r="4275" spans="1:16" x14ac:dyDescent="0.25">
      <c r="A4275" t="s">
        <v>8751</v>
      </c>
      <c r="B4275" t="s">
        <v>7046</v>
      </c>
      <c r="C4275" t="s">
        <v>18</v>
      </c>
      <c r="D4275" t="s">
        <v>30</v>
      </c>
      <c r="E4275" t="s">
        <v>20</v>
      </c>
      <c r="F4275" t="s">
        <v>32</v>
      </c>
      <c r="G4275" t="s">
        <v>33</v>
      </c>
      <c r="H4275" t="s">
        <v>23</v>
      </c>
      <c r="I4275" t="s">
        <v>57</v>
      </c>
      <c r="J4275" t="s">
        <v>572</v>
      </c>
      <c r="K4275" t="s">
        <v>1683</v>
      </c>
      <c r="L4275">
        <v>4.5</v>
      </c>
      <c r="M4275">
        <v>189000</v>
      </c>
      <c r="N4275">
        <v>2.9</v>
      </c>
      <c r="O4275">
        <v>2</v>
      </c>
      <c r="P4275" t="s">
        <v>53</v>
      </c>
    </row>
    <row r="4276" spans="1:16" x14ac:dyDescent="0.25">
      <c r="A4276" t="s">
        <v>8752</v>
      </c>
      <c r="B4276" t="s">
        <v>1320</v>
      </c>
      <c r="C4276" t="s">
        <v>29</v>
      </c>
      <c r="D4276" t="s">
        <v>79</v>
      </c>
      <c r="E4276" t="s">
        <v>20</v>
      </c>
      <c r="F4276" t="s">
        <v>39</v>
      </c>
      <c r="G4276" t="s">
        <v>22</v>
      </c>
      <c r="I4276" t="s">
        <v>75</v>
      </c>
      <c r="J4276" t="s">
        <v>5170</v>
      </c>
      <c r="L4276">
        <v>4.2</v>
      </c>
      <c r="M4276">
        <v>157000</v>
      </c>
      <c r="N4276">
        <v>3.6</v>
      </c>
      <c r="O4276">
        <v>2</v>
      </c>
      <c r="P4276" t="s">
        <v>26</v>
      </c>
    </row>
    <row r="4277" spans="1:16" x14ac:dyDescent="0.25">
      <c r="A4277" t="s">
        <v>8753</v>
      </c>
      <c r="B4277" t="s">
        <v>8754</v>
      </c>
      <c r="C4277" t="s">
        <v>18</v>
      </c>
      <c r="D4277" t="s">
        <v>79</v>
      </c>
      <c r="E4277" t="s">
        <v>31</v>
      </c>
      <c r="F4277" t="s">
        <v>45</v>
      </c>
      <c r="G4277" t="s">
        <v>33</v>
      </c>
      <c r="H4277" t="s">
        <v>23</v>
      </c>
      <c r="I4277" t="s">
        <v>24</v>
      </c>
      <c r="J4277" t="s">
        <v>2726</v>
      </c>
      <c r="K4277" t="s">
        <v>8755</v>
      </c>
      <c r="L4277">
        <v>5.8</v>
      </c>
      <c r="M4277">
        <v>1342000</v>
      </c>
      <c r="N4277">
        <v>3.1</v>
      </c>
      <c r="O4277">
        <v>27</v>
      </c>
      <c r="P4277" t="s">
        <v>72</v>
      </c>
    </row>
    <row r="4278" spans="1:16" x14ac:dyDescent="0.25">
      <c r="A4278" t="s">
        <v>8756</v>
      </c>
      <c r="B4278" t="s">
        <v>535</v>
      </c>
      <c r="C4278" t="s">
        <v>18</v>
      </c>
      <c r="D4278" t="s">
        <v>50</v>
      </c>
      <c r="E4278" t="s">
        <v>20</v>
      </c>
      <c r="F4278" t="s">
        <v>32</v>
      </c>
      <c r="G4278" t="s">
        <v>22</v>
      </c>
      <c r="I4278" t="s">
        <v>24</v>
      </c>
      <c r="J4278" t="s">
        <v>6635</v>
      </c>
      <c r="L4278">
        <v>6</v>
      </c>
      <c r="M4278">
        <v>219000</v>
      </c>
      <c r="N4278">
        <v>4.8</v>
      </c>
      <c r="O4278">
        <v>4</v>
      </c>
      <c r="P4278" t="s">
        <v>26</v>
      </c>
    </row>
    <row r="4279" spans="1:16" x14ac:dyDescent="0.25">
      <c r="A4279" t="s">
        <v>8757</v>
      </c>
      <c r="B4279" t="s">
        <v>8032</v>
      </c>
      <c r="C4279" t="s">
        <v>29</v>
      </c>
      <c r="D4279" t="s">
        <v>30</v>
      </c>
      <c r="E4279" t="s">
        <v>20</v>
      </c>
      <c r="F4279" t="s">
        <v>128</v>
      </c>
      <c r="G4279" t="s">
        <v>80</v>
      </c>
      <c r="H4279" t="s">
        <v>46</v>
      </c>
      <c r="I4279" t="s">
        <v>24</v>
      </c>
      <c r="J4279" t="s">
        <v>8758</v>
      </c>
      <c r="K4279" t="s">
        <v>5665</v>
      </c>
      <c r="L4279">
        <v>1.8</v>
      </c>
      <c r="N4279">
        <v>4.3</v>
      </c>
      <c r="O4279">
        <v>12</v>
      </c>
      <c r="P4279" t="s">
        <v>53</v>
      </c>
    </row>
    <row r="4280" spans="1:16" x14ac:dyDescent="0.25">
      <c r="A4280" t="s">
        <v>8759</v>
      </c>
      <c r="B4280" t="s">
        <v>8760</v>
      </c>
      <c r="C4280" t="s">
        <v>29</v>
      </c>
      <c r="D4280" t="s">
        <v>79</v>
      </c>
      <c r="E4280" t="s">
        <v>20</v>
      </c>
      <c r="F4280" t="s">
        <v>128</v>
      </c>
      <c r="G4280" t="s">
        <v>33</v>
      </c>
      <c r="H4280" t="s">
        <v>62</v>
      </c>
      <c r="I4280" t="s">
        <v>57</v>
      </c>
      <c r="J4280" t="s">
        <v>3580</v>
      </c>
      <c r="K4280" t="s">
        <v>569</v>
      </c>
      <c r="L4280">
        <v>1.7</v>
      </c>
      <c r="M4280">
        <v>354000</v>
      </c>
      <c r="N4280">
        <v>4</v>
      </c>
      <c r="O4280">
        <v>8</v>
      </c>
      <c r="P4280" t="s">
        <v>114</v>
      </c>
    </row>
    <row r="4281" spans="1:16" x14ac:dyDescent="0.25">
      <c r="A4281" t="s">
        <v>8761</v>
      </c>
      <c r="B4281" t="s">
        <v>8762</v>
      </c>
      <c r="C4281" t="s">
        <v>18</v>
      </c>
      <c r="D4281" t="s">
        <v>43</v>
      </c>
      <c r="E4281" t="s">
        <v>20</v>
      </c>
      <c r="F4281" t="s">
        <v>32</v>
      </c>
      <c r="G4281" t="s">
        <v>80</v>
      </c>
      <c r="H4281" t="s">
        <v>34</v>
      </c>
      <c r="I4281" t="s">
        <v>57</v>
      </c>
      <c r="J4281" t="s">
        <v>2953</v>
      </c>
      <c r="L4281">
        <v>2.1</v>
      </c>
      <c r="M4281">
        <v>229000</v>
      </c>
      <c r="N4281">
        <v>2.6</v>
      </c>
      <c r="O4281">
        <v>2</v>
      </c>
      <c r="P4281" t="s">
        <v>26</v>
      </c>
    </row>
    <row r="4282" spans="1:16" x14ac:dyDescent="0.25">
      <c r="A4282" t="s">
        <v>8763</v>
      </c>
      <c r="B4282" t="s">
        <v>2093</v>
      </c>
      <c r="C4282" t="s">
        <v>29</v>
      </c>
      <c r="D4282" t="s">
        <v>43</v>
      </c>
      <c r="E4282" t="s">
        <v>20</v>
      </c>
      <c r="F4282" t="s">
        <v>39</v>
      </c>
      <c r="G4282" t="s">
        <v>22</v>
      </c>
      <c r="H4282" t="s">
        <v>34</v>
      </c>
      <c r="I4282" t="s">
        <v>171</v>
      </c>
      <c r="J4282" t="s">
        <v>3084</v>
      </c>
      <c r="L4282">
        <v>5.7</v>
      </c>
      <c r="M4282">
        <v>116000</v>
      </c>
      <c r="N4282">
        <v>3</v>
      </c>
      <c r="O4282">
        <v>20</v>
      </c>
      <c r="P4282" t="s">
        <v>26</v>
      </c>
    </row>
    <row r="4283" spans="1:16" x14ac:dyDescent="0.25">
      <c r="A4283" t="s">
        <v>8764</v>
      </c>
      <c r="B4283" t="s">
        <v>690</v>
      </c>
      <c r="C4283" t="s">
        <v>18</v>
      </c>
      <c r="D4283" t="s">
        <v>19</v>
      </c>
      <c r="E4283" t="s">
        <v>20</v>
      </c>
      <c r="F4283" t="s">
        <v>128</v>
      </c>
      <c r="G4283" t="s">
        <v>22</v>
      </c>
      <c r="H4283" t="s">
        <v>62</v>
      </c>
      <c r="I4283" t="s">
        <v>57</v>
      </c>
      <c r="J4283" t="s">
        <v>4845</v>
      </c>
      <c r="L4283">
        <v>4.0999999999999996</v>
      </c>
      <c r="M4283">
        <v>507000</v>
      </c>
      <c r="N4283">
        <v>4.8</v>
      </c>
      <c r="O4283">
        <v>9</v>
      </c>
      <c r="P4283" t="s">
        <v>26</v>
      </c>
    </row>
    <row r="4284" spans="1:16" x14ac:dyDescent="0.25">
      <c r="A4284" t="s">
        <v>8765</v>
      </c>
      <c r="B4284" t="s">
        <v>4573</v>
      </c>
      <c r="C4284" t="s">
        <v>18</v>
      </c>
      <c r="D4284" t="s">
        <v>19</v>
      </c>
      <c r="E4284" t="s">
        <v>20</v>
      </c>
      <c r="F4284" t="s">
        <v>32</v>
      </c>
      <c r="G4284" t="s">
        <v>33</v>
      </c>
      <c r="H4284" t="s">
        <v>34</v>
      </c>
      <c r="I4284" t="s">
        <v>24</v>
      </c>
      <c r="J4284" t="s">
        <v>3604</v>
      </c>
      <c r="L4284">
        <v>5.2</v>
      </c>
      <c r="M4284">
        <v>223000</v>
      </c>
      <c r="N4284">
        <v>4.4000000000000004</v>
      </c>
      <c r="O4284">
        <v>13</v>
      </c>
      <c r="P4284" t="s">
        <v>26</v>
      </c>
    </row>
    <row r="4285" spans="1:16" x14ac:dyDescent="0.25">
      <c r="A4285" t="s">
        <v>8766</v>
      </c>
      <c r="B4285" t="s">
        <v>7140</v>
      </c>
      <c r="C4285" t="s">
        <v>18</v>
      </c>
      <c r="D4285" t="s">
        <v>19</v>
      </c>
      <c r="F4285" t="s">
        <v>39</v>
      </c>
      <c r="G4285" t="s">
        <v>33</v>
      </c>
      <c r="H4285" t="s">
        <v>34</v>
      </c>
      <c r="I4285" t="s">
        <v>35</v>
      </c>
      <c r="J4285" t="s">
        <v>7862</v>
      </c>
      <c r="L4285">
        <v>2</v>
      </c>
      <c r="M4285">
        <v>198000</v>
      </c>
      <c r="O4285">
        <v>7</v>
      </c>
      <c r="P4285" t="s">
        <v>26</v>
      </c>
    </row>
    <row r="4286" spans="1:16" x14ac:dyDescent="0.25">
      <c r="A4286" t="s">
        <v>8767</v>
      </c>
      <c r="B4286" t="s">
        <v>8768</v>
      </c>
      <c r="C4286" t="s">
        <v>18</v>
      </c>
      <c r="D4286" t="s">
        <v>43</v>
      </c>
      <c r="E4286" t="s">
        <v>20</v>
      </c>
      <c r="F4286" t="s">
        <v>128</v>
      </c>
      <c r="G4286" t="s">
        <v>22</v>
      </c>
      <c r="H4286" t="s">
        <v>23</v>
      </c>
      <c r="I4286" t="s">
        <v>35</v>
      </c>
      <c r="J4286" t="s">
        <v>2044</v>
      </c>
      <c r="L4286">
        <v>4.2</v>
      </c>
      <c r="M4286">
        <v>526000</v>
      </c>
      <c r="N4286">
        <v>4.9000000000000004</v>
      </c>
      <c r="O4286">
        <v>5</v>
      </c>
      <c r="P4286" t="s">
        <v>26</v>
      </c>
    </row>
    <row r="4287" spans="1:16" x14ac:dyDescent="0.25">
      <c r="A4287" t="s">
        <v>8769</v>
      </c>
      <c r="B4287" t="s">
        <v>5448</v>
      </c>
      <c r="C4287" t="s">
        <v>29</v>
      </c>
      <c r="D4287" t="s">
        <v>30</v>
      </c>
      <c r="E4287" t="s">
        <v>20</v>
      </c>
      <c r="F4287" t="s">
        <v>32</v>
      </c>
      <c r="G4287" t="s">
        <v>22</v>
      </c>
      <c r="H4287" t="s">
        <v>23</v>
      </c>
      <c r="I4287" t="s">
        <v>24</v>
      </c>
      <c r="J4287" t="s">
        <v>3736</v>
      </c>
      <c r="L4287">
        <v>4.7</v>
      </c>
      <c r="M4287">
        <v>242000</v>
      </c>
      <c r="N4287">
        <v>2.8</v>
      </c>
      <c r="O4287">
        <v>1</v>
      </c>
      <c r="P4287" t="s">
        <v>26</v>
      </c>
    </row>
    <row r="4288" spans="1:16" x14ac:dyDescent="0.25">
      <c r="A4288" t="s">
        <v>8770</v>
      </c>
      <c r="B4288" t="s">
        <v>7615</v>
      </c>
      <c r="C4288" t="s">
        <v>29</v>
      </c>
      <c r="D4288" t="s">
        <v>43</v>
      </c>
      <c r="E4288" t="s">
        <v>20</v>
      </c>
      <c r="F4288" t="s">
        <v>128</v>
      </c>
      <c r="G4288" t="s">
        <v>80</v>
      </c>
      <c r="I4288" t="s">
        <v>24</v>
      </c>
      <c r="J4288" t="s">
        <v>1082</v>
      </c>
      <c r="K4288" t="s">
        <v>4605</v>
      </c>
      <c r="L4288">
        <v>3.6</v>
      </c>
      <c r="M4288">
        <v>497000</v>
      </c>
      <c r="N4288">
        <v>4.8</v>
      </c>
      <c r="O4288">
        <v>13</v>
      </c>
      <c r="P4288" t="s">
        <v>53</v>
      </c>
    </row>
    <row r="4289" spans="1:16" x14ac:dyDescent="0.25">
      <c r="A4289" t="s">
        <v>8771</v>
      </c>
      <c r="B4289" t="s">
        <v>4458</v>
      </c>
      <c r="C4289" t="s">
        <v>18</v>
      </c>
      <c r="D4289" t="s">
        <v>30</v>
      </c>
      <c r="E4289" t="s">
        <v>44</v>
      </c>
      <c r="F4289" t="s">
        <v>128</v>
      </c>
      <c r="G4289" t="s">
        <v>69</v>
      </c>
      <c r="H4289" t="s">
        <v>23</v>
      </c>
      <c r="I4289" t="s">
        <v>24</v>
      </c>
      <c r="J4289" t="s">
        <v>213</v>
      </c>
      <c r="L4289">
        <v>4.8</v>
      </c>
      <c r="M4289">
        <v>549000</v>
      </c>
      <c r="N4289">
        <v>3.9</v>
      </c>
      <c r="O4289">
        <v>11</v>
      </c>
      <c r="P4289" t="s">
        <v>26</v>
      </c>
    </row>
    <row r="4290" spans="1:16" x14ac:dyDescent="0.25">
      <c r="A4290" t="s">
        <v>8772</v>
      </c>
      <c r="B4290" t="s">
        <v>8773</v>
      </c>
      <c r="C4290" t="s">
        <v>29</v>
      </c>
      <c r="D4290" t="s">
        <v>30</v>
      </c>
      <c r="E4290" t="s">
        <v>44</v>
      </c>
      <c r="F4290" t="s">
        <v>32</v>
      </c>
      <c r="G4290" t="s">
        <v>33</v>
      </c>
      <c r="H4290" t="s">
        <v>34</v>
      </c>
      <c r="I4290" t="s">
        <v>24</v>
      </c>
      <c r="J4290" t="s">
        <v>609</v>
      </c>
      <c r="L4290">
        <v>4.4000000000000004</v>
      </c>
      <c r="M4290">
        <v>183000</v>
      </c>
      <c r="N4290">
        <v>1.9</v>
      </c>
      <c r="O4290">
        <v>4</v>
      </c>
      <c r="P4290" t="s">
        <v>26</v>
      </c>
    </row>
    <row r="4291" spans="1:16" x14ac:dyDescent="0.25">
      <c r="A4291" t="s">
        <v>8774</v>
      </c>
      <c r="B4291" t="s">
        <v>8775</v>
      </c>
      <c r="C4291" t="s">
        <v>18</v>
      </c>
      <c r="D4291" t="s">
        <v>30</v>
      </c>
      <c r="E4291" t="s">
        <v>20</v>
      </c>
      <c r="F4291" t="s">
        <v>39</v>
      </c>
      <c r="G4291" t="s">
        <v>22</v>
      </c>
      <c r="H4291" t="s">
        <v>34</v>
      </c>
      <c r="I4291" t="s">
        <v>35</v>
      </c>
      <c r="J4291" t="s">
        <v>6692</v>
      </c>
      <c r="K4291" t="s">
        <v>2622</v>
      </c>
      <c r="L4291">
        <v>4.2</v>
      </c>
      <c r="M4291">
        <v>106000</v>
      </c>
      <c r="N4291">
        <v>3.1</v>
      </c>
      <c r="O4291">
        <v>6</v>
      </c>
      <c r="P4291" t="s">
        <v>53</v>
      </c>
    </row>
    <row r="4292" spans="1:16" x14ac:dyDescent="0.25">
      <c r="A4292" t="s">
        <v>8776</v>
      </c>
      <c r="B4292" t="s">
        <v>3213</v>
      </c>
      <c r="C4292" t="s">
        <v>18</v>
      </c>
      <c r="D4292" t="s">
        <v>30</v>
      </c>
      <c r="E4292" t="s">
        <v>20</v>
      </c>
      <c r="F4292" t="s">
        <v>39</v>
      </c>
      <c r="G4292" t="s">
        <v>33</v>
      </c>
      <c r="I4292" t="s">
        <v>57</v>
      </c>
      <c r="J4292" t="s">
        <v>5070</v>
      </c>
      <c r="L4292">
        <v>5.6</v>
      </c>
      <c r="M4292">
        <v>159000</v>
      </c>
      <c r="N4292">
        <v>2</v>
      </c>
      <c r="O4292">
        <v>22</v>
      </c>
      <c r="P4292" t="s">
        <v>26</v>
      </c>
    </row>
    <row r="4293" spans="1:16" x14ac:dyDescent="0.25">
      <c r="A4293" t="s">
        <v>8777</v>
      </c>
      <c r="B4293" t="s">
        <v>6734</v>
      </c>
      <c r="C4293" t="s">
        <v>29</v>
      </c>
      <c r="D4293" t="s">
        <v>79</v>
      </c>
      <c r="E4293" t="s">
        <v>20</v>
      </c>
      <c r="F4293" t="s">
        <v>39</v>
      </c>
      <c r="G4293" t="s">
        <v>22</v>
      </c>
      <c r="H4293" t="s">
        <v>34</v>
      </c>
      <c r="I4293" t="s">
        <v>24</v>
      </c>
      <c r="J4293" t="s">
        <v>5840</v>
      </c>
      <c r="K4293" t="s">
        <v>7213</v>
      </c>
      <c r="L4293">
        <v>3.7</v>
      </c>
      <c r="M4293">
        <v>103000</v>
      </c>
      <c r="N4293">
        <v>4.5</v>
      </c>
      <c r="P4293" t="s">
        <v>72</v>
      </c>
    </row>
    <row r="4294" spans="1:16" x14ac:dyDescent="0.25">
      <c r="A4294" t="s">
        <v>8778</v>
      </c>
      <c r="B4294" t="s">
        <v>3663</v>
      </c>
      <c r="C4294" t="s">
        <v>29</v>
      </c>
      <c r="D4294" t="s">
        <v>19</v>
      </c>
      <c r="E4294" t="s">
        <v>20</v>
      </c>
      <c r="F4294" t="s">
        <v>45</v>
      </c>
      <c r="G4294" t="s">
        <v>22</v>
      </c>
      <c r="H4294" t="s">
        <v>34</v>
      </c>
      <c r="I4294" t="s">
        <v>35</v>
      </c>
      <c r="J4294" t="s">
        <v>5702</v>
      </c>
      <c r="L4294">
        <v>2.2000000000000002</v>
      </c>
      <c r="M4294">
        <v>1683000</v>
      </c>
      <c r="N4294">
        <v>3.8</v>
      </c>
      <c r="O4294">
        <v>1</v>
      </c>
      <c r="P4294" t="s">
        <v>26</v>
      </c>
    </row>
    <row r="4295" spans="1:16" x14ac:dyDescent="0.25">
      <c r="A4295" t="s">
        <v>8779</v>
      </c>
      <c r="B4295" t="s">
        <v>8780</v>
      </c>
      <c r="C4295" t="s">
        <v>18</v>
      </c>
      <c r="D4295" t="s">
        <v>19</v>
      </c>
      <c r="E4295" t="s">
        <v>44</v>
      </c>
      <c r="F4295" t="s">
        <v>32</v>
      </c>
      <c r="G4295" t="s">
        <v>69</v>
      </c>
      <c r="H4295" t="s">
        <v>46</v>
      </c>
      <c r="I4295" t="s">
        <v>24</v>
      </c>
      <c r="J4295" t="s">
        <v>4891</v>
      </c>
      <c r="K4295" t="s">
        <v>560</v>
      </c>
      <c r="L4295">
        <v>4.8</v>
      </c>
      <c r="M4295">
        <v>380000</v>
      </c>
      <c r="N4295">
        <v>4.2</v>
      </c>
      <c r="O4295">
        <v>37</v>
      </c>
      <c r="P4295" t="s">
        <v>53</v>
      </c>
    </row>
    <row r="4296" spans="1:16" x14ac:dyDescent="0.25">
      <c r="A4296" t="s">
        <v>8781</v>
      </c>
      <c r="B4296" t="s">
        <v>2621</v>
      </c>
      <c r="C4296" t="s">
        <v>18</v>
      </c>
      <c r="D4296" t="s">
        <v>50</v>
      </c>
      <c r="E4296" t="s">
        <v>20</v>
      </c>
      <c r="F4296" t="s">
        <v>21</v>
      </c>
      <c r="G4296" t="s">
        <v>69</v>
      </c>
      <c r="H4296" t="s">
        <v>23</v>
      </c>
      <c r="I4296" t="s">
        <v>57</v>
      </c>
      <c r="J4296" t="s">
        <v>3580</v>
      </c>
      <c r="K4296" t="s">
        <v>3166</v>
      </c>
      <c r="L4296">
        <v>1.7</v>
      </c>
      <c r="M4296">
        <v>907000</v>
      </c>
      <c r="N4296">
        <v>3.4</v>
      </c>
      <c r="O4296">
        <v>38</v>
      </c>
      <c r="P4296" t="s">
        <v>53</v>
      </c>
    </row>
    <row r="4297" spans="1:16" x14ac:dyDescent="0.25">
      <c r="A4297" t="s">
        <v>8782</v>
      </c>
      <c r="B4297" t="s">
        <v>1564</v>
      </c>
      <c r="C4297" t="s">
        <v>29</v>
      </c>
      <c r="D4297" t="s">
        <v>43</v>
      </c>
      <c r="E4297" t="s">
        <v>44</v>
      </c>
      <c r="F4297" t="s">
        <v>32</v>
      </c>
      <c r="G4297" t="s">
        <v>22</v>
      </c>
      <c r="H4297" t="s">
        <v>34</v>
      </c>
      <c r="I4297" t="s">
        <v>24</v>
      </c>
      <c r="J4297" t="s">
        <v>4044</v>
      </c>
      <c r="K4297" t="s">
        <v>3857</v>
      </c>
      <c r="L4297">
        <v>2.8</v>
      </c>
      <c r="M4297">
        <v>269000</v>
      </c>
      <c r="N4297">
        <v>4.3</v>
      </c>
      <c r="O4297">
        <v>11</v>
      </c>
      <c r="P4297" t="s">
        <v>53</v>
      </c>
    </row>
    <row r="4298" spans="1:16" x14ac:dyDescent="0.25">
      <c r="A4298" t="s">
        <v>8783</v>
      </c>
      <c r="B4298" t="s">
        <v>3041</v>
      </c>
      <c r="C4298" t="s">
        <v>18</v>
      </c>
      <c r="D4298" t="s">
        <v>50</v>
      </c>
      <c r="E4298" t="s">
        <v>810</v>
      </c>
      <c r="F4298" t="s">
        <v>21</v>
      </c>
      <c r="G4298" t="s">
        <v>22</v>
      </c>
      <c r="H4298" t="s">
        <v>23</v>
      </c>
      <c r="I4298" t="s">
        <v>57</v>
      </c>
      <c r="J4298" t="s">
        <v>2044</v>
      </c>
      <c r="L4298">
        <v>4.2</v>
      </c>
      <c r="M4298">
        <v>729000</v>
      </c>
      <c r="N4298">
        <v>3.2</v>
      </c>
      <c r="O4298">
        <v>10</v>
      </c>
      <c r="P4298" t="s">
        <v>26</v>
      </c>
    </row>
    <row r="4299" spans="1:16" x14ac:dyDescent="0.25">
      <c r="A4299" t="s">
        <v>8784</v>
      </c>
      <c r="B4299" t="s">
        <v>5034</v>
      </c>
      <c r="C4299" t="s">
        <v>18</v>
      </c>
      <c r="D4299" t="s">
        <v>19</v>
      </c>
      <c r="E4299" t="s">
        <v>20</v>
      </c>
      <c r="F4299" t="s">
        <v>32</v>
      </c>
      <c r="G4299" t="s">
        <v>80</v>
      </c>
      <c r="H4299" t="s">
        <v>23</v>
      </c>
      <c r="I4299" t="s">
        <v>75</v>
      </c>
      <c r="J4299" t="s">
        <v>1683</v>
      </c>
      <c r="L4299">
        <v>1.7</v>
      </c>
      <c r="M4299">
        <v>217000</v>
      </c>
      <c r="N4299">
        <v>3.3</v>
      </c>
      <c r="O4299">
        <v>10</v>
      </c>
      <c r="P4299" t="s">
        <v>26</v>
      </c>
    </row>
    <row r="4300" spans="1:16" x14ac:dyDescent="0.25">
      <c r="A4300" t="s">
        <v>8785</v>
      </c>
      <c r="B4300" t="s">
        <v>8786</v>
      </c>
      <c r="C4300" t="s">
        <v>29</v>
      </c>
      <c r="D4300" t="s">
        <v>79</v>
      </c>
      <c r="E4300" t="s">
        <v>20</v>
      </c>
      <c r="F4300" t="s">
        <v>128</v>
      </c>
      <c r="G4300" t="s">
        <v>22</v>
      </c>
      <c r="H4300" t="s">
        <v>46</v>
      </c>
      <c r="I4300" t="s">
        <v>24</v>
      </c>
      <c r="J4300" t="s">
        <v>2718</v>
      </c>
      <c r="L4300">
        <v>2.8</v>
      </c>
      <c r="M4300">
        <v>437000</v>
      </c>
      <c r="N4300">
        <v>3</v>
      </c>
      <c r="O4300">
        <v>8</v>
      </c>
      <c r="P4300" t="s">
        <v>26</v>
      </c>
    </row>
    <row r="4301" spans="1:16" x14ac:dyDescent="0.25">
      <c r="A4301" t="s">
        <v>8787</v>
      </c>
      <c r="B4301" t="s">
        <v>2043</v>
      </c>
      <c r="C4301" t="s">
        <v>18</v>
      </c>
      <c r="D4301" t="s">
        <v>50</v>
      </c>
      <c r="E4301" t="s">
        <v>20</v>
      </c>
      <c r="F4301" t="s">
        <v>39</v>
      </c>
      <c r="G4301" t="s">
        <v>33</v>
      </c>
      <c r="H4301" t="s">
        <v>46</v>
      </c>
      <c r="I4301" t="s">
        <v>24</v>
      </c>
      <c r="J4301" t="s">
        <v>1959</v>
      </c>
      <c r="L4301">
        <v>4.4000000000000004</v>
      </c>
      <c r="M4301">
        <v>107000</v>
      </c>
      <c r="N4301">
        <v>2.5</v>
      </c>
      <c r="O4301">
        <v>1</v>
      </c>
      <c r="P4301" t="s">
        <v>26</v>
      </c>
    </row>
    <row r="4302" spans="1:16" x14ac:dyDescent="0.25">
      <c r="A4302" t="s">
        <v>8788</v>
      </c>
      <c r="B4302" t="s">
        <v>4312</v>
      </c>
      <c r="C4302" t="s">
        <v>18</v>
      </c>
      <c r="D4302" t="s">
        <v>50</v>
      </c>
      <c r="E4302" t="s">
        <v>20</v>
      </c>
      <c r="F4302" t="s">
        <v>39</v>
      </c>
      <c r="G4302" t="s">
        <v>80</v>
      </c>
      <c r="H4302" t="s">
        <v>34</v>
      </c>
      <c r="I4302" t="s">
        <v>57</v>
      </c>
      <c r="J4302" t="s">
        <v>4419</v>
      </c>
      <c r="L4302">
        <v>6</v>
      </c>
      <c r="M4302">
        <v>150000</v>
      </c>
      <c r="N4302">
        <v>2.2000000000000002</v>
      </c>
      <c r="O4302">
        <v>8</v>
      </c>
      <c r="P4302" t="s">
        <v>26</v>
      </c>
    </row>
    <row r="4303" spans="1:16" x14ac:dyDescent="0.25">
      <c r="A4303" t="s">
        <v>8789</v>
      </c>
      <c r="B4303" t="s">
        <v>4423</v>
      </c>
      <c r="C4303" t="s">
        <v>29</v>
      </c>
      <c r="D4303" t="s">
        <v>50</v>
      </c>
      <c r="E4303" t="s">
        <v>20</v>
      </c>
      <c r="G4303" t="s">
        <v>33</v>
      </c>
      <c r="H4303" t="s">
        <v>34</v>
      </c>
      <c r="I4303" t="s">
        <v>24</v>
      </c>
      <c r="J4303" t="s">
        <v>1251</v>
      </c>
      <c r="L4303">
        <v>4.0999999999999996</v>
      </c>
      <c r="M4303">
        <v>159000</v>
      </c>
      <c r="N4303">
        <v>4.2</v>
      </c>
      <c r="O4303">
        <v>6</v>
      </c>
      <c r="P4303" t="s">
        <v>26</v>
      </c>
    </row>
    <row r="4304" spans="1:16" x14ac:dyDescent="0.25">
      <c r="A4304" t="s">
        <v>8790</v>
      </c>
      <c r="B4304" t="s">
        <v>6293</v>
      </c>
      <c r="C4304" t="s">
        <v>18</v>
      </c>
      <c r="D4304" t="s">
        <v>30</v>
      </c>
      <c r="E4304" t="s">
        <v>44</v>
      </c>
      <c r="F4304" t="s">
        <v>39</v>
      </c>
      <c r="G4304" t="s">
        <v>22</v>
      </c>
      <c r="H4304" t="s">
        <v>23</v>
      </c>
      <c r="I4304" t="s">
        <v>57</v>
      </c>
      <c r="J4304" t="s">
        <v>1426</v>
      </c>
      <c r="K4304" t="s">
        <v>5606</v>
      </c>
      <c r="L4304">
        <v>2.6</v>
      </c>
      <c r="M4304">
        <v>90000</v>
      </c>
      <c r="N4304">
        <v>3.5</v>
      </c>
      <c r="O4304">
        <v>13</v>
      </c>
      <c r="P4304" t="s">
        <v>53</v>
      </c>
    </row>
    <row r="4305" spans="1:16" x14ac:dyDescent="0.25">
      <c r="A4305" t="s">
        <v>8791</v>
      </c>
      <c r="B4305" t="s">
        <v>8792</v>
      </c>
      <c r="C4305" t="s">
        <v>18</v>
      </c>
      <c r="D4305" t="s">
        <v>79</v>
      </c>
      <c r="E4305" t="s">
        <v>20</v>
      </c>
      <c r="F4305" t="s">
        <v>39</v>
      </c>
      <c r="G4305" t="s">
        <v>80</v>
      </c>
      <c r="H4305" t="s">
        <v>34</v>
      </c>
      <c r="I4305" t="s">
        <v>24</v>
      </c>
      <c r="J4305" t="s">
        <v>5175</v>
      </c>
      <c r="K4305" t="s">
        <v>223</v>
      </c>
      <c r="L4305">
        <v>3.4</v>
      </c>
      <c r="M4305">
        <v>170000</v>
      </c>
      <c r="N4305">
        <v>2.4</v>
      </c>
      <c r="O4305">
        <v>2</v>
      </c>
      <c r="P4305" t="s">
        <v>114</v>
      </c>
    </row>
    <row r="4306" spans="1:16" x14ac:dyDescent="0.25">
      <c r="A4306" t="s">
        <v>8793</v>
      </c>
      <c r="B4306" t="s">
        <v>3950</v>
      </c>
      <c r="C4306" t="s">
        <v>18</v>
      </c>
      <c r="D4306" t="s">
        <v>79</v>
      </c>
      <c r="E4306" t="s">
        <v>44</v>
      </c>
      <c r="F4306" t="s">
        <v>39</v>
      </c>
      <c r="G4306" t="s">
        <v>22</v>
      </c>
      <c r="H4306" t="s">
        <v>46</v>
      </c>
      <c r="I4306" t="s">
        <v>75</v>
      </c>
      <c r="J4306" t="s">
        <v>8794</v>
      </c>
      <c r="L4306">
        <v>3.7</v>
      </c>
      <c r="M4306">
        <v>89000</v>
      </c>
      <c r="N4306">
        <v>4.5</v>
      </c>
      <c r="O4306">
        <v>3</v>
      </c>
      <c r="P4306" t="s">
        <v>26</v>
      </c>
    </row>
    <row r="4307" spans="1:16" x14ac:dyDescent="0.25">
      <c r="A4307" t="s">
        <v>8795</v>
      </c>
      <c r="B4307" t="s">
        <v>8796</v>
      </c>
      <c r="C4307" t="s">
        <v>18</v>
      </c>
      <c r="D4307" t="s">
        <v>43</v>
      </c>
      <c r="E4307" t="s">
        <v>20</v>
      </c>
      <c r="F4307" t="s">
        <v>39</v>
      </c>
      <c r="G4307" t="s">
        <v>22</v>
      </c>
      <c r="H4307" t="s">
        <v>23</v>
      </c>
      <c r="I4307" t="s">
        <v>35</v>
      </c>
      <c r="J4307" t="s">
        <v>3945</v>
      </c>
      <c r="L4307">
        <v>5.9</v>
      </c>
      <c r="M4307">
        <v>85000</v>
      </c>
      <c r="N4307">
        <v>4.9000000000000004</v>
      </c>
      <c r="O4307">
        <v>3</v>
      </c>
      <c r="P4307" t="s">
        <v>26</v>
      </c>
    </row>
    <row r="4308" spans="1:16" x14ac:dyDescent="0.25">
      <c r="A4308" t="s">
        <v>8797</v>
      </c>
      <c r="B4308" t="s">
        <v>3290</v>
      </c>
      <c r="C4308" t="s">
        <v>18</v>
      </c>
      <c r="D4308" t="s">
        <v>50</v>
      </c>
      <c r="E4308" t="s">
        <v>44</v>
      </c>
      <c r="F4308" t="s">
        <v>32</v>
      </c>
      <c r="G4308" t="s">
        <v>22</v>
      </c>
      <c r="H4308" t="s">
        <v>23</v>
      </c>
      <c r="I4308" t="s">
        <v>35</v>
      </c>
      <c r="J4308" t="s">
        <v>2464</v>
      </c>
      <c r="K4308" t="s">
        <v>7042</v>
      </c>
      <c r="L4308">
        <v>4.8</v>
      </c>
      <c r="M4308">
        <v>208000</v>
      </c>
      <c r="N4308">
        <v>2.7</v>
      </c>
      <c r="O4308">
        <v>8</v>
      </c>
      <c r="P4308" t="s">
        <v>72</v>
      </c>
    </row>
    <row r="4309" spans="1:16" x14ac:dyDescent="0.25">
      <c r="A4309" t="s">
        <v>8798</v>
      </c>
      <c r="B4309" t="s">
        <v>1654</v>
      </c>
      <c r="C4309" t="s">
        <v>29</v>
      </c>
      <c r="D4309" t="s">
        <v>43</v>
      </c>
      <c r="E4309" t="s">
        <v>20</v>
      </c>
      <c r="F4309" t="s">
        <v>128</v>
      </c>
      <c r="G4309" t="s">
        <v>80</v>
      </c>
      <c r="H4309" t="s">
        <v>34</v>
      </c>
      <c r="I4309" t="s">
        <v>35</v>
      </c>
      <c r="J4309" t="s">
        <v>7697</v>
      </c>
      <c r="L4309">
        <v>5.6</v>
      </c>
      <c r="M4309">
        <v>369000</v>
      </c>
      <c r="N4309">
        <v>4</v>
      </c>
      <c r="O4309">
        <v>3</v>
      </c>
      <c r="P4309" t="s">
        <v>26</v>
      </c>
    </row>
    <row r="4310" spans="1:16" x14ac:dyDescent="0.25">
      <c r="A4310" t="s">
        <v>8799</v>
      </c>
      <c r="B4310" t="s">
        <v>8800</v>
      </c>
      <c r="C4310" t="s">
        <v>18</v>
      </c>
      <c r="D4310" t="s">
        <v>79</v>
      </c>
      <c r="E4310" t="s">
        <v>20</v>
      </c>
      <c r="F4310" t="s">
        <v>21</v>
      </c>
      <c r="G4310" t="s">
        <v>22</v>
      </c>
      <c r="H4310" t="s">
        <v>46</v>
      </c>
      <c r="I4310" t="s">
        <v>24</v>
      </c>
      <c r="J4310" t="s">
        <v>1369</v>
      </c>
      <c r="L4310">
        <v>4.8</v>
      </c>
      <c r="M4310">
        <v>903000</v>
      </c>
      <c r="N4310">
        <v>4.5</v>
      </c>
      <c r="O4310">
        <v>10</v>
      </c>
      <c r="P4310" t="s">
        <v>26</v>
      </c>
    </row>
    <row r="4311" spans="1:16" x14ac:dyDescent="0.25">
      <c r="A4311" t="s">
        <v>8801</v>
      </c>
      <c r="B4311" t="s">
        <v>5740</v>
      </c>
      <c r="C4311" t="s">
        <v>29</v>
      </c>
      <c r="D4311" t="s">
        <v>30</v>
      </c>
      <c r="E4311" t="s">
        <v>20</v>
      </c>
      <c r="F4311" t="s">
        <v>32</v>
      </c>
      <c r="G4311" t="s">
        <v>69</v>
      </c>
      <c r="H4311" t="s">
        <v>46</v>
      </c>
      <c r="I4311" t="s">
        <v>24</v>
      </c>
      <c r="J4311" t="s">
        <v>416</v>
      </c>
      <c r="K4311" t="s">
        <v>6355</v>
      </c>
      <c r="L4311">
        <v>1.6</v>
      </c>
      <c r="M4311">
        <v>209000</v>
      </c>
      <c r="N4311">
        <v>2</v>
      </c>
      <c r="O4311">
        <v>27</v>
      </c>
      <c r="P4311" t="s">
        <v>53</v>
      </c>
    </row>
    <row r="4312" spans="1:16" x14ac:dyDescent="0.25">
      <c r="A4312" t="s">
        <v>8802</v>
      </c>
      <c r="B4312" t="s">
        <v>3013</v>
      </c>
      <c r="C4312" t="s">
        <v>29</v>
      </c>
      <c r="D4312" t="s">
        <v>79</v>
      </c>
      <c r="E4312" t="s">
        <v>20</v>
      </c>
      <c r="F4312" t="s">
        <v>39</v>
      </c>
      <c r="G4312" t="s">
        <v>22</v>
      </c>
      <c r="H4312" t="s">
        <v>46</v>
      </c>
      <c r="I4312" t="s">
        <v>24</v>
      </c>
      <c r="J4312" t="s">
        <v>3238</v>
      </c>
      <c r="L4312">
        <v>1.6</v>
      </c>
      <c r="M4312">
        <v>104000</v>
      </c>
      <c r="N4312">
        <v>2</v>
      </c>
      <c r="O4312">
        <v>7</v>
      </c>
      <c r="P4312" t="s">
        <v>26</v>
      </c>
    </row>
    <row r="4313" spans="1:16" x14ac:dyDescent="0.25">
      <c r="A4313" t="s">
        <v>8803</v>
      </c>
      <c r="B4313" t="s">
        <v>3847</v>
      </c>
      <c r="C4313" t="s">
        <v>29</v>
      </c>
      <c r="D4313" t="s">
        <v>43</v>
      </c>
      <c r="E4313" t="s">
        <v>20</v>
      </c>
      <c r="F4313" t="s">
        <v>128</v>
      </c>
      <c r="G4313" t="s">
        <v>33</v>
      </c>
      <c r="H4313" t="s">
        <v>62</v>
      </c>
      <c r="I4313" t="s">
        <v>35</v>
      </c>
      <c r="J4313" t="s">
        <v>3488</v>
      </c>
      <c r="K4313" t="s">
        <v>3478</v>
      </c>
      <c r="L4313">
        <v>3.6</v>
      </c>
      <c r="N4313">
        <v>2.8</v>
      </c>
      <c r="O4313">
        <v>13</v>
      </c>
      <c r="P4313" t="s">
        <v>72</v>
      </c>
    </row>
    <row r="4314" spans="1:16" x14ac:dyDescent="0.25">
      <c r="A4314" t="s">
        <v>8804</v>
      </c>
      <c r="B4314" t="s">
        <v>2943</v>
      </c>
      <c r="C4314" t="s">
        <v>18</v>
      </c>
      <c r="D4314" t="s">
        <v>19</v>
      </c>
      <c r="E4314" t="s">
        <v>20</v>
      </c>
      <c r="F4314" t="s">
        <v>21</v>
      </c>
      <c r="G4314" t="s">
        <v>22</v>
      </c>
      <c r="H4314" t="s">
        <v>34</v>
      </c>
      <c r="I4314" t="s">
        <v>57</v>
      </c>
      <c r="J4314" t="s">
        <v>4309</v>
      </c>
      <c r="L4314">
        <v>3.1</v>
      </c>
      <c r="M4314">
        <v>821000</v>
      </c>
      <c r="N4314">
        <v>3.8</v>
      </c>
      <c r="O4314">
        <v>13</v>
      </c>
      <c r="P4314" t="s">
        <v>26</v>
      </c>
    </row>
    <row r="4315" spans="1:16" x14ac:dyDescent="0.25">
      <c r="A4315" t="s">
        <v>8805</v>
      </c>
      <c r="B4315" t="s">
        <v>5901</v>
      </c>
      <c r="C4315" t="s">
        <v>29</v>
      </c>
      <c r="D4315" t="s">
        <v>19</v>
      </c>
      <c r="E4315" t="s">
        <v>20</v>
      </c>
      <c r="F4315" t="s">
        <v>21</v>
      </c>
      <c r="G4315" t="s">
        <v>80</v>
      </c>
      <c r="H4315" t="s">
        <v>46</v>
      </c>
      <c r="I4315" t="s">
        <v>57</v>
      </c>
      <c r="J4315" t="s">
        <v>7588</v>
      </c>
      <c r="K4315" t="s">
        <v>2944</v>
      </c>
      <c r="L4315">
        <v>2.4</v>
      </c>
      <c r="M4315">
        <v>974000</v>
      </c>
      <c r="N4315">
        <v>4.0999999999999996</v>
      </c>
      <c r="O4315">
        <v>1</v>
      </c>
      <c r="P4315" t="s">
        <v>53</v>
      </c>
    </row>
    <row r="4316" spans="1:16" x14ac:dyDescent="0.25">
      <c r="A4316" t="s">
        <v>8806</v>
      </c>
      <c r="B4316" t="s">
        <v>8807</v>
      </c>
      <c r="C4316" t="s">
        <v>29</v>
      </c>
      <c r="D4316" t="s">
        <v>30</v>
      </c>
      <c r="E4316" t="s">
        <v>20</v>
      </c>
      <c r="F4316" t="s">
        <v>32</v>
      </c>
      <c r="G4316" t="s">
        <v>33</v>
      </c>
      <c r="H4316" t="s">
        <v>23</v>
      </c>
      <c r="I4316" t="s">
        <v>35</v>
      </c>
      <c r="J4316" t="s">
        <v>5820</v>
      </c>
      <c r="L4316">
        <v>4.9000000000000004</v>
      </c>
      <c r="M4316">
        <v>341000</v>
      </c>
      <c r="N4316">
        <v>4.5</v>
      </c>
      <c r="P4316" t="s">
        <v>26</v>
      </c>
    </row>
    <row r="4317" spans="1:16" x14ac:dyDescent="0.25">
      <c r="A4317" t="s">
        <v>8808</v>
      </c>
      <c r="B4317" t="s">
        <v>7189</v>
      </c>
      <c r="C4317" t="s">
        <v>29</v>
      </c>
      <c r="D4317" t="s">
        <v>30</v>
      </c>
      <c r="E4317" t="s">
        <v>20</v>
      </c>
      <c r="G4317" t="s">
        <v>80</v>
      </c>
      <c r="H4317" t="s">
        <v>23</v>
      </c>
      <c r="I4317" t="s">
        <v>24</v>
      </c>
      <c r="J4317" t="s">
        <v>2233</v>
      </c>
      <c r="L4317">
        <v>2.9</v>
      </c>
      <c r="M4317">
        <v>223000</v>
      </c>
      <c r="N4317">
        <v>1.6</v>
      </c>
      <c r="O4317">
        <v>15</v>
      </c>
      <c r="P4317" t="s">
        <v>26</v>
      </c>
    </row>
    <row r="4318" spans="1:16" x14ac:dyDescent="0.25">
      <c r="A4318" t="s">
        <v>8809</v>
      </c>
      <c r="B4318" t="s">
        <v>2289</v>
      </c>
      <c r="C4318" t="s">
        <v>18</v>
      </c>
      <c r="D4318" t="s">
        <v>79</v>
      </c>
      <c r="E4318" t="s">
        <v>20</v>
      </c>
      <c r="F4318" t="s">
        <v>45</v>
      </c>
      <c r="G4318" t="s">
        <v>22</v>
      </c>
      <c r="H4318" t="s">
        <v>62</v>
      </c>
      <c r="I4318" t="s">
        <v>57</v>
      </c>
      <c r="J4318" t="s">
        <v>637</v>
      </c>
      <c r="L4318">
        <v>4</v>
      </c>
      <c r="M4318">
        <v>1911000</v>
      </c>
      <c r="N4318">
        <v>4.0999999999999996</v>
      </c>
      <c r="O4318">
        <v>0</v>
      </c>
      <c r="P4318" t="s">
        <v>26</v>
      </c>
    </row>
    <row r="4319" spans="1:16" x14ac:dyDescent="0.25">
      <c r="A4319" t="s">
        <v>8810</v>
      </c>
      <c r="B4319" t="s">
        <v>1590</v>
      </c>
      <c r="C4319" t="s">
        <v>29</v>
      </c>
      <c r="D4319" t="s">
        <v>43</v>
      </c>
      <c r="E4319" t="s">
        <v>20</v>
      </c>
      <c r="F4319" t="s">
        <v>32</v>
      </c>
      <c r="G4319" t="s">
        <v>80</v>
      </c>
      <c r="H4319" t="s">
        <v>23</v>
      </c>
      <c r="I4319" t="s">
        <v>35</v>
      </c>
      <c r="J4319" t="s">
        <v>401</v>
      </c>
      <c r="K4319" t="s">
        <v>8811</v>
      </c>
      <c r="L4319">
        <v>1.9</v>
      </c>
      <c r="M4319">
        <v>291000</v>
      </c>
      <c r="N4319">
        <v>3.6</v>
      </c>
      <c r="O4319">
        <v>2</v>
      </c>
      <c r="P4319" t="s">
        <v>114</v>
      </c>
    </row>
    <row r="4320" spans="1:16" x14ac:dyDescent="0.25">
      <c r="A4320" t="s">
        <v>8812</v>
      </c>
      <c r="B4320" t="s">
        <v>7590</v>
      </c>
      <c r="C4320" t="s">
        <v>29</v>
      </c>
      <c r="D4320" t="s">
        <v>19</v>
      </c>
      <c r="E4320" t="s">
        <v>31</v>
      </c>
      <c r="F4320" t="s">
        <v>21</v>
      </c>
      <c r="G4320" t="s">
        <v>22</v>
      </c>
      <c r="H4320" t="s">
        <v>34</v>
      </c>
      <c r="I4320" t="s">
        <v>57</v>
      </c>
      <c r="J4320" t="s">
        <v>305</v>
      </c>
      <c r="L4320">
        <v>2.5</v>
      </c>
      <c r="M4320">
        <v>795000</v>
      </c>
      <c r="N4320">
        <v>4.0999999999999996</v>
      </c>
      <c r="P4320" t="s">
        <v>26</v>
      </c>
    </row>
    <row r="4321" spans="1:16" x14ac:dyDescent="0.25">
      <c r="A4321" t="s">
        <v>8813</v>
      </c>
      <c r="B4321" t="s">
        <v>8814</v>
      </c>
      <c r="C4321" t="s">
        <v>29</v>
      </c>
      <c r="D4321" t="s">
        <v>79</v>
      </c>
      <c r="E4321" t="s">
        <v>44</v>
      </c>
      <c r="F4321" t="s">
        <v>39</v>
      </c>
      <c r="G4321" t="s">
        <v>33</v>
      </c>
      <c r="H4321" t="s">
        <v>46</v>
      </c>
      <c r="I4321" t="s">
        <v>57</v>
      </c>
      <c r="J4321" t="s">
        <v>1648</v>
      </c>
      <c r="K4321" t="s">
        <v>8815</v>
      </c>
      <c r="L4321">
        <v>4.5</v>
      </c>
      <c r="M4321">
        <v>103000</v>
      </c>
      <c r="N4321">
        <v>2.4</v>
      </c>
      <c r="O4321">
        <v>13</v>
      </c>
      <c r="P4321" t="s">
        <v>53</v>
      </c>
    </row>
    <row r="4322" spans="1:16" x14ac:dyDescent="0.25">
      <c r="A4322" t="s">
        <v>8816</v>
      </c>
      <c r="B4322" t="s">
        <v>2812</v>
      </c>
      <c r="C4322" t="s">
        <v>18</v>
      </c>
      <c r="D4322" t="s">
        <v>19</v>
      </c>
      <c r="E4322" t="s">
        <v>20</v>
      </c>
      <c r="F4322" t="s">
        <v>39</v>
      </c>
      <c r="G4322" t="s">
        <v>80</v>
      </c>
      <c r="H4322" t="s">
        <v>23</v>
      </c>
      <c r="I4322" t="s">
        <v>24</v>
      </c>
      <c r="J4322" t="s">
        <v>4837</v>
      </c>
      <c r="L4322">
        <v>1.7</v>
      </c>
      <c r="M4322">
        <v>166000</v>
      </c>
      <c r="N4322">
        <v>3.8</v>
      </c>
      <c r="O4322">
        <v>2</v>
      </c>
      <c r="P4322" t="s">
        <v>26</v>
      </c>
    </row>
    <row r="4323" spans="1:16" x14ac:dyDescent="0.25">
      <c r="A4323" t="s">
        <v>8817</v>
      </c>
      <c r="B4323" t="s">
        <v>790</v>
      </c>
      <c r="C4323" t="s">
        <v>18</v>
      </c>
      <c r="D4323" t="s">
        <v>43</v>
      </c>
      <c r="E4323" t="s">
        <v>20</v>
      </c>
      <c r="F4323" t="s">
        <v>39</v>
      </c>
      <c r="G4323" t="s">
        <v>80</v>
      </c>
      <c r="H4323" t="s">
        <v>34</v>
      </c>
      <c r="I4323" t="s">
        <v>57</v>
      </c>
      <c r="J4323" t="s">
        <v>875</v>
      </c>
      <c r="K4323" t="s">
        <v>4208</v>
      </c>
      <c r="L4323">
        <v>3.5</v>
      </c>
      <c r="M4323">
        <v>108000</v>
      </c>
      <c r="N4323">
        <v>3.1</v>
      </c>
      <c r="O4323">
        <v>6</v>
      </c>
      <c r="P4323" t="s">
        <v>114</v>
      </c>
    </row>
    <row r="4324" spans="1:16" x14ac:dyDescent="0.25">
      <c r="A4324" t="s">
        <v>8818</v>
      </c>
      <c r="B4324" t="s">
        <v>8819</v>
      </c>
      <c r="C4324" t="s">
        <v>18</v>
      </c>
      <c r="D4324" t="s">
        <v>43</v>
      </c>
      <c r="E4324" t="s">
        <v>20</v>
      </c>
      <c r="F4324" t="s">
        <v>21</v>
      </c>
      <c r="G4324" t="s">
        <v>22</v>
      </c>
      <c r="H4324" t="s">
        <v>34</v>
      </c>
      <c r="I4324" t="s">
        <v>57</v>
      </c>
      <c r="J4324" t="s">
        <v>957</v>
      </c>
      <c r="K4324" t="s">
        <v>3828</v>
      </c>
      <c r="L4324">
        <v>4</v>
      </c>
      <c r="M4324">
        <v>814000</v>
      </c>
      <c r="N4324">
        <v>4.0999999999999996</v>
      </c>
      <c r="O4324">
        <v>18</v>
      </c>
      <c r="P4324" t="s">
        <v>53</v>
      </c>
    </row>
    <row r="4325" spans="1:16" x14ac:dyDescent="0.25">
      <c r="A4325" t="s">
        <v>8820</v>
      </c>
      <c r="B4325" t="s">
        <v>8821</v>
      </c>
      <c r="C4325" t="s">
        <v>18</v>
      </c>
      <c r="D4325" t="s">
        <v>19</v>
      </c>
      <c r="E4325" t="s">
        <v>31</v>
      </c>
      <c r="F4325" t="s">
        <v>21</v>
      </c>
      <c r="G4325" t="s">
        <v>22</v>
      </c>
      <c r="H4325" t="s">
        <v>46</v>
      </c>
      <c r="I4325" t="s">
        <v>75</v>
      </c>
      <c r="J4325" t="s">
        <v>1178</v>
      </c>
      <c r="L4325">
        <v>4.5</v>
      </c>
      <c r="M4325">
        <v>693000</v>
      </c>
      <c r="N4325">
        <v>4.4000000000000004</v>
      </c>
      <c r="O4325">
        <v>34</v>
      </c>
      <c r="P4325" t="s">
        <v>26</v>
      </c>
    </row>
    <row r="4326" spans="1:16" x14ac:dyDescent="0.25">
      <c r="A4326" t="s">
        <v>8822</v>
      </c>
      <c r="B4326" t="s">
        <v>8823</v>
      </c>
      <c r="C4326" t="s">
        <v>29</v>
      </c>
      <c r="D4326" t="s">
        <v>43</v>
      </c>
      <c r="F4326" t="s">
        <v>128</v>
      </c>
      <c r="G4326" t="s">
        <v>22</v>
      </c>
      <c r="H4326" t="s">
        <v>34</v>
      </c>
      <c r="I4326" t="s">
        <v>24</v>
      </c>
      <c r="J4326" t="s">
        <v>2444</v>
      </c>
      <c r="L4326">
        <v>2.5</v>
      </c>
      <c r="M4326">
        <v>501000</v>
      </c>
      <c r="N4326">
        <v>2.9</v>
      </c>
      <c r="O4326">
        <v>6</v>
      </c>
      <c r="P4326" t="s">
        <v>26</v>
      </c>
    </row>
    <row r="4327" spans="1:16" x14ac:dyDescent="0.25">
      <c r="A4327" t="s">
        <v>8824</v>
      </c>
      <c r="B4327" t="s">
        <v>7290</v>
      </c>
      <c r="C4327" t="s">
        <v>29</v>
      </c>
      <c r="D4327" t="s">
        <v>50</v>
      </c>
      <c r="E4327" t="s">
        <v>20</v>
      </c>
      <c r="F4327" t="s">
        <v>39</v>
      </c>
      <c r="G4327" t="s">
        <v>22</v>
      </c>
      <c r="H4327" t="s">
        <v>34</v>
      </c>
      <c r="I4327" t="s">
        <v>24</v>
      </c>
      <c r="J4327" t="s">
        <v>2726</v>
      </c>
      <c r="L4327">
        <v>5.8</v>
      </c>
      <c r="M4327">
        <v>132000</v>
      </c>
      <c r="N4327">
        <v>2.2999999999999998</v>
      </c>
      <c r="O4327">
        <v>4</v>
      </c>
      <c r="P4327" t="s">
        <v>26</v>
      </c>
    </row>
    <row r="4328" spans="1:16" x14ac:dyDescent="0.25">
      <c r="A4328" t="s">
        <v>8825</v>
      </c>
      <c r="B4328" t="s">
        <v>4999</v>
      </c>
      <c r="C4328" t="s">
        <v>29</v>
      </c>
      <c r="D4328" t="s">
        <v>30</v>
      </c>
      <c r="E4328" t="s">
        <v>44</v>
      </c>
      <c r="F4328" t="s">
        <v>128</v>
      </c>
      <c r="G4328" t="s">
        <v>80</v>
      </c>
      <c r="H4328" t="s">
        <v>23</v>
      </c>
      <c r="I4328" t="s">
        <v>24</v>
      </c>
      <c r="J4328" t="s">
        <v>425</v>
      </c>
      <c r="K4328" t="s">
        <v>4014</v>
      </c>
      <c r="L4328">
        <v>1.4</v>
      </c>
      <c r="M4328">
        <v>369000</v>
      </c>
      <c r="N4328">
        <v>4.7</v>
      </c>
      <c r="O4328">
        <v>0</v>
      </c>
      <c r="P4328" t="s">
        <v>53</v>
      </c>
    </row>
    <row r="4329" spans="1:16" x14ac:dyDescent="0.25">
      <c r="A4329" t="s">
        <v>8826</v>
      </c>
      <c r="B4329" t="s">
        <v>6347</v>
      </c>
      <c r="C4329" t="s">
        <v>18</v>
      </c>
      <c r="D4329" t="s">
        <v>19</v>
      </c>
      <c r="E4329" t="s">
        <v>20</v>
      </c>
      <c r="F4329" t="s">
        <v>128</v>
      </c>
      <c r="G4329" t="s">
        <v>22</v>
      </c>
      <c r="H4329" t="s">
        <v>23</v>
      </c>
      <c r="J4329" t="s">
        <v>189</v>
      </c>
      <c r="K4329" t="s">
        <v>193</v>
      </c>
      <c r="L4329">
        <v>1.4</v>
      </c>
      <c r="M4329">
        <v>455000</v>
      </c>
      <c r="N4329">
        <v>2.1</v>
      </c>
      <c r="O4329">
        <v>6</v>
      </c>
      <c r="P4329" t="s">
        <v>53</v>
      </c>
    </row>
    <row r="4330" spans="1:16" x14ac:dyDescent="0.25">
      <c r="A4330" t="s">
        <v>8827</v>
      </c>
      <c r="B4330" t="s">
        <v>8828</v>
      </c>
      <c r="C4330" t="s">
        <v>18</v>
      </c>
      <c r="D4330" t="s">
        <v>19</v>
      </c>
      <c r="E4330" t="s">
        <v>20</v>
      </c>
      <c r="F4330" t="s">
        <v>39</v>
      </c>
      <c r="G4330" t="s">
        <v>22</v>
      </c>
      <c r="H4330" t="s">
        <v>34</v>
      </c>
      <c r="I4330" t="s">
        <v>57</v>
      </c>
      <c r="J4330" t="s">
        <v>1665</v>
      </c>
      <c r="K4330" t="s">
        <v>6791</v>
      </c>
      <c r="L4330">
        <v>2.2999999999999998</v>
      </c>
      <c r="M4330">
        <v>169000</v>
      </c>
      <c r="N4330">
        <v>2.7</v>
      </c>
      <c r="O4330">
        <v>7</v>
      </c>
      <c r="P4330" t="s">
        <v>53</v>
      </c>
    </row>
    <row r="4331" spans="1:16" x14ac:dyDescent="0.25">
      <c r="A4331" t="s">
        <v>8829</v>
      </c>
      <c r="B4331" t="s">
        <v>4210</v>
      </c>
      <c r="C4331" t="s">
        <v>29</v>
      </c>
      <c r="D4331" t="s">
        <v>79</v>
      </c>
      <c r="E4331" t="s">
        <v>31</v>
      </c>
      <c r="F4331" t="s">
        <v>32</v>
      </c>
      <c r="G4331" t="s">
        <v>22</v>
      </c>
      <c r="H4331" t="s">
        <v>23</v>
      </c>
      <c r="I4331" t="s">
        <v>75</v>
      </c>
      <c r="J4331" t="s">
        <v>2502</v>
      </c>
      <c r="K4331" t="s">
        <v>3943</v>
      </c>
      <c r="L4331">
        <v>3</v>
      </c>
      <c r="M4331">
        <v>264000</v>
      </c>
      <c r="N4331">
        <v>3.8</v>
      </c>
      <c r="O4331">
        <v>1</v>
      </c>
      <c r="P4331" t="s">
        <v>114</v>
      </c>
    </row>
    <row r="4332" spans="1:16" x14ac:dyDescent="0.25">
      <c r="A4332" t="s">
        <v>8830</v>
      </c>
      <c r="B4332" t="s">
        <v>5369</v>
      </c>
      <c r="C4332" t="s">
        <v>29</v>
      </c>
      <c r="D4332" t="s">
        <v>43</v>
      </c>
      <c r="E4332" t="s">
        <v>31</v>
      </c>
      <c r="F4332" t="s">
        <v>128</v>
      </c>
      <c r="G4332" t="s">
        <v>22</v>
      </c>
      <c r="H4332" t="s">
        <v>34</v>
      </c>
      <c r="I4332" t="s">
        <v>35</v>
      </c>
      <c r="J4332" t="s">
        <v>1712</v>
      </c>
      <c r="K4332" t="s">
        <v>3049</v>
      </c>
      <c r="L4332">
        <v>1.5</v>
      </c>
      <c r="M4332">
        <v>474000</v>
      </c>
      <c r="N4332">
        <v>2.1</v>
      </c>
      <c r="O4332">
        <v>4</v>
      </c>
      <c r="P4332" t="s">
        <v>53</v>
      </c>
    </row>
    <row r="4333" spans="1:16" x14ac:dyDescent="0.25">
      <c r="A4333" t="s">
        <v>8831</v>
      </c>
      <c r="B4333" t="s">
        <v>8832</v>
      </c>
      <c r="C4333" t="s">
        <v>18</v>
      </c>
      <c r="D4333" t="s">
        <v>30</v>
      </c>
      <c r="E4333" t="s">
        <v>31</v>
      </c>
      <c r="F4333" t="s">
        <v>32</v>
      </c>
      <c r="G4333" t="s">
        <v>22</v>
      </c>
      <c r="H4333" t="s">
        <v>46</v>
      </c>
      <c r="I4333" t="s">
        <v>24</v>
      </c>
      <c r="J4333" t="s">
        <v>2914</v>
      </c>
      <c r="L4333">
        <v>2.8</v>
      </c>
      <c r="M4333">
        <v>211000</v>
      </c>
      <c r="N4333">
        <v>2.9</v>
      </c>
      <c r="O4333">
        <v>4</v>
      </c>
      <c r="P4333" t="s">
        <v>26</v>
      </c>
    </row>
    <row r="4334" spans="1:16" x14ac:dyDescent="0.25">
      <c r="A4334" t="s">
        <v>8833</v>
      </c>
      <c r="B4334" t="s">
        <v>8834</v>
      </c>
      <c r="C4334" t="s">
        <v>18</v>
      </c>
      <c r="D4334" t="s">
        <v>30</v>
      </c>
      <c r="E4334" t="s">
        <v>20</v>
      </c>
      <c r="F4334" t="s">
        <v>39</v>
      </c>
      <c r="G4334" t="s">
        <v>22</v>
      </c>
      <c r="H4334" t="s">
        <v>46</v>
      </c>
      <c r="I4334" t="s">
        <v>35</v>
      </c>
      <c r="J4334" t="s">
        <v>348</v>
      </c>
      <c r="K4334" t="s">
        <v>4135</v>
      </c>
      <c r="L4334">
        <v>4.9000000000000004</v>
      </c>
      <c r="M4334">
        <v>145000</v>
      </c>
      <c r="O4334">
        <v>32</v>
      </c>
      <c r="P4334" t="s">
        <v>53</v>
      </c>
    </row>
    <row r="4335" spans="1:16" x14ac:dyDescent="0.25">
      <c r="A4335" t="s">
        <v>8835</v>
      </c>
      <c r="B4335" t="s">
        <v>2922</v>
      </c>
      <c r="C4335" t="s">
        <v>18</v>
      </c>
      <c r="D4335" t="s">
        <v>79</v>
      </c>
      <c r="E4335" t="s">
        <v>20</v>
      </c>
      <c r="F4335" t="s">
        <v>45</v>
      </c>
      <c r="G4335" t="s">
        <v>22</v>
      </c>
      <c r="H4335" t="s">
        <v>23</v>
      </c>
      <c r="I4335" t="s">
        <v>24</v>
      </c>
      <c r="J4335" t="s">
        <v>8836</v>
      </c>
      <c r="L4335">
        <v>3.8</v>
      </c>
      <c r="M4335">
        <v>1256000</v>
      </c>
      <c r="N4335">
        <v>4.0999999999999996</v>
      </c>
      <c r="O4335">
        <v>2</v>
      </c>
      <c r="P4335" t="s">
        <v>26</v>
      </c>
    </row>
    <row r="4336" spans="1:16" x14ac:dyDescent="0.25">
      <c r="A4336" t="s">
        <v>8837</v>
      </c>
      <c r="B4336" t="s">
        <v>5956</v>
      </c>
      <c r="C4336" t="s">
        <v>18</v>
      </c>
      <c r="D4336" t="s">
        <v>79</v>
      </c>
      <c r="E4336" t="s">
        <v>20</v>
      </c>
      <c r="G4336" t="s">
        <v>80</v>
      </c>
      <c r="H4336" t="s">
        <v>34</v>
      </c>
      <c r="I4336" t="s">
        <v>24</v>
      </c>
      <c r="J4336" t="s">
        <v>298</v>
      </c>
      <c r="L4336">
        <v>3.3</v>
      </c>
      <c r="M4336">
        <v>427000</v>
      </c>
      <c r="N4336">
        <v>3.6</v>
      </c>
      <c r="P4336" t="s">
        <v>26</v>
      </c>
    </row>
    <row r="4337" spans="1:16" x14ac:dyDescent="0.25">
      <c r="A4337" t="s">
        <v>8838</v>
      </c>
      <c r="B4337" t="s">
        <v>6115</v>
      </c>
      <c r="C4337" t="s">
        <v>29</v>
      </c>
      <c r="D4337" t="s">
        <v>79</v>
      </c>
      <c r="E4337" t="s">
        <v>20</v>
      </c>
      <c r="F4337" t="s">
        <v>32</v>
      </c>
      <c r="G4337" t="s">
        <v>22</v>
      </c>
      <c r="H4337" t="s">
        <v>46</v>
      </c>
      <c r="I4337" t="s">
        <v>24</v>
      </c>
      <c r="J4337" t="s">
        <v>1941</v>
      </c>
      <c r="K4337" t="s">
        <v>8839</v>
      </c>
      <c r="L4337">
        <v>4.0999999999999996</v>
      </c>
      <c r="M4337">
        <v>277000</v>
      </c>
      <c r="N4337">
        <v>3.9</v>
      </c>
      <c r="P4337" t="s">
        <v>53</v>
      </c>
    </row>
    <row r="4338" spans="1:16" x14ac:dyDescent="0.25">
      <c r="A4338" t="s">
        <v>8840</v>
      </c>
      <c r="B4338" t="s">
        <v>1293</v>
      </c>
      <c r="C4338" t="s">
        <v>29</v>
      </c>
      <c r="D4338" t="s">
        <v>79</v>
      </c>
      <c r="E4338" t="s">
        <v>20</v>
      </c>
      <c r="F4338" t="s">
        <v>39</v>
      </c>
      <c r="G4338" t="s">
        <v>33</v>
      </c>
      <c r="H4338" t="s">
        <v>46</v>
      </c>
      <c r="I4338" t="s">
        <v>57</v>
      </c>
      <c r="J4338" t="s">
        <v>949</v>
      </c>
      <c r="L4338">
        <v>3.6</v>
      </c>
      <c r="M4338">
        <v>150000</v>
      </c>
      <c r="N4338">
        <v>3.4</v>
      </c>
      <c r="O4338">
        <v>2</v>
      </c>
      <c r="P4338" t="s">
        <v>26</v>
      </c>
    </row>
    <row r="4339" spans="1:16" x14ac:dyDescent="0.25">
      <c r="A4339" t="s">
        <v>8841</v>
      </c>
      <c r="B4339" t="s">
        <v>6691</v>
      </c>
      <c r="D4339" t="s">
        <v>30</v>
      </c>
      <c r="E4339" t="s">
        <v>20</v>
      </c>
      <c r="F4339" t="s">
        <v>32</v>
      </c>
      <c r="G4339" t="s">
        <v>22</v>
      </c>
      <c r="H4339" t="s">
        <v>46</v>
      </c>
      <c r="I4339" t="s">
        <v>171</v>
      </c>
      <c r="J4339" t="s">
        <v>216</v>
      </c>
      <c r="K4339" t="s">
        <v>1309</v>
      </c>
      <c r="L4339">
        <v>4.4000000000000004</v>
      </c>
      <c r="M4339">
        <v>194000</v>
      </c>
      <c r="N4339">
        <v>3</v>
      </c>
      <c r="O4339">
        <v>23</v>
      </c>
      <c r="P4339" t="s">
        <v>53</v>
      </c>
    </row>
    <row r="4340" spans="1:16" x14ac:dyDescent="0.25">
      <c r="A4340" t="s">
        <v>8842</v>
      </c>
      <c r="B4340" t="s">
        <v>8843</v>
      </c>
      <c r="C4340" t="s">
        <v>18</v>
      </c>
      <c r="D4340" t="s">
        <v>43</v>
      </c>
      <c r="E4340" t="s">
        <v>31</v>
      </c>
      <c r="F4340" t="s">
        <v>128</v>
      </c>
      <c r="G4340" t="s">
        <v>22</v>
      </c>
      <c r="H4340" t="s">
        <v>23</v>
      </c>
      <c r="I4340" t="s">
        <v>75</v>
      </c>
      <c r="J4340" t="s">
        <v>2335</v>
      </c>
      <c r="K4340" t="s">
        <v>997</v>
      </c>
      <c r="L4340">
        <v>3</v>
      </c>
      <c r="M4340">
        <v>520000</v>
      </c>
      <c r="N4340">
        <v>4.4000000000000004</v>
      </c>
      <c r="O4340">
        <v>5</v>
      </c>
      <c r="P4340" t="s">
        <v>53</v>
      </c>
    </row>
    <row r="4341" spans="1:16" x14ac:dyDescent="0.25">
      <c r="A4341" t="s">
        <v>8844</v>
      </c>
      <c r="B4341" t="s">
        <v>3941</v>
      </c>
      <c r="C4341" t="s">
        <v>18</v>
      </c>
      <c r="D4341" t="s">
        <v>43</v>
      </c>
      <c r="E4341" t="s">
        <v>44</v>
      </c>
      <c r="F4341" t="s">
        <v>32</v>
      </c>
      <c r="G4341" t="s">
        <v>69</v>
      </c>
      <c r="H4341" t="s">
        <v>46</v>
      </c>
      <c r="I4341" t="s">
        <v>24</v>
      </c>
      <c r="J4341" t="s">
        <v>7674</v>
      </c>
      <c r="L4341">
        <v>3.2</v>
      </c>
      <c r="M4341">
        <v>190000</v>
      </c>
      <c r="N4341">
        <v>4.4000000000000004</v>
      </c>
      <c r="O4341">
        <v>9</v>
      </c>
      <c r="P4341" t="s">
        <v>26</v>
      </c>
    </row>
    <row r="4342" spans="1:16" x14ac:dyDescent="0.25">
      <c r="A4342" t="s">
        <v>8845</v>
      </c>
      <c r="B4342" t="s">
        <v>3059</v>
      </c>
      <c r="C4342" t="s">
        <v>18</v>
      </c>
      <c r="D4342" t="s">
        <v>79</v>
      </c>
      <c r="F4342" t="s">
        <v>32</v>
      </c>
      <c r="G4342" t="s">
        <v>22</v>
      </c>
      <c r="H4342" t="s">
        <v>46</v>
      </c>
      <c r="I4342" t="s">
        <v>35</v>
      </c>
      <c r="J4342" t="s">
        <v>5837</v>
      </c>
      <c r="L4342">
        <v>3.6</v>
      </c>
      <c r="M4342">
        <v>271000</v>
      </c>
      <c r="N4342">
        <v>2.5</v>
      </c>
      <c r="O4342">
        <v>3</v>
      </c>
      <c r="P4342" t="s">
        <v>26</v>
      </c>
    </row>
    <row r="4343" spans="1:16" x14ac:dyDescent="0.25">
      <c r="A4343" t="s">
        <v>8846</v>
      </c>
      <c r="B4343" t="s">
        <v>8847</v>
      </c>
      <c r="C4343" t="s">
        <v>18</v>
      </c>
      <c r="D4343" t="s">
        <v>43</v>
      </c>
      <c r="E4343" t="s">
        <v>31</v>
      </c>
      <c r="F4343" t="s">
        <v>45</v>
      </c>
      <c r="G4343" t="s">
        <v>80</v>
      </c>
      <c r="H4343" t="s">
        <v>23</v>
      </c>
      <c r="I4343" t="s">
        <v>57</v>
      </c>
      <c r="J4343" t="s">
        <v>4518</v>
      </c>
      <c r="L4343">
        <v>4.7</v>
      </c>
      <c r="M4343">
        <v>1158000</v>
      </c>
      <c r="N4343">
        <v>4.8</v>
      </c>
      <c r="O4343">
        <v>9</v>
      </c>
      <c r="P4343" t="s">
        <v>26</v>
      </c>
    </row>
    <row r="4344" spans="1:16" x14ac:dyDescent="0.25">
      <c r="A4344" t="s">
        <v>8848</v>
      </c>
      <c r="B4344" t="s">
        <v>1784</v>
      </c>
      <c r="C4344" t="s">
        <v>18</v>
      </c>
      <c r="D4344" t="s">
        <v>50</v>
      </c>
      <c r="E4344" t="s">
        <v>31</v>
      </c>
      <c r="F4344" t="s">
        <v>128</v>
      </c>
      <c r="G4344" t="s">
        <v>33</v>
      </c>
      <c r="H4344" t="s">
        <v>46</v>
      </c>
      <c r="I4344" t="s">
        <v>24</v>
      </c>
      <c r="J4344" t="s">
        <v>2662</v>
      </c>
      <c r="L4344">
        <v>3.2</v>
      </c>
      <c r="M4344">
        <v>409000</v>
      </c>
      <c r="N4344">
        <v>4.9000000000000004</v>
      </c>
      <c r="O4344">
        <v>10</v>
      </c>
      <c r="P4344" t="s">
        <v>26</v>
      </c>
    </row>
    <row r="4345" spans="1:16" x14ac:dyDescent="0.25">
      <c r="A4345" t="s">
        <v>8849</v>
      </c>
      <c r="B4345" t="s">
        <v>2922</v>
      </c>
      <c r="C4345" t="s">
        <v>18</v>
      </c>
      <c r="D4345" t="s">
        <v>79</v>
      </c>
      <c r="E4345" t="s">
        <v>44</v>
      </c>
      <c r="F4345" t="s">
        <v>21</v>
      </c>
      <c r="G4345" t="s">
        <v>80</v>
      </c>
      <c r="H4345" t="s">
        <v>23</v>
      </c>
      <c r="J4345" t="s">
        <v>8047</v>
      </c>
      <c r="L4345">
        <v>2.5</v>
      </c>
      <c r="M4345">
        <v>862000</v>
      </c>
      <c r="N4345">
        <v>3.5</v>
      </c>
      <c r="O4345">
        <v>4</v>
      </c>
      <c r="P4345" t="s">
        <v>26</v>
      </c>
    </row>
    <row r="4346" spans="1:16" x14ac:dyDescent="0.25">
      <c r="A4346" t="s">
        <v>8850</v>
      </c>
      <c r="B4346" t="s">
        <v>3903</v>
      </c>
      <c r="C4346" t="s">
        <v>29</v>
      </c>
      <c r="D4346" t="s">
        <v>43</v>
      </c>
      <c r="E4346" t="s">
        <v>20</v>
      </c>
      <c r="F4346" t="s">
        <v>128</v>
      </c>
      <c r="G4346" t="s">
        <v>80</v>
      </c>
      <c r="H4346" t="s">
        <v>23</v>
      </c>
      <c r="I4346" t="s">
        <v>35</v>
      </c>
      <c r="J4346" t="s">
        <v>2633</v>
      </c>
      <c r="L4346">
        <v>3.4</v>
      </c>
      <c r="M4346">
        <v>367000</v>
      </c>
      <c r="N4346">
        <v>4.5999999999999996</v>
      </c>
      <c r="O4346">
        <v>12</v>
      </c>
      <c r="P4346" t="s">
        <v>26</v>
      </c>
    </row>
    <row r="4347" spans="1:16" x14ac:dyDescent="0.25">
      <c r="A4347" t="s">
        <v>8851</v>
      </c>
      <c r="B4347" t="s">
        <v>2677</v>
      </c>
      <c r="C4347" t="s">
        <v>18</v>
      </c>
      <c r="D4347" t="s">
        <v>79</v>
      </c>
      <c r="E4347" t="s">
        <v>20</v>
      </c>
      <c r="F4347" t="s">
        <v>45</v>
      </c>
      <c r="G4347" t="s">
        <v>33</v>
      </c>
      <c r="H4347" t="s">
        <v>34</v>
      </c>
      <c r="I4347" t="s">
        <v>24</v>
      </c>
      <c r="J4347" t="s">
        <v>6509</v>
      </c>
      <c r="L4347">
        <v>3.4</v>
      </c>
      <c r="M4347">
        <v>1650000</v>
      </c>
      <c r="N4347">
        <v>3</v>
      </c>
      <c r="O4347">
        <v>4</v>
      </c>
      <c r="P4347" t="s">
        <v>26</v>
      </c>
    </row>
    <row r="4348" spans="1:16" x14ac:dyDescent="0.25">
      <c r="A4348" t="s">
        <v>8852</v>
      </c>
      <c r="B4348" t="s">
        <v>6970</v>
      </c>
      <c r="C4348" t="s">
        <v>18</v>
      </c>
      <c r="D4348" t="s">
        <v>30</v>
      </c>
      <c r="E4348" t="s">
        <v>31</v>
      </c>
      <c r="F4348" t="s">
        <v>32</v>
      </c>
      <c r="G4348" t="s">
        <v>22</v>
      </c>
      <c r="H4348" t="s">
        <v>34</v>
      </c>
      <c r="I4348" t="s">
        <v>24</v>
      </c>
      <c r="J4348" t="s">
        <v>8280</v>
      </c>
      <c r="L4348">
        <v>1.5</v>
      </c>
      <c r="N4348">
        <v>4.5</v>
      </c>
      <c r="O4348">
        <v>14</v>
      </c>
      <c r="P4348" t="s">
        <v>26</v>
      </c>
    </row>
    <row r="4349" spans="1:16" x14ac:dyDescent="0.25">
      <c r="A4349" t="s">
        <v>8853</v>
      </c>
      <c r="B4349" t="s">
        <v>8854</v>
      </c>
      <c r="C4349" t="s">
        <v>29</v>
      </c>
      <c r="D4349" t="s">
        <v>19</v>
      </c>
      <c r="F4349" t="s">
        <v>39</v>
      </c>
      <c r="G4349" t="s">
        <v>22</v>
      </c>
      <c r="H4349" t="s">
        <v>46</v>
      </c>
      <c r="I4349" t="s">
        <v>57</v>
      </c>
      <c r="J4349" t="s">
        <v>4264</v>
      </c>
      <c r="L4349">
        <v>6</v>
      </c>
      <c r="M4349">
        <v>147000</v>
      </c>
      <c r="N4349">
        <v>2.6</v>
      </c>
      <c r="O4349">
        <v>13</v>
      </c>
      <c r="P4349" t="s">
        <v>26</v>
      </c>
    </row>
    <row r="4350" spans="1:16" x14ac:dyDescent="0.25">
      <c r="A4350" t="s">
        <v>8855</v>
      </c>
      <c r="B4350" t="s">
        <v>4175</v>
      </c>
      <c r="C4350" t="s">
        <v>18</v>
      </c>
      <c r="D4350" t="s">
        <v>43</v>
      </c>
      <c r="E4350" t="s">
        <v>20</v>
      </c>
      <c r="F4350" t="s">
        <v>21</v>
      </c>
      <c r="G4350" t="s">
        <v>33</v>
      </c>
      <c r="H4350" t="s">
        <v>23</v>
      </c>
      <c r="I4350" t="s">
        <v>35</v>
      </c>
      <c r="J4350" t="s">
        <v>1810</v>
      </c>
      <c r="K4350" t="s">
        <v>8856</v>
      </c>
      <c r="L4350">
        <v>2.7</v>
      </c>
      <c r="M4350">
        <v>651000</v>
      </c>
      <c r="N4350">
        <v>3.4</v>
      </c>
      <c r="O4350">
        <v>0</v>
      </c>
      <c r="P4350" t="s">
        <v>72</v>
      </c>
    </row>
    <row r="4351" spans="1:16" x14ac:dyDescent="0.25">
      <c r="A4351" t="s">
        <v>8857</v>
      </c>
      <c r="B4351" t="s">
        <v>1622</v>
      </c>
      <c r="C4351" t="s">
        <v>29</v>
      </c>
      <c r="D4351" t="s">
        <v>30</v>
      </c>
      <c r="E4351" t="s">
        <v>20</v>
      </c>
      <c r="F4351" t="s">
        <v>32</v>
      </c>
      <c r="G4351" t="s">
        <v>22</v>
      </c>
      <c r="H4351" t="s">
        <v>46</v>
      </c>
      <c r="I4351" t="s">
        <v>35</v>
      </c>
      <c r="J4351" t="s">
        <v>4520</v>
      </c>
      <c r="K4351" t="s">
        <v>4977</v>
      </c>
      <c r="L4351">
        <v>2.9</v>
      </c>
      <c r="M4351">
        <v>313000</v>
      </c>
      <c r="N4351">
        <v>3</v>
      </c>
      <c r="O4351">
        <v>6</v>
      </c>
      <c r="P4351" t="s">
        <v>72</v>
      </c>
    </row>
    <row r="4352" spans="1:16" x14ac:dyDescent="0.25">
      <c r="A4352" t="s">
        <v>8858</v>
      </c>
      <c r="B4352" t="s">
        <v>8859</v>
      </c>
      <c r="D4352" t="s">
        <v>50</v>
      </c>
      <c r="E4352" t="s">
        <v>44</v>
      </c>
      <c r="F4352" t="s">
        <v>32</v>
      </c>
      <c r="G4352" t="s">
        <v>80</v>
      </c>
      <c r="H4352" t="s">
        <v>34</v>
      </c>
      <c r="I4352" t="s">
        <v>24</v>
      </c>
      <c r="J4352" t="s">
        <v>1151</v>
      </c>
      <c r="L4352">
        <v>3.9</v>
      </c>
      <c r="M4352">
        <v>313000</v>
      </c>
      <c r="N4352">
        <v>4.8</v>
      </c>
      <c r="O4352">
        <v>14</v>
      </c>
      <c r="P4352" t="s">
        <v>26</v>
      </c>
    </row>
    <row r="4353" spans="1:16" x14ac:dyDescent="0.25">
      <c r="A4353" t="s">
        <v>8860</v>
      </c>
      <c r="B4353" t="s">
        <v>3911</v>
      </c>
      <c r="C4353" t="s">
        <v>18</v>
      </c>
      <c r="D4353" t="s">
        <v>50</v>
      </c>
      <c r="E4353" t="s">
        <v>44</v>
      </c>
      <c r="F4353" t="s">
        <v>39</v>
      </c>
      <c r="G4353" t="s">
        <v>80</v>
      </c>
      <c r="H4353" t="s">
        <v>46</v>
      </c>
      <c r="I4353" t="s">
        <v>24</v>
      </c>
      <c r="J4353" t="s">
        <v>3848</v>
      </c>
      <c r="L4353">
        <v>2.6</v>
      </c>
      <c r="M4353">
        <v>101000</v>
      </c>
      <c r="N4353">
        <v>3.6</v>
      </c>
      <c r="O4353">
        <v>4</v>
      </c>
      <c r="P4353" t="s">
        <v>26</v>
      </c>
    </row>
    <row r="4354" spans="1:16" x14ac:dyDescent="0.25">
      <c r="A4354" t="s">
        <v>8861</v>
      </c>
      <c r="B4354" t="s">
        <v>8862</v>
      </c>
      <c r="C4354" t="s">
        <v>29</v>
      </c>
      <c r="D4354" t="s">
        <v>30</v>
      </c>
      <c r="E4354" t="s">
        <v>20</v>
      </c>
      <c r="F4354" t="s">
        <v>32</v>
      </c>
      <c r="G4354" t="s">
        <v>80</v>
      </c>
      <c r="H4354" t="s">
        <v>23</v>
      </c>
      <c r="I4354" t="s">
        <v>35</v>
      </c>
      <c r="J4354" t="s">
        <v>3150</v>
      </c>
      <c r="K4354" t="s">
        <v>8863</v>
      </c>
      <c r="L4354">
        <v>4.3</v>
      </c>
      <c r="M4354">
        <v>307000</v>
      </c>
      <c r="N4354">
        <v>3.9</v>
      </c>
      <c r="O4354">
        <v>11</v>
      </c>
      <c r="P4354" t="s">
        <v>72</v>
      </c>
    </row>
    <row r="4355" spans="1:16" x14ac:dyDescent="0.25">
      <c r="A4355" t="s">
        <v>8864</v>
      </c>
      <c r="B4355" t="s">
        <v>6789</v>
      </c>
      <c r="C4355" t="s">
        <v>29</v>
      </c>
      <c r="D4355" t="s">
        <v>30</v>
      </c>
      <c r="E4355" t="s">
        <v>20</v>
      </c>
      <c r="F4355" t="s">
        <v>32</v>
      </c>
      <c r="G4355" t="s">
        <v>22</v>
      </c>
      <c r="H4355" t="s">
        <v>23</v>
      </c>
      <c r="I4355" t="s">
        <v>171</v>
      </c>
      <c r="J4355" t="s">
        <v>3448</v>
      </c>
      <c r="K4355" t="s">
        <v>165</v>
      </c>
      <c r="L4355">
        <v>5.7</v>
      </c>
      <c r="M4355">
        <v>274000</v>
      </c>
      <c r="N4355">
        <v>3.8</v>
      </c>
      <c r="O4355">
        <v>4</v>
      </c>
      <c r="P4355" t="s">
        <v>72</v>
      </c>
    </row>
    <row r="4356" spans="1:16" x14ac:dyDescent="0.25">
      <c r="A4356" t="s">
        <v>8865</v>
      </c>
      <c r="B4356" t="s">
        <v>8866</v>
      </c>
      <c r="C4356" t="s">
        <v>18</v>
      </c>
      <c r="D4356" t="s">
        <v>19</v>
      </c>
      <c r="E4356" t="s">
        <v>31</v>
      </c>
      <c r="F4356" t="s">
        <v>39</v>
      </c>
      <c r="G4356" t="s">
        <v>80</v>
      </c>
      <c r="H4356" t="s">
        <v>23</v>
      </c>
      <c r="I4356" t="s">
        <v>35</v>
      </c>
      <c r="J4356" t="s">
        <v>703</v>
      </c>
      <c r="K4356" t="s">
        <v>1237</v>
      </c>
      <c r="L4356">
        <v>4.0999999999999996</v>
      </c>
      <c r="M4356">
        <v>116000</v>
      </c>
      <c r="N4356">
        <v>2.2000000000000002</v>
      </c>
      <c r="O4356">
        <v>7</v>
      </c>
      <c r="P4356" t="s">
        <v>53</v>
      </c>
    </row>
    <row r="4357" spans="1:16" x14ac:dyDescent="0.25">
      <c r="A4357" t="s">
        <v>8867</v>
      </c>
      <c r="B4357" t="s">
        <v>8868</v>
      </c>
      <c r="C4357" t="s">
        <v>29</v>
      </c>
      <c r="D4357" t="s">
        <v>30</v>
      </c>
      <c r="E4357" t="s">
        <v>44</v>
      </c>
      <c r="F4357" t="s">
        <v>39</v>
      </c>
      <c r="G4357" t="s">
        <v>22</v>
      </c>
      <c r="H4357" t="s">
        <v>62</v>
      </c>
      <c r="I4357" t="s">
        <v>57</v>
      </c>
      <c r="J4357" t="s">
        <v>8869</v>
      </c>
      <c r="L4357">
        <v>4.5999999999999996</v>
      </c>
      <c r="M4357">
        <v>91000</v>
      </c>
      <c r="N4357">
        <v>1.6</v>
      </c>
      <c r="O4357">
        <v>7</v>
      </c>
      <c r="P4357" t="s">
        <v>26</v>
      </c>
    </row>
    <row r="4358" spans="1:16" x14ac:dyDescent="0.25">
      <c r="A4358" t="s">
        <v>8870</v>
      </c>
      <c r="B4358" t="s">
        <v>7923</v>
      </c>
      <c r="C4358" t="s">
        <v>29</v>
      </c>
      <c r="D4358" t="s">
        <v>79</v>
      </c>
      <c r="E4358" t="s">
        <v>20</v>
      </c>
      <c r="F4358" t="s">
        <v>21</v>
      </c>
      <c r="G4358" t="s">
        <v>22</v>
      </c>
      <c r="H4358" t="s">
        <v>34</v>
      </c>
      <c r="I4358" t="s">
        <v>35</v>
      </c>
      <c r="J4358" t="s">
        <v>8871</v>
      </c>
      <c r="L4358">
        <v>2.6</v>
      </c>
      <c r="M4358">
        <v>751000</v>
      </c>
      <c r="N4358">
        <v>3.9</v>
      </c>
      <c r="O4358">
        <v>28</v>
      </c>
      <c r="P4358" t="s">
        <v>26</v>
      </c>
    </row>
    <row r="4359" spans="1:16" x14ac:dyDescent="0.25">
      <c r="A4359" t="s">
        <v>8872</v>
      </c>
      <c r="B4359" t="s">
        <v>3259</v>
      </c>
      <c r="C4359" t="s">
        <v>18</v>
      </c>
      <c r="D4359" t="s">
        <v>19</v>
      </c>
      <c r="E4359" t="s">
        <v>20</v>
      </c>
      <c r="F4359" t="s">
        <v>128</v>
      </c>
      <c r="G4359" t="s">
        <v>33</v>
      </c>
      <c r="H4359" t="s">
        <v>23</v>
      </c>
      <c r="I4359" t="s">
        <v>35</v>
      </c>
      <c r="J4359" t="s">
        <v>3841</v>
      </c>
      <c r="K4359" t="s">
        <v>882</v>
      </c>
      <c r="L4359">
        <v>5.5</v>
      </c>
      <c r="M4359">
        <v>594000</v>
      </c>
      <c r="N4359">
        <v>3.6</v>
      </c>
      <c r="O4359">
        <v>5</v>
      </c>
      <c r="P4359" t="s">
        <v>53</v>
      </c>
    </row>
    <row r="4360" spans="1:16" x14ac:dyDescent="0.25">
      <c r="A4360" t="s">
        <v>8873</v>
      </c>
      <c r="B4360" t="s">
        <v>4160</v>
      </c>
      <c r="D4360" t="s">
        <v>79</v>
      </c>
      <c r="E4360" t="s">
        <v>20</v>
      </c>
      <c r="F4360" t="s">
        <v>128</v>
      </c>
      <c r="G4360" t="s">
        <v>80</v>
      </c>
      <c r="H4360" t="s">
        <v>62</v>
      </c>
      <c r="I4360" t="s">
        <v>57</v>
      </c>
      <c r="J4360" t="s">
        <v>4783</v>
      </c>
      <c r="L4360">
        <v>5.5</v>
      </c>
      <c r="M4360">
        <v>491000</v>
      </c>
      <c r="N4360">
        <v>2.2999999999999998</v>
      </c>
      <c r="O4360">
        <v>14</v>
      </c>
      <c r="P4360" t="s">
        <v>26</v>
      </c>
    </row>
    <row r="4361" spans="1:16" x14ac:dyDescent="0.25">
      <c r="A4361" t="s">
        <v>8874</v>
      </c>
      <c r="B4361" t="s">
        <v>468</v>
      </c>
      <c r="C4361" t="s">
        <v>29</v>
      </c>
      <c r="D4361" t="s">
        <v>19</v>
      </c>
      <c r="E4361" t="s">
        <v>31</v>
      </c>
      <c r="F4361" t="s">
        <v>21</v>
      </c>
      <c r="G4361" t="s">
        <v>80</v>
      </c>
      <c r="H4361" t="s">
        <v>23</v>
      </c>
      <c r="I4361" t="s">
        <v>75</v>
      </c>
      <c r="J4361" t="s">
        <v>7524</v>
      </c>
      <c r="L4361">
        <v>2.2000000000000002</v>
      </c>
      <c r="M4361">
        <v>896000</v>
      </c>
      <c r="N4361">
        <v>3.8</v>
      </c>
      <c r="O4361">
        <v>27</v>
      </c>
      <c r="P4361" t="s">
        <v>26</v>
      </c>
    </row>
    <row r="4362" spans="1:16" x14ac:dyDescent="0.25">
      <c r="A4362" t="s">
        <v>8875</v>
      </c>
      <c r="B4362" t="s">
        <v>1966</v>
      </c>
      <c r="C4362" t="s">
        <v>18</v>
      </c>
      <c r="D4362" t="s">
        <v>79</v>
      </c>
      <c r="E4362" t="s">
        <v>31</v>
      </c>
      <c r="F4362" t="s">
        <v>39</v>
      </c>
      <c r="G4362" t="s">
        <v>22</v>
      </c>
      <c r="H4362" t="s">
        <v>34</v>
      </c>
      <c r="I4362" t="s">
        <v>57</v>
      </c>
      <c r="J4362" t="s">
        <v>1344</v>
      </c>
      <c r="L4362">
        <v>2.4</v>
      </c>
      <c r="M4362">
        <v>93000</v>
      </c>
      <c r="N4362">
        <v>4.4000000000000004</v>
      </c>
      <c r="O4362">
        <v>10</v>
      </c>
      <c r="P4362" t="s">
        <v>26</v>
      </c>
    </row>
    <row r="4363" spans="1:16" x14ac:dyDescent="0.25">
      <c r="A4363" t="s">
        <v>8876</v>
      </c>
      <c r="B4363" t="s">
        <v>8877</v>
      </c>
      <c r="C4363" t="s">
        <v>18</v>
      </c>
      <c r="D4363" t="s">
        <v>79</v>
      </c>
      <c r="E4363" t="s">
        <v>20</v>
      </c>
      <c r="F4363" t="s">
        <v>32</v>
      </c>
      <c r="G4363" t="s">
        <v>80</v>
      </c>
      <c r="H4363" t="s">
        <v>23</v>
      </c>
      <c r="I4363" t="s">
        <v>75</v>
      </c>
      <c r="J4363" t="s">
        <v>7874</v>
      </c>
      <c r="K4363" t="s">
        <v>6649</v>
      </c>
      <c r="L4363">
        <v>6.1</v>
      </c>
      <c r="M4363">
        <v>324000</v>
      </c>
      <c r="O4363">
        <v>18</v>
      </c>
      <c r="P4363" t="s">
        <v>53</v>
      </c>
    </row>
    <row r="4364" spans="1:16" x14ac:dyDescent="0.25">
      <c r="A4364" t="s">
        <v>8878</v>
      </c>
      <c r="B4364" t="s">
        <v>2581</v>
      </c>
      <c r="C4364" t="s">
        <v>18</v>
      </c>
      <c r="D4364" t="s">
        <v>30</v>
      </c>
      <c r="E4364" t="s">
        <v>20</v>
      </c>
      <c r="F4364" t="s">
        <v>32</v>
      </c>
      <c r="G4364" t="s">
        <v>33</v>
      </c>
      <c r="H4364" t="s">
        <v>34</v>
      </c>
      <c r="I4364" t="s">
        <v>35</v>
      </c>
      <c r="J4364" t="s">
        <v>8879</v>
      </c>
      <c r="L4364">
        <v>5</v>
      </c>
      <c r="M4364">
        <v>194000</v>
      </c>
      <c r="N4364">
        <v>2.9</v>
      </c>
      <c r="O4364">
        <v>23</v>
      </c>
      <c r="P4364" t="s">
        <v>26</v>
      </c>
    </row>
    <row r="4365" spans="1:16" x14ac:dyDescent="0.25">
      <c r="A4365" t="s">
        <v>8880</v>
      </c>
      <c r="B4365" t="s">
        <v>4153</v>
      </c>
      <c r="C4365" t="s">
        <v>18</v>
      </c>
      <c r="D4365" t="s">
        <v>79</v>
      </c>
      <c r="E4365" t="s">
        <v>20</v>
      </c>
      <c r="F4365" t="s">
        <v>128</v>
      </c>
      <c r="G4365" t="s">
        <v>22</v>
      </c>
      <c r="H4365" t="s">
        <v>62</v>
      </c>
      <c r="I4365" t="s">
        <v>35</v>
      </c>
      <c r="J4365" t="s">
        <v>1716</v>
      </c>
      <c r="L4365">
        <v>1.7</v>
      </c>
      <c r="M4365">
        <v>551000</v>
      </c>
      <c r="N4365">
        <v>3.9</v>
      </c>
      <c r="O4365">
        <v>4</v>
      </c>
      <c r="P4365" t="s">
        <v>26</v>
      </c>
    </row>
    <row r="4366" spans="1:16" x14ac:dyDescent="0.25">
      <c r="A4366" t="s">
        <v>8881</v>
      </c>
      <c r="B4366" t="s">
        <v>8882</v>
      </c>
      <c r="C4366" t="s">
        <v>29</v>
      </c>
      <c r="D4366" t="s">
        <v>19</v>
      </c>
      <c r="F4366" t="s">
        <v>21</v>
      </c>
      <c r="G4366" t="s">
        <v>22</v>
      </c>
      <c r="H4366" t="s">
        <v>46</v>
      </c>
      <c r="I4366" t="s">
        <v>24</v>
      </c>
      <c r="J4366" t="s">
        <v>2084</v>
      </c>
      <c r="L4366">
        <v>5.9</v>
      </c>
      <c r="M4366">
        <v>743000</v>
      </c>
      <c r="N4366">
        <v>3.9</v>
      </c>
      <c r="O4366">
        <v>4</v>
      </c>
      <c r="P4366" t="s">
        <v>26</v>
      </c>
    </row>
    <row r="4367" spans="1:16" x14ac:dyDescent="0.25">
      <c r="A4367" t="s">
        <v>8883</v>
      </c>
      <c r="B4367" t="s">
        <v>5899</v>
      </c>
      <c r="C4367" t="s">
        <v>18</v>
      </c>
      <c r="D4367" t="s">
        <v>19</v>
      </c>
      <c r="E4367" t="s">
        <v>20</v>
      </c>
      <c r="F4367" t="s">
        <v>32</v>
      </c>
      <c r="G4367" t="s">
        <v>33</v>
      </c>
      <c r="H4367" t="s">
        <v>46</v>
      </c>
      <c r="I4367" t="s">
        <v>57</v>
      </c>
      <c r="J4367" t="s">
        <v>6874</v>
      </c>
      <c r="L4367">
        <v>5.0999999999999996</v>
      </c>
      <c r="M4367">
        <v>295000</v>
      </c>
      <c r="N4367">
        <v>4</v>
      </c>
      <c r="O4367">
        <v>9</v>
      </c>
      <c r="P4367" t="s">
        <v>26</v>
      </c>
    </row>
    <row r="4368" spans="1:16" x14ac:dyDescent="0.25">
      <c r="A4368" t="s">
        <v>8884</v>
      </c>
      <c r="B4368" t="s">
        <v>4498</v>
      </c>
      <c r="C4368" t="s">
        <v>29</v>
      </c>
      <c r="D4368" t="s">
        <v>30</v>
      </c>
      <c r="E4368" t="s">
        <v>20</v>
      </c>
      <c r="F4368" t="s">
        <v>32</v>
      </c>
      <c r="G4368" t="s">
        <v>69</v>
      </c>
      <c r="H4368" t="s">
        <v>46</v>
      </c>
      <c r="I4368" t="s">
        <v>24</v>
      </c>
      <c r="J4368" t="s">
        <v>2612</v>
      </c>
      <c r="K4368" t="s">
        <v>4041</v>
      </c>
      <c r="L4368">
        <v>6.1</v>
      </c>
      <c r="M4368">
        <v>326000</v>
      </c>
      <c r="N4368">
        <v>3.8</v>
      </c>
      <c r="O4368">
        <v>9</v>
      </c>
      <c r="P4368" t="s">
        <v>53</v>
      </c>
    </row>
    <row r="4369" spans="1:16" x14ac:dyDescent="0.25">
      <c r="A4369" t="s">
        <v>8885</v>
      </c>
      <c r="B4369" t="s">
        <v>97</v>
      </c>
      <c r="C4369" t="s">
        <v>18</v>
      </c>
      <c r="D4369" t="s">
        <v>30</v>
      </c>
      <c r="E4369" t="s">
        <v>44</v>
      </c>
      <c r="F4369" t="s">
        <v>32</v>
      </c>
      <c r="G4369" t="s">
        <v>80</v>
      </c>
      <c r="H4369" t="s">
        <v>34</v>
      </c>
      <c r="I4369" t="s">
        <v>24</v>
      </c>
      <c r="J4369" t="s">
        <v>1678</v>
      </c>
      <c r="K4369" t="s">
        <v>4790</v>
      </c>
      <c r="L4369">
        <v>4.8</v>
      </c>
      <c r="M4369">
        <v>289000</v>
      </c>
      <c r="N4369">
        <v>2.9</v>
      </c>
      <c r="O4369">
        <v>1</v>
      </c>
      <c r="P4369" t="s">
        <v>53</v>
      </c>
    </row>
    <row r="4370" spans="1:16" x14ac:dyDescent="0.25">
      <c r="A4370" t="s">
        <v>8886</v>
      </c>
      <c r="B4370" t="s">
        <v>8887</v>
      </c>
      <c r="C4370" t="s">
        <v>29</v>
      </c>
      <c r="D4370" t="s">
        <v>50</v>
      </c>
      <c r="E4370" t="s">
        <v>44</v>
      </c>
      <c r="F4370" t="s">
        <v>32</v>
      </c>
      <c r="G4370" t="s">
        <v>22</v>
      </c>
      <c r="H4370" t="s">
        <v>23</v>
      </c>
      <c r="I4370" t="s">
        <v>171</v>
      </c>
      <c r="J4370" t="s">
        <v>974</v>
      </c>
      <c r="L4370">
        <v>1.6</v>
      </c>
      <c r="M4370">
        <v>271000</v>
      </c>
      <c r="N4370">
        <v>4.7</v>
      </c>
      <c r="P4370" t="s">
        <v>26</v>
      </c>
    </row>
    <row r="4371" spans="1:16" x14ac:dyDescent="0.25">
      <c r="A4371" t="s">
        <v>8888</v>
      </c>
      <c r="B4371" t="s">
        <v>6132</v>
      </c>
      <c r="C4371" t="s">
        <v>18</v>
      </c>
      <c r="D4371" t="s">
        <v>50</v>
      </c>
      <c r="E4371" t="s">
        <v>44</v>
      </c>
      <c r="F4371" t="s">
        <v>128</v>
      </c>
      <c r="G4371" t="s">
        <v>33</v>
      </c>
      <c r="H4371" t="s">
        <v>62</v>
      </c>
      <c r="I4371" t="s">
        <v>24</v>
      </c>
      <c r="J4371" t="s">
        <v>1112</v>
      </c>
      <c r="L4371">
        <v>2.4</v>
      </c>
      <c r="M4371">
        <v>552000</v>
      </c>
      <c r="N4371">
        <v>3.6</v>
      </c>
      <c r="O4371">
        <v>8</v>
      </c>
      <c r="P4371" t="s">
        <v>26</v>
      </c>
    </row>
    <row r="4372" spans="1:16" x14ac:dyDescent="0.25">
      <c r="A4372" t="s">
        <v>8889</v>
      </c>
      <c r="B4372" t="s">
        <v>8890</v>
      </c>
      <c r="C4372" t="s">
        <v>18</v>
      </c>
      <c r="D4372" t="s">
        <v>19</v>
      </c>
      <c r="E4372" t="s">
        <v>20</v>
      </c>
      <c r="F4372" t="s">
        <v>32</v>
      </c>
      <c r="G4372" t="s">
        <v>22</v>
      </c>
      <c r="H4372" t="s">
        <v>34</v>
      </c>
      <c r="I4372" t="s">
        <v>35</v>
      </c>
      <c r="J4372" t="s">
        <v>121</v>
      </c>
      <c r="L4372">
        <v>2.4</v>
      </c>
      <c r="M4372">
        <v>264000</v>
      </c>
      <c r="N4372">
        <v>3.7</v>
      </c>
      <c r="P4372" t="s">
        <v>26</v>
      </c>
    </row>
    <row r="4373" spans="1:16" x14ac:dyDescent="0.25">
      <c r="A4373" t="s">
        <v>8891</v>
      </c>
      <c r="B4373" t="s">
        <v>8892</v>
      </c>
      <c r="C4373" t="s">
        <v>29</v>
      </c>
      <c r="D4373" t="s">
        <v>79</v>
      </c>
      <c r="E4373" t="s">
        <v>31</v>
      </c>
      <c r="F4373" t="s">
        <v>32</v>
      </c>
      <c r="G4373" t="s">
        <v>22</v>
      </c>
      <c r="H4373" t="s">
        <v>23</v>
      </c>
      <c r="I4373" t="s">
        <v>35</v>
      </c>
      <c r="J4373" t="s">
        <v>4994</v>
      </c>
      <c r="L4373">
        <v>3.5</v>
      </c>
      <c r="M4373">
        <v>315000</v>
      </c>
      <c r="N4373">
        <v>3.2</v>
      </c>
      <c r="O4373">
        <v>7</v>
      </c>
      <c r="P4373" t="s">
        <v>26</v>
      </c>
    </row>
    <row r="4374" spans="1:16" x14ac:dyDescent="0.25">
      <c r="A4374" t="s">
        <v>8893</v>
      </c>
      <c r="B4374" t="s">
        <v>7563</v>
      </c>
      <c r="C4374" t="s">
        <v>18</v>
      </c>
      <c r="D4374" t="s">
        <v>50</v>
      </c>
      <c r="E4374" t="s">
        <v>20</v>
      </c>
      <c r="F4374" t="s">
        <v>32</v>
      </c>
      <c r="G4374" t="s">
        <v>22</v>
      </c>
      <c r="H4374" t="s">
        <v>23</v>
      </c>
      <c r="I4374" t="s">
        <v>24</v>
      </c>
      <c r="J4374" t="s">
        <v>4500</v>
      </c>
      <c r="L4374">
        <v>2.4</v>
      </c>
      <c r="M4374">
        <v>262000</v>
      </c>
      <c r="N4374">
        <v>3</v>
      </c>
      <c r="P4374" t="s">
        <v>26</v>
      </c>
    </row>
    <row r="4375" spans="1:16" x14ac:dyDescent="0.25">
      <c r="A4375" t="s">
        <v>8894</v>
      </c>
      <c r="B4375" t="s">
        <v>8895</v>
      </c>
      <c r="C4375" t="s">
        <v>18</v>
      </c>
      <c r="D4375" t="s">
        <v>30</v>
      </c>
      <c r="E4375" t="s">
        <v>20</v>
      </c>
      <c r="F4375" t="s">
        <v>128</v>
      </c>
      <c r="G4375" t="s">
        <v>80</v>
      </c>
      <c r="H4375" t="s">
        <v>34</v>
      </c>
      <c r="I4375" t="s">
        <v>35</v>
      </c>
      <c r="J4375" t="s">
        <v>5022</v>
      </c>
      <c r="L4375">
        <v>5.8</v>
      </c>
      <c r="M4375">
        <v>468000</v>
      </c>
      <c r="N4375">
        <v>2.2999999999999998</v>
      </c>
      <c r="O4375">
        <v>7</v>
      </c>
      <c r="P4375" t="s">
        <v>26</v>
      </c>
    </row>
    <row r="4376" spans="1:16" x14ac:dyDescent="0.25">
      <c r="A4376" t="s">
        <v>8896</v>
      </c>
      <c r="B4376" t="s">
        <v>1412</v>
      </c>
      <c r="C4376" t="s">
        <v>18</v>
      </c>
      <c r="E4376" t="s">
        <v>20</v>
      </c>
      <c r="F4376" t="s">
        <v>32</v>
      </c>
      <c r="G4376" t="s">
        <v>33</v>
      </c>
      <c r="H4376" t="s">
        <v>34</v>
      </c>
      <c r="I4376" t="s">
        <v>35</v>
      </c>
      <c r="J4376" t="s">
        <v>5367</v>
      </c>
      <c r="L4376">
        <v>5.6</v>
      </c>
      <c r="M4376">
        <v>240000</v>
      </c>
      <c r="N4376">
        <v>2.2000000000000002</v>
      </c>
      <c r="O4376">
        <v>16</v>
      </c>
      <c r="P4376" t="s">
        <v>26</v>
      </c>
    </row>
    <row r="4377" spans="1:16" x14ac:dyDescent="0.25">
      <c r="A4377" t="s">
        <v>8897</v>
      </c>
      <c r="B4377" t="s">
        <v>6195</v>
      </c>
      <c r="C4377" t="s">
        <v>18</v>
      </c>
      <c r="D4377" t="s">
        <v>30</v>
      </c>
      <c r="E4377" t="s">
        <v>20</v>
      </c>
      <c r="F4377" t="s">
        <v>45</v>
      </c>
      <c r="G4377" t="s">
        <v>22</v>
      </c>
      <c r="H4377" t="s">
        <v>23</v>
      </c>
      <c r="I4377" t="s">
        <v>75</v>
      </c>
      <c r="J4377" t="s">
        <v>1471</v>
      </c>
      <c r="K4377" t="s">
        <v>8898</v>
      </c>
      <c r="L4377">
        <v>1.8</v>
      </c>
      <c r="M4377">
        <v>1496000</v>
      </c>
      <c r="N4377">
        <v>3.8</v>
      </c>
      <c r="O4377">
        <v>28</v>
      </c>
      <c r="P4377" t="s">
        <v>53</v>
      </c>
    </row>
    <row r="4378" spans="1:16" x14ac:dyDescent="0.25">
      <c r="A4378" t="s">
        <v>8899</v>
      </c>
      <c r="B4378" t="s">
        <v>8900</v>
      </c>
      <c r="C4378" t="s">
        <v>18</v>
      </c>
      <c r="D4378" t="s">
        <v>30</v>
      </c>
      <c r="E4378" t="s">
        <v>44</v>
      </c>
      <c r="F4378" t="s">
        <v>39</v>
      </c>
      <c r="G4378" t="s">
        <v>80</v>
      </c>
      <c r="H4378" t="s">
        <v>23</v>
      </c>
      <c r="I4378" t="s">
        <v>35</v>
      </c>
      <c r="J4378" t="s">
        <v>58</v>
      </c>
      <c r="K4378" t="s">
        <v>520</v>
      </c>
      <c r="L4378">
        <v>2.8</v>
      </c>
      <c r="M4378">
        <v>87000</v>
      </c>
      <c r="N4378">
        <v>3.2</v>
      </c>
      <c r="O4378">
        <v>0</v>
      </c>
      <c r="P4378" t="s">
        <v>53</v>
      </c>
    </row>
    <row r="4379" spans="1:16" x14ac:dyDescent="0.25">
      <c r="A4379" t="s">
        <v>8901</v>
      </c>
      <c r="B4379" t="s">
        <v>28</v>
      </c>
      <c r="C4379" t="s">
        <v>29</v>
      </c>
      <c r="E4379" t="s">
        <v>20</v>
      </c>
      <c r="F4379" t="s">
        <v>39</v>
      </c>
      <c r="G4379" t="s">
        <v>22</v>
      </c>
      <c r="H4379" t="s">
        <v>46</v>
      </c>
      <c r="I4379" t="s">
        <v>35</v>
      </c>
      <c r="J4379" t="s">
        <v>8902</v>
      </c>
      <c r="L4379">
        <v>3.9</v>
      </c>
      <c r="M4379">
        <v>134000</v>
      </c>
      <c r="N4379">
        <v>4.9000000000000004</v>
      </c>
      <c r="O4379">
        <v>10</v>
      </c>
      <c r="P4379" t="s">
        <v>26</v>
      </c>
    </row>
    <row r="4380" spans="1:16" x14ac:dyDescent="0.25">
      <c r="A4380" t="s">
        <v>8903</v>
      </c>
      <c r="B4380" t="s">
        <v>8904</v>
      </c>
      <c r="C4380" t="s">
        <v>29</v>
      </c>
      <c r="D4380" t="s">
        <v>79</v>
      </c>
      <c r="E4380" t="s">
        <v>20</v>
      </c>
      <c r="F4380" t="s">
        <v>39</v>
      </c>
      <c r="G4380" t="s">
        <v>80</v>
      </c>
      <c r="H4380" t="s">
        <v>62</v>
      </c>
      <c r="I4380" t="s">
        <v>57</v>
      </c>
      <c r="J4380" t="s">
        <v>8905</v>
      </c>
      <c r="L4380">
        <v>2.5</v>
      </c>
      <c r="M4380">
        <v>159000</v>
      </c>
      <c r="N4380">
        <v>4.3</v>
      </c>
      <c r="O4380">
        <v>29</v>
      </c>
      <c r="P4380" t="s">
        <v>26</v>
      </c>
    </row>
    <row r="4381" spans="1:16" x14ac:dyDescent="0.25">
      <c r="A4381" t="s">
        <v>8906</v>
      </c>
      <c r="B4381" t="s">
        <v>6406</v>
      </c>
      <c r="C4381" t="s">
        <v>29</v>
      </c>
      <c r="D4381" t="s">
        <v>30</v>
      </c>
      <c r="E4381" t="s">
        <v>20</v>
      </c>
      <c r="F4381" t="s">
        <v>32</v>
      </c>
      <c r="G4381" t="s">
        <v>22</v>
      </c>
      <c r="H4381" t="s">
        <v>23</v>
      </c>
      <c r="I4381" t="s">
        <v>35</v>
      </c>
      <c r="J4381" t="s">
        <v>2000</v>
      </c>
      <c r="K4381" t="s">
        <v>3973</v>
      </c>
      <c r="L4381">
        <v>4.7</v>
      </c>
      <c r="M4381">
        <v>207000</v>
      </c>
      <c r="N4381">
        <v>3</v>
      </c>
      <c r="O4381">
        <v>8</v>
      </c>
      <c r="P4381" t="s">
        <v>53</v>
      </c>
    </row>
    <row r="4382" spans="1:16" x14ac:dyDescent="0.25">
      <c r="A4382" t="s">
        <v>8907</v>
      </c>
      <c r="B4382" t="s">
        <v>7438</v>
      </c>
      <c r="C4382" t="s">
        <v>29</v>
      </c>
      <c r="D4382" t="s">
        <v>19</v>
      </c>
      <c r="E4382" t="s">
        <v>20</v>
      </c>
      <c r="F4382" t="s">
        <v>128</v>
      </c>
      <c r="G4382" t="s">
        <v>22</v>
      </c>
      <c r="H4382" t="s">
        <v>34</v>
      </c>
      <c r="I4382" t="s">
        <v>57</v>
      </c>
      <c r="J4382" t="s">
        <v>320</v>
      </c>
      <c r="L4382">
        <v>5.8</v>
      </c>
      <c r="M4382">
        <v>609000</v>
      </c>
      <c r="N4382">
        <v>3.1</v>
      </c>
      <c r="O4382">
        <v>0</v>
      </c>
      <c r="P4382" t="s">
        <v>26</v>
      </c>
    </row>
    <row r="4383" spans="1:16" x14ac:dyDescent="0.25">
      <c r="A4383" t="s">
        <v>8908</v>
      </c>
      <c r="B4383" t="s">
        <v>3787</v>
      </c>
      <c r="C4383" t="s">
        <v>18</v>
      </c>
      <c r="D4383" t="s">
        <v>19</v>
      </c>
      <c r="E4383" t="s">
        <v>31</v>
      </c>
      <c r="F4383" t="s">
        <v>128</v>
      </c>
      <c r="G4383" t="s">
        <v>22</v>
      </c>
      <c r="H4383" t="s">
        <v>23</v>
      </c>
      <c r="I4383" t="s">
        <v>24</v>
      </c>
      <c r="J4383" t="s">
        <v>328</v>
      </c>
      <c r="K4383" t="s">
        <v>3451</v>
      </c>
      <c r="L4383">
        <v>1.4</v>
      </c>
      <c r="M4383">
        <v>544000</v>
      </c>
      <c r="N4383">
        <v>4.5</v>
      </c>
      <c r="O4383">
        <v>0</v>
      </c>
      <c r="P4383" t="s">
        <v>114</v>
      </c>
    </row>
    <row r="4384" spans="1:16" x14ac:dyDescent="0.25">
      <c r="A4384" t="s">
        <v>8909</v>
      </c>
      <c r="B4384" t="s">
        <v>2074</v>
      </c>
      <c r="C4384" t="s">
        <v>29</v>
      </c>
      <c r="D4384" t="s">
        <v>50</v>
      </c>
      <c r="F4384" t="s">
        <v>45</v>
      </c>
      <c r="G4384" t="s">
        <v>80</v>
      </c>
      <c r="H4384" t="s">
        <v>46</v>
      </c>
      <c r="I4384" t="s">
        <v>24</v>
      </c>
      <c r="J4384" t="s">
        <v>4313</v>
      </c>
      <c r="K4384" t="s">
        <v>8910</v>
      </c>
      <c r="L4384">
        <v>5.3</v>
      </c>
      <c r="M4384">
        <v>1169000</v>
      </c>
      <c r="N4384">
        <v>3.6</v>
      </c>
      <c r="O4384">
        <v>6</v>
      </c>
      <c r="P4384" t="s">
        <v>72</v>
      </c>
    </row>
    <row r="4385" spans="1:16" x14ac:dyDescent="0.25">
      <c r="A4385" t="s">
        <v>8911</v>
      </c>
      <c r="B4385" t="s">
        <v>8912</v>
      </c>
      <c r="C4385" t="s">
        <v>18</v>
      </c>
      <c r="D4385" t="s">
        <v>19</v>
      </c>
      <c r="E4385" t="s">
        <v>20</v>
      </c>
      <c r="F4385" t="s">
        <v>128</v>
      </c>
      <c r="G4385" t="s">
        <v>22</v>
      </c>
      <c r="H4385" t="s">
        <v>46</v>
      </c>
      <c r="I4385" t="s">
        <v>24</v>
      </c>
      <c r="J4385" t="s">
        <v>1029</v>
      </c>
      <c r="L4385">
        <v>3.2</v>
      </c>
      <c r="M4385">
        <v>562000</v>
      </c>
      <c r="N4385">
        <v>3.6</v>
      </c>
      <c r="O4385">
        <v>5</v>
      </c>
      <c r="P4385" t="s">
        <v>26</v>
      </c>
    </row>
    <row r="4386" spans="1:16" x14ac:dyDescent="0.25">
      <c r="A4386" t="s">
        <v>8913</v>
      </c>
      <c r="B4386" t="s">
        <v>6584</v>
      </c>
      <c r="D4386" t="s">
        <v>30</v>
      </c>
      <c r="E4386" t="s">
        <v>44</v>
      </c>
      <c r="F4386" t="s">
        <v>32</v>
      </c>
      <c r="G4386" t="s">
        <v>69</v>
      </c>
      <c r="H4386" t="s">
        <v>23</v>
      </c>
      <c r="I4386" t="s">
        <v>57</v>
      </c>
      <c r="J4386" t="s">
        <v>2719</v>
      </c>
      <c r="L4386">
        <v>1.4</v>
      </c>
      <c r="M4386">
        <v>263000</v>
      </c>
      <c r="N4386">
        <v>2.5</v>
      </c>
      <c r="O4386">
        <v>3</v>
      </c>
      <c r="P4386" t="s">
        <v>26</v>
      </c>
    </row>
    <row r="4387" spans="1:16" x14ac:dyDescent="0.25">
      <c r="A4387" t="s">
        <v>8914</v>
      </c>
      <c r="B4387" t="s">
        <v>1412</v>
      </c>
      <c r="C4387" t="s">
        <v>18</v>
      </c>
      <c r="D4387" t="s">
        <v>79</v>
      </c>
      <c r="E4387" t="s">
        <v>20</v>
      </c>
      <c r="F4387" t="s">
        <v>45</v>
      </c>
      <c r="G4387" t="s">
        <v>80</v>
      </c>
      <c r="H4387" t="s">
        <v>34</v>
      </c>
      <c r="I4387" t="s">
        <v>24</v>
      </c>
      <c r="J4387" t="s">
        <v>6600</v>
      </c>
      <c r="K4387" t="s">
        <v>4540</v>
      </c>
      <c r="L4387">
        <v>6.2</v>
      </c>
      <c r="M4387">
        <v>964000</v>
      </c>
      <c r="N4387">
        <v>4.5999999999999996</v>
      </c>
      <c r="O4387">
        <v>13</v>
      </c>
      <c r="P4387" t="s">
        <v>53</v>
      </c>
    </row>
    <row r="4388" spans="1:16" x14ac:dyDescent="0.25">
      <c r="A4388" t="s">
        <v>3585</v>
      </c>
      <c r="B4388" t="s">
        <v>3586</v>
      </c>
      <c r="C4388" t="s">
        <v>18</v>
      </c>
      <c r="D4388" t="s">
        <v>79</v>
      </c>
      <c r="E4388" t="s">
        <v>20</v>
      </c>
      <c r="F4388" t="s">
        <v>39</v>
      </c>
      <c r="G4388" t="s">
        <v>22</v>
      </c>
      <c r="H4388" t="s">
        <v>62</v>
      </c>
      <c r="I4388" t="s">
        <v>35</v>
      </c>
      <c r="J4388" t="s">
        <v>3587</v>
      </c>
      <c r="L4388">
        <v>2.4</v>
      </c>
      <c r="M4388">
        <v>151000</v>
      </c>
      <c r="N4388">
        <v>2</v>
      </c>
      <c r="O4388">
        <v>0</v>
      </c>
      <c r="P4388" t="s">
        <v>26</v>
      </c>
    </row>
    <row r="4389" spans="1:16" x14ac:dyDescent="0.25">
      <c r="A4389" t="s">
        <v>8915</v>
      </c>
      <c r="B4389" t="s">
        <v>3918</v>
      </c>
      <c r="C4389" t="s">
        <v>18</v>
      </c>
      <c r="D4389" t="s">
        <v>50</v>
      </c>
      <c r="E4389" t="s">
        <v>20</v>
      </c>
      <c r="F4389" t="s">
        <v>32</v>
      </c>
      <c r="G4389" t="s">
        <v>80</v>
      </c>
      <c r="H4389" t="s">
        <v>34</v>
      </c>
      <c r="I4389" t="s">
        <v>24</v>
      </c>
      <c r="J4389" t="s">
        <v>5837</v>
      </c>
      <c r="L4389">
        <v>3.6</v>
      </c>
      <c r="M4389">
        <v>251000</v>
      </c>
      <c r="N4389">
        <v>3.6</v>
      </c>
      <c r="O4389">
        <v>3</v>
      </c>
      <c r="P4389" t="s">
        <v>26</v>
      </c>
    </row>
    <row r="4390" spans="1:16" x14ac:dyDescent="0.25">
      <c r="A4390" t="s">
        <v>8916</v>
      </c>
      <c r="B4390" t="s">
        <v>8917</v>
      </c>
      <c r="C4390" t="s">
        <v>29</v>
      </c>
      <c r="D4390" t="s">
        <v>79</v>
      </c>
      <c r="F4390" t="s">
        <v>32</v>
      </c>
      <c r="G4390" t="s">
        <v>22</v>
      </c>
      <c r="H4390" t="s">
        <v>62</v>
      </c>
      <c r="I4390" t="s">
        <v>57</v>
      </c>
      <c r="J4390" t="s">
        <v>580</v>
      </c>
      <c r="L4390">
        <v>3.8</v>
      </c>
      <c r="M4390">
        <v>296000</v>
      </c>
      <c r="N4390">
        <v>3.5</v>
      </c>
      <c r="O4390">
        <v>7</v>
      </c>
      <c r="P4390" t="s">
        <v>26</v>
      </c>
    </row>
    <row r="4391" spans="1:16" x14ac:dyDescent="0.25">
      <c r="A4391" t="s">
        <v>8918</v>
      </c>
      <c r="B4391" t="s">
        <v>6983</v>
      </c>
      <c r="C4391" t="s">
        <v>18</v>
      </c>
      <c r="D4391" t="s">
        <v>43</v>
      </c>
      <c r="E4391" t="s">
        <v>44</v>
      </c>
      <c r="F4391" t="s">
        <v>32</v>
      </c>
      <c r="G4391" t="s">
        <v>80</v>
      </c>
      <c r="H4391" t="s">
        <v>34</v>
      </c>
      <c r="I4391" t="s">
        <v>35</v>
      </c>
      <c r="J4391" t="s">
        <v>6509</v>
      </c>
      <c r="K4391" t="s">
        <v>7622</v>
      </c>
      <c r="L4391">
        <v>3.4</v>
      </c>
      <c r="M4391">
        <v>180000</v>
      </c>
      <c r="N4391">
        <v>3.8</v>
      </c>
      <c r="O4391">
        <v>3</v>
      </c>
      <c r="P4391" t="s">
        <v>53</v>
      </c>
    </row>
    <row r="4392" spans="1:16" x14ac:dyDescent="0.25">
      <c r="A4392" t="s">
        <v>8919</v>
      </c>
      <c r="B4392" t="s">
        <v>5380</v>
      </c>
      <c r="C4392" t="s">
        <v>29</v>
      </c>
      <c r="D4392" t="s">
        <v>79</v>
      </c>
      <c r="E4392" t="s">
        <v>20</v>
      </c>
      <c r="F4392" t="s">
        <v>39</v>
      </c>
      <c r="G4392" t="s">
        <v>33</v>
      </c>
      <c r="H4392" t="s">
        <v>34</v>
      </c>
      <c r="I4392" t="s">
        <v>35</v>
      </c>
      <c r="J4392" t="s">
        <v>2037</v>
      </c>
      <c r="L4392">
        <v>1.9</v>
      </c>
      <c r="M4392">
        <v>128000</v>
      </c>
      <c r="O4392">
        <v>7</v>
      </c>
      <c r="P4392" t="s">
        <v>26</v>
      </c>
    </row>
    <row r="4393" spans="1:16" x14ac:dyDescent="0.25">
      <c r="A4393" t="s">
        <v>8920</v>
      </c>
      <c r="B4393" t="s">
        <v>5684</v>
      </c>
      <c r="C4393" t="s">
        <v>29</v>
      </c>
      <c r="D4393" t="s">
        <v>50</v>
      </c>
      <c r="E4393" t="s">
        <v>44</v>
      </c>
      <c r="F4393" t="s">
        <v>32</v>
      </c>
      <c r="G4393" t="s">
        <v>69</v>
      </c>
      <c r="H4393" t="s">
        <v>34</v>
      </c>
      <c r="I4393" t="s">
        <v>35</v>
      </c>
      <c r="J4393" t="s">
        <v>2116</v>
      </c>
      <c r="K4393" t="s">
        <v>193</v>
      </c>
      <c r="L4393">
        <v>4</v>
      </c>
      <c r="N4393">
        <v>2.8</v>
      </c>
      <c r="O4393">
        <v>11</v>
      </c>
      <c r="P4393" t="s">
        <v>53</v>
      </c>
    </row>
    <row r="4394" spans="1:16" x14ac:dyDescent="0.25">
      <c r="A4394" t="s">
        <v>8921</v>
      </c>
      <c r="B4394" t="s">
        <v>1940</v>
      </c>
      <c r="C4394" t="s">
        <v>18</v>
      </c>
      <c r="D4394" t="s">
        <v>30</v>
      </c>
      <c r="E4394" t="s">
        <v>20</v>
      </c>
      <c r="F4394" t="s">
        <v>32</v>
      </c>
      <c r="G4394" t="s">
        <v>33</v>
      </c>
      <c r="H4394" t="s">
        <v>46</v>
      </c>
      <c r="J4394" t="s">
        <v>4026</v>
      </c>
      <c r="K4394" t="s">
        <v>3544</v>
      </c>
      <c r="L4394">
        <v>5.5</v>
      </c>
      <c r="M4394">
        <v>215000</v>
      </c>
      <c r="N4394">
        <v>3</v>
      </c>
      <c r="O4394">
        <v>2</v>
      </c>
      <c r="P4394" t="s">
        <v>53</v>
      </c>
    </row>
    <row r="4395" spans="1:16" x14ac:dyDescent="0.25">
      <c r="A4395" t="s">
        <v>8922</v>
      </c>
      <c r="B4395" t="s">
        <v>3901</v>
      </c>
      <c r="C4395" t="s">
        <v>29</v>
      </c>
      <c r="D4395" t="s">
        <v>79</v>
      </c>
      <c r="E4395" t="s">
        <v>20</v>
      </c>
      <c r="F4395" t="s">
        <v>128</v>
      </c>
      <c r="G4395" t="s">
        <v>69</v>
      </c>
      <c r="H4395" t="s">
        <v>34</v>
      </c>
      <c r="I4395" t="s">
        <v>35</v>
      </c>
      <c r="J4395" t="s">
        <v>6055</v>
      </c>
      <c r="L4395">
        <v>2.1</v>
      </c>
      <c r="M4395">
        <v>431000</v>
      </c>
      <c r="N4395">
        <v>3.4</v>
      </c>
      <c r="O4395">
        <v>6</v>
      </c>
      <c r="P4395" t="s">
        <v>26</v>
      </c>
    </row>
    <row r="4396" spans="1:16" x14ac:dyDescent="0.25">
      <c r="A4396" t="s">
        <v>8923</v>
      </c>
      <c r="B4396" t="s">
        <v>7582</v>
      </c>
      <c r="C4396" t="s">
        <v>18</v>
      </c>
      <c r="D4396" t="s">
        <v>43</v>
      </c>
      <c r="E4396" t="s">
        <v>20</v>
      </c>
      <c r="F4396" t="s">
        <v>128</v>
      </c>
      <c r="G4396" t="s">
        <v>80</v>
      </c>
      <c r="H4396" t="s">
        <v>46</v>
      </c>
      <c r="I4396" t="s">
        <v>24</v>
      </c>
      <c r="J4396" t="s">
        <v>1494</v>
      </c>
      <c r="L4396">
        <v>3</v>
      </c>
      <c r="M4396">
        <v>398000</v>
      </c>
      <c r="N4396">
        <v>4.3</v>
      </c>
      <c r="O4396">
        <v>14</v>
      </c>
      <c r="P4396" t="s">
        <v>26</v>
      </c>
    </row>
    <row r="4397" spans="1:16" x14ac:dyDescent="0.25">
      <c r="A4397" t="s">
        <v>8924</v>
      </c>
      <c r="B4397" t="s">
        <v>2616</v>
      </c>
      <c r="C4397" t="s">
        <v>18</v>
      </c>
      <c r="D4397" t="s">
        <v>43</v>
      </c>
      <c r="E4397" t="s">
        <v>44</v>
      </c>
      <c r="F4397" t="s">
        <v>32</v>
      </c>
      <c r="G4397" t="s">
        <v>33</v>
      </c>
      <c r="H4397" t="s">
        <v>23</v>
      </c>
      <c r="I4397" t="s">
        <v>24</v>
      </c>
      <c r="J4397" t="s">
        <v>469</v>
      </c>
      <c r="L4397">
        <v>4.8</v>
      </c>
      <c r="M4397">
        <v>194000</v>
      </c>
      <c r="N4397">
        <v>4.3</v>
      </c>
      <c r="O4397">
        <v>9</v>
      </c>
      <c r="P4397" t="s">
        <v>26</v>
      </c>
    </row>
    <row r="4398" spans="1:16" x14ac:dyDescent="0.25">
      <c r="A4398" t="s">
        <v>8925</v>
      </c>
      <c r="B4398" t="s">
        <v>8926</v>
      </c>
      <c r="C4398" t="s">
        <v>18</v>
      </c>
      <c r="D4398" t="s">
        <v>43</v>
      </c>
      <c r="E4398" t="s">
        <v>20</v>
      </c>
      <c r="F4398" t="s">
        <v>39</v>
      </c>
      <c r="G4398" t="s">
        <v>22</v>
      </c>
      <c r="H4398" t="s">
        <v>46</v>
      </c>
      <c r="I4398" t="s">
        <v>35</v>
      </c>
      <c r="J4398" t="s">
        <v>5067</v>
      </c>
      <c r="L4398">
        <v>5.9</v>
      </c>
      <c r="M4398">
        <v>114000</v>
      </c>
      <c r="N4398">
        <v>3.8</v>
      </c>
      <c r="O4398">
        <v>24</v>
      </c>
      <c r="P4398" t="s">
        <v>26</v>
      </c>
    </row>
    <row r="4399" spans="1:16" x14ac:dyDescent="0.25">
      <c r="A4399" t="s">
        <v>8927</v>
      </c>
      <c r="B4399" t="s">
        <v>1790</v>
      </c>
      <c r="C4399" t="s">
        <v>18</v>
      </c>
      <c r="D4399" t="s">
        <v>19</v>
      </c>
      <c r="E4399" t="s">
        <v>20</v>
      </c>
      <c r="F4399" t="s">
        <v>32</v>
      </c>
      <c r="G4399" t="s">
        <v>80</v>
      </c>
      <c r="H4399" t="s">
        <v>62</v>
      </c>
      <c r="I4399" t="s">
        <v>75</v>
      </c>
      <c r="J4399" t="s">
        <v>3014</v>
      </c>
      <c r="L4399">
        <v>4.5</v>
      </c>
      <c r="M4399">
        <v>273000</v>
      </c>
      <c r="N4399">
        <v>4.7</v>
      </c>
      <c r="O4399">
        <v>12</v>
      </c>
      <c r="P4399" t="s">
        <v>26</v>
      </c>
    </row>
    <row r="4400" spans="1:16" x14ac:dyDescent="0.25">
      <c r="A4400" t="s">
        <v>8928</v>
      </c>
      <c r="B4400" t="s">
        <v>8929</v>
      </c>
      <c r="C4400" t="s">
        <v>29</v>
      </c>
      <c r="D4400" t="s">
        <v>50</v>
      </c>
      <c r="E4400" t="s">
        <v>20</v>
      </c>
      <c r="F4400" t="s">
        <v>128</v>
      </c>
      <c r="G4400" t="s">
        <v>22</v>
      </c>
      <c r="H4400" t="s">
        <v>62</v>
      </c>
      <c r="I4400" t="s">
        <v>57</v>
      </c>
      <c r="J4400" t="s">
        <v>4309</v>
      </c>
      <c r="L4400">
        <v>3.1</v>
      </c>
      <c r="M4400">
        <v>449000</v>
      </c>
      <c r="N4400">
        <v>4.8</v>
      </c>
      <c r="O4400">
        <v>14</v>
      </c>
      <c r="P4400" t="s">
        <v>26</v>
      </c>
    </row>
    <row r="4401" spans="1:16" x14ac:dyDescent="0.25">
      <c r="A4401" t="s">
        <v>8930</v>
      </c>
      <c r="B4401" t="s">
        <v>4102</v>
      </c>
      <c r="C4401" t="s">
        <v>29</v>
      </c>
      <c r="D4401" t="s">
        <v>50</v>
      </c>
      <c r="E4401" t="s">
        <v>20</v>
      </c>
      <c r="F4401" t="s">
        <v>45</v>
      </c>
      <c r="G4401" t="s">
        <v>80</v>
      </c>
      <c r="H4401" t="s">
        <v>34</v>
      </c>
      <c r="I4401" t="s">
        <v>171</v>
      </c>
      <c r="J4401" t="s">
        <v>334</v>
      </c>
      <c r="L4401">
        <v>5.7</v>
      </c>
      <c r="M4401">
        <v>1014000</v>
      </c>
      <c r="N4401">
        <v>4.9000000000000004</v>
      </c>
      <c r="O4401">
        <v>28</v>
      </c>
      <c r="P4401" t="s">
        <v>26</v>
      </c>
    </row>
    <row r="4402" spans="1:16" x14ac:dyDescent="0.25">
      <c r="A4402" t="s">
        <v>8931</v>
      </c>
      <c r="B4402" t="s">
        <v>5644</v>
      </c>
      <c r="C4402" t="s">
        <v>18</v>
      </c>
      <c r="D4402" t="s">
        <v>50</v>
      </c>
      <c r="E4402" t="s">
        <v>31</v>
      </c>
      <c r="F4402" t="s">
        <v>32</v>
      </c>
      <c r="G4402" t="s">
        <v>33</v>
      </c>
      <c r="H4402" t="s">
        <v>62</v>
      </c>
      <c r="I4402" t="s">
        <v>57</v>
      </c>
      <c r="J4402" t="s">
        <v>132</v>
      </c>
      <c r="L4402">
        <v>2.6</v>
      </c>
      <c r="O4402">
        <v>13</v>
      </c>
      <c r="P4402" t="s">
        <v>26</v>
      </c>
    </row>
    <row r="4403" spans="1:16" x14ac:dyDescent="0.25">
      <c r="A4403" t="s">
        <v>8932</v>
      </c>
      <c r="B4403" t="s">
        <v>2497</v>
      </c>
      <c r="C4403" t="s">
        <v>18</v>
      </c>
      <c r="D4403" t="s">
        <v>43</v>
      </c>
      <c r="E4403" t="s">
        <v>20</v>
      </c>
      <c r="F4403" t="s">
        <v>32</v>
      </c>
      <c r="G4403" t="s">
        <v>69</v>
      </c>
      <c r="H4403" t="s">
        <v>34</v>
      </c>
      <c r="I4403" t="s">
        <v>24</v>
      </c>
      <c r="J4403" t="s">
        <v>3584</v>
      </c>
      <c r="L4403">
        <v>4.9000000000000004</v>
      </c>
      <c r="M4403">
        <v>253000</v>
      </c>
      <c r="N4403">
        <v>4</v>
      </c>
      <c r="O4403">
        <v>20</v>
      </c>
      <c r="P4403" t="s">
        <v>26</v>
      </c>
    </row>
    <row r="4404" spans="1:16" x14ac:dyDescent="0.25">
      <c r="A4404" t="s">
        <v>8933</v>
      </c>
      <c r="B4404" t="s">
        <v>7480</v>
      </c>
      <c r="C4404" t="s">
        <v>29</v>
      </c>
      <c r="D4404" t="s">
        <v>19</v>
      </c>
      <c r="E4404" t="s">
        <v>20</v>
      </c>
      <c r="F4404" t="s">
        <v>45</v>
      </c>
      <c r="G4404" t="s">
        <v>80</v>
      </c>
      <c r="H4404" t="s">
        <v>23</v>
      </c>
      <c r="I4404" t="s">
        <v>24</v>
      </c>
      <c r="J4404" t="s">
        <v>1003</v>
      </c>
      <c r="L4404">
        <v>3</v>
      </c>
      <c r="M4404">
        <v>2103000</v>
      </c>
      <c r="N4404">
        <v>3.8</v>
      </c>
      <c r="O4404">
        <v>10</v>
      </c>
      <c r="P4404" t="s">
        <v>26</v>
      </c>
    </row>
    <row r="4405" spans="1:16" x14ac:dyDescent="0.25">
      <c r="A4405" t="s">
        <v>8934</v>
      </c>
      <c r="B4405" t="s">
        <v>5194</v>
      </c>
      <c r="C4405" t="s">
        <v>18</v>
      </c>
      <c r="D4405" t="s">
        <v>30</v>
      </c>
      <c r="E4405" t="s">
        <v>20</v>
      </c>
      <c r="F4405" t="s">
        <v>128</v>
      </c>
      <c r="G4405" t="s">
        <v>22</v>
      </c>
      <c r="H4405" t="s">
        <v>34</v>
      </c>
      <c r="I4405" t="s">
        <v>24</v>
      </c>
      <c r="J4405" t="s">
        <v>132</v>
      </c>
      <c r="K4405" t="s">
        <v>723</v>
      </c>
      <c r="L4405">
        <v>2.6</v>
      </c>
      <c r="M4405">
        <v>585000</v>
      </c>
      <c r="O4405">
        <v>6</v>
      </c>
      <c r="P4405" t="s">
        <v>53</v>
      </c>
    </row>
    <row r="4406" spans="1:16" x14ac:dyDescent="0.25">
      <c r="A4406" t="s">
        <v>8935</v>
      </c>
      <c r="B4406" t="s">
        <v>3729</v>
      </c>
      <c r="C4406" t="s">
        <v>29</v>
      </c>
      <c r="D4406" t="s">
        <v>43</v>
      </c>
      <c r="E4406" t="s">
        <v>31</v>
      </c>
      <c r="F4406" t="s">
        <v>128</v>
      </c>
      <c r="G4406" t="s">
        <v>80</v>
      </c>
      <c r="H4406" t="s">
        <v>23</v>
      </c>
      <c r="I4406" t="s">
        <v>57</v>
      </c>
      <c r="J4406" t="s">
        <v>3864</v>
      </c>
      <c r="K4406" t="s">
        <v>2277</v>
      </c>
      <c r="L4406">
        <v>3.3</v>
      </c>
      <c r="M4406">
        <v>451000</v>
      </c>
      <c r="N4406">
        <v>3.7</v>
      </c>
      <c r="O4406">
        <v>32</v>
      </c>
      <c r="P4406" t="s">
        <v>72</v>
      </c>
    </row>
    <row r="4407" spans="1:16" x14ac:dyDescent="0.25">
      <c r="A4407" t="s">
        <v>8936</v>
      </c>
      <c r="B4407" t="s">
        <v>6953</v>
      </c>
      <c r="C4407" t="s">
        <v>29</v>
      </c>
      <c r="D4407" t="s">
        <v>50</v>
      </c>
      <c r="E4407" t="s">
        <v>20</v>
      </c>
      <c r="F4407" t="s">
        <v>39</v>
      </c>
      <c r="G4407" t="s">
        <v>69</v>
      </c>
      <c r="H4407" t="s">
        <v>23</v>
      </c>
      <c r="I4407" t="s">
        <v>24</v>
      </c>
      <c r="J4407" t="s">
        <v>5364</v>
      </c>
      <c r="L4407">
        <v>5.0999999999999996</v>
      </c>
      <c r="M4407">
        <v>150000</v>
      </c>
      <c r="N4407">
        <v>2.2000000000000002</v>
      </c>
      <c r="O4407">
        <v>11</v>
      </c>
      <c r="P4407" t="s">
        <v>26</v>
      </c>
    </row>
    <row r="4408" spans="1:16" x14ac:dyDescent="0.25">
      <c r="A4408" t="s">
        <v>8937</v>
      </c>
      <c r="B4408" t="s">
        <v>8938</v>
      </c>
      <c r="C4408" t="s">
        <v>29</v>
      </c>
      <c r="D4408" t="s">
        <v>30</v>
      </c>
      <c r="E4408" t="s">
        <v>31</v>
      </c>
      <c r="F4408" t="s">
        <v>39</v>
      </c>
      <c r="G4408" t="s">
        <v>80</v>
      </c>
      <c r="H4408" t="s">
        <v>46</v>
      </c>
      <c r="I4408" t="s">
        <v>24</v>
      </c>
      <c r="J4408" t="s">
        <v>172</v>
      </c>
      <c r="L4408">
        <v>4.3</v>
      </c>
      <c r="M4408">
        <v>100000</v>
      </c>
      <c r="O4408">
        <v>11</v>
      </c>
      <c r="P4408" t="s">
        <v>26</v>
      </c>
    </row>
    <row r="4409" spans="1:16" x14ac:dyDescent="0.25">
      <c r="A4409" t="s">
        <v>8939</v>
      </c>
      <c r="B4409" t="s">
        <v>4466</v>
      </c>
      <c r="C4409" t="s">
        <v>18</v>
      </c>
      <c r="E4409" t="s">
        <v>20</v>
      </c>
      <c r="F4409" t="s">
        <v>39</v>
      </c>
      <c r="G4409" t="s">
        <v>22</v>
      </c>
      <c r="H4409" t="s">
        <v>46</v>
      </c>
      <c r="I4409" t="s">
        <v>24</v>
      </c>
      <c r="J4409" t="s">
        <v>4085</v>
      </c>
      <c r="L4409">
        <v>5.4</v>
      </c>
      <c r="M4409">
        <v>108000</v>
      </c>
      <c r="N4409">
        <v>2.5</v>
      </c>
      <c r="O4409">
        <v>19</v>
      </c>
      <c r="P4409" t="s">
        <v>26</v>
      </c>
    </row>
    <row r="4410" spans="1:16" x14ac:dyDescent="0.25">
      <c r="A4410" t="s">
        <v>8940</v>
      </c>
      <c r="B4410" t="s">
        <v>3992</v>
      </c>
      <c r="C4410" t="s">
        <v>18</v>
      </c>
      <c r="D4410" t="s">
        <v>79</v>
      </c>
      <c r="E4410" t="s">
        <v>31</v>
      </c>
      <c r="F4410" t="s">
        <v>128</v>
      </c>
      <c r="G4410" t="s">
        <v>80</v>
      </c>
      <c r="H4410" t="s">
        <v>34</v>
      </c>
      <c r="I4410" t="s">
        <v>24</v>
      </c>
      <c r="J4410" t="s">
        <v>6496</v>
      </c>
      <c r="L4410">
        <v>1.7</v>
      </c>
      <c r="M4410">
        <v>556000</v>
      </c>
      <c r="N4410">
        <v>2.9</v>
      </c>
      <c r="O4410">
        <v>39</v>
      </c>
      <c r="P4410" t="s">
        <v>26</v>
      </c>
    </row>
    <row r="4411" spans="1:16" x14ac:dyDescent="0.25">
      <c r="A4411" t="s">
        <v>8941</v>
      </c>
      <c r="B4411" t="s">
        <v>8942</v>
      </c>
      <c r="C4411" t="s">
        <v>29</v>
      </c>
      <c r="D4411" t="s">
        <v>79</v>
      </c>
      <c r="E4411" t="s">
        <v>44</v>
      </c>
      <c r="F4411" t="s">
        <v>128</v>
      </c>
      <c r="G4411" t="s">
        <v>33</v>
      </c>
      <c r="H4411" t="s">
        <v>34</v>
      </c>
      <c r="I4411" t="s">
        <v>24</v>
      </c>
      <c r="J4411" t="s">
        <v>3785</v>
      </c>
      <c r="K4411" t="s">
        <v>269</v>
      </c>
      <c r="L4411">
        <v>5.4</v>
      </c>
      <c r="M4411">
        <v>445000</v>
      </c>
      <c r="N4411">
        <v>3</v>
      </c>
      <c r="O4411">
        <v>11</v>
      </c>
      <c r="P4411" t="s">
        <v>53</v>
      </c>
    </row>
    <row r="4412" spans="1:16" x14ac:dyDescent="0.25">
      <c r="A4412" t="s">
        <v>8943</v>
      </c>
      <c r="B4412" t="s">
        <v>1458</v>
      </c>
      <c r="C4412" t="s">
        <v>29</v>
      </c>
      <c r="D4412" t="s">
        <v>79</v>
      </c>
      <c r="E4412" t="s">
        <v>20</v>
      </c>
      <c r="F4412" t="s">
        <v>21</v>
      </c>
      <c r="G4412" t="s">
        <v>80</v>
      </c>
      <c r="H4412" t="s">
        <v>62</v>
      </c>
      <c r="I4412" t="s">
        <v>57</v>
      </c>
      <c r="J4412" t="s">
        <v>1313</v>
      </c>
      <c r="L4412">
        <v>1.9</v>
      </c>
      <c r="M4412">
        <v>802000</v>
      </c>
      <c r="N4412">
        <v>3.9</v>
      </c>
      <c r="O4412">
        <v>0</v>
      </c>
      <c r="P4412" t="s">
        <v>26</v>
      </c>
    </row>
    <row r="4413" spans="1:16" x14ac:dyDescent="0.25">
      <c r="A4413" t="s">
        <v>8944</v>
      </c>
      <c r="B4413" t="s">
        <v>5681</v>
      </c>
      <c r="C4413" t="s">
        <v>18</v>
      </c>
      <c r="D4413" t="s">
        <v>30</v>
      </c>
      <c r="E4413" t="s">
        <v>20</v>
      </c>
      <c r="F4413" t="s">
        <v>39</v>
      </c>
      <c r="G4413" t="s">
        <v>22</v>
      </c>
      <c r="H4413" t="s">
        <v>46</v>
      </c>
      <c r="I4413" t="s">
        <v>35</v>
      </c>
      <c r="J4413" t="s">
        <v>1538</v>
      </c>
      <c r="L4413">
        <v>1.7</v>
      </c>
      <c r="M4413" t="s">
        <v>8945</v>
      </c>
      <c r="N4413">
        <v>3.1</v>
      </c>
      <c r="O4413">
        <v>1</v>
      </c>
      <c r="P4413" t="s">
        <v>26</v>
      </c>
    </row>
    <row r="4414" spans="1:16" x14ac:dyDescent="0.25">
      <c r="A4414" t="s">
        <v>8946</v>
      </c>
      <c r="B4414" t="s">
        <v>4867</v>
      </c>
      <c r="C4414" t="s">
        <v>18</v>
      </c>
      <c r="D4414" t="s">
        <v>43</v>
      </c>
      <c r="E4414" t="s">
        <v>20</v>
      </c>
      <c r="F4414" t="s">
        <v>32</v>
      </c>
      <c r="G4414" t="s">
        <v>22</v>
      </c>
      <c r="H4414" t="s">
        <v>23</v>
      </c>
      <c r="I4414" t="s">
        <v>75</v>
      </c>
      <c r="J4414" t="s">
        <v>1418</v>
      </c>
      <c r="L4414">
        <v>5.0999999999999996</v>
      </c>
      <c r="M4414">
        <v>280000</v>
      </c>
      <c r="N4414">
        <v>4.5999999999999996</v>
      </c>
      <c r="O4414">
        <v>36</v>
      </c>
      <c r="P4414" t="s">
        <v>26</v>
      </c>
    </row>
    <row r="4415" spans="1:16" x14ac:dyDescent="0.25">
      <c r="A4415" t="s">
        <v>8947</v>
      </c>
      <c r="B4415" t="s">
        <v>8948</v>
      </c>
      <c r="C4415" t="s">
        <v>29</v>
      </c>
      <c r="D4415" t="s">
        <v>30</v>
      </c>
      <c r="E4415" t="s">
        <v>20</v>
      </c>
      <c r="F4415" t="s">
        <v>128</v>
      </c>
      <c r="G4415" t="s">
        <v>22</v>
      </c>
      <c r="H4415" t="s">
        <v>23</v>
      </c>
      <c r="I4415" t="s">
        <v>35</v>
      </c>
      <c r="J4415" t="s">
        <v>2295</v>
      </c>
      <c r="K4415" t="s">
        <v>3565</v>
      </c>
      <c r="L4415">
        <v>4.5999999999999996</v>
      </c>
      <c r="M4415">
        <v>566000</v>
      </c>
      <c r="N4415">
        <v>3.1</v>
      </c>
      <c r="O4415">
        <v>2</v>
      </c>
      <c r="P4415" t="s">
        <v>53</v>
      </c>
    </row>
    <row r="4416" spans="1:16" x14ac:dyDescent="0.25">
      <c r="A4416" t="s">
        <v>8949</v>
      </c>
      <c r="B4416" t="s">
        <v>4349</v>
      </c>
      <c r="C4416" t="s">
        <v>29</v>
      </c>
      <c r="D4416" t="s">
        <v>50</v>
      </c>
      <c r="E4416" t="s">
        <v>20</v>
      </c>
      <c r="F4416" t="s">
        <v>32</v>
      </c>
      <c r="G4416" t="s">
        <v>33</v>
      </c>
      <c r="H4416" t="s">
        <v>34</v>
      </c>
      <c r="I4416" t="s">
        <v>57</v>
      </c>
      <c r="J4416" t="s">
        <v>2200</v>
      </c>
      <c r="K4416" t="s">
        <v>2104</v>
      </c>
      <c r="L4416">
        <v>1.8</v>
      </c>
      <c r="M4416">
        <v>233000</v>
      </c>
      <c r="N4416">
        <v>3.3</v>
      </c>
      <c r="O4416">
        <v>10</v>
      </c>
      <c r="P4416" t="s">
        <v>53</v>
      </c>
    </row>
    <row r="4417" spans="1:16" x14ac:dyDescent="0.25">
      <c r="A4417" t="s">
        <v>8950</v>
      </c>
      <c r="B4417" t="s">
        <v>1316</v>
      </c>
      <c r="C4417" t="s">
        <v>29</v>
      </c>
      <c r="D4417" t="s">
        <v>50</v>
      </c>
      <c r="E4417" t="s">
        <v>44</v>
      </c>
      <c r="F4417" t="s">
        <v>39</v>
      </c>
      <c r="G4417" t="s">
        <v>22</v>
      </c>
      <c r="H4417" t="s">
        <v>62</v>
      </c>
      <c r="I4417" t="s">
        <v>171</v>
      </c>
      <c r="J4417" t="s">
        <v>1857</v>
      </c>
      <c r="L4417">
        <v>4.5999999999999996</v>
      </c>
      <c r="M4417">
        <v>161000</v>
      </c>
      <c r="N4417">
        <v>2.8</v>
      </c>
      <c r="O4417">
        <v>8</v>
      </c>
      <c r="P4417" t="s">
        <v>26</v>
      </c>
    </row>
    <row r="4418" spans="1:16" x14ac:dyDescent="0.25">
      <c r="A4418" t="s">
        <v>8951</v>
      </c>
      <c r="B4418" t="s">
        <v>6541</v>
      </c>
      <c r="C4418" t="s">
        <v>18</v>
      </c>
      <c r="D4418" t="s">
        <v>79</v>
      </c>
      <c r="E4418" t="s">
        <v>20</v>
      </c>
      <c r="F4418" t="s">
        <v>128</v>
      </c>
      <c r="G4418" t="s">
        <v>22</v>
      </c>
      <c r="H4418" t="s">
        <v>34</v>
      </c>
      <c r="I4418" t="s">
        <v>24</v>
      </c>
      <c r="J4418" t="s">
        <v>8952</v>
      </c>
      <c r="L4418">
        <v>5.2</v>
      </c>
      <c r="M4418">
        <v>408000</v>
      </c>
      <c r="N4418">
        <v>2.4</v>
      </c>
      <c r="O4418">
        <v>9</v>
      </c>
      <c r="P4418" t="s">
        <v>26</v>
      </c>
    </row>
    <row r="4419" spans="1:16" x14ac:dyDescent="0.25">
      <c r="A4419" t="s">
        <v>8953</v>
      </c>
      <c r="B4419" t="s">
        <v>7563</v>
      </c>
      <c r="C4419" t="s">
        <v>18</v>
      </c>
      <c r="D4419" t="s">
        <v>19</v>
      </c>
      <c r="E4419" t="s">
        <v>20</v>
      </c>
      <c r="F4419" t="s">
        <v>45</v>
      </c>
      <c r="G4419" t="s">
        <v>22</v>
      </c>
      <c r="H4419" t="s">
        <v>46</v>
      </c>
      <c r="I4419" t="s">
        <v>57</v>
      </c>
      <c r="J4419" t="s">
        <v>3412</v>
      </c>
      <c r="L4419">
        <v>5.2</v>
      </c>
      <c r="M4419">
        <v>1472000</v>
      </c>
      <c r="N4419">
        <v>3.3</v>
      </c>
      <c r="O4419">
        <v>13</v>
      </c>
      <c r="P4419" t="s">
        <v>26</v>
      </c>
    </row>
    <row r="4420" spans="1:16" x14ac:dyDescent="0.25">
      <c r="A4420" t="s">
        <v>8954</v>
      </c>
      <c r="B4420" t="s">
        <v>8955</v>
      </c>
      <c r="C4420" t="s">
        <v>29</v>
      </c>
      <c r="D4420" t="s">
        <v>50</v>
      </c>
      <c r="E4420" t="s">
        <v>20</v>
      </c>
      <c r="F4420" t="s">
        <v>39</v>
      </c>
      <c r="G4420" t="s">
        <v>22</v>
      </c>
      <c r="H4420" t="s">
        <v>62</v>
      </c>
      <c r="I4420" t="s">
        <v>35</v>
      </c>
      <c r="J4420" t="s">
        <v>2797</v>
      </c>
      <c r="L4420">
        <v>3.2</v>
      </c>
      <c r="M4420">
        <v>155000</v>
      </c>
      <c r="N4420">
        <v>3</v>
      </c>
      <c r="O4420">
        <v>7</v>
      </c>
      <c r="P4420" t="s">
        <v>26</v>
      </c>
    </row>
    <row r="4421" spans="1:16" x14ac:dyDescent="0.25">
      <c r="A4421" t="s">
        <v>8956</v>
      </c>
      <c r="B4421" t="s">
        <v>8373</v>
      </c>
      <c r="C4421" t="s">
        <v>29</v>
      </c>
      <c r="D4421" t="s">
        <v>30</v>
      </c>
      <c r="E4421" t="s">
        <v>44</v>
      </c>
      <c r="F4421" t="s">
        <v>128</v>
      </c>
      <c r="G4421" t="s">
        <v>33</v>
      </c>
      <c r="H4421" t="s">
        <v>46</v>
      </c>
      <c r="I4421" t="s">
        <v>24</v>
      </c>
      <c r="J4421" t="s">
        <v>1131</v>
      </c>
      <c r="K4421" t="s">
        <v>2809</v>
      </c>
      <c r="L4421">
        <v>3.4</v>
      </c>
      <c r="M4421">
        <v>524000</v>
      </c>
      <c r="N4421">
        <v>3</v>
      </c>
      <c r="O4421">
        <v>30</v>
      </c>
      <c r="P4421" t="s">
        <v>53</v>
      </c>
    </row>
    <row r="4422" spans="1:16" x14ac:dyDescent="0.25">
      <c r="A4422" t="s">
        <v>8957</v>
      </c>
      <c r="B4422" t="s">
        <v>8958</v>
      </c>
      <c r="C4422" t="s">
        <v>18</v>
      </c>
      <c r="D4422" t="s">
        <v>50</v>
      </c>
      <c r="E4422" t="s">
        <v>31</v>
      </c>
      <c r="F4422" t="s">
        <v>32</v>
      </c>
      <c r="G4422" t="s">
        <v>22</v>
      </c>
      <c r="H4422" t="s">
        <v>34</v>
      </c>
      <c r="I4422" t="s">
        <v>57</v>
      </c>
      <c r="J4422" t="s">
        <v>5790</v>
      </c>
      <c r="K4422" t="s">
        <v>5326</v>
      </c>
      <c r="L4422">
        <v>5.5</v>
      </c>
      <c r="M4422">
        <v>314000</v>
      </c>
      <c r="N4422">
        <v>4.5999999999999996</v>
      </c>
      <c r="O4422">
        <v>8</v>
      </c>
      <c r="P4422" t="s">
        <v>72</v>
      </c>
    </row>
    <row r="4423" spans="1:16" x14ac:dyDescent="0.25">
      <c r="A4423" t="s">
        <v>8959</v>
      </c>
      <c r="B4423" t="s">
        <v>8960</v>
      </c>
      <c r="C4423" t="s">
        <v>18</v>
      </c>
      <c r="D4423" t="s">
        <v>79</v>
      </c>
      <c r="E4423" t="s">
        <v>20</v>
      </c>
      <c r="F4423" t="s">
        <v>32</v>
      </c>
      <c r="G4423" t="s">
        <v>22</v>
      </c>
      <c r="H4423" t="s">
        <v>23</v>
      </c>
      <c r="I4423" t="s">
        <v>24</v>
      </c>
      <c r="J4423" t="s">
        <v>3734</v>
      </c>
      <c r="L4423">
        <v>3.8</v>
      </c>
      <c r="M4423">
        <v>182000</v>
      </c>
      <c r="O4423">
        <v>1</v>
      </c>
      <c r="P4423" t="s">
        <v>26</v>
      </c>
    </row>
    <row r="4424" spans="1:16" x14ac:dyDescent="0.25">
      <c r="A4424" t="s">
        <v>8961</v>
      </c>
      <c r="B4424" t="s">
        <v>8962</v>
      </c>
      <c r="C4424" t="s">
        <v>18</v>
      </c>
      <c r="D4424" t="s">
        <v>30</v>
      </c>
      <c r="E4424" t="s">
        <v>20</v>
      </c>
      <c r="F4424" t="s">
        <v>128</v>
      </c>
      <c r="G4424" t="s">
        <v>69</v>
      </c>
      <c r="H4424" t="s">
        <v>23</v>
      </c>
      <c r="I4424" t="s">
        <v>24</v>
      </c>
      <c r="J4424" t="s">
        <v>719</v>
      </c>
      <c r="K4424" t="s">
        <v>887</v>
      </c>
      <c r="L4424">
        <v>5.6</v>
      </c>
      <c r="M4424">
        <v>528000</v>
      </c>
      <c r="N4424">
        <v>2.2000000000000002</v>
      </c>
      <c r="O4424">
        <v>19</v>
      </c>
      <c r="P4424" t="s">
        <v>53</v>
      </c>
    </row>
    <row r="4425" spans="1:16" x14ac:dyDescent="0.25">
      <c r="A4425" t="s">
        <v>8963</v>
      </c>
      <c r="B4425" t="s">
        <v>6040</v>
      </c>
      <c r="C4425" t="s">
        <v>18</v>
      </c>
      <c r="D4425" t="s">
        <v>30</v>
      </c>
      <c r="E4425" t="s">
        <v>20</v>
      </c>
      <c r="F4425" t="s">
        <v>39</v>
      </c>
      <c r="G4425" t="s">
        <v>22</v>
      </c>
      <c r="H4425" t="s">
        <v>46</v>
      </c>
      <c r="I4425" t="s">
        <v>35</v>
      </c>
      <c r="J4425" t="s">
        <v>4902</v>
      </c>
      <c r="L4425">
        <v>3</v>
      </c>
      <c r="M4425">
        <v>128000</v>
      </c>
      <c r="N4425">
        <v>2.2000000000000002</v>
      </c>
      <c r="O4425">
        <v>13</v>
      </c>
      <c r="P4425" t="s">
        <v>26</v>
      </c>
    </row>
    <row r="4426" spans="1:16" x14ac:dyDescent="0.25">
      <c r="A4426" t="s">
        <v>8964</v>
      </c>
      <c r="B4426" t="s">
        <v>6340</v>
      </c>
      <c r="C4426" t="s">
        <v>29</v>
      </c>
      <c r="D4426" t="s">
        <v>50</v>
      </c>
      <c r="E4426" t="s">
        <v>31</v>
      </c>
      <c r="F4426" t="s">
        <v>21</v>
      </c>
      <c r="G4426" t="s">
        <v>33</v>
      </c>
      <c r="H4426" t="s">
        <v>23</v>
      </c>
      <c r="I4426" t="s">
        <v>24</v>
      </c>
      <c r="J4426" t="s">
        <v>1886</v>
      </c>
      <c r="L4426">
        <v>2.1</v>
      </c>
      <c r="M4426">
        <v>771000</v>
      </c>
      <c r="N4426">
        <v>3.5</v>
      </c>
      <c r="O4426">
        <v>9</v>
      </c>
      <c r="P4426" t="s">
        <v>26</v>
      </c>
    </row>
    <row r="4427" spans="1:16" x14ac:dyDescent="0.25">
      <c r="A4427" t="s">
        <v>6063</v>
      </c>
      <c r="B4427" t="s">
        <v>6064</v>
      </c>
      <c r="C4427" t="s">
        <v>18</v>
      </c>
      <c r="D4427" t="s">
        <v>50</v>
      </c>
      <c r="E4427" t="s">
        <v>20</v>
      </c>
      <c r="F4427" t="s">
        <v>32</v>
      </c>
      <c r="G4427" t="s">
        <v>80</v>
      </c>
      <c r="H4427" t="s">
        <v>23</v>
      </c>
      <c r="I4427" t="s">
        <v>35</v>
      </c>
      <c r="J4427" t="s">
        <v>806</v>
      </c>
      <c r="L4427">
        <v>4.8</v>
      </c>
      <c r="M4427">
        <v>340000</v>
      </c>
      <c r="N4427">
        <v>3.7</v>
      </c>
      <c r="O4427">
        <v>13</v>
      </c>
      <c r="P4427" t="s">
        <v>26</v>
      </c>
    </row>
    <row r="4428" spans="1:16" x14ac:dyDescent="0.25">
      <c r="A4428" t="s">
        <v>8965</v>
      </c>
      <c r="B4428" t="s">
        <v>3190</v>
      </c>
      <c r="C4428" t="s">
        <v>29</v>
      </c>
      <c r="D4428" t="s">
        <v>30</v>
      </c>
      <c r="E4428" t="s">
        <v>20</v>
      </c>
      <c r="G4428" t="s">
        <v>69</v>
      </c>
      <c r="H4428" t="s">
        <v>46</v>
      </c>
      <c r="I4428" t="s">
        <v>24</v>
      </c>
      <c r="J4428" t="s">
        <v>2335</v>
      </c>
      <c r="K4428" t="s">
        <v>8966</v>
      </c>
      <c r="L4428">
        <v>3</v>
      </c>
      <c r="M4428">
        <v>90000</v>
      </c>
      <c r="N4428">
        <v>3</v>
      </c>
      <c r="O4428">
        <v>14</v>
      </c>
      <c r="P4428" t="s">
        <v>53</v>
      </c>
    </row>
    <row r="4429" spans="1:16" x14ac:dyDescent="0.25">
      <c r="A4429" t="s">
        <v>8967</v>
      </c>
      <c r="B4429" t="s">
        <v>8184</v>
      </c>
      <c r="C4429" t="s">
        <v>29</v>
      </c>
      <c r="D4429" t="s">
        <v>79</v>
      </c>
      <c r="E4429" t="s">
        <v>20</v>
      </c>
      <c r="F4429" t="s">
        <v>45</v>
      </c>
      <c r="G4429" t="s">
        <v>22</v>
      </c>
      <c r="H4429" t="s">
        <v>23</v>
      </c>
      <c r="I4429" t="s">
        <v>57</v>
      </c>
      <c r="J4429" t="s">
        <v>2407</v>
      </c>
      <c r="L4429">
        <v>4.4000000000000004</v>
      </c>
      <c r="M4429">
        <v>1472000</v>
      </c>
      <c r="N4429">
        <v>4.5999999999999996</v>
      </c>
      <c r="O4429">
        <v>2</v>
      </c>
      <c r="P4429" t="s">
        <v>26</v>
      </c>
    </row>
    <row r="4430" spans="1:16" x14ac:dyDescent="0.25">
      <c r="A4430" t="s">
        <v>8968</v>
      </c>
      <c r="B4430" t="s">
        <v>5460</v>
      </c>
      <c r="C4430" t="s">
        <v>29</v>
      </c>
      <c r="D4430" t="s">
        <v>19</v>
      </c>
      <c r="E4430" t="s">
        <v>20</v>
      </c>
      <c r="F4430" t="s">
        <v>32</v>
      </c>
      <c r="G4430" t="s">
        <v>22</v>
      </c>
      <c r="H4430" t="s">
        <v>34</v>
      </c>
      <c r="I4430" t="s">
        <v>24</v>
      </c>
      <c r="J4430" t="s">
        <v>369</v>
      </c>
      <c r="K4430" t="s">
        <v>1918</v>
      </c>
      <c r="L4430">
        <v>5.8</v>
      </c>
      <c r="M4430">
        <v>285000</v>
      </c>
      <c r="N4430">
        <v>4.4000000000000004</v>
      </c>
      <c r="O4430">
        <v>1</v>
      </c>
      <c r="P4430" t="s">
        <v>53</v>
      </c>
    </row>
    <row r="4431" spans="1:16" x14ac:dyDescent="0.25">
      <c r="A4431" t="s">
        <v>8969</v>
      </c>
      <c r="B4431" t="s">
        <v>8970</v>
      </c>
      <c r="C4431" t="s">
        <v>18</v>
      </c>
      <c r="D4431" t="s">
        <v>50</v>
      </c>
      <c r="E4431" t="s">
        <v>20</v>
      </c>
      <c r="F4431" t="s">
        <v>21</v>
      </c>
      <c r="G4431" t="s">
        <v>69</v>
      </c>
      <c r="H4431" t="s">
        <v>23</v>
      </c>
      <c r="I4431" t="s">
        <v>171</v>
      </c>
      <c r="J4431" t="s">
        <v>2548</v>
      </c>
      <c r="K4431" t="s">
        <v>487</v>
      </c>
      <c r="L4431">
        <v>2.7</v>
      </c>
      <c r="M4431">
        <v>857000</v>
      </c>
      <c r="N4431">
        <v>3.4</v>
      </c>
      <c r="O4431">
        <v>20</v>
      </c>
      <c r="P4431" t="s">
        <v>114</v>
      </c>
    </row>
    <row r="4432" spans="1:16" x14ac:dyDescent="0.25">
      <c r="A4432" t="s">
        <v>8971</v>
      </c>
      <c r="B4432" t="s">
        <v>8476</v>
      </c>
      <c r="C4432" t="s">
        <v>18</v>
      </c>
      <c r="D4432" t="s">
        <v>79</v>
      </c>
      <c r="E4432" t="s">
        <v>44</v>
      </c>
      <c r="F4432" t="s">
        <v>128</v>
      </c>
      <c r="G4432" t="s">
        <v>33</v>
      </c>
      <c r="H4432" t="s">
        <v>34</v>
      </c>
      <c r="I4432" t="s">
        <v>75</v>
      </c>
      <c r="J4432" t="s">
        <v>7213</v>
      </c>
      <c r="L4432">
        <v>2.6</v>
      </c>
      <c r="M4432">
        <v>495000</v>
      </c>
      <c r="N4432">
        <v>3.1</v>
      </c>
      <c r="O4432">
        <v>3</v>
      </c>
      <c r="P4432" t="s">
        <v>26</v>
      </c>
    </row>
    <row r="4433" spans="1:16" x14ac:dyDescent="0.25">
      <c r="A4433" t="s">
        <v>8972</v>
      </c>
      <c r="B4433" t="s">
        <v>4830</v>
      </c>
      <c r="C4433" t="s">
        <v>29</v>
      </c>
      <c r="D4433" t="s">
        <v>79</v>
      </c>
      <c r="E4433" t="s">
        <v>31</v>
      </c>
      <c r="F4433" t="s">
        <v>39</v>
      </c>
      <c r="G4433" t="s">
        <v>80</v>
      </c>
      <c r="H4433" t="s">
        <v>23</v>
      </c>
      <c r="I4433" t="s">
        <v>57</v>
      </c>
      <c r="J4433" t="s">
        <v>3062</v>
      </c>
      <c r="L4433">
        <v>2.2999999999999998</v>
      </c>
      <c r="M4433">
        <v>176000</v>
      </c>
      <c r="N4433">
        <v>3.9</v>
      </c>
      <c r="O4433">
        <v>37</v>
      </c>
      <c r="P4433" t="s">
        <v>26</v>
      </c>
    </row>
    <row r="4434" spans="1:16" x14ac:dyDescent="0.25">
      <c r="A4434" t="s">
        <v>8973</v>
      </c>
      <c r="B4434" t="s">
        <v>3498</v>
      </c>
      <c r="C4434" t="s">
        <v>18</v>
      </c>
      <c r="D4434" t="s">
        <v>79</v>
      </c>
      <c r="E4434" t="s">
        <v>20</v>
      </c>
      <c r="F4434" t="s">
        <v>128</v>
      </c>
      <c r="G4434" t="s">
        <v>22</v>
      </c>
      <c r="H4434" t="s">
        <v>62</v>
      </c>
      <c r="I4434" t="s">
        <v>24</v>
      </c>
      <c r="J4434" t="s">
        <v>4032</v>
      </c>
      <c r="L4434">
        <v>1.8</v>
      </c>
      <c r="M4434">
        <v>573000</v>
      </c>
      <c r="O4434">
        <v>9</v>
      </c>
      <c r="P4434" t="s">
        <v>26</v>
      </c>
    </row>
    <row r="4435" spans="1:16" x14ac:dyDescent="0.25">
      <c r="A4435" t="s">
        <v>8974</v>
      </c>
      <c r="B4435" t="s">
        <v>2745</v>
      </c>
      <c r="C4435" t="s">
        <v>18</v>
      </c>
      <c r="D4435" t="s">
        <v>30</v>
      </c>
      <c r="E4435" t="s">
        <v>20</v>
      </c>
      <c r="F4435" t="s">
        <v>32</v>
      </c>
      <c r="G4435" t="s">
        <v>22</v>
      </c>
      <c r="H4435" t="s">
        <v>34</v>
      </c>
      <c r="I4435" t="s">
        <v>35</v>
      </c>
      <c r="J4435" t="s">
        <v>5077</v>
      </c>
      <c r="L4435">
        <v>5.3</v>
      </c>
      <c r="M4435">
        <v>251000</v>
      </c>
      <c r="N4435">
        <v>2.2999999999999998</v>
      </c>
      <c r="O4435">
        <v>0</v>
      </c>
      <c r="P4435" t="s">
        <v>26</v>
      </c>
    </row>
    <row r="4436" spans="1:16" x14ac:dyDescent="0.25">
      <c r="A4436" t="s">
        <v>8975</v>
      </c>
      <c r="B4436" t="s">
        <v>6541</v>
      </c>
      <c r="D4436" t="s">
        <v>79</v>
      </c>
      <c r="E4436" t="s">
        <v>20</v>
      </c>
      <c r="F4436" t="s">
        <v>128</v>
      </c>
      <c r="G4436" t="s">
        <v>80</v>
      </c>
      <c r="J4436" t="s">
        <v>1897</v>
      </c>
      <c r="K4436" t="s">
        <v>2471</v>
      </c>
      <c r="L4436">
        <v>5.9</v>
      </c>
      <c r="M4436">
        <v>514000</v>
      </c>
      <c r="N4436">
        <v>4.9000000000000004</v>
      </c>
      <c r="O4436">
        <v>4</v>
      </c>
      <c r="P4436" t="s">
        <v>72</v>
      </c>
    </row>
    <row r="4437" spans="1:16" x14ac:dyDescent="0.25">
      <c r="A4437" t="s">
        <v>8976</v>
      </c>
      <c r="B4437" t="s">
        <v>4443</v>
      </c>
      <c r="C4437" t="s">
        <v>18</v>
      </c>
      <c r="D4437" t="s">
        <v>43</v>
      </c>
      <c r="E4437" t="s">
        <v>20</v>
      </c>
      <c r="F4437" t="s">
        <v>32</v>
      </c>
      <c r="G4437" t="s">
        <v>80</v>
      </c>
      <c r="H4437" t="s">
        <v>23</v>
      </c>
      <c r="I4437" t="s">
        <v>24</v>
      </c>
      <c r="J4437" t="s">
        <v>2213</v>
      </c>
      <c r="K4437" t="s">
        <v>8977</v>
      </c>
      <c r="L4437">
        <v>2.2999999999999998</v>
      </c>
      <c r="M4437">
        <v>229000</v>
      </c>
      <c r="N4437">
        <v>4.4000000000000004</v>
      </c>
      <c r="O4437">
        <v>11</v>
      </c>
      <c r="P4437" t="s">
        <v>53</v>
      </c>
    </row>
    <row r="4438" spans="1:16" x14ac:dyDescent="0.25">
      <c r="A4438" t="s">
        <v>8978</v>
      </c>
      <c r="B4438" t="s">
        <v>2635</v>
      </c>
      <c r="C4438" t="s">
        <v>18</v>
      </c>
      <c r="D4438" t="s">
        <v>50</v>
      </c>
      <c r="E4438" t="s">
        <v>20</v>
      </c>
      <c r="F4438" t="s">
        <v>32</v>
      </c>
      <c r="G4438" t="s">
        <v>22</v>
      </c>
      <c r="I4438" t="s">
        <v>35</v>
      </c>
      <c r="J4438" t="s">
        <v>6582</v>
      </c>
      <c r="L4438">
        <v>3.9</v>
      </c>
      <c r="M4438">
        <v>316000</v>
      </c>
      <c r="N4438">
        <v>4.5999999999999996</v>
      </c>
      <c r="O4438">
        <v>9</v>
      </c>
      <c r="P4438" t="s">
        <v>26</v>
      </c>
    </row>
    <row r="4439" spans="1:16" x14ac:dyDescent="0.25">
      <c r="A4439" t="s">
        <v>8979</v>
      </c>
      <c r="B4439" t="s">
        <v>2360</v>
      </c>
      <c r="C4439" t="s">
        <v>29</v>
      </c>
      <c r="D4439" t="s">
        <v>43</v>
      </c>
      <c r="E4439" t="s">
        <v>20</v>
      </c>
      <c r="F4439" t="s">
        <v>128</v>
      </c>
      <c r="G4439" t="s">
        <v>69</v>
      </c>
      <c r="H4439" t="s">
        <v>23</v>
      </c>
      <c r="J4439" t="s">
        <v>7326</v>
      </c>
      <c r="K4439" t="s">
        <v>2154</v>
      </c>
      <c r="L4439">
        <v>4.0999999999999996</v>
      </c>
      <c r="M4439">
        <v>370000</v>
      </c>
      <c r="O4439">
        <v>0</v>
      </c>
      <c r="P4439" t="s">
        <v>53</v>
      </c>
    </row>
    <row r="4440" spans="1:16" x14ac:dyDescent="0.25">
      <c r="A4440" t="s">
        <v>8980</v>
      </c>
      <c r="B4440" t="s">
        <v>3854</v>
      </c>
      <c r="C4440" t="s">
        <v>29</v>
      </c>
      <c r="D4440" t="s">
        <v>79</v>
      </c>
      <c r="E4440" t="s">
        <v>20</v>
      </c>
      <c r="F4440" t="s">
        <v>39</v>
      </c>
      <c r="G4440" t="s">
        <v>80</v>
      </c>
      <c r="H4440" t="s">
        <v>46</v>
      </c>
      <c r="J4440" t="s">
        <v>3308</v>
      </c>
      <c r="K4440" t="s">
        <v>8981</v>
      </c>
      <c r="L4440">
        <v>1.8</v>
      </c>
      <c r="M4440">
        <v>144000</v>
      </c>
      <c r="N4440">
        <v>3.5</v>
      </c>
      <c r="O4440">
        <v>9</v>
      </c>
      <c r="P4440" t="s">
        <v>72</v>
      </c>
    </row>
    <row r="4441" spans="1:16" x14ac:dyDescent="0.25">
      <c r="A4441" t="s">
        <v>8982</v>
      </c>
      <c r="B4441" t="s">
        <v>1966</v>
      </c>
      <c r="C4441" t="s">
        <v>29</v>
      </c>
      <c r="D4441" t="s">
        <v>19</v>
      </c>
      <c r="E4441" t="s">
        <v>20</v>
      </c>
      <c r="F4441" t="s">
        <v>39</v>
      </c>
      <c r="G4441" t="s">
        <v>22</v>
      </c>
      <c r="H4441" t="s">
        <v>46</v>
      </c>
      <c r="I4441" t="s">
        <v>75</v>
      </c>
      <c r="J4441" t="s">
        <v>5575</v>
      </c>
      <c r="L4441">
        <v>1.3</v>
      </c>
      <c r="N4441">
        <v>2.8</v>
      </c>
      <c r="O4441">
        <v>6</v>
      </c>
      <c r="P4441" t="s">
        <v>26</v>
      </c>
    </row>
    <row r="4442" spans="1:16" x14ac:dyDescent="0.25">
      <c r="A4442" t="s">
        <v>8983</v>
      </c>
      <c r="B4442" t="s">
        <v>7364</v>
      </c>
      <c r="C4442" t="s">
        <v>18</v>
      </c>
      <c r="D4442" t="s">
        <v>43</v>
      </c>
      <c r="E4442" t="s">
        <v>20</v>
      </c>
      <c r="F4442" t="s">
        <v>32</v>
      </c>
      <c r="G4442" t="s">
        <v>22</v>
      </c>
      <c r="H4442" t="s">
        <v>46</v>
      </c>
      <c r="I4442" t="s">
        <v>57</v>
      </c>
      <c r="J4442" t="s">
        <v>2110</v>
      </c>
      <c r="K4442" t="s">
        <v>6705</v>
      </c>
      <c r="L4442">
        <v>5.8</v>
      </c>
      <c r="M4442">
        <v>212000</v>
      </c>
      <c r="N4442">
        <v>2.8</v>
      </c>
      <c r="O4442">
        <v>14</v>
      </c>
      <c r="P4442" t="s">
        <v>53</v>
      </c>
    </row>
    <row r="4443" spans="1:16" x14ac:dyDescent="0.25">
      <c r="A4443" t="s">
        <v>8984</v>
      </c>
      <c r="B4443" t="s">
        <v>5899</v>
      </c>
      <c r="C4443" t="s">
        <v>18</v>
      </c>
      <c r="D4443" t="s">
        <v>30</v>
      </c>
      <c r="E4443" t="s">
        <v>44</v>
      </c>
      <c r="F4443" t="s">
        <v>39</v>
      </c>
      <c r="G4443" t="s">
        <v>69</v>
      </c>
      <c r="H4443" t="s">
        <v>46</v>
      </c>
      <c r="I4443" t="s">
        <v>24</v>
      </c>
      <c r="J4443" t="s">
        <v>1534</v>
      </c>
      <c r="L4443">
        <v>5.2</v>
      </c>
      <c r="M4443">
        <v>140000</v>
      </c>
      <c r="N4443">
        <v>2.1</v>
      </c>
      <c r="O4443">
        <v>5</v>
      </c>
      <c r="P4443" t="s">
        <v>26</v>
      </c>
    </row>
    <row r="4444" spans="1:16" x14ac:dyDescent="0.25">
      <c r="A4444" t="s">
        <v>8985</v>
      </c>
      <c r="B4444" t="s">
        <v>6780</v>
      </c>
      <c r="C4444" t="s">
        <v>18</v>
      </c>
      <c r="D4444" t="s">
        <v>43</v>
      </c>
      <c r="E4444" t="s">
        <v>810</v>
      </c>
      <c r="F4444" t="s">
        <v>128</v>
      </c>
      <c r="G4444" t="s">
        <v>33</v>
      </c>
      <c r="H4444" t="s">
        <v>23</v>
      </c>
      <c r="I4444" t="s">
        <v>35</v>
      </c>
      <c r="J4444" t="s">
        <v>4020</v>
      </c>
      <c r="L4444">
        <v>4.5</v>
      </c>
      <c r="M4444">
        <v>530000</v>
      </c>
      <c r="N4444">
        <v>4</v>
      </c>
      <c r="O4444">
        <v>5</v>
      </c>
      <c r="P4444" t="s">
        <v>26</v>
      </c>
    </row>
    <row r="4445" spans="1:16" x14ac:dyDescent="0.25">
      <c r="A4445" t="s">
        <v>8986</v>
      </c>
      <c r="B4445" t="s">
        <v>2063</v>
      </c>
      <c r="C4445" t="s">
        <v>29</v>
      </c>
      <c r="D4445" t="s">
        <v>30</v>
      </c>
      <c r="E4445" t="s">
        <v>20</v>
      </c>
      <c r="F4445" t="s">
        <v>32</v>
      </c>
      <c r="G4445" t="s">
        <v>33</v>
      </c>
      <c r="H4445" t="s">
        <v>34</v>
      </c>
      <c r="I4445" t="s">
        <v>24</v>
      </c>
      <c r="J4445" t="s">
        <v>6281</v>
      </c>
      <c r="K4445" t="s">
        <v>4786</v>
      </c>
      <c r="L4445">
        <v>4.4000000000000004</v>
      </c>
      <c r="M4445">
        <v>190000</v>
      </c>
      <c r="N4445">
        <v>2.5</v>
      </c>
      <c r="O4445">
        <v>6</v>
      </c>
      <c r="P4445" t="s">
        <v>53</v>
      </c>
    </row>
    <row r="4446" spans="1:16" x14ac:dyDescent="0.25">
      <c r="A4446" t="s">
        <v>8987</v>
      </c>
      <c r="B4446" t="s">
        <v>1031</v>
      </c>
      <c r="C4446" t="s">
        <v>18</v>
      </c>
      <c r="D4446" t="s">
        <v>30</v>
      </c>
      <c r="G4446" t="s">
        <v>22</v>
      </c>
      <c r="H4446" t="s">
        <v>34</v>
      </c>
      <c r="I4446" t="s">
        <v>24</v>
      </c>
      <c r="J4446" t="s">
        <v>2684</v>
      </c>
      <c r="K4446" t="s">
        <v>8988</v>
      </c>
      <c r="L4446">
        <v>3.4</v>
      </c>
      <c r="M4446">
        <v>263000</v>
      </c>
      <c r="N4446">
        <v>2</v>
      </c>
      <c r="O4446">
        <v>11</v>
      </c>
      <c r="P4446" t="s">
        <v>53</v>
      </c>
    </row>
    <row r="4447" spans="1:16" x14ac:dyDescent="0.25">
      <c r="A4447" t="s">
        <v>8989</v>
      </c>
      <c r="B4447" t="s">
        <v>1259</v>
      </c>
      <c r="C4447" t="s">
        <v>29</v>
      </c>
      <c r="D4447" t="s">
        <v>43</v>
      </c>
      <c r="E4447" t="s">
        <v>31</v>
      </c>
      <c r="F4447" t="s">
        <v>39</v>
      </c>
      <c r="G4447" t="s">
        <v>22</v>
      </c>
      <c r="H4447" t="s">
        <v>46</v>
      </c>
      <c r="I4447" t="s">
        <v>24</v>
      </c>
      <c r="J4447" t="s">
        <v>3314</v>
      </c>
      <c r="K4447" t="s">
        <v>1095</v>
      </c>
      <c r="L4447">
        <v>6</v>
      </c>
      <c r="M4447">
        <v>130000</v>
      </c>
      <c r="N4447">
        <v>2</v>
      </c>
      <c r="O4447">
        <v>0</v>
      </c>
      <c r="P4447" t="s">
        <v>53</v>
      </c>
    </row>
    <row r="4448" spans="1:16" x14ac:dyDescent="0.25">
      <c r="A4448" t="s">
        <v>8990</v>
      </c>
      <c r="B4448" t="s">
        <v>2753</v>
      </c>
      <c r="C4448" t="s">
        <v>18</v>
      </c>
      <c r="D4448" t="s">
        <v>30</v>
      </c>
      <c r="E4448" t="s">
        <v>31</v>
      </c>
      <c r="F4448" t="s">
        <v>21</v>
      </c>
      <c r="G4448" t="s">
        <v>69</v>
      </c>
      <c r="H4448" t="s">
        <v>62</v>
      </c>
      <c r="I4448" t="s">
        <v>24</v>
      </c>
      <c r="J4448" t="s">
        <v>140</v>
      </c>
      <c r="L4448">
        <v>3.1</v>
      </c>
      <c r="M4448">
        <v>719000</v>
      </c>
      <c r="N4448">
        <v>4.5999999999999996</v>
      </c>
      <c r="O4448">
        <v>14</v>
      </c>
      <c r="P4448" t="s">
        <v>26</v>
      </c>
    </row>
    <row r="4449" spans="1:16" x14ac:dyDescent="0.25">
      <c r="A4449" t="s">
        <v>8991</v>
      </c>
      <c r="B4449" t="s">
        <v>8992</v>
      </c>
      <c r="C4449" t="s">
        <v>18</v>
      </c>
      <c r="D4449" t="s">
        <v>43</v>
      </c>
      <c r="E4449" t="s">
        <v>44</v>
      </c>
      <c r="F4449" t="s">
        <v>32</v>
      </c>
      <c r="G4449" t="s">
        <v>22</v>
      </c>
      <c r="I4449" t="s">
        <v>24</v>
      </c>
      <c r="J4449" t="s">
        <v>709</v>
      </c>
      <c r="K4449" t="s">
        <v>1729</v>
      </c>
      <c r="L4449">
        <v>2.7</v>
      </c>
      <c r="N4449">
        <v>2.6</v>
      </c>
      <c r="O4449">
        <v>14</v>
      </c>
      <c r="P4449" t="s">
        <v>53</v>
      </c>
    </row>
    <row r="4450" spans="1:16" x14ac:dyDescent="0.25">
      <c r="A4450" t="s">
        <v>8993</v>
      </c>
      <c r="B4450" t="s">
        <v>5569</v>
      </c>
      <c r="C4450" t="s">
        <v>29</v>
      </c>
      <c r="D4450" t="s">
        <v>30</v>
      </c>
      <c r="E4450" t="s">
        <v>20</v>
      </c>
      <c r="F4450" t="s">
        <v>128</v>
      </c>
      <c r="G4450" t="s">
        <v>22</v>
      </c>
      <c r="H4450" t="s">
        <v>46</v>
      </c>
      <c r="I4450" t="s">
        <v>24</v>
      </c>
      <c r="J4450" t="s">
        <v>4181</v>
      </c>
      <c r="L4450">
        <v>1.5</v>
      </c>
      <c r="M4450">
        <v>479000</v>
      </c>
      <c r="N4450">
        <v>4</v>
      </c>
      <c r="O4450">
        <v>7</v>
      </c>
      <c r="P4450" t="s">
        <v>26</v>
      </c>
    </row>
    <row r="4451" spans="1:16" x14ac:dyDescent="0.25">
      <c r="A4451" t="s">
        <v>8994</v>
      </c>
      <c r="B4451" t="s">
        <v>582</v>
      </c>
      <c r="C4451" t="s">
        <v>18</v>
      </c>
      <c r="D4451" t="s">
        <v>30</v>
      </c>
      <c r="F4451" t="s">
        <v>32</v>
      </c>
      <c r="G4451" t="s">
        <v>33</v>
      </c>
      <c r="H4451" t="s">
        <v>34</v>
      </c>
      <c r="I4451" t="s">
        <v>24</v>
      </c>
      <c r="J4451" t="s">
        <v>269</v>
      </c>
      <c r="K4451" t="s">
        <v>8995</v>
      </c>
      <c r="L4451">
        <v>2.8</v>
      </c>
      <c r="M4451">
        <v>338000</v>
      </c>
      <c r="N4451">
        <v>2.6</v>
      </c>
      <c r="P4451" t="s">
        <v>53</v>
      </c>
    </row>
    <row r="4452" spans="1:16" x14ac:dyDescent="0.25">
      <c r="A4452" t="s">
        <v>8996</v>
      </c>
      <c r="B4452" t="s">
        <v>1144</v>
      </c>
      <c r="C4452" t="s">
        <v>18</v>
      </c>
      <c r="D4452" t="s">
        <v>79</v>
      </c>
      <c r="E4452" t="s">
        <v>20</v>
      </c>
      <c r="G4452" t="s">
        <v>33</v>
      </c>
      <c r="H4452" t="s">
        <v>23</v>
      </c>
      <c r="I4452" t="s">
        <v>24</v>
      </c>
      <c r="J4452" t="s">
        <v>4520</v>
      </c>
      <c r="L4452">
        <v>2.9</v>
      </c>
      <c r="M4452">
        <v>303000</v>
      </c>
      <c r="N4452">
        <v>4.4000000000000004</v>
      </c>
      <c r="O4452">
        <v>12</v>
      </c>
      <c r="P4452" t="s">
        <v>26</v>
      </c>
    </row>
    <row r="4453" spans="1:16" x14ac:dyDescent="0.25">
      <c r="A4453" t="s">
        <v>8997</v>
      </c>
      <c r="B4453" t="s">
        <v>2354</v>
      </c>
      <c r="C4453" t="s">
        <v>18</v>
      </c>
      <c r="D4453" t="s">
        <v>50</v>
      </c>
      <c r="E4453" t="s">
        <v>20</v>
      </c>
      <c r="G4453" t="s">
        <v>22</v>
      </c>
      <c r="H4453" t="s">
        <v>34</v>
      </c>
      <c r="I4453" t="s">
        <v>35</v>
      </c>
      <c r="J4453" t="s">
        <v>3736</v>
      </c>
      <c r="L4453">
        <v>4.7</v>
      </c>
      <c r="M4453">
        <v>154000</v>
      </c>
      <c r="N4453">
        <v>2.4</v>
      </c>
      <c r="O4453">
        <v>5</v>
      </c>
      <c r="P4453" t="s">
        <v>26</v>
      </c>
    </row>
    <row r="4454" spans="1:16" x14ac:dyDescent="0.25">
      <c r="A4454" t="s">
        <v>8998</v>
      </c>
      <c r="B4454" t="s">
        <v>7512</v>
      </c>
      <c r="C4454" t="s">
        <v>18</v>
      </c>
      <c r="D4454" t="s">
        <v>79</v>
      </c>
      <c r="E4454" t="s">
        <v>20</v>
      </c>
      <c r="F4454" t="s">
        <v>32</v>
      </c>
      <c r="G4454" t="s">
        <v>22</v>
      </c>
      <c r="H4454" t="s">
        <v>23</v>
      </c>
      <c r="I4454" t="s">
        <v>57</v>
      </c>
      <c r="J4454" t="s">
        <v>658</v>
      </c>
      <c r="L4454">
        <v>5.7</v>
      </c>
      <c r="M4454">
        <v>247000</v>
      </c>
      <c r="N4454">
        <v>3</v>
      </c>
      <c r="O4454">
        <v>7</v>
      </c>
      <c r="P4454" t="s">
        <v>26</v>
      </c>
    </row>
    <row r="4455" spans="1:16" x14ac:dyDescent="0.25">
      <c r="A4455" t="s">
        <v>8999</v>
      </c>
      <c r="B4455" t="s">
        <v>2485</v>
      </c>
      <c r="C4455" t="s">
        <v>18</v>
      </c>
      <c r="D4455" t="s">
        <v>79</v>
      </c>
      <c r="E4455" t="s">
        <v>20</v>
      </c>
      <c r="F4455" t="s">
        <v>21</v>
      </c>
      <c r="G4455" t="s">
        <v>80</v>
      </c>
      <c r="H4455" t="s">
        <v>23</v>
      </c>
      <c r="I4455" t="s">
        <v>24</v>
      </c>
      <c r="J4455" t="s">
        <v>3350</v>
      </c>
      <c r="L4455">
        <v>5.7</v>
      </c>
      <c r="M4455">
        <v>874000</v>
      </c>
      <c r="N4455">
        <v>3.8</v>
      </c>
      <c r="O4455">
        <v>6</v>
      </c>
      <c r="P4455" t="s">
        <v>26</v>
      </c>
    </row>
    <row r="4456" spans="1:16" x14ac:dyDescent="0.25">
      <c r="A4456" t="s">
        <v>9000</v>
      </c>
      <c r="B4456" t="s">
        <v>880</v>
      </c>
      <c r="C4456" t="s">
        <v>18</v>
      </c>
      <c r="D4456" t="s">
        <v>50</v>
      </c>
      <c r="E4456" t="s">
        <v>20</v>
      </c>
      <c r="F4456" t="s">
        <v>32</v>
      </c>
      <c r="G4456" t="s">
        <v>22</v>
      </c>
      <c r="H4456" t="s">
        <v>23</v>
      </c>
      <c r="I4456" t="s">
        <v>57</v>
      </c>
      <c r="J4456" t="s">
        <v>625</v>
      </c>
      <c r="K4456" t="s">
        <v>1272</v>
      </c>
      <c r="L4456">
        <v>5.8</v>
      </c>
      <c r="M4456">
        <v>258000</v>
      </c>
      <c r="N4456">
        <v>3.2</v>
      </c>
      <c r="O4456">
        <v>5</v>
      </c>
      <c r="P4456" t="s">
        <v>114</v>
      </c>
    </row>
    <row r="4457" spans="1:16" x14ac:dyDescent="0.25">
      <c r="A4457" t="s">
        <v>9001</v>
      </c>
      <c r="B4457" t="s">
        <v>5844</v>
      </c>
      <c r="C4457" t="s">
        <v>18</v>
      </c>
      <c r="D4457" t="s">
        <v>19</v>
      </c>
      <c r="E4457" t="s">
        <v>44</v>
      </c>
      <c r="F4457" t="s">
        <v>39</v>
      </c>
      <c r="G4457" t="s">
        <v>22</v>
      </c>
      <c r="I4457" t="s">
        <v>24</v>
      </c>
      <c r="J4457" t="s">
        <v>2407</v>
      </c>
      <c r="K4457" t="s">
        <v>2392</v>
      </c>
      <c r="L4457">
        <v>4.4000000000000004</v>
      </c>
      <c r="M4457">
        <v>156000</v>
      </c>
      <c r="N4457">
        <v>3.5</v>
      </c>
      <c r="O4457">
        <v>7</v>
      </c>
      <c r="P4457" t="s">
        <v>53</v>
      </c>
    </row>
    <row r="4458" spans="1:16" x14ac:dyDescent="0.25">
      <c r="A4458" t="s">
        <v>9002</v>
      </c>
      <c r="B4458" t="s">
        <v>3240</v>
      </c>
      <c r="C4458" t="s">
        <v>18</v>
      </c>
      <c r="D4458" t="s">
        <v>79</v>
      </c>
      <c r="E4458" t="s">
        <v>44</v>
      </c>
      <c r="F4458" t="s">
        <v>128</v>
      </c>
      <c r="G4458" t="s">
        <v>22</v>
      </c>
      <c r="H4458" t="s">
        <v>46</v>
      </c>
      <c r="I4458" t="s">
        <v>35</v>
      </c>
      <c r="J4458" t="s">
        <v>6397</v>
      </c>
      <c r="K4458" t="s">
        <v>224</v>
      </c>
      <c r="L4458">
        <v>5.4</v>
      </c>
      <c r="M4458">
        <v>418000</v>
      </c>
      <c r="N4458">
        <v>3.8</v>
      </c>
      <c r="O4458">
        <v>3</v>
      </c>
      <c r="P4458" t="s">
        <v>53</v>
      </c>
    </row>
    <row r="4459" spans="1:16" x14ac:dyDescent="0.25">
      <c r="A4459" t="s">
        <v>9003</v>
      </c>
      <c r="B4459" t="s">
        <v>9004</v>
      </c>
      <c r="C4459" t="s">
        <v>18</v>
      </c>
      <c r="D4459" t="s">
        <v>30</v>
      </c>
      <c r="E4459" t="s">
        <v>20</v>
      </c>
      <c r="F4459" t="s">
        <v>32</v>
      </c>
      <c r="G4459" t="s">
        <v>22</v>
      </c>
      <c r="H4459" t="s">
        <v>23</v>
      </c>
      <c r="I4459" t="s">
        <v>24</v>
      </c>
      <c r="J4459" t="s">
        <v>178</v>
      </c>
      <c r="K4459" t="s">
        <v>6822</v>
      </c>
      <c r="L4459">
        <v>2.1</v>
      </c>
      <c r="M4459">
        <v>310000</v>
      </c>
      <c r="N4459">
        <v>4.5999999999999996</v>
      </c>
      <c r="O4459">
        <v>11</v>
      </c>
      <c r="P4459" t="s">
        <v>53</v>
      </c>
    </row>
    <row r="4460" spans="1:16" x14ac:dyDescent="0.25">
      <c r="A4460" t="s">
        <v>9005</v>
      </c>
      <c r="B4460" t="s">
        <v>9006</v>
      </c>
      <c r="C4460" t="s">
        <v>29</v>
      </c>
      <c r="D4460" t="s">
        <v>79</v>
      </c>
      <c r="E4460" t="s">
        <v>44</v>
      </c>
      <c r="F4460" t="s">
        <v>128</v>
      </c>
      <c r="G4460" t="s">
        <v>33</v>
      </c>
      <c r="H4460" t="s">
        <v>34</v>
      </c>
      <c r="I4460" t="s">
        <v>35</v>
      </c>
      <c r="J4460" t="s">
        <v>9007</v>
      </c>
      <c r="L4460">
        <v>3.2</v>
      </c>
      <c r="M4460">
        <v>400000</v>
      </c>
      <c r="N4460">
        <v>4.2</v>
      </c>
      <c r="O4460">
        <v>21</v>
      </c>
      <c r="P4460" t="s">
        <v>26</v>
      </c>
    </row>
    <row r="4461" spans="1:16" x14ac:dyDescent="0.25">
      <c r="A4461" t="s">
        <v>9008</v>
      </c>
      <c r="B4461" t="s">
        <v>3017</v>
      </c>
      <c r="C4461" t="s">
        <v>18</v>
      </c>
      <c r="D4461" t="s">
        <v>50</v>
      </c>
      <c r="E4461" t="s">
        <v>20</v>
      </c>
      <c r="F4461" t="s">
        <v>21</v>
      </c>
      <c r="G4461" t="s">
        <v>22</v>
      </c>
      <c r="H4461" t="s">
        <v>62</v>
      </c>
      <c r="I4461" t="s">
        <v>24</v>
      </c>
      <c r="J4461" t="s">
        <v>8166</v>
      </c>
      <c r="L4461">
        <v>4.2</v>
      </c>
      <c r="M4461">
        <v>735000</v>
      </c>
      <c r="N4461">
        <v>3.6</v>
      </c>
      <c r="O4461">
        <v>5</v>
      </c>
      <c r="P4461" t="s">
        <v>26</v>
      </c>
    </row>
    <row r="4462" spans="1:16" x14ac:dyDescent="0.25">
      <c r="A4462" t="s">
        <v>9009</v>
      </c>
      <c r="B4462" t="s">
        <v>6058</v>
      </c>
      <c r="D4462" t="s">
        <v>50</v>
      </c>
      <c r="E4462" t="s">
        <v>20</v>
      </c>
      <c r="F4462" t="s">
        <v>39</v>
      </c>
      <c r="G4462" t="s">
        <v>22</v>
      </c>
      <c r="H4462" t="s">
        <v>23</v>
      </c>
      <c r="I4462" t="s">
        <v>35</v>
      </c>
      <c r="J4462" t="s">
        <v>1646</v>
      </c>
      <c r="L4462">
        <v>3.9</v>
      </c>
      <c r="N4462">
        <v>3.3</v>
      </c>
      <c r="O4462">
        <v>3</v>
      </c>
      <c r="P4462" t="s">
        <v>26</v>
      </c>
    </row>
    <row r="4463" spans="1:16" x14ac:dyDescent="0.25">
      <c r="A4463" t="s">
        <v>9010</v>
      </c>
      <c r="B4463" t="s">
        <v>9011</v>
      </c>
      <c r="C4463" t="s">
        <v>18</v>
      </c>
      <c r="D4463" t="s">
        <v>19</v>
      </c>
      <c r="E4463" t="s">
        <v>20</v>
      </c>
      <c r="F4463" t="s">
        <v>32</v>
      </c>
      <c r="G4463" t="s">
        <v>33</v>
      </c>
      <c r="H4463" t="s">
        <v>23</v>
      </c>
      <c r="I4463" t="s">
        <v>24</v>
      </c>
      <c r="J4463" t="s">
        <v>841</v>
      </c>
      <c r="K4463" t="s">
        <v>2941</v>
      </c>
      <c r="L4463">
        <v>1.5</v>
      </c>
      <c r="M4463">
        <v>285000</v>
      </c>
      <c r="N4463">
        <v>3.8</v>
      </c>
      <c r="O4463">
        <v>6</v>
      </c>
      <c r="P4463" t="s">
        <v>72</v>
      </c>
    </row>
    <row r="4464" spans="1:16" x14ac:dyDescent="0.25">
      <c r="A4464" t="s">
        <v>9012</v>
      </c>
      <c r="B4464" t="s">
        <v>7160</v>
      </c>
      <c r="C4464" t="s">
        <v>18</v>
      </c>
      <c r="D4464" t="s">
        <v>50</v>
      </c>
      <c r="E4464" t="s">
        <v>20</v>
      </c>
      <c r="F4464" t="s">
        <v>21</v>
      </c>
      <c r="G4464" t="s">
        <v>33</v>
      </c>
      <c r="H4464" t="s">
        <v>23</v>
      </c>
      <c r="I4464" t="s">
        <v>24</v>
      </c>
      <c r="J4464" t="s">
        <v>5806</v>
      </c>
      <c r="L4464">
        <v>3.9</v>
      </c>
      <c r="M4464">
        <v>877000</v>
      </c>
      <c r="N4464">
        <v>3.2</v>
      </c>
      <c r="O4464">
        <v>13</v>
      </c>
      <c r="P4464" t="s">
        <v>26</v>
      </c>
    </row>
    <row r="4465" spans="1:16" x14ac:dyDescent="0.25">
      <c r="A4465" t="s">
        <v>5161</v>
      </c>
      <c r="B4465" t="s">
        <v>3414</v>
      </c>
      <c r="C4465" t="s">
        <v>18</v>
      </c>
      <c r="D4465" t="s">
        <v>61</v>
      </c>
      <c r="E4465" t="s">
        <v>20</v>
      </c>
      <c r="F4465" t="s">
        <v>128</v>
      </c>
      <c r="G4465" t="s">
        <v>80</v>
      </c>
      <c r="H4465" t="s">
        <v>46</v>
      </c>
      <c r="I4465" t="s">
        <v>35</v>
      </c>
      <c r="J4465" t="s">
        <v>2905</v>
      </c>
      <c r="L4465">
        <v>5.8</v>
      </c>
      <c r="M4465">
        <v>554000</v>
      </c>
      <c r="N4465">
        <v>4.8</v>
      </c>
      <c r="O4465">
        <v>5</v>
      </c>
      <c r="P4465" t="s">
        <v>26</v>
      </c>
    </row>
    <row r="4466" spans="1:16" x14ac:dyDescent="0.25">
      <c r="A4466" t="s">
        <v>9013</v>
      </c>
      <c r="B4466" t="s">
        <v>4517</v>
      </c>
      <c r="C4466" t="s">
        <v>29</v>
      </c>
      <c r="D4466" t="s">
        <v>19</v>
      </c>
      <c r="E4466" t="s">
        <v>20</v>
      </c>
      <c r="F4466" t="s">
        <v>32</v>
      </c>
      <c r="G4466" t="s">
        <v>22</v>
      </c>
      <c r="H4466" t="s">
        <v>23</v>
      </c>
      <c r="I4466" t="s">
        <v>35</v>
      </c>
      <c r="J4466" t="s">
        <v>1397</v>
      </c>
      <c r="L4466">
        <v>6.1</v>
      </c>
      <c r="M4466">
        <v>206000</v>
      </c>
      <c r="N4466">
        <v>3.6</v>
      </c>
      <c r="O4466">
        <v>6</v>
      </c>
      <c r="P4466" t="s">
        <v>26</v>
      </c>
    </row>
    <row r="4467" spans="1:16" x14ac:dyDescent="0.25">
      <c r="A4467" t="s">
        <v>9014</v>
      </c>
      <c r="B4467" t="s">
        <v>9015</v>
      </c>
      <c r="C4467" t="s">
        <v>29</v>
      </c>
      <c r="D4467" t="s">
        <v>50</v>
      </c>
      <c r="E4467" t="s">
        <v>31</v>
      </c>
      <c r="F4467" t="s">
        <v>39</v>
      </c>
      <c r="G4467" t="s">
        <v>33</v>
      </c>
      <c r="H4467" t="s">
        <v>23</v>
      </c>
      <c r="I4467" t="s">
        <v>35</v>
      </c>
      <c r="J4467" t="s">
        <v>6438</v>
      </c>
      <c r="L4467">
        <v>2.1</v>
      </c>
      <c r="M4467">
        <v>86000</v>
      </c>
      <c r="N4467">
        <v>2.7</v>
      </c>
      <c r="O4467">
        <v>1</v>
      </c>
      <c r="P4467" t="s">
        <v>26</v>
      </c>
    </row>
    <row r="4468" spans="1:16" x14ac:dyDescent="0.25">
      <c r="A4468" t="s">
        <v>9016</v>
      </c>
      <c r="B4468" t="s">
        <v>9004</v>
      </c>
      <c r="C4468" t="s">
        <v>18</v>
      </c>
      <c r="D4468" t="s">
        <v>43</v>
      </c>
      <c r="E4468" t="s">
        <v>20</v>
      </c>
      <c r="F4468" t="s">
        <v>128</v>
      </c>
      <c r="G4468" t="s">
        <v>80</v>
      </c>
      <c r="H4468" t="s">
        <v>23</v>
      </c>
      <c r="I4468" t="s">
        <v>57</v>
      </c>
      <c r="J4468" t="s">
        <v>3821</v>
      </c>
      <c r="L4468">
        <v>4.8</v>
      </c>
      <c r="M4468">
        <v>353000</v>
      </c>
      <c r="N4468">
        <v>4.3</v>
      </c>
      <c r="O4468">
        <v>32</v>
      </c>
      <c r="P4468" t="s">
        <v>26</v>
      </c>
    </row>
    <row r="4469" spans="1:16" x14ac:dyDescent="0.25">
      <c r="A4469" t="s">
        <v>9017</v>
      </c>
      <c r="B4469" t="s">
        <v>9018</v>
      </c>
      <c r="C4469" t="s">
        <v>18</v>
      </c>
      <c r="D4469" t="s">
        <v>50</v>
      </c>
      <c r="E4469" t="s">
        <v>20</v>
      </c>
      <c r="F4469" t="s">
        <v>21</v>
      </c>
      <c r="G4469" t="s">
        <v>22</v>
      </c>
      <c r="H4469" t="s">
        <v>34</v>
      </c>
      <c r="I4469" t="s">
        <v>57</v>
      </c>
      <c r="J4469" t="s">
        <v>9019</v>
      </c>
      <c r="L4469">
        <v>1.8</v>
      </c>
      <c r="M4469">
        <v>883000</v>
      </c>
      <c r="N4469">
        <v>4.7</v>
      </c>
      <c r="O4469">
        <v>11</v>
      </c>
      <c r="P4469" t="s">
        <v>26</v>
      </c>
    </row>
    <row r="4470" spans="1:16" x14ac:dyDescent="0.25">
      <c r="A4470" t="s">
        <v>9020</v>
      </c>
      <c r="B4470" t="s">
        <v>5019</v>
      </c>
      <c r="C4470" t="s">
        <v>18</v>
      </c>
      <c r="D4470" t="s">
        <v>50</v>
      </c>
      <c r="E4470" t="s">
        <v>44</v>
      </c>
      <c r="F4470" t="s">
        <v>32</v>
      </c>
      <c r="G4470" t="s">
        <v>33</v>
      </c>
      <c r="H4470" t="s">
        <v>34</v>
      </c>
      <c r="I4470" t="s">
        <v>24</v>
      </c>
      <c r="J4470" t="s">
        <v>1421</v>
      </c>
      <c r="L4470">
        <v>5.7</v>
      </c>
      <c r="M4470">
        <v>328000</v>
      </c>
      <c r="N4470">
        <v>2.9</v>
      </c>
      <c r="O4470">
        <v>9</v>
      </c>
      <c r="P4470" t="s">
        <v>26</v>
      </c>
    </row>
    <row r="4471" spans="1:16" x14ac:dyDescent="0.25">
      <c r="A4471" t="s">
        <v>9021</v>
      </c>
      <c r="B4471" t="s">
        <v>675</v>
      </c>
      <c r="C4471" t="s">
        <v>18</v>
      </c>
      <c r="D4471" t="s">
        <v>50</v>
      </c>
      <c r="E4471" t="s">
        <v>20</v>
      </c>
      <c r="F4471" t="s">
        <v>32</v>
      </c>
      <c r="G4471" t="s">
        <v>33</v>
      </c>
      <c r="H4471" t="s">
        <v>23</v>
      </c>
      <c r="I4471" t="s">
        <v>24</v>
      </c>
      <c r="J4471" t="s">
        <v>2579</v>
      </c>
      <c r="L4471">
        <v>3.7</v>
      </c>
      <c r="M4471">
        <v>268000</v>
      </c>
      <c r="N4471">
        <v>3.9</v>
      </c>
      <c r="O4471">
        <v>7</v>
      </c>
      <c r="P4471" t="s">
        <v>26</v>
      </c>
    </row>
    <row r="4472" spans="1:16" x14ac:dyDescent="0.25">
      <c r="A4472" t="s">
        <v>9022</v>
      </c>
      <c r="B4472" t="s">
        <v>8992</v>
      </c>
      <c r="C4472" t="s">
        <v>18</v>
      </c>
      <c r="D4472" t="s">
        <v>50</v>
      </c>
      <c r="E4472" t="s">
        <v>20</v>
      </c>
      <c r="F4472" t="s">
        <v>32</v>
      </c>
      <c r="G4472" t="s">
        <v>80</v>
      </c>
      <c r="H4472" t="s">
        <v>23</v>
      </c>
      <c r="I4472" t="s">
        <v>35</v>
      </c>
      <c r="J4472" t="s">
        <v>4796</v>
      </c>
      <c r="L4472">
        <v>5.4</v>
      </c>
      <c r="M4472">
        <v>277000</v>
      </c>
      <c r="N4472">
        <v>2.2999999999999998</v>
      </c>
      <c r="O4472">
        <v>21</v>
      </c>
      <c r="P4472" t="s">
        <v>26</v>
      </c>
    </row>
    <row r="4473" spans="1:16" x14ac:dyDescent="0.25">
      <c r="A4473" t="s">
        <v>9023</v>
      </c>
      <c r="B4473" t="s">
        <v>3586</v>
      </c>
      <c r="C4473" t="s">
        <v>18</v>
      </c>
      <c r="D4473" t="s">
        <v>30</v>
      </c>
      <c r="E4473" t="s">
        <v>31</v>
      </c>
      <c r="F4473" t="s">
        <v>32</v>
      </c>
      <c r="G4473" t="s">
        <v>80</v>
      </c>
      <c r="H4473" t="s">
        <v>23</v>
      </c>
      <c r="I4473" t="s">
        <v>57</v>
      </c>
      <c r="J4473" t="s">
        <v>3434</v>
      </c>
      <c r="L4473">
        <v>5.7</v>
      </c>
      <c r="M4473">
        <v>314000</v>
      </c>
      <c r="N4473">
        <v>3.9</v>
      </c>
      <c r="O4473">
        <v>2</v>
      </c>
      <c r="P4473" t="s">
        <v>26</v>
      </c>
    </row>
    <row r="4474" spans="1:16" x14ac:dyDescent="0.25">
      <c r="A4474" t="s">
        <v>9024</v>
      </c>
      <c r="B4474" t="s">
        <v>3255</v>
      </c>
      <c r="C4474" t="s">
        <v>18</v>
      </c>
      <c r="D4474" t="s">
        <v>79</v>
      </c>
      <c r="E4474" t="s">
        <v>20</v>
      </c>
      <c r="F4474" t="s">
        <v>39</v>
      </c>
      <c r="G4474" t="s">
        <v>22</v>
      </c>
      <c r="H4474" t="s">
        <v>23</v>
      </c>
      <c r="I4474" t="s">
        <v>24</v>
      </c>
      <c r="J4474" t="s">
        <v>2816</v>
      </c>
      <c r="L4474">
        <v>5.8</v>
      </c>
      <c r="M4474">
        <v>150000</v>
      </c>
      <c r="N4474">
        <v>4.5</v>
      </c>
      <c r="O4474">
        <v>10</v>
      </c>
      <c r="P4474" t="s">
        <v>26</v>
      </c>
    </row>
    <row r="4475" spans="1:16" x14ac:dyDescent="0.25">
      <c r="A4475" t="s">
        <v>9025</v>
      </c>
      <c r="B4475" t="s">
        <v>8057</v>
      </c>
      <c r="C4475" t="s">
        <v>29</v>
      </c>
      <c r="D4475" t="s">
        <v>19</v>
      </c>
      <c r="E4475" t="s">
        <v>20</v>
      </c>
      <c r="F4475" t="s">
        <v>39</v>
      </c>
      <c r="G4475" t="s">
        <v>33</v>
      </c>
      <c r="H4475" t="s">
        <v>23</v>
      </c>
      <c r="I4475" t="s">
        <v>57</v>
      </c>
      <c r="J4475" t="s">
        <v>904</v>
      </c>
      <c r="L4475">
        <v>4</v>
      </c>
      <c r="M4475">
        <v>103000</v>
      </c>
      <c r="N4475">
        <v>3.8</v>
      </c>
      <c r="O4475">
        <v>2</v>
      </c>
      <c r="P4475" t="s">
        <v>26</v>
      </c>
    </row>
    <row r="4476" spans="1:16" x14ac:dyDescent="0.25">
      <c r="A4476" t="s">
        <v>9026</v>
      </c>
      <c r="B4476" t="s">
        <v>2515</v>
      </c>
      <c r="C4476" t="s">
        <v>18</v>
      </c>
      <c r="D4476" t="s">
        <v>30</v>
      </c>
      <c r="E4476" t="s">
        <v>20</v>
      </c>
      <c r="F4476" t="s">
        <v>32</v>
      </c>
      <c r="G4476" t="s">
        <v>22</v>
      </c>
      <c r="H4476" t="s">
        <v>23</v>
      </c>
      <c r="I4476" t="s">
        <v>57</v>
      </c>
      <c r="J4476" t="s">
        <v>6052</v>
      </c>
      <c r="L4476">
        <v>3.2</v>
      </c>
      <c r="M4476">
        <v>309000</v>
      </c>
      <c r="N4476">
        <v>4.5</v>
      </c>
      <c r="O4476">
        <v>5</v>
      </c>
      <c r="P4476" t="s">
        <v>26</v>
      </c>
    </row>
    <row r="4477" spans="1:16" x14ac:dyDescent="0.25">
      <c r="A4477" t="s">
        <v>9027</v>
      </c>
      <c r="B4477" t="s">
        <v>9028</v>
      </c>
      <c r="C4477" t="s">
        <v>18</v>
      </c>
      <c r="D4477" t="s">
        <v>19</v>
      </c>
      <c r="E4477" t="s">
        <v>44</v>
      </c>
      <c r="F4477" t="s">
        <v>39</v>
      </c>
      <c r="G4477" t="s">
        <v>22</v>
      </c>
      <c r="H4477" t="s">
        <v>62</v>
      </c>
      <c r="I4477" t="s">
        <v>35</v>
      </c>
      <c r="J4477" t="s">
        <v>2031</v>
      </c>
      <c r="K4477" t="s">
        <v>9029</v>
      </c>
      <c r="L4477">
        <v>4.2</v>
      </c>
      <c r="M4477">
        <v>169000</v>
      </c>
      <c r="N4477">
        <v>2.2999999999999998</v>
      </c>
      <c r="O4477">
        <v>11</v>
      </c>
      <c r="P4477" t="s">
        <v>53</v>
      </c>
    </row>
    <row r="4478" spans="1:16" x14ac:dyDescent="0.25">
      <c r="A4478" t="s">
        <v>9030</v>
      </c>
      <c r="B4478" t="s">
        <v>9031</v>
      </c>
      <c r="C4478" t="s">
        <v>18</v>
      </c>
      <c r="D4478" t="s">
        <v>30</v>
      </c>
      <c r="E4478" t="s">
        <v>20</v>
      </c>
      <c r="F4478" t="s">
        <v>39</v>
      </c>
      <c r="G4478" t="s">
        <v>22</v>
      </c>
      <c r="H4478" t="s">
        <v>23</v>
      </c>
      <c r="I4478" t="s">
        <v>171</v>
      </c>
      <c r="J4478" t="s">
        <v>4483</v>
      </c>
      <c r="L4478">
        <v>6.2</v>
      </c>
      <c r="M4478">
        <v>158000</v>
      </c>
      <c r="N4478">
        <v>3.2</v>
      </c>
      <c r="O4478">
        <v>7</v>
      </c>
      <c r="P4478" t="s">
        <v>26</v>
      </c>
    </row>
    <row r="4479" spans="1:16" x14ac:dyDescent="0.25">
      <c r="A4479" t="s">
        <v>9032</v>
      </c>
      <c r="B4479" t="s">
        <v>5774</v>
      </c>
      <c r="C4479" t="s">
        <v>18</v>
      </c>
      <c r="D4479" t="s">
        <v>30</v>
      </c>
      <c r="E4479" t="s">
        <v>20</v>
      </c>
      <c r="F4479" t="s">
        <v>128</v>
      </c>
      <c r="G4479" t="s">
        <v>80</v>
      </c>
      <c r="H4479" t="s">
        <v>23</v>
      </c>
      <c r="I4479" t="s">
        <v>24</v>
      </c>
      <c r="J4479" t="s">
        <v>3291</v>
      </c>
      <c r="K4479" t="s">
        <v>5302</v>
      </c>
      <c r="L4479">
        <v>6.1</v>
      </c>
      <c r="M4479">
        <v>437000</v>
      </c>
      <c r="N4479">
        <v>4.2</v>
      </c>
      <c r="O4479">
        <v>4</v>
      </c>
      <c r="P4479" t="s">
        <v>53</v>
      </c>
    </row>
    <row r="4480" spans="1:16" x14ac:dyDescent="0.25">
      <c r="A4480" t="s">
        <v>9033</v>
      </c>
      <c r="B4480" t="s">
        <v>2641</v>
      </c>
      <c r="C4480" t="s">
        <v>29</v>
      </c>
      <c r="D4480" t="s">
        <v>19</v>
      </c>
      <c r="E4480" t="s">
        <v>20</v>
      </c>
      <c r="F4480" t="s">
        <v>39</v>
      </c>
      <c r="G4480" t="s">
        <v>80</v>
      </c>
      <c r="H4480" t="s">
        <v>23</v>
      </c>
      <c r="I4480" t="s">
        <v>24</v>
      </c>
      <c r="J4480" t="s">
        <v>3640</v>
      </c>
      <c r="L4480">
        <v>3.9</v>
      </c>
      <c r="M4480">
        <v>169000</v>
      </c>
      <c r="N4480">
        <v>4.2</v>
      </c>
      <c r="O4480">
        <v>0</v>
      </c>
      <c r="P4480" t="s">
        <v>26</v>
      </c>
    </row>
    <row r="4481" spans="1:16" x14ac:dyDescent="0.25">
      <c r="A4481" t="s">
        <v>9034</v>
      </c>
      <c r="B4481" t="s">
        <v>3005</v>
      </c>
      <c r="C4481" t="s">
        <v>18</v>
      </c>
      <c r="D4481" t="s">
        <v>43</v>
      </c>
      <c r="E4481" t="s">
        <v>44</v>
      </c>
      <c r="F4481" t="s">
        <v>32</v>
      </c>
      <c r="G4481" t="s">
        <v>22</v>
      </c>
      <c r="H4481" t="s">
        <v>46</v>
      </c>
      <c r="I4481" t="s">
        <v>57</v>
      </c>
      <c r="J4481" t="s">
        <v>769</v>
      </c>
      <c r="L4481">
        <v>3.7</v>
      </c>
      <c r="M4481">
        <v>251000</v>
      </c>
      <c r="N4481">
        <v>4.0999999999999996</v>
      </c>
      <c r="O4481">
        <v>0</v>
      </c>
      <c r="P4481" t="s">
        <v>26</v>
      </c>
    </row>
    <row r="4482" spans="1:16" x14ac:dyDescent="0.25">
      <c r="A4482" t="s">
        <v>9035</v>
      </c>
      <c r="B4482" t="s">
        <v>5401</v>
      </c>
      <c r="C4482" t="s">
        <v>18</v>
      </c>
      <c r="D4482" t="s">
        <v>43</v>
      </c>
      <c r="E4482" t="s">
        <v>44</v>
      </c>
      <c r="F4482" t="s">
        <v>21</v>
      </c>
      <c r="G4482" t="s">
        <v>33</v>
      </c>
      <c r="H4482" t="s">
        <v>62</v>
      </c>
      <c r="I4482" t="s">
        <v>24</v>
      </c>
      <c r="J4482" t="s">
        <v>5720</v>
      </c>
      <c r="L4482">
        <v>4.8</v>
      </c>
      <c r="M4482">
        <v>629000</v>
      </c>
      <c r="N4482">
        <v>4.0999999999999996</v>
      </c>
      <c r="O4482">
        <v>2</v>
      </c>
      <c r="P4482" t="s">
        <v>26</v>
      </c>
    </row>
    <row r="4483" spans="1:16" x14ac:dyDescent="0.25">
      <c r="A4483" t="s">
        <v>9036</v>
      </c>
      <c r="B4483" t="s">
        <v>7617</v>
      </c>
      <c r="C4483" t="s">
        <v>18</v>
      </c>
      <c r="D4483" t="s">
        <v>19</v>
      </c>
      <c r="E4483" t="s">
        <v>20</v>
      </c>
      <c r="F4483" t="s">
        <v>39</v>
      </c>
      <c r="G4483" t="s">
        <v>33</v>
      </c>
      <c r="H4483" t="s">
        <v>62</v>
      </c>
      <c r="I4483" t="s">
        <v>75</v>
      </c>
      <c r="J4483" t="s">
        <v>4461</v>
      </c>
      <c r="L4483">
        <v>5.5</v>
      </c>
      <c r="M4483">
        <v>198000</v>
      </c>
      <c r="N4483">
        <v>3.9</v>
      </c>
      <c r="O4483">
        <v>3</v>
      </c>
      <c r="P4483" t="s">
        <v>26</v>
      </c>
    </row>
    <row r="4484" spans="1:16" x14ac:dyDescent="0.25">
      <c r="A4484" t="s">
        <v>9037</v>
      </c>
      <c r="B4484" t="s">
        <v>2371</v>
      </c>
      <c r="C4484" t="s">
        <v>29</v>
      </c>
      <c r="D4484" t="s">
        <v>43</v>
      </c>
      <c r="E4484" t="s">
        <v>20</v>
      </c>
      <c r="F4484" t="s">
        <v>39</v>
      </c>
      <c r="G4484" t="s">
        <v>22</v>
      </c>
      <c r="H4484" t="s">
        <v>46</v>
      </c>
      <c r="J4484" t="s">
        <v>8470</v>
      </c>
      <c r="L4484">
        <v>4.8</v>
      </c>
      <c r="M4484">
        <v>102000</v>
      </c>
      <c r="N4484">
        <v>3.6</v>
      </c>
      <c r="O4484">
        <v>13</v>
      </c>
      <c r="P4484" t="s">
        <v>26</v>
      </c>
    </row>
    <row r="4485" spans="1:16" x14ac:dyDescent="0.25">
      <c r="A4485" t="s">
        <v>9038</v>
      </c>
      <c r="B4485" t="s">
        <v>9039</v>
      </c>
      <c r="C4485" t="s">
        <v>29</v>
      </c>
      <c r="D4485" t="s">
        <v>50</v>
      </c>
      <c r="E4485" t="s">
        <v>31</v>
      </c>
      <c r="F4485" t="s">
        <v>39</v>
      </c>
      <c r="G4485" t="s">
        <v>22</v>
      </c>
      <c r="H4485" t="s">
        <v>34</v>
      </c>
      <c r="I4485" t="s">
        <v>35</v>
      </c>
      <c r="J4485" t="s">
        <v>9040</v>
      </c>
      <c r="L4485">
        <v>4</v>
      </c>
      <c r="M4485">
        <v>100000</v>
      </c>
      <c r="N4485">
        <v>3.8</v>
      </c>
      <c r="O4485">
        <v>6</v>
      </c>
      <c r="P4485" t="s">
        <v>26</v>
      </c>
    </row>
    <row r="4486" spans="1:16" x14ac:dyDescent="0.25">
      <c r="A4486" t="s">
        <v>9041</v>
      </c>
      <c r="B4486" t="s">
        <v>8786</v>
      </c>
      <c r="C4486" t="s">
        <v>29</v>
      </c>
      <c r="D4486" t="s">
        <v>19</v>
      </c>
      <c r="E4486" t="s">
        <v>20</v>
      </c>
      <c r="F4486" t="s">
        <v>21</v>
      </c>
      <c r="G4486" t="s">
        <v>80</v>
      </c>
      <c r="H4486" t="s">
        <v>23</v>
      </c>
      <c r="I4486" t="s">
        <v>35</v>
      </c>
      <c r="J4486" t="s">
        <v>5302</v>
      </c>
      <c r="L4486">
        <v>2.8</v>
      </c>
      <c r="M4486">
        <v>1045000</v>
      </c>
      <c r="N4486">
        <v>4.5999999999999996</v>
      </c>
      <c r="O4486">
        <v>3</v>
      </c>
      <c r="P4486" t="s">
        <v>26</v>
      </c>
    </row>
    <row r="4487" spans="1:16" x14ac:dyDescent="0.25">
      <c r="A4487" t="s">
        <v>9042</v>
      </c>
      <c r="B4487" t="s">
        <v>9043</v>
      </c>
      <c r="C4487" t="s">
        <v>18</v>
      </c>
      <c r="D4487" t="s">
        <v>30</v>
      </c>
      <c r="E4487" t="s">
        <v>31</v>
      </c>
      <c r="F4487" t="s">
        <v>39</v>
      </c>
      <c r="G4487" t="s">
        <v>22</v>
      </c>
      <c r="H4487" t="s">
        <v>46</v>
      </c>
      <c r="I4487" t="s">
        <v>35</v>
      </c>
      <c r="J4487" t="s">
        <v>3643</v>
      </c>
      <c r="L4487">
        <v>5.4</v>
      </c>
      <c r="M4487">
        <v>165000</v>
      </c>
      <c r="N4487">
        <v>2.9</v>
      </c>
      <c r="O4487">
        <v>12</v>
      </c>
      <c r="P4487" t="s">
        <v>26</v>
      </c>
    </row>
    <row r="4488" spans="1:16" x14ac:dyDescent="0.25">
      <c r="A4488" t="s">
        <v>9044</v>
      </c>
      <c r="B4488" t="s">
        <v>1705</v>
      </c>
      <c r="C4488" t="s">
        <v>18</v>
      </c>
      <c r="D4488" t="s">
        <v>30</v>
      </c>
      <c r="E4488" t="s">
        <v>20</v>
      </c>
      <c r="F4488" t="s">
        <v>32</v>
      </c>
      <c r="G4488" t="s">
        <v>22</v>
      </c>
      <c r="H4488" t="s">
        <v>46</v>
      </c>
      <c r="I4488" t="s">
        <v>24</v>
      </c>
      <c r="J4488" t="s">
        <v>549</v>
      </c>
      <c r="L4488">
        <v>4.5999999999999996</v>
      </c>
      <c r="M4488">
        <v>243000</v>
      </c>
      <c r="N4488">
        <v>3.1</v>
      </c>
      <c r="O4488">
        <v>14</v>
      </c>
      <c r="P4488" t="s">
        <v>26</v>
      </c>
    </row>
    <row r="4489" spans="1:16" x14ac:dyDescent="0.25">
      <c r="A4489" t="s">
        <v>9045</v>
      </c>
      <c r="B4489" t="s">
        <v>9046</v>
      </c>
      <c r="C4489" t="s">
        <v>18</v>
      </c>
      <c r="D4489" t="s">
        <v>50</v>
      </c>
      <c r="E4489" t="s">
        <v>20</v>
      </c>
      <c r="F4489" t="s">
        <v>21</v>
      </c>
      <c r="G4489" t="s">
        <v>22</v>
      </c>
      <c r="H4489" t="s">
        <v>23</v>
      </c>
      <c r="I4489" t="s">
        <v>24</v>
      </c>
      <c r="J4489" t="s">
        <v>1046</v>
      </c>
      <c r="K4489" t="s">
        <v>2963</v>
      </c>
      <c r="L4489">
        <v>1.9</v>
      </c>
      <c r="M4489">
        <v>831000</v>
      </c>
      <c r="N4489">
        <v>3.5</v>
      </c>
      <c r="O4489">
        <v>9</v>
      </c>
      <c r="P4489" t="s">
        <v>72</v>
      </c>
    </row>
    <row r="4490" spans="1:16" x14ac:dyDescent="0.25">
      <c r="A4490" t="s">
        <v>9047</v>
      </c>
      <c r="B4490" t="s">
        <v>4913</v>
      </c>
      <c r="C4490" t="s">
        <v>29</v>
      </c>
      <c r="D4490" t="s">
        <v>19</v>
      </c>
      <c r="E4490" t="s">
        <v>20</v>
      </c>
      <c r="F4490" t="s">
        <v>128</v>
      </c>
      <c r="G4490" t="s">
        <v>22</v>
      </c>
      <c r="H4490" t="s">
        <v>23</v>
      </c>
      <c r="I4490" t="s">
        <v>57</v>
      </c>
      <c r="J4490" t="s">
        <v>4642</v>
      </c>
      <c r="L4490">
        <v>4.0999999999999996</v>
      </c>
      <c r="M4490">
        <v>654000</v>
      </c>
      <c r="N4490">
        <v>4.9000000000000004</v>
      </c>
      <c r="O4490">
        <v>10</v>
      </c>
      <c r="P4490" t="s">
        <v>26</v>
      </c>
    </row>
    <row r="4491" spans="1:16" x14ac:dyDescent="0.25">
      <c r="A4491" t="s">
        <v>9048</v>
      </c>
      <c r="B4491" t="s">
        <v>4584</v>
      </c>
      <c r="C4491" t="s">
        <v>29</v>
      </c>
      <c r="D4491" t="s">
        <v>79</v>
      </c>
      <c r="E4491" t="s">
        <v>20</v>
      </c>
      <c r="F4491" t="s">
        <v>128</v>
      </c>
      <c r="G4491" t="s">
        <v>22</v>
      </c>
      <c r="H4491" t="s">
        <v>34</v>
      </c>
      <c r="I4491" t="s">
        <v>35</v>
      </c>
      <c r="J4491" t="s">
        <v>6018</v>
      </c>
      <c r="K4491" t="s">
        <v>4360</v>
      </c>
      <c r="L4491">
        <v>6.2</v>
      </c>
      <c r="M4491">
        <v>476000</v>
      </c>
      <c r="N4491">
        <v>4.3</v>
      </c>
      <c r="O4491">
        <v>12</v>
      </c>
      <c r="P4491" t="s">
        <v>114</v>
      </c>
    </row>
    <row r="4492" spans="1:16" x14ac:dyDescent="0.25">
      <c r="A4492" t="s">
        <v>9049</v>
      </c>
      <c r="B4492" t="s">
        <v>9050</v>
      </c>
      <c r="C4492" t="s">
        <v>29</v>
      </c>
      <c r="D4492" t="s">
        <v>19</v>
      </c>
      <c r="E4492" t="s">
        <v>44</v>
      </c>
      <c r="F4492" t="s">
        <v>32</v>
      </c>
      <c r="G4492" t="s">
        <v>22</v>
      </c>
      <c r="H4492" t="s">
        <v>23</v>
      </c>
      <c r="I4492" t="s">
        <v>24</v>
      </c>
      <c r="J4492" t="s">
        <v>3539</v>
      </c>
      <c r="L4492">
        <v>2</v>
      </c>
      <c r="M4492">
        <v>337000</v>
      </c>
      <c r="N4492">
        <v>4.3</v>
      </c>
      <c r="O4492">
        <v>4</v>
      </c>
      <c r="P4492" t="s">
        <v>26</v>
      </c>
    </row>
    <row r="4493" spans="1:16" x14ac:dyDescent="0.25">
      <c r="A4493" t="s">
        <v>9051</v>
      </c>
      <c r="B4493" t="s">
        <v>5948</v>
      </c>
      <c r="C4493" t="s">
        <v>29</v>
      </c>
      <c r="D4493" t="s">
        <v>50</v>
      </c>
      <c r="F4493" t="s">
        <v>128</v>
      </c>
      <c r="G4493" t="s">
        <v>33</v>
      </c>
      <c r="H4493" t="s">
        <v>23</v>
      </c>
      <c r="I4493" t="s">
        <v>24</v>
      </c>
      <c r="J4493" t="s">
        <v>3073</v>
      </c>
      <c r="L4493">
        <v>3.6</v>
      </c>
      <c r="M4493">
        <v>439000</v>
      </c>
      <c r="N4493">
        <v>-0.1</v>
      </c>
      <c r="O4493">
        <v>6</v>
      </c>
      <c r="P4493" t="s">
        <v>26</v>
      </c>
    </row>
    <row r="4494" spans="1:16" x14ac:dyDescent="0.25">
      <c r="A4494" t="s">
        <v>9052</v>
      </c>
      <c r="B4494" t="s">
        <v>3893</v>
      </c>
      <c r="C4494" t="s">
        <v>29</v>
      </c>
      <c r="D4494" t="s">
        <v>30</v>
      </c>
      <c r="E4494" t="s">
        <v>44</v>
      </c>
      <c r="G4494" t="s">
        <v>22</v>
      </c>
      <c r="H4494" t="s">
        <v>23</v>
      </c>
      <c r="I4494" t="s">
        <v>57</v>
      </c>
      <c r="J4494" t="s">
        <v>8047</v>
      </c>
      <c r="L4494">
        <v>2.5</v>
      </c>
      <c r="M4494">
        <v>269000</v>
      </c>
      <c r="N4494">
        <v>3.1</v>
      </c>
      <c r="O4494">
        <v>14</v>
      </c>
      <c r="P4494" t="s">
        <v>26</v>
      </c>
    </row>
    <row r="4495" spans="1:16" x14ac:dyDescent="0.25">
      <c r="A4495" t="s">
        <v>9053</v>
      </c>
      <c r="B4495" t="s">
        <v>2406</v>
      </c>
      <c r="C4495" t="s">
        <v>29</v>
      </c>
      <c r="D4495" t="s">
        <v>30</v>
      </c>
      <c r="E4495" t="s">
        <v>20</v>
      </c>
      <c r="F4495" t="s">
        <v>32</v>
      </c>
      <c r="G4495" t="s">
        <v>80</v>
      </c>
      <c r="H4495" t="s">
        <v>46</v>
      </c>
      <c r="I4495" t="s">
        <v>75</v>
      </c>
      <c r="J4495" t="s">
        <v>4729</v>
      </c>
      <c r="K4495" t="s">
        <v>575</v>
      </c>
      <c r="L4495">
        <v>2.5</v>
      </c>
      <c r="M4495">
        <v>334000</v>
      </c>
      <c r="N4495">
        <v>2.6</v>
      </c>
      <c r="O4495">
        <v>10</v>
      </c>
      <c r="P4495" t="s">
        <v>72</v>
      </c>
    </row>
    <row r="4496" spans="1:16" x14ac:dyDescent="0.25">
      <c r="A4496" t="s">
        <v>9054</v>
      </c>
      <c r="B4496" t="s">
        <v>9055</v>
      </c>
      <c r="C4496" t="s">
        <v>29</v>
      </c>
      <c r="D4496" t="s">
        <v>30</v>
      </c>
      <c r="E4496" t="s">
        <v>44</v>
      </c>
      <c r="F4496" t="s">
        <v>39</v>
      </c>
      <c r="G4496" t="s">
        <v>22</v>
      </c>
      <c r="H4496" t="s">
        <v>46</v>
      </c>
      <c r="I4496" t="s">
        <v>57</v>
      </c>
      <c r="J4496" t="s">
        <v>95</v>
      </c>
      <c r="K4496" t="s">
        <v>2760</v>
      </c>
      <c r="L4496">
        <v>2.6</v>
      </c>
      <c r="M4496">
        <v>108000</v>
      </c>
      <c r="N4496">
        <v>2.5</v>
      </c>
      <c r="O4496">
        <v>2</v>
      </c>
      <c r="P4496" t="s">
        <v>53</v>
      </c>
    </row>
    <row r="4497" spans="1:16" x14ac:dyDescent="0.25">
      <c r="A4497" t="s">
        <v>9056</v>
      </c>
      <c r="B4497" t="s">
        <v>7696</v>
      </c>
      <c r="C4497" t="s">
        <v>18</v>
      </c>
      <c r="D4497" t="s">
        <v>79</v>
      </c>
      <c r="E4497" t="s">
        <v>31</v>
      </c>
      <c r="F4497" t="s">
        <v>128</v>
      </c>
      <c r="G4497" t="s">
        <v>80</v>
      </c>
      <c r="H4497" t="s">
        <v>46</v>
      </c>
      <c r="J4497" t="s">
        <v>1732</v>
      </c>
      <c r="L4497">
        <v>5.0999999999999996</v>
      </c>
      <c r="M4497">
        <v>420000</v>
      </c>
      <c r="N4497">
        <v>2.4</v>
      </c>
      <c r="O4497">
        <v>13</v>
      </c>
      <c r="P4497" t="s">
        <v>26</v>
      </c>
    </row>
    <row r="4498" spans="1:16" x14ac:dyDescent="0.25">
      <c r="A4498" t="s">
        <v>9057</v>
      </c>
      <c r="B4498" t="s">
        <v>6187</v>
      </c>
      <c r="C4498" t="s">
        <v>29</v>
      </c>
      <c r="D4498" t="s">
        <v>19</v>
      </c>
      <c r="E4498" t="s">
        <v>20</v>
      </c>
      <c r="F4498" t="s">
        <v>39</v>
      </c>
      <c r="G4498" t="s">
        <v>69</v>
      </c>
      <c r="H4498" t="s">
        <v>46</v>
      </c>
      <c r="I4498" t="s">
        <v>24</v>
      </c>
      <c r="J4498" t="s">
        <v>8442</v>
      </c>
      <c r="L4498">
        <v>4.5</v>
      </c>
      <c r="M4498">
        <v>174000</v>
      </c>
      <c r="N4498">
        <v>3.4</v>
      </c>
      <c r="O4498">
        <v>3</v>
      </c>
      <c r="P4498" t="s">
        <v>26</v>
      </c>
    </row>
    <row r="4499" spans="1:16" x14ac:dyDescent="0.25">
      <c r="A4499" t="s">
        <v>9058</v>
      </c>
      <c r="B4499" t="s">
        <v>6827</v>
      </c>
      <c r="C4499" t="s">
        <v>18</v>
      </c>
      <c r="D4499" t="s">
        <v>79</v>
      </c>
      <c r="E4499" t="s">
        <v>20</v>
      </c>
      <c r="F4499" t="s">
        <v>32</v>
      </c>
      <c r="G4499" t="s">
        <v>22</v>
      </c>
      <c r="H4499" t="s">
        <v>34</v>
      </c>
      <c r="J4499" t="s">
        <v>1251</v>
      </c>
      <c r="L4499">
        <v>4.0999999999999996</v>
      </c>
      <c r="M4499">
        <v>246000</v>
      </c>
      <c r="N4499">
        <v>4.4000000000000004</v>
      </c>
      <c r="O4499">
        <v>13</v>
      </c>
      <c r="P4499" t="s">
        <v>26</v>
      </c>
    </row>
    <row r="4500" spans="1:16" x14ac:dyDescent="0.25">
      <c r="A4500" t="s">
        <v>9059</v>
      </c>
      <c r="B4500" t="s">
        <v>6712</v>
      </c>
      <c r="C4500" t="s">
        <v>18</v>
      </c>
      <c r="D4500" t="s">
        <v>50</v>
      </c>
      <c r="E4500" t="s">
        <v>44</v>
      </c>
      <c r="F4500" t="s">
        <v>32</v>
      </c>
      <c r="G4500" t="s">
        <v>22</v>
      </c>
      <c r="H4500" t="s">
        <v>23</v>
      </c>
      <c r="I4500" t="s">
        <v>24</v>
      </c>
      <c r="J4500" t="s">
        <v>2534</v>
      </c>
      <c r="L4500">
        <v>5.2</v>
      </c>
      <c r="M4500">
        <v>276000</v>
      </c>
      <c r="N4500">
        <v>4.9000000000000004</v>
      </c>
      <c r="O4500">
        <v>1</v>
      </c>
      <c r="P4500" t="s">
        <v>26</v>
      </c>
    </row>
    <row r="4501" spans="1:16" x14ac:dyDescent="0.25">
      <c r="A4501" t="s">
        <v>9060</v>
      </c>
      <c r="B4501" t="s">
        <v>4118</v>
      </c>
      <c r="C4501" t="s">
        <v>18</v>
      </c>
      <c r="D4501" t="s">
        <v>19</v>
      </c>
      <c r="E4501" t="s">
        <v>20</v>
      </c>
      <c r="F4501" t="s">
        <v>128</v>
      </c>
      <c r="G4501" t="s">
        <v>22</v>
      </c>
      <c r="H4501" t="s">
        <v>34</v>
      </c>
      <c r="I4501" t="s">
        <v>24</v>
      </c>
      <c r="J4501" t="s">
        <v>929</v>
      </c>
      <c r="L4501">
        <v>3.2</v>
      </c>
      <c r="M4501">
        <v>611000</v>
      </c>
      <c r="N4501">
        <v>3.8</v>
      </c>
      <c r="O4501">
        <v>7</v>
      </c>
      <c r="P4501" t="s">
        <v>26</v>
      </c>
    </row>
    <row r="4502" spans="1:16" x14ac:dyDescent="0.25">
      <c r="A4502" t="s">
        <v>9061</v>
      </c>
      <c r="B4502" t="s">
        <v>5503</v>
      </c>
      <c r="C4502" t="s">
        <v>29</v>
      </c>
      <c r="D4502" t="s">
        <v>50</v>
      </c>
      <c r="E4502" t="s">
        <v>20</v>
      </c>
      <c r="F4502" t="s">
        <v>39</v>
      </c>
      <c r="G4502" t="s">
        <v>22</v>
      </c>
      <c r="I4502" t="s">
        <v>24</v>
      </c>
      <c r="J4502" t="s">
        <v>5244</v>
      </c>
      <c r="K4502" t="s">
        <v>970</v>
      </c>
      <c r="L4502">
        <v>2.5</v>
      </c>
      <c r="M4502">
        <v>97000</v>
      </c>
      <c r="N4502">
        <v>2.2999999999999998</v>
      </c>
      <c r="O4502">
        <v>8</v>
      </c>
      <c r="P4502" t="s">
        <v>72</v>
      </c>
    </row>
    <row r="4503" spans="1:16" x14ac:dyDescent="0.25">
      <c r="A4503" t="s">
        <v>9062</v>
      </c>
      <c r="B4503" t="s">
        <v>4113</v>
      </c>
      <c r="C4503" t="s">
        <v>18</v>
      </c>
      <c r="D4503" t="s">
        <v>79</v>
      </c>
      <c r="E4503" t="s">
        <v>20</v>
      </c>
      <c r="F4503" t="s">
        <v>21</v>
      </c>
      <c r="G4503" t="s">
        <v>22</v>
      </c>
      <c r="H4503" t="s">
        <v>34</v>
      </c>
      <c r="I4503" t="s">
        <v>57</v>
      </c>
      <c r="J4503" t="s">
        <v>3801</v>
      </c>
      <c r="L4503">
        <v>2.9</v>
      </c>
      <c r="M4503">
        <v>661000</v>
      </c>
      <c r="N4503">
        <v>4.2</v>
      </c>
      <c r="O4503">
        <v>7</v>
      </c>
      <c r="P4503" t="s">
        <v>26</v>
      </c>
    </row>
    <row r="4504" spans="1:16" x14ac:dyDescent="0.25">
      <c r="A4504" t="s">
        <v>9063</v>
      </c>
      <c r="B4504" t="s">
        <v>5994</v>
      </c>
      <c r="C4504" t="s">
        <v>29</v>
      </c>
      <c r="D4504" t="s">
        <v>50</v>
      </c>
      <c r="F4504" t="s">
        <v>39</v>
      </c>
      <c r="G4504" t="s">
        <v>22</v>
      </c>
      <c r="H4504" t="s">
        <v>46</v>
      </c>
      <c r="I4504" t="s">
        <v>24</v>
      </c>
      <c r="J4504" t="s">
        <v>5924</v>
      </c>
      <c r="K4504" t="s">
        <v>2968</v>
      </c>
      <c r="L4504">
        <v>5.2</v>
      </c>
      <c r="M4504">
        <v>156000</v>
      </c>
      <c r="N4504">
        <v>2.5</v>
      </c>
      <c r="O4504">
        <v>0</v>
      </c>
      <c r="P4504" t="s">
        <v>72</v>
      </c>
    </row>
    <row r="4505" spans="1:16" x14ac:dyDescent="0.25">
      <c r="A4505" t="s">
        <v>9064</v>
      </c>
      <c r="B4505" t="s">
        <v>9065</v>
      </c>
      <c r="C4505" t="s">
        <v>29</v>
      </c>
      <c r="D4505" t="s">
        <v>30</v>
      </c>
      <c r="E4505" t="s">
        <v>44</v>
      </c>
      <c r="G4505" t="s">
        <v>22</v>
      </c>
      <c r="H4505" t="s">
        <v>34</v>
      </c>
      <c r="I4505" t="s">
        <v>75</v>
      </c>
      <c r="J4505" t="s">
        <v>3785</v>
      </c>
      <c r="K4505" t="s">
        <v>1429</v>
      </c>
      <c r="L4505">
        <v>5.4</v>
      </c>
      <c r="M4505">
        <v>103000</v>
      </c>
      <c r="N4505">
        <v>1.5</v>
      </c>
      <c r="O4505">
        <v>11</v>
      </c>
      <c r="P4505" t="s">
        <v>53</v>
      </c>
    </row>
    <row r="4506" spans="1:16" x14ac:dyDescent="0.25">
      <c r="A4506" t="s">
        <v>9066</v>
      </c>
      <c r="B4506" t="s">
        <v>2446</v>
      </c>
      <c r="C4506" t="s">
        <v>29</v>
      </c>
      <c r="D4506" t="s">
        <v>50</v>
      </c>
      <c r="E4506" t="s">
        <v>20</v>
      </c>
      <c r="F4506" t="s">
        <v>21</v>
      </c>
      <c r="G4506" t="s">
        <v>80</v>
      </c>
      <c r="H4506" t="s">
        <v>23</v>
      </c>
      <c r="I4506" t="s">
        <v>35</v>
      </c>
      <c r="J4506" t="s">
        <v>5760</v>
      </c>
      <c r="K4506" t="s">
        <v>3774</v>
      </c>
      <c r="L4506">
        <v>2.2000000000000002</v>
      </c>
      <c r="M4506">
        <v>918000</v>
      </c>
      <c r="N4506">
        <v>4.2</v>
      </c>
      <c r="O4506">
        <v>10</v>
      </c>
      <c r="P4506" t="s">
        <v>53</v>
      </c>
    </row>
    <row r="4507" spans="1:16" x14ac:dyDescent="0.25">
      <c r="A4507" t="s">
        <v>9067</v>
      </c>
      <c r="B4507" t="s">
        <v>9068</v>
      </c>
      <c r="C4507" t="s">
        <v>18</v>
      </c>
      <c r="D4507" t="s">
        <v>50</v>
      </c>
      <c r="E4507" t="s">
        <v>44</v>
      </c>
      <c r="F4507" t="s">
        <v>39</v>
      </c>
      <c r="G4507" t="s">
        <v>80</v>
      </c>
      <c r="H4507" t="s">
        <v>46</v>
      </c>
      <c r="I4507" t="s">
        <v>24</v>
      </c>
      <c r="J4507" t="s">
        <v>3030</v>
      </c>
      <c r="L4507">
        <v>3.6</v>
      </c>
      <c r="M4507">
        <v>114000</v>
      </c>
      <c r="N4507">
        <v>2.6</v>
      </c>
      <c r="O4507">
        <v>14</v>
      </c>
      <c r="P4507" t="s">
        <v>26</v>
      </c>
    </row>
    <row r="4508" spans="1:16" x14ac:dyDescent="0.25">
      <c r="A4508" t="s">
        <v>9069</v>
      </c>
      <c r="B4508" t="s">
        <v>9070</v>
      </c>
      <c r="C4508" t="s">
        <v>29</v>
      </c>
      <c r="D4508" t="s">
        <v>43</v>
      </c>
      <c r="E4508" t="s">
        <v>20</v>
      </c>
      <c r="F4508" t="s">
        <v>21</v>
      </c>
      <c r="G4508" t="s">
        <v>22</v>
      </c>
      <c r="H4508" t="s">
        <v>34</v>
      </c>
      <c r="I4508" t="s">
        <v>24</v>
      </c>
      <c r="J4508" t="s">
        <v>3785</v>
      </c>
      <c r="L4508">
        <v>5.4</v>
      </c>
      <c r="M4508">
        <v>803000</v>
      </c>
      <c r="N4508">
        <v>3.8</v>
      </c>
      <c r="O4508">
        <v>4</v>
      </c>
      <c r="P4508" t="s">
        <v>26</v>
      </c>
    </row>
    <row r="4509" spans="1:16" x14ac:dyDescent="0.25">
      <c r="A4509" t="s">
        <v>5955</v>
      </c>
      <c r="B4509" t="s">
        <v>5956</v>
      </c>
      <c r="C4509" t="s">
        <v>18</v>
      </c>
      <c r="D4509" t="s">
        <v>43</v>
      </c>
      <c r="E4509" t="s">
        <v>20</v>
      </c>
      <c r="F4509" t="s">
        <v>21</v>
      </c>
      <c r="G4509" t="s">
        <v>22</v>
      </c>
      <c r="I4509" t="s">
        <v>24</v>
      </c>
      <c r="J4509" t="s">
        <v>1044</v>
      </c>
      <c r="K4509" t="s">
        <v>5957</v>
      </c>
      <c r="L4509">
        <v>6</v>
      </c>
      <c r="M4509">
        <v>741000</v>
      </c>
      <c r="N4509">
        <v>3.5</v>
      </c>
      <c r="O4509">
        <v>21</v>
      </c>
      <c r="P4509" t="s">
        <v>72</v>
      </c>
    </row>
    <row r="4510" spans="1:16" x14ac:dyDescent="0.25">
      <c r="A4510" t="s">
        <v>9071</v>
      </c>
      <c r="B4510" t="s">
        <v>9072</v>
      </c>
      <c r="C4510" t="s">
        <v>18</v>
      </c>
      <c r="D4510" t="s">
        <v>30</v>
      </c>
      <c r="F4510" t="s">
        <v>39</v>
      </c>
      <c r="G4510" t="s">
        <v>80</v>
      </c>
      <c r="H4510" t="s">
        <v>34</v>
      </c>
      <c r="I4510" t="s">
        <v>24</v>
      </c>
      <c r="J4510" t="s">
        <v>400</v>
      </c>
      <c r="L4510">
        <v>4.3</v>
      </c>
      <c r="M4510">
        <v>110000</v>
      </c>
      <c r="N4510">
        <v>3.4</v>
      </c>
      <c r="O4510">
        <v>28</v>
      </c>
      <c r="P4510" t="s">
        <v>26</v>
      </c>
    </row>
    <row r="4511" spans="1:16" x14ac:dyDescent="0.25">
      <c r="A4511" t="s">
        <v>9073</v>
      </c>
      <c r="B4511" t="s">
        <v>2137</v>
      </c>
      <c r="C4511" t="s">
        <v>18</v>
      </c>
      <c r="D4511" t="s">
        <v>79</v>
      </c>
      <c r="F4511" t="s">
        <v>128</v>
      </c>
      <c r="G4511" t="s">
        <v>80</v>
      </c>
      <c r="H4511" t="s">
        <v>46</v>
      </c>
      <c r="I4511" t="s">
        <v>35</v>
      </c>
      <c r="J4511" t="s">
        <v>4605</v>
      </c>
      <c r="L4511">
        <v>1.7</v>
      </c>
      <c r="M4511">
        <v>482000</v>
      </c>
      <c r="N4511">
        <v>4.4000000000000004</v>
      </c>
      <c r="O4511">
        <v>15</v>
      </c>
      <c r="P4511" t="s">
        <v>26</v>
      </c>
    </row>
    <row r="4512" spans="1:16" x14ac:dyDescent="0.25">
      <c r="A4512" t="s">
        <v>9074</v>
      </c>
      <c r="B4512" t="s">
        <v>9075</v>
      </c>
      <c r="C4512" t="s">
        <v>18</v>
      </c>
      <c r="D4512" t="s">
        <v>50</v>
      </c>
      <c r="E4512" t="s">
        <v>20</v>
      </c>
      <c r="F4512" t="s">
        <v>39</v>
      </c>
      <c r="G4512" t="s">
        <v>33</v>
      </c>
      <c r="H4512" t="s">
        <v>46</v>
      </c>
      <c r="I4512" t="s">
        <v>24</v>
      </c>
      <c r="J4512" t="s">
        <v>2893</v>
      </c>
      <c r="K4512" t="s">
        <v>1398</v>
      </c>
      <c r="L4512">
        <v>5.7</v>
      </c>
      <c r="M4512">
        <v>153000</v>
      </c>
      <c r="O4512">
        <v>12</v>
      </c>
      <c r="P4512" t="s">
        <v>72</v>
      </c>
    </row>
    <row r="4513" spans="1:16" x14ac:dyDescent="0.25">
      <c r="A4513" t="s">
        <v>9076</v>
      </c>
      <c r="B4513" t="s">
        <v>2467</v>
      </c>
      <c r="C4513" t="s">
        <v>18</v>
      </c>
      <c r="D4513" t="s">
        <v>19</v>
      </c>
      <c r="E4513" t="s">
        <v>20</v>
      </c>
      <c r="F4513" t="s">
        <v>32</v>
      </c>
      <c r="G4513" t="s">
        <v>80</v>
      </c>
      <c r="H4513" t="s">
        <v>46</v>
      </c>
      <c r="I4513" t="s">
        <v>24</v>
      </c>
      <c r="J4513" t="s">
        <v>4414</v>
      </c>
      <c r="L4513">
        <v>2.7</v>
      </c>
      <c r="M4513">
        <v>316000</v>
      </c>
      <c r="N4513">
        <v>2.1</v>
      </c>
      <c r="O4513">
        <v>11</v>
      </c>
      <c r="P4513" t="s">
        <v>26</v>
      </c>
    </row>
    <row r="4514" spans="1:16" x14ac:dyDescent="0.25">
      <c r="A4514" t="s">
        <v>9077</v>
      </c>
      <c r="B4514" t="s">
        <v>1473</v>
      </c>
      <c r="C4514" t="s">
        <v>18</v>
      </c>
      <c r="D4514" t="s">
        <v>30</v>
      </c>
      <c r="E4514" t="s">
        <v>44</v>
      </c>
      <c r="F4514" t="s">
        <v>39</v>
      </c>
      <c r="G4514" t="s">
        <v>22</v>
      </c>
      <c r="H4514" t="s">
        <v>46</v>
      </c>
      <c r="I4514" t="s">
        <v>24</v>
      </c>
      <c r="J4514" t="s">
        <v>132</v>
      </c>
      <c r="L4514">
        <v>2.6</v>
      </c>
      <c r="M4514">
        <v>154000</v>
      </c>
      <c r="N4514">
        <v>3</v>
      </c>
      <c r="O4514">
        <v>3</v>
      </c>
      <c r="P4514" t="s">
        <v>26</v>
      </c>
    </row>
    <row r="4515" spans="1:16" x14ac:dyDescent="0.25">
      <c r="A4515" t="s">
        <v>9078</v>
      </c>
      <c r="B4515" t="s">
        <v>9079</v>
      </c>
      <c r="C4515" t="s">
        <v>29</v>
      </c>
      <c r="D4515" t="s">
        <v>50</v>
      </c>
      <c r="E4515" t="s">
        <v>20</v>
      </c>
      <c r="F4515" t="s">
        <v>39</v>
      </c>
      <c r="G4515" t="s">
        <v>22</v>
      </c>
      <c r="H4515" t="s">
        <v>62</v>
      </c>
      <c r="I4515" t="s">
        <v>57</v>
      </c>
      <c r="J4515" t="s">
        <v>2648</v>
      </c>
      <c r="L4515">
        <v>1.8</v>
      </c>
      <c r="M4515">
        <v>103000</v>
      </c>
      <c r="N4515">
        <v>2.4</v>
      </c>
      <c r="O4515">
        <v>10</v>
      </c>
      <c r="P4515" t="s">
        <v>26</v>
      </c>
    </row>
    <row r="4516" spans="1:16" x14ac:dyDescent="0.25">
      <c r="A4516" t="s">
        <v>9080</v>
      </c>
      <c r="B4516" t="s">
        <v>8337</v>
      </c>
      <c r="C4516" t="s">
        <v>29</v>
      </c>
      <c r="D4516" t="s">
        <v>30</v>
      </c>
      <c r="E4516" t="s">
        <v>20</v>
      </c>
      <c r="F4516" t="s">
        <v>32</v>
      </c>
      <c r="G4516" t="s">
        <v>22</v>
      </c>
      <c r="H4516" t="s">
        <v>23</v>
      </c>
      <c r="I4516" t="s">
        <v>57</v>
      </c>
      <c r="J4516" t="s">
        <v>375</v>
      </c>
      <c r="K4516" t="s">
        <v>1379</v>
      </c>
      <c r="L4516">
        <v>3</v>
      </c>
      <c r="M4516">
        <v>339000</v>
      </c>
      <c r="N4516">
        <v>3</v>
      </c>
      <c r="P4516" t="s">
        <v>53</v>
      </c>
    </row>
    <row r="4517" spans="1:16" x14ac:dyDescent="0.25">
      <c r="A4517" t="s">
        <v>8367</v>
      </c>
      <c r="B4517" t="s">
        <v>8094</v>
      </c>
      <c r="C4517" t="s">
        <v>18</v>
      </c>
      <c r="D4517" t="s">
        <v>50</v>
      </c>
      <c r="E4517" t="s">
        <v>44</v>
      </c>
      <c r="F4517" t="s">
        <v>39</v>
      </c>
      <c r="G4517" t="s">
        <v>80</v>
      </c>
      <c r="H4517" t="s">
        <v>34</v>
      </c>
      <c r="I4517" t="s">
        <v>35</v>
      </c>
      <c r="J4517" t="s">
        <v>1112</v>
      </c>
      <c r="L4517">
        <v>2.4</v>
      </c>
      <c r="M4517">
        <v>159000</v>
      </c>
      <c r="N4517">
        <v>2.2999999999999998</v>
      </c>
      <c r="O4517">
        <v>2</v>
      </c>
      <c r="P4517" t="s">
        <v>26</v>
      </c>
    </row>
    <row r="4518" spans="1:16" x14ac:dyDescent="0.25">
      <c r="A4518" t="s">
        <v>9081</v>
      </c>
      <c r="B4518" t="s">
        <v>6300</v>
      </c>
      <c r="C4518" t="s">
        <v>18</v>
      </c>
      <c r="D4518" t="s">
        <v>79</v>
      </c>
      <c r="E4518" t="s">
        <v>20</v>
      </c>
      <c r="F4518" t="s">
        <v>21</v>
      </c>
      <c r="G4518" t="s">
        <v>22</v>
      </c>
      <c r="H4518" t="s">
        <v>46</v>
      </c>
      <c r="I4518" t="s">
        <v>24</v>
      </c>
      <c r="J4518" t="s">
        <v>3350</v>
      </c>
      <c r="L4518">
        <v>5.7</v>
      </c>
      <c r="M4518">
        <v>774000</v>
      </c>
      <c r="N4518">
        <v>3.9</v>
      </c>
      <c r="O4518">
        <v>2</v>
      </c>
      <c r="P4518" t="s">
        <v>26</v>
      </c>
    </row>
    <row r="4519" spans="1:16" x14ac:dyDescent="0.25">
      <c r="A4519" t="s">
        <v>9082</v>
      </c>
      <c r="B4519" t="s">
        <v>427</v>
      </c>
      <c r="C4519" t="s">
        <v>29</v>
      </c>
      <c r="D4519" t="s">
        <v>43</v>
      </c>
      <c r="E4519" t="s">
        <v>20</v>
      </c>
      <c r="F4519" t="s">
        <v>39</v>
      </c>
      <c r="G4519" t="s">
        <v>22</v>
      </c>
      <c r="H4519" t="s">
        <v>34</v>
      </c>
      <c r="I4519" t="s">
        <v>57</v>
      </c>
      <c r="J4519" t="s">
        <v>709</v>
      </c>
      <c r="L4519">
        <v>2.7</v>
      </c>
      <c r="M4519">
        <v>152000</v>
      </c>
      <c r="N4519">
        <v>3.5</v>
      </c>
      <c r="O4519">
        <v>0</v>
      </c>
      <c r="P4519" t="s">
        <v>26</v>
      </c>
    </row>
    <row r="4520" spans="1:16" x14ac:dyDescent="0.25">
      <c r="A4520" t="s">
        <v>9083</v>
      </c>
      <c r="B4520" t="s">
        <v>3080</v>
      </c>
      <c r="C4520" t="s">
        <v>29</v>
      </c>
      <c r="D4520" t="s">
        <v>30</v>
      </c>
      <c r="E4520" t="s">
        <v>20</v>
      </c>
      <c r="F4520" t="s">
        <v>32</v>
      </c>
      <c r="G4520" t="s">
        <v>69</v>
      </c>
      <c r="H4520" t="s">
        <v>34</v>
      </c>
      <c r="I4520" t="s">
        <v>57</v>
      </c>
      <c r="J4520" t="s">
        <v>9084</v>
      </c>
      <c r="K4520" t="s">
        <v>1901</v>
      </c>
      <c r="L4520">
        <v>1.6</v>
      </c>
      <c r="M4520">
        <v>335000</v>
      </c>
      <c r="N4520">
        <v>2.7</v>
      </c>
      <c r="O4520">
        <v>5</v>
      </c>
      <c r="P4520" t="s">
        <v>53</v>
      </c>
    </row>
    <row r="4521" spans="1:16" x14ac:dyDescent="0.25">
      <c r="A4521" t="s">
        <v>9085</v>
      </c>
      <c r="B4521" t="s">
        <v>6710</v>
      </c>
      <c r="C4521" t="s">
        <v>29</v>
      </c>
      <c r="D4521" t="s">
        <v>50</v>
      </c>
      <c r="E4521" t="s">
        <v>44</v>
      </c>
      <c r="F4521" t="s">
        <v>32</v>
      </c>
      <c r="G4521" t="s">
        <v>80</v>
      </c>
      <c r="H4521" t="s">
        <v>62</v>
      </c>
      <c r="I4521" t="s">
        <v>24</v>
      </c>
      <c r="J4521" t="s">
        <v>8024</v>
      </c>
      <c r="L4521">
        <v>6.1</v>
      </c>
      <c r="M4521">
        <v>292000</v>
      </c>
      <c r="N4521">
        <v>4.5999999999999996</v>
      </c>
      <c r="O4521">
        <v>5</v>
      </c>
      <c r="P4521" t="s">
        <v>26</v>
      </c>
    </row>
    <row r="4522" spans="1:16" x14ac:dyDescent="0.25">
      <c r="A4522" t="s">
        <v>9086</v>
      </c>
      <c r="B4522" t="s">
        <v>3633</v>
      </c>
      <c r="C4522" t="s">
        <v>18</v>
      </c>
      <c r="D4522" t="s">
        <v>50</v>
      </c>
      <c r="E4522" t="s">
        <v>20</v>
      </c>
      <c r="F4522" t="s">
        <v>21</v>
      </c>
      <c r="G4522" t="s">
        <v>33</v>
      </c>
      <c r="H4522" t="s">
        <v>34</v>
      </c>
      <c r="I4522" t="s">
        <v>24</v>
      </c>
      <c r="J4522" t="s">
        <v>1102</v>
      </c>
      <c r="K4522" t="s">
        <v>9087</v>
      </c>
      <c r="L4522">
        <v>2.5</v>
      </c>
      <c r="M4522">
        <v>903000</v>
      </c>
      <c r="N4522">
        <v>3.9</v>
      </c>
      <c r="O4522">
        <v>8</v>
      </c>
      <c r="P4522" t="s">
        <v>53</v>
      </c>
    </row>
    <row r="4523" spans="1:16" x14ac:dyDescent="0.25">
      <c r="A4523" t="s">
        <v>9088</v>
      </c>
      <c r="B4523" t="s">
        <v>9089</v>
      </c>
      <c r="C4523" t="s">
        <v>18</v>
      </c>
      <c r="D4523" t="s">
        <v>79</v>
      </c>
      <c r="E4523" t="s">
        <v>20</v>
      </c>
      <c r="F4523" t="s">
        <v>21</v>
      </c>
      <c r="G4523" t="s">
        <v>69</v>
      </c>
      <c r="H4523" t="s">
        <v>46</v>
      </c>
      <c r="I4523" t="s">
        <v>57</v>
      </c>
      <c r="J4523" t="s">
        <v>5922</v>
      </c>
      <c r="L4523">
        <v>1.6</v>
      </c>
      <c r="M4523">
        <v>621000</v>
      </c>
      <c r="N4523">
        <v>4.3</v>
      </c>
      <c r="O4523">
        <v>13</v>
      </c>
      <c r="P4523" t="s">
        <v>26</v>
      </c>
    </row>
    <row r="4524" spans="1:16" x14ac:dyDescent="0.25">
      <c r="A4524" t="s">
        <v>9090</v>
      </c>
      <c r="B4524" t="s">
        <v>7710</v>
      </c>
      <c r="C4524" t="s">
        <v>29</v>
      </c>
      <c r="D4524" t="s">
        <v>43</v>
      </c>
      <c r="E4524" t="s">
        <v>20</v>
      </c>
      <c r="F4524" t="s">
        <v>39</v>
      </c>
      <c r="G4524" t="s">
        <v>22</v>
      </c>
      <c r="H4524" t="s">
        <v>34</v>
      </c>
      <c r="I4524" t="s">
        <v>75</v>
      </c>
      <c r="J4524" t="s">
        <v>1347</v>
      </c>
      <c r="L4524">
        <v>4.5999999999999996</v>
      </c>
      <c r="M4524">
        <v>131000</v>
      </c>
      <c r="N4524">
        <v>3.2</v>
      </c>
      <c r="O4524">
        <v>1</v>
      </c>
      <c r="P4524" t="s">
        <v>26</v>
      </c>
    </row>
    <row r="4525" spans="1:16" x14ac:dyDescent="0.25">
      <c r="A4525" t="s">
        <v>9091</v>
      </c>
      <c r="B4525" t="s">
        <v>177</v>
      </c>
      <c r="C4525" t="s">
        <v>18</v>
      </c>
      <c r="D4525" t="s">
        <v>43</v>
      </c>
      <c r="E4525" t="s">
        <v>20</v>
      </c>
      <c r="F4525" t="s">
        <v>21</v>
      </c>
      <c r="G4525" t="s">
        <v>69</v>
      </c>
      <c r="H4525" t="s">
        <v>23</v>
      </c>
      <c r="I4525" t="s">
        <v>24</v>
      </c>
      <c r="J4525" t="s">
        <v>8511</v>
      </c>
      <c r="L4525">
        <v>5</v>
      </c>
      <c r="M4525">
        <v>602000</v>
      </c>
      <c r="N4525">
        <v>4.5999999999999996</v>
      </c>
      <c r="O4525">
        <v>3</v>
      </c>
      <c r="P4525" t="s">
        <v>26</v>
      </c>
    </row>
    <row r="4526" spans="1:16" x14ac:dyDescent="0.25">
      <c r="A4526" t="s">
        <v>9092</v>
      </c>
      <c r="B4526" t="s">
        <v>9093</v>
      </c>
      <c r="C4526" t="s">
        <v>29</v>
      </c>
      <c r="D4526" t="s">
        <v>50</v>
      </c>
      <c r="E4526" t="s">
        <v>20</v>
      </c>
      <c r="F4526" t="s">
        <v>39</v>
      </c>
      <c r="G4526" t="s">
        <v>22</v>
      </c>
      <c r="H4526" t="s">
        <v>23</v>
      </c>
      <c r="I4526" t="s">
        <v>24</v>
      </c>
      <c r="J4526" t="s">
        <v>1600</v>
      </c>
      <c r="L4526">
        <v>5.2</v>
      </c>
      <c r="M4526">
        <v>135000</v>
      </c>
      <c r="O4526">
        <v>36</v>
      </c>
      <c r="P4526" t="s">
        <v>26</v>
      </c>
    </row>
    <row r="4527" spans="1:16" x14ac:dyDescent="0.25">
      <c r="A4527" t="s">
        <v>9094</v>
      </c>
      <c r="B4527" t="s">
        <v>9070</v>
      </c>
      <c r="C4527" t="s">
        <v>29</v>
      </c>
      <c r="D4527" t="s">
        <v>79</v>
      </c>
      <c r="E4527" t="s">
        <v>20</v>
      </c>
      <c r="F4527" t="s">
        <v>32</v>
      </c>
      <c r="G4527" t="s">
        <v>22</v>
      </c>
      <c r="H4527" t="s">
        <v>34</v>
      </c>
      <c r="I4527" t="s">
        <v>57</v>
      </c>
      <c r="J4527" t="s">
        <v>9095</v>
      </c>
      <c r="L4527">
        <v>1.8</v>
      </c>
      <c r="O4527">
        <v>5</v>
      </c>
      <c r="P4527" t="s">
        <v>26</v>
      </c>
    </row>
    <row r="4528" spans="1:16" x14ac:dyDescent="0.25">
      <c r="A4528" t="s">
        <v>9096</v>
      </c>
      <c r="B4528" t="s">
        <v>9097</v>
      </c>
      <c r="C4528" t="s">
        <v>18</v>
      </c>
      <c r="D4528" t="s">
        <v>50</v>
      </c>
      <c r="E4528" t="s">
        <v>20</v>
      </c>
      <c r="F4528" t="s">
        <v>39</v>
      </c>
      <c r="G4528" t="s">
        <v>22</v>
      </c>
      <c r="H4528" t="s">
        <v>46</v>
      </c>
      <c r="I4528" t="s">
        <v>75</v>
      </c>
      <c r="J4528" t="s">
        <v>7173</v>
      </c>
      <c r="K4528" t="s">
        <v>6906</v>
      </c>
      <c r="L4528">
        <v>4.5</v>
      </c>
      <c r="M4528">
        <v>165000</v>
      </c>
      <c r="N4528">
        <v>4</v>
      </c>
      <c r="O4528">
        <v>9</v>
      </c>
      <c r="P4528" t="s">
        <v>114</v>
      </c>
    </row>
    <row r="4529" spans="1:16" x14ac:dyDescent="0.25">
      <c r="A4529" t="s">
        <v>9098</v>
      </c>
      <c r="B4529" t="s">
        <v>5730</v>
      </c>
      <c r="C4529" t="s">
        <v>29</v>
      </c>
      <c r="D4529" t="s">
        <v>43</v>
      </c>
      <c r="E4529" t="s">
        <v>44</v>
      </c>
      <c r="F4529" t="s">
        <v>128</v>
      </c>
      <c r="G4529" t="s">
        <v>22</v>
      </c>
      <c r="H4529" t="s">
        <v>34</v>
      </c>
      <c r="I4529" t="s">
        <v>24</v>
      </c>
      <c r="J4529" t="s">
        <v>5682</v>
      </c>
      <c r="K4529" t="s">
        <v>9099</v>
      </c>
      <c r="L4529">
        <v>1.7</v>
      </c>
      <c r="M4529">
        <v>350000</v>
      </c>
      <c r="N4529">
        <v>2.4</v>
      </c>
      <c r="O4529">
        <v>18</v>
      </c>
      <c r="P4529" t="s">
        <v>53</v>
      </c>
    </row>
    <row r="4530" spans="1:16" x14ac:dyDescent="0.25">
      <c r="A4530" t="s">
        <v>9100</v>
      </c>
      <c r="B4530" t="s">
        <v>6678</v>
      </c>
      <c r="C4530" t="s">
        <v>18</v>
      </c>
      <c r="D4530" t="s">
        <v>79</v>
      </c>
      <c r="E4530" t="s">
        <v>44</v>
      </c>
      <c r="F4530" t="s">
        <v>128</v>
      </c>
      <c r="G4530" t="s">
        <v>22</v>
      </c>
      <c r="H4530" t="s">
        <v>23</v>
      </c>
      <c r="I4530" t="s">
        <v>57</v>
      </c>
      <c r="J4530" t="s">
        <v>901</v>
      </c>
      <c r="L4530">
        <v>6</v>
      </c>
      <c r="M4530">
        <v>422000</v>
      </c>
      <c r="N4530">
        <v>4.0999999999999996</v>
      </c>
      <c r="O4530">
        <v>7</v>
      </c>
      <c r="P4530" t="s">
        <v>26</v>
      </c>
    </row>
    <row r="4531" spans="1:16" x14ac:dyDescent="0.25">
      <c r="A4531" t="s">
        <v>9101</v>
      </c>
      <c r="B4531" t="s">
        <v>6587</v>
      </c>
      <c r="C4531" t="s">
        <v>29</v>
      </c>
      <c r="D4531" t="s">
        <v>79</v>
      </c>
      <c r="E4531" t="s">
        <v>20</v>
      </c>
      <c r="F4531" t="s">
        <v>21</v>
      </c>
      <c r="G4531" t="s">
        <v>69</v>
      </c>
      <c r="H4531" t="s">
        <v>34</v>
      </c>
      <c r="I4531" t="s">
        <v>75</v>
      </c>
      <c r="J4531" t="s">
        <v>7588</v>
      </c>
      <c r="L4531">
        <v>2.4</v>
      </c>
      <c r="M4531">
        <v>903000</v>
      </c>
      <c r="N4531">
        <v>4.5999999999999996</v>
      </c>
      <c r="O4531">
        <v>8</v>
      </c>
      <c r="P4531" t="s">
        <v>26</v>
      </c>
    </row>
    <row r="4532" spans="1:16" x14ac:dyDescent="0.25">
      <c r="A4532" t="s">
        <v>9102</v>
      </c>
      <c r="B4532" t="s">
        <v>1753</v>
      </c>
      <c r="C4532" t="s">
        <v>29</v>
      </c>
      <c r="D4532" t="s">
        <v>30</v>
      </c>
      <c r="E4532" t="s">
        <v>20</v>
      </c>
      <c r="F4532" t="s">
        <v>128</v>
      </c>
      <c r="G4532" t="s">
        <v>33</v>
      </c>
      <c r="H4532" t="s">
        <v>23</v>
      </c>
      <c r="I4532" t="s">
        <v>57</v>
      </c>
      <c r="J4532" t="s">
        <v>758</v>
      </c>
      <c r="K4532" t="s">
        <v>8140</v>
      </c>
      <c r="L4532">
        <v>2.1</v>
      </c>
      <c r="M4532">
        <v>362000</v>
      </c>
      <c r="N4532">
        <v>3.9</v>
      </c>
      <c r="O4532">
        <v>11</v>
      </c>
      <c r="P4532" t="s">
        <v>72</v>
      </c>
    </row>
    <row r="4533" spans="1:16" x14ac:dyDescent="0.25">
      <c r="A4533" t="s">
        <v>9103</v>
      </c>
      <c r="B4533" t="s">
        <v>6156</v>
      </c>
      <c r="C4533" t="s">
        <v>29</v>
      </c>
      <c r="D4533" t="s">
        <v>50</v>
      </c>
      <c r="E4533" t="s">
        <v>31</v>
      </c>
      <c r="F4533" t="s">
        <v>32</v>
      </c>
      <c r="G4533" t="s">
        <v>33</v>
      </c>
      <c r="H4533" t="s">
        <v>46</v>
      </c>
      <c r="I4533" t="s">
        <v>24</v>
      </c>
      <c r="J4533" t="s">
        <v>2518</v>
      </c>
      <c r="L4533">
        <v>3.8</v>
      </c>
      <c r="M4533">
        <v>290000</v>
      </c>
      <c r="N4533">
        <v>3.2</v>
      </c>
      <c r="O4533">
        <v>9</v>
      </c>
      <c r="P4533" t="s">
        <v>26</v>
      </c>
    </row>
    <row r="4534" spans="1:16" x14ac:dyDescent="0.25">
      <c r="A4534" t="s">
        <v>9104</v>
      </c>
      <c r="B4534" t="s">
        <v>3586</v>
      </c>
      <c r="C4534" t="s">
        <v>18</v>
      </c>
      <c r="D4534" t="s">
        <v>43</v>
      </c>
      <c r="E4534" t="s">
        <v>20</v>
      </c>
      <c r="F4534" t="s">
        <v>128</v>
      </c>
      <c r="G4534" t="s">
        <v>80</v>
      </c>
      <c r="H4534" t="s">
        <v>34</v>
      </c>
      <c r="I4534" t="s">
        <v>24</v>
      </c>
      <c r="J4534" t="s">
        <v>1719</v>
      </c>
      <c r="K4534" t="s">
        <v>1821</v>
      </c>
      <c r="L4534">
        <v>2.7</v>
      </c>
      <c r="M4534">
        <v>408000</v>
      </c>
      <c r="N4534">
        <v>3.7</v>
      </c>
      <c r="O4534">
        <v>11</v>
      </c>
      <c r="P4534" t="s">
        <v>53</v>
      </c>
    </row>
    <row r="4535" spans="1:16" x14ac:dyDescent="0.25">
      <c r="A4535" t="s">
        <v>9105</v>
      </c>
      <c r="B4535" t="s">
        <v>6256</v>
      </c>
      <c r="C4535" t="s">
        <v>18</v>
      </c>
      <c r="D4535" t="s">
        <v>43</v>
      </c>
      <c r="E4535" t="s">
        <v>20</v>
      </c>
      <c r="F4535" t="s">
        <v>45</v>
      </c>
      <c r="G4535" t="s">
        <v>33</v>
      </c>
      <c r="H4535" t="s">
        <v>62</v>
      </c>
      <c r="I4535" t="s">
        <v>35</v>
      </c>
      <c r="J4535" t="s">
        <v>4752</v>
      </c>
      <c r="L4535">
        <v>5.9</v>
      </c>
      <c r="M4535">
        <v>1541000</v>
      </c>
      <c r="N4535">
        <v>5</v>
      </c>
      <c r="O4535">
        <v>11</v>
      </c>
      <c r="P4535" t="s">
        <v>26</v>
      </c>
    </row>
    <row r="4536" spans="1:16" x14ac:dyDescent="0.25">
      <c r="A4536" t="s">
        <v>9106</v>
      </c>
      <c r="B4536" t="s">
        <v>9107</v>
      </c>
      <c r="C4536" t="s">
        <v>29</v>
      </c>
      <c r="D4536" t="s">
        <v>19</v>
      </c>
      <c r="E4536" t="s">
        <v>44</v>
      </c>
      <c r="F4536" t="s">
        <v>39</v>
      </c>
      <c r="G4536" t="s">
        <v>22</v>
      </c>
      <c r="H4536" t="s">
        <v>23</v>
      </c>
      <c r="I4536" t="s">
        <v>57</v>
      </c>
      <c r="J4536" t="s">
        <v>1300</v>
      </c>
      <c r="K4536" t="s">
        <v>1768</v>
      </c>
      <c r="L4536">
        <v>4.0999999999999996</v>
      </c>
      <c r="M4536">
        <v>132000</v>
      </c>
      <c r="N4536">
        <v>3.8</v>
      </c>
      <c r="O4536">
        <v>12</v>
      </c>
      <c r="P4536" t="s">
        <v>72</v>
      </c>
    </row>
    <row r="4537" spans="1:16" x14ac:dyDescent="0.25">
      <c r="A4537" t="s">
        <v>9108</v>
      </c>
      <c r="B4537" t="s">
        <v>1048</v>
      </c>
      <c r="C4537" t="s">
        <v>18</v>
      </c>
      <c r="D4537" t="s">
        <v>43</v>
      </c>
      <c r="E4537" t="s">
        <v>20</v>
      </c>
      <c r="F4537" t="s">
        <v>45</v>
      </c>
      <c r="G4537" t="s">
        <v>80</v>
      </c>
      <c r="H4537" t="s">
        <v>46</v>
      </c>
      <c r="I4537" t="s">
        <v>24</v>
      </c>
      <c r="J4537" t="s">
        <v>4288</v>
      </c>
      <c r="L4537">
        <v>5</v>
      </c>
      <c r="M4537">
        <v>1556000</v>
      </c>
      <c r="N4537">
        <v>4.0999999999999996</v>
      </c>
      <c r="O4537">
        <v>9</v>
      </c>
      <c r="P4537" t="s">
        <v>26</v>
      </c>
    </row>
    <row r="4538" spans="1:16" x14ac:dyDescent="0.25">
      <c r="A4538" t="s">
        <v>9109</v>
      </c>
      <c r="B4538" t="s">
        <v>9110</v>
      </c>
      <c r="C4538" t="s">
        <v>18</v>
      </c>
      <c r="D4538" t="s">
        <v>30</v>
      </c>
      <c r="E4538" t="s">
        <v>20</v>
      </c>
      <c r="F4538" t="s">
        <v>39</v>
      </c>
      <c r="G4538" t="s">
        <v>22</v>
      </c>
      <c r="H4538" t="s">
        <v>23</v>
      </c>
      <c r="I4538" t="s">
        <v>35</v>
      </c>
      <c r="J4538" t="s">
        <v>664</v>
      </c>
      <c r="L4538">
        <v>3</v>
      </c>
      <c r="M4538">
        <v>154000</v>
      </c>
      <c r="N4538">
        <v>1.9</v>
      </c>
      <c r="O4538">
        <v>8</v>
      </c>
      <c r="P4538" t="s">
        <v>26</v>
      </c>
    </row>
    <row r="4539" spans="1:16" x14ac:dyDescent="0.25">
      <c r="A4539" t="s">
        <v>9111</v>
      </c>
      <c r="B4539" t="s">
        <v>7160</v>
      </c>
      <c r="C4539" t="s">
        <v>18</v>
      </c>
      <c r="D4539" t="s">
        <v>43</v>
      </c>
      <c r="E4539" t="s">
        <v>20</v>
      </c>
      <c r="G4539" t="s">
        <v>22</v>
      </c>
      <c r="H4539" t="s">
        <v>23</v>
      </c>
      <c r="I4539" t="s">
        <v>171</v>
      </c>
      <c r="J4539" t="s">
        <v>7613</v>
      </c>
      <c r="L4539">
        <v>5.7</v>
      </c>
      <c r="M4539">
        <v>372000</v>
      </c>
      <c r="N4539">
        <v>4.3</v>
      </c>
      <c r="O4539">
        <v>7</v>
      </c>
      <c r="P4539" t="s">
        <v>26</v>
      </c>
    </row>
    <row r="4540" spans="1:16" x14ac:dyDescent="0.25">
      <c r="A4540" t="s">
        <v>9112</v>
      </c>
      <c r="B4540" t="s">
        <v>4173</v>
      </c>
      <c r="C4540" t="s">
        <v>18</v>
      </c>
      <c r="D4540" t="s">
        <v>30</v>
      </c>
      <c r="E4540" t="s">
        <v>20</v>
      </c>
      <c r="F4540" t="s">
        <v>39</v>
      </c>
      <c r="G4540" t="s">
        <v>80</v>
      </c>
      <c r="H4540" t="s">
        <v>34</v>
      </c>
      <c r="I4540" t="s">
        <v>57</v>
      </c>
      <c r="J4540" t="s">
        <v>175</v>
      </c>
      <c r="K4540" t="s">
        <v>1525</v>
      </c>
      <c r="L4540">
        <v>5.8</v>
      </c>
      <c r="M4540">
        <v>172000</v>
      </c>
      <c r="O4540">
        <v>1</v>
      </c>
      <c r="P4540" t="s">
        <v>53</v>
      </c>
    </row>
    <row r="4541" spans="1:16" x14ac:dyDescent="0.25">
      <c r="A4541" t="s">
        <v>9113</v>
      </c>
      <c r="B4541" t="s">
        <v>5881</v>
      </c>
      <c r="D4541" t="s">
        <v>43</v>
      </c>
      <c r="F4541" t="s">
        <v>32</v>
      </c>
      <c r="G4541" t="s">
        <v>22</v>
      </c>
      <c r="H4541" t="s">
        <v>46</v>
      </c>
      <c r="I4541" t="s">
        <v>24</v>
      </c>
      <c r="J4541" t="s">
        <v>6610</v>
      </c>
      <c r="K4541" t="s">
        <v>8981</v>
      </c>
      <c r="L4541">
        <v>4.0999999999999996</v>
      </c>
      <c r="M4541">
        <v>226000</v>
      </c>
      <c r="N4541">
        <v>3.4</v>
      </c>
      <c r="O4541">
        <v>2</v>
      </c>
      <c r="P4541" t="s">
        <v>53</v>
      </c>
    </row>
    <row r="4542" spans="1:16" x14ac:dyDescent="0.25">
      <c r="A4542" t="s">
        <v>9114</v>
      </c>
      <c r="B4542" t="s">
        <v>9115</v>
      </c>
      <c r="C4542" t="s">
        <v>18</v>
      </c>
      <c r="D4542" t="s">
        <v>19</v>
      </c>
      <c r="E4542" t="s">
        <v>31</v>
      </c>
      <c r="F4542" t="s">
        <v>39</v>
      </c>
      <c r="G4542" t="s">
        <v>80</v>
      </c>
      <c r="H4542" t="s">
        <v>23</v>
      </c>
      <c r="I4542" t="s">
        <v>24</v>
      </c>
      <c r="J4542" t="s">
        <v>1709</v>
      </c>
      <c r="L4542">
        <v>5</v>
      </c>
      <c r="M4542">
        <v>191000</v>
      </c>
      <c r="N4542">
        <v>3.6</v>
      </c>
      <c r="O4542">
        <v>8</v>
      </c>
      <c r="P4542" t="s">
        <v>26</v>
      </c>
    </row>
    <row r="4543" spans="1:16" x14ac:dyDescent="0.25">
      <c r="A4543" t="s">
        <v>9116</v>
      </c>
      <c r="B4543" t="s">
        <v>3482</v>
      </c>
      <c r="C4543" t="s">
        <v>18</v>
      </c>
      <c r="D4543" t="s">
        <v>79</v>
      </c>
      <c r="E4543" t="s">
        <v>20</v>
      </c>
      <c r="F4543" t="s">
        <v>32</v>
      </c>
      <c r="G4543" t="s">
        <v>22</v>
      </c>
      <c r="H4543" t="s">
        <v>23</v>
      </c>
      <c r="I4543" t="s">
        <v>24</v>
      </c>
      <c r="J4543" t="s">
        <v>2453</v>
      </c>
      <c r="L4543">
        <v>1.5</v>
      </c>
      <c r="M4543">
        <v>295000</v>
      </c>
      <c r="N4543">
        <v>3.1</v>
      </c>
      <c r="O4543">
        <v>4</v>
      </c>
      <c r="P4543" t="s">
        <v>26</v>
      </c>
    </row>
    <row r="4544" spans="1:16" x14ac:dyDescent="0.25">
      <c r="A4544" t="s">
        <v>9117</v>
      </c>
      <c r="B4544" t="s">
        <v>3106</v>
      </c>
      <c r="C4544" t="s">
        <v>29</v>
      </c>
      <c r="D4544" t="s">
        <v>185</v>
      </c>
      <c r="E4544" t="s">
        <v>20</v>
      </c>
      <c r="F4544" t="s">
        <v>128</v>
      </c>
      <c r="G4544" t="s">
        <v>33</v>
      </c>
      <c r="H4544" t="s">
        <v>46</v>
      </c>
      <c r="I4544" t="s">
        <v>24</v>
      </c>
      <c r="J4544" t="s">
        <v>4184</v>
      </c>
      <c r="L4544">
        <v>2.1</v>
      </c>
      <c r="M4544">
        <v>386000</v>
      </c>
      <c r="N4544">
        <v>3.5</v>
      </c>
      <c r="O4544">
        <v>11</v>
      </c>
      <c r="P4544" t="s">
        <v>26</v>
      </c>
    </row>
    <row r="4545" spans="1:16" x14ac:dyDescent="0.25">
      <c r="A4545" t="s">
        <v>9118</v>
      </c>
      <c r="B4545" t="s">
        <v>3770</v>
      </c>
      <c r="C4545" t="s">
        <v>18</v>
      </c>
      <c r="D4545" t="s">
        <v>50</v>
      </c>
      <c r="E4545" t="s">
        <v>44</v>
      </c>
      <c r="F4545" t="s">
        <v>32</v>
      </c>
      <c r="G4545" t="s">
        <v>33</v>
      </c>
      <c r="H4545" t="s">
        <v>23</v>
      </c>
      <c r="I4545" t="s">
        <v>24</v>
      </c>
      <c r="J4545" t="s">
        <v>3745</v>
      </c>
      <c r="L4545">
        <v>2.2999999999999998</v>
      </c>
      <c r="N4545">
        <v>4.0999999999999996</v>
      </c>
      <c r="O4545">
        <v>1</v>
      </c>
      <c r="P4545" t="s">
        <v>26</v>
      </c>
    </row>
    <row r="4546" spans="1:16" x14ac:dyDescent="0.25">
      <c r="A4546" t="s">
        <v>9119</v>
      </c>
      <c r="B4546" t="s">
        <v>9120</v>
      </c>
      <c r="C4546" t="s">
        <v>18</v>
      </c>
      <c r="D4546" t="s">
        <v>79</v>
      </c>
      <c r="E4546" t="s">
        <v>44</v>
      </c>
      <c r="F4546" t="s">
        <v>39</v>
      </c>
      <c r="G4546" t="s">
        <v>22</v>
      </c>
      <c r="H4546" t="s">
        <v>62</v>
      </c>
      <c r="I4546" t="s">
        <v>24</v>
      </c>
      <c r="J4546" t="s">
        <v>3134</v>
      </c>
      <c r="L4546">
        <v>5.0999999999999996</v>
      </c>
      <c r="M4546">
        <v>173000</v>
      </c>
      <c r="O4546">
        <v>12</v>
      </c>
      <c r="P4546" t="s">
        <v>26</v>
      </c>
    </row>
    <row r="4547" spans="1:16" x14ac:dyDescent="0.25">
      <c r="A4547" t="s">
        <v>9121</v>
      </c>
      <c r="B4547" t="s">
        <v>9122</v>
      </c>
      <c r="C4547" t="s">
        <v>29</v>
      </c>
      <c r="D4547" t="s">
        <v>50</v>
      </c>
      <c r="E4547" t="s">
        <v>20</v>
      </c>
      <c r="F4547" t="s">
        <v>39</v>
      </c>
      <c r="G4547" t="s">
        <v>22</v>
      </c>
      <c r="H4547" t="s">
        <v>23</v>
      </c>
      <c r="I4547" t="s">
        <v>24</v>
      </c>
      <c r="J4547" t="s">
        <v>8815</v>
      </c>
      <c r="L4547">
        <v>3.1</v>
      </c>
      <c r="M4547">
        <v>103000</v>
      </c>
      <c r="O4547">
        <v>5</v>
      </c>
      <c r="P4547" t="s">
        <v>26</v>
      </c>
    </row>
    <row r="4548" spans="1:16" x14ac:dyDescent="0.25">
      <c r="A4548" t="s">
        <v>9123</v>
      </c>
      <c r="B4548" t="s">
        <v>9124</v>
      </c>
      <c r="C4548" t="s">
        <v>29</v>
      </c>
      <c r="D4548" t="s">
        <v>30</v>
      </c>
      <c r="E4548" t="s">
        <v>20</v>
      </c>
      <c r="F4548" t="s">
        <v>32</v>
      </c>
      <c r="G4548" t="s">
        <v>22</v>
      </c>
      <c r="H4548" t="s">
        <v>34</v>
      </c>
      <c r="I4548" t="s">
        <v>75</v>
      </c>
      <c r="J4548" t="s">
        <v>5192</v>
      </c>
      <c r="L4548">
        <v>2.5</v>
      </c>
      <c r="M4548">
        <v>317000</v>
      </c>
      <c r="N4548">
        <v>2.5</v>
      </c>
      <c r="O4548">
        <v>37</v>
      </c>
      <c r="P4548" t="s">
        <v>26</v>
      </c>
    </row>
    <row r="4549" spans="1:16" x14ac:dyDescent="0.25">
      <c r="A4549" t="s">
        <v>9125</v>
      </c>
      <c r="B4549" t="s">
        <v>1293</v>
      </c>
      <c r="C4549" t="s">
        <v>29</v>
      </c>
      <c r="D4549" t="s">
        <v>43</v>
      </c>
      <c r="E4549" t="s">
        <v>20</v>
      </c>
      <c r="F4549" t="s">
        <v>45</v>
      </c>
      <c r="G4549" t="s">
        <v>80</v>
      </c>
      <c r="H4549" t="s">
        <v>46</v>
      </c>
      <c r="I4549" t="s">
        <v>24</v>
      </c>
      <c r="J4549" t="s">
        <v>9095</v>
      </c>
      <c r="L4549">
        <v>1.8</v>
      </c>
      <c r="M4549">
        <v>1115000</v>
      </c>
      <c r="N4549">
        <v>3.1</v>
      </c>
      <c r="O4549">
        <v>9</v>
      </c>
      <c r="P4549" t="s">
        <v>26</v>
      </c>
    </row>
    <row r="4550" spans="1:16" x14ac:dyDescent="0.25">
      <c r="A4550" t="s">
        <v>9126</v>
      </c>
      <c r="B4550" t="s">
        <v>8413</v>
      </c>
      <c r="C4550" t="s">
        <v>29</v>
      </c>
      <c r="D4550" t="s">
        <v>19</v>
      </c>
      <c r="E4550" t="s">
        <v>20</v>
      </c>
      <c r="F4550" t="s">
        <v>32</v>
      </c>
      <c r="G4550" t="s">
        <v>69</v>
      </c>
      <c r="H4550" t="s">
        <v>34</v>
      </c>
      <c r="I4550" t="s">
        <v>35</v>
      </c>
      <c r="J4550" t="s">
        <v>3134</v>
      </c>
      <c r="L4550">
        <v>5.0999999999999996</v>
      </c>
      <c r="M4550">
        <v>385000</v>
      </c>
      <c r="N4550">
        <v>4.9000000000000004</v>
      </c>
      <c r="O4550">
        <v>28</v>
      </c>
      <c r="P4550" t="s">
        <v>26</v>
      </c>
    </row>
    <row r="4551" spans="1:16" x14ac:dyDescent="0.25">
      <c r="A4551" t="s">
        <v>9127</v>
      </c>
      <c r="B4551" t="s">
        <v>7076</v>
      </c>
      <c r="C4551" t="s">
        <v>29</v>
      </c>
      <c r="D4551" t="s">
        <v>50</v>
      </c>
      <c r="F4551" t="s">
        <v>32</v>
      </c>
      <c r="G4551" t="s">
        <v>33</v>
      </c>
      <c r="I4551" t="s">
        <v>24</v>
      </c>
      <c r="J4551" t="s">
        <v>1878</v>
      </c>
      <c r="L4551">
        <v>2</v>
      </c>
      <c r="M4551">
        <v>186000</v>
      </c>
      <c r="N4551">
        <v>3.9</v>
      </c>
      <c r="O4551">
        <v>8</v>
      </c>
      <c r="P4551" t="s">
        <v>26</v>
      </c>
    </row>
    <row r="4552" spans="1:16" x14ac:dyDescent="0.25">
      <c r="A4552" t="s">
        <v>9128</v>
      </c>
      <c r="B4552" t="s">
        <v>6110</v>
      </c>
      <c r="C4552" t="s">
        <v>29</v>
      </c>
      <c r="D4552" t="s">
        <v>19</v>
      </c>
      <c r="F4552" t="s">
        <v>21</v>
      </c>
      <c r="G4552" t="s">
        <v>33</v>
      </c>
      <c r="H4552" t="s">
        <v>23</v>
      </c>
      <c r="J4552" t="s">
        <v>2365</v>
      </c>
      <c r="L4552">
        <v>5.2</v>
      </c>
      <c r="M4552">
        <v>861000</v>
      </c>
      <c r="N4552">
        <v>4.7</v>
      </c>
      <c r="O4552">
        <v>2</v>
      </c>
      <c r="P4552" t="s">
        <v>26</v>
      </c>
    </row>
    <row r="4553" spans="1:16" x14ac:dyDescent="0.25">
      <c r="A4553" t="s">
        <v>9129</v>
      </c>
      <c r="B4553" t="s">
        <v>4447</v>
      </c>
      <c r="C4553" t="s">
        <v>18</v>
      </c>
      <c r="D4553" t="s">
        <v>50</v>
      </c>
      <c r="E4553" t="s">
        <v>44</v>
      </c>
      <c r="F4553" t="s">
        <v>45</v>
      </c>
      <c r="G4553" t="s">
        <v>22</v>
      </c>
      <c r="H4553" t="s">
        <v>46</v>
      </c>
      <c r="I4553" t="s">
        <v>171</v>
      </c>
      <c r="J4553" t="s">
        <v>8905</v>
      </c>
      <c r="L4553">
        <v>2.5</v>
      </c>
      <c r="M4553">
        <v>1395000</v>
      </c>
      <c r="N4553">
        <v>3.7</v>
      </c>
      <c r="O4553">
        <v>14</v>
      </c>
      <c r="P4553" t="s">
        <v>26</v>
      </c>
    </row>
    <row r="4554" spans="1:16" x14ac:dyDescent="0.25">
      <c r="A4554" t="s">
        <v>9130</v>
      </c>
      <c r="B4554" t="s">
        <v>8519</v>
      </c>
      <c r="C4554" t="s">
        <v>18</v>
      </c>
      <c r="D4554" t="s">
        <v>79</v>
      </c>
      <c r="E4554" t="s">
        <v>20</v>
      </c>
      <c r="F4554" t="s">
        <v>32</v>
      </c>
      <c r="G4554" t="s">
        <v>80</v>
      </c>
      <c r="H4554" t="s">
        <v>34</v>
      </c>
      <c r="I4554" t="s">
        <v>24</v>
      </c>
      <c r="J4554" t="s">
        <v>2417</v>
      </c>
      <c r="K4554" t="s">
        <v>103</v>
      </c>
      <c r="L4554">
        <v>3</v>
      </c>
      <c r="M4554">
        <v>244000</v>
      </c>
      <c r="N4554">
        <v>3.9</v>
      </c>
      <c r="O4554">
        <v>4</v>
      </c>
      <c r="P4554" t="s">
        <v>72</v>
      </c>
    </row>
    <row r="4555" spans="1:16" x14ac:dyDescent="0.25">
      <c r="A4555" t="s">
        <v>9131</v>
      </c>
      <c r="B4555" t="s">
        <v>9132</v>
      </c>
      <c r="C4555" t="s">
        <v>29</v>
      </c>
      <c r="D4555" t="s">
        <v>43</v>
      </c>
      <c r="E4555" t="s">
        <v>20</v>
      </c>
      <c r="F4555" t="s">
        <v>128</v>
      </c>
      <c r="G4555" t="s">
        <v>33</v>
      </c>
      <c r="H4555" t="s">
        <v>23</v>
      </c>
      <c r="I4555" t="s">
        <v>24</v>
      </c>
      <c r="J4555" t="s">
        <v>5559</v>
      </c>
      <c r="K4555" t="s">
        <v>106</v>
      </c>
      <c r="L4555">
        <v>5.4</v>
      </c>
      <c r="M4555">
        <v>453000</v>
      </c>
      <c r="N4555">
        <v>2.1</v>
      </c>
      <c r="O4555">
        <v>0</v>
      </c>
      <c r="P4555" t="s">
        <v>72</v>
      </c>
    </row>
    <row r="4556" spans="1:16" x14ac:dyDescent="0.25">
      <c r="A4556" t="s">
        <v>9133</v>
      </c>
      <c r="B4556" t="s">
        <v>9134</v>
      </c>
      <c r="D4556" t="s">
        <v>30</v>
      </c>
      <c r="E4556" t="s">
        <v>44</v>
      </c>
      <c r="F4556" t="s">
        <v>39</v>
      </c>
      <c r="G4556" t="s">
        <v>80</v>
      </c>
      <c r="H4556" t="s">
        <v>34</v>
      </c>
      <c r="I4556" t="s">
        <v>24</v>
      </c>
      <c r="J4556" t="s">
        <v>9135</v>
      </c>
      <c r="K4556" t="s">
        <v>6456</v>
      </c>
      <c r="L4556">
        <v>4.7</v>
      </c>
      <c r="M4556">
        <v>148000</v>
      </c>
      <c r="N4556">
        <v>1.5</v>
      </c>
      <c r="O4556">
        <v>35</v>
      </c>
      <c r="P4556" t="s">
        <v>53</v>
      </c>
    </row>
    <row r="4557" spans="1:16" x14ac:dyDescent="0.25">
      <c r="A4557" t="s">
        <v>9136</v>
      </c>
      <c r="B4557" t="s">
        <v>7241</v>
      </c>
      <c r="C4557" t="s">
        <v>18</v>
      </c>
      <c r="D4557" t="s">
        <v>43</v>
      </c>
      <c r="E4557" t="s">
        <v>20</v>
      </c>
      <c r="F4557" t="s">
        <v>21</v>
      </c>
      <c r="G4557" t="s">
        <v>22</v>
      </c>
      <c r="H4557" t="s">
        <v>23</v>
      </c>
      <c r="I4557" t="s">
        <v>57</v>
      </c>
      <c r="J4557" t="s">
        <v>1951</v>
      </c>
      <c r="L4557">
        <v>5.9</v>
      </c>
      <c r="M4557">
        <v>690000</v>
      </c>
      <c r="N4557">
        <v>4.2</v>
      </c>
      <c r="O4557">
        <v>10</v>
      </c>
      <c r="P4557" t="s">
        <v>26</v>
      </c>
    </row>
    <row r="4558" spans="1:16" x14ac:dyDescent="0.25">
      <c r="A4558" t="s">
        <v>9137</v>
      </c>
      <c r="B4558" t="s">
        <v>3029</v>
      </c>
      <c r="C4558" t="s">
        <v>18</v>
      </c>
      <c r="D4558" t="s">
        <v>30</v>
      </c>
      <c r="E4558" t="s">
        <v>20</v>
      </c>
      <c r="F4558" t="s">
        <v>32</v>
      </c>
      <c r="G4558" t="s">
        <v>33</v>
      </c>
      <c r="H4558" t="s">
        <v>23</v>
      </c>
      <c r="I4558" t="s">
        <v>57</v>
      </c>
      <c r="J4558" t="s">
        <v>5902</v>
      </c>
      <c r="L4558">
        <v>4.9000000000000004</v>
      </c>
      <c r="M4558">
        <v>275000</v>
      </c>
      <c r="N4558">
        <v>4.0999999999999996</v>
      </c>
      <c r="O4558">
        <v>7</v>
      </c>
      <c r="P4558" t="s">
        <v>26</v>
      </c>
    </row>
    <row r="4559" spans="1:16" x14ac:dyDescent="0.25">
      <c r="A4559" t="s">
        <v>9138</v>
      </c>
      <c r="B4559" t="s">
        <v>6741</v>
      </c>
      <c r="C4559" t="s">
        <v>29</v>
      </c>
      <c r="D4559" t="s">
        <v>19</v>
      </c>
      <c r="F4559" t="s">
        <v>32</v>
      </c>
      <c r="G4559" t="s">
        <v>33</v>
      </c>
      <c r="H4559" t="s">
        <v>34</v>
      </c>
      <c r="I4559" t="s">
        <v>57</v>
      </c>
      <c r="J4559" t="s">
        <v>9139</v>
      </c>
      <c r="L4559">
        <v>4.9000000000000004</v>
      </c>
      <c r="M4559">
        <v>300000</v>
      </c>
      <c r="N4559">
        <v>4.5999999999999996</v>
      </c>
      <c r="O4559">
        <v>7</v>
      </c>
      <c r="P4559" t="s">
        <v>26</v>
      </c>
    </row>
    <row r="4560" spans="1:16" x14ac:dyDescent="0.25">
      <c r="A4560" t="s">
        <v>9140</v>
      </c>
      <c r="B4560" t="s">
        <v>1707</v>
      </c>
      <c r="C4560" t="s">
        <v>18</v>
      </c>
      <c r="D4560" t="s">
        <v>50</v>
      </c>
      <c r="E4560" t="s">
        <v>31</v>
      </c>
      <c r="F4560" t="s">
        <v>39</v>
      </c>
      <c r="G4560" t="s">
        <v>80</v>
      </c>
      <c r="H4560" t="s">
        <v>34</v>
      </c>
      <c r="I4560" t="s">
        <v>57</v>
      </c>
      <c r="J4560" t="s">
        <v>3889</v>
      </c>
      <c r="L4560">
        <v>5.2</v>
      </c>
      <c r="M4560">
        <v>115000</v>
      </c>
      <c r="N4560">
        <v>3.2</v>
      </c>
      <c r="O4560">
        <v>29</v>
      </c>
      <c r="P4560" t="s">
        <v>26</v>
      </c>
    </row>
    <row r="4561" spans="1:16" x14ac:dyDescent="0.25">
      <c r="A4561" t="s">
        <v>9141</v>
      </c>
      <c r="B4561" t="s">
        <v>3976</v>
      </c>
      <c r="C4561" t="s">
        <v>29</v>
      </c>
      <c r="D4561" t="s">
        <v>79</v>
      </c>
      <c r="E4561" t="s">
        <v>20</v>
      </c>
      <c r="F4561" t="s">
        <v>39</v>
      </c>
      <c r="G4561" t="s">
        <v>69</v>
      </c>
      <c r="H4561" t="s">
        <v>23</v>
      </c>
      <c r="I4561" t="s">
        <v>24</v>
      </c>
      <c r="J4561" t="s">
        <v>3654</v>
      </c>
      <c r="K4561" t="s">
        <v>3097</v>
      </c>
      <c r="L4561">
        <v>5.0999999999999996</v>
      </c>
      <c r="M4561">
        <v>118000</v>
      </c>
      <c r="N4561">
        <v>4.9000000000000004</v>
      </c>
      <c r="O4561">
        <v>11</v>
      </c>
      <c r="P4561" t="s">
        <v>53</v>
      </c>
    </row>
    <row r="4562" spans="1:16" x14ac:dyDescent="0.25">
      <c r="A4562" t="s">
        <v>9142</v>
      </c>
      <c r="B4562" t="s">
        <v>6764</v>
      </c>
      <c r="C4562" t="s">
        <v>29</v>
      </c>
      <c r="D4562" t="s">
        <v>79</v>
      </c>
      <c r="E4562" t="s">
        <v>44</v>
      </c>
      <c r="F4562" t="s">
        <v>39</v>
      </c>
      <c r="G4562" t="s">
        <v>22</v>
      </c>
      <c r="H4562" t="s">
        <v>23</v>
      </c>
      <c r="I4562" t="s">
        <v>35</v>
      </c>
      <c r="J4562" t="s">
        <v>4176</v>
      </c>
      <c r="L4562">
        <v>3.6</v>
      </c>
      <c r="M4562">
        <v>173000</v>
      </c>
      <c r="N4562">
        <v>3.7</v>
      </c>
      <c r="O4562">
        <v>13</v>
      </c>
      <c r="P4562" t="s">
        <v>26</v>
      </c>
    </row>
    <row r="4563" spans="1:16" x14ac:dyDescent="0.25">
      <c r="A4563" t="s">
        <v>9143</v>
      </c>
      <c r="B4563" t="s">
        <v>2974</v>
      </c>
      <c r="C4563" t="s">
        <v>29</v>
      </c>
      <c r="D4563" t="s">
        <v>30</v>
      </c>
      <c r="E4563" t="s">
        <v>31</v>
      </c>
      <c r="F4563" t="s">
        <v>39</v>
      </c>
      <c r="G4563" t="s">
        <v>69</v>
      </c>
      <c r="H4563" t="s">
        <v>46</v>
      </c>
      <c r="I4563" t="s">
        <v>35</v>
      </c>
      <c r="J4563" t="s">
        <v>216</v>
      </c>
      <c r="L4563">
        <v>4.4000000000000004</v>
      </c>
      <c r="M4563">
        <v>121000</v>
      </c>
      <c r="N4563">
        <v>2.5</v>
      </c>
      <c r="O4563">
        <v>14</v>
      </c>
      <c r="P4563" t="s">
        <v>26</v>
      </c>
    </row>
    <row r="4564" spans="1:16" x14ac:dyDescent="0.25">
      <c r="A4564" t="s">
        <v>9144</v>
      </c>
      <c r="B4564" t="s">
        <v>17</v>
      </c>
      <c r="C4564" t="s">
        <v>18</v>
      </c>
      <c r="E4564" t="s">
        <v>20</v>
      </c>
      <c r="F4564" t="s">
        <v>128</v>
      </c>
      <c r="G4564" t="s">
        <v>69</v>
      </c>
      <c r="H4564" t="s">
        <v>46</v>
      </c>
      <c r="I4564" t="s">
        <v>35</v>
      </c>
      <c r="J4564" t="s">
        <v>776</v>
      </c>
      <c r="L4564">
        <v>2.4</v>
      </c>
      <c r="M4564">
        <v>416000</v>
      </c>
      <c r="N4564">
        <v>4.5999999999999996</v>
      </c>
      <c r="O4564">
        <v>14</v>
      </c>
      <c r="P4564" t="s">
        <v>26</v>
      </c>
    </row>
    <row r="4565" spans="1:16" x14ac:dyDescent="0.25">
      <c r="A4565" t="s">
        <v>9145</v>
      </c>
      <c r="B4565" t="s">
        <v>4028</v>
      </c>
      <c r="C4565" t="s">
        <v>18</v>
      </c>
      <c r="D4565" t="s">
        <v>30</v>
      </c>
      <c r="E4565" t="s">
        <v>20</v>
      </c>
      <c r="F4565" t="s">
        <v>128</v>
      </c>
      <c r="G4565" t="s">
        <v>22</v>
      </c>
      <c r="H4565" t="s">
        <v>23</v>
      </c>
      <c r="I4565" t="s">
        <v>57</v>
      </c>
      <c r="J4565" t="s">
        <v>76</v>
      </c>
      <c r="L4565">
        <v>1.3</v>
      </c>
      <c r="M4565">
        <v>505000</v>
      </c>
      <c r="N4565">
        <v>2.4</v>
      </c>
      <c r="O4565">
        <v>3</v>
      </c>
      <c r="P4565" t="s">
        <v>26</v>
      </c>
    </row>
    <row r="4566" spans="1:16" x14ac:dyDescent="0.25">
      <c r="A4566" t="s">
        <v>9146</v>
      </c>
      <c r="B4566" t="s">
        <v>9147</v>
      </c>
      <c r="C4566" t="s">
        <v>18</v>
      </c>
      <c r="D4566" t="s">
        <v>19</v>
      </c>
      <c r="E4566" t="s">
        <v>20</v>
      </c>
      <c r="F4566" t="s">
        <v>39</v>
      </c>
      <c r="G4566" t="s">
        <v>22</v>
      </c>
      <c r="H4566" t="s">
        <v>46</v>
      </c>
      <c r="I4566" t="s">
        <v>24</v>
      </c>
      <c r="J4566" t="s">
        <v>1065</v>
      </c>
      <c r="L4566">
        <v>4</v>
      </c>
      <c r="N4566">
        <v>3.8</v>
      </c>
      <c r="O4566">
        <v>2</v>
      </c>
      <c r="P4566" t="s">
        <v>26</v>
      </c>
    </row>
    <row r="4567" spans="1:16" x14ac:dyDescent="0.25">
      <c r="A4567" t="s">
        <v>9148</v>
      </c>
      <c r="B4567" t="s">
        <v>9149</v>
      </c>
      <c r="C4567" t="s">
        <v>29</v>
      </c>
      <c r="D4567" t="s">
        <v>79</v>
      </c>
      <c r="E4567" t="s">
        <v>20</v>
      </c>
      <c r="F4567" t="s">
        <v>128</v>
      </c>
      <c r="G4567" t="s">
        <v>22</v>
      </c>
      <c r="H4567" t="s">
        <v>23</v>
      </c>
      <c r="I4567" t="s">
        <v>57</v>
      </c>
      <c r="J4567" t="s">
        <v>5485</v>
      </c>
      <c r="K4567" t="s">
        <v>1684</v>
      </c>
      <c r="L4567">
        <v>2.8</v>
      </c>
      <c r="M4567">
        <v>459000</v>
      </c>
      <c r="N4567">
        <v>2.7</v>
      </c>
      <c r="O4567">
        <v>1</v>
      </c>
      <c r="P4567" t="s">
        <v>53</v>
      </c>
    </row>
    <row r="4568" spans="1:16" x14ac:dyDescent="0.25">
      <c r="A4568" t="s">
        <v>9150</v>
      </c>
      <c r="B4568" t="s">
        <v>2409</v>
      </c>
      <c r="C4568" t="s">
        <v>18</v>
      </c>
      <c r="D4568" t="s">
        <v>50</v>
      </c>
      <c r="E4568" t="s">
        <v>44</v>
      </c>
      <c r="F4568" t="s">
        <v>32</v>
      </c>
      <c r="G4568" t="s">
        <v>69</v>
      </c>
      <c r="H4568" t="s">
        <v>23</v>
      </c>
      <c r="I4568" t="s">
        <v>24</v>
      </c>
      <c r="J4568" t="s">
        <v>3740</v>
      </c>
      <c r="L4568">
        <v>3.3</v>
      </c>
      <c r="M4568">
        <v>269000</v>
      </c>
      <c r="N4568">
        <v>4.7</v>
      </c>
      <c r="O4568">
        <v>9</v>
      </c>
      <c r="P4568" t="s">
        <v>26</v>
      </c>
    </row>
    <row r="4569" spans="1:16" x14ac:dyDescent="0.25">
      <c r="A4569" t="s">
        <v>9151</v>
      </c>
      <c r="B4569" t="s">
        <v>1410</v>
      </c>
      <c r="C4569" t="s">
        <v>29</v>
      </c>
      <c r="D4569" t="s">
        <v>43</v>
      </c>
      <c r="E4569" t="s">
        <v>31</v>
      </c>
      <c r="F4569" t="s">
        <v>32</v>
      </c>
      <c r="G4569" t="s">
        <v>80</v>
      </c>
      <c r="H4569" t="s">
        <v>34</v>
      </c>
      <c r="I4569" t="s">
        <v>57</v>
      </c>
      <c r="J4569" t="s">
        <v>9152</v>
      </c>
      <c r="L4569">
        <v>5.0999999999999996</v>
      </c>
      <c r="M4569">
        <v>194000</v>
      </c>
      <c r="N4569">
        <v>5</v>
      </c>
      <c r="O4569">
        <v>40</v>
      </c>
      <c r="P4569" t="s">
        <v>26</v>
      </c>
    </row>
    <row r="4570" spans="1:16" x14ac:dyDescent="0.25">
      <c r="A4570" t="s">
        <v>9153</v>
      </c>
      <c r="B4570" t="s">
        <v>2567</v>
      </c>
      <c r="C4570" t="s">
        <v>29</v>
      </c>
      <c r="D4570" t="s">
        <v>19</v>
      </c>
      <c r="E4570" t="s">
        <v>20</v>
      </c>
      <c r="F4570" t="s">
        <v>32</v>
      </c>
      <c r="G4570" t="s">
        <v>22</v>
      </c>
      <c r="H4570" t="s">
        <v>23</v>
      </c>
      <c r="I4570" t="s">
        <v>24</v>
      </c>
      <c r="J4570" t="s">
        <v>978</v>
      </c>
      <c r="L4570">
        <v>1.5</v>
      </c>
      <c r="M4570">
        <v>299000</v>
      </c>
      <c r="N4570">
        <v>3.4</v>
      </c>
      <c r="O4570">
        <v>13</v>
      </c>
      <c r="P4570" t="s">
        <v>26</v>
      </c>
    </row>
    <row r="4571" spans="1:16" x14ac:dyDescent="0.25">
      <c r="A4571" t="s">
        <v>9154</v>
      </c>
      <c r="B4571" t="s">
        <v>4463</v>
      </c>
      <c r="C4571" t="s">
        <v>18</v>
      </c>
      <c r="D4571" t="s">
        <v>50</v>
      </c>
      <c r="E4571" t="s">
        <v>31</v>
      </c>
      <c r="F4571" t="s">
        <v>32</v>
      </c>
      <c r="G4571" t="s">
        <v>22</v>
      </c>
      <c r="H4571" t="s">
        <v>46</v>
      </c>
      <c r="I4571" t="s">
        <v>24</v>
      </c>
      <c r="J4571" t="s">
        <v>682</v>
      </c>
      <c r="K4571" t="s">
        <v>3774</v>
      </c>
      <c r="L4571">
        <v>3.5</v>
      </c>
      <c r="M4571">
        <v>255000</v>
      </c>
      <c r="N4571">
        <v>4.5</v>
      </c>
      <c r="O4571">
        <v>4</v>
      </c>
      <c r="P4571" t="s">
        <v>114</v>
      </c>
    </row>
    <row r="4572" spans="1:16" x14ac:dyDescent="0.25">
      <c r="A4572" t="s">
        <v>9155</v>
      </c>
      <c r="B4572" t="s">
        <v>6659</v>
      </c>
      <c r="C4572" t="s">
        <v>29</v>
      </c>
      <c r="D4572" t="s">
        <v>30</v>
      </c>
      <c r="E4572" t="s">
        <v>31</v>
      </c>
      <c r="F4572" t="s">
        <v>32</v>
      </c>
      <c r="G4572" t="s">
        <v>22</v>
      </c>
      <c r="H4572" t="s">
        <v>46</v>
      </c>
      <c r="I4572" t="s">
        <v>171</v>
      </c>
      <c r="J4572" t="s">
        <v>3982</v>
      </c>
      <c r="K4572" t="s">
        <v>6877</v>
      </c>
      <c r="L4572">
        <v>2.5</v>
      </c>
      <c r="M4572">
        <v>209000</v>
      </c>
      <c r="N4572">
        <v>1.5</v>
      </c>
      <c r="O4572">
        <v>12</v>
      </c>
      <c r="P4572" t="s">
        <v>53</v>
      </c>
    </row>
    <row r="4573" spans="1:16" x14ac:dyDescent="0.25">
      <c r="A4573" t="s">
        <v>9156</v>
      </c>
      <c r="B4573" t="s">
        <v>2302</v>
      </c>
      <c r="C4573" t="s">
        <v>18</v>
      </c>
      <c r="D4573" t="s">
        <v>43</v>
      </c>
      <c r="E4573" t="s">
        <v>20</v>
      </c>
      <c r="F4573" t="s">
        <v>32</v>
      </c>
      <c r="G4573" t="s">
        <v>80</v>
      </c>
      <c r="H4573" t="s">
        <v>23</v>
      </c>
      <c r="I4573" t="s">
        <v>24</v>
      </c>
      <c r="J4573" t="s">
        <v>837</v>
      </c>
      <c r="K4573" t="s">
        <v>1562</v>
      </c>
      <c r="L4573">
        <v>1.5</v>
      </c>
      <c r="M4573">
        <v>186000</v>
      </c>
      <c r="N4573">
        <v>4.5</v>
      </c>
      <c r="O4573">
        <v>8</v>
      </c>
      <c r="P4573" t="s">
        <v>72</v>
      </c>
    </row>
    <row r="4574" spans="1:16" x14ac:dyDescent="0.25">
      <c r="A4574" t="s">
        <v>9157</v>
      </c>
      <c r="B4574" t="s">
        <v>4619</v>
      </c>
      <c r="C4574" t="s">
        <v>18</v>
      </c>
      <c r="D4574" t="s">
        <v>43</v>
      </c>
      <c r="E4574" t="s">
        <v>31</v>
      </c>
      <c r="F4574" t="s">
        <v>128</v>
      </c>
      <c r="G4574" t="s">
        <v>80</v>
      </c>
      <c r="H4574" t="s">
        <v>46</v>
      </c>
      <c r="I4574" t="s">
        <v>24</v>
      </c>
      <c r="J4574" t="s">
        <v>408</v>
      </c>
      <c r="L4574">
        <v>4</v>
      </c>
      <c r="M4574">
        <v>361000</v>
      </c>
      <c r="N4574">
        <v>2.6</v>
      </c>
      <c r="O4574">
        <v>13</v>
      </c>
      <c r="P4574" t="s">
        <v>26</v>
      </c>
    </row>
    <row r="4575" spans="1:16" x14ac:dyDescent="0.25">
      <c r="A4575" t="s">
        <v>9158</v>
      </c>
      <c r="B4575" t="s">
        <v>1299</v>
      </c>
      <c r="C4575" t="s">
        <v>18</v>
      </c>
      <c r="D4575" t="s">
        <v>50</v>
      </c>
      <c r="E4575" t="s">
        <v>44</v>
      </c>
      <c r="F4575" t="s">
        <v>32</v>
      </c>
      <c r="G4575" t="s">
        <v>80</v>
      </c>
      <c r="H4575" t="s">
        <v>34</v>
      </c>
      <c r="I4575" t="s">
        <v>24</v>
      </c>
      <c r="J4575" t="s">
        <v>658</v>
      </c>
      <c r="L4575">
        <v>5.7</v>
      </c>
      <c r="M4575">
        <v>300000</v>
      </c>
      <c r="N4575">
        <v>3.9</v>
      </c>
      <c r="O4575">
        <v>0</v>
      </c>
      <c r="P4575" t="s">
        <v>26</v>
      </c>
    </row>
    <row r="4576" spans="1:16" x14ac:dyDescent="0.25">
      <c r="A4576" t="s">
        <v>9159</v>
      </c>
      <c r="B4576" t="s">
        <v>2289</v>
      </c>
      <c r="C4576" t="s">
        <v>18</v>
      </c>
      <c r="D4576" t="s">
        <v>43</v>
      </c>
      <c r="E4576" t="s">
        <v>20</v>
      </c>
      <c r="F4576" t="s">
        <v>39</v>
      </c>
      <c r="G4576" t="s">
        <v>80</v>
      </c>
      <c r="I4576" t="s">
        <v>35</v>
      </c>
      <c r="J4576" t="s">
        <v>1339</v>
      </c>
      <c r="K4576" t="s">
        <v>7989</v>
      </c>
      <c r="L4576">
        <v>2.1</v>
      </c>
      <c r="M4576">
        <v>138000</v>
      </c>
      <c r="N4576">
        <v>2.6</v>
      </c>
      <c r="O4576">
        <v>3</v>
      </c>
      <c r="P4576" t="s">
        <v>53</v>
      </c>
    </row>
    <row r="4577" spans="1:16" x14ac:dyDescent="0.25">
      <c r="A4577" t="s">
        <v>9160</v>
      </c>
      <c r="B4577" t="s">
        <v>9161</v>
      </c>
      <c r="C4577" t="s">
        <v>29</v>
      </c>
      <c r="D4577" t="s">
        <v>30</v>
      </c>
      <c r="E4577" t="s">
        <v>20</v>
      </c>
      <c r="F4577" t="s">
        <v>32</v>
      </c>
      <c r="G4577" t="s">
        <v>80</v>
      </c>
      <c r="H4577" t="s">
        <v>46</v>
      </c>
      <c r="I4577" t="s">
        <v>57</v>
      </c>
      <c r="J4577" t="s">
        <v>4605</v>
      </c>
      <c r="K4577" t="s">
        <v>4060</v>
      </c>
      <c r="L4577">
        <v>1.7</v>
      </c>
      <c r="M4577">
        <v>264000</v>
      </c>
      <c r="N4577">
        <v>2.6</v>
      </c>
      <c r="O4577">
        <v>0</v>
      </c>
      <c r="P4577" t="s">
        <v>53</v>
      </c>
    </row>
    <row r="4578" spans="1:16" x14ac:dyDescent="0.25">
      <c r="A4578" t="s">
        <v>9162</v>
      </c>
      <c r="B4578" t="s">
        <v>4006</v>
      </c>
      <c r="C4578" t="s">
        <v>18</v>
      </c>
      <c r="D4578" t="s">
        <v>19</v>
      </c>
      <c r="E4578" t="s">
        <v>20</v>
      </c>
      <c r="F4578" t="s">
        <v>45</v>
      </c>
      <c r="G4578" t="s">
        <v>22</v>
      </c>
      <c r="H4578" t="s">
        <v>34</v>
      </c>
      <c r="I4578" t="s">
        <v>24</v>
      </c>
      <c r="J4578" t="s">
        <v>735</v>
      </c>
      <c r="K4578" t="s">
        <v>4587</v>
      </c>
      <c r="L4578">
        <v>4.8</v>
      </c>
      <c r="M4578">
        <v>1165000</v>
      </c>
      <c r="O4578">
        <v>9</v>
      </c>
      <c r="P4578" t="s">
        <v>53</v>
      </c>
    </row>
    <row r="4579" spans="1:16" x14ac:dyDescent="0.25">
      <c r="A4579" t="s">
        <v>9163</v>
      </c>
      <c r="B4579" t="s">
        <v>4227</v>
      </c>
      <c r="C4579" t="s">
        <v>18</v>
      </c>
      <c r="D4579" t="s">
        <v>43</v>
      </c>
      <c r="E4579" t="s">
        <v>20</v>
      </c>
      <c r="F4579" t="s">
        <v>128</v>
      </c>
      <c r="G4579" t="s">
        <v>22</v>
      </c>
      <c r="H4579" t="s">
        <v>46</v>
      </c>
      <c r="I4579" t="s">
        <v>75</v>
      </c>
      <c r="J4579" t="s">
        <v>9164</v>
      </c>
      <c r="L4579">
        <v>4.0999999999999996</v>
      </c>
      <c r="M4579">
        <v>402000</v>
      </c>
      <c r="N4579">
        <v>4.7</v>
      </c>
      <c r="P4579" t="s">
        <v>26</v>
      </c>
    </row>
    <row r="4580" spans="1:16" x14ac:dyDescent="0.25">
      <c r="A4580" t="s">
        <v>9165</v>
      </c>
      <c r="B4580" t="s">
        <v>6088</v>
      </c>
      <c r="C4580" t="s">
        <v>18</v>
      </c>
      <c r="D4580" t="s">
        <v>50</v>
      </c>
      <c r="E4580" t="s">
        <v>20</v>
      </c>
      <c r="F4580" t="s">
        <v>32</v>
      </c>
      <c r="G4580" t="s">
        <v>80</v>
      </c>
      <c r="H4580" t="s">
        <v>34</v>
      </c>
      <c r="I4580" t="s">
        <v>24</v>
      </c>
      <c r="J4580" t="s">
        <v>2521</v>
      </c>
      <c r="L4580">
        <v>2.5</v>
      </c>
      <c r="M4580">
        <v>268000</v>
      </c>
      <c r="N4580">
        <v>2.8</v>
      </c>
      <c r="O4580">
        <v>13</v>
      </c>
      <c r="P4580" t="s">
        <v>26</v>
      </c>
    </row>
    <row r="4581" spans="1:16" x14ac:dyDescent="0.25">
      <c r="A4581" t="s">
        <v>9166</v>
      </c>
      <c r="B4581" t="s">
        <v>337</v>
      </c>
      <c r="C4581" t="s">
        <v>29</v>
      </c>
      <c r="D4581" t="s">
        <v>50</v>
      </c>
      <c r="E4581" t="s">
        <v>20</v>
      </c>
      <c r="F4581" t="s">
        <v>39</v>
      </c>
      <c r="G4581" t="s">
        <v>22</v>
      </c>
      <c r="H4581" t="s">
        <v>34</v>
      </c>
      <c r="I4581" t="s">
        <v>75</v>
      </c>
      <c r="J4581" t="s">
        <v>9167</v>
      </c>
      <c r="L4581">
        <v>4.5999999999999996</v>
      </c>
      <c r="M4581">
        <v>108000</v>
      </c>
      <c r="N4581">
        <v>3.9</v>
      </c>
      <c r="O4581">
        <v>8</v>
      </c>
      <c r="P4581" t="s">
        <v>26</v>
      </c>
    </row>
    <row r="4582" spans="1:16" x14ac:dyDescent="0.25">
      <c r="A4582" t="s">
        <v>9168</v>
      </c>
      <c r="B4582" t="s">
        <v>6619</v>
      </c>
      <c r="C4582" t="s">
        <v>29</v>
      </c>
      <c r="D4582" t="s">
        <v>50</v>
      </c>
      <c r="E4582" t="s">
        <v>44</v>
      </c>
      <c r="F4582" t="s">
        <v>39</v>
      </c>
      <c r="G4582" t="s">
        <v>22</v>
      </c>
      <c r="H4582" t="s">
        <v>23</v>
      </c>
      <c r="I4582" t="s">
        <v>75</v>
      </c>
      <c r="J4582" t="s">
        <v>2666</v>
      </c>
      <c r="K4582" t="s">
        <v>5025</v>
      </c>
      <c r="L4582">
        <v>4.2</v>
      </c>
      <c r="M4582">
        <v>118000</v>
      </c>
      <c r="N4582">
        <v>3.9</v>
      </c>
      <c r="O4582">
        <v>10</v>
      </c>
      <c r="P4582" t="s">
        <v>53</v>
      </c>
    </row>
    <row r="4583" spans="1:16" x14ac:dyDescent="0.25">
      <c r="A4583" t="s">
        <v>9169</v>
      </c>
      <c r="B4583" t="s">
        <v>7598</v>
      </c>
      <c r="D4583" t="s">
        <v>79</v>
      </c>
      <c r="E4583" t="s">
        <v>20</v>
      </c>
      <c r="F4583" t="s">
        <v>39</v>
      </c>
      <c r="G4583" t="s">
        <v>22</v>
      </c>
      <c r="H4583" t="s">
        <v>46</v>
      </c>
      <c r="I4583" t="s">
        <v>24</v>
      </c>
      <c r="J4583" t="s">
        <v>4658</v>
      </c>
      <c r="L4583">
        <v>5.3</v>
      </c>
      <c r="M4583">
        <v>122000</v>
      </c>
      <c r="N4583">
        <v>3.2</v>
      </c>
      <c r="O4583">
        <v>10</v>
      </c>
      <c r="P4583" t="s">
        <v>26</v>
      </c>
    </row>
    <row r="4584" spans="1:16" x14ac:dyDescent="0.25">
      <c r="A4584" t="s">
        <v>9170</v>
      </c>
      <c r="B4584" t="s">
        <v>5550</v>
      </c>
      <c r="C4584" t="s">
        <v>18</v>
      </c>
      <c r="D4584" t="s">
        <v>19</v>
      </c>
      <c r="E4584" t="s">
        <v>20</v>
      </c>
      <c r="F4584" t="s">
        <v>32</v>
      </c>
      <c r="G4584" t="s">
        <v>33</v>
      </c>
      <c r="H4584" t="s">
        <v>23</v>
      </c>
      <c r="I4584" t="s">
        <v>57</v>
      </c>
      <c r="J4584" t="s">
        <v>2094</v>
      </c>
      <c r="K4584" t="s">
        <v>9171</v>
      </c>
      <c r="L4584">
        <v>4.4000000000000004</v>
      </c>
      <c r="N4584">
        <v>3.6</v>
      </c>
      <c r="O4584">
        <v>19</v>
      </c>
      <c r="P4584" t="s">
        <v>53</v>
      </c>
    </row>
    <row r="4585" spans="1:16" x14ac:dyDescent="0.25">
      <c r="A4585" t="s">
        <v>9172</v>
      </c>
      <c r="B4585" t="s">
        <v>6252</v>
      </c>
      <c r="C4585" t="s">
        <v>18</v>
      </c>
      <c r="D4585" t="s">
        <v>30</v>
      </c>
      <c r="E4585" t="s">
        <v>20</v>
      </c>
      <c r="F4585" t="s">
        <v>39</v>
      </c>
      <c r="G4585" t="s">
        <v>22</v>
      </c>
      <c r="H4585" t="s">
        <v>23</v>
      </c>
      <c r="J4585" t="s">
        <v>5764</v>
      </c>
      <c r="L4585">
        <v>4.9000000000000004</v>
      </c>
      <c r="M4585">
        <v>143000</v>
      </c>
      <c r="N4585">
        <v>3.5</v>
      </c>
      <c r="O4585">
        <v>1</v>
      </c>
      <c r="P4585" t="s">
        <v>26</v>
      </c>
    </row>
    <row r="4586" spans="1:16" x14ac:dyDescent="0.25">
      <c r="A4586" t="s">
        <v>9173</v>
      </c>
      <c r="B4586" t="s">
        <v>7601</v>
      </c>
      <c r="C4586" t="s">
        <v>18</v>
      </c>
      <c r="D4586" t="s">
        <v>50</v>
      </c>
      <c r="E4586" t="s">
        <v>44</v>
      </c>
      <c r="F4586" t="s">
        <v>128</v>
      </c>
      <c r="G4586" t="s">
        <v>80</v>
      </c>
      <c r="H4586" t="s">
        <v>46</v>
      </c>
      <c r="I4586" t="s">
        <v>75</v>
      </c>
      <c r="J4586" t="s">
        <v>6514</v>
      </c>
      <c r="L4586">
        <v>5.7</v>
      </c>
      <c r="M4586">
        <v>557000</v>
      </c>
      <c r="N4586">
        <v>2.4</v>
      </c>
      <c r="O4586">
        <v>13</v>
      </c>
      <c r="P4586" t="s">
        <v>26</v>
      </c>
    </row>
    <row r="4587" spans="1:16" x14ac:dyDescent="0.25">
      <c r="A4587" t="s">
        <v>9174</v>
      </c>
      <c r="B4587" t="s">
        <v>6054</v>
      </c>
      <c r="C4587" t="s">
        <v>18</v>
      </c>
      <c r="D4587" t="s">
        <v>30</v>
      </c>
      <c r="E4587" t="s">
        <v>20</v>
      </c>
      <c r="F4587" t="s">
        <v>39</v>
      </c>
      <c r="G4587" t="s">
        <v>80</v>
      </c>
      <c r="H4587" t="s">
        <v>23</v>
      </c>
      <c r="I4587" t="s">
        <v>57</v>
      </c>
      <c r="J4587" t="s">
        <v>2143</v>
      </c>
      <c r="K4587" t="s">
        <v>9175</v>
      </c>
      <c r="L4587">
        <v>6.1</v>
      </c>
      <c r="N4587">
        <v>2.4</v>
      </c>
      <c r="O4587">
        <v>13</v>
      </c>
      <c r="P4587" t="s">
        <v>72</v>
      </c>
    </row>
    <row r="4588" spans="1:16" x14ac:dyDescent="0.25">
      <c r="A4588" t="s">
        <v>9176</v>
      </c>
      <c r="B4588" t="s">
        <v>9177</v>
      </c>
      <c r="C4588" t="s">
        <v>29</v>
      </c>
      <c r="D4588" t="s">
        <v>50</v>
      </c>
      <c r="E4588" t="s">
        <v>31</v>
      </c>
      <c r="F4588" t="s">
        <v>32</v>
      </c>
      <c r="G4588" t="s">
        <v>22</v>
      </c>
      <c r="I4588" t="s">
        <v>57</v>
      </c>
      <c r="J4588" t="s">
        <v>2959</v>
      </c>
      <c r="K4588" t="s">
        <v>5715</v>
      </c>
      <c r="L4588">
        <v>4.5999999999999996</v>
      </c>
      <c r="M4588">
        <v>276000</v>
      </c>
      <c r="N4588">
        <v>2.2999999999999998</v>
      </c>
      <c r="O4588">
        <v>11</v>
      </c>
      <c r="P4588" t="s">
        <v>53</v>
      </c>
    </row>
    <row r="4589" spans="1:16" x14ac:dyDescent="0.25">
      <c r="A4589" t="s">
        <v>9178</v>
      </c>
      <c r="B4589" t="s">
        <v>4999</v>
      </c>
      <c r="C4589" t="s">
        <v>29</v>
      </c>
      <c r="D4589" t="s">
        <v>50</v>
      </c>
      <c r="E4589" t="s">
        <v>20</v>
      </c>
      <c r="F4589" t="s">
        <v>39</v>
      </c>
      <c r="G4589" t="s">
        <v>33</v>
      </c>
      <c r="H4589" t="s">
        <v>34</v>
      </c>
      <c r="I4589" t="s">
        <v>57</v>
      </c>
      <c r="J4589" t="s">
        <v>3961</v>
      </c>
      <c r="L4589">
        <v>3.1</v>
      </c>
      <c r="M4589">
        <v>104000</v>
      </c>
      <c r="N4589">
        <v>4</v>
      </c>
      <c r="P4589" t="s">
        <v>26</v>
      </c>
    </row>
    <row r="4590" spans="1:16" x14ac:dyDescent="0.25">
      <c r="A4590" t="s">
        <v>9179</v>
      </c>
      <c r="B4590" t="s">
        <v>8366</v>
      </c>
      <c r="C4590" t="s">
        <v>29</v>
      </c>
      <c r="D4590" t="s">
        <v>50</v>
      </c>
      <c r="E4590" t="s">
        <v>20</v>
      </c>
      <c r="F4590" t="s">
        <v>39</v>
      </c>
      <c r="G4590" t="s">
        <v>80</v>
      </c>
      <c r="H4590" t="s">
        <v>46</v>
      </c>
      <c r="I4590" t="s">
        <v>24</v>
      </c>
      <c r="J4590" t="s">
        <v>4208</v>
      </c>
      <c r="L4590">
        <v>2.9</v>
      </c>
      <c r="M4590">
        <v>127000</v>
      </c>
      <c r="N4590">
        <v>4.5999999999999996</v>
      </c>
      <c r="O4590">
        <v>10</v>
      </c>
      <c r="P4590" t="s">
        <v>26</v>
      </c>
    </row>
    <row r="4591" spans="1:16" x14ac:dyDescent="0.25">
      <c r="A4591" t="s">
        <v>9180</v>
      </c>
      <c r="B4591" t="s">
        <v>9181</v>
      </c>
      <c r="C4591" t="s">
        <v>29</v>
      </c>
      <c r="D4591" t="s">
        <v>30</v>
      </c>
      <c r="E4591" t="s">
        <v>31</v>
      </c>
      <c r="F4591" t="s">
        <v>32</v>
      </c>
      <c r="G4591" t="s">
        <v>22</v>
      </c>
      <c r="H4591" t="s">
        <v>23</v>
      </c>
      <c r="I4591" t="s">
        <v>24</v>
      </c>
      <c r="J4591" t="s">
        <v>1626</v>
      </c>
      <c r="K4591" t="s">
        <v>112</v>
      </c>
      <c r="L4591">
        <v>5.3</v>
      </c>
      <c r="M4591">
        <v>265000</v>
      </c>
      <c r="N4591">
        <v>2.2999999999999998</v>
      </c>
      <c r="P4591" t="s">
        <v>114</v>
      </c>
    </row>
    <row r="4592" spans="1:16" x14ac:dyDescent="0.25">
      <c r="A4592" t="s">
        <v>9182</v>
      </c>
      <c r="B4592" t="s">
        <v>9183</v>
      </c>
      <c r="C4592" t="s">
        <v>29</v>
      </c>
      <c r="E4592" t="s">
        <v>31</v>
      </c>
      <c r="F4592" t="s">
        <v>32</v>
      </c>
      <c r="G4592" t="s">
        <v>80</v>
      </c>
      <c r="I4592" t="s">
        <v>57</v>
      </c>
      <c r="J4592" t="s">
        <v>1225</v>
      </c>
      <c r="K4592" t="s">
        <v>914</v>
      </c>
      <c r="L4592">
        <v>4.3</v>
      </c>
      <c r="M4592">
        <v>293000</v>
      </c>
      <c r="N4592">
        <v>2.7</v>
      </c>
      <c r="O4592">
        <v>15</v>
      </c>
      <c r="P4592" t="s">
        <v>53</v>
      </c>
    </row>
    <row r="4593" spans="1:16" x14ac:dyDescent="0.25">
      <c r="A4593" t="s">
        <v>9184</v>
      </c>
      <c r="B4593" t="s">
        <v>4961</v>
      </c>
      <c r="C4593" t="s">
        <v>29</v>
      </c>
      <c r="D4593" t="s">
        <v>43</v>
      </c>
      <c r="E4593" t="s">
        <v>20</v>
      </c>
      <c r="F4593" t="s">
        <v>32</v>
      </c>
      <c r="G4593" t="s">
        <v>33</v>
      </c>
      <c r="H4593" t="s">
        <v>23</v>
      </c>
      <c r="I4593" t="s">
        <v>57</v>
      </c>
      <c r="J4593" t="s">
        <v>5067</v>
      </c>
      <c r="L4593">
        <v>5.9</v>
      </c>
      <c r="M4593">
        <v>316000</v>
      </c>
      <c r="N4593">
        <v>4.0999999999999996</v>
      </c>
      <c r="O4593">
        <v>5</v>
      </c>
      <c r="P4593" t="s">
        <v>26</v>
      </c>
    </row>
    <row r="4594" spans="1:16" x14ac:dyDescent="0.25">
      <c r="A4594" t="s">
        <v>9185</v>
      </c>
      <c r="B4594" t="s">
        <v>9186</v>
      </c>
      <c r="C4594" t="s">
        <v>29</v>
      </c>
      <c r="D4594" t="s">
        <v>43</v>
      </c>
      <c r="E4594" t="s">
        <v>20</v>
      </c>
      <c r="F4594" t="s">
        <v>32</v>
      </c>
      <c r="G4594" t="s">
        <v>80</v>
      </c>
      <c r="H4594" t="s">
        <v>34</v>
      </c>
      <c r="I4594" t="s">
        <v>35</v>
      </c>
      <c r="J4594" t="s">
        <v>5143</v>
      </c>
      <c r="L4594">
        <v>1.4</v>
      </c>
      <c r="M4594">
        <v>235000</v>
      </c>
      <c r="N4594">
        <v>2.2000000000000002</v>
      </c>
      <c r="O4594">
        <v>5</v>
      </c>
      <c r="P4594" t="s">
        <v>26</v>
      </c>
    </row>
    <row r="4595" spans="1:16" x14ac:dyDescent="0.25">
      <c r="A4595" t="s">
        <v>9187</v>
      </c>
      <c r="B4595" t="s">
        <v>5851</v>
      </c>
      <c r="C4595" t="s">
        <v>18</v>
      </c>
      <c r="D4595" t="s">
        <v>43</v>
      </c>
      <c r="E4595" t="s">
        <v>20</v>
      </c>
      <c r="F4595" t="s">
        <v>39</v>
      </c>
      <c r="G4595" t="s">
        <v>22</v>
      </c>
      <c r="H4595" t="s">
        <v>34</v>
      </c>
      <c r="I4595" t="s">
        <v>57</v>
      </c>
      <c r="J4595" t="s">
        <v>956</v>
      </c>
      <c r="L4595">
        <v>5.2</v>
      </c>
      <c r="M4595">
        <v>133000</v>
      </c>
      <c r="N4595">
        <v>3.3</v>
      </c>
      <c r="O4595">
        <v>9</v>
      </c>
      <c r="P4595" t="s">
        <v>26</v>
      </c>
    </row>
    <row r="4596" spans="1:16" x14ac:dyDescent="0.25">
      <c r="A4596" t="s">
        <v>9188</v>
      </c>
      <c r="B4596" t="s">
        <v>9189</v>
      </c>
      <c r="C4596" t="s">
        <v>18</v>
      </c>
      <c r="D4596" t="s">
        <v>30</v>
      </c>
      <c r="E4596" t="s">
        <v>20</v>
      </c>
      <c r="F4596" t="s">
        <v>39</v>
      </c>
      <c r="G4596" t="s">
        <v>80</v>
      </c>
      <c r="H4596" t="s">
        <v>34</v>
      </c>
      <c r="I4596" t="s">
        <v>35</v>
      </c>
      <c r="J4596" t="s">
        <v>9190</v>
      </c>
      <c r="L4596">
        <v>3.6</v>
      </c>
      <c r="M4596">
        <v>147000</v>
      </c>
      <c r="N4596">
        <v>2.8</v>
      </c>
      <c r="O4596">
        <v>32</v>
      </c>
      <c r="P4596" t="s">
        <v>26</v>
      </c>
    </row>
    <row r="4597" spans="1:16" x14ac:dyDescent="0.25">
      <c r="A4597" t="s">
        <v>9191</v>
      </c>
      <c r="B4597" t="s">
        <v>8259</v>
      </c>
      <c r="C4597" t="s">
        <v>29</v>
      </c>
      <c r="D4597" t="s">
        <v>79</v>
      </c>
      <c r="E4597" t="s">
        <v>20</v>
      </c>
      <c r="F4597" t="s">
        <v>32</v>
      </c>
      <c r="G4597" t="s">
        <v>33</v>
      </c>
      <c r="H4597" t="s">
        <v>46</v>
      </c>
      <c r="I4597" t="s">
        <v>35</v>
      </c>
      <c r="J4597" t="s">
        <v>469</v>
      </c>
      <c r="L4597">
        <v>4.8</v>
      </c>
      <c r="M4597">
        <v>236000</v>
      </c>
      <c r="N4597">
        <v>2.5</v>
      </c>
      <c r="O4597">
        <v>13</v>
      </c>
      <c r="P4597" t="s">
        <v>26</v>
      </c>
    </row>
    <row r="4598" spans="1:16" x14ac:dyDescent="0.25">
      <c r="A4598" t="s">
        <v>9192</v>
      </c>
      <c r="B4598" t="s">
        <v>9193</v>
      </c>
      <c r="D4598" t="s">
        <v>50</v>
      </c>
      <c r="E4598" t="s">
        <v>20</v>
      </c>
      <c r="F4598" t="s">
        <v>21</v>
      </c>
      <c r="G4598" t="s">
        <v>22</v>
      </c>
      <c r="H4598" t="s">
        <v>23</v>
      </c>
      <c r="I4598" t="s">
        <v>35</v>
      </c>
      <c r="J4598" t="s">
        <v>327</v>
      </c>
      <c r="L4598">
        <v>3.8</v>
      </c>
      <c r="M4598">
        <v>604000</v>
      </c>
      <c r="N4598">
        <v>4.5</v>
      </c>
      <c r="O4598">
        <v>12</v>
      </c>
      <c r="P4598" t="s">
        <v>26</v>
      </c>
    </row>
    <row r="4599" spans="1:16" x14ac:dyDescent="0.25">
      <c r="A4599" t="s">
        <v>9194</v>
      </c>
      <c r="B4599" t="s">
        <v>4489</v>
      </c>
      <c r="C4599" t="s">
        <v>18</v>
      </c>
      <c r="D4599" t="s">
        <v>79</v>
      </c>
      <c r="E4599" t="s">
        <v>20</v>
      </c>
      <c r="F4599" t="s">
        <v>32</v>
      </c>
      <c r="G4599" t="s">
        <v>80</v>
      </c>
      <c r="H4599" t="s">
        <v>23</v>
      </c>
      <c r="I4599" t="s">
        <v>35</v>
      </c>
      <c r="J4599" t="s">
        <v>5134</v>
      </c>
      <c r="L4599">
        <v>2.9</v>
      </c>
      <c r="M4599">
        <v>265000</v>
      </c>
      <c r="N4599">
        <v>4.9000000000000004</v>
      </c>
      <c r="O4599">
        <v>34</v>
      </c>
      <c r="P4599" t="s">
        <v>26</v>
      </c>
    </row>
    <row r="4600" spans="1:16" x14ac:dyDescent="0.25">
      <c r="A4600" t="s">
        <v>9195</v>
      </c>
      <c r="B4600" t="s">
        <v>9196</v>
      </c>
      <c r="C4600" t="s">
        <v>18</v>
      </c>
      <c r="D4600" t="s">
        <v>19</v>
      </c>
      <c r="E4600" t="s">
        <v>31</v>
      </c>
      <c r="F4600" t="s">
        <v>32</v>
      </c>
      <c r="G4600" t="s">
        <v>22</v>
      </c>
      <c r="H4600" t="s">
        <v>34</v>
      </c>
      <c r="I4600" t="s">
        <v>75</v>
      </c>
      <c r="J4600" t="s">
        <v>6655</v>
      </c>
      <c r="L4600">
        <v>4.7</v>
      </c>
      <c r="M4600">
        <v>274000</v>
      </c>
      <c r="N4600">
        <v>3.1</v>
      </c>
      <c r="O4600">
        <v>9</v>
      </c>
      <c r="P4600" t="s">
        <v>26</v>
      </c>
    </row>
    <row r="4601" spans="1:16" x14ac:dyDescent="0.25">
      <c r="A4601" t="s">
        <v>9197</v>
      </c>
      <c r="B4601" t="s">
        <v>4273</v>
      </c>
      <c r="C4601" t="s">
        <v>29</v>
      </c>
      <c r="D4601" t="s">
        <v>79</v>
      </c>
      <c r="F4601" t="s">
        <v>128</v>
      </c>
      <c r="G4601" t="s">
        <v>22</v>
      </c>
      <c r="H4601" t="s">
        <v>46</v>
      </c>
      <c r="I4601" t="s">
        <v>35</v>
      </c>
      <c r="J4601" t="s">
        <v>2498</v>
      </c>
      <c r="L4601">
        <v>5.0999999999999996</v>
      </c>
      <c r="M4601">
        <v>455000</v>
      </c>
      <c r="N4601">
        <v>5</v>
      </c>
      <c r="P4601" t="s">
        <v>26</v>
      </c>
    </row>
    <row r="4602" spans="1:16" x14ac:dyDescent="0.25">
      <c r="A4602" t="s">
        <v>9198</v>
      </c>
      <c r="B4602" t="s">
        <v>9199</v>
      </c>
      <c r="C4602" t="s">
        <v>18</v>
      </c>
      <c r="D4602" t="s">
        <v>79</v>
      </c>
      <c r="E4602" t="s">
        <v>20</v>
      </c>
      <c r="F4602" t="s">
        <v>32</v>
      </c>
      <c r="G4602" t="s">
        <v>22</v>
      </c>
      <c r="H4602" t="s">
        <v>34</v>
      </c>
      <c r="I4602" t="s">
        <v>35</v>
      </c>
      <c r="J4602" t="s">
        <v>3764</v>
      </c>
      <c r="L4602">
        <v>4.7</v>
      </c>
      <c r="M4602">
        <v>182000</v>
      </c>
      <c r="N4602">
        <v>4.7</v>
      </c>
      <c r="O4602">
        <v>9</v>
      </c>
      <c r="P4602" t="s">
        <v>26</v>
      </c>
    </row>
    <row r="4603" spans="1:16" x14ac:dyDescent="0.25">
      <c r="A4603" t="s">
        <v>9200</v>
      </c>
      <c r="B4603" t="s">
        <v>1953</v>
      </c>
      <c r="C4603" t="s">
        <v>18</v>
      </c>
      <c r="D4603" t="s">
        <v>79</v>
      </c>
      <c r="E4603" t="s">
        <v>20</v>
      </c>
      <c r="F4603" t="s">
        <v>128</v>
      </c>
      <c r="G4603" t="s">
        <v>22</v>
      </c>
      <c r="H4603" t="s">
        <v>46</v>
      </c>
      <c r="I4603" t="s">
        <v>57</v>
      </c>
      <c r="J4603" t="s">
        <v>1037</v>
      </c>
      <c r="K4603" t="s">
        <v>428</v>
      </c>
      <c r="L4603">
        <v>3.9</v>
      </c>
      <c r="M4603">
        <v>429000</v>
      </c>
      <c r="N4603">
        <v>2.2999999999999998</v>
      </c>
      <c r="O4603">
        <v>6</v>
      </c>
      <c r="P4603" t="s">
        <v>53</v>
      </c>
    </row>
    <row r="4604" spans="1:16" x14ac:dyDescent="0.25">
      <c r="A4604" t="s">
        <v>9201</v>
      </c>
      <c r="B4604" t="s">
        <v>9202</v>
      </c>
      <c r="C4604" t="s">
        <v>29</v>
      </c>
      <c r="D4604" t="s">
        <v>43</v>
      </c>
      <c r="E4604" t="s">
        <v>20</v>
      </c>
      <c r="F4604" t="s">
        <v>32</v>
      </c>
      <c r="G4604" t="s">
        <v>33</v>
      </c>
      <c r="H4604" t="s">
        <v>34</v>
      </c>
      <c r="I4604" t="s">
        <v>57</v>
      </c>
      <c r="J4604" t="s">
        <v>435</v>
      </c>
      <c r="L4604">
        <v>5.4</v>
      </c>
      <c r="M4604">
        <v>180000</v>
      </c>
      <c r="N4604">
        <v>3.3</v>
      </c>
      <c r="O4604">
        <v>7</v>
      </c>
      <c r="P4604" t="s">
        <v>26</v>
      </c>
    </row>
    <row r="4605" spans="1:16" x14ac:dyDescent="0.25">
      <c r="A4605" t="s">
        <v>9203</v>
      </c>
      <c r="B4605" t="s">
        <v>582</v>
      </c>
      <c r="D4605" t="s">
        <v>50</v>
      </c>
      <c r="E4605" t="s">
        <v>44</v>
      </c>
      <c r="F4605" t="s">
        <v>39</v>
      </c>
      <c r="G4605" t="s">
        <v>69</v>
      </c>
      <c r="H4605" t="s">
        <v>34</v>
      </c>
      <c r="I4605" t="s">
        <v>24</v>
      </c>
      <c r="J4605" t="s">
        <v>5077</v>
      </c>
      <c r="K4605" t="s">
        <v>3396</v>
      </c>
      <c r="L4605">
        <v>5.3</v>
      </c>
      <c r="M4605">
        <v>154000</v>
      </c>
      <c r="N4605">
        <v>4.3</v>
      </c>
      <c r="O4605">
        <v>30</v>
      </c>
      <c r="P4605" t="s">
        <v>53</v>
      </c>
    </row>
    <row r="4606" spans="1:16" x14ac:dyDescent="0.25">
      <c r="A4606" t="s">
        <v>9204</v>
      </c>
      <c r="B4606" t="s">
        <v>6541</v>
      </c>
      <c r="C4606" t="s">
        <v>18</v>
      </c>
      <c r="D4606" t="s">
        <v>30</v>
      </c>
      <c r="F4606" t="s">
        <v>32</v>
      </c>
      <c r="G4606" t="s">
        <v>22</v>
      </c>
      <c r="H4606" t="s">
        <v>23</v>
      </c>
      <c r="I4606" t="s">
        <v>75</v>
      </c>
      <c r="J4606" t="s">
        <v>3097</v>
      </c>
      <c r="K4606" t="s">
        <v>2510</v>
      </c>
      <c r="L4606">
        <v>4.0999999999999996</v>
      </c>
      <c r="M4606">
        <v>247000</v>
      </c>
      <c r="N4606">
        <v>2.6</v>
      </c>
      <c r="O4606">
        <v>14</v>
      </c>
      <c r="P4606" t="s">
        <v>53</v>
      </c>
    </row>
    <row r="4607" spans="1:16" x14ac:dyDescent="0.25">
      <c r="A4607" t="s">
        <v>9205</v>
      </c>
      <c r="B4607" t="s">
        <v>8001</v>
      </c>
      <c r="C4607" t="s">
        <v>18</v>
      </c>
      <c r="D4607" t="s">
        <v>43</v>
      </c>
      <c r="E4607" t="s">
        <v>20</v>
      </c>
      <c r="F4607" t="s">
        <v>39</v>
      </c>
      <c r="G4607" t="s">
        <v>22</v>
      </c>
      <c r="H4607" t="s">
        <v>34</v>
      </c>
      <c r="I4607" t="s">
        <v>75</v>
      </c>
      <c r="J4607" t="s">
        <v>3484</v>
      </c>
      <c r="L4607">
        <v>3.5</v>
      </c>
      <c r="M4607">
        <v>85000</v>
      </c>
      <c r="N4607">
        <v>4.3</v>
      </c>
      <c r="O4607">
        <v>13</v>
      </c>
      <c r="P4607" t="s">
        <v>26</v>
      </c>
    </row>
    <row r="4608" spans="1:16" x14ac:dyDescent="0.25">
      <c r="A4608" t="s">
        <v>9206</v>
      </c>
      <c r="B4608" t="s">
        <v>9207</v>
      </c>
      <c r="C4608" t="s">
        <v>18</v>
      </c>
      <c r="D4608" t="s">
        <v>30</v>
      </c>
      <c r="E4608" t="s">
        <v>20</v>
      </c>
      <c r="F4608" t="s">
        <v>21</v>
      </c>
      <c r="G4608" t="s">
        <v>33</v>
      </c>
      <c r="H4608" t="s">
        <v>46</v>
      </c>
      <c r="I4608" t="s">
        <v>24</v>
      </c>
      <c r="J4608" t="s">
        <v>5670</v>
      </c>
      <c r="L4608">
        <v>3.3</v>
      </c>
      <c r="M4608">
        <v>843000</v>
      </c>
      <c r="N4608">
        <v>4.3</v>
      </c>
      <c r="O4608">
        <v>11</v>
      </c>
      <c r="P4608" t="s">
        <v>26</v>
      </c>
    </row>
    <row r="4609" spans="1:16" x14ac:dyDescent="0.25">
      <c r="A4609" t="s">
        <v>9208</v>
      </c>
      <c r="B4609" t="s">
        <v>666</v>
      </c>
      <c r="C4609" t="s">
        <v>18</v>
      </c>
      <c r="D4609" t="s">
        <v>43</v>
      </c>
      <c r="E4609" t="s">
        <v>20</v>
      </c>
      <c r="F4609" t="s">
        <v>32</v>
      </c>
      <c r="G4609" t="s">
        <v>80</v>
      </c>
      <c r="H4609" t="s">
        <v>23</v>
      </c>
      <c r="I4609" t="s">
        <v>75</v>
      </c>
      <c r="J4609" t="s">
        <v>378</v>
      </c>
      <c r="K4609" t="s">
        <v>9209</v>
      </c>
      <c r="L4609">
        <v>5.6</v>
      </c>
      <c r="M4609">
        <v>292000</v>
      </c>
      <c r="N4609">
        <v>3.4</v>
      </c>
      <c r="O4609">
        <v>4</v>
      </c>
      <c r="P4609" t="s">
        <v>53</v>
      </c>
    </row>
    <row r="4610" spans="1:16" x14ac:dyDescent="0.25">
      <c r="A4610" t="s">
        <v>9210</v>
      </c>
      <c r="B4610" t="s">
        <v>9211</v>
      </c>
      <c r="C4610" t="s">
        <v>29</v>
      </c>
      <c r="D4610" t="s">
        <v>79</v>
      </c>
      <c r="E4610" t="s">
        <v>20</v>
      </c>
      <c r="F4610" t="s">
        <v>21</v>
      </c>
      <c r="G4610" t="s">
        <v>22</v>
      </c>
      <c r="H4610" t="s">
        <v>34</v>
      </c>
      <c r="J4610" t="s">
        <v>1118</v>
      </c>
      <c r="K4610" t="s">
        <v>2344</v>
      </c>
      <c r="L4610">
        <v>5</v>
      </c>
      <c r="M4610">
        <v>751000</v>
      </c>
      <c r="N4610">
        <v>3.8</v>
      </c>
      <c r="O4610">
        <v>1</v>
      </c>
      <c r="P4610" t="s">
        <v>53</v>
      </c>
    </row>
    <row r="4611" spans="1:16" x14ac:dyDescent="0.25">
      <c r="A4611" t="s">
        <v>9212</v>
      </c>
      <c r="B4611" t="s">
        <v>5695</v>
      </c>
      <c r="C4611" t="s">
        <v>29</v>
      </c>
      <c r="D4611" t="s">
        <v>30</v>
      </c>
      <c r="E4611" t="s">
        <v>20</v>
      </c>
      <c r="F4611" t="s">
        <v>39</v>
      </c>
      <c r="G4611" t="s">
        <v>22</v>
      </c>
      <c r="H4611" t="s">
        <v>46</v>
      </c>
      <c r="I4611" t="s">
        <v>24</v>
      </c>
      <c r="J4611" t="s">
        <v>872</v>
      </c>
      <c r="K4611" t="s">
        <v>713</v>
      </c>
      <c r="L4611">
        <v>3.8</v>
      </c>
      <c r="M4611">
        <v>153000</v>
      </c>
      <c r="N4611">
        <v>2.1</v>
      </c>
      <c r="O4611">
        <v>14</v>
      </c>
      <c r="P4611" t="s">
        <v>72</v>
      </c>
    </row>
    <row r="4612" spans="1:16" x14ac:dyDescent="0.25">
      <c r="A4612" t="s">
        <v>9213</v>
      </c>
      <c r="B4612" t="s">
        <v>9214</v>
      </c>
      <c r="C4612" t="s">
        <v>18</v>
      </c>
      <c r="D4612" t="s">
        <v>79</v>
      </c>
      <c r="E4612" t="s">
        <v>20</v>
      </c>
      <c r="F4612" t="s">
        <v>45</v>
      </c>
      <c r="G4612" t="s">
        <v>80</v>
      </c>
      <c r="H4612" t="s">
        <v>23</v>
      </c>
      <c r="I4612" t="s">
        <v>24</v>
      </c>
      <c r="J4612" t="s">
        <v>3412</v>
      </c>
      <c r="K4612" t="s">
        <v>3764</v>
      </c>
      <c r="L4612">
        <v>5.2</v>
      </c>
      <c r="M4612">
        <v>1747000</v>
      </c>
      <c r="N4612">
        <v>3.6</v>
      </c>
      <c r="O4612">
        <v>7</v>
      </c>
      <c r="P4612" t="s">
        <v>53</v>
      </c>
    </row>
    <row r="4613" spans="1:16" x14ac:dyDescent="0.25">
      <c r="A4613" t="s">
        <v>9215</v>
      </c>
      <c r="B4613" t="s">
        <v>1932</v>
      </c>
      <c r="C4613" t="s">
        <v>29</v>
      </c>
      <c r="D4613" t="s">
        <v>50</v>
      </c>
      <c r="E4613" t="s">
        <v>20</v>
      </c>
      <c r="F4613" t="s">
        <v>32</v>
      </c>
      <c r="G4613" t="s">
        <v>22</v>
      </c>
      <c r="H4613" t="s">
        <v>23</v>
      </c>
      <c r="I4613" t="s">
        <v>75</v>
      </c>
      <c r="J4613" t="s">
        <v>5845</v>
      </c>
      <c r="L4613">
        <v>4.5999999999999996</v>
      </c>
      <c r="M4613">
        <v>342000</v>
      </c>
      <c r="N4613">
        <v>3.5</v>
      </c>
      <c r="O4613">
        <v>3</v>
      </c>
      <c r="P4613" t="s">
        <v>26</v>
      </c>
    </row>
    <row r="4614" spans="1:16" x14ac:dyDescent="0.25">
      <c r="A4614" t="s">
        <v>9216</v>
      </c>
      <c r="B4614" t="s">
        <v>9217</v>
      </c>
      <c r="C4614" t="s">
        <v>18</v>
      </c>
      <c r="D4614" t="s">
        <v>50</v>
      </c>
      <c r="E4614" t="s">
        <v>31</v>
      </c>
      <c r="F4614" t="s">
        <v>39</v>
      </c>
      <c r="G4614" t="s">
        <v>69</v>
      </c>
      <c r="H4614" t="s">
        <v>23</v>
      </c>
      <c r="I4614" t="s">
        <v>57</v>
      </c>
      <c r="J4614" t="s">
        <v>603</v>
      </c>
      <c r="K4614" t="s">
        <v>7953</v>
      </c>
      <c r="L4614">
        <v>1.9</v>
      </c>
      <c r="N4614">
        <v>3.8</v>
      </c>
      <c r="O4614">
        <v>1</v>
      </c>
      <c r="P4614" t="s">
        <v>53</v>
      </c>
    </row>
    <row r="4615" spans="1:16" x14ac:dyDescent="0.25">
      <c r="A4615" t="s">
        <v>9218</v>
      </c>
      <c r="B4615" t="s">
        <v>362</v>
      </c>
      <c r="C4615" t="s">
        <v>18</v>
      </c>
      <c r="D4615" t="s">
        <v>50</v>
      </c>
      <c r="E4615" t="s">
        <v>20</v>
      </c>
      <c r="F4615" t="s">
        <v>32</v>
      </c>
      <c r="G4615" t="s">
        <v>33</v>
      </c>
      <c r="H4615" t="s">
        <v>46</v>
      </c>
      <c r="I4615" t="s">
        <v>35</v>
      </c>
      <c r="J4615" t="s">
        <v>5720</v>
      </c>
      <c r="L4615">
        <v>4.8</v>
      </c>
      <c r="M4615">
        <v>336000</v>
      </c>
      <c r="N4615">
        <v>2.2000000000000002</v>
      </c>
      <c r="O4615">
        <v>10</v>
      </c>
      <c r="P4615" t="s">
        <v>26</v>
      </c>
    </row>
    <row r="4616" spans="1:16" x14ac:dyDescent="0.25">
      <c r="A4616" t="s">
        <v>9219</v>
      </c>
      <c r="B4616" t="s">
        <v>737</v>
      </c>
      <c r="C4616" t="s">
        <v>29</v>
      </c>
      <c r="D4616" t="s">
        <v>50</v>
      </c>
      <c r="E4616" t="s">
        <v>20</v>
      </c>
      <c r="F4616" t="s">
        <v>128</v>
      </c>
      <c r="G4616" t="s">
        <v>80</v>
      </c>
      <c r="H4616" t="s">
        <v>23</v>
      </c>
      <c r="I4616" t="s">
        <v>24</v>
      </c>
      <c r="J4616" t="s">
        <v>66</v>
      </c>
      <c r="K4616" t="s">
        <v>9220</v>
      </c>
      <c r="L4616">
        <v>2.1</v>
      </c>
      <c r="M4616">
        <v>364000</v>
      </c>
      <c r="N4616">
        <v>4.0999999999999996</v>
      </c>
      <c r="O4616">
        <v>7</v>
      </c>
      <c r="P4616" t="s">
        <v>114</v>
      </c>
    </row>
    <row r="4617" spans="1:16" x14ac:dyDescent="0.25">
      <c r="A4617" t="s">
        <v>9221</v>
      </c>
      <c r="B4617" t="s">
        <v>9222</v>
      </c>
      <c r="C4617" t="s">
        <v>29</v>
      </c>
      <c r="D4617" t="s">
        <v>79</v>
      </c>
      <c r="E4617" t="s">
        <v>20</v>
      </c>
      <c r="F4617" t="s">
        <v>128</v>
      </c>
      <c r="G4617" t="s">
        <v>69</v>
      </c>
      <c r="H4617" t="s">
        <v>23</v>
      </c>
      <c r="I4617" t="s">
        <v>24</v>
      </c>
      <c r="J4617" t="s">
        <v>3345</v>
      </c>
      <c r="L4617">
        <v>5</v>
      </c>
      <c r="M4617">
        <v>456000</v>
      </c>
      <c r="N4617">
        <v>4.9000000000000004</v>
      </c>
      <c r="O4617">
        <v>12</v>
      </c>
      <c r="P4617" t="s">
        <v>26</v>
      </c>
    </row>
    <row r="4618" spans="1:16" x14ac:dyDescent="0.25">
      <c r="A4618" t="s">
        <v>9223</v>
      </c>
      <c r="B4618" t="s">
        <v>9224</v>
      </c>
      <c r="C4618" t="s">
        <v>18</v>
      </c>
      <c r="D4618" t="s">
        <v>19</v>
      </c>
      <c r="E4618" t="s">
        <v>20</v>
      </c>
      <c r="F4618" t="s">
        <v>39</v>
      </c>
      <c r="G4618" t="s">
        <v>69</v>
      </c>
      <c r="H4618" t="s">
        <v>62</v>
      </c>
      <c r="I4618" t="s">
        <v>24</v>
      </c>
      <c r="J4618" t="s">
        <v>7423</v>
      </c>
      <c r="L4618">
        <v>4.7</v>
      </c>
      <c r="M4618">
        <v>198000</v>
      </c>
      <c r="N4618">
        <v>4.0999999999999996</v>
      </c>
      <c r="O4618">
        <v>13</v>
      </c>
      <c r="P4618" t="s">
        <v>26</v>
      </c>
    </row>
    <row r="4619" spans="1:16" x14ac:dyDescent="0.25">
      <c r="A4619" t="s">
        <v>9225</v>
      </c>
      <c r="B4619" t="s">
        <v>8594</v>
      </c>
      <c r="C4619" t="s">
        <v>18</v>
      </c>
      <c r="D4619" t="s">
        <v>50</v>
      </c>
      <c r="E4619" t="s">
        <v>44</v>
      </c>
      <c r="F4619" t="s">
        <v>128</v>
      </c>
      <c r="G4619" t="s">
        <v>80</v>
      </c>
      <c r="H4619" t="s">
        <v>23</v>
      </c>
      <c r="I4619" t="s">
        <v>57</v>
      </c>
      <c r="J4619" t="s">
        <v>404</v>
      </c>
      <c r="K4619" t="s">
        <v>651</v>
      </c>
      <c r="L4619">
        <v>5.3</v>
      </c>
      <c r="M4619">
        <v>596000</v>
      </c>
      <c r="N4619">
        <v>2.6</v>
      </c>
      <c r="O4619">
        <v>4</v>
      </c>
      <c r="P4619" t="s">
        <v>53</v>
      </c>
    </row>
    <row r="4620" spans="1:16" x14ac:dyDescent="0.25">
      <c r="A4620" t="s">
        <v>9226</v>
      </c>
      <c r="B4620" t="s">
        <v>9227</v>
      </c>
      <c r="C4620" t="s">
        <v>18</v>
      </c>
      <c r="E4620" t="s">
        <v>44</v>
      </c>
      <c r="F4620" t="s">
        <v>39</v>
      </c>
      <c r="G4620" t="s">
        <v>33</v>
      </c>
      <c r="H4620" t="s">
        <v>46</v>
      </c>
      <c r="I4620" t="s">
        <v>75</v>
      </c>
      <c r="J4620" t="s">
        <v>5592</v>
      </c>
      <c r="K4620" t="s">
        <v>2822</v>
      </c>
      <c r="L4620">
        <v>5.9</v>
      </c>
      <c r="M4620">
        <v>102000</v>
      </c>
      <c r="N4620">
        <v>3.9</v>
      </c>
      <c r="O4620">
        <v>0</v>
      </c>
      <c r="P4620" t="s">
        <v>53</v>
      </c>
    </row>
    <row r="4621" spans="1:16" x14ac:dyDescent="0.25">
      <c r="A4621" t="s">
        <v>9228</v>
      </c>
      <c r="B4621" t="s">
        <v>4712</v>
      </c>
      <c r="C4621" t="s">
        <v>18</v>
      </c>
      <c r="D4621" t="s">
        <v>30</v>
      </c>
      <c r="E4621" t="s">
        <v>20</v>
      </c>
      <c r="F4621" t="s">
        <v>39</v>
      </c>
      <c r="G4621" t="s">
        <v>22</v>
      </c>
      <c r="H4621" t="s">
        <v>62</v>
      </c>
      <c r="I4621" t="s">
        <v>24</v>
      </c>
      <c r="J4621" t="s">
        <v>4269</v>
      </c>
      <c r="L4621">
        <v>3</v>
      </c>
      <c r="M4621">
        <v>126000</v>
      </c>
      <c r="N4621">
        <v>3.3</v>
      </c>
      <c r="O4621">
        <v>3</v>
      </c>
      <c r="P4621" t="s">
        <v>26</v>
      </c>
    </row>
    <row r="4622" spans="1:16" x14ac:dyDescent="0.25">
      <c r="A4622" t="s">
        <v>9229</v>
      </c>
      <c r="B4622" t="s">
        <v>4553</v>
      </c>
      <c r="C4622" t="s">
        <v>29</v>
      </c>
      <c r="D4622" t="s">
        <v>79</v>
      </c>
      <c r="E4622" t="s">
        <v>31</v>
      </c>
      <c r="F4622" t="s">
        <v>39</v>
      </c>
      <c r="G4622" t="s">
        <v>22</v>
      </c>
      <c r="H4622" t="s">
        <v>46</v>
      </c>
      <c r="I4622" t="s">
        <v>24</v>
      </c>
      <c r="J4622" t="s">
        <v>1754</v>
      </c>
      <c r="L4622">
        <v>2.6</v>
      </c>
      <c r="M4622">
        <v>168000</v>
      </c>
      <c r="N4622">
        <v>4.7</v>
      </c>
      <c r="P4622" t="s">
        <v>26</v>
      </c>
    </row>
    <row r="4623" spans="1:16" x14ac:dyDescent="0.25">
      <c r="A4623" t="s">
        <v>9230</v>
      </c>
      <c r="B4623" t="s">
        <v>9231</v>
      </c>
      <c r="C4623" t="s">
        <v>29</v>
      </c>
      <c r="D4623" t="s">
        <v>50</v>
      </c>
      <c r="E4623" t="s">
        <v>20</v>
      </c>
      <c r="F4623" t="s">
        <v>32</v>
      </c>
      <c r="G4623" t="s">
        <v>69</v>
      </c>
      <c r="H4623" t="s">
        <v>34</v>
      </c>
      <c r="I4623" t="s">
        <v>171</v>
      </c>
      <c r="J4623" t="s">
        <v>5676</v>
      </c>
      <c r="L4623">
        <v>3.6</v>
      </c>
      <c r="M4623">
        <v>186000</v>
      </c>
      <c r="N4623">
        <v>3.2</v>
      </c>
      <c r="O4623">
        <v>6</v>
      </c>
      <c r="P4623" t="s">
        <v>26</v>
      </c>
    </row>
    <row r="4624" spans="1:16" x14ac:dyDescent="0.25">
      <c r="A4624" t="s">
        <v>9232</v>
      </c>
      <c r="B4624" t="s">
        <v>6605</v>
      </c>
      <c r="C4624" t="s">
        <v>29</v>
      </c>
      <c r="D4624" t="s">
        <v>30</v>
      </c>
      <c r="E4624" t="s">
        <v>20</v>
      </c>
      <c r="F4624" t="s">
        <v>32</v>
      </c>
      <c r="G4624" t="s">
        <v>80</v>
      </c>
      <c r="H4624" t="s">
        <v>46</v>
      </c>
      <c r="I4624" t="s">
        <v>24</v>
      </c>
      <c r="J4624" t="s">
        <v>1178</v>
      </c>
      <c r="K4624" t="s">
        <v>7727</v>
      </c>
      <c r="L4624">
        <v>4.5</v>
      </c>
      <c r="M4624">
        <v>263000</v>
      </c>
      <c r="N4624">
        <v>2</v>
      </c>
      <c r="O4624">
        <v>11</v>
      </c>
      <c r="P4624" t="s">
        <v>53</v>
      </c>
    </row>
    <row r="4625" spans="1:16" x14ac:dyDescent="0.25">
      <c r="A4625" t="s">
        <v>9233</v>
      </c>
      <c r="B4625" t="s">
        <v>8312</v>
      </c>
      <c r="C4625" t="s">
        <v>56</v>
      </c>
      <c r="D4625" t="s">
        <v>79</v>
      </c>
      <c r="E4625" t="s">
        <v>31</v>
      </c>
      <c r="F4625" t="s">
        <v>39</v>
      </c>
      <c r="G4625" t="s">
        <v>69</v>
      </c>
      <c r="H4625" t="s">
        <v>34</v>
      </c>
      <c r="I4625" t="s">
        <v>24</v>
      </c>
      <c r="J4625" t="s">
        <v>3593</v>
      </c>
      <c r="L4625">
        <v>5.0999999999999996</v>
      </c>
      <c r="M4625">
        <v>173000</v>
      </c>
      <c r="N4625">
        <v>4.3</v>
      </c>
      <c r="O4625">
        <v>11</v>
      </c>
      <c r="P4625" t="s">
        <v>26</v>
      </c>
    </row>
    <row r="4626" spans="1:16" x14ac:dyDescent="0.25">
      <c r="A4626" t="s">
        <v>9234</v>
      </c>
      <c r="B4626" t="s">
        <v>9132</v>
      </c>
      <c r="C4626" t="s">
        <v>29</v>
      </c>
      <c r="D4626" t="s">
        <v>19</v>
      </c>
      <c r="E4626" t="s">
        <v>20</v>
      </c>
      <c r="F4626" t="s">
        <v>128</v>
      </c>
      <c r="G4626" t="s">
        <v>69</v>
      </c>
      <c r="H4626" t="s">
        <v>46</v>
      </c>
      <c r="I4626" t="s">
        <v>35</v>
      </c>
      <c r="J4626" t="s">
        <v>8341</v>
      </c>
      <c r="K4626" t="s">
        <v>9235</v>
      </c>
      <c r="L4626">
        <v>2.9</v>
      </c>
      <c r="M4626">
        <v>660000</v>
      </c>
      <c r="N4626">
        <v>2.2000000000000002</v>
      </c>
      <c r="O4626">
        <v>12</v>
      </c>
      <c r="P4626" t="s">
        <v>72</v>
      </c>
    </row>
    <row r="4627" spans="1:16" x14ac:dyDescent="0.25">
      <c r="A4627" t="s">
        <v>9236</v>
      </c>
      <c r="B4627" t="s">
        <v>8182</v>
      </c>
      <c r="C4627" t="s">
        <v>29</v>
      </c>
      <c r="D4627" t="s">
        <v>19</v>
      </c>
      <c r="E4627" t="s">
        <v>20</v>
      </c>
      <c r="F4627" t="s">
        <v>45</v>
      </c>
      <c r="G4627" t="s">
        <v>22</v>
      </c>
      <c r="H4627" t="s">
        <v>23</v>
      </c>
      <c r="I4627" t="s">
        <v>24</v>
      </c>
      <c r="J4627" t="s">
        <v>1406</v>
      </c>
      <c r="L4627">
        <v>3.6</v>
      </c>
      <c r="M4627">
        <v>1592000</v>
      </c>
      <c r="N4627">
        <v>3.4</v>
      </c>
      <c r="O4627">
        <v>30</v>
      </c>
      <c r="P4627" t="s">
        <v>26</v>
      </c>
    </row>
    <row r="4628" spans="1:16" x14ac:dyDescent="0.25">
      <c r="A4628" t="s">
        <v>9237</v>
      </c>
      <c r="B4628" t="s">
        <v>9238</v>
      </c>
      <c r="C4628" t="s">
        <v>18</v>
      </c>
      <c r="D4628" t="s">
        <v>19</v>
      </c>
      <c r="E4628" t="s">
        <v>44</v>
      </c>
      <c r="F4628" t="s">
        <v>128</v>
      </c>
      <c r="G4628" t="s">
        <v>22</v>
      </c>
      <c r="H4628" t="s">
        <v>34</v>
      </c>
      <c r="I4628" t="s">
        <v>24</v>
      </c>
      <c r="J4628" t="s">
        <v>1257</v>
      </c>
      <c r="L4628">
        <v>4.4000000000000004</v>
      </c>
      <c r="M4628">
        <v>554000</v>
      </c>
      <c r="N4628">
        <v>2.6</v>
      </c>
      <c r="O4628">
        <v>6</v>
      </c>
      <c r="P4628" t="s">
        <v>26</v>
      </c>
    </row>
    <row r="4629" spans="1:16" x14ac:dyDescent="0.25">
      <c r="A4629" t="s">
        <v>9239</v>
      </c>
      <c r="B4629" t="s">
        <v>2388</v>
      </c>
      <c r="C4629" t="s">
        <v>29</v>
      </c>
      <c r="D4629" t="s">
        <v>79</v>
      </c>
      <c r="E4629" t="s">
        <v>20</v>
      </c>
      <c r="F4629" t="s">
        <v>45</v>
      </c>
      <c r="G4629" t="s">
        <v>22</v>
      </c>
      <c r="H4629" t="s">
        <v>23</v>
      </c>
      <c r="I4629" t="s">
        <v>35</v>
      </c>
      <c r="J4629" t="s">
        <v>3545</v>
      </c>
      <c r="K4629" t="s">
        <v>1164</v>
      </c>
      <c r="L4629">
        <v>1.4</v>
      </c>
      <c r="M4629">
        <v>974000</v>
      </c>
      <c r="N4629">
        <v>3.4</v>
      </c>
      <c r="O4629">
        <v>11</v>
      </c>
      <c r="P4629" t="s">
        <v>72</v>
      </c>
    </row>
    <row r="4630" spans="1:16" x14ac:dyDescent="0.25">
      <c r="A4630" t="s">
        <v>9240</v>
      </c>
      <c r="B4630" t="s">
        <v>2544</v>
      </c>
      <c r="C4630" t="s">
        <v>18</v>
      </c>
      <c r="D4630" t="s">
        <v>30</v>
      </c>
      <c r="E4630" t="s">
        <v>20</v>
      </c>
      <c r="F4630" t="s">
        <v>39</v>
      </c>
      <c r="G4630" t="s">
        <v>22</v>
      </c>
      <c r="I4630" t="s">
        <v>57</v>
      </c>
      <c r="J4630" t="s">
        <v>4358</v>
      </c>
      <c r="L4630">
        <v>5.9</v>
      </c>
      <c r="M4630">
        <v>141000</v>
      </c>
      <c r="N4630">
        <v>2.2000000000000002</v>
      </c>
      <c r="O4630">
        <v>7</v>
      </c>
      <c r="P4630" t="s">
        <v>26</v>
      </c>
    </row>
    <row r="4631" spans="1:16" x14ac:dyDescent="0.25">
      <c r="A4631" t="s">
        <v>9241</v>
      </c>
      <c r="B4631" t="s">
        <v>7726</v>
      </c>
      <c r="C4631" t="s">
        <v>18</v>
      </c>
      <c r="D4631" t="s">
        <v>43</v>
      </c>
      <c r="E4631" t="s">
        <v>20</v>
      </c>
      <c r="F4631" t="s">
        <v>32</v>
      </c>
      <c r="G4631" t="s">
        <v>69</v>
      </c>
      <c r="H4631" t="s">
        <v>62</v>
      </c>
      <c r="I4631" t="s">
        <v>35</v>
      </c>
      <c r="J4631" t="s">
        <v>5917</v>
      </c>
      <c r="L4631">
        <v>3.6</v>
      </c>
      <c r="M4631">
        <v>279000</v>
      </c>
      <c r="N4631">
        <v>2.2000000000000002</v>
      </c>
      <c r="O4631">
        <v>15</v>
      </c>
      <c r="P4631" t="s">
        <v>26</v>
      </c>
    </row>
    <row r="4632" spans="1:16" x14ac:dyDescent="0.25">
      <c r="A4632" t="s">
        <v>9242</v>
      </c>
      <c r="B4632" t="s">
        <v>9243</v>
      </c>
      <c r="C4632" t="s">
        <v>29</v>
      </c>
      <c r="D4632" t="s">
        <v>30</v>
      </c>
      <c r="E4632" t="s">
        <v>31</v>
      </c>
      <c r="F4632" t="s">
        <v>39</v>
      </c>
      <c r="G4632" t="s">
        <v>22</v>
      </c>
      <c r="H4632" t="s">
        <v>23</v>
      </c>
      <c r="I4632" t="s">
        <v>24</v>
      </c>
      <c r="J4632" t="s">
        <v>9244</v>
      </c>
      <c r="L4632">
        <v>3.3</v>
      </c>
      <c r="M4632">
        <v>150000</v>
      </c>
      <c r="N4632">
        <v>3</v>
      </c>
      <c r="P4632" t="s">
        <v>26</v>
      </c>
    </row>
    <row r="4633" spans="1:16" x14ac:dyDescent="0.25">
      <c r="A4633" t="s">
        <v>9245</v>
      </c>
      <c r="B4633" t="s">
        <v>1289</v>
      </c>
      <c r="C4633" t="s">
        <v>18</v>
      </c>
      <c r="D4633" t="s">
        <v>30</v>
      </c>
      <c r="E4633" t="s">
        <v>31</v>
      </c>
      <c r="G4633" t="s">
        <v>80</v>
      </c>
      <c r="H4633" t="s">
        <v>23</v>
      </c>
      <c r="I4633" t="s">
        <v>24</v>
      </c>
      <c r="J4633" t="s">
        <v>1224</v>
      </c>
      <c r="K4633" t="s">
        <v>1167</v>
      </c>
      <c r="L4633">
        <v>5.2</v>
      </c>
      <c r="M4633">
        <v>271000</v>
      </c>
      <c r="N4633">
        <v>3.9</v>
      </c>
      <c r="O4633">
        <v>13</v>
      </c>
      <c r="P4633" t="s">
        <v>53</v>
      </c>
    </row>
    <row r="4634" spans="1:16" x14ac:dyDescent="0.25">
      <c r="A4634" t="s">
        <v>9246</v>
      </c>
      <c r="B4634" t="s">
        <v>6219</v>
      </c>
      <c r="D4634" t="s">
        <v>30</v>
      </c>
      <c r="F4634" t="s">
        <v>39</v>
      </c>
      <c r="G4634" t="s">
        <v>22</v>
      </c>
      <c r="H4634" t="s">
        <v>23</v>
      </c>
      <c r="I4634" t="s">
        <v>35</v>
      </c>
      <c r="J4634" t="s">
        <v>6124</v>
      </c>
      <c r="K4634" t="s">
        <v>4091</v>
      </c>
      <c r="L4634">
        <v>4.5999999999999996</v>
      </c>
      <c r="M4634">
        <v>175000</v>
      </c>
      <c r="N4634">
        <v>1.7</v>
      </c>
      <c r="O4634">
        <v>6</v>
      </c>
      <c r="P4634" t="s">
        <v>53</v>
      </c>
    </row>
    <row r="4635" spans="1:16" x14ac:dyDescent="0.25">
      <c r="A4635" t="s">
        <v>9247</v>
      </c>
      <c r="B4635" t="s">
        <v>1287</v>
      </c>
      <c r="C4635" t="s">
        <v>18</v>
      </c>
      <c r="D4635" t="s">
        <v>79</v>
      </c>
      <c r="E4635" t="s">
        <v>20</v>
      </c>
      <c r="F4635" t="s">
        <v>21</v>
      </c>
      <c r="G4635" t="s">
        <v>80</v>
      </c>
      <c r="H4635" t="s">
        <v>23</v>
      </c>
      <c r="I4635" t="s">
        <v>75</v>
      </c>
      <c r="J4635" t="s">
        <v>5764</v>
      </c>
      <c r="K4635" t="s">
        <v>6184</v>
      </c>
      <c r="L4635">
        <v>4.9000000000000004</v>
      </c>
      <c r="M4635">
        <v>912000</v>
      </c>
      <c r="N4635">
        <v>4.5999999999999996</v>
      </c>
      <c r="O4635">
        <v>5</v>
      </c>
      <c r="P4635" t="s">
        <v>72</v>
      </c>
    </row>
    <row r="4636" spans="1:16" x14ac:dyDescent="0.25">
      <c r="A4636" t="s">
        <v>9248</v>
      </c>
      <c r="B4636" t="s">
        <v>60</v>
      </c>
      <c r="C4636" t="s">
        <v>18</v>
      </c>
      <c r="D4636" t="s">
        <v>19</v>
      </c>
      <c r="E4636" t="s">
        <v>44</v>
      </c>
      <c r="F4636" t="s">
        <v>128</v>
      </c>
      <c r="G4636" t="s">
        <v>33</v>
      </c>
      <c r="H4636" t="s">
        <v>23</v>
      </c>
      <c r="I4636" t="s">
        <v>35</v>
      </c>
      <c r="J4636" t="s">
        <v>3369</v>
      </c>
      <c r="K4636" t="s">
        <v>1683</v>
      </c>
      <c r="L4636">
        <v>2.2000000000000002</v>
      </c>
      <c r="M4636">
        <v>539000</v>
      </c>
      <c r="N4636">
        <v>3.6</v>
      </c>
      <c r="O4636">
        <v>0</v>
      </c>
      <c r="P4636" t="s">
        <v>53</v>
      </c>
    </row>
    <row r="4637" spans="1:16" x14ac:dyDescent="0.25">
      <c r="A4637" t="s">
        <v>9249</v>
      </c>
      <c r="B4637" t="s">
        <v>1374</v>
      </c>
      <c r="C4637" t="s">
        <v>29</v>
      </c>
      <c r="D4637" t="s">
        <v>79</v>
      </c>
      <c r="E4637" t="s">
        <v>44</v>
      </c>
      <c r="F4637" t="s">
        <v>32</v>
      </c>
      <c r="G4637" t="s">
        <v>69</v>
      </c>
      <c r="H4637" t="s">
        <v>34</v>
      </c>
      <c r="I4637" t="s">
        <v>57</v>
      </c>
      <c r="J4637" t="s">
        <v>1605</v>
      </c>
      <c r="L4637">
        <v>2.9</v>
      </c>
      <c r="M4637">
        <v>278000</v>
      </c>
      <c r="N4637">
        <v>4.7</v>
      </c>
      <c r="O4637">
        <v>6</v>
      </c>
      <c r="P4637" t="s">
        <v>26</v>
      </c>
    </row>
    <row r="4638" spans="1:16" x14ac:dyDescent="0.25">
      <c r="A4638" t="s">
        <v>9250</v>
      </c>
      <c r="B4638" t="s">
        <v>9251</v>
      </c>
      <c r="C4638" t="s">
        <v>29</v>
      </c>
      <c r="D4638" t="s">
        <v>79</v>
      </c>
      <c r="E4638" t="s">
        <v>20</v>
      </c>
      <c r="F4638" t="s">
        <v>128</v>
      </c>
      <c r="G4638" t="s">
        <v>80</v>
      </c>
      <c r="H4638" t="s">
        <v>34</v>
      </c>
      <c r="I4638" t="s">
        <v>171</v>
      </c>
      <c r="J4638" t="s">
        <v>3785</v>
      </c>
      <c r="L4638">
        <v>5.4</v>
      </c>
      <c r="M4638">
        <v>428000</v>
      </c>
      <c r="N4638">
        <v>3.2</v>
      </c>
      <c r="O4638">
        <v>6</v>
      </c>
      <c r="P4638" t="s">
        <v>26</v>
      </c>
    </row>
    <row r="4639" spans="1:16" x14ac:dyDescent="0.25">
      <c r="A4639" t="s">
        <v>9252</v>
      </c>
      <c r="B4639" t="s">
        <v>4004</v>
      </c>
      <c r="C4639" t="s">
        <v>29</v>
      </c>
      <c r="D4639" t="s">
        <v>50</v>
      </c>
      <c r="E4639" t="s">
        <v>20</v>
      </c>
      <c r="F4639" t="s">
        <v>39</v>
      </c>
      <c r="G4639" t="s">
        <v>80</v>
      </c>
      <c r="H4639" t="s">
        <v>34</v>
      </c>
      <c r="I4639" t="s">
        <v>24</v>
      </c>
      <c r="J4639" t="s">
        <v>7971</v>
      </c>
      <c r="L4639">
        <v>2.8</v>
      </c>
      <c r="M4639">
        <v>87000</v>
      </c>
      <c r="N4639">
        <v>3</v>
      </c>
      <c r="O4639">
        <v>11</v>
      </c>
      <c r="P4639" t="s">
        <v>26</v>
      </c>
    </row>
    <row r="4640" spans="1:16" x14ac:dyDescent="0.25">
      <c r="A4640" t="s">
        <v>9253</v>
      </c>
      <c r="B4640" t="s">
        <v>9254</v>
      </c>
      <c r="C4640" t="s">
        <v>18</v>
      </c>
      <c r="D4640" t="s">
        <v>79</v>
      </c>
      <c r="E4640" t="s">
        <v>44</v>
      </c>
      <c r="F4640" t="s">
        <v>39</v>
      </c>
      <c r="G4640" t="s">
        <v>22</v>
      </c>
      <c r="H4640" t="s">
        <v>23</v>
      </c>
      <c r="I4640" t="s">
        <v>57</v>
      </c>
      <c r="J4640" t="s">
        <v>4169</v>
      </c>
      <c r="K4640" t="s">
        <v>4994</v>
      </c>
      <c r="L4640">
        <v>5.0999999999999996</v>
      </c>
      <c r="M4640">
        <v>140000</v>
      </c>
      <c r="N4640">
        <v>4.0999999999999996</v>
      </c>
      <c r="O4640">
        <v>5</v>
      </c>
      <c r="P4640" t="s">
        <v>53</v>
      </c>
    </row>
    <row r="4641" spans="1:16" x14ac:dyDescent="0.25">
      <c r="A4641" t="s">
        <v>9255</v>
      </c>
      <c r="B4641" t="s">
        <v>483</v>
      </c>
      <c r="C4641" t="s">
        <v>252</v>
      </c>
      <c r="D4641" t="s">
        <v>50</v>
      </c>
      <c r="E4641" t="s">
        <v>20</v>
      </c>
      <c r="F4641" t="s">
        <v>21</v>
      </c>
      <c r="G4641" t="s">
        <v>80</v>
      </c>
      <c r="H4641" t="s">
        <v>34</v>
      </c>
      <c r="I4641" t="s">
        <v>57</v>
      </c>
      <c r="J4641" t="s">
        <v>3472</v>
      </c>
      <c r="L4641">
        <v>3.7</v>
      </c>
      <c r="M4641">
        <v>839000</v>
      </c>
      <c r="N4641">
        <v>3.2</v>
      </c>
      <c r="O4641">
        <v>7</v>
      </c>
      <c r="P4641" t="s">
        <v>26</v>
      </c>
    </row>
    <row r="4642" spans="1:16" x14ac:dyDescent="0.25">
      <c r="A4642" t="s">
        <v>9256</v>
      </c>
      <c r="B4642" t="s">
        <v>195</v>
      </c>
      <c r="C4642" t="s">
        <v>18</v>
      </c>
      <c r="D4642" t="s">
        <v>30</v>
      </c>
      <c r="E4642" t="s">
        <v>20</v>
      </c>
      <c r="F4642" t="s">
        <v>21</v>
      </c>
      <c r="G4642" t="s">
        <v>80</v>
      </c>
      <c r="H4642" t="s">
        <v>23</v>
      </c>
      <c r="I4642" t="s">
        <v>57</v>
      </c>
      <c r="J4642" t="s">
        <v>1983</v>
      </c>
      <c r="K4642" t="s">
        <v>1260</v>
      </c>
      <c r="L4642">
        <v>5.3</v>
      </c>
      <c r="M4642">
        <v>800000</v>
      </c>
      <c r="N4642">
        <v>3.5</v>
      </c>
      <c r="O4642">
        <v>14</v>
      </c>
      <c r="P4642" t="s">
        <v>53</v>
      </c>
    </row>
    <row r="4643" spans="1:16" x14ac:dyDescent="0.25">
      <c r="A4643" t="s">
        <v>9257</v>
      </c>
      <c r="B4643" t="s">
        <v>6480</v>
      </c>
      <c r="C4643" t="s">
        <v>18</v>
      </c>
      <c r="D4643" t="s">
        <v>79</v>
      </c>
      <c r="E4643" t="s">
        <v>20</v>
      </c>
      <c r="F4643" t="s">
        <v>39</v>
      </c>
      <c r="G4643" t="s">
        <v>69</v>
      </c>
      <c r="H4643" t="s">
        <v>23</v>
      </c>
      <c r="I4643" t="s">
        <v>75</v>
      </c>
      <c r="J4643" t="s">
        <v>1875</v>
      </c>
      <c r="L4643">
        <v>4.3</v>
      </c>
      <c r="M4643">
        <v>128000</v>
      </c>
      <c r="N4643">
        <v>4.7</v>
      </c>
      <c r="O4643">
        <v>11</v>
      </c>
      <c r="P4643" t="s">
        <v>26</v>
      </c>
    </row>
    <row r="4644" spans="1:16" x14ac:dyDescent="0.25">
      <c r="A4644" t="s">
        <v>9258</v>
      </c>
      <c r="B4644" t="s">
        <v>6918</v>
      </c>
      <c r="C4644" t="s">
        <v>29</v>
      </c>
      <c r="D4644" t="s">
        <v>30</v>
      </c>
      <c r="E4644" t="s">
        <v>20</v>
      </c>
      <c r="G4644" t="s">
        <v>22</v>
      </c>
      <c r="H4644" t="s">
        <v>23</v>
      </c>
      <c r="I4644" t="s">
        <v>24</v>
      </c>
      <c r="J4644" t="s">
        <v>4750</v>
      </c>
      <c r="K4644" t="s">
        <v>4933</v>
      </c>
      <c r="L4644">
        <v>5.3</v>
      </c>
      <c r="M4644">
        <v>183000</v>
      </c>
      <c r="N4644">
        <v>3</v>
      </c>
      <c r="O4644">
        <v>2</v>
      </c>
      <c r="P4644" t="s">
        <v>53</v>
      </c>
    </row>
    <row r="4645" spans="1:16" x14ac:dyDescent="0.25">
      <c r="A4645" t="s">
        <v>9259</v>
      </c>
      <c r="B4645" t="s">
        <v>4842</v>
      </c>
      <c r="C4645" t="s">
        <v>29</v>
      </c>
      <c r="D4645" t="s">
        <v>50</v>
      </c>
      <c r="E4645" t="s">
        <v>20</v>
      </c>
      <c r="F4645" t="s">
        <v>39</v>
      </c>
      <c r="G4645" t="s">
        <v>80</v>
      </c>
      <c r="H4645" t="s">
        <v>34</v>
      </c>
      <c r="I4645" t="s">
        <v>24</v>
      </c>
      <c r="J4645" t="s">
        <v>3905</v>
      </c>
      <c r="L4645">
        <v>1.6</v>
      </c>
      <c r="M4645">
        <v>96000</v>
      </c>
      <c r="N4645">
        <v>2.6</v>
      </c>
      <c r="O4645">
        <v>1</v>
      </c>
      <c r="P4645" t="s">
        <v>26</v>
      </c>
    </row>
    <row r="4646" spans="1:16" x14ac:dyDescent="0.25">
      <c r="A4646" t="s">
        <v>9260</v>
      </c>
      <c r="B4646" t="s">
        <v>9261</v>
      </c>
      <c r="C4646" t="s">
        <v>18</v>
      </c>
      <c r="D4646" t="s">
        <v>79</v>
      </c>
      <c r="E4646" t="s">
        <v>20</v>
      </c>
      <c r="F4646" t="s">
        <v>21</v>
      </c>
      <c r="G4646" t="s">
        <v>80</v>
      </c>
      <c r="H4646" t="s">
        <v>23</v>
      </c>
      <c r="I4646" t="s">
        <v>57</v>
      </c>
      <c r="J4646" t="s">
        <v>503</v>
      </c>
      <c r="L4646">
        <v>4.9000000000000004</v>
      </c>
      <c r="M4646">
        <v>620000</v>
      </c>
      <c r="N4646">
        <v>4</v>
      </c>
      <c r="O4646">
        <v>0</v>
      </c>
      <c r="P4646" t="s">
        <v>26</v>
      </c>
    </row>
    <row r="4647" spans="1:16" x14ac:dyDescent="0.25">
      <c r="A4647" t="s">
        <v>9262</v>
      </c>
      <c r="B4647" t="s">
        <v>9263</v>
      </c>
      <c r="C4647" t="s">
        <v>29</v>
      </c>
      <c r="D4647" t="s">
        <v>79</v>
      </c>
      <c r="E4647" t="s">
        <v>20</v>
      </c>
      <c r="F4647" t="s">
        <v>128</v>
      </c>
      <c r="G4647" t="s">
        <v>22</v>
      </c>
      <c r="H4647" t="s">
        <v>23</v>
      </c>
      <c r="I4647" t="s">
        <v>24</v>
      </c>
      <c r="J4647" t="s">
        <v>3734</v>
      </c>
      <c r="L4647">
        <v>3.8</v>
      </c>
      <c r="M4647">
        <v>578000</v>
      </c>
      <c r="N4647">
        <v>4</v>
      </c>
      <c r="O4647">
        <v>0</v>
      </c>
      <c r="P4647" t="s">
        <v>26</v>
      </c>
    </row>
    <row r="4648" spans="1:16" x14ac:dyDescent="0.25">
      <c r="A4648" t="s">
        <v>9264</v>
      </c>
      <c r="B4648" t="s">
        <v>3794</v>
      </c>
      <c r="C4648" t="s">
        <v>18</v>
      </c>
      <c r="D4648" t="s">
        <v>30</v>
      </c>
      <c r="E4648" t="s">
        <v>44</v>
      </c>
      <c r="G4648" t="s">
        <v>80</v>
      </c>
      <c r="H4648" t="s">
        <v>23</v>
      </c>
      <c r="I4648" t="s">
        <v>57</v>
      </c>
      <c r="J4648" t="s">
        <v>4088</v>
      </c>
      <c r="L4648">
        <v>3.7</v>
      </c>
      <c r="M4648">
        <v>140000</v>
      </c>
      <c r="N4648">
        <v>1.9</v>
      </c>
      <c r="O4648">
        <v>14</v>
      </c>
      <c r="P4648" t="s">
        <v>26</v>
      </c>
    </row>
    <row r="4649" spans="1:16" x14ac:dyDescent="0.25">
      <c r="A4649" t="s">
        <v>9265</v>
      </c>
      <c r="B4649" t="s">
        <v>6002</v>
      </c>
      <c r="C4649" t="s">
        <v>29</v>
      </c>
      <c r="D4649" t="s">
        <v>30</v>
      </c>
      <c r="E4649" t="s">
        <v>44</v>
      </c>
      <c r="F4649" t="s">
        <v>39</v>
      </c>
      <c r="G4649" t="s">
        <v>22</v>
      </c>
      <c r="H4649" t="s">
        <v>46</v>
      </c>
      <c r="I4649" t="s">
        <v>75</v>
      </c>
      <c r="J4649" t="s">
        <v>7653</v>
      </c>
      <c r="L4649">
        <v>1.8</v>
      </c>
      <c r="M4649">
        <v>166000</v>
      </c>
      <c r="N4649">
        <v>3.1</v>
      </c>
      <c r="O4649">
        <v>2</v>
      </c>
      <c r="P4649" t="s">
        <v>26</v>
      </c>
    </row>
    <row r="4650" spans="1:16" x14ac:dyDescent="0.25">
      <c r="A4650" t="s">
        <v>9266</v>
      </c>
      <c r="B4650" t="s">
        <v>2901</v>
      </c>
      <c r="C4650" t="s">
        <v>29</v>
      </c>
      <c r="D4650" t="s">
        <v>79</v>
      </c>
      <c r="E4650" t="s">
        <v>20</v>
      </c>
      <c r="F4650" t="s">
        <v>128</v>
      </c>
      <c r="G4650" t="s">
        <v>22</v>
      </c>
      <c r="H4650" t="s">
        <v>46</v>
      </c>
      <c r="I4650" t="s">
        <v>24</v>
      </c>
      <c r="J4650" t="s">
        <v>5039</v>
      </c>
      <c r="L4650">
        <v>2</v>
      </c>
      <c r="M4650">
        <v>423000</v>
      </c>
      <c r="N4650">
        <v>4.5999999999999996</v>
      </c>
      <c r="O4650">
        <v>5</v>
      </c>
      <c r="P4650" t="s">
        <v>26</v>
      </c>
    </row>
    <row r="4651" spans="1:16" x14ac:dyDescent="0.25">
      <c r="A4651" t="s">
        <v>9267</v>
      </c>
      <c r="B4651" t="s">
        <v>3096</v>
      </c>
      <c r="C4651" t="s">
        <v>29</v>
      </c>
      <c r="D4651" t="s">
        <v>50</v>
      </c>
      <c r="E4651" t="s">
        <v>31</v>
      </c>
      <c r="F4651" t="s">
        <v>39</v>
      </c>
      <c r="G4651" t="s">
        <v>33</v>
      </c>
      <c r="H4651" t="s">
        <v>23</v>
      </c>
      <c r="I4651" t="s">
        <v>24</v>
      </c>
      <c r="J4651" t="s">
        <v>1648</v>
      </c>
      <c r="L4651">
        <v>4.5</v>
      </c>
      <c r="M4651">
        <v>96000</v>
      </c>
      <c r="N4651">
        <v>3.6</v>
      </c>
      <c r="O4651">
        <v>20</v>
      </c>
      <c r="P4651" t="s">
        <v>26</v>
      </c>
    </row>
    <row r="4652" spans="1:16" x14ac:dyDescent="0.25">
      <c r="A4652" t="s">
        <v>9268</v>
      </c>
      <c r="B4652" t="s">
        <v>9269</v>
      </c>
      <c r="C4652" t="s">
        <v>18</v>
      </c>
      <c r="D4652" t="s">
        <v>50</v>
      </c>
      <c r="E4652" t="s">
        <v>20</v>
      </c>
      <c r="F4652" t="s">
        <v>39</v>
      </c>
      <c r="G4652" t="s">
        <v>22</v>
      </c>
      <c r="H4652" t="s">
        <v>46</v>
      </c>
      <c r="I4652" t="s">
        <v>57</v>
      </c>
      <c r="J4652" t="s">
        <v>5806</v>
      </c>
      <c r="L4652">
        <v>3.9</v>
      </c>
      <c r="M4652">
        <v>132000</v>
      </c>
      <c r="N4652">
        <v>3.8</v>
      </c>
      <c r="O4652">
        <v>7</v>
      </c>
      <c r="P4652" t="s">
        <v>26</v>
      </c>
    </row>
    <row r="4653" spans="1:16" x14ac:dyDescent="0.25">
      <c r="A4653" t="s">
        <v>9270</v>
      </c>
      <c r="B4653" t="s">
        <v>9271</v>
      </c>
      <c r="C4653" t="s">
        <v>18</v>
      </c>
      <c r="D4653" t="s">
        <v>79</v>
      </c>
      <c r="E4653" t="s">
        <v>31</v>
      </c>
      <c r="F4653" t="s">
        <v>21</v>
      </c>
      <c r="G4653" t="s">
        <v>33</v>
      </c>
      <c r="H4653" t="s">
        <v>46</v>
      </c>
      <c r="I4653" t="s">
        <v>75</v>
      </c>
      <c r="J4653" t="s">
        <v>2013</v>
      </c>
      <c r="L4653">
        <v>1.3</v>
      </c>
      <c r="M4653">
        <v>647000</v>
      </c>
      <c r="N4653">
        <v>3.4</v>
      </c>
      <c r="P4653" t="s">
        <v>26</v>
      </c>
    </row>
    <row r="4654" spans="1:16" x14ac:dyDescent="0.25">
      <c r="A4654" t="s">
        <v>9272</v>
      </c>
      <c r="B4654" t="s">
        <v>297</v>
      </c>
      <c r="C4654" t="s">
        <v>29</v>
      </c>
      <c r="D4654" t="s">
        <v>19</v>
      </c>
      <c r="E4654" t="s">
        <v>20</v>
      </c>
      <c r="F4654" t="s">
        <v>128</v>
      </c>
      <c r="G4654" t="s">
        <v>33</v>
      </c>
      <c r="H4654" t="s">
        <v>34</v>
      </c>
      <c r="I4654" t="s">
        <v>75</v>
      </c>
      <c r="J4654" t="s">
        <v>3670</v>
      </c>
      <c r="L4654">
        <v>2.5</v>
      </c>
      <c r="M4654">
        <v>422000</v>
      </c>
      <c r="N4654">
        <v>3.8</v>
      </c>
      <c r="O4654">
        <v>25</v>
      </c>
      <c r="P4654" t="s">
        <v>26</v>
      </c>
    </row>
    <row r="4655" spans="1:16" x14ac:dyDescent="0.25">
      <c r="A4655" t="s">
        <v>9273</v>
      </c>
      <c r="B4655" t="s">
        <v>9274</v>
      </c>
      <c r="C4655" t="s">
        <v>29</v>
      </c>
      <c r="D4655" t="s">
        <v>30</v>
      </c>
      <c r="E4655" t="s">
        <v>20</v>
      </c>
      <c r="F4655" t="s">
        <v>21</v>
      </c>
      <c r="G4655" t="s">
        <v>80</v>
      </c>
      <c r="H4655" t="s">
        <v>46</v>
      </c>
      <c r="I4655" t="s">
        <v>171</v>
      </c>
      <c r="J4655" t="s">
        <v>609</v>
      </c>
      <c r="L4655">
        <v>4.4000000000000004</v>
      </c>
      <c r="M4655">
        <v>737000</v>
      </c>
      <c r="N4655">
        <v>4.7</v>
      </c>
      <c r="O4655">
        <v>11</v>
      </c>
      <c r="P4655" t="s">
        <v>26</v>
      </c>
    </row>
    <row r="4656" spans="1:16" x14ac:dyDescent="0.25">
      <c r="A4656" t="s">
        <v>9275</v>
      </c>
      <c r="B4656" t="s">
        <v>5063</v>
      </c>
      <c r="C4656" t="s">
        <v>18</v>
      </c>
      <c r="D4656" t="s">
        <v>50</v>
      </c>
      <c r="E4656" t="s">
        <v>20</v>
      </c>
      <c r="F4656" t="s">
        <v>45</v>
      </c>
      <c r="G4656" t="s">
        <v>33</v>
      </c>
      <c r="I4656" t="s">
        <v>35</v>
      </c>
      <c r="J4656" t="s">
        <v>6188</v>
      </c>
      <c r="K4656" t="s">
        <v>9276</v>
      </c>
      <c r="L4656">
        <v>3.6</v>
      </c>
      <c r="M4656">
        <v>1413000</v>
      </c>
      <c r="N4656">
        <v>4.5</v>
      </c>
      <c r="O4656">
        <v>28</v>
      </c>
      <c r="P4656" t="s">
        <v>53</v>
      </c>
    </row>
    <row r="4657" spans="1:16" x14ac:dyDescent="0.25">
      <c r="A4657" t="s">
        <v>9277</v>
      </c>
      <c r="B4657" t="s">
        <v>7076</v>
      </c>
      <c r="C4657" t="s">
        <v>29</v>
      </c>
      <c r="D4657" t="s">
        <v>43</v>
      </c>
      <c r="E4657" t="s">
        <v>20</v>
      </c>
      <c r="F4657" t="s">
        <v>128</v>
      </c>
      <c r="G4657" t="s">
        <v>33</v>
      </c>
      <c r="H4657" t="s">
        <v>23</v>
      </c>
      <c r="I4657" t="s">
        <v>24</v>
      </c>
      <c r="J4657" t="s">
        <v>3094</v>
      </c>
      <c r="L4657">
        <v>4.5999999999999996</v>
      </c>
      <c r="N4657">
        <v>2.2000000000000002</v>
      </c>
      <c r="O4657">
        <v>6</v>
      </c>
      <c r="P4657" t="s">
        <v>26</v>
      </c>
    </row>
    <row r="4658" spans="1:16" x14ac:dyDescent="0.25">
      <c r="A4658" t="s">
        <v>9278</v>
      </c>
      <c r="B4658" t="s">
        <v>9217</v>
      </c>
      <c r="C4658" t="s">
        <v>18</v>
      </c>
      <c r="E4658" t="s">
        <v>20</v>
      </c>
      <c r="F4658" t="s">
        <v>32</v>
      </c>
      <c r="G4658" t="s">
        <v>80</v>
      </c>
      <c r="H4658" t="s">
        <v>46</v>
      </c>
      <c r="I4658" t="s">
        <v>57</v>
      </c>
      <c r="J4658" t="s">
        <v>5091</v>
      </c>
      <c r="L4658">
        <v>2.6</v>
      </c>
      <c r="M4658">
        <v>301000</v>
      </c>
      <c r="N4658">
        <v>2.1</v>
      </c>
      <c r="O4658">
        <v>3</v>
      </c>
      <c r="P4658" t="s">
        <v>26</v>
      </c>
    </row>
    <row r="4659" spans="1:16" x14ac:dyDescent="0.25">
      <c r="A4659" t="s">
        <v>9279</v>
      </c>
      <c r="B4659" t="s">
        <v>6893</v>
      </c>
      <c r="C4659" t="s">
        <v>18</v>
      </c>
      <c r="D4659" t="s">
        <v>50</v>
      </c>
      <c r="E4659" t="s">
        <v>31</v>
      </c>
      <c r="F4659" t="s">
        <v>32</v>
      </c>
      <c r="G4659" t="s">
        <v>33</v>
      </c>
      <c r="H4659" t="s">
        <v>23</v>
      </c>
      <c r="I4659" t="s">
        <v>24</v>
      </c>
      <c r="J4659" t="s">
        <v>5361</v>
      </c>
      <c r="L4659">
        <v>4.2</v>
      </c>
      <c r="M4659">
        <v>347000</v>
      </c>
      <c r="N4659">
        <v>4.8</v>
      </c>
      <c r="O4659">
        <v>2</v>
      </c>
      <c r="P4659" t="s">
        <v>26</v>
      </c>
    </row>
    <row r="4660" spans="1:16" x14ac:dyDescent="0.25">
      <c r="A4660" t="s">
        <v>9280</v>
      </c>
      <c r="B4660" t="s">
        <v>725</v>
      </c>
      <c r="C4660" t="s">
        <v>29</v>
      </c>
      <c r="D4660" t="s">
        <v>79</v>
      </c>
      <c r="E4660" t="s">
        <v>20</v>
      </c>
      <c r="F4660" t="s">
        <v>39</v>
      </c>
      <c r="G4660" t="s">
        <v>22</v>
      </c>
      <c r="H4660" t="s">
        <v>23</v>
      </c>
      <c r="I4660" t="s">
        <v>24</v>
      </c>
      <c r="J4660" t="s">
        <v>4049</v>
      </c>
      <c r="L4660">
        <v>5.0999999999999996</v>
      </c>
      <c r="M4660">
        <v>139000</v>
      </c>
      <c r="N4660">
        <v>4</v>
      </c>
      <c r="O4660">
        <v>12</v>
      </c>
      <c r="P4660" t="s">
        <v>26</v>
      </c>
    </row>
    <row r="4661" spans="1:16" x14ac:dyDescent="0.25">
      <c r="A4661" t="s">
        <v>9281</v>
      </c>
      <c r="B4661" t="s">
        <v>9282</v>
      </c>
      <c r="C4661" t="s">
        <v>29</v>
      </c>
      <c r="E4661" t="s">
        <v>44</v>
      </c>
      <c r="F4661" t="s">
        <v>39</v>
      </c>
      <c r="G4661" t="s">
        <v>22</v>
      </c>
      <c r="H4661" t="s">
        <v>34</v>
      </c>
      <c r="I4661" t="s">
        <v>35</v>
      </c>
      <c r="J4661" t="s">
        <v>2759</v>
      </c>
      <c r="L4661">
        <v>4.2</v>
      </c>
      <c r="M4661">
        <v>134000</v>
      </c>
      <c r="N4661">
        <v>4.5999999999999996</v>
      </c>
      <c r="O4661">
        <v>9</v>
      </c>
      <c r="P4661" t="s">
        <v>26</v>
      </c>
    </row>
    <row r="4662" spans="1:16" x14ac:dyDescent="0.25">
      <c r="A4662" t="s">
        <v>9283</v>
      </c>
      <c r="B4662" t="s">
        <v>9284</v>
      </c>
      <c r="C4662" t="s">
        <v>29</v>
      </c>
      <c r="D4662" t="s">
        <v>30</v>
      </c>
      <c r="E4662" t="s">
        <v>20</v>
      </c>
      <c r="F4662" t="s">
        <v>39</v>
      </c>
      <c r="G4662" t="s">
        <v>33</v>
      </c>
      <c r="H4662" t="s">
        <v>62</v>
      </c>
      <c r="I4662" t="s">
        <v>35</v>
      </c>
      <c r="J4662" t="s">
        <v>1591</v>
      </c>
      <c r="K4662" t="s">
        <v>929</v>
      </c>
      <c r="L4662">
        <v>4.8</v>
      </c>
      <c r="M4662">
        <v>114000</v>
      </c>
      <c r="N4662">
        <v>2.2000000000000002</v>
      </c>
      <c r="O4662">
        <v>5</v>
      </c>
      <c r="P4662" t="s">
        <v>53</v>
      </c>
    </row>
    <row r="4663" spans="1:16" x14ac:dyDescent="0.25">
      <c r="A4663" t="s">
        <v>9285</v>
      </c>
      <c r="B4663" t="s">
        <v>3927</v>
      </c>
      <c r="C4663" t="s">
        <v>29</v>
      </c>
      <c r="D4663" t="s">
        <v>19</v>
      </c>
      <c r="E4663" t="s">
        <v>20</v>
      </c>
      <c r="F4663" t="s">
        <v>39</v>
      </c>
      <c r="G4663" t="s">
        <v>33</v>
      </c>
      <c r="H4663" t="s">
        <v>23</v>
      </c>
      <c r="I4663" t="s">
        <v>75</v>
      </c>
      <c r="J4663" t="s">
        <v>5751</v>
      </c>
      <c r="K4663" t="s">
        <v>4280</v>
      </c>
      <c r="L4663">
        <v>3.2</v>
      </c>
      <c r="M4663">
        <v>198000</v>
      </c>
      <c r="N4663">
        <v>3.1</v>
      </c>
      <c r="O4663">
        <v>9</v>
      </c>
      <c r="P4663" t="s">
        <v>53</v>
      </c>
    </row>
    <row r="4664" spans="1:16" x14ac:dyDescent="0.25">
      <c r="A4664" t="s">
        <v>9286</v>
      </c>
      <c r="B4664" t="s">
        <v>7209</v>
      </c>
      <c r="D4664" t="s">
        <v>43</v>
      </c>
      <c r="E4664" t="s">
        <v>20</v>
      </c>
      <c r="G4664" t="s">
        <v>22</v>
      </c>
      <c r="H4664" t="s">
        <v>23</v>
      </c>
      <c r="I4664" t="s">
        <v>75</v>
      </c>
      <c r="J4664" t="s">
        <v>1646</v>
      </c>
      <c r="L4664">
        <v>3.9</v>
      </c>
      <c r="M4664">
        <v>458000</v>
      </c>
      <c r="N4664">
        <v>4.5999999999999996</v>
      </c>
      <c r="O4664">
        <v>8</v>
      </c>
      <c r="P4664" t="s">
        <v>26</v>
      </c>
    </row>
    <row r="4665" spans="1:16" x14ac:dyDescent="0.25">
      <c r="A4665" t="s">
        <v>9287</v>
      </c>
      <c r="B4665" t="s">
        <v>1985</v>
      </c>
      <c r="C4665" t="s">
        <v>18</v>
      </c>
      <c r="D4665" t="s">
        <v>50</v>
      </c>
      <c r="E4665" t="s">
        <v>20</v>
      </c>
      <c r="F4665" t="s">
        <v>39</v>
      </c>
      <c r="G4665" t="s">
        <v>22</v>
      </c>
      <c r="I4665" t="s">
        <v>24</v>
      </c>
      <c r="J4665" t="s">
        <v>199</v>
      </c>
      <c r="L4665">
        <v>4.3</v>
      </c>
      <c r="M4665">
        <v>108000</v>
      </c>
      <c r="N4665">
        <v>2.1</v>
      </c>
      <c r="O4665">
        <v>4</v>
      </c>
      <c r="P4665" t="s">
        <v>26</v>
      </c>
    </row>
    <row r="4666" spans="1:16" x14ac:dyDescent="0.25">
      <c r="A4666" t="s">
        <v>9288</v>
      </c>
      <c r="B4666" t="s">
        <v>8768</v>
      </c>
      <c r="C4666" t="s">
        <v>18</v>
      </c>
      <c r="D4666" t="s">
        <v>50</v>
      </c>
      <c r="E4666" t="s">
        <v>20</v>
      </c>
      <c r="F4666" t="s">
        <v>32</v>
      </c>
      <c r="G4666" t="s">
        <v>22</v>
      </c>
      <c r="H4666" t="s">
        <v>34</v>
      </c>
      <c r="I4666" t="s">
        <v>24</v>
      </c>
      <c r="J4666" t="s">
        <v>735</v>
      </c>
      <c r="L4666">
        <v>4.8</v>
      </c>
      <c r="M4666">
        <v>242000</v>
      </c>
      <c r="N4666">
        <v>3.5</v>
      </c>
      <c r="O4666">
        <v>8</v>
      </c>
      <c r="P4666" t="s">
        <v>26</v>
      </c>
    </row>
    <row r="4667" spans="1:16" x14ac:dyDescent="0.25">
      <c r="A4667" t="s">
        <v>9289</v>
      </c>
      <c r="B4667" t="s">
        <v>9290</v>
      </c>
      <c r="C4667" t="s">
        <v>29</v>
      </c>
      <c r="D4667" t="s">
        <v>50</v>
      </c>
      <c r="E4667" t="s">
        <v>20</v>
      </c>
      <c r="F4667" t="s">
        <v>128</v>
      </c>
      <c r="G4667" t="s">
        <v>80</v>
      </c>
      <c r="H4667" t="s">
        <v>23</v>
      </c>
      <c r="I4667" t="s">
        <v>57</v>
      </c>
      <c r="J4667" t="s">
        <v>9291</v>
      </c>
      <c r="K4667" t="s">
        <v>1347</v>
      </c>
      <c r="L4667">
        <v>6</v>
      </c>
      <c r="M4667">
        <v>592000</v>
      </c>
      <c r="N4667">
        <v>3</v>
      </c>
      <c r="O4667">
        <v>3</v>
      </c>
      <c r="P4667" t="s">
        <v>53</v>
      </c>
    </row>
    <row r="4668" spans="1:16" x14ac:dyDescent="0.25">
      <c r="A4668" t="s">
        <v>9292</v>
      </c>
      <c r="B4668" t="s">
        <v>7367</v>
      </c>
      <c r="C4668" t="s">
        <v>18</v>
      </c>
      <c r="D4668" t="s">
        <v>30</v>
      </c>
      <c r="E4668" t="s">
        <v>20</v>
      </c>
      <c r="F4668" t="s">
        <v>32</v>
      </c>
      <c r="G4668" t="s">
        <v>69</v>
      </c>
      <c r="H4668" t="s">
        <v>23</v>
      </c>
      <c r="I4668" t="s">
        <v>75</v>
      </c>
      <c r="J4668" t="s">
        <v>3183</v>
      </c>
      <c r="L4668">
        <v>1.4</v>
      </c>
      <c r="M4668">
        <v>198000</v>
      </c>
      <c r="N4668">
        <v>2.9</v>
      </c>
      <c r="O4668">
        <v>12</v>
      </c>
      <c r="P4668" t="s">
        <v>26</v>
      </c>
    </row>
    <row r="4669" spans="1:16" x14ac:dyDescent="0.25">
      <c r="A4669" t="s">
        <v>9293</v>
      </c>
      <c r="B4669" t="s">
        <v>4815</v>
      </c>
      <c r="C4669" t="s">
        <v>18</v>
      </c>
      <c r="D4669" t="s">
        <v>19</v>
      </c>
      <c r="E4669" t="s">
        <v>31</v>
      </c>
      <c r="F4669" t="s">
        <v>128</v>
      </c>
      <c r="G4669" t="s">
        <v>22</v>
      </c>
      <c r="H4669" t="s">
        <v>23</v>
      </c>
      <c r="I4669" t="s">
        <v>24</v>
      </c>
      <c r="J4669" t="s">
        <v>1240</v>
      </c>
      <c r="L4669">
        <v>2.6</v>
      </c>
      <c r="M4669">
        <v>450000</v>
      </c>
      <c r="N4669">
        <v>2.1</v>
      </c>
      <c r="O4669">
        <v>35</v>
      </c>
      <c r="P4669" t="s">
        <v>26</v>
      </c>
    </row>
    <row r="4670" spans="1:16" x14ac:dyDescent="0.25">
      <c r="A4670" t="s">
        <v>9294</v>
      </c>
      <c r="B4670" t="s">
        <v>1104</v>
      </c>
      <c r="C4670" t="s">
        <v>18</v>
      </c>
      <c r="D4670" t="s">
        <v>19</v>
      </c>
      <c r="E4670" t="s">
        <v>20</v>
      </c>
      <c r="F4670" t="s">
        <v>21</v>
      </c>
      <c r="G4670" t="s">
        <v>80</v>
      </c>
      <c r="H4670" t="s">
        <v>23</v>
      </c>
      <c r="I4670" t="s">
        <v>35</v>
      </c>
      <c r="J4670" t="s">
        <v>378</v>
      </c>
      <c r="K4670" t="s">
        <v>2559</v>
      </c>
      <c r="L4670">
        <v>5.6</v>
      </c>
      <c r="M4670">
        <v>881000</v>
      </c>
      <c r="N4670">
        <v>3.1</v>
      </c>
      <c r="P4670" t="s">
        <v>53</v>
      </c>
    </row>
    <row r="4671" spans="1:16" x14ac:dyDescent="0.25">
      <c r="A4671" t="s">
        <v>9295</v>
      </c>
      <c r="B4671" t="s">
        <v>9189</v>
      </c>
      <c r="C4671" t="s">
        <v>18</v>
      </c>
      <c r="D4671" t="s">
        <v>30</v>
      </c>
      <c r="E4671" t="s">
        <v>44</v>
      </c>
      <c r="F4671" t="s">
        <v>39</v>
      </c>
      <c r="G4671" t="s">
        <v>69</v>
      </c>
      <c r="I4671" t="s">
        <v>24</v>
      </c>
      <c r="J4671" t="s">
        <v>5475</v>
      </c>
      <c r="K4671" t="s">
        <v>2439</v>
      </c>
      <c r="L4671">
        <v>5.9</v>
      </c>
      <c r="M4671">
        <v>141000</v>
      </c>
      <c r="N4671">
        <v>1.7</v>
      </c>
      <c r="P4671" t="s">
        <v>53</v>
      </c>
    </row>
    <row r="4672" spans="1:16" x14ac:dyDescent="0.25">
      <c r="A4672" t="s">
        <v>9296</v>
      </c>
      <c r="B4672" t="s">
        <v>3406</v>
      </c>
      <c r="C4672" t="s">
        <v>18</v>
      </c>
      <c r="D4672" t="s">
        <v>19</v>
      </c>
      <c r="E4672" t="s">
        <v>20</v>
      </c>
      <c r="F4672" t="s">
        <v>32</v>
      </c>
      <c r="G4672" t="s">
        <v>80</v>
      </c>
      <c r="H4672" t="s">
        <v>23</v>
      </c>
      <c r="I4672" t="s">
        <v>35</v>
      </c>
      <c r="J4672" t="s">
        <v>2236</v>
      </c>
      <c r="L4672">
        <v>2.4</v>
      </c>
      <c r="N4672">
        <v>2.9</v>
      </c>
      <c r="O4672">
        <v>2</v>
      </c>
      <c r="P4672" t="s">
        <v>26</v>
      </c>
    </row>
    <row r="4673" spans="1:16" x14ac:dyDescent="0.25">
      <c r="A4673" t="s">
        <v>9297</v>
      </c>
      <c r="B4673" t="s">
        <v>3145</v>
      </c>
      <c r="C4673" t="s">
        <v>29</v>
      </c>
      <c r="D4673" t="s">
        <v>79</v>
      </c>
      <c r="E4673" t="s">
        <v>44</v>
      </c>
      <c r="F4673" t="s">
        <v>21</v>
      </c>
      <c r="G4673" t="s">
        <v>22</v>
      </c>
      <c r="I4673" t="s">
        <v>24</v>
      </c>
      <c r="J4673" t="s">
        <v>855</v>
      </c>
      <c r="L4673">
        <v>3.9</v>
      </c>
      <c r="M4673">
        <v>779000</v>
      </c>
      <c r="N4673">
        <v>3.5</v>
      </c>
      <c r="O4673">
        <v>14</v>
      </c>
      <c r="P4673" t="s">
        <v>26</v>
      </c>
    </row>
    <row r="4674" spans="1:16" x14ac:dyDescent="0.25">
      <c r="A4674" t="s">
        <v>9298</v>
      </c>
      <c r="B4674" t="s">
        <v>4110</v>
      </c>
      <c r="C4674" t="s">
        <v>18</v>
      </c>
      <c r="D4674" t="s">
        <v>43</v>
      </c>
      <c r="E4674" t="s">
        <v>31</v>
      </c>
      <c r="F4674" t="s">
        <v>39</v>
      </c>
      <c r="G4674" t="s">
        <v>33</v>
      </c>
      <c r="H4674" t="s">
        <v>62</v>
      </c>
      <c r="J4674" t="s">
        <v>3330</v>
      </c>
      <c r="L4674">
        <v>1.4</v>
      </c>
      <c r="M4674">
        <v>116000</v>
      </c>
      <c r="N4674">
        <v>5</v>
      </c>
      <c r="O4674">
        <v>13</v>
      </c>
      <c r="P4674" t="s">
        <v>26</v>
      </c>
    </row>
    <row r="4675" spans="1:16" x14ac:dyDescent="0.25">
      <c r="A4675" t="s">
        <v>9299</v>
      </c>
      <c r="B4675" t="s">
        <v>1287</v>
      </c>
      <c r="C4675" t="s">
        <v>18</v>
      </c>
      <c r="D4675" t="s">
        <v>50</v>
      </c>
      <c r="E4675" t="s">
        <v>44</v>
      </c>
      <c r="F4675" t="s">
        <v>39</v>
      </c>
      <c r="G4675" t="s">
        <v>69</v>
      </c>
      <c r="H4675" t="s">
        <v>34</v>
      </c>
      <c r="I4675" t="s">
        <v>24</v>
      </c>
      <c r="J4675" t="s">
        <v>132</v>
      </c>
      <c r="L4675">
        <v>2.6</v>
      </c>
      <c r="N4675">
        <v>2.8</v>
      </c>
      <c r="P4675" t="s">
        <v>26</v>
      </c>
    </row>
    <row r="4676" spans="1:16" x14ac:dyDescent="0.25">
      <c r="A4676" t="s">
        <v>9300</v>
      </c>
      <c r="B4676" t="s">
        <v>2302</v>
      </c>
      <c r="C4676" t="s">
        <v>18</v>
      </c>
      <c r="D4676" t="s">
        <v>50</v>
      </c>
      <c r="E4676" t="s">
        <v>20</v>
      </c>
      <c r="F4676" t="s">
        <v>32</v>
      </c>
      <c r="G4676" t="s">
        <v>22</v>
      </c>
      <c r="H4676" t="s">
        <v>46</v>
      </c>
      <c r="I4676" t="s">
        <v>24</v>
      </c>
      <c r="J4676" t="s">
        <v>1668</v>
      </c>
      <c r="K4676" t="s">
        <v>1771</v>
      </c>
      <c r="L4676">
        <v>5.4</v>
      </c>
      <c r="M4676">
        <v>231000</v>
      </c>
      <c r="N4676">
        <v>4</v>
      </c>
      <c r="O4676">
        <v>6</v>
      </c>
      <c r="P4676" t="s">
        <v>53</v>
      </c>
    </row>
    <row r="4677" spans="1:16" x14ac:dyDescent="0.25">
      <c r="A4677" t="s">
        <v>9301</v>
      </c>
      <c r="B4677" t="s">
        <v>9302</v>
      </c>
      <c r="C4677" t="s">
        <v>29</v>
      </c>
      <c r="D4677" t="s">
        <v>50</v>
      </c>
      <c r="E4677" t="s">
        <v>20</v>
      </c>
      <c r="F4677" t="s">
        <v>128</v>
      </c>
      <c r="G4677" t="s">
        <v>22</v>
      </c>
      <c r="H4677" t="s">
        <v>46</v>
      </c>
      <c r="I4677" t="s">
        <v>24</v>
      </c>
      <c r="J4677" t="s">
        <v>8199</v>
      </c>
      <c r="L4677">
        <v>3.6</v>
      </c>
      <c r="M4677">
        <v>517000</v>
      </c>
      <c r="N4677">
        <v>4.9000000000000004</v>
      </c>
      <c r="O4677">
        <v>8</v>
      </c>
      <c r="P4677" t="s">
        <v>26</v>
      </c>
    </row>
    <row r="4678" spans="1:16" x14ac:dyDescent="0.25">
      <c r="A4678" t="s">
        <v>9303</v>
      </c>
      <c r="B4678" t="s">
        <v>7130</v>
      </c>
      <c r="C4678" t="s">
        <v>18</v>
      </c>
      <c r="D4678" t="s">
        <v>79</v>
      </c>
      <c r="E4678" t="s">
        <v>20</v>
      </c>
      <c r="G4678" t="s">
        <v>22</v>
      </c>
      <c r="H4678" t="s">
        <v>62</v>
      </c>
      <c r="I4678" t="s">
        <v>75</v>
      </c>
      <c r="J4678" t="s">
        <v>952</v>
      </c>
      <c r="L4678">
        <v>3.3</v>
      </c>
      <c r="M4678">
        <v>512000</v>
      </c>
      <c r="N4678">
        <v>3.9</v>
      </c>
      <c r="O4678">
        <v>30</v>
      </c>
      <c r="P4678" t="s">
        <v>26</v>
      </c>
    </row>
    <row r="4679" spans="1:16" x14ac:dyDescent="0.25">
      <c r="A4679" t="s">
        <v>9304</v>
      </c>
      <c r="B4679" t="s">
        <v>9305</v>
      </c>
      <c r="C4679" t="s">
        <v>18</v>
      </c>
      <c r="D4679" t="s">
        <v>79</v>
      </c>
      <c r="E4679" t="s">
        <v>44</v>
      </c>
      <c r="F4679" t="s">
        <v>32</v>
      </c>
      <c r="G4679" t="s">
        <v>22</v>
      </c>
      <c r="H4679" t="s">
        <v>46</v>
      </c>
      <c r="I4679" t="s">
        <v>35</v>
      </c>
      <c r="J4679" t="s">
        <v>2282</v>
      </c>
      <c r="K4679" t="s">
        <v>6461</v>
      </c>
      <c r="L4679">
        <v>4.5</v>
      </c>
      <c r="M4679">
        <v>284000</v>
      </c>
      <c r="N4679">
        <v>4.9000000000000004</v>
      </c>
      <c r="O4679">
        <v>13</v>
      </c>
      <c r="P4679" t="s">
        <v>72</v>
      </c>
    </row>
    <row r="4680" spans="1:16" x14ac:dyDescent="0.25">
      <c r="A4680" t="s">
        <v>3079</v>
      </c>
      <c r="B4680" t="s">
        <v>3080</v>
      </c>
      <c r="C4680" t="s">
        <v>29</v>
      </c>
      <c r="D4680" t="s">
        <v>50</v>
      </c>
      <c r="E4680" t="s">
        <v>44</v>
      </c>
      <c r="F4680" t="s">
        <v>39</v>
      </c>
      <c r="G4680" t="s">
        <v>80</v>
      </c>
      <c r="H4680" t="s">
        <v>46</v>
      </c>
      <c r="J4680" t="s">
        <v>3081</v>
      </c>
      <c r="L4680">
        <v>6</v>
      </c>
      <c r="M4680">
        <v>115000</v>
      </c>
      <c r="N4680">
        <v>3.1</v>
      </c>
      <c r="O4680">
        <v>8</v>
      </c>
      <c r="P4680" t="s">
        <v>26</v>
      </c>
    </row>
    <row r="4681" spans="1:16" x14ac:dyDescent="0.25">
      <c r="A4681" t="s">
        <v>9306</v>
      </c>
      <c r="B4681" t="s">
        <v>2142</v>
      </c>
      <c r="C4681" t="s">
        <v>18</v>
      </c>
      <c r="D4681" t="s">
        <v>50</v>
      </c>
      <c r="E4681" t="s">
        <v>20</v>
      </c>
      <c r="F4681" t="s">
        <v>32</v>
      </c>
      <c r="G4681" t="s">
        <v>33</v>
      </c>
      <c r="H4681" t="s">
        <v>46</v>
      </c>
      <c r="I4681" t="s">
        <v>35</v>
      </c>
      <c r="J4681" t="s">
        <v>5902</v>
      </c>
      <c r="L4681">
        <v>4.9000000000000004</v>
      </c>
      <c r="M4681">
        <v>287000</v>
      </c>
      <c r="N4681">
        <v>2.4</v>
      </c>
      <c r="O4681">
        <v>21</v>
      </c>
      <c r="P4681" t="s">
        <v>26</v>
      </c>
    </row>
    <row r="4682" spans="1:16" x14ac:dyDescent="0.25">
      <c r="A4682" t="s">
        <v>9307</v>
      </c>
      <c r="B4682" t="s">
        <v>9308</v>
      </c>
      <c r="C4682" t="s">
        <v>29</v>
      </c>
      <c r="D4682" t="s">
        <v>43</v>
      </c>
      <c r="E4682" t="s">
        <v>31</v>
      </c>
      <c r="F4682" t="s">
        <v>128</v>
      </c>
      <c r="G4682" t="s">
        <v>69</v>
      </c>
      <c r="H4682" t="s">
        <v>23</v>
      </c>
      <c r="I4682" t="s">
        <v>24</v>
      </c>
      <c r="J4682" t="s">
        <v>6509</v>
      </c>
      <c r="K4682" t="s">
        <v>3054</v>
      </c>
      <c r="L4682">
        <v>3.4</v>
      </c>
      <c r="M4682">
        <v>442000</v>
      </c>
      <c r="N4682">
        <v>3.1</v>
      </c>
      <c r="O4682">
        <v>10</v>
      </c>
      <c r="P4682" t="s">
        <v>72</v>
      </c>
    </row>
    <row r="4683" spans="1:16" x14ac:dyDescent="0.25">
      <c r="A4683" t="s">
        <v>9309</v>
      </c>
      <c r="B4683" t="s">
        <v>1084</v>
      </c>
      <c r="C4683" t="s">
        <v>18</v>
      </c>
      <c r="D4683" t="s">
        <v>19</v>
      </c>
      <c r="E4683" t="s">
        <v>20</v>
      </c>
      <c r="F4683" t="s">
        <v>39</v>
      </c>
      <c r="G4683" t="s">
        <v>22</v>
      </c>
      <c r="H4683" t="s">
        <v>46</v>
      </c>
      <c r="I4683" t="s">
        <v>24</v>
      </c>
      <c r="J4683" t="s">
        <v>5077</v>
      </c>
      <c r="L4683">
        <v>5.3</v>
      </c>
      <c r="M4683">
        <v>123000</v>
      </c>
      <c r="O4683">
        <v>5</v>
      </c>
      <c r="P4683" t="s">
        <v>26</v>
      </c>
    </row>
    <row r="4684" spans="1:16" x14ac:dyDescent="0.25">
      <c r="A4684" t="s">
        <v>9310</v>
      </c>
      <c r="B4684" t="s">
        <v>5440</v>
      </c>
      <c r="C4684" t="s">
        <v>29</v>
      </c>
      <c r="D4684" t="s">
        <v>30</v>
      </c>
      <c r="E4684" t="s">
        <v>44</v>
      </c>
      <c r="F4684" t="s">
        <v>32</v>
      </c>
      <c r="G4684" t="s">
        <v>80</v>
      </c>
      <c r="H4684" t="s">
        <v>46</v>
      </c>
      <c r="I4684" t="s">
        <v>35</v>
      </c>
      <c r="J4684" t="s">
        <v>787</v>
      </c>
      <c r="K4684" t="s">
        <v>858</v>
      </c>
      <c r="L4684">
        <v>4.2</v>
      </c>
      <c r="M4684">
        <v>316000</v>
      </c>
      <c r="N4684">
        <v>2.6</v>
      </c>
      <c r="O4684">
        <v>12</v>
      </c>
      <c r="P4684" t="s">
        <v>53</v>
      </c>
    </row>
    <row r="4685" spans="1:16" x14ac:dyDescent="0.25">
      <c r="A4685" t="s">
        <v>9311</v>
      </c>
      <c r="B4685" t="s">
        <v>5248</v>
      </c>
      <c r="C4685" t="s">
        <v>18</v>
      </c>
      <c r="D4685" t="s">
        <v>50</v>
      </c>
      <c r="E4685" t="s">
        <v>20</v>
      </c>
      <c r="F4685" t="s">
        <v>32</v>
      </c>
      <c r="G4685" t="s">
        <v>22</v>
      </c>
      <c r="H4685" t="s">
        <v>34</v>
      </c>
      <c r="I4685" t="s">
        <v>24</v>
      </c>
      <c r="J4685" t="s">
        <v>1347</v>
      </c>
      <c r="K4685" t="s">
        <v>7193</v>
      </c>
      <c r="L4685">
        <v>4.5999999999999996</v>
      </c>
      <c r="M4685">
        <v>337000</v>
      </c>
      <c r="N4685">
        <v>2.2999999999999998</v>
      </c>
      <c r="O4685">
        <v>39</v>
      </c>
      <c r="P4685" t="s">
        <v>53</v>
      </c>
    </row>
    <row r="4686" spans="1:16" x14ac:dyDescent="0.25">
      <c r="A4686" t="s">
        <v>9312</v>
      </c>
      <c r="B4686" t="s">
        <v>2515</v>
      </c>
      <c r="C4686" t="s">
        <v>18</v>
      </c>
      <c r="D4686" t="s">
        <v>79</v>
      </c>
      <c r="E4686" t="s">
        <v>20</v>
      </c>
      <c r="F4686" t="s">
        <v>32</v>
      </c>
      <c r="G4686" t="s">
        <v>69</v>
      </c>
      <c r="H4686" t="s">
        <v>34</v>
      </c>
      <c r="I4686" t="s">
        <v>75</v>
      </c>
      <c r="J4686" t="s">
        <v>7926</v>
      </c>
      <c r="L4686">
        <v>4.5999999999999996</v>
      </c>
      <c r="M4686">
        <v>225000</v>
      </c>
      <c r="N4686">
        <v>4.2</v>
      </c>
      <c r="O4686">
        <v>1</v>
      </c>
      <c r="P4686" t="s">
        <v>26</v>
      </c>
    </row>
    <row r="4687" spans="1:16" x14ac:dyDescent="0.25">
      <c r="A4687" t="s">
        <v>9313</v>
      </c>
      <c r="B4687" t="s">
        <v>3025</v>
      </c>
      <c r="C4687" t="s">
        <v>18</v>
      </c>
      <c r="D4687" t="s">
        <v>50</v>
      </c>
      <c r="E4687" t="s">
        <v>20</v>
      </c>
      <c r="F4687" t="s">
        <v>128</v>
      </c>
      <c r="G4687" t="s">
        <v>69</v>
      </c>
      <c r="H4687" t="s">
        <v>46</v>
      </c>
      <c r="I4687" t="s">
        <v>75</v>
      </c>
      <c r="J4687" t="s">
        <v>3555</v>
      </c>
      <c r="L4687">
        <v>1.8</v>
      </c>
      <c r="N4687">
        <v>2.1</v>
      </c>
      <c r="O4687">
        <v>12</v>
      </c>
      <c r="P4687" t="s">
        <v>26</v>
      </c>
    </row>
    <row r="4688" spans="1:16" x14ac:dyDescent="0.25">
      <c r="A4688" t="s">
        <v>9314</v>
      </c>
      <c r="B4688" t="s">
        <v>5257</v>
      </c>
      <c r="C4688" t="s">
        <v>18</v>
      </c>
      <c r="D4688" t="s">
        <v>50</v>
      </c>
      <c r="E4688" t="s">
        <v>20</v>
      </c>
      <c r="F4688" t="s">
        <v>21</v>
      </c>
      <c r="G4688" t="s">
        <v>33</v>
      </c>
      <c r="H4688" t="s">
        <v>23</v>
      </c>
      <c r="I4688" t="s">
        <v>57</v>
      </c>
      <c r="J4688" t="s">
        <v>8713</v>
      </c>
      <c r="L4688">
        <v>2.1</v>
      </c>
      <c r="M4688">
        <v>774000</v>
      </c>
      <c r="N4688">
        <v>3.1</v>
      </c>
      <c r="O4688">
        <v>30</v>
      </c>
      <c r="P4688" t="s">
        <v>26</v>
      </c>
    </row>
    <row r="4689" spans="1:16" x14ac:dyDescent="0.25">
      <c r="A4689" t="s">
        <v>9315</v>
      </c>
      <c r="B4689" t="s">
        <v>8938</v>
      </c>
      <c r="D4689" t="s">
        <v>43</v>
      </c>
      <c r="E4689" t="s">
        <v>20</v>
      </c>
      <c r="F4689" t="s">
        <v>32</v>
      </c>
      <c r="G4689" t="s">
        <v>22</v>
      </c>
      <c r="H4689" t="s">
        <v>46</v>
      </c>
      <c r="I4689" t="s">
        <v>75</v>
      </c>
      <c r="J4689" t="s">
        <v>8879</v>
      </c>
      <c r="L4689">
        <v>5</v>
      </c>
      <c r="M4689">
        <v>262000</v>
      </c>
      <c r="N4689">
        <v>2.2999999999999998</v>
      </c>
      <c r="O4689">
        <v>14</v>
      </c>
      <c r="P4689" t="s">
        <v>26</v>
      </c>
    </row>
    <row r="4690" spans="1:16" x14ac:dyDescent="0.25">
      <c r="A4690" t="s">
        <v>9316</v>
      </c>
      <c r="B4690" t="s">
        <v>9317</v>
      </c>
      <c r="C4690" t="s">
        <v>18</v>
      </c>
      <c r="D4690" t="s">
        <v>50</v>
      </c>
      <c r="E4690" t="s">
        <v>20</v>
      </c>
      <c r="F4690" t="s">
        <v>32</v>
      </c>
      <c r="G4690" t="s">
        <v>69</v>
      </c>
      <c r="H4690" t="s">
        <v>46</v>
      </c>
      <c r="I4690" t="s">
        <v>57</v>
      </c>
      <c r="J4690" t="s">
        <v>9318</v>
      </c>
      <c r="L4690">
        <v>4.0999999999999996</v>
      </c>
      <c r="M4690">
        <v>203000</v>
      </c>
      <c r="N4690">
        <v>2.2999999999999998</v>
      </c>
      <c r="O4690">
        <v>2</v>
      </c>
      <c r="P4690" t="s">
        <v>26</v>
      </c>
    </row>
    <row r="4691" spans="1:16" x14ac:dyDescent="0.25">
      <c r="A4691" t="s">
        <v>9319</v>
      </c>
      <c r="B4691" t="s">
        <v>4989</v>
      </c>
      <c r="C4691" t="s">
        <v>29</v>
      </c>
      <c r="D4691" t="s">
        <v>79</v>
      </c>
      <c r="E4691" t="s">
        <v>44</v>
      </c>
      <c r="F4691" t="s">
        <v>39</v>
      </c>
      <c r="G4691" t="s">
        <v>33</v>
      </c>
      <c r="H4691" t="s">
        <v>46</v>
      </c>
      <c r="J4691" t="s">
        <v>5302</v>
      </c>
      <c r="L4691">
        <v>2.8</v>
      </c>
      <c r="M4691">
        <v>138000</v>
      </c>
      <c r="N4691">
        <v>5</v>
      </c>
      <c r="O4691">
        <v>6</v>
      </c>
      <c r="P4691" t="s">
        <v>26</v>
      </c>
    </row>
    <row r="4692" spans="1:16" x14ac:dyDescent="0.25">
      <c r="A4692" t="s">
        <v>9320</v>
      </c>
      <c r="B4692" t="s">
        <v>7224</v>
      </c>
      <c r="C4692" t="s">
        <v>18</v>
      </c>
      <c r="D4692" t="s">
        <v>50</v>
      </c>
      <c r="E4692" t="s">
        <v>20</v>
      </c>
      <c r="F4692" t="s">
        <v>128</v>
      </c>
      <c r="G4692" t="s">
        <v>22</v>
      </c>
      <c r="H4692" t="s">
        <v>34</v>
      </c>
      <c r="I4692" t="s">
        <v>57</v>
      </c>
      <c r="J4692" t="s">
        <v>5228</v>
      </c>
      <c r="L4692">
        <v>5.9</v>
      </c>
      <c r="M4692">
        <v>371000</v>
      </c>
      <c r="N4692">
        <v>2</v>
      </c>
      <c r="O4692">
        <v>37</v>
      </c>
      <c r="P4692" t="s">
        <v>26</v>
      </c>
    </row>
    <row r="4693" spans="1:16" x14ac:dyDescent="0.25">
      <c r="A4693" t="s">
        <v>9247</v>
      </c>
      <c r="B4693" t="s">
        <v>1287</v>
      </c>
      <c r="D4693" t="s">
        <v>79</v>
      </c>
      <c r="E4693" t="s">
        <v>20</v>
      </c>
      <c r="F4693" t="s">
        <v>21</v>
      </c>
      <c r="G4693" t="s">
        <v>80</v>
      </c>
      <c r="H4693" t="s">
        <v>23</v>
      </c>
      <c r="I4693" t="s">
        <v>75</v>
      </c>
      <c r="J4693" t="s">
        <v>5764</v>
      </c>
      <c r="K4693" t="s">
        <v>6184</v>
      </c>
      <c r="L4693">
        <v>4.9000000000000004</v>
      </c>
      <c r="M4693">
        <v>912000</v>
      </c>
      <c r="N4693">
        <v>4.5999999999999996</v>
      </c>
      <c r="O4693">
        <v>5</v>
      </c>
      <c r="P4693" t="s">
        <v>72</v>
      </c>
    </row>
    <row r="4694" spans="1:16" x14ac:dyDescent="0.25">
      <c r="A4694" t="s">
        <v>9321</v>
      </c>
      <c r="B4694" t="s">
        <v>5584</v>
      </c>
      <c r="C4694" t="s">
        <v>29</v>
      </c>
      <c r="D4694" t="s">
        <v>19</v>
      </c>
      <c r="F4694" t="s">
        <v>39</v>
      </c>
      <c r="G4694" t="s">
        <v>80</v>
      </c>
      <c r="H4694" t="s">
        <v>62</v>
      </c>
      <c r="I4694" t="s">
        <v>24</v>
      </c>
      <c r="J4694" t="s">
        <v>1980</v>
      </c>
      <c r="L4694">
        <v>5.3</v>
      </c>
      <c r="M4694">
        <v>106000</v>
      </c>
      <c r="N4694">
        <v>3.7</v>
      </c>
      <c r="O4694">
        <v>3</v>
      </c>
      <c r="P4694" t="s">
        <v>26</v>
      </c>
    </row>
    <row r="4695" spans="1:16" x14ac:dyDescent="0.25">
      <c r="A4695" t="s">
        <v>9322</v>
      </c>
      <c r="B4695" t="s">
        <v>5458</v>
      </c>
      <c r="C4695" t="s">
        <v>18</v>
      </c>
      <c r="D4695" t="s">
        <v>19</v>
      </c>
      <c r="E4695" t="s">
        <v>44</v>
      </c>
      <c r="F4695" t="s">
        <v>32</v>
      </c>
      <c r="G4695" t="s">
        <v>80</v>
      </c>
      <c r="H4695" t="s">
        <v>62</v>
      </c>
      <c r="J4695" t="s">
        <v>510</v>
      </c>
      <c r="L4695">
        <v>2.1</v>
      </c>
      <c r="M4695">
        <v>385000</v>
      </c>
      <c r="N4695">
        <v>4.8</v>
      </c>
      <c r="O4695">
        <v>14</v>
      </c>
      <c r="P4695" t="s">
        <v>26</v>
      </c>
    </row>
    <row r="4696" spans="1:16" x14ac:dyDescent="0.25">
      <c r="A4696" t="s">
        <v>9323</v>
      </c>
      <c r="B4696" t="s">
        <v>4110</v>
      </c>
      <c r="C4696" t="s">
        <v>18</v>
      </c>
      <c r="D4696" t="s">
        <v>50</v>
      </c>
      <c r="E4696" t="s">
        <v>31</v>
      </c>
      <c r="F4696" t="s">
        <v>39</v>
      </c>
      <c r="G4696" t="s">
        <v>33</v>
      </c>
      <c r="H4696" t="s">
        <v>46</v>
      </c>
      <c r="I4696" t="s">
        <v>57</v>
      </c>
      <c r="J4696" t="s">
        <v>5143</v>
      </c>
      <c r="L4696">
        <v>1.4</v>
      </c>
      <c r="M4696">
        <v>122000</v>
      </c>
      <c r="N4696">
        <v>2</v>
      </c>
      <c r="O4696">
        <v>0</v>
      </c>
      <c r="P4696" t="s">
        <v>26</v>
      </c>
    </row>
    <row r="4697" spans="1:16" x14ac:dyDescent="0.25">
      <c r="A4697" t="s">
        <v>9324</v>
      </c>
      <c r="B4697" t="s">
        <v>7115</v>
      </c>
      <c r="C4697" t="s">
        <v>18</v>
      </c>
      <c r="D4697" t="s">
        <v>43</v>
      </c>
      <c r="E4697" t="s">
        <v>20</v>
      </c>
      <c r="F4697" t="s">
        <v>32</v>
      </c>
      <c r="G4697" t="s">
        <v>80</v>
      </c>
      <c r="H4697" t="s">
        <v>62</v>
      </c>
      <c r="I4697" t="s">
        <v>24</v>
      </c>
      <c r="J4697" t="s">
        <v>1538</v>
      </c>
      <c r="K4697" t="s">
        <v>2941</v>
      </c>
      <c r="L4697">
        <v>1.7</v>
      </c>
      <c r="M4697">
        <v>261000</v>
      </c>
      <c r="N4697">
        <v>4.0999999999999996</v>
      </c>
      <c r="O4697">
        <v>13</v>
      </c>
      <c r="P4697" t="s">
        <v>53</v>
      </c>
    </row>
    <row r="4698" spans="1:16" x14ac:dyDescent="0.25">
      <c r="A4698" t="s">
        <v>9325</v>
      </c>
      <c r="B4698" t="s">
        <v>4945</v>
      </c>
      <c r="C4698" t="s">
        <v>18</v>
      </c>
      <c r="D4698" t="s">
        <v>185</v>
      </c>
      <c r="E4698" t="s">
        <v>44</v>
      </c>
      <c r="F4698" t="s">
        <v>39</v>
      </c>
      <c r="G4698" t="s">
        <v>33</v>
      </c>
      <c r="H4698" t="s">
        <v>34</v>
      </c>
      <c r="I4698" t="s">
        <v>24</v>
      </c>
      <c r="J4698" t="s">
        <v>4249</v>
      </c>
      <c r="K4698" t="s">
        <v>4002</v>
      </c>
      <c r="L4698">
        <v>5.9</v>
      </c>
      <c r="M4698">
        <v>104000</v>
      </c>
      <c r="N4698">
        <v>4.9000000000000004</v>
      </c>
      <c r="O4698">
        <v>9</v>
      </c>
      <c r="P4698" t="s">
        <v>53</v>
      </c>
    </row>
    <row r="4699" spans="1:16" x14ac:dyDescent="0.25">
      <c r="A4699" t="s">
        <v>9326</v>
      </c>
      <c r="B4699" t="s">
        <v>9327</v>
      </c>
      <c r="C4699" t="s">
        <v>18</v>
      </c>
      <c r="D4699" t="s">
        <v>30</v>
      </c>
      <c r="E4699" t="s">
        <v>20</v>
      </c>
      <c r="F4699" t="s">
        <v>39</v>
      </c>
      <c r="G4699" t="s">
        <v>22</v>
      </c>
      <c r="H4699" t="s">
        <v>46</v>
      </c>
      <c r="I4699" t="s">
        <v>57</v>
      </c>
      <c r="J4699" t="s">
        <v>4713</v>
      </c>
      <c r="K4699" t="s">
        <v>3690</v>
      </c>
      <c r="L4699">
        <v>5.6</v>
      </c>
      <c r="M4699">
        <v>99000</v>
      </c>
      <c r="N4699">
        <v>3.1</v>
      </c>
      <c r="O4699">
        <v>17</v>
      </c>
      <c r="P4699" t="s">
        <v>53</v>
      </c>
    </row>
    <row r="4700" spans="1:16" x14ac:dyDescent="0.25">
      <c r="A4700" t="s">
        <v>9328</v>
      </c>
      <c r="B4700" t="s">
        <v>5814</v>
      </c>
      <c r="C4700" t="s">
        <v>18</v>
      </c>
      <c r="D4700" t="s">
        <v>50</v>
      </c>
      <c r="E4700" t="s">
        <v>20</v>
      </c>
      <c r="F4700" t="s">
        <v>128</v>
      </c>
      <c r="G4700" t="s">
        <v>22</v>
      </c>
      <c r="H4700" t="s">
        <v>46</v>
      </c>
      <c r="I4700" t="s">
        <v>57</v>
      </c>
      <c r="J4700" t="s">
        <v>4556</v>
      </c>
      <c r="K4700" t="s">
        <v>3619</v>
      </c>
      <c r="L4700">
        <v>6.1</v>
      </c>
      <c r="M4700">
        <v>462000</v>
      </c>
      <c r="N4700">
        <v>2.7</v>
      </c>
      <c r="P4700" t="s">
        <v>53</v>
      </c>
    </row>
    <row r="4701" spans="1:16" x14ac:dyDescent="0.25">
      <c r="A4701" t="s">
        <v>9329</v>
      </c>
      <c r="B4701" t="s">
        <v>7713</v>
      </c>
      <c r="D4701" t="s">
        <v>30</v>
      </c>
      <c r="E4701" t="s">
        <v>20</v>
      </c>
      <c r="F4701" t="s">
        <v>39</v>
      </c>
      <c r="G4701" t="s">
        <v>22</v>
      </c>
      <c r="H4701" t="s">
        <v>34</v>
      </c>
      <c r="I4701" t="s">
        <v>35</v>
      </c>
      <c r="J4701" t="s">
        <v>6859</v>
      </c>
      <c r="L4701">
        <v>4.2</v>
      </c>
      <c r="M4701">
        <v>172000</v>
      </c>
      <c r="N4701">
        <v>3.2</v>
      </c>
      <c r="O4701">
        <v>4</v>
      </c>
      <c r="P4701" t="s">
        <v>26</v>
      </c>
    </row>
    <row r="4702" spans="1:16" x14ac:dyDescent="0.25">
      <c r="A4702" t="s">
        <v>9330</v>
      </c>
      <c r="B4702" t="s">
        <v>7512</v>
      </c>
      <c r="C4702" t="s">
        <v>18</v>
      </c>
      <c r="D4702" t="s">
        <v>30</v>
      </c>
      <c r="E4702" t="s">
        <v>31</v>
      </c>
      <c r="F4702" t="s">
        <v>32</v>
      </c>
      <c r="G4702" t="s">
        <v>33</v>
      </c>
      <c r="H4702" t="s">
        <v>62</v>
      </c>
      <c r="I4702" t="s">
        <v>24</v>
      </c>
      <c r="J4702" t="s">
        <v>4790</v>
      </c>
      <c r="K4702" t="s">
        <v>831</v>
      </c>
      <c r="L4702">
        <v>2.8</v>
      </c>
      <c r="M4702">
        <v>318000</v>
      </c>
      <c r="N4702">
        <v>3.9</v>
      </c>
      <c r="O4702">
        <v>11</v>
      </c>
      <c r="P4702" t="s">
        <v>53</v>
      </c>
    </row>
    <row r="4703" spans="1:16" x14ac:dyDescent="0.25">
      <c r="A4703" t="s">
        <v>9331</v>
      </c>
      <c r="B4703" t="s">
        <v>2462</v>
      </c>
      <c r="C4703" t="s">
        <v>18</v>
      </c>
      <c r="D4703" t="s">
        <v>79</v>
      </c>
      <c r="E4703" t="s">
        <v>810</v>
      </c>
      <c r="F4703" t="s">
        <v>39</v>
      </c>
      <c r="G4703" t="s">
        <v>22</v>
      </c>
      <c r="H4703" t="s">
        <v>62</v>
      </c>
      <c r="I4703" t="s">
        <v>57</v>
      </c>
      <c r="J4703" t="s">
        <v>8758</v>
      </c>
      <c r="L4703">
        <v>1.8</v>
      </c>
      <c r="M4703">
        <v>106000</v>
      </c>
      <c r="N4703">
        <v>3</v>
      </c>
      <c r="O4703">
        <v>15</v>
      </c>
      <c r="P4703" t="s">
        <v>26</v>
      </c>
    </row>
    <row r="4704" spans="1:16" x14ac:dyDescent="0.25">
      <c r="A4704" t="s">
        <v>9332</v>
      </c>
      <c r="B4704" t="s">
        <v>399</v>
      </c>
      <c r="C4704" t="s">
        <v>18</v>
      </c>
      <c r="D4704" t="s">
        <v>79</v>
      </c>
      <c r="E4704" t="s">
        <v>31</v>
      </c>
      <c r="F4704" t="s">
        <v>32</v>
      </c>
      <c r="G4704" t="s">
        <v>22</v>
      </c>
      <c r="H4704" t="s">
        <v>23</v>
      </c>
      <c r="I4704" t="s">
        <v>24</v>
      </c>
      <c r="J4704" t="s">
        <v>199</v>
      </c>
      <c r="K4704" t="s">
        <v>622</v>
      </c>
      <c r="L4704">
        <v>4.3</v>
      </c>
      <c r="M4704">
        <v>196000</v>
      </c>
      <c r="N4704">
        <v>4.9000000000000004</v>
      </c>
      <c r="O4704">
        <v>11</v>
      </c>
      <c r="P4704" t="s">
        <v>53</v>
      </c>
    </row>
    <row r="4705" spans="1:16" x14ac:dyDescent="0.25">
      <c r="A4705" t="s">
        <v>9333</v>
      </c>
      <c r="B4705" t="s">
        <v>8834</v>
      </c>
      <c r="C4705" t="s">
        <v>18</v>
      </c>
      <c r="D4705" t="s">
        <v>50</v>
      </c>
      <c r="E4705" t="s">
        <v>20</v>
      </c>
      <c r="F4705" t="s">
        <v>32</v>
      </c>
      <c r="G4705" t="s">
        <v>80</v>
      </c>
      <c r="H4705" t="s">
        <v>46</v>
      </c>
      <c r="I4705" t="s">
        <v>171</v>
      </c>
      <c r="J4705" t="s">
        <v>152</v>
      </c>
      <c r="L4705">
        <v>4</v>
      </c>
      <c r="M4705">
        <v>193000</v>
      </c>
      <c r="O4705">
        <v>1</v>
      </c>
      <c r="P4705" t="s">
        <v>26</v>
      </c>
    </row>
    <row r="4706" spans="1:16" x14ac:dyDescent="0.25">
      <c r="A4706" t="s">
        <v>9334</v>
      </c>
      <c r="B4706" t="s">
        <v>934</v>
      </c>
      <c r="C4706" t="s">
        <v>18</v>
      </c>
      <c r="D4706" t="s">
        <v>30</v>
      </c>
      <c r="E4706" t="s">
        <v>44</v>
      </c>
      <c r="F4706" t="s">
        <v>128</v>
      </c>
      <c r="G4706" t="s">
        <v>33</v>
      </c>
      <c r="H4706" t="s">
        <v>23</v>
      </c>
      <c r="I4706" t="s">
        <v>35</v>
      </c>
      <c r="J4706" t="s">
        <v>4742</v>
      </c>
      <c r="K4706" t="s">
        <v>2675</v>
      </c>
      <c r="L4706">
        <v>5</v>
      </c>
      <c r="M4706">
        <v>509000</v>
      </c>
      <c r="N4706">
        <v>4.4000000000000004</v>
      </c>
      <c r="O4706">
        <v>11</v>
      </c>
      <c r="P4706" t="s">
        <v>53</v>
      </c>
    </row>
    <row r="4707" spans="1:16" x14ac:dyDescent="0.25">
      <c r="A4707" t="s">
        <v>9335</v>
      </c>
      <c r="B4707" t="s">
        <v>5456</v>
      </c>
      <c r="C4707" t="s">
        <v>18</v>
      </c>
      <c r="D4707" t="s">
        <v>30</v>
      </c>
      <c r="E4707" t="s">
        <v>20</v>
      </c>
      <c r="F4707" t="s">
        <v>21</v>
      </c>
      <c r="G4707" t="s">
        <v>33</v>
      </c>
      <c r="H4707" t="s">
        <v>23</v>
      </c>
      <c r="I4707" t="s">
        <v>35</v>
      </c>
      <c r="J4707" t="s">
        <v>9336</v>
      </c>
      <c r="L4707">
        <v>3.2</v>
      </c>
      <c r="M4707">
        <v>774000</v>
      </c>
      <c r="N4707">
        <v>4.5999999999999996</v>
      </c>
      <c r="O4707">
        <v>40</v>
      </c>
      <c r="P4707" t="s">
        <v>26</v>
      </c>
    </row>
    <row r="4708" spans="1:16" x14ac:dyDescent="0.25">
      <c r="A4708" t="s">
        <v>9337</v>
      </c>
      <c r="B4708" t="s">
        <v>6204</v>
      </c>
      <c r="C4708" t="s">
        <v>18</v>
      </c>
      <c r="D4708" t="s">
        <v>43</v>
      </c>
      <c r="E4708" t="s">
        <v>20</v>
      </c>
      <c r="F4708" t="s">
        <v>39</v>
      </c>
      <c r="G4708" t="s">
        <v>69</v>
      </c>
      <c r="H4708" t="s">
        <v>23</v>
      </c>
      <c r="I4708" t="s">
        <v>57</v>
      </c>
      <c r="J4708" t="s">
        <v>3953</v>
      </c>
      <c r="K4708" t="s">
        <v>729</v>
      </c>
      <c r="L4708">
        <v>2.6</v>
      </c>
      <c r="M4708">
        <v>98000</v>
      </c>
      <c r="N4708">
        <v>3</v>
      </c>
      <c r="P4708" t="s">
        <v>53</v>
      </c>
    </row>
    <row r="4709" spans="1:16" x14ac:dyDescent="0.25">
      <c r="A4709" t="s">
        <v>9338</v>
      </c>
      <c r="B4709" t="s">
        <v>582</v>
      </c>
      <c r="C4709" t="s">
        <v>18</v>
      </c>
      <c r="D4709" t="s">
        <v>30</v>
      </c>
      <c r="E4709" t="s">
        <v>44</v>
      </c>
      <c r="F4709" t="s">
        <v>39</v>
      </c>
      <c r="G4709" t="s">
        <v>22</v>
      </c>
      <c r="H4709" t="s">
        <v>23</v>
      </c>
      <c r="I4709" t="s">
        <v>24</v>
      </c>
      <c r="J4709" t="s">
        <v>2224</v>
      </c>
      <c r="K4709" t="s">
        <v>3242</v>
      </c>
      <c r="L4709">
        <v>2.2999999999999998</v>
      </c>
      <c r="M4709">
        <v>159000</v>
      </c>
      <c r="N4709">
        <v>2.4</v>
      </c>
      <c r="O4709">
        <v>10</v>
      </c>
      <c r="P4709" t="s">
        <v>53</v>
      </c>
    </row>
    <row r="4710" spans="1:16" x14ac:dyDescent="0.25">
      <c r="A4710" t="s">
        <v>9339</v>
      </c>
      <c r="B4710" t="s">
        <v>377</v>
      </c>
      <c r="C4710" t="s">
        <v>18</v>
      </c>
      <c r="D4710" t="s">
        <v>19</v>
      </c>
      <c r="E4710" t="s">
        <v>20</v>
      </c>
      <c r="F4710" t="s">
        <v>21</v>
      </c>
      <c r="G4710" t="s">
        <v>80</v>
      </c>
      <c r="H4710" t="s">
        <v>23</v>
      </c>
      <c r="I4710" t="s">
        <v>24</v>
      </c>
      <c r="J4710" t="s">
        <v>6655</v>
      </c>
      <c r="L4710">
        <v>4.7</v>
      </c>
      <c r="M4710">
        <v>1012000</v>
      </c>
      <c r="N4710">
        <v>4.9000000000000004</v>
      </c>
      <c r="O4710">
        <v>4</v>
      </c>
      <c r="P4710" t="s">
        <v>26</v>
      </c>
    </row>
    <row r="4711" spans="1:16" x14ac:dyDescent="0.25">
      <c r="A4711" t="s">
        <v>9340</v>
      </c>
      <c r="B4711" t="s">
        <v>9341</v>
      </c>
      <c r="C4711" t="s">
        <v>18</v>
      </c>
      <c r="D4711" t="s">
        <v>79</v>
      </c>
      <c r="E4711" t="s">
        <v>20</v>
      </c>
      <c r="F4711" t="s">
        <v>45</v>
      </c>
      <c r="G4711" t="s">
        <v>22</v>
      </c>
      <c r="H4711" t="s">
        <v>23</v>
      </c>
      <c r="I4711" t="s">
        <v>35</v>
      </c>
      <c r="J4711" t="s">
        <v>2863</v>
      </c>
      <c r="L4711">
        <v>5.8</v>
      </c>
      <c r="M4711">
        <v>1521000</v>
      </c>
      <c r="N4711">
        <v>4.9000000000000004</v>
      </c>
      <c r="O4711">
        <v>13</v>
      </c>
      <c r="P4711" t="s">
        <v>26</v>
      </c>
    </row>
    <row r="4712" spans="1:16" x14ac:dyDescent="0.25">
      <c r="A4712" t="s">
        <v>9342</v>
      </c>
      <c r="B4712" t="s">
        <v>9343</v>
      </c>
      <c r="C4712" t="s">
        <v>18</v>
      </c>
      <c r="D4712" t="s">
        <v>19</v>
      </c>
      <c r="E4712" t="s">
        <v>31</v>
      </c>
      <c r="F4712" t="s">
        <v>32</v>
      </c>
      <c r="G4712" t="s">
        <v>22</v>
      </c>
      <c r="H4712" t="s">
        <v>23</v>
      </c>
      <c r="I4712" t="s">
        <v>24</v>
      </c>
      <c r="J4712" t="s">
        <v>196</v>
      </c>
      <c r="L4712">
        <v>2.4</v>
      </c>
      <c r="M4712">
        <v>385000</v>
      </c>
      <c r="N4712">
        <v>3.3</v>
      </c>
      <c r="O4712">
        <v>9</v>
      </c>
      <c r="P4712" t="s">
        <v>26</v>
      </c>
    </row>
    <row r="4713" spans="1:16" x14ac:dyDescent="0.25">
      <c r="A4713" t="s">
        <v>9344</v>
      </c>
      <c r="B4713" t="s">
        <v>4284</v>
      </c>
      <c r="C4713" t="s">
        <v>18</v>
      </c>
      <c r="D4713" t="s">
        <v>43</v>
      </c>
      <c r="F4713" t="s">
        <v>128</v>
      </c>
      <c r="G4713" t="s">
        <v>80</v>
      </c>
      <c r="H4713" t="s">
        <v>34</v>
      </c>
      <c r="I4713" t="s">
        <v>35</v>
      </c>
      <c r="J4713" t="s">
        <v>1145</v>
      </c>
      <c r="K4713" t="s">
        <v>8856</v>
      </c>
      <c r="L4713">
        <v>2.1</v>
      </c>
      <c r="M4713">
        <v>440000</v>
      </c>
      <c r="N4713">
        <v>2.2000000000000002</v>
      </c>
      <c r="O4713">
        <v>27</v>
      </c>
      <c r="P4713" t="s">
        <v>72</v>
      </c>
    </row>
    <row r="4714" spans="1:16" x14ac:dyDescent="0.25">
      <c r="A4714" t="s">
        <v>9345</v>
      </c>
      <c r="B4714" t="s">
        <v>9346</v>
      </c>
      <c r="C4714" t="s">
        <v>18</v>
      </c>
      <c r="D4714" t="s">
        <v>43</v>
      </c>
      <c r="E4714" t="s">
        <v>20</v>
      </c>
      <c r="F4714" t="s">
        <v>128</v>
      </c>
      <c r="G4714" t="s">
        <v>22</v>
      </c>
      <c r="H4714" t="s">
        <v>23</v>
      </c>
      <c r="I4714" t="s">
        <v>24</v>
      </c>
      <c r="J4714" t="s">
        <v>1028</v>
      </c>
      <c r="L4714">
        <v>3.9</v>
      </c>
      <c r="M4714">
        <v>427000</v>
      </c>
      <c r="N4714">
        <v>3.1</v>
      </c>
      <c r="O4714">
        <v>3</v>
      </c>
      <c r="P4714" t="s">
        <v>26</v>
      </c>
    </row>
    <row r="4715" spans="1:16" x14ac:dyDescent="0.25">
      <c r="A4715" t="s">
        <v>9347</v>
      </c>
      <c r="B4715" t="s">
        <v>3651</v>
      </c>
      <c r="C4715" t="s">
        <v>29</v>
      </c>
      <c r="D4715" t="s">
        <v>43</v>
      </c>
      <c r="E4715" t="s">
        <v>20</v>
      </c>
      <c r="F4715" t="s">
        <v>32</v>
      </c>
      <c r="G4715" t="s">
        <v>22</v>
      </c>
      <c r="H4715" t="s">
        <v>23</v>
      </c>
      <c r="I4715" t="s">
        <v>35</v>
      </c>
      <c r="J4715" t="s">
        <v>8652</v>
      </c>
      <c r="L4715">
        <v>5.0999999999999996</v>
      </c>
      <c r="M4715">
        <v>304000</v>
      </c>
      <c r="N4715">
        <v>4.5</v>
      </c>
      <c r="O4715">
        <v>6</v>
      </c>
      <c r="P4715" t="s">
        <v>26</v>
      </c>
    </row>
    <row r="4716" spans="1:16" x14ac:dyDescent="0.25">
      <c r="A4716" t="s">
        <v>9348</v>
      </c>
      <c r="B4716" t="s">
        <v>9349</v>
      </c>
      <c r="C4716" t="s">
        <v>18</v>
      </c>
      <c r="D4716" t="s">
        <v>50</v>
      </c>
      <c r="E4716" t="s">
        <v>20</v>
      </c>
      <c r="F4716" t="s">
        <v>128</v>
      </c>
      <c r="G4716" t="s">
        <v>80</v>
      </c>
      <c r="H4716" t="s">
        <v>34</v>
      </c>
      <c r="I4716" t="s">
        <v>24</v>
      </c>
      <c r="J4716" t="s">
        <v>1145</v>
      </c>
      <c r="K4716" t="s">
        <v>6774</v>
      </c>
      <c r="L4716">
        <v>2.1</v>
      </c>
      <c r="M4716">
        <v>378000</v>
      </c>
      <c r="N4716">
        <v>4.2</v>
      </c>
      <c r="O4716">
        <v>7</v>
      </c>
      <c r="P4716" t="s">
        <v>72</v>
      </c>
    </row>
    <row r="4717" spans="1:16" x14ac:dyDescent="0.25">
      <c r="A4717" t="s">
        <v>9350</v>
      </c>
      <c r="B4717" t="s">
        <v>2028</v>
      </c>
      <c r="C4717" t="s">
        <v>18</v>
      </c>
      <c r="D4717" t="s">
        <v>50</v>
      </c>
      <c r="E4717" t="s">
        <v>20</v>
      </c>
      <c r="F4717" t="s">
        <v>39</v>
      </c>
      <c r="G4717" t="s">
        <v>33</v>
      </c>
      <c r="H4717" t="s">
        <v>46</v>
      </c>
      <c r="I4717" t="s">
        <v>35</v>
      </c>
      <c r="J4717" t="s">
        <v>4201</v>
      </c>
      <c r="L4717">
        <v>5.9</v>
      </c>
      <c r="M4717">
        <v>127000</v>
      </c>
      <c r="N4717">
        <v>2.4</v>
      </c>
      <c r="O4717">
        <v>3</v>
      </c>
      <c r="P4717" t="s">
        <v>26</v>
      </c>
    </row>
    <row r="4718" spans="1:16" x14ac:dyDescent="0.25">
      <c r="A4718" t="s">
        <v>9351</v>
      </c>
      <c r="B4718" t="s">
        <v>9352</v>
      </c>
      <c r="C4718" t="s">
        <v>29</v>
      </c>
      <c r="D4718" t="s">
        <v>79</v>
      </c>
      <c r="E4718" t="s">
        <v>20</v>
      </c>
      <c r="F4718" t="s">
        <v>21</v>
      </c>
      <c r="G4718" t="s">
        <v>69</v>
      </c>
      <c r="H4718" t="s">
        <v>34</v>
      </c>
      <c r="I4718" t="s">
        <v>75</v>
      </c>
      <c r="J4718" t="s">
        <v>4665</v>
      </c>
      <c r="K4718" t="s">
        <v>2047</v>
      </c>
      <c r="L4718">
        <v>4.2</v>
      </c>
      <c r="M4718">
        <v>746000</v>
      </c>
      <c r="N4718">
        <v>4.5999999999999996</v>
      </c>
      <c r="O4718">
        <v>5</v>
      </c>
      <c r="P4718" t="s">
        <v>72</v>
      </c>
    </row>
    <row r="4719" spans="1:16" x14ac:dyDescent="0.25">
      <c r="A4719" t="s">
        <v>9353</v>
      </c>
      <c r="B4719" t="s">
        <v>5194</v>
      </c>
      <c r="C4719" t="s">
        <v>18</v>
      </c>
      <c r="D4719" t="s">
        <v>50</v>
      </c>
      <c r="E4719" t="s">
        <v>44</v>
      </c>
      <c r="F4719" t="s">
        <v>39</v>
      </c>
      <c r="G4719" t="s">
        <v>80</v>
      </c>
      <c r="H4719" t="s">
        <v>34</v>
      </c>
      <c r="I4719" t="s">
        <v>35</v>
      </c>
      <c r="J4719" t="s">
        <v>354</v>
      </c>
      <c r="L4719">
        <v>1.4</v>
      </c>
      <c r="M4719">
        <v>167000</v>
      </c>
      <c r="N4719">
        <v>3.3</v>
      </c>
      <c r="O4719">
        <v>1</v>
      </c>
      <c r="P4719" t="s">
        <v>26</v>
      </c>
    </row>
    <row r="4720" spans="1:16" x14ac:dyDescent="0.25">
      <c r="A4720" t="s">
        <v>9354</v>
      </c>
      <c r="B4720" t="s">
        <v>849</v>
      </c>
      <c r="C4720" t="s">
        <v>18</v>
      </c>
      <c r="D4720" t="s">
        <v>79</v>
      </c>
      <c r="E4720" t="s">
        <v>20</v>
      </c>
      <c r="F4720" t="s">
        <v>128</v>
      </c>
      <c r="G4720" t="s">
        <v>69</v>
      </c>
      <c r="H4720" t="s">
        <v>34</v>
      </c>
      <c r="I4720" t="s">
        <v>24</v>
      </c>
      <c r="J4720" t="s">
        <v>3647</v>
      </c>
      <c r="L4720">
        <v>1.5</v>
      </c>
      <c r="M4720">
        <v>581000</v>
      </c>
      <c r="N4720">
        <v>2.1</v>
      </c>
      <c r="O4720">
        <v>1</v>
      </c>
      <c r="P4720" t="s">
        <v>26</v>
      </c>
    </row>
    <row r="4721" spans="1:16" x14ac:dyDescent="0.25">
      <c r="A4721" t="s">
        <v>9355</v>
      </c>
      <c r="B4721" t="s">
        <v>8347</v>
      </c>
      <c r="C4721" t="s">
        <v>18</v>
      </c>
      <c r="D4721" t="s">
        <v>50</v>
      </c>
      <c r="F4721" t="s">
        <v>32</v>
      </c>
      <c r="G4721" t="s">
        <v>80</v>
      </c>
      <c r="H4721" t="s">
        <v>23</v>
      </c>
      <c r="I4721" t="s">
        <v>35</v>
      </c>
      <c r="J4721" t="s">
        <v>5924</v>
      </c>
      <c r="L4721">
        <v>5.2</v>
      </c>
      <c r="M4721">
        <v>334000</v>
      </c>
      <c r="N4721">
        <v>4.5</v>
      </c>
      <c r="O4721">
        <v>34</v>
      </c>
      <c r="P4721" t="s">
        <v>26</v>
      </c>
    </row>
    <row r="4722" spans="1:16" x14ac:dyDescent="0.25">
      <c r="A4722" t="s">
        <v>9356</v>
      </c>
      <c r="B4722" t="s">
        <v>4338</v>
      </c>
      <c r="C4722" t="s">
        <v>29</v>
      </c>
      <c r="D4722" t="s">
        <v>43</v>
      </c>
      <c r="E4722" t="s">
        <v>44</v>
      </c>
      <c r="F4722" t="s">
        <v>128</v>
      </c>
      <c r="G4722" t="s">
        <v>22</v>
      </c>
      <c r="H4722" t="s">
        <v>46</v>
      </c>
      <c r="I4722" t="s">
        <v>24</v>
      </c>
      <c r="J4722" t="s">
        <v>2579</v>
      </c>
      <c r="K4722" t="s">
        <v>1623</v>
      </c>
      <c r="L4722">
        <v>3.7</v>
      </c>
      <c r="M4722">
        <v>482000</v>
      </c>
      <c r="N4722">
        <v>4.0999999999999996</v>
      </c>
      <c r="O4722">
        <v>12</v>
      </c>
      <c r="P4722" t="s">
        <v>53</v>
      </c>
    </row>
    <row r="4723" spans="1:16" x14ac:dyDescent="0.25">
      <c r="A4723" t="s">
        <v>9357</v>
      </c>
      <c r="B4723" t="s">
        <v>9358</v>
      </c>
      <c r="C4723" t="s">
        <v>29</v>
      </c>
      <c r="D4723" t="s">
        <v>30</v>
      </c>
      <c r="E4723" t="s">
        <v>20</v>
      </c>
      <c r="F4723" t="s">
        <v>39</v>
      </c>
      <c r="G4723" t="s">
        <v>33</v>
      </c>
      <c r="H4723" t="s">
        <v>34</v>
      </c>
      <c r="I4723" t="s">
        <v>35</v>
      </c>
      <c r="J4723" t="s">
        <v>4029</v>
      </c>
      <c r="K4723" t="s">
        <v>4404</v>
      </c>
      <c r="L4723">
        <v>4.4000000000000004</v>
      </c>
      <c r="M4723">
        <v>102000</v>
      </c>
      <c r="N4723">
        <v>3.5</v>
      </c>
      <c r="O4723">
        <v>12</v>
      </c>
      <c r="P4723" t="s">
        <v>53</v>
      </c>
    </row>
    <row r="4724" spans="1:16" x14ac:dyDescent="0.25">
      <c r="A4724" t="s">
        <v>9359</v>
      </c>
      <c r="B4724" t="s">
        <v>5202</v>
      </c>
      <c r="C4724" t="s">
        <v>29</v>
      </c>
      <c r="D4724" t="s">
        <v>30</v>
      </c>
      <c r="E4724" t="s">
        <v>20</v>
      </c>
      <c r="F4724" t="s">
        <v>39</v>
      </c>
      <c r="G4724" t="s">
        <v>22</v>
      </c>
      <c r="H4724" t="s">
        <v>62</v>
      </c>
      <c r="I4724" t="s">
        <v>24</v>
      </c>
      <c r="J4724" t="s">
        <v>837</v>
      </c>
      <c r="L4724">
        <v>1.5</v>
      </c>
      <c r="M4724">
        <v>100000</v>
      </c>
      <c r="N4724">
        <v>2.4</v>
      </c>
      <c r="O4724">
        <v>6</v>
      </c>
      <c r="P4724" t="s">
        <v>26</v>
      </c>
    </row>
    <row r="4725" spans="1:16" x14ac:dyDescent="0.25">
      <c r="A4725" t="s">
        <v>9360</v>
      </c>
      <c r="B4725" t="s">
        <v>9361</v>
      </c>
      <c r="C4725" t="s">
        <v>18</v>
      </c>
      <c r="D4725" t="s">
        <v>43</v>
      </c>
      <c r="E4725" t="s">
        <v>20</v>
      </c>
      <c r="F4725" t="s">
        <v>32</v>
      </c>
      <c r="G4725" t="s">
        <v>22</v>
      </c>
      <c r="H4725" t="s">
        <v>34</v>
      </c>
      <c r="I4725" t="s">
        <v>24</v>
      </c>
      <c r="J4725" t="s">
        <v>7714</v>
      </c>
      <c r="L4725">
        <v>5.6</v>
      </c>
      <c r="M4725">
        <v>285000</v>
      </c>
      <c r="N4725">
        <v>4.3</v>
      </c>
      <c r="O4725">
        <v>7</v>
      </c>
      <c r="P4725" t="s">
        <v>26</v>
      </c>
    </row>
    <row r="4726" spans="1:16" x14ac:dyDescent="0.25">
      <c r="A4726" t="s">
        <v>9362</v>
      </c>
      <c r="B4726" t="s">
        <v>8493</v>
      </c>
      <c r="C4726" t="s">
        <v>18</v>
      </c>
      <c r="D4726" t="s">
        <v>43</v>
      </c>
      <c r="E4726" t="s">
        <v>20</v>
      </c>
      <c r="F4726" t="s">
        <v>39</v>
      </c>
      <c r="G4726" t="s">
        <v>69</v>
      </c>
      <c r="H4726" t="s">
        <v>23</v>
      </c>
      <c r="I4726" t="s">
        <v>57</v>
      </c>
      <c r="J4726" t="s">
        <v>4346</v>
      </c>
      <c r="L4726">
        <v>6.1</v>
      </c>
      <c r="M4726">
        <v>146000</v>
      </c>
      <c r="N4726">
        <v>2.8</v>
      </c>
      <c r="O4726">
        <v>7</v>
      </c>
      <c r="P4726" t="s">
        <v>26</v>
      </c>
    </row>
    <row r="4727" spans="1:16" x14ac:dyDescent="0.25">
      <c r="A4727" t="s">
        <v>9363</v>
      </c>
      <c r="B4727" t="s">
        <v>1201</v>
      </c>
      <c r="C4727" t="s">
        <v>29</v>
      </c>
      <c r="D4727" t="s">
        <v>30</v>
      </c>
      <c r="E4727" t="s">
        <v>20</v>
      </c>
      <c r="F4727" t="s">
        <v>39</v>
      </c>
      <c r="G4727" t="s">
        <v>22</v>
      </c>
      <c r="H4727" t="s">
        <v>46</v>
      </c>
      <c r="I4727" t="s">
        <v>75</v>
      </c>
      <c r="J4727" t="s">
        <v>387</v>
      </c>
      <c r="L4727">
        <v>4.8</v>
      </c>
      <c r="M4727">
        <v>152000</v>
      </c>
      <c r="N4727">
        <v>2.9</v>
      </c>
      <c r="O4727">
        <v>34</v>
      </c>
      <c r="P4727" t="s">
        <v>26</v>
      </c>
    </row>
    <row r="4728" spans="1:16" x14ac:dyDescent="0.25">
      <c r="A4728" t="s">
        <v>9364</v>
      </c>
      <c r="B4728" t="s">
        <v>793</v>
      </c>
      <c r="C4728" t="s">
        <v>18</v>
      </c>
      <c r="D4728" t="s">
        <v>30</v>
      </c>
      <c r="E4728" t="s">
        <v>44</v>
      </c>
      <c r="F4728" t="s">
        <v>32</v>
      </c>
      <c r="G4728" t="s">
        <v>80</v>
      </c>
      <c r="H4728" t="s">
        <v>46</v>
      </c>
      <c r="I4728" t="s">
        <v>24</v>
      </c>
      <c r="J4728" t="s">
        <v>1921</v>
      </c>
      <c r="K4728" t="s">
        <v>2124</v>
      </c>
      <c r="L4728">
        <v>6.2</v>
      </c>
      <c r="M4728">
        <v>242000</v>
      </c>
      <c r="N4728">
        <v>2.6</v>
      </c>
      <c r="O4728">
        <v>6</v>
      </c>
      <c r="P4728" t="s">
        <v>53</v>
      </c>
    </row>
    <row r="4729" spans="1:16" x14ac:dyDescent="0.25">
      <c r="A4729" t="s">
        <v>9365</v>
      </c>
      <c r="B4729" t="s">
        <v>5221</v>
      </c>
      <c r="C4729" t="s">
        <v>18</v>
      </c>
      <c r="D4729" t="s">
        <v>79</v>
      </c>
      <c r="E4729" t="s">
        <v>20</v>
      </c>
      <c r="F4729" t="s">
        <v>32</v>
      </c>
      <c r="G4729" t="s">
        <v>22</v>
      </c>
      <c r="H4729" t="s">
        <v>34</v>
      </c>
      <c r="I4729" t="s">
        <v>57</v>
      </c>
      <c r="J4729" t="s">
        <v>8280</v>
      </c>
      <c r="L4729">
        <v>1.5</v>
      </c>
      <c r="M4729">
        <v>248000</v>
      </c>
      <c r="N4729">
        <v>4.2</v>
      </c>
      <c r="O4729">
        <v>2</v>
      </c>
      <c r="P4729" t="s">
        <v>26</v>
      </c>
    </row>
    <row r="4730" spans="1:16" x14ac:dyDescent="0.25">
      <c r="A4730" t="s">
        <v>9366</v>
      </c>
      <c r="B4730" t="s">
        <v>9367</v>
      </c>
      <c r="C4730" t="s">
        <v>18</v>
      </c>
      <c r="D4730" t="s">
        <v>19</v>
      </c>
      <c r="E4730" t="s">
        <v>31</v>
      </c>
      <c r="F4730" t="s">
        <v>21</v>
      </c>
      <c r="G4730" t="s">
        <v>22</v>
      </c>
      <c r="H4730" t="s">
        <v>23</v>
      </c>
      <c r="I4730" t="s">
        <v>57</v>
      </c>
      <c r="J4730" t="s">
        <v>1918</v>
      </c>
      <c r="L4730">
        <v>2.6</v>
      </c>
      <c r="M4730">
        <v>735000</v>
      </c>
      <c r="N4730">
        <v>4.0999999999999996</v>
      </c>
      <c r="O4730">
        <v>6</v>
      </c>
      <c r="P4730" t="s">
        <v>26</v>
      </c>
    </row>
    <row r="4731" spans="1:16" x14ac:dyDescent="0.25">
      <c r="A4731" t="s">
        <v>9368</v>
      </c>
      <c r="B4731" t="s">
        <v>6581</v>
      </c>
      <c r="C4731" t="s">
        <v>29</v>
      </c>
      <c r="D4731" t="s">
        <v>79</v>
      </c>
      <c r="E4731" t="s">
        <v>20</v>
      </c>
      <c r="F4731" t="s">
        <v>32</v>
      </c>
      <c r="G4731" t="s">
        <v>22</v>
      </c>
      <c r="H4731" t="s">
        <v>23</v>
      </c>
      <c r="I4731" t="s">
        <v>24</v>
      </c>
      <c r="J4731" t="s">
        <v>8815</v>
      </c>
      <c r="L4731">
        <v>3.1</v>
      </c>
      <c r="M4731">
        <v>203000</v>
      </c>
      <c r="N4731">
        <v>3.5</v>
      </c>
      <c r="O4731">
        <v>5</v>
      </c>
      <c r="P4731" t="s">
        <v>26</v>
      </c>
    </row>
    <row r="4732" spans="1:16" x14ac:dyDescent="0.25">
      <c r="A4732" t="s">
        <v>9369</v>
      </c>
      <c r="B4732" t="s">
        <v>4531</v>
      </c>
      <c r="C4732" t="s">
        <v>18</v>
      </c>
      <c r="D4732" t="s">
        <v>50</v>
      </c>
      <c r="E4732" t="s">
        <v>20</v>
      </c>
      <c r="F4732" t="s">
        <v>32</v>
      </c>
      <c r="G4732" t="s">
        <v>80</v>
      </c>
      <c r="H4732" t="s">
        <v>46</v>
      </c>
      <c r="I4732" t="s">
        <v>24</v>
      </c>
      <c r="J4732" t="s">
        <v>3470</v>
      </c>
      <c r="L4732">
        <v>2.2999999999999998</v>
      </c>
      <c r="M4732">
        <v>337000</v>
      </c>
      <c r="N4732">
        <v>4</v>
      </c>
      <c r="O4732">
        <v>6</v>
      </c>
      <c r="P4732" t="s">
        <v>26</v>
      </c>
    </row>
    <row r="4733" spans="1:16" x14ac:dyDescent="0.25">
      <c r="A4733" t="s">
        <v>9370</v>
      </c>
      <c r="B4733" t="s">
        <v>2028</v>
      </c>
      <c r="C4733" t="s">
        <v>18</v>
      </c>
      <c r="D4733" t="s">
        <v>30</v>
      </c>
      <c r="E4733" t="s">
        <v>20</v>
      </c>
      <c r="F4733" t="s">
        <v>39</v>
      </c>
      <c r="G4733" t="s">
        <v>22</v>
      </c>
      <c r="H4733" t="s">
        <v>34</v>
      </c>
      <c r="I4733" t="s">
        <v>57</v>
      </c>
      <c r="J4733" t="s">
        <v>199</v>
      </c>
      <c r="K4733" t="s">
        <v>411</v>
      </c>
      <c r="L4733">
        <v>4.3</v>
      </c>
      <c r="N4733">
        <v>2.2000000000000002</v>
      </c>
      <c r="O4733">
        <v>10</v>
      </c>
      <c r="P4733" t="s">
        <v>53</v>
      </c>
    </row>
    <row r="4734" spans="1:16" x14ac:dyDescent="0.25">
      <c r="A4734" t="s">
        <v>9371</v>
      </c>
      <c r="B4734" t="s">
        <v>9372</v>
      </c>
      <c r="C4734" t="s">
        <v>29</v>
      </c>
      <c r="D4734" t="s">
        <v>79</v>
      </c>
      <c r="E4734" t="s">
        <v>20</v>
      </c>
      <c r="F4734" t="s">
        <v>32</v>
      </c>
      <c r="G4734" t="s">
        <v>22</v>
      </c>
      <c r="H4734" t="s">
        <v>62</v>
      </c>
      <c r="I4734" t="s">
        <v>24</v>
      </c>
      <c r="J4734" t="s">
        <v>4108</v>
      </c>
      <c r="L4734">
        <v>3.8</v>
      </c>
      <c r="M4734">
        <v>307000</v>
      </c>
      <c r="N4734">
        <v>2.4</v>
      </c>
      <c r="O4734">
        <v>0</v>
      </c>
      <c r="P4734" t="s">
        <v>26</v>
      </c>
    </row>
    <row r="4735" spans="1:16" x14ac:dyDescent="0.25">
      <c r="A4735" t="s">
        <v>9373</v>
      </c>
      <c r="B4735" t="s">
        <v>5619</v>
      </c>
      <c r="C4735" t="s">
        <v>29</v>
      </c>
      <c r="D4735" t="s">
        <v>79</v>
      </c>
      <c r="E4735" t="s">
        <v>44</v>
      </c>
      <c r="F4735" t="s">
        <v>39</v>
      </c>
      <c r="G4735" t="s">
        <v>80</v>
      </c>
      <c r="H4735" t="s">
        <v>34</v>
      </c>
      <c r="I4735" t="s">
        <v>57</v>
      </c>
      <c r="J4735" t="s">
        <v>2361</v>
      </c>
      <c r="L4735">
        <v>3.9</v>
      </c>
      <c r="M4735">
        <v>154000</v>
      </c>
      <c r="N4735">
        <v>4.5999999999999996</v>
      </c>
      <c r="O4735">
        <v>13</v>
      </c>
      <c r="P4735" t="s">
        <v>26</v>
      </c>
    </row>
    <row r="4736" spans="1:16" x14ac:dyDescent="0.25">
      <c r="A4736" t="s">
        <v>9374</v>
      </c>
      <c r="B4736" t="s">
        <v>1833</v>
      </c>
      <c r="C4736" t="s">
        <v>18</v>
      </c>
      <c r="D4736" t="s">
        <v>50</v>
      </c>
      <c r="E4736" t="s">
        <v>20</v>
      </c>
      <c r="F4736" t="s">
        <v>21</v>
      </c>
      <c r="G4736" t="s">
        <v>33</v>
      </c>
      <c r="H4736" t="s">
        <v>46</v>
      </c>
      <c r="I4736" t="s">
        <v>57</v>
      </c>
      <c r="J4736" t="s">
        <v>6325</v>
      </c>
      <c r="L4736">
        <v>1.6</v>
      </c>
      <c r="M4736">
        <v>787000</v>
      </c>
      <c r="N4736">
        <v>3.6</v>
      </c>
      <c r="P4736" t="s">
        <v>26</v>
      </c>
    </row>
    <row r="4737" spans="1:16" x14ac:dyDescent="0.25">
      <c r="A4737" t="s">
        <v>9375</v>
      </c>
      <c r="B4737" t="s">
        <v>9376</v>
      </c>
      <c r="C4737" t="s">
        <v>18</v>
      </c>
      <c r="D4737" t="s">
        <v>30</v>
      </c>
      <c r="E4737" t="s">
        <v>20</v>
      </c>
      <c r="F4737" t="s">
        <v>39</v>
      </c>
      <c r="G4737" t="s">
        <v>22</v>
      </c>
      <c r="H4737" t="s">
        <v>23</v>
      </c>
      <c r="I4737" t="s">
        <v>24</v>
      </c>
      <c r="J4737" t="s">
        <v>776</v>
      </c>
      <c r="L4737">
        <v>2.4</v>
      </c>
      <c r="M4737">
        <v>153000</v>
      </c>
      <c r="N4737">
        <v>1.6</v>
      </c>
      <c r="O4737">
        <v>1</v>
      </c>
      <c r="P4737" t="s">
        <v>26</v>
      </c>
    </row>
    <row r="4738" spans="1:16" x14ac:dyDescent="0.25">
      <c r="A4738" t="s">
        <v>9377</v>
      </c>
      <c r="B4738" t="s">
        <v>7900</v>
      </c>
      <c r="C4738" t="s">
        <v>18</v>
      </c>
      <c r="D4738" t="s">
        <v>30</v>
      </c>
      <c r="E4738" t="s">
        <v>44</v>
      </c>
      <c r="F4738" t="s">
        <v>39</v>
      </c>
      <c r="G4738" t="s">
        <v>22</v>
      </c>
      <c r="H4738" t="s">
        <v>46</v>
      </c>
      <c r="I4738" t="s">
        <v>75</v>
      </c>
      <c r="J4738" t="s">
        <v>920</v>
      </c>
      <c r="K4738" t="s">
        <v>3599</v>
      </c>
      <c r="L4738">
        <v>4.7</v>
      </c>
      <c r="M4738">
        <v>106000</v>
      </c>
      <c r="N4738">
        <v>3.2</v>
      </c>
      <c r="O4738">
        <v>6</v>
      </c>
      <c r="P4738" t="s">
        <v>53</v>
      </c>
    </row>
    <row r="4739" spans="1:16" x14ac:dyDescent="0.25">
      <c r="A4739" t="s">
        <v>9378</v>
      </c>
      <c r="B4739" t="s">
        <v>3767</v>
      </c>
      <c r="C4739" t="s">
        <v>18</v>
      </c>
      <c r="D4739" t="s">
        <v>50</v>
      </c>
      <c r="E4739" t="s">
        <v>31</v>
      </c>
      <c r="F4739" t="s">
        <v>32</v>
      </c>
      <c r="G4739" t="s">
        <v>22</v>
      </c>
      <c r="J4739" t="s">
        <v>2255</v>
      </c>
      <c r="L4739">
        <v>2.2000000000000002</v>
      </c>
      <c r="M4739">
        <v>180000</v>
      </c>
      <c r="N4739">
        <v>4.4000000000000004</v>
      </c>
      <c r="O4739">
        <v>1</v>
      </c>
      <c r="P4739" t="s">
        <v>26</v>
      </c>
    </row>
    <row r="4740" spans="1:16" x14ac:dyDescent="0.25">
      <c r="A4740" t="s">
        <v>9379</v>
      </c>
      <c r="B4740" t="s">
        <v>9380</v>
      </c>
      <c r="C4740" t="s">
        <v>18</v>
      </c>
      <c r="D4740" t="s">
        <v>43</v>
      </c>
      <c r="E4740" t="s">
        <v>20</v>
      </c>
      <c r="F4740" t="s">
        <v>128</v>
      </c>
      <c r="G4740" t="s">
        <v>80</v>
      </c>
      <c r="H4740" t="s">
        <v>46</v>
      </c>
      <c r="I4740" t="s">
        <v>75</v>
      </c>
      <c r="J4740" t="s">
        <v>1224</v>
      </c>
      <c r="L4740">
        <v>5.2</v>
      </c>
      <c r="M4740">
        <v>511000</v>
      </c>
      <c r="N4740">
        <v>2.1</v>
      </c>
      <c r="O4740">
        <v>11</v>
      </c>
      <c r="P4740" t="s">
        <v>26</v>
      </c>
    </row>
    <row r="4741" spans="1:16" x14ac:dyDescent="0.25">
      <c r="A4741" t="s">
        <v>9381</v>
      </c>
      <c r="B4741" t="s">
        <v>9382</v>
      </c>
      <c r="C4741" t="s">
        <v>29</v>
      </c>
      <c r="D4741" t="s">
        <v>19</v>
      </c>
      <c r="E4741" t="s">
        <v>20</v>
      </c>
      <c r="F4741" t="s">
        <v>39</v>
      </c>
      <c r="G4741" t="s">
        <v>80</v>
      </c>
      <c r="H4741" t="s">
        <v>46</v>
      </c>
      <c r="I4741" t="s">
        <v>171</v>
      </c>
      <c r="J4741" t="s">
        <v>4490</v>
      </c>
      <c r="L4741">
        <v>4</v>
      </c>
      <c r="M4741">
        <v>99000</v>
      </c>
      <c r="N4741">
        <v>3</v>
      </c>
      <c r="O4741">
        <v>5</v>
      </c>
      <c r="P4741" t="s">
        <v>26</v>
      </c>
    </row>
    <row r="4742" spans="1:16" x14ac:dyDescent="0.25">
      <c r="A4742" t="s">
        <v>9383</v>
      </c>
      <c r="B4742" t="s">
        <v>9384</v>
      </c>
      <c r="C4742" t="s">
        <v>18</v>
      </c>
      <c r="D4742" t="s">
        <v>79</v>
      </c>
      <c r="E4742" t="s">
        <v>20</v>
      </c>
      <c r="F4742" t="s">
        <v>21</v>
      </c>
      <c r="G4742" t="s">
        <v>22</v>
      </c>
      <c r="H4742" t="s">
        <v>46</v>
      </c>
      <c r="I4742" t="s">
        <v>24</v>
      </c>
      <c r="J4742" t="s">
        <v>7762</v>
      </c>
      <c r="L4742">
        <v>5.3</v>
      </c>
      <c r="M4742">
        <v>940000</v>
      </c>
      <c r="N4742">
        <v>3.8</v>
      </c>
      <c r="O4742">
        <v>0</v>
      </c>
      <c r="P4742" t="s">
        <v>26</v>
      </c>
    </row>
    <row r="4743" spans="1:16" x14ac:dyDescent="0.25">
      <c r="A4743" t="s">
        <v>9385</v>
      </c>
      <c r="B4743" t="s">
        <v>1659</v>
      </c>
      <c r="C4743" t="s">
        <v>29</v>
      </c>
      <c r="E4743" t="s">
        <v>20</v>
      </c>
      <c r="F4743" t="s">
        <v>32</v>
      </c>
      <c r="G4743" t="s">
        <v>33</v>
      </c>
      <c r="H4743" t="s">
        <v>62</v>
      </c>
      <c r="I4743" t="s">
        <v>24</v>
      </c>
      <c r="J4743" t="s">
        <v>4383</v>
      </c>
      <c r="K4743" t="s">
        <v>9244</v>
      </c>
      <c r="L4743">
        <v>4.5</v>
      </c>
      <c r="M4743">
        <v>266000</v>
      </c>
      <c r="N4743">
        <v>2.5</v>
      </c>
      <c r="O4743">
        <v>4</v>
      </c>
      <c r="P4743" t="s">
        <v>53</v>
      </c>
    </row>
    <row r="4744" spans="1:16" x14ac:dyDescent="0.25">
      <c r="A4744" t="s">
        <v>9386</v>
      </c>
      <c r="B4744" t="s">
        <v>4332</v>
      </c>
      <c r="C4744" t="s">
        <v>18</v>
      </c>
      <c r="D4744" t="s">
        <v>30</v>
      </c>
      <c r="E4744" t="s">
        <v>20</v>
      </c>
      <c r="F4744" t="s">
        <v>128</v>
      </c>
      <c r="G4744" t="s">
        <v>33</v>
      </c>
      <c r="H4744" t="s">
        <v>34</v>
      </c>
      <c r="I4744" t="s">
        <v>24</v>
      </c>
      <c r="J4744" t="s">
        <v>2568</v>
      </c>
      <c r="L4744">
        <v>1.3</v>
      </c>
      <c r="M4744">
        <v>528000</v>
      </c>
      <c r="N4744">
        <v>3</v>
      </c>
      <c r="O4744">
        <v>33</v>
      </c>
      <c r="P4744" t="s">
        <v>26</v>
      </c>
    </row>
    <row r="4745" spans="1:16" x14ac:dyDescent="0.25">
      <c r="A4745" t="s">
        <v>9387</v>
      </c>
      <c r="B4745" t="s">
        <v>8577</v>
      </c>
      <c r="C4745" t="s">
        <v>18</v>
      </c>
      <c r="D4745" t="s">
        <v>30</v>
      </c>
      <c r="E4745" t="s">
        <v>31</v>
      </c>
      <c r="F4745" t="s">
        <v>32</v>
      </c>
      <c r="G4745" t="s">
        <v>33</v>
      </c>
      <c r="H4745" t="s">
        <v>34</v>
      </c>
      <c r="I4745" t="s">
        <v>57</v>
      </c>
      <c r="J4745" t="s">
        <v>9388</v>
      </c>
      <c r="K4745" t="s">
        <v>2399</v>
      </c>
      <c r="L4745">
        <v>2.2999999999999998</v>
      </c>
      <c r="M4745">
        <v>317000</v>
      </c>
      <c r="N4745">
        <v>2.1</v>
      </c>
      <c r="O4745">
        <v>4</v>
      </c>
      <c r="P4745" t="s">
        <v>53</v>
      </c>
    </row>
    <row r="4746" spans="1:16" x14ac:dyDescent="0.25">
      <c r="A4746" t="s">
        <v>9389</v>
      </c>
      <c r="B4746" t="s">
        <v>226</v>
      </c>
      <c r="C4746" t="s">
        <v>18</v>
      </c>
      <c r="D4746" t="s">
        <v>50</v>
      </c>
      <c r="E4746" t="s">
        <v>20</v>
      </c>
      <c r="F4746" t="s">
        <v>39</v>
      </c>
      <c r="G4746" t="s">
        <v>33</v>
      </c>
      <c r="H4746" t="s">
        <v>46</v>
      </c>
      <c r="I4746" t="s">
        <v>24</v>
      </c>
      <c r="J4746" t="s">
        <v>3139</v>
      </c>
      <c r="L4746">
        <v>1.9</v>
      </c>
      <c r="M4746">
        <v>160000</v>
      </c>
      <c r="N4746">
        <v>4.8</v>
      </c>
      <c r="O4746">
        <v>3</v>
      </c>
      <c r="P4746" t="s">
        <v>26</v>
      </c>
    </row>
    <row r="4747" spans="1:16" x14ac:dyDescent="0.25">
      <c r="A4747" t="s">
        <v>9390</v>
      </c>
      <c r="B4747" t="s">
        <v>4708</v>
      </c>
      <c r="D4747" t="s">
        <v>50</v>
      </c>
      <c r="E4747" t="s">
        <v>20</v>
      </c>
      <c r="F4747" t="s">
        <v>128</v>
      </c>
      <c r="G4747" t="s">
        <v>80</v>
      </c>
      <c r="H4747" t="s">
        <v>46</v>
      </c>
      <c r="I4747" t="s">
        <v>35</v>
      </c>
      <c r="J4747" t="s">
        <v>1807</v>
      </c>
      <c r="L4747">
        <v>4.7</v>
      </c>
      <c r="M4747">
        <v>581000</v>
      </c>
      <c r="N4747">
        <v>3.1</v>
      </c>
      <c r="O4747">
        <v>17</v>
      </c>
      <c r="P4747" t="s">
        <v>26</v>
      </c>
    </row>
    <row r="4748" spans="1:16" x14ac:dyDescent="0.25">
      <c r="A4748" t="s">
        <v>9391</v>
      </c>
      <c r="B4748" t="s">
        <v>1582</v>
      </c>
      <c r="C4748" t="s">
        <v>29</v>
      </c>
      <c r="D4748" t="s">
        <v>79</v>
      </c>
      <c r="E4748" t="s">
        <v>20</v>
      </c>
      <c r="F4748" t="s">
        <v>39</v>
      </c>
      <c r="G4748" t="s">
        <v>22</v>
      </c>
      <c r="H4748" t="s">
        <v>46</v>
      </c>
      <c r="I4748" t="s">
        <v>24</v>
      </c>
      <c r="J4748" t="s">
        <v>1028</v>
      </c>
      <c r="L4748">
        <v>3.9</v>
      </c>
      <c r="M4748">
        <v>144000</v>
      </c>
      <c r="N4748">
        <v>4</v>
      </c>
      <c r="O4748">
        <v>20</v>
      </c>
      <c r="P4748" t="s">
        <v>26</v>
      </c>
    </row>
    <row r="4749" spans="1:16" x14ac:dyDescent="0.25">
      <c r="A4749" t="s">
        <v>9392</v>
      </c>
      <c r="B4749" t="s">
        <v>9393</v>
      </c>
      <c r="C4749" t="s">
        <v>18</v>
      </c>
      <c r="D4749" t="s">
        <v>79</v>
      </c>
      <c r="E4749" t="s">
        <v>31</v>
      </c>
      <c r="F4749" t="s">
        <v>32</v>
      </c>
      <c r="G4749" t="s">
        <v>80</v>
      </c>
      <c r="H4749" t="s">
        <v>34</v>
      </c>
      <c r="I4749" t="s">
        <v>35</v>
      </c>
      <c r="J4749" t="s">
        <v>6724</v>
      </c>
      <c r="L4749">
        <v>2</v>
      </c>
      <c r="M4749">
        <v>284000</v>
      </c>
      <c r="O4749">
        <v>7</v>
      </c>
      <c r="P4749" t="s">
        <v>26</v>
      </c>
    </row>
    <row r="4750" spans="1:16" x14ac:dyDescent="0.25">
      <c r="A4750" t="s">
        <v>9394</v>
      </c>
      <c r="B4750" t="s">
        <v>9395</v>
      </c>
      <c r="C4750" t="s">
        <v>29</v>
      </c>
      <c r="D4750" t="s">
        <v>50</v>
      </c>
      <c r="E4750" t="s">
        <v>20</v>
      </c>
      <c r="F4750" t="s">
        <v>39</v>
      </c>
      <c r="G4750" t="s">
        <v>80</v>
      </c>
      <c r="H4750" t="s">
        <v>23</v>
      </c>
      <c r="I4750" t="s">
        <v>35</v>
      </c>
      <c r="J4750" t="s">
        <v>9396</v>
      </c>
      <c r="K4750" t="s">
        <v>2626</v>
      </c>
      <c r="L4750">
        <v>3.1</v>
      </c>
      <c r="N4750">
        <v>2.2000000000000002</v>
      </c>
      <c r="O4750">
        <v>7</v>
      </c>
      <c r="P4750" t="s">
        <v>53</v>
      </c>
    </row>
    <row r="4751" spans="1:16" x14ac:dyDescent="0.25">
      <c r="A4751" t="s">
        <v>9397</v>
      </c>
      <c r="B4751" t="s">
        <v>5507</v>
      </c>
      <c r="C4751" t="s">
        <v>18</v>
      </c>
      <c r="D4751" t="s">
        <v>43</v>
      </c>
      <c r="E4751" t="s">
        <v>44</v>
      </c>
      <c r="F4751" t="s">
        <v>32</v>
      </c>
      <c r="G4751" t="s">
        <v>33</v>
      </c>
      <c r="H4751" t="s">
        <v>23</v>
      </c>
      <c r="I4751" t="s">
        <v>35</v>
      </c>
      <c r="J4751" t="s">
        <v>3493</v>
      </c>
      <c r="K4751" t="s">
        <v>9398</v>
      </c>
      <c r="L4751">
        <v>2</v>
      </c>
      <c r="M4751">
        <v>322000</v>
      </c>
      <c r="N4751">
        <v>4.2</v>
      </c>
      <c r="O4751">
        <v>13</v>
      </c>
      <c r="P4751" t="s">
        <v>53</v>
      </c>
    </row>
    <row r="4752" spans="1:16" x14ac:dyDescent="0.25">
      <c r="A4752" t="s">
        <v>9399</v>
      </c>
      <c r="B4752" t="s">
        <v>8396</v>
      </c>
      <c r="C4752" t="s">
        <v>18</v>
      </c>
      <c r="D4752" t="s">
        <v>79</v>
      </c>
      <c r="E4752" t="s">
        <v>20</v>
      </c>
      <c r="F4752" t="s">
        <v>21</v>
      </c>
      <c r="G4752" t="s">
        <v>80</v>
      </c>
      <c r="H4752" t="s">
        <v>46</v>
      </c>
      <c r="I4752" t="s">
        <v>24</v>
      </c>
      <c r="J4752" t="s">
        <v>1600</v>
      </c>
      <c r="K4752" t="s">
        <v>2723</v>
      </c>
      <c r="L4752">
        <v>5.2</v>
      </c>
      <c r="M4752">
        <v>733000</v>
      </c>
      <c r="N4752">
        <v>3.2</v>
      </c>
      <c r="O4752">
        <v>36</v>
      </c>
      <c r="P4752" t="s">
        <v>72</v>
      </c>
    </row>
    <row r="4753" spans="1:16" x14ac:dyDescent="0.25">
      <c r="A4753" t="s">
        <v>9400</v>
      </c>
      <c r="B4753" t="s">
        <v>9401</v>
      </c>
      <c r="C4753" t="s">
        <v>18</v>
      </c>
      <c r="D4753" t="s">
        <v>79</v>
      </c>
      <c r="E4753" t="s">
        <v>20</v>
      </c>
      <c r="F4753" t="s">
        <v>32</v>
      </c>
      <c r="G4753" t="s">
        <v>22</v>
      </c>
      <c r="H4753" t="s">
        <v>23</v>
      </c>
      <c r="I4753" t="s">
        <v>35</v>
      </c>
      <c r="J4753" t="s">
        <v>1738</v>
      </c>
      <c r="L4753">
        <v>2.5</v>
      </c>
      <c r="M4753">
        <v>262000</v>
      </c>
      <c r="N4753">
        <v>2.9</v>
      </c>
      <c r="O4753">
        <v>12</v>
      </c>
      <c r="P4753" t="s">
        <v>26</v>
      </c>
    </row>
    <row r="4754" spans="1:16" x14ac:dyDescent="0.25">
      <c r="A4754" t="s">
        <v>9402</v>
      </c>
      <c r="B4754" t="s">
        <v>3767</v>
      </c>
      <c r="C4754" t="s">
        <v>18</v>
      </c>
      <c r="D4754" t="s">
        <v>50</v>
      </c>
      <c r="E4754" t="s">
        <v>44</v>
      </c>
      <c r="F4754" t="s">
        <v>32</v>
      </c>
      <c r="G4754" t="s">
        <v>80</v>
      </c>
      <c r="H4754" t="s">
        <v>23</v>
      </c>
      <c r="I4754" t="s">
        <v>24</v>
      </c>
      <c r="J4754" t="s">
        <v>3681</v>
      </c>
      <c r="L4754">
        <v>3.4</v>
      </c>
      <c r="M4754">
        <v>302000</v>
      </c>
      <c r="N4754">
        <v>3</v>
      </c>
      <c r="O4754">
        <v>9</v>
      </c>
      <c r="P4754" t="s">
        <v>26</v>
      </c>
    </row>
    <row r="4755" spans="1:16" x14ac:dyDescent="0.25">
      <c r="A4755" t="s">
        <v>9403</v>
      </c>
      <c r="B4755" t="s">
        <v>6987</v>
      </c>
      <c r="C4755" t="s">
        <v>18</v>
      </c>
      <c r="D4755" t="s">
        <v>19</v>
      </c>
      <c r="E4755" t="s">
        <v>44</v>
      </c>
      <c r="F4755" t="s">
        <v>39</v>
      </c>
      <c r="G4755" t="s">
        <v>22</v>
      </c>
      <c r="H4755" t="s">
        <v>34</v>
      </c>
      <c r="I4755" t="s">
        <v>24</v>
      </c>
      <c r="J4755" t="s">
        <v>3841</v>
      </c>
      <c r="L4755">
        <v>5.5</v>
      </c>
      <c r="M4755">
        <v>164000</v>
      </c>
      <c r="N4755">
        <v>2.5</v>
      </c>
      <c r="O4755">
        <v>8</v>
      </c>
      <c r="P4755" t="s">
        <v>26</v>
      </c>
    </row>
    <row r="4756" spans="1:16" x14ac:dyDescent="0.25">
      <c r="A4756" t="s">
        <v>9404</v>
      </c>
      <c r="B4756" t="s">
        <v>6008</v>
      </c>
      <c r="C4756" t="s">
        <v>29</v>
      </c>
      <c r="D4756" t="s">
        <v>50</v>
      </c>
      <c r="E4756" t="s">
        <v>20</v>
      </c>
      <c r="F4756" t="s">
        <v>128</v>
      </c>
      <c r="G4756" t="s">
        <v>22</v>
      </c>
      <c r="H4756" t="s">
        <v>23</v>
      </c>
      <c r="I4756" t="s">
        <v>24</v>
      </c>
      <c r="J4756" t="s">
        <v>6123</v>
      </c>
      <c r="K4756" t="s">
        <v>5670</v>
      </c>
      <c r="L4756">
        <v>5.4</v>
      </c>
      <c r="M4756">
        <v>368000</v>
      </c>
      <c r="N4756">
        <v>4.9000000000000004</v>
      </c>
      <c r="O4756">
        <v>28</v>
      </c>
      <c r="P4756" t="s">
        <v>72</v>
      </c>
    </row>
    <row r="4757" spans="1:16" x14ac:dyDescent="0.25">
      <c r="A4757" t="s">
        <v>9405</v>
      </c>
      <c r="B4757" t="s">
        <v>3706</v>
      </c>
      <c r="C4757" t="s">
        <v>18</v>
      </c>
      <c r="D4757" t="s">
        <v>50</v>
      </c>
      <c r="E4757" t="s">
        <v>20</v>
      </c>
      <c r="F4757" t="s">
        <v>128</v>
      </c>
      <c r="G4757" t="s">
        <v>69</v>
      </c>
      <c r="H4757" t="s">
        <v>23</v>
      </c>
      <c r="I4757" t="s">
        <v>35</v>
      </c>
      <c r="J4757" t="s">
        <v>7095</v>
      </c>
      <c r="L4757">
        <v>2.4</v>
      </c>
      <c r="M4757">
        <v>431000</v>
      </c>
      <c r="N4757">
        <v>2.6</v>
      </c>
      <c r="P4757" t="s">
        <v>26</v>
      </c>
    </row>
    <row r="4758" spans="1:16" x14ac:dyDescent="0.25">
      <c r="A4758" t="s">
        <v>5021</v>
      </c>
      <c r="B4758" t="s">
        <v>1014</v>
      </c>
      <c r="C4758" t="s">
        <v>18</v>
      </c>
      <c r="D4758" t="s">
        <v>50</v>
      </c>
      <c r="E4758" t="s">
        <v>31</v>
      </c>
      <c r="F4758" t="s">
        <v>32</v>
      </c>
      <c r="G4758" t="s">
        <v>33</v>
      </c>
      <c r="H4758" t="s">
        <v>23</v>
      </c>
      <c r="I4758" t="s">
        <v>171</v>
      </c>
      <c r="J4758" t="s">
        <v>5022</v>
      </c>
      <c r="L4758">
        <v>5.8</v>
      </c>
      <c r="M4758">
        <v>320000</v>
      </c>
      <c r="N4758">
        <v>4.5999999999999996</v>
      </c>
      <c r="O4758">
        <v>8</v>
      </c>
      <c r="P4758" t="s">
        <v>26</v>
      </c>
    </row>
    <row r="4759" spans="1:16" x14ac:dyDescent="0.25">
      <c r="A4759" t="s">
        <v>9406</v>
      </c>
      <c r="B4759" t="s">
        <v>3524</v>
      </c>
      <c r="C4759" t="s">
        <v>29</v>
      </c>
      <c r="D4759" t="s">
        <v>79</v>
      </c>
      <c r="E4759" t="s">
        <v>20</v>
      </c>
      <c r="F4759" t="s">
        <v>21</v>
      </c>
      <c r="G4759" t="s">
        <v>33</v>
      </c>
      <c r="H4759" t="s">
        <v>23</v>
      </c>
      <c r="I4759" t="s">
        <v>35</v>
      </c>
      <c r="J4759" t="s">
        <v>1423</v>
      </c>
      <c r="L4759">
        <v>4.3</v>
      </c>
      <c r="M4759">
        <v>939000</v>
      </c>
      <c r="N4759">
        <v>4.8</v>
      </c>
      <c r="O4759">
        <v>13</v>
      </c>
      <c r="P4759" t="s">
        <v>26</v>
      </c>
    </row>
    <row r="4760" spans="1:16" x14ac:dyDescent="0.25">
      <c r="A4760" t="s">
        <v>9407</v>
      </c>
      <c r="B4760" t="s">
        <v>86</v>
      </c>
      <c r="C4760" t="s">
        <v>29</v>
      </c>
      <c r="D4760" t="s">
        <v>30</v>
      </c>
      <c r="F4760" t="s">
        <v>39</v>
      </c>
      <c r="G4760" t="s">
        <v>22</v>
      </c>
      <c r="H4760" t="s">
        <v>34</v>
      </c>
      <c r="I4760" t="s">
        <v>24</v>
      </c>
      <c r="J4760" t="s">
        <v>4242</v>
      </c>
      <c r="L4760">
        <v>2</v>
      </c>
      <c r="M4760">
        <v>101000</v>
      </c>
      <c r="N4760">
        <v>3.1</v>
      </c>
      <c r="O4760">
        <v>10</v>
      </c>
      <c r="P4760" t="s">
        <v>26</v>
      </c>
    </row>
    <row r="4761" spans="1:16" x14ac:dyDescent="0.25">
      <c r="A4761" t="s">
        <v>9408</v>
      </c>
      <c r="B4761" t="s">
        <v>3332</v>
      </c>
      <c r="C4761" t="s">
        <v>29</v>
      </c>
      <c r="D4761" t="s">
        <v>79</v>
      </c>
      <c r="E4761" t="s">
        <v>20</v>
      </c>
      <c r="F4761" t="s">
        <v>128</v>
      </c>
      <c r="G4761" t="s">
        <v>22</v>
      </c>
      <c r="H4761" t="s">
        <v>62</v>
      </c>
      <c r="I4761" t="s">
        <v>75</v>
      </c>
      <c r="J4761" t="s">
        <v>1875</v>
      </c>
      <c r="L4761">
        <v>4.3</v>
      </c>
      <c r="M4761">
        <v>556000</v>
      </c>
      <c r="N4761">
        <v>2.5</v>
      </c>
      <c r="O4761">
        <v>7</v>
      </c>
      <c r="P4761" t="s">
        <v>26</v>
      </c>
    </row>
    <row r="4762" spans="1:16" x14ac:dyDescent="0.25">
      <c r="A4762" t="s">
        <v>9409</v>
      </c>
      <c r="B4762" t="s">
        <v>5605</v>
      </c>
      <c r="C4762" t="s">
        <v>29</v>
      </c>
      <c r="D4762" t="s">
        <v>79</v>
      </c>
      <c r="E4762" t="s">
        <v>44</v>
      </c>
      <c r="F4762" t="s">
        <v>32</v>
      </c>
      <c r="G4762" t="s">
        <v>80</v>
      </c>
      <c r="H4762" t="s">
        <v>62</v>
      </c>
      <c r="I4762" t="s">
        <v>75</v>
      </c>
      <c r="J4762" t="s">
        <v>9410</v>
      </c>
      <c r="L4762">
        <v>4.9000000000000004</v>
      </c>
      <c r="M4762">
        <v>227000</v>
      </c>
      <c r="N4762">
        <v>5</v>
      </c>
      <c r="O4762">
        <v>5</v>
      </c>
      <c r="P4762" t="s">
        <v>26</v>
      </c>
    </row>
    <row r="4763" spans="1:16" x14ac:dyDescent="0.25">
      <c r="A4763" t="s">
        <v>9411</v>
      </c>
      <c r="B4763" t="s">
        <v>4907</v>
      </c>
      <c r="C4763" t="s">
        <v>18</v>
      </c>
      <c r="D4763" t="s">
        <v>30</v>
      </c>
      <c r="E4763" t="s">
        <v>31</v>
      </c>
      <c r="F4763" t="s">
        <v>39</v>
      </c>
      <c r="G4763" t="s">
        <v>80</v>
      </c>
      <c r="H4763" t="s">
        <v>34</v>
      </c>
      <c r="I4763" t="s">
        <v>35</v>
      </c>
      <c r="J4763" t="s">
        <v>4302</v>
      </c>
      <c r="L4763">
        <v>3.7</v>
      </c>
      <c r="M4763">
        <v>139000</v>
      </c>
      <c r="N4763">
        <v>2.8</v>
      </c>
      <c r="O4763">
        <v>7</v>
      </c>
      <c r="P4763" t="s">
        <v>26</v>
      </c>
    </row>
    <row r="4764" spans="1:16" x14ac:dyDescent="0.25">
      <c r="A4764" t="s">
        <v>9412</v>
      </c>
      <c r="B4764" t="s">
        <v>7369</v>
      </c>
      <c r="C4764" t="s">
        <v>29</v>
      </c>
      <c r="D4764" t="s">
        <v>30</v>
      </c>
      <c r="E4764" t="s">
        <v>31</v>
      </c>
      <c r="F4764" t="s">
        <v>39</v>
      </c>
      <c r="G4764" t="s">
        <v>69</v>
      </c>
      <c r="H4764" t="s">
        <v>46</v>
      </c>
      <c r="I4764" t="s">
        <v>57</v>
      </c>
      <c r="J4764" t="s">
        <v>2666</v>
      </c>
      <c r="L4764">
        <v>4.2</v>
      </c>
      <c r="M4764">
        <v>178000</v>
      </c>
      <c r="N4764">
        <v>2.2000000000000002</v>
      </c>
      <c r="O4764">
        <v>6</v>
      </c>
      <c r="P4764" t="s">
        <v>26</v>
      </c>
    </row>
    <row r="4765" spans="1:16" x14ac:dyDescent="0.25">
      <c r="A4765" t="s">
        <v>9413</v>
      </c>
      <c r="B4765" t="s">
        <v>8360</v>
      </c>
      <c r="C4765" t="s">
        <v>18</v>
      </c>
      <c r="D4765" t="s">
        <v>43</v>
      </c>
      <c r="E4765" t="s">
        <v>20</v>
      </c>
      <c r="F4765" t="s">
        <v>128</v>
      </c>
      <c r="G4765" t="s">
        <v>33</v>
      </c>
      <c r="H4765" t="s">
        <v>34</v>
      </c>
      <c r="I4765" t="s">
        <v>57</v>
      </c>
      <c r="J4765" t="s">
        <v>478</v>
      </c>
      <c r="K4765" t="s">
        <v>2085</v>
      </c>
      <c r="L4765">
        <v>1.3</v>
      </c>
      <c r="M4765">
        <v>398000</v>
      </c>
      <c r="N4765">
        <v>2.5</v>
      </c>
      <c r="O4765">
        <v>8</v>
      </c>
      <c r="P4765" t="s">
        <v>72</v>
      </c>
    </row>
    <row r="4766" spans="1:16" x14ac:dyDescent="0.25">
      <c r="A4766" t="s">
        <v>9414</v>
      </c>
      <c r="B4766" t="s">
        <v>1725</v>
      </c>
      <c r="C4766" t="s">
        <v>18</v>
      </c>
      <c r="D4766" t="s">
        <v>43</v>
      </c>
      <c r="E4766" t="s">
        <v>20</v>
      </c>
      <c r="F4766" t="s">
        <v>128</v>
      </c>
      <c r="G4766" t="s">
        <v>33</v>
      </c>
      <c r="H4766" t="s">
        <v>46</v>
      </c>
      <c r="I4766" t="s">
        <v>35</v>
      </c>
      <c r="J4766" t="s">
        <v>1785</v>
      </c>
      <c r="L4766">
        <v>4</v>
      </c>
      <c r="M4766">
        <v>498000</v>
      </c>
      <c r="N4766">
        <v>4.8</v>
      </c>
      <c r="O4766">
        <v>1</v>
      </c>
      <c r="P4766" t="s">
        <v>26</v>
      </c>
    </row>
    <row r="4767" spans="1:16" x14ac:dyDescent="0.25">
      <c r="A4767" t="s">
        <v>9415</v>
      </c>
      <c r="B4767" t="s">
        <v>195</v>
      </c>
      <c r="C4767" t="s">
        <v>18</v>
      </c>
      <c r="D4767" t="s">
        <v>30</v>
      </c>
      <c r="E4767" t="s">
        <v>31</v>
      </c>
      <c r="F4767" t="s">
        <v>32</v>
      </c>
      <c r="G4767" t="s">
        <v>22</v>
      </c>
      <c r="H4767" t="s">
        <v>23</v>
      </c>
      <c r="I4767" t="s">
        <v>35</v>
      </c>
      <c r="J4767" t="s">
        <v>2464</v>
      </c>
      <c r="L4767">
        <v>4.8</v>
      </c>
      <c r="M4767">
        <v>224000</v>
      </c>
      <c r="N4767">
        <v>2.6</v>
      </c>
      <c r="O4767">
        <v>9</v>
      </c>
      <c r="P4767" t="s">
        <v>26</v>
      </c>
    </row>
    <row r="4768" spans="1:16" x14ac:dyDescent="0.25">
      <c r="A4768" t="s">
        <v>9416</v>
      </c>
      <c r="B4768" t="s">
        <v>853</v>
      </c>
      <c r="C4768" t="s">
        <v>29</v>
      </c>
      <c r="D4768" t="s">
        <v>50</v>
      </c>
      <c r="E4768" t="s">
        <v>20</v>
      </c>
      <c r="F4768" t="s">
        <v>39</v>
      </c>
      <c r="G4768" t="s">
        <v>22</v>
      </c>
      <c r="I4768" t="s">
        <v>35</v>
      </c>
      <c r="J4768" t="s">
        <v>2460</v>
      </c>
      <c r="L4768">
        <v>3.9</v>
      </c>
      <c r="M4768">
        <v>138000</v>
      </c>
      <c r="N4768">
        <v>4.9000000000000004</v>
      </c>
      <c r="O4768">
        <v>12</v>
      </c>
      <c r="P4768" t="s">
        <v>26</v>
      </c>
    </row>
    <row r="4769" spans="1:16" x14ac:dyDescent="0.25">
      <c r="A4769" t="s">
        <v>9417</v>
      </c>
      <c r="B4769" t="s">
        <v>6096</v>
      </c>
      <c r="C4769" t="s">
        <v>29</v>
      </c>
      <c r="D4769" t="s">
        <v>79</v>
      </c>
      <c r="E4769" t="s">
        <v>20</v>
      </c>
      <c r="F4769" t="s">
        <v>32</v>
      </c>
      <c r="G4769" t="s">
        <v>80</v>
      </c>
      <c r="H4769" t="s">
        <v>34</v>
      </c>
      <c r="I4769" t="s">
        <v>171</v>
      </c>
      <c r="J4769" t="s">
        <v>5798</v>
      </c>
      <c r="L4769">
        <v>4.2</v>
      </c>
      <c r="M4769">
        <v>340000</v>
      </c>
      <c r="N4769">
        <v>2.8</v>
      </c>
      <c r="O4769">
        <v>7</v>
      </c>
      <c r="P4769" t="s">
        <v>26</v>
      </c>
    </row>
    <row r="4770" spans="1:16" x14ac:dyDescent="0.25">
      <c r="A4770" t="s">
        <v>9418</v>
      </c>
      <c r="B4770" t="s">
        <v>7582</v>
      </c>
      <c r="C4770" t="s">
        <v>18</v>
      </c>
      <c r="D4770" t="s">
        <v>50</v>
      </c>
      <c r="E4770" t="s">
        <v>20</v>
      </c>
      <c r="F4770" t="s">
        <v>128</v>
      </c>
      <c r="G4770" t="s">
        <v>80</v>
      </c>
      <c r="H4770" t="s">
        <v>23</v>
      </c>
      <c r="I4770" t="s">
        <v>57</v>
      </c>
      <c r="J4770" t="s">
        <v>2350</v>
      </c>
      <c r="L4770">
        <v>6.2</v>
      </c>
      <c r="M4770">
        <v>523000</v>
      </c>
      <c r="N4770">
        <v>4.5999999999999996</v>
      </c>
      <c r="O4770">
        <v>8</v>
      </c>
      <c r="P4770" t="s">
        <v>26</v>
      </c>
    </row>
    <row r="4771" spans="1:16" x14ac:dyDescent="0.25">
      <c r="A4771" t="s">
        <v>9419</v>
      </c>
      <c r="B4771" t="s">
        <v>1469</v>
      </c>
      <c r="C4771" t="s">
        <v>18</v>
      </c>
      <c r="D4771" t="s">
        <v>79</v>
      </c>
      <c r="E4771" t="s">
        <v>31</v>
      </c>
      <c r="F4771" t="s">
        <v>21</v>
      </c>
      <c r="G4771" t="s">
        <v>22</v>
      </c>
      <c r="H4771" t="s">
        <v>23</v>
      </c>
      <c r="J4771" t="s">
        <v>3232</v>
      </c>
      <c r="K4771" t="s">
        <v>8252</v>
      </c>
      <c r="L4771">
        <v>4.5999999999999996</v>
      </c>
      <c r="M4771">
        <v>738000</v>
      </c>
      <c r="N4771">
        <v>3</v>
      </c>
      <c r="O4771">
        <v>11</v>
      </c>
      <c r="P4771" t="s">
        <v>72</v>
      </c>
    </row>
    <row r="4772" spans="1:16" x14ac:dyDescent="0.25">
      <c r="A4772" t="s">
        <v>9420</v>
      </c>
      <c r="B4772" t="s">
        <v>4701</v>
      </c>
      <c r="C4772" t="s">
        <v>18</v>
      </c>
      <c r="D4772" t="s">
        <v>19</v>
      </c>
      <c r="E4772" t="s">
        <v>44</v>
      </c>
      <c r="F4772" t="s">
        <v>32</v>
      </c>
      <c r="G4772" t="s">
        <v>80</v>
      </c>
      <c r="H4772" t="s">
        <v>23</v>
      </c>
      <c r="I4772" t="s">
        <v>171</v>
      </c>
      <c r="J4772" t="s">
        <v>5902</v>
      </c>
      <c r="L4772">
        <v>4.9000000000000004</v>
      </c>
      <c r="M4772">
        <v>315000</v>
      </c>
      <c r="N4772">
        <v>4.3</v>
      </c>
      <c r="O4772">
        <v>2</v>
      </c>
      <c r="P4772" t="s">
        <v>26</v>
      </c>
    </row>
    <row r="4773" spans="1:16" x14ac:dyDescent="0.25">
      <c r="A4773" t="s">
        <v>9421</v>
      </c>
      <c r="B4773" t="s">
        <v>8942</v>
      </c>
      <c r="D4773" t="s">
        <v>50</v>
      </c>
      <c r="E4773" t="s">
        <v>31</v>
      </c>
      <c r="F4773" t="s">
        <v>32</v>
      </c>
      <c r="G4773" t="s">
        <v>22</v>
      </c>
      <c r="H4773" t="s">
        <v>23</v>
      </c>
      <c r="I4773" t="s">
        <v>75</v>
      </c>
      <c r="J4773" t="s">
        <v>5312</v>
      </c>
      <c r="K4773" t="s">
        <v>1406</v>
      </c>
      <c r="L4773">
        <v>4.3</v>
      </c>
      <c r="M4773">
        <v>236000</v>
      </c>
      <c r="N4773">
        <v>4.0999999999999996</v>
      </c>
      <c r="O4773">
        <v>26</v>
      </c>
      <c r="P4773" t="s">
        <v>72</v>
      </c>
    </row>
    <row r="4774" spans="1:16" x14ac:dyDescent="0.25">
      <c r="A4774" t="s">
        <v>9422</v>
      </c>
      <c r="B4774" t="s">
        <v>8715</v>
      </c>
      <c r="C4774" t="s">
        <v>29</v>
      </c>
      <c r="D4774" t="s">
        <v>30</v>
      </c>
      <c r="E4774" t="s">
        <v>44</v>
      </c>
      <c r="F4774" t="s">
        <v>39</v>
      </c>
      <c r="G4774" t="s">
        <v>69</v>
      </c>
      <c r="H4774" t="s">
        <v>23</v>
      </c>
      <c r="I4774" t="s">
        <v>35</v>
      </c>
      <c r="J4774" t="s">
        <v>9423</v>
      </c>
      <c r="L4774">
        <v>1.9</v>
      </c>
      <c r="M4774">
        <v>134000</v>
      </c>
      <c r="N4774">
        <v>2.6</v>
      </c>
      <c r="O4774">
        <v>9</v>
      </c>
      <c r="P4774" t="s">
        <v>26</v>
      </c>
    </row>
    <row r="4775" spans="1:16" x14ac:dyDescent="0.25">
      <c r="A4775" t="s">
        <v>9424</v>
      </c>
      <c r="B4775" t="s">
        <v>8958</v>
      </c>
      <c r="C4775" t="s">
        <v>18</v>
      </c>
      <c r="D4775" t="s">
        <v>50</v>
      </c>
      <c r="E4775" t="s">
        <v>44</v>
      </c>
      <c r="F4775" t="s">
        <v>32</v>
      </c>
      <c r="G4775" t="s">
        <v>22</v>
      </c>
      <c r="H4775" t="s">
        <v>62</v>
      </c>
      <c r="I4775" t="s">
        <v>35</v>
      </c>
      <c r="J4775" t="s">
        <v>1461</v>
      </c>
      <c r="L4775">
        <v>6.2</v>
      </c>
      <c r="M4775">
        <v>181000</v>
      </c>
      <c r="N4775">
        <v>2</v>
      </c>
      <c r="O4775">
        <v>14</v>
      </c>
      <c r="P4775" t="s">
        <v>26</v>
      </c>
    </row>
    <row r="4776" spans="1:16" x14ac:dyDescent="0.25">
      <c r="A4776" t="s">
        <v>9425</v>
      </c>
      <c r="B4776" t="s">
        <v>9426</v>
      </c>
      <c r="C4776" t="s">
        <v>29</v>
      </c>
      <c r="D4776" t="s">
        <v>50</v>
      </c>
      <c r="E4776" t="s">
        <v>31</v>
      </c>
      <c r="F4776" t="s">
        <v>39</v>
      </c>
      <c r="G4776" t="s">
        <v>33</v>
      </c>
      <c r="H4776" t="s">
        <v>46</v>
      </c>
      <c r="I4776" t="s">
        <v>24</v>
      </c>
      <c r="J4776" t="s">
        <v>1662</v>
      </c>
      <c r="L4776">
        <v>5.3</v>
      </c>
      <c r="M4776">
        <v>139000</v>
      </c>
      <c r="N4776">
        <v>2.6</v>
      </c>
      <c r="O4776">
        <v>22</v>
      </c>
      <c r="P4776" t="s">
        <v>26</v>
      </c>
    </row>
    <row r="4777" spans="1:16" x14ac:dyDescent="0.25">
      <c r="A4777" t="s">
        <v>9427</v>
      </c>
      <c r="B4777" t="s">
        <v>9428</v>
      </c>
      <c r="C4777" t="s">
        <v>29</v>
      </c>
      <c r="D4777" t="s">
        <v>19</v>
      </c>
      <c r="E4777" t="s">
        <v>44</v>
      </c>
      <c r="F4777" t="s">
        <v>39</v>
      </c>
      <c r="G4777" t="s">
        <v>22</v>
      </c>
      <c r="H4777" t="s">
        <v>23</v>
      </c>
      <c r="I4777" t="s">
        <v>24</v>
      </c>
      <c r="J4777" t="s">
        <v>3782</v>
      </c>
      <c r="L4777">
        <v>1.4</v>
      </c>
      <c r="M4777">
        <v>141000</v>
      </c>
      <c r="N4777">
        <v>4.8</v>
      </c>
      <c r="O4777">
        <v>27</v>
      </c>
      <c r="P4777" t="s">
        <v>26</v>
      </c>
    </row>
    <row r="4778" spans="1:16" x14ac:dyDescent="0.25">
      <c r="A4778" t="s">
        <v>9429</v>
      </c>
      <c r="B4778" t="s">
        <v>9430</v>
      </c>
      <c r="C4778" t="s">
        <v>29</v>
      </c>
      <c r="D4778" t="s">
        <v>79</v>
      </c>
      <c r="E4778" t="s">
        <v>20</v>
      </c>
      <c r="F4778" t="s">
        <v>39</v>
      </c>
      <c r="G4778" t="s">
        <v>22</v>
      </c>
      <c r="H4778" t="s">
        <v>23</v>
      </c>
      <c r="I4778" t="s">
        <v>75</v>
      </c>
      <c r="J4778" t="s">
        <v>1167</v>
      </c>
      <c r="L4778">
        <v>3.3</v>
      </c>
      <c r="M4778">
        <v>131000</v>
      </c>
      <c r="N4778">
        <v>2.7</v>
      </c>
      <c r="O4778">
        <v>10</v>
      </c>
      <c r="P4778" t="s">
        <v>26</v>
      </c>
    </row>
    <row r="4779" spans="1:16" x14ac:dyDescent="0.25">
      <c r="A4779" t="s">
        <v>9431</v>
      </c>
      <c r="B4779" t="s">
        <v>8688</v>
      </c>
      <c r="C4779" t="s">
        <v>18</v>
      </c>
      <c r="D4779" t="s">
        <v>43</v>
      </c>
      <c r="E4779" t="s">
        <v>44</v>
      </c>
      <c r="F4779" t="s">
        <v>32</v>
      </c>
      <c r="G4779" t="s">
        <v>33</v>
      </c>
      <c r="H4779" t="s">
        <v>46</v>
      </c>
      <c r="I4779" t="s">
        <v>75</v>
      </c>
      <c r="J4779" t="s">
        <v>262</v>
      </c>
      <c r="K4779" t="s">
        <v>4567</v>
      </c>
      <c r="L4779">
        <v>6.2</v>
      </c>
      <c r="M4779">
        <v>303000</v>
      </c>
      <c r="N4779">
        <v>4.3</v>
      </c>
      <c r="O4779">
        <v>11</v>
      </c>
      <c r="P4779" t="s">
        <v>53</v>
      </c>
    </row>
    <row r="4780" spans="1:16" x14ac:dyDescent="0.25">
      <c r="A4780" t="s">
        <v>9432</v>
      </c>
      <c r="B4780" t="s">
        <v>8015</v>
      </c>
      <c r="C4780" t="s">
        <v>18</v>
      </c>
      <c r="D4780" t="s">
        <v>30</v>
      </c>
      <c r="E4780" t="s">
        <v>20</v>
      </c>
      <c r="F4780" t="s">
        <v>32</v>
      </c>
      <c r="G4780" t="s">
        <v>22</v>
      </c>
      <c r="H4780" t="s">
        <v>34</v>
      </c>
      <c r="I4780" t="s">
        <v>24</v>
      </c>
      <c r="J4780" t="s">
        <v>8697</v>
      </c>
      <c r="L4780">
        <v>4.2</v>
      </c>
      <c r="M4780">
        <v>297000</v>
      </c>
      <c r="N4780">
        <v>2.9</v>
      </c>
      <c r="O4780">
        <v>2</v>
      </c>
      <c r="P4780" t="s">
        <v>26</v>
      </c>
    </row>
    <row r="4781" spans="1:16" x14ac:dyDescent="0.25">
      <c r="A4781" t="s">
        <v>9433</v>
      </c>
      <c r="B4781" t="s">
        <v>2630</v>
      </c>
      <c r="C4781" t="s">
        <v>29</v>
      </c>
      <c r="D4781" t="s">
        <v>50</v>
      </c>
      <c r="E4781" t="s">
        <v>20</v>
      </c>
      <c r="F4781" t="s">
        <v>39</v>
      </c>
      <c r="G4781" t="s">
        <v>33</v>
      </c>
      <c r="H4781" t="s">
        <v>34</v>
      </c>
      <c r="I4781" t="s">
        <v>57</v>
      </c>
      <c r="J4781" t="s">
        <v>8017</v>
      </c>
      <c r="L4781">
        <v>3.1</v>
      </c>
      <c r="M4781">
        <v>151000</v>
      </c>
      <c r="N4781">
        <v>3.9</v>
      </c>
      <c r="O4781">
        <v>3</v>
      </c>
      <c r="P4781" t="s">
        <v>26</v>
      </c>
    </row>
    <row r="4782" spans="1:16" x14ac:dyDescent="0.25">
      <c r="A4782" t="s">
        <v>9434</v>
      </c>
      <c r="B4782" t="s">
        <v>5968</v>
      </c>
      <c r="C4782" t="s">
        <v>18</v>
      </c>
      <c r="D4782" t="s">
        <v>43</v>
      </c>
      <c r="E4782" t="s">
        <v>20</v>
      </c>
      <c r="F4782" t="s">
        <v>21</v>
      </c>
      <c r="G4782" t="s">
        <v>80</v>
      </c>
      <c r="H4782" t="s">
        <v>46</v>
      </c>
      <c r="I4782" t="s">
        <v>57</v>
      </c>
      <c r="J4782" t="s">
        <v>7986</v>
      </c>
      <c r="K4782" t="s">
        <v>1548</v>
      </c>
      <c r="L4782">
        <v>5.6</v>
      </c>
      <c r="M4782">
        <v>788000</v>
      </c>
      <c r="N4782">
        <v>3.8</v>
      </c>
      <c r="O4782">
        <v>20</v>
      </c>
      <c r="P4782" t="s">
        <v>114</v>
      </c>
    </row>
    <row r="4783" spans="1:16" x14ac:dyDescent="0.25">
      <c r="A4783" t="s">
        <v>9435</v>
      </c>
      <c r="B4783" t="s">
        <v>8744</v>
      </c>
      <c r="C4783" t="s">
        <v>29</v>
      </c>
      <c r="D4783" t="s">
        <v>30</v>
      </c>
      <c r="E4783" t="s">
        <v>20</v>
      </c>
      <c r="F4783" t="s">
        <v>32</v>
      </c>
      <c r="G4783" t="s">
        <v>33</v>
      </c>
      <c r="H4783" t="s">
        <v>46</v>
      </c>
      <c r="I4783" t="s">
        <v>57</v>
      </c>
      <c r="J4783" t="s">
        <v>4868</v>
      </c>
      <c r="L4783">
        <v>6.2</v>
      </c>
      <c r="M4783">
        <v>239000</v>
      </c>
      <c r="N4783">
        <v>3.2</v>
      </c>
      <c r="O4783">
        <v>12</v>
      </c>
      <c r="P4783" t="s">
        <v>26</v>
      </c>
    </row>
    <row r="4784" spans="1:16" x14ac:dyDescent="0.25">
      <c r="A4784" t="s">
        <v>9436</v>
      </c>
      <c r="B4784" t="s">
        <v>4153</v>
      </c>
      <c r="C4784" t="s">
        <v>18</v>
      </c>
      <c r="D4784" t="s">
        <v>79</v>
      </c>
      <c r="E4784" t="s">
        <v>20</v>
      </c>
      <c r="F4784" t="s">
        <v>21</v>
      </c>
      <c r="G4784" t="s">
        <v>22</v>
      </c>
      <c r="H4784" t="s">
        <v>46</v>
      </c>
      <c r="I4784" t="s">
        <v>75</v>
      </c>
      <c r="J4784" t="s">
        <v>262</v>
      </c>
      <c r="L4784">
        <v>6.2</v>
      </c>
      <c r="M4784">
        <v>837000</v>
      </c>
      <c r="N4784">
        <v>4.7</v>
      </c>
      <c r="O4784">
        <v>11</v>
      </c>
      <c r="P4784" t="s">
        <v>26</v>
      </c>
    </row>
    <row r="4785" spans="1:16" x14ac:dyDescent="0.25">
      <c r="A4785" t="s">
        <v>9437</v>
      </c>
      <c r="B4785" t="s">
        <v>8685</v>
      </c>
      <c r="C4785" t="s">
        <v>18</v>
      </c>
      <c r="E4785" t="s">
        <v>20</v>
      </c>
      <c r="F4785" t="s">
        <v>32</v>
      </c>
      <c r="G4785" t="s">
        <v>22</v>
      </c>
      <c r="H4785" t="s">
        <v>46</v>
      </c>
      <c r="I4785" t="s">
        <v>75</v>
      </c>
      <c r="J4785" t="s">
        <v>7762</v>
      </c>
      <c r="L4785">
        <v>5.3</v>
      </c>
      <c r="M4785">
        <v>222000</v>
      </c>
      <c r="N4785">
        <v>4.9000000000000004</v>
      </c>
      <c r="O4785">
        <v>13</v>
      </c>
      <c r="P4785" t="s">
        <v>26</v>
      </c>
    </row>
    <row r="4786" spans="1:16" x14ac:dyDescent="0.25">
      <c r="A4786" t="s">
        <v>9438</v>
      </c>
      <c r="B4786" t="s">
        <v>7561</v>
      </c>
      <c r="C4786" t="s">
        <v>29</v>
      </c>
      <c r="D4786" t="s">
        <v>79</v>
      </c>
      <c r="E4786" t="s">
        <v>20</v>
      </c>
      <c r="F4786" t="s">
        <v>32</v>
      </c>
      <c r="G4786" t="s">
        <v>80</v>
      </c>
      <c r="H4786" t="s">
        <v>34</v>
      </c>
      <c r="I4786" t="s">
        <v>75</v>
      </c>
      <c r="J4786" t="s">
        <v>5382</v>
      </c>
      <c r="L4786">
        <v>5.5</v>
      </c>
      <c r="M4786">
        <v>338000</v>
      </c>
      <c r="N4786">
        <v>2.5</v>
      </c>
      <c r="O4786">
        <v>6</v>
      </c>
      <c r="P4786" t="s">
        <v>26</v>
      </c>
    </row>
    <row r="4787" spans="1:16" x14ac:dyDescent="0.25">
      <c r="A4787" t="s">
        <v>9439</v>
      </c>
      <c r="B4787" t="s">
        <v>6264</v>
      </c>
      <c r="C4787" t="s">
        <v>29</v>
      </c>
      <c r="D4787" t="s">
        <v>50</v>
      </c>
      <c r="E4787" t="s">
        <v>44</v>
      </c>
      <c r="F4787" t="s">
        <v>128</v>
      </c>
      <c r="G4787" t="s">
        <v>69</v>
      </c>
      <c r="H4787" t="s">
        <v>34</v>
      </c>
      <c r="I4787" t="s">
        <v>24</v>
      </c>
      <c r="J4787" t="s">
        <v>9440</v>
      </c>
      <c r="L4787">
        <v>5</v>
      </c>
      <c r="M4787">
        <v>485000</v>
      </c>
      <c r="O4787">
        <v>22</v>
      </c>
      <c r="P4787" t="s">
        <v>26</v>
      </c>
    </row>
    <row r="4788" spans="1:16" x14ac:dyDescent="0.25">
      <c r="A4788" t="s">
        <v>9441</v>
      </c>
      <c r="B4788" t="s">
        <v>9442</v>
      </c>
      <c r="C4788" t="s">
        <v>29</v>
      </c>
      <c r="D4788" t="s">
        <v>50</v>
      </c>
      <c r="E4788" t="s">
        <v>31</v>
      </c>
      <c r="F4788" t="s">
        <v>21</v>
      </c>
      <c r="G4788" t="s">
        <v>22</v>
      </c>
      <c r="H4788" t="s">
        <v>46</v>
      </c>
      <c r="I4788" t="s">
        <v>35</v>
      </c>
      <c r="J4788" t="s">
        <v>3302</v>
      </c>
      <c r="K4788" t="s">
        <v>5035</v>
      </c>
      <c r="L4788">
        <v>4.9000000000000004</v>
      </c>
      <c r="M4788">
        <v>643000</v>
      </c>
      <c r="N4788">
        <v>4.0999999999999996</v>
      </c>
      <c r="O4788">
        <v>8</v>
      </c>
      <c r="P4788" t="s">
        <v>53</v>
      </c>
    </row>
    <row r="4789" spans="1:16" x14ac:dyDescent="0.25">
      <c r="A4789" t="s">
        <v>9443</v>
      </c>
      <c r="B4789" t="s">
        <v>6103</v>
      </c>
      <c r="C4789" t="s">
        <v>18</v>
      </c>
      <c r="D4789" t="s">
        <v>79</v>
      </c>
      <c r="E4789" t="s">
        <v>20</v>
      </c>
      <c r="F4789" t="s">
        <v>32</v>
      </c>
      <c r="G4789" t="s">
        <v>80</v>
      </c>
      <c r="H4789" t="s">
        <v>34</v>
      </c>
      <c r="I4789" t="s">
        <v>75</v>
      </c>
      <c r="J4789" t="s">
        <v>5746</v>
      </c>
      <c r="L4789">
        <v>4.0999999999999996</v>
      </c>
      <c r="M4789">
        <v>297000</v>
      </c>
      <c r="N4789">
        <v>3.6</v>
      </c>
      <c r="O4789">
        <v>9</v>
      </c>
      <c r="P4789" t="s">
        <v>26</v>
      </c>
    </row>
    <row r="4790" spans="1:16" x14ac:dyDescent="0.25">
      <c r="A4790" t="s">
        <v>9444</v>
      </c>
      <c r="B4790" t="s">
        <v>4699</v>
      </c>
      <c r="C4790" t="s">
        <v>29</v>
      </c>
      <c r="D4790" t="s">
        <v>43</v>
      </c>
      <c r="E4790" t="s">
        <v>44</v>
      </c>
      <c r="F4790" t="s">
        <v>21</v>
      </c>
      <c r="G4790" t="s">
        <v>22</v>
      </c>
      <c r="H4790" t="s">
        <v>34</v>
      </c>
      <c r="I4790" t="s">
        <v>35</v>
      </c>
      <c r="J4790" t="s">
        <v>25</v>
      </c>
      <c r="L4790">
        <v>3</v>
      </c>
      <c r="M4790">
        <v>638000</v>
      </c>
      <c r="N4790">
        <v>3.7</v>
      </c>
      <c r="O4790">
        <v>3</v>
      </c>
      <c r="P4790" t="s">
        <v>26</v>
      </c>
    </row>
    <row r="4791" spans="1:16" x14ac:dyDescent="0.25">
      <c r="A4791" t="s">
        <v>9445</v>
      </c>
      <c r="B4791" t="s">
        <v>9446</v>
      </c>
      <c r="C4791" t="s">
        <v>18</v>
      </c>
      <c r="D4791" t="s">
        <v>79</v>
      </c>
      <c r="E4791" t="s">
        <v>20</v>
      </c>
      <c r="F4791" t="s">
        <v>21</v>
      </c>
      <c r="G4791" t="s">
        <v>22</v>
      </c>
      <c r="H4791" t="s">
        <v>23</v>
      </c>
      <c r="I4791" t="s">
        <v>24</v>
      </c>
      <c r="J4791" t="s">
        <v>3887</v>
      </c>
      <c r="L4791">
        <v>3.1</v>
      </c>
      <c r="M4791">
        <v>910000</v>
      </c>
      <c r="N4791">
        <v>4.9000000000000004</v>
      </c>
      <c r="O4791">
        <v>14</v>
      </c>
      <c r="P4791" t="s">
        <v>26</v>
      </c>
    </row>
    <row r="4792" spans="1:16" x14ac:dyDescent="0.25">
      <c r="A4792" t="s">
        <v>9447</v>
      </c>
      <c r="B4792" t="s">
        <v>9284</v>
      </c>
      <c r="C4792" t="s">
        <v>29</v>
      </c>
      <c r="D4792" t="s">
        <v>19</v>
      </c>
      <c r="E4792" t="s">
        <v>20</v>
      </c>
      <c r="F4792" t="s">
        <v>128</v>
      </c>
      <c r="G4792" t="s">
        <v>22</v>
      </c>
      <c r="H4792" t="s">
        <v>46</v>
      </c>
      <c r="J4792" t="s">
        <v>4166</v>
      </c>
      <c r="L4792">
        <v>5.5</v>
      </c>
      <c r="M4792">
        <v>660000</v>
      </c>
      <c r="N4792">
        <v>2.5</v>
      </c>
      <c r="O4792">
        <v>8</v>
      </c>
      <c r="P4792" t="s">
        <v>26</v>
      </c>
    </row>
    <row r="4793" spans="1:16" x14ac:dyDescent="0.25">
      <c r="A4793" t="s">
        <v>9448</v>
      </c>
      <c r="B4793" t="s">
        <v>9449</v>
      </c>
      <c r="C4793" t="s">
        <v>18</v>
      </c>
      <c r="D4793" t="s">
        <v>43</v>
      </c>
      <c r="E4793" t="s">
        <v>20</v>
      </c>
      <c r="G4793" t="s">
        <v>80</v>
      </c>
      <c r="H4793" t="s">
        <v>23</v>
      </c>
      <c r="I4793" t="s">
        <v>24</v>
      </c>
      <c r="J4793" t="s">
        <v>3474</v>
      </c>
      <c r="K4793" t="s">
        <v>6767</v>
      </c>
      <c r="L4793">
        <v>3</v>
      </c>
      <c r="M4793">
        <v>240000</v>
      </c>
      <c r="N4793">
        <v>4.4000000000000004</v>
      </c>
      <c r="O4793">
        <v>32</v>
      </c>
      <c r="P4793" t="s">
        <v>72</v>
      </c>
    </row>
    <row r="4794" spans="1:16" x14ac:dyDescent="0.25">
      <c r="A4794" t="s">
        <v>9450</v>
      </c>
      <c r="B4794" t="s">
        <v>7467</v>
      </c>
      <c r="C4794" t="s">
        <v>29</v>
      </c>
      <c r="D4794" t="s">
        <v>79</v>
      </c>
      <c r="E4794" t="s">
        <v>20</v>
      </c>
      <c r="F4794" t="s">
        <v>39</v>
      </c>
      <c r="G4794" t="s">
        <v>22</v>
      </c>
      <c r="H4794" t="s">
        <v>46</v>
      </c>
      <c r="I4794" t="s">
        <v>24</v>
      </c>
      <c r="J4794" t="s">
        <v>1102</v>
      </c>
      <c r="L4794">
        <v>2.5</v>
      </c>
      <c r="M4794">
        <v>138000</v>
      </c>
      <c r="N4794">
        <v>2.5</v>
      </c>
      <c r="O4794">
        <v>3</v>
      </c>
      <c r="P4794" t="s">
        <v>26</v>
      </c>
    </row>
    <row r="4795" spans="1:16" x14ac:dyDescent="0.25">
      <c r="A4795" t="s">
        <v>9451</v>
      </c>
      <c r="B4795" t="s">
        <v>3482</v>
      </c>
      <c r="C4795" t="s">
        <v>18</v>
      </c>
      <c r="D4795" t="s">
        <v>19</v>
      </c>
      <c r="E4795" t="s">
        <v>20</v>
      </c>
      <c r="F4795" t="s">
        <v>21</v>
      </c>
      <c r="G4795" t="s">
        <v>22</v>
      </c>
      <c r="H4795" t="s">
        <v>46</v>
      </c>
      <c r="I4795" t="s">
        <v>57</v>
      </c>
      <c r="J4795" t="s">
        <v>3688</v>
      </c>
      <c r="K4795" t="s">
        <v>9452</v>
      </c>
      <c r="L4795">
        <v>3.2</v>
      </c>
      <c r="M4795">
        <v>887000</v>
      </c>
      <c r="N4795">
        <v>3.3</v>
      </c>
      <c r="O4795">
        <v>5</v>
      </c>
      <c r="P4795" t="s">
        <v>53</v>
      </c>
    </row>
    <row r="4796" spans="1:16" x14ac:dyDescent="0.25">
      <c r="A4796" t="s">
        <v>9453</v>
      </c>
      <c r="B4796" t="s">
        <v>2102</v>
      </c>
      <c r="D4796" t="s">
        <v>43</v>
      </c>
      <c r="E4796" t="s">
        <v>44</v>
      </c>
      <c r="F4796" t="s">
        <v>21</v>
      </c>
      <c r="G4796" t="s">
        <v>80</v>
      </c>
      <c r="H4796" t="s">
        <v>46</v>
      </c>
      <c r="I4796" t="s">
        <v>24</v>
      </c>
      <c r="J4796" t="s">
        <v>2004</v>
      </c>
      <c r="K4796" t="s">
        <v>583</v>
      </c>
      <c r="L4796">
        <v>5</v>
      </c>
      <c r="M4796">
        <v>749000</v>
      </c>
      <c r="N4796">
        <v>4</v>
      </c>
      <c r="O4796">
        <v>6</v>
      </c>
      <c r="P4796" t="s">
        <v>53</v>
      </c>
    </row>
    <row r="4797" spans="1:16" x14ac:dyDescent="0.25">
      <c r="A4797" t="s">
        <v>9454</v>
      </c>
      <c r="B4797" t="s">
        <v>9455</v>
      </c>
      <c r="C4797" t="s">
        <v>18</v>
      </c>
      <c r="D4797" t="s">
        <v>30</v>
      </c>
      <c r="E4797" t="s">
        <v>31</v>
      </c>
      <c r="F4797" t="s">
        <v>32</v>
      </c>
      <c r="G4797" t="s">
        <v>80</v>
      </c>
      <c r="H4797" t="s">
        <v>23</v>
      </c>
      <c r="I4797" t="s">
        <v>35</v>
      </c>
      <c r="J4797" t="s">
        <v>2259</v>
      </c>
      <c r="L4797">
        <v>5.3</v>
      </c>
      <c r="M4797">
        <v>308000</v>
      </c>
      <c r="N4797">
        <v>4.5</v>
      </c>
      <c r="O4797">
        <v>7</v>
      </c>
      <c r="P4797" t="s">
        <v>26</v>
      </c>
    </row>
    <row r="4798" spans="1:16" x14ac:dyDescent="0.25">
      <c r="A4798" t="s">
        <v>9456</v>
      </c>
      <c r="B4798" t="s">
        <v>4004</v>
      </c>
      <c r="C4798" t="s">
        <v>29</v>
      </c>
      <c r="D4798" t="s">
        <v>30</v>
      </c>
      <c r="E4798" t="s">
        <v>20</v>
      </c>
      <c r="F4798" t="s">
        <v>32</v>
      </c>
      <c r="G4798" t="s">
        <v>33</v>
      </c>
      <c r="H4798" t="s">
        <v>46</v>
      </c>
      <c r="I4798" t="s">
        <v>75</v>
      </c>
      <c r="J4798" t="s">
        <v>4469</v>
      </c>
      <c r="K4798" t="s">
        <v>7078</v>
      </c>
      <c r="L4798">
        <v>5.7</v>
      </c>
      <c r="N4798">
        <v>2</v>
      </c>
      <c r="O4798">
        <v>3</v>
      </c>
      <c r="P4798" t="s">
        <v>53</v>
      </c>
    </row>
    <row r="4799" spans="1:16" x14ac:dyDescent="0.25">
      <c r="A4799" t="s">
        <v>9457</v>
      </c>
      <c r="B4799" t="s">
        <v>9458</v>
      </c>
      <c r="C4799" t="s">
        <v>29</v>
      </c>
      <c r="D4799" t="s">
        <v>19</v>
      </c>
      <c r="E4799" t="s">
        <v>20</v>
      </c>
      <c r="F4799" t="s">
        <v>32</v>
      </c>
      <c r="G4799" t="s">
        <v>80</v>
      </c>
      <c r="H4799" t="s">
        <v>34</v>
      </c>
      <c r="I4799" t="s">
        <v>57</v>
      </c>
      <c r="J4799" t="s">
        <v>8689</v>
      </c>
      <c r="K4799" t="s">
        <v>4106</v>
      </c>
      <c r="L4799">
        <v>2.5</v>
      </c>
      <c r="N4799">
        <v>3.2</v>
      </c>
      <c r="O4799">
        <v>1</v>
      </c>
      <c r="P4799" t="s">
        <v>53</v>
      </c>
    </row>
    <row r="4800" spans="1:16" x14ac:dyDescent="0.25">
      <c r="A4800" t="s">
        <v>9459</v>
      </c>
      <c r="B4800" t="s">
        <v>3706</v>
      </c>
      <c r="C4800" t="s">
        <v>18</v>
      </c>
      <c r="E4800" t="s">
        <v>20</v>
      </c>
      <c r="F4800" t="s">
        <v>128</v>
      </c>
      <c r="G4800" t="s">
        <v>69</v>
      </c>
      <c r="H4800" t="s">
        <v>34</v>
      </c>
      <c r="I4800" t="s">
        <v>57</v>
      </c>
      <c r="J4800" t="s">
        <v>253</v>
      </c>
      <c r="L4800">
        <v>3.5</v>
      </c>
      <c r="M4800">
        <v>350000</v>
      </c>
      <c r="N4800">
        <v>2.5</v>
      </c>
      <c r="O4800">
        <v>2</v>
      </c>
      <c r="P4800" t="s">
        <v>26</v>
      </c>
    </row>
    <row r="4801" spans="1:16" x14ac:dyDescent="0.25">
      <c r="A4801" t="s">
        <v>9460</v>
      </c>
      <c r="B4801" t="s">
        <v>3704</v>
      </c>
      <c r="C4801" t="s">
        <v>18</v>
      </c>
      <c r="D4801" t="s">
        <v>30</v>
      </c>
      <c r="E4801" t="s">
        <v>44</v>
      </c>
      <c r="F4801" t="s">
        <v>32</v>
      </c>
      <c r="G4801" t="s">
        <v>22</v>
      </c>
      <c r="H4801" t="s">
        <v>46</v>
      </c>
      <c r="I4801" t="s">
        <v>171</v>
      </c>
      <c r="J4801" t="s">
        <v>1025</v>
      </c>
      <c r="L4801">
        <v>4.5</v>
      </c>
      <c r="M4801">
        <v>237000</v>
      </c>
      <c r="N4801">
        <v>3.1</v>
      </c>
      <c r="O4801">
        <v>2</v>
      </c>
      <c r="P4801" t="s">
        <v>26</v>
      </c>
    </row>
    <row r="4802" spans="1:16" x14ac:dyDescent="0.25">
      <c r="A4802" t="s">
        <v>9461</v>
      </c>
      <c r="B4802" t="s">
        <v>942</v>
      </c>
      <c r="C4802" t="s">
        <v>18</v>
      </c>
      <c r="D4802" t="s">
        <v>79</v>
      </c>
      <c r="F4802" t="s">
        <v>128</v>
      </c>
      <c r="G4802" t="s">
        <v>80</v>
      </c>
      <c r="H4802" t="s">
        <v>23</v>
      </c>
      <c r="I4802" t="s">
        <v>24</v>
      </c>
      <c r="J4802" t="s">
        <v>235</v>
      </c>
      <c r="L4802">
        <v>2.8</v>
      </c>
      <c r="M4802">
        <v>492000</v>
      </c>
      <c r="N4802">
        <v>2.9</v>
      </c>
      <c r="O4802">
        <v>10</v>
      </c>
      <c r="P4802" t="s">
        <v>26</v>
      </c>
    </row>
    <row r="4803" spans="1:16" x14ac:dyDescent="0.25">
      <c r="A4803" t="s">
        <v>9462</v>
      </c>
      <c r="B4803" t="s">
        <v>6989</v>
      </c>
      <c r="C4803" t="s">
        <v>18</v>
      </c>
      <c r="D4803" t="s">
        <v>50</v>
      </c>
      <c r="E4803" t="s">
        <v>20</v>
      </c>
      <c r="G4803" t="s">
        <v>80</v>
      </c>
      <c r="H4803" t="s">
        <v>23</v>
      </c>
      <c r="I4803" t="s">
        <v>57</v>
      </c>
      <c r="J4803" t="s">
        <v>7846</v>
      </c>
      <c r="L4803">
        <v>4</v>
      </c>
      <c r="M4803">
        <v>162000</v>
      </c>
      <c r="N4803">
        <v>4.4000000000000004</v>
      </c>
      <c r="O4803">
        <v>8</v>
      </c>
      <c r="P4803" t="s">
        <v>26</v>
      </c>
    </row>
    <row r="4804" spans="1:16" x14ac:dyDescent="0.25">
      <c r="A4804" t="s">
        <v>9463</v>
      </c>
      <c r="B4804" t="s">
        <v>9464</v>
      </c>
      <c r="C4804" t="s">
        <v>29</v>
      </c>
      <c r="D4804" t="s">
        <v>50</v>
      </c>
      <c r="E4804" t="s">
        <v>20</v>
      </c>
      <c r="F4804" t="s">
        <v>128</v>
      </c>
      <c r="G4804" t="s">
        <v>80</v>
      </c>
      <c r="H4804" t="s">
        <v>23</v>
      </c>
      <c r="I4804" t="s">
        <v>57</v>
      </c>
      <c r="J4804" t="s">
        <v>1803</v>
      </c>
      <c r="K4804" t="s">
        <v>3818</v>
      </c>
      <c r="L4804">
        <v>5.7</v>
      </c>
      <c r="M4804">
        <v>520000</v>
      </c>
      <c r="N4804">
        <v>2.7</v>
      </c>
      <c r="O4804">
        <v>6</v>
      </c>
      <c r="P4804" t="s">
        <v>114</v>
      </c>
    </row>
    <row r="4805" spans="1:16" x14ac:dyDescent="0.25">
      <c r="A4805" t="s">
        <v>9465</v>
      </c>
      <c r="B4805" t="s">
        <v>9466</v>
      </c>
      <c r="C4805" t="s">
        <v>18</v>
      </c>
      <c r="D4805" t="s">
        <v>79</v>
      </c>
      <c r="E4805" t="s">
        <v>44</v>
      </c>
      <c r="F4805" t="s">
        <v>39</v>
      </c>
      <c r="G4805" t="s">
        <v>80</v>
      </c>
      <c r="H4805" t="s">
        <v>34</v>
      </c>
      <c r="I4805" t="s">
        <v>24</v>
      </c>
      <c r="J4805" t="s">
        <v>4360</v>
      </c>
      <c r="L4805">
        <v>2.2999999999999998</v>
      </c>
      <c r="M4805">
        <v>103000</v>
      </c>
      <c r="N4805">
        <v>3.5</v>
      </c>
      <c r="O4805">
        <v>7</v>
      </c>
      <c r="P4805" t="s">
        <v>26</v>
      </c>
    </row>
    <row r="4806" spans="1:16" x14ac:dyDescent="0.25">
      <c r="A4806" t="s">
        <v>9467</v>
      </c>
      <c r="B4806" t="s">
        <v>2594</v>
      </c>
      <c r="C4806" t="s">
        <v>29</v>
      </c>
      <c r="E4806" t="s">
        <v>20</v>
      </c>
      <c r="F4806" t="s">
        <v>39</v>
      </c>
      <c r="G4806" t="s">
        <v>22</v>
      </c>
      <c r="H4806" t="s">
        <v>34</v>
      </c>
      <c r="I4806" t="s">
        <v>75</v>
      </c>
      <c r="J4806" t="s">
        <v>266</v>
      </c>
      <c r="L4806">
        <v>3.9</v>
      </c>
      <c r="M4806">
        <v>174000</v>
      </c>
      <c r="N4806">
        <v>2.9</v>
      </c>
      <c r="O4806">
        <v>1</v>
      </c>
      <c r="P4806" t="s">
        <v>26</v>
      </c>
    </row>
    <row r="4807" spans="1:16" x14ac:dyDescent="0.25">
      <c r="A4807" t="s">
        <v>9468</v>
      </c>
      <c r="B4807" t="s">
        <v>705</v>
      </c>
      <c r="C4807" t="s">
        <v>29</v>
      </c>
      <c r="D4807" t="s">
        <v>30</v>
      </c>
      <c r="E4807" t="s">
        <v>31</v>
      </c>
      <c r="F4807" t="s">
        <v>39</v>
      </c>
      <c r="G4807" t="s">
        <v>33</v>
      </c>
      <c r="H4807" t="s">
        <v>46</v>
      </c>
      <c r="I4807" t="s">
        <v>57</v>
      </c>
      <c r="J4807" t="s">
        <v>8815</v>
      </c>
      <c r="L4807">
        <v>3.1</v>
      </c>
      <c r="M4807">
        <v>136000</v>
      </c>
      <c r="N4807">
        <v>2.6</v>
      </c>
      <c r="O4807">
        <v>5</v>
      </c>
      <c r="P4807" t="s">
        <v>26</v>
      </c>
    </row>
    <row r="4808" spans="1:16" x14ac:dyDescent="0.25">
      <c r="A4808" t="s">
        <v>9469</v>
      </c>
      <c r="B4808" t="s">
        <v>4517</v>
      </c>
      <c r="C4808" t="s">
        <v>29</v>
      </c>
      <c r="D4808" t="s">
        <v>50</v>
      </c>
      <c r="E4808" t="s">
        <v>20</v>
      </c>
      <c r="F4808" t="s">
        <v>128</v>
      </c>
      <c r="G4808" t="s">
        <v>22</v>
      </c>
      <c r="H4808" t="s">
        <v>23</v>
      </c>
      <c r="I4808" t="s">
        <v>57</v>
      </c>
      <c r="J4808" t="s">
        <v>4151</v>
      </c>
      <c r="L4808">
        <v>5</v>
      </c>
      <c r="N4808">
        <v>2.8</v>
      </c>
      <c r="O4808">
        <v>18</v>
      </c>
      <c r="P4808" t="s">
        <v>26</v>
      </c>
    </row>
    <row r="4809" spans="1:16" x14ac:dyDescent="0.25">
      <c r="A4809" t="s">
        <v>9470</v>
      </c>
      <c r="B4809" t="s">
        <v>6038</v>
      </c>
      <c r="C4809" t="s">
        <v>29</v>
      </c>
      <c r="D4809" t="s">
        <v>50</v>
      </c>
      <c r="E4809" t="s">
        <v>20</v>
      </c>
      <c r="F4809" t="s">
        <v>39</v>
      </c>
      <c r="G4809" t="s">
        <v>80</v>
      </c>
      <c r="I4809" t="s">
        <v>24</v>
      </c>
      <c r="J4809" t="s">
        <v>165</v>
      </c>
      <c r="L4809">
        <v>1.7</v>
      </c>
      <c r="N4809">
        <v>2.4</v>
      </c>
      <c r="O4809">
        <v>7</v>
      </c>
      <c r="P4809" t="s">
        <v>26</v>
      </c>
    </row>
    <row r="4810" spans="1:16" x14ac:dyDescent="0.25">
      <c r="A4810" t="s">
        <v>9471</v>
      </c>
      <c r="B4810" t="s">
        <v>6010</v>
      </c>
      <c r="C4810" t="s">
        <v>29</v>
      </c>
      <c r="D4810" t="s">
        <v>19</v>
      </c>
      <c r="E4810" t="s">
        <v>20</v>
      </c>
      <c r="F4810" t="s">
        <v>128</v>
      </c>
      <c r="G4810" t="s">
        <v>22</v>
      </c>
      <c r="H4810" t="s">
        <v>34</v>
      </c>
      <c r="I4810" t="s">
        <v>24</v>
      </c>
      <c r="J4810" t="s">
        <v>2662</v>
      </c>
      <c r="K4810" t="s">
        <v>4503</v>
      </c>
      <c r="L4810">
        <v>3.2</v>
      </c>
      <c r="M4810">
        <v>626000</v>
      </c>
      <c r="N4810">
        <v>4.3</v>
      </c>
      <c r="O4810">
        <v>13</v>
      </c>
      <c r="P4810" t="s">
        <v>53</v>
      </c>
    </row>
    <row r="4811" spans="1:16" x14ac:dyDescent="0.25">
      <c r="A4811" t="s">
        <v>9472</v>
      </c>
      <c r="B4811" t="s">
        <v>5932</v>
      </c>
      <c r="C4811" t="s">
        <v>29</v>
      </c>
      <c r="D4811" t="s">
        <v>79</v>
      </c>
      <c r="E4811" t="s">
        <v>20</v>
      </c>
      <c r="F4811" t="s">
        <v>21</v>
      </c>
      <c r="G4811" t="s">
        <v>33</v>
      </c>
      <c r="H4811" t="s">
        <v>62</v>
      </c>
      <c r="I4811" t="s">
        <v>75</v>
      </c>
      <c r="J4811" t="s">
        <v>4201</v>
      </c>
      <c r="K4811" t="s">
        <v>1131</v>
      </c>
      <c r="L4811">
        <v>5.9</v>
      </c>
      <c r="M4811">
        <v>693000</v>
      </c>
      <c r="N4811">
        <v>3.5</v>
      </c>
      <c r="O4811">
        <v>8</v>
      </c>
      <c r="P4811" t="s">
        <v>72</v>
      </c>
    </row>
    <row r="4812" spans="1:16" x14ac:dyDescent="0.25">
      <c r="A4812" t="s">
        <v>9473</v>
      </c>
      <c r="B4812" t="s">
        <v>9474</v>
      </c>
      <c r="C4812" t="s">
        <v>29</v>
      </c>
      <c r="D4812" t="s">
        <v>50</v>
      </c>
      <c r="E4812" t="s">
        <v>20</v>
      </c>
      <c r="F4812" t="s">
        <v>39</v>
      </c>
      <c r="G4812" t="s">
        <v>80</v>
      </c>
      <c r="H4812" t="s">
        <v>46</v>
      </c>
      <c r="J4812" t="s">
        <v>5030</v>
      </c>
      <c r="L4812">
        <v>5.5</v>
      </c>
      <c r="M4812">
        <v>135000</v>
      </c>
      <c r="N4812">
        <v>3.1</v>
      </c>
      <c r="O4812">
        <v>5</v>
      </c>
      <c r="P4812" t="s">
        <v>26</v>
      </c>
    </row>
    <row r="4813" spans="1:16" x14ac:dyDescent="0.25">
      <c r="A4813" t="s">
        <v>9475</v>
      </c>
      <c r="B4813" t="s">
        <v>7827</v>
      </c>
      <c r="C4813" t="s">
        <v>18</v>
      </c>
      <c r="D4813" t="s">
        <v>79</v>
      </c>
      <c r="E4813" t="s">
        <v>31</v>
      </c>
      <c r="F4813" t="s">
        <v>21</v>
      </c>
      <c r="G4813" t="s">
        <v>22</v>
      </c>
      <c r="H4813" t="s">
        <v>34</v>
      </c>
      <c r="I4813" t="s">
        <v>75</v>
      </c>
      <c r="J4813" t="s">
        <v>2751</v>
      </c>
      <c r="L4813">
        <v>3.4</v>
      </c>
      <c r="M4813">
        <v>873000</v>
      </c>
      <c r="N4813">
        <v>3.1</v>
      </c>
      <c r="O4813">
        <v>7</v>
      </c>
      <c r="P4813" t="s">
        <v>26</v>
      </c>
    </row>
    <row r="4814" spans="1:16" x14ac:dyDescent="0.25">
      <c r="A4814" t="s">
        <v>9476</v>
      </c>
      <c r="B4814" t="s">
        <v>7339</v>
      </c>
      <c r="C4814" t="s">
        <v>29</v>
      </c>
      <c r="D4814" t="s">
        <v>43</v>
      </c>
      <c r="E4814" t="s">
        <v>20</v>
      </c>
      <c r="F4814" t="s">
        <v>32</v>
      </c>
      <c r="G4814" t="s">
        <v>80</v>
      </c>
      <c r="H4814" t="s">
        <v>23</v>
      </c>
      <c r="I4814" t="s">
        <v>24</v>
      </c>
      <c r="J4814" t="s">
        <v>8733</v>
      </c>
      <c r="K4814" t="s">
        <v>5801</v>
      </c>
      <c r="L4814">
        <v>4.2</v>
      </c>
      <c r="M4814">
        <v>210000</v>
      </c>
      <c r="N4814">
        <v>4.0999999999999996</v>
      </c>
      <c r="O4814">
        <v>17</v>
      </c>
      <c r="P4814" t="s">
        <v>114</v>
      </c>
    </row>
    <row r="4815" spans="1:16" x14ac:dyDescent="0.25">
      <c r="A4815" t="s">
        <v>9477</v>
      </c>
      <c r="B4815" t="s">
        <v>9478</v>
      </c>
      <c r="C4815" t="s">
        <v>18</v>
      </c>
      <c r="D4815" t="s">
        <v>79</v>
      </c>
      <c r="E4815" t="s">
        <v>44</v>
      </c>
      <c r="F4815" t="s">
        <v>128</v>
      </c>
      <c r="G4815" t="s">
        <v>22</v>
      </c>
      <c r="H4815" t="s">
        <v>23</v>
      </c>
      <c r="I4815" t="s">
        <v>57</v>
      </c>
      <c r="J4815" t="s">
        <v>1834</v>
      </c>
      <c r="L4815">
        <v>1.6</v>
      </c>
      <c r="M4815">
        <v>488000</v>
      </c>
      <c r="N4815">
        <v>3.8</v>
      </c>
      <c r="O4815">
        <v>11</v>
      </c>
      <c r="P4815" t="s">
        <v>26</v>
      </c>
    </row>
    <row r="4816" spans="1:16" x14ac:dyDescent="0.25">
      <c r="A4816" t="s">
        <v>9479</v>
      </c>
      <c r="B4816" t="s">
        <v>9480</v>
      </c>
      <c r="C4816" t="s">
        <v>29</v>
      </c>
      <c r="D4816" t="s">
        <v>50</v>
      </c>
      <c r="E4816" t="s">
        <v>20</v>
      </c>
      <c r="F4816" t="s">
        <v>32</v>
      </c>
      <c r="G4816" t="s">
        <v>69</v>
      </c>
      <c r="H4816" t="s">
        <v>46</v>
      </c>
      <c r="I4816" t="s">
        <v>75</v>
      </c>
      <c r="J4816" t="s">
        <v>2819</v>
      </c>
      <c r="L4816">
        <v>5.7</v>
      </c>
      <c r="M4816">
        <v>201000</v>
      </c>
      <c r="N4816">
        <v>2.1</v>
      </c>
      <c r="O4816">
        <v>14</v>
      </c>
      <c r="P4816" t="s">
        <v>26</v>
      </c>
    </row>
    <row r="4817" spans="1:16" x14ac:dyDescent="0.25">
      <c r="A4817" t="s">
        <v>9481</v>
      </c>
      <c r="B4817" t="s">
        <v>9482</v>
      </c>
      <c r="C4817" t="s">
        <v>29</v>
      </c>
      <c r="D4817" t="s">
        <v>19</v>
      </c>
      <c r="E4817" t="s">
        <v>44</v>
      </c>
      <c r="F4817" t="s">
        <v>39</v>
      </c>
      <c r="G4817" t="s">
        <v>22</v>
      </c>
      <c r="H4817" t="s">
        <v>23</v>
      </c>
      <c r="I4817" t="s">
        <v>171</v>
      </c>
      <c r="J4817" t="s">
        <v>4022</v>
      </c>
      <c r="L4817">
        <v>3.5</v>
      </c>
      <c r="M4817">
        <v>156000</v>
      </c>
      <c r="N4817">
        <v>4.4000000000000004</v>
      </c>
      <c r="O4817">
        <v>3</v>
      </c>
      <c r="P4817" t="s">
        <v>26</v>
      </c>
    </row>
    <row r="4818" spans="1:16" x14ac:dyDescent="0.25">
      <c r="A4818" t="s">
        <v>9483</v>
      </c>
      <c r="B4818" t="s">
        <v>9484</v>
      </c>
      <c r="C4818" t="s">
        <v>29</v>
      </c>
      <c r="D4818" t="s">
        <v>50</v>
      </c>
      <c r="E4818" t="s">
        <v>20</v>
      </c>
      <c r="F4818" t="s">
        <v>32</v>
      </c>
      <c r="G4818" t="s">
        <v>22</v>
      </c>
      <c r="H4818" t="s">
        <v>62</v>
      </c>
      <c r="I4818" t="s">
        <v>57</v>
      </c>
      <c r="J4818" t="s">
        <v>758</v>
      </c>
      <c r="L4818">
        <v>2.1</v>
      </c>
      <c r="M4818">
        <v>245000</v>
      </c>
      <c r="N4818">
        <v>3.8</v>
      </c>
      <c r="O4818">
        <v>13</v>
      </c>
      <c r="P4818" t="s">
        <v>26</v>
      </c>
    </row>
    <row r="4819" spans="1:16" x14ac:dyDescent="0.25">
      <c r="A4819" t="s">
        <v>9485</v>
      </c>
      <c r="B4819" t="s">
        <v>288</v>
      </c>
      <c r="C4819" t="s">
        <v>18</v>
      </c>
      <c r="D4819" t="s">
        <v>43</v>
      </c>
      <c r="E4819" t="s">
        <v>810</v>
      </c>
      <c r="F4819" t="s">
        <v>39</v>
      </c>
      <c r="G4819" t="s">
        <v>69</v>
      </c>
      <c r="H4819" t="s">
        <v>46</v>
      </c>
      <c r="I4819" t="s">
        <v>24</v>
      </c>
      <c r="J4819" t="s">
        <v>1360</v>
      </c>
      <c r="L4819">
        <v>5.0999999999999996</v>
      </c>
      <c r="M4819">
        <v>85000</v>
      </c>
      <c r="N4819">
        <v>4.4000000000000004</v>
      </c>
      <c r="O4819">
        <v>10</v>
      </c>
      <c r="P4819" t="s">
        <v>26</v>
      </c>
    </row>
    <row r="4820" spans="1:16" x14ac:dyDescent="0.25">
      <c r="A4820" t="s">
        <v>9486</v>
      </c>
      <c r="B4820" t="s">
        <v>5873</v>
      </c>
      <c r="C4820" t="s">
        <v>18</v>
      </c>
      <c r="D4820" t="s">
        <v>30</v>
      </c>
      <c r="E4820" t="s">
        <v>44</v>
      </c>
      <c r="F4820" t="s">
        <v>32</v>
      </c>
      <c r="G4820" t="s">
        <v>22</v>
      </c>
      <c r="H4820" t="s">
        <v>23</v>
      </c>
      <c r="I4820" t="s">
        <v>35</v>
      </c>
      <c r="J4820" t="s">
        <v>887</v>
      </c>
      <c r="L4820">
        <v>4.3</v>
      </c>
      <c r="M4820">
        <v>214000</v>
      </c>
      <c r="N4820">
        <v>2.7</v>
      </c>
      <c r="O4820">
        <v>4</v>
      </c>
      <c r="P4820" t="s">
        <v>26</v>
      </c>
    </row>
    <row r="4821" spans="1:16" x14ac:dyDescent="0.25">
      <c r="A4821" t="s">
        <v>9487</v>
      </c>
      <c r="B4821" t="s">
        <v>9488</v>
      </c>
      <c r="C4821" t="s">
        <v>29</v>
      </c>
      <c r="D4821" t="s">
        <v>50</v>
      </c>
      <c r="E4821" t="s">
        <v>20</v>
      </c>
      <c r="F4821" t="s">
        <v>32</v>
      </c>
      <c r="G4821" t="s">
        <v>69</v>
      </c>
      <c r="H4821" t="s">
        <v>46</v>
      </c>
      <c r="I4821" t="s">
        <v>57</v>
      </c>
      <c r="J4821" t="s">
        <v>5592</v>
      </c>
      <c r="L4821">
        <v>5.9</v>
      </c>
      <c r="M4821">
        <v>240000</v>
      </c>
      <c r="N4821">
        <v>4.7</v>
      </c>
      <c r="O4821">
        <v>13</v>
      </c>
      <c r="P4821" t="s">
        <v>26</v>
      </c>
    </row>
    <row r="4822" spans="1:16" x14ac:dyDescent="0.25">
      <c r="A4822" t="s">
        <v>9489</v>
      </c>
      <c r="B4822" t="s">
        <v>3017</v>
      </c>
      <c r="C4822" t="s">
        <v>18</v>
      </c>
      <c r="E4822" t="s">
        <v>20</v>
      </c>
      <c r="F4822" t="s">
        <v>128</v>
      </c>
      <c r="G4822" t="s">
        <v>22</v>
      </c>
      <c r="H4822" t="s">
        <v>46</v>
      </c>
      <c r="I4822" t="s">
        <v>24</v>
      </c>
      <c r="J4822" t="s">
        <v>6180</v>
      </c>
      <c r="K4822" t="s">
        <v>2993</v>
      </c>
      <c r="L4822">
        <v>1.4</v>
      </c>
      <c r="M4822">
        <v>566000</v>
      </c>
      <c r="N4822">
        <v>4.5999999999999996</v>
      </c>
      <c r="O4822">
        <v>1</v>
      </c>
      <c r="P4822" t="s">
        <v>53</v>
      </c>
    </row>
    <row r="4823" spans="1:16" x14ac:dyDescent="0.25">
      <c r="A4823" t="s">
        <v>9490</v>
      </c>
      <c r="B4823" t="s">
        <v>3027</v>
      </c>
      <c r="C4823" t="s">
        <v>29</v>
      </c>
      <c r="D4823" t="s">
        <v>50</v>
      </c>
      <c r="E4823" t="s">
        <v>20</v>
      </c>
      <c r="F4823" t="s">
        <v>21</v>
      </c>
      <c r="G4823" t="s">
        <v>80</v>
      </c>
      <c r="H4823" t="s">
        <v>62</v>
      </c>
      <c r="I4823" t="s">
        <v>57</v>
      </c>
      <c r="J4823" t="s">
        <v>4742</v>
      </c>
      <c r="K4823" t="s">
        <v>412</v>
      </c>
      <c r="L4823">
        <v>5</v>
      </c>
      <c r="M4823">
        <v>629000</v>
      </c>
      <c r="N4823">
        <v>4.9000000000000004</v>
      </c>
      <c r="O4823">
        <v>10</v>
      </c>
      <c r="P4823" t="s">
        <v>114</v>
      </c>
    </row>
    <row r="4824" spans="1:16" x14ac:dyDescent="0.25">
      <c r="A4824" t="s">
        <v>9491</v>
      </c>
      <c r="B4824" t="s">
        <v>4877</v>
      </c>
      <c r="C4824" t="s">
        <v>18</v>
      </c>
      <c r="D4824" t="s">
        <v>50</v>
      </c>
      <c r="E4824" t="s">
        <v>44</v>
      </c>
      <c r="F4824" t="s">
        <v>32</v>
      </c>
      <c r="G4824" t="s">
        <v>33</v>
      </c>
      <c r="H4824" t="s">
        <v>46</v>
      </c>
      <c r="I4824" t="s">
        <v>35</v>
      </c>
      <c r="J4824" t="s">
        <v>6188</v>
      </c>
      <c r="L4824">
        <v>3.6</v>
      </c>
      <c r="M4824">
        <v>185000</v>
      </c>
      <c r="N4824">
        <v>3.7</v>
      </c>
      <c r="O4824">
        <v>2</v>
      </c>
      <c r="P4824" t="s">
        <v>26</v>
      </c>
    </row>
    <row r="4825" spans="1:16" x14ac:dyDescent="0.25">
      <c r="A4825" t="s">
        <v>9492</v>
      </c>
      <c r="B4825" t="s">
        <v>3610</v>
      </c>
      <c r="C4825" t="s">
        <v>18</v>
      </c>
      <c r="D4825" t="s">
        <v>30</v>
      </c>
      <c r="E4825" t="s">
        <v>31</v>
      </c>
      <c r="F4825" t="s">
        <v>21</v>
      </c>
      <c r="G4825" t="s">
        <v>33</v>
      </c>
      <c r="H4825" t="s">
        <v>23</v>
      </c>
      <c r="I4825" t="s">
        <v>75</v>
      </c>
      <c r="J4825" t="s">
        <v>472</v>
      </c>
      <c r="K4825" t="s">
        <v>2265</v>
      </c>
      <c r="L4825">
        <v>5.3</v>
      </c>
      <c r="M4825">
        <v>801000</v>
      </c>
      <c r="N4825">
        <v>4.3</v>
      </c>
      <c r="O4825">
        <v>11</v>
      </c>
      <c r="P4825" t="s">
        <v>53</v>
      </c>
    </row>
    <row r="4826" spans="1:16" x14ac:dyDescent="0.25">
      <c r="A4826" t="s">
        <v>9493</v>
      </c>
      <c r="B4826" t="s">
        <v>2527</v>
      </c>
      <c r="C4826" t="s">
        <v>18</v>
      </c>
      <c r="D4826" t="s">
        <v>19</v>
      </c>
      <c r="E4826" t="s">
        <v>20</v>
      </c>
      <c r="G4826" t="s">
        <v>22</v>
      </c>
      <c r="H4826" t="s">
        <v>34</v>
      </c>
      <c r="I4826" t="s">
        <v>24</v>
      </c>
      <c r="J4826" t="s">
        <v>5006</v>
      </c>
      <c r="L4826">
        <v>5</v>
      </c>
      <c r="M4826">
        <v>602000</v>
      </c>
      <c r="N4826">
        <v>3.4</v>
      </c>
      <c r="O4826">
        <v>1</v>
      </c>
      <c r="P4826" t="s">
        <v>26</v>
      </c>
    </row>
    <row r="4827" spans="1:16" x14ac:dyDescent="0.25">
      <c r="A4827" t="s">
        <v>9494</v>
      </c>
      <c r="B4827" t="s">
        <v>9495</v>
      </c>
      <c r="C4827" t="s">
        <v>29</v>
      </c>
      <c r="D4827" t="s">
        <v>79</v>
      </c>
      <c r="E4827" t="s">
        <v>20</v>
      </c>
      <c r="F4827" t="s">
        <v>21</v>
      </c>
      <c r="G4827" t="s">
        <v>80</v>
      </c>
      <c r="H4827" t="s">
        <v>34</v>
      </c>
      <c r="I4827" t="s">
        <v>24</v>
      </c>
      <c r="J4827" t="s">
        <v>4379</v>
      </c>
      <c r="L4827">
        <v>4.5</v>
      </c>
      <c r="M4827">
        <v>743000</v>
      </c>
      <c r="O4827">
        <v>1</v>
      </c>
      <c r="P4827" t="s">
        <v>26</v>
      </c>
    </row>
    <row r="4828" spans="1:16" x14ac:dyDescent="0.25">
      <c r="A4828" t="s">
        <v>9496</v>
      </c>
      <c r="B4828" t="s">
        <v>1542</v>
      </c>
      <c r="C4828" t="s">
        <v>18</v>
      </c>
      <c r="D4828" t="s">
        <v>30</v>
      </c>
      <c r="E4828" t="s">
        <v>20</v>
      </c>
      <c r="F4828" t="s">
        <v>32</v>
      </c>
      <c r="G4828" t="s">
        <v>69</v>
      </c>
      <c r="H4828" t="s">
        <v>46</v>
      </c>
      <c r="I4828" t="s">
        <v>24</v>
      </c>
      <c r="J4828" t="s">
        <v>2285</v>
      </c>
      <c r="L4828">
        <v>1.7</v>
      </c>
      <c r="M4828">
        <v>315000</v>
      </c>
      <c r="N4828">
        <v>2.9</v>
      </c>
      <c r="O4828">
        <v>12</v>
      </c>
      <c r="P4828" t="s">
        <v>26</v>
      </c>
    </row>
    <row r="4829" spans="1:16" x14ac:dyDescent="0.25">
      <c r="A4829" t="s">
        <v>9497</v>
      </c>
      <c r="B4829" t="s">
        <v>2801</v>
      </c>
      <c r="C4829" t="s">
        <v>18</v>
      </c>
      <c r="D4829" t="s">
        <v>50</v>
      </c>
      <c r="E4829" t="s">
        <v>20</v>
      </c>
      <c r="F4829" t="s">
        <v>32</v>
      </c>
      <c r="G4829" t="s">
        <v>22</v>
      </c>
      <c r="H4829" t="s">
        <v>62</v>
      </c>
      <c r="I4829" t="s">
        <v>57</v>
      </c>
      <c r="J4829" t="s">
        <v>2455</v>
      </c>
      <c r="K4829" t="s">
        <v>6216</v>
      </c>
      <c r="L4829">
        <v>5.4</v>
      </c>
      <c r="M4829">
        <v>341000</v>
      </c>
      <c r="N4829">
        <v>4.0999999999999996</v>
      </c>
      <c r="O4829">
        <v>10</v>
      </c>
      <c r="P4829" t="s">
        <v>114</v>
      </c>
    </row>
    <row r="4830" spans="1:16" x14ac:dyDescent="0.25">
      <c r="A4830" t="s">
        <v>9498</v>
      </c>
      <c r="B4830" t="s">
        <v>1447</v>
      </c>
      <c r="C4830" t="s">
        <v>29</v>
      </c>
      <c r="D4830" t="s">
        <v>30</v>
      </c>
      <c r="E4830" t="s">
        <v>20</v>
      </c>
      <c r="F4830" t="s">
        <v>32</v>
      </c>
      <c r="G4830" t="s">
        <v>33</v>
      </c>
      <c r="H4830" t="s">
        <v>23</v>
      </c>
      <c r="I4830" t="s">
        <v>75</v>
      </c>
      <c r="J4830" t="s">
        <v>1878</v>
      </c>
      <c r="K4830" t="s">
        <v>5665</v>
      </c>
      <c r="L4830">
        <v>2</v>
      </c>
      <c r="M4830">
        <v>234000</v>
      </c>
      <c r="N4830">
        <v>3.1</v>
      </c>
      <c r="O4830">
        <v>10</v>
      </c>
      <c r="P4830" t="s">
        <v>72</v>
      </c>
    </row>
    <row r="4831" spans="1:16" x14ac:dyDescent="0.25">
      <c r="A4831" t="s">
        <v>9499</v>
      </c>
      <c r="B4831" t="s">
        <v>9500</v>
      </c>
      <c r="D4831" t="s">
        <v>79</v>
      </c>
      <c r="E4831" t="s">
        <v>44</v>
      </c>
      <c r="F4831" t="s">
        <v>45</v>
      </c>
      <c r="G4831" t="s">
        <v>33</v>
      </c>
      <c r="H4831" t="s">
        <v>46</v>
      </c>
      <c r="I4831" t="s">
        <v>24</v>
      </c>
      <c r="J4831" t="s">
        <v>2534</v>
      </c>
      <c r="K4831" t="s">
        <v>7506</v>
      </c>
      <c r="L4831">
        <v>5.2</v>
      </c>
      <c r="M4831">
        <v>1399000</v>
      </c>
      <c r="N4831">
        <v>3.6</v>
      </c>
      <c r="O4831">
        <v>34</v>
      </c>
      <c r="P4831" t="s">
        <v>53</v>
      </c>
    </row>
    <row r="4832" spans="1:16" x14ac:dyDescent="0.25">
      <c r="A4832" t="s">
        <v>9501</v>
      </c>
      <c r="B4832" t="s">
        <v>3868</v>
      </c>
      <c r="C4832" t="s">
        <v>29</v>
      </c>
      <c r="D4832" t="s">
        <v>43</v>
      </c>
      <c r="E4832" t="s">
        <v>20</v>
      </c>
      <c r="F4832" t="s">
        <v>32</v>
      </c>
      <c r="G4832" t="s">
        <v>80</v>
      </c>
      <c r="H4832" t="s">
        <v>34</v>
      </c>
      <c r="J4832" t="s">
        <v>2902</v>
      </c>
      <c r="L4832">
        <v>4</v>
      </c>
      <c r="M4832">
        <v>304000</v>
      </c>
      <c r="N4832">
        <v>3.3</v>
      </c>
      <c r="O4832">
        <v>0</v>
      </c>
      <c r="P4832" t="s">
        <v>26</v>
      </c>
    </row>
    <row r="4833" spans="1:16" x14ac:dyDescent="0.25">
      <c r="A4833" t="s">
        <v>9502</v>
      </c>
      <c r="B4833" t="s">
        <v>2159</v>
      </c>
      <c r="C4833" t="s">
        <v>18</v>
      </c>
      <c r="D4833" t="s">
        <v>30</v>
      </c>
      <c r="E4833" t="s">
        <v>20</v>
      </c>
      <c r="F4833" t="s">
        <v>39</v>
      </c>
      <c r="G4833" t="s">
        <v>22</v>
      </c>
      <c r="H4833" t="s">
        <v>34</v>
      </c>
      <c r="I4833" t="s">
        <v>24</v>
      </c>
      <c r="J4833" t="s">
        <v>2392</v>
      </c>
      <c r="L4833">
        <v>1.8</v>
      </c>
      <c r="M4833">
        <v>104000</v>
      </c>
      <c r="N4833">
        <v>3.4</v>
      </c>
      <c r="O4833">
        <v>7</v>
      </c>
      <c r="P4833" t="s">
        <v>26</v>
      </c>
    </row>
    <row r="4834" spans="1:16" x14ac:dyDescent="0.25">
      <c r="A4834" t="s">
        <v>9503</v>
      </c>
      <c r="B4834" t="s">
        <v>7720</v>
      </c>
      <c r="C4834" t="s">
        <v>18</v>
      </c>
      <c r="D4834" t="s">
        <v>50</v>
      </c>
      <c r="E4834" t="s">
        <v>31</v>
      </c>
      <c r="F4834" t="s">
        <v>39</v>
      </c>
      <c r="G4834" t="s">
        <v>22</v>
      </c>
      <c r="H4834" t="s">
        <v>23</v>
      </c>
      <c r="I4834" t="s">
        <v>75</v>
      </c>
      <c r="J4834" t="s">
        <v>2239</v>
      </c>
      <c r="L4834">
        <v>5.5</v>
      </c>
      <c r="N4834">
        <v>3</v>
      </c>
      <c r="O4834">
        <v>6</v>
      </c>
      <c r="P4834" t="s">
        <v>26</v>
      </c>
    </row>
    <row r="4835" spans="1:16" x14ac:dyDescent="0.25">
      <c r="A4835" t="s">
        <v>9504</v>
      </c>
      <c r="B4835" t="s">
        <v>1076</v>
      </c>
      <c r="C4835" t="s">
        <v>29</v>
      </c>
      <c r="D4835" t="s">
        <v>43</v>
      </c>
      <c r="E4835" t="s">
        <v>20</v>
      </c>
      <c r="F4835" t="s">
        <v>32</v>
      </c>
      <c r="G4835" t="s">
        <v>33</v>
      </c>
      <c r="H4835" t="s">
        <v>23</v>
      </c>
      <c r="I4835" t="s">
        <v>57</v>
      </c>
      <c r="J4835" t="s">
        <v>867</v>
      </c>
      <c r="K4835" t="s">
        <v>3574</v>
      </c>
      <c r="L4835">
        <v>1.4</v>
      </c>
      <c r="M4835">
        <v>180000</v>
      </c>
      <c r="N4835">
        <v>2.2999999999999998</v>
      </c>
      <c r="O4835">
        <v>2</v>
      </c>
      <c r="P4835" t="s">
        <v>114</v>
      </c>
    </row>
    <row r="4836" spans="1:16" x14ac:dyDescent="0.25">
      <c r="A4836" t="s">
        <v>9505</v>
      </c>
      <c r="B4836" t="s">
        <v>9506</v>
      </c>
      <c r="C4836" t="s">
        <v>18</v>
      </c>
      <c r="D4836" t="s">
        <v>50</v>
      </c>
      <c r="E4836" t="s">
        <v>20</v>
      </c>
      <c r="F4836" t="s">
        <v>21</v>
      </c>
      <c r="G4836" t="s">
        <v>22</v>
      </c>
      <c r="H4836" t="s">
        <v>34</v>
      </c>
      <c r="I4836" t="s">
        <v>24</v>
      </c>
      <c r="J4836" t="s">
        <v>5030</v>
      </c>
      <c r="L4836">
        <v>5.5</v>
      </c>
      <c r="M4836">
        <v>749000</v>
      </c>
      <c r="N4836">
        <v>3.1</v>
      </c>
      <c r="O4836">
        <v>8</v>
      </c>
      <c r="P4836" t="s">
        <v>26</v>
      </c>
    </row>
    <row r="4837" spans="1:16" x14ac:dyDescent="0.25">
      <c r="A4837" t="s">
        <v>9507</v>
      </c>
      <c r="B4837" t="s">
        <v>9508</v>
      </c>
      <c r="C4837" t="s">
        <v>18</v>
      </c>
      <c r="D4837" t="s">
        <v>50</v>
      </c>
      <c r="E4837" t="s">
        <v>20</v>
      </c>
      <c r="F4837" t="s">
        <v>39</v>
      </c>
      <c r="G4837" t="s">
        <v>22</v>
      </c>
      <c r="H4837" t="s">
        <v>46</v>
      </c>
      <c r="I4837" t="s">
        <v>57</v>
      </c>
      <c r="J4837" t="s">
        <v>1591</v>
      </c>
      <c r="K4837" t="s">
        <v>47</v>
      </c>
      <c r="L4837">
        <v>4.8</v>
      </c>
      <c r="N4837">
        <v>4.3</v>
      </c>
      <c r="O4837">
        <v>12</v>
      </c>
      <c r="P4837" t="s">
        <v>72</v>
      </c>
    </row>
    <row r="4838" spans="1:16" x14ac:dyDescent="0.25">
      <c r="A4838" t="s">
        <v>9509</v>
      </c>
      <c r="B4838" t="s">
        <v>2106</v>
      </c>
      <c r="C4838" t="s">
        <v>18</v>
      </c>
      <c r="D4838" t="s">
        <v>30</v>
      </c>
      <c r="E4838" t="s">
        <v>20</v>
      </c>
      <c r="F4838" t="s">
        <v>128</v>
      </c>
      <c r="G4838" t="s">
        <v>22</v>
      </c>
      <c r="H4838" t="s">
        <v>23</v>
      </c>
      <c r="I4838" t="s">
        <v>24</v>
      </c>
      <c r="J4838" t="s">
        <v>1522</v>
      </c>
      <c r="L4838">
        <v>2.5</v>
      </c>
      <c r="M4838">
        <v>424000</v>
      </c>
      <c r="N4838">
        <v>4.5</v>
      </c>
      <c r="O4838">
        <v>2</v>
      </c>
      <c r="P4838" t="s">
        <v>26</v>
      </c>
    </row>
    <row r="4839" spans="1:16" x14ac:dyDescent="0.25">
      <c r="A4839" t="s">
        <v>9510</v>
      </c>
      <c r="B4839" t="s">
        <v>5647</v>
      </c>
      <c r="C4839" t="s">
        <v>29</v>
      </c>
      <c r="D4839" t="s">
        <v>50</v>
      </c>
      <c r="E4839" t="s">
        <v>20</v>
      </c>
      <c r="F4839" t="s">
        <v>32</v>
      </c>
      <c r="G4839" t="s">
        <v>22</v>
      </c>
      <c r="H4839" t="s">
        <v>23</v>
      </c>
      <c r="I4839" t="s">
        <v>24</v>
      </c>
      <c r="J4839" t="s">
        <v>3593</v>
      </c>
      <c r="L4839">
        <v>5.0999999999999996</v>
      </c>
      <c r="M4839">
        <v>263000</v>
      </c>
      <c r="N4839">
        <v>4.8</v>
      </c>
      <c r="O4839">
        <v>3</v>
      </c>
      <c r="P4839" t="s">
        <v>26</v>
      </c>
    </row>
    <row r="4840" spans="1:16" x14ac:dyDescent="0.25">
      <c r="A4840" t="s">
        <v>9511</v>
      </c>
      <c r="B4840" t="s">
        <v>341</v>
      </c>
      <c r="C4840" t="s">
        <v>18</v>
      </c>
      <c r="D4840" t="s">
        <v>79</v>
      </c>
      <c r="E4840" t="s">
        <v>31</v>
      </c>
      <c r="G4840" t="s">
        <v>22</v>
      </c>
      <c r="H4840" t="s">
        <v>46</v>
      </c>
      <c r="I4840" t="s">
        <v>57</v>
      </c>
      <c r="J4840" t="s">
        <v>2795</v>
      </c>
      <c r="L4840">
        <v>3.9</v>
      </c>
      <c r="M4840">
        <v>365000</v>
      </c>
      <c r="N4840">
        <v>3</v>
      </c>
      <c r="O4840">
        <v>8</v>
      </c>
      <c r="P4840" t="s">
        <v>26</v>
      </c>
    </row>
    <row r="4841" spans="1:16" x14ac:dyDescent="0.25">
      <c r="A4841" t="s">
        <v>9512</v>
      </c>
      <c r="B4841" t="s">
        <v>9513</v>
      </c>
      <c r="C4841" t="s">
        <v>18</v>
      </c>
      <c r="D4841" t="s">
        <v>19</v>
      </c>
      <c r="E4841" t="s">
        <v>44</v>
      </c>
      <c r="F4841" t="s">
        <v>32</v>
      </c>
      <c r="G4841" t="s">
        <v>22</v>
      </c>
      <c r="H4841" t="s">
        <v>46</v>
      </c>
      <c r="I4841" t="s">
        <v>24</v>
      </c>
      <c r="J4841" t="s">
        <v>144</v>
      </c>
      <c r="K4841" t="s">
        <v>700</v>
      </c>
      <c r="L4841">
        <v>3.7</v>
      </c>
      <c r="M4841">
        <v>229000</v>
      </c>
      <c r="N4841">
        <v>4.4000000000000004</v>
      </c>
      <c r="O4841">
        <v>17</v>
      </c>
      <c r="P4841" t="s">
        <v>53</v>
      </c>
    </row>
    <row r="4842" spans="1:16" x14ac:dyDescent="0.25">
      <c r="A4842" t="s">
        <v>9514</v>
      </c>
      <c r="B4842" t="s">
        <v>9515</v>
      </c>
      <c r="C4842" t="s">
        <v>29</v>
      </c>
      <c r="D4842" t="s">
        <v>50</v>
      </c>
      <c r="E4842" t="s">
        <v>20</v>
      </c>
      <c r="F4842" t="s">
        <v>128</v>
      </c>
      <c r="G4842" t="s">
        <v>69</v>
      </c>
      <c r="H4842" t="s">
        <v>46</v>
      </c>
      <c r="I4842" t="s">
        <v>57</v>
      </c>
      <c r="J4842" t="s">
        <v>2723</v>
      </c>
      <c r="L4842">
        <v>2.8</v>
      </c>
      <c r="M4842">
        <v>545000</v>
      </c>
      <c r="N4842">
        <v>2.8</v>
      </c>
      <c r="O4842">
        <v>5</v>
      </c>
      <c r="P4842" t="s">
        <v>26</v>
      </c>
    </row>
    <row r="4843" spans="1:16" x14ac:dyDescent="0.25">
      <c r="A4843" t="s">
        <v>9516</v>
      </c>
      <c r="B4843" t="s">
        <v>9517</v>
      </c>
      <c r="C4843" t="s">
        <v>18</v>
      </c>
      <c r="D4843" t="s">
        <v>43</v>
      </c>
      <c r="E4843" t="s">
        <v>20</v>
      </c>
      <c r="F4843" t="s">
        <v>45</v>
      </c>
      <c r="G4843" t="s">
        <v>80</v>
      </c>
      <c r="H4843" t="s">
        <v>34</v>
      </c>
      <c r="I4843" t="s">
        <v>24</v>
      </c>
      <c r="J4843" t="s">
        <v>1623</v>
      </c>
      <c r="L4843">
        <v>2.1</v>
      </c>
      <c r="M4843">
        <v>1327000</v>
      </c>
      <c r="N4843">
        <v>4.7</v>
      </c>
      <c r="O4843">
        <v>2</v>
      </c>
      <c r="P4843" t="s">
        <v>26</v>
      </c>
    </row>
    <row r="4844" spans="1:16" x14ac:dyDescent="0.25">
      <c r="A4844" t="s">
        <v>9518</v>
      </c>
      <c r="B4844" t="s">
        <v>8381</v>
      </c>
      <c r="C4844" t="s">
        <v>29</v>
      </c>
      <c r="D4844" t="s">
        <v>50</v>
      </c>
      <c r="E4844" t="s">
        <v>20</v>
      </c>
      <c r="F4844" t="s">
        <v>128</v>
      </c>
      <c r="G4844" t="s">
        <v>33</v>
      </c>
      <c r="H4844" t="s">
        <v>23</v>
      </c>
      <c r="I4844" t="s">
        <v>24</v>
      </c>
      <c r="J4844" t="s">
        <v>8061</v>
      </c>
      <c r="L4844">
        <v>2.7</v>
      </c>
      <c r="M4844">
        <v>575000</v>
      </c>
      <c r="N4844">
        <v>2</v>
      </c>
      <c r="O4844">
        <v>9</v>
      </c>
      <c r="P4844" t="s">
        <v>26</v>
      </c>
    </row>
    <row r="4845" spans="1:16" x14ac:dyDescent="0.25">
      <c r="A4845" t="s">
        <v>9519</v>
      </c>
      <c r="B4845" t="s">
        <v>3859</v>
      </c>
      <c r="C4845" t="s">
        <v>18</v>
      </c>
      <c r="D4845" t="s">
        <v>19</v>
      </c>
      <c r="F4845" t="s">
        <v>128</v>
      </c>
      <c r="G4845" t="s">
        <v>22</v>
      </c>
      <c r="H4845" t="s">
        <v>34</v>
      </c>
      <c r="I4845" t="s">
        <v>35</v>
      </c>
      <c r="J4845" t="s">
        <v>3604</v>
      </c>
      <c r="K4845" t="s">
        <v>6456</v>
      </c>
      <c r="L4845">
        <v>5.2</v>
      </c>
      <c r="M4845">
        <v>571000</v>
      </c>
      <c r="N4845">
        <v>2.6</v>
      </c>
      <c r="O4845">
        <v>8</v>
      </c>
      <c r="P4845" t="s">
        <v>53</v>
      </c>
    </row>
    <row r="4846" spans="1:16" x14ac:dyDescent="0.25">
      <c r="A4846" t="s">
        <v>9520</v>
      </c>
      <c r="B4846" t="s">
        <v>6780</v>
      </c>
      <c r="C4846" t="s">
        <v>18</v>
      </c>
      <c r="D4846" t="s">
        <v>19</v>
      </c>
      <c r="E4846" t="s">
        <v>20</v>
      </c>
      <c r="F4846" t="s">
        <v>39</v>
      </c>
      <c r="G4846" t="s">
        <v>22</v>
      </c>
      <c r="H4846" t="s">
        <v>46</v>
      </c>
      <c r="I4846" t="s">
        <v>24</v>
      </c>
      <c r="J4846" t="s">
        <v>375</v>
      </c>
      <c r="L4846">
        <v>3</v>
      </c>
      <c r="M4846">
        <v>180000</v>
      </c>
      <c r="N4846">
        <v>3.4</v>
      </c>
      <c r="O4846">
        <v>14</v>
      </c>
      <c r="P4846" t="s">
        <v>26</v>
      </c>
    </row>
    <row r="4847" spans="1:16" x14ac:dyDescent="0.25">
      <c r="A4847" t="s">
        <v>9521</v>
      </c>
      <c r="B4847" t="s">
        <v>9522</v>
      </c>
      <c r="C4847" t="s">
        <v>29</v>
      </c>
      <c r="D4847" t="s">
        <v>50</v>
      </c>
      <c r="E4847" t="s">
        <v>44</v>
      </c>
      <c r="F4847" t="s">
        <v>32</v>
      </c>
      <c r="G4847" t="s">
        <v>33</v>
      </c>
      <c r="H4847" t="s">
        <v>46</v>
      </c>
      <c r="I4847" t="s">
        <v>57</v>
      </c>
      <c r="J4847" t="s">
        <v>1959</v>
      </c>
      <c r="L4847">
        <v>4.4000000000000004</v>
      </c>
      <c r="M4847">
        <v>304000</v>
      </c>
      <c r="N4847">
        <v>4.4000000000000004</v>
      </c>
      <c r="O4847">
        <v>6</v>
      </c>
      <c r="P4847" t="s">
        <v>26</v>
      </c>
    </row>
    <row r="4848" spans="1:16" x14ac:dyDescent="0.25">
      <c r="A4848" t="s">
        <v>9523</v>
      </c>
      <c r="B4848" t="s">
        <v>3989</v>
      </c>
      <c r="D4848" t="s">
        <v>30</v>
      </c>
      <c r="E4848" t="s">
        <v>31</v>
      </c>
      <c r="F4848" t="s">
        <v>128</v>
      </c>
      <c r="G4848" t="s">
        <v>80</v>
      </c>
      <c r="H4848" t="s">
        <v>23</v>
      </c>
      <c r="I4848" t="s">
        <v>75</v>
      </c>
      <c r="J4848" t="s">
        <v>2259</v>
      </c>
      <c r="L4848">
        <v>5.3</v>
      </c>
      <c r="M4848">
        <v>505000</v>
      </c>
      <c r="N4848">
        <v>2.6</v>
      </c>
      <c r="O4848">
        <v>7</v>
      </c>
      <c r="P4848" t="s">
        <v>26</v>
      </c>
    </row>
    <row r="4849" spans="1:16" x14ac:dyDescent="0.25">
      <c r="A4849" t="s">
        <v>9524</v>
      </c>
      <c r="B4849" t="s">
        <v>2725</v>
      </c>
      <c r="C4849" t="s">
        <v>18</v>
      </c>
      <c r="D4849" t="s">
        <v>43</v>
      </c>
      <c r="E4849" t="s">
        <v>44</v>
      </c>
      <c r="F4849" t="s">
        <v>32</v>
      </c>
      <c r="G4849" t="s">
        <v>22</v>
      </c>
      <c r="H4849" t="s">
        <v>34</v>
      </c>
      <c r="I4849" t="s">
        <v>24</v>
      </c>
      <c r="J4849" t="s">
        <v>8065</v>
      </c>
      <c r="K4849" t="s">
        <v>5761</v>
      </c>
      <c r="L4849">
        <v>2.5</v>
      </c>
      <c r="M4849">
        <v>180000</v>
      </c>
      <c r="N4849">
        <v>2.9</v>
      </c>
      <c r="O4849">
        <v>9</v>
      </c>
      <c r="P4849" t="s">
        <v>72</v>
      </c>
    </row>
    <row r="4850" spans="1:16" x14ac:dyDescent="0.25">
      <c r="A4850" t="s">
        <v>9525</v>
      </c>
      <c r="B4850" t="s">
        <v>1144</v>
      </c>
      <c r="C4850" t="s">
        <v>18</v>
      </c>
      <c r="D4850" t="s">
        <v>50</v>
      </c>
      <c r="E4850" t="s">
        <v>20</v>
      </c>
      <c r="F4850" t="s">
        <v>32</v>
      </c>
      <c r="G4850" t="s">
        <v>33</v>
      </c>
      <c r="H4850" t="s">
        <v>46</v>
      </c>
      <c r="I4850" t="s">
        <v>24</v>
      </c>
      <c r="J4850" t="s">
        <v>4852</v>
      </c>
      <c r="L4850">
        <v>5.8</v>
      </c>
      <c r="M4850">
        <v>183000</v>
      </c>
      <c r="N4850">
        <v>2.1</v>
      </c>
      <c r="O4850">
        <v>2</v>
      </c>
      <c r="P4850" t="s">
        <v>26</v>
      </c>
    </row>
    <row r="4851" spans="1:16" x14ac:dyDescent="0.25">
      <c r="A4851" t="s">
        <v>9526</v>
      </c>
      <c r="B4851" t="s">
        <v>7310</v>
      </c>
      <c r="C4851" t="s">
        <v>29</v>
      </c>
      <c r="D4851" t="s">
        <v>43</v>
      </c>
      <c r="E4851" t="s">
        <v>20</v>
      </c>
      <c r="F4851" t="s">
        <v>32</v>
      </c>
      <c r="G4851" t="s">
        <v>69</v>
      </c>
      <c r="H4851" t="s">
        <v>23</v>
      </c>
      <c r="I4851" t="s">
        <v>24</v>
      </c>
      <c r="J4851" t="s">
        <v>338</v>
      </c>
      <c r="L4851">
        <v>4.3</v>
      </c>
      <c r="M4851">
        <v>322000</v>
      </c>
      <c r="N4851">
        <v>4.5999999999999996</v>
      </c>
      <c r="O4851">
        <v>28</v>
      </c>
      <c r="P4851" t="s">
        <v>26</v>
      </c>
    </row>
    <row r="4852" spans="1:16" x14ac:dyDescent="0.25">
      <c r="A4852" t="s">
        <v>9527</v>
      </c>
      <c r="B4852" t="s">
        <v>2645</v>
      </c>
      <c r="C4852" t="s">
        <v>18</v>
      </c>
      <c r="D4852" t="s">
        <v>43</v>
      </c>
      <c r="E4852" t="s">
        <v>20</v>
      </c>
      <c r="F4852" t="s">
        <v>32</v>
      </c>
      <c r="G4852" t="s">
        <v>33</v>
      </c>
      <c r="H4852" t="s">
        <v>62</v>
      </c>
      <c r="I4852" t="s">
        <v>57</v>
      </c>
      <c r="J4852" t="s">
        <v>408</v>
      </c>
      <c r="L4852">
        <v>4</v>
      </c>
      <c r="M4852">
        <v>225000</v>
      </c>
      <c r="N4852">
        <v>3.7</v>
      </c>
      <c r="O4852">
        <v>1</v>
      </c>
      <c r="P4852" t="s">
        <v>26</v>
      </c>
    </row>
    <row r="4853" spans="1:16" x14ac:dyDescent="0.25">
      <c r="A4853" t="s">
        <v>9528</v>
      </c>
      <c r="B4853" t="s">
        <v>3213</v>
      </c>
      <c r="D4853" t="s">
        <v>61</v>
      </c>
      <c r="E4853" t="s">
        <v>20</v>
      </c>
      <c r="F4853" t="s">
        <v>32</v>
      </c>
      <c r="G4853" t="s">
        <v>22</v>
      </c>
      <c r="I4853" t="s">
        <v>57</v>
      </c>
      <c r="J4853" t="s">
        <v>5203</v>
      </c>
      <c r="L4853">
        <v>4.5999999999999996</v>
      </c>
      <c r="M4853">
        <v>328000</v>
      </c>
      <c r="N4853">
        <v>4.8</v>
      </c>
      <c r="O4853">
        <v>8</v>
      </c>
      <c r="P4853" t="s">
        <v>26</v>
      </c>
    </row>
    <row r="4854" spans="1:16" x14ac:dyDescent="0.25">
      <c r="A4854" t="s">
        <v>9529</v>
      </c>
      <c r="B4854" t="s">
        <v>365</v>
      </c>
      <c r="D4854" t="s">
        <v>50</v>
      </c>
      <c r="E4854" t="s">
        <v>44</v>
      </c>
      <c r="F4854" t="s">
        <v>21</v>
      </c>
      <c r="G4854" t="s">
        <v>69</v>
      </c>
      <c r="H4854" t="s">
        <v>34</v>
      </c>
      <c r="I4854" t="s">
        <v>57</v>
      </c>
      <c r="J4854" t="s">
        <v>1510</v>
      </c>
      <c r="L4854">
        <v>1.5</v>
      </c>
      <c r="M4854">
        <v>676000</v>
      </c>
      <c r="N4854">
        <v>4.4000000000000004</v>
      </c>
      <c r="O4854">
        <v>3</v>
      </c>
      <c r="P4854" t="s">
        <v>26</v>
      </c>
    </row>
    <row r="4855" spans="1:16" x14ac:dyDescent="0.25">
      <c r="A4855" t="s">
        <v>9530</v>
      </c>
      <c r="B4855" t="s">
        <v>5024</v>
      </c>
      <c r="C4855" t="s">
        <v>18</v>
      </c>
      <c r="D4855" t="s">
        <v>50</v>
      </c>
      <c r="E4855" t="s">
        <v>20</v>
      </c>
      <c r="F4855" t="s">
        <v>128</v>
      </c>
      <c r="G4855" t="s">
        <v>80</v>
      </c>
      <c r="H4855" t="s">
        <v>23</v>
      </c>
      <c r="I4855" t="s">
        <v>35</v>
      </c>
      <c r="J4855" t="s">
        <v>3640</v>
      </c>
      <c r="L4855">
        <v>3.9</v>
      </c>
      <c r="M4855">
        <v>590000</v>
      </c>
      <c r="N4855">
        <v>4.4000000000000004</v>
      </c>
      <c r="O4855">
        <v>33</v>
      </c>
      <c r="P4855" t="s">
        <v>26</v>
      </c>
    </row>
    <row r="4856" spans="1:16" x14ac:dyDescent="0.25">
      <c r="A4856" t="s">
        <v>9531</v>
      </c>
      <c r="B4856" t="s">
        <v>3696</v>
      </c>
      <c r="C4856" t="s">
        <v>29</v>
      </c>
      <c r="D4856" t="s">
        <v>19</v>
      </c>
      <c r="E4856" t="s">
        <v>20</v>
      </c>
      <c r="F4856" t="s">
        <v>32</v>
      </c>
      <c r="G4856" t="s">
        <v>33</v>
      </c>
      <c r="H4856" t="s">
        <v>62</v>
      </c>
      <c r="I4856" t="s">
        <v>24</v>
      </c>
      <c r="J4856" t="s">
        <v>6098</v>
      </c>
      <c r="K4856" t="s">
        <v>3555</v>
      </c>
      <c r="L4856">
        <v>2.5</v>
      </c>
      <c r="M4856">
        <v>222000</v>
      </c>
      <c r="N4856">
        <v>3.5</v>
      </c>
      <c r="O4856">
        <v>0</v>
      </c>
      <c r="P4856" t="s">
        <v>53</v>
      </c>
    </row>
    <row r="4857" spans="1:16" x14ac:dyDescent="0.25">
      <c r="A4857" t="s">
        <v>9532</v>
      </c>
      <c r="B4857" t="s">
        <v>7856</v>
      </c>
      <c r="C4857" t="s">
        <v>18</v>
      </c>
      <c r="D4857" t="s">
        <v>79</v>
      </c>
      <c r="E4857" t="s">
        <v>20</v>
      </c>
      <c r="F4857" t="s">
        <v>39</v>
      </c>
      <c r="G4857" t="s">
        <v>33</v>
      </c>
      <c r="H4857" t="s">
        <v>34</v>
      </c>
      <c r="I4857" t="s">
        <v>35</v>
      </c>
      <c r="J4857" t="s">
        <v>4390</v>
      </c>
      <c r="L4857">
        <v>2.5</v>
      </c>
      <c r="M4857">
        <v>162000</v>
      </c>
      <c r="N4857">
        <v>4.4000000000000004</v>
      </c>
      <c r="O4857">
        <v>11</v>
      </c>
      <c r="P4857" t="s">
        <v>26</v>
      </c>
    </row>
    <row r="4858" spans="1:16" x14ac:dyDescent="0.25">
      <c r="A4858" t="s">
        <v>9533</v>
      </c>
      <c r="B4858" t="s">
        <v>1787</v>
      </c>
      <c r="C4858" t="s">
        <v>18</v>
      </c>
      <c r="D4858" t="s">
        <v>50</v>
      </c>
      <c r="E4858" t="s">
        <v>31</v>
      </c>
      <c r="F4858" t="s">
        <v>128</v>
      </c>
      <c r="G4858" t="s">
        <v>22</v>
      </c>
      <c r="H4858" t="s">
        <v>34</v>
      </c>
      <c r="I4858" t="s">
        <v>35</v>
      </c>
      <c r="J4858" t="s">
        <v>1059</v>
      </c>
      <c r="L4858">
        <v>2.5</v>
      </c>
      <c r="M4858">
        <v>384000</v>
      </c>
      <c r="N4858">
        <v>2.9</v>
      </c>
      <c r="O4858">
        <v>14</v>
      </c>
      <c r="P4858" t="s">
        <v>26</v>
      </c>
    </row>
    <row r="4859" spans="1:16" x14ac:dyDescent="0.25">
      <c r="A4859" t="s">
        <v>9534</v>
      </c>
      <c r="B4859" t="s">
        <v>4156</v>
      </c>
      <c r="C4859" t="s">
        <v>18</v>
      </c>
      <c r="D4859" t="s">
        <v>30</v>
      </c>
      <c r="E4859" t="s">
        <v>44</v>
      </c>
      <c r="F4859" t="s">
        <v>32</v>
      </c>
      <c r="G4859" t="s">
        <v>22</v>
      </c>
      <c r="H4859" t="s">
        <v>23</v>
      </c>
      <c r="I4859" t="s">
        <v>35</v>
      </c>
      <c r="J4859" t="s">
        <v>1642</v>
      </c>
      <c r="L4859">
        <v>6.2</v>
      </c>
      <c r="M4859">
        <v>254000</v>
      </c>
      <c r="N4859">
        <v>2.5</v>
      </c>
      <c r="O4859">
        <v>13</v>
      </c>
      <c r="P4859" t="s">
        <v>26</v>
      </c>
    </row>
    <row r="4860" spans="1:16" x14ac:dyDescent="0.25">
      <c r="A4860" t="s">
        <v>9535</v>
      </c>
      <c r="B4860" t="s">
        <v>8539</v>
      </c>
      <c r="C4860" t="s">
        <v>18</v>
      </c>
      <c r="D4860" t="s">
        <v>43</v>
      </c>
      <c r="E4860" t="s">
        <v>20</v>
      </c>
      <c r="F4860" t="s">
        <v>32</v>
      </c>
      <c r="G4860" t="s">
        <v>22</v>
      </c>
      <c r="H4860" t="s">
        <v>34</v>
      </c>
      <c r="I4860" t="s">
        <v>57</v>
      </c>
      <c r="J4860" t="s">
        <v>4062</v>
      </c>
      <c r="L4860">
        <v>6.1</v>
      </c>
      <c r="M4860">
        <v>256000</v>
      </c>
      <c r="N4860">
        <v>4.3</v>
      </c>
      <c r="O4860">
        <v>9</v>
      </c>
      <c r="P4860" t="s">
        <v>26</v>
      </c>
    </row>
    <row r="4861" spans="1:16" x14ac:dyDescent="0.25">
      <c r="A4861" t="s">
        <v>9536</v>
      </c>
      <c r="B4861" t="s">
        <v>2632</v>
      </c>
      <c r="C4861" t="s">
        <v>18</v>
      </c>
      <c r="D4861" t="s">
        <v>79</v>
      </c>
      <c r="E4861" t="s">
        <v>20</v>
      </c>
      <c r="F4861" t="s">
        <v>128</v>
      </c>
      <c r="G4861" t="s">
        <v>22</v>
      </c>
      <c r="I4861" t="s">
        <v>75</v>
      </c>
      <c r="J4861" t="s">
        <v>7015</v>
      </c>
      <c r="L4861">
        <v>2.1</v>
      </c>
      <c r="M4861">
        <v>593000</v>
      </c>
      <c r="N4861">
        <v>3</v>
      </c>
      <c r="O4861">
        <v>11</v>
      </c>
      <c r="P4861" t="s">
        <v>26</v>
      </c>
    </row>
    <row r="4862" spans="1:16" x14ac:dyDescent="0.25">
      <c r="A4862" t="s">
        <v>9537</v>
      </c>
      <c r="B4862" t="s">
        <v>418</v>
      </c>
      <c r="C4862" t="s">
        <v>18</v>
      </c>
      <c r="D4862" t="s">
        <v>79</v>
      </c>
      <c r="E4862" t="s">
        <v>44</v>
      </c>
      <c r="F4862" t="s">
        <v>128</v>
      </c>
      <c r="G4862" t="s">
        <v>22</v>
      </c>
      <c r="H4862" t="s">
        <v>34</v>
      </c>
      <c r="I4862" t="s">
        <v>24</v>
      </c>
      <c r="J4862" t="s">
        <v>5829</v>
      </c>
      <c r="L4862">
        <v>4.3</v>
      </c>
      <c r="N4862">
        <v>4.5999999999999996</v>
      </c>
      <c r="O4862">
        <v>12</v>
      </c>
      <c r="P4862" t="s">
        <v>26</v>
      </c>
    </row>
    <row r="4863" spans="1:16" x14ac:dyDescent="0.25">
      <c r="A4863" t="s">
        <v>9538</v>
      </c>
      <c r="B4863" t="s">
        <v>6602</v>
      </c>
      <c r="C4863" t="s">
        <v>29</v>
      </c>
      <c r="D4863" t="s">
        <v>4697</v>
      </c>
      <c r="E4863" t="s">
        <v>31</v>
      </c>
      <c r="F4863" t="s">
        <v>32</v>
      </c>
      <c r="G4863" t="s">
        <v>33</v>
      </c>
      <c r="H4863" t="s">
        <v>62</v>
      </c>
      <c r="I4863" t="s">
        <v>24</v>
      </c>
      <c r="J4863" t="s">
        <v>7622</v>
      </c>
      <c r="L4863">
        <v>1.5</v>
      </c>
      <c r="M4863">
        <v>342000</v>
      </c>
      <c r="N4863">
        <v>2.7</v>
      </c>
      <c r="O4863">
        <v>14</v>
      </c>
      <c r="P4863" t="s">
        <v>26</v>
      </c>
    </row>
    <row r="4864" spans="1:16" x14ac:dyDescent="0.25">
      <c r="A4864" t="s">
        <v>9539</v>
      </c>
      <c r="B4864" t="s">
        <v>8251</v>
      </c>
      <c r="C4864" t="s">
        <v>18</v>
      </c>
      <c r="D4864" t="s">
        <v>30</v>
      </c>
      <c r="E4864" t="s">
        <v>20</v>
      </c>
      <c r="F4864" t="s">
        <v>32</v>
      </c>
      <c r="G4864" t="s">
        <v>33</v>
      </c>
      <c r="H4864" t="s">
        <v>23</v>
      </c>
      <c r="I4864" t="s">
        <v>24</v>
      </c>
      <c r="J4864" t="s">
        <v>4307</v>
      </c>
      <c r="K4864" t="s">
        <v>9540</v>
      </c>
      <c r="L4864">
        <v>3.1</v>
      </c>
      <c r="M4864">
        <v>283000</v>
      </c>
      <c r="N4864">
        <v>4.3</v>
      </c>
      <c r="O4864">
        <v>0</v>
      </c>
      <c r="P4864" t="s">
        <v>72</v>
      </c>
    </row>
    <row r="4865" spans="1:16" x14ac:dyDescent="0.25">
      <c r="A4865" t="s">
        <v>9541</v>
      </c>
      <c r="B4865" t="s">
        <v>9542</v>
      </c>
      <c r="C4865" t="s">
        <v>29</v>
      </c>
      <c r="D4865" t="s">
        <v>50</v>
      </c>
      <c r="E4865" t="s">
        <v>20</v>
      </c>
      <c r="F4865" t="s">
        <v>32</v>
      </c>
      <c r="G4865" t="s">
        <v>22</v>
      </c>
      <c r="H4865" t="s">
        <v>23</v>
      </c>
      <c r="I4865" t="s">
        <v>171</v>
      </c>
      <c r="J4865" t="s">
        <v>1810</v>
      </c>
      <c r="L4865">
        <v>2.7</v>
      </c>
      <c r="M4865">
        <v>258000</v>
      </c>
      <c r="N4865">
        <v>2.6</v>
      </c>
      <c r="O4865">
        <v>39</v>
      </c>
      <c r="P4865" t="s">
        <v>26</v>
      </c>
    </row>
    <row r="4866" spans="1:16" x14ac:dyDescent="0.25">
      <c r="A4866" t="s">
        <v>9543</v>
      </c>
      <c r="B4866" t="s">
        <v>4877</v>
      </c>
      <c r="C4866" t="s">
        <v>18</v>
      </c>
      <c r="D4866" t="s">
        <v>50</v>
      </c>
      <c r="E4866" t="s">
        <v>44</v>
      </c>
      <c r="F4866" t="s">
        <v>32</v>
      </c>
      <c r="G4866" t="s">
        <v>33</v>
      </c>
      <c r="H4866" t="s">
        <v>62</v>
      </c>
      <c r="I4866" t="s">
        <v>57</v>
      </c>
      <c r="J4866" t="s">
        <v>1388</v>
      </c>
      <c r="L4866">
        <v>3.1</v>
      </c>
      <c r="M4866">
        <v>279000</v>
      </c>
      <c r="N4866">
        <v>2.1</v>
      </c>
      <c r="O4866">
        <v>6</v>
      </c>
      <c r="P4866" t="s">
        <v>26</v>
      </c>
    </row>
    <row r="4867" spans="1:16" x14ac:dyDescent="0.25">
      <c r="A4867" t="s">
        <v>9544</v>
      </c>
      <c r="B4867" t="s">
        <v>1844</v>
      </c>
      <c r="C4867" t="s">
        <v>29</v>
      </c>
      <c r="D4867" t="s">
        <v>50</v>
      </c>
      <c r="E4867" t="s">
        <v>20</v>
      </c>
      <c r="F4867" t="s">
        <v>32</v>
      </c>
      <c r="G4867" t="s">
        <v>22</v>
      </c>
      <c r="H4867" t="s">
        <v>34</v>
      </c>
      <c r="I4867" t="s">
        <v>35</v>
      </c>
      <c r="J4867" t="s">
        <v>3282</v>
      </c>
      <c r="K4867" t="s">
        <v>2584</v>
      </c>
      <c r="L4867">
        <v>3.4</v>
      </c>
      <c r="M4867">
        <v>222000</v>
      </c>
      <c r="N4867">
        <v>2.1</v>
      </c>
      <c r="O4867">
        <v>6</v>
      </c>
      <c r="P4867" t="s">
        <v>72</v>
      </c>
    </row>
    <row r="4868" spans="1:16" x14ac:dyDescent="0.25">
      <c r="A4868" t="s">
        <v>9545</v>
      </c>
      <c r="B4868" t="s">
        <v>6140</v>
      </c>
      <c r="C4868" t="s">
        <v>29</v>
      </c>
      <c r="E4868" t="s">
        <v>31</v>
      </c>
      <c r="F4868" t="s">
        <v>128</v>
      </c>
      <c r="G4868" t="s">
        <v>22</v>
      </c>
      <c r="H4868" t="s">
        <v>23</v>
      </c>
      <c r="I4868" t="s">
        <v>35</v>
      </c>
      <c r="J4868" t="s">
        <v>3593</v>
      </c>
      <c r="L4868">
        <v>5.0999999999999996</v>
      </c>
      <c r="M4868">
        <v>534000</v>
      </c>
      <c r="N4868">
        <v>3.5</v>
      </c>
      <c r="O4868">
        <v>37</v>
      </c>
      <c r="P4868" t="s">
        <v>26</v>
      </c>
    </row>
    <row r="4869" spans="1:16" x14ac:dyDescent="0.25">
      <c r="A4869" t="s">
        <v>9546</v>
      </c>
      <c r="B4869" t="s">
        <v>6602</v>
      </c>
      <c r="D4869" t="s">
        <v>43</v>
      </c>
      <c r="E4869" t="s">
        <v>31</v>
      </c>
      <c r="F4869" t="s">
        <v>32</v>
      </c>
      <c r="G4869" t="s">
        <v>33</v>
      </c>
      <c r="H4869" t="s">
        <v>46</v>
      </c>
      <c r="I4869" t="s">
        <v>75</v>
      </c>
      <c r="J4869" t="s">
        <v>5441</v>
      </c>
      <c r="K4869" t="s">
        <v>328</v>
      </c>
      <c r="L4869">
        <v>2.2000000000000002</v>
      </c>
      <c r="M4869">
        <v>189000</v>
      </c>
      <c r="N4869">
        <v>3.3</v>
      </c>
      <c r="O4869">
        <v>6</v>
      </c>
      <c r="P4869" t="s">
        <v>114</v>
      </c>
    </row>
    <row r="4870" spans="1:16" x14ac:dyDescent="0.25">
      <c r="A4870" t="s">
        <v>9547</v>
      </c>
      <c r="B4870" t="s">
        <v>9548</v>
      </c>
      <c r="C4870" t="s">
        <v>29</v>
      </c>
      <c r="D4870" t="s">
        <v>43</v>
      </c>
      <c r="E4870" t="s">
        <v>31</v>
      </c>
      <c r="F4870" t="s">
        <v>39</v>
      </c>
      <c r="G4870" t="s">
        <v>80</v>
      </c>
      <c r="H4870" t="s">
        <v>34</v>
      </c>
      <c r="I4870" t="s">
        <v>24</v>
      </c>
      <c r="J4870" t="s">
        <v>5228</v>
      </c>
      <c r="K4870" t="s">
        <v>2642</v>
      </c>
      <c r="L4870">
        <v>5.9</v>
      </c>
      <c r="M4870">
        <v>137000</v>
      </c>
      <c r="N4870">
        <v>3.3</v>
      </c>
      <c r="O4870">
        <v>13</v>
      </c>
      <c r="P4870" t="s">
        <v>53</v>
      </c>
    </row>
    <row r="4871" spans="1:16" x14ac:dyDescent="0.25">
      <c r="A4871" t="s">
        <v>9549</v>
      </c>
      <c r="B4871" t="s">
        <v>9550</v>
      </c>
      <c r="C4871" t="s">
        <v>18</v>
      </c>
      <c r="D4871" t="s">
        <v>79</v>
      </c>
      <c r="E4871" t="s">
        <v>20</v>
      </c>
      <c r="F4871" t="s">
        <v>32</v>
      </c>
      <c r="G4871" t="s">
        <v>69</v>
      </c>
      <c r="H4871" t="s">
        <v>23</v>
      </c>
      <c r="I4871" t="s">
        <v>35</v>
      </c>
      <c r="J4871" t="s">
        <v>2426</v>
      </c>
      <c r="L4871">
        <v>5.9</v>
      </c>
      <c r="M4871">
        <v>244000</v>
      </c>
      <c r="N4871">
        <v>2.8</v>
      </c>
      <c r="O4871">
        <v>31</v>
      </c>
      <c r="P4871" t="s">
        <v>26</v>
      </c>
    </row>
    <row r="4872" spans="1:16" x14ac:dyDescent="0.25">
      <c r="A4872" t="s">
        <v>9551</v>
      </c>
      <c r="B4872" t="s">
        <v>7385</v>
      </c>
      <c r="C4872" t="s">
        <v>29</v>
      </c>
      <c r="E4872" t="s">
        <v>44</v>
      </c>
      <c r="F4872" t="s">
        <v>39</v>
      </c>
      <c r="G4872" t="s">
        <v>33</v>
      </c>
      <c r="H4872" t="s">
        <v>46</v>
      </c>
      <c r="I4872" t="s">
        <v>171</v>
      </c>
      <c r="J4872" t="s">
        <v>5528</v>
      </c>
      <c r="L4872">
        <v>4.5999999999999996</v>
      </c>
      <c r="M4872">
        <v>95000</v>
      </c>
      <c r="N4872">
        <v>1.7</v>
      </c>
      <c r="O4872">
        <v>2</v>
      </c>
      <c r="P4872" t="s">
        <v>26</v>
      </c>
    </row>
    <row r="4873" spans="1:16" x14ac:dyDescent="0.25">
      <c r="A4873" t="s">
        <v>9552</v>
      </c>
      <c r="B4873" t="s">
        <v>1877</v>
      </c>
      <c r="C4873" t="s">
        <v>18</v>
      </c>
      <c r="D4873" t="s">
        <v>19</v>
      </c>
      <c r="E4873" t="s">
        <v>20</v>
      </c>
      <c r="G4873" t="s">
        <v>69</v>
      </c>
      <c r="H4873" t="s">
        <v>34</v>
      </c>
      <c r="I4873" t="s">
        <v>24</v>
      </c>
      <c r="J4873" t="s">
        <v>5990</v>
      </c>
      <c r="K4873" t="s">
        <v>246</v>
      </c>
      <c r="L4873">
        <v>1.8</v>
      </c>
      <c r="M4873">
        <v>660000</v>
      </c>
      <c r="N4873">
        <v>4.3</v>
      </c>
      <c r="O4873">
        <v>6</v>
      </c>
      <c r="P4873" t="s">
        <v>114</v>
      </c>
    </row>
    <row r="4874" spans="1:16" x14ac:dyDescent="0.25">
      <c r="A4874" t="s">
        <v>9553</v>
      </c>
      <c r="B4874" t="s">
        <v>4502</v>
      </c>
      <c r="C4874" t="s">
        <v>18</v>
      </c>
      <c r="D4874" t="s">
        <v>79</v>
      </c>
      <c r="E4874" t="s">
        <v>20</v>
      </c>
      <c r="F4874" t="s">
        <v>32</v>
      </c>
      <c r="G4874" t="s">
        <v>22</v>
      </c>
      <c r="H4874" t="s">
        <v>34</v>
      </c>
      <c r="I4874" t="s">
        <v>75</v>
      </c>
      <c r="J4874" t="s">
        <v>6846</v>
      </c>
      <c r="L4874">
        <v>4.8</v>
      </c>
      <c r="M4874">
        <v>218000</v>
      </c>
      <c r="O4874">
        <v>39</v>
      </c>
      <c r="P4874" t="s">
        <v>26</v>
      </c>
    </row>
    <row r="4875" spans="1:16" x14ac:dyDescent="0.25">
      <c r="A4875" t="s">
        <v>9554</v>
      </c>
      <c r="B4875" t="s">
        <v>8527</v>
      </c>
      <c r="C4875" t="s">
        <v>18</v>
      </c>
      <c r="D4875" t="s">
        <v>50</v>
      </c>
      <c r="E4875" t="s">
        <v>20</v>
      </c>
      <c r="F4875" t="s">
        <v>32</v>
      </c>
      <c r="G4875" t="s">
        <v>80</v>
      </c>
      <c r="H4875" t="s">
        <v>23</v>
      </c>
      <c r="I4875" t="s">
        <v>75</v>
      </c>
      <c r="J4875" t="s">
        <v>5025</v>
      </c>
      <c r="L4875">
        <v>2.8</v>
      </c>
      <c r="M4875">
        <v>201000</v>
      </c>
      <c r="N4875">
        <v>2.4</v>
      </c>
      <c r="O4875">
        <v>7</v>
      </c>
      <c r="P4875" t="s">
        <v>26</v>
      </c>
    </row>
    <row r="4876" spans="1:16" x14ac:dyDescent="0.25">
      <c r="A4876" t="s">
        <v>9555</v>
      </c>
      <c r="B4876" t="s">
        <v>7093</v>
      </c>
      <c r="C4876" t="s">
        <v>29</v>
      </c>
      <c r="D4876" t="s">
        <v>30</v>
      </c>
      <c r="E4876" t="s">
        <v>20</v>
      </c>
      <c r="F4876" t="s">
        <v>32</v>
      </c>
      <c r="G4876" t="s">
        <v>22</v>
      </c>
      <c r="H4876" t="s">
        <v>34</v>
      </c>
      <c r="I4876" t="s">
        <v>75</v>
      </c>
      <c r="J4876" t="s">
        <v>4049</v>
      </c>
      <c r="L4876">
        <v>5.0999999999999996</v>
      </c>
      <c r="M4876">
        <v>320000</v>
      </c>
      <c r="O4876">
        <v>35</v>
      </c>
      <c r="P4876" t="s">
        <v>26</v>
      </c>
    </row>
    <row r="4877" spans="1:16" x14ac:dyDescent="0.25">
      <c r="A4877" t="s">
        <v>9556</v>
      </c>
      <c r="B4877" t="s">
        <v>1608</v>
      </c>
      <c r="C4877" t="s">
        <v>29</v>
      </c>
      <c r="D4877" t="s">
        <v>50</v>
      </c>
      <c r="E4877" t="s">
        <v>20</v>
      </c>
      <c r="F4877" t="s">
        <v>32</v>
      </c>
      <c r="G4877" t="s">
        <v>33</v>
      </c>
      <c r="I4877" t="s">
        <v>24</v>
      </c>
      <c r="J4877" t="s">
        <v>4295</v>
      </c>
      <c r="L4877">
        <v>5.5</v>
      </c>
      <c r="M4877">
        <v>350000</v>
      </c>
      <c r="N4877">
        <v>4.2</v>
      </c>
      <c r="O4877">
        <v>4</v>
      </c>
      <c r="P4877" t="s">
        <v>26</v>
      </c>
    </row>
    <row r="4878" spans="1:16" x14ac:dyDescent="0.25">
      <c r="A4878" t="s">
        <v>9557</v>
      </c>
      <c r="B4878" t="s">
        <v>9558</v>
      </c>
      <c r="C4878" t="s">
        <v>18</v>
      </c>
      <c r="D4878" t="s">
        <v>79</v>
      </c>
      <c r="E4878" t="s">
        <v>31</v>
      </c>
      <c r="F4878" t="s">
        <v>21</v>
      </c>
      <c r="G4878" t="s">
        <v>22</v>
      </c>
      <c r="H4878" t="s">
        <v>46</v>
      </c>
      <c r="I4878" t="s">
        <v>24</v>
      </c>
      <c r="J4878" t="s">
        <v>6196</v>
      </c>
      <c r="L4878">
        <v>3.6</v>
      </c>
      <c r="M4878">
        <v>871000</v>
      </c>
      <c r="N4878">
        <v>4.2</v>
      </c>
      <c r="O4878">
        <v>14</v>
      </c>
      <c r="P4878" t="s">
        <v>26</v>
      </c>
    </row>
    <row r="4879" spans="1:16" x14ac:dyDescent="0.25">
      <c r="A4879" t="s">
        <v>9559</v>
      </c>
      <c r="B4879" t="s">
        <v>2228</v>
      </c>
      <c r="C4879" t="s">
        <v>18</v>
      </c>
      <c r="D4879" t="s">
        <v>43</v>
      </c>
      <c r="E4879" t="s">
        <v>44</v>
      </c>
      <c r="F4879" t="s">
        <v>128</v>
      </c>
      <c r="G4879" t="s">
        <v>22</v>
      </c>
      <c r="H4879" t="s">
        <v>46</v>
      </c>
      <c r="I4879" t="s">
        <v>57</v>
      </c>
      <c r="J4879" t="s">
        <v>696</v>
      </c>
      <c r="K4879" t="s">
        <v>5715</v>
      </c>
      <c r="L4879">
        <v>4.5</v>
      </c>
      <c r="N4879">
        <v>2.9</v>
      </c>
      <c r="O4879">
        <v>1</v>
      </c>
      <c r="P4879" t="s">
        <v>53</v>
      </c>
    </row>
    <row r="4880" spans="1:16" x14ac:dyDescent="0.25">
      <c r="A4880" t="s">
        <v>9560</v>
      </c>
      <c r="B4880" t="s">
        <v>1454</v>
      </c>
      <c r="C4880" t="s">
        <v>18</v>
      </c>
      <c r="D4880" t="s">
        <v>19</v>
      </c>
      <c r="E4880" t="s">
        <v>31</v>
      </c>
      <c r="F4880" t="s">
        <v>39</v>
      </c>
      <c r="G4880" t="s">
        <v>22</v>
      </c>
      <c r="H4880" t="s">
        <v>34</v>
      </c>
      <c r="I4880" t="s">
        <v>57</v>
      </c>
      <c r="J4880" t="s">
        <v>3064</v>
      </c>
      <c r="L4880">
        <v>1.5</v>
      </c>
      <c r="M4880">
        <v>102000</v>
      </c>
      <c r="N4880">
        <v>2.4</v>
      </c>
      <c r="O4880">
        <v>8</v>
      </c>
      <c r="P4880" t="s">
        <v>26</v>
      </c>
    </row>
    <row r="4881" spans="1:16" x14ac:dyDescent="0.25">
      <c r="A4881" t="s">
        <v>9561</v>
      </c>
      <c r="B4881" t="s">
        <v>9562</v>
      </c>
      <c r="D4881" t="s">
        <v>19</v>
      </c>
      <c r="E4881" t="s">
        <v>44</v>
      </c>
      <c r="F4881" t="s">
        <v>39</v>
      </c>
      <c r="G4881" t="s">
        <v>69</v>
      </c>
      <c r="H4881" t="s">
        <v>23</v>
      </c>
      <c r="I4881" t="s">
        <v>24</v>
      </c>
      <c r="J4881" t="s">
        <v>6874</v>
      </c>
      <c r="L4881">
        <v>5.0999999999999996</v>
      </c>
      <c r="M4881">
        <v>135000</v>
      </c>
      <c r="N4881">
        <v>2.1</v>
      </c>
      <c r="O4881">
        <v>9</v>
      </c>
      <c r="P4881" t="s">
        <v>26</v>
      </c>
    </row>
    <row r="4882" spans="1:16" x14ac:dyDescent="0.25">
      <c r="A4882" t="s">
        <v>9563</v>
      </c>
      <c r="B4882" t="s">
        <v>5564</v>
      </c>
      <c r="C4882" t="s">
        <v>29</v>
      </c>
      <c r="D4882" t="s">
        <v>30</v>
      </c>
      <c r="E4882" t="s">
        <v>20</v>
      </c>
      <c r="F4882" t="s">
        <v>39</v>
      </c>
      <c r="G4882" t="s">
        <v>80</v>
      </c>
      <c r="H4882" t="s">
        <v>34</v>
      </c>
      <c r="I4882" t="s">
        <v>57</v>
      </c>
      <c r="J4882" t="s">
        <v>2965</v>
      </c>
      <c r="L4882">
        <v>5.5</v>
      </c>
      <c r="M4882">
        <v>141000</v>
      </c>
      <c r="N4882">
        <v>3.4</v>
      </c>
      <c r="O4882">
        <v>25</v>
      </c>
      <c r="P4882" t="s">
        <v>26</v>
      </c>
    </row>
    <row r="4883" spans="1:16" x14ac:dyDescent="0.25">
      <c r="A4883" t="s">
        <v>9564</v>
      </c>
      <c r="B4883" t="s">
        <v>9565</v>
      </c>
      <c r="C4883" t="s">
        <v>29</v>
      </c>
      <c r="D4883" t="s">
        <v>79</v>
      </c>
      <c r="E4883" t="s">
        <v>20</v>
      </c>
      <c r="F4883" t="s">
        <v>128</v>
      </c>
      <c r="G4883" t="s">
        <v>22</v>
      </c>
      <c r="H4883" t="s">
        <v>46</v>
      </c>
      <c r="I4883" t="s">
        <v>24</v>
      </c>
      <c r="J4883" t="s">
        <v>3538</v>
      </c>
      <c r="L4883">
        <v>5</v>
      </c>
      <c r="M4883">
        <v>543000</v>
      </c>
      <c r="N4883">
        <v>2.9</v>
      </c>
      <c r="O4883">
        <v>30</v>
      </c>
      <c r="P4883" t="s">
        <v>26</v>
      </c>
    </row>
    <row r="4884" spans="1:16" x14ac:dyDescent="0.25">
      <c r="A4884" t="s">
        <v>9566</v>
      </c>
      <c r="B4884" t="s">
        <v>931</v>
      </c>
      <c r="C4884" t="s">
        <v>29</v>
      </c>
      <c r="D4884" t="s">
        <v>79</v>
      </c>
      <c r="E4884" t="s">
        <v>20</v>
      </c>
      <c r="F4884" t="s">
        <v>39</v>
      </c>
      <c r="G4884" t="s">
        <v>80</v>
      </c>
      <c r="H4884" t="s">
        <v>23</v>
      </c>
      <c r="I4884" t="s">
        <v>24</v>
      </c>
      <c r="J4884" t="s">
        <v>1483</v>
      </c>
      <c r="L4884">
        <v>1.9</v>
      </c>
      <c r="M4884">
        <v>137000</v>
      </c>
      <c r="N4884">
        <v>2.1</v>
      </c>
      <c r="O4884">
        <v>14</v>
      </c>
      <c r="P4884" t="s">
        <v>26</v>
      </c>
    </row>
    <row r="4885" spans="1:16" x14ac:dyDescent="0.25">
      <c r="A4885" t="s">
        <v>9567</v>
      </c>
      <c r="B4885" t="s">
        <v>5808</v>
      </c>
      <c r="C4885" t="s">
        <v>18</v>
      </c>
      <c r="D4885" t="s">
        <v>19</v>
      </c>
      <c r="E4885" t="s">
        <v>31</v>
      </c>
      <c r="F4885" t="s">
        <v>128</v>
      </c>
      <c r="G4885" t="s">
        <v>80</v>
      </c>
      <c r="H4885" t="s">
        <v>23</v>
      </c>
      <c r="I4885" t="s">
        <v>24</v>
      </c>
      <c r="J4885" t="s">
        <v>2326</v>
      </c>
      <c r="L4885">
        <v>1.3</v>
      </c>
      <c r="M4885">
        <v>601000</v>
      </c>
      <c r="N4885">
        <v>4.2</v>
      </c>
      <c r="O4885">
        <v>5</v>
      </c>
      <c r="P4885" t="s">
        <v>26</v>
      </c>
    </row>
    <row r="4886" spans="1:16" x14ac:dyDescent="0.25">
      <c r="A4886" t="s">
        <v>9568</v>
      </c>
      <c r="B4886" t="s">
        <v>1639</v>
      </c>
      <c r="C4886" t="s">
        <v>18</v>
      </c>
      <c r="D4886" t="s">
        <v>43</v>
      </c>
      <c r="E4886" t="s">
        <v>20</v>
      </c>
      <c r="F4886" t="s">
        <v>32</v>
      </c>
      <c r="G4886" t="s">
        <v>33</v>
      </c>
      <c r="H4886" t="s">
        <v>23</v>
      </c>
      <c r="I4886" t="s">
        <v>171</v>
      </c>
      <c r="J4886" t="s">
        <v>2004</v>
      </c>
      <c r="K4886" t="s">
        <v>970</v>
      </c>
      <c r="L4886">
        <v>5</v>
      </c>
      <c r="M4886">
        <v>212000</v>
      </c>
      <c r="N4886">
        <v>4.0999999999999996</v>
      </c>
      <c r="O4886">
        <v>16</v>
      </c>
      <c r="P4886" t="s">
        <v>114</v>
      </c>
    </row>
    <row r="4887" spans="1:16" x14ac:dyDescent="0.25">
      <c r="A4887" t="s">
        <v>9569</v>
      </c>
      <c r="B4887" t="s">
        <v>9570</v>
      </c>
      <c r="C4887" t="s">
        <v>18</v>
      </c>
      <c r="E4887" t="s">
        <v>20</v>
      </c>
      <c r="F4887" t="s">
        <v>39</v>
      </c>
      <c r="G4887" t="s">
        <v>80</v>
      </c>
      <c r="H4887" t="s">
        <v>34</v>
      </c>
      <c r="I4887" t="s">
        <v>24</v>
      </c>
      <c r="J4887" t="s">
        <v>8017</v>
      </c>
      <c r="K4887" t="s">
        <v>305</v>
      </c>
      <c r="L4887">
        <v>3.1</v>
      </c>
      <c r="N4887">
        <v>2.4</v>
      </c>
      <c r="O4887">
        <v>4</v>
      </c>
      <c r="P4887" t="s">
        <v>72</v>
      </c>
    </row>
    <row r="4888" spans="1:16" x14ac:dyDescent="0.25">
      <c r="A4888" t="s">
        <v>9571</v>
      </c>
      <c r="B4888" t="s">
        <v>9572</v>
      </c>
      <c r="D4888" t="s">
        <v>50</v>
      </c>
      <c r="E4888" t="s">
        <v>20</v>
      </c>
      <c r="F4888" t="s">
        <v>21</v>
      </c>
      <c r="G4888" t="s">
        <v>22</v>
      </c>
      <c r="H4888" t="s">
        <v>34</v>
      </c>
      <c r="I4888" t="s">
        <v>35</v>
      </c>
      <c r="J4888" t="s">
        <v>679</v>
      </c>
      <c r="L4888">
        <v>4</v>
      </c>
      <c r="N4888">
        <v>3.7</v>
      </c>
      <c r="O4888">
        <v>4</v>
      </c>
      <c r="P4888" t="s">
        <v>26</v>
      </c>
    </row>
    <row r="4889" spans="1:16" x14ac:dyDescent="0.25">
      <c r="A4889" t="s">
        <v>9573</v>
      </c>
      <c r="B4889" t="s">
        <v>9574</v>
      </c>
      <c r="C4889" t="s">
        <v>18</v>
      </c>
      <c r="D4889" t="s">
        <v>50</v>
      </c>
      <c r="E4889" t="s">
        <v>20</v>
      </c>
      <c r="G4889" t="s">
        <v>22</v>
      </c>
      <c r="H4889" t="s">
        <v>46</v>
      </c>
      <c r="I4889" t="s">
        <v>24</v>
      </c>
      <c r="J4889" t="s">
        <v>1651</v>
      </c>
      <c r="L4889">
        <v>6.1</v>
      </c>
      <c r="M4889">
        <v>1209000</v>
      </c>
      <c r="N4889">
        <v>4.4000000000000004</v>
      </c>
      <c r="O4889">
        <v>5</v>
      </c>
      <c r="P4889" t="s">
        <v>26</v>
      </c>
    </row>
    <row r="4890" spans="1:16" x14ac:dyDescent="0.25">
      <c r="A4890" t="s">
        <v>9575</v>
      </c>
      <c r="B4890" t="s">
        <v>1953</v>
      </c>
      <c r="C4890" t="s">
        <v>18</v>
      </c>
      <c r="D4890" t="s">
        <v>50</v>
      </c>
      <c r="E4890" t="s">
        <v>20</v>
      </c>
      <c r="F4890" t="s">
        <v>39</v>
      </c>
      <c r="G4890" t="s">
        <v>22</v>
      </c>
      <c r="H4890" t="s">
        <v>62</v>
      </c>
      <c r="I4890" t="s">
        <v>57</v>
      </c>
      <c r="J4890" t="s">
        <v>8020</v>
      </c>
      <c r="L4890">
        <v>2.7</v>
      </c>
      <c r="M4890">
        <v>156000</v>
      </c>
      <c r="N4890">
        <v>3.7</v>
      </c>
      <c r="O4890">
        <v>10</v>
      </c>
      <c r="P4890" t="s">
        <v>26</v>
      </c>
    </row>
    <row r="4891" spans="1:16" x14ac:dyDescent="0.25">
      <c r="A4891" t="s">
        <v>789</v>
      </c>
      <c r="B4891" t="s">
        <v>790</v>
      </c>
      <c r="C4891" t="s">
        <v>18</v>
      </c>
      <c r="D4891" t="s">
        <v>50</v>
      </c>
      <c r="E4891" t="s">
        <v>44</v>
      </c>
      <c r="F4891" t="s">
        <v>32</v>
      </c>
      <c r="G4891" t="s">
        <v>22</v>
      </c>
      <c r="H4891" t="s">
        <v>62</v>
      </c>
      <c r="I4891" t="s">
        <v>75</v>
      </c>
      <c r="J4891" t="s">
        <v>791</v>
      </c>
      <c r="L4891">
        <v>5.4</v>
      </c>
      <c r="M4891">
        <v>240000</v>
      </c>
      <c r="N4891">
        <v>2.9</v>
      </c>
      <c r="O4891">
        <v>10</v>
      </c>
      <c r="P4891" t="s">
        <v>26</v>
      </c>
    </row>
    <row r="4892" spans="1:16" x14ac:dyDescent="0.25">
      <c r="A4892" t="s">
        <v>9576</v>
      </c>
      <c r="B4892" t="s">
        <v>2801</v>
      </c>
      <c r="C4892" t="s">
        <v>18</v>
      </c>
      <c r="D4892" t="s">
        <v>50</v>
      </c>
      <c r="E4892" t="s">
        <v>20</v>
      </c>
      <c r="F4892" t="s">
        <v>128</v>
      </c>
      <c r="G4892" t="s">
        <v>22</v>
      </c>
      <c r="H4892" t="s">
        <v>46</v>
      </c>
      <c r="I4892" t="s">
        <v>24</v>
      </c>
      <c r="J4892" t="s">
        <v>676</v>
      </c>
      <c r="L4892">
        <v>5.4</v>
      </c>
      <c r="M4892">
        <v>535000</v>
      </c>
      <c r="N4892">
        <v>2.7</v>
      </c>
      <c r="O4892">
        <v>38</v>
      </c>
      <c r="P4892" t="s">
        <v>26</v>
      </c>
    </row>
    <row r="4893" spans="1:16" x14ac:dyDescent="0.25">
      <c r="A4893" t="s">
        <v>9577</v>
      </c>
      <c r="B4893" t="s">
        <v>7419</v>
      </c>
      <c r="C4893" t="s">
        <v>18</v>
      </c>
      <c r="D4893" t="s">
        <v>19</v>
      </c>
      <c r="E4893" t="s">
        <v>20</v>
      </c>
      <c r="F4893" t="s">
        <v>39</v>
      </c>
      <c r="G4893" t="s">
        <v>22</v>
      </c>
      <c r="H4893" t="s">
        <v>46</v>
      </c>
      <c r="I4893" t="s">
        <v>24</v>
      </c>
      <c r="J4893" t="s">
        <v>855</v>
      </c>
      <c r="K4893" t="s">
        <v>4781</v>
      </c>
      <c r="L4893">
        <v>3.9</v>
      </c>
      <c r="M4893">
        <v>114000</v>
      </c>
      <c r="N4893">
        <v>2.2000000000000002</v>
      </c>
      <c r="O4893">
        <v>6</v>
      </c>
      <c r="P4893" t="s">
        <v>72</v>
      </c>
    </row>
    <row r="4894" spans="1:16" x14ac:dyDescent="0.25">
      <c r="A4894" t="s">
        <v>9578</v>
      </c>
      <c r="B4894" t="s">
        <v>2245</v>
      </c>
      <c r="C4894" t="s">
        <v>18</v>
      </c>
      <c r="D4894" t="s">
        <v>43</v>
      </c>
      <c r="E4894" t="s">
        <v>20</v>
      </c>
      <c r="F4894" t="s">
        <v>32</v>
      </c>
      <c r="G4894" t="s">
        <v>22</v>
      </c>
      <c r="H4894" t="s">
        <v>46</v>
      </c>
      <c r="I4894" t="s">
        <v>24</v>
      </c>
      <c r="J4894" t="s">
        <v>9579</v>
      </c>
      <c r="K4894" t="s">
        <v>1357</v>
      </c>
      <c r="L4894">
        <v>2.7</v>
      </c>
      <c r="M4894">
        <v>180000</v>
      </c>
      <c r="N4894">
        <v>2.7</v>
      </c>
      <c r="O4894">
        <v>13</v>
      </c>
      <c r="P4894" t="s">
        <v>53</v>
      </c>
    </row>
    <row r="4895" spans="1:16" x14ac:dyDescent="0.25">
      <c r="A4895" t="s">
        <v>9580</v>
      </c>
      <c r="B4895" t="s">
        <v>9581</v>
      </c>
      <c r="C4895" t="s">
        <v>29</v>
      </c>
      <c r="D4895" t="s">
        <v>43</v>
      </c>
      <c r="E4895" t="s">
        <v>20</v>
      </c>
      <c r="F4895" t="s">
        <v>128</v>
      </c>
      <c r="G4895" t="s">
        <v>22</v>
      </c>
      <c r="H4895" t="s">
        <v>46</v>
      </c>
      <c r="I4895" t="s">
        <v>57</v>
      </c>
      <c r="J4895" t="s">
        <v>7942</v>
      </c>
      <c r="K4895" t="s">
        <v>3120</v>
      </c>
      <c r="L4895">
        <v>2</v>
      </c>
      <c r="M4895">
        <v>446000</v>
      </c>
      <c r="N4895">
        <v>4.3</v>
      </c>
      <c r="O4895">
        <v>9</v>
      </c>
      <c r="P4895" t="s">
        <v>72</v>
      </c>
    </row>
    <row r="4896" spans="1:16" x14ac:dyDescent="0.25">
      <c r="A4896" t="s">
        <v>9582</v>
      </c>
      <c r="B4896" t="s">
        <v>9583</v>
      </c>
      <c r="C4896" t="s">
        <v>18</v>
      </c>
      <c r="D4896" t="s">
        <v>30</v>
      </c>
      <c r="F4896" t="s">
        <v>39</v>
      </c>
      <c r="G4896" t="s">
        <v>69</v>
      </c>
      <c r="H4896" t="s">
        <v>23</v>
      </c>
      <c r="I4896" t="s">
        <v>171</v>
      </c>
      <c r="J4896" t="s">
        <v>90</v>
      </c>
      <c r="L4896">
        <v>4.5</v>
      </c>
      <c r="N4896">
        <v>2.2999999999999998</v>
      </c>
      <c r="O4896">
        <v>0</v>
      </c>
      <c r="P4896" t="s">
        <v>26</v>
      </c>
    </row>
    <row r="4897" spans="1:16" x14ac:dyDescent="0.25">
      <c r="A4897" t="s">
        <v>9584</v>
      </c>
      <c r="B4897" t="s">
        <v>9585</v>
      </c>
      <c r="C4897" t="s">
        <v>18</v>
      </c>
      <c r="D4897" t="s">
        <v>30</v>
      </c>
      <c r="E4897" t="s">
        <v>20</v>
      </c>
      <c r="F4897" t="s">
        <v>32</v>
      </c>
      <c r="G4897" t="s">
        <v>22</v>
      </c>
      <c r="H4897" t="s">
        <v>46</v>
      </c>
      <c r="I4897" t="s">
        <v>24</v>
      </c>
      <c r="J4897" t="s">
        <v>9586</v>
      </c>
      <c r="K4897" t="s">
        <v>8713</v>
      </c>
      <c r="L4897">
        <v>5</v>
      </c>
      <c r="M4897">
        <v>292000</v>
      </c>
      <c r="N4897">
        <v>3.9</v>
      </c>
      <c r="O4897">
        <v>13</v>
      </c>
      <c r="P4897" t="s">
        <v>114</v>
      </c>
    </row>
    <row r="4898" spans="1:16" x14ac:dyDescent="0.25">
      <c r="A4898" t="s">
        <v>9587</v>
      </c>
      <c r="B4898" t="s">
        <v>7364</v>
      </c>
      <c r="C4898" t="s">
        <v>18</v>
      </c>
      <c r="D4898" t="s">
        <v>79</v>
      </c>
      <c r="E4898" t="s">
        <v>31</v>
      </c>
      <c r="F4898" t="s">
        <v>39</v>
      </c>
      <c r="G4898" t="s">
        <v>80</v>
      </c>
      <c r="H4898" t="s">
        <v>46</v>
      </c>
      <c r="I4898" t="s">
        <v>24</v>
      </c>
      <c r="J4898" t="s">
        <v>2430</v>
      </c>
      <c r="L4898">
        <v>2.4</v>
      </c>
      <c r="M4898">
        <v>179000</v>
      </c>
      <c r="N4898">
        <v>3.5</v>
      </c>
      <c r="O4898">
        <v>1</v>
      </c>
      <c r="P4898" t="s">
        <v>26</v>
      </c>
    </row>
    <row r="4899" spans="1:16" x14ac:dyDescent="0.25">
      <c r="A4899" t="s">
        <v>9588</v>
      </c>
      <c r="B4899" t="s">
        <v>7125</v>
      </c>
      <c r="C4899" t="s">
        <v>29</v>
      </c>
      <c r="D4899" t="s">
        <v>79</v>
      </c>
      <c r="F4899" t="s">
        <v>32</v>
      </c>
      <c r="G4899" t="s">
        <v>22</v>
      </c>
      <c r="H4899" t="s">
        <v>46</v>
      </c>
      <c r="I4899" t="s">
        <v>24</v>
      </c>
      <c r="J4899" t="s">
        <v>891</v>
      </c>
      <c r="L4899">
        <v>4.0999999999999996</v>
      </c>
      <c r="M4899">
        <v>330000</v>
      </c>
      <c r="O4899">
        <v>5</v>
      </c>
      <c r="P4899" t="s">
        <v>26</v>
      </c>
    </row>
    <row r="4900" spans="1:16" x14ac:dyDescent="0.25">
      <c r="A4900" t="s">
        <v>9589</v>
      </c>
      <c r="B4900" t="s">
        <v>2774</v>
      </c>
      <c r="C4900" t="s">
        <v>29</v>
      </c>
      <c r="D4900" t="s">
        <v>50</v>
      </c>
      <c r="E4900" t="s">
        <v>31</v>
      </c>
      <c r="F4900" t="s">
        <v>128</v>
      </c>
      <c r="G4900" t="s">
        <v>22</v>
      </c>
      <c r="H4900" t="s">
        <v>23</v>
      </c>
      <c r="I4900" t="s">
        <v>24</v>
      </c>
      <c r="J4900" t="s">
        <v>3340</v>
      </c>
      <c r="L4900">
        <v>3.8</v>
      </c>
      <c r="M4900">
        <v>575000</v>
      </c>
      <c r="N4900">
        <v>4.8</v>
      </c>
      <c r="O4900">
        <v>12</v>
      </c>
      <c r="P4900" t="s">
        <v>26</v>
      </c>
    </row>
    <row r="4901" spans="1:16" x14ac:dyDescent="0.25">
      <c r="A4901" t="s">
        <v>9590</v>
      </c>
      <c r="B4901" t="s">
        <v>782</v>
      </c>
      <c r="C4901" t="s">
        <v>29</v>
      </c>
      <c r="D4901" t="s">
        <v>50</v>
      </c>
      <c r="E4901" t="s">
        <v>20</v>
      </c>
      <c r="F4901" t="s">
        <v>32</v>
      </c>
      <c r="G4901" t="s">
        <v>22</v>
      </c>
      <c r="H4901" t="s">
        <v>23</v>
      </c>
      <c r="I4901" t="s">
        <v>24</v>
      </c>
      <c r="J4901" t="s">
        <v>4452</v>
      </c>
      <c r="L4901">
        <v>2.2000000000000002</v>
      </c>
      <c r="M4901">
        <v>346000</v>
      </c>
      <c r="N4901">
        <v>2.7</v>
      </c>
      <c r="O4901">
        <v>14</v>
      </c>
      <c r="P4901" t="s">
        <v>26</v>
      </c>
    </row>
    <row r="4902" spans="1:16" x14ac:dyDescent="0.25">
      <c r="A4902" t="s">
        <v>9591</v>
      </c>
      <c r="B4902" t="s">
        <v>6026</v>
      </c>
      <c r="C4902" t="s">
        <v>18</v>
      </c>
      <c r="D4902" t="s">
        <v>50</v>
      </c>
      <c r="E4902" t="s">
        <v>31</v>
      </c>
      <c r="F4902" t="s">
        <v>39</v>
      </c>
      <c r="G4902" t="s">
        <v>69</v>
      </c>
      <c r="H4902" t="s">
        <v>46</v>
      </c>
      <c r="I4902" t="s">
        <v>35</v>
      </c>
      <c r="J4902" t="s">
        <v>2867</v>
      </c>
      <c r="L4902">
        <v>1.9</v>
      </c>
      <c r="M4902">
        <v>103000</v>
      </c>
      <c r="N4902">
        <v>2.5</v>
      </c>
      <c r="O4902">
        <v>11</v>
      </c>
      <c r="P4902" t="s">
        <v>26</v>
      </c>
    </row>
    <row r="4903" spans="1:16" x14ac:dyDescent="0.25">
      <c r="A4903" t="s">
        <v>9592</v>
      </c>
      <c r="B4903" t="s">
        <v>9593</v>
      </c>
      <c r="C4903" t="s">
        <v>29</v>
      </c>
      <c r="D4903" t="s">
        <v>43</v>
      </c>
      <c r="E4903" t="s">
        <v>20</v>
      </c>
      <c r="F4903" t="s">
        <v>128</v>
      </c>
      <c r="G4903" t="s">
        <v>33</v>
      </c>
      <c r="H4903" t="s">
        <v>23</v>
      </c>
      <c r="I4903" t="s">
        <v>24</v>
      </c>
      <c r="J4903" t="s">
        <v>560</v>
      </c>
      <c r="L4903">
        <v>1.7</v>
      </c>
      <c r="M4903">
        <v>437000</v>
      </c>
      <c r="N4903">
        <v>2.9</v>
      </c>
      <c r="O4903">
        <v>10</v>
      </c>
      <c r="P4903" t="s">
        <v>26</v>
      </c>
    </row>
    <row r="4904" spans="1:16" x14ac:dyDescent="0.25">
      <c r="A4904" t="s">
        <v>9594</v>
      </c>
      <c r="B4904" t="s">
        <v>9595</v>
      </c>
      <c r="C4904" t="s">
        <v>18</v>
      </c>
      <c r="D4904" t="s">
        <v>30</v>
      </c>
      <c r="E4904" t="s">
        <v>31</v>
      </c>
      <c r="F4904" t="s">
        <v>45</v>
      </c>
      <c r="G4904" t="s">
        <v>22</v>
      </c>
      <c r="H4904" t="s">
        <v>46</v>
      </c>
      <c r="I4904" t="s">
        <v>171</v>
      </c>
      <c r="J4904" t="s">
        <v>3308</v>
      </c>
      <c r="K4904" t="s">
        <v>4361</v>
      </c>
      <c r="L4904">
        <v>1.8</v>
      </c>
      <c r="M4904">
        <v>1973000</v>
      </c>
      <c r="N4904">
        <v>4.3</v>
      </c>
      <c r="O4904">
        <v>12</v>
      </c>
      <c r="P4904" t="s">
        <v>53</v>
      </c>
    </row>
    <row r="4905" spans="1:16" x14ac:dyDescent="0.25">
      <c r="A4905" t="s">
        <v>9596</v>
      </c>
      <c r="B4905" t="s">
        <v>1117</v>
      </c>
      <c r="C4905" t="s">
        <v>29</v>
      </c>
      <c r="D4905" t="s">
        <v>19</v>
      </c>
      <c r="E4905" t="s">
        <v>20</v>
      </c>
      <c r="F4905" t="s">
        <v>39</v>
      </c>
      <c r="G4905" t="s">
        <v>80</v>
      </c>
      <c r="H4905" t="s">
        <v>46</v>
      </c>
      <c r="I4905" t="s">
        <v>24</v>
      </c>
      <c r="J4905" t="s">
        <v>1516</v>
      </c>
      <c r="L4905">
        <v>3.6</v>
      </c>
      <c r="M4905">
        <v>198000</v>
      </c>
      <c r="N4905">
        <v>2.7</v>
      </c>
      <c r="O4905">
        <v>14</v>
      </c>
      <c r="P4905" t="s">
        <v>26</v>
      </c>
    </row>
    <row r="4906" spans="1:16" x14ac:dyDescent="0.25">
      <c r="A4906" t="s">
        <v>9597</v>
      </c>
      <c r="B4906" t="s">
        <v>4489</v>
      </c>
      <c r="C4906" t="s">
        <v>18</v>
      </c>
      <c r="D4906" t="s">
        <v>30</v>
      </c>
      <c r="F4906" t="s">
        <v>128</v>
      </c>
      <c r="G4906" t="s">
        <v>22</v>
      </c>
      <c r="H4906" t="s">
        <v>23</v>
      </c>
      <c r="I4906" t="s">
        <v>24</v>
      </c>
      <c r="J4906" t="s">
        <v>4845</v>
      </c>
      <c r="K4906" t="s">
        <v>7889</v>
      </c>
      <c r="L4906">
        <v>4.0999999999999996</v>
      </c>
      <c r="M4906">
        <v>402000</v>
      </c>
      <c r="N4906">
        <v>2.5</v>
      </c>
      <c r="O4906">
        <v>0</v>
      </c>
      <c r="P4906" t="s">
        <v>53</v>
      </c>
    </row>
    <row r="4907" spans="1:16" x14ac:dyDescent="0.25">
      <c r="A4907" t="s">
        <v>9598</v>
      </c>
      <c r="B4907" t="s">
        <v>2570</v>
      </c>
      <c r="C4907" t="s">
        <v>29</v>
      </c>
      <c r="D4907" t="s">
        <v>30</v>
      </c>
      <c r="E4907" t="s">
        <v>44</v>
      </c>
      <c r="F4907" t="s">
        <v>32</v>
      </c>
      <c r="G4907" t="s">
        <v>22</v>
      </c>
      <c r="H4907" t="s">
        <v>23</v>
      </c>
      <c r="I4907" t="s">
        <v>24</v>
      </c>
      <c r="J4907" t="s">
        <v>4289</v>
      </c>
      <c r="L4907">
        <v>3.4</v>
      </c>
      <c r="M4907">
        <v>315000</v>
      </c>
      <c r="N4907">
        <v>2.2000000000000002</v>
      </c>
      <c r="O4907">
        <v>6</v>
      </c>
      <c r="P4907" t="s">
        <v>26</v>
      </c>
    </row>
    <row r="4908" spans="1:16" x14ac:dyDescent="0.25">
      <c r="A4908" t="s">
        <v>9599</v>
      </c>
      <c r="B4908" t="s">
        <v>2131</v>
      </c>
      <c r="C4908" t="s">
        <v>29</v>
      </c>
      <c r="D4908" t="s">
        <v>19</v>
      </c>
      <c r="E4908" t="s">
        <v>31</v>
      </c>
      <c r="F4908" t="s">
        <v>32</v>
      </c>
      <c r="G4908" t="s">
        <v>69</v>
      </c>
      <c r="H4908" t="s">
        <v>23</v>
      </c>
      <c r="I4908" t="s">
        <v>24</v>
      </c>
      <c r="J4908" t="s">
        <v>6980</v>
      </c>
      <c r="L4908">
        <v>3.4</v>
      </c>
      <c r="M4908">
        <v>331000</v>
      </c>
      <c r="N4908">
        <v>2.9</v>
      </c>
      <c r="O4908">
        <v>37</v>
      </c>
      <c r="P4908" t="s">
        <v>26</v>
      </c>
    </row>
    <row r="4909" spans="1:16" x14ac:dyDescent="0.25">
      <c r="A4909" t="s">
        <v>9600</v>
      </c>
      <c r="B4909" t="s">
        <v>9601</v>
      </c>
      <c r="C4909" t="s">
        <v>29</v>
      </c>
      <c r="D4909" t="s">
        <v>43</v>
      </c>
      <c r="E4909" t="s">
        <v>20</v>
      </c>
      <c r="F4909" t="s">
        <v>128</v>
      </c>
      <c r="G4909" t="s">
        <v>80</v>
      </c>
      <c r="H4909" t="s">
        <v>34</v>
      </c>
      <c r="I4909" t="s">
        <v>57</v>
      </c>
      <c r="J4909" t="s">
        <v>2107</v>
      </c>
      <c r="K4909" t="s">
        <v>3875</v>
      </c>
      <c r="L4909">
        <v>1.3</v>
      </c>
      <c r="M4909">
        <v>350000</v>
      </c>
      <c r="N4909">
        <v>2.8</v>
      </c>
      <c r="O4909">
        <v>38</v>
      </c>
      <c r="P4909" t="s">
        <v>53</v>
      </c>
    </row>
    <row r="4910" spans="1:16" x14ac:dyDescent="0.25">
      <c r="A4910" t="s">
        <v>9602</v>
      </c>
      <c r="B4910" t="s">
        <v>4482</v>
      </c>
      <c r="C4910" t="s">
        <v>29</v>
      </c>
      <c r="D4910" t="s">
        <v>50</v>
      </c>
      <c r="E4910" t="s">
        <v>20</v>
      </c>
      <c r="F4910" t="s">
        <v>128</v>
      </c>
      <c r="G4910" t="s">
        <v>22</v>
      </c>
      <c r="H4910" t="s">
        <v>23</v>
      </c>
      <c r="I4910" t="s">
        <v>57</v>
      </c>
      <c r="J4910" t="s">
        <v>7524</v>
      </c>
      <c r="L4910">
        <v>2.2000000000000002</v>
      </c>
      <c r="M4910">
        <v>385000</v>
      </c>
      <c r="N4910">
        <v>4.8</v>
      </c>
      <c r="O4910">
        <v>1</v>
      </c>
      <c r="P4910" t="s">
        <v>26</v>
      </c>
    </row>
    <row r="4911" spans="1:16" x14ac:dyDescent="0.25">
      <c r="A4911" t="s">
        <v>9603</v>
      </c>
      <c r="B4911" t="s">
        <v>3268</v>
      </c>
      <c r="C4911" t="s">
        <v>18</v>
      </c>
      <c r="D4911" t="s">
        <v>43</v>
      </c>
      <c r="E4911" t="s">
        <v>20</v>
      </c>
      <c r="F4911" t="s">
        <v>32</v>
      </c>
      <c r="G4911" t="s">
        <v>80</v>
      </c>
      <c r="H4911" t="s">
        <v>23</v>
      </c>
      <c r="J4911" t="s">
        <v>1158</v>
      </c>
      <c r="L4911">
        <v>2.2999999999999998</v>
      </c>
      <c r="M4911">
        <v>180000</v>
      </c>
      <c r="N4911">
        <v>3.9</v>
      </c>
      <c r="O4911">
        <v>8</v>
      </c>
      <c r="P4911" t="s">
        <v>26</v>
      </c>
    </row>
    <row r="4912" spans="1:16" x14ac:dyDescent="0.25">
      <c r="A4912" t="s">
        <v>9604</v>
      </c>
      <c r="B4912" t="s">
        <v>9605</v>
      </c>
      <c r="C4912" t="s">
        <v>18</v>
      </c>
      <c r="D4912" t="s">
        <v>50</v>
      </c>
      <c r="E4912" t="s">
        <v>20</v>
      </c>
      <c r="F4912" t="s">
        <v>39</v>
      </c>
      <c r="G4912" t="s">
        <v>33</v>
      </c>
      <c r="H4912" t="s">
        <v>46</v>
      </c>
      <c r="I4912" t="s">
        <v>35</v>
      </c>
      <c r="J4912" t="s">
        <v>2392</v>
      </c>
      <c r="L4912">
        <v>1.8</v>
      </c>
      <c r="M4912">
        <v>99000</v>
      </c>
      <c r="N4912">
        <v>2.9</v>
      </c>
      <c r="O4912">
        <v>9</v>
      </c>
      <c r="P4912" t="s">
        <v>26</v>
      </c>
    </row>
    <row r="4913" spans="1:16" x14ac:dyDescent="0.25">
      <c r="A4913" t="s">
        <v>9606</v>
      </c>
      <c r="B4913" t="s">
        <v>3275</v>
      </c>
      <c r="C4913" t="s">
        <v>18</v>
      </c>
      <c r="D4913" t="s">
        <v>50</v>
      </c>
      <c r="F4913" t="s">
        <v>39</v>
      </c>
      <c r="G4913" t="s">
        <v>69</v>
      </c>
      <c r="H4913" t="s">
        <v>23</v>
      </c>
      <c r="I4913" t="s">
        <v>24</v>
      </c>
      <c r="J4913" t="s">
        <v>2498</v>
      </c>
      <c r="L4913">
        <v>5.0999999999999996</v>
      </c>
      <c r="M4913">
        <v>106000</v>
      </c>
      <c r="N4913">
        <v>3.1</v>
      </c>
      <c r="O4913">
        <v>15</v>
      </c>
      <c r="P4913" t="s">
        <v>26</v>
      </c>
    </row>
    <row r="4914" spans="1:16" x14ac:dyDescent="0.25">
      <c r="A4914" t="s">
        <v>9607</v>
      </c>
      <c r="B4914" t="s">
        <v>6013</v>
      </c>
      <c r="C4914" t="s">
        <v>18</v>
      </c>
      <c r="D4914" t="s">
        <v>19</v>
      </c>
      <c r="E4914" t="s">
        <v>44</v>
      </c>
      <c r="F4914" t="s">
        <v>128</v>
      </c>
      <c r="G4914" t="s">
        <v>33</v>
      </c>
      <c r="H4914" t="s">
        <v>62</v>
      </c>
      <c r="I4914" t="s">
        <v>35</v>
      </c>
      <c r="J4914" t="s">
        <v>616</v>
      </c>
      <c r="K4914" t="s">
        <v>6180</v>
      </c>
      <c r="L4914">
        <v>4.8</v>
      </c>
      <c r="M4914">
        <v>473000</v>
      </c>
      <c r="N4914">
        <v>4.9000000000000004</v>
      </c>
      <c r="O4914">
        <v>0</v>
      </c>
      <c r="P4914" t="s">
        <v>53</v>
      </c>
    </row>
    <row r="4915" spans="1:16" x14ac:dyDescent="0.25">
      <c r="A4915" t="s">
        <v>9608</v>
      </c>
      <c r="B4915" t="s">
        <v>377</v>
      </c>
      <c r="C4915" t="s">
        <v>18</v>
      </c>
      <c r="D4915" t="s">
        <v>30</v>
      </c>
      <c r="E4915" t="s">
        <v>20</v>
      </c>
      <c r="F4915" t="s">
        <v>32</v>
      </c>
      <c r="G4915" t="s">
        <v>80</v>
      </c>
      <c r="I4915" t="s">
        <v>57</v>
      </c>
      <c r="J4915" t="s">
        <v>103</v>
      </c>
      <c r="K4915" t="s">
        <v>4111</v>
      </c>
      <c r="L4915">
        <v>2.2999999999999998</v>
      </c>
      <c r="M4915">
        <v>270000</v>
      </c>
      <c r="N4915">
        <v>2.2000000000000002</v>
      </c>
      <c r="O4915">
        <v>13</v>
      </c>
      <c r="P4915" t="s">
        <v>53</v>
      </c>
    </row>
    <row r="4916" spans="1:16" x14ac:dyDescent="0.25">
      <c r="A4916" t="s">
        <v>9609</v>
      </c>
      <c r="B4916" t="s">
        <v>9610</v>
      </c>
      <c r="C4916" t="s">
        <v>29</v>
      </c>
      <c r="D4916" t="s">
        <v>50</v>
      </c>
      <c r="E4916" t="s">
        <v>20</v>
      </c>
      <c r="F4916" t="s">
        <v>32</v>
      </c>
      <c r="G4916" t="s">
        <v>22</v>
      </c>
      <c r="H4916" t="s">
        <v>23</v>
      </c>
      <c r="I4916" t="s">
        <v>35</v>
      </c>
      <c r="J4916" t="s">
        <v>2718</v>
      </c>
      <c r="L4916">
        <v>2.8</v>
      </c>
      <c r="M4916">
        <v>341000</v>
      </c>
      <c r="N4916">
        <v>3</v>
      </c>
      <c r="O4916">
        <v>9</v>
      </c>
      <c r="P4916" t="s">
        <v>26</v>
      </c>
    </row>
    <row r="4917" spans="1:16" x14ac:dyDescent="0.25">
      <c r="A4917" t="s">
        <v>9611</v>
      </c>
      <c r="B4917" t="s">
        <v>8218</v>
      </c>
      <c r="C4917" t="s">
        <v>29</v>
      </c>
      <c r="D4917" t="s">
        <v>19</v>
      </c>
      <c r="E4917" t="s">
        <v>20</v>
      </c>
      <c r="F4917" t="s">
        <v>128</v>
      </c>
      <c r="G4917" t="s">
        <v>22</v>
      </c>
      <c r="H4917" t="s">
        <v>23</v>
      </c>
      <c r="I4917" t="s">
        <v>24</v>
      </c>
      <c r="J4917" t="s">
        <v>8511</v>
      </c>
      <c r="K4917" t="s">
        <v>4826</v>
      </c>
      <c r="L4917">
        <v>5</v>
      </c>
      <c r="M4917">
        <v>457000</v>
      </c>
      <c r="N4917">
        <v>4.0999999999999996</v>
      </c>
      <c r="O4917">
        <v>11</v>
      </c>
      <c r="P4917" t="s">
        <v>53</v>
      </c>
    </row>
    <row r="4918" spans="1:16" x14ac:dyDescent="0.25">
      <c r="A4918" t="s">
        <v>9612</v>
      </c>
      <c r="B4918" t="s">
        <v>5194</v>
      </c>
      <c r="C4918" t="s">
        <v>18</v>
      </c>
      <c r="D4918" t="s">
        <v>50</v>
      </c>
      <c r="E4918" t="s">
        <v>31</v>
      </c>
      <c r="F4918" t="s">
        <v>128</v>
      </c>
      <c r="G4918" t="s">
        <v>80</v>
      </c>
      <c r="H4918" t="s">
        <v>23</v>
      </c>
      <c r="I4918" t="s">
        <v>35</v>
      </c>
      <c r="J4918" t="s">
        <v>2510</v>
      </c>
      <c r="L4918">
        <v>2.8</v>
      </c>
      <c r="M4918">
        <v>570000</v>
      </c>
      <c r="N4918">
        <v>4.2</v>
      </c>
      <c r="O4918">
        <v>36</v>
      </c>
      <c r="P4918" t="s">
        <v>26</v>
      </c>
    </row>
    <row r="4919" spans="1:16" x14ac:dyDescent="0.25">
      <c r="A4919" t="s">
        <v>9613</v>
      </c>
      <c r="B4919" t="s">
        <v>8819</v>
      </c>
      <c r="C4919" t="s">
        <v>18</v>
      </c>
      <c r="F4919" t="s">
        <v>32</v>
      </c>
      <c r="G4919" t="s">
        <v>80</v>
      </c>
      <c r="H4919" t="s">
        <v>46</v>
      </c>
      <c r="I4919" t="s">
        <v>24</v>
      </c>
      <c r="J4919" t="s">
        <v>2259</v>
      </c>
      <c r="L4919">
        <v>5.3</v>
      </c>
      <c r="M4919">
        <v>180000</v>
      </c>
      <c r="O4919">
        <v>37</v>
      </c>
      <c r="P4919" t="s">
        <v>26</v>
      </c>
    </row>
    <row r="4920" spans="1:16" x14ac:dyDescent="0.25">
      <c r="A4920" t="s">
        <v>9614</v>
      </c>
      <c r="B4920" t="s">
        <v>7634</v>
      </c>
      <c r="C4920" t="s">
        <v>29</v>
      </c>
      <c r="D4920" t="s">
        <v>50</v>
      </c>
      <c r="E4920" t="s">
        <v>44</v>
      </c>
      <c r="F4920" t="s">
        <v>21</v>
      </c>
      <c r="G4920" t="s">
        <v>22</v>
      </c>
      <c r="H4920" t="s">
        <v>34</v>
      </c>
      <c r="J4920" t="s">
        <v>2748</v>
      </c>
      <c r="L4920">
        <v>4.4000000000000004</v>
      </c>
      <c r="M4920">
        <v>662000</v>
      </c>
      <c r="N4920">
        <v>4.7</v>
      </c>
      <c r="O4920">
        <v>11</v>
      </c>
      <c r="P4920" t="s">
        <v>26</v>
      </c>
    </row>
    <row r="4921" spans="1:16" x14ac:dyDescent="0.25">
      <c r="A4921" t="s">
        <v>9615</v>
      </c>
      <c r="B4921" t="s">
        <v>9616</v>
      </c>
      <c r="C4921" t="s">
        <v>18</v>
      </c>
      <c r="D4921" t="s">
        <v>30</v>
      </c>
      <c r="E4921" t="s">
        <v>44</v>
      </c>
      <c r="F4921" t="s">
        <v>39</v>
      </c>
      <c r="G4921" t="s">
        <v>80</v>
      </c>
      <c r="H4921" t="s">
        <v>34</v>
      </c>
      <c r="I4921" t="s">
        <v>171</v>
      </c>
      <c r="J4921" t="s">
        <v>5542</v>
      </c>
      <c r="L4921">
        <v>5.4</v>
      </c>
      <c r="M4921">
        <v>90000</v>
      </c>
      <c r="N4921">
        <v>2.2999999999999998</v>
      </c>
      <c r="O4921">
        <v>12</v>
      </c>
      <c r="P4921" t="s">
        <v>26</v>
      </c>
    </row>
    <row r="4922" spans="1:16" x14ac:dyDescent="0.25">
      <c r="A4922" t="s">
        <v>9617</v>
      </c>
      <c r="B4922" t="s">
        <v>9618</v>
      </c>
      <c r="C4922" t="s">
        <v>18</v>
      </c>
      <c r="D4922" t="s">
        <v>50</v>
      </c>
      <c r="E4922" t="s">
        <v>20</v>
      </c>
      <c r="F4922" t="s">
        <v>128</v>
      </c>
      <c r="G4922" t="s">
        <v>69</v>
      </c>
      <c r="H4922" t="s">
        <v>62</v>
      </c>
      <c r="I4922" t="s">
        <v>35</v>
      </c>
      <c r="J4922" t="s">
        <v>878</v>
      </c>
      <c r="K4922" t="s">
        <v>7441</v>
      </c>
      <c r="L4922">
        <v>2</v>
      </c>
      <c r="M4922">
        <v>379000</v>
      </c>
      <c r="N4922">
        <v>2.1</v>
      </c>
      <c r="O4922">
        <v>5</v>
      </c>
      <c r="P4922" t="s">
        <v>114</v>
      </c>
    </row>
    <row r="4923" spans="1:16" x14ac:dyDescent="0.25">
      <c r="A4923" t="s">
        <v>9619</v>
      </c>
      <c r="B4923" t="s">
        <v>8394</v>
      </c>
      <c r="C4923" t="s">
        <v>29</v>
      </c>
      <c r="D4923" t="s">
        <v>30</v>
      </c>
      <c r="E4923" t="s">
        <v>20</v>
      </c>
      <c r="F4923" t="s">
        <v>32</v>
      </c>
      <c r="G4923" t="s">
        <v>80</v>
      </c>
      <c r="H4923" t="s">
        <v>34</v>
      </c>
      <c r="I4923" t="s">
        <v>24</v>
      </c>
      <c r="J4923" t="s">
        <v>6399</v>
      </c>
      <c r="L4923">
        <v>2.4</v>
      </c>
      <c r="M4923">
        <v>293000</v>
      </c>
      <c r="O4923">
        <v>11</v>
      </c>
      <c r="P4923" t="s">
        <v>26</v>
      </c>
    </row>
    <row r="4924" spans="1:16" x14ac:dyDescent="0.25">
      <c r="A4924" t="s">
        <v>9620</v>
      </c>
      <c r="B4924" t="s">
        <v>4721</v>
      </c>
      <c r="C4924" t="s">
        <v>29</v>
      </c>
      <c r="D4924" t="s">
        <v>50</v>
      </c>
      <c r="E4924" t="s">
        <v>20</v>
      </c>
      <c r="F4924" t="s">
        <v>32</v>
      </c>
      <c r="G4924" t="s">
        <v>22</v>
      </c>
      <c r="H4924" t="s">
        <v>34</v>
      </c>
      <c r="I4924" t="s">
        <v>24</v>
      </c>
      <c r="J4924" t="s">
        <v>7099</v>
      </c>
      <c r="K4924" t="s">
        <v>9621</v>
      </c>
      <c r="L4924">
        <v>5.2</v>
      </c>
      <c r="M4924">
        <v>255000</v>
      </c>
      <c r="N4924">
        <v>3.3</v>
      </c>
      <c r="O4924">
        <v>37</v>
      </c>
      <c r="P4924" t="s">
        <v>53</v>
      </c>
    </row>
    <row r="4925" spans="1:16" x14ac:dyDescent="0.25">
      <c r="A4925" t="s">
        <v>9622</v>
      </c>
      <c r="B4925" t="s">
        <v>4312</v>
      </c>
      <c r="C4925" t="s">
        <v>18</v>
      </c>
      <c r="D4925" t="s">
        <v>50</v>
      </c>
      <c r="E4925" t="s">
        <v>20</v>
      </c>
      <c r="F4925" t="s">
        <v>128</v>
      </c>
      <c r="G4925" t="s">
        <v>22</v>
      </c>
      <c r="H4925" t="s">
        <v>23</v>
      </c>
      <c r="I4925" t="s">
        <v>57</v>
      </c>
      <c r="J4925" t="s">
        <v>752</v>
      </c>
      <c r="L4925">
        <v>5.5</v>
      </c>
      <c r="M4925">
        <v>373000</v>
      </c>
      <c r="N4925">
        <v>2.4</v>
      </c>
      <c r="O4925">
        <v>27</v>
      </c>
      <c r="P4925" t="s">
        <v>26</v>
      </c>
    </row>
    <row r="4926" spans="1:16" x14ac:dyDescent="0.25">
      <c r="A4926" t="s">
        <v>9623</v>
      </c>
      <c r="B4926" t="s">
        <v>766</v>
      </c>
      <c r="C4926" t="s">
        <v>18</v>
      </c>
      <c r="D4926" t="s">
        <v>79</v>
      </c>
      <c r="E4926" t="s">
        <v>44</v>
      </c>
      <c r="F4926" t="s">
        <v>128</v>
      </c>
      <c r="G4926" t="s">
        <v>22</v>
      </c>
      <c r="H4926" t="s">
        <v>34</v>
      </c>
      <c r="I4926" t="s">
        <v>35</v>
      </c>
      <c r="J4926" t="s">
        <v>1674</v>
      </c>
      <c r="K4926" t="s">
        <v>4236</v>
      </c>
      <c r="L4926">
        <v>1.7</v>
      </c>
      <c r="M4926">
        <v>565000</v>
      </c>
      <c r="N4926">
        <v>4.3</v>
      </c>
      <c r="O4926">
        <v>14</v>
      </c>
      <c r="P4926" t="s">
        <v>53</v>
      </c>
    </row>
    <row r="4927" spans="1:16" x14ac:dyDescent="0.25">
      <c r="A4927" t="s">
        <v>9624</v>
      </c>
      <c r="B4927" t="s">
        <v>9625</v>
      </c>
      <c r="C4927" t="s">
        <v>18</v>
      </c>
      <c r="D4927" t="s">
        <v>30</v>
      </c>
      <c r="E4927" t="s">
        <v>20</v>
      </c>
      <c r="F4927" t="s">
        <v>39</v>
      </c>
      <c r="G4927" t="s">
        <v>80</v>
      </c>
      <c r="H4927" t="s">
        <v>34</v>
      </c>
      <c r="I4927" t="s">
        <v>35</v>
      </c>
      <c r="J4927" t="s">
        <v>3020</v>
      </c>
      <c r="L4927">
        <v>1.3</v>
      </c>
      <c r="M4927">
        <v>125000</v>
      </c>
      <c r="N4927">
        <v>1.8</v>
      </c>
      <c r="O4927">
        <v>7</v>
      </c>
      <c r="P4927" t="s">
        <v>26</v>
      </c>
    </row>
    <row r="4928" spans="1:16" x14ac:dyDescent="0.25">
      <c r="A4928" t="s">
        <v>9626</v>
      </c>
      <c r="B4928" t="s">
        <v>2885</v>
      </c>
      <c r="C4928" t="s">
        <v>18</v>
      </c>
      <c r="D4928" t="s">
        <v>43</v>
      </c>
      <c r="E4928" t="s">
        <v>31</v>
      </c>
      <c r="F4928" t="s">
        <v>128</v>
      </c>
      <c r="G4928" t="s">
        <v>33</v>
      </c>
      <c r="H4928" t="s">
        <v>23</v>
      </c>
      <c r="I4928" t="s">
        <v>24</v>
      </c>
      <c r="J4928" t="s">
        <v>3837</v>
      </c>
      <c r="K4928" t="s">
        <v>282</v>
      </c>
      <c r="L4928">
        <v>3.6</v>
      </c>
      <c r="M4928">
        <v>550000</v>
      </c>
      <c r="N4928">
        <v>2.2000000000000002</v>
      </c>
      <c r="O4928">
        <v>14</v>
      </c>
      <c r="P4928" t="s">
        <v>53</v>
      </c>
    </row>
    <row r="4929" spans="1:16" x14ac:dyDescent="0.25">
      <c r="A4929" t="s">
        <v>9627</v>
      </c>
      <c r="B4929" t="s">
        <v>5415</v>
      </c>
      <c r="C4929" t="s">
        <v>29</v>
      </c>
      <c r="D4929" t="s">
        <v>19</v>
      </c>
      <c r="E4929" t="s">
        <v>44</v>
      </c>
      <c r="F4929" t="s">
        <v>128</v>
      </c>
      <c r="G4929" t="s">
        <v>22</v>
      </c>
      <c r="H4929" t="s">
        <v>46</v>
      </c>
      <c r="I4929" t="s">
        <v>57</v>
      </c>
      <c r="J4929" t="s">
        <v>5640</v>
      </c>
      <c r="L4929">
        <v>4.7</v>
      </c>
      <c r="M4929">
        <v>351000</v>
      </c>
      <c r="N4929">
        <v>4.2</v>
      </c>
      <c r="O4929">
        <v>4</v>
      </c>
      <c r="P4929" t="s">
        <v>26</v>
      </c>
    </row>
    <row r="4930" spans="1:16" x14ac:dyDescent="0.25">
      <c r="A4930" t="s">
        <v>9628</v>
      </c>
      <c r="B4930" t="s">
        <v>9629</v>
      </c>
      <c r="C4930" t="s">
        <v>29</v>
      </c>
      <c r="D4930" t="s">
        <v>79</v>
      </c>
      <c r="E4930" t="s">
        <v>44</v>
      </c>
      <c r="F4930" t="s">
        <v>45</v>
      </c>
      <c r="G4930" t="s">
        <v>22</v>
      </c>
      <c r="H4930" t="s">
        <v>34</v>
      </c>
      <c r="I4930" t="s">
        <v>35</v>
      </c>
      <c r="J4930" t="s">
        <v>334</v>
      </c>
      <c r="L4930">
        <v>5.7</v>
      </c>
      <c r="M4930">
        <v>1053000</v>
      </c>
      <c r="N4930">
        <v>3.1</v>
      </c>
      <c r="O4930">
        <v>2</v>
      </c>
      <c r="P4930" t="s">
        <v>26</v>
      </c>
    </row>
    <row r="4931" spans="1:16" x14ac:dyDescent="0.25">
      <c r="A4931" t="s">
        <v>9630</v>
      </c>
      <c r="B4931" t="s">
        <v>5605</v>
      </c>
      <c r="C4931" t="s">
        <v>29</v>
      </c>
      <c r="D4931" t="s">
        <v>2782</v>
      </c>
      <c r="E4931" t="s">
        <v>20</v>
      </c>
      <c r="F4931" t="s">
        <v>32</v>
      </c>
      <c r="G4931" t="s">
        <v>33</v>
      </c>
      <c r="H4931" t="s">
        <v>23</v>
      </c>
      <c r="I4931" t="s">
        <v>57</v>
      </c>
      <c r="J4931" t="s">
        <v>1202</v>
      </c>
      <c r="L4931">
        <v>5.4</v>
      </c>
      <c r="M4931">
        <v>265000</v>
      </c>
      <c r="N4931">
        <v>3.5</v>
      </c>
      <c r="O4931">
        <v>4</v>
      </c>
      <c r="P4931" t="s">
        <v>26</v>
      </c>
    </row>
    <row r="4932" spans="1:16" x14ac:dyDescent="0.25">
      <c r="A4932" t="s">
        <v>9631</v>
      </c>
      <c r="B4932" t="s">
        <v>5433</v>
      </c>
      <c r="D4932" t="s">
        <v>79</v>
      </c>
      <c r="E4932" t="s">
        <v>20</v>
      </c>
      <c r="F4932" t="s">
        <v>32</v>
      </c>
      <c r="G4932" t="s">
        <v>69</v>
      </c>
      <c r="H4932" t="s">
        <v>34</v>
      </c>
      <c r="I4932" t="s">
        <v>57</v>
      </c>
      <c r="J4932" t="s">
        <v>4281</v>
      </c>
      <c r="L4932">
        <v>1.7</v>
      </c>
      <c r="M4932">
        <v>313000</v>
      </c>
      <c r="N4932">
        <v>4</v>
      </c>
      <c r="O4932">
        <v>14</v>
      </c>
      <c r="P4932" t="s">
        <v>26</v>
      </c>
    </row>
    <row r="4933" spans="1:16" x14ac:dyDescent="0.25">
      <c r="A4933" t="s">
        <v>9632</v>
      </c>
      <c r="B4933" t="s">
        <v>9572</v>
      </c>
      <c r="C4933" t="s">
        <v>29</v>
      </c>
      <c r="D4933" t="s">
        <v>50</v>
      </c>
      <c r="E4933" t="s">
        <v>20</v>
      </c>
      <c r="F4933" t="s">
        <v>32</v>
      </c>
      <c r="G4933" t="s">
        <v>33</v>
      </c>
      <c r="H4933" t="s">
        <v>23</v>
      </c>
      <c r="I4933" t="s">
        <v>35</v>
      </c>
      <c r="J4933" t="s">
        <v>549</v>
      </c>
      <c r="L4933">
        <v>4.5999999999999996</v>
      </c>
      <c r="M4933">
        <v>284000</v>
      </c>
      <c r="N4933">
        <v>3.2</v>
      </c>
      <c r="O4933">
        <v>4</v>
      </c>
      <c r="P4933" t="s">
        <v>26</v>
      </c>
    </row>
    <row r="4934" spans="1:16" x14ac:dyDescent="0.25">
      <c r="A4934" t="s">
        <v>9633</v>
      </c>
      <c r="B4934" t="s">
        <v>9634</v>
      </c>
      <c r="C4934" t="s">
        <v>29</v>
      </c>
      <c r="D4934" t="s">
        <v>79</v>
      </c>
      <c r="E4934" t="s">
        <v>20</v>
      </c>
      <c r="F4934" t="s">
        <v>32</v>
      </c>
      <c r="G4934" t="s">
        <v>80</v>
      </c>
      <c r="H4934" t="s">
        <v>23</v>
      </c>
      <c r="I4934" t="s">
        <v>24</v>
      </c>
      <c r="J4934" t="s">
        <v>1748</v>
      </c>
      <c r="L4934">
        <v>3.3</v>
      </c>
      <c r="M4934">
        <v>309000</v>
      </c>
      <c r="N4934">
        <v>3.3</v>
      </c>
      <c r="O4934">
        <v>2</v>
      </c>
      <c r="P4934" t="s">
        <v>26</v>
      </c>
    </row>
    <row r="4935" spans="1:16" x14ac:dyDescent="0.25">
      <c r="A4935" t="s">
        <v>9635</v>
      </c>
      <c r="B4935" t="s">
        <v>8828</v>
      </c>
      <c r="C4935" t="s">
        <v>18</v>
      </c>
      <c r="D4935" t="s">
        <v>79</v>
      </c>
      <c r="E4935" t="s">
        <v>20</v>
      </c>
      <c r="F4935" t="s">
        <v>21</v>
      </c>
      <c r="G4935" t="s">
        <v>22</v>
      </c>
      <c r="H4935" t="s">
        <v>23</v>
      </c>
      <c r="I4935" t="s">
        <v>24</v>
      </c>
      <c r="J4935" t="s">
        <v>4011</v>
      </c>
      <c r="L4935">
        <v>5.0999999999999996</v>
      </c>
      <c r="M4935">
        <v>662000</v>
      </c>
      <c r="N4935">
        <v>4.3</v>
      </c>
      <c r="O4935">
        <v>12</v>
      </c>
      <c r="P4935" t="s">
        <v>26</v>
      </c>
    </row>
    <row r="4936" spans="1:16" x14ac:dyDescent="0.25">
      <c r="A4936" t="s">
        <v>9636</v>
      </c>
      <c r="B4936" t="s">
        <v>7305</v>
      </c>
      <c r="C4936" t="s">
        <v>29</v>
      </c>
      <c r="D4936" t="s">
        <v>30</v>
      </c>
      <c r="E4936" t="s">
        <v>20</v>
      </c>
      <c r="F4936" t="s">
        <v>32</v>
      </c>
      <c r="G4936" t="s">
        <v>80</v>
      </c>
      <c r="H4936" t="s">
        <v>46</v>
      </c>
      <c r="I4936" t="s">
        <v>171</v>
      </c>
      <c r="J4936" t="s">
        <v>3580</v>
      </c>
      <c r="K4936" t="s">
        <v>412</v>
      </c>
      <c r="L4936">
        <v>1.7</v>
      </c>
      <c r="M4936">
        <v>235000</v>
      </c>
      <c r="N4936">
        <v>2.7</v>
      </c>
      <c r="O4936">
        <v>38</v>
      </c>
      <c r="P4936" t="s">
        <v>114</v>
      </c>
    </row>
    <row r="4937" spans="1:16" x14ac:dyDescent="0.25">
      <c r="A4937" t="s">
        <v>9637</v>
      </c>
      <c r="B4937" t="s">
        <v>9638</v>
      </c>
      <c r="C4937" t="s">
        <v>29</v>
      </c>
      <c r="D4937" t="s">
        <v>50</v>
      </c>
      <c r="E4937" t="s">
        <v>20</v>
      </c>
      <c r="F4937" t="s">
        <v>128</v>
      </c>
      <c r="G4937" t="s">
        <v>22</v>
      </c>
      <c r="H4937" t="s">
        <v>34</v>
      </c>
      <c r="I4937" t="s">
        <v>35</v>
      </c>
      <c r="J4937" t="s">
        <v>2261</v>
      </c>
      <c r="K4937" t="s">
        <v>2434</v>
      </c>
      <c r="L4937">
        <v>5.7</v>
      </c>
      <c r="M4937">
        <v>470000</v>
      </c>
      <c r="N4937">
        <v>3.6</v>
      </c>
      <c r="O4937">
        <v>7</v>
      </c>
      <c r="P4937" t="s">
        <v>114</v>
      </c>
    </row>
    <row r="4938" spans="1:16" x14ac:dyDescent="0.25">
      <c r="A4938" t="s">
        <v>9639</v>
      </c>
      <c r="B4938" t="s">
        <v>1287</v>
      </c>
      <c r="C4938" t="s">
        <v>18</v>
      </c>
      <c r="D4938" t="s">
        <v>19</v>
      </c>
      <c r="E4938" t="s">
        <v>44</v>
      </c>
      <c r="F4938" t="s">
        <v>32</v>
      </c>
      <c r="G4938" t="s">
        <v>22</v>
      </c>
      <c r="H4938" t="s">
        <v>46</v>
      </c>
      <c r="I4938" t="s">
        <v>35</v>
      </c>
      <c r="J4938" t="s">
        <v>6123</v>
      </c>
      <c r="K4938" t="s">
        <v>4740</v>
      </c>
      <c r="L4938">
        <v>5.4</v>
      </c>
      <c r="M4938">
        <v>272000</v>
      </c>
      <c r="N4938">
        <v>3.1</v>
      </c>
      <c r="O4938">
        <v>11</v>
      </c>
      <c r="P4938" t="s">
        <v>53</v>
      </c>
    </row>
    <row r="4939" spans="1:16" x14ac:dyDescent="0.25">
      <c r="A4939" t="s">
        <v>9640</v>
      </c>
      <c r="B4939" t="s">
        <v>2509</v>
      </c>
      <c r="C4939" t="s">
        <v>29</v>
      </c>
      <c r="D4939" t="s">
        <v>50</v>
      </c>
      <c r="E4939" t="s">
        <v>31</v>
      </c>
      <c r="F4939" t="s">
        <v>45</v>
      </c>
      <c r="G4939" t="s">
        <v>22</v>
      </c>
      <c r="H4939" t="s">
        <v>23</v>
      </c>
      <c r="I4939" t="s">
        <v>75</v>
      </c>
      <c r="J4939" t="s">
        <v>4748</v>
      </c>
      <c r="L4939">
        <v>3</v>
      </c>
      <c r="M4939">
        <v>1489000</v>
      </c>
      <c r="N4939">
        <v>3.6</v>
      </c>
      <c r="O4939">
        <v>13</v>
      </c>
      <c r="P4939" t="s">
        <v>26</v>
      </c>
    </row>
    <row r="4940" spans="1:16" x14ac:dyDescent="0.25">
      <c r="A4940" t="s">
        <v>9641</v>
      </c>
      <c r="B4940" t="s">
        <v>1705</v>
      </c>
      <c r="C4940" t="s">
        <v>18</v>
      </c>
      <c r="D4940" t="s">
        <v>50</v>
      </c>
      <c r="E4940" t="s">
        <v>31</v>
      </c>
      <c r="F4940" t="s">
        <v>32</v>
      </c>
      <c r="G4940" t="s">
        <v>69</v>
      </c>
      <c r="H4940" t="s">
        <v>62</v>
      </c>
      <c r="I4940" t="s">
        <v>35</v>
      </c>
      <c r="J4940" t="s">
        <v>1146</v>
      </c>
      <c r="L4940">
        <v>1.3</v>
      </c>
      <c r="M4940">
        <v>326000</v>
      </c>
      <c r="N4940">
        <v>4.0999999999999996</v>
      </c>
      <c r="O4940">
        <v>0</v>
      </c>
      <c r="P4940" t="s">
        <v>26</v>
      </c>
    </row>
    <row r="4941" spans="1:16" x14ac:dyDescent="0.25">
      <c r="A4941" t="s">
        <v>9642</v>
      </c>
      <c r="B4941" t="s">
        <v>1585</v>
      </c>
      <c r="C4941" t="s">
        <v>18</v>
      </c>
      <c r="D4941" t="s">
        <v>19</v>
      </c>
      <c r="E4941" t="s">
        <v>31</v>
      </c>
      <c r="G4941" t="s">
        <v>69</v>
      </c>
      <c r="I4941" t="s">
        <v>35</v>
      </c>
      <c r="J4941" t="s">
        <v>3860</v>
      </c>
      <c r="L4941">
        <v>4.4000000000000004</v>
      </c>
      <c r="M4941">
        <v>660000</v>
      </c>
      <c r="N4941">
        <v>4</v>
      </c>
      <c r="O4941">
        <v>11</v>
      </c>
      <c r="P4941" t="s">
        <v>26</v>
      </c>
    </row>
    <row r="4942" spans="1:16" x14ac:dyDescent="0.25">
      <c r="A4942" t="s">
        <v>9643</v>
      </c>
      <c r="B4942" t="s">
        <v>9644</v>
      </c>
      <c r="C4942" t="s">
        <v>18</v>
      </c>
      <c r="D4942" t="s">
        <v>79</v>
      </c>
      <c r="E4942" t="s">
        <v>31</v>
      </c>
      <c r="F4942" t="s">
        <v>32</v>
      </c>
      <c r="G4942" t="s">
        <v>22</v>
      </c>
      <c r="H4942" t="s">
        <v>23</v>
      </c>
      <c r="I4942" t="s">
        <v>24</v>
      </c>
      <c r="J4942" t="s">
        <v>2152</v>
      </c>
      <c r="K4942" t="s">
        <v>2091</v>
      </c>
      <c r="L4942">
        <v>6</v>
      </c>
      <c r="M4942">
        <v>218000</v>
      </c>
      <c r="N4942">
        <v>2.2000000000000002</v>
      </c>
      <c r="O4942">
        <v>1</v>
      </c>
      <c r="P4942" t="s">
        <v>72</v>
      </c>
    </row>
    <row r="4943" spans="1:16" x14ac:dyDescent="0.25">
      <c r="A4943" t="s">
        <v>9645</v>
      </c>
      <c r="B4943" t="s">
        <v>9646</v>
      </c>
      <c r="C4943" t="s">
        <v>29</v>
      </c>
      <c r="D4943" t="s">
        <v>19</v>
      </c>
      <c r="E4943" t="s">
        <v>20</v>
      </c>
      <c r="F4943" t="s">
        <v>128</v>
      </c>
      <c r="G4943" t="s">
        <v>80</v>
      </c>
      <c r="H4943" t="s">
        <v>46</v>
      </c>
      <c r="I4943" t="s">
        <v>75</v>
      </c>
      <c r="J4943" t="s">
        <v>1803</v>
      </c>
      <c r="L4943">
        <v>5.7</v>
      </c>
      <c r="M4943">
        <v>660000</v>
      </c>
      <c r="N4943">
        <v>4.0999999999999996</v>
      </c>
      <c r="O4943">
        <v>26</v>
      </c>
      <c r="P4943" t="s">
        <v>26</v>
      </c>
    </row>
    <row r="4944" spans="1:16" x14ac:dyDescent="0.25">
      <c r="A4944" t="s">
        <v>9647</v>
      </c>
      <c r="B4944" t="s">
        <v>3334</v>
      </c>
      <c r="C4944" t="s">
        <v>29</v>
      </c>
      <c r="D4944" t="s">
        <v>43</v>
      </c>
      <c r="E4944" t="s">
        <v>20</v>
      </c>
      <c r="F4944" t="s">
        <v>32</v>
      </c>
      <c r="G4944" t="s">
        <v>33</v>
      </c>
      <c r="H4944" t="s">
        <v>23</v>
      </c>
      <c r="I4944" t="s">
        <v>24</v>
      </c>
      <c r="J4944" t="s">
        <v>2280</v>
      </c>
      <c r="L4944">
        <v>1.6</v>
      </c>
      <c r="M4944">
        <v>309000</v>
      </c>
      <c r="N4944">
        <v>3.7</v>
      </c>
      <c r="P4944" t="s">
        <v>26</v>
      </c>
    </row>
    <row r="4945" spans="1:16" x14ac:dyDescent="0.25">
      <c r="A4945" t="s">
        <v>9648</v>
      </c>
      <c r="B4945" t="s">
        <v>234</v>
      </c>
      <c r="C4945" t="s">
        <v>29</v>
      </c>
      <c r="D4945" t="s">
        <v>30</v>
      </c>
      <c r="E4945" t="s">
        <v>44</v>
      </c>
      <c r="F4945" t="s">
        <v>39</v>
      </c>
      <c r="G4945" t="s">
        <v>33</v>
      </c>
      <c r="H4945" t="s">
        <v>46</v>
      </c>
      <c r="I4945" t="s">
        <v>24</v>
      </c>
      <c r="J4945" t="s">
        <v>1538</v>
      </c>
      <c r="K4945" t="s">
        <v>1074</v>
      </c>
      <c r="L4945">
        <v>1.7</v>
      </c>
      <c r="M4945">
        <v>86000</v>
      </c>
      <c r="N4945">
        <v>2.1</v>
      </c>
      <c r="O4945">
        <v>13</v>
      </c>
      <c r="P4945" t="s">
        <v>53</v>
      </c>
    </row>
    <row r="4946" spans="1:16" x14ac:dyDescent="0.25">
      <c r="A4946" t="s">
        <v>9649</v>
      </c>
      <c r="B4946" t="s">
        <v>9650</v>
      </c>
      <c r="C4946" t="s">
        <v>29</v>
      </c>
      <c r="D4946" t="s">
        <v>30</v>
      </c>
      <c r="E4946" t="s">
        <v>20</v>
      </c>
      <c r="F4946" t="s">
        <v>39</v>
      </c>
      <c r="G4946" t="s">
        <v>69</v>
      </c>
      <c r="H4946" t="s">
        <v>23</v>
      </c>
      <c r="I4946" t="s">
        <v>75</v>
      </c>
      <c r="J4946" t="s">
        <v>2657</v>
      </c>
      <c r="L4946">
        <v>2.9</v>
      </c>
      <c r="M4946">
        <v>120000</v>
      </c>
      <c r="N4946">
        <v>1.8</v>
      </c>
      <c r="O4946">
        <v>6</v>
      </c>
      <c r="P4946" t="s">
        <v>26</v>
      </c>
    </row>
    <row r="4947" spans="1:16" x14ac:dyDescent="0.25">
      <c r="A4947" t="s">
        <v>9651</v>
      </c>
      <c r="B4947" t="s">
        <v>1806</v>
      </c>
      <c r="C4947" t="s">
        <v>29</v>
      </c>
      <c r="D4947" t="s">
        <v>30</v>
      </c>
      <c r="E4947" t="s">
        <v>20</v>
      </c>
      <c r="F4947" t="s">
        <v>39</v>
      </c>
      <c r="G4947" t="s">
        <v>22</v>
      </c>
      <c r="H4947" t="s">
        <v>23</v>
      </c>
      <c r="I4947" t="s">
        <v>35</v>
      </c>
      <c r="J4947" t="s">
        <v>1479</v>
      </c>
      <c r="L4947">
        <v>3</v>
      </c>
      <c r="M4947">
        <v>97000</v>
      </c>
      <c r="O4947">
        <v>4</v>
      </c>
      <c r="P4947" t="s">
        <v>26</v>
      </c>
    </row>
    <row r="4948" spans="1:16" x14ac:dyDescent="0.25">
      <c r="A4948" t="s">
        <v>9652</v>
      </c>
      <c r="B4948" t="s">
        <v>9653</v>
      </c>
      <c r="C4948" t="s">
        <v>18</v>
      </c>
      <c r="D4948" t="s">
        <v>79</v>
      </c>
      <c r="E4948" t="s">
        <v>31</v>
      </c>
      <c r="F4948" t="s">
        <v>39</v>
      </c>
      <c r="G4948" t="s">
        <v>22</v>
      </c>
      <c r="H4948" t="s">
        <v>34</v>
      </c>
      <c r="I4948" t="s">
        <v>57</v>
      </c>
      <c r="J4948" t="s">
        <v>2385</v>
      </c>
      <c r="L4948">
        <v>1.6</v>
      </c>
      <c r="M4948">
        <v>116000</v>
      </c>
      <c r="N4948">
        <v>2.6</v>
      </c>
      <c r="O4948">
        <v>9</v>
      </c>
      <c r="P4948" t="s">
        <v>26</v>
      </c>
    </row>
    <row r="4949" spans="1:16" x14ac:dyDescent="0.25">
      <c r="A4949" t="s">
        <v>9654</v>
      </c>
      <c r="B4949" t="s">
        <v>8225</v>
      </c>
      <c r="C4949" t="s">
        <v>18</v>
      </c>
      <c r="D4949" t="s">
        <v>30</v>
      </c>
      <c r="E4949" t="s">
        <v>31</v>
      </c>
      <c r="F4949" t="s">
        <v>39</v>
      </c>
      <c r="G4949" t="s">
        <v>80</v>
      </c>
      <c r="H4949" t="s">
        <v>23</v>
      </c>
      <c r="I4949" t="s">
        <v>35</v>
      </c>
      <c r="J4949" t="s">
        <v>6503</v>
      </c>
      <c r="K4949" t="s">
        <v>6470</v>
      </c>
      <c r="L4949">
        <v>1.9</v>
      </c>
      <c r="M4949">
        <v>158000</v>
      </c>
      <c r="N4949">
        <v>1.8</v>
      </c>
      <c r="O4949">
        <v>13</v>
      </c>
      <c r="P4949" t="s">
        <v>114</v>
      </c>
    </row>
    <row r="4950" spans="1:16" x14ac:dyDescent="0.25">
      <c r="A4950" t="s">
        <v>9655</v>
      </c>
      <c r="B4950" t="s">
        <v>2873</v>
      </c>
      <c r="C4950" t="s">
        <v>18</v>
      </c>
      <c r="D4950" t="s">
        <v>19</v>
      </c>
      <c r="E4950" t="s">
        <v>44</v>
      </c>
      <c r="F4950" t="s">
        <v>21</v>
      </c>
      <c r="G4950" t="s">
        <v>22</v>
      </c>
      <c r="H4950" t="s">
        <v>34</v>
      </c>
      <c r="I4950" t="s">
        <v>24</v>
      </c>
      <c r="J4950" t="s">
        <v>1375</v>
      </c>
      <c r="K4950" t="s">
        <v>3712</v>
      </c>
      <c r="L4950">
        <v>3.7</v>
      </c>
      <c r="M4950">
        <v>941000</v>
      </c>
      <c r="N4950">
        <v>3.5</v>
      </c>
      <c r="O4950">
        <v>1</v>
      </c>
      <c r="P4950" t="s">
        <v>72</v>
      </c>
    </row>
    <row r="4951" spans="1:16" x14ac:dyDescent="0.25">
      <c r="A4951" t="s">
        <v>9656</v>
      </c>
      <c r="B4951" t="s">
        <v>1160</v>
      </c>
      <c r="C4951" t="s">
        <v>29</v>
      </c>
      <c r="D4951" t="s">
        <v>19</v>
      </c>
      <c r="F4951" t="s">
        <v>32</v>
      </c>
      <c r="G4951" t="s">
        <v>22</v>
      </c>
      <c r="H4951" t="s">
        <v>46</v>
      </c>
      <c r="I4951" t="s">
        <v>24</v>
      </c>
      <c r="J4951" t="s">
        <v>9657</v>
      </c>
      <c r="L4951">
        <v>2.6</v>
      </c>
      <c r="M4951">
        <v>340000</v>
      </c>
      <c r="N4951">
        <v>4.8</v>
      </c>
      <c r="O4951">
        <v>20</v>
      </c>
      <c r="P4951" t="s">
        <v>26</v>
      </c>
    </row>
    <row r="4952" spans="1:16" x14ac:dyDescent="0.25">
      <c r="A4952" t="s">
        <v>9658</v>
      </c>
      <c r="B4952" t="s">
        <v>1400</v>
      </c>
      <c r="C4952" t="s">
        <v>18</v>
      </c>
      <c r="E4952" t="s">
        <v>20</v>
      </c>
      <c r="F4952" t="s">
        <v>21</v>
      </c>
      <c r="G4952" t="s">
        <v>80</v>
      </c>
      <c r="H4952" t="s">
        <v>62</v>
      </c>
      <c r="I4952" t="s">
        <v>35</v>
      </c>
      <c r="J4952" t="s">
        <v>3580</v>
      </c>
      <c r="L4952">
        <v>1.7</v>
      </c>
      <c r="M4952">
        <v>600000</v>
      </c>
      <c r="N4952">
        <v>3.6</v>
      </c>
      <c r="O4952">
        <v>5</v>
      </c>
      <c r="P4952" t="s">
        <v>26</v>
      </c>
    </row>
    <row r="4953" spans="1:16" x14ac:dyDescent="0.25">
      <c r="A4953" t="s">
        <v>9659</v>
      </c>
      <c r="B4953" t="s">
        <v>7660</v>
      </c>
      <c r="C4953" t="s">
        <v>18</v>
      </c>
      <c r="D4953" t="s">
        <v>79</v>
      </c>
      <c r="E4953" t="s">
        <v>20</v>
      </c>
      <c r="F4953" t="s">
        <v>128</v>
      </c>
      <c r="G4953" t="s">
        <v>33</v>
      </c>
      <c r="H4953" t="s">
        <v>23</v>
      </c>
      <c r="I4953" t="s">
        <v>35</v>
      </c>
      <c r="J4953" t="s">
        <v>4020</v>
      </c>
      <c r="L4953">
        <v>4.5</v>
      </c>
      <c r="M4953">
        <v>519000</v>
      </c>
      <c r="N4953">
        <v>2.2999999999999998</v>
      </c>
      <c r="O4953">
        <v>10</v>
      </c>
      <c r="P4953" t="s">
        <v>26</v>
      </c>
    </row>
    <row r="4954" spans="1:16" x14ac:dyDescent="0.25">
      <c r="A4954" t="s">
        <v>9660</v>
      </c>
      <c r="B4954" t="s">
        <v>9004</v>
      </c>
      <c r="C4954" t="s">
        <v>18</v>
      </c>
      <c r="D4954" t="s">
        <v>19</v>
      </c>
      <c r="E4954" t="s">
        <v>20</v>
      </c>
      <c r="F4954" t="s">
        <v>32</v>
      </c>
      <c r="G4954" t="s">
        <v>22</v>
      </c>
      <c r="H4954" t="s">
        <v>34</v>
      </c>
      <c r="I4954" t="s">
        <v>35</v>
      </c>
      <c r="J4954" t="s">
        <v>1461</v>
      </c>
      <c r="L4954">
        <v>6.2</v>
      </c>
      <c r="M4954">
        <v>385000</v>
      </c>
      <c r="N4954">
        <v>4.5</v>
      </c>
      <c r="O4954">
        <v>7</v>
      </c>
      <c r="P4954" t="s">
        <v>26</v>
      </c>
    </row>
    <row r="4955" spans="1:16" x14ac:dyDescent="0.25">
      <c r="A4955" t="s">
        <v>9661</v>
      </c>
      <c r="B4955" t="s">
        <v>6115</v>
      </c>
      <c r="C4955" t="s">
        <v>29</v>
      </c>
      <c r="D4955" t="s">
        <v>19</v>
      </c>
      <c r="E4955" t="s">
        <v>44</v>
      </c>
      <c r="F4955" t="s">
        <v>21</v>
      </c>
      <c r="G4955" t="s">
        <v>22</v>
      </c>
      <c r="H4955" t="s">
        <v>34</v>
      </c>
      <c r="I4955" t="s">
        <v>57</v>
      </c>
      <c r="J4955" t="s">
        <v>9662</v>
      </c>
      <c r="K4955" t="s">
        <v>2837</v>
      </c>
      <c r="L4955">
        <v>4</v>
      </c>
      <c r="M4955">
        <v>815000</v>
      </c>
      <c r="N4955">
        <v>4.5999999999999996</v>
      </c>
      <c r="O4955">
        <v>2</v>
      </c>
      <c r="P4955" t="s">
        <v>53</v>
      </c>
    </row>
    <row r="4956" spans="1:16" x14ac:dyDescent="0.25">
      <c r="A4956" t="s">
        <v>9663</v>
      </c>
      <c r="B4956" t="s">
        <v>9664</v>
      </c>
      <c r="C4956" t="s">
        <v>18</v>
      </c>
      <c r="D4956" t="s">
        <v>19</v>
      </c>
      <c r="E4956" t="s">
        <v>31</v>
      </c>
      <c r="F4956" t="s">
        <v>39</v>
      </c>
      <c r="G4956" t="s">
        <v>33</v>
      </c>
      <c r="H4956" t="s">
        <v>34</v>
      </c>
      <c r="I4956" t="s">
        <v>35</v>
      </c>
      <c r="J4956" t="s">
        <v>9665</v>
      </c>
      <c r="L4956">
        <v>3.7</v>
      </c>
      <c r="M4956">
        <v>159000</v>
      </c>
      <c r="N4956">
        <v>3.1</v>
      </c>
      <c r="O4956">
        <v>4</v>
      </c>
      <c r="P4956" t="s">
        <v>26</v>
      </c>
    </row>
    <row r="4957" spans="1:16" x14ac:dyDescent="0.25">
      <c r="A4957" t="s">
        <v>9666</v>
      </c>
      <c r="B4957" t="s">
        <v>6595</v>
      </c>
      <c r="C4957" t="s">
        <v>18</v>
      </c>
      <c r="D4957" t="s">
        <v>43</v>
      </c>
      <c r="E4957" t="s">
        <v>20</v>
      </c>
      <c r="F4957" t="s">
        <v>128</v>
      </c>
      <c r="G4957" t="s">
        <v>80</v>
      </c>
      <c r="H4957" t="s">
        <v>34</v>
      </c>
      <c r="I4957" t="s">
        <v>57</v>
      </c>
      <c r="J4957" t="s">
        <v>3369</v>
      </c>
      <c r="L4957">
        <v>2.2000000000000002</v>
      </c>
      <c r="M4957">
        <v>480000</v>
      </c>
      <c r="N4957">
        <v>3.5</v>
      </c>
      <c r="O4957">
        <v>6</v>
      </c>
      <c r="P4957" t="s">
        <v>26</v>
      </c>
    </row>
    <row r="4958" spans="1:16" x14ac:dyDescent="0.25">
      <c r="A4958" t="s">
        <v>9667</v>
      </c>
      <c r="B4958" t="s">
        <v>9668</v>
      </c>
      <c r="C4958" t="s">
        <v>29</v>
      </c>
      <c r="D4958" t="s">
        <v>50</v>
      </c>
      <c r="E4958" t="s">
        <v>44</v>
      </c>
      <c r="G4958" t="s">
        <v>22</v>
      </c>
      <c r="H4958" t="s">
        <v>23</v>
      </c>
      <c r="I4958" t="s">
        <v>57</v>
      </c>
      <c r="J4958" t="s">
        <v>1578</v>
      </c>
      <c r="L4958">
        <v>2.9</v>
      </c>
      <c r="M4958">
        <v>760000</v>
      </c>
      <c r="N4958">
        <v>3.9</v>
      </c>
      <c r="O4958">
        <v>13</v>
      </c>
      <c r="P4958" t="s">
        <v>26</v>
      </c>
    </row>
    <row r="4959" spans="1:16" x14ac:dyDescent="0.25">
      <c r="A4959" t="s">
        <v>9669</v>
      </c>
      <c r="B4959" t="s">
        <v>9670</v>
      </c>
      <c r="C4959" t="s">
        <v>18</v>
      </c>
      <c r="D4959" t="s">
        <v>19</v>
      </c>
      <c r="E4959" t="s">
        <v>44</v>
      </c>
      <c r="F4959" t="s">
        <v>128</v>
      </c>
      <c r="G4959" t="s">
        <v>22</v>
      </c>
      <c r="H4959" t="s">
        <v>46</v>
      </c>
      <c r="J4959" t="s">
        <v>773</v>
      </c>
      <c r="L4959">
        <v>3.7</v>
      </c>
      <c r="M4959">
        <v>561000</v>
      </c>
      <c r="N4959">
        <v>2.2999999999999998</v>
      </c>
      <c r="O4959">
        <v>3</v>
      </c>
      <c r="P4959" t="s">
        <v>26</v>
      </c>
    </row>
    <row r="4960" spans="1:16" x14ac:dyDescent="0.25">
      <c r="A4960" t="s">
        <v>9671</v>
      </c>
      <c r="B4960" t="s">
        <v>4663</v>
      </c>
      <c r="C4960" t="s">
        <v>18</v>
      </c>
      <c r="D4960" t="s">
        <v>19</v>
      </c>
      <c r="E4960" t="s">
        <v>44</v>
      </c>
      <c r="F4960" t="s">
        <v>32</v>
      </c>
      <c r="G4960" t="s">
        <v>80</v>
      </c>
      <c r="H4960" t="s">
        <v>46</v>
      </c>
      <c r="I4960" t="s">
        <v>24</v>
      </c>
      <c r="J4960" t="s">
        <v>3914</v>
      </c>
      <c r="L4960">
        <v>5.0999999999999996</v>
      </c>
      <c r="M4960">
        <v>269000</v>
      </c>
      <c r="N4960">
        <v>4.5</v>
      </c>
      <c r="O4960">
        <v>13</v>
      </c>
      <c r="P4960" t="s">
        <v>53</v>
      </c>
    </row>
    <row r="4961" spans="1:16" x14ac:dyDescent="0.25">
      <c r="A4961" t="s">
        <v>9672</v>
      </c>
      <c r="B4961" t="s">
        <v>8585</v>
      </c>
      <c r="C4961" t="s">
        <v>29</v>
      </c>
      <c r="D4961" t="s">
        <v>79</v>
      </c>
      <c r="E4961" t="s">
        <v>44</v>
      </c>
      <c r="F4961" t="s">
        <v>32</v>
      </c>
      <c r="G4961" t="s">
        <v>69</v>
      </c>
      <c r="H4961" t="s">
        <v>46</v>
      </c>
      <c r="I4961" t="s">
        <v>75</v>
      </c>
      <c r="J4961" t="s">
        <v>4860</v>
      </c>
      <c r="L4961">
        <v>3</v>
      </c>
      <c r="M4961">
        <v>227000</v>
      </c>
      <c r="N4961">
        <v>2.6</v>
      </c>
      <c r="O4961">
        <v>1</v>
      </c>
      <c r="P4961" t="s">
        <v>26</v>
      </c>
    </row>
    <row r="4962" spans="1:16" x14ac:dyDescent="0.25">
      <c r="A4962" t="s">
        <v>9673</v>
      </c>
      <c r="B4962" t="s">
        <v>9674</v>
      </c>
      <c r="C4962" t="s">
        <v>18</v>
      </c>
      <c r="D4962" t="s">
        <v>30</v>
      </c>
      <c r="E4962" t="s">
        <v>31</v>
      </c>
      <c r="F4962" t="s">
        <v>39</v>
      </c>
      <c r="G4962" t="s">
        <v>33</v>
      </c>
      <c r="H4962" t="s">
        <v>23</v>
      </c>
      <c r="I4962" t="s">
        <v>24</v>
      </c>
      <c r="J4962" t="s">
        <v>3073</v>
      </c>
      <c r="K4962" t="s">
        <v>3326</v>
      </c>
      <c r="L4962">
        <v>3.6</v>
      </c>
      <c r="M4962">
        <v>175000</v>
      </c>
      <c r="N4962">
        <v>2.5</v>
      </c>
      <c r="O4962">
        <v>4</v>
      </c>
      <c r="P4962" t="s">
        <v>114</v>
      </c>
    </row>
    <row r="4963" spans="1:16" x14ac:dyDescent="0.25">
      <c r="A4963" t="s">
        <v>9675</v>
      </c>
      <c r="B4963" t="s">
        <v>9676</v>
      </c>
      <c r="C4963" t="s">
        <v>18</v>
      </c>
      <c r="D4963" t="s">
        <v>50</v>
      </c>
      <c r="E4963" t="s">
        <v>31</v>
      </c>
      <c r="F4963" t="s">
        <v>32</v>
      </c>
      <c r="G4963" t="s">
        <v>80</v>
      </c>
      <c r="H4963" t="s">
        <v>46</v>
      </c>
      <c r="I4963" t="s">
        <v>57</v>
      </c>
      <c r="J4963" t="s">
        <v>4840</v>
      </c>
      <c r="L4963">
        <v>4.5999999999999996</v>
      </c>
      <c r="M4963">
        <v>270000</v>
      </c>
      <c r="N4963">
        <v>2.6</v>
      </c>
      <c r="O4963">
        <v>13</v>
      </c>
      <c r="P4963" t="s">
        <v>26</v>
      </c>
    </row>
    <row r="4964" spans="1:16" x14ac:dyDescent="0.25">
      <c r="A4964" t="s">
        <v>9677</v>
      </c>
      <c r="B4964" t="s">
        <v>1469</v>
      </c>
      <c r="C4964" t="s">
        <v>18</v>
      </c>
      <c r="D4964" t="s">
        <v>79</v>
      </c>
      <c r="E4964" t="s">
        <v>20</v>
      </c>
      <c r="F4964" t="s">
        <v>39</v>
      </c>
      <c r="G4964" t="s">
        <v>22</v>
      </c>
      <c r="H4964" t="s">
        <v>23</v>
      </c>
      <c r="I4964" t="s">
        <v>24</v>
      </c>
      <c r="J4964" t="s">
        <v>2490</v>
      </c>
      <c r="K4964" t="s">
        <v>7077</v>
      </c>
      <c r="L4964">
        <v>6</v>
      </c>
      <c r="M4964">
        <v>100000</v>
      </c>
      <c r="N4964">
        <v>4.7</v>
      </c>
      <c r="O4964">
        <v>7</v>
      </c>
      <c r="P4964" t="s">
        <v>72</v>
      </c>
    </row>
    <row r="4965" spans="1:16" x14ac:dyDescent="0.25">
      <c r="A4965" t="s">
        <v>9678</v>
      </c>
      <c r="B4965" t="s">
        <v>582</v>
      </c>
      <c r="C4965" t="s">
        <v>18</v>
      </c>
      <c r="D4965" t="s">
        <v>43</v>
      </c>
      <c r="G4965" t="s">
        <v>22</v>
      </c>
      <c r="H4965" t="s">
        <v>46</v>
      </c>
      <c r="I4965" t="s">
        <v>35</v>
      </c>
      <c r="J4965" t="s">
        <v>8033</v>
      </c>
      <c r="L4965">
        <v>2.2000000000000002</v>
      </c>
      <c r="M4965">
        <v>600000</v>
      </c>
      <c r="N4965">
        <v>4.9000000000000004</v>
      </c>
      <c r="O4965">
        <v>3</v>
      </c>
      <c r="P4965" t="s">
        <v>26</v>
      </c>
    </row>
    <row r="4966" spans="1:16" x14ac:dyDescent="0.25">
      <c r="A4966" t="s">
        <v>9679</v>
      </c>
      <c r="B4966" t="s">
        <v>1305</v>
      </c>
      <c r="C4966" t="s">
        <v>29</v>
      </c>
      <c r="D4966" t="s">
        <v>79</v>
      </c>
      <c r="E4966" t="s">
        <v>44</v>
      </c>
      <c r="F4966" t="s">
        <v>128</v>
      </c>
      <c r="G4966" t="s">
        <v>22</v>
      </c>
      <c r="H4966" t="s">
        <v>34</v>
      </c>
      <c r="I4966" t="s">
        <v>57</v>
      </c>
      <c r="J4966" t="s">
        <v>4425</v>
      </c>
      <c r="K4966" t="s">
        <v>5761</v>
      </c>
      <c r="L4966">
        <v>2.2000000000000002</v>
      </c>
      <c r="M4966">
        <v>459000</v>
      </c>
      <c r="N4966">
        <v>2.4</v>
      </c>
      <c r="O4966">
        <v>12</v>
      </c>
      <c r="P4966" t="s">
        <v>53</v>
      </c>
    </row>
    <row r="4967" spans="1:16" x14ac:dyDescent="0.25">
      <c r="A4967" t="s">
        <v>9680</v>
      </c>
      <c r="B4967" t="s">
        <v>6511</v>
      </c>
      <c r="C4967" t="s">
        <v>29</v>
      </c>
      <c r="D4967" t="s">
        <v>79</v>
      </c>
      <c r="E4967" t="s">
        <v>31</v>
      </c>
      <c r="F4967" t="s">
        <v>32</v>
      </c>
      <c r="G4967" t="s">
        <v>69</v>
      </c>
      <c r="H4967" t="s">
        <v>23</v>
      </c>
      <c r="I4967" t="s">
        <v>57</v>
      </c>
      <c r="J4967" t="s">
        <v>432</v>
      </c>
      <c r="L4967">
        <v>5.9</v>
      </c>
      <c r="M4967">
        <v>190000</v>
      </c>
      <c r="N4967">
        <v>2.8</v>
      </c>
      <c r="P4967" t="s">
        <v>26</v>
      </c>
    </row>
    <row r="4968" spans="1:16" x14ac:dyDescent="0.25">
      <c r="A4968" t="s">
        <v>9681</v>
      </c>
      <c r="B4968" t="s">
        <v>4434</v>
      </c>
      <c r="C4968" t="s">
        <v>18</v>
      </c>
      <c r="D4968" t="s">
        <v>50</v>
      </c>
      <c r="E4968" t="s">
        <v>44</v>
      </c>
      <c r="F4968" t="s">
        <v>39</v>
      </c>
      <c r="G4968" t="s">
        <v>22</v>
      </c>
      <c r="H4968" t="s">
        <v>46</v>
      </c>
      <c r="I4968" t="s">
        <v>24</v>
      </c>
      <c r="J4968" t="s">
        <v>478</v>
      </c>
      <c r="L4968">
        <v>1.3</v>
      </c>
      <c r="M4968">
        <v>154000</v>
      </c>
      <c r="N4968">
        <v>3.2</v>
      </c>
      <c r="O4968">
        <v>16</v>
      </c>
      <c r="P4968" t="s">
        <v>26</v>
      </c>
    </row>
    <row r="4969" spans="1:16" x14ac:dyDescent="0.25">
      <c r="A4969" t="s">
        <v>9682</v>
      </c>
      <c r="B4969" t="s">
        <v>4901</v>
      </c>
      <c r="C4969" t="s">
        <v>29</v>
      </c>
      <c r="D4969" t="s">
        <v>30</v>
      </c>
      <c r="E4969" t="s">
        <v>20</v>
      </c>
      <c r="F4969" t="s">
        <v>128</v>
      </c>
      <c r="G4969" t="s">
        <v>69</v>
      </c>
      <c r="J4969" t="s">
        <v>1326</v>
      </c>
      <c r="L4969">
        <v>2.4</v>
      </c>
      <c r="M4969">
        <v>471000</v>
      </c>
      <c r="N4969">
        <v>3.1</v>
      </c>
      <c r="O4969">
        <v>4</v>
      </c>
      <c r="P4969" t="s">
        <v>26</v>
      </c>
    </row>
    <row r="4970" spans="1:16" x14ac:dyDescent="0.25">
      <c r="A4970" t="s">
        <v>9683</v>
      </c>
      <c r="B4970" t="s">
        <v>5713</v>
      </c>
      <c r="C4970" t="s">
        <v>18</v>
      </c>
      <c r="D4970" t="s">
        <v>43</v>
      </c>
      <c r="E4970" t="s">
        <v>20</v>
      </c>
      <c r="F4970" t="s">
        <v>32</v>
      </c>
      <c r="G4970" t="s">
        <v>22</v>
      </c>
      <c r="H4970" t="s">
        <v>46</v>
      </c>
      <c r="I4970" t="s">
        <v>24</v>
      </c>
      <c r="J4970" t="s">
        <v>2273</v>
      </c>
      <c r="L4970">
        <v>5.8</v>
      </c>
      <c r="M4970">
        <v>330000</v>
      </c>
      <c r="N4970">
        <v>3.1</v>
      </c>
      <c r="O4970">
        <v>9</v>
      </c>
      <c r="P4970" t="s">
        <v>26</v>
      </c>
    </row>
    <row r="4971" spans="1:16" x14ac:dyDescent="0.25">
      <c r="A4971" t="s">
        <v>9684</v>
      </c>
      <c r="B4971" t="s">
        <v>574</v>
      </c>
      <c r="C4971" t="s">
        <v>29</v>
      </c>
      <c r="D4971" t="s">
        <v>19</v>
      </c>
      <c r="F4971" t="s">
        <v>21</v>
      </c>
      <c r="G4971" t="s">
        <v>33</v>
      </c>
      <c r="H4971" t="s">
        <v>62</v>
      </c>
      <c r="I4971" t="s">
        <v>57</v>
      </c>
      <c r="J4971" t="s">
        <v>9685</v>
      </c>
      <c r="K4971" t="s">
        <v>2460</v>
      </c>
      <c r="L4971">
        <v>5.5</v>
      </c>
      <c r="M4971">
        <v>759000</v>
      </c>
      <c r="N4971">
        <v>3.1</v>
      </c>
      <c r="O4971">
        <v>1</v>
      </c>
      <c r="P4971" t="s">
        <v>53</v>
      </c>
    </row>
    <row r="4972" spans="1:16" x14ac:dyDescent="0.25">
      <c r="A4972" t="s">
        <v>9686</v>
      </c>
      <c r="B4972" t="s">
        <v>7345</v>
      </c>
      <c r="D4972" t="s">
        <v>43</v>
      </c>
      <c r="E4972" t="s">
        <v>44</v>
      </c>
      <c r="F4972" t="s">
        <v>21</v>
      </c>
      <c r="G4972" t="s">
        <v>69</v>
      </c>
      <c r="H4972" t="s">
        <v>62</v>
      </c>
      <c r="I4972" t="s">
        <v>24</v>
      </c>
      <c r="J4972" t="s">
        <v>1771</v>
      </c>
      <c r="L4972">
        <v>2.7</v>
      </c>
      <c r="M4972">
        <v>852000</v>
      </c>
      <c r="N4972">
        <v>4</v>
      </c>
      <c r="O4972">
        <v>6</v>
      </c>
      <c r="P4972" t="s">
        <v>26</v>
      </c>
    </row>
    <row r="4973" spans="1:16" x14ac:dyDescent="0.25">
      <c r="A4973" t="s">
        <v>9687</v>
      </c>
      <c r="B4973" t="s">
        <v>1349</v>
      </c>
      <c r="C4973" t="s">
        <v>18</v>
      </c>
      <c r="D4973" t="s">
        <v>79</v>
      </c>
      <c r="E4973" t="s">
        <v>20</v>
      </c>
      <c r="F4973" t="s">
        <v>39</v>
      </c>
      <c r="G4973" t="s">
        <v>80</v>
      </c>
      <c r="H4973" t="s">
        <v>23</v>
      </c>
      <c r="I4973" t="s">
        <v>57</v>
      </c>
      <c r="J4973" t="s">
        <v>6449</v>
      </c>
      <c r="L4973">
        <v>5.5</v>
      </c>
      <c r="M4973">
        <v>156000</v>
      </c>
      <c r="N4973">
        <v>4.9000000000000004</v>
      </c>
      <c r="O4973">
        <v>8</v>
      </c>
      <c r="P4973" t="s">
        <v>26</v>
      </c>
    </row>
    <row r="4974" spans="1:16" x14ac:dyDescent="0.25">
      <c r="A4974" t="s">
        <v>9688</v>
      </c>
      <c r="B4974" t="s">
        <v>6967</v>
      </c>
      <c r="C4974" t="s">
        <v>18</v>
      </c>
      <c r="D4974" t="s">
        <v>50</v>
      </c>
      <c r="E4974" t="s">
        <v>44</v>
      </c>
      <c r="F4974" t="s">
        <v>21</v>
      </c>
      <c r="G4974" t="s">
        <v>69</v>
      </c>
      <c r="H4974" t="s">
        <v>62</v>
      </c>
      <c r="I4974" t="s">
        <v>75</v>
      </c>
      <c r="J4974" t="s">
        <v>3396</v>
      </c>
      <c r="L4974">
        <v>2.4</v>
      </c>
      <c r="M4974">
        <v>792000</v>
      </c>
      <c r="N4974">
        <v>4.0999999999999996</v>
      </c>
      <c r="O4974">
        <v>14</v>
      </c>
      <c r="P4974" t="s">
        <v>26</v>
      </c>
    </row>
    <row r="4975" spans="1:16" x14ac:dyDescent="0.25">
      <c r="A4975" t="s">
        <v>9689</v>
      </c>
      <c r="B4975" t="s">
        <v>1064</v>
      </c>
      <c r="C4975" t="s">
        <v>29</v>
      </c>
      <c r="D4975" t="s">
        <v>79</v>
      </c>
      <c r="E4975" t="s">
        <v>31</v>
      </c>
      <c r="F4975" t="s">
        <v>21</v>
      </c>
      <c r="G4975" t="s">
        <v>22</v>
      </c>
      <c r="H4975" t="s">
        <v>34</v>
      </c>
      <c r="I4975" t="s">
        <v>75</v>
      </c>
      <c r="J4975" t="s">
        <v>1846</v>
      </c>
      <c r="L4975">
        <v>4</v>
      </c>
      <c r="M4975">
        <v>617000</v>
      </c>
      <c r="N4975">
        <v>3.9</v>
      </c>
      <c r="O4975">
        <v>9</v>
      </c>
      <c r="P4975" t="s">
        <v>26</v>
      </c>
    </row>
    <row r="4976" spans="1:16" x14ac:dyDescent="0.25">
      <c r="A4976" t="s">
        <v>9690</v>
      </c>
      <c r="B4976" t="s">
        <v>9691</v>
      </c>
      <c r="C4976" t="s">
        <v>18</v>
      </c>
      <c r="D4976" t="s">
        <v>19</v>
      </c>
      <c r="E4976" t="s">
        <v>31</v>
      </c>
      <c r="F4976" t="s">
        <v>32</v>
      </c>
      <c r="G4976" t="s">
        <v>33</v>
      </c>
      <c r="H4976" t="s">
        <v>23</v>
      </c>
      <c r="I4976" t="s">
        <v>75</v>
      </c>
      <c r="J4976" t="s">
        <v>286</v>
      </c>
      <c r="K4976" t="s">
        <v>381</v>
      </c>
      <c r="L4976">
        <v>2.4</v>
      </c>
      <c r="M4976">
        <v>315000</v>
      </c>
      <c r="N4976">
        <v>4.0999999999999996</v>
      </c>
      <c r="O4976">
        <v>8</v>
      </c>
      <c r="P4976" t="s">
        <v>114</v>
      </c>
    </row>
    <row r="4977" spans="1:16" x14ac:dyDescent="0.25">
      <c r="A4977" t="s">
        <v>9692</v>
      </c>
      <c r="B4977" t="s">
        <v>9693</v>
      </c>
      <c r="C4977" t="s">
        <v>29</v>
      </c>
      <c r="D4977" t="s">
        <v>50</v>
      </c>
      <c r="E4977" t="s">
        <v>20</v>
      </c>
      <c r="G4977" t="s">
        <v>33</v>
      </c>
      <c r="H4977" t="s">
        <v>23</v>
      </c>
      <c r="I4977" t="s">
        <v>57</v>
      </c>
      <c r="J4977" t="s">
        <v>3088</v>
      </c>
      <c r="L4977">
        <v>5.6</v>
      </c>
      <c r="M4977">
        <v>178000</v>
      </c>
      <c r="N4977">
        <v>4.2</v>
      </c>
      <c r="O4977">
        <v>27</v>
      </c>
      <c r="P4977" t="s">
        <v>26</v>
      </c>
    </row>
    <row r="4978" spans="1:16" x14ac:dyDescent="0.25">
      <c r="A4978" t="s">
        <v>9694</v>
      </c>
      <c r="B4978" t="s">
        <v>5296</v>
      </c>
      <c r="C4978" t="s">
        <v>18</v>
      </c>
      <c r="D4978" t="s">
        <v>43</v>
      </c>
      <c r="E4978" t="s">
        <v>44</v>
      </c>
      <c r="F4978" t="s">
        <v>32</v>
      </c>
      <c r="G4978" t="s">
        <v>80</v>
      </c>
      <c r="H4978" t="s">
        <v>34</v>
      </c>
      <c r="J4978" t="s">
        <v>5441</v>
      </c>
      <c r="L4978">
        <v>2.2000000000000002</v>
      </c>
      <c r="M4978">
        <v>263000</v>
      </c>
      <c r="N4978">
        <v>3.3</v>
      </c>
      <c r="O4978">
        <v>13</v>
      </c>
      <c r="P4978" t="s">
        <v>26</v>
      </c>
    </row>
    <row r="4979" spans="1:16" x14ac:dyDescent="0.25">
      <c r="A4979" t="s">
        <v>9695</v>
      </c>
      <c r="B4979" t="s">
        <v>101</v>
      </c>
      <c r="C4979" t="s">
        <v>18</v>
      </c>
      <c r="D4979" t="s">
        <v>50</v>
      </c>
      <c r="E4979" t="s">
        <v>20</v>
      </c>
      <c r="F4979" t="s">
        <v>39</v>
      </c>
      <c r="G4979" t="s">
        <v>33</v>
      </c>
      <c r="H4979" t="s">
        <v>46</v>
      </c>
      <c r="I4979" t="s">
        <v>35</v>
      </c>
      <c r="J4979" t="s">
        <v>2150</v>
      </c>
      <c r="K4979" t="s">
        <v>1479</v>
      </c>
      <c r="L4979">
        <v>5.9</v>
      </c>
      <c r="M4979">
        <v>91000</v>
      </c>
      <c r="N4979">
        <v>3</v>
      </c>
      <c r="O4979">
        <v>9</v>
      </c>
      <c r="P4979" t="s">
        <v>53</v>
      </c>
    </row>
    <row r="4980" spans="1:16" x14ac:dyDescent="0.25">
      <c r="A4980" t="s">
        <v>9696</v>
      </c>
      <c r="B4980" t="s">
        <v>9697</v>
      </c>
      <c r="C4980" t="s">
        <v>29</v>
      </c>
      <c r="D4980" t="s">
        <v>50</v>
      </c>
      <c r="E4980" t="s">
        <v>20</v>
      </c>
      <c r="F4980" t="s">
        <v>128</v>
      </c>
      <c r="G4980" t="s">
        <v>22</v>
      </c>
      <c r="H4980" t="s">
        <v>23</v>
      </c>
      <c r="I4980" t="s">
        <v>35</v>
      </c>
      <c r="J4980" t="s">
        <v>5376</v>
      </c>
      <c r="L4980">
        <v>5.2</v>
      </c>
      <c r="M4980">
        <v>423000</v>
      </c>
      <c r="N4980">
        <v>4.5999999999999996</v>
      </c>
      <c r="O4980">
        <v>11</v>
      </c>
      <c r="P4980" t="s">
        <v>26</v>
      </c>
    </row>
    <row r="4981" spans="1:16" x14ac:dyDescent="0.25">
      <c r="A4981" t="s">
        <v>9698</v>
      </c>
      <c r="B4981" t="s">
        <v>8218</v>
      </c>
      <c r="C4981" t="s">
        <v>29</v>
      </c>
      <c r="E4981" t="s">
        <v>20</v>
      </c>
      <c r="F4981" t="s">
        <v>128</v>
      </c>
      <c r="G4981" t="s">
        <v>22</v>
      </c>
      <c r="I4981" t="s">
        <v>35</v>
      </c>
      <c r="J4981" t="s">
        <v>2911</v>
      </c>
      <c r="K4981" t="s">
        <v>9699</v>
      </c>
      <c r="L4981">
        <v>4.5999999999999996</v>
      </c>
      <c r="M4981">
        <v>461000</v>
      </c>
      <c r="N4981">
        <v>3.2</v>
      </c>
      <c r="O4981">
        <v>4</v>
      </c>
      <c r="P4981" t="s">
        <v>72</v>
      </c>
    </row>
    <row r="4982" spans="1:16" x14ac:dyDescent="0.25">
      <c r="A4982" t="s">
        <v>9700</v>
      </c>
      <c r="B4982" t="s">
        <v>2457</v>
      </c>
      <c r="C4982" t="s">
        <v>29</v>
      </c>
      <c r="D4982" t="s">
        <v>79</v>
      </c>
      <c r="E4982" t="s">
        <v>20</v>
      </c>
      <c r="F4982" t="s">
        <v>128</v>
      </c>
      <c r="G4982" t="s">
        <v>22</v>
      </c>
      <c r="H4982" t="s">
        <v>34</v>
      </c>
      <c r="I4982" t="s">
        <v>24</v>
      </c>
      <c r="J4982" t="s">
        <v>523</v>
      </c>
      <c r="L4982">
        <v>4.5</v>
      </c>
      <c r="M4982">
        <v>477000</v>
      </c>
      <c r="N4982">
        <v>3.3</v>
      </c>
      <c r="O4982">
        <v>7</v>
      </c>
      <c r="P4982" t="s">
        <v>26</v>
      </c>
    </row>
    <row r="4983" spans="1:16" x14ac:dyDescent="0.25">
      <c r="A4983" t="s">
        <v>9701</v>
      </c>
      <c r="B4983" t="s">
        <v>274</v>
      </c>
      <c r="C4983" t="s">
        <v>29</v>
      </c>
      <c r="D4983" t="s">
        <v>79</v>
      </c>
      <c r="E4983" t="s">
        <v>20</v>
      </c>
      <c r="F4983" t="s">
        <v>32</v>
      </c>
      <c r="G4983" t="s">
        <v>22</v>
      </c>
      <c r="H4983" t="s">
        <v>34</v>
      </c>
      <c r="I4983" t="s">
        <v>57</v>
      </c>
      <c r="J4983" t="s">
        <v>1548</v>
      </c>
      <c r="L4983">
        <v>2.8</v>
      </c>
      <c r="M4983">
        <v>324000</v>
      </c>
      <c r="N4983">
        <v>3.5</v>
      </c>
      <c r="O4983">
        <v>12</v>
      </c>
      <c r="P4983" t="s">
        <v>26</v>
      </c>
    </row>
    <row r="4984" spans="1:16" x14ac:dyDescent="0.25">
      <c r="A4984" t="s">
        <v>9702</v>
      </c>
      <c r="B4984" t="s">
        <v>8539</v>
      </c>
      <c r="C4984" t="s">
        <v>18</v>
      </c>
      <c r="D4984" t="s">
        <v>79</v>
      </c>
      <c r="E4984" t="s">
        <v>44</v>
      </c>
      <c r="F4984" t="s">
        <v>32</v>
      </c>
      <c r="G4984" t="s">
        <v>33</v>
      </c>
      <c r="H4984" t="s">
        <v>46</v>
      </c>
      <c r="I4984" t="s">
        <v>24</v>
      </c>
      <c r="J4984" t="s">
        <v>6162</v>
      </c>
      <c r="L4984">
        <v>4.0999999999999996</v>
      </c>
      <c r="O4984">
        <v>40</v>
      </c>
      <c r="P4984" t="s">
        <v>26</v>
      </c>
    </row>
    <row r="4985" spans="1:16" x14ac:dyDescent="0.25">
      <c r="A4985" t="s">
        <v>9703</v>
      </c>
      <c r="B4985" t="s">
        <v>341</v>
      </c>
      <c r="C4985" t="s">
        <v>18</v>
      </c>
      <c r="D4985" t="s">
        <v>79</v>
      </c>
      <c r="E4985" t="s">
        <v>20</v>
      </c>
      <c r="F4985" t="s">
        <v>128</v>
      </c>
      <c r="G4985" t="s">
        <v>22</v>
      </c>
      <c r="H4985" t="s">
        <v>46</v>
      </c>
      <c r="I4985" t="s">
        <v>24</v>
      </c>
      <c r="J4985" t="s">
        <v>2653</v>
      </c>
      <c r="L4985">
        <v>4.5</v>
      </c>
      <c r="N4985">
        <v>3</v>
      </c>
      <c r="O4985">
        <v>11</v>
      </c>
      <c r="P4985" t="s">
        <v>26</v>
      </c>
    </row>
    <row r="4986" spans="1:16" x14ac:dyDescent="0.25">
      <c r="A4986" t="s">
        <v>9704</v>
      </c>
      <c r="B4986" t="s">
        <v>4028</v>
      </c>
      <c r="C4986" t="s">
        <v>18</v>
      </c>
      <c r="D4986" t="s">
        <v>30</v>
      </c>
      <c r="E4986" t="s">
        <v>31</v>
      </c>
      <c r="F4986" t="s">
        <v>128</v>
      </c>
      <c r="G4986" t="s">
        <v>33</v>
      </c>
      <c r="H4986" t="s">
        <v>46</v>
      </c>
      <c r="I4986" t="s">
        <v>35</v>
      </c>
      <c r="J4986" t="s">
        <v>1392</v>
      </c>
      <c r="L4986">
        <v>2.7</v>
      </c>
      <c r="M4986">
        <v>596000</v>
      </c>
      <c r="N4986">
        <v>4.5999999999999996</v>
      </c>
      <c r="O4986">
        <v>34</v>
      </c>
      <c r="P4986" t="s">
        <v>26</v>
      </c>
    </row>
    <row r="4987" spans="1:16" x14ac:dyDescent="0.25">
      <c r="A4987" t="s">
        <v>9705</v>
      </c>
      <c r="B4987" t="s">
        <v>3996</v>
      </c>
      <c r="C4987" t="s">
        <v>29</v>
      </c>
      <c r="D4987" t="s">
        <v>43</v>
      </c>
      <c r="E4987" t="s">
        <v>20</v>
      </c>
      <c r="F4987" t="s">
        <v>128</v>
      </c>
      <c r="G4987" t="s">
        <v>33</v>
      </c>
      <c r="H4987" t="s">
        <v>23</v>
      </c>
      <c r="I4987" t="s">
        <v>24</v>
      </c>
      <c r="J4987" t="s">
        <v>5128</v>
      </c>
      <c r="K4987" t="s">
        <v>3568</v>
      </c>
      <c r="L4987">
        <v>5.2</v>
      </c>
      <c r="M4987">
        <v>350000</v>
      </c>
      <c r="N4987">
        <v>2.2999999999999998</v>
      </c>
      <c r="O4987">
        <v>12</v>
      </c>
      <c r="P4987" t="s">
        <v>114</v>
      </c>
    </row>
    <row r="4988" spans="1:16" x14ac:dyDescent="0.25">
      <c r="A4988" t="s">
        <v>9706</v>
      </c>
      <c r="B4988" t="s">
        <v>5150</v>
      </c>
      <c r="C4988" t="s">
        <v>18</v>
      </c>
      <c r="D4988" t="s">
        <v>50</v>
      </c>
      <c r="E4988" t="s">
        <v>20</v>
      </c>
      <c r="F4988" t="s">
        <v>39</v>
      </c>
      <c r="G4988" t="s">
        <v>22</v>
      </c>
      <c r="H4988" t="s">
        <v>34</v>
      </c>
      <c r="I4988" t="s">
        <v>75</v>
      </c>
      <c r="J4988" t="s">
        <v>2213</v>
      </c>
      <c r="L4988">
        <v>2.2999999999999998</v>
      </c>
      <c r="M4988">
        <v>94000</v>
      </c>
      <c r="N4988">
        <v>4.8</v>
      </c>
      <c r="O4988">
        <v>13</v>
      </c>
      <c r="P4988" t="s">
        <v>26</v>
      </c>
    </row>
    <row r="4989" spans="1:16" x14ac:dyDescent="0.25">
      <c r="A4989" t="s">
        <v>3962</v>
      </c>
      <c r="B4989" t="s">
        <v>3963</v>
      </c>
      <c r="C4989" t="s">
        <v>29</v>
      </c>
      <c r="D4989" t="s">
        <v>30</v>
      </c>
      <c r="E4989" t="s">
        <v>31</v>
      </c>
      <c r="F4989" t="s">
        <v>39</v>
      </c>
      <c r="G4989" t="s">
        <v>33</v>
      </c>
      <c r="H4989" t="s">
        <v>46</v>
      </c>
      <c r="I4989" t="s">
        <v>57</v>
      </c>
      <c r="J4989" t="s">
        <v>3964</v>
      </c>
      <c r="L4989">
        <v>4.5</v>
      </c>
      <c r="M4989">
        <v>164000</v>
      </c>
      <c r="N4989">
        <v>3</v>
      </c>
      <c r="P4989" t="s">
        <v>26</v>
      </c>
    </row>
    <row r="4990" spans="1:16" x14ac:dyDescent="0.25">
      <c r="A4990" t="s">
        <v>9707</v>
      </c>
      <c r="B4990" t="s">
        <v>4968</v>
      </c>
      <c r="C4990" t="s">
        <v>29</v>
      </c>
      <c r="D4990" t="s">
        <v>30</v>
      </c>
      <c r="E4990" t="s">
        <v>44</v>
      </c>
      <c r="F4990" t="s">
        <v>32</v>
      </c>
      <c r="G4990" t="s">
        <v>80</v>
      </c>
      <c r="H4990" t="s">
        <v>34</v>
      </c>
      <c r="I4990" t="s">
        <v>57</v>
      </c>
      <c r="J4990" t="s">
        <v>4778</v>
      </c>
      <c r="K4990" t="s">
        <v>2993</v>
      </c>
      <c r="L4990">
        <v>1.3</v>
      </c>
      <c r="M4990">
        <v>290000</v>
      </c>
      <c r="N4990">
        <v>3.5</v>
      </c>
      <c r="O4990">
        <v>7</v>
      </c>
      <c r="P4990" t="s">
        <v>53</v>
      </c>
    </row>
    <row r="4991" spans="1:16" x14ac:dyDescent="0.25">
      <c r="A4991" t="s">
        <v>9708</v>
      </c>
      <c r="B4991" t="s">
        <v>9709</v>
      </c>
      <c r="C4991" t="s">
        <v>29</v>
      </c>
      <c r="D4991" t="s">
        <v>30</v>
      </c>
      <c r="E4991" t="s">
        <v>20</v>
      </c>
      <c r="F4991" t="s">
        <v>21</v>
      </c>
      <c r="G4991" t="s">
        <v>33</v>
      </c>
      <c r="H4991" t="s">
        <v>23</v>
      </c>
      <c r="I4991" t="s">
        <v>57</v>
      </c>
      <c r="J4991" t="s">
        <v>2600</v>
      </c>
      <c r="L4991">
        <v>3</v>
      </c>
      <c r="M4991">
        <v>869000</v>
      </c>
      <c r="N4991">
        <v>3.4</v>
      </c>
      <c r="O4991">
        <v>11</v>
      </c>
      <c r="P4991" t="s">
        <v>26</v>
      </c>
    </row>
    <row r="4992" spans="1:16" x14ac:dyDescent="0.25">
      <c r="A4992" t="s">
        <v>9710</v>
      </c>
      <c r="B4992" t="s">
        <v>9711</v>
      </c>
      <c r="C4992" t="s">
        <v>29</v>
      </c>
      <c r="D4992" t="s">
        <v>79</v>
      </c>
      <c r="E4992" t="s">
        <v>20</v>
      </c>
      <c r="F4992" t="s">
        <v>128</v>
      </c>
      <c r="G4992" t="s">
        <v>33</v>
      </c>
      <c r="H4992" t="s">
        <v>23</v>
      </c>
      <c r="I4992" t="s">
        <v>35</v>
      </c>
      <c r="J4992" t="s">
        <v>328</v>
      </c>
      <c r="L4992">
        <v>1.4</v>
      </c>
      <c r="M4992">
        <v>539000</v>
      </c>
      <c r="N4992">
        <v>4.4000000000000004</v>
      </c>
      <c r="O4992">
        <v>13</v>
      </c>
      <c r="P4992" t="s">
        <v>26</v>
      </c>
    </row>
    <row r="4993" spans="1:16" x14ac:dyDescent="0.25">
      <c r="A4993" t="s">
        <v>9712</v>
      </c>
      <c r="B4993" t="s">
        <v>822</v>
      </c>
      <c r="C4993" t="s">
        <v>29</v>
      </c>
      <c r="D4993" t="s">
        <v>30</v>
      </c>
      <c r="E4993" t="s">
        <v>20</v>
      </c>
      <c r="F4993" t="s">
        <v>32</v>
      </c>
      <c r="G4993" t="s">
        <v>33</v>
      </c>
      <c r="H4993" t="s">
        <v>23</v>
      </c>
      <c r="I4993" t="s">
        <v>24</v>
      </c>
      <c r="J4993" t="s">
        <v>2802</v>
      </c>
      <c r="L4993">
        <v>6.2</v>
      </c>
      <c r="M4993">
        <v>338000</v>
      </c>
      <c r="N4993">
        <v>2.7</v>
      </c>
      <c r="O4993">
        <v>5</v>
      </c>
      <c r="P4993" t="s">
        <v>26</v>
      </c>
    </row>
    <row r="4994" spans="1:16" x14ac:dyDescent="0.25">
      <c r="A4994" t="s">
        <v>9713</v>
      </c>
      <c r="B4994" t="s">
        <v>2570</v>
      </c>
      <c r="C4994" t="s">
        <v>29</v>
      </c>
      <c r="D4994" t="s">
        <v>19</v>
      </c>
      <c r="E4994" t="s">
        <v>20</v>
      </c>
      <c r="F4994" t="s">
        <v>32</v>
      </c>
      <c r="G4994" t="s">
        <v>33</v>
      </c>
      <c r="H4994" t="s">
        <v>23</v>
      </c>
      <c r="I4994" t="s">
        <v>24</v>
      </c>
      <c r="J4994" t="s">
        <v>9714</v>
      </c>
      <c r="L4994">
        <v>4</v>
      </c>
      <c r="M4994">
        <v>313000</v>
      </c>
      <c r="N4994">
        <v>3.7</v>
      </c>
      <c r="O4994">
        <v>13</v>
      </c>
      <c r="P4994" t="s">
        <v>26</v>
      </c>
    </row>
    <row r="4995" spans="1:16" x14ac:dyDescent="0.25">
      <c r="A4995" t="s">
        <v>9715</v>
      </c>
      <c r="B4995" t="s">
        <v>7939</v>
      </c>
      <c r="C4995" t="s">
        <v>29</v>
      </c>
      <c r="D4995" t="s">
        <v>30</v>
      </c>
      <c r="E4995" t="s">
        <v>20</v>
      </c>
      <c r="F4995" t="s">
        <v>128</v>
      </c>
      <c r="G4995" t="s">
        <v>80</v>
      </c>
      <c r="H4995" t="s">
        <v>23</v>
      </c>
      <c r="I4995" t="s">
        <v>35</v>
      </c>
      <c r="J4995" t="s">
        <v>5496</v>
      </c>
      <c r="K4995" t="s">
        <v>1594</v>
      </c>
      <c r="L4995">
        <v>4.9000000000000004</v>
      </c>
      <c r="M4995">
        <v>475000</v>
      </c>
      <c r="O4995">
        <v>9</v>
      </c>
      <c r="P4995" t="s">
        <v>53</v>
      </c>
    </row>
    <row r="4996" spans="1:16" x14ac:dyDescent="0.25">
      <c r="A4996" t="s">
        <v>9716</v>
      </c>
      <c r="B4996" t="s">
        <v>5194</v>
      </c>
      <c r="C4996" t="s">
        <v>252</v>
      </c>
      <c r="D4996" t="s">
        <v>19</v>
      </c>
      <c r="E4996" t="s">
        <v>20</v>
      </c>
      <c r="F4996" t="s">
        <v>21</v>
      </c>
      <c r="G4996" t="s">
        <v>22</v>
      </c>
      <c r="H4996" t="s">
        <v>34</v>
      </c>
      <c r="I4996" t="s">
        <v>75</v>
      </c>
      <c r="J4996" t="s">
        <v>8024</v>
      </c>
      <c r="L4996">
        <v>6.1</v>
      </c>
      <c r="M4996">
        <v>1036000</v>
      </c>
      <c r="N4996">
        <v>4.7</v>
      </c>
      <c r="O4996">
        <v>3</v>
      </c>
      <c r="P4996" t="s">
        <v>26</v>
      </c>
    </row>
    <row r="4997" spans="1:16" x14ac:dyDescent="0.25">
      <c r="A4997" t="s">
        <v>8119</v>
      </c>
      <c r="B4997" t="s">
        <v>3895</v>
      </c>
      <c r="C4997" t="s">
        <v>29</v>
      </c>
      <c r="D4997" t="s">
        <v>30</v>
      </c>
      <c r="E4997" t="s">
        <v>20</v>
      </c>
      <c r="F4997" t="s">
        <v>32</v>
      </c>
      <c r="G4997" t="s">
        <v>80</v>
      </c>
      <c r="H4997" t="s">
        <v>34</v>
      </c>
      <c r="I4997" t="s">
        <v>35</v>
      </c>
      <c r="J4997" t="s">
        <v>4339</v>
      </c>
      <c r="K4997" t="s">
        <v>2186</v>
      </c>
      <c r="L4997">
        <v>5.0999999999999996</v>
      </c>
      <c r="M4997">
        <v>311000</v>
      </c>
      <c r="N4997">
        <v>2.6</v>
      </c>
      <c r="O4997">
        <v>4</v>
      </c>
      <c r="P4997" t="s">
        <v>53</v>
      </c>
    </row>
    <row r="4998" spans="1:16" x14ac:dyDescent="0.25">
      <c r="A4998" t="s">
        <v>9717</v>
      </c>
      <c r="B4998" t="s">
        <v>4268</v>
      </c>
      <c r="C4998" t="s">
        <v>18</v>
      </c>
      <c r="D4998" t="s">
        <v>50</v>
      </c>
      <c r="E4998" t="s">
        <v>20</v>
      </c>
      <c r="F4998" t="s">
        <v>39</v>
      </c>
      <c r="G4998" t="s">
        <v>22</v>
      </c>
      <c r="H4998" t="s">
        <v>23</v>
      </c>
      <c r="I4998" t="s">
        <v>57</v>
      </c>
      <c r="J4998" t="s">
        <v>3809</v>
      </c>
      <c r="K4998" t="s">
        <v>66</v>
      </c>
      <c r="L4998">
        <v>4.2</v>
      </c>
      <c r="M4998">
        <v>158000</v>
      </c>
      <c r="N4998">
        <v>2.9</v>
      </c>
      <c r="O4998">
        <v>11</v>
      </c>
      <c r="P4998" t="s">
        <v>53</v>
      </c>
    </row>
    <row r="4999" spans="1:16" x14ac:dyDescent="0.25">
      <c r="A4999" t="s">
        <v>9718</v>
      </c>
      <c r="B4999" t="s">
        <v>8531</v>
      </c>
      <c r="C4999" t="s">
        <v>18</v>
      </c>
      <c r="D4999" t="s">
        <v>43</v>
      </c>
      <c r="E4999" t="s">
        <v>44</v>
      </c>
      <c r="F4999" t="s">
        <v>128</v>
      </c>
      <c r="G4999" t="s">
        <v>22</v>
      </c>
      <c r="H4999" t="s">
        <v>34</v>
      </c>
      <c r="I4999" t="s">
        <v>75</v>
      </c>
      <c r="J4999" t="s">
        <v>7807</v>
      </c>
      <c r="K4999" t="s">
        <v>8733</v>
      </c>
      <c r="L4999">
        <v>5.6</v>
      </c>
      <c r="M4999">
        <v>383000</v>
      </c>
      <c r="N4999">
        <v>2.6</v>
      </c>
      <c r="O4999">
        <v>9</v>
      </c>
      <c r="P4999" t="s">
        <v>114</v>
      </c>
    </row>
    <row r="5000" spans="1:16" x14ac:dyDescent="0.25">
      <c r="A5000" t="s">
        <v>9719</v>
      </c>
      <c r="B5000" t="s">
        <v>8267</v>
      </c>
      <c r="D5000" t="s">
        <v>19</v>
      </c>
      <c r="E5000" t="s">
        <v>44</v>
      </c>
      <c r="F5000" t="s">
        <v>32</v>
      </c>
      <c r="G5000" t="s">
        <v>22</v>
      </c>
      <c r="H5000" t="s">
        <v>34</v>
      </c>
      <c r="I5000" t="s">
        <v>24</v>
      </c>
      <c r="J5000" t="s">
        <v>859</v>
      </c>
      <c r="K5000" t="s">
        <v>5761</v>
      </c>
      <c r="L5000">
        <v>1.3</v>
      </c>
      <c r="M5000">
        <v>305000</v>
      </c>
      <c r="N5000">
        <v>3</v>
      </c>
      <c r="O5000">
        <v>2</v>
      </c>
      <c r="P5000" t="s">
        <v>53</v>
      </c>
    </row>
    <row r="5001" spans="1:16" x14ac:dyDescent="0.25">
      <c r="A5001" t="s">
        <v>9720</v>
      </c>
      <c r="B5001" t="s">
        <v>593</v>
      </c>
      <c r="C5001" t="s">
        <v>29</v>
      </c>
      <c r="D5001" t="s">
        <v>30</v>
      </c>
      <c r="E5001" t="s">
        <v>31</v>
      </c>
      <c r="F5001" t="s">
        <v>128</v>
      </c>
      <c r="G5001" t="s">
        <v>22</v>
      </c>
      <c r="H5001" t="s">
        <v>23</v>
      </c>
      <c r="I5001" t="s">
        <v>24</v>
      </c>
      <c r="J5001" t="s">
        <v>1788</v>
      </c>
      <c r="K5001" t="s">
        <v>3062</v>
      </c>
      <c r="L5001">
        <v>4.9000000000000004</v>
      </c>
      <c r="M5001">
        <v>587000</v>
      </c>
      <c r="N5001">
        <v>2.4</v>
      </c>
      <c r="O5001">
        <v>4</v>
      </c>
      <c r="P5001" t="s">
        <v>72</v>
      </c>
    </row>
    <row r="5002" spans="1:16" x14ac:dyDescent="0.25">
      <c r="A5002" t="s">
        <v>9721</v>
      </c>
      <c r="B5002" t="s">
        <v>8877</v>
      </c>
      <c r="C5002" t="s">
        <v>18</v>
      </c>
      <c r="D5002" t="s">
        <v>19</v>
      </c>
      <c r="E5002" t="s">
        <v>20</v>
      </c>
      <c r="F5002" t="s">
        <v>32</v>
      </c>
      <c r="G5002" t="s">
        <v>22</v>
      </c>
      <c r="H5002" t="s">
        <v>46</v>
      </c>
      <c r="I5002" t="s">
        <v>24</v>
      </c>
      <c r="J5002" t="s">
        <v>2337</v>
      </c>
      <c r="L5002">
        <v>2.6</v>
      </c>
      <c r="M5002">
        <v>265000</v>
      </c>
      <c r="N5002">
        <v>3.8</v>
      </c>
      <c r="O5002">
        <v>10</v>
      </c>
      <c r="P5002" t="s">
        <v>26</v>
      </c>
    </row>
    <row r="5003" spans="1:16" x14ac:dyDescent="0.25">
      <c r="A5003" t="s">
        <v>9722</v>
      </c>
      <c r="B5003" t="s">
        <v>8321</v>
      </c>
      <c r="C5003" t="s">
        <v>18</v>
      </c>
      <c r="D5003" t="s">
        <v>79</v>
      </c>
      <c r="E5003" t="s">
        <v>44</v>
      </c>
      <c r="F5003" t="s">
        <v>21</v>
      </c>
      <c r="G5003" t="s">
        <v>22</v>
      </c>
      <c r="H5003" t="s">
        <v>46</v>
      </c>
      <c r="I5003" t="s">
        <v>35</v>
      </c>
      <c r="J5003" t="s">
        <v>149</v>
      </c>
      <c r="K5003" t="s">
        <v>770</v>
      </c>
      <c r="L5003">
        <v>2.5</v>
      </c>
      <c r="M5003">
        <v>812000</v>
      </c>
      <c r="N5003">
        <v>3.1</v>
      </c>
      <c r="O5003">
        <v>40</v>
      </c>
      <c r="P5003" t="s">
        <v>53</v>
      </c>
    </row>
    <row r="5004" spans="1:16" x14ac:dyDescent="0.25">
      <c r="A5004" t="s">
        <v>9723</v>
      </c>
      <c r="B5004" t="s">
        <v>138</v>
      </c>
      <c r="C5004" t="s">
        <v>29</v>
      </c>
      <c r="D5004" t="s">
        <v>79</v>
      </c>
      <c r="E5004" t="s">
        <v>20</v>
      </c>
      <c r="F5004" t="s">
        <v>32</v>
      </c>
      <c r="G5004" t="s">
        <v>22</v>
      </c>
      <c r="H5004" t="s">
        <v>46</v>
      </c>
      <c r="J5004" t="s">
        <v>3740</v>
      </c>
      <c r="K5004" t="s">
        <v>3982</v>
      </c>
      <c r="L5004">
        <v>3.3</v>
      </c>
      <c r="M5004">
        <v>316000</v>
      </c>
      <c r="N5004">
        <v>4.5</v>
      </c>
      <c r="O5004">
        <v>5</v>
      </c>
      <c r="P5004" t="s">
        <v>53</v>
      </c>
    </row>
    <row r="5005" spans="1:16" x14ac:dyDescent="0.25">
      <c r="A5005" t="s">
        <v>9724</v>
      </c>
      <c r="B5005" t="s">
        <v>1374</v>
      </c>
      <c r="C5005" t="s">
        <v>18</v>
      </c>
      <c r="D5005" t="s">
        <v>43</v>
      </c>
      <c r="E5005" t="s">
        <v>44</v>
      </c>
      <c r="F5005" t="s">
        <v>128</v>
      </c>
      <c r="G5005" t="s">
        <v>22</v>
      </c>
      <c r="H5005" t="s">
        <v>23</v>
      </c>
      <c r="I5005" t="s">
        <v>75</v>
      </c>
      <c r="J5005" t="s">
        <v>9725</v>
      </c>
      <c r="K5005" t="s">
        <v>9099</v>
      </c>
      <c r="L5005">
        <v>4.0999999999999996</v>
      </c>
      <c r="M5005">
        <v>495000</v>
      </c>
      <c r="N5005">
        <v>2.6</v>
      </c>
      <c r="O5005">
        <v>7</v>
      </c>
      <c r="P5005" t="s">
        <v>53</v>
      </c>
    </row>
    <row r="5006" spans="1:16" x14ac:dyDescent="0.25">
      <c r="A5006" t="s">
        <v>9726</v>
      </c>
      <c r="B5006" t="s">
        <v>7797</v>
      </c>
      <c r="D5006" t="s">
        <v>50</v>
      </c>
      <c r="E5006" t="s">
        <v>20</v>
      </c>
      <c r="F5006" t="s">
        <v>32</v>
      </c>
      <c r="G5006" t="s">
        <v>80</v>
      </c>
      <c r="H5006" t="s">
        <v>62</v>
      </c>
      <c r="I5006" t="s">
        <v>57</v>
      </c>
      <c r="J5006" t="s">
        <v>7692</v>
      </c>
      <c r="L5006">
        <v>3.6</v>
      </c>
      <c r="M5006">
        <v>202000</v>
      </c>
      <c r="N5006">
        <v>4</v>
      </c>
      <c r="O5006">
        <v>0</v>
      </c>
      <c r="P5006" t="s">
        <v>26</v>
      </c>
    </row>
    <row r="5007" spans="1:16" x14ac:dyDescent="0.25">
      <c r="A5007" t="s">
        <v>9727</v>
      </c>
      <c r="B5007" t="s">
        <v>6385</v>
      </c>
      <c r="C5007" t="s">
        <v>29</v>
      </c>
      <c r="D5007" t="s">
        <v>50</v>
      </c>
      <c r="F5007" t="s">
        <v>32</v>
      </c>
      <c r="G5007" t="s">
        <v>22</v>
      </c>
      <c r="H5007" t="s">
        <v>62</v>
      </c>
      <c r="I5007" t="s">
        <v>24</v>
      </c>
      <c r="J5007" t="s">
        <v>2737</v>
      </c>
      <c r="K5007" t="s">
        <v>6078</v>
      </c>
      <c r="L5007">
        <v>2.7</v>
      </c>
      <c r="M5007">
        <v>246000</v>
      </c>
      <c r="N5007">
        <v>3.3</v>
      </c>
      <c r="O5007">
        <v>17</v>
      </c>
      <c r="P5007" t="s">
        <v>72</v>
      </c>
    </row>
    <row r="5008" spans="1:16" x14ac:dyDescent="0.25">
      <c r="A5008" t="s">
        <v>9728</v>
      </c>
      <c r="B5008" t="s">
        <v>9729</v>
      </c>
      <c r="C5008" t="s">
        <v>29</v>
      </c>
      <c r="D5008" t="s">
        <v>79</v>
      </c>
      <c r="E5008" t="s">
        <v>20</v>
      </c>
      <c r="F5008" t="s">
        <v>39</v>
      </c>
      <c r="G5008" t="s">
        <v>22</v>
      </c>
      <c r="H5008" t="s">
        <v>62</v>
      </c>
      <c r="I5008" t="s">
        <v>24</v>
      </c>
      <c r="J5008" t="s">
        <v>5039</v>
      </c>
      <c r="L5008">
        <v>2</v>
      </c>
      <c r="M5008">
        <v>89000</v>
      </c>
      <c r="N5008">
        <v>2.8</v>
      </c>
      <c r="O5008">
        <v>10</v>
      </c>
      <c r="P5008" t="s">
        <v>26</v>
      </c>
    </row>
    <row r="5009" spans="1:16" x14ac:dyDescent="0.25">
      <c r="A5009" t="s">
        <v>9730</v>
      </c>
      <c r="B5009" t="s">
        <v>410</v>
      </c>
      <c r="C5009" t="s">
        <v>29</v>
      </c>
      <c r="D5009" t="s">
        <v>50</v>
      </c>
      <c r="E5009" t="s">
        <v>31</v>
      </c>
      <c r="F5009" t="s">
        <v>21</v>
      </c>
      <c r="G5009" t="s">
        <v>22</v>
      </c>
      <c r="H5009" t="s">
        <v>46</v>
      </c>
      <c r="I5009" t="s">
        <v>57</v>
      </c>
      <c r="J5009" t="s">
        <v>1507</v>
      </c>
      <c r="L5009">
        <v>3.1</v>
      </c>
      <c r="M5009">
        <v>699000</v>
      </c>
      <c r="N5009">
        <v>4.4000000000000004</v>
      </c>
      <c r="O5009">
        <v>2</v>
      </c>
      <c r="P5009" t="s">
        <v>26</v>
      </c>
    </row>
    <row r="5010" spans="1:16" x14ac:dyDescent="0.25">
      <c r="A5010" t="s">
        <v>9731</v>
      </c>
      <c r="B5010" t="s">
        <v>9732</v>
      </c>
      <c r="C5010" t="s">
        <v>18</v>
      </c>
      <c r="D5010" t="s">
        <v>19</v>
      </c>
      <c r="E5010" t="s">
        <v>31</v>
      </c>
      <c r="F5010" t="s">
        <v>32</v>
      </c>
      <c r="G5010" t="s">
        <v>33</v>
      </c>
      <c r="H5010" t="s">
        <v>46</v>
      </c>
      <c r="I5010" t="s">
        <v>24</v>
      </c>
      <c r="J5010" t="s">
        <v>9733</v>
      </c>
      <c r="L5010">
        <v>4.5999999999999996</v>
      </c>
      <c r="M5010">
        <v>363000</v>
      </c>
      <c r="N5010">
        <v>4.8</v>
      </c>
      <c r="O5010">
        <v>5</v>
      </c>
      <c r="P5010" t="s">
        <v>26</v>
      </c>
    </row>
    <row r="5011" spans="1:16" x14ac:dyDescent="0.25">
      <c r="A5011" t="s">
        <v>9734</v>
      </c>
      <c r="B5011" t="s">
        <v>4769</v>
      </c>
      <c r="C5011" t="s">
        <v>18</v>
      </c>
      <c r="D5011" t="s">
        <v>30</v>
      </c>
      <c r="E5011" t="s">
        <v>20</v>
      </c>
      <c r="F5011" t="s">
        <v>128</v>
      </c>
      <c r="G5011" t="s">
        <v>80</v>
      </c>
      <c r="H5011" t="s">
        <v>23</v>
      </c>
      <c r="I5011" t="s">
        <v>75</v>
      </c>
      <c r="J5011" t="s">
        <v>6635</v>
      </c>
      <c r="L5011">
        <v>6</v>
      </c>
      <c r="M5011">
        <v>444000</v>
      </c>
      <c r="N5011">
        <v>5</v>
      </c>
      <c r="O5011">
        <v>12</v>
      </c>
      <c r="P5011" t="s">
        <v>26</v>
      </c>
    </row>
    <row r="5012" spans="1:16" x14ac:dyDescent="0.25">
      <c r="A5012" t="s">
        <v>9735</v>
      </c>
      <c r="B5012" t="s">
        <v>2041</v>
      </c>
      <c r="C5012" t="s">
        <v>18</v>
      </c>
      <c r="D5012" t="s">
        <v>43</v>
      </c>
      <c r="E5012" t="s">
        <v>31</v>
      </c>
      <c r="F5012" t="s">
        <v>21</v>
      </c>
      <c r="G5012" t="s">
        <v>33</v>
      </c>
      <c r="H5012" t="s">
        <v>23</v>
      </c>
      <c r="I5012" t="s">
        <v>24</v>
      </c>
      <c r="J5012" t="s">
        <v>5351</v>
      </c>
      <c r="K5012" t="s">
        <v>1488</v>
      </c>
      <c r="L5012">
        <v>2.7</v>
      </c>
      <c r="M5012">
        <v>801000</v>
      </c>
      <c r="N5012">
        <v>3.1</v>
      </c>
      <c r="O5012">
        <v>14</v>
      </c>
      <c r="P5012" t="s">
        <v>72</v>
      </c>
    </row>
    <row r="5013" spans="1:16" x14ac:dyDescent="0.25">
      <c r="A5013" t="s">
        <v>9736</v>
      </c>
      <c r="B5013" t="s">
        <v>1820</v>
      </c>
      <c r="C5013" t="s">
        <v>18</v>
      </c>
      <c r="D5013" t="s">
        <v>79</v>
      </c>
      <c r="E5013" t="s">
        <v>20</v>
      </c>
      <c r="F5013" t="s">
        <v>32</v>
      </c>
      <c r="G5013" t="s">
        <v>22</v>
      </c>
      <c r="H5013" t="s">
        <v>34</v>
      </c>
      <c r="I5013" t="s">
        <v>24</v>
      </c>
      <c r="J5013" t="s">
        <v>7772</v>
      </c>
      <c r="L5013">
        <v>6.1</v>
      </c>
      <c r="M5013">
        <v>280000</v>
      </c>
      <c r="N5013">
        <v>5</v>
      </c>
      <c r="O5013">
        <v>11</v>
      </c>
      <c r="P5013" t="s">
        <v>26</v>
      </c>
    </row>
    <row r="5014" spans="1:16" x14ac:dyDescent="0.25">
      <c r="A5014" t="s">
        <v>9737</v>
      </c>
      <c r="B5014" t="s">
        <v>1750</v>
      </c>
      <c r="D5014" t="s">
        <v>30</v>
      </c>
      <c r="E5014" t="s">
        <v>20</v>
      </c>
      <c r="F5014" t="s">
        <v>32</v>
      </c>
      <c r="G5014" t="s">
        <v>22</v>
      </c>
      <c r="H5014" t="s">
        <v>23</v>
      </c>
      <c r="I5014" t="s">
        <v>24</v>
      </c>
      <c r="J5014" t="s">
        <v>321</v>
      </c>
      <c r="L5014">
        <v>4.3</v>
      </c>
      <c r="M5014">
        <v>312000</v>
      </c>
      <c r="N5014">
        <v>3.2</v>
      </c>
      <c r="O5014">
        <v>36</v>
      </c>
      <c r="P5014" t="s">
        <v>26</v>
      </c>
    </row>
    <row r="5015" spans="1:16" x14ac:dyDescent="0.25">
      <c r="A5015" t="s">
        <v>9738</v>
      </c>
      <c r="B5015" t="s">
        <v>3216</v>
      </c>
      <c r="C5015" t="s">
        <v>29</v>
      </c>
      <c r="D5015" t="s">
        <v>50</v>
      </c>
      <c r="E5015" t="s">
        <v>31</v>
      </c>
      <c r="F5015" t="s">
        <v>45</v>
      </c>
      <c r="G5015" t="s">
        <v>22</v>
      </c>
      <c r="H5015" t="s">
        <v>23</v>
      </c>
      <c r="I5015" t="s">
        <v>24</v>
      </c>
      <c r="J5015" t="s">
        <v>2229</v>
      </c>
      <c r="K5015" t="s">
        <v>3383</v>
      </c>
      <c r="L5015">
        <v>5.2</v>
      </c>
      <c r="M5015">
        <v>1979000</v>
      </c>
      <c r="N5015">
        <v>4.9000000000000004</v>
      </c>
      <c r="O5015">
        <v>8</v>
      </c>
      <c r="P5015" t="s">
        <v>53</v>
      </c>
    </row>
    <row r="5016" spans="1:16" x14ac:dyDescent="0.25">
      <c r="A5016" t="s">
        <v>9739</v>
      </c>
      <c r="B5016" t="s">
        <v>9740</v>
      </c>
      <c r="C5016" t="s">
        <v>29</v>
      </c>
      <c r="D5016" t="s">
        <v>43</v>
      </c>
      <c r="E5016" t="s">
        <v>44</v>
      </c>
      <c r="F5016" t="s">
        <v>21</v>
      </c>
      <c r="G5016" t="s">
        <v>22</v>
      </c>
      <c r="H5016" t="s">
        <v>62</v>
      </c>
      <c r="I5016" t="s">
        <v>24</v>
      </c>
      <c r="J5016" t="s">
        <v>2084</v>
      </c>
      <c r="L5016">
        <v>5.9</v>
      </c>
      <c r="M5016">
        <v>807000</v>
      </c>
      <c r="N5016">
        <v>5</v>
      </c>
      <c r="O5016">
        <v>2</v>
      </c>
      <c r="P5016" t="s">
        <v>26</v>
      </c>
    </row>
    <row r="5017" spans="1:16" x14ac:dyDescent="0.25">
      <c r="A5017" t="s">
        <v>4342</v>
      </c>
      <c r="B5017" t="s">
        <v>2591</v>
      </c>
      <c r="C5017" t="s">
        <v>29</v>
      </c>
      <c r="D5017" t="s">
        <v>50</v>
      </c>
      <c r="E5017" t="s">
        <v>20</v>
      </c>
      <c r="F5017" t="s">
        <v>32</v>
      </c>
      <c r="G5017" t="s">
        <v>80</v>
      </c>
      <c r="H5017" t="s">
        <v>46</v>
      </c>
      <c r="I5017" t="s">
        <v>35</v>
      </c>
      <c r="J5017" t="s">
        <v>1392</v>
      </c>
      <c r="L5017">
        <v>2.7</v>
      </c>
      <c r="M5017">
        <v>315000</v>
      </c>
      <c r="N5017">
        <v>2.1</v>
      </c>
      <c r="O5017">
        <v>4</v>
      </c>
      <c r="P5017" t="s">
        <v>26</v>
      </c>
    </row>
    <row r="5018" spans="1:16" x14ac:dyDescent="0.25">
      <c r="A5018" t="s">
        <v>9741</v>
      </c>
      <c r="B5018" t="s">
        <v>9742</v>
      </c>
      <c r="C5018" t="s">
        <v>18</v>
      </c>
      <c r="D5018" t="s">
        <v>30</v>
      </c>
      <c r="E5018" t="s">
        <v>44</v>
      </c>
      <c r="F5018" t="s">
        <v>32</v>
      </c>
      <c r="G5018" t="s">
        <v>22</v>
      </c>
      <c r="H5018" t="s">
        <v>23</v>
      </c>
      <c r="I5018" t="s">
        <v>171</v>
      </c>
      <c r="J5018" t="s">
        <v>9586</v>
      </c>
      <c r="L5018">
        <v>5</v>
      </c>
      <c r="M5018">
        <v>307000</v>
      </c>
      <c r="N5018">
        <v>2.6</v>
      </c>
      <c r="O5018">
        <v>12</v>
      </c>
      <c r="P5018" t="s">
        <v>26</v>
      </c>
    </row>
    <row r="5019" spans="1:16" x14ac:dyDescent="0.25">
      <c r="A5019" t="s">
        <v>9743</v>
      </c>
      <c r="B5019" t="s">
        <v>7859</v>
      </c>
      <c r="C5019" t="s">
        <v>18</v>
      </c>
      <c r="D5019" t="s">
        <v>30</v>
      </c>
      <c r="E5019" t="s">
        <v>20</v>
      </c>
      <c r="F5019" t="s">
        <v>32</v>
      </c>
      <c r="G5019" t="s">
        <v>22</v>
      </c>
      <c r="H5019" t="s">
        <v>23</v>
      </c>
      <c r="I5019" t="s">
        <v>171</v>
      </c>
      <c r="J5019" t="s">
        <v>3305</v>
      </c>
      <c r="L5019">
        <v>5</v>
      </c>
      <c r="M5019">
        <v>218000</v>
      </c>
      <c r="N5019">
        <v>2.9</v>
      </c>
      <c r="O5019">
        <v>9</v>
      </c>
      <c r="P5019" t="s">
        <v>26</v>
      </c>
    </row>
    <row r="5020" spans="1:16" x14ac:dyDescent="0.25">
      <c r="A5020" t="s">
        <v>9744</v>
      </c>
      <c r="B5020" t="s">
        <v>9745</v>
      </c>
      <c r="C5020" t="s">
        <v>29</v>
      </c>
      <c r="D5020" t="s">
        <v>43</v>
      </c>
      <c r="E5020" t="s">
        <v>31</v>
      </c>
      <c r="F5020" t="s">
        <v>32</v>
      </c>
      <c r="G5020" t="s">
        <v>80</v>
      </c>
      <c r="H5020" t="s">
        <v>23</v>
      </c>
      <c r="I5020" t="s">
        <v>35</v>
      </c>
      <c r="J5020" t="s">
        <v>1534</v>
      </c>
      <c r="K5020" t="s">
        <v>744</v>
      </c>
      <c r="L5020">
        <v>5.2</v>
      </c>
      <c r="M5020">
        <v>201000</v>
      </c>
      <c r="N5020">
        <v>2.9</v>
      </c>
      <c r="O5020">
        <v>4</v>
      </c>
      <c r="P5020" t="s">
        <v>53</v>
      </c>
    </row>
    <row r="5021" spans="1:16" x14ac:dyDescent="0.25">
      <c r="A5021" t="s">
        <v>9746</v>
      </c>
      <c r="B5021" t="s">
        <v>9747</v>
      </c>
      <c r="C5021" t="s">
        <v>29</v>
      </c>
      <c r="D5021" t="s">
        <v>43</v>
      </c>
      <c r="E5021" t="s">
        <v>20</v>
      </c>
      <c r="F5021" t="s">
        <v>39</v>
      </c>
      <c r="G5021" t="s">
        <v>80</v>
      </c>
      <c r="H5021" t="s">
        <v>34</v>
      </c>
      <c r="I5021" t="s">
        <v>57</v>
      </c>
      <c r="J5021" t="s">
        <v>8910</v>
      </c>
      <c r="L5021">
        <v>2.5</v>
      </c>
      <c r="M5021">
        <v>137000</v>
      </c>
      <c r="N5021">
        <v>3.3</v>
      </c>
      <c r="O5021">
        <v>5</v>
      </c>
      <c r="P5021" t="s">
        <v>26</v>
      </c>
    </row>
    <row r="5022" spans="1:16" x14ac:dyDescent="0.25">
      <c r="A5022" t="s">
        <v>9748</v>
      </c>
      <c r="B5022" t="s">
        <v>7892</v>
      </c>
      <c r="C5022" t="s">
        <v>29</v>
      </c>
      <c r="D5022" t="s">
        <v>50</v>
      </c>
      <c r="E5022" t="s">
        <v>20</v>
      </c>
      <c r="F5022" t="s">
        <v>128</v>
      </c>
      <c r="G5022" t="s">
        <v>22</v>
      </c>
      <c r="H5022" t="s">
        <v>34</v>
      </c>
      <c r="I5022" t="s">
        <v>24</v>
      </c>
      <c r="J5022" t="s">
        <v>2116</v>
      </c>
      <c r="L5022">
        <v>4</v>
      </c>
      <c r="M5022">
        <v>398000</v>
      </c>
      <c r="N5022">
        <v>2.5</v>
      </c>
      <c r="O5022">
        <v>13</v>
      </c>
      <c r="P5022" t="s">
        <v>26</v>
      </c>
    </row>
    <row r="5023" spans="1:16" x14ac:dyDescent="0.25">
      <c r="A5023" t="s">
        <v>9749</v>
      </c>
      <c r="B5023" t="s">
        <v>6247</v>
      </c>
      <c r="C5023" t="s">
        <v>29</v>
      </c>
      <c r="D5023" t="s">
        <v>50</v>
      </c>
      <c r="E5023" t="s">
        <v>31</v>
      </c>
      <c r="G5023" t="s">
        <v>22</v>
      </c>
      <c r="H5023" t="s">
        <v>23</v>
      </c>
      <c r="I5023" t="s">
        <v>57</v>
      </c>
      <c r="J5023" t="s">
        <v>7031</v>
      </c>
      <c r="L5023">
        <v>2.2999999999999998</v>
      </c>
      <c r="M5023">
        <v>287000</v>
      </c>
      <c r="N5023">
        <v>2.7</v>
      </c>
      <c r="O5023">
        <v>34</v>
      </c>
      <c r="P5023" t="s">
        <v>26</v>
      </c>
    </row>
    <row r="5024" spans="1:16" x14ac:dyDescent="0.25">
      <c r="A5024" t="s">
        <v>9750</v>
      </c>
      <c r="B5024" t="s">
        <v>6789</v>
      </c>
      <c r="C5024" t="s">
        <v>29</v>
      </c>
      <c r="D5024" t="s">
        <v>79</v>
      </c>
      <c r="E5024" t="s">
        <v>20</v>
      </c>
      <c r="F5024" t="s">
        <v>128</v>
      </c>
      <c r="G5024" t="s">
        <v>33</v>
      </c>
      <c r="H5024" t="s">
        <v>46</v>
      </c>
      <c r="I5024" t="s">
        <v>24</v>
      </c>
      <c r="J5024" t="s">
        <v>9751</v>
      </c>
      <c r="K5024" t="s">
        <v>220</v>
      </c>
      <c r="L5024">
        <v>5.5</v>
      </c>
      <c r="M5024">
        <v>515000</v>
      </c>
      <c r="N5024">
        <v>3.7</v>
      </c>
      <c r="P5024" t="s">
        <v>114</v>
      </c>
    </row>
    <row r="5025" spans="1:16" x14ac:dyDescent="0.25">
      <c r="A5025" t="s">
        <v>9752</v>
      </c>
      <c r="B5025" t="s">
        <v>6796</v>
      </c>
      <c r="C5025" t="s">
        <v>29</v>
      </c>
      <c r="D5025" t="s">
        <v>30</v>
      </c>
      <c r="E5025" t="s">
        <v>20</v>
      </c>
      <c r="F5025" t="s">
        <v>32</v>
      </c>
      <c r="G5025" t="s">
        <v>22</v>
      </c>
      <c r="H5025" t="s">
        <v>23</v>
      </c>
      <c r="I5025" t="s">
        <v>35</v>
      </c>
      <c r="J5025" t="s">
        <v>6663</v>
      </c>
      <c r="L5025">
        <v>4.2</v>
      </c>
      <c r="M5025">
        <v>188000</v>
      </c>
      <c r="N5025">
        <v>3</v>
      </c>
      <c r="O5025">
        <v>9</v>
      </c>
      <c r="P5025" t="s">
        <v>26</v>
      </c>
    </row>
    <row r="5026" spans="1:16" x14ac:dyDescent="0.25">
      <c r="A5026" t="s">
        <v>9753</v>
      </c>
      <c r="B5026" t="s">
        <v>7681</v>
      </c>
      <c r="C5026" t="s">
        <v>18</v>
      </c>
      <c r="D5026" t="s">
        <v>79</v>
      </c>
      <c r="E5026" t="s">
        <v>20</v>
      </c>
      <c r="F5026" t="s">
        <v>128</v>
      </c>
      <c r="G5026" t="s">
        <v>22</v>
      </c>
      <c r="H5026" t="s">
        <v>23</v>
      </c>
      <c r="I5026" t="s">
        <v>24</v>
      </c>
      <c r="J5026" t="s">
        <v>696</v>
      </c>
      <c r="L5026">
        <v>4.5</v>
      </c>
      <c r="M5026">
        <v>426000</v>
      </c>
      <c r="N5026">
        <v>2</v>
      </c>
      <c r="O5026">
        <v>4</v>
      </c>
      <c r="P5026" t="s">
        <v>26</v>
      </c>
    </row>
    <row r="5027" spans="1:16" x14ac:dyDescent="0.25">
      <c r="A5027" t="s">
        <v>9754</v>
      </c>
      <c r="B5027" t="s">
        <v>3586</v>
      </c>
      <c r="C5027" t="s">
        <v>18</v>
      </c>
      <c r="D5027" t="s">
        <v>30</v>
      </c>
      <c r="E5027" t="s">
        <v>20</v>
      </c>
      <c r="F5027" t="s">
        <v>21</v>
      </c>
      <c r="G5027" t="s">
        <v>33</v>
      </c>
      <c r="H5027" t="s">
        <v>46</v>
      </c>
      <c r="I5027" t="s">
        <v>24</v>
      </c>
      <c r="J5027" t="s">
        <v>5908</v>
      </c>
      <c r="K5027" t="s">
        <v>1251</v>
      </c>
      <c r="L5027">
        <v>4.9000000000000004</v>
      </c>
      <c r="M5027">
        <v>840000</v>
      </c>
      <c r="N5027">
        <v>3</v>
      </c>
      <c r="O5027">
        <v>37</v>
      </c>
      <c r="P5027" t="s">
        <v>114</v>
      </c>
    </row>
    <row r="5028" spans="1:16" x14ac:dyDescent="0.25">
      <c r="A5028" t="s">
        <v>9755</v>
      </c>
      <c r="B5028" t="s">
        <v>7458</v>
      </c>
      <c r="C5028" t="s">
        <v>18</v>
      </c>
      <c r="D5028" t="s">
        <v>79</v>
      </c>
      <c r="E5028" t="s">
        <v>20</v>
      </c>
      <c r="F5028" t="s">
        <v>128</v>
      </c>
      <c r="G5028" t="s">
        <v>22</v>
      </c>
      <c r="H5028" t="s">
        <v>34</v>
      </c>
      <c r="I5028" t="s">
        <v>171</v>
      </c>
      <c r="J5028" t="s">
        <v>3864</v>
      </c>
      <c r="K5028" t="s">
        <v>6596</v>
      </c>
      <c r="L5028">
        <v>3.3</v>
      </c>
      <c r="M5028">
        <v>429000</v>
      </c>
      <c r="N5028">
        <v>2.1</v>
      </c>
      <c r="O5028">
        <v>6</v>
      </c>
      <c r="P5028" t="s">
        <v>53</v>
      </c>
    </row>
    <row r="5029" spans="1:16" x14ac:dyDescent="0.25">
      <c r="A5029" t="s">
        <v>9756</v>
      </c>
      <c r="B5029" t="s">
        <v>9757</v>
      </c>
      <c r="C5029" t="s">
        <v>18</v>
      </c>
      <c r="D5029" t="s">
        <v>19</v>
      </c>
      <c r="E5029" t="s">
        <v>20</v>
      </c>
      <c r="F5029" t="s">
        <v>32</v>
      </c>
      <c r="G5029" t="s">
        <v>22</v>
      </c>
      <c r="H5029" t="s">
        <v>23</v>
      </c>
      <c r="I5029" t="s">
        <v>35</v>
      </c>
      <c r="J5029" t="s">
        <v>6570</v>
      </c>
      <c r="K5029" t="s">
        <v>5754</v>
      </c>
      <c r="L5029">
        <v>4.3</v>
      </c>
      <c r="M5029">
        <v>385000</v>
      </c>
      <c r="N5029">
        <v>4.9000000000000004</v>
      </c>
      <c r="O5029">
        <v>11</v>
      </c>
      <c r="P5029" t="s">
        <v>72</v>
      </c>
    </row>
    <row r="5030" spans="1:16" x14ac:dyDescent="0.25">
      <c r="A5030" t="s">
        <v>9758</v>
      </c>
      <c r="B5030" t="s">
        <v>9759</v>
      </c>
      <c r="C5030" t="s">
        <v>18</v>
      </c>
      <c r="D5030" t="s">
        <v>79</v>
      </c>
      <c r="E5030" t="s">
        <v>20</v>
      </c>
      <c r="F5030" t="s">
        <v>32</v>
      </c>
      <c r="G5030" t="s">
        <v>22</v>
      </c>
      <c r="H5030" t="s">
        <v>23</v>
      </c>
      <c r="I5030" t="s">
        <v>24</v>
      </c>
      <c r="J5030" t="s">
        <v>3472</v>
      </c>
      <c r="L5030">
        <v>3.7</v>
      </c>
      <c r="M5030">
        <v>347000</v>
      </c>
      <c r="N5030">
        <v>4.7</v>
      </c>
      <c r="O5030">
        <v>0</v>
      </c>
      <c r="P5030" t="s">
        <v>26</v>
      </c>
    </row>
    <row r="5031" spans="1:16" x14ac:dyDescent="0.25">
      <c r="A5031" t="s">
        <v>9760</v>
      </c>
      <c r="B5031" t="s">
        <v>9761</v>
      </c>
      <c r="C5031" t="s">
        <v>18</v>
      </c>
      <c r="D5031" t="s">
        <v>79</v>
      </c>
      <c r="E5031" t="s">
        <v>31</v>
      </c>
      <c r="F5031" t="s">
        <v>32</v>
      </c>
      <c r="G5031" t="s">
        <v>22</v>
      </c>
      <c r="H5031" t="s">
        <v>46</v>
      </c>
      <c r="I5031" t="s">
        <v>24</v>
      </c>
      <c r="J5031" t="s">
        <v>1372</v>
      </c>
      <c r="L5031">
        <v>2.7</v>
      </c>
      <c r="M5031">
        <v>204000</v>
      </c>
      <c r="N5031">
        <v>3.4</v>
      </c>
      <c r="O5031">
        <v>5</v>
      </c>
      <c r="P5031" t="s">
        <v>26</v>
      </c>
    </row>
    <row r="5032" spans="1:16" x14ac:dyDescent="0.25">
      <c r="A5032" t="s">
        <v>9762</v>
      </c>
      <c r="B5032" t="s">
        <v>9763</v>
      </c>
      <c r="C5032" t="s">
        <v>18</v>
      </c>
      <c r="D5032" t="s">
        <v>79</v>
      </c>
      <c r="E5032" t="s">
        <v>20</v>
      </c>
      <c r="F5032" t="s">
        <v>32</v>
      </c>
      <c r="G5032" t="s">
        <v>80</v>
      </c>
      <c r="H5032" t="s">
        <v>23</v>
      </c>
      <c r="I5032" t="s">
        <v>24</v>
      </c>
      <c r="J5032" t="s">
        <v>3376</v>
      </c>
      <c r="L5032">
        <v>1.7</v>
      </c>
      <c r="M5032">
        <v>212000</v>
      </c>
      <c r="N5032">
        <v>4.9000000000000004</v>
      </c>
      <c r="O5032">
        <v>5</v>
      </c>
      <c r="P5032" t="s">
        <v>26</v>
      </c>
    </row>
    <row r="5033" spans="1:16" x14ac:dyDescent="0.25">
      <c r="A5033" t="s">
        <v>9764</v>
      </c>
      <c r="B5033" t="s">
        <v>9464</v>
      </c>
      <c r="C5033" t="s">
        <v>29</v>
      </c>
      <c r="E5033" t="s">
        <v>20</v>
      </c>
      <c r="F5033" t="s">
        <v>32</v>
      </c>
      <c r="G5033" t="s">
        <v>22</v>
      </c>
      <c r="H5033" t="s">
        <v>62</v>
      </c>
      <c r="I5033" t="s">
        <v>57</v>
      </c>
      <c r="J5033" t="s">
        <v>3276</v>
      </c>
      <c r="K5033" t="s">
        <v>565</v>
      </c>
      <c r="L5033">
        <v>3.2</v>
      </c>
      <c r="M5033">
        <v>263000</v>
      </c>
      <c r="N5033">
        <v>3.3</v>
      </c>
      <c r="O5033">
        <v>29</v>
      </c>
      <c r="P5033" t="s">
        <v>114</v>
      </c>
    </row>
    <row r="5034" spans="1:16" x14ac:dyDescent="0.25">
      <c r="A5034" t="s">
        <v>9765</v>
      </c>
      <c r="B5034" t="s">
        <v>9766</v>
      </c>
      <c r="C5034" t="s">
        <v>18</v>
      </c>
      <c r="D5034" t="s">
        <v>30</v>
      </c>
      <c r="E5034" t="s">
        <v>20</v>
      </c>
      <c r="F5034" t="s">
        <v>39</v>
      </c>
      <c r="G5034" t="s">
        <v>22</v>
      </c>
      <c r="H5034" t="s">
        <v>46</v>
      </c>
      <c r="I5034" t="s">
        <v>35</v>
      </c>
      <c r="J5034" t="s">
        <v>2392</v>
      </c>
      <c r="K5034" t="s">
        <v>9767</v>
      </c>
      <c r="L5034">
        <v>1.8</v>
      </c>
      <c r="M5034">
        <v>96000</v>
      </c>
      <c r="N5034">
        <v>2.5</v>
      </c>
      <c r="O5034">
        <v>8</v>
      </c>
      <c r="P5034" t="s">
        <v>53</v>
      </c>
    </row>
    <row r="5035" spans="1:16" x14ac:dyDescent="0.25">
      <c r="A5035" t="s">
        <v>9768</v>
      </c>
      <c r="B5035" t="s">
        <v>6543</v>
      </c>
      <c r="C5035" t="s">
        <v>18</v>
      </c>
      <c r="D5035" t="s">
        <v>30</v>
      </c>
      <c r="E5035" t="s">
        <v>20</v>
      </c>
      <c r="F5035" t="s">
        <v>32</v>
      </c>
      <c r="G5035" t="s">
        <v>22</v>
      </c>
      <c r="H5035" t="s">
        <v>23</v>
      </c>
      <c r="I5035" t="s">
        <v>24</v>
      </c>
      <c r="J5035" t="s">
        <v>5134</v>
      </c>
      <c r="K5035" t="s">
        <v>2931</v>
      </c>
      <c r="L5035">
        <v>2.9</v>
      </c>
      <c r="M5035">
        <v>270000</v>
      </c>
      <c r="N5035">
        <v>3.4</v>
      </c>
      <c r="O5035">
        <v>1</v>
      </c>
      <c r="P5035" t="s">
        <v>53</v>
      </c>
    </row>
    <row r="5036" spans="1:16" x14ac:dyDescent="0.25">
      <c r="A5036" t="s">
        <v>9769</v>
      </c>
      <c r="B5036" t="s">
        <v>9464</v>
      </c>
      <c r="C5036" t="s">
        <v>29</v>
      </c>
      <c r="D5036" t="s">
        <v>19</v>
      </c>
      <c r="E5036" t="s">
        <v>20</v>
      </c>
      <c r="F5036" t="s">
        <v>32</v>
      </c>
      <c r="G5036" t="s">
        <v>69</v>
      </c>
      <c r="H5036" t="s">
        <v>46</v>
      </c>
      <c r="I5036" t="s">
        <v>75</v>
      </c>
      <c r="J5036" t="s">
        <v>709</v>
      </c>
      <c r="L5036">
        <v>2.7</v>
      </c>
      <c r="M5036">
        <v>240000</v>
      </c>
      <c r="N5036">
        <v>2.4</v>
      </c>
      <c r="O5036">
        <v>26</v>
      </c>
      <c r="P5036" t="s">
        <v>26</v>
      </c>
    </row>
    <row r="5037" spans="1:16" x14ac:dyDescent="0.25">
      <c r="A5037" t="s">
        <v>9770</v>
      </c>
      <c r="B5037" t="s">
        <v>4708</v>
      </c>
      <c r="C5037" t="s">
        <v>18</v>
      </c>
      <c r="D5037" t="s">
        <v>50</v>
      </c>
      <c r="E5037" t="s">
        <v>20</v>
      </c>
      <c r="F5037" t="s">
        <v>32</v>
      </c>
      <c r="G5037" t="s">
        <v>33</v>
      </c>
      <c r="H5037" t="s">
        <v>46</v>
      </c>
      <c r="I5037" t="s">
        <v>24</v>
      </c>
      <c r="J5037" t="s">
        <v>935</v>
      </c>
      <c r="L5037">
        <v>4.4000000000000004</v>
      </c>
      <c r="M5037">
        <v>286000</v>
      </c>
      <c r="N5037">
        <v>4.0999999999999996</v>
      </c>
      <c r="O5037">
        <v>8</v>
      </c>
      <c r="P5037" t="s">
        <v>26</v>
      </c>
    </row>
    <row r="5038" spans="1:16" x14ac:dyDescent="0.25">
      <c r="A5038" t="s">
        <v>9771</v>
      </c>
      <c r="B5038" t="s">
        <v>1907</v>
      </c>
      <c r="C5038" t="s">
        <v>18</v>
      </c>
      <c r="E5038" t="s">
        <v>20</v>
      </c>
      <c r="F5038" t="s">
        <v>32</v>
      </c>
      <c r="G5038" t="s">
        <v>80</v>
      </c>
      <c r="H5038" t="s">
        <v>34</v>
      </c>
      <c r="I5038" t="s">
        <v>24</v>
      </c>
      <c r="J5038" t="s">
        <v>2579</v>
      </c>
      <c r="L5038">
        <v>3.7</v>
      </c>
      <c r="M5038">
        <v>324000</v>
      </c>
      <c r="N5038">
        <v>2.8</v>
      </c>
      <c r="O5038">
        <v>15</v>
      </c>
      <c r="P5038" t="s">
        <v>26</v>
      </c>
    </row>
    <row r="5039" spans="1:16" x14ac:dyDescent="0.25">
      <c r="A5039" t="s">
        <v>9772</v>
      </c>
      <c r="B5039" t="s">
        <v>6825</v>
      </c>
      <c r="C5039" t="s">
        <v>29</v>
      </c>
      <c r="D5039" t="s">
        <v>43</v>
      </c>
      <c r="E5039" t="s">
        <v>31</v>
      </c>
      <c r="F5039" t="s">
        <v>128</v>
      </c>
      <c r="G5039" t="s">
        <v>80</v>
      </c>
      <c r="H5039" t="s">
        <v>23</v>
      </c>
      <c r="I5039" t="s">
        <v>75</v>
      </c>
      <c r="J5039" t="s">
        <v>4587</v>
      </c>
      <c r="K5039" t="s">
        <v>4607</v>
      </c>
      <c r="L5039">
        <v>1.6</v>
      </c>
      <c r="M5039">
        <v>430000</v>
      </c>
      <c r="N5039">
        <v>4.7</v>
      </c>
      <c r="O5039">
        <v>3</v>
      </c>
      <c r="P5039" t="s">
        <v>114</v>
      </c>
    </row>
    <row r="5040" spans="1:16" x14ac:dyDescent="0.25">
      <c r="A5040" t="s">
        <v>9773</v>
      </c>
      <c r="B5040" t="s">
        <v>6535</v>
      </c>
      <c r="C5040" t="s">
        <v>29</v>
      </c>
      <c r="D5040" t="s">
        <v>50</v>
      </c>
      <c r="E5040" t="s">
        <v>44</v>
      </c>
      <c r="F5040" t="s">
        <v>21</v>
      </c>
      <c r="G5040" t="s">
        <v>22</v>
      </c>
      <c r="I5040" t="s">
        <v>75</v>
      </c>
      <c r="J5040" t="s">
        <v>1197</v>
      </c>
      <c r="L5040">
        <v>2</v>
      </c>
      <c r="M5040">
        <v>731000</v>
      </c>
      <c r="N5040">
        <v>4.3</v>
      </c>
      <c r="O5040">
        <v>20</v>
      </c>
      <c r="P5040" t="s">
        <v>26</v>
      </c>
    </row>
    <row r="5041" spans="1:16" x14ac:dyDescent="0.25">
      <c r="A5041" t="s">
        <v>9774</v>
      </c>
      <c r="B5041" t="s">
        <v>6936</v>
      </c>
      <c r="C5041" t="s">
        <v>29</v>
      </c>
      <c r="D5041" t="s">
        <v>30</v>
      </c>
      <c r="E5041" t="s">
        <v>20</v>
      </c>
      <c r="F5041" t="s">
        <v>39</v>
      </c>
      <c r="G5041" t="s">
        <v>33</v>
      </c>
      <c r="H5041" t="s">
        <v>34</v>
      </c>
      <c r="I5041" t="s">
        <v>35</v>
      </c>
      <c r="J5041" t="s">
        <v>6201</v>
      </c>
      <c r="K5041" t="s">
        <v>7070</v>
      </c>
      <c r="L5041">
        <v>2</v>
      </c>
      <c r="M5041">
        <v>135000</v>
      </c>
      <c r="N5041">
        <v>3.2</v>
      </c>
      <c r="O5041">
        <v>4</v>
      </c>
      <c r="P5041" t="s">
        <v>53</v>
      </c>
    </row>
    <row r="5042" spans="1:16" x14ac:dyDescent="0.25">
      <c r="A5042" t="s">
        <v>9775</v>
      </c>
      <c r="B5042" t="s">
        <v>9776</v>
      </c>
      <c r="C5042" t="s">
        <v>29</v>
      </c>
      <c r="D5042" t="s">
        <v>43</v>
      </c>
      <c r="E5042" t="s">
        <v>20</v>
      </c>
      <c r="G5042" t="s">
        <v>33</v>
      </c>
      <c r="H5042" t="s">
        <v>34</v>
      </c>
      <c r="I5042" t="s">
        <v>57</v>
      </c>
      <c r="J5042" t="s">
        <v>1883</v>
      </c>
      <c r="K5042" t="s">
        <v>7989</v>
      </c>
      <c r="L5042">
        <v>5.9</v>
      </c>
      <c r="M5042">
        <v>1704000</v>
      </c>
      <c r="N5042">
        <v>3.7</v>
      </c>
      <c r="O5042">
        <v>1</v>
      </c>
      <c r="P5042" t="s">
        <v>72</v>
      </c>
    </row>
    <row r="5043" spans="1:16" x14ac:dyDescent="0.25">
      <c r="A5043" t="s">
        <v>9777</v>
      </c>
      <c r="B5043" t="s">
        <v>2683</v>
      </c>
      <c r="C5043" t="s">
        <v>29</v>
      </c>
      <c r="D5043" t="s">
        <v>43</v>
      </c>
      <c r="E5043" t="s">
        <v>20</v>
      </c>
      <c r="F5043" t="s">
        <v>128</v>
      </c>
      <c r="G5043" t="s">
        <v>22</v>
      </c>
      <c r="H5043" t="s">
        <v>23</v>
      </c>
      <c r="I5043" t="s">
        <v>35</v>
      </c>
      <c r="J5043" t="s">
        <v>3104</v>
      </c>
      <c r="L5043">
        <v>5.4</v>
      </c>
      <c r="M5043">
        <v>428000</v>
      </c>
      <c r="N5043">
        <v>3.2</v>
      </c>
      <c r="O5043">
        <v>12</v>
      </c>
      <c r="P5043" t="s">
        <v>26</v>
      </c>
    </row>
    <row r="5044" spans="1:16" x14ac:dyDescent="0.25">
      <c r="A5044" t="s">
        <v>9778</v>
      </c>
      <c r="B5044" t="s">
        <v>1829</v>
      </c>
      <c r="C5044" t="s">
        <v>29</v>
      </c>
      <c r="D5044" t="s">
        <v>50</v>
      </c>
      <c r="E5044" t="s">
        <v>44</v>
      </c>
      <c r="F5044" t="s">
        <v>39</v>
      </c>
      <c r="G5044" t="s">
        <v>22</v>
      </c>
      <c r="H5044" t="s">
        <v>34</v>
      </c>
      <c r="I5044" t="s">
        <v>24</v>
      </c>
      <c r="J5044" t="s">
        <v>390</v>
      </c>
      <c r="L5044">
        <v>3.1</v>
      </c>
      <c r="M5044">
        <v>171000</v>
      </c>
      <c r="N5044">
        <v>2.2999999999999998</v>
      </c>
      <c r="O5044">
        <v>1</v>
      </c>
      <c r="P5044" t="s">
        <v>26</v>
      </c>
    </row>
    <row r="5045" spans="1:16" x14ac:dyDescent="0.25">
      <c r="A5045" t="s">
        <v>9779</v>
      </c>
      <c r="B5045" t="s">
        <v>8706</v>
      </c>
      <c r="D5045" t="s">
        <v>30</v>
      </c>
      <c r="E5045" t="s">
        <v>20</v>
      </c>
      <c r="F5045" t="s">
        <v>32</v>
      </c>
      <c r="G5045" t="s">
        <v>80</v>
      </c>
      <c r="H5045" t="s">
        <v>23</v>
      </c>
      <c r="I5045" t="s">
        <v>57</v>
      </c>
      <c r="J5045" t="s">
        <v>8717</v>
      </c>
      <c r="L5045">
        <v>5</v>
      </c>
      <c r="M5045">
        <v>251000</v>
      </c>
      <c r="N5045">
        <v>3.3</v>
      </c>
      <c r="O5045">
        <v>2</v>
      </c>
      <c r="P5045" t="s">
        <v>26</v>
      </c>
    </row>
    <row r="5046" spans="1:16" x14ac:dyDescent="0.25">
      <c r="A5046" t="s">
        <v>9780</v>
      </c>
      <c r="B5046" t="s">
        <v>8948</v>
      </c>
      <c r="C5046" t="s">
        <v>29</v>
      </c>
      <c r="D5046" t="s">
        <v>19</v>
      </c>
      <c r="E5046" t="s">
        <v>44</v>
      </c>
      <c r="F5046" t="s">
        <v>32</v>
      </c>
      <c r="G5046" t="s">
        <v>80</v>
      </c>
      <c r="H5046" t="s">
        <v>23</v>
      </c>
      <c r="I5046" t="s">
        <v>35</v>
      </c>
      <c r="J5046" t="s">
        <v>2819</v>
      </c>
      <c r="K5046" t="s">
        <v>1930</v>
      </c>
      <c r="L5046">
        <v>5.7</v>
      </c>
      <c r="M5046">
        <v>317000</v>
      </c>
      <c r="N5046">
        <v>3.8</v>
      </c>
      <c r="O5046">
        <v>3</v>
      </c>
      <c r="P5046" t="s">
        <v>53</v>
      </c>
    </row>
    <row r="5047" spans="1:16" x14ac:dyDescent="0.25">
      <c r="A5047" t="s">
        <v>9781</v>
      </c>
      <c r="B5047" t="s">
        <v>747</v>
      </c>
      <c r="D5047" t="s">
        <v>50</v>
      </c>
      <c r="E5047" t="s">
        <v>20</v>
      </c>
      <c r="F5047" t="s">
        <v>32</v>
      </c>
      <c r="G5047" t="s">
        <v>22</v>
      </c>
      <c r="H5047" t="s">
        <v>46</v>
      </c>
      <c r="I5047" t="s">
        <v>24</v>
      </c>
      <c r="J5047" t="s">
        <v>2513</v>
      </c>
      <c r="L5047">
        <v>1.5</v>
      </c>
      <c r="M5047">
        <v>248000</v>
      </c>
      <c r="N5047">
        <v>2.8</v>
      </c>
      <c r="O5047">
        <v>13</v>
      </c>
      <c r="P5047" t="s">
        <v>26</v>
      </c>
    </row>
    <row r="5048" spans="1:16" x14ac:dyDescent="0.25">
      <c r="A5048" t="s">
        <v>9782</v>
      </c>
      <c r="B5048" t="s">
        <v>4580</v>
      </c>
      <c r="C5048" t="s">
        <v>18</v>
      </c>
      <c r="D5048" t="s">
        <v>50</v>
      </c>
      <c r="E5048" t="s">
        <v>20</v>
      </c>
      <c r="F5048" t="s">
        <v>39</v>
      </c>
      <c r="G5048" t="s">
        <v>22</v>
      </c>
      <c r="H5048" t="s">
        <v>62</v>
      </c>
      <c r="I5048" t="s">
        <v>24</v>
      </c>
      <c r="J5048" t="s">
        <v>4176</v>
      </c>
      <c r="K5048" t="s">
        <v>2135</v>
      </c>
      <c r="L5048">
        <v>3.6</v>
      </c>
      <c r="M5048">
        <v>150000</v>
      </c>
      <c r="N5048">
        <v>4.2</v>
      </c>
      <c r="O5048">
        <v>16</v>
      </c>
      <c r="P5048" t="s">
        <v>53</v>
      </c>
    </row>
    <row r="5049" spans="1:16" x14ac:dyDescent="0.25">
      <c r="A5049" t="s">
        <v>9783</v>
      </c>
      <c r="B5049" t="s">
        <v>9031</v>
      </c>
      <c r="C5049" t="s">
        <v>18</v>
      </c>
      <c r="D5049" t="s">
        <v>50</v>
      </c>
      <c r="E5049" t="s">
        <v>31</v>
      </c>
      <c r="G5049" t="s">
        <v>33</v>
      </c>
      <c r="H5049" t="s">
        <v>46</v>
      </c>
      <c r="I5049" t="s">
        <v>24</v>
      </c>
      <c r="J5049" t="s">
        <v>6086</v>
      </c>
      <c r="K5049" t="s">
        <v>2440</v>
      </c>
      <c r="L5049">
        <v>1.3</v>
      </c>
      <c r="M5049">
        <v>87000</v>
      </c>
      <c r="N5049">
        <v>4.8</v>
      </c>
      <c r="O5049">
        <v>2</v>
      </c>
      <c r="P5049" t="s">
        <v>53</v>
      </c>
    </row>
    <row r="5050" spans="1:16" x14ac:dyDescent="0.25">
      <c r="A5050" t="s">
        <v>9784</v>
      </c>
      <c r="B5050" t="s">
        <v>8158</v>
      </c>
      <c r="C5050" t="s">
        <v>18</v>
      </c>
      <c r="D5050" t="s">
        <v>43</v>
      </c>
      <c r="E5050" t="s">
        <v>44</v>
      </c>
      <c r="F5050" t="s">
        <v>21</v>
      </c>
      <c r="G5050" t="s">
        <v>22</v>
      </c>
      <c r="I5050" t="s">
        <v>35</v>
      </c>
      <c r="J5050" t="s">
        <v>4151</v>
      </c>
      <c r="L5050">
        <v>5</v>
      </c>
      <c r="M5050">
        <v>720000</v>
      </c>
      <c r="N5050">
        <v>3.4</v>
      </c>
      <c r="O5050">
        <v>24</v>
      </c>
      <c r="P5050" t="s">
        <v>26</v>
      </c>
    </row>
    <row r="5051" spans="1:16" x14ac:dyDescent="0.25">
      <c r="A5051" t="s">
        <v>9785</v>
      </c>
      <c r="B5051" t="s">
        <v>9786</v>
      </c>
      <c r="C5051" t="s">
        <v>18</v>
      </c>
      <c r="D5051" t="s">
        <v>50</v>
      </c>
      <c r="E5051" t="s">
        <v>20</v>
      </c>
      <c r="F5051" t="s">
        <v>128</v>
      </c>
      <c r="G5051" t="s">
        <v>22</v>
      </c>
      <c r="H5051" t="s">
        <v>62</v>
      </c>
      <c r="I5051" t="s">
        <v>24</v>
      </c>
      <c r="J5051" t="s">
        <v>9164</v>
      </c>
      <c r="L5051">
        <v>4.0999999999999996</v>
      </c>
      <c r="M5051">
        <v>526000</v>
      </c>
      <c r="N5051">
        <v>3</v>
      </c>
      <c r="O5051">
        <v>6</v>
      </c>
      <c r="P505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FF2A-E0E1-4ECD-BFDB-3CD8B7EE69C2}">
  <dimension ref="A1:V3361"/>
  <sheetViews>
    <sheetView topLeftCell="G1" workbookViewId="0">
      <selection activeCell="C6" sqref="C6"/>
    </sheetView>
  </sheetViews>
  <sheetFormatPr defaultRowHeight="15" x14ac:dyDescent="0.25"/>
  <cols>
    <col min="1" max="1" width="15" bestFit="1" customWidth="1"/>
    <col min="2" max="2" width="26" bestFit="1" customWidth="1"/>
    <col min="3" max="3" width="10" bestFit="1" customWidth="1"/>
    <col min="4" max="4" width="22.5703125" bestFit="1" customWidth="1"/>
    <col min="5" max="5" width="19.85546875" bestFit="1" customWidth="1"/>
    <col min="6" max="6" width="11.7109375" bestFit="1" customWidth="1"/>
    <col min="7" max="7" width="12.7109375" bestFit="1" customWidth="1"/>
    <col min="8" max="8" width="13.28515625" bestFit="1" customWidth="1"/>
    <col min="9" max="9" width="17.5703125" bestFit="1" customWidth="1"/>
    <col min="10" max="10" width="12.140625" bestFit="1" customWidth="1"/>
    <col min="11" max="11" width="11.7109375" bestFit="1" customWidth="1"/>
    <col min="12" max="12" width="18.5703125" bestFit="1" customWidth="1"/>
    <col min="13" max="13" width="22.7109375" style="1" bestFit="1" customWidth="1"/>
    <col min="14" max="14" width="20.85546875" bestFit="1" customWidth="1"/>
    <col min="15" max="15" width="20.42578125" bestFit="1" customWidth="1"/>
    <col min="16" max="16" width="17.7109375" bestFit="1" customWidth="1"/>
    <col min="19" max="19" width="22.5703125" bestFit="1" customWidth="1"/>
    <col min="20" max="20" width="26" bestFit="1" customWidth="1"/>
    <col min="21" max="22" width="24.85546875" bestFit="1" customWidth="1"/>
  </cols>
  <sheetData>
    <row r="1" spans="1:22" x14ac:dyDescent="0.25">
      <c r="A1" t="s">
        <v>9790</v>
      </c>
      <c r="B1" t="s">
        <v>9791</v>
      </c>
      <c r="C1" t="s">
        <v>9792</v>
      </c>
      <c r="D1" t="s">
        <v>9793</v>
      </c>
      <c r="E1" t="s">
        <v>9794</v>
      </c>
      <c r="F1" t="s">
        <v>9795</v>
      </c>
      <c r="G1" t="s">
        <v>9796</v>
      </c>
      <c r="H1" t="s">
        <v>9797</v>
      </c>
      <c r="I1" t="s">
        <v>9798</v>
      </c>
      <c r="J1" t="s">
        <v>9799</v>
      </c>
      <c r="K1" t="s">
        <v>9800</v>
      </c>
      <c r="L1" t="s">
        <v>9801</v>
      </c>
      <c r="M1" s="1" t="s">
        <v>9802</v>
      </c>
      <c r="N1" t="s">
        <v>9803</v>
      </c>
      <c r="O1" t="s">
        <v>9804</v>
      </c>
      <c r="P1" t="s">
        <v>9805</v>
      </c>
    </row>
    <row r="2" spans="1:22" x14ac:dyDescent="0.25">
      <c r="A2" s="2" t="s">
        <v>16</v>
      </c>
      <c r="B2" s="2" t="s">
        <v>17</v>
      </c>
      <c r="C2" s="2" t="s">
        <v>18</v>
      </c>
      <c r="D2" s="2" t="s">
        <v>19</v>
      </c>
      <c r="E2" s="2" t="s">
        <v>20</v>
      </c>
      <c r="F2" s="2" t="s">
        <v>21</v>
      </c>
      <c r="G2" s="2" t="s">
        <v>22</v>
      </c>
      <c r="H2" s="2" t="s">
        <v>23</v>
      </c>
      <c r="I2" s="2" t="s">
        <v>24</v>
      </c>
      <c r="J2" s="2" t="s">
        <v>25</v>
      </c>
      <c r="K2" s="2" t="s">
        <v>52</v>
      </c>
      <c r="L2">
        <v>3</v>
      </c>
      <c r="M2" s="1">
        <v>748000</v>
      </c>
      <c r="N2">
        <v>4.3</v>
      </c>
      <c r="O2">
        <v>5</v>
      </c>
      <c r="P2" s="2" t="s">
        <v>26</v>
      </c>
    </row>
    <row r="3" spans="1:22" x14ac:dyDescent="0.25">
      <c r="A3" s="2" t="s">
        <v>37</v>
      </c>
      <c r="B3" s="2" t="s">
        <v>38</v>
      </c>
      <c r="C3" s="2" t="s">
        <v>18</v>
      </c>
      <c r="D3" s="2" t="s">
        <v>19</v>
      </c>
      <c r="E3" s="2" t="s">
        <v>31</v>
      </c>
      <c r="F3" s="2" t="s">
        <v>39</v>
      </c>
      <c r="G3" s="2" t="s">
        <v>33</v>
      </c>
      <c r="H3" s="2" t="s">
        <v>34</v>
      </c>
      <c r="I3" s="2" t="s">
        <v>24</v>
      </c>
      <c r="J3" s="2" t="s">
        <v>40</v>
      </c>
      <c r="K3" s="2" t="s">
        <v>52</v>
      </c>
      <c r="L3">
        <v>4</v>
      </c>
      <c r="M3" s="1">
        <v>162000</v>
      </c>
      <c r="N3">
        <v>2.2999999999999998</v>
      </c>
      <c r="O3">
        <v>13</v>
      </c>
      <c r="P3" s="2" t="s">
        <v>26</v>
      </c>
    </row>
    <row r="4" spans="1:22" x14ac:dyDescent="0.25">
      <c r="A4" s="2" t="s">
        <v>41</v>
      </c>
      <c r="B4" s="2" t="s">
        <v>42</v>
      </c>
      <c r="C4" s="2" t="s">
        <v>18</v>
      </c>
      <c r="D4" s="2" t="s">
        <v>43</v>
      </c>
      <c r="E4" s="2" t="s">
        <v>44</v>
      </c>
      <c r="F4" s="2" t="s">
        <v>45</v>
      </c>
      <c r="G4" s="2" t="s">
        <v>22</v>
      </c>
      <c r="H4" s="2" t="s">
        <v>46</v>
      </c>
      <c r="I4" s="2" t="s">
        <v>35</v>
      </c>
      <c r="J4" s="2" t="s">
        <v>47</v>
      </c>
      <c r="K4" s="2" t="s">
        <v>52</v>
      </c>
      <c r="L4">
        <v>3</v>
      </c>
      <c r="M4" s="1">
        <v>1710000</v>
      </c>
      <c r="N4">
        <v>3.7</v>
      </c>
      <c r="O4">
        <v>13</v>
      </c>
      <c r="P4" s="2" t="s">
        <v>26</v>
      </c>
    </row>
    <row r="5" spans="1:22" x14ac:dyDescent="0.25">
      <c r="A5" s="2" t="s">
        <v>48</v>
      </c>
      <c r="B5" s="2" t="s">
        <v>49</v>
      </c>
      <c r="C5" s="2" t="s">
        <v>18</v>
      </c>
      <c r="D5" s="2" t="s">
        <v>50</v>
      </c>
      <c r="E5" s="2" t="s">
        <v>44</v>
      </c>
      <c r="F5" s="2" t="s">
        <v>45</v>
      </c>
      <c r="G5" s="2" t="s">
        <v>33</v>
      </c>
      <c r="H5" s="2" t="s">
        <v>23</v>
      </c>
      <c r="I5" s="2" t="s">
        <v>24</v>
      </c>
      <c r="J5" s="2" t="s">
        <v>51</v>
      </c>
      <c r="K5" s="2" t="s">
        <v>52</v>
      </c>
      <c r="L5">
        <v>5</v>
      </c>
      <c r="M5" s="1">
        <v>985000</v>
      </c>
      <c r="N5">
        <v>4.5999999999999996</v>
      </c>
      <c r="O5">
        <v>9</v>
      </c>
      <c r="P5" s="2" t="s">
        <v>53</v>
      </c>
      <c r="S5" s="8" t="s">
        <v>9807</v>
      </c>
      <c r="T5" s="8" t="s">
        <v>9808</v>
      </c>
      <c r="U5" s="8" t="s">
        <v>9809</v>
      </c>
    </row>
    <row r="6" spans="1:22" x14ac:dyDescent="0.25">
      <c r="A6" s="2" t="s">
        <v>54</v>
      </c>
      <c r="B6" s="2" t="s">
        <v>55</v>
      </c>
      <c r="C6" s="2" t="s">
        <v>29</v>
      </c>
      <c r="D6" s="2" t="s">
        <v>50</v>
      </c>
      <c r="E6" s="2" t="s">
        <v>20</v>
      </c>
      <c r="F6" s="2" t="s">
        <v>32</v>
      </c>
      <c r="G6" s="2" t="s">
        <v>22</v>
      </c>
      <c r="H6" s="2" t="s">
        <v>34</v>
      </c>
      <c r="I6" s="2" t="s">
        <v>57</v>
      </c>
      <c r="J6" s="2" t="s">
        <v>58</v>
      </c>
      <c r="K6" s="2" t="s">
        <v>91</v>
      </c>
      <c r="L6">
        <v>3</v>
      </c>
      <c r="M6" s="1">
        <v>181000</v>
      </c>
      <c r="N6">
        <v>2.7</v>
      </c>
      <c r="O6">
        <v>10</v>
      </c>
      <c r="P6" s="2" t="s">
        <v>26</v>
      </c>
      <c r="S6" s="5">
        <f>AVERAGE(M:M)</f>
        <v>363988.98809523811</v>
      </c>
      <c r="T6" s="6">
        <f>AVERAGE(N:N)</f>
        <v>3.4447916666666685</v>
      </c>
      <c r="U6" s="6">
        <f>AVERAGE(O:O)</f>
        <v>9.9678571428571434</v>
      </c>
    </row>
    <row r="7" spans="1:22" x14ac:dyDescent="0.25">
      <c r="A7" s="2" t="s">
        <v>59</v>
      </c>
      <c r="B7" s="2" t="s">
        <v>60</v>
      </c>
      <c r="C7" s="2" t="s">
        <v>18</v>
      </c>
      <c r="D7" s="2" t="s">
        <v>61</v>
      </c>
      <c r="E7" s="2" t="s">
        <v>20</v>
      </c>
      <c r="F7" s="2" t="s">
        <v>21</v>
      </c>
      <c r="G7" s="2" t="s">
        <v>22</v>
      </c>
      <c r="H7" s="2" t="s">
        <v>62</v>
      </c>
      <c r="I7" s="2" t="s">
        <v>57</v>
      </c>
      <c r="J7" s="2" t="s">
        <v>63</v>
      </c>
      <c r="K7" s="2" t="s">
        <v>91</v>
      </c>
      <c r="L7">
        <v>6</v>
      </c>
      <c r="M7" s="1">
        <v>1006000</v>
      </c>
      <c r="N7">
        <v>4.5999999999999996</v>
      </c>
      <c r="O7">
        <v>12</v>
      </c>
      <c r="P7" s="2" t="s">
        <v>26</v>
      </c>
    </row>
    <row r="8" spans="1:22" x14ac:dyDescent="0.25">
      <c r="A8" s="2" t="s">
        <v>77</v>
      </c>
      <c r="B8" s="2" t="s">
        <v>78</v>
      </c>
      <c r="C8" s="2" t="s">
        <v>29</v>
      </c>
      <c r="D8" s="2" t="s">
        <v>79</v>
      </c>
      <c r="E8" s="2" t="s">
        <v>20</v>
      </c>
      <c r="F8" s="2" t="s">
        <v>21</v>
      </c>
      <c r="G8" s="2" t="s">
        <v>80</v>
      </c>
      <c r="H8" s="2" t="s">
        <v>34</v>
      </c>
      <c r="I8" s="2" t="s">
        <v>57</v>
      </c>
      <c r="J8" s="2" t="s">
        <v>81</v>
      </c>
      <c r="K8" s="2" t="s">
        <v>91</v>
      </c>
      <c r="L8">
        <v>7</v>
      </c>
      <c r="M8" s="1">
        <v>754000</v>
      </c>
      <c r="N8">
        <v>3.8</v>
      </c>
      <c r="O8">
        <v>3</v>
      </c>
      <c r="P8" s="2" t="s">
        <v>26</v>
      </c>
    </row>
    <row r="9" spans="1:22" x14ac:dyDescent="0.25">
      <c r="A9" s="2" t="s">
        <v>88</v>
      </c>
      <c r="B9" s="2" t="s">
        <v>89</v>
      </c>
      <c r="C9" s="2" t="s">
        <v>18</v>
      </c>
      <c r="D9" s="2" t="s">
        <v>30</v>
      </c>
      <c r="E9" s="2" t="s">
        <v>20</v>
      </c>
      <c r="F9" s="2" t="s">
        <v>39</v>
      </c>
      <c r="G9" s="2" t="s">
        <v>22</v>
      </c>
      <c r="H9" s="2" t="s">
        <v>23</v>
      </c>
      <c r="I9" s="2" t="s">
        <v>75</v>
      </c>
      <c r="J9" s="2" t="s">
        <v>90</v>
      </c>
      <c r="K9" s="2" t="s">
        <v>91</v>
      </c>
      <c r="L9">
        <v>5</v>
      </c>
      <c r="M9" s="1">
        <v>97000</v>
      </c>
      <c r="N9">
        <v>1.7</v>
      </c>
      <c r="O9">
        <v>5</v>
      </c>
      <c r="P9" s="2" t="s">
        <v>53</v>
      </c>
      <c r="S9" s="8" t="s">
        <v>9793</v>
      </c>
      <c r="T9" s="8" t="s">
        <v>9810</v>
      </c>
      <c r="U9" s="8" t="s">
        <v>9808</v>
      </c>
      <c r="V9" s="8" t="s">
        <v>9809</v>
      </c>
    </row>
    <row r="10" spans="1:22" x14ac:dyDescent="0.25">
      <c r="A10" s="2" t="s">
        <v>92</v>
      </c>
      <c r="B10" s="2" t="s">
        <v>93</v>
      </c>
      <c r="C10" s="2" t="s">
        <v>29</v>
      </c>
      <c r="D10" s="2" t="s">
        <v>43</v>
      </c>
      <c r="E10" s="2" t="s">
        <v>20</v>
      </c>
      <c r="F10" s="2" t="s">
        <v>21</v>
      </c>
      <c r="G10" s="2" t="s">
        <v>22</v>
      </c>
      <c r="H10" s="2" t="s">
        <v>23</v>
      </c>
      <c r="I10" s="2" t="s">
        <v>24</v>
      </c>
      <c r="J10" s="2" t="s">
        <v>94</v>
      </c>
      <c r="K10" s="2" t="s">
        <v>95</v>
      </c>
      <c r="L10">
        <v>4</v>
      </c>
      <c r="M10" s="1">
        <v>689000</v>
      </c>
      <c r="N10">
        <v>4.5999999999999996</v>
      </c>
      <c r="O10">
        <v>5</v>
      </c>
      <c r="P10" s="2" t="s">
        <v>72</v>
      </c>
      <c r="S10" s="7" t="str" cm="1">
        <f t="array" ref="S10:S14">_xlfn.UNIQUE(Meridian_HR[Department],FALSE,FALSE)</f>
        <v>Information Technology</v>
      </c>
      <c r="T10" s="5">
        <f>AVERAGEIF(Meridian_HR[Department],S10,Meridian_HR[Monthly_Salary_NGN])</f>
        <v>408604.37375745527</v>
      </c>
      <c r="U10" s="6">
        <f>AVERAGEIF(Meridian_HR[Department],S10,Meridian_HR[Performance_Score])</f>
        <v>3.6170974155069509</v>
      </c>
      <c r="V10" s="6">
        <f>AVERAGEIF(Meridian_HR[Department],S10,Meridian_HR[Absenteeism_Days])</f>
        <v>10.522862823061629</v>
      </c>
    </row>
    <row r="11" spans="1:22" x14ac:dyDescent="0.25">
      <c r="A11" s="2" t="s">
        <v>96</v>
      </c>
      <c r="B11" s="2" t="s">
        <v>97</v>
      </c>
      <c r="C11" s="2" t="s">
        <v>18</v>
      </c>
      <c r="D11" s="2" t="s">
        <v>50</v>
      </c>
      <c r="E11" s="2" t="s">
        <v>20</v>
      </c>
      <c r="F11" s="2" t="s">
        <v>39</v>
      </c>
      <c r="G11" s="2" t="s">
        <v>33</v>
      </c>
      <c r="H11" s="2" t="s">
        <v>34</v>
      </c>
      <c r="I11" s="2" t="s">
        <v>57</v>
      </c>
      <c r="J11" s="2" t="s">
        <v>98</v>
      </c>
      <c r="K11" s="2" t="s">
        <v>99</v>
      </c>
      <c r="L11">
        <v>7</v>
      </c>
      <c r="M11" s="1">
        <v>171000</v>
      </c>
      <c r="N11">
        <v>3.2</v>
      </c>
      <c r="O11">
        <v>19</v>
      </c>
      <c r="P11" s="2" t="s">
        <v>53</v>
      </c>
      <c r="S11" s="7" t="str">
        <v>Human Resources</v>
      </c>
      <c r="T11" s="5">
        <f>AVERAGEIF(Meridian_HR[Department],S11,Meridian_HR[Monthly_Salary_NGN])</f>
        <v>365829.1746641075</v>
      </c>
      <c r="U11" s="6">
        <f>AVERAGEIF(Meridian_HR[Department],S11,Meridian_HR[Performance_Score])</f>
        <v>3.6211132437619926</v>
      </c>
      <c r="V11" s="6">
        <f>AVERAGEIF(Meridian_HR[Department],S11,Meridian_HR[Absenteeism_Days])</f>
        <v>10.09404990403071</v>
      </c>
    </row>
    <row r="12" spans="1:22" x14ac:dyDescent="0.25">
      <c r="A12" s="2" t="s">
        <v>104</v>
      </c>
      <c r="B12" s="2" t="s">
        <v>105</v>
      </c>
      <c r="C12" s="2" t="s">
        <v>18</v>
      </c>
      <c r="D12" s="2" t="s">
        <v>30</v>
      </c>
      <c r="E12" s="2" t="s">
        <v>44</v>
      </c>
      <c r="F12" s="2" t="s">
        <v>32</v>
      </c>
      <c r="G12" s="2" t="s">
        <v>22</v>
      </c>
      <c r="H12" s="2" t="s">
        <v>46</v>
      </c>
      <c r="I12" s="2" t="s">
        <v>24</v>
      </c>
      <c r="J12" s="2" t="s">
        <v>106</v>
      </c>
      <c r="K12" s="2" t="s">
        <v>113</v>
      </c>
      <c r="L12">
        <v>3</v>
      </c>
      <c r="M12" s="1">
        <v>235000</v>
      </c>
      <c r="N12">
        <v>2.2000000000000002</v>
      </c>
      <c r="O12">
        <v>8</v>
      </c>
      <c r="P12" s="2" t="s">
        <v>26</v>
      </c>
      <c r="S12" s="7" t="str">
        <v>Operations</v>
      </c>
      <c r="T12" s="5">
        <f>AVERAGEIF(Meridian_HR[Department],S12,Meridian_HR[Monthly_Salary_NGN])</f>
        <v>320652.43902439025</v>
      </c>
      <c r="U12" s="6">
        <f>AVERAGEIF(Meridian_HR[Department],S12,Meridian_HR[Performance_Score])</f>
        <v>3.4995121951219512</v>
      </c>
      <c r="V12" s="6">
        <f>AVERAGEIF(Meridian_HR[Department],S12,Meridian_HR[Absenteeism_Days])</f>
        <v>9.7243902439024392</v>
      </c>
    </row>
    <row r="13" spans="1:22" x14ac:dyDescent="0.25">
      <c r="A13" s="2" t="s">
        <v>110</v>
      </c>
      <c r="B13" s="2" t="s">
        <v>111</v>
      </c>
      <c r="C13" s="2" t="s">
        <v>18</v>
      </c>
      <c r="D13" s="2" t="s">
        <v>50</v>
      </c>
      <c r="E13" s="2" t="s">
        <v>20</v>
      </c>
      <c r="F13" s="2" t="s">
        <v>32</v>
      </c>
      <c r="G13" s="2" t="s">
        <v>69</v>
      </c>
      <c r="H13" s="2" t="s">
        <v>46</v>
      </c>
      <c r="I13" s="2" t="s">
        <v>75</v>
      </c>
      <c r="J13" s="2" t="s">
        <v>112</v>
      </c>
      <c r="K13" s="2" t="s">
        <v>113</v>
      </c>
      <c r="L13">
        <v>3</v>
      </c>
      <c r="M13" s="1">
        <v>271000</v>
      </c>
      <c r="N13">
        <v>2.2999999999999998</v>
      </c>
      <c r="O13">
        <v>5</v>
      </c>
      <c r="P13" s="2" t="s">
        <v>114</v>
      </c>
      <c r="S13" s="7" t="str">
        <v>Risk and Compliance</v>
      </c>
      <c r="T13" s="5">
        <f>AVERAGEIF(Meridian_HR[Department],S13,Meridian_HR[Monthly_Salary_NGN])</f>
        <v>441211.81556195964</v>
      </c>
      <c r="U13" s="6">
        <f>AVERAGEIF(Meridian_HR[Department],S13,Meridian_HR[Performance_Score])</f>
        <v>3.6097982708933722</v>
      </c>
      <c r="V13" s="6">
        <f>AVERAGEIF(Meridian_HR[Department],S13,Meridian_HR[Absenteeism_Days])</f>
        <v>9.5129682997118152</v>
      </c>
    </row>
    <row r="14" spans="1:22" x14ac:dyDescent="0.25">
      <c r="A14" s="2" t="s">
        <v>115</v>
      </c>
      <c r="B14" s="2" t="s">
        <v>116</v>
      </c>
      <c r="C14" s="2" t="s">
        <v>18</v>
      </c>
      <c r="D14" s="2" t="s">
        <v>79</v>
      </c>
      <c r="E14" s="2" t="s">
        <v>20</v>
      </c>
      <c r="F14" s="2" t="s">
        <v>21</v>
      </c>
      <c r="G14" s="2" t="s">
        <v>22</v>
      </c>
      <c r="H14" s="2" t="s">
        <v>62</v>
      </c>
      <c r="I14" s="2" t="s">
        <v>24</v>
      </c>
      <c r="J14" s="2" t="s">
        <v>117</v>
      </c>
      <c r="K14" s="2" t="s">
        <v>118</v>
      </c>
      <c r="L14">
        <v>4</v>
      </c>
      <c r="M14" s="1">
        <v>730000</v>
      </c>
      <c r="N14">
        <v>3.1</v>
      </c>
      <c r="O14">
        <v>3</v>
      </c>
      <c r="P14" s="2" t="s">
        <v>72</v>
      </c>
      <c r="S14" s="7" t="str">
        <v>Sales</v>
      </c>
      <c r="T14" s="5">
        <f>AVERAGEIF(Meridian_HR[Department],S14,Meridian_HR[Monthly_Salary_NGN])</f>
        <v>313554.74452554743</v>
      </c>
      <c r="U14" s="6">
        <f>AVERAGEIF(Meridian_HR[Department],S14,Meridian_HR[Performance_Score])</f>
        <v>3.0336982968369854</v>
      </c>
      <c r="V14" s="6">
        <f>AVERAGEIF(Meridian_HR[Department],S14,Meridian_HR[Absenteeism_Days])</f>
        <v>10.175182481751825</v>
      </c>
    </row>
    <row r="15" spans="1:22" x14ac:dyDescent="0.25">
      <c r="A15" s="2" t="s">
        <v>119</v>
      </c>
      <c r="B15" s="2" t="s">
        <v>120</v>
      </c>
      <c r="C15" s="2" t="s">
        <v>18</v>
      </c>
      <c r="D15" s="2" t="s">
        <v>50</v>
      </c>
      <c r="E15" s="2" t="s">
        <v>20</v>
      </c>
      <c r="F15" s="2" t="s">
        <v>32</v>
      </c>
      <c r="G15" s="2" t="s">
        <v>22</v>
      </c>
      <c r="H15" s="2" t="s">
        <v>23</v>
      </c>
      <c r="I15" s="2" t="s">
        <v>24</v>
      </c>
      <c r="J15" s="2" t="s">
        <v>121</v>
      </c>
      <c r="K15" s="2" t="s">
        <v>125</v>
      </c>
      <c r="L15">
        <v>3</v>
      </c>
      <c r="M15" s="1">
        <v>220000</v>
      </c>
      <c r="N15">
        <v>4</v>
      </c>
      <c r="O15">
        <v>2</v>
      </c>
      <c r="P15" s="2" t="s">
        <v>26</v>
      </c>
      <c r="T15" s="3"/>
    </row>
    <row r="16" spans="1:22" x14ac:dyDescent="0.25">
      <c r="A16" s="2" t="s">
        <v>122</v>
      </c>
      <c r="B16" s="2" t="s">
        <v>123</v>
      </c>
      <c r="C16" s="2" t="s">
        <v>29</v>
      </c>
      <c r="D16" s="2" t="s">
        <v>30</v>
      </c>
      <c r="E16" s="2" t="s">
        <v>20</v>
      </c>
      <c r="F16" s="2" t="s">
        <v>32</v>
      </c>
      <c r="G16" s="2" t="s">
        <v>69</v>
      </c>
      <c r="H16" s="2" t="s">
        <v>46</v>
      </c>
      <c r="I16" s="2" t="s">
        <v>57</v>
      </c>
      <c r="J16" s="2" t="s">
        <v>124</v>
      </c>
      <c r="K16" s="2" t="s">
        <v>125</v>
      </c>
      <c r="L16">
        <v>2</v>
      </c>
      <c r="M16" s="1">
        <v>301000</v>
      </c>
      <c r="N16">
        <v>3.7</v>
      </c>
      <c r="O16">
        <v>14</v>
      </c>
      <c r="P16" s="2" t="s">
        <v>72</v>
      </c>
      <c r="T16" s="3"/>
    </row>
    <row r="17" spans="1:22" x14ac:dyDescent="0.25">
      <c r="A17" s="2" t="s">
        <v>130</v>
      </c>
      <c r="B17" s="2" t="s">
        <v>131</v>
      </c>
      <c r="C17" s="2" t="s">
        <v>29</v>
      </c>
      <c r="D17" s="2" t="s">
        <v>43</v>
      </c>
      <c r="E17" s="2" t="s">
        <v>20</v>
      </c>
      <c r="F17" s="2" t="s">
        <v>39</v>
      </c>
      <c r="G17" s="2" t="s">
        <v>69</v>
      </c>
      <c r="H17" s="2" t="s">
        <v>23</v>
      </c>
      <c r="I17" s="2" t="s">
        <v>24</v>
      </c>
      <c r="J17" s="2" t="s">
        <v>132</v>
      </c>
      <c r="K17" s="2" t="s">
        <v>149</v>
      </c>
      <c r="L17">
        <v>3</v>
      </c>
      <c r="M17" s="1">
        <v>137000</v>
      </c>
      <c r="N17">
        <v>3.9</v>
      </c>
      <c r="O17">
        <v>0</v>
      </c>
      <c r="P17" s="2" t="s">
        <v>26</v>
      </c>
      <c r="S17" s="8" t="s">
        <v>9811</v>
      </c>
      <c r="T17" s="8" t="s">
        <v>9810</v>
      </c>
      <c r="U17" s="8" t="s">
        <v>9808</v>
      </c>
      <c r="V17" s="8" t="s">
        <v>9809</v>
      </c>
    </row>
    <row r="18" spans="1:22" x14ac:dyDescent="0.25">
      <c r="A18" s="2" t="s">
        <v>146</v>
      </c>
      <c r="B18" s="2" t="s">
        <v>147</v>
      </c>
      <c r="C18" s="2" t="s">
        <v>29</v>
      </c>
      <c r="D18" s="2" t="s">
        <v>19</v>
      </c>
      <c r="E18" s="2" t="s">
        <v>31</v>
      </c>
      <c r="F18" s="2" t="s">
        <v>32</v>
      </c>
      <c r="G18" s="2" t="s">
        <v>22</v>
      </c>
      <c r="H18" s="2" t="s">
        <v>23</v>
      </c>
      <c r="I18" s="2" t="s">
        <v>35</v>
      </c>
      <c r="J18" s="2" t="s">
        <v>148</v>
      </c>
      <c r="K18" s="2" t="s">
        <v>149</v>
      </c>
      <c r="L18">
        <v>6</v>
      </c>
      <c r="M18" s="1">
        <v>382000</v>
      </c>
      <c r="N18">
        <v>4.3</v>
      </c>
      <c r="O18">
        <v>9</v>
      </c>
      <c r="P18" s="2" t="s">
        <v>53</v>
      </c>
      <c r="S18" s="7" t="str" cm="1">
        <f t="array" ref="S18:S20">_xlfn.UNIQUE(Meridian_HR[Employment_type],FALSE,FALSE)</f>
        <v>Full-time</v>
      </c>
      <c r="T18" s="5">
        <f>AVERAGEIF(Meridian_HR[Employment_type],S18,Meridian_HR[Monthly_Salary_NGN])</f>
        <v>362307.20145852322</v>
      </c>
      <c r="U18" s="6">
        <f>AVERAGEIF(Meridian_HR[Employment_type],S18,Meridian_HR[Performance_Score])</f>
        <v>3.4389699179580706</v>
      </c>
      <c r="V18" s="6">
        <f>AVERAGEIF(Meridian_HR[Employment_type],S18,Meridian_HR[Absenteeism_Days])</f>
        <v>9.9908842297174107</v>
      </c>
    </row>
    <row r="19" spans="1:22" x14ac:dyDescent="0.25">
      <c r="A19" s="2" t="s">
        <v>150</v>
      </c>
      <c r="B19" s="2" t="s">
        <v>151</v>
      </c>
      <c r="C19" s="2" t="s">
        <v>18</v>
      </c>
      <c r="D19" s="2" t="s">
        <v>30</v>
      </c>
      <c r="E19" s="2" t="s">
        <v>20</v>
      </c>
      <c r="F19" s="2" t="s">
        <v>32</v>
      </c>
      <c r="G19" s="2" t="s">
        <v>22</v>
      </c>
      <c r="H19" s="2" t="s">
        <v>23</v>
      </c>
      <c r="I19" s="2" t="s">
        <v>24</v>
      </c>
      <c r="J19" s="2" t="s">
        <v>152</v>
      </c>
      <c r="K19" s="2" t="s">
        <v>159</v>
      </c>
      <c r="L19">
        <v>4</v>
      </c>
      <c r="M19" s="1">
        <v>202000</v>
      </c>
      <c r="N19">
        <v>2.2000000000000002</v>
      </c>
      <c r="O19">
        <v>5</v>
      </c>
      <c r="P19" s="2" t="s">
        <v>26</v>
      </c>
      <c r="S19" s="7" t="str">
        <v>Part-time</v>
      </c>
      <c r="T19" s="5">
        <f>AVERAGEIF(Meridian_HR[Employment_type],S19,Meridian_HR[Monthly_Salary_NGN])</f>
        <v>386175.51020408166</v>
      </c>
      <c r="U19" s="6">
        <f>AVERAGEIF(Meridian_HR[Employment_type],S19,Meridian_HR[Performance_Score])</f>
        <v>3.4724489795918352</v>
      </c>
      <c r="V19" s="6">
        <f>AVERAGEIF(Meridian_HR[Employment_type],S19,Meridian_HR[Absenteeism_Days])</f>
        <v>10.377551020408163</v>
      </c>
    </row>
    <row r="20" spans="1:22" x14ac:dyDescent="0.25">
      <c r="A20" s="2" t="s">
        <v>153</v>
      </c>
      <c r="B20" s="2" t="s">
        <v>154</v>
      </c>
      <c r="C20" s="2" t="s">
        <v>29</v>
      </c>
      <c r="D20" s="2" t="s">
        <v>19</v>
      </c>
      <c r="E20" s="2" t="s">
        <v>31</v>
      </c>
      <c r="F20" s="2" t="s">
        <v>39</v>
      </c>
      <c r="G20" s="2" t="s">
        <v>22</v>
      </c>
      <c r="H20" s="2" t="s">
        <v>23</v>
      </c>
      <c r="I20" s="2" t="s">
        <v>75</v>
      </c>
      <c r="J20" s="2" t="s">
        <v>155</v>
      </c>
      <c r="K20" s="2" t="s">
        <v>159</v>
      </c>
      <c r="L20">
        <v>4</v>
      </c>
      <c r="M20" s="1">
        <v>128000</v>
      </c>
      <c r="N20">
        <v>2.8</v>
      </c>
      <c r="O20">
        <v>2</v>
      </c>
      <c r="P20" s="2" t="s">
        <v>26</v>
      </c>
      <c r="S20" s="7" t="str">
        <v>Contract</v>
      </c>
      <c r="T20" s="5">
        <f>AVERAGEIF(Meridian_HR[Employment_type],S20,Meridian_HR[Monthly_Salary_NGN])</f>
        <v>353365.38461538462</v>
      </c>
      <c r="U20" s="6">
        <f>AVERAGEIF(Meridian_HR[Employment_type],S20,Meridian_HR[Performance_Score])</f>
        <v>3.4436390532544348</v>
      </c>
      <c r="V20" s="6">
        <f>AVERAGEIF(Meridian_HR[Employment_type],S20,Meridian_HR[Absenteeism_Days])</f>
        <v>9.5961538461538467</v>
      </c>
    </row>
    <row r="21" spans="1:22" x14ac:dyDescent="0.25">
      <c r="A21" s="2" t="s">
        <v>156</v>
      </c>
      <c r="B21" s="2" t="s">
        <v>157</v>
      </c>
      <c r="C21" s="2" t="s">
        <v>29</v>
      </c>
      <c r="D21" s="2" t="s">
        <v>50</v>
      </c>
      <c r="E21" s="2" t="s">
        <v>20</v>
      </c>
      <c r="F21" s="2" t="s">
        <v>128</v>
      </c>
      <c r="G21" s="2" t="s">
        <v>22</v>
      </c>
      <c r="H21" s="2" t="s">
        <v>23</v>
      </c>
      <c r="I21" s="2" t="s">
        <v>57</v>
      </c>
      <c r="J21" s="2" t="s">
        <v>158</v>
      </c>
      <c r="K21" s="2" t="s">
        <v>159</v>
      </c>
      <c r="L21">
        <v>3</v>
      </c>
      <c r="M21" s="1">
        <v>416000</v>
      </c>
      <c r="N21">
        <v>4.5</v>
      </c>
      <c r="O21">
        <v>10</v>
      </c>
      <c r="P21" s="2" t="s">
        <v>53</v>
      </c>
    </row>
    <row r="22" spans="1:22" x14ac:dyDescent="0.25">
      <c r="A22" s="2" t="s">
        <v>163</v>
      </c>
      <c r="B22" s="2" t="s">
        <v>164</v>
      </c>
      <c r="C22" s="2" t="s">
        <v>29</v>
      </c>
      <c r="D22" s="2" t="s">
        <v>19</v>
      </c>
      <c r="E22" s="2" t="s">
        <v>20</v>
      </c>
      <c r="F22" s="2" t="s">
        <v>32</v>
      </c>
      <c r="G22" s="2" t="s">
        <v>80</v>
      </c>
      <c r="H22" s="2" t="s">
        <v>34</v>
      </c>
      <c r="I22" s="2" t="s">
        <v>57</v>
      </c>
      <c r="J22" s="2" t="s">
        <v>165</v>
      </c>
      <c r="K22" s="2" t="s">
        <v>179</v>
      </c>
      <c r="L22">
        <v>2</v>
      </c>
      <c r="M22" s="1">
        <v>222000</v>
      </c>
      <c r="N22">
        <v>3.9</v>
      </c>
      <c r="O22">
        <v>22</v>
      </c>
      <c r="P22" s="2" t="s">
        <v>26</v>
      </c>
    </row>
    <row r="23" spans="1:22" x14ac:dyDescent="0.25">
      <c r="A23" s="2" t="s">
        <v>166</v>
      </c>
      <c r="B23" s="2" t="s">
        <v>167</v>
      </c>
      <c r="C23" s="2" t="s">
        <v>18</v>
      </c>
      <c r="D23" s="2" t="s">
        <v>30</v>
      </c>
      <c r="E23" s="2" t="s">
        <v>31</v>
      </c>
      <c r="F23" s="2" t="s">
        <v>21</v>
      </c>
      <c r="G23" s="2" t="s">
        <v>33</v>
      </c>
      <c r="H23" s="2" t="s">
        <v>34</v>
      </c>
      <c r="I23" s="2" t="s">
        <v>24</v>
      </c>
      <c r="J23" s="2" t="s">
        <v>168</v>
      </c>
      <c r="K23" s="2" t="s">
        <v>179</v>
      </c>
      <c r="L23">
        <v>2</v>
      </c>
      <c r="M23" s="1">
        <v>728000</v>
      </c>
      <c r="N23">
        <v>3</v>
      </c>
      <c r="O23">
        <v>3</v>
      </c>
      <c r="P23" s="2" t="s">
        <v>26</v>
      </c>
    </row>
    <row r="24" spans="1:22" x14ac:dyDescent="0.25">
      <c r="A24" s="2" t="s">
        <v>169</v>
      </c>
      <c r="B24" s="2" t="s">
        <v>170</v>
      </c>
      <c r="C24" s="2" t="s">
        <v>18</v>
      </c>
      <c r="D24" s="2" t="s">
        <v>19</v>
      </c>
      <c r="E24" s="2" t="s">
        <v>44</v>
      </c>
      <c r="F24" s="2" t="s">
        <v>39</v>
      </c>
      <c r="G24" s="2" t="s">
        <v>33</v>
      </c>
      <c r="H24" s="2" t="s">
        <v>34</v>
      </c>
      <c r="I24" s="2" t="s">
        <v>171</v>
      </c>
      <c r="J24" s="2" t="s">
        <v>172</v>
      </c>
      <c r="K24" s="2" t="s">
        <v>179</v>
      </c>
      <c r="L24">
        <v>5</v>
      </c>
      <c r="M24" s="1">
        <v>186000</v>
      </c>
      <c r="N24">
        <v>4.5999999999999996</v>
      </c>
      <c r="O24">
        <v>40</v>
      </c>
      <c r="P24" s="2" t="s">
        <v>26</v>
      </c>
    </row>
    <row r="25" spans="1:22" x14ac:dyDescent="0.25">
      <c r="A25" s="2" t="s">
        <v>173</v>
      </c>
      <c r="B25" s="2" t="s">
        <v>174</v>
      </c>
      <c r="C25" s="2" t="s">
        <v>18</v>
      </c>
      <c r="D25" s="2" t="s">
        <v>19</v>
      </c>
      <c r="E25" s="2" t="s">
        <v>20</v>
      </c>
      <c r="F25" s="2" t="s">
        <v>39</v>
      </c>
      <c r="G25" s="2" t="s">
        <v>80</v>
      </c>
      <c r="H25" s="2" t="s">
        <v>23</v>
      </c>
      <c r="I25" s="2" t="s">
        <v>35</v>
      </c>
      <c r="J25" s="2" t="s">
        <v>175</v>
      </c>
      <c r="K25" s="2" t="s">
        <v>179</v>
      </c>
      <c r="L25">
        <v>6</v>
      </c>
      <c r="M25" s="1">
        <v>156000</v>
      </c>
      <c r="N25">
        <v>3.9</v>
      </c>
      <c r="O25">
        <v>7</v>
      </c>
      <c r="P25" s="2" t="s">
        <v>26</v>
      </c>
    </row>
    <row r="26" spans="1:22" x14ac:dyDescent="0.25">
      <c r="A26" s="2" t="s">
        <v>176</v>
      </c>
      <c r="B26" s="2" t="s">
        <v>177</v>
      </c>
      <c r="C26" s="2" t="s">
        <v>18</v>
      </c>
      <c r="D26" s="2" t="s">
        <v>50</v>
      </c>
      <c r="E26" s="2" t="s">
        <v>20</v>
      </c>
      <c r="F26" s="2" t="s">
        <v>39</v>
      </c>
      <c r="G26" s="2" t="s">
        <v>69</v>
      </c>
      <c r="H26" s="2" t="s">
        <v>23</v>
      </c>
      <c r="I26" s="2" t="s">
        <v>35</v>
      </c>
      <c r="J26" s="2" t="s">
        <v>178</v>
      </c>
      <c r="K26" s="2" t="s">
        <v>179</v>
      </c>
      <c r="L26">
        <v>3</v>
      </c>
      <c r="M26" s="1">
        <v>176000</v>
      </c>
      <c r="N26">
        <v>3</v>
      </c>
      <c r="O26">
        <v>21</v>
      </c>
      <c r="P26" s="2" t="s">
        <v>53</v>
      </c>
    </row>
    <row r="27" spans="1:22" x14ac:dyDescent="0.25">
      <c r="A27" s="2" t="s">
        <v>187</v>
      </c>
      <c r="B27" s="2" t="s">
        <v>188</v>
      </c>
      <c r="C27" s="2" t="s">
        <v>29</v>
      </c>
      <c r="D27" s="2" t="s">
        <v>79</v>
      </c>
      <c r="E27" s="2" t="s">
        <v>20</v>
      </c>
      <c r="F27" s="2" t="s">
        <v>128</v>
      </c>
      <c r="G27" s="2" t="s">
        <v>22</v>
      </c>
      <c r="H27" s="2" t="s">
        <v>46</v>
      </c>
      <c r="I27" s="2" t="s">
        <v>57</v>
      </c>
      <c r="J27" s="2" t="s">
        <v>189</v>
      </c>
      <c r="K27" s="2" t="s">
        <v>203</v>
      </c>
      <c r="L27">
        <v>2</v>
      </c>
      <c r="M27" s="1">
        <v>452000</v>
      </c>
      <c r="N27">
        <v>2.7</v>
      </c>
      <c r="O27">
        <v>9</v>
      </c>
      <c r="P27" s="2" t="s">
        <v>26</v>
      </c>
    </row>
    <row r="28" spans="1:22" x14ac:dyDescent="0.25">
      <c r="A28" s="2" t="s">
        <v>200</v>
      </c>
      <c r="B28" s="2" t="s">
        <v>201</v>
      </c>
      <c r="C28" s="2" t="s">
        <v>18</v>
      </c>
      <c r="D28" s="2" t="s">
        <v>30</v>
      </c>
      <c r="E28" s="2" t="s">
        <v>20</v>
      </c>
      <c r="F28" s="2" t="s">
        <v>21</v>
      </c>
      <c r="G28" s="2" t="s">
        <v>22</v>
      </c>
      <c r="H28" s="2" t="s">
        <v>34</v>
      </c>
      <c r="I28" s="2" t="s">
        <v>24</v>
      </c>
      <c r="J28" s="2" t="s">
        <v>202</v>
      </c>
      <c r="K28" s="2" t="s">
        <v>203</v>
      </c>
      <c r="L28">
        <v>2</v>
      </c>
      <c r="M28" s="1">
        <v>629000</v>
      </c>
      <c r="N28">
        <v>4</v>
      </c>
      <c r="O28">
        <v>38</v>
      </c>
      <c r="P28" s="2" t="s">
        <v>53</v>
      </c>
    </row>
    <row r="29" spans="1:22" x14ac:dyDescent="0.25">
      <c r="A29" s="2" t="s">
        <v>204</v>
      </c>
      <c r="B29" s="2" t="s">
        <v>191</v>
      </c>
      <c r="C29" s="2" t="s">
        <v>18</v>
      </c>
      <c r="D29" s="2" t="s">
        <v>30</v>
      </c>
      <c r="E29" s="2" t="s">
        <v>20</v>
      </c>
      <c r="F29" s="2" t="s">
        <v>21</v>
      </c>
      <c r="G29" s="2" t="s">
        <v>69</v>
      </c>
      <c r="H29" s="2" t="s">
        <v>23</v>
      </c>
      <c r="I29" s="2" t="s">
        <v>57</v>
      </c>
      <c r="J29" s="2" t="s">
        <v>205</v>
      </c>
      <c r="K29" s="2" t="s">
        <v>232</v>
      </c>
      <c r="L29">
        <v>4</v>
      </c>
      <c r="M29" s="1">
        <v>770000</v>
      </c>
      <c r="N29">
        <v>5</v>
      </c>
      <c r="O29">
        <v>40</v>
      </c>
      <c r="P29" s="2" t="s">
        <v>26</v>
      </c>
    </row>
    <row r="30" spans="1:22" x14ac:dyDescent="0.25">
      <c r="A30" s="2" t="s">
        <v>212</v>
      </c>
      <c r="B30" s="2" t="s">
        <v>161</v>
      </c>
      <c r="C30" s="2" t="s">
        <v>18</v>
      </c>
      <c r="D30" s="2" t="s">
        <v>43</v>
      </c>
      <c r="E30" s="2" t="s">
        <v>20</v>
      </c>
      <c r="F30" s="2" t="s">
        <v>32</v>
      </c>
      <c r="G30" s="2" t="s">
        <v>22</v>
      </c>
      <c r="H30" s="2" t="s">
        <v>23</v>
      </c>
      <c r="I30" s="2" t="s">
        <v>35</v>
      </c>
      <c r="J30" s="2" t="s">
        <v>213</v>
      </c>
      <c r="K30" s="2" t="s">
        <v>232</v>
      </c>
      <c r="L30">
        <v>5</v>
      </c>
      <c r="M30" s="1">
        <v>233000</v>
      </c>
      <c r="N30">
        <v>2.5</v>
      </c>
      <c r="O30">
        <v>4</v>
      </c>
      <c r="P30" s="2" t="s">
        <v>26</v>
      </c>
    </row>
    <row r="31" spans="1:22" x14ac:dyDescent="0.25">
      <c r="A31" s="2" t="s">
        <v>214</v>
      </c>
      <c r="B31" s="2" t="s">
        <v>215</v>
      </c>
      <c r="C31" s="2" t="s">
        <v>29</v>
      </c>
      <c r="D31" s="2" t="s">
        <v>50</v>
      </c>
      <c r="E31" s="2" t="s">
        <v>44</v>
      </c>
      <c r="F31" s="2" t="s">
        <v>39</v>
      </c>
      <c r="G31" s="2" t="s">
        <v>22</v>
      </c>
      <c r="H31" s="2" t="s">
        <v>46</v>
      </c>
      <c r="I31" s="2" t="s">
        <v>75</v>
      </c>
      <c r="J31" s="2" t="s">
        <v>216</v>
      </c>
      <c r="K31" s="2" t="s">
        <v>232</v>
      </c>
      <c r="L31">
        <v>5</v>
      </c>
      <c r="M31" s="1">
        <v>104000</v>
      </c>
      <c r="N31">
        <v>2.2999999999999998</v>
      </c>
      <c r="O31">
        <v>8</v>
      </c>
      <c r="P31" s="2" t="s">
        <v>26</v>
      </c>
    </row>
    <row r="32" spans="1:22" x14ac:dyDescent="0.25">
      <c r="A32" s="2" t="s">
        <v>229</v>
      </c>
      <c r="B32" s="2" t="s">
        <v>230</v>
      </c>
      <c r="C32" s="2" t="s">
        <v>18</v>
      </c>
      <c r="D32" s="2" t="s">
        <v>30</v>
      </c>
      <c r="E32" s="2" t="s">
        <v>20</v>
      </c>
      <c r="F32" s="2" t="s">
        <v>39</v>
      </c>
      <c r="G32" s="2" t="s">
        <v>80</v>
      </c>
      <c r="H32" s="2" t="s">
        <v>23</v>
      </c>
      <c r="I32" s="2" t="s">
        <v>57</v>
      </c>
      <c r="J32" s="2" t="s">
        <v>231</v>
      </c>
      <c r="K32" s="2" t="s">
        <v>232</v>
      </c>
      <c r="L32">
        <v>6</v>
      </c>
      <c r="M32" s="1">
        <v>140000</v>
      </c>
      <c r="N32">
        <v>2.2999999999999998</v>
      </c>
      <c r="O32">
        <v>39</v>
      </c>
      <c r="P32" s="2" t="s">
        <v>72</v>
      </c>
    </row>
    <row r="33" spans="1:16" x14ac:dyDescent="0.25">
      <c r="A33" s="2" t="s">
        <v>236</v>
      </c>
      <c r="B33" s="2" t="s">
        <v>237</v>
      </c>
      <c r="C33" s="2" t="s">
        <v>18</v>
      </c>
      <c r="D33" s="2" t="s">
        <v>30</v>
      </c>
      <c r="E33" s="2" t="s">
        <v>20</v>
      </c>
      <c r="F33" s="2" t="s">
        <v>21</v>
      </c>
      <c r="G33" s="2" t="s">
        <v>22</v>
      </c>
      <c r="H33" s="2" t="s">
        <v>34</v>
      </c>
      <c r="I33" s="2" t="s">
        <v>171</v>
      </c>
      <c r="J33" s="2" t="s">
        <v>238</v>
      </c>
      <c r="K33" s="2" t="s">
        <v>239</v>
      </c>
      <c r="L33">
        <v>3</v>
      </c>
      <c r="M33" s="1">
        <v>903000</v>
      </c>
      <c r="N33">
        <v>4.9000000000000004</v>
      </c>
      <c r="O33">
        <v>13</v>
      </c>
      <c r="P33" s="2" t="s">
        <v>53</v>
      </c>
    </row>
    <row r="34" spans="1:16" x14ac:dyDescent="0.25">
      <c r="A34" s="2" t="s">
        <v>240</v>
      </c>
      <c r="B34" s="2" t="s">
        <v>241</v>
      </c>
      <c r="C34" s="2" t="s">
        <v>29</v>
      </c>
      <c r="D34" s="2" t="s">
        <v>43</v>
      </c>
      <c r="E34" s="2" t="s">
        <v>20</v>
      </c>
      <c r="F34" s="2" t="s">
        <v>32</v>
      </c>
      <c r="G34" s="2" t="s">
        <v>80</v>
      </c>
      <c r="H34" s="2" t="s">
        <v>46</v>
      </c>
      <c r="I34" s="2" t="s">
        <v>57</v>
      </c>
      <c r="J34" s="2" t="s">
        <v>242</v>
      </c>
      <c r="K34" s="2" t="s">
        <v>246</v>
      </c>
      <c r="L34">
        <v>5</v>
      </c>
      <c r="M34" s="1">
        <v>238000</v>
      </c>
      <c r="N34">
        <v>2.2000000000000002</v>
      </c>
      <c r="O34">
        <v>12</v>
      </c>
      <c r="P34" s="2" t="s">
        <v>26</v>
      </c>
    </row>
    <row r="35" spans="1:16" x14ac:dyDescent="0.25">
      <c r="A35" s="2" t="s">
        <v>243</v>
      </c>
      <c r="B35" s="2" t="s">
        <v>244</v>
      </c>
      <c r="C35" s="2" t="s">
        <v>18</v>
      </c>
      <c r="D35" s="2" t="s">
        <v>79</v>
      </c>
      <c r="E35" s="2" t="s">
        <v>31</v>
      </c>
      <c r="F35" s="2" t="s">
        <v>32</v>
      </c>
      <c r="G35" s="2" t="s">
        <v>80</v>
      </c>
      <c r="H35" s="2" t="s">
        <v>34</v>
      </c>
      <c r="I35" s="2" t="s">
        <v>24</v>
      </c>
      <c r="J35" s="2" t="s">
        <v>245</v>
      </c>
      <c r="K35" s="2" t="s">
        <v>246</v>
      </c>
      <c r="L35">
        <v>3</v>
      </c>
      <c r="M35" s="1">
        <v>224000</v>
      </c>
      <c r="N35">
        <v>2</v>
      </c>
      <c r="O35">
        <v>14</v>
      </c>
      <c r="P35" s="2" t="s">
        <v>53</v>
      </c>
    </row>
    <row r="36" spans="1:16" x14ac:dyDescent="0.25">
      <c r="A36" s="2" t="s">
        <v>250</v>
      </c>
      <c r="B36" s="2" t="s">
        <v>251</v>
      </c>
      <c r="C36" s="2" t="s">
        <v>18</v>
      </c>
      <c r="D36" s="2" t="s">
        <v>30</v>
      </c>
      <c r="E36" s="2" t="s">
        <v>20</v>
      </c>
      <c r="F36" s="2" t="s">
        <v>21</v>
      </c>
      <c r="G36" s="2" t="s">
        <v>22</v>
      </c>
      <c r="H36" s="2" t="s">
        <v>34</v>
      </c>
      <c r="I36" s="2" t="s">
        <v>24</v>
      </c>
      <c r="J36" s="2" t="s">
        <v>253</v>
      </c>
      <c r="K36" s="2" t="s">
        <v>257</v>
      </c>
      <c r="L36">
        <v>4</v>
      </c>
      <c r="M36" s="1">
        <v>621000</v>
      </c>
      <c r="N36">
        <v>4.2</v>
      </c>
      <c r="O36">
        <v>3</v>
      </c>
      <c r="P36" s="2" t="s">
        <v>26</v>
      </c>
    </row>
    <row r="37" spans="1:16" x14ac:dyDescent="0.25">
      <c r="A37" s="2" t="s">
        <v>254</v>
      </c>
      <c r="B37" s="2" t="s">
        <v>255</v>
      </c>
      <c r="C37" s="2" t="s">
        <v>29</v>
      </c>
      <c r="D37" s="2" t="s">
        <v>30</v>
      </c>
      <c r="E37" s="2" t="s">
        <v>20</v>
      </c>
      <c r="F37" s="2" t="s">
        <v>39</v>
      </c>
      <c r="G37" s="2" t="s">
        <v>22</v>
      </c>
      <c r="H37" s="2" t="s">
        <v>46</v>
      </c>
      <c r="I37" s="2" t="s">
        <v>57</v>
      </c>
      <c r="J37" s="2" t="s">
        <v>256</v>
      </c>
      <c r="K37" s="2" t="s">
        <v>257</v>
      </c>
      <c r="L37">
        <v>5</v>
      </c>
      <c r="M37" s="1">
        <v>141000</v>
      </c>
      <c r="N37">
        <v>2.7</v>
      </c>
      <c r="O37">
        <v>2</v>
      </c>
      <c r="P37" s="2" t="s">
        <v>53</v>
      </c>
    </row>
    <row r="38" spans="1:16" x14ac:dyDescent="0.25">
      <c r="A38" s="2" t="s">
        <v>258</v>
      </c>
      <c r="B38" s="2" t="s">
        <v>259</v>
      </c>
      <c r="C38" s="2" t="s">
        <v>29</v>
      </c>
      <c r="D38" s="2" t="s">
        <v>50</v>
      </c>
      <c r="E38" s="2" t="s">
        <v>20</v>
      </c>
      <c r="F38" s="2" t="s">
        <v>32</v>
      </c>
      <c r="G38" s="2" t="s">
        <v>80</v>
      </c>
      <c r="H38" s="2" t="s">
        <v>46</v>
      </c>
      <c r="I38" s="2" t="s">
        <v>35</v>
      </c>
      <c r="J38" s="2" t="s">
        <v>202</v>
      </c>
      <c r="K38" s="2" t="s">
        <v>286</v>
      </c>
      <c r="L38">
        <v>2</v>
      </c>
      <c r="M38" s="1">
        <v>240000</v>
      </c>
      <c r="N38">
        <v>4.0999999999999996</v>
      </c>
      <c r="O38">
        <v>12</v>
      </c>
      <c r="P38" s="2" t="s">
        <v>26</v>
      </c>
    </row>
    <row r="39" spans="1:16" x14ac:dyDescent="0.25">
      <c r="A39" s="2" t="s">
        <v>264</v>
      </c>
      <c r="B39" s="2" t="s">
        <v>265</v>
      </c>
      <c r="C39" s="2" t="s">
        <v>18</v>
      </c>
      <c r="D39" s="2" t="s">
        <v>43</v>
      </c>
      <c r="E39" s="2" t="s">
        <v>20</v>
      </c>
      <c r="F39" s="2" t="s">
        <v>39</v>
      </c>
      <c r="G39" s="2" t="s">
        <v>22</v>
      </c>
      <c r="H39" s="2" t="s">
        <v>23</v>
      </c>
      <c r="I39" s="2" t="s">
        <v>57</v>
      </c>
      <c r="J39" s="2" t="s">
        <v>266</v>
      </c>
      <c r="K39" s="2" t="s">
        <v>286</v>
      </c>
      <c r="L39">
        <v>4</v>
      </c>
      <c r="M39" s="1">
        <v>118000</v>
      </c>
      <c r="N39">
        <v>4.0999999999999996</v>
      </c>
      <c r="O39">
        <v>8</v>
      </c>
      <c r="P39" s="2" t="s">
        <v>26</v>
      </c>
    </row>
    <row r="40" spans="1:16" x14ac:dyDescent="0.25">
      <c r="A40" s="2" t="s">
        <v>270</v>
      </c>
      <c r="B40" s="2" t="s">
        <v>271</v>
      </c>
      <c r="C40" s="2" t="s">
        <v>29</v>
      </c>
      <c r="D40" s="2" t="s">
        <v>19</v>
      </c>
      <c r="E40" s="2" t="s">
        <v>20</v>
      </c>
      <c r="F40" s="2" t="s">
        <v>39</v>
      </c>
      <c r="G40" s="2" t="s">
        <v>69</v>
      </c>
      <c r="H40" s="2" t="s">
        <v>34</v>
      </c>
      <c r="I40" s="2" t="s">
        <v>24</v>
      </c>
      <c r="J40" s="2" t="s">
        <v>272</v>
      </c>
      <c r="K40" s="2" t="s">
        <v>286</v>
      </c>
      <c r="L40">
        <v>4</v>
      </c>
      <c r="M40" s="1">
        <v>198000</v>
      </c>
      <c r="N40">
        <v>2.1</v>
      </c>
      <c r="O40">
        <v>1</v>
      </c>
      <c r="P40" s="2" t="s">
        <v>26</v>
      </c>
    </row>
    <row r="41" spans="1:16" x14ac:dyDescent="0.25">
      <c r="A41" s="2" t="s">
        <v>277</v>
      </c>
      <c r="B41" s="2" t="s">
        <v>278</v>
      </c>
      <c r="C41" s="2" t="s">
        <v>29</v>
      </c>
      <c r="D41" s="2" t="s">
        <v>50</v>
      </c>
      <c r="E41" s="2" t="s">
        <v>31</v>
      </c>
      <c r="F41" s="2" t="s">
        <v>21</v>
      </c>
      <c r="G41" s="2" t="s">
        <v>80</v>
      </c>
      <c r="H41" s="2" t="s">
        <v>23</v>
      </c>
      <c r="I41" s="2" t="s">
        <v>35</v>
      </c>
      <c r="J41" s="2" t="s">
        <v>279</v>
      </c>
      <c r="K41" s="2" t="s">
        <v>286</v>
      </c>
      <c r="L41">
        <v>3</v>
      </c>
      <c r="M41" s="1">
        <v>850000</v>
      </c>
      <c r="N41">
        <v>4.2</v>
      </c>
      <c r="O41">
        <v>14</v>
      </c>
      <c r="P41" s="2" t="s">
        <v>26</v>
      </c>
    </row>
    <row r="42" spans="1:16" x14ac:dyDescent="0.25">
      <c r="A42" s="2" t="s">
        <v>280</v>
      </c>
      <c r="B42" s="2" t="s">
        <v>281</v>
      </c>
      <c r="C42" s="2" t="s">
        <v>29</v>
      </c>
      <c r="D42" s="2" t="s">
        <v>30</v>
      </c>
      <c r="E42" s="2" t="s">
        <v>20</v>
      </c>
      <c r="F42" s="2" t="s">
        <v>39</v>
      </c>
      <c r="G42" s="2" t="s">
        <v>33</v>
      </c>
      <c r="H42" s="2" t="s">
        <v>34</v>
      </c>
      <c r="I42" s="2" t="s">
        <v>57</v>
      </c>
      <c r="J42" s="2" t="s">
        <v>282</v>
      </c>
      <c r="K42" s="2" t="s">
        <v>286</v>
      </c>
      <c r="L42">
        <v>2</v>
      </c>
      <c r="M42" s="1">
        <v>95000</v>
      </c>
      <c r="N42">
        <v>1.9</v>
      </c>
      <c r="O42">
        <v>0</v>
      </c>
      <c r="P42" s="2" t="s">
        <v>26</v>
      </c>
    </row>
    <row r="43" spans="1:16" x14ac:dyDescent="0.25">
      <c r="A43" s="2" t="s">
        <v>283</v>
      </c>
      <c r="B43" s="2" t="s">
        <v>284</v>
      </c>
      <c r="C43" s="2" t="s">
        <v>18</v>
      </c>
      <c r="D43" s="2" t="s">
        <v>43</v>
      </c>
      <c r="E43" s="2" t="s">
        <v>20</v>
      </c>
      <c r="F43" s="2" t="s">
        <v>32</v>
      </c>
      <c r="G43" s="2" t="s">
        <v>22</v>
      </c>
      <c r="H43" s="2" t="s">
        <v>34</v>
      </c>
      <c r="I43" s="2" t="s">
        <v>24</v>
      </c>
      <c r="J43" s="2" t="s">
        <v>285</v>
      </c>
      <c r="K43" s="2" t="s">
        <v>286</v>
      </c>
      <c r="L43">
        <v>5</v>
      </c>
      <c r="M43" s="1">
        <v>286000</v>
      </c>
      <c r="N43">
        <v>2.5</v>
      </c>
      <c r="O43">
        <v>14</v>
      </c>
      <c r="P43" s="2" t="s">
        <v>114</v>
      </c>
    </row>
    <row r="44" spans="1:16" x14ac:dyDescent="0.25">
      <c r="A44" s="2" t="s">
        <v>287</v>
      </c>
      <c r="B44" s="2" t="s">
        <v>288</v>
      </c>
      <c r="C44" s="2" t="s">
        <v>18</v>
      </c>
      <c r="D44" s="2" t="s">
        <v>43</v>
      </c>
      <c r="E44" s="2" t="s">
        <v>20</v>
      </c>
      <c r="F44" s="2" t="s">
        <v>128</v>
      </c>
      <c r="G44" s="2" t="s">
        <v>22</v>
      </c>
      <c r="H44" s="2" t="s">
        <v>34</v>
      </c>
      <c r="I44" s="2" t="s">
        <v>35</v>
      </c>
      <c r="J44" s="2" t="s">
        <v>289</v>
      </c>
      <c r="K44" s="2" t="s">
        <v>299</v>
      </c>
      <c r="L44">
        <v>5</v>
      </c>
      <c r="M44" s="1">
        <v>479000</v>
      </c>
      <c r="N44">
        <v>4.9000000000000004</v>
      </c>
      <c r="O44">
        <v>21</v>
      </c>
      <c r="P44" s="2" t="s">
        <v>26</v>
      </c>
    </row>
    <row r="45" spans="1:16" x14ac:dyDescent="0.25">
      <c r="A45" s="2" t="s">
        <v>290</v>
      </c>
      <c r="B45" s="2" t="s">
        <v>291</v>
      </c>
      <c r="C45" s="2" t="s">
        <v>29</v>
      </c>
      <c r="D45" s="2" t="s">
        <v>19</v>
      </c>
      <c r="E45" s="2" t="s">
        <v>20</v>
      </c>
      <c r="F45" s="2" t="s">
        <v>39</v>
      </c>
      <c r="G45" s="2" t="s">
        <v>22</v>
      </c>
      <c r="H45" s="2" t="s">
        <v>46</v>
      </c>
      <c r="I45" s="2" t="s">
        <v>57</v>
      </c>
      <c r="J45" s="2" t="s">
        <v>292</v>
      </c>
      <c r="K45" s="2" t="s">
        <v>299</v>
      </c>
      <c r="L45">
        <v>3</v>
      </c>
      <c r="M45" s="1">
        <v>104000</v>
      </c>
      <c r="N45">
        <v>2.9</v>
      </c>
      <c r="O45">
        <v>3</v>
      </c>
      <c r="P45" s="2" t="s">
        <v>26</v>
      </c>
    </row>
    <row r="46" spans="1:16" x14ac:dyDescent="0.25">
      <c r="A46" s="2" t="s">
        <v>293</v>
      </c>
      <c r="B46" s="2" t="s">
        <v>294</v>
      </c>
      <c r="C46" s="2" t="s">
        <v>18</v>
      </c>
      <c r="D46" s="2" t="s">
        <v>50</v>
      </c>
      <c r="E46" s="2" t="s">
        <v>31</v>
      </c>
      <c r="F46" s="2" t="s">
        <v>32</v>
      </c>
      <c r="G46" s="2" t="s">
        <v>22</v>
      </c>
      <c r="H46" s="2" t="s">
        <v>23</v>
      </c>
      <c r="I46" s="2" t="s">
        <v>24</v>
      </c>
      <c r="J46" s="2" t="s">
        <v>295</v>
      </c>
      <c r="K46" s="2" t="s">
        <v>299</v>
      </c>
      <c r="L46">
        <v>4</v>
      </c>
      <c r="M46" s="1">
        <v>261000</v>
      </c>
      <c r="N46">
        <v>3.8</v>
      </c>
      <c r="O46">
        <v>5</v>
      </c>
      <c r="P46" s="2" t="s">
        <v>26</v>
      </c>
    </row>
    <row r="47" spans="1:16" x14ac:dyDescent="0.25">
      <c r="A47" s="2" t="s">
        <v>296</v>
      </c>
      <c r="B47" s="2" t="s">
        <v>297</v>
      </c>
      <c r="C47" s="2" t="s">
        <v>29</v>
      </c>
      <c r="D47" s="2" t="s">
        <v>30</v>
      </c>
      <c r="E47" s="2" t="s">
        <v>44</v>
      </c>
      <c r="F47" s="2" t="s">
        <v>39</v>
      </c>
      <c r="G47" s="2" t="s">
        <v>80</v>
      </c>
      <c r="H47" s="2" t="s">
        <v>23</v>
      </c>
      <c r="I47" s="2" t="s">
        <v>75</v>
      </c>
      <c r="J47" s="2" t="s">
        <v>298</v>
      </c>
      <c r="K47" s="2" t="s">
        <v>299</v>
      </c>
      <c r="L47">
        <v>4</v>
      </c>
      <c r="M47" s="1">
        <v>107000</v>
      </c>
      <c r="N47">
        <v>3.2</v>
      </c>
      <c r="O47">
        <v>8</v>
      </c>
      <c r="P47" s="2" t="s">
        <v>53</v>
      </c>
    </row>
    <row r="48" spans="1:16" x14ac:dyDescent="0.25">
      <c r="A48" s="2" t="s">
        <v>300</v>
      </c>
      <c r="B48" s="2" t="s">
        <v>301</v>
      </c>
      <c r="C48" s="2" t="s">
        <v>18</v>
      </c>
      <c r="D48" s="2" t="s">
        <v>50</v>
      </c>
      <c r="E48" s="2" t="s">
        <v>20</v>
      </c>
      <c r="F48" s="2" t="s">
        <v>21</v>
      </c>
      <c r="G48" s="2" t="s">
        <v>80</v>
      </c>
      <c r="H48" s="2" t="s">
        <v>34</v>
      </c>
      <c r="I48" s="2" t="s">
        <v>75</v>
      </c>
      <c r="J48" s="2" t="s">
        <v>302</v>
      </c>
      <c r="K48" s="2" t="s">
        <v>306</v>
      </c>
      <c r="L48">
        <v>3</v>
      </c>
      <c r="M48" s="1">
        <v>631000</v>
      </c>
      <c r="N48">
        <v>4.4000000000000004</v>
      </c>
      <c r="O48">
        <v>11</v>
      </c>
      <c r="P48" s="2" t="s">
        <v>26</v>
      </c>
    </row>
    <row r="49" spans="1:16" x14ac:dyDescent="0.25">
      <c r="A49" s="2" t="s">
        <v>303</v>
      </c>
      <c r="B49" s="2" t="s">
        <v>304</v>
      </c>
      <c r="C49" s="2" t="s">
        <v>18</v>
      </c>
      <c r="D49" s="2" t="s">
        <v>30</v>
      </c>
      <c r="E49" s="2" t="s">
        <v>20</v>
      </c>
      <c r="F49" s="2" t="s">
        <v>39</v>
      </c>
      <c r="G49" s="2" t="s">
        <v>22</v>
      </c>
      <c r="H49" s="2" t="s">
        <v>34</v>
      </c>
      <c r="I49" s="2" t="s">
        <v>24</v>
      </c>
      <c r="J49" s="2" t="s">
        <v>305</v>
      </c>
      <c r="K49" s="2" t="s">
        <v>306</v>
      </c>
      <c r="L49">
        <v>3</v>
      </c>
      <c r="M49" s="1">
        <v>163000</v>
      </c>
      <c r="N49">
        <v>1.8</v>
      </c>
      <c r="O49">
        <v>10</v>
      </c>
      <c r="P49" s="2" t="s">
        <v>72</v>
      </c>
    </row>
    <row r="50" spans="1:16" x14ac:dyDescent="0.25">
      <c r="A50" s="2" t="s">
        <v>307</v>
      </c>
      <c r="B50" s="2" t="s">
        <v>308</v>
      </c>
      <c r="C50" s="2" t="s">
        <v>29</v>
      </c>
      <c r="D50" s="2" t="s">
        <v>50</v>
      </c>
      <c r="E50" s="2" t="s">
        <v>20</v>
      </c>
      <c r="F50" s="2" t="s">
        <v>128</v>
      </c>
      <c r="G50" s="2" t="s">
        <v>22</v>
      </c>
      <c r="H50" s="2" t="s">
        <v>34</v>
      </c>
      <c r="I50" s="2" t="s">
        <v>24</v>
      </c>
      <c r="J50" s="2" t="s">
        <v>309</v>
      </c>
      <c r="K50" s="2" t="s">
        <v>317</v>
      </c>
      <c r="L50">
        <v>6</v>
      </c>
      <c r="M50" s="1">
        <v>524000</v>
      </c>
      <c r="N50">
        <v>2.2999999999999998</v>
      </c>
      <c r="O50">
        <v>3</v>
      </c>
      <c r="P50" s="2" t="s">
        <v>26</v>
      </c>
    </row>
    <row r="51" spans="1:16" x14ac:dyDescent="0.25">
      <c r="A51" s="2" t="s">
        <v>314</v>
      </c>
      <c r="B51" s="2" t="s">
        <v>315</v>
      </c>
      <c r="C51" s="2" t="s">
        <v>29</v>
      </c>
      <c r="D51" s="2" t="s">
        <v>30</v>
      </c>
      <c r="E51" s="2" t="s">
        <v>20</v>
      </c>
      <c r="F51" s="2" t="s">
        <v>32</v>
      </c>
      <c r="G51" s="2" t="s">
        <v>22</v>
      </c>
      <c r="H51" s="2" t="s">
        <v>34</v>
      </c>
      <c r="I51" s="2" t="s">
        <v>35</v>
      </c>
      <c r="J51" s="2" t="s">
        <v>316</v>
      </c>
      <c r="K51" s="2" t="s">
        <v>317</v>
      </c>
      <c r="L51">
        <v>3</v>
      </c>
      <c r="M51" s="1">
        <v>200000</v>
      </c>
      <c r="N51">
        <v>1.6</v>
      </c>
      <c r="O51">
        <v>2</v>
      </c>
      <c r="P51" s="2" t="s">
        <v>114</v>
      </c>
    </row>
    <row r="52" spans="1:16" x14ac:dyDescent="0.25">
      <c r="A52" s="2" t="s">
        <v>322</v>
      </c>
      <c r="B52" s="2" t="s">
        <v>323</v>
      </c>
      <c r="C52" s="2" t="s">
        <v>18</v>
      </c>
      <c r="D52" s="2" t="s">
        <v>30</v>
      </c>
      <c r="E52" s="2" t="s">
        <v>31</v>
      </c>
      <c r="F52" s="2" t="s">
        <v>128</v>
      </c>
      <c r="G52" s="2" t="s">
        <v>22</v>
      </c>
      <c r="H52" s="2" t="s">
        <v>62</v>
      </c>
      <c r="I52" s="2" t="s">
        <v>24</v>
      </c>
      <c r="J52" s="2" t="s">
        <v>324</v>
      </c>
      <c r="K52" s="2" t="s">
        <v>335</v>
      </c>
      <c r="L52">
        <v>2</v>
      </c>
      <c r="M52" s="1">
        <v>470000</v>
      </c>
      <c r="N52">
        <v>2.8</v>
      </c>
      <c r="O52">
        <v>2</v>
      </c>
      <c r="P52" s="2" t="s">
        <v>26</v>
      </c>
    </row>
    <row r="53" spans="1:16" x14ac:dyDescent="0.25">
      <c r="A53" s="2" t="s">
        <v>329</v>
      </c>
      <c r="B53" s="2" t="s">
        <v>330</v>
      </c>
      <c r="C53" s="2" t="s">
        <v>18</v>
      </c>
      <c r="D53" s="2" t="s">
        <v>79</v>
      </c>
      <c r="E53" s="2" t="s">
        <v>31</v>
      </c>
      <c r="F53" s="2" t="s">
        <v>128</v>
      </c>
      <c r="G53" s="2" t="s">
        <v>22</v>
      </c>
      <c r="H53" s="2" t="s">
        <v>34</v>
      </c>
      <c r="I53" s="2" t="s">
        <v>57</v>
      </c>
      <c r="J53" s="2" t="s">
        <v>331</v>
      </c>
      <c r="K53" s="2" t="s">
        <v>335</v>
      </c>
      <c r="L53">
        <v>6</v>
      </c>
      <c r="M53" s="1">
        <v>350000</v>
      </c>
      <c r="N53">
        <v>4.9000000000000004</v>
      </c>
      <c r="O53">
        <v>11</v>
      </c>
      <c r="P53" s="2" t="s">
        <v>26</v>
      </c>
    </row>
    <row r="54" spans="1:16" x14ac:dyDescent="0.25">
      <c r="A54" s="2" t="s">
        <v>332</v>
      </c>
      <c r="B54" s="2" t="s">
        <v>333</v>
      </c>
      <c r="C54" s="2" t="s">
        <v>18</v>
      </c>
      <c r="D54" s="2" t="s">
        <v>50</v>
      </c>
      <c r="E54" s="2" t="s">
        <v>31</v>
      </c>
      <c r="F54" s="2" t="s">
        <v>21</v>
      </c>
      <c r="G54" s="2" t="s">
        <v>33</v>
      </c>
      <c r="H54" s="2" t="s">
        <v>23</v>
      </c>
      <c r="I54" s="2" t="s">
        <v>57</v>
      </c>
      <c r="J54" s="2" t="s">
        <v>334</v>
      </c>
      <c r="K54" s="2" t="s">
        <v>335</v>
      </c>
      <c r="L54">
        <v>6</v>
      </c>
      <c r="M54" s="1">
        <v>828000</v>
      </c>
      <c r="N54">
        <v>3.8</v>
      </c>
      <c r="O54">
        <v>5</v>
      </c>
      <c r="P54" s="2" t="s">
        <v>53</v>
      </c>
    </row>
    <row r="55" spans="1:16" x14ac:dyDescent="0.25">
      <c r="A55" s="2" t="s">
        <v>336</v>
      </c>
      <c r="B55" s="2" t="s">
        <v>337</v>
      </c>
      <c r="C55" s="2" t="s">
        <v>29</v>
      </c>
      <c r="D55" s="2" t="s">
        <v>30</v>
      </c>
      <c r="E55" s="2" t="s">
        <v>44</v>
      </c>
      <c r="F55" s="2" t="s">
        <v>128</v>
      </c>
      <c r="G55" s="2" t="s">
        <v>22</v>
      </c>
      <c r="H55" s="2" t="s">
        <v>46</v>
      </c>
      <c r="I55" s="2" t="s">
        <v>24</v>
      </c>
      <c r="J55" s="2" t="s">
        <v>338</v>
      </c>
      <c r="K55" s="2" t="s">
        <v>339</v>
      </c>
      <c r="L55">
        <v>5</v>
      </c>
      <c r="M55" s="1">
        <v>568000</v>
      </c>
      <c r="N55">
        <v>2.9</v>
      </c>
      <c r="O55">
        <v>2</v>
      </c>
      <c r="P55" s="2" t="s">
        <v>72</v>
      </c>
    </row>
    <row r="56" spans="1:16" x14ac:dyDescent="0.25">
      <c r="A56" s="2" t="s">
        <v>340</v>
      </c>
      <c r="B56" s="2" t="s">
        <v>341</v>
      </c>
      <c r="C56" s="2" t="s">
        <v>18</v>
      </c>
      <c r="D56" s="2" t="s">
        <v>50</v>
      </c>
      <c r="E56" s="2" t="s">
        <v>20</v>
      </c>
      <c r="F56" s="2" t="s">
        <v>32</v>
      </c>
      <c r="G56" s="2" t="s">
        <v>22</v>
      </c>
      <c r="H56" s="2" t="s">
        <v>34</v>
      </c>
      <c r="I56" s="2" t="s">
        <v>24</v>
      </c>
      <c r="J56" s="2" t="s">
        <v>342</v>
      </c>
      <c r="K56" s="2" t="s">
        <v>391</v>
      </c>
      <c r="L56">
        <v>4</v>
      </c>
      <c r="M56" s="1">
        <v>187000</v>
      </c>
      <c r="N56">
        <v>4.0999999999999996</v>
      </c>
      <c r="O56">
        <v>29</v>
      </c>
      <c r="P56" s="2" t="s">
        <v>26</v>
      </c>
    </row>
    <row r="57" spans="1:16" x14ac:dyDescent="0.25">
      <c r="A57" s="2" t="s">
        <v>346</v>
      </c>
      <c r="B57" s="2" t="s">
        <v>347</v>
      </c>
      <c r="C57" s="2" t="s">
        <v>18</v>
      </c>
      <c r="D57" s="2" t="s">
        <v>79</v>
      </c>
      <c r="E57" s="2" t="s">
        <v>20</v>
      </c>
      <c r="F57" s="2" t="s">
        <v>128</v>
      </c>
      <c r="G57" s="2" t="s">
        <v>80</v>
      </c>
      <c r="H57" s="2" t="s">
        <v>62</v>
      </c>
      <c r="I57" s="2" t="s">
        <v>171</v>
      </c>
      <c r="J57" s="2" t="s">
        <v>348</v>
      </c>
      <c r="K57" s="2" t="s">
        <v>391</v>
      </c>
      <c r="L57">
        <v>5</v>
      </c>
      <c r="M57" s="1">
        <v>540000</v>
      </c>
      <c r="N57">
        <v>3.9</v>
      </c>
      <c r="O57">
        <v>7</v>
      </c>
      <c r="P57" s="2" t="s">
        <v>26</v>
      </c>
    </row>
    <row r="58" spans="1:16" x14ac:dyDescent="0.25">
      <c r="A58" s="2" t="s">
        <v>349</v>
      </c>
      <c r="B58" s="2" t="s">
        <v>350</v>
      </c>
      <c r="C58" s="2" t="s">
        <v>29</v>
      </c>
      <c r="D58" s="2" t="s">
        <v>30</v>
      </c>
      <c r="E58" s="2" t="s">
        <v>20</v>
      </c>
      <c r="F58" s="2" t="s">
        <v>32</v>
      </c>
      <c r="G58" s="2" t="s">
        <v>22</v>
      </c>
      <c r="H58" s="2" t="s">
        <v>46</v>
      </c>
      <c r="I58" s="2" t="s">
        <v>75</v>
      </c>
      <c r="J58" s="2" t="s">
        <v>351</v>
      </c>
      <c r="K58" s="2" t="s">
        <v>391</v>
      </c>
      <c r="L58">
        <v>6</v>
      </c>
      <c r="M58" s="1">
        <v>310000</v>
      </c>
      <c r="N58">
        <v>3.2</v>
      </c>
      <c r="O58">
        <v>4</v>
      </c>
      <c r="P58" s="2" t="s">
        <v>26</v>
      </c>
    </row>
    <row r="59" spans="1:16" x14ac:dyDescent="0.25">
      <c r="A59" s="2" t="s">
        <v>355</v>
      </c>
      <c r="B59" s="2" t="s">
        <v>356</v>
      </c>
      <c r="C59" s="2" t="s">
        <v>18</v>
      </c>
      <c r="D59" s="2" t="s">
        <v>43</v>
      </c>
      <c r="E59" s="2" t="s">
        <v>20</v>
      </c>
      <c r="F59" s="2" t="s">
        <v>39</v>
      </c>
      <c r="G59" s="2" t="s">
        <v>69</v>
      </c>
      <c r="H59" s="2" t="s">
        <v>46</v>
      </c>
      <c r="I59" s="2" t="s">
        <v>35</v>
      </c>
      <c r="J59" s="2" t="s">
        <v>357</v>
      </c>
      <c r="K59" s="2" t="s">
        <v>391</v>
      </c>
      <c r="L59">
        <v>6</v>
      </c>
      <c r="M59" s="1">
        <v>138000</v>
      </c>
      <c r="N59">
        <v>3.8</v>
      </c>
      <c r="O59">
        <v>8</v>
      </c>
      <c r="P59" s="2" t="s">
        <v>26</v>
      </c>
    </row>
    <row r="60" spans="1:16" x14ac:dyDescent="0.25">
      <c r="A60" s="2" t="s">
        <v>358</v>
      </c>
      <c r="B60" s="2" t="s">
        <v>359</v>
      </c>
      <c r="C60" s="2" t="s">
        <v>18</v>
      </c>
      <c r="D60" s="2" t="s">
        <v>50</v>
      </c>
      <c r="E60" s="2" t="s">
        <v>20</v>
      </c>
      <c r="F60" s="2" t="s">
        <v>128</v>
      </c>
      <c r="G60" s="2" t="s">
        <v>69</v>
      </c>
      <c r="H60" s="2" t="s">
        <v>23</v>
      </c>
      <c r="I60" s="2" t="s">
        <v>57</v>
      </c>
      <c r="J60" s="2" t="s">
        <v>360</v>
      </c>
      <c r="K60" s="2" t="s">
        <v>391</v>
      </c>
      <c r="L60">
        <v>2</v>
      </c>
      <c r="M60" s="1">
        <v>375000</v>
      </c>
      <c r="N60">
        <v>2.2999999999999998</v>
      </c>
      <c r="O60">
        <v>17</v>
      </c>
      <c r="P60" s="2" t="s">
        <v>26</v>
      </c>
    </row>
    <row r="61" spans="1:16" x14ac:dyDescent="0.25">
      <c r="A61" s="2" t="s">
        <v>361</v>
      </c>
      <c r="B61" s="2" t="s">
        <v>362</v>
      </c>
      <c r="C61" s="2" t="s">
        <v>18</v>
      </c>
      <c r="D61" s="2" t="s">
        <v>19</v>
      </c>
      <c r="E61" s="2" t="s">
        <v>31</v>
      </c>
      <c r="F61" s="2" t="s">
        <v>39</v>
      </c>
      <c r="G61" s="2" t="s">
        <v>33</v>
      </c>
      <c r="H61" s="2" t="s">
        <v>34</v>
      </c>
      <c r="I61" s="2" t="s">
        <v>24</v>
      </c>
      <c r="J61" s="2" t="s">
        <v>363</v>
      </c>
      <c r="K61" s="2" t="s">
        <v>391</v>
      </c>
      <c r="L61">
        <v>4</v>
      </c>
      <c r="M61" s="1">
        <v>163000</v>
      </c>
      <c r="N61">
        <v>2</v>
      </c>
      <c r="O61">
        <v>1</v>
      </c>
      <c r="P61" s="2" t="s">
        <v>26</v>
      </c>
    </row>
    <row r="62" spans="1:16" x14ac:dyDescent="0.25">
      <c r="A62" s="2" t="s">
        <v>364</v>
      </c>
      <c r="B62" s="2" t="s">
        <v>365</v>
      </c>
      <c r="C62" s="2" t="s">
        <v>18</v>
      </c>
      <c r="D62" s="2" t="s">
        <v>50</v>
      </c>
      <c r="E62" s="2" t="s">
        <v>20</v>
      </c>
      <c r="F62" s="2" t="s">
        <v>39</v>
      </c>
      <c r="G62" s="2" t="s">
        <v>22</v>
      </c>
      <c r="H62" s="2" t="s">
        <v>62</v>
      </c>
      <c r="I62" s="2" t="s">
        <v>171</v>
      </c>
      <c r="J62" s="2" t="s">
        <v>366</v>
      </c>
      <c r="K62" s="2" t="s">
        <v>391</v>
      </c>
      <c r="L62">
        <v>3</v>
      </c>
      <c r="M62" s="1">
        <v>100000</v>
      </c>
      <c r="N62">
        <v>2.2000000000000002</v>
      </c>
      <c r="O62">
        <v>18</v>
      </c>
      <c r="P62" s="2" t="s">
        <v>26</v>
      </c>
    </row>
    <row r="63" spans="1:16" x14ac:dyDescent="0.25">
      <c r="A63" s="2" t="s">
        <v>367</v>
      </c>
      <c r="B63" s="2" t="s">
        <v>368</v>
      </c>
      <c r="C63" s="2" t="s">
        <v>29</v>
      </c>
      <c r="D63" s="2" t="s">
        <v>30</v>
      </c>
      <c r="E63" s="2" t="s">
        <v>20</v>
      </c>
      <c r="F63" s="2" t="s">
        <v>39</v>
      </c>
      <c r="G63" s="2" t="s">
        <v>22</v>
      </c>
      <c r="H63" s="2" t="s">
        <v>34</v>
      </c>
      <c r="I63" s="2" t="s">
        <v>24</v>
      </c>
      <c r="J63" s="2" t="s">
        <v>369</v>
      </c>
      <c r="K63" s="2" t="s">
        <v>391</v>
      </c>
      <c r="L63">
        <v>6</v>
      </c>
      <c r="M63" s="1">
        <v>179000</v>
      </c>
      <c r="N63">
        <v>1.6</v>
      </c>
      <c r="O63">
        <v>13</v>
      </c>
      <c r="P63" s="2" t="s">
        <v>26</v>
      </c>
    </row>
    <row r="64" spans="1:16" x14ac:dyDescent="0.25">
      <c r="A64" s="2" t="s">
        <v>370</v>
      </c>
      <c r="B64" s="2" t="s">
        <v>371</v>
      </c>
      <c r="C64" s="2" t="s">
        <v>18</v>
      </c>
      <c r="D64" s="2" t="s">
        <v>43</v>
      </c>
      <c r="E64" s="2" t="s">
        <v>20</v>
      </c>
      <c r="F64" s="2" t="s">
        <v>32</v>
      </c>
      <c r="G64" s="2" t="s">
        <v>22</v>
      </c>
      <c r="H64" s="2" t="s">
        <v>62</v>
      </c>
      <c r="I64" s="2" t="s">
        <v>57</v>
      </c>
      <c r="J64" s="2" t="s">
        <v>372</v>
      </c>
      <c r="K64" s="2" t="s">
        <v>391</v>
      </c>
      <c r="L64">
        <v>4</v>
      </c>
      <c r="M64" s="1">
        <v>301000</v>
      </c>
      <c r="N64">
        <v>2.2999999999999998</v>
      </c>
      <c r="O64">
        <v>6</v>
      </c>
      <c r="P64" s="2" t="s">
        <v>26</v>
      </c>
    </row>
    <row r="65" spans="1:16" x14ac:dyDescent="0.25">
      <c r="A65" s="2" t="s">
        <v>383</v>
      </c>
      <c r="B65" s="2" t="s">
        <v>384</v>
      </c>
      <c r="C65" s="2" t="s">
        <v>18</v>
      </c>
      <c r="D65" s="2" t="s">
        <v>19</v>
      </c>
      <c r="E65" s="2" t="s">
        <v>20</v>
      </c>
      <c r="F65" s="2" t="s">
        <v>128</v>
      </c>
      <c r="G65" s="2" t="s">
        <v>33</v>
      </c>
      <c r="H65" s="2" t="s">
        <v>62</v>
      </c>
      <c r="I65" s="2" t="s">
        <v>24</v>
      </c>
      <c r="J65" s="2" t="s">
        <v>385</v>
      </c>
      <c r="K65" s="2" t="s">
        <v>391</v>
      </c>
      <c r="L65">
        <v>3</v>
      </c>
      <c r="M65" s="1">
        <v>603000</v>
      </c>
      <c r="N65">
        <v>2.5</v>
      </c>
      <c r="O65">
        <v>17</v>
      </c>
      <c r="P65" s="2" t="s">
        <v>26</v>
      </c>
    </row>
    <row r="66" spans="1:16" x14ac:dyDescent="0.25">
      <c r="A66" s="2" t="s">
        <v>386</v>
      </c>
      <c r="B66" s="2" t="s">
        <v>234</v>
      </c>
      <c r="C66" s="2" t="s">
        <v>29</v>
      </c>
      <c r="D66" s="2" t="s">
        <v>19</v>
      </c>
      <c r="E66" s="2" t="s">
        <v>44</v>
      </c>
      <c r="F66" s="2" t="s">
        <v>39</v>
      </c>
      <c r="G66" s="2" t="s">
        <v>22</v>
      </c>
      <c r="H66" s="2" t="s">
        <v>46</v>
      </c>
      <c r="I66" s="2" t="s">
        <v>171</v>
      </c>
      <c r="J66" s="2" t="s">
        <v>387</v>
      </c>
      <c r="K66" s="2" t="s">
        <v>391</v>
      </c>
      <c r="L66">
        <v>5</v>
      </c>
      <c r="M66" s="1">
        <v>113000</v>
      </c>
      <c r="N66">
        <v>4.5</v>
      </c>
      <c r="O66">
        <v>13</v>
      </c>
      <c r="P66" s="2" t="s">
        <v>26</v>
      </c>
    </row>
    <row r="67" spans="1:16" x14ac:dyDescent="0.25">
      <c r="A67" s="2" t="s">
        <v>388</v>
      </c>
      <c r="B67" s="2" t="s">
        <v>389</v>
      </c>
      <c r="C67" s="2" t="s">
        <v>18</v>
      </c>
      <c r="D67" s="2" t="s">
        <v>19</v>
      </c>
      <c r="E67" s="2" t="s">
        <v>31</v>
      </c>
      <c r="F67" s="2" t="s">
        <v>128</v>
      </c>
      <c r="G67" s="2" t="s">
        <v>22</v>
      </c>
      <c r="H67" s="2" t="s">
        <v>23</v>
      </c>
      <c r="I67" s="2" t="s">
        <v>24</v>
      </c>
      <c r="J67" s="2" t="s">
        <v>390</v>
      </c>
      <c r="K67" s="2" t="s">
        <v>391</v>
      </c>
      <c r="L67">
        <v>4</v>
      </c>
      <c r="M67" s="1">
        <v>489000</v>
      </c>
      <c r="N67">
        <v>3.4</v>
      </c>
      <c r="O67">
        <v>13</v>
      </c>
      <c r="P67" s="2" t="s">
        <v>114</v>
      </c>
    </row>
    <row r="68" spans="1:16" x14ac:dyDescent="0.25">
      <c r="A68" s="2" t="s">
        <v>395</v>
      </c>
      <c r="B68" s="2" t="s">
        <v>396</v>
      </c>
      <c r="C68" s="2" t="s">
        <v>29</v>
      </c>
      <c r="D68" s="2" t="s">
        <v>30</v>
      </c>
      <c r="E68" s="2" t="s">
        <v>31</v>
      </c>
      <c r="F68" s="2" t="s">
        <v>32</v>
      </c>
      <c r="G68" s="2" t="s">
        <v>22</v>
      </c>
      <c r="H68" s="2" t="s">
        <v>23</v>
      </c>
      <c r="I68" s="2" t="s">
        <v>35</v>
      </c>
      <c r="J68" s="2" t="s">
        <v>397</v>
      </c>
      <c r="K68" s="2" t="s">
        <v>401</v>
      </c>
      <c r="L68">
        <v>5</v>
      </c>
      <c r="M68" s="1">
        <v>273000</v>
      </c>
      <c r="N68">
        <v>4.9000000000000004</v>
      </c>
      <c r="O68">
        <v>9</v>
      </c>
      <c r="P68" s="2" t="s">
        <v>26</v>
      </c>
    </row>
    <row r="69" spans="1:16" x14ac:dyDescent="0.25">
      <c r="A69" s="2" t="s">
        <v>398</v>
      </c>
      <c r="B69" s="2" t="s">
        <v>399</v>
      </c>
      <c r="C69" s="2" t="s">
        <v>18</v>
      </c>
      <c r="D69" s="2" t="s">
        <v>79</v>
      </c>
      <c r="E69" s="2" t="s">
        <v>31</v>
      </c>
      <c r="F69" s="2" t="s">
        <v>32</v>
      </c>
      <c r="G69" s="2" t="s">
        <v>80</v>
      </c>
      <c r="H69" s="2" t="s">
        <v>34</v>
      </c>
      <c r="I69" s="2" t="s">
        <v>57</v>
      </c>
      <c r="J69" s="2" t="s">
        <v>400</v>
      </c>
      <c r="K69" s="2" t="s">
        <v>401</v>
      </c>
      <c r="L69">
        <v>5</v>
      </c>
      <c r="M69" s="1">
        <v>235000</v>
      </c>
      <c r="N69">
        <v>3.1</v>
      </c>
      <c r="O69">
        <v>10</v>
      </c>
      <c r="P69" s="2" t="s">
        <v>72</v>
      </c>
    </row>
    <row r="70" spans="1:16" x14ac:dyDescent="0.25">
      <c r="A70" s="2" t="s">
        <v>402</v>
      </c>
      <c r="B70" s="2" t="s">
        <v>403</v>
      </c>
      <c r="C70" s="2" t="s">
        <v>29</v>
      </c>
      <c r="D70" s="2" t="s">
        <v>30</v>
      </c>
      <c r="E70" s="2" t="s">
        <v>20</v>
      </c>
      <c r="F70" s="2" t="s">
        <v>32</v>
      </c>
      <c r="G70" s="2" t="s">
        <v>22</v>
      </c>
      <c r="H70" s="2" t="s">
        <v>62</v>
      </c>
      <c r="I70" s="2" t="s">
        <v>57</v>
      </c>
      <c r="J70" s="2" t="s">
        <v>404</v>
      </c>
      <c r="K70" s="2" t="s">
        <v>405</v>
      </c>
      <c r="L70">
        <v>6</v>
      </c>
      <c r="M70" s="1">
        <v>281000</v>
      </c>
      <c r="N70">
        <v>4.5</v>
      </c>
      <c r="O70">
        <v>5</v>
      </c>
      <c r="P70" s="2" t="s">
        <v>72</v>
      </c>
    </row>
    <row r="71" spans="1:16" x14ac:dyDescent="0.25">
      <c r="A71" s="2" t="s">
        <v>406</v>
      </c>
      <c r="B71" s="2" t="s">
        <v>407</v>
      </c>
      <c r="C71" s="2" t="s">
        <v>29</v>
      </c>
      <c r="D71" s="2" t="s">
        <v>30</v>
      </c>
      <c r="E71" s="2" t="s">
        <v>20</v>
      </c>
      <c r="F71" s="2" t="s">
        <v>128</v>
      </c>
      <c r="G71" s="2" t="s">
        <v>80</v>
      </c>
      <c r="H71" s="2" t="s">
        <v>23</v>
      </c>
      <c r="I71" s="2" t="s">
        <v>24</v>
      </c>
      <c r="J71" s="2" t="s">
        <v>408</v>
      </c>
      <c r="K71" s="2" t="s">
        <v>416</v>
      </c>
      <c r="L71">
        <v>4</v>
      </c>
      <c r="M71" s="1">
        <v>366000</v>
      </c>
      <c r="N71">
        <v>2.4</v>
      </c>
      <c r="O71">
        <v>3</v>
      </c>
      <c r="P71" s="2" t="s">
        <v>26</v>
      </c>
    </row>
    <row r="72" spans="1:16" x14ac:dyDescent="0.25">
      <c r="A72" s="2" t="s">
        <v>413</v>
      </c>
      <c r="B72" s="2" t="s">
        <v>414</v>
      </c>
      <c r="C72" s="2" t="s">
        <v>29</v>
      </c>
      <c r="D72" s="2" t="s">
        <v>30</v>
      </c>
      <c r="E72" s="2" t="s">
        <v>20</v>
      </c>
      <c r="F72" s="2" t="s">
        <v>32</v>
      </c>
      <c r="G72" s="2" t="s">
        <v>80</v>
      </c>
      <c r="H72" s="2" t="s">
        <v>34</v>
      </c>
      <c r="I72" s="2" t="s">
        <v>24</v>
      </c>
      <c r="J72" s="2" t="s">
        <v>415</v>
      </c>
      <c r="K72" s="2" t="s">
        <v>416</v>
      </c>
      <c r="L72">
        <v>4</v>
      </c>
      <c r="M72" s="1">
        <v>287000</v>
      </c>
      <c r="N72">
        <v>3.7</v>
      </c>
      <c r="O72">
        <v>6</v>
      </c>
      <c r="P72" s="2" t="s">
        <v>53</v>
      </c>
    </row>
    <row r="73" spans="1:16" x14ac:dyDescent="0.25">
      <c r="A73" s="2" t="s">
        <v>417</v>
      </c>
      <c r="B73" s="2" t="s">
        <v>418</v>
      </c>
      <c r="C73" s="2" t="s">
        <v>18</v>
      </c>
      <c r="D73" s="2" t="s">
        <v>30</v>
      </c>
      <c r="E73" s="2" t="s">
        <v>44</v>
      </c>
      <c r="F73" s="2" t="s">
        <v>45</v>
      </c>
      <c r="G73" s="2" t="s">
        <v>80</v>
      </c>
      <c r="H73" s="2" t="s">
        <v>23</v>
      </c>
      <c r="I73" s="2" t="s">
        <v>24</v>
      </c>
      <c r="J73" s="2" t="s">
        <v>419</v>
      </c>
      <c r="K73" s="2" t="s">
        <v>429</v>
      </c>
      <c r="L73">
        <v>7</v>
      </c>
      <c r="M73" s="1">
        <v>1234000</v>
      </c>
      <c r="N73">
        <v>4.7</v>
      </c>
      <c r="O73">
        <v>10</v>
      </c>
      <c r="P73" s="2" t="s">
        <v>26</v>
      </c>
    </row>
    <row r="74" spans="1:16" x14ac:dyDescent="0.25">
      <c r="A74" s="2" t="s">
        <v>423</v>
      </c>
      <c r="B74" s="2" t="s">
        <v>424</v>
      </c>
      <c r="C74" s="2" t="s">
        <v>29</v>
      </c>
      <c r="D74" s="2" t="s">
        <v>50</v>
      </c>
      <c r="E74" s="2" t="s">
        <v>20</v>
      </c>
      <c r="F74" s="2" t="s">
        <v>128</v>
      </c>
      <c r="G74" s="2" t="s">
        <v>22</v>
      </c>
      <c r="H74" s="2" t="s">
        <v>46</v>
      </c>
      <c r="I74" s="2" t="s">
        <v>57</v>
      </c>
      <c r="J74" s="2" t="s">
        <v>425</v>
      </c>
      <c r="K74" s="2" t="s">
        <v>429</v>
      </c>
      <c r="L74">
        <v>2</v>
      </c>
      <c r="M74" s="1">
        <v>559000</v>
      </c>
      <c r="N74">
        <v>3.6</v>
      </c>
      <c r="O74">
        <v>10</v>
      </c>
      <c r="P74" s="2" t="s">
        <v>26</v>
      </c>
    </row>
    <row r="75" spans="1:16" x14ac:dyDescent="0.25">
      <c r="A75" s="2" t="s">
        <v>426</v>
      </c>
      <c r="B75" s="2" t="s">
        <v>427</v>
      </c>
      <c r="C75" s="2" t="s">
        <v>29</v>
      </c>
      <c r="D75" s="2" t="s">
        <v>43</v>
      </c>
      <c r="E75" s="2" t="s">
        <v>20</v>
      </c>
      <c r="F75" s="2" t="s">
        <v>128</v>
      </c>
      <c r="G75" s="2" t="s">
        <v>33</v>
      </c>
      <c r="H75" s="2" t="s">
        <v>62</v>
      </c>
      <c r="I75" s="2" t="s">
        <v>171</v>
      </c>
      <c r="J75" s="2" t="s">
        <v>428</v>
      </c>
      <c r="K75" s="2" t="s">
        <v>429</v>
      </c>
      <c r="L75">
        <v>4</v>
      </c>
      <c r="M75" s="1">
        <v>358000</v>
      </c>
      <c r="N75">
        <v>4.8</v>
      </c>
      <c r="O75">
        <v>8</v>
      </c>
      <c r="P75" s="2" t="s">
        <v>53</v>
      </c>
    </row>
    <row r="76" spans="1:16" x14ac:dyDescent="0.25">
      <c r="A76" s="2" t="s">
        <v>433</v>
      </c>
      <c r="B76" s="2" t="s">
        <v>434</v>
      </c>
      <c r="C76" s="2" t="s">
        <v>29</v>
      </c>
      <c r="D76" s="2" t="s">
        <v>30</v>
      </c>
      <c r="E76" s="2" t="s">
        <v>20</v>
      </c>
      <c r="F76" s="2" t="s">
        <v>128</v>
      </c>
      <c r="G76" s="2" t="s">
        <v>22</v>
      </c>
      <c r="H76" s="2" t="s">
        <v>23</v>
      </c>
      <c r="I76" s="2" t="s">
        <v>24</v>
      </c>
      <c r="J76" s="2" t="s">
        <v>435</v>
      </c>
      <c r="K76" s="2" t="s">
        <v>442</v>
      </c>
      <c r="L76">
        <v>6</v>
      </c>
      <c r="M76" s="1">
        <v>353000</v>
      </c>
      <c r="N76">
        <v>4.7</v>
      </c>
      <c r="O76">
        <v>10</v>
      </c>
      <c r="P76" s="2" t="s">
        <v>26</v>
      </c>
    </row>
    <row r="77" spans="1:16" x14ac:dyDescent="0.25">
      <c r="A77" s="2" t="s">
        <v>436</v>
      </c>
      <c r="B77" s="2" t="s">
        <v>437</v>
      </c>
      <c r="C77" s="2" t="s">
        <v>29</v>
      </c>
      <c r="D77" s="2" t="s">
        <v>43</v>
      </c>
      <c r="E77" s="2" t="s">
        <v>31</v>
      </c>
      <c r="F77" s="2" t="s">
        <v>21</v>
      </c>
      <c r="G77" s="2" t="s">
        <v>22</v>
      </c>
      <c r="H77" s="2" t="s">
        <v>46</v>
      </c>
      <c r="I77" s="2" t="s">
        <v>57</v>
      </c>
      <c r="J77" s="2" t="s">
        <v>438</v>
      </c>
      <c r="K77" s="2" t="s">
        <v>442</v>
      </c>
      <c r="L77">
        <v>6</v>
      </c>
      <c r="M77" s="1">
        <v>760000</v>
      </c>
      <c r="N77">
        <v>4.7</v>
      </c>
      <c r="O77">
        <v>6</v>
      </c>
      <c r="P77" s="2" t="s">
        <v>26</v>
      </c>
    </row>
    <row r="78" spans="1:16" x14ac:dyDescent="0.25">
      <c r="A78" s="2" t="s">
        <v>439</v>
      </c>
      <c r="B78" s="2" t="s">
        <v>440</v>
      </c>
      <c r="C78" s="2" t="s">
        <v>18</v>
      </c>
      <c r="D78" s="2" t="s">
        <v>30</v>
      </c>
      <c r="E78" s="2" t="s">
        <v>20</v>
      </c>
      <c r="F78" s="2" t="s">
        <v>39</v>
      </c>
      <c r="G78" s="2" t="s">
        <v>69</v>
      </c>
      <c r="H78" s="2" t="s">
        <v>34</v>
      </c>
      <c r="I78" s="2" t="s">
        <v>171</v>
      </c>
      <c r="J78" s="2" t="s">
        <v>441</v>
      </c>
      <c r="K78" s="2" t="s">
        <v>442</v>
      </c>
      <c r="L78">
        <v>3</v>
      </c>
      <c r="M78" s="1">
        <v>111000</v>
      </c>
      <c r="N78">
        <v>2.4</v>
      </c>
      <c r="O78">
        <v>25</v>
      </c>
      <c r="P78" s="2" t="s">
        <v>114</v>
      </c>
    </row>
    <row r="79" spans="1:16" x14ac:dyDescent="0.25">
      <c r="A79" s="2" t="s">
        <v>443</v>
      </c>
      <c r="B79" s="2" t="s">
        <v>444</v>
      </c>
      <c r="C79" s="2" t="s">
        <v>29</v>
      </c>
      <c r="D79" s="2" t="s">
        <v>30</v>
      </c>
      <c r="E79" s="2" t="s">
        <v>20</v>
      </c>
      <c r="F79" s="2" t="s">
        <v>21</v>
      </c>
      <c r="G79" s="2" t="s">
        <v>22</v>
      </c>
      <c r="H79" s="2" t="s">
        <v>23</v>
      </c>
      <c r="I79" s="2" t="s">
        <v>35</v>
      </c>
      <c r="J79" s="2" t="s">
        <v>445</v>
      </c>
      <c r="K79" s="2" t="s">
        <v>449</v>
      </c>
      <c r="L79">
        <v>2</v>
      </c>
      <c r="M79" s="1">
        <v>618000</v>
      </c>
      <c r="N79">
        <v>4.5999999999999996</v>
      </c>
      <c r="O79">
        <v>1</v>
      </c>
      <c r="P79" s="2" t="s">
        <v>26</v>
      </c>
    </row>
    <row r="80" spans="1:16" x14ac:dyDescent="0.25">
      <c r="A80" s="2" t="s">
        <v>446</v>
      </c>
      <c r="B80" s="2" t="s">
        <v>447</v>
      </c>
      <c r="C80" s="2" t="s">
        <v>18</v>
      </c>
      <c r="D80" s="2" t="s">
        <v>50</v>
      </c>
      <c r="E80" s="2" t="s">
        <v>44</v>
      </c>
      <c r="F80" s="2" t="s">
        <v>128</v>
      </c>
      <c r="G80" s="2" t="s">
        <v>80</v>
      </c>
      <c r="H80" s="2" t="s">
        <v>46</v>
      </c>
      <c r="I80" s="2" t="s">
        <v>35</v>
      </c>
      <c r="J80" s="2" t="s">
        <v>448</v>
      </c>
      <c r="K80" s="2" t="s">
        <v>449</v>
      </c>
      <c r="L80">
        <v>2</v>
      </c>
      <c r="M80" s="1">
        <v>528000</v>
      </c>
      <c r="N80">
        <v>3.3</v>
      </c>
      <c r="O80">
        <v>12</v>
      </c>
      <c r="P80" s="2" t="s">
        <v>72</v>
      </c>
    </row>
    <row r="81" spans="1:16" x14ac:dyDescent="0.25">
      <c r="A81" s="2" t="s">
        <v>450</v>
      </c>
      <c r="B81" s="2" t="s">
        <v>451</v>
      </c>
      <c r="C81" s="2" t="s">
        <v>29</v>
      </c>
      <c r="D81" s="2" t="s">
        <v>43</v>
      </c>
      <c r="E81" s="2" t="s">
        <v>20</v>
      </c>
      <c r="F81" s="2" t="s">
        <v>32</v>
      </c>
      <c r="G81" s="2" t="s">
        <v>80</v>
      </c>
      <c r="H81" s="2" t="s">
        <v>34</v>
      </c>
      <c r="I81" s="2" t="s">
        <v>24</v>
      </c>
      <c r="J81" s="2" t="s">
        <v>452</v>
      </c>
      <c r="K81" s="2" t="s">
        <v>453</v>
      </c>
      <c r="L81">
        <v>4</v>
      </c>
      <c r="M81" s="1">
        <v>180000</v>
      </c>
      <c r="N81">
        <v>3.3</v>
      </c>
      <c r="O81">
        <v>6</v>
      </c>
      <c r="P81" s="2" t="s">
        <v>72</v>
      </c>
    </row>
    <row r="82" spans="1:16" x14ac:dyDescent="0.25">
      <c r="A82" s="2" t="s">
        <v>454</v>
      </c>
      <c r="B82" s="2" t="s">
        <v>455</v>
      </c>
      <c r="C82" s="2" t="s">
        <v>18</v>
      </c>
      <c r="D82" s="2" t="s">
        <v>50</v>
      </c>
      <c r="E82" s="2" t="s">
        <v>20</v>
      </c>
      <c r="F82" s="2" t="s">
        <v>39</v>
      </c>
      <c r="G82" s="2" t="s">
        <v>80</v>
      </c>
      <c r="H82" s="2" t="s">
        <v>34</v>
      </c>
      <c r="I82" s="2" t="s">
        <v>57</v>
      </c>
      <c r="J82" s="2" t="s">
        <v>456</v>
      </c>
      <c r="K82" s="2" t="s">
        <v>511</v>
      </c>
      <c r="L82">
        <v>6</v>
      </c>
      <c r="M82" s="1">
        <v>152000</v>
      </c>
      <c r="N82">
        <v>3.8</v>
      </c>
      <c r="O82">
        <v>8</v>
      </c>
      <c r="P82" s="2" t="s">
        <v>26</v>
      </c>
    </row>
    <row r="83" spans="1:16" x14ac:dyDescent="0.25">
      <c r="A83" s="2" t="s">
        <v>457</v>
      </c>
      <c r="B83" s="2" t="s">
        <v>458</v>
      </c>
      <c r="C83" s="2" t="s">
        <v>18</v>
      </c>
      <c r="D83" s="2" t="s">
        <v>79</v>
      </c>
      <c r="E83" s="2" t="s">
        <v>20</v>
      </c>
      <c r="F83" s="2" t="s">
        <v>39</v>
      </c>
      <c r="G83" s="2" t="s">
        <v>33</v>
      </c>
      <c r="H83" s="2" t="s">
        <v>62</v>
      </c>
      <c r="I83" s="2" t="s">
        <v>24</v>
      </c>
      <c r="J83" s="2" t="s">
        <v>459</v>
      </c>
      <c r="K83" s="2" t="s">
        <v>511</v>
      </c>
      <c r="L83">
        <v>6</v>
      </c>
      <c r="M83" s="1">
        <v>141000</v>
      </c>
      <c r="N83">
        <v>5</v>
      </c>
      <c r="O83">
        <v>13</v>
      </c>
      <c r="P83" s="2" t="s">
        <v>26</v>
      </c>
    </row>
    <row r="84" spans="1:16" x14ac:dyDescent="0.25">
      <c r="A84" s="2" t="s">
        <v>460</v>
      </c>
      <c r="B84" s="2" t="s">
        <v>461</v>
      </c>
      <c r="C84" s="2" t="s">
        <v>29</v>
      </c>
      <c r="D84" s="2" t="s">
        <v>50</v>
      </c>
      <c r="E84" s="2" t="s">
        <v>20</v>
      </c>
      <c r="F84" s="2" t="s">
        <v>128</v>
      </c>
      <c r="G84" s="2" t="s">
        <v>80</v>
      </c>
      <c r="H84" s="2" t="s">
        <v>46</v>
      </c>
      <c r="I84" s="2" t="s">
        <v>35</v>
      </c>
      <c r="J84" s="2" t="s">
        <v>462</v>
      </c>
      <c r="K84" s="2" t="s">
        <v>511</v>
      </c>
      <c r="L84">
        <v>3</v>
      </c>
      <c r="M84" s="1">
        <v>525000</v>
      </c>
      <c r="N84">
        <v>4.5999999999999996</v>
      </c>
      <c r="O84">
        <v>14</v>
      </c>
      <c r="P84" s="2" t="s">
        <v>26</v>
      </c>
    </row>
    <row r="85" spans="1:16" x14ac:dyDescent="0.25">
      <c r="A85" s="2" t="s">
        <v>463</v>
      </c>
      <c r="B85" s="2" t="s">
        <v>326</v>
      </c>
      <c r="C85" s="2" t="s">
        <v>29</v>
      </c>
      <c r="D85" s="2" t="s">
        <v>19</v>
      </c>
      <c r="E85" s="2" t="s">
        <v>20</v>
      </c>
      <c r="F85" s="2" t="s">
        <v>32</v>
      </c>
      <c r="G85" s="2" t="s">
        <v>80</v>
      </c>
      <c r="H85" s="2" t="s">
        <v>34</v>
      </c>
      <c r="I85" s="2" t="s">
        <v>57</v>
      </c>
      <c r="J85" s="2" t="s">
        <v>99</v>
      </c>
      <c r="K85" s="2" t="s">
        <v>511</v>
      </c>
      <c r="L85">
        <v>3</v>
      </c>
      <c r="M85" s="1">
        <v>250000</v>
      </c>
      <c r="N85">
        <v>2</v>
      </c>
      <c r="O85">
        <v>0</v>
      </c>
      <c r="P85" s="2" t="s">
        <v>26</v>
      </c>
    </row>
    <row r="86" spans="1:16" x14ac:dyDescent="0.25">
      <c r="A86" s="2" t="s">
        <v>464</v>
      </c>
      <c r="B86" s="2" t="s">
        <v>465</v>
      </c>
      <c r="C86" s="2" t="s">
        <v>29</v>
      </c>
      <c r="D86" s="2" t="s">
        <v>43</v>
      </c>
      <c r="E86" s="2" t="s">
        <v>44</v>
      </c>
      <c r="F86" s="2" t="s">
        <v>32</v>
      </c>
      <c r="G86" s="2" t="s">
        <v>33</v>
      </c>
      <c r="H86" s="2" t="s">
        <v>46</v>
      </c>
      <c r="I86" s="2" t="s">
        <v>24</v>
      </c>
      <c r="J86" s="2" t="s">
        <v>466</v>
      </c>
      <c r="K86" s="2" t="s">
        <v>511</v>
      </c>
      <c r="L86">
        <v>4</v>
      </c>
      <c r="M86" s="1">
        <v>180000</v>
      </c>
      <c r="N86">
        <v>2.2000000000000002</v>
      </c>
      <c r="O86">
        <v>1</v>
      </c>
      <c r="P86" s="2" t="s">
        <v>26</v>
      </c>
    </row>
    <row r="87" spans="1:16" x14ac:dyDescent="0.25">
      <c r="A87" s="2" t="s">
        <v>467</v>
      </c>
      <c r="B87" s="2" t="s">
        <v>468</v>
      </c>
      <c r="C87" s="2" t="s">
        <v>29</v>
      </c>
      <c r="D87" s="2" t="s">
        <v>30</v>
      </c>
      <c r="E87" s="2" t="s">
        <v>31</v>
      </c>
      <c r="F87" s="2" t="s">
        <v>39</v>
      </c>
      <c r="G87" s="2" t="s">
        <v>33</v>
      </c>
      <c r="H87" s="2" t="s">
        <v>34</v>
      </c>
      <c r="I87" s="2" t="s">
        <v>75</v>
      </c>
      <c r="J87" s="2" t="s">
        <v>469</v>
      </c>
      <c r="K87" s="2" t="s">
        <v>511</v>
      </c>
      <c r="L87">
        <v>5</v>
      </c>
      <c r="M87" s="1">
        <v>145000</v>
      </c>
      <c r="N87">
        <v>1.6</v>
      </c>
      <c r="O87">
        <v>5</v>
      </c>
      <c r="P87" s="2" t="s">
        <v>26</v>
      </c>
    </row>
    <row r="88" spans="1:16" x14ac:dyDescent="0.25">
      <c r="A88" s="2" t="s">
        <v>470</v>
      </c>
      <c r="B88" s="2" t="s">
        <v>471</v>
      </c>
      <c r="C88" s="2" t="s">
        <v>18</v>
      </c>
      <c r="D88" s="2" t="s">
        <v>79</v>
      </c>
      <c r="E88" s="2" t="s">
        <v>20</v>
      </c>
      <c r="F88" s="2" t="s">
        <v>32</v>
      </c>
      <c r="G88" s="2" t="s">
        <v>33</v>
      </c>
      <c r="H88" s="2" t="s">
        <v>46</v>
      </c>
      <c r="I88" s="2" t="s">
        <v>57</v>
      </c>
      <c r="J88" s="2" t="s">
        <v>472</v>
      </c>
      <c r="K88" s="2" t="s">
        <v>511</v>
      </c>
      <c r="L88">
        <v>6</v>
      </c>
      <c r="M88" s="1">
        <v>229000</v>
      </c>
      <c r="N88">
        <v>2.1</v>
      </c>
      <c r="O88">
        <v>0</v>
      </c>
      <c r="P88" s="2" t="s">
        <v>26</v>
      </c>
    </row>
    <row r="89" spans="1:16" x14ac:dyDescent="0.25">
      <c r="A89" s="2" t="s">
        <v>473</v>
      </c>
      <c r="B89" s="2" t="s">
        <v>474</v>
      </c>
      <c r="C89" s="2" t="s">
        <v>29</v>
      </c>
      <c r="D89" s="2" t="s">
        <v>50</v>
      </c>
      <c r="E89" s="2" t="s">
        <v>44</v>
      </c>
      <c r="F89" s="2" t="s">
        <v>128</v>
      </c>
      <c r="G89" s="2" t="s">
        <v>22</v>
      </c>
      <c r="H89" s="2" t="s">
        <v>23</v>
      </c>
      <c r="I89" s="2" t="s">
        <v>24</v>
      </c>
      <c r="J89" s="2" t="s">
        <v>475</v>
      </c>
      <c r="K89" s="2" t="s">
        <v>511</v>
      </c>
      <c r="L89">
        <v>5</v>
      </c>
      <c r="M89" s="1">
        <v>378000</v>
      </c>
      <c r="N89">
        <v>2.1</v>
      </c>
      <c r="O89">
        <v>8</v>
      </c>
      <c r="P89" s="2" t="s">
        <v>26</v>
      </c>
    </row>
    <row r="90" spans="1:16" x14ac:dyDescent="0.25">
      <c r="A90" s="2" t="s">
        <v>476</v>
      </c>
      <c r="B90" s="2" t="s">
        <v>477</v>
      </c>
      <c r="C90" s="2" t="s">
        <v>29</v>
      </c>
      <c r="D90" s="2" t="s">
        <v>30</v>
      </c>
      <c r="E90" s="2" t="s">
        <v>44</v>
      </c>
      <c r="F90" s="2" t="s">
        <v>32</v>
      </c>
      <c r="G90" s="2" t="s">
        <v>22</v>
      </c>
      <c r="H90" s="2" t="s">
        <v>34</v>
      </c>
      <c r="I90" s="2" t="s">
        <v>35</v>
      </c>
      <c r="J90" s="2" t="s">
        <v>478</v>
      </c>
      <c r="K90" s="2" t="s">
        <v>511</v>
      </c>
      <c r="L90">
        <v>2</v>
      </c>
      <c r="M90" s="1">
        <v>300000</v>
      </c>
      <c r="N90">
        <v>3.5</v>
      </c>
      <c r="O90">
        <v>37</v>
      </c>
      <c r="P90" s="2" t="s">
        <v>26</v>
      </c>
    </row>
    <row r="91" spans="1:16" x14ac:dyDescent="0.25">
      <c r="A91" s="2" t="s">
        <v>479</v>
      </c>
      <c r="B91" s="2" t="s">
        <v>480</v>
      </c>
      <c r="C91" s="2" t="s">
        <v>18</v>
      </c>
      <c r="D91" s="2" t="s">
        <v>50</v>
      </c>
      <c r="E91" s="2" t="s">
        <v>20</v>
      </c>
      <c r="F91" s="2" t="s">
        <v>39</v>
      </c>
      <c r="G91" s="2" t="s">
        <v>33</v>
      </c>
      <c r="H91" s="2" t="s">
        <v>23</v>
      </c>
      <c r="I91" s="2" t="s">
        <v>35</v>
      </c>
      <c r="J91" s="2" t="s">
        <v>481</v>
      </c>
      <c r="K91" s="2" t="s">
        <v>511</v>
      </c>
      <c r="L91">
        <v>5</v>
      </c>
      <c r="M91" s="1">
        <v>106000</v>
      </c>
      <c r="N91">
        <v>2.6</v>
      </c>
      <c r="O91">
        <v>4</v>
      </c>
      <c r="P91" s="2" t="s">
        <v>26</v>
      </c>
    </row>
    <row r="92" spans="1:16" x14ac:dyDescent="0.25">
      <c r="A92" s="2" t="s">
        <v>488</v>
      </c>
      <c r="B92" s="2" t="s">
        <v>489</v>
      </c>
      <c r="C92" s="2" t="s">
        <v>18</v>
      </c>
      <c r="D92" s="2" t="s">
        <v>50</v>
      </c>
      <c r="E92" s="2" t="s">
        <v>20</v>
      </c>
      <c r="F92" s="2" t="s">
        <v>39</v>
      </c>
      <c r="G92" s="2" t="s">
        <v>22</v>
      </c>
      <c r="H92" s="2" t="s">
        <v>34</v>
      </c>
      <c r="I92" s="2" t="s">
        <v>57</v>
      </c>
      <c r="J92" s="2" t="s">
        <v>490</v>
      </c>
      <c r="K92" s="2" t="s">
        <v>511</v>
      </c>
      <c r="L92">
        <v>6</v>
      </c>
      <c r="M92" s="1">
        <v>138000</v>
      </c>
      <c r="N92">
        <v>4.9000000000000004</v>
      </c>
      <c r="O92">
        <v>2</v>
      </c>
      <c r="P92" s="2" t="s">
        <v>26</v>
      </c>
    </row>
    <row r="93" spans="1:16" x14ac:dyDescent="0.25">
      <c r="A93" s="2" t="s">
        <v>491</v>
      </c>
      <c r="B93" s="2" t="s">
        <v>492</v>
      </c>
      <c r="C93" s="2" t="s">
        <v>18</v>
      </c>
      <c r="D93" s="2" t="s">
        <v>19</v>
      </c>
      <c r="E93" s="2" t="s">
        <v>20</v>
      </c>
      <c r="F93" s="2" t="s">
        <v>128</v>
      </c>
      <c r="G93" s="2" t="s">
        <v>33</v>
      </c>
      <c r="H93" s="2" t="s">
        <v>34</v>
      </c>
      <c r="I93" s="2" t="s">
        <v>75</v>
      </c>
      <c r="J93" s="2" t="s">
        <v>493</v>
      </c>
      <c r="K93" s="2" t="s">
        <v>511</v>
      </c>
      <c r="L93">
        <v>2</v>
      </c>
      <c r="M93" s="1">
        <v>565000</v>
      </c>
      <c r="N93">
        <v>3</v>
      </c>
      <c r="O93">
        <v>10</v>
      </c>
      <c r="P93" s="2" t="s">
        <v>26</v>
      </c>
    </row>
    <row r="94" spans="1:16" x14ac:dyDescent="0.25">
      <c r="A94" s="2" t="s">
        <v>508</v>
      </c>
      <c r="B94" s="2" t="s">
        <v>509</v>
      </c>
      <c r="C94" s="2" t="s">
        <v>29</v>
      </c>
      <c r="D94" s="2" t="s">
        <v>30</v>
      </c>
      <c r="E94" s="2" t="s">
        <v>20</v>
      </c>
      <c r="F94" s="2" t="s">
        <v>128</v>
      </c>
      <c r="G94" s="2" t="s">
        <v>33</v>
      </c>
      <c r="H94" s="2" t="s">
        <v>23</v>
      </c>
      <c r="I94" s="2" t="s">
        <v>24</v>
      </c>
      <c r="J94" s="2" t="s">
        <v>510</v>
      </c>
      <c r="K94" s="2" t="s">
        <v>511</v>
      </c>
      <c r="L94">
        <v>3</v>
      </c>
      <c r="M94" s="1">
        <v>437000</v>
      </c>
      <c r="N94">
        <v>3.3</v>
      </c>
      <c r="O94">
        <v>3</v>
      </c>
      <c r="P94" s="2" t="s">
        <v>72</v>
      </c>
    </row>
    <row r="95" spans="1:16" x14ac:dyDescent="0.25">
      <c r="A95" s="2" t="s">
        <v>515</v>
      </c>
      <c r="B95" s="2" t="s">
        <v>516</v>
      </c>
      <c r="C95" s="2" t="s">
        <v>18</v>
      </c>
      <c r="D95" s="2" t="s">
        <v>19</v>
      </c>
      <c r="E95" s="2" t="s">
        <v>20</v>
      </c>
      <c r="F95" s="2" t="s">
        <v>32</v>
      </c>
      <c r="G95" s="2" t="s">
        <v>69</v>
      </c>
      <c r="H95" s="2" t="s">
        <v>46</v>
      </c>
      <c r="I95" s="2" t="s">
        <v>171</v>
      </c>
      <c r="J95" s="2" t="s">
        <v>517</v>
      </c>
      <c r="K95" s="2" t="s">
        <v>412</v>
      </c>
      <c r="L95">
        <v>4</v>
      </c>
      <c r="M95" s="1">
        <v>298000</v>
      </c>
      <c r="N95">
        <v>3.2</v>
      </c>
      <c r="O95">
        <v>27</v>
      </c>
      <c r="P95" s="2" t="s">
        <v>26</v>
      </c>
    </row>
    <row r="96" spans="1:16" x14ac:dyDescent="0.25">
      <c r="A96" s="2" t="s">
        <v>518</v>
      </c>
      <c r="B96" s="2" t="s">
        <v>519</v>
      </c>
      <c r="C96" s="2" t="s">
        <v>29</v>
      </c>
      <c r="D96" s="2" t="s">
        <v>50</v>
      </c>
      <c r="E96" s="2" t="s">
        <v>20</v>
      </c>
      <c r="F96" s="2" t="s">
        <v>39</v>
      </c>
      <c r="G96" s="2" t="s">
        <v>69</v>
      </c>
      <c r="H96" s="2" t="s">
        <v>23</v>
      </c>
      <c r="I96" s="2" t="s">
        <v>24</v>
      </c>
      <c r="J96" s="2" t="s">
        <v>520</v>
      </c>
      <c r="K96" s="2" t="s">
        <v>412</v>
      </c>
      <c r="L96">
        <v>2</v>
      </c>
      <c r="M96" s="1">
        <v>116000</v>
      </c>
      <c r="N96">
        <v>3.8</v>
      </c>
      <c r="O96">
        <v>3</v>
      </c>
      <c r="P96" s="2" t="s">
        <v>26</v>
      </c>
    </row>
    <row r="97" spans="1:16" x14ac:dyDescent="0.25">
      <c r="A97" s="2" t="s">
        <v>521</v>
      </c>
      <c r="B97" s="2" t="s">
        <v>522</v>
      </c>
      <c r="C97" s="2" t="s">
        <v>18</v>
      </c>
      <c r="D97" s="2" t="s">
        <v>19</v>
      </c>
      <c r="E97" s="2" t="s">
        <v>20</v>
      </c>
      <c r="F97" s="2" t="s">
        <v>32</v>
      </c>
      <c r="G97" s="2" t="s">
        <v>22</v>
      </c>
      <c r="H97" s="2" t="s">
        <v>46</v>
      </c>
      <c r="I97" s="2" t="s">
        <v>57</v>
      </c>
      <c r="J97" s="2" t="s">
        <v>523</v>
      </c>
      <c r="K97" s="2" t="s">
        <v>412</v>
      </c>
      <c r="L97">
        <v>5</v>
      </c>
      <c r="M97" s="1">
        <v>343000</v>
      </c>
      <c r="N97">
        <v>2.2000000000000002</v>
      </c>
      <c r="O97">
        <v>4</v>
      </c>
      <c r="P97" s="2" t="s">
        <v>26</v>
      </c>
    </row>
    <row r="98" spans="1:16" x14ac:dyDescent="0.25">
      <c r="A98" s="2" t="s">
        <v>537</v>
      </c>
      <c r="B98" s="2" t="s">
        <v>538</v>
      </c>
      <c r="C98" s="2" t="s">
        <v>18</v>
      </c>
      <c r="D98" s="2" t="s">
        <v>43</v>
      </c>
      <c r="E98" s="2" t="s">
        <v>44</v>
      </c>
      <c r="F98" s="2" t="s">
        <v>128</v>
      </c>
      <c r="G98" s="2" t="s">
        <v>22</v>
      </c>
      <c r="H98" s="2" t="s">
        <v>46</v>
      </c>
      <c r="I98" s="2" t="s">
        <v>75</v>
      </c>
      <c r="J98" s="2" t="s">
        <v>539</v>
      </c>
      <c r="K98" s="2" t="s">
        <v>412</v>
      </c>
      <c r="L98">
        <v>3</v>
      </c>
      <c r="M98" s="1">
        <v>360000</v>
      </c>
      <c r="N98">
        <v>4.7</v>
      </c>
      <c r="O98">
        <v>8</v>
      </c>
      <c r="P98" s="2" t="s">
        <v>53</v>
      </c>
    </row>
    <row r="99" spans="1:16" x14ac:dyDescent="0.25">
      <c r="A99" s="2" t="s">
        <v>540</v>
      </c>
      <c r="B99" s="2" t="s">
        <v>541</v>
      </c>
      <c r="C99" s="2" t="s">
        <v>29</v>
      </c>
      <c r="D99" s="2" t="s">
        <v>50</v>
      </c>
      <c r="E99" s="2" t="s">
        <v>20</v>
      </c>
      <c r="F99" s="2" t="s">
        <v>32</v>
      </c>
      <c r="G99" s="2" t="s">
        <v>33</v>
      </c>
      <c r="H99" s="2" t="s">
        <v>34</v>
      </c>
      <c r="I99" s="2" t="s">
        <v>171</v>
      </c>
      <c r="J99" s="2" t="s">
        <v>530</v>
      </c>
      <c r="K99" s="2" t="s">
        <v>542</v>
      </c>
      <c r="L99">
        <v>3</v>
      </c>
      <c r="M99" s="1">
        <v>217000</v>
      </c>
      <c r="N99">
        <v>4.5999999999999996</v>
      </c>
      <c r="O99">
        <v>5</v>
      </c>
      <c r="P99" s="2" t="s">
        <v>53</v>
      </c>
    </row>
    <row r="100" spans="1:16" x14ac:dyDescent="0.25">
      <c r="A100" s="2" t="s">
        <v>555</v>
      </c>
      <c r="B100" s="2" t="s">
        <v>556</v>
      </c>
      <c r="C100" s="2" t="s">
        <v>18</v>
      </c>
      <c r="D100" s="2" t="s">
        <v>19</v>
      </c>
      <c r="E100" s="2" t="s">
        <v>20</v>
      </c>
      <c r="F100" s="2" t="s">
        <v>32</v>
      </c>
      <c r="G100" s="2" t="s">
        <v>22</v>
      </c>
      <c r="H100" s="2" t="s">
        <v>46</v>
      </c>
      <c r="I100" s="2" t="s">
        <v>57</v>
      </c>
      <c r="J100" s="2" t="s">
        <v>557</v>
      </c>
      <c r="K100" s="2" t="s">
        <v>569</v>
      </c>
      <c r="L100">
        <v>2</v>
      </c>
      <c r="M100" s="1">
        <v>217000</v>
      </c>
      <c r="N100">
        <v>2.2000000000000002</v>
      </c>
      <c r="O100">
        <v>9</v>
      </c>
      <c r="P100" s="2" t="s">
        <v>26</v>
      </c>
    </row>
    <row r="101" spans="1:16" x14ac:dyDescent="0.25">
      <c r="A101" s="2" t="s">
        <v>566</v>
      </c>
      <c r="B101" s="2" t="s">
        <v>567</v>
      </c>
      <c r="C101" s="2" t="s">
        <v>29</v>
      </c>
      <c r="D101" s="2" t="s">
        <v>185</v>
      </c>
      <c r="E101" s="2" t="s">
        <v>20</v>
      </c>
      <c r="F101" s="2" t="s">
        <v>128</v>
      </c>
      <c r="G101" s="2" t="s">
        <v>80</v>
      </c>
      <c r="H101" s="2" t="s">
        <v>46</v>
      </c>
      <c r="I101" s="2" t="s">
        <v>57</v>
      </c>
      <c r="J101" s="2" t="s">
        <v>568</v>
      </c>
      <c r="K101" s="2" t="s">
        <v>569</v>
      </c>
      <c r="L101">
        <v>5</v>
      </c>
      <c r="M101" s="1">
        <v>402000</v>
      </c>
      <c r="N101">
        <v>3.6</v>
      </c>
      <c r="O101">
        <v>14</v>
      </c>
      <c r="P101" s="2" t="s">
        <v>53</v>
      </c>
    </row>
    <row r="102" spans="1:16" x14ac:dyDescent="0.25">
      <c r="A102" s="2" t="s">
        <v>570</v>
      </c>
      <c r="B102" s="2" t="s">
        <v>571</v>
      </c>
      <c r="C102" s="2" t="s">
        <v>29</v>
      </c>
      <c r="D102" s="2" t="s">
        <v>30</v>
      </c>
      <c r="E102" s="2" t="s">
        <v>20</v>
      </c>
      <c r="F102" s="2" t="s">
        <v>32</v>
      </c>
      <c r="G102" s="2" t="s">
        <v>80</v>
      </c>
      <c r="H102" s="2" t="s">
        <v>62</v>
      </c>
      <c r="I102" s="2" t="s">
        <v>57</v>
      </c>
      <c r="J102" s="2" t="s">
        <v>357</v>
      </c>
      <c r="K102" s="2" t="s">
        <v>572</v>
      </c>
      <c r="L102">
        <v>6</v>
      </c>
      <c r="M102" s="1">
        <v>308000</v>
      </c>
      <c r="N102">
        <v>4</v>
      </c>
      <c r="O102">
        <v>6</v>
      </c>
      <c r="P102" s="2" t="s">
        <v>53</v>
      </c>
    </row>
    <row r="103" spans="1:16" x14ac:dyDescent="0.25">
      <c r="A103" s="2" t="s">
        <v>573</v>
      </c>
      <c r="B103" s="2" t="s">
        <v>574</v>
      </c>
      <c r="C103" s="2" t="s">
        <v>29</v>
      </c>
      <c r="D103" s="2" t="s">
        <v>79</v>
      </c>
      <c r="E103" s="2" t="s">
        <v>20</v>
      </c>
      <c r="F103" s="2" t="s">
        <v>39</v>
      </c>
      <c r="G103" s="2" t="s">
        <v>22</v>
      </c>
      <c r="H103" s="2" t="s">
        <v>46</v>
      </c>
      <c r="I103" s="2" t="s">
        <v>171</v>
      </c>
      <c r="J103" s="2" t="s">
        <v>575</v>
      </c>
      <c r="K103" s="2" t="s">
        <v>576</v>
      </c>
      <c r="L103">
        <v>2</v>
      </c>
      <c r="M103" s="1">
        <v>132000</v>
      </c>
      <c r="N103">
        <v>2.6</v>
      </c>
      <c r="O103">
        <v>5</v>
      </c>
      <c r="P103" s="2" t="s">
        <v>53</v>
      </c>
    </row>
    <row r="104" spans="1:16" x14ac:dyDescent="0.25">
      <c r="A104" s="2" t="s">
        <v>577</v>
      </c>
      <c r="B104" s="2" t="s">
        <v>578</v>
      </c>
      <c r="C104" s="2" t="s">
        <v>29</v>
      </c>
      <c r="D104" s="2" t="s">
        <v>79</v>
      </c>
      <c r="E104" s="2" t="s">
        <v>20</v>
      </c>
      <c r="F104" s="2" t="s">
        <v>39</v>
      </c>
      <c r="G104" s="2" t="s">
        <v>33</v>
      </c>
      <c r="H104" s="2" t="s">
        <v>23</v>
      </c>
      <c r="I104" s="2" t="s">
        <v>57</v>
      </c>
      <c r="J104" s="2" t="s">
        <v>579</v>
      </c>
      <c r="K104" s="2" t="s">
        <v>580</v>
      </c>
      <c r="L104">
        <v>6</v>
      </c>
      <c r="M104" s="1">
        <v>135000</v>
      </c>
      <c r="N104">
        <v>2.7</v>
      </c>
      <c r="O104">
        <v>0</v>
      </c>
      <c r="P104" s="2" t="s">
        <v>114</v>
      </c>
    </row>
    <row r="105" spans="1:16" x14ac:dyDescent="0.25">
      <c r="A105" s="2" t="s">
        <v>581</v>
      </c>
      <c r="B105" s="2" t="s">
        <v>582</v>
      </c>
      <c r="C105" s="2" t="s">
        <v>18</v>
      </c>
      <c r="D105" s="2" t="s">
        <v>50</v>
      </c>
      <c r="E105" s="2" t="s">
        <v>20</v>
      </c>
      <c r="F105" s="2" t="s">
        <v>128</v>
      </c>
      <c r="G105" s="2" t="s">
        <v>22</v>
      </c>
      <c r="H105" s="2" t="s">
        <v>62</v>
      </c>
      <c r="I105" s="2" t="s">
        <v>35</v>
      </c>
      <c r="J105" s="2" t="s">
        <v>583</v>
      </c>
      <c r="K105" s="2" t="s">
        <v>610</v>
      </c>
      <c r="L105">
        <v>5</v>
      </c>
      <c r="M105" s="1">
        <v>552000</v>
      </c>
      <c r="N105">
        <v>2.8</v>
      </c>
      <c r="O105">
        <v>10</v>
      </c>
      <c r="P105" s="2" t="s">
        <v>26</v>
      </c>
    </row>
    <row r="106" spans="1:16" x14ac:dyDescent="0.25">
      <c r="A106" s="2" t="s">
        <v>586</v>
      </c>
      <c r="B106" s="2" t="s">
        <v>587</v>
      </c>
      <c r="C106" s="2" t="s">
        <v>29</v>
      </c>
      <c r="D106" s="2" t="s">
        <v>50</v>
      </c>
      <c r="E106" s="2" t="s">
        <v>20</v>
      </c>
      <c r="F106" s="2" t="s">
        <v>32</v>
      </c>
      <c r="G106" s="2" t="s">
        <v>69</v>
      </c>
      <c r="H106" s="2" t="s">
        <v>46</v>
      </c>
      <c r="I106" s="2" t="s">
        <v>24</v>
      </c>
      <c r="J106" s="2" t="s">
        <v>550</v>
      </c>
      <c r="K106" s="2" t="s">
        <v>610</v>
      </c>
      <c r="L106">
        <v>3</v>
      </c>
      <c r="M106" s="1">
        <v>288000</v>
      </c>
      <c r="N106">
        <v>2.2999999999999998</v>
      </c>
      <c r="O106">
        <v>10</v>
      </c>
      <c r="P106" s="2" t="s">
        <v>26</v>
      </c>
    </row>
    <row r="107" spans="1:16" x14ac:dyDescent="0.25">
      <c r="A107" s="2" t="s">
        <v>592</v>
      </c>
      <c r="B107" s="2" t="s">
        <v>593</v>
      </c>
      <c r="C107" s="2" t="s">
        <v>29</v>
      </c>
      <c r="D107" s="2" t="s">
        <v>50</v>
      </c>
      <c r="E107" s="2" t="s">
        <v>31</v>
      </c>
      <c r="F107" s="2" t="s">
        <v>32</v>
      </c>
      <c r="G107" s="2" t="s">
        <v>69</v>
      </c>
      <c r="H107" s="2" t="s">
        <v>23</v>
      </c>
      <c r="I107" s="2" t="s">
        <v>75</v>
      </c>
      <c r="J107" s="2" t="s">
        <v>594</v>
      </c>
      <c r="K107" s="2" t="s">
        <v>610</v>
      </c>
      <c r="L107">
        <v>3</v>
      </c>
      <c r="M107" s="1">
        <v>253000</v>
      </c>
      <c r="N107">
        <v>4</v>
      </c>
      <c r="O107">
        <v>13</v>
      </c>
      <c r="P107" s="2" t="s">
        <v>26</v>
      </c>
    </row>
    <row r="108" spans="1:16" x14ac:dyDescent="0.25">
      <c r="A108" s="2" t="s">
        <v>595</v>
      </c>
      <c r="B108" s="2" t="s">
        <v>596</v>
      </c>
      <c r="C108" s="2" t="s">
        <v>18</v>
      </c>
      <c r="D108" s="2" t="s">
        <v>43</v>
      </c>
      <c r="E108" s="2" t="s">
        <v>31</v>
      </c>
      <c r="F108" s="2" t="s">
        <v>128</v>
      </c>
      <c r="G108" s="2" t="s">
        <v>80</v>
      </c>
      <c r="H108" s="2" t="s">
        <v>34</v>
      </c>
      <c r="I108" s="2" t="s">
        <v>57</v>
      </c>
      <c r="J108" s="2" t="s">
        <v>597</v>
      </c>
      <c r="K108" s="2" t="s">
        <v>610</v>
      </c>
      <c r="L108">
        <v>2</v>
      </c>
      <c r="M108" s="1">
        <v>499000</v>
      </c>
      <c r="N108">
        <v>4.7</v>
      </c>
      <c r="O108">
        <v>32</v>
      </c>
      <c r="P108" s="2" t="s">
        <v>26</v>
      </c>
    </row>
    <row r="109" spans="1:16" x14ac:dyDescent="0.25">
      <c r="A109" s="2" t="s">
        <v>598</v>
      </c>
      <c r="B109" s="2" t="s">
        <v>599</v>
      </c>
      <c r="C109" s="2" t="s">
        <v>29</v>
      </c>
      <c r="D109" s="2" t="s">
        <v>50</v>
      </c>
      <c r="E109" s="2" t="s">
        <v>20</v>
      </c>
      <c r="F109" s="2" t="s">
        <v>32</v>
      </c>
      <c r="G109" s="2" t="s">
        <v>80</v>
      </c>
      <c r="H109" s="2" t="s">
        <v>34</v>
      </c>
      <c r="I109" s="2" t="s">
        <v>35</v>
      </c>
      <c r="J109" s="2" t="s">
        <v>600</v>
      </c>
      <c r="K109" s="2" t="s">
        <v>610</v>
      </c>
      <c r="L109">
        <v>2</v>
      </c>
      <c r="M109" s="1">
        <v>207000</v>
      </c>
      <c r="N109">
        <v>4.4000000000000004</v>
      </c>
      <c r="O109">
        <v>2</v>
      </c>
      <c r="P109" s="2" t="s">
        <v>26</v>
      </c>
    </row>
    <row r="110" spans="1:16" x14ac:dyDescent="0.25">
      <c r="A110" s="2" t="s">
        <v>607</v>
      </c>
      <c r="B110" s="2" t="s">
        <v>608</v>
      </c>
      <c r="C110" s="2" t="s">
        <v>29</v>
      </c>
      <c r="D110" s="2" t="s">
        <v>30</v>
      </c>
      <c r="E110" s="2" t="s">
        <v>20</v>
      </c>
      <c r="F110" s="2" t="s">
        <v>32</v>
      </c>
      <c r="G110" s="2" t="s">
        <v>80</v>
      </c>
      <c r="H110" s="2" t="s">
        <v>46</v>
      </c>
      <c r="I110" s="2" t="s">
        <v>57</v>
      </c>
      <c r="J110" s="2" t="s">
        <v>609</v>
      </c>
      <c r="K110" s="2" t="s">
        <v>610</v>
      </c>
      <c r="L110">
        <v>5</v>
      </c>
      <c r="M110" s="1">
        <v>314000</v>
      </c>
      <c r="N110">
        <v>3.6</v>
      </c>
      <c r="O110">
        <v>12</v>
      </c>
      <c r="P110" s="2" t="s">
        <v>53</v>
      </c>
    </row>
    <row r="111" spans="1:16" x14ac:dyDescent="0.25">
      <c r="A111" s="2" t="s">
        <v>614</v>
      </c>
      <c r="B111" s="2" t="s">
        <v>615</v>
      </c>
      <c r="C111" s="2" t="s">
        <v>29</v>
      </c>
      <c r="D111" s="2" t="s">
        <v>79</v>
      </c>
      <c r="E111" s="2" t="s">
        <v>20</v>
      </c>
      <c r="F111" s="2" t="s">
        <v>32</v>
      </c>
      <c r="G111" s="2" t="s">
        <v>80</v>
      </c>
      <c r="H111" s="2" t="s">
        <v>34</v>
      </c>
      <c r="I111" s="2" t="s">
        <v>35</v>
      </c>
      <c r="J111" s="2" t="s">
        <v>616</v>
      </c>
      <c r="K111" s="2" t="s">
        <v>622</v>
      </c>
      <c r="L111">
        <v>5</v>
      </c>
      <c r="M111" s="1">
        <v>206000</v>
      </c>
      <c r="N111">
        <v>4.2</v>
      </c>
      <c r="O111">
        <v>11</v>
      </c>
      <c r="P111" s="2" t="s">
        <v>26</v>
      </c>
    </row>
    <row r="112" spans="1:16" x14ac:dyDescent="0.25">
      <c r="A112" s="2" t="s">
        <v>617</v>
      </c>
      <c r="B112" s="2" t="s">
        <v>618</v>
      </c>
      <c r="C112" s="2" t="s">
        <v>29</v>
      </c>
      <c r="D112" s="2" t="s">
        <v>79</v>
      </c>
      <c r="E112" s="2" t="s">
        <v>20</v>
      </c>
      <c r="F112" s="2" t="s">
        <v>45</v>
      </c>
      <c r="G112" s="2" t="s">
        <v>22</v>
      </c>
      <c r="H112" s="2" t="s">
        <v>62</v>
      </c>
      <c r="I112" s="2" t="s">
        <v>57</v>
      </c>
      <c r="J112" s="2" t="s">
        <v>411</v>
      </c>
      <c r="K112" s="2" t="s">
        <v>622</v>
      </c>
      <c r="L112">
        <v>4</v>
      </c>
      <c r="M112" s="1">
        <v>1162000</v>
      </c>
      <c r="N112">
        <v>3.8</v>
      </c>
      <c r="O112">
        <v>7</v>
      </c>
      <c r="P112" s="2" t="s">
        <v>26</v>
      </c>
    </row>
    <row r="113" spans="1:16" x14ac:dyDescent="0.25">
      <c r="A113" s="2" t="s">
        <v>619</v>
      </c>
      <c r="B113" s="2" t="s">
        <v>620</v>
      </c>
      <c r="C113" s="2" t="s">
        <v>18</v>
      </c>
      <c r="D113" s="2" t="s">
        <v>19</v>
      </c>
      <c r="E113" s="2" t="s">
        <v>20</v>
      </c>
      <c r="F113" s="2" t="s">
        <v>32</v>
      </c>
      <c r="G113" s="2" t="s">
        <v>22</v>
      </c>
      <c r="H113" s="2" t="s">
        <v>23</v>
      </c>
      <c r="I113" s="2" t="s">
        <v>24</v>
      </c>
      <c r="J113" s="2" t="s">
        <v>621</v>
      </c>
      <c r="K113" s="2" t="s">
        <v>622</v>
      </c>
      <c r="L113">
        <v>2</v>
      </c>
      <c r="M113" s="1">
        <v>385000</v>
      </c>
      <c r="N113">
        <v>4</v>
      </c>
      <c r="O113">
        <v>5</v>
      </c>
      <c r="P113" s="2" t="s">
        <v>53</v>
      </c>
    </row>
    <row r="114" spans="1:16" x14ac:dyDescent="0.25">
      <c r="A114" s="2" t="s">
        <v>626</v>
      </c>
      <c r="B114" s="2" t="s">
        <v>627</v>
      </c>
      <c r="C114" s="2" t="s">
        <v>29</v>
      </c>
      <c r="D114" s="2" t="s">
        <v>19</v>
      </c>
      <c r="E114" s="2" t="s">
        <v>31</v>
      </c>
      <c r="F114" s="2" t="s">
        <v>45</v>
      </c>
      <c r="G114" s="2" t="s">
        <v>69</v>
      </c>
      <c r="H114" s="2" t="s">
        <v>23</v>
      </c>
      <c r="I114" s="2" t="s">
        <v>24</v>
      </c>
      <c r="J114" s="2" t="s">
        <v>628</v>
      </c>
      <c r="K114" s="2" t="s">
        <v>631</v>
      </c>
      <c r="L114">
        <v>3</v>
      </c>
      <c r="M114" s="1">
        <v>2012000</v>
      </c>
      <c r="N114">
        <v>4.4000000000000004</v>
      </c>
      <c r="O114">
        <v>14</v>
      </c>
      <c r="P114" s="2" t="s">
        <v>26</v>
      </c>
    </row>
    <row r="115" spans="1:16" x14ac:dyDescent="0.25">
      <c r="A115" s="2" t="s">
        <v>629</v>
      </c>
      <c r="B115" s="2" t="s">
        <v>499</v>
      </c>
      <c r="C115" s="2" t="s">
        <v>18</v>
      </c>
      <c r="D115" s="2" t="s">
        <v>30</v>
      </c>
      <c r="E115" s="2" t="s">
        <v>20</v>
      </c>
      <c r="F115" s="2" t="s">
        <v>32</v>
      </c>
      <c r="G115" s="2" t="s">
        <v>80</v>
      </c>
      <c r="H115" s="2" t="s">
        <v>46</v>
      </c>
      <c r="I115" s="2" t="s">
        <v>171</v>
      </c>
      <c r="J115" s="2" t="s">
        <v>630</v>
      </c>
      <c r="K115" s="2" t="s">
        <v>631</v>
      </c>
      <c r="L115">
        <v>5</v>
      </c>
      <c r="M115" s="1">
        <v>316000</v>
      </c>
      <c r="N115">
        <v>2.9</v>
      </c>
      <c r="O115">
        <v>33</v>
      </c>
      <c r="P115" s="2" t="s">
        <v>53</v>
      </c>
    </row>
    <row r="116" spans="1:16" x14ac:dyDescent="0.25">
      <c r="A116" s="2" t="s">
        <v>632</v>
      </c>
      <c r="B116" s="2" t="s">
        <v>633</v>
      </c>
      <c r="C116" s="2" t="s">
        <v>29</v>
      </c>
      <c r="D116" s="2" t="s">
        <v>50</v>
      </c>
      <c r="E116" s="2" t="s">
        <v>20</v>
      </c>
      <c r="F116" s="2" t="s">
        <v>32</v>
      </c>
      <c r="G116" s="2" t="s">
        <v>22</v>
      </c>
      <c r="H116" s="2" t="s">
        <v>62</v>
      </c>
      <c r="I116" s="2" t="s">
        <v>24</v>
      </c>
      <c r="J116" s="2" t="s">
        <v>634</v>
      </c>
      <c r="K116" s="2" t="s">
        <v>655</v>
      </c>
      <c r="L116">
        <v>6</v>
      </c>
      <c r="M116" s="1">
        <v>310000</v>
      </c>
      <c r="N116">
        <v>3.5</v>
      </c>
      <c r="O116">
        <v>7</v>
      </c>
      <c r="P116" s="2" t="s">
        <v>26</v>
      </c>
    </row>
    <row r="117" spans="1:16" x14ac:dyDescent="0.25">
      <c r="A117" s="2" t="s">
        <v>639</v>
      </c>
      <c r="B117" s="2" t="s">
        <v>640</v>
      </c>
      <c r="C117" s="2" t="s">
        <v>29</v>
      </c>
      <c r="D117" s="2" t="s">
        <v>50</v>
      </c>
      <c r="E117" s="2" t="s">
        <v>44</v>
      </c>
      <c r="F117" s="2" t="s">
        <v>32</v>
      </c>
      <c r="G117" s="2" t="s">
        <v>80</v>
      </c>
      <c r="H117" s="2" t="s">
        <v>34</v>
      </c>
      <c r="I117" s="2" t="s">
        <v>35</v>
      </c>
      <c r="J117" s="2" t="s">
        <v>641</v>
      </c>
      <c r="K117" s="2" t="s">
        <v>655</v>
      </c>
      <c r="L117">
        <v>4</v>
      </c>
      <c r="M117" s="1">
        <v>283000</v>
      </c>
      <c r="N117">
        <v>3</v>
      </c>
      <c r="O117">
        <v>14</v>
      </c>
      <c r="P117" s="2" t="s">
        <v>26</v>
      </c>
    </row>
    <row r="118" spans="1:16" x14ac:dyDescent="0.25">
      <c r="A118" s="2" t="s">
        <v>642</v>
      </c>
      <c r="B118" s="2" t="s">
        <v>384</v>
      </c>
      <c r="C118" s="2" t="s">
        <v>18</v>
      </c>
      <c r="D118" s="2" t="s">
        <v>50</v>
      </c>
      <c r="E118" s="2" t="s">
        <v>20</v>
      </c>
      <c r="F118" s="2" t="s">
        <v>32</v>
      </c>
      <c r="G118" s="2" t="s">
        <v>80</v>
      </c>
      <c r="H118" s="2" t="s">
        <v>23</v>
      </c>
      <c r="I118" s="2" t="s">
        <v>75</v>
      </c>
      <c r="J118" s="2" t="s">
        <v>472</v>
      </c>
      <c r="K118" s="2" t="s">
        <v>655</v>
      </c>
      <c r="L118">
        <v>6</v>
      </c>
      <c r="M118" s="1">
        <v>329000</v>
      </c>
      <c r="N118">
        <v>2.6</v>
      </c>
      <c r="O118">
        <v>5</v>
      </c>
      <c r="P118" s="2" t="s">
        <v>26</v>
      </c>
    </row>
    <row r="119" spans="1:16" x14ac:dyDescent="0.25">
      <c r="A119" s="2" t="s">
        <v>643</v>
      </c>
      <c r="B119" s="2" t="s">
        <v>644</v>
      </c>
      <c r="C119" s="2" t="s">
        <v>29</v>
      </c>
      <c r="D119" s="2" t="s">
        <v>19</v>
      </c>
      <c r="E119" s="2" t="s">
        <v>20</v>
      </c>
      <c r="F119" s="2" t="s">
        <v>32</v>
      </c>
      <c r="G119" s="2" t="s">
        <v>69</v>
      </c>
      <c r="H119" s="2" t="s">
        <v>46</v>
      </c>
      <c r="I119" s="2" t="s">
        <v>57</v>
      </c>
      <c r="J119" s="2" t="s">
        <v>645</v>
      </c>
      <c r="K119" s="2" t="s">
        <v>655</v>
      </c>
      <c r="L119">
        <v>2</v>
      </c>
      <c r="M119" s="1">
        <v>249000</v>
      </c>
      <c r="N119">
        <v>3.6</v>
      </c>
      <c r="O119">
        <v>13</v>
      </c>
      <c r="P119" s="2" t="s">
        <v>26</v>
      </c>
    </row>
    <row r="120" spans="1:16" x14ac:dyDescent="0.25">
      <c r="A120" s="2" t="s">
        <v>646</v>
      </c>
      <c r="B120" s="2" t="s">
        <v>647</v>
      </c>
      <c r="C120" s="2" t="s">
        <v>29</v>
      </c>
      <c r="D120" s="2" t="s">
        <v>19</v>
      </c>
      <c r="E120" s="2" t="s">
        <v>20</v>
      </c>
      <c r="F120" s="2" t="s">
        <v>32</v>
      </c>
      <c r="G120" s="2" t="s">
        <v>80</v>
      </c>
      <c r="H120" s="2" t="s">
        <v>34</v>
      </c>
      <c r="I120" s="2" t="s">
        <v>57</v>
      </c>
      <c r="J120" s="2" t="s">
        <v>648</v>
      </c>
      <c r="K120" s="2" t="s">
        <v>655</v>
      </c>
      <c r="L120">
        <v>6</v>
      </c>
      <c r="M120" s="1">
        <v>385000</v>
      </c>
      <c r="N120">
        <v>3.7</v>
      </c>
      <c r="O120">
        <v>10</v>
      </c>
      <c r="P120" s="2" t="s">
        <v>26</v>
      </c>
    </row>
    <row r="121" spans="1:16" x14ac:dyDescent="0.25">
      <c r="A121" s="2" t="s">
        <v>652</v>
      </c>
      <c r="B121" s="2" t="s">
        <v>653</v>
      </c>
      <c r="C121" s="2" t="s">
        <v>29</v>
      </c>
      <c r="D121" s="2" t="s">
        <v>30</v>
      </c>
      <c r="E121" s="2" t="s">
        <v>44</v>
      </c>
      <c r="F121" s="2" t="s">
        <v>21</v>
      </c>
      <c r="G121" s="2" t="s">
        <v>22</v>
      </c>
      <c r="H121" s="2" t="s">
        <v>23</v>
      </c>
      <c r="I121" s="2" t="s">
        <v>75</v>
      </c>
      <c r="J121" s="2" t="s">
        <v>654</v>
      </c>
      <c r="K121" s="2" t="s">
        <v>655</v>
      </c>
      <c r="L121">
        <v>3</v>
      </c>
      <c r="M121" s="1">
        <v>896000</v>
      </c>
      <c r="N121">
        <v>3.1</v>
      </c>
      <c r="O121">
        <v>4</v>
      </c>
      <c r="P121" s="2" t="s">
        <v>53</v>
      </c>
    </row>
    <row r="122" spans="1:16" x14ac:dyDescent="0.25">
      <c r="A122" s="2" t="s">
        <v>656</v>
      </c>
      <c r="B122" s="2" t="s">
        <v>657</v>
      </c>
      <c r="C122" s="2" t="s">
        <v>18</v>
      </c>
      <c r="D122" s="2" t="s">
        <v>43</v>
      </c>
      <c r="E122" s="2" t="s">
        <v>20</v>
      </c>
      <c r="F122" s="2" t="s">
        <v>128</v>
      </c>
      <c r="G122" s="2" t="s">
        <v>69</v>
      </c>
      <c r="H122" s="2" t="s">
        <v>46</v>
      </c>
      <c r="I122" s="2" t="s">
        <v>24</v>
      </c>
      <c r="J122" s="2" t="s">
        <v>658</v>
      </c>
      <c r="K122" s="2" t="s">
        <v>235</v>
      </c>
      <c r="L122">
        <v>6</v>
      </c>
      <c r="M122" s="1">
        <v>423000</v>
      </c>
      <c r="N122">
        <v>3.4</v>
      </c>
      <c r="O122">
        <v>10</v>
      </c>
      <c r="P122" s="2" t="s">
        <v>26</v>
      </c>
    </row>
    <row r="123" spans="1:16" x14ac:dyDescent="0.25">
      <c r="A123" s="2" t="s">
        <v>665</v>
      </c>
      <c r="B123" s="2" t="s">
        <v>666</v>
      </c>
      <c r="C123" s="2" t="s">
        <v>18</v>
      </c>
      <c r="D123" s="2" t="s">
        <v>43</v>
      </c>
      <c r="E123" s="2" t="s">
        <v>44</v>
      </c>
      <c r="F123" s="2" t="s">
        <v>128</v>
      </c>
      <c r="G123" s="2" t="s">
        <v>22</v>
      </c>
      <c r="H123" s="2" t="s">
        <v>46</v>
      </c>
      <c r="I123" s="2" t="s">
        <v>24</v>
      </c>
      <c r="J123" s="2" t="s">
        <v>667</v>
      </c>
      <c r="K123" s="2" t="s">
        <v>235</v>
      </c>
      <c r="L123">
        <v>5</v>
      </c>
      <c r="M123" s="1">
        <v>475000</v>
      </c>
      <c r="N123">
        <v>3.7</v>
      </c>
      <c r="O123">
        <v>6</v>
      </c>
      <c r="P123" s="2" t="s">
        <v>26</v>
      </c>
    </row>
    <row r="124" spans="1:16" x14ac:dyDescent="0.25">
      <c r="A124" s="2" t="s">
        <v>668</v>
      </c>
      <c r="B124" s="2" t="s">
        <v>669</v>
      </c>
      <c r="C124" s="2" t="s">
        <v>29</v>
      </c>
      <c r="D124" s="2" t="s">
        <v>43</v>
      </c>
      <c r="E124" s="2" t="s">
        <v>20</v>
      </c>
      <c r="F124" s="2" t="s">
        <v>39</v>
      </c>
      <c r="G124" s="2" t="s">
        <v>33</v>
      </c>
      <c r="H124" s="2" t="s">
        <v>46</v>
      </c>
      <c r="I124" s="2" t="s">
        <v>24</v>
      </c>
      <c r="J124" s="2" t="s">
        <v>670</v>
      </c>
      <c r="K124" s="2" t="s">
        <v>235</v>
      </c>
      <c r="L124">
        <v>5</v>
      </c>
      <c r="M124" s="1">
        <v>138000</v>
      </c>
      <c r="N124">
        <v>3.7</v>
      </c>
      <c r="O124">
        <v>9</v>
      </c>
      <c r="P124" s="2" t="s">
        <v>26</v>
      </c>
    </row>
    <row r="125" spans="1:16" x14ac:dyDescent="0.25">
      <c r="A125" s="2" t="s">
        <v>674</v>
      </c>
      <c r="B125" s="2" t="s">
        <v>675</v>
      </c>
      <c r="C125" s="2" t="s">
        <v>18</v>
      </c>
      <c r="D125" s="2" t="s">
        <v>43</v>
      </c>
      <c r="E125" s="2" t="s">
        <v>20</v>
      </c>
      <c r="F125" s="2" t="s">
        <v>128</v>
      </c>
      <c r="G125" s="2" t="s">
        <v>33</v>
      </c>
      <c r="H125" s="2" t="s">
        <v>34</v>
      </c>
      <c r="I125" s="2" t="s">
        <v>57</v>
      </c>
      <c r="J125" s="2" t="s">
        <v>676</v>
      </c>
      <c r="K125" s="2" t="s">
        <v>235</v>
      </c>
      <c r="L125">
        <v>6</v>
      </c>
      <c r="M125" s="1">
        <v>432000</v>
      </c>
      <c r="N125">
        <v>4</v>
      </c>
      <c r="O125">
        <v>6</v>
      </c>
      <c r="P125" s="2" t="s">
        <v>26</v>
      </c>
    </row>
    <row r="126" spans="1:16" x14ac:dyDescent="0.25">
      <c r="A126" s="2" t="s">
        <v>677</v>
      </c>
      <c r="B126" s="2" t="s">
        <v>678</v>
      </c>
      <c r="C126" s="2" t="s">
        <v>29</v>
      </c>
      <c r="D126" s="2" t="s">
        <v>43</v>
      </c>
      <c r="E126" s="2" t="s">
        <v>20</v>
      </c>
      <c r="F126" s="2" t="s">
        <v>39</v>
      </c>
      <c r="G126" s="2" t="s">
        <v>22</v>
      </c>
      <c r="H126" s="2" t="s">
        <v>34</v>
      </c>
      <c r="I126" s="2" t="s">
        <v>75</v>
      </c>
      <c r="J126" s="2" t="s">
        <v>679</v>
      </c>
      <c r="K126" s="2" t="s">
        <v>235</v>
      </c>
      <c r="L126">
        <v>4</v>
      </c>
      <c r="M126" s="1">
        <v>143000</v>
      </c>
      <c r="N126">
        <v>4.4000000000000004</v>
      </c>
      <c r="O126">
        <v>2</v>
      </c>
      <c r="P126" s="2" t="s">
        <v>26</v>
      </c>
    </row>
    <row r="127" spans="1:16" x14ac:dyDescent="0.25">
      <c r="A127" s="2" t="s">
        <v>683</v>
      </c>
      <c r="B127" s="2" t="s">
        <v>684</v>
      </c>
      <c r="C127" s="2" t="s">
        <v>29</v>
      </c>
      <c r="D127" s="2" t="s">
        <v>79</v>
      </c>
      <c r="E127" s="2" t="s">
        <v>20</v>
      </c>
      <c r="F127" s="2" t="s">
        <v>39</v>
      </c>
      <c r="G127" s="2" t="s">
        <v>22</v>
      </c>
      <c r="H127" s="2" t="s">
        <v>46</v>
      </c>
      <c r="I127" s="2" t="s">
        <v>24</v>
      </c>
      <c r="J127" s="2" t="s">
        <v>685</v>
      </c>
      <c r="K127" s="2" t="s">
        <v>235</v>
      </c>
      <c r="L127">
        <v>5</v>
      </c>
      <c r="M127" s="1">
        <v>149000</v>
      </c>
      <c r="N127">
        <v>3.2</v>
      </c>
      <c r="O127">
        <v>6</v>
      </c>
      <c r="P127" s="2" t="s">
        <v>26</v>
      </c>
    </row>
    <row r="128" spans="1:16" x14ac:dyDescent="0.25">
      <c r="A128" s="2" t="s">
        <v>689</v>
      </c>
      <c r="B128" s="2" t="s">
        <v>690</v>
      </c>
      <c r="C128" s="2" t="s">
        <v>18</v>
      </c>
      <c r="D128" s="2" t="s">
        <v>50</v>
      </c>
      <c r="E128" s="2" t="s">
        <v>20</v>
      </c>
      <c r="F128" s="2" t="s">
        <v>128</v>
      </c>
      <c r="G128" s="2" t="s">
        <v>22</v>
      </c>
      <c r="H128" s="2" t="s">
        <v>34</v>
      </c>
      <c r="I128" s="2" t="s">
        <v>57</v>
      </c>
      <c r="J128" s="2" t="s">
        <v>691</v>
      </c>
      <c r="K128" s="2" t="s">
        <v>235</v>
      </c>
      <c r="L128">
        <v>6</v>
      </c>
      <c r="M128" s="1">
        <v>549000</v>
      </c>
      <c r="N128">
        <v>4.5999999999999996</v>
      </c>
      <c r="O128">
        <v>4</v>
      </c>
      <c r="P128" s="2" t="s">
        <v>72</v>
      </c>
    </row>
    <row r="129" spans="1:16" x14ac:dyDescent="0.25">
      <c r="A129" s="2" t="s">
        <v>698</v>
      </c>
      <c r="B129" s="2" t="s">
        <v>699</v>
      </c>
      <c r="C129" s="2" t="s">
        <v>18</v>
      </c>
      <c r="D129" s="2" t="s">
        <v>79</v>
      </c>
      <c r="E129" s="2" t="s">
        <v>20</v>
      </c>
      <c r="F129" s="2" t="s">
        <v>39</v>
      </c>
      <c r="G129" s="2" t="s">
        <v>80</v>
      </c>
      <c r="H129" s="2" t="s">
        <v>23</v>
      </c>
      <c r="I129" s="2" t="s">
        <v>35</v>
      </c>
      <c r="J129" s="2" t="s">
        <v>700</v>
      </c>
      <c r="K129" s="2" t="s">
        <v>710</v>
      </c>
      <c r="L129">
        <v>3</v>
      </c>
      <c r="M129" s="1">
        <v>147000</v>
      </c>
      <c r="N129">
        <v>4.8</v>
      </c>
      <c r="O129">
        <v>14</v>
      </c>
      <c r="P129" s="2" t="s">
        <v>26</v>
      </c>
    </row>
    <row r="130" spans="1:16" x14ac:dyDescent="0.25">
      <c r="A130" s="2" t="s">
        <v>704</v>
      </c>
      <c r="B130" s="2" t="s">
        <v>705</v>
      </c>
      <c r="C130" s="2" t="s">
        <v>29</v>
      </c>
      <c r="D130" s="2" t="s">
        <v>43</v>
      </c>
      <c r="E130" s="2" t="s">
        <v>20</v>
      </c>
      <c r="F130" s="2" t="s">
        <v>128</v>
      </c>
      <c r="G130" s="2" t="s">
        <v>33</v>
      </c>
      <c r="H130" s="2" t="s">
        <v>34</v>
      </c>
      <c r="I130" s="2" t="s">
        <v>57</v>
      </c>
      <c r="J130" s="2" t="s">
        <v>706</v>
      </c>
      <c r="K130" s="2" t="s">
        <v>710</v>
      </c>
      <c r="L130">
        <v>5</v>
      </c>
      <c r="M130" s="1">
        <v>350000</v>
      </c>
      <c r="N130">
        <v>2.4</v>
      </c>
      <c r="O130">
        <v>10</v>
      </c>
      <c r="P130" s="2" t="s">
        <v>26</v>
      </c>
    </row>
    <row r="131" spans="1:16" x14ac:dyDescent="0.25">
      <c r="A131" s="2" t="s">
        <v>707</v>
      </c>
      <c r="B131" s="2" t="s">
        <v>708</v>
      </c>
      <c r="C131" s="2" t="s">
        <v>18</v>
      </c>
      <c r="D131" s="2" t="s">
        <v>50</v>
      </c>
      <c r="E131" s="2" t="s">
        <v>20</v>
      </c>
      <c r="F131" s="2" t="s">
        <v>39</v>
      </c>
      <c r="G131" s="2" t="s">
        <v>22</v>
      </c>
      <c r="H131" s="2" t="s">
        <v>34</v>
      </c>
      <c r="I131" s="2" t="s">
        <v>57</v>
      </c>
      <c r="J131" s="2" t="s">
        <v>709</v>
      </c>
      <c r="K131" s="2" t="s">
        <v>710</v>
      </c>
      <c r="L131">
        <v>3</v>
      </c>
      <c r="M131" s="1">
        <v>114000</v>
      </c>
      <c r="N131">
        <v>4.0999999999999996</v>
      </c>
      <c r="O131">
        <v>2</v>
      </c>
      <c r="P131" s="2" t="s">
        <v>53</v>
      </c>
    </row>
    <row r="132" spans="1:16" x14ac:dyDescent="0.25">
      <c r="A132" s="2" t="s">
        <v>711</v>
      </c>
      <c r="B132" s="2" t="s">
        <v>712</v>
      </c>
      <c r="C132" s="2" t="s">
        <v>29</v>
      </c>
      <c r="D132" s="2" t="s">
        <v>79</v>
      </c>
      <c r="E132" s="2" t="s">
        <v>20</v>
      </c>
      <c r="F132" s="2" t="s">
        <v>39</v>
      </c>
      <c r="G132" s="2" t="s">
        <v>80</v>
      </c>
      <c r="H132" s="2" t="s">
        <v>62</v>
      </c>
      <c r="I132" s="2" t="s">
        <v>35</v>
      </c>
      <c r="J132" s="2" t="s">
        <v>713</v>
      </c>
      <c r="K132" s="2" t="s">
        <v>723</v>
      </c>
      <c r="L132">
        <v>3</v>
      </c>
      <c r="M132" s="1">
        <v>160000</v>
      </c>
      <c r="N132">
        <v>4.5999999999999996</v>
      </c>
      <c r="O132">
        <v>2</v>
      </c>
      <c r="P132" s="2" t="s">
        <v>26</v>
      </c>
    </row>
    <row r="133" spans="1:16" x14ac:dyDescent="0.25">
      <c r="A133" s="2" t="s">
        <v>714</v>
      </c>
      <c r="B133" s="2" t="s">
        <v>715</v>
      </c>
      <c r="C133" s="2" t="s">
        <v>29</v>
      </c>
      <c r="D133" s="2" t="s">
        <v>43</v>
      </c>
      <c r="E133" s="2" t="s">
        <v>44</v>
      </c>
      <c r="F133" s="2" t="s">
        <v>128</v>
      </c>
      <c r="G133" s="2" t="s">
        <v>80</v>
      </c>
      <c r="H133" s="2" t="s">
        <v>34</v>
      </c>
      <c r="I133" s="2" t="s">
        <v>24</v>
      </c>
      <c r="J133" s="2" t="s">
        <v>716</v>
      </c>
      <c r="K133" s="2" t="s">
        <v>723</v>
      </c>
      <c r="L133">
        <v>6</v>
      </c>
      <c r="M133" s="1">
        <v>361000</v>
      </c>
      <c r="N133">
        <v>4.5999999999999996</v>
      </c>
      <c r="O133">
        <v>5</v>
      </c>
      <c r="P133" s="2" t="s">
        <v>26</v>
      </c>
    </row>
    <row r="134" spans="1:16" x14ac:dyDescent="0.25">
      <c r="A134" s="2" t="s">
        <v>717</v>
      </c>
      <c r="B134" s="2" t="s">
        <v>718</v>
      </c>
      <c r="C134" s="2" t="s">
        <v>18</v>
      </c>
      <c r="D134" s="2" t="s">
        <v>19</v>
      </c>
      <c r="E134" s="2" t="s">
        <v>44</v>
      </c>
      <c r="F134" s="2" t="s">
        <v>128</v>
      </c>
      <c r="G134" s="2" t="s">
        <v>33</v>
      </c>
      <c r="H134" s="2" t="s">
        <v>23</v>
      </c>
      <c r="I134" s="2" t="s">
        <v>35</v>
      </c>
      <c r="J134" s="2" t="s">
        <v>719</v>
      </c>
      <c r="K134" s="2" t="s">
        <v>723</v>
      </c>
      <c r="L134">
        <v>6</v>
      </c>
      <c r="M134" s="1">
        <v>414000</v>
      </c>
      <c r="N134">
        <v>2.7</v>
      </c>
      <c r="O134">
        <v>1</v>
      </c>
      <c r="P134" s="2" t="s">
        <v>26</v>
      </c>
    </row>
    <row r="135" spans="1:16" x14ac:dyDescent="0.25">
      <c r="A135" s="2" t="s">
        <v>720</v>
      </c>
      <c r="B135" s="2" t="s">
        <v>721</v>
      </c>
      <c r="C135" s="2" t="s">
        <v>18</v>
      </c>
      <c r="D135" s="2" t="s">
        <v>30</v>
      </c>
      <c r="E135" s="2" t="s">
        <v>20</v>
      </c>
      <c r="F135" s="2" t="s">
        <v>32</v>
      </c>
      <c r="G135" s="2" t="s">
        <v>80</v>
      </c>
      <c r="H135" s="2" t="s">
        <v>23</v>
      </c>
      <c r="I135" s="2" t="s">
        <v>35</v>
      </c>
      <c r="J135" s="2" t="s">
        <v>722</v>
      </c>
      <c r="K135" s="2" t="s">
        <v>723</v>
      </c>
      <c r="L135">
        <v>4</v>
      </c>
      <c r="M135" s="1">
        <v>274000</v>
      </c>
      <c r="N135">
        <v>4.7</v>
      </c>
      <c r="O135">
        <v>1</v>
      </c>
      <c r="P135" s="2" t="s">
        <v>53</v>
      </c>
    </row>
    <row r="136" spans="1:16" x14ac:dyDescent="0.25">
      <c r="A136" s="2" t="s">
        <v>724</v>
      </c>
      <c r="B136" s="2" t="s">
        <v>725</v>
      </c>
      <c r="C136" s="2" t="s">
        <v>29</v>
      </c>
      <c r="D136" s="2" t="s">
        <v>79</v>
      </c>
      <c r="E136" s="2" t="s">
        <v>31</v>
      </c>
      <c r="F136" s="2" t="s">
        <v>32</v>
      </c>
      <c r="G136" s="2" t="s">
        <v>22</v>
      </c>
      <c r="H136" s="2" t="s">
        <v>23</v>
      </c>
      <c r="I136" s="2" t="s">
        <v>57</v>
      </c>
      <c r="J136" s="2" t="s">
        <v>242</v>
      </c>
      <c r="K136" s="2" t="s">
        <v>726</v>
      </c>
      <c r="L136">
        <v>5</v>
      </c>
      <c r="M136" s="1">
        <v>242000</v>
      </c>
      <c r="N136">
        <v>4.5</v>
      </c>
      <c r="O136">
        <v>12</v>
      </c>
      <c r="P136" s="2" t="s">
        <v>114</v>
      </c>
    </row>
    <row r="137" spans="1:16" x14ac:dyDescent="0.25">
      <c r="A137" s="2" t="s">
        <v>727</v>
      </c>
      <c r="B137" s="2" t="s">
        <v>728</v>
      </c>
      <c r="C137" s="2" t="s">
        <v>29</v>
      </c>
      <c r="D137" s="2" t="s">
        <v>50</v>
      </c>
      <c r="E137" s="2" t="s">
        <v>44</v>
      </c>
      <c r="F137" s="2" t="s">
        <v>32</v>
      </c>
      <c r="G137" s="2" t="s">
        <v>33</v>
      </c>
      <c r="H137" s="2" t="s">
        <v>34</v>
      </c>
      <c r="I137" s="2" t="s">
        <v>24</v>
      </c>
      <c r="J137" s="2" t="s">
        <v>634</v>
      </c>
      <c r="K137" s="2" t="s">
        <v>729</v>
      </c>
      <c r="L137">
        <v>6</v>
      </c>
      <c r="M137" s="1">
        <v>224000</v>
      </c>
      <c r="N137">
        <v>2.9</v>
      </c>
      <c r="O137">
        <v>7</v>
      </c>
      <c r="P137" s="2" t="s">
        <v>53</v>
      </c>
    </row>
    <row r="138" spans="1:16" x14ac:dyDescent="0.25">
      <c r="A138" s="2" t="s">
        <v>730</v>
      </c>
      <c r="B138" s="2" t="s">
        <v>731</v>
      </c>
      <c r="C138" s="2" t="s">
        <v>18</v>
      </c>
      <c r="D138" s="2" t="s">
        <v>30</v>
      </c>
      <c r="E138" s="2" t="s">
        <v>44</v>
      </c>
      <c r="F138" s="2" t="s">
        <v>39</v>
      </c>
      <c r="G138" s="2" t="s">
        <v>80</v>
      </c>
      <c r="H138" s="2" t="s">
        <v>34</v>
      </c>
      <c r="I138" s="2" t="s">
        <v>75</v>
      </c>
      <c r="J138" s="2" t="s">
        <v>732</v>
      </c>
      <c r="K138" s="2" t="s">
        <v>590</v>
      </c>
      <c r="L138">
        <v>3</v>
      </c>
      <c r="M138" s="1">
        <v>108000</v>
      </c>
      <c r="N138">
        <v>3.2</v>
      </c>
      <c r="O138">
        <v>8</v>
      </c>
      <c r="P138" s="2" t="s">
        <v>26</v>
      </c>
    </row>
    <row r="139" spans="1:16" x14ac:dyDescent="0.25">
      <c r="A139" s="2" t="s">
        <v>733</v>
      </c>
      <c r="B139" s="2" t="s">
        <v>734</v>
      </c>
      <c r="C139" s="2" t="s">
        <v>18</v>
      </c>
      <c r="D139" s="2" t="s">
        <v>19</v>
      </c>
      <c r="E139" s="2" t="s">
        <v>20</v>
      </c>
      <c r="F139" s="2" t="s">
        <v>39</v>
      </c>
      <c r="G139" s="2" t="s">
        <v>33</v>
      </c>
      <c r="H139" s="2" t="s">
        <v>34</v>
      </c>
      <c r="I139" s="2" t="s">
        <v>35</v>
      </c>
      <c r="J139" s="2" t="s">
        <v>735</v>
      </c>
      <c r="K139" s="2" t="s">
        <v>590</v>
      </c>
      <c r="L139">
        <v>5</v>
      </c>
      <c r="M139" s="1">
        <v>176000</v>
      </c>
      <c r="N139">
        <v>4.2</v>
      </c>
      <c r="O139">
        <v>20</v>
      </c>
      <c r="P139" s="2" t="s">
        <v>26</v>
      </c>
    </row>
    <row r="140" spans="1:16" x14ac:dyDescent="0.25">
      <c r="A140" s="2" t="s">
        <v>736</v>
      </c>
      <c r="B140" s="2" t="s">
        <v>737</v>
      </c>
      <c r="C140" s="2" t="s">
        <v>29</v>
      </c>
      <c r="D140" s="2" t="s">
        <v>30</v>
      </c>
      <c r="E140" s="2" t="s">
        <v>31</v>
      </c>
      <c r="F140" s="2" t="s">
        <v>128</v>
      </c>
      <c r="G140" s="2" t="s">
        <v>80</v>
      </c>
      <c r="H140" s="2" t="s">
        <v>34</v>
      </c>
      <c r="I140" s="2" t="s">
        <v>75</v>
      </c>
      <c r="J140" s="2" t="s">
        <v>738</v>
      </c>
      <c r="K140" s="2" t="s">
        <v>590</v>
      </c>
      <c r="L140">
        <v>4</v>
      </c>
      <c r="M140" s="1">
        <v>574000</v>
      </c>
      <c r="N140">
        <v>4.3</v>
      </c>
      <c r="O140">
        <v>6</v>
      </c>
      <c r="P140" s="2" t="s">
        <v>26</v>
      </c>
    </row>
    <row r="141" spans="1:16" x14ac:dyDescent="0.25">
      <c r="A141" s="2" t="s">
        <v>739</v>
      </c>
      <c r="B141" s="2" t="s">
        <v>740</v>
      </c>
      <c r="C141" s="2" t="s">
        <v>29</v>
      </c>
      <c r="D141" s="2" t="s">
        <v>43</v>
      </c>
      <c r="E141" s="2" t="s">
        <v>31</v>
      </c>
      <c r="F141" s="2" t="s">
        <v>128</v>
      </c>
      <c r="G141" s="2" t="s">
        <v>22</v>
      </c>
      <c r="H141" s="2" t="s">
        <v>62</v>
      </c>
      <c r="I141" s="2" t="s">
        <v>24</v>
      </c>
      <c r="J141" s="2" t="s">
        <v>741</v>
      </c>
      <c r="K141" s="2" t="s">
        <v>590</v>
      </c>
      <c r="L141">
        <v>4</v>
      </c>
      <c r="M141" s="1">
        <v>474000</v>
      </c>
      <c r="N141">
        <v>4</v>
      </c>
      <c r="O141">
        <v>14</v>
      </c>
      <c r="P141" s="2" t="s">
        <v>53</v>
      </c>
    </row>
    <row r="142" spans="1:16" x14ac:dyDescent="0.25">
      <c r="A142" s="2" t="s">
        <v>746</v>
      </c>
      <c r="B142" s="2" t="s">
        <v>747</v>
      </c>
      <c r="C142" s="2" t="s">
        <v>18</v>
      </c>
      <c r="D142" s="2" t="s">
        <v>50</v>
      </c>
      <c r="E142" s="2" t="s">
        <v>20</v>
      </c>
      <c r="F142" s="2" t="s">
        <v>128</v>
      </c>
      <c r="G142" s="2" t="s">
        <v>69</v>
      </c>
      <c r="H142" s="2" t="s">
        <v>23</v>
      </c>
      <c r="I142" s="2" t="s">
        <v>75</v>
      </c>
      <c r="J142" s="2" t="s">
        <v>748</v>
      </c>
      <c r="K142" s="2" t="s">
        <v>749</v>
      </c>
      <c r="L142">
        <v>5</v>
      </c>
      <c r="M142" s="1">
        <v>398000</v>
      </c>
      <c r="N142">
        <v>3.2</v>
      </c>
      <c r="O142">
        <v>3</v>
      </c>
      <c r="P142" s="2" t="s">
        <v>53</v>
      </c>
    </row>
    <row r="143" spans="1:16" x14ac:dyDescent="0.25">
      <c r="A143" s="2" t="s">
        <v>750</v>
      </c>
      <c r="B143" s="2" t="s">
        <v>751</v>
      </c>
      <c r="C143" s="2" t="s">
        <v>29</v>
      </c>
      <c r="D143" s="2" t="s">
        <v>30</v>
      </c>
      <c r="E143" s="2" t="s">
        <v>44</v>
      </c>
      <c r="F143" s="2" t="s">
        <v>32</v>
      </c>
      <c r="G143" s="2" t="s">
        <v>22</v>
      </c>
      <c r="H143" s="2" t="s">
        <v>46</v>
      </c>
      <c r="I143" s="2" t="s">
        <v>75</v>
      </c>
      <c r="J143" s="2" t="s">
        <v>752</v>
      </c>
      <c r="K143" s="2" t="s">
        <v>755</v>
      </c>
      <c r="L143">
        <v>6</v>
      </c>
      <c r="M143" s="1">
        <v>326000</v>
      </c>
      <c r="N143">
        <v>3.6</v>
      </c>
      <c r="O143">
        <v>1</v>
      </c>
      <c r="P143" s="2" t="s">
        <v>26</v>
      </c>
    </row>
    <row r="144" spans="1:16" x14ac:dyDescent="0.25">
      <c r="A144" s="2" t="s">
        <v>753</v>
      </c>
      <c r="B144" s="2" t="s">
        <v>754</v>
      </c>
      <c r="C144" s="2" t="s">
        <v>29</v>
      </c>
      <c r="D144" s="2" t="s">
        <v>50</v>
      </c>
      <c r="E144" s="2" t="s">
        <v>20</v>
      </c>
      <c r="F144" s="2" t="s">
        <v>32</v>
      </c>
      <c r="G144" s="2" t="s">
        <v>22</v>
      </c>
      <c r="H144" s="2" t="s">
        <v>34</v>
      </c>
      <c r="I144" s="2" t="s">
        <v>24</v>
      </c>
      <c r="J144" s="2" t="s">
        <v>253</v>
      </c>
      <c r="K144" s="2" t="s">
        <v>755</v>
      </c>
      <c r="L144">
        <v>4</v>
      </c>
      <c r="M144" s="1">
        <v>233000</v>
      </c>
      <c r="N144">
        <v>2.6</v>
      </c>
      <c r="O144">
        <v>13</v>
      </c>
      <c r="P144" s="2" t="s">
        <v>53</v>
      </c>
    </row>
    <row r="145" spans="1:16" x14ac:dyDescent="0.25">
      <c r="A145" s="2" t="s">
        <v>756</v>
      </c>
      <c r="B145" s="2" t="s">
        <v>757</v>
      </c>
      <c r="C145" s="2" t="s">
        <v>29</v>
      </c>
      <c r="D145" s="2" t="s">
        <v>79</v>
      </c>
      <c r="E145" s="2" t="s">
        <v>20</v>
      </c>
      <c r="F145" s="2" t="s">
        <v>32</v>
      </c>
      <c r="G145" s="2" t="s">
        <v>33</v>
      </c>
      <c r="H145" s="2" t="s">
        <v>34</v>
      </c>
      <c r="I145" s="2" t="s">
        <v>24</v>
      </c>
      <c r="J145" s="2" t="s">
        <v>758</v>
      </c>
      <c r="K145" s="2" t="s">
        <v>168</v>
      </c>
      <c r="L145">
        <v>3</v>
      </c>
      <c r="M145" s="1">
        <v>294000</v>
      </c>
      <c r="N145">
        <v>4.3</v>
      </c>
      <c r="O145">
        <v>10</v>
      </c>
      <c r="P145" s="2" t="s">
        <v>26</v>
      </c>
    </row>
    <row r="146" spans="1:16" x14ac:dyDescent="0.25">
      <c r="A146" s="2" t="s">
        <v>759</v>
      </c>
      <c r="B146" s="2" t="s">
        <v>760</v>
      </c>
      <c r="C146" s="2" t="s">
        <v>29</v>
      </c>
      <c r="D146" s="2" t="s">
        <v>79</v>
      </c>
      <c r="E146" s="2" t="s">
        <v>20</v>
      </c>
      <c r="F146" s="2" t="s">
        <v>128</v>
      </c>
      <c r="G146" s="2" t="s">
        <v>22</v>
      </c>
      <c r="H146" s="2" t="s">
        <v>46</v>
      </c>
      <c r="I146" s="2" t="s">
        <v>24</v>
      </c>
      <c r="J146" s="2" t="s">
        <v>761</v>
      </c>
      <c r="K146" s="2" t="s">
        <v>168</v>
      </c>
      <c r="L146">
        <v>2</v>
      </c>
      <c r="M146" s="1">
        <v>409000</v>
      </c>
      <c r="N146">
        <v>4.5999999999999996</v>
      </c>
      <c r="O146">
        <v>6</v>
      </c>
      <c r="P146" s="2" t="s">
        <v>26</v>
      </c>
    </row>
    <row r="147" spans="1:16" x14ac:dyDescent="0.25">
      <c r="A147" s="2" t="s">
        <v>762</v>
      </c>
      <c r="B147" s="2" t="s">
        <v>763</v>
      </c>
      <c r="C147" s="2" t="s">
        <v>29</v>
      </c>
      <c r="D147" s="2" t="s">
        <v>19</v>
      </c>
      <c r="E147" s="2" t="s">
        <v>44</v>
      </c>
      <c r="F147" s="2" t="s">
        <v>32</v>
      </c>
      <c r="G147" s="2" t="s">
        <v>69</v>
      </c>
      <c r="H147" s="2" t="s">
        <v>46</v>
      </c>
      <c r="I147" s="2" t="s">
        <v>24</v>
      </c>
      <c r="J147" s="2" t="s">
        <v>764</v>
      </c>
      <c r="K147" s="2" t="s">
        <v>168</v>
      </c>
      <c r="L147">
        <v>6</v>
      </c>
      <c r="M147" s="1">
        <v>301000</v>
      </c>
      <c r="N147">
        <v>4.0999999999999996</v>
      </c>
      <c r="O147">
        <v>2</v>
      </c>
      <c r="P147" s="2" t="s">
        <v>26</v>
      </c>
    </row>
    <row r="148" spans="1:16" x14ac:dyDescent="0.25">
      <c r="A148" s="2" t="s">
        <v>765</v>
      </c>
      <c r="B148" s="2" t="s">
        <v>766</v>
      </c>
      <c r="C148" s="2" t="s">
        <v>18</v>
      </c>
      <c r="D148" s="2" t="s">
        <v>79</v>
      </c>
      <c r="E148" s="2" t="s">
        <v>20</v>
      </c>
      <c r="F148" s="2" t="s">
        <v>32</v>
      </c>
      <c r="G148" s="2" t="s">
        <v>22</v>
      </c>
      <c r="H148" s="2" t="s">
        <v>34</v>
      </c>
      <c r="I148" s="2" t="s">
        <v>24</v>
      </c>
      <c r="J148" s="2" t="s">
        <v>545</v>
      </c>
      <c r="K148" s="2" t="s">
        <v>168</v>
      </c>
      <c r="L148">
        <v>5</v>
      </c>
      <c r="M148" s="1">
        <v>198000</v>
      </c>
      <c r="N148">
        <v>4.7</v>
      </c>
      <c r="O148">
        <v>0</v>
      </c>
      <c r="P148" s="2" t="s">
        <v>26</v>
      </c>
    </row>
    <row r="149" spans="1:16" x14ac:dyDescent="0.25">
      <c r="A149" s="2" t="s">
        <v>771</v>
      </c>
      <c r="B149" s="2" t="s">
        <v>772</v>
      </c>
      <c r="C149" s="2" t="s">
        <v>18</v>
      </c>
      <c r="D149" s="2" t="s">
        <v>79</v>
      </c>
      <c r="E149" s="2" t="s">
        <v>20</v>
      </c>
      <c r="F149" s="2" t="s">
        <v>32</v>
      </c>
      <c r="G149" s="2" t="s">
        <v>22</v>
      </c>
      <c r="H149" s="2" t="s">
        <v>62</v>
      </c>
      <c r="I149" s="2" t="s">
        <v>57</v>
      </c>
      <c r="J149" s="2" t="s">
        <v>773</v>
      </c>
      <c r="K149" s="2" t="s">
        <v>168</v>
      </c>
      <c r="L149">
        <v>4</v>
      </c>
      <c r="M149" s="1">
        <v>306000</v>
      </c>
      <c r="N149">
        <v>2.5</v>
      </c>
      <c r="O149">
        <v>6</v>
      </c>
      <c r="P149" s="2" t="s">
        <v>26</v>
      </c>
    </row>
    <row r="150" spans="1:16" x14ac:dyDescent="0.25">
      <c r="A150" s="2" t="s">
        <v>774</v>
      </c>
      <c r="B150" s="2" t="s">
        <v>775</v>
      </c>
      <c r="C150" s="2" t="s">
        <v>18</v>
      </c>
      <c r="D150" s="2" t="s">
        <v>50</v>
      </c>
      <c r="E150" s="2" t="s">
        <v>20</v>
      </c>
      <c r="F150" s="2" t="s">
        <v>32</v>
      </c>
      <c r="G150" s="2" t="s">
        <v>22</v>
      </c>
      <c r="H150" s="2" t="s">
        <v>34</v>
      </c>
      <c r="I150" s="2" t="s">
        <v>24</v>
      </c>
      <c r="J150" s="2" t="s">
        <v>776</v>
      </c>
      <c r="K150" s="2" t="s">
        <v>168</v>
      </c>
      <c r="L150">
        <v>3</v>
      </c>
      <c r="M150" s="1">
        <v>191000</v>
      </c>
      <c r="N150">
        <v>3.8</v>
      </c>
      <c r="O150">
        <v>11</v>
      </c>
      <c r="P150" s="2" t="s">
        <v>53</v>
      </c>
    </row>
    <row r="151" spans="1:16" x14ac:dyDescent="0.25">
      <c r="A151" s="2" t="s">
        <v>777</v>
      </c>
      <c r="B151" s="2" t="s">
        <v>778</v>
      </c>
      <c r="C151" s="2" t="s">
        <v>18</v>
      </c>
      <c r="D151" s="2" t="s">
        <v>19</v>
      </c>
      <c r="E151" s="2" t="s">
        <v>20</v>
      </c>
      <c r="F151" s="2" t="s">
        <v>21</v>
      </c>
      <c r="G151" s="2" t="s">
        <v>22</v>
      </c>
      <c r="H151" s="2" t="s">
        <v>23</v>
      </c>
      <c r="I151" s="2" t="s">
        <v>24</v>
      </c>
      <c r="J151" s="2" t="s">
        <v>779</v>
      </c>
      <c r="K151" s="2" t="s">
        <v>780</v>
      </c>
      <c r="L151">
        <v>6</v>
      </c>
      <c r="M151" s="1">
        <v>1020000</v>
      </c>
      <c r="N151">
        <v>4.5</v>
      </c>
      <c r="O151">
        <v>10</v>
      </c>
      <c r="P151" s="2" t="s">
        <v>53</v>
      </c>
    </row>
    <row r="152" spans="1:16" x14ac:dyDescent="0.25">
      <c r="A152" s="2" t="s">
        <v>781</v>
      </c>
      <c r="B152" s="2" t="s">
        <v>782</v>
      </c>
      <c r="C152" s="2" t="s">
        <v>29</v>
      </c>
      <c r="D152" s="2" t="s">
        <v>50</v>
      </c>
      <c r="E152" s="2" t="s">
        <v>20</v>
      </c>
      <c r="F152" s="2" t="s">
        <v>32</v>
      </c>
      <c r="G152" s="2" t="s">
        <v>22</v>
      </c>
      <c r="H152" s="2" t="s">
        <v>46</v>
      </c>
      <c r="I152" s="2" t="s">
        <v>57</v>
      </c>
      <c r="J152" s="2" t="s">
        <v>783</v>
      </c>
      <c r="K152" s="2" t="s">
        <v>784</v>
      </c>
      <c r="L152">
        <v>2</v>
      </c>
      <c r="M152" s="1">
        <v>265000</v>
      </c>
      <c r="N152">
        <v>4</v>
      </c>
      <c r="O152">
        <v>11</v>
      </c>
      <c r="P152" s="2" t="s">
        <v>53</v>
      </c>
    </row>
    <row r="153" spans="1:16" x14ac:dyDescent="0.25">
      <c r="A153" s="2" t="s">
        <v>785</v>
      </c>
      <c r="B153" s="2" t="s">
        <v>786</v>
      </c>
      <c r="C153" s="2" t="s">
        <v>18</v>
      </c>
      <c r="D153" s="2" t="s">
        <v>30</v>
      </c>
      <c r="E153" s="2" t="s">
        <v>20</v>
      </c>
      <c r="F153" s="2" t="s">
        <v>32</v>
      </c>
      <c r="G153" s="2" t="s">
        <v>80</v>
      </c>
      <c r="H153" s="2" t="s">
        <v>34</v>
      </c>
      <c r="I153" s="2" t="s">
        <v>24</v>
      </c>
      <c r="J153" s="2" t="s">
        <v>787</v>
      </c>
      <c r="K153" s="2" t="s">
        <v>788</v>
      </c>
      <c r="L153">
        <v>5</v>
      </c>
      <c r="M153" s="1">
        <v>188000</v>
      </c>
      <c r="N153">
        <v>1.7</v>
      </c>
      <c r="O153">
        <v>9</v>
      </c>
      <c r="P153" s="2" t="s">
        <v>114</v>
      </c>
    </row>
    <row r="154" spans="1:16" x14ac:dyDescent="0.25">
      <c r="A154" s="2" t="s">
        <v>792</v>
      </c>
      <c r="B154" s="2" t="s">
        <v>793</v>
      </c>
      <c r="C154" s="2" t="s">
        <v>18</v>
      </c>
      <c r="D154" s="2" t="s">
        <v>79</v>
      </c>
      <c r="E154" s="2" t="s">
        <v>20</v>
      </c>
      <c r="F154" s="2" t="s">
        <v>128</v>
      </c>
      <c r="G154" s="2" t="s">
        <v>22</v>
      </c>
      <c r="H154" s="2" t="s">
        <v>34</v>
      </c>
      <c r="I154" s="2" t="s">
        <v>57</v>
      </c>
      <c r="J154" s="2" t="s">
        <v>794</v>
      </c>
      <c r="K154" s="2" t="s">
        <v>812</v>
      </c>
      <c r="L154">
        <v>3</v>
      </c>
      <c r="M154" s="1">
        <v>531000</v>
      </c>
      <c r="N154">
        <v>4.3</v>
      </c>
      <c r="O154">
        <v>13</v>
      </c>
      <c r="P154" s="2" t="s">
        <v>26</v>
      </c>
    </row>
    <row r="155" spans="1:16" x14ac:dyDescent="0.25">
      <c r="A155" s="2" t="s">
        <v>795</v>
      </c>
      <c r="B155" s="2" t="s">
        <v>796</v>
      </c>
      <c r="C155" s="2" t="s">
        <v>18</v>
      </c>
      <c r="D155" s="2" t="s">
        <v>43</v>
      </c>
      <c r="E155" s="2" t="s">
        <v>20</v>
      </c>
      <c r="F155" s="2" t="s">
        <v>45</v>
      </c>
      <c r="G155" s="2" t="s">
        <v>80</v>
      </c>
      <c r="H155" s="2" t="s">
        <v>23</v>
      </c>
      <c r="I155" s="2" t="s">
        <v>24</v>
      </c>
      <c r="J155" s="2" t="s">
        <v>797</v>
      </c>
      <c r="K155" s="2" t="s">
        <v>812</v>
      </c>
      <c r="L155">
        <v>3</v>
      </c>
      <c r="M155" s="1">
        <v>1029000</v>
      </c>
      <c r="N155">
        <v>3.4</v>
      </c>
      <c r="O155">
        <v>9</v>
      </c>
      <c r="P155" s="2" t="s">
        <v>26</v>
      </c>
    </row>
    <row r="156" spans="1:16" x14ac:dyDescent="0.25">
      <c r="A156" s="2" t="s">
        <v>801</v>
      </c>
      <c r="B156" s="2" t="s">
        <v>802</v>
      </c>
      <c r="C156" s="2" t="s">
        <v>29</v>
      </c>
      <c r="D156" s="2" t="s">
        <v>50</v>
      </c>
      <c r="E156" s="2" t="s">
        <v>31</v>
      </c>
      <c r="F156" s="2" t="s">
        <v>32</v>
      </c>
      <c r="G156" s="2" t="s">
        <v>33</v>
      </c>
      <c r="H156" s="2" t="s">
        <v>62</v>
      </c>
      <c r="I156" s="2" t="s">
        <v>57</v>
      </c>
      <c r="J156" s="2" t="s">
        <v>803</v>
      </c>
      <c r="K156" s="2" t="s">
        <v>812</v>
      </c>
      <c r="L156">
        <v>4</v>
      </c>
      <c r="M156" s="1">
        <v>319000</v>
      </c>
      <c r="N156">
        <v>4.7</v>
      </c>
      <c r="O156">
        <v>3</v>
      </c>
      <c r="P156" s="2" t="s">
        <v>26</v>
      </c>
    </row>
    <row r="157" spans="1:16" x14ac:dyDescent="0.25">
      <c r="A157" s="2" t="s">
        <v>808</v>
      </c>
      <c r="B157" s="2" t="s">
        <v>809</v>
      </c>
      <c r="C157" s="2" t="s">
        <v>18</v>
      </c>
      <c r="D157" s="2" t="s">
        <v>43</v>
      </c>
      <c r="E157" s="2" t="s">
        <v>20</v>
      </c>
      <c r="F157" s="2" t="s">
        <v>39</v>
      </c>
      <c r="G157" s="2" t="s">
        <v>22</v>
      </c>
      <c r="H157" s="2" t="s">
        <v>23</v>
      </c>
      <c r="I157" s="2" t="s">
        <v>35</v>
      </c>
      <c r="J157" s="2" t="s">
        <v>811</v>
      </c>
      <c r="K157" s="2" t="s">
        <v>812</v>
      </c>
      <c r="L157">
        <v>5</v>
      </c>
      <c r="M157" s="1">
        <v>93000</v>
      </c>
      <c r="N157">
        <v>4.7</v>
      </c>
      <c r="O157">
        <v>40</v>
      </c>
      <c r="P157" s="2" t="s">
        <v>72</v>
      </c>
    </row>
    <row r="158" spans="1:16" x14ac:dyDescent="0.25">
      <c r="A158" s="2" t="s">
        <v>813</v>
      </c>
      <c r="B158" s="2" t="s">
        <v>814</v>
      </c>
      <c r="C158" s="2" t="s">
        <v>29</v>
      </c>
      <c r="D158" s="2" t="s">
        <v>30</v>
      </c>
      <c r="E158" s="2" t="s">
        <v>20</v>
      </c>
      <c r="F158" s="2" t="s">
        <v>39</v>
      </c>
      <c r="G158" s="2" t="s">
        <v>33</v>
      </c>
      <c r="H158" s="2" t="s">
        <v>34</v>
      </c>
      <c r="I158" s="2" t="s">
        <v>57</v>
      </c>
      <c r="J158" s="2" t="s">
        <v>815</v>
      </c>
      <c r="K158" s="2" t="s">
        <v>818</v>
      </c>
      <c r="L158">
        <v>2</v>
      </c>
      <c r="M158" s="1">
        <v>174000</v>
      </c>
      <c r="N158">
        <v>3.3</v>
      </c>
      <c r="O158">
        <v>3</v>
      </c>
      <c r="P158" s="2" t="s">
        <v>26</v>
      </c>
    </row>
    <row r="159" spans="1:16" x14ac:dyDescent="0.25">
      <c r="A159" s="2" t="s">
        <v>816</v>
      </c>
      <c r="B159" s="2" t="s">
        <v>817</v>
      </c>
      <c r="C159" s="2" t="s">
        <v>18</v>
      </c>
      <c r="D159" s="2" t="s">
        <v>50</v>
      </c>
      <c r="E159" s="2" t="s">
        <v>20</v>
      </c>
      <c r="F159" s="2" t="s">
        <v>21</v>
      </c>
      <c r="G159" s="2" t="s">
        <v>22</v>
      </c>
      <c r="H159" s="2" t="s">
        <v>34</v>
      </c>
      <c r="I159" s="2" t="s">
        <v>57</v>
      </c>
      <c r="J159" s="2" t="s">
        <v>481</v>
      </c>
      <c r="K159" s="2" t="s">
        <v>818</v>
      </c>
      <c r="L159">
        <v>5</v>
      </c>
      <c r="M159" s="1">
        <v>718000</v>
      </c>
      <c r="N159">
        <v>4.5999999999999996</v>
      </c>
      <c r="O159">
        <v>36</v>
      </c>
      <c r="P159" s="2" t="s">
        <v>53</v>
      </c>
    </row>
    <row r="160" spans="1:16" x14ac:dyDescent="0.25">
      <c r="A160" s="2" t="s">
        <v>819</v>
      </c>
      <c r="B160" s="2" t="s">
        <v>820</v>
      </c>
      <c r="C160" s="2" t="s">
        <v>18</v>
      </c>
      <c r="D160" s="2" t="s">
        <v>43</v>
      </c>
      <c r="E160" s="2" t="s">
        <v>20</v>
      </c>
      <c r="F160" s="2" t="s">
        <v>39</v>
      </c>
      <c r="G160" s="2" t="s">
        <v>33</v>
      </c>
      <c r="H160" s="2" t="s">
        <v>34</v>
      </c>
      <c r="I160" s="2" t="s">
        <v>24</v>
      </c>
      <c r="J160" s="2" t="s">
        <v>90</v>
      </c>
      <c r="K160" s="2" t="s">
        <v>831</v>
      </c>
      <c r="L160">
        <v>5</v>
      </c>
      <c r="M160" s="1">
        <v>153000</v>
      </c>
      <c r="N160">
        <v>3.4</v>
      </c>
      <c r="O160">
        <v>36</v>
      </c>
      <c r="P160" s="2" t="s">
        <v>26</v>
      </c>
    </row>
    <row r="161" spans="1:16" x14ac:dyDescent="0.25">
      <c r="A161" s="2" t="s">
        <v>828</v>
      </c>
      <c r="B161" s="2" t="s">
        <v>829</v>
      </c>
      <c r="C161" s="2" t="s">
        <v>29</v>
      </c>
      <c r="D161" s="2" t="s">
        <v>30</v>
      </c>
      <c r="E161" s="2" t="s">
        <v>44</v>
      </c>
      <c r="F161" s="2" t="s">
        <v>32</v>
      </c>
      <c r="G161" s="2" t="s">
        <v>22</v>
      </c>
      <c r="H161" s="2" t="s">
        <v>23</v>
      </c>
      <c r="I161" s="2" t="s">
        <v>57</v>
      </c>
      <c r="J161" s="2" t="s">
        <v>830</v>
      </c>
      <c r="K161" s="2" t="s">
        <v>831</v>
      </c>
      <c r="L161">
        <v>6</v>
      </c>
      <c r="M161" s="1">
        <v>321000</v>
      </c>
      <c r="N161">
        <v>2.9</v>
      </c>
      <c r="O161">
        <v>13</v>
      </c>
      <c r="P161" s="2" t="s">
        <v>53</v>
      </c>
    </row>
    <row r="162" spans="1:16" x14ac:dyDescent="0.25">
      <c r="A162" s="2" t="s">
        <v>832</v>
      </c>
      <c r="B162" s="2" t="s">
        <v>833</v>
      </c>
      <c r="C162" s="2" t="s">
        <v>18</v>
      </c>
      <c r="D162" s="2" t="s">
        <v>19</v>
      </c>
      <c r="E162" s="2" t="s">
        <v>20</v>
      </c>
      <c r="F162" s="2" t="s">
        <v>128</v>
      </c>
      <c r="G162" s="2" t="s">
        <v>22</v>
      </c>
      <c r="H162" s="2" t="s">
        <v>23</v>
      </c>
      <c r="I162" s="2" t="s">
        <v>171</v>
      </c>
      <c r="J162" s="2" t="s">
        <v>834</v>
      </c>
      <c r="K162" s="2" t="s">
        <v>838</v>
      </c>
      <c r="L162">
        <v>3</v>
      </c>
      <c r="M162" s="1">
        <v>627000</v>
      </c>
      <c r="N162">
        <v>2.9</v>
      </c>
      <c r="O162">
        <v>4</v>
      </c>
      <c r="P162" s="2" t="s">
        <v>26</v>
      </c>
    </row>
    <row r="163" spans="1:16" x14ac:dyDescent="0.25">
      <c r="A163" s="2" t="s">
        <v>840</v>
      </c>
      <c r="B163" s="2" t="s">
        <v>195</v>
      </c>
      <c r="C163" s="2" t="s">
        <v>18</v>
      </c>
      <c r="D163" s="2" t="s">
        <v>79</v>
      </c>
      <c r="E163" s="2" t="s">
        <v>20</v>
      </c>
      <c r="F163" s="2" t="s">
        <v>39</v>
      </c>
      <c r="G163" s="2" t="s">
        <v>69</v>
      </c>
      <c r="H163" s="2" t="s">
        <v>23</v>
      </c>
      <c r="I163" s="2" t="s">
        <v>24</v>
      </c>
      <c r="J163" s="2" t="s">
        <v>841</v>
      </c>
      <c r="K163" s="2" t="s">
        <v>838</v>
      </c>
      <c r="L163">
        <v>2</v>
      </c>
      <c r="M163" s="1">
        <v>116000</v>
      </c>
      <c r="N163">
        <v>4</v>
      </c>
      <c r="O163">
        <v>5</v>
      </c>
      <c r="P163" s="2" t="s">
        <v>26</v>
      </c>
    </row>
    <row r="164" spans="1:16" x14ac:dyDescent="0.25">
      <c r="A164" s="2" t="s">
        <v>842</v>
      </c>
      <c r="B164" s="2" t="s">
        <v>843</v>
      </c>
      <c r="C164" s="2" t="s">
        <v>18</v>
      </c>
      <c r="D164" s="2" t="s">
        <v>19</v>
      </c>
      <c r="E164" s="2" t="s">
        <v>44</v>
      </c>
      <c r="F164" s="2" t="s">
        <v>128</v>
      </c>
      <c r="G164" s="2" t="s">
        <v>80</v>
      </c>
      <c r="H164" s="2" t="s">
        <v>23</v>
      </c>
      <c r="I164" s="2" t="s">
        <v>57</v>
      </c>
      <c r="J164" s="2" t="s">
        <v>844</v>
      </c>
      <c r="K164" s="2" t="s">
        <v>838</v>
      </c>
      <c r="L164">
        <v>5</v>
      </c>
      <c r="M164" s="1">
        <v>648000</v>
      </c>
      <c r="N164">
        <v>3.2</v>
      </c>
      <c r="O164">
        <v>7</v>
      </c>
      <c r="P164" s="2" t="s">
        <v>26</v>
      </c>
    </row>
    <row r="165" spans="1:16" x14ac:dyDescent="0.25">
      <c r="A165" s="2" t="s">
        <v>845</v>
      </c>
      <c r="B165" s="2" t="s">
        <v>846</v>
      </c>
      <c r="C165" s="2" t="s">
        <v>18</v>
      </c>
      <c r="D165" s="2" t="s">
        <v>50</v>
      </c>
      <c r="E165" s="2" t="s">
        <v>20</v>
      </c>
      <c r="F165" s="2" t="s">
        <v>39</v>
      </c>
      <c r="G165" s="2" t="s">
        <v>22</v>
      </c>
      <c r="H165" s="2" t="s">
        <v>34</v>
      </c>
      <c r="I165" s="2" t="s">
        <v>75</v>
      </c>
      <c r="J165" s="2" t="s">
        <v>847</v>
      </c>
      <c r="K165" s="2" t="s">
        <v>838</v>
      </c>
      <c r="L165">
        <v>3</v>
      </c>
      <c r="M165" s="1">
        <v>104000</v>
      </c>
      <c r="N165">
        <v>2.4</v>
      </c>
      <c r="O165">
        <v>10</v>
      </c>
      <c r="P165" s="2" t="s">
        <v>72</v>
      </c>
    </row>
    <row r="166" spans="1:16" x14ac:dyDescent="0.25">
      <c r="A166" s="2" t="s">
        <v>848</v>
      </c>
      <c r="B166" s="2" t="s">
        <v>849</v>
      </c>
      <c r="C166" s="2" t="s">
        <v>18</v>
      </c>
      <c r="D166" s="2" t="s">
        <v>19</v>
      </c>
      <c r="E166" s="2" t="s">
        <v>20</v>
      </c>
      <c r="F166" s="2" t="s">
        <v>39</v>
      </c>
      <c r="G166" s="2" t="s">
        <v>22</v>
      </c>
      <c r="H166" s="2" t="s">
        <v>46</v>
      </c>
      <c r="I166" s="2" t="s">
        <v>57</v>
      </c>
      <c r="J166" s="2" t="s">
        <v>850</v>
      </c>
      <c r="K166" s="2" t="s">
        <v>851</v>
      </c>
      <c r="L166">
        <v>3</v>
      </c>
      <c r="M166" s="1">
        <v>132000</v>
      </c>
      <c r="N166">
        <v>2.6</v>
      </c>
      <c r="O166">
        <v>36</v>
      </c>
      <c r="P166" s="2" t="s">
        <v>72</v>
      </c>
    </row>
    <row r="167" spans="1:16" x14ac:dyDescent="0.25">
      <c r="A167" s="2" t="s">
        <v>856</v>
      </c>
      <c r="B167" s="2" t="s">
        <v>857</v>
      </c>
      <c r="C167" s="2" t="s">
        <v>18</v>
      </c>
      <c r="D167" s="2" t="s">
        <v>43</v>
      </c>
      <c r="E167" s="2" t="s">
        <v>20</v>
      </c>
      <c r="F167" s="2" t="s">
        <v>39</v>
      </c>
      <c r="G167" s="2" t="s">
        <v>80</v>
      </c>
      <c r="H167" s="2" t="s">
        <v>23</v>
      </c>
      <c r="I167" s="2" t="s">
        <v>171</v>
      </c>
      <c r="J167" s="2" t="s">
        <v>858</v>
      </c>
      <c r="K167" s="2" t="s">
        <v>859</v>
      </c>
      <c r="L167">
        <v>3</v>
      </c>
      <c r="M167" s="1">
        <v>130000</v>
      </c>
      <c r="N167">
        <v>4.9000000000000004</v>
      </c>
      <c r="O167">
        <v>14</v>
      </c>
      <c r="P167" s="2" t="s">
        <v>53</v>
      </c>
    </row>
    <row r="168" spans="1:16" x14ac:dyDescent="0.25">
      <c r="A168" s="2" t="s">
        <v>864</v>
      </c>
      <c r="B168" s="2" t="s">
        <v>865</v>
      </c>
      <c r="C168" s="2" t="s">
        <v>18</v>
      </c>
      <c r="D168" s="2" t="s">
        <v>19</v>
      </c>
      <c r="E168" s="2" t="s">
        <v>20</v>
      </c>
      <c r="F168" s="2" t="s">
        <v>39</v>
      </c>
      <c r="G168" s="2" t="s">
        <v>69</v>
      </c>
      <c r="H168" s="2" t="s">
        <v>23</v>
      </c>
      <c r="I168" s="2" t="s">
        <v>35</v>
      </c>
      <c r="J168" s="2" t="s">
        <v>866</v>
      </c>
      <c r="K168" s="2" t="s">
        <v>867</v>
      </c>
      <c r="L168">
        <v>3</v>
      </c>
      <c r="M168" s="1">
        <v>95000</v>
      </c>
      <c r="N168">
        <v>3.7</v>
      </c>
      <c r="O168">
        <v>6</v>
      </c>
      <c r="P168" s="2" t="s">
        <v>53</v>
      </c>
    </row>
    <row r="169" spans="1:16" x14ac:dyDescent="0.25">
      <c r="A169" s="2" t="s">
        <v>870</v>
      </c>
      <c r="B169" s="2" t="s">
        <v>871</v>
      </c>
      <c r="C169" s="2" t="s">
        <v>29</v>
      </c>
      <c r="D169" s="2" t="s">
        <v>43</v>
      </c>
      <c r="E169" s="2" t="s">
        <v>20</v>
      </c>
      <c r="F169" s="2" t="s">
        <v>128</v>
      </c>
      <c r="G169" s="2" t="s">
        <v>33</v>
      </c>
      <c r="H169" s="2" t="s">
        <v>62</v>
      </c>
      <c r="I169" s="2" t="s">
        <v>57</v>
      </c>
      <c r="J169" s="2" t="s">
        <v>872</v>
      </c>
      <c r="K169" s="2" t="s">
        <v>888</v>
      </c>
      <c r="L169">
        <v>4</v>
      </c>
      <c r="M169" s="1">
        <v>477000</v>
      </c>
      <c r="N169">
        <v>3.8</v>
      </c>
      <c r="O169">
        <v>13</v>
      </c>
      <c r="P169" s="2" t="s">
        <v>26</v>
      </c>
    </row>
    <row r="170" spans="1:16" x14ac:dyDescent="0.25">
      <c r="A170" s="2" t="s">
        <v>876</v>
      </c>
      <c r="B170" s="2" t="s">
        <v>877</v>
      </c>
      <c r="C170" s="2" t="s">
        <v>29</v>
      </c>
      <c r="D170" s="2" t="s">
        <v>30</v>
      </c>
      <c r="E170" s="2" t="s">
        <v>20</v>
      </c>
      <c r="F170" s="2" t="s">
        <v>39</v>
      </c>
      <c r="G170" s="2" t="s">
        <v>69</v>
      </c>
      <c r="H170" s="2" t="s">
        <v>62</v>
      </c>
      <c r="I170" s="2" t="s">
        <v>57</v>
      </c>
      <c r="J170" s="2" t="s">
        <v>878</v>
      </c>
      <c r="K170" s="2" t="s">
        <v>888</v>
      </c>
      <c r="L170">
        <v>2</v>
      </c>
      <c r="M170" s="1">
        <v>145000</v>
      </c>
      <c r="N170">
        <v>3.2</v>
      </c>
      <c r="O170">
        <v>11</v>
      </c>
      <c r="P170" s="2" t="s">
        <v>26</v>
      </c>
    </row>
    <row r="171" spans="1:16" x14ac:dyDescent="0.25">
      <c r="A171" s="2" t="s">
        <v>885</v>
      </c>
      <c r="B171" s="2" t="s">
        <v>886</v>
      </c>
      <c r="C171" s="2" t="s">
        <v>18</v>
      </c>
      <c r="D171" s="2" t="s">
        <v>19</v>
      </c>
      <c r="E171" s="2" t="s">
        <v>20</v>
      </c>
      <c r="F171" s="2" t="s">
        <v>39</v>
      </c>
      <c r="G171" s="2" t="s">
        <v>33</v>
      </c>
      <c r="H171" s="2" t="s">
        <v>46</v>
      </c>
      <c r="I171" s="2" t="s">
        <v>57</v>
      </c>
      <c r="J171" s="2" t="s">
        <v>887</v>
      </c>
      <c r="K171" s="2" t="s">
        <v>888</v>
      </c>
      <c r="L171">
        <v>5</v>
      </c>
      <c r="M171" s="1">
        <v>171000</v>
      </c>
      <c r="N171">
        <v>2.6</v>
      </c>
      <c r="O171">
        <v>0</v>
      </c>
      <c r="P171" s="2" t="s">
        <v>53</v>
      </c>
    </row>
    <row r="172" spans="1:16" x14ac:dyDescent="0.25">
      <c r="A172" s="2" t="s">
        <v>889</v>
      </c>
      <c r="B172" s="2" t="s">
        <v>890</v>
      </c>
      <c r="C172" s="2" t="s">
        <v>29</v>
      </c>
      <c r="D172" s="2" t="s">
        <v>19</v>
      </c>
      <c r="E172" s="2" t="s">
        <v>31</v>
      </c>
      <c r="F172" s="2" t="s">
        <v>39</v>
      </c>
      <c r="G172" s="2" t="s">
        <v>33</v>
      </c>
      <c r="H172" s="2" t="s">
        <v>34</v>
      </c>
      <c r="I172" s="2" t="s">
        <v>24</v>
      </c>
      <c r="J172" s="2" t="s">
        <v>891</v>
      </c>
      <c r="K172" s="2" t="s">
        <v>895</v>
      </c>
      <c r="L172">
        <v>5</v>
      </c>
      <c r="M172" s="1">
        <v>150000</v>
      </c>
      <c r="N172">
        <v>4.0999999999999996</v>
      </c>
      <c r="O172">
        <v>2</v>
      </c>
      <c r="P172" s="2" t="s">
        <v>26</v>
      </c>
    </row>
    <row r="173" spans="1:16" x14ac:dyDescent="0.25">
      <c r="A173" s="2" t="s">
        <v>892</v>
      </c>
      <c r="B173" s="2" t="s">
        <v>893</v>
      </c>
      <c r="C173" s="2" t="s">
        <v>29</v>
      </c>
      <c r="D173" s="2" t="s">
        <v>43</v>
      </c>
      <c r="E173" s="2" t="s">
        <v>20</v>
      </c>
      <c r="F173" s="2" t="s">
        <v>21</v>
      </c>
      <c r="G173" s="2" t="s">
        <v>33</v>
      </c>
      <c r="H173" s="2" t="s">
        <v>23</v>
      </c>
      <c r="I173" s="2" t="s">
        <v>24</v>
      </c>
      <c r="J173" s="2" t="s">
        <v>894</v>
      </c>
      <c r="K173" s="2" t="s">
        <v>895</v>
      </c>
      <c r="L173">
        <v>4</v>
      </c>
      <c r="M173" s="1">
        <v>740000</v>
      </c>
      <c r="N173">
        <v>4.4000000000000004</v>
      </c>
      <c r="O173">
        <v>1</v>
      </c>
      <c r="P173" s="2" t="s">
        <v>72</v>
      </c>
    </row>
    <row r="174" spans="1:16" x14ac:dyDescent="0.25">
      <c r="A174" s="2" t="s">
        <v>899</v>
      </c>
      <c r="B174" s="2" t="s">
        <v>900</v>
      </c>
      <c r="C174" s="2" t="s">
        <v>18</v>
      </c>
      <c r="D174" s="2" t="s">
        <v>30</v>
      </c>
      <c r="E174" s="2" t="s">
        <v>20</v>
      </c>
      <c r="F174" s="2" t="s">
        <v>32</v>
      </c>
      <c r="G174" s="2" t="s">
        <v>22</v>
      </c>
      <c r="H174" s="2" t="s">
        <v>34</v>
      </c>
      <c r="I174" s="2" t="s">
        <v>35</v>
      </c>
      <c r="J174" s="2" t="s">
        <v>901</v>
      </c>
      <c r="K174" s="2" t="s">
        <v>905</v>
      </c>
      <c r="L174">
        <v>6</v>
      </c>
      <c r="M174" s="1">
        <v>279000</v>
      </c>
      <c r="N174">
        <v>4.0999999999999996</v>
      </c>
      <c r="O174">
        <v>2</v>
      </c>
      <c r="P174" s="2" t="s">
        <v>26</v>
      </c>
    </row>
    <row r="175" spans="1:16" x14ac:dyDescent="0.25">
      <c r="A175" s="2" t="s">
        <v>902</v>
      </c>
      <c r="B175" s="2" t="s">
        <v>903</v>
      </c>
      <c r="C175" s="2" t="s">
        <v>29</v>
      </c>
      <c r="D175" s="2" t="s">
        <v>30</v>
      </c>
      <c r="E175" s="2" t="s">
        <v>20</v>
      </c>
      <c r="F175" s="2" t="s">
        <v>32</v>
      </c>
      <c r="G175" s="2" t="s">
        <v>69</v>
      </c>
      <c r="H175" s="2" t="s">
        <v>23</v>
      </c>
      <c r="I175" s="2" t="s">
        <v>75</v>
      </c>
      <c r="J175" s="2" t="s">
        <v>904</v>
      </c>
      <c r="K175" s="2" t="s">
        <v>905</v>
      </c>
      <c r="L175">
        <v>4</v>
      </c>
      <c r="M175" s="1">
        <v>336000</v>
      </c>
      <c r="N175">
        <v>3.8</v>
      </c>
      <c r="O175">
        <v>40</v>
      </c>
      <c r="P175" s="2" t="s">
        <v>72</v>
      </c>
    </row>
    <row r="176" spans="1:16" x14ac:dyDescent="0.25">
      <c r="A176" s="2" t="s">
        <v>915</v>
      </c>
      <c r="B176" s="2" t="s">
        <v>916</v>
      </c>
      <c r="C176" s="2" t="s">
        <v>18</v>
      </c>
      <c r="D176" s="2" t="s">
        <v>43</v>
      </c>
      <c r="E176" s="2" t="s">
        <v>20</v>
      </c>
      <c r="F176" s="2" t="s">
        <v>32</v>
      </c>
      <c r="G176" s="2" t="s">
        <v>22</v>
      </c>
      <c r="H176" s="2" t="s">
        <v>34</v>
      </c>
      <c r="I176" s="2" t="s">
        <v>57</v>
      </c>
      <c r="J176" s="2" t="s">
        <v>917</v>
      </c>
      <c r="K176" s="2" t="s">
        <v>921</v>
      </c>
      <c r="L176">
        <v>6</v>
      </c>
      <c r="M176" s="1">
        <v>266000</v>
      </c>
      <c r="N176">
        <v>3.9</v>
      </c>
      <c r="O176">
        <v>28</v>
      </c>
      <c r="P176" s="2" t="s">
        <v>26</v>
      </c>
    </row>
    <row r="177" spans="1:16" x14ac:dyDescent="0.25">
      <c r="A177" s="2" t="s">
        <v>918</v>
      </c>
      <c r="B177" s="2" t="s">
        <v>919</v>
      </c>
      <c r="C177" s="2" t="s">
        <v>29</v>
      </c>
      <c r="D177" s="2" t="s">
        <v>19</v>
      </c>
      <c r="E177" s="2" t="s">
        <v>20</v>
      </c>
      <c r="F177" s="2" t="s">
        <v>21</v>
      </c>
      <c r="G177" s="2" t="s">
        <v>22</v>
      </c>
      <c r="H177" s="2" t="s">
        <v>46</v>
      </c>
      <c r="I177" s="2" t="s">
        <v>24</v>
      </c>
      <c r="J177" s="2" t="s">
        <v>920</v>
      </c>
      <c r="K177" s="2" t="s">
        <v>921</v>
      </c>
      <c r="L177">
        <v>5</v>
      </c>
      <c r="M177" s="1">
        <v>826000</v>
      </c>
      <c r="N177">
        <v>3.9</v>
      </c>
      <c r="O177">
        <v>3</v>
      </c>
      <c r="P177" s="2" t="s">
        <v>53</v>
      </c>
    </row>
    <row r="178" spans="1:16" x14ac:dyDescent="0.25">
      <c r="A178" s="2" t="s">
        <v>930</v>
      </c>
      <c r="B178" s="2" t="s">
        <v>931</v>
      </c>
      <c r="C178" s="2" t="s">
        <v>29</v>
      </c>
      <c r="D178" s="2" t="s">
        <v>50</v>
      </c>
      <c r="E178" s="2" t="s">
        <v>20</v>
      </c>
      <c r="F178" s="2" t="s">
        <v>39</v>
      </c>
      <c r="G178" s="2" t="s">
        <v>69</v>
      </c>
      <c r="H178" s="2" t="s">
        <v>23</v>
      </c>
      <c r="I178" s="2" t="s">
        <v>35</v>
      </c>
      <c r="J178" s="2" t="s">
        <v>932</v>
      </c>
      <c r="K178" s="2" t="s">
        <v>391</v>
      </c>
      <c r="L178">
        <v>4</v>
      </c>
      <c r="M178" s="1">
        <v>146000</v>
      </c>
      <c r="N178">
        <v>4</v>
      </c>
      <c r="O178">
        <v>7</v>
      </c>
      <c r="P178" s="2" t="s">
        <v>26</v>
      </c>
    </row>
    <row r="179" spans="1:16" x14ac:dyDescent="0.25">
      <c r="A179" s="2" t="s">
        <v>933</v>
      </c>
      <c r="B179" s="2" t="s">
        <v>934</v>
      </c>
      <c r="C179" s="2" t="s">
        <v>18</v>
      </c>
      <c r="D179" s="2" t="s">
        <v>19</v>
      </c>
      <c r="E179" s="2" t="s">
        <v>31</v>
      </c>
      <c r="F179" s="2" t="s">
        <v>128</v>
      </c>
      <c r="G179" s="2" t="s">
        <v>33</v>
      </c>
      <c r="H179" s="2" t="s">
        <v>34</v>
      </c>
      <c r="I179" s="2" t="s">
        <v>24</v>
      </c>
      <c r="J179" s="2" t="s">
        <v>935</v>
      </c>
      <c r="K179" s="2" t="s">
        <v>391</v>
      </c>
      <c r="L179">
        <v>5</v>
      </c>
      <c r="M179" s="1">
        <v>568000</v>
      </c>
      <c r="N179">
        <v>4.0999999999999996</v>
      </c>
      <c r="O179">
        <v>1</v>
      </c>
      <c r="P179" s="2" t="s">
        <v>26</v>
      </c>
    </row>
    <row r="180" spans="1:16" x14ac:dyDescent="0.25">
      <c r="A180" s="2" t="s">
        <v>938</v>
      </c>
      <c r="B180" s="2" t="s">
        <v>939</v>
      </c>
      <c r="C180" s="2" t="s">
        <v>18</v>
      </c>
      <c r="D180" s="2" t="s">
        <v>79</v>
      </c>
      <c r="E180" s="2" t="s">
        <v>44</v>
      </c>
      <c r="F180" s="2" t="s">
        <v>21</v>
      </c>
      <c r="G180" s="2" t="s">
        <v>22</v>
      </c>
      <c r="H180" s="2" t="s">
        <v>46</v>
      </c>
      <c r="I180" s="2" t="s">
        <v>57</v>
      </c>
      <c r="J180" s="2" t="s">
        <v>940</v>
      </c>
      <c r="K180" s="2" t="s">
        <v>391</v>
      </c>
      <c r="L180">
        <v>3</v>
      </c>
      <c r="M180" s="1">
        <v>933000</v>
      </c>
      <c r="N180">
        <v>3.9</v>
      </c>
      <c r="O180">
        <v>4</v>
      </c>
      <c r="P180" s="2" t="s">
        <v>53</v>
      </c>
    </row>
    <row r="181" spans="1:16" x14ac:dyDescent="0.25">
      <c r="A181" s="2" t="s">
        <v>941</v>
      </c>
      <c r="B181" s="2" t="s">
        <v>942</v>
      </c>
      <c r="C181" s="2" t="s">
        <v>18</v>
      </c>
      <c r="D181" s="2" t="s">
        <v>79</v>
      </c>
      <c r="E181" s="2" t="s">
        <v>20</v>
      </c>
      <c r="F181" s="2" t="s">
        <v>128</v>
      </c>
      <c r="G181" s="2" t="s">
        <v>22</v>
      </c>
      <c r="H181" s="2" t="s">
        <v>34</v>
      </c>
      <c r="I181" s="2" t="s">
        <v>57</v>
      </c>
      <c r="J181" s="2" t="s">
        <v>943</v>
      </c>
      <c r="K181" s="2" t="s">
        <v>245</v>
      </c>
      <c r="L181">
        <v>6</v>
      </c>
      <c r="M181" s="1">
        <v>476000</v>
      </c>
      <c r="N181">
        <v>4.5</v>
      </c>
      <c r="O181">
        <v>38</v>
      </c>
      <c r="P181" s="2" t="s">
        <v>26</v>
      </c>
    </row>
    <row r="182" spans="1:16" x14ac:dyDescent="0.25">
      <c r="A182" s="2" t="s">
        <v>944</v>
      </c>
      <c r="B182" s="2" t="s">
        <v>945</v>
      </c>
      <c r="C182" s="2" t="s">
        <v>18</v>
      </c>
      <c r="D182" s="2" t="s">
        <v>30</v>
      </c>
      <c r="E182" s="2" t="s">
        <v>31</v>
      </c>
      <c r="F182" s="2" t="s">
        <v>128</v>
      </c>
      <c r="G182" s="2" t="s">
        <v>33</v>
      </c>
      <c r="H182" s="2" t="s">
        <v>34</v>
      </c>
      <c r="I182" s="2" t="s">
        <v>24</v>
      </c>
      <c r="J182" s="2" t="s">
        <v>946</v>
      </c>
      <c r="K182" s="2" t="s">
        <v>245</v>
      </c>
      <c r="L182">
        <v>6</v>
      </c>
      <c r="M182" s="1">
        <v>478000</v>
      </c>
      <c r="N182">
        <v>2.2000000000000002</v>
      </c>
      <c r="O182">
        <v>8</v>
      </c>
      <c r="P182" s="2" t="s">
        <v>26</v>
      </c>
    </row>
    <row r="183" spans="1:16" x14ac:dyDescent="0.25">
      <c r="A183" s="2" t="s">
        <v>947</v>
      </c>
      <c r="B183" s="2" t="s">
        <v>948</v>
      </c>
      <c r="C183" s="2" t="s">
        <v>29</v>
      </c>
      <c r="D183" s="2" t="s">
        <v>43</v>
      </c>
      <c r="E183" s="2" t="s">
        <v>20</v>
      </c>
      <c r="F183" s="2" t="s">
        <v>39</v>
      </c>
      <c r="G183" s="2" t="s">
        <v>22</v>
      </c>
      <c r="H183" s="2" t="s">
        <v>34</v>
      </c>
      <c r="I183" s="2" t="s">
        <v>57</v>
      </c>
      <c r="J183" s="2" t="s">
        <v>949</v>
      </c>
      <c r="K183" s="2" t="s">
        <v>245</v>
      </c>
      <c r="L183">
        <v>4</v>
      </c>
      <c r="M183" s="1">
        <v>166000</v>
      </c>
      <c r="N183">
        <v>2.2000000000000002</v>
      </c>
      <c r="O183">
        <v>13</v>
      </c>
      <c r="P183" s="2" t="s">
        <v>53</v>
      </c>
    </row>
    <row r="184" spans="1:16" x14ac:dyDescent="0.25">
      <c r="A184" s="2" t="s">
        <v>955</v>
      </c>
      <c r="B184" s="2" t="s">
        <v>434</v>
      </c>
      <c r="C184" s="2" t="s">
        <v>29</v>
      </c>
      <c r="D184" s="2" t="s">
        <v>43</v>
      </c>
      <c r="E184" s="2" t="s">
        <v>44</v>
      </c>
      <c r="F184" s="2" t="s">
        <v>128</v>
      </c>
      <c r="G184" s="2" t="s">
        <v>22</v>
      </c>
      <c r="H184" s="2" t="s">
        <v>46</v>
      </c>
      <c r="I184" s="2" t="s">
        <v>24</v>
      </c>
      <c r="J184" s="2" t="s">
        <v>956</v>
      </c>
      <c r="K184" s="2" t="s">
        <v>957</v>
      </c>
      <c r="L184">
        <v>6</v>
      </c>
      <c r="M184" s="1">
        <v>365000</v>
      </c>
      <c r="N184">
        <v>2.7</v>
      </c>
      <c r="O184">
        <v>2</v>
      </c>
      <c r="P184" s="2" t="s">
        <v>53</v>
      </c>
    </row>
    <row r="185" spans="1:16" x14ac:dyDescent="0.25">
      <c r="A185" s="2" t="s">
        <v>958</v>
      </c>
      <c r="B185" s="2" t="s">
        <v>959</v>
      </c>
      <c r="C185" s="2" t="s">
        <v>18</v>
      </c>
      <c r="D185" s="2" t="s">
        <v>43</v>
      </c>
      <c r="E185" s="2" t="s">
        <v>20</v>
      </c>
      <c r="F185" s="2" t="s">
        <v>32</v>
      </c>
      <c r="G185" s="2" t="s">
        <v>22</v>
      </c>
      <c r="H185" s="2" t="s">
        <v>23</v>
      </c>
      <c r="I185" s="2" t="s">
        <v>24</v>
      </c>
      <c r="J185" s="2" t="s">
        <v>960</v>
      </c>
      <c r="K185" s="2" t="s">
        <v>964</v>
      </c>
      <c r="L185">
        <v>6</v>
      </c>
      <c r="M185" s="1">
        <v>181000</v>
      </c>
      <c r="N185">
        <v>3.9</v>
      </c>
      <c r="O185">
        <v>14</v>
      </c>
      <c r="P185" s="2" t="s">
        <v>26</v>
      </c>
    </row>
    <row r="186" spans="1:16" x14ac:dyDescent="0.25">
      <c r="A186" s="2" t="s">
        <v>961</v>
      </c>
      <c r="B186" s="2" t="s">
        <v>962</v>
      </c>
      <c r="C186" s="2" t="s">
        <v>18</v>
      </c>
      <c r="D186" s="2" t="s">
        <v>30</v>
      </c>
      <c r="E186" s="2" t="s">
        <v>44</v>
      </c>
      <c r="F186" s="2" t="s">
        <v>39</v>
      </c>
      <c r="G186" s="2" t="s">
        <v>80</v>
      </c>
      <c r="H186" s="2" t="s">
        <v>23</v>
      </c>
      <c r="I186" s="2" t="s">
        <v>35</v>
      </c>
      <c r="J186" s="2" t="s">
        <v>963</v>
      </c>
      <c r="K186" s="2" t="s">
        <v>964</v>
      </c>
      <c r="L186">
        <v>4</v>
      </c>
      <c r="M186" s="1">
        <v>166000</v>
      </c>
      <c r="N186">
        <v>3.3</v>
      </c>
      <c r="O186">
        <v>11</v>
      </c>
      <c r="P186" s="2" t="s">
        <v>53</v>
      </c>
    </row>
    <row r="187" spans="1:16" x14ac:dyDescent="0.25">
      <c r="A187" s="2" t="s">
        <v>965</v>
      </c>
      <c r="B187" s="2" t="s">
        <v>966</v>
      </c>
      <c r="C187" s="2" t="s">
        <v>18</v>
      </c>
      <c r="D187" s="2" t="s">
        <v>79</v>
      </c>
      <c r="E187" s="2" t="s">
        <v>44</v>
      </c>
      <c r="F187" s="2" t="s">
        <v>21</v>
      </c>
      <c r="G187" s="2" t="s">
        <v>80</v>
      </c>
      <c r="H187" s="2" t="s">
        <v>62</v>
      </c>
      <c r="I187" s="2" t="s">
        <v>57</v>
      </c>
      <c r="J187" s="2" t="s">
        <v>967</v>
      </c>
      <c r="K187" s="2" t="s">
        <v>971</v>
      </c>
      <c r="L187">
        <v>2</v>
      </c>
      <c r="M187" s="1">
        <v>932000</v>
      </c>
      <c r="N187">
        <v>3.6</v>
      </c>
      <c r="O187">
        <v>9</v>
      </c>
      <c r="P187" s="2" t="s">
        <v>26</v>
      </c>
    </row>
    <row r="188" spans="1:16" x14ac:dyDescent="0.25">
      <c r="A188" s="2" t="s">
        <v>968</v>
      </c>
      <c r="B188" s="2" t="s">
        <v>969</v>
      </c>
      <c r="C188" s="2" t="s">
        <v>29</v>
      </c>
      <c r="D188" s="2" t="s">
        <v>30</v>
      </c>
      <c r="E188" s="2" t="s">
        <v>20</v>
      </c>
      <c r="F188" s="2" t="s">
        <v>39</v>
      </c>
      <c r="G188" s="2" t="s">
        <v>22</v>
      </c>
      <c r="H188" s="2" t="s">
        <v>34</v>
      </c>
      <c r="I188" s="2" t="s">
        <v>24</v>
      </c>
      <c r="J188" s="2" t="s">
        <v>970</v>
      </c>
      <c r="K188" s="2" t="s">
        <v>971</v>
      </c>
      <c r="L188">
        <v>2</v>
      </c>
      <c r="M188" s="1">
        <v>96000</v>
      </c>
      <c r="N188">
        <v>2.7</v>
      </c>
      <c r="O188">
        <v>7</v>
      </c>
      <c r="P188" s="2" t="s">
        <v>53</v>
      </c>
    </row>
    <row r="189" spans="1:16" x14ac:dyDescent="0.25">
      <c r="A189" s="2" t="s">
        <v>972</v>
      </c>
      <c r="B189" s="2" t="s">
        <v>973</v>
      </c>
      <c r="C189" s="2" t="s">
        <v>29</v>
      </c>
      <c r="D189" s="2" t="s">
        <v>43</v>
      </c>
      <c r="E189" s="2" t="s">
        <v>20</v>
      </c>
      <c r="F189" s="2" t="s">
        <v>32</v>
      </c>
      <c r="G189" s="2" t="s">
        <v>22</v>
      </c>
      <c r="H189" s="2" t="s">
        <v>34</v>
      </c>
      <c r="I189" s="2" t="s">
        <v>171</v>
      </c>
      <c r="J189" s="2" t="s">
        <v>974</v>
      </c>
      <c r="K189" s="2" t="s">
        <v>975</v>
      </c>
      <c r="L189">
        <v>2</v>
      </c>
      <c r="M189" s="1">
        <v>265000</v>
      </c>
      <c r="N189">
        <v>4.5999999999999996</v>
      </c>
      <c r="O189">
        <v>35</v>
      </c>
      <c r="P189" s="2" t="s">
        <v>72</v>
      </c>
    </row>
    <row r="190" spans="1:16" x14ac:dyDescent="0.25">
      <c r="A190" s="2" t="s">
        <v>976</v>
      </c>
      <c r="B190" s="2" t="s">
        <v>977</v>
      </c>
      <c r="C190" s="2" t="s">
        <v>18</v>
      </c>
      <c r="D190" s="2" t="s">
        <v>50</v>
      </c>
      <c r="E190" s="2" t="s">
        <v>31</v>
      </c>
      <c r="F190" s="2" t="s">
        <v>128</v>
      </c>
      <c r="G190" s="2" t="s">
        <v>80</v>
      </c>
      <c r="H190" s="2" t="s">
        <v>46</v>
      </c>
      <c r="I190" s="2" t="s">
        <v>35</v>
      </c>
      <c r="J190" s="2" t="s">
        <v>978</v>
      </c>
      <c r="K190" s="2" t="s">
        <v>997</v>
      </c>
      <c r="L190">
        <v>2</v>
      </c>
      <c r="M190" s="1">
        <v>390000</v>
      </c>
      <c r="N190">
        <v>3.2</v>
      </c>
      <c r="O190">
        <v>12</v>
      </c>
      <c r="P190" s="2" t="s">
        <v>26</v>
      </c>
    </row>
    <row r="191" spans="1:16" x14ac:dyDescent="0.25">
      <c r="A191" s="2" t="s">
        <v>979</v>
      </c>
      <c r="B191" s="2" t="s">
        <v>980</v>
      </c>
      <c r="C191" s="2" t="s">
        <v>18</v>
      </c>
      <c r="D191" s="2" t="s">
        <v>43</v>
      </c>
      <c r="E191" s="2" t="s">
        <v>20</v>
      </c>
      <c r="F191" s="2" t="s">
        <v>32</v>
      </c>
      <c r="G191" s="2" t="s">
        <v>22</v>
      </c>
      <c r="H191" s="2" t="s">
        <v>34</v>
      </c>
      <c r="I191" s="2" t="s">
        <v>35</v>
      </c>
      <c r="J191" s="2" t="s">
        <v>981</v>
      </c>
      <c r="K191" s="2" t="s">
        <v>997</v>
      </c>
      <c r="L191">
        <v>5</v>
      </c>
      <c r="M191" s="1">
        <v>286000</v>
      </c>
      <c r="N191">
        <v>3</v>
      </c>
      <c r="O191">
        <v>22</v>
      </c>
      <c r="P191" s="2" t="s">
        <v>26</v>
      </c>
    </row>
    <row r="192" spans="1:16" x14ac:dyDescent="0.25">
      <c r="A192" s="2" t="s">
        <v>982</v>
      </c>
      <c r="B192" s="2" t="s">
        <v>983</v>
      </c>
      <c r="C192" s="2" t="s">
        <v>18</v>
      </c>
      <c r="D192" s="2" t="s">
        <v>19</v>
      </c>
      <c r="E192" s="2" t="s">
        <v>20</v>
      </c>
      <c r="F192" s="2" t="s">
        <v>21</v>
      </c>
      <c r="G192" s="2" t="s">
        <v>22</v>
      </c>
      <c r="H192" s="2" t="s">
        <v>46</v>
      </c>
      <c r="I192" s="2" t="s">
        <v>35</v>
      </c>
      <c r="J192" s="2" t="s">
        <v>984</v>
      </c>
      <c r="K192" s="2" t="s">
        <v>997</v>
      </c>
      <c r="L192">
        <v>5</v>
      </c>
      <c r="M192" s="1">
        <v>762000</v>
      </c>
      <c r="N192">
        <v>3.3</v>
      </c>
      <c r="O192">
        <v>22</v>
      </c>
      <c r="P192" s="2" t="s">
        <v>26</v>
      </c>
    </row>
    <row r="193" spans="1:16" x14ac:dyDescent="0.25">
      <c r="A193" s="2" t="s">
        <v>985</v>
      </c>
      <c r="B193" s="2" t="s">
        <v>986</v>
      </c>
      <c r="C193" s="2" t="s">
        <v>18</v>
      </c>
      <c r="D193" s="2" t="s">
        <v>50</v>
      </c>
      <c r="E193" s="2" t="s">
        <v>44</v>
      </c>
      <c r="F193" s="2" t="s">
        <v>128</v>
      </c>
      <c r="G193" s="2" t="s">
        <v>22</v>
      </c>
      <c r="H193" s="2" t="s">
        <v>23</v>
      </c>
      <c r="I193" s="2" t="s">
        <v>24</v>
      </c>
      <c r="J193" s="2" t="s">
        <v>987</v>
      </c>
      <c r="K193" s="2" t="s">
        <v>997</v>
      </c>
      <c r="L193">
        <v>5</v>
      </c>
      <c r="M193" s="1">
        <v>513000</v>
      </c>
      <c r="N193">
        <v>2.2000000000000002</v>
      </c>
      <c r="O193">
        <v>4</v>
      </c>
      <c r="P193" s="2" t="s">
        <v>26</v>
      </c>
    </row>
    <row r="194" spans="1:16" x14ac:dyDescent="0.25">
      <c r="A194" s="2" t="s">
        <v>991</v>
      </c>
      <c r="B194" s="2" t="s">
        <v>992</v>
      </c>
      <c r="C194" s="2" t="s">
        <v>29</v>
      </c>
      <c r="D194" s="2" t="s">
        <v>50</v>
      </c>
      <c r="E194" s="2" t="s">
        <v>44</v>
      </c>
      <c r="F194" s="2" t="s">
        <v>32</v>
      </c>
      <c r="G194" s="2" t="s">
        <v>22</v>
      </c>
      <c r="H194" s="2" t="s">
        <v>46</v>
      </c>
      <c r="I194" s="2" t="s">
        <v>57</v>
      </c>
      <c r="J194" s="2" t="s">
        <v>993</v>
      </c>
      <c r="K194" s="2" t="s">
        <v>997</v>
      </c>
      <c r="L194">
        <v>4</v>
      </c>
      <c r="M194" s="1">
        <v>340000</v>
      </c>
      <c r="N194">
        <v>3.5</v>
      </c>
      <c r="O194">
        <v>32</v>
      </c>
      <c r="P194" s="2" t="s">
        <v>26</v>
      </c>
    </row>
    <row r="195" spans="1:16" x14ac:dyDescent="0.25">
      <c r="A195" s="2" t="s">
        <v>994</v>
      </c>
      <c r="B195" s="2" t="s">
        <v>995</v>
      </c>
      <c r="C195" s="2" t="s">
        <v>18</v>
      </c>
      <c r="D195" s="2" t="s">
        <v>30</v>
      </c>
      <c r="E195" s="2" t="s">
        <v>20</v>
      </c>
      <c r="F195" s="2" t="s">
        <v>39</v>
      </c>
      <c r="G195" s="2" t="s">
        <v>80</v>
      </c>
      <c r="H195" s="2" t="s">
        <v>46</v>
      </c>
      <c r="I195" s="2" t="s">
        <v>57</v>
      </c>
      <c r="J195" s="2" t="s">
        <v>996</v>
      </c>
      <c r="K195" s="2" t="s">
        <v>997</v>
      </c>
      <c r="L195">
        <v>6</v>
      </c>
      <c r="M195" s="1">
        <v>88000</v>
      </c>
      <c r="N195">
        <v>1.5</v>
      </c>
      <c r="O195">
        <v>9</v>
      </c>
      <c r="P195" s="2" t="s">
        <v>72</v>
      </c>
    </row>
    <row r="196" spans="1:16" x14ac:dyDescent="0.25">
      <c r="A196" s="2" t="s">
        <v>998</v>
      </c>
      <c r="B196" s="2" t="s">
        <v>999</v>
      </c>
      <c r="C196" s="2" t="s">
        <v>18</v>
      </c>
      <c r="D196" s="2" t="s">
        <v>79</v>
      </c>
      <c r="E196" s="2" t="s">
        <v>20</v>
      </c>
      <c r="F196" s="2" t="s">
        <v>32</v>
      </c>
      <c r="G196" s="2" t="s">
        <v>80</v>
      </c>
      <c r="H196" s="2" t="s">
        <v>23</v>
      </c>
      <c r="I196" s="2" t="s">
        <v>35</v>
      </c>
      <c r="J196" s="2" t="s">
        <v>1000</v>
      </c>
      <c r="K196" s="2" t="s">
        <v>1022</v>
      </c>
      <c r="L196">
        <v>4</v>
      </c>
      <c r="M196" s="1">
        <v>180000</v>
      </c>
      <c r="N196">
        <v>4.8</v>
      </c>
      <c r="O196">
        <v>11</v>
      </c>
      <c r="P196" s="2" t="s">
        <v>26</v>
      </c>
    </row>
    <row r="197" spans="1:16" x14ac:dyDescent="0.25">
      <c r="A197" s="2" t="s">
        <v>1001</v>
      </c>
      <c r="B197" s="2" t="s">
        <v>1002</v>
      </c>
      <c r="C197" s="2" t="s">
        <v>29</v>
      </c>
      <c r="D197" s="2" t="s">
        <v>43</v>
      </c>
      <c r="E197" s="2" t="s">
        <v>20</v>
      </c>
      <c r="F197" s="2" t="s">
        <v>21</v>
      </c>
      <c r="G197" s="2" t="s">
        <v>80</v>
      </c>
      <c r="H197" s="2" t="s">
        <v>46</v>
      </c>
      <c r="I197" s="2" t="s">
        <v>75</v>
      </c>
      <c r="J197" s="2" t="s">
        <v>1003</v>
      </c>
      <c r="K197" s="2" t="s">
        <v>1022</v>
      </c>
      <c r="L197">
        <v>3</v>
      </c>
      <c r="M197" s="1">
        <v>821000</v>
      </c>
      <c r="N197">
        <v>3.2</v>
      </c>
      <c r="O197">
        <v>14</v>
      </c>
      <c r="P197" s="2" t="s">
        <v>26</v>
      </c>
    </row>
    <row r="198" spans="1:16" x14ac:dyDescent="0.25">
      <c r="A198" s="2" t="s">
        <v>1006</v>
      </c>
      <c r="B198" s="2" t="s">
        <v>1007</v>
      </c>
      <c r="C198" s="2" t="s">
        <v>29</v>
      </c>
      <c r="D198" s="2" t="s">
        <v>30</v>
      </c>
      <c r="E198" s="2" t="s">
        <v>31</v>
      </c>
      <c r="F198" s="2" t="s">
        <v>39</v>
      </c>
      <c r="G198" s="2" t="s">
        <v>33</v>
      </c>
      <c r="H198" s="2" t="s">
        <v>62</v>
      </c>
      <c r="I198" s="2" t="s">
        <v>57</v>
      </c>
      <c r="J198" s="2" t="s">
        <v>1008</v>
      </c>
      <c r="K198" s="2" t="s">
        <v>1022</v>
      </c>
      <c r="L198">
        <v>5</v>
      </c>
      <c r="M198" s="1">
        <v>156000</v>
      </c>
      <c r="N198">
        <v>3.1</v>
      </c>
      <c r="O198">
        <v>14</v>
      </c>
      <c r="P198" s="2" t="s">
        <v>26</v>
      </c>
    </row>
    <row r="199" spans="1:16" x14ac:dyDescent="0.25">
      <c r="A199" s="2" t="s">
        <v>1009</v>
      </c>
      <c r="B199" s="2" t="s">
        <v>1010</v>
      </c>
      <c r="C199" s="2" t="s">
        <v>18</v>
      </c>
      <c r="D199" s="2" t="s">
        <v>50</v>
      </c>
      <c r="E199" s="2" t="s">
        <v>20</v>
      </c>
      <c r="F199" s="2" t="s">
        <v>32</v>
      </c>
      <c r="G199" s="2" t="s">
        <v>69</v>
      </c>
      <c r="H199" s="2" t="s">
        <v>34</v>
      </c>
      <c r="I199" s="2" t="s">
        <v>24</v>
      </c>
      <c r="J199" s="2" t="s">
        <v>553</v>
      </c>
      <c r="K199" s="2" t="s">
        <v>1022</v>
      </c>
      <c r="L199">
        <v>6</v>
      </c>
      <c r="M199" s="1">
        <v>322000</v>
      </c>
      <c r="N199">
        <v>4.2</v>
      </c>
      <c r="O199">
        <v>28</v>
      </c>
      <c r="P199" s="2" t="s">
        <v>26</v>
      </c>
    </row>
    <row r="200" spans="1:16" x14ac:dyDescent="0.25">
      <c r="A200" s="2" t="s">
        <v>1013</v>
      </c>
      <c r="B200" s="2" t="s">
        <v>1014</v>
      </c>
      <c r="C200" s="2" t="s">
        <v>18</v>
      </c>
      <c r="D200" s="2" t="s">
        <v>50</v>
      </c>
      <c r="E200" s="2" t="s">
        <v>44</v>
      </c>
      <c r="F200" s="2" t="s">
        <v>32</v>
      </c>
      <c r="G200" s="2" t="s">
        <v>22</v>
      </c>
      <c r="H200" s="2" t="s">
        <v>34</v>
      </c>
      <c r="I200" s="2" t="s">
        <v>24</v>
      </c>
      <c r="J200" s="2" t="s">
        <v>1015</v>
      </c>
      <c r="K200" s="2" t="s">
        <v>1022</v>
      </c>
      <c r="L200">
        <v>2</v>
      </c>
      <c r="M200" s="1">
        <v>210000</v>
      </c>
      <c r="N200">
        <v>4.5</v>
      </c>
      <c r="O200">
        <v>8</v>
      </c>
      <c r="P200" s="2" t="s">
        <v>26</v>
      </c>
    </row>
    <row r="201" spans="1:16" x14ac:dyDescent="0.25">
      <c r="A201" s="2" t="s">
        <v>1019</v>
      </c>
      <c r="B201" s="2" t="s">
        <v>1020</v>
      </c>
      <c r="C201" s="2" t="s">
        <v>18</v>
      </c>
      <c r="D201" s="2" t="s">
        <v>30</v>
      </c>
      <c r="E201" s="2" t="s">
        <v>20</v>
      </c>
      <c r="F201" s="2" t="s">
        <v>39</v>
      </c>
      <c r="G201" s="2" t="s">
        <v>22</v>
      </c>
      <c r="H201" s="2" t="s">
        <v>34</v>
      </c>
      <c r="I201" s="2" t="s">
        <v>24</v>
      </c>
      <c r="J201" s="2" t="s">
        <v>1021</v>
      </c>
      <c r="K201" s="2" t="s">
        <v>1022</v>
      </c>
      <c r="L201">
        <v>5</v>
      </c>
      <c r="M201" s="1">
        <v>141000</v>
      </c>
      <c r="N201">
        <v>3</v>
      </c>
      <c r="O201">
        <v>3</v>
      </c>
      <c r="P201" s="2" t="s">
        <v>72</v>
      </c>
    </row>
    <row r="202" spans="1:16" x14ac:dyDescent="0.25">
      <c r="A202" s="2" t="s">
        <v>1030</v>
      </c>
      <c r="B202" s="2" t="s">
        <v>1031</v>
      </c>
      <c r="C202" s="2" t="s">
        <v>18</v>
      </c>
      <c r="D202" s="2" t="s">
        <v>79</v>
      </c>
      <c r="E202" s="2" t="s">
        <v>20</v>
      </c>
      <c r="F202" s="2" t="s">
        <v>32</v>
      </c>
      <c r="G202" s="2" t="s">
        <v>22</v>
      </c>
      <c r="H202" s="2" t="s">
        <v>62</v>
      </c>
      <c r="I202" s="2" t="s">
        <v>24</v>
      </c>
      <c r="J202" s="2" t="s">
        <v>266</v>
      </c>
      <c r="K202" s="2" t="s">
        <v>1038</v>
      </c>
      <c r="L202">
        <v>4</v>
      </c>
      <c r="M202" s="1">
        <v>250000</v>
      </c>
      <c r="N202">
        <v>3.9</v>
      </c>
      <c r="O202">
        <v>2</v>
      </c>
      <c r="P202" s="2" t="s">
        <v>26</v>
      </c>
    </row>
    <row r="203" spans="1:16" x14ac:dyDescent="0.25">
      <c r="A203" s="2" t="s">
        <v>1032</v>
      </c>
      <c r="B203" s="2" t="s">
        <v>1033</v>
      </c>
      <c r="C203" s="2" t="s">
        <v>29</v>
      </c>
      <c r="D203" s="2" t="s">
        <v>30</v>
      </c>
      <c r="E203" s="2" t="s">
        <v>20</v>
      </c>
      <c r="F203" s="2" t="s">
        <v>39</v>
      </c>
      <c r="G203" s="2" t="s">
        <v>80</v>
      </c>
      <c r="H203" s="2" t="s">
        <v>62</v>
      </c>
      <c r="I203" s="2" t="s">
        <v>35</v>
      </c>
      <c r="J203" s="2" t="s">
        <v>1034</v>
      </c>
      <c r="K203" s="2" t="s">
        <v>1038</v>
      </c>
      <c r="L203">
        <v>27</v>
      </c>
      <c r="M203" s="1">
        <v>155000</v>
      </c>
      <c r="N203">
        <v>3.4</v>
      </c>
      <c r="O203">
        <v>3</v>
      </c>
      <c r="P203" s="2" t="s">
        <v>26</v>
      </c>
    </row>
    <row r="204" spans="1:16" x14ac:dyDescent="0.25">
      <c r="A204" s="2" t="s">
        <v>1035</v>
      </c>
      <c r="B204" s="2" t="s">
        <v>1036</v>
      </c>
      <c r="C204" s="2" t="s">
        <v>29</v>
      </c>
      <c r="D204" s="2" t="s">
        <v>30</v>
      </c>
      <c r="E204" s="2" t="s">
        <v>20</v>
      </c>
      <c r="F204" s="2" t="s">
        <v>32</v>
      </c>
      <c r="G204" s="2" t="s">
        <v>22</v>
      </c>
      <c r="H204" s="2" t="s">
        <v>23</v>
      </c>
      <c r="I204" s="2" t="s">
        <v>57</v>
      </c>
      <c r="J204" s="2" t="s">
        <v>1037</v>
      </c>
      <c r="K204" s="2" t="s">
        <v>1038</v>
      </c>
      <c r="L204">
        <v>4</v>
      </c>
      <c r="M204" s="1">
        <v>298000</v>
      </c>
      <c r="N204">
        <v>4.8</v>
      </c>
      <c r="O204">
        <v>8</v>
      </c>
      <c r="P204" s="2" t="s">
        <v>53</v>
      </c>
    </row>
    <row r="205" spans="1:16" x14ac:dyDescent="0.25">
      <c r="A205" s="2" t="s">
        <v>1039</v>
      </c>
      <c r="B205" s="2" t="s">
        <v>1040</v>
      </c>
      <c r="C205" s="2" t="s">
        <v>29</v>
      </c>
      <c r="D205" s="2" t="s">
        <v>30</v>
      </c>
      <c r="E205" s="2" t="s">
        <v>20</v>
      </c>
      <c r="F205" s="2" t="s">
        <v>39</v>
      </c>
      <c r="G205" s="2" t="s">
        <v>33</v>
      </c>
      <c r="H205" s="2" t="s">
        <v>23</v>
      </c>
      <c r="I205" s="2" t="s">
        <v>24</v>
      </c>
      <c r="J205" s="2" t="s">
        <v>1041</v>
      </c>
      <c r="K205" s="2" t="s">
        <v>1062</v>
      </c>
      <c r="L205">
        <v>5</v>
      </c>
      <c r="M205" s="1">
        <v>162000</v>
      </c>
      <c r="N205">
        <v>3.1</v>
      </c>
      <c r="O205">
        <v>9</v>
      </c>
      <c r="P205" s="2" t="s">
        <v>26</v>
      </c>
    </row>
    <row r="206" spans="1:16" x14ac:dyDescent="0.25">
      <c r="A206" s="2" t="s">
        <v>1042</v>
      </c>
      <c r="B206" s="2" t="s">
        <v>1043</v>
      </c>
      <c r="C206" s="2" t="s">
        <v>18</v>
      </c>
      <c r="D206" s="2" t="s">
        <v>19</v>
      </c>
      <c r="E206" s="2" t="s">
        <v>31</v>
      </c>
      <c r="F206" s="2" t="s">
        <v>39</v>
      </c>
      <c r="G206" s="2" t="s">
        <v>22</v>
      </c>
      <c r="H206" s="2" t="s">
        <v>34</v>
      </c>
      <c r="I206" s="2" t="s">
        <v>24</v>
      </c>
      <c r="J206" s="2" t="s">
        <v>1044</v>
      </c>
      <c r="K206" s="2" t="s">
        <v>1062</v>
      </c>
      <c r="L206">
        <v>6</v>
      </c>
      <c r="M206" s="1">
        <v>198000</v>
      </c>
      <c r="N206">
        <v>4.8</v>
      </c>
      <c r="O206">
        <v>14</v>
      </c>
      <c r="P206" s="2" t="s">
        <v>26</v>
      </c>
    </row>
    <row r="207" spans="1:16" x14ac:dyDescent="0.25">
      <c r="A207" s="2" t="s">
        <v>1045</v>
      </c>
      <c r="B207" s="2" t="s">
        <v>65</v>
      </c>
      <c r="C207" s="2" t="s">
        <v>18</v>
      </c>
      <c r="D207" s="2" t="s">
        <v>43</v>
      </c>
      <c r="E207" s="2" t="s">
        <v>20</v>
      </c>
      <c r="F207" s="2" t="s">
        <v>32</v>
      </c>
      <c r="G207" s="2" t="s">
        <v>69</v>
      </c>
      <c r="H207" s="2" t="s">
        <v>62</v>
      </c>
      <c r="I207" s="2" t="s">
        <v>24</v>
      </c>
      <c r="J207" s="2" t="s">
        <v>1046</v>
      </c>
      <c r="K207" s="2" t="s">
        <v>1062</v>
      </c>
      <c r="L207">
        <v>2</v>
      </c>
      <c r="M207" s="1">
        <v>293000</v>
      </c>
      <c r="N207">
        <v>2.5</v>
      </c>
      <c r="O207">
        <v>7</v>
      </c>
      <c r="P207" s="2" t="s">
        <v>26</v>
      </c>
    </row>
    <row r="208" spans="1:16" x14ac:dyDescent="0.25">
      <c r="A208" s="2" t="s">
        <v>1049</v>
      </c>
      <c r="B208" s="2" t="s">
        <v>1050</v>
      </c>
      <c r="C208" s="2" t="s">
        <v>29</v>
      </c>
      <c r="D208" s="2" t="s">
        <v>43</v>
      </c>
      <c r="E208" s="2" t="s">
        <v>20</v>
      </c>
      <c r="F208" s="2" t="s">
        <v>39</v>
      </c>
      <c r="G208" s="2" t="s">
        <v>69</v>
      </c>
      <c r="H208" s="2" t="s">
        <v>23</v>
      </c>
      <c r="I208" s="2" t="s">
        <v>24</v>
      </c>
      <c r="J208" s="2" t="s">
        <v>1051</v>
      </c>
      <c r="K208" s="2" t="s">
        <v>1062</v>
      </c>
      <c r="L208">
        <v>6</v>
      </c>
      <c r="M208" s="1">
        <v>150000</v>
      </c>
      <c r="N208">
        <v>3.3</v>
      </c>
      <c r="O208">
        <v>11</v>
      </c>
      <c r="P208" s="2" t="s">
        <v>26</v>
      </c>
    </row>
    <row r="209" spans="1:16" x14ac:dyDescent="0.25">
      <c r="A209" s="2" t="s">
        <v>1060</v>
      </c>
      <c r="B209" s="2" t="s">
        <v>1061</v>
      </c>
      <c r="C209" s="2" t="s">
        <v>18</v>
      </c>
      <c r="D209" s="2" t="s">
        <v>19</v>
      </c>
      <c r="E209" s="2" t="s">
        <v>20</v>
      </c>
      <c r="F209" s="2" t="s">
        <v>128</v>
      </c>
      <c r="G209" s="2" t="s">
        <v>69</v>
      </c>
      <c r="H209" s="2" t="s">
        <v>23</v>
      </c>
      <c r="I209" s="2" t="s">
        <v>57</v>
      </c>
      <c r="J209" s="2" t="s">
        <v>716</v>
      </c>
      <c r="K209" s="2" t="s">
        <v>1062</v>
      </c>
      <c r="L209">
        <v>6</v>
      </c>
      <c r="M209" s="1">
        <v>450000</v>
      </c>
      <c r="N209">
        <v>2.2999999999999998</v>
      </c>
      <c r="O209">
        <v>7</v>
      </c>
      <c r="P209" s="2" t="s">
        <v>53</v>
      </c>
    </row>
    <row r="210" spans="1:16" x14ac:dyDescent="0.25">
      <c r="A210" s="2" t="s">
        <v>1063</v>
      </c>
      <c r="B210" s="2" t="s">
        <v>1064</v>
      </c>
      <c r="C210" s="2" t="s">
        <v>29</v>
      </c>
      <c r="D210" s="2" t="s">
        <v>79</v>
      </c>
      <c r="E210" s="2" t="s">
        <v>20</v>
      </c>
      <c r="F210" s="2" t="s">
        <v>32</v>
      </c>
      <c r="G210" s="2" t="s">
        <v>22</v>
      </c>
      <c r="H210" s="2" t="s">
        <v>34</v>
      </c>
      <c r="I210" s="2" t="s">
        <v>24</v>
      </c>
      <c r="J210" s="2" t="s">
        <v>1065</v>
      </c>
      <c r="K210" s="2" t="s">
        <v>1074</v>
      </c>
      <c r="L210">
        <v>4</v>
      </c>
      <c r="M210" s="1">
        <v>339000</v>
      </c>
      <c r="N210">
        <v>4.4000000000000004</v>
      </c>
      <c r="O210">
        <v>11</v>
      </c>
      <c r="P210" s="2" t="s">
        <v>26</v>
      </c>
    </row>
    <row r="211" spans="1:16" x14ac:dyDescent="0.25">
      <c r="A211" s="2" t="s">
        <v>1071</v>
      </c>
      <c r="B211" s="2" t="s">
        <v>1072</v>
      </c>
      <c r="C211" s="2" t="s">
        <v>29</v>
      </c>
      <c r="D211" s="2" t="s">
        <v>79</v>
      </c>
      <c r="E211" s="2" t="s">
        <v>20</v>
      </c>
      <c r="F211" s="2" t="s">
        <v>32</v>
      </c>
      <c r="G211" s="2" t="s">
        <v>69</v>
      </c>
      <c r="H211" s="2" t="s">
        <v>62</v>
      </c>
      <c r="I211" s="2" t="s">
        <v>75</v>
      </c>
      <c r="J211" s="2" t="s">
        <v>1073</v>
      </c>
      <c r="K211" s="2" t="s">
        <v>1074</v>
      </c>
      <c r="L211">
        <v>2</v>
      </c>
      <c r="M211" s="1">
        <v>266000</v>
      </c>
      <c r="N211">
        <v>2.2999999999999998</v>
      </c>
      <c r="O211">
        <v>12</v>
      </c>
      <c r="P211" s="2" t="s">
        <v>53</v>
      </c>
    </row>
    <row r="212" spans="1:16" x14ac:dyDescent="0.25">
      <c r="A212" s="2" t="s">
        <v>1075</v>
      </c>
      <c r="B212" s="2" t="s">
        <v>1076</v>
      </c>
      <c r="C212" s="2" t="s">
        <v>29</v>
      </c>
      <c r="D212" s="2" t="s">
        <v>43</v>
      </c>
      <c r="E212" s="2" t="s">
        <v>20</v>
      </c>
      <c r="F212" s="2" t="s">
        <v>32</v>
      </c>
      <c r="G212" s="2" t="s">
        <v>33</v>
      </c>
      <c r="H212" s="2" t="s">
        <v>23</v>
      </c>
      <c r="I212" s="2" t="s">
        <v>35</v>
      </c>
      <c r="J212" s="2" t="s">
        <v>1077</v>
      </c>
      <c r="K212" s="2" t="s">
        <v>1092</v>
      </c>
      <c r="L212">
        <v>2</v>
      </c>
      <c r="M212" s="1">
        <v>210000</v>
      </c>
      <c r="N212">
        <v>4.5</v>
      </c>
      <c r="O212">
        <v>10</v>
      </c>
      <c r="P212" s="2" t="s">
        <v>26</v>
      </c>
    </row>
    <row r="213" spans="1:16" x14ac:dyDescent="0.25">
      <c r="A213" s="2" t="s">
        <v>1078</v>
      </c>
      <c r="B213" s="2" t="s">
        <v>1079</v>
      </c>
      <c r="C213" s="2" t="s">
        <v>29</v>
      </c>
      <c r="D213" s="2" t="s">
        <v>79</v>
      </c>
      <c r="E213" s="2" t="s">
        <v>44</v>
      </c>
      <c r="F213" s="2" t="s">
        <v>39</v>
      </c>
      <c r="G213" s="2" t="s">
        <v>80</v>
      </c>
      <c r="H213" s="2" t="s">
        <v>23</v>
      </c>
      <c r="I213" s="2" t="s">
        <v>75</v>
      </c>
      <c r="J213" s="2" t="s">
        <v>696</v>
      </c>
      <c r="K213" s="2" t="s">
        <v>1092</v>
      </c>
      <c r="L213">
        <v>5</v>
      </c>
      <c r="M213" s="1">
        <v>120000</v>
      </c>
      <c r="N213">
        <v>4.7</v>
      </c>
      <c r="O213">
        <v>2</v>
      </c>
      <c r="P213" s="2" t="s">
        <v>26</v>
      </c>
    </row>
    <row r="214" spans="1:16" x14ac:dyDescent="0.25">
      <c r="A214" s="2" t="s">
        <v>1089</v>
      </c>
      <c r="B214" s="2" t="s">
        <v>1090</v>
      </c>
      <c r="C214" s="2" t="s">
        <v>29</v>
      </c>
      <c r="D214" s="2" t="s">
        <v>79</v>
      </c>
      <c r="E214" s="2" t="s">
        <v>20</v>
      </c>
      <c r="F214" s="2" t="s">
        <v>32</v>
      </c>
      <c r="G214" s="2" t="s">
        <v>80</v>
      </c>
      <c r="H214" s="2" t="s">
        <v>46</v>
      </c>
      <c r="I214" s="2" t="s">
        <v>24</v>
      </c>
      <c r="J214" s="2" t="s">
        <v>1091</v>
      </c>
      <c r="K214" s="2" t="s">
        <v>1092</v>
      </c>
      <c r="L214">
        <v>4</v>
      </c>
      <c r="M214" s="1">
        <v>331000</v>
      </c>
      <c r="N214">
        <v>4.2</v>
      </c>
      <c r="O214">
        <v>3</v>
      </c>
      <c r="P214" s="2" t="s">
        <v>53</v>
      </c>
    </row>
    <row r="215" spans="1:16" x14ac:dyDescent="0.25">
      <c r="A215" s="2" t="s">
        <v>1093</v>
      </c>
      <c r="B215" s="2" t="s">
        <v>1094</v>
      </c>
      <c r="C215" s="2" t="s">
        <v>18</v>
      </c>
      <c r="D215" s="2" t="s">
        <v>79</v>
      </c>
      <c r="E215" s="2" t="s">
        <v>20</v>
      </c>
      <c r="F215" s="2" t="s">
        <v>128</v>
      </c>
      <c r="G215" s="2" t="s">
        <v>22</v>
      </c>
      <c r="H215" s="2" t="s">
        <v>23</v>
      </c>
      <c r="I215" s="2" t="s">
        <v>57</v>
      </c>
      <c r="J215" s="2" t="s">
        <v>1095</v>
      </c>
      <c r="K215" s="2" t="s">
        <v>1098</v>
      </c>
      <c r="L215">
        <v>5</v>
      </c>
      <c r="M215" s="1">
        <v>429000</v>
      </c>
      <c r="N215">
        <v>3</v>
      </c>
      <c r="O215">
        <v>39</v>
      </c>
      <c r="P215" s="2" t="s">
        <v>26</v>
      </c>
    </row>
    <row r="216" spans="1:16" x14ac:dyDescent="0.25">
      <c r="A216" s="2" t="s">
        <v>1096</v>
      </c>
      <c r="B216" s="2" t="s">
        <v>301</v>
      </c>
      <c r="C216" s="2" t="s">
        <v>18</v>
      </c>
      <c r="D216" s="2" t="s">
        <v>19</v>
      </c>
      <c r="E216" s="2" t="s">
        <v>20</v>
      </c>
      <c r="F216" s="2" t="s">
        <v>39</v>
      </c>
      <c r="G216" s="2" t="s">
        <v>80</v>
      </c>
      <c r="H216" s="2" t="s">
        <v>23</v>
      </c>
      <c r="I216" s="2" t="s">
        <v>24</v>
      </c>
      <c r="J216" s="2" t="s">
        <v>1097</v>
      </c>
      <c r="K216" s="2" t="s">
        <v>1098</v>
      </c>
      <c r="L216">
        <v>5</v>
      </c>
      <c r="M216" s="1">
        <v>175000</v>
      </c>
      <c r="N216">
        <v>3.6</v>
      </c>
      <c r="O216">
        <v>11</v>
      </c>
      <c r="P216" s="2" t="s">
        <v>53</v>
      </c>
    </row>
    <row r="217" spans="1:16" x14ac:dyDescent="0.25">
      <c r="A217" s="2" t="s">
        <v>1099</v>
      </c>
      <c r="B217" s="2" t="s">
        <v>1100</v>
      </c>
      <c r="C217" s="2" t="s">
        <v>18</v>
      </c>
      <c r="D217" s="2" t="s">
        <v>50</v>
      </c>
      <c r="E217" s="2" t="s">
        <v>20</v>
      </c>
      <c r="F217" s="2" t="s">
        <v>21</v>
      </c>
      <c r="G217" s="2" t="s">
        <v>22</v>
      </c>
      <c r="H217" s="2" t="s">
        <v>62</v>
      </c>
      <c r="I217" s="2" t="s">
        <v>57</v>
      </c>
      <c r="J217" s="2" t="s">
        <v>1101</v>
      </c>
      <c r="K217" s="2" t="s">
        <v>1102</v>
      </c>
      <c r="L217">
        <v>6</v>
      </c>
      <c r="M217" s="1">
        <v>880000</v>
      </c>
      <c r="N217">
        <v>4.7</v>
      </c>
      <c r="O217">
        <v>0</v>
      </c>
      <c r="P217" s="2" t="s">
        <v>72</v>
      </c>
    </row>
    <row r="218" spans="1:16" x14ac:dyDescent="0.25">
      <c r="A218" s="2" t="s">
        <v>1103</v>
      </c>
      <c r="B218" s="2" t="s">
        <v>1104</v>
      </c>
      <c r="C218" s="2" t="s">
        <v>18</v>
      </c>
      <c r="D218" s="2" t="s">
        <v>79</v>
      </c>
      <c r="E218" s="2" t="s">
        <v>44</v>
      </c>
      <c r="F218" s="2" t="s">
        <v>128</v>
      </c>
      <c r="G218" s="2" t="s">
        <v>22</v>
      </c>
      <c r="H218" s="2" t="s">
        <v>46</v>
      </c>
      <c r="I218" s="2" t="s">
        <v>57</v>
      </c>
      <c r="J218" s="2" t="s">
        <v>1105</v>
      </c>
      <c r="K218" s="2" t="s">
        <v>1106</v>
      </c>
      <c r="L218">
        <v>7</v>
      </c>
      <c r="M218" s="1">
        <v>402000</v>
      </c>
      <c r="N218">
        <v>3.3</v>
      </c>
      <c r="O218">
        <v>6</v>
      </c>
      <c r="P218" s="2" t="s">
        <v>114</v>
      </c>
    </row>
    <row r="219" spans="1:16" x14ac:dyDescent="0.25">
      <c r="A219" s="2" t="s">
        <v>1107</v>
      </c>
      <c r="B219" s="2" t="s">
        <v>1108</v>
      </c>
      <c r="C219" s="2" t="s">
        <v>18</v>
      </c>
      <c r="D219" s="2" t="s">
        <v>79</v>
      </c>
      <c r="E219" s="2" t="s">
        <v>20</v>
      </c>
      <c r="F219" s="2" t="s">
        <v>32</v>
      </c>
      <c r="G219" s="2" t="s">
        <v>33</v>
      </c>
      <c r="H219" s="2" t="s">
        <v>34</v>
      </c>
      <c r="I219" s="2" t="s">
        <v>57</v>
      </c>
      <c r="J219" s="2" t="s">
        <v>1109</v>
      </c>
      <c r="K219" s="2" t="s">
        <v>834</v>
      </c>
      <c r="L219">
        <v>4</v>
      </c>
      <c r="M219" s="1">
        <v>334000</v>
      </c>
      <c r="N219">
        <v>3</v>
      </c>
      <c r="O219">
        <v>14</v>
      </c>
      <c r="P219" s="2" t="s">
        <v>72</v>
      </c>
    </row>
    <row r="220" spans="1:16" x14ac:dyDescent="0.25">
      <c r="A220" s="2" t="s">
        <v>1116</v>
      </c>
      <c r="B220" s="2" t="s">
        <v>1117</v>
      </c>
      <c r="C220" s="2" t="s">
        <v>29</v>
      </c>
      <c r="D220" s="2" t="s">
        <v>19</v>
      </c>
      <c r="E220" s="2" t="s">
        <v>20</v>
      </c>
      <c r="F220" s="2" t="s">
        <v>32</v>
      </c>
      <c r="G220" s="2" t="s">
        <v>69</v>
      </c>
      <c r="H220" s="2" t="s">
        <v>34</v>
      </c>
      <c r="I220" s="2" t="s">
        <v>35</v>
      </c>
      <c r="J220" s="2" t="s">
        <v>1118</v>
      </c>
      <c r="K220" s="2" t="s">
        <v>1119</v>
      </c>
      <c r="L220">
        <v>5</v>
      </c>
      <c r="M220" s="1">
        <v>271000</v>
      </c>
      <c r="N220">
        <v>2.2999999999999998</v>
      </c>
      <c r="O220">
        <v>40</v>
      </c>
      <c r="P220" s="2" t="s">
        <v>72</v>
      </c>
    </row>
    <row r="221" spans="1:16" x14ac:dyDescent="0.25">
      <c r="A221" s="2" t="s">
        <v>1120</v>
      </c>
      <c r="B221" s="2" t="s">
        <v>1121</v>
      </c>
      <c r="C221" s="2" t="s">
        <v>29</v>
      </c>
      <c r="D221" s="2" t="s">
        <v>79</v>
      </c>
      <c r="E221" s="2" t="s">
        <v>20</v>
      </c>
      <c r="F221" s="2" t="s">
        <v>32</v>
      </c>
      <c r="G221" s="2" t="s">
        <v>22</v>
      </c>
      <c r="H221" s="2" t="s">
        <v>23</v>
      </c>
      <c r="I221" s="2" t="s">
        <v>24</v>
      </c>
      <c r="J221" s="2" t="s">
        <v>178</v>
      </c>
      <c r="K221" s="2" t="s">
        <v>1135</v>
      </c>
      <c r="L221">
        <v>3</v>
      </c>
      <c r="M221" s="1">
        <v>304000</v>
      </c>
      <c r="N221">
        <v>4.7</v>
      </c>
      <c r="O221">
        <v>5</v>
      </c>
      <c r="P221" s="2" t="s">
        <v>26</v>
      </c>
    </row>
    <row r="222" spans="1:16" x14ac:dyDescent="0.25">
      <c r="A222" s="2" t="s">
        <v>1122</v>
      </c>
      <c r="B222" s="2" t="s">
        <v>567</v>
      </c>
      <c r="C222" s="2" t="s">
        <v>29</v>
      </c>
      <c r="D222" s="2" t="s">
        <v>79</v>
      </c>
      <c r="E222" s="2" t="s">
        <v>20</v>
      </c>
      <c r="F222" s="2" t="s">
        <v>128</v>
      </c>
      <c r="G222" s="2" t="s">
        <v>22</v>
      </c>
      <c r="H222" s="2" t="s">
        <v>23</v>
      </c>
      <c r="I222" s="2" t="s">
        <v>75</v>
      </c>
      <c r="J222" s="2" t="s">
        <v>1123</v>
      </c>
      <c r="K222" s="2" t="s">
        <v>1135</v>
      </c>
      <c r="L222">
        <v>5</v>
      </c>
      <c r="M222" s="1">
        <v>364000</v>
      </c>
      <c r="N222">
        <v>4.5999999999999996</v>
      </c>
      <c r="O222">
        <v>1</v>
      </c>
      <c r="P222" s="2" t="s">
        <v>26</v>
      </c>
    </row>
    <row r="223" spans="1:16" x14ac:dyDescent="0.25">
      <c r="A223" s="2" t="s">
        <v>1124</v>
      </c>
      <c r="B223" s="2" t="s">
        <v>1125</v>
      </c>
      <c r="C223" s="2" t="s">
        <v>18</v>
      </c>
      <c r="D223" s="2" t="s">
        <v>19</v>
      </c>
      <c r="E223" s="2" t="s">
        <v>44</v>
      </c>
      <c r="F223" s="2" t="s">
        <v>32</v>
      </c>
      <c r="G223" s="2" t="s">
        <v>22</v>
      </c>
      <c r="H223" s="2" t="s">
        <v>23</v>
      </c>
      <c r="I223" s="2" t="s">
        <v>24</v>
      </c>
      <c r="J223" s="2" t="s">
        <v>1126</v>
      </c>
      <c r="K223" s="2" t="s">
        <v>1135</v>
      </c>
      <c r="L223">
        <v>5</v>
      </c>
      <c r="M223" s="1">
        <v>280000</v>
      </c>
      <c r="N223">
        <v>2.7</v>
      </c>
      <c r="O223">
        <v>12</v>
      </c>
      <c r="P223" s="2" t="s">
        <v>26</v>
      </c>
    </row>
    <row r="224" spans="1:16" x14ac:dyDescent="0.25">
      <c r="A224" s="2" t="s">
        <v>1127</v>
      </c>
      <c r="B224" s="2" t="s">
        <v>1128</v>
      </c>
      <c r="C224" s="2" t="s">
        <v>18</v>
      </c>
      <c r="D224" s="2" t="s">
        <v>43</v>
      </c>
      <c r="E224" s="2" t="s">
        <v>44</v>
      </c>
      <c r="F224" s="2" t="s">
        <v>32</v>
      </c>
      <c r="G224" s="2" t="s">
        <v>22</v>
      </c>
      <c r="H224" s="2" t="s">
        <v>23</v>
      </c>
      <c r="I224" s="2" t="s">
        <v>24</v>
      </c>
      <c r="J224" s="2" t="s">
        <v>1129</v>
      </c>
      <c r="K224" s="2" t="s">
        <v>1135</v>
      </c>
      <c r="L224">
        <v>6</v>
      </c>
      <c r="M224" s="1">
        <v>270000</v>
      </c>
      <c r="N224">
        <v>4.9000000000000004</v>
      </c>
      <c r="O224">
        <v>2</v>
      </c>
      <c r="P224" s="2" t="s">
        <v>26</v>
      </c>
    </row>
    <row r="225" spans="1:16" x14ac:dyDescent="0.25">
      <c r="A225" s="2" t="s">
        <v>1130</v>
      </c>
      <c r="B225" s="2" t="s">
        <v>525</v>
      </c>
      <c r="C225" s="2" t="s">
        <v>18</v>
      </c>
      <c r="D225" s="2" t="s">
        <v>79</v>
      </c>
      <c r="E225" s="2" t="s">
        <v>20</v>
      </c>
      <c r="F225" s="2" t="s">
        <v>32</v>
      </c>
      <c r="G225" s="2" t="s">
        <v>69</v>
      </c>
      <c r="H225" s="2" t="s">
        <v>62</v>
      </c>
      <c r="I225" s="2" t="s">
        <v>35</v>
      </c>
      <c r="J225" s="2" t="s">
        <v>1131</v>
      </c>
      <c r="K225" s="2" t="s">
        <v>1135</v>
      </c>
      <c r="L225">
        <v>4</v>
      </c>
      <c r="M225" s="1">
        <v>282000</v>
      </c>
      <c r="N225">
        <v>2.5</v>
      </c>
      <c r="O225">
        <v>14</v>
      </c>
      <c r="P225" s="2" t="s">
        <v>26</v>
      </c>
    </row>
    <row r="226" spans="1:16" x14ac:dyDescent="0.25">
      <c r="A226" s="2" t="s">
        <v>1132</v>
      </c>
      <c r="B226" s="2" t="s">
        <v>1133</v>
      </c>
      <c r="C226" s="2" t="s">
        <v>18</v>
      </c>
      <c r="D226" s="2" t="s">
        <v>43</v>
      </c>
      <c r="E226" s="2" t="s">
        <v>20</v>
      </c>
      <c r="F226" s="2" t="s">
        <v>39</v>
      </c>
      <c r="G226" s="2" t="s">
        <v>22</v>
      </c>
      <c r="H226" s="2" t="s">
        <v>23</v>
      </c>
      <c r="I226" s="2" t="s">
        <v>171</v>
      </c>
      <c r="J226" s="2" t="s">
        <v>1134</v>
      </c>
      <c r="K226" s="2" t="s">
        <v>1135</v>
      </c>
      <c r="L226">
        <v>5</v>
      </c>
      <c r="M226" s="1">
        <v>100000</v>
      </c>
      <c r="N226">
        <v>4</v>
      </c>
      <c r="O226">
        <v>13</v>
      </c>
      <c r="P226" s="2" t="s">
        <v>72</v>
      </c>
    </row>
    <row r="227" spans="1:16" x14ac:dyDescent="0.25">
      <c r="A227" s="2" t="s">
        <v>1143</v>
      </c>
      <c r="B227" s="2" t="s">
        <v>1144</v>
      </c>
      <c r="C227" s="2" t="s">
        <v>18</v>
      </c>
      <c r="D227" s="2" t="s">
        <v>50</v>
      </c>
      <c r="E227" s="2" t="s">
        <v>44</v>
      </c>
      <c r="F227" s="2" t="s">
        <v>21</v>
      </c>
      <c r="G227" s="2" t="s">
        <v>22</v>
      </c>
      <c r="H227" s="2" t="s">
        <v>23</v>
      </c>
      <c r="I227" s="2" t="s">
        <v>57</v>
      </c>
      <c r="J227" s="2" t="s">
        <v>1145</v>
      </c>
      <c r="K227" s="2" t="s">
        <v>1146</v>
      </c>
      <c r="L227">
        <v>3</v>
      </c>
      <c r="M227" s="1">
        <v>878000</v>
      </c>
      <c r="N227">
        <v>4.5</v>
      </c>
      <c r="O227">
        <v>9</v>
      </c>
      <c r="P227" s="2" t="s">
        <v>53</v>
      </c>
    </row>
    <row r="228" spans="1:16" x14ac:dyDescent="0.25">
      <c r="A228" s="2" t="s">
        <v>1155</v>
      </c>
      <c r="B228" s="2" t="s">
        <v>1156</v>
      </c>
      <c r="C228" s="2" t="s">
        <v>29</v>
      </c>
      <c r="D228" s="2" t="s">
        <v>79</v>
      </c>
      <c r="E228" s="2" t="s">
        <v>44</v>
      </c>
      <c r="F228" s="2" t="s">
        <v>21</v>
      </c>
      <c r="G228" s="2" t="s">
        <v>22</v>
      </c>
      <c r="H228" s="2" t="s">
        <v>34</v>
      </c>
      <c r="I228" s="2" t="s">
        <v>171</v>
      </c>
      <c r="J228" s="2" t="s">
        <v>1106</v>
      </c>
      <c r="K228" s="2" t="s">
        <v>1179</v>
      </c>
      <c r="L228">
        <v>5</v>
      </c>
      <c r="M228" s="1">
        <v>735000</v>
      </c>
      <c r="N228">
        <v>4.7</v>
      </c>
      <c r="O228">
        <v>0</v>
      </c>
      <c r="P228" s="2" t="s">
        <v>26</v>
      </c>
    </row>
    <row r="229" spans="1:16" x14ac:dyDescent="0.25">
      <c r="A229" s="2" t="s">
        <v>1157</v>
      </c>
      <c r="B229" s="2" t="s">
        <v>599</v>
      </c>
      <c r="C229" s="2" t="s">
        <v>29</v>
      </c>
      <c r="D229" s="2" t="s">
        <v>30</v>
      </c>
      <c r="E229" s="2" t="s">
        <v>31</v>
      </c>
      <c r="F229" s="2" t="s">
        <v>128</v>
      </c>
      <c r="G229" s="2" t="s">
        <v>33</v>
      </c>
      <c r="H229" s="2" t="s">
        <v>62</v>
      </c>
      <c r="I229" s="2" t="s">
        <v>57</v>
      </c>
      <c r="J229" s="2" t="s">
        <v>1158</v>
      </c>
      <c r="K229" s="2" t="s">
        <v>1179</v>
      </c>
      <c r="L229">
        <v>3</v>
      </c>
      <c r="M229" s="1">
        <v>583000</v>
      </c>
      <c r="N229">
        <v>2.2000000000000002</v>
      </c>
      <c r="O229">
        <v>0</v>
      </c>
      <c r="P229" s="2" t="s">
        <v>26</v>
      </c>
    </row>
    <row r="230" spans="1:16" x14ac:dyDescent="0.25">
      <c r="A230" s="2" t="s">
        <v>1165</v>
      </c>
      <c r="B230" s="2" t="s">
        <v>1166</v>
      </c>
      <c r="C230" s="2" t="s">
        <v>29</v>
      </c>
      <c r="D230" s="2" t="s">
        <v>30</v>
      </c>
      <c r="E230" s="2" t="s">
        <v>44</v>
      </c>
      <c r="F230" s="2" t="s">
        <v>128</v>
      </c>
      <c r="G230" s="2" t="s">
        <v>22</v>
      </c>
      <c r="H230" s="2" t="s">
        <v>23</v>
      </c>
      <c r="I230" s="2" t="s">
        <v>24</v>
      </c>
      <c r="J230" s="2" t="s">
        <v>1167</v>
      </c>
      <c r="K230" s="2" t="s">
        <v>1179</v>
      </c>
      <c r="L230">
        <v>4</v>
      </c>
      <c r="M230" s="1">
        <v>513000</v>
      </c>
      <c r="N230">
        <v>2.7</v>
      </c>
      <c r="O230">
        <v>13</v>
      </c>
      <c r="P230" s="2" t="s">
        <v>26</v>
      </c>
    </row>
    <row r="231" spans="1:16" x14ac:dyDescent="0.25">
      <c r="A231" s="2" t="s">
        <v>1170</v>
      </c>
      <c r="B231" s="2" t="s">
        <v>1171</v>
      </c>
      <c r="C231" s="2" t="s">
        <v>18</v>
      </c>
      <c r="D231" s="2" t="s">
        <v>43</v>
      </c>
      <c r="E231" s="2" t="s">
        <v>20</v>
      </c>
      <c r="F231" s="2" t="s">
        <v>128</v>
      </c>
      <c r="G231" s="2" t="s">
        <v>22</v>
      </c>
      <c r="H231" s="2" t="s">
        <v>23</v>
      </c>
      <c r="I231" s="2" t="s">
        <v>75</v>
      </c>
      <c r="J231" s="2" t="s">
        <v>1172</v>
      </c>
      <c r="K231" s="2" t="s">
        <v>1179</v>
      </c>
      <c r="L231">
        <v>5</v>
      </c>
      <c r="M231" s="1">
        <v>442000</v>
      </c>
      <c r="N231">
        <v>3.1</v>
      </c>
      <c r="O231">
        <v>7</v>
      </c>
      <c r="P231" s="2" t="s">
        <v>26</v>
      </c>
    </row>
    <row r="232" spans="1:16" x14ac:dyDescent="0.25">
      <c r="A232" s="2" t="s">
        <v>1177</v>
      </c>
      <c r="B232" s="2" t="s">
        <v>1108</v>
      </c>
      <c r="C232" s="2" t="s">
        <v>18</v>
      </c>
      <c r="D232" s="2" t="s">
        <v>50</v>
      </c>
      <c r="E232" s="2" t="s">
        <v>31</v>
      </c>
      <c r="F232" s="2" t="s">
        <v>39</v>
      </c>
      <c r="G232" s="2" t="s">
        <v>80</v>
      </c>
      <c r="H232" s="2" t="s">
        <v>34</v>
      </c>
      <c r="I232" s="2" t="s">
        <v>24</v>
      </c>
      <c r="J232" s="2" t="s">
        <v>1178</v>
      </c>
      <c r="K232" s="2" t="s">
        <v>1179</v>
      </c>
      <c r="L232">
        <v>5</v>
      </c>
      <c r="M232" s="1">
        <v>105000</v>
      </c>
      <c r="N232">
        <v>4.0999999999999996</v>
      </c>
      <c r="O232">
        <v>11</v>
      </c>
      <c r="P232" s="2" t="s">
        <v>72</v>
      </c>
    </row>
    <row r="233" spans="1:16" x14ac:dyDescent="0.25">
      <c r="A233" s="2" t="s">
        <v>1185</v>
      </c>
      <c r="B233" s="2" t="s">
        <v>1186</v>
      </c>
      <c r="C233" s="2" t="s">
        <v>29</v>
      </c>
      <c r="D233" s="2" t="s">
        <v>30</v>
      </c>
      <c r="E233" s="2" t="s">
        <v>20</v>
      </c>
      <c r="F233" s="2" t="s">
        <v>32</v>
      </c>
      <c r="G233" s="2" t="s">
        <v>33</v>
      </c>
      <c r="H233" s="2" t="s">
        <v>23</v>
      </c>
      <c r="I233" s="2" t="s">
        <v>24</v>
      </c>
      <c r="J233" s="2" t="s">
        <v>1187</v>
      </c>
      <c r="K233" s="2" t="s">
        <v>1188</v>
      </c>
      <c r="L233">
        <v>4</v>
      </c>
      <c r="M233" s="1">
        <v>240000</v>
      </c>
      <c r="N233">
        <v>3.3</v>
      </c>
      <c r="O233">
        <v>36</v>
      </c>
      <c r="P233" s="2" t="s">
        <v>53</v>
      </c>
    </row>
    <row r="234" spans="1:16" x14ac:dyDescent="0.25">
      <c r="A234" s="2" t="s">
        <v>1189</v>
      </c>
      <c r="B234" s="2" t="s">
        <v>1190</v>
      </c>
      <c r="C234" s="2" t="s">
        <v>29</v>
      </c>
      <c r="D234" s="2" t="s">
        <v>30</v>
      </c>
      <c r="E234" s="2" t="s">
        <v>20</v>
      </c>
      <c r="F234" s="2" t="s">
        <v>32</v>
      </c>
      <c r="G234" s="2" t="s">
        <v>22</v>
      </c>
      <c r="H234" s="2" t="s">
        <v>34</v>
      </c>
      <c r="I234" s="2" t="s">
        <v>75</v>
      </c>
      <c r="J234" s="2" t="s">
        <v>438</v>
      </c>
      <c r="K234" s="2" t="s">
        <v>1194</v>
      </c>
      <c r="L234">
        <v>6</v>
      </c>
      <c r="M234" s="1">
        <v>265000</v>
      </c>
      <c r="N234">
        <v>2.9</v>
      </c>
      <c r="O234">
        <v>0</v>
      </c>
      <c r="P234" s="2" t="s">
        <v>26</v>
      </c>
    </row>
    <row r="235" spans="1:16" x14ac:dyDescent="0.25">
      <c r="A235" s="2" t="s">
        <v>1191</v>
      </c>
      <c r="B235" s="2" t="s">
        <v>1192</v>
      </c>
      <c r="C235" s="2" t="s">
        <v>29</v>
      </c>
      <c r="D235" s="2" t="s">
        <v>30</v>
      </c>
      <c r="E235" s="2" t="s">
        <v>44</v>
      </c>
      <c r="F235" s="2" t="s">
        <v>32</v>
      </c>
      <c r="G235" s="2" t="s">
        <v>33</v>
      </c>
      <c r="H235" s="2" t="s">
        <v>46</v>
      </c>
      <c r="I235" s="2" t="s">
        <v>57</v>
      </c>
      <c r="J235" s="2" t="s">
        <v>1193</v>
      </c>
      <c r="K235" s="2" t="s">
        <v>1194</v>
      </c>
      <c r="L235">
        <v>4</v>
      </c>
      <c r="M235" s="1">
        <v>223000</v>
      </c>
      <c r="N235">
        <v>2.5</v>
      </c>
      <c r="O235">
        <v>6</v>
      </c>
      <c r="P235" s="2" t="s">
        <v>114</v>
      </c>
    </row>
    <row r="236" spans="1:16" x14ac:dyDescent="0.25">
      <c r="A236" s="2" t="s">
        <v>1195</v>
      </c>
      <c r="B236" s="2" t="s">
        <v>1196</v>
      </c>
      <c r="C236" s="2" t="s">
        <v>29</v>
      </c>
      <c r="D236" s="2" t="s">
        <v>43</v>
      </c>
      <c r="E236" s="2" t="s">
        <v>20</v>
      </c>
      <c r="F236" s="2" t="s">
        <v>128</v>
      </c>
      <c r="G236" s="2" t="s">
        <v>33</v>
      </c>
      <c r="H236" s="2" t="s">
        <v>62</v>
      </c>
      <c r="I236" s="2" t="s">
        <v>35</v>
      </c>
      <c r="J236" s="2" t="s">
        <v>1197</v>
      </c>
      <c r="K236" s="2" t="s">
        <v>1203</v>
      </c>
      <c r="L236">
        <v>2</v>
      </c>
      <c r="M236" s="1">
        <v>425000</v>
      </c>
      <c r="N236">
        <v>2.7</v>
      </c>
      <c r="O236">
        <v>2</v>
      </c>
      <c r="P236" s="2" t="s">
        <v>26</v>
      </c>
    </row>
    <row r="237" spans="1:16" x14ac:dyDescent="0.25">
      <c r="A237" s="2" t="s">
        <v>1200</v>
      </c>
      <c r="B237" s="2" t="s">
        <v>1201</v>
      </c>
      <c r="C237" s="2" t="s">
        <v>29</v>
      </c>
      <c r="D237" s="2" t="s">
        <v>19</v>
      </c>
      <c r="E237" s="2" t="s">
        <v>44</v>
      </c>
      <c r="F237" s="2" t="s">
        <v>32</v>
      </c>
      <c r="G237" s="2" t="s">
        <v>69</v>
      </c>
      <c r="H237" s="2" t="s">
        <v>62</v>
      </c>
      <c r="I237" s="2" t="s">
        <v>24</v>
      </c>
      <c r="J237" s="2" t="s">
        <v>1202</v>
      </c>
      <c r="K237" s="2" t="s">
        <v>1203</v>
      </c>
      <c r="L237">
        <v>6</v>
      </c>
      <c r="M237" s="1">
        <v>228000</v>
      </c>
      <c r="N237">
        <v>3.9</v>
      </c>
      <c r="O237">
        <v>11</v>
      </c>
      <c r="P237" s="2" t="s">
        <v>53</v>
      </c>
    </row>
    <row r="238" spans="1:16" x14ac:dyDescent="0.25">
      <c r="A238" s="2" t="s">
        <v>1204</v>
      </c>
      <c r="B238" s="2" t="s">
        <v>1205</v>
      </c>
      <c r="C238" s="2" t="s">
        <v>18</v>
      </c>
      <c r="D238" s="2" t="s">
        <v>19</v>
      </c>
      <c r="E238" s="2" t="s">
        <v>44</v>
      </c>
      <c r="F238" s="2" t="s">
        <v>39</v>
      </c>
      <c r="G238" s="2" t="s">
        <v>22</v>
      </c>
      <c r="H238" s="2" t="s">
        <v>23</v>
      </c>
      <c r="I238" s="2" t="s">
        <v>24</v>
      </c>
      <c r="J238" s="2" t="s">
        <v>1187</v>
      </c>
      <c r="K238" s="2" t="s">
        <v>697</v>
      </c>
      <c r="L238">
        <v>4</v>
      </c>
      <c r="M238" s="1">
        <v>175000</v>
      </c>
      <c r="N238">
        <v>2.5</v>
      </c>
      <c r="O238">
        <v>5</v>
      </c>
      <c r="P238" s="2" t="s">
        <v>26</v>
      </c>
    </row>
    <row r="239" spans="1:16" x14ac:dyDescent="0.25">
      <c r="A239" s="2" t="s">
        <v>1208</v>
      </c>
      <c r="B239" s="2" t="s">
        <v>1209</v>
      </c>
      <c r="C239" s="2" t="s">
        <v>29</v>
      </c>
      <c r="D239" s="2" t="s">
        <v>30</v>
      </c>
      <c r="E239" s="2" t="s">
        <v>20</v>
      </c>
      <c r="F239" s="2" t="s">
        <v>39</v>
      </c>
      <c r="G239" s="2" t="s">
        <v>22</v>
      </c>
      <c r="H239" s="2" t="s">
        <v>46</v>
      </c>
      <c r="I239" s="2" t="s">
        <v>171</v>
      </c>
      <c r="J239" s="2" t="s">
        <v>1210</v>
      </c>
      <c r="K239" s="2" t="s">
        <v>697</v>
      </c>
      <c r="L239">
        <v>2</v>
      </c>
      <c r="M239" s="1">
        <v>162000</v>
      </c>
      <c r="N239">
        <v>2.1</v>
      </c>
      <c r="O239">
        <v>7</v>
      </c>
      <c r="P239" s="2" t="s">
        <v>53</v>
      </c>
    </row>
    <row r="240" spans="1:16" x14ac:dyDescent="0.25">
      <c r="A240" s="2" t="s">
        <v>1218</v>
      </c>
      <c r="B240" s="2" t="s">
        <v>1219</v>
      </c>
      <c r="C240" s="2" t="s">
        <v>18</v>
      </c>
      <c r="D240" s="2" t="s">
        <v>30</v>
      </c>
      <c r="E240" s="2" t="s">
        <v>20</v>
      </c>
      <c r="F240" s="2" t="s">
        <v>39</v>
      </c>
      <c r="G240" s="2" t="s">
        <v>22</v>
      </c>
      <c r="H240" s="2" t="s">
        <v>46</v>
      </c>
      <c r="I240" s="2" t="s">
        <v>24</v>
      </c>
      <c r="J240" s="2" t="s">
        <v>1220</v>
      </c>
      <c r="K240" s="2" t="s">
        <v>1221</v>
      </c>
      <c r="L240">
        <v>3</v>
      </c>
      <c r="M240" s="1">
        <v>142000</v>
      </c>
      <c r="N240">
        <v>1.8</v>
      </c>
      <c r="O240">
        <v>11</v>
      </c>
      <c r="P240" s="2" t="s">
        <v>53</v>
      </c>
    </row>
    <row r="241" spans="1:16" x14ac:dyDescent="0.25">
      <c r="A241" s="2" t="s">
        <v>1222</v>
      </c>
      <c r="B241" s="2" t="s">
        <v>1223</v>
      </c>
      <c r="C241" s="2" t="s">
        <v>18</v>
      </c>
      <c r="D241" s="2" t="s">
        <v>50</v>
      </c>
      <c r="E241" s="2" t="s">
        <v>20</v>
      </c>
      <c r="F241" s="2" t="s">
        <v>39</v>
      </c>
      <c r="G241" s="2" t="s">
        <v>22</v>
      </c>
      <c r="H241" s="2" t="s">
        <v>23</v>
      </c>
      <c r="I241" s="2" t="s">
        <v>35</v>
      </c>
      <c r="J241" s="2" t="s">
        <v>1224</v>
      </c>
      <c r="K241" s="2" t="s">
        <v>1225</v>
      </c>
      <c r="L241">
        <v>6</v>
      </c>
      <c r="M241" s="1">
        <v>170000</v>
      </c>
      <c r="N241">
        <v>3</v>
      </c>
      <c r="O241">
        <v>1</v>
      </c>
      <c r="P241" s="2" t="s">
        <v>114</v>
      </c>
    </row>
    <row r="242" spans="1:16" x14ac:dyDescent="0.25">
      <c r="A242" s="2" t="s">
        <v>1229</v>
      </c>
      <c r="B242" s="2" t="s">
        <v>1230</v>
      </c>
      <c r="C242" s="2" t="s">
        <v>29</v>
      </c>
      <c r="D242" s="2" t="s">
        <v>50</v>
      </c>
      <c r="E242" s="2" t="s">
        <v>31</v>
      </c>
      <c r="F242" s="2" t="s">
        <v>32</v>
      </c>
      <c r="G242" s="2" t="s">
        <v>22</v>
      </c>
      <c r="H242" s="2" t="s">
        <v>23</v>
      </c>
      <c r="I242" s="2" t="s">
        <v>35</v>
      </c>
      <c r="J242" s="2" t="s">
        <v>1231</v>
      </c>
      <c r="K242" s="2" t="s">
        <v>824</v>
      </c>
      <c r="L242">
        <v>3</v>
      </c>
      <c r="M242" s="1">
        <v>285000</v>
      </c>
      <c r="N242">
        <v>2.8</v>
      </c>
      <c r="O242">
        <v>7</v>
      </c>
      <c r="P242" s="2" t="s">
        <v>26</v>
      </c>
    </row>
    <row r="243" spans="1:16" x14ac:dyDescent="0.25">
      <c r="A243" s="2" t="s">
        <v>1232</v>
      </c>
      <c r="B243" s="2" t="s">
        <v>1233</v>
      </c>
      <c r="C243" s="2" t="s">
        <v>29</v>
      </c>
      <c r="D243" s="2" t="s">
        <v>50</v>
      </c>
      <c r="E243" s="2" t="s">
        <v>20</v>
      </c>
      <c r="F243" s="2" t="s">
        <v>39</v>
      </c>
      <c r="G243" s="2" t="s">
        <v>33</v>
      </c>
      <c r="H243" s="2" t="s">
        <v>46</v>
      </c>
      <c r="I243" s="2" t="s">
        <v>57</v>
      </c>
      <c r="J243" s="2" t="s">
        <v>1234</v>
      </c>
      <c r="K243" s="2" t="s">
        <v>824</v>
      </c>
      <c r="L243">
        <v>4</v>
      </c>
      <c r="M243" s="1">
        <v>126000</v>
      </c>
      <c r="N243">
        <v>4.9000000000000004</v>
      </c>
      <c r="O243">
        <v>0</v>
      </c>
      <c r="P243" s="2" t="s">
        <v>26</v>
      </c>
    </row>
    <row r="244" spans="1:16" x14ac:dyDescent="0.25">
      <c r="A244" s="2" t="s">
        <v>1235</v>
      </c>
      <c r="B244" s="2" t="s">
        <v>1236</v>
      </c>
      <c r="C244" s="2" t="s">
        <v>29</v>
      </c>
      <c r="D244" s="2" t="s">
        <v>50</v>
      </c>
      <c r="E244" s="2" t="s">
        <v>20</v>
      </c>
      <c r="F244" s="2" t="s">
        <v>39</v>
      </c>
      <c r="G244" s="2" t="s">
        <v>33</v>
      </c>
      <c r="H244" s="2" t="s">
        <v>46</v>
      </c>
      <c r="I244" s="2" t="s">
        <v>57</v>
      </c>
      <c r="J244" s="2" t="s">
        <v>1237</v>
      </c>
      <c r="K244" s="2" t="s">
        <v>824</v>
      </c>
      <c r="L244">
        <v>2</v>
      </c>
      <c r="M244" s="1">
        <v>116000</v>
      </c>
      <c r="N244">
        <v>3.1</v>
      </c>
      <c r="O244">
        <v>3</v>
      </c>
      <c r="P244" s="2" t="s">
        <v>26</v>
      </c>
    </row>
    <row r="245" spans="1:16" x14ac:dyDescent="0.25">
      <c r="A245" s="2" t="s">
        <v>1238</v>
      </c>
      <c r="B245" s="2" t="s">
        <v>1239</v>
      </c>
      <c r="C245" s="2" t="s">
        <v>29</v>
      </c>
      <c r="D245" s="2" t="s">
        <v>43</v>
      </c>
      <c r="E245" s="2" t="s">
        <v>20</v>
      </c>
      <c r="F245" s="2" t="s">
        <v>128</v>
      </c>
      <c r="G245" s="2" t="s">
        <v>22</v>
      </c>
      <c r="H245" s="2" t="s">
        <v>34</v>
      </c>
      <c r="I245" s="2" t="s">
        <v>24</v>
      </c>
      <c r="J245" s="2" t="s">
        <v>1240</v>
      </c>
      <c r="K245" s="2" t="s">
        <v>824</v>
      </c>
      <c r="L245">
        <v>3</v>
      </c>
      <c r="M245" s="1">
        <v>452000</v>
      </c>
      <c r="N245">
        <v>3.5</v>
      </c>
      <c r="O245">
        <v>8</v>
      </c>
      <c r="P245" s="2" t="s">
        <v>26</v>
      </c>
    </row>
    <row r="246" spans="1:16" x14ac:dyDescent="0.25">
      <c r="A246" s="2" t="s">
        <v>1241</v>
      </c>
      <c r="B246" s="2" t="s">
        <v>1242</v>
      </c>
      <c r="C246" s="2" t="s">
        <v>18</v>
      </c>
      <c r="D246" s="2" t="s">
        <v>19</v>
      </c>
      <c r="E246" s="2" t="s">
        <v>44</v>
      </c>
      <c r="F246" s="2" t="s">
        <v>21</v>
      </c>
      <c r="G246" s="2" t="s">
        <v>33</v>
      </c>
      <c r="H246" s="2" t="s">
        <v>34</v>
      </c>
      <c r="I246" s="2" t="s">
        <v>171</v>
      </c>
      <c r="J246" s="2" t="s">
        <v>1243</v>
      </c>
      <c r="K246" s="2" t="s">
        <v>824</v>
      </c>
      <c r="L246">
        <v>2</v>
      </c>
      <c r="M246" s="1">
        <v>799000</v>
      </c>
      <c r="N246">
        <v>3.6</v>
      </c>
      <c r="O246">
        <v>4</v>
      </c>
      <c r="P246" s="2" t="s">
        <v>53</v>
      </c>
    </row>
    <row r="247" spans="1:16" x14ac:dyDescent="0.25">
      <c r="A247" s="2" t="s">
        <v>1261</v>
      </c>
      <c r="B247" s="2" t="s">
        <v>1262</v>
      </c>
      <c r="C247" s="2" t="s">
        <v>18</v>
      </c>
      <c r="D247" s="2" t="s">
        <v>30</v>
      </c>
      <c r="E247" s="2" t="s">
        <v>20</v>
      </c>
      <c r="F247" s="2" t="s">
        <v>39</v>
      </c>
      <c r="G247" s="2" t="s">
        <v>22</v>
      </c>
      <c r="H247" s="2" t="s">
        <v>46</v>
      </c>
      <c r="I247" s="2" t="s">
        <v>24</v>
      </c>
      <c r="J247" s="2" t="s">
        <v>1263</v>
      </c>
      <c r="K247" s="2" t="s">
        <v>550</v>
      </c>
      <c r="L247">
        <v>4</v>
      </c>
      <c r="M247" s="1">
        <v>132000</v>
      </c>
      <c r="N247">
        <v>2</v>
      </c>
      <c r="O247">
        <v>19</v>
      </c>
      <c r="P247" s="2" t="s">
        <v>53</v>
      </c>
    </row>
    <row r="248" spans="1:16" x14ac:dyDescent="0.25">
      <c r="A248" s="2" t="s">
        <v>1264</v>
      </c>
      <c r="B248" s="2" t="s">
        <v>1265</v>
      </c>
      <c r="C248" s="2" t="s">
        <v>29</v>
      </c>
      <c r="D248" s="2" t="s">
        <v>50</v>
      </c>
      <c r="E248" s="2" t="s">
        <v>20</v>
      </c>
      <c r="F248" s="2" t="s">
        <v>128</v>
      </c>
      <c r="G248" s="2" t="s">
        <v>80</v>
      </c>
      <c r="H248" s="2" t="s">
        <v>46</v>
      </c>
      <c r="I248" s="2" t="s">
        <v>24</v>
      </c>
      <c r="J248" s="2" t="s">
        <v>787</v>
      </c>
      <c r="K248" s="2" t="s">
        <v>1266</v>
      </c>
      <c r="L248">
        <v>5</v>
      </c>
      <c r="M248" s="1">
        <v>528000</v>
      </c>
      <c r="N248">
        <v>3.5</v>
      </c>
      <c r="O248">
        <v>1</v>
      </c>
      <c r="P248" s="2" t="s">
        <v>53</v>
      </c>
    </row>
    <row r="249" spans="1:16" x14ac:dyDescent="0.25">
      <c r="A249" s="2" t="s">
        <v>1267</v>
      </c>
      <c r="B249" s="2" t="s">
        <v>1268</v>
      </c>
      <c r="C249" s="2" t="s">
        <v>29</v>
      </c>
      <c r="D249" s="2" t="s">
        <v>50</v>
      </c>
      <c r="E249" s="2" t="s">
        <v>44</v>
      </c>
      <c r="F249" s="2" t="s">
        <v>32</v>
      </c>
      <c r="G249" s="2" t="s">
        <v>22</v>
      </c>
      <c r="H249" s="2" t="s">
        <v>34</v>
      </c>
      <c r="I249" s="2" t="s">
        <v>75</v>
      </c>
      <c r="J249" s="2" t="s">
        <v>1269</v>
      </c>
      <c r="K249" s="2" t="s">
        <v>1273</v>
      </c>
      <c r="L249">
        <v>5</v>
      </c>
      <c r="M249" s="1">
        <v>345000</v>
      </c>
      <c r="N249">
        <v>4.5999999999999996</v>
      </c>
      <c r="O249">
        <v>5</v>
      </c>
      <c r="P249" s="2" t="s">
        <v>26</v>
      </c>
    </row>
    <row r="250" spans="1:16" x14ac:dyDescent="0.25">
      <c r="A250" s="2" t="s">
        <v>1270</v>
      </c>
      <c r="B250" s="2" t="s">
        <v>1271</v>
      </c>
      <c r="C250" s="2" t="s">
        <v>18</v>
      </c>
      <c r="D250" s="2" t="s">
        <v>50</v>
      </c>
      <c r="E250" s="2" t="s">
        <v>20</v>
      </c>
      <c r="F250" s="2" t="s">
        <v>32</v>
      </c>
      <c r="G250" s="2" t="s">
        <v>22</v>
      </c>
      <c r="H250" s="2" t="s">
        <v>23</v>
      </c>
      <c r="I250" s="2" t="s">
        <v>24</v>
      </c>
      <c r="J250" s="2" t="s">
        <v>1272</v>
      </c>
      <c r="K250" s="2" t="s">
        <v>1273</v>
      </c>
      <c r="L250">
        <v>3</v>
      </c>
      <c r="M250" s="1">
        <v>347000</v>
      </c>
      <c r="N250">
        <v>2.2000000000000002</v>
      </c>
      <c r="O250">
        <v>13</v>
      </c>
      <c r="P250" s="2" t="s">
        <v>53</v>
      </c>
    </row>
    <row r="251" spans="1:16" x14ac:dyDescent="0.25">
      <c r="A251" s="2" t="s">
        <v>1274</v>
      </c>
      <c r="B251" s="2" t="s">
        <v>1275</v>
      </c>
      <c r="C251" s="2" t="s">
        <v>29</v>
      </c>
      <c r="D251" s="2" t="s">
        <v>19</v>
      </c>
      <c r="E251" s="2" t="s">
        <v>20</v>
      </c>
      <c r="F251" s="2" t="s">
        <v>39</v>
      </c>
      <c r="G251" s="2" t="s">
        <v>33</v>
      </c>
      <c r="H251" s="2" t="s">
        <v>62</v>
      </c>
      <c r="I251" s="2" t="s">
        <v>57</v>
      </c>
      <c r="J251" s="2" t="s">
        <v>1248</v>
      </c>
      <c r="K251" s="2" t="s">
        <v>1279</v>
      </c>
      <c r="L251">
        <v>4</v>
      </c>
      <c r="M251" s="1">
        <v>105000</v>
      </c>
      <c r="N251">
        <v>2.4</v>
      </c>
      <c r="O251">
        <v>6</v>
      </c>
      <c r="P251" s="2" t="s">
        <v>26</v>
      </c>
    </row>
    <row r="252" spans="1:16" x14ac:dyDescent="0.25">
      <c r="A252" s="2" t="s">
        <v>1276</v>
      </c>
      <c r="B252" s="2" t="s">
        <v>1277</v>
      </c>
      <c r="C252" s="2" t="s">
        <v>29</v>
      </c>
      <c r="D252" s="2" t="s">
        <v>30</v>
      </c>
      <c r="E252" s="2" t="s">
        <v>20</v>
      </c>
      <c r="F252" s="2" t="s">
        <v>128</v>
      </c>
      <c r="G252" s="2" t="s">
        <v>33</v>
      </c>
      <c r="H252" s="2" t="s">
        <v>23</v>
      </c>
      <c r="I252" s="2" t="s">
        <v>57</v>
      </c>
      <c r="J252" s="2" t="s">
        <v>1278</v>
      </c>
      <c r="K252" s="2" t="s">
        <v>1279</v>
      </c>
      <c r="L252">
        <v>5</v>
      </c>
      <c r="M252" s="1">
        <v>401000</v>
      </c>
      <c r="N252">
        <v>2.9</v>
      </c>
      <c r="O252">
        <v>35</v>
      </c>
      <c r="P252" s="2" t="s">
        <v>53</v>
      </c>
    </row>
    <row r="253" spans="1:16" x14ac:dyDescent="0.25">
      <c r="A253" s="2" t="s">
        <v>1283</v>
      </c>
      <c r="B253" s="2" t="s">
        <v>1284</v>
      </c>
      <c r="C253" s="2" t="s">
        <v>18</v>
      </c>
      <c r="D253" s="2" t="s">
        <v>43</v>
      </c>
      <c r="E253" s="2" t="s">
        <v>44</v>
      </c>
      <c r="F253" s="2" t="s">
        <v>39</v>
      </c>
      <c r="G253" s="2" t="s">
        <v>22</v>
      </c>
      <c r="H253" s="2" t="s">
        <v>62</v>
      </c>
      <c r="I253" s="2" t="s">
        <v>24</v>
      </c>
      <c r="J253" s="2" t="s">
        <v>1285</v>
      </c>
      <c r="K253" s="2" t="s">
        <v>1295</v>
      </c>
      <c r="L253">
        <v>2</v>
      </c>
      <c r="M253" s="1">
        <v>109000</v>
      </c>
      <c r="N253">
        <v>4.3</v>
      </c>
      <c r="O253">
        <v>13</v>
      </c>
      <c r="P253" s="2" t="s">
        <v>26</v>
      </c>
    </row>
    <row r="254" spans="1:16" x14ac:dyDescent="0.25">
      <c r="A254" s="2" t="s">
        <v>1286</v>
      </c>
      <c r="B254" s="2" t="s">
        <v>1287</v>
      </c>
      <c r="C254" s="2" t="s">
        <v>18</v>
      </c>
      <c r="D254" s="2" t="s">
        <v>19</v>
      </c>
      <c r="E254" s="2" t="s">
        <v>20</v>
      </c>
      <c r="F254" s="2" t="s">
        <v>21</v>
      </c>
      <c r="G254" s="2" t="s">
        <v>22</v>
      </c>
      <c r="H254" s="2" t="s">
        <v>34</v>
      </c>
      <c r="I254" s="2" t="s">
        <v>57</v>
      </c>
      <c r="J254" s="2" t="s">
        <v>920</v>
      </c>
      <c r="K254" s="2" t="s">
        <v>1295</v>
      </c>
      <c r="L254">
        <v>5</v>
      </c>
      <c r="M254" s="1">
        <v>941000</v>
      </c>
      <c r="N254">
        <v>3.7</v>
      </c>
      <c r="O254">
        <v>9</v>
      </c>
      <c r="P254" s="2" t="s">
        <v>26</v>
      </c>
    </row>
    <row r="255" spans="1:16" x14ac:dyDescent="0.25">
      <c r="A255" s="2" t="s">
        <v>1290</v>
      </c>
      <c r="B255" s="2" t="s">
        <v>1291</v>
      </c>
      <c r="C255" s="2" t="s">
        <v>18</v>
      </c>
      <c r="D255" s="2" t="s">
        <v>30</v>
      </c>
      <c r="E255" s="2" t="s">
        <v>20</v>
      </c>
      <c r="F255" s="2" t="s">
        <v>32</v>
      </c>
      <c r="G255" s="2" t="s">
        <v>33</v>
      </c>
      <c r="H255" s="2" t="s">
        <v>23</v>
      </c>
      <c r="I255" s="2" t="s">
        <v>24</v>
      </c>
      <c r="J255" s="2" t="s">
        <v>132</v>
      </c>
      <c r="K255" s="2" t="s">
        <v>1295</v>
      </c>
      <c r="L255">
        <v>3</v>
      </c>
      <c r="M255" s="1">
        <v>306000</v>
      </c>
      <c r="N255">
        <v>4.4000000000000004</v>
      </c>
      <c r="O255">
        <v>13</v>
      </c>
      <c r="P255" s="2" t="s">
        <v>26</v>
      </c>
    </row>
    <row r="256" spans="1:16" x14ac:dyDescent="0.25">
      <c r="A256" s="2" t="s">
        <v>1292</v>
      </c>
      <c r="B256" s="2" t="s">
        <v>1293</v>
      </c>
      <c r="C256" s="2" t="s">
        <v>29</v>
      </c>
      <c r="D256" s="2" t="s">
        <v>79</v>
      </c>
      <c r="E256" s="2" t="s">
        <v>44</v>
      </c>
      <c r="F256" s="2" t="s">
        <v>32</v>
      </c>
      <c r="G256" s="2" t="s">
        <v>33</v>
      </c>
      <c r="H256" s="2" t="s">
        <v>34</v>
      </c>
      <c r="I256" s="2" t="s">
        <v>24</v>
      </c>
      <c r="J256" s="2" t="s">
        <v>1294</v>
      </c>
      <c r="K256" s="2" t="s">
        <v>1295</v>
      </c>
      <c r="L256">
        <v>2</v>
      </c>
      <c r="M256" s="1">
        <v>256000</v>
      </c>
      <c r="N256">
        <v>2.1</v>
      </c>
      <c r="O256">
        <v>9</v>
      </c>
      <c r="P256" s="2" t="s">
        <v>53</v>
      </c>
    </row>
    <row r="257" spans="1:16" x14ac:dyDescent="0.25">
      <c r="A257" s="2" t="s">
        <v>1296</v>
      </c>
      <c r="B257" s="2" t="s">
        <v>1297</v>
      </c>
      <c r="C257" s="2" t="s">
        <v>29</v>
      </c>
      <c r="D257" s="2" t="s">
        <v>79</v>
      </c>
      <c r="E257" s="2" t="s">
        <v>20</v>
      </c>
      <c r="F257" s="2" t="s">
        <v>128</v>
      </c>
      <c r="G257" s="2" t="s">
        <v>22</v>
      </c>
      <c r="H257" s="2" t="s">
        <v>34</v>
      </c>
      <c r="I257" s="2" t="s">
        <v>24</v>
      </c>
      <c r="J257" s="2" t="s">
        <v>603</v>
      </c>
      <c r="K257" s="2" t="s">
        <v>1314</v>
      </c>
      <c r="L257">
        <v>2</v>
      </c>
      <c r="M257" s="1">
        <v>382000</v>
      </c>
      <c r="N257">
        <v>4.8</v>
      </c>
      <c r="O257">
        <v>4</v>
      </c>
      <c r="P257" s="2" t="s">
        <v>26</v>
      </c>
    </row>
    <row r="258" spans="1:16" x14ac:dyDescent="0.25">
      <c r="A258" s="2" t="s">
        <v>1298</v>
      </c>
      <c r="B258" s="2" t="s">
        <v>1299</v>
      </c>
      <c r="C258" s="2" t="s">
        <v>18</v>
      </c>
      <c r="D258" s="2" t="s">
        <v>79</v>
      </c>
      <c r="E258" s="2" t="s">
        <v>20</v>
      </c>
      <c r="F258" s="2" t="s">
        <v>39</v>
      </c>
      <c r="G258" s="2" t="s">
        <v>33</v>
      </c>
      <c r="H258" s="2" t="s">
        <v>23</v>
      </c>
      <c r="I258" s="2" t="s">
        <v>57</v>
      </c>
      <c r="J258" s="2" t="s">
        <v>1300</v>
      </c>
      <c r="K258" s="2" t="s">
        <v>1314</v>
      </c>
      <c r="L258">
        <v>5</v>
      </c>
      <c r="M258" s="1">
        <v>94000</v>
      </c>
      <c r="N258">
        <v>3</v>
      </c>
      <c r="O258">
        <v>5</v>
      </c>
      <c r="P258" s="2" t="s">
        <v>26</v>
      </c>
    </row>
    <row r="259" spans="1:16" x14ac:dyDescent="0.25">
      <c r="A259" s="2" t="s">
        <v>1301</v>
      </c>
      <c r="B259" s="2" t="s">
        <v>1302</v>
      </c>
      <c r="C259" s="2" t="s">
        <v>18</v>
      </c>
      <c r="D259" s="2" t="s">
        <v>79</v>
      </c>
      <c r="E259" s="2" t="s">
        <v>31</v>
      </c>
      <c r="F259" s="2" t="s">
        <v>128</v>
      </c>
      <c r="G259" s="2" t="s">
        <v>22</v>
      </c>
      <c r="H259" s="2" t="s">
        <v>23</v>
      </c>
      <c r="I259" s="2" t="s">
        <v>24</v>
      </c>
      <c r="J259" s="2" t="s">
        <v>1303</v>
      </c>
      <c r="K259" s="2" t="s">
        <v>1314</v>
      </c>
      <c r="L259">
        <v>6</v>
      </c>
      <c r="M259" s="1">
        <v>562000</v>
      </c>
      <c r="N259">
        <v>3.3</v>
      </c>
      <c r="O259">
        <v>6</v>
      </c>
      <c r="P259" s="2" t="s">
        <v>26</v>
      </c>
    </row>
    <row r="260" spans="1:16" x14ac:dyDescent="0.25">
      <c r="A260" s="2" t="s">
        <v>1304</v>
      </c>
      <c r="B260" s="2" t="s">
        <v>1305</v>
      </c>
      <c r="C260" s="2" t="s">
        <v>29</v>
      </c>
      <c r="D260" s="2" t="s">
        <v>19</v>
      </c>
      <c r="E260" s="2" t="s">
        <v>20</v>
      </c>
      <c r="F260" s="2" t="s">
        <v>32</v>
      </c>
      <c r="G260" s="2" t="s">
        <v>22</v>
      </c>
      <c r="H260" s="2" t="s">
        <v>46</v>
      </c>
      <c r="I260" s="2" t="s">
        <v>35</v>
      </c>
      <c r="J260" s="2" t="s">
        <v>1306</v>
      </c>
      <c r="K260" s="2" t="s">
        <v>1314</v>
      </c>
      <c r="L260">
        <v>2</v>
      </c>
      <c r="M260" s="1">
        <v>385000</v>
      </c>
      <c r="N260">
        <v>3.8</v>
      </c>
      <c r="O260">
        <v>36</v>
      </c>
      <c r="P260" s="2" t="s">
        <v>26</v>
      </c>
    </row>
    <row r="261" spans="1:16" x14ac:dyDescent="0.25">
      <c r="A261" s="2" t="s">
        <v>1311</v>
      </c>
      <c r="B261" s="2" t="s">
        <v>1312</v>
      </c>
      <c r="C261" s="2" t="s">
        <v>29</v>
      </c>
      <c r="D261" s="2" t="s">
        <v>50</v>
      </c>
      <c r="E261" s="2" t="s">
        <v>20</v>
      </c>
      <c r="F261" s="2" t="s">
        <v>128</v>
      </c>
      <c r="G261" s="2" t="s">
        <v>69</v>
      </c>
      <c r="H261" s="2" t="s">
        <v>34</v>
      </c>
      <c r="I261" s="2" t="s">
        <v>24</v>
      </c>
      <c r="J261" s="2" t="s">
        <v>1313</v>
      </c>
      <c r="K261" s="2" t="s">
        <v>1314</v>
      </c>
      <c r="L261">
        <v>2</v>
      </c>
      <c r="M261" s="1">
        <v>522000</v>
      </c>
      <c r="N261">
        <v>2.1</v>
      </c>
      <c r="O261">
        <v>14</v>
      </c>
      <c r="P261" s="2" t="s">
        <v>72</v>
      </c>
    </row>
    <row r="262" spans="1:16" x14ac:dyDescent="0.25">
      <c r="A262" s="2" t="s">
        <v>1315</v>
      </c>
      <c r="B262" s="2" t="s">
        <v>1316</v>
      </c>
      <c r="C262" s="2" t="s">
        <v>29</v>
      </c>
      <c r="D262" s="2" t="s">
        <v>30</v>
      </c>
      <c r="E262" s="2" t="s">
        <v>20</v>
      </c>
      <c r="F262" s="2" t="s">
        <v>32</v>
      </c>
      <c r="G262" s="2" t="s">
        <v>22</v>
      </c>
      <c r="H262" s="2" t="s">
        <v>23</v>
      </c>
      <c r="I262" s="2" t="s">
        <v>24</v>
      </c>
      <c r="J262" s="2" t="s">
        <v>1317</v>
      </c>
      <c r="K262" s="2" t="s">
        <v>1318</v>
      </c>
      <c r="L262">
        <v>5</v>
      </c>
      <c r="M262" s="1">
        <v>245000</v>
      </c>
      <c r="N262">
        <v>2.2999999999999998</v>
      </c>
      <c r="O262">
        <v>12</v>
      </c>
      <c r="P262" s="2" t="s">
        <v>53</v>
      </c>
    </row>
    <row r="263" spans="1:16" x14ac:dyDescent="0.25">
      <c r="A263" s="2" t="s">
        <v>1319</v>
      </c>
      <c r="B263" s="2" t="s">
        <v>1320</v>
      </c>
      <c r="C263" s="2" t="s">
        <v>29</v>
      </c>
      <c r="D263" s="2" t="s">
        <v>43</v>
      </c>
      <c r="E263" s="2" t="s">
        <v>20</v>
      </c>
      <c r="F263" s="2" t="s">
        <v>21</v>
      </c>
      <c r="G263" s="2" t="s">
        <v>69</v>
      </c>
      <c r="H263" s="2" t="s">
        <v>34</v>
      </c>
      <c r="I263" s="2" t="s">
        <v>57</v>
      </c>
      <c r="J263" s="2" t="s">
        <v>1321</v>
      </c>
      <c r="K263" s="2" t="s">
        <v>1327</v>
      </c>
      <c r="L263">
        <v>4</v>
      </c>
      <c r="M263" s="1">
        <v>600000</v>
      </c>
      <c r="N263">
        <v>4.2</v>
      </c>
      <c r="O263">
        <v>9</v>
      </c>
      <c r="P263" s="2" t="s">
        <v>26</v>
      </c>
    </row>
    <row r="264" spans="1:16" x14ac:dyDescent="0.25">
      <c r="A264" s="2" t="s">
        <v>1322</v>
      </c>
      <c r="B264" s="2" t="s">
        <v>1323</v>
      </c>
      <c r="C264" s="2" t="s">
        <v>29</v>
      </c>
      <c r="D264" s="2" t="s">
        <v>30</v>
      </c>
      <c r="E264" s="2" t="s">
        <v>20</v>
      </c>
      <c r="F264" s="2" t="s">
        <v>128</v>
      </c>
      <c r="G264" s="2" t="s">
        <v>22</v>
      </c>
      <c r="H264" s="2" t="s">
        <v>23</v>
      </c>
      <c r="I264" s="2" t="s">
        <v>24</v>
      </c>
      <c r="J264" s="2" t="s">
        <v>1224</v>
      </c>
      <c r="K264" s="2" t="s">
        <v>1327</v>
      </c>
      <c r="L264">
        <v>6</v>
      </c>
      <c r="M264" s="1">
        <v>453000</v>
      </c>
      <c r="N264">
        <v>3.2</v>
      </c>
      <c r="O264">
        <v>0</v>
      </c>
      <c r="P264" s="2" t="s">
        <v>26</v>
      </c>
    </row>
    <row r="265" spans="1:16" x14ac:dyDescent="0.25">
      <c r="A265" s="2" t="s">
        <v>1324</v>
      </c>
      <c r="B265" s="2" t="s">
        <v>1325</v>
      </c>
      <c r="C265" s="2" t="s">
        <v>18</v>
      </c>
      <c r="D265" s="2" t="s">
        <v>79</v>
      </c>
      <c r="E265" s="2" t="s">
        <v>44</v>
      </c>
      <c r="F265" s="2" t="s">
        <v>32</v>
      </c>
      <c r="G265" s="2" t="s">
        <v>80</v>
      </c>
      <c r="H265" s="2" t="s">
        <v>62</v>
      </c>
      <c r="I265" s="2" t="s">
        <v>24</v>
      </c>
      <c r="J265" s="2" t="s">
        <v>1326</v>
      </c>
      <c r="K265" s="2" t="s">
        <v>1327</v>
      </c>
      <c r="L265">
        <v>3</v>
      </c>
      <c r="M265" s="1">
        <v>293000</v>
      </c>
      <c r="N265">
        <v>4.4000000000000004</v>
      </c>
      <c r="O265">
        <v>0</v>
      </c>
      <c r="P265" s="2" t="s">
        <v>72</v>
      </c>
    </row>
    <row r="266" spans="1:16" x14ac:dyDescent="0.25">
      <c r="A266" s="2" t="s">
        <v>1328</v>
      </c>
      <c r="B266" s="2" t="s">
        <v>1329</v>
      </c>
      <c r="C266" s="2" t="s">
        <v>29</v>
      </c>
      <c r="D266" s="2" t="s">
        <v>30</v>
      </c>
      <c r="E266" s="2" t="s">
        <v>20</v>
      </c>
      <c r="F266" s="2" t="s">
        <v>39</v>
      </c>
      <c r="G266" s="2" t="s">
        <v>22</v>
      </c>
      <c r="H266" s="2" t="s">
        <v>34</v>
      </c>
      <c r="I266" s="2" t="s">
        <v>24</v>
      </c>
      <c r="J266" s="2" t="s">
        <v>1330</v>
      </c>
      <c r="K266" s="2" t="s">
        <v>1266</v>
      </c>
      <c r="L266">
        <v>2</v>
      </c>
      <c r="M266" s="1">
        <v>118000</v>
      </c>
      <c r="N266">
        <v>2.6</v>
      </c>
      <c r="O266">
        <v>23</v>
      </c>
      <c r="P266" s="2" t="s">
        <v>26</v>
      </c>
    </row>
    <row r="267" spans="1:16" x14ac:dyDescent="0.25">
      <c r="A267" s="2" t="s">
        <v>1334</v>
      </c>
      <c r="B267" s="2" t="s">
        <v>1335</v>
      </c>
      <c r="C267" s="2" t="s">
        <v>29</v>
      </c>
      <c r="D267" s="2" t="s">
        <v>30</v>
      </c>
      <c r="E267" s="2" t="s">
        <v>20</v>
      </c>
      <c r="F267" s="2" t="s">
        <v>32</v>
      </c>
      <c r="G267" s="2" t="s">
        <v>33</v>
      </c>
      <c r="H267" s="2" t="s">
        <v>23</v>
      </c>
      <c r="I267" s="2" t="s">
        <v>24</v>
      </c>
      <c r="J267" s="2" t="s">
        <v>1336</v>
      </c>
      <c r="K267" s="2" t="s">
        <v>1266</v>
      </c>
      <c r="L267">
        <v>3</v>
      </c>
      <c r="M267" s="1">
        <v>297000</v>
      </c>
      <c r="N267">
        <v>3.7</v>
      </c>
      <c r="O267">
        <v>4</v>
      </c>
      <c r="P267" s="2" t="s">
        <v>114</v>
      </c>
    </row>
    <row r="268" spans="1:16" x14ac:dyDescent="0.25">
      <c r="A268" s="2" t="s">
        <v>1342</v>
      </c>
      <c r="B268" s="2" t="s">
        <v>1343</v>
      </c>
      <c r="C268" s="2" t="s">
        <v>18</v>
      </c>
      <c r="D268" s="2" t="s">
        <v>50</v>
      </c>
      <c r="E268" s="2" t="s">
        <v>20</v>
      </c>
      <c r="F268" s="2" t="s">
        <v>32</v>
      </c>
      <c r="G268" s="2" t="s">
        <v>22</v>
      </c>
      <c r="H268" s="2" t="s">
        <v>46</v>
      </c>
      <c r="I268" s="2" t="s">
        <v>57</v>
      </c>
      <c r="J268" s="2" t="s">
        <v>1344</v>
      </c>
      <c r="K268" s="2" t="s">
        <v>1357</v>
      </c>
      <c r="L268">
        <v>3</v>
      </c>
      <c r="M268" s="1">
        <v>220000</v>
      </c>
      <c r="N268">
        <v>2.8</v>
      </c>
      <c r="O268">
        <v>9</v>
      </c>
      <c r="P268" s="2" t="s">
        <v>26</v>
      </c>
    </row>
    <row r="269" spans="1:16" x14ac:dyDescent="0.25">
      <c r="A269" s="2" t="s">
        <v>1345</v>
      </c>
      <c r="B269" s="2" t="s">
        <v>1346</v>
      </c>
      <c r="C269" s="2" t="s">
        <v>18</v>
      </c>
      <c r="D269" s="2" t="s">
        <v>30</v>
      </c>
      <c r="E269" s="2" t="s">
        <v>20</v>
      </c>
      <c r="F269" s="2" t="s">
        <v>39</v>
      </c>
      <c r="G269" s="2" t="s">
        <v>22</v>
      </c>
      <c r="H269" s="2" t="s">
        <v>23</v>
      </c>
      <c r="I269" s="2" t="s">
        <v>171</v>
      </c>
      <c r="J269" s="2" t="s">
        <v>1347</v>
      </c>
      <c r="K269" s="2" t="s">
        <v>1357</v>
      </c>
      <c r="L269">
        <v>5</v>
      </c>
      <c r="M269" s="1">
        <v>153000</v>
      </c>
      <c r="N269">
        <v>2.7</v>
      </c>
      <c r="O269">
        <v>13</v>
      </c>
      <c r="P269" s="2" t="s">
        <v>26</v>
      </c>
    </row>
    <row r="270" spans="1:16" x14ac:dyDescent="0.25">
      <c r="A270" s="2" t="s">
        <v>1354</v>
      </c>
      <c r="B270" s="2" t="s">
        <v>1355</v>
      </c>
      <c r="C270" s="2" t="s">
        <v>29</v>
      </c>
      <c r="D270" s="2" t="s">
        <v>50</v>
      </c>
      <c r="E270" s="2" t="s">
        <v>20</v>
      </c>
      <c r="F270" s="2" t="s">
        <v>128</v>
      </c>
      <c r="G270" s="2" t="s">
        <v>80</v>
      </c>
      <c r="H270" s="2" t="s">
        <v>34</v>
      </c>
      <c r="I270" s="2" t="s">
        <v>35</v>
      </c>
      <c r="J270" s="2" t="s">
        <v>1356</v>
      </c>
      <c r="K270" s="2" t="s">
        <v>1357</v>
      </c>
      <c r="L270">
        <v>3</v>
      </c>
      <c r="M270" s="1">
        <v>512000</v>
      </c>
      <c r="N270">
        <v>3.5</v>
      </c>
      <c r="O270">
        <v>33</v>
      </c>
      <c r="P270" s="2" t="s">
        <v>72</v>
      </c>
    </row>
    <row r="271" spans="1:16" x14ac:dyDescent="0.25">
      <c r="A271" s="2" t="s">
        <v>1361</v>
      </c>
      <c r="B271" s="2" t="s">
        <v>1362</v>
      </c>
      <c r="C271" s="2" t="s">
        <v>29</v>
      </c>
      <c r="D271" s="2" t="s">
        <v>50</v>
      </c>
      <c r="E271" s="2" t="s">
        <v>20</v>
      </c>
      <c r="F271" s="2" t="s">
        <v>21</v>
      </c>
      <c r="G271" s="2" t="s">
        <v>69</v>
      </c>
      <c r="H271" s="2" t="s">
        <v>34</v>
      </c>
      <c r="I271" s="2" t="s">
        <v>24</v>
      </c>
      <c r="J271" s="2" t="s">
        <v>1363</v>
      </c>
      <c r="K271" s="2" t="s">
        <v>1210</v>
      </c>
      <c r="L271">
        <v>6</v>
      </c>
      <c r="M271" s="1">
        <v>678000</v>
      </c>
      <c r="N271">
        <v>4.5999999999999996</v>
      </c>
      <c r="O271">
        <v>8</v>
      </c>
      <c r="P271" s="2" t="s">
        <v>53</v>
      </c>
    </row>
    <row r="272" spans="1:16" x14ac:dyDescent="0.25">
      <c r="A272" s="2" t="s">
        <v>1367</v>
      </c>
      <c r="B272" s="2" t="s">
        <v>1368</v>
      </c>
      <c r="C272" s="2" t="s">
        <v>29</v>
      </c>
      <c r="D272" s="2" t="s">
        <v>30</v>
      </c>
      <c r="E272" s="2" t="s">
        <v>44</v>
      </c>
      <c r="F272" s="2" t="s">
        <v>21</v>
      </c>
      <c r="G272" s="2" t="s">
        <v>33</v>
      </c>
      <c r="H272" s="2" t="s">
        <v>23</v>
      </c>
      <c r="I272" s="2" t="s">
        <v>75</v>
      </c>
      <c r="J272" s="2" t="s">
        <v>688</v>
      </c>
      <c r="K272" s="2" t="s">
        <v>1369</v>
      </c>
      <c r="L272">
        <v>6</v>
      </c>
      <c r="M272" s="1">
        <v>761000</v>
      </c>
      <c r="N272">
        <v>4.4000000000000004</v>
      </c>
      <c r="O272">
        <v>3</v>
      </c>
      <c r="P272" s="2" t="s">
        <v>114</v>
      </c>
    </row>
    <row r="273" spans="1:16" x14ac:dyDescent="0.25">
      <c r="A273" s="2" t="s">
        <v>1383</v>
      </c>
      <c r="B273" s="2" t="s">
        <v>1384</v>
      </c>
      <c r="C273" s="2" t="s">
        <v>29</v>
      </c>
      <c r="D273" s="2" t="s">
        <v>30</v>
      </c>
      <c r="E273" s="2" t="s">
        <v>20</v>
      </c>
      <c r="F273" s="2" t="s">
        <v>128</v>
      </c>
      <c r="G273" s="2" t="s">
        <v>69</v>
      </c>
      <c r="H273" s="2" t="s">
        <v>23</v>
      </c>
      <c r="I273" s="2" t="s">
        <v>24</v>
      </c>
      <c r="J273" s="2" t="s">
        <v>1385</v>
      </c>
      <c r="K273" s="2" t="s">
        <v>1392</v>
      </c>
      <c r="L273">
        <v>4</v>
      </c>
      <c r="M273" s="1">
        <v>397000</v>
      </c>
      <c r="N273">
        <v>4.5999999999999996</v>
      </c>
      <c r="O273">
        <v>11</v>
      </c>
      <c r="P273" s="2" t="s">
        <v>26</v>
      </c>
    </row>
    <row r="274" spans="1:16" x14ac:dyDescent="0.25">
      <c r="A274" s="2" t="s">
        <v>1389</v>
      </c>
      <c r="B274" s="2" t="s">
        <v>1390</v>
      </c>
      <c r="C274" s="2" t="s">
        <v>18</v>
      </c>
      <c r="D274" s="2" t="s">
        <v>50</v>
      </c>
      <c r="E274" s="2" t="s">
        <v>20</v>
      </c>
      <c r="F274" s="2" t="s">
        <v>39</v>
      </c>
      <c r="G274" s="2" t="s">
        <v>33</v>
      </c>
      <c r="H274" s="2" t="s">
        <v>46</v>
      </c>
      <c r="I274" s="2" t="s">
        <v>57</v>
      </c>
      <c r="J274" s="2" t="s">
        <v>1391</v>
      </c>
      <c r="K274" s="2" t="s">
        <v>1392</v>
      </c>
      <c r="L274">
        <v>4</v>
      </c>
      <c r="M274" s="1">
        <v>102000</v>
      </c>
      <c r="N274">
        <v>2.8</v>
      </c>
      <c r="O274">
        <v>12</v>
      </c>
      <c r="P274" s="2" t="s">
        <v>72</v>
      </c>
    </row>
    <row r="275" spans="1:16" x14ac:dyDescent="0.25">
      <c r="A275" s="2" t="s">
        <v>1393</v>
      </c>
      <c r="B275" s="2" t="s">
        <v>585</v>
      </c>
      <c r="C275" s="2" t="s">
        <v>18</v>
      </c>
      <c r="D275" s="2" t="s">
        <v>79</v>
      </c>
      <c r="E275" s="2" t="s">
        <v>20</v>
      </c>
      <c r="F275" s="2" t="s">
        <v>128</v>
      </c>
      <c r="G275" s="2" t="s">
        <v>33</v>
      </c>
      <c r="H275" s="2" t="s">
        <v>23</v>
      </c>
      <c r="I275" s="2" t="s">
        <v>171</v>
      </c>
      <c r="J275" s="2" t="s">
        <v>51</v>
      </c>
      <c r="K275" s="2" t="s">
        <v>1394</v>
      </c>
      <c r="L275">
        <v>5</v>
      </c>
      <c r="M275" s="1">
        <v>376000</v>
      </c>
      <c r="N275">
        <v>2.8</v>
      </c>
      <c r="O275">
        <v>2</v>
      </c>
      <c r="P275" s="2" t="s">
        <v>53</v>
      </c>
    </row>
    <row r="276" spans="1:16" x14ac:dyDescent="0.25">
      <c r="A276" s="2" t="s">
        <v>1395</v>
      </c>
      <c r="B276" s="2" t="s">
        <v>1396</v>
      </c>
      <c r="C276" s="2" t="s">
        <v>18</v>
      </c>
      <c r="D276" s="2" t="s">
        <v>43</v>
      </c>
      <c r="E276" s="2" t="s">
        <v>44</v>
      </c>
      <c r="F276" s="2" t="s">
        <v>128</v>
      </c>
      <c r="G276" s="2" t="s">
        <v>22</v>
      </c>
      <c r="H276" s="2" t="s">
        <v>23</v>
      </c>
      <c r="I276" s="2" t="s">
        <v>35</v>
      </c>
      <c r="J276" s="2" t="s">
        <v>1397</v>
      </c>
      <c r="K276" s="2" t="s">
        <v>1398</v>
      </c>
      <c r="L276">
        <v>7</v>
      </c>
      <c r="M276" s="1">
        <v>350000</v>
      </c>
      <c r="N276">
        <v>3.5</v>
      </c>
      <c r="O276">
        <v>2</v>
      </c>
      <c r="P276" s="2" t="s">
        <v>72</v>
      </c>
    </row>
    <row r="277" spans="1:16" x14ac:dyDescent="0.25">
      <c r="A277" s="2" t="s">
        <v>1399</v>
      </c>
      <c r="B277" s="2" t="s">
        <v>1400</v>
      </c>
      <c r="C277" s="2" t="s">
        <v>18</v>
      </c>
      <c r="D277" s="2" t="s">
        <v>43</v>
      </c>
      <c r="E277" s="2" t="s">
        <v>44</v>
      </c>
      <c r="F277" s="2" t="s">
        <v>39</v>
      </c>
      <c r="G277" s="2" t="s">
        <v>33</v>
      </c>
      <c r="H277" s="2" t="s">
        <v>23</v>
      </c>
      <c r="I277" s="2" t="s">
        <v>171</v>
      </c>
      <c r="J277" s="2" t="s">
        <v>1401</v>
      </c>
      <c r="K277" s="2" t="s">
        <v>1456</v>
      </c>
      <c r="L277">
        <v>4</v>
      </c>
      <c r="M277" s="1">
        <v>92000</v>
      </c>
      <c r="N277">
        <v>3.8</v>
      </c>
      <c r="O277">
        <v>9</v>
      </c>
      <c r="P277" s="2" t="s">
        <v>26</v>
      </c>
    </row>
    <row r="278" spans="1:16" x14ac:dyDescent="0.25">
      <c r="A278" s="2" t="s">
        <v>1402</v>
      </c>
      <c r="B278" s="2" t="s">
        <v>1403</v>
      </c>
      <c r="C278" s="2" t="s">
        <v>29</v>
      </c>
      <c r="D278" s="2" t="s">
        <v>50</v>
      </c>
      <c r="E278" s="2" t="s">
        <v>20</v>
      </c>
      <c r="F278" s="2" t="s">
        <v>32</v>
      </c>
      <c r="G278" s="2" t="s">
        <v>22</v>
      </c>
      <c r="H278" s="2" t="s">
        <v>46</v>
      </c>
      <c r="I278" s="2" t="s">
        <v>57</v>
      </c>
      <c r="J278" s="2" t="s">
        <v>1404</v>
      </c>
      <c r="K278" s="2" t="s">
        <v>1456</v>
      </c>
      <c r="L278">
        <v>5</v>
      </c>
      <c r="M278" s="1">
        <v>291000</v>
      </c>
      <c r="N278">
        <v>4.7</v>
      </c>
      <c r="O278">
        <v>3</v>
      </c>
      <c r="P278" s="2" t="s">
        <v>26</v>
      </c>
    </row>
    <row r="279" spans="1:16" x14ac:dyDescent="0.25">
      <c r="A279" s="2" t="s">
        <v>1405</v>
      </c>
      <c r="B279" s="2" t="s">
        <v>181</v>
      </c>
      <c r="C279" s="2" t="s">
        <v>18</v>
      </c>
      <c r="D279" s="2" t="s">
        <v>30</v>
      </c>
      <c r="E279" s="2" t="s">
        <v>20</v>
      </c>
      <c r="F279" s="2" t="s">
        <v>32</v>
      </c>
      <c r="G279" s="2" t="s">
        <v>22</v>
      </c>
      <c r="H279" s="2" t="s">
        <v>34</v>
      </c>
      <c r="I279" s="2" t="s">
        <v>75</v>
      </c>
      <c r="J279" s="2" t="s">
        <v>1406</v>
      </c>
      <c r="K279" s="2" t="s">
        <v>1456</v>
      </c>
      <c r="L279">
        <v>4</v>
      </c>
      <c r="M279" s="1">
        <v>289000</v>
      </c>
      <c r="N279">
        <v>2</v>
      </c>
      <c r="O279">
        <v>8</v>
      </c>
      <c r="P279" s="2" t="s">
        <v>26</v>
      </c>
    </row>
    <row r="280" spans="1:16" x14ac:dyDescent="0.25">
      <c r="A280" s="2" t="s">
        <v>1407</v>
      </c>
      <c r="B280" s="2" t="s">
        <v>1408</v>
      </c>
      <c r="C280" s="2" t="s">
        <v>18</v>
      </c>
      <c r="D280" s="2" t="s">
        <v>43</v>
      </c>
      <c r="E280" s="2" t="s">
        <v>44</v>
      </c>
      <c r="F280" s="2" t="s">
        <v>21</v>
      </c>
      <c r="G280" s="2" t="s">
        <v>80</v>
      </c>
      <c r="H280" s="2" t="s">
        <v>46</v>
      </c>
      <c r="I280" s="2" t="s">
        <v>35</v>
      </c>
      <c r="J280" s="2" t="s">
        <v>1003</v>
      </c>
      <c r="K280" s="2" t="s">
        <v>1456</v>
      </c>
      <c r="L280">
        <v>3</v>
      </c>
      <c r="M280" s="1">
        <v>790000</v>
      </c>
      <c r="N280">
        <v>4.4000000000000004</v>
      </c>
      <c r="O280">
        <v>13</v>
      </c>
      <c r="P280" s="2" t="s">
        <v>26</v>
      </c>
    </row>
    <row r="281" spans="1:16" x14ac:dyDescent="0.25">
      <c r="A281" s="2" t="s">
        <v>1411</v>
      </c>
      <c r="B281" s="2" t="s">
        <v>1412</v>
      </c>
      <c r="C281" s="2" t="s">
        <v>18</v>
      </c>
      <c r="D281" s="2" t="s">
        <v>50</v>
      </c>
      <c r="E281" s="2" t="s">
        <v>20</v>
      </c>
      <c r="F281" s="2" t="s">
        <v>39</v>
      </c>
      <c r="G281" s="2" t="s">
        <v>80</v>
      </c>
      <c r="H281" s="2" t="s">
        <v>23</v>
      </c>
      <c r="I281" s="2" t="s">
        <v>57</v>
      </c>
      <c r="J281" s="2" t="s">
        <v>1413</v>
      </c>
      <c r="K281" s="2" t="s">
        <v>1456</v>
      </c>
      <c r="L281">
        <v>3</v>
      </c>
      <c r="M281" s="1">
        <v>89000</v>
      </c>
      <c r="N281">
        <v>4.0999999999999996</v>
      </c>
      <c r="O281">
        <v>0</v>
      </c>
      <c r="P281" s="2" t="s">
        <v>26</v>
      </c>
    </row>
    <row r="282" spans="1:16" x14ac:dyDescent="0.25">
      <c r="A282" s="2" t="s">
        <v>1414</v>
      </c>
      <c r="B282" s="2" t="s">
        <v>1415</v>
      </c>
      <c r="C282" s="2" t="s">
        <v>29</v>
      </c>
      <c r="D282" s="2" t="s">
        <v>50</v>
      </c>
      <c r="E282" s="2" t="s">
        <v>20</v>
      </c>
      <c r="F282" s="2" t="s">
        <v>39</v>
      </c>
      <c r="G282" s="2" t="s">
        <v>33</v>
      </c>
      <c r="H282" s="2" t="s">
        <v>23</v>
      </c>
      <c r="I282" s="2" t="s">
        <v>57</v>
      </c>
      <c r="J282" s="2" t="s">
        <v>797</v>
      </c>
      <c r="K282" s="2" t="s">
        <v>1456</v>
      </c>
      <c r="L282">
        <v>3</v>
      </c>
      <c r="M282" s="1">
        <v>143000</v>
      </c>
      <c r="N282">
        <v>3.2</v>
      </c>
      <c r="O282">
        <v>11</v>
      </c>
      <c r="P282" s="2" t="s">
        <v>26</v>
      </c>
    </row>
    <row r="283" spans="1:16" x14ac:dyDescent="0.25">
      <c r="A283" s="2" t="s">
        <v>1419</v>
      </c>
      <c r="B283" s="2" t="s">
        <v>1420</v>
      </c>
      <c r="C283" s="2" t="s">
        <v>18</v>
      </c>
      <c r="D283" s="2" t="s">
        <v>43</v>
      </c>
      <c r="E283" s="2" t="s">
        <v>20</v>
      </c>
      <c r="F283" s="2" t="s">
        <v>32</v>
      </c>
      <c r="G283" s="2" t="s">
        <v>22</v>
      </c>
      <c r="H283" s="2" t="s">
        <v>34</v>
      </c>
      <c r="I283" s="2" t="s">
        <v>57</v>
      </c>
      <c r="J283" s="2" t="s">
        <v>1421</v>
      </c>
      <c r="K283" s="2" t="s">
        <v>1456</v>
      </c>
      <c r="L283">
        <v>6</v>
      </c>
      <c r="M283" s="1">
        <v>236000</v>
      </c>
      <c r="N283">
        <v>3.2</v>
      </c>
      <c r="O283">
        <v>29</v>
      </c>
      <c r="P283" s="2" t="s">
        <v>26</v>
      </c>
    </row>
    <row r="284" spans="1:16" x14ac:dyDescent="0.25">
      <c r="A284" s="2" t="s">
        <v>1422</v>
      </c>
      <c r="B284" s="2" t="s">
        <v>869</v>
      </c>
      <c r="C284" s="2" t="s">
        <v>18</v>
      </c>
      <c r="D284" s="2" t="s">
        <v>50</v>
      </c>
      <c r="E284" s="2" t="s">
        <v>20</v>
      </c>
      <c r="F284" s="2" t="s">
        <v>128</v>
      </c>
      <c r="G284" s="2" t="s">
        <v>80</v>
      </c>
      <c r="H284" s="2" t="s">
        <v>23</v>
      </c>
      <c r="I284" s="2" t="s">
        <v>35</v>
      </c>
      <c r="J284" s="2" t="s">
        <v>1423</v>
      </c>
      <c r="K284" s="2" t="s">
        <v>1456</v>
      </c>
      <c r="L284">
        <v>5</v>
      </c>
      <c r="M284" s="1">
        <v>393000</v>
      </c>
      <c r="N284">
        <v>3.2</v>
      </c>
      <c r="O284">
        <v>14</v>
      </c>
      <c r="P284" s="2" t="s">
        <v>26</v>
      </c>
    </row>
    <row r="285" spans="1:16" x14ac:dyDescent="0.25">
      <c r="A285" s="2" t="s">
        <v>1435</v>
      </c>
      <c r="B285" s="2" t="s">
        <v>1436</v>
      </c>
      <c r="C285" s="2" t="s">
        <v>18</v>
      </c>
      <c r="D285" s="2" t="s">
        <v>30</v>
      </c>
      <c r="E285" s="2" t="s">
        <v>20</v>
      </c>
      <c r="F285" s="2" t="s">
        <v>32</v>
      </c>
      <c r="G285" s="2" t="s">
        <v>22</v>
      </c>
      <c r="H285" s="2" t="s">
        <v>23</v>
      </c>
      <c r="I285" s="2" t="s">
        <v>35</v>
      </c>
      <c r="J285" s="2" t="s">
        <v>286</v>
      </c>
      <c r="K285" s="2" t="s">
        <v>1456</v>
      </c>
      <c r="L285">
        <v>3</v>
      </c>
      <c r="M285" s="1">
        <v>198000</v>
      </c>
      <c r="N285">
        <v>2.6</v>
      </c>
      <c r="O285">
        <v>8</v>
      </c>
      <c r="P285" s="2" t="s">
        <v>26</v>
      </c>
    </row>
    <row r="286" spans="1:16" x14ac:dyDescent="0.25">
      <c r="A286" s="2" t="s">
        <v>1440</v>
      </c>
      <c r="B286" s="2" t="s">
        <v>1441</v>
      </c>
      <c r="C286" s="2" t="s">
        <v>29</v>
      </c>
      <c r="D286" s="2" t="s">
        <v>79</v>
      </c>
      <c r="E286" s="2" t="s">
        <v>44</v>
      </c>
      <c r="F286" s="2" t="s">
        <v>128</v>
      </c>
      <c r="G286" s="2" t="s">
        <v>22</v>
      </c>
      <c r="H286" s="2" t="s">
        <v>34</v>
      </c>
      <c r="I286" s="2" t="s">
        <v>57</v>
      </c>
      <c r="J286" s="2" t="s">
        <v>286</v>
      </c>
      <c r="K286" s="2" t="s">
        <v>1456</v>
      </c>
      <c r="L286">
        <v>3</v>
      </c>
      <c r="M286" s="1">
        <v>576000</v>
      </c>
      <c r="N286">
        <v>2.5</v>
      </c>
      <c r="O286">
        <v>7</v>
      </c>
      <c r="P286" s="2" t="s">
        <v>26</v>
      </c>
    </row>
    <row r="287" spans="1:16" x14ac:dyDescent="0.25">
      <c r="A287" s="2" t="s">
        <v>1442</v>
      </c>
      <c r="B287" s="2" t="s">
        <v>1443</v>
      </c>
      <c r="C287" s="2" t="s">
        <v>18</v>
      </c>
      <c r="D287" s="2" t="s">
        <v>50</v>
      </c>
      <c r="E287" s="2" t="s">
        <v>20</v>
      </c>
      <c r="F287" s="2" t="s">
        <v>39</v>
      </c>
      <c r="G287" s="2" t="s">
        <v>22</v>
      </c>
      <c r="H287" s="2" t="s">
        <v>23</v>
      </c>
      <c r="I287" s="2" t="s">
        <v>24</v>
      </c>
      <c r="J287" s="2" t="s">
        <v>216</v>
      </c>
      <c r="K287" s="2" t="s">
        <v>1456</v>
      </c>
      <c r="L287">
        <v>5</v>
      </c>
      <c r="M287" s="1">
        <v>156000</v>
      </c>
      <c r="N287">
        <v>2.9</v>
      </c>
      <c r="O287">
        <v>40</v>
      </c>
      <c r="P287" s="2" t="s">
        <v>26</v>
      </c>
    </row>
    <row r="288" spans="1:16" x14ac:dyDescent="0.25">
      <c r="A288" s="2" t="s">
        <v>1446</v>
      </c>
      <c r="B288" s="2" t="s">
        <v>1447</v>
      </c>
      <c r="C288" s="2" t="s">
        <v>29</v>
      </c>
      <c r="D288" s="2" t="s">
        <v>50</v>
      </c>
      <c r="E288" s="2" t="s">
        <v>20</v>
      </c>
      <c r="F288" s="2" t="s">
        <v>32</v>
      </c>
      <c r="G288" s="2" t="s">
        <v>22</v>
      </c>
      <c r="H288" s="2" t="s">
        <v>46</v>
      </c>
      <c r="I288" s="2" t="s">
        <v>57</v>
      </c>
      <c r="J288" s="2" t="s">
        <v>1448</v>
      </c>
      <c r="K288" s="2" t="s">
        <v>1456</v>
      </c>
      <c r="L288">
        <v>2</v>
      </c>
      <c r="M288" s="1">
        <v>331000</v>
      </c>
      <c r="N288">
        <v>4.3</v>
      </c>
      <c r="O288">
        <v>0</v>
      </c>
      <c r="P288" s="2" t="s">
        <v>26</v>
      </c>
    </row>
    <row r="289" spans="1:16" x14ac:dyDescent="0.25">
      <c r="A289" s="2" t="s">
        <v>1449</v>
      </c>
      <c r="B289" s="2" t="s">
        <v>1450</v>
      </c>
      <c r="C289" s="2" t="s">
        <v>29</v>
      </c>
      <c r="D289" s="2" t="s">
        <v>30</v>
      </c>
      <c r="E289" s="2" t="s">
        <v>20</v>
      </c>
      <c r="F289" s="2" t="s">
        <v>32</v>
      </c>
      <c r="G289" s="2" t="s">
        <v>33</v>
      </c>
      <c r="H289" s="2" t="s">
        <v>46</v>
      </c>
      <c r="I289" s="2" t="s">
        <v>24</v>
      </c>
      <c r="J289" s="2" t="s">
        <v>1451</v>
      </c>
      <c r="K289" s="2" t="s">
        <v>1456</v>
      </c>
      <c r="L289">
        <v>4</v>
      </c>
      <c r="M289" s="1">
        <v>346000</v>
      </c>
      <c r="N289">
        <v>4.4000000000000004</v>
      </c>
      <c r="O289">
        <v>29</v>
      </c>
      <c r="P289" s="2" t="s">
        <v>26</v>
      </c>
    </row>
    <row r="290" spans="1:16" x14ac:dyDescent="0.25">
      <c r="A290" s="2" t="s">
        <v>1452</v>
      </c>
      <c r="B290" s="2" t="s">
        <v>374</v>
      </c>
      <c r="C290" s="2" t="s">
        <v>29</v>
      </c>
      <c r="D290" s="2" t="s">
        <v>50</v>
      </c>
      <c r="E290" s="2" t="s">
        <v>44</v>
      </c>
      <c r="F290" s="2" t="s">
        <v>128</v>
      </c>
      <c r="G290" s="2" t="s">
        <v>22</v>
      </c>
      <c r="H290" s="2" t="s">
        <v>23</v>
      </c>
      <c r="I290" s="2" t="s">
        <v>57</v>
      </c>
      <c r="J290" s="2" t="s">
        <v>1131</v>
      </c>
      <c r="K290" s="2" t="s">
        <v>1456</v>
      </c>
      <c r="L290">
        <v>4</v>
      </c>
      <c r="M290" s="1">
        <v>582000</v>
      </c>
      <c r="N290">
        <v>4.4000000000000004</v>
      </c>
      <c r="O290">
        <v>7</v>
      </c>
      <c r="P290" s="2" t="s">
        <v>26</v>
      </c>
    </row>
    <row r="291" spans="1:16" x14ac:dyDescent="0.25">
      <c r="A291" s="2" t="s">
        <v>1453</v>
      </c>
      <c r="B291" s="2" t="s">
        <v>1454</v>
      </c>
      <c r="C291" s="2" t="s">
        <v>18</v>
      </c>
      <c r="D291" s="2" t="s">
        <v>30</v>
      </c>
      <c r="E291" s="2" t="s">
        <v>20</v>
      </c>
      <c r="F291" s="2" t="s">
        <v>128</v>
      </c>
      <c r="G291" s="2" t="s">
        <v>22</v>
      </c>
      <c r="H291" s="2" t="s">
        <v>34</v>
      </c>
      <c r="I291" s="2" t="s">
        <v>75</v>
      </c>
      <c r="J291" s="2" t="s">
        <v>1455</v>
      </c>
      <c r="K291" s="2" t="s">
        <v>1456</v>
      </c>
      <c r="L291">
        <v>4</v>
      </c>
      <c r="M291" s="1">
        <v>407000</v>
      </c>
      <c r="N291">
        <v>4.4000000000000004</v>
      </c>
      <c r="O291">
        <v>8</v>
      </c>
      <c r="P291" s="2" t="s">
        <v>53</v>
      </c>
    </row>
    <row r="292" spans="1:16" x14ac:dyDescent="0.25">
      <c r="A292" s="2" t="s">
        <v>1457</v>
      </c>
      <c r="B292" s="2" t="s">
        <v>1458</v>
      </c>
      <c r="C292" s="2" t="s">
        <v>29</v>
      </c>
      <c r="D292" s="2" t="s">
        <v>79</v>
      </c>
      <c r="E292" s="2" t="s">
        <v>20</v>
      </c>
      <c r="F292" s="2" t="s">
        <v>39</v>
      </c>
      <c r="G292" s="2" t="s">
        <v>33</v>
      </c>
      <c r="H292" s="2" t="s">
        <v>34</v>
      </c>
      <c r="I292" s="2" t="s">
        <v>24</v>
      </c>
      <c r="J292" s="2" t="s">
        <v>1459</v>
      </c>
      <c r="K292" s="2" t="s">
        <v>91</v>
      </c>
      <c r="L292">
        <v>6</v>
      </c>
      <c r="M292" s="1">
        <v>95000</v>
      </c>
      <c r="N292">
        <v>3.9</v>
      </c>
      <c r="O292">
        <v>7</v>
      </c>
      <c r="P292" s="2" t="s">
        <v>26</v>
      </c>
    </row>
    <row r="293" spans="1:16" x14ac:dyDescent="0.25">
      <c r="A293" s="2" t="s">
        <v>1460</v>
      </c>
      <c r="B293" s="2" t="s">
        <v>959</v>
      </c>
      <c r="C293" s="2" t="s">
        <v>18</v>
      </c>
      <c r="D293" s="2" t="s">
        <v>30</v>
      </c>
      <c r="E293" s="2" t="s">
        <v>20</v>
      </c>
      <c r="F293" s="2" t="s">
        <v>32</v>
      </c>
      <c r="G293" s="2" t="s">
        <v>22</v>
      </c>
      <c r="H293" s="2" t="s">
        <v>62</v>
      </c>
      <c r="I293" s="2" t="s">
        <v>75</v>
      </c>
      <c r="J293" s="2" t="s">
        <v>1461</v>
      </c>
      <c r="K293" s="2" t="s">
        <v>91</v>
      </c>
      <c r="L293">
        <v>7</v>
      </c>
      <c r="M293" s="1">
        <v>184000</v>
      </c>
      <c r="N293">
        <v>3.3</v>
      </c>
      <c r="O293">
        <v>6</v>
      </c>
      <c r="P293" s="2" t="s">
        <v>26</v>
      </c>
    </row>
    <row r="294" spans="1:16" x14ac:dyDescent="0.25">
      <c r="A294" s="2" t="s">
        <v>1466</v>
      </c>
      <c r="B294" s="2" t="s">
        <v>1467</v>
      </c>
      <c r="C294" s="2" t="s">
        <v>18</v>
      </c>
      <c r="D294" s="2" t="s">
        <v>30</v>
      </c>
      <c r="E294" s="2" t="s">
        <v>44</v>
      </c>
      <c r="F294" s="2" t="s">
        <v>128</v>
      </c>
      <c r="G294" s="2" t="s">
        <v>33</v>
      </c>
      <c r="H294" s="2" t="s">
        <v>23</v>
      </c>
      <c r="I294" s="2" t="s">
        <v>171</v>
      </c>
      <c r="J294" s="2" t="s">
        <v>478</v>
      </c>
      <c r="K294" s="2" t="s">
        <v>91</v>
      </c>
      <c r="L294">
        <v>2</v>
      </c>
      <c r="M294" s="1">
        <v>532000</v>
      </c>
      <c r="N294">
        <v>5</v>
      </c>
      <c r="O294">
        <v>12</v>
      </c>
      <c r="P294" s="2" t="s">
        <v>53</v>
      </c>
    </row>
    <row r="295" spans="1:16" x14ac:dyDescent="0.25">
      <c r="A295" s="2" t="s">
        <v>1468</v>
      </c>
      <c r="B295" s="2" t="s">
        <v>1469</v>
      </c>
      <c r="C295" s="2" t="s">
        <v>18</v>
      </c>
      <c r="D295" s="2" t="s">
        <v>19</v>
      </c>
      <c r="E295" s="2" t="s">
        <v>20</v>
      </c>
      <c r="F295" s="2" t="s">
        <v>128</v>
      </c>
      <c r="G295" s="2" t="s">
        <v>22</v>
      </c>
      <c r="H295" s="2" t="s">
        <v>23</v>
      </c>
      <c r="I295" s="2" t="s">
        <v>24</v>
      </c>
      <c r="J295" s="2" t="s">
        <v>773</v>
      </c>
      <c r="K295" s="2" t="s">
        <v>84</v>
      </c>
      <c r="L295">
        <v>4</v>
      </c>
      <c r="M295" s="1">
        <v>439000</v>
      </c>
      <c r="N295">
        <v>2.6</v>
      </c>
      <c r="O295">
        <v>0</v>
      </c>
      <c r="P295" s="2" t="s">
        <v>26</v>
      </c>
    </row>
    <row r="296" spans="1:16" x14ac:dyDescent="0.25">
      <c r="A296" s="2" t="s">
        <v>1472</v>
      </c>
      <c r="B296" s="2" t="s">
        <v>1473</v>
      </c>
      <c r="C296" s="2" t="s">
        <v>18</v>
      </c>
      <c r="D296" s="2" t="s">
        <v>30</v>
      </c>
      <c r="E296" s="2" t="s">
        <v>20</v>
      </c>
      <c r="F296" s="2" t="s">
        <v>39</v>
      </c>
      <c r="G296" s="2" t="s">
        <v>80</v>
      </c>
      <c r="H296" s="2" t="s">
        <v>46</v>
      </c>
      <c r="I296" s="2" t="s">
        <v>57</v>
      </c>
      <c r="J296" s="2" t="s">
        <v>1474</v>
      </c>
      <c r="K296" s="2" t="s">
        <v>84</v>
      </c>
      <c r="L296">
        <v>5</v>
      </c>
      <c r="M296" s="1">
        <v>106000</v>
      </c>
      <c r="N296">
        <v>2.8</v>
      </c>
      <c r="O296">
        <v>11</v>
      </c>
      <c r="P296" s="2" t="s">
        <v>53</v>
      </c>
    </row>
    <row r="297" spans="1:16" x14ac:dyDescent="0.25">
      <c r="A297" s="2" t="s">
        <v>1475</v>
      </c>
      <c r="B297" s="2" t="s">
        <v>1476</v>
      </c>
      <c r="C297" s="2" t="s">
        <v>29</v>
      </c>
      <c r="D297" s="2" t="s">
        <v>50</v>
      </c>
      <c r="E297" s="2" t="s">
        <v>20</v>
      </c>
      <c r="F297" s="2" t="s">
        <v>32</v>
      </c>
      <c r="G297" s="2" t="s">
        <v>80</v>
      </c>
      <c r="H297" s="2" t="s">
        <v>34</v>
      </c>
      <c r="I297" s="2" t="s">
        <v>24</v>
      </c>
      <c r="J297" s="2" t="s">
        <v>1477</v>
      </c>
      <c r="K297" s="2" t="s">
        <v>1480</v>
      </c>
      <c r="L297">
        <v>6</v>
      </c>
      <c r="M297" s="1">
        <v>338000</v>
      </c>
      <c r="N297">
        <v>2.6</v>
      </c>
      <c r="O297">
        <v>2</v>
      </c>
      <c r="P297" s="2" t="s">
        <v>26</v>
      </c>
    </row>
    <row r="298" spans="1:16" x14ac:dyDescent="0.25">
      <c r="A298" s="2" t="s">
        <v>1478</v>
      </c>
      <c r="B298" s="2" t="s">
        <v>563</v>
      </c>
      <c r="C298" s="2" t="s">
        <v>18</v>
      </c>
      <c r="D298" s="2" t="s">
        <v>30</v>
      </c>
      <c r="E298" s="2" t="s">
        <v>20</v>
      </c>
      <c r="F298" s="2" t="s">
        <v>39</v>
      </c>
      <c r="G298" s="2" t="s">
        <v>80</v>
      </c>
      <c r="H298" s="2" t="s">
        <v>23</v>
      </c>
      <c r="I298" s="2" t="s">
        <v>57</v>
      </c>
      <c r="J298" s="2" t="s">
        <v>1479</v>
      </c>
      <c r="K298" s="2" t="s">
        <v>1480</v>
      </c>
      <c r="L298">
        <v>3</v>
      </c>
      <c r="M298" s="1">
        <v>133000</v>
      </c>
      <c r="N298">
        <v>2.4</v>
      </c>
      <c r="O298">
        <v>15</v>
      </c>
      <c r="P298" s="2" t="s">
        <v>72</v>
      </c>
    </row>
    <row r="299" spans="1:16" x14ac:dyDescent="0.25">
      <c r="A299" s="2" t="s">
        <v>1484</v>
      </c>
      <c r="B299" s="2" t="s">
        <v>1485</v>
      </c>
      <c r="C299" s="2" t="s">
        <v>29</v>
      </c>
      <c r="D299" s="2" t="s">
        <v>79</v>
      </c>
      <c r="E299" s="2" t="s">
        <v>20</v>
      </c>
      <c r="F299" s="2" t="s">
        <v>39</v>
      </c>
      <c r="G299" s="2" t="s">
        <v>22</v>
      </c>
      <c r="H299" s="2" t="s">
        <v>46</v>
      </c>
      <c r="I299" s="2" t="s">
        <v>75</v>
      </c>
      <c r="J299" s="2" t="s">
        <v>1234</v>
      </c>
      <c r="K299" s="2" t="s">
        <v>1498</v>
      </c>
      <c r="L299">
        <v>4</v>
      </c>
      <c r="M299" s="1">
        <v>137000</v>
      </c>
      <c r="N299">
        <v>3.1</v>
      </c>
      <c r="O299">
        <v>12</v>
      </c>
      <c r="P299" s="2" t="s">
        <v>26</v>
      </c>
    </row>
    <row r="300" spans="1:16" x14ac:dyDescent="0.25">
      <c r="A300" s="2" t="s">
        <v>1486</v>
      </c>
      <c r="B300" s="2" t="s">
        <v>1487</v>
      </c>
      <c r="C300" s="2" t="s">
        <v>18</v>
      </c>
      <c r="D300" s="2" t="s">
        <v>79</v>
      </c>
      <c r="E300" s="2" t="s">
        <v>20</v>
      </c>
      <c r="F300" s="2" t="s">
        <v>45</v>
      </c>
      <c r="G300" s="2" t="s">
        <v>22</v>
      </c>
      <c r="H300" s="2" t="s">
        <v>46</v>
      </c>
      <c r="I300" s="2" t="s">
        <v>35</v>
      </c>
      <c r="J300" s="2" t="s">
        <v>1488</v>
      </c>
      <c r="K300" s="2" t="s">
        <v>1498</v>
      </c>
      <c r="L300">
        <v>3</v>
      </c>
      <c r="M300" s="1">
        <v>1447000</v>
      </c>
      <c r="N300">
        <v>4.3</v>
      </c>
      <c r="O300">
        <v>2</v>
      </c>
      <c r="P300" s="2" t="s">
        <v>26</v>
      </c>
    </row>
    <row r="301" spans="1:16" x14ac:dyDescent="0.25">
      <c r="A301" s="2" t="s">
        <v>1492</v>
      </c>
      <c r="B301" s="2" t="s">
        <v>1493</v>
      </c>
      <c r="C301" s="2" t="s">
        <v>18</v>
      </c>
      <c r="D301" s="2" t="s">
        <v>50</v>
      </c>
      <c r="E301" s="2" t="s">
        <v>20</v>
      </c>
      <c r="F301" s="2" t="s">
        <v>39</v>
      </c>
      <c r="G301" s="2" t="s">
        <v>22</v>
      </c>
      <c r="H301" s="2" t="s">
        <v>34</v>
      </c>
      <c r="I301" s="2" t="s">
        <v>24</v>
      </c>
      <c r="J301" s="2" t="s">
        <v>1494</v>
      </c>
      <c r="K301" s="2" t="s">
        <v>1498</v>
      </c>
      <c r="L301">
        <v>3</v>
      </c>
      <c r="M301" s="1">
        <v>122000</v>
      </c>
      <c r="N301">
        <v>2.7</v>
      </c>
      <c r="O301">
        <v>2</v>
      </c>
      <c r="P301" s="2" t="s">
        <v>26</v>
      </c>
    </row>
    <row r="302" spans="1:16" x14ac:dyDescent="0.25">
      <c r="A302" s="2" t="s">
        <v>1495</v>
      </c>
      <c r="B302" s="2" t="s">
        <v>1496</v>
      </c>
      <c r="C302" s="2" t="s">
        <v>18</v>
      </c>
      <c r="D302" s="2" t="s">
        <v>43</v>
      </c>
      <c r="E302" s="2" t="s">
        <v>20</v>
      </c>
      <c r="F302" s="2" t="s">
        <v>128</v>
      </c>
      <c r="G302" s="2" t="s">
        <v>80</v>
      </c>
      <c r="H302" s="2" t="s">
        <v>46</v>
      </c>
      <c r="I302" s="2" t="s">
        <v>57</v>
      </c>
      <c r="J302" s="2" t="s">
        <v>1497</v>
      </c>
      <c r="K302" s="2" t="s">
        <v>1498</v>
      </c>
      <c r="L302">
        <v>2</v>
      </c>
      <c r="M302" s="1">
        <v>499000</v>
      </c>
      <c r="N302">
        <v>2.1</v>
      </c>
      <c r="O302">
        <v>5</v>
      </c>
      <c r="P302" s="2" t="s">
        <v>53</v>
      </c>
    </row>
    <row r="303" spans="1:16" x14ac:dyDescent="0.25">
      <c r="A303" s="2" t="s">
        <v>1499</v>
      </c>
      <c r="B303" s="2" t="s">
        <v>1500</v>
      </c>
      <c r="C303" s="2" t="s">
        <v>18</v>
      </c>
      <c r="D303" s="2" t="s">
        <v>30</v>
      </c>
      <c r="E303" s="2" t="s">
        <v>20</v>
      </c>
      <c r="F303" s="2" t="s">
        <v>21</v>
      </c>
      <c r="G303" s="2" t="s">
        <v>33</v>
      </c>
      <c r="H303" s="2" t="s">
        <v>62</v>
      </c>
      <c r="I303" s="2" t="s">
        <v>35</v>
      </c>
      <c r="J303" s="2" t="s">
        <v>112</v>
      </c>
      <c r="K303" s="2" t="s">
        <v>700</v>
      </c>
      <c r="L303">
        <v>3</v>
      </c>
      <c r="M303" s="1">
        <v>658000</v>
      </c>
      <c r="N303">
        <v>4.9000000000000004</v>
      </c>
      <c r="O303">
        <v>14</v>
      </c>
      <c r="P303" s="2" t="s">
        <v>26</v>
      </c>
    </row>
    <row r="304" spans="1:16" x14ac:dyDescent="0.25">
      <c r="A304" s="2" t="s">
        <v>1505</v>
      </c>
      <c r="B304" s="2" t="s">
        <v>1506</v>
      </c>
      <c r="C304" s="2" t="s">
        <v>29</v>
      </c>
      <c r="D304" s="2" t="s">
        <v>50</v>
      </c>
      <c r="E304" s="2" t="s">
        <v>20</v>
      </c>
      <c r="F304" s="2" t="s">
        <v>39</v>
      </c>
      <c r="G304" s="2" t="s">
        <v>33</v>
      </c>
      <c r="H304" s="2" t="s">
        <v>23</v>
      </c>
      <c r="I304" s="2" t="s">
        <v>24</v>
      </c>
      <c r="J304" s="2" t="s">
        <v>1507</v>
      </c>
      <c r="K304" s="2" t="s">
        <v>700</v>
      </c>
      <c r="L304">
        <v>4</v>
      </c>
      <c r="M304" s="1">
        <v>118000</v>
      </c>
      <c r="N304">
        <v>3.9</v>
      </c>
      <c r="O304">
        <v>6</v>
      </c>
      <c r="P304" s="2" t="s">
        <v>26</v>
      </c>
    </row>
    <row r="305" spans="1:16" x14ac:dyDescent="0.25">
      <c r="A305" s="2" t="s">
        <v>1514</v>
      </c>
      <c r="B305" s="2" t="s">
        <v>1515</v>
      </c>
      <c r="C305" s="2" t="s">
        <v>18</v>
      </c>
      <c r="D305" s="2" t="s">
        <v>43</v>
      </c>
      <c r="E305" s="2" t="s">
        <v>20</v>
      </c>
      <c r="F305" s="2" t="s">
        <v>128</v>
      </c>
      <c r="G305" s="2" t="s">
        <v>22</v>
      </c>
      <c r="H305" s="2" t="s">
        <v>23</v>
      </c>
      <c r="I305" s="2" t="s">
        <v>57</v>
      </c>
      <c r="J305" s="2" t="s">
        <v>1516</v>
      </c>
      <c r="K305" s="2" t="s">
        <v>700</v>
      </c>
      <c r="L305">
        <v>4</v>
      </c>
      <c r="M305" s="1">
        <v>545000</v>
      </c>
      <c r="N305">
        <v>5</v>
      </c>
      <c r="O305">
        <v>29</v>
      </c>
      <c r="P305" s="2" t="s">
        <v>72</v>
      </c>
    </row>
    <row r="306" spans="1:16" x14ac:dyDescent="0.25">
      <c r="A306" s="2" t="s">
        <v>1517</v>
      </c>
      <c r="B306" s="2" t="s">
        <v>1518</v>
      </c>
      <c r="C306" s="2" t="s">
        <v>29</v>
      </c>
      <c r="D306" s="2" t="s">
        <v>19</v>
      </c>
      <c r="E306" s="2" t="s">
        <v>44</v>
      </c>
      <c r="F306" s="2" t="s">
        <v>21</v>
      </c>
      <c r="G306" s="2" t="s">
        <v>80</v>
      </c>
      <c r="H306" s="2" t="s">
        <v>23</v>
      </c>
      <c r="I306" s="2" t="s">
        <v>171</v>
      </c>
      <c r="J306" s="2" t="s">
        <v>1519</v>
      </c>
      <c r="K306" s="2" t="s">
        <v>1526</v>
      </c>
      <c r="L306">
        <v>6</v>
      </c>
      <c r="M306" s="1">
        <v>898000</v>
      </c>
      <c r="N306">
        <v>3.3</v>
      </c>
      <c r="O306">
        <v>10</v>
      </c>
      <c r="P306" s="2" t="s">
        <v>26</v>
      </c>
    </row>
    <row r="307" spans="1:16" x14ac:dyDescent="0.25">
      <c r="A307" s="2" t="s">
        <v>1520</v>
      </c>
      <c r="B307" s="2" t="s">
        <v>1521</v>
      </c>
      <c r="C307" s="2" t="s">
        <v>18</v>
      </c>
      <c r="D307" s="2" t="s">
        <v>30</v>
      </c>
      <c r="E307" s="2" t="s">
        <v>31</v>
      </c>
      <c r="F307" s="2" t="s">
        <v>39</v>
      </c>
      <c r="G307" s="2" t="s">
        <v>22</v>
      </c>
      <c r="H307" s="2" t="s">
        <v>34</v>
      </c>
      <c r="I307" s="2" t="s">
        <v>57</v>
      </c>
      <c r="J307" s="2" t="s">
        <v>1522</v>
      </c>
      <c r="K307" s="2" t="s">
        <v>1526</v>
      </c>
      <c r="L307">
        <v>3</v>
      </c>
      <c r="M307" s="1">
        <v>130000</v>
      </c>
      <c r="N307">
        <v>1.9</v>
      </c>
      <c r="O307">
        <v>13</v>
      </c>
      <c r="P307" s="2" t="s">
        <v>26</v>
      </c>
    </row>
    <row r="308" spans="1:16" x14ac:dyDescent="0.25">
      <c r="A308" s="2" t="s">
        <v>1523</v>
      </c>
      <c r="B308" s="2" t="s">
        <v>1524</v>
      </c>
      <c r="C308" s="2" t="s">
        <v>18</v>
      </c>
      <c r="D308" s="2" t="s">
        <v>30</v>
      </c>
      <c r="E308" s="2" t="s">
        <v>44</v>
      </c>
      <c r="F308" s="2" t="s">
        <v>39</v>
      </c>
      <c r="G308" s="2" t="s">
        <v>22</v>
      </c>
      <c r="H308" s="2" t="s">
        <v>46</v>
      </c>
      <c r="I308" s="2" t="s">
        <v>24</v>
      </c>
      <c r="J308" s="2" t="s">
        <v>1525</v>
      </c>
      <c r="K308" s="2" t="s">
        <v>1526</v>
      </c>
      <c r="L308">
        <v>5</v>
      </c>
      <c r="M308" s="1">
        <v>115000</v>
      </c>
      <c r="N308">
        <v>2.1</v>
      </c>
      <c r="O308">
        <v>12</v>
      </c>
      <c r="P308" s="2" t="s">
        <v>53</v>
      </c>
    </row>
    <row r="309" spans="1:16" x14ac:dyDescent="0.25">
      <c r="A309" s="2" t="s">
        <v>1530</v>
      </c>
      <c r="B309" s="2" t="s">
        <v>1531</v>
      </c>
      <c r="C309" s="2" t="s">
        <v>29</v>
      </c>
      <c r="D309" s="2" t="s">
        <v>19</v>
      </c>
      <c r="E309" s="2" t="s">
        <v>20</v>
      </c>
      <c r="F309" s="2" t="s">
        <v>32</v>
      </c>
      <c r="G309" s="2" t="s">
        <v>80</v>
      </c>
      <c r="H309" s="2" t="s">
        <v>46</v>
      </c>
      <c r="I309" s="2" t="s">
        <v>35</v>
      </c>
      <c r="J309" s="2" t="s">
        <v>1532</v>
      </c>
      <c r="K309" s="2" t="s">
        <v>1538</v>
      </c>
      <c r="L309">
        <v>4</v>
      </c>
      <c r="M309" s="1">
        <v>250000</v>
      </c>
      <c r="N309">
        <v>2.7</v>
      </c>
      <c r="O309">
        <v>4</v>
      </c>
      <c r="P309" s="2" t="s">
        <v>26</v>
      </c>
    </row>
    <row r="310" spans="1:16" x14ac:dyDescent="0.25">
      <c r="A310" s="2" t="s">
        <v>1533</v>
      </c>
      <c r="B310" s="2" t="s">
        <v>877</v>
      </c>
      <c r="C310" s="2" t="s">
        <v>29</v>
      </c>
      <c r="D310" s="2" t="s">
        <v>30</v>
      </c>
      <c r="E310" s="2" t="s">
        <v>20</v>
      </c>
      <c r="F310" s="2" t="s">
        <v>32</v>
      </c>
      <c r="G310" s="2" t="s">
        <v>22</v>
      </c>
      <c r="H310" s="2" t="s">
        <v>46</v>
      </c>
      <c r="I310" s="2" t="s">
        <v>35</v>
      </c>
      <c r="J310" s="2" t="s">
        <v>1534</v>
      </c>
      <c r="K310" s="2" t="s">
        <v>1538</v>
      </c>
      <c r="L310">
        <v>6</v>
      </c>
      <c r="M310" s="1">
        <v>237000</v>
      </c>
      <c r="N310">
        <v>3.1</v>
      </c>
      <c r="O310">
        <v>13</v>
      </c>
      <c r="P310" s="2" t="s">
        <v>26</v>
      </c>
    </row>
    <row r="311" spans="1:16" x14ac:dyDescent="0.25">
      <c r="A311" s="2" t="s">
        <v>1535</v>
      </c>
      <c r="B311" s="2" t="s">
        <v>1536</v>
      </c>
      <c r="C311" s="2" t="s">
        <v>18</v>
      </c>
      <c r="D311" s="2" t="s">
        <v>50</v>
      </c>
      <c r="E311" s="2" t="s">
        <v>20</v>
      </c>
      <c r="F311" s="2" t="s">
        <v>39</v>
      </c>
      <c r="G311" s="2" t="s">
        <v>69</v>
      </c>
      <c r="H311" s="2" t="s">
        <v>23</v>
      </c>
      <c r="I311" s="2" t="s">
        <v>24</v>
      </c>
      <c r="J311" s="2" t="s">
        <v>1537</v>
      </c>
      <c r="K311" s="2" t="s">
        <v>1538</v>
      </c>
      <c r="L311">
        <v>4</v>
      </c>
      <c r="M311" s="1">
        <v>126000</v>
      </c>
      <c r="N311">
        <v>3.5</v>
      </c>
      <c r="O311">
        <v>3</v>
      </c>
      <c r="P311" s="2" t="s">
        <v>114</v>
      </c>
    </row>
    <row r="312" spans="1:16" x14ac:dyDescent="0.25">
      <c r="A312" s="2" t="s">
        <v>1539</v>
      </c>
      <c r="B312" s="2" t="s">
        <v>1540</v>
      </c>
      <c r="C312" s="2" t="s">
        <v>18</v>
      </c>
      <c r="D312" s="2" t="s">
        <v>79</v>
      </c>
      <c r="E312" s="2" t="s">
        <v>20</v>
      </c>
      <c r="F312" s="2" t="s">
        <v>39</v>
      </c>
      <c r="G312" s="2" t="s">
        <v>80</v>
      </c>
      <c r="H312" s="2" t="s">
        <v>34</v>
      </c>
      <c r="I312" s="2" t="s">
        <v>75</v>
      </c>
      <c r="J312" s="2" t="s">
        <v>95</v>
      </c>
      <c r="K312" s="2" t="s">
        <v>1551</v>
      </c>
      <c r="L312">
        <v>3</v>
      </c>
      <c r="M312" s="1">
        <v>94000</v>
      </c>
      <c r="N312">
        <v>2.4</v>
      </c>
      <c r="O312">
        <v>5</v>
      </c>
      <c r="P312" s="2" t="s">
        <v>26</v>
      </c>
    </row>
    <row r="313" spans="1:16" x14ac:dyDescent="0.25">
      <c r="A313" s="2" t="s">
        <v>1546</v>
      </c>
      <c r="B313" s="2" t="s">
        <v>1547</v>
      </c>
      <c r="C313" s="2" t="s">
        <v>18</v>
      </c>
      <c r="D313" s="2" t="s">
        <v>43</v>
      </c>
      <c r="E313" s="2" t="s">
        <v>20</v>
      </c>
      <c r="F313" s="2" t="s">
        <v>32</v>
      </c>
      <c r="G313" s="2" t="s">
        <v>22</v>
      </c>
      <c r="H313" s="2" t="s">
        <v>62</v>
      </c>
      <c r="I313" s="2" t="s">
        <v>24</v>
      </c>
      <c r="J313" s="2" t="s">
        <v>1548</v>
      </c>
      <c r="K313" s="2" t="s">
        <v>1551</v>
      </c>
      <c r="L313">
        <v>3</v>
      </c>
      <c r="M313" s="1">
        <v>277000</v>
      </c>
      <c r="N313">
        <v>2</v>
      </c>
      <c r="O313">
        <v>4</v>
      </c>
      <c r="P313" s="2" t="s">
        <v>26</v>
      </c>
    </row>
    <row r="314" spans="1:16" x14ac:dyDescent="0.25">
      <c r="A314" s="2" t="s">
        <v>1549</v>
      </c>
      <c r="B314" s="2" t="s">
        <v>65</v>
      </c>
      <c r="C314" s="2" t="s">
        <v>18</v>
      </c>
      <c r="D314" s="2" t="s">
        <v>50</v>
      </c>
      <c r="E314" s="2" t="s">
        <v>31</v>
      </c>
      <c r="F314" s="2" t="s">
        <v>32</v>
      </c>
      <c r="G314" s="2" t="s">
        <v>80</v>
      </c>
      <c r="H314" s="2" t="s">
        <v>34</v>
      </c>
      <c r="I314" s="2" t="s">
        <v>35</v>
      </c>
      <c r="J314" s="2" t="s">
        <v>1550</v>
      </c>
      <c r="K314" s="2" t="s">
        <v>1551</v>
      </c>
      <c r="L314">
        <v>3</v>
      </c>
      <c r="M314" s="1">
        <v>237000</v>
      </c>
      <c r="N314">
        <v>4.8</v>
      </c>
      <c r="O314">
        <v>21</v>
      </c>
      <c r="P314" s="2" t="s">
        <v>53</v>
      </c>
    </row>
    <row r="315" spans="1:16" x14ac:dyDescent="0.25">
      <c r="A315" s="2" t="s">
        <v>1556</v>
      </c>
      <c r="B315" s="2" t="s">
        <v>1557</v>
      </c>
      <c r="C315" s="2" t="s">
        <v>29</v>
      </c>
      <c r="D315" s="2" t="s">
        <v>79</v>
      </c>
      <c r="E315" s="2" t="s">
        <v>20</v>
      </c>
      <c r="F315" s="2" t="s">
        <v>128</v>
      </c>
      <c r="G315" s="2" t="s">
        <v>22</v>
      </c>
      <c r="H315" s="2" t="s">
        <v>46</v>
      </c>
      <c r="I315" s="2" t="s">
        <v>57</v>
      </c>
      <c r="J315" s="2" t="s">
        <v>1558</v>
      </c>
      <c r="K315" s="2" t="s">
        <v>441</v>
      </c>
      <c r="L315">
        <v>4</v>
      </c>
      <c r="M315" s="1">
        <v>412000</v>
      </c>
      <c r="N315">
        <v>4.2</v>
      </c>
      <c r="O315">
        <v>4</v>
      </c>
      <c r="P315" s="2" t="s">
        <v>26</v>
      </c>
    </row>
    <row r="316" spans="1:16" x14ac:dyDescent="0.25">
      <c r="A316" s="2" t="s">
        <v>1565</v>
      </c>
      <c r="B316" s="2" t="s">
        <v>1566</v>
      </c>
      <c r="C316" s="2" t="s">
        <v>18</v>
      </c>
      <c r="D316" s="2" t="s">
        <v>19</v>
      </c>
      <c r="E316" s="2" t="s">
        <v>20</v>
      </c>
      <c r="F316" s="2" t="s">
        <v>32</v>
      </c>
      <c r="G316" s="2" t="s">
        <v>33</v>
      </c>
      <c r="H316" s="2" t="s">
        <v>23</v>
      </c>
      <c r="I316" s="2" t="s">
        <v>24</v>
      </c>
      <c r="J316" s="2" t="s">
        <v>1567</v>
      </c>
      <c r="K316" s="2" t="s">
        <v>441</v>
      </c>
      <c r="L316">
        <v>4</v>
      </c>
      <c r="M316" s="1">
        <v>270000</v>
      </c>
      <c r="N316">
        <v>3.4</v>
      </c>
      <c r="O316">
        <v>6</v>
      </c>
      <c r="P316" s="2" t="s">
        <v>53</v>
      </c>
    </row>
    <row r="317" spans="1:16" x14ac:dyDescent="0.25">
      <c r="A317" s="2" t="s">
        <v>1570</v>
      </c>
      <c r="B317" s="2" t="s">
        <v>28</v>
      </c>
      <c r="C317" s="2" t="s">
        <v>29</v>
      </c>
      <c r="D317" s="2" t="s">
        <v>79</v>
      </c>
      <c r="E317" s="2" t="s">
        <v>20</v>
      </c>
      <c r="F317" s="2" t="s">
        <v>39</v>
      </c>
      <c r="G317" s="2" t="s">
        <v>80</v>
      </c>
      <c r="H317" s="2" t="s">
        <v>34</v>
      </c>
      <c r="I317" s="2" t="s">
        <v>171</v>
      </c>
      <c r="J317" s="2" t="s">
        <v>1571</v>
      </c>
      <c r="K317" s="2" t="s">
        <v>1578</v>
      </c>
      <c r="L317">
        <v>4</v>
      </c>
      <c r="M317" s="1">
        <v>110000</v>
      </c>
      <c r="N317">
        <v>2.2999999999999998</v>
      </c>
      <c r="O317">
        <v>6</v>
      </c>
      <c r="P317" s="2" t="s">
        <v>26</v>
      </c>
    </row>
    <row r="318" spans="1:16" x14ac:dyDescent="0.25">
      <c r="A318" s="2" t="s">
        <v>1572</v>
      </c>
      <c r="B318" s="2" t="s">
        <v>1573</v>
      </c>
      <c r="C318" s="2" t="s">
        <v>18</v>
      </c>
      <c r="D318" s="2" t="s">
        <v>30</v>
      </c>
      <c r="E318" s="2" t="s">
        <v>31</v>
      </c>
      <c r="F318" s="2" t="s">
        <v>39</v>
      </c>
      <c r="G318" s="2" t="s">
        <v>22</v>
      </c>
      <c r="H318" s="2" t="s">
        <v>23</v>
      </c>
      <c r="I318" s="2" t="s">
        <v>24</v>
      </c>
      <c r="J318" s="2" t="s">
        <v>1574</v>
      </c>
      <c r="K318" s="2" t="s">
        <v>1578</v>
      </c>
      <c r="L318">
        <v>3</v>
      </c>
      <c r="M318" s="1">
        <v>157000</v>
      </c>
      <c r="N318">
        <v>3.1</v>
      </c>
      <c r="O318">
        <v>10</v>
      </c>
      <c r="P318" s="2" t="s">
        <v>26</v>
      </c>
    </row>
    <row r="319" spans="1:16" x14ac:dyDescent="0.25">
      <c r="A319" s="2" t="s">
        <v>1575</v>
      </c>
      <c r="B319" s="2" t="s">
        <v>1576</v>
      </c>
      <c r="C319" s="2" t="s">
        <v>29</v>
      </c>
      <c r="D319" s="2" t="s">
        <v>43</v>
      </c>
      <c r="E319" s="2" t="s">
        <v>20</v>
      </c>
      <c r="F319" s="2" t="s">
        <v>128</v>
      </c>
      <c r="G319" s="2" t="s">
        <v>22</v>
      </c>
      <c r="H319" s="2" t="s">
        <v>62</v>
      </c>
      <c r="I319" s="2" t="s">
        <v>57</v>
      </c>
      <c r="J319" s="2" t="s">
        <v>1577</v>
      </c>
      <c r="K319" s="2" t="s">
        <v>1578</v>
      </c>
      <c r="L319">
        <v>6</v>
      </c>
      <c r="M319" s="1">
        <v>405000</v>
      </c>
      <c r="N319">
        <v>4.2</v>
      </c>
      <c r="O319">
        <v>0</v>
      </c>
      <c r="P319" s="2" t="s">
        <v>53</v>
      </c>
    </row>
    <row r="320" spans="1:16" x14ac:dyDescent="0.25">
      <c r="A320" s="2" t="s">
        <v>1579</v>
      </c>
      <c r="B320" s="2" t="s">
        <v>699</v>
      </c>
      <c r="C320" s="2" t="s">
        <v>18</v>
      </c>
      <c r="D320" s="2" t="s">
        <v>79</v>
      </c>
      <c r="E320" s="2" t="s">
        <v>20</v>
      </c>
      <c r="F320" s="2" t="s">
        <v>21</v>
      </c>
      <c r="G320" s="2" t="s">
        <v>80</v>
      </c>
      <c r="H320" s="2" t="s">
        <v>46</v>
      </c>
      <c r="I320" s="2" t="s">
        <v>57</v>
      </c>
      <c r="J320" s="2" t="s">
        <v>1580</v>
      </c>
      <c r="K320" s="2" t="s">
        <v>1594</v>
      </c>
      <c r="L320">
        <v>6</v>
      </c>
      <c r="M320" s="1">
        <v>708000</v>
      </c>
      <c r="N320">
        <v>3.8</v>
      </c>
      <c r="O320">
        <v>7</v>
      </c>
      <c r="P320" s="2" t="s">
        <v>26</v>
      </c>
    </row>
    <row r="321" spans="1:16" x14ac:dyDescent="0.25">
      <c r="A321" s="2" t="s">
        <v>1581</v>
      </c>
      <c r="B321" s="2" t="s">
        <v>1582</v>
      </c>
      <c r="C321" s="2" t="s">
        <v>29</v>
      </c>
      <c r="D321" s="2" t="s">
        <v>79</v>
      </c>
      <c r="E321" s="2" t="s">
        <v>44</v>
      </c>
      <c r="F321" s="2" t="s">
        <v>128</v>
      </c>
      <c r="G321" s="2" t="s">
        <v>22</v>
      </c>
      <c r="H321" s="2" t="s">
        <v>62</v>
      </c>
      <c r="I321" s="2" t="s">
        <v>24</v>
      </c>
      <c r="J321" s="2" t="s">
        <v>1583</v>
      </c>
      <c r="K321" s="2" t="s">
        <v>1594</v>
      </c>
      <c r="L321">
        <v>3</v>
      </c>
      <c r="M321" s="1">
        <v>385000</v>
      </c>
      <c r="N321">
        <v>3.1</v>
      </c>
      <c r="O321">
        <v>4</v>
      </c>
      <c r="P321" s="2" t="s">
        <v>26</v>
      </c>
    </row>
    <row r="322" spans="1:16" x14ac:dyDescent="0.25">
      <c r="A322" s="2" t="s">
        <v>1584</v>
      </c>
      <c r="B322" s="2" t="s">
        <v>1585</v>
      </c>
      <c r="C322" s="2" t="s">
        <v>18</v>
      </c>
      <c r="D322" s="2" t="s">
        <v>50</v>
      </c>
      <c r="E322" s="2" t="s">
        <v>20</v>
      </c>
      <c r="F322" s="2" t="s">
        <v>39</v>
      </c>
      <c r="G322" s="2" t="s">
        <v>69</v>
      </c>
      <c r="H322" s="2" t="s">
        <v>34</v>
      </c>
      <c r="I322" s="2" t="s">
        <v>57</v>
      </c>
      <c r="J322" s="2" t="s">
        <v>1586</v>
      </c>
      <c r="K322" s="2" t="s">
        <v>1594</v>
      </c>
      <c r="L322">
        <v>6</v>
      </c>
      <c r="M322" s="1">
        <v>103000</v>
      </c>
      <c r="N322">
        <v>3.3</v>
      </c>
      <c r="O322">
        <v>12</v>
      </c>
      <c r="P322" s="2" t="s">
        <v>26</v>
      </c>
    </row>
    <row r="323" spans="1:16" x14ac:dyDescent="0.25">
      <c r="A323" s="2" t="s">
        <v>1589</v>
      </c>
      <c r="B323" s="2" t="s">
        <v>1590</v>
      </c>
      <c r="C323" s="2" t="s">
        <v>29</v>
      </c>
      <c r="D323" s="2" t="s">
        <v>19</v>
      </c>
      <c r="E323" s="2" t="s">
        <v>20</v>
      </c>
      <c r="F323" s="2" t="s">
        <v>128</v>
      </c>
      <c r="G323" s="2" t="s">
        <v>33</v>
      </c>
      <c r="H323" s="2" t="s">
        <v>23</v>
      </c>
      <c r="I323" s="2" t="s">
        <v>35</v>
      </c>
      <c r="J323" s="2" t="s">
        <v>1591</v>
      </c>
      <c r="K323" s="2" t="s">
        <v>1594</v>
      </c>
      <c r="L323">
        <v>5</v>
      </c>
      <c r="M323" s="1">
        <v>481000</v>
      </c>
      <c r="N323">
        <v>2.8</v>
      </c>
      <c r="O323">
        <v>13</v>
      </c>
      <c r="P323" s="2" t="s">
        <v>26</v>
      </c>
    </row>
    <row r="324" spans="1:16" x14ac:dyDescent="0.25">
      <c r="A324" s="2" t="s">
        <v>1592</v>
      </c>
      <c r="B324" s="2" t="s">
        <v>1593</v>
      </c>
      <c r="C324" s="2" t="s">
        <v>18</v>
      </c>
      <c r="D324" s="2" t="s">
        <v>50</v>
      </c>
      <c r="E324" s="2" t="s">
        <v>20</v>
      </c>
      <c r="F324" s="2" t="s">
        <v>39</v>
      </c>
      <c r="G324" s="2" t="s">
        <v>22</v>
      </c>
      <c r="H324" s="2" t="s">
        <v>23</v>
      </c>
      <c r="I324" s="2" t="s">
        <v>24</v>
      </c>
      <c r="J324" s="2" t="s">
        <v>196</v>
      </c>
      <c r="K324" s="2" t="s">
        <v>1594</v>
      </c>
      <c r="L324">
        <v>3</v>
      </c>
      <c r="M324" s="1">
        <v>176000</v>
      </c>
      <c r="N324">
        <v>2.7</v>
      </c>
      <c r="O324">
        <v>8</v>
      </c>
      <c r="P324" s="2" t="s">
        <v>72</v>
      </c>
    </row>
    <row r="325" spans="1:16" x14ac:dyDescent="0.25">
      <c r="A325" s="2" t="s">
        <v>1595</v>
      </c>
      <c r="B325" s="2" t="s">
        <v>805</v>
      </c>
      <c r="C325" s="2" t="s">
        <v>18</v>
      </c>
      <c r="D325" s="2" t="s">
        <v>43</v>
      </c>
      <c r="E325" s="2" t="s">
        <v>20</v>
      </c>
      <c r="F325" s="2" t="s">
        <v>32</v>
      </c>
      <c r="G325" s="2" t="s">
        <v>22</v>
      </c>
      <c r="H325" s="2" t="s">
        <v>23</v>
      </c>
      <c r="I325" s="2" t="s">
        <v>57</v>
      </c>
      <c r="J325" s="2" t="s">
        <v>1596</v>
      </c>
      <c r="K325" s="2" t="s">
        <v>1597</v>
      </c>
      <c r="L325">
        <v>5</v>
      </c>
      <c r="M325" s="1">
        <v>273000</v>
      </c>
      <c r="N325">
        <v>4.8</v>
      </c>
      <c r="O325">
        <v>5</v>
      </c>
      <c r="P325" s="2" t="s">
        <v>114</v>
      </c>
    </row>
    <row r="326" spans="1:16" x14ac:dyDescent="0.25">
      <c r="A326" s="2" t="s">
        <v>1598</v>
      </c>
      <c r="B326" s="2" t="s">
        <v>1599</v>
      </c>
      <c r="C326" s="2" t="s">
        <v>18</v>
      </c>
      <c r="D326" s="2" t="s">
        <v>30</v>
      </c>
      <c r="E326" s="2" t="s">
        <v>20</v>
      </c>
      <c r="F326" s="2" t="s">
        <v>128</v>
      </c>
      <c r="G326" s="2" t="s">
        <v>22</v>
      </c>
      <c r="H326" s="2" t="s">
        <v>46</v>
      </c>
      <c r="I326" s="2" t="s">
        <v>35</v>
      </c>
      <c r="J326" s="2" t="s">
        <v>1600</v>
      </c>
      <c r="K326" s="2" t="s">
        <v>1630</v>
      </c>
      <c r="L326">
        <v>6</v>
      </c>
      <c r="M326" s="1">
        <v>360000</v>
      </c>
      <c r="N326">
        <v>4.7</v>
      </c>
      <c r="O326">
        <v>3</v>
      </c>
      <c r="P326" s="2" t="s">
        <v>26</v>
      </c>
    </row>
    <row r="327" spans="1:16" x14ac:dyDescent="0.25">
      <c r="A327" s="2" t="s">
        <v>1601</v>
      </c>
      <c r="B327" s="2" t="s">
        <v>1602</v>
      </c>
      <c r="C327" s="2" t="s">
        <v>18</v>
      </c>
      <c r="D327" s="2" t="s">
        <v>19</v>
      </c>
      <c r="E327" s="2" t="s">
        <v>44</v>
      </c>
      <c r="F327" s="2" t="s">
        <v>21</v>
      </c>
      <c r="G327" s="2" t="s">
        <v>80</v>
      </c>
      <c r="H327" s="2" t="s">
        <v>62</v>
      </c>
      <c r="I327" s="2" t="s">
        <v>24</v>
      </c>
      <c r="J327" s="2" t="s">
        <v>223</v>
      </c>
      <c r="K327" s="2" t="s">
        <v>1630</v>
      </c>
      <c r="L327">
        <v>2</v>
      </c>
      <c r="M327" s="1">
        <v>730000</v>
      </c>
      <c r="N327">
        <v>4.0999999999999996</v>
      </c>
      <c r="O327">
        <v>8</v>
      </c>
      <c r="P327" s="2" t="s">
        <v>26</v>
      </c>
    </row>
    <row r="328" spans="1:16" x14ac:dyDescent="0.25">
      <c r="A328" s="2" t="s">
        <v>1611</v>
      </c>
      <c r="B328" s="2" t="s">
        <v>1612</v>
      </c>
      <c r="C328" s="2" t="s">
        <v>29</v>
      </c>
      <c r="D328" s="2" t="s">
        <v>43</v>
      </c>
      <c r="E328" s="2" t="s">
        <v>20</v>
      </c>
      <c r="F328" s="2" t="s">
        <v>32</v>
      </c>
      <c r="G328" s="2" t="s">
        <v>22</v>
      </c>
      <c r="H328" s="2" t="s">
        <v>46</v>
      </c>
      <c r="I328" s="2" t="s">
        <v>24</v>
      </c>
      <c r="J328" s="2" t="s">
        <v>769</v>
      </c>
      <c r="K328" s="2" t="s">
        <v>1630</v>
      </c>
      <c r="L328">
        <v>4</v>
      </c>
      <c r="M328" s="1">
        <v>193000</v>
      </c>
      <c r="N328">
        <v>3.6</v>
      </c>
      <c r="O328">
        <v>5</v>
      </c>
      <c r="P328" s="2" t="s">
        <v>26</v>
      </c>
    </row>
    <row r="329" spans="1:16" x14ac:dyDescent="0.25">
      <c r="A329" s="2" t="s">
        <v>1624</v>
      </c>
      <c r="B329" s="2" t="s">
        <v>1625</v>
      </c>
      <c r="C329" s="2" t="s">
        <v>29</v>
      </c>
      <c r="D329" s="2" t="s">
        <v>30</v>
      </c>
      <c r="E329" s="2" t="s">
        <v>31</v>
      </c>
      <c r="F329" s="2" t="s">
        <v>128</v>
      </c>
      <c r="G329" s="2" t="s">
        <v>80</v>
      </c>
      <c r="H329" s="2" t="s">
        <v>34</v>
      </c>
      <c r="I329" s="2" t="s">
        <v>24</v>
      </c>
      <c r="J329" s="2" t="s">
        <v>1626</v>
      </c>
      <c r="K329" s="2" t="s">
        <v>1630</v>
      </c>
      <c r="L329">
        <v>6</v>
      </c>
      <c r="M329" s="1">
        <v>459000</v>
      </c>
      <c r="N329">
        <v>4.3</v>
      </c>
      <c r="O329">
        <v>11</v>
      </c>
      <c r="P329" s="2" t="s">
        <v>26</v>
      </c>
    </row>
    <row r="330" spans="1:16" x14ac:dyDescent="0.25">
      <c r="A330" s="2" t="s">
        <v>1627</v>
      </c>
      <c r="B330" s="2" t="s">
        <v>1628</v>
      </c>
      <c r="C330" s="2" t="s">
        <v>18</v>
      </c>
      <c r="D330" s="2" t="s">
        <v>19</v>
      </c>
      <c r="E330" s="2" t="s">
        <v>20</v>
      </c>
      <c r="F330" s="2" t="s">
        <v>21</v>
      </c>
      <c r="G330" s="2" t="s">
        <v>80</v>
      </c>
      <c r="H330" s="2" t="s">
        <v>23</v>
      </c>
      <c r="I330" s="2" t="s">
        <v>24</v>
      </c>
      <c r="J330" s="2" t="s">
        <v>1629</v>
      </c>
      <c r="K330" s="2" t="s">
        <v>1630</v>
      </c>
      <c r="L330">
        <v>4</v>
      </c>
      <c r="M330" s="1">
        <v>814000</v>
      </c>
      <c r="N330">
        <v>4.3</v>
      </c>
      <c r="O330">
        <v>32</v>
      </c>
      <c r="P330" s="2" t="s">
        <v>72</v>
      </c>
    </row>
    <row r="331" spans="1:16" x14ac:dyDescent="0.25">
      <c r="A331" s="2" t="s">
        <v>1631</v>
      </c>
      <c r="B331" s="2" t="s">
        <v>1632</v>
      </c>
      <c r="C331" s="2" t="s">
        <v>29</v>
      </c>
      <c r="D331" s="2" t="s">
        <v>50</v>
      </c>
      <c r="E331" s="2" t="s">
        <v>31</v>
      </c>
      <c r="F331" s="2" t="s">
        <v>32</v>
      </c>
      <c r="G331" s="2" t="s">
        <v>22</v>
      </c>
      <c r="H331" s="2" t="s">
        <v>23</v>
      </c>
      <c r="I331" s="2" t="s">
        <v>57</v>
      </c>
      <c r="J331" s="2" t="s">
        <v>1633</v>
      </c>
      <c r="K331" s="2" t="s">
        <v>202</v>
      </c>
      <c r="L331">
        <v>5</v>
      </c>
      <c r="M331" s="1">
        <v>256000</v>
      </c>
      <c r="N331">
        <v>4.4000000000000004</v>
      </c>
      <c r="O331">
        <v>10</v>
      </c>
      <c r="P331" s="2" t="s">
        <v>72</v>
      </c>
    </row>
    <row r="332" spans="1:16" x14ac:dyDescent="0.25">
      <c r="A332" s="2" t="s">
        <v>1634</v>
      </c>
      <c r="B332" s="2" t="s">
        <v>1635</v>
      </c>
      <c r="C332" s="2" t="s">
        <v>29</v>
      </c>
      <c r="D332" s="2" t="s">
        <v>30</v>
      </c>
      <c r="E332" s="2" t="s">
        <v>20</v>
      </c>
      <c r="F332" s="2" t="s">
        <v>32</v>
      </c>
      <c r="G332" s="2" t="s">
        <v>69</v>
      </c>
      <c r="H332" s="2" t="s">
        <v>23</v>
      </c>
      <c r="I332" s="2" t="s">
        <v>24</v>
      </c>
      <c r="J332" s="2" t="s">
        <v>1636</v>
      </c>
      <c r="K332" s="2" t="s">
        <v>1637</v>
      </c>
      <c r="L332">
        <v>3</v>
      </c>
      <c r="M332" s="1">
        <v>246000</v>
      </c>
      <c r="N332">
        <v>2.2000000000000002</v>
      </c>
      <c r="O332">
        <v>5</v>
      </c>
      <c r="P332" s="2" t="s">
        <v>53</v>
      </c>
    </row>
    <row r="333" spans="1:16" x14ac:dyDescent="0.25">
      <c r="A333" s="2" t="s">
        <v>1638</v>
      </c>
      <c r="B333" s="2" t="s">
        <v>1639</v>
      </c>
      <c r="C333" s="2" t="s">
        <v>18</v>
      </c>
      <c r="D333" s="2" t="s">
        <v>50</v>
      </c>
      <c r="E333" s="2" t="s">
        <v>20</v>
      </c>
      <c r="F333" s="2" t="s">
        <v>39</v>
      </c>
      <c r="G333" s="2" t="s">
        <v>33</v>
      </c>
      <c r="H333" s="2" t="s">
        <v>23</v>
      </c>
      <c r="I333" s="2" t="s">
        <v>57</v>
      </c>
      <c r="J333" s="2" t="s">
        <v>487</v>
      </c>
      <c r="K333" s="2" t="s">
        <v>824</v>
      </c>
      <c r="L333">
        <v>2</v>
      </c>
      <c r="M333" s="1">
        <v>110000</v>
      </c>
      <c r="N333">
        <v>2.1</v>
      </c>
      <c r="O333">
        <v>2</v>
      </c>
      <c r="P333" s="2" t="s">
        <v>26</v>
      </c>
    </row>
    <row r="334" spans="1:16" x14ac:dyDescent="0.25">
      <c r="A334" s="2" t="s">
        <v>1643</v>
      </c>
      <c r="B334" s="2" t="s">
        <v>1644</v>
      </c>
      <c r="C334" s="2" t="s">
        <v>18</v>
      </c>
      <c r="D334" s="2" t="s">
        <v>79</v>
      </c>
      <c r="E334" s="2" t="s">
        <v>20</v>
      </c>
      <c r="F334" s="2" t="s">
        <v>32</v>
      </c>
      <c r="G334" s="2" t="s">
        <v>69</v>
      </c>
      <c r="H334" s="2" t="s">
        <v>23</v>
      </c>
      <c r="I334" s="2" t="s">
        <v>24</v>
      </c>
      <c r="J334" s="2" t="s">
        <v>189</v>
      </c>
      <c r="K334" s="2" t="s">
        <v>824</v>
      </c>
      <c r="L334">
        <v>2</v>
      </c>
      <c r="M334" s="1">
        <v>208000</v>
      </c>
      <c r="N334">
        <v>2.8</v>
      </c>
      <c r="O334">
        <v>7</v>
      </c>
      <c r="P334" s="2" t="s">
        <v>26</v>
      </c>
    </row>
    <row r="335" spans="1:16" x14ac:dyDescent="0.25">
      <c r="A335" s="2" t="s">
        <v>1656</v>
      </c>
      <c r="B335" s="2" t="s">
        <v>1657</v>
      </c>
      <c r="C335" s="2" t="s">
        <v>29</v>
      </c>
      <c r="D335" s="2" t="s">
        <v>79</v>
      </c>
      <c r="E335" s="2" t="s">
        <v>44</v>
      </c>
      <c r="F335" s="2" t="s">
        <v>128</v>
      </c>
      <c r="G335" s="2" t="s">
        <v>33</v>
      </c>
      <c r="H335" s="2" t="s">
        <v>34</v>
      </c>
      <c r="I335" s="2" t="s">
        <v>24</v>
      </c>
      <c r="J335" s="2" t="s">
        <v>219</v>
      </c>
      <c r="K335" s="2" t="s">
        <v>824</v>
      </c>
      <c r="L335">
        <v>3</v>
      </c>
      <c r="M335" s="1">
        <v>526000</v>
      </c>
      <c r="N335">
        <v>2.4</v>
      </c>
      <c r="O335">
        <v>7</v>
      </c>
      <c r="P335" s="2" t="s">
        <v>26</v>
      </c>
    </row>
    <row r="336" spans="1:16" x14ac:dyDescent="0.25">
      <c r="A336" s="2" t="s">
        <v>1661</v>
      </c>
      <c r="B336" s="2" t="s">
        <v>559</v>
      </c>
      <c r="C336" s="2" t="s">
        <v>29</v>
      </c>
      <c r="D336" s="2" t="s">
        <v>50</v>
      </c>
      <c r="E336" s="2" t="s">
        <v>31</v>
      </c>
      <c r="F336" s="2" t="s">
        <v>39</v>
      </c>
      <c r="G336" s="2" t="s">
        <v>69</v>
      </c>
      <c r="H336" s="2" t="s">
        <v>34</v>
      </c>
      <c r="I336" s="2" t="s">
        <v>75</v>
      </c>
      <c r="J336" s="2" t="s">
        <v>1662</v>
      </c>
      <c r="K336" s="2" t="s">
        <v>824</v>
      </c>
      <c r="L336">
        <v>6</v>
      </c>
      <c r="M336" s="1">
        <v>172000</v>
      </c>
      <c r="N336">
        <v>4.9000000000000004</v>
      </c>
      <c r="O336">
        <v>8</v>
      </c>
      <c r="P336" s="2" t="s">
        <v>26</v>
      </c>
    </row>
    <row r="337" spans="1:16" x14ac:dyDescent="0.25">
      <c r="A337" s="2" t="s">
        <v>1663</v>
      </c>
      <c r="B337" s="2" t="s">
        <v>1664</v>
      </c>
      <c r="C337" s="2" t="s">
        <v>29</v>
      </c>
      <c r="D337" s="2" t="s">
        <v>50</v>
      </c>
      <c r="E337" s="2" t="s">
        <v>20</v>
      </c>
      <c r="F337" s="2" t="s">
        <v>32</v>
      </c>
      <c r="G337" s="2" t="s">
        <v>80</v>
      </c>
      <c r="H337" s="2" t="s">
        <v>46</v>
      </c>
      <c r="I337" s="2" t="s">
        <v>24</v>
      </c>
      <c r="J337" s="2" t="s">
        <v>1665</v>
      </c>
      <c r="K337" s="2" t="s">
        <v>824</v>
      </c>
      <c r="L337">
        <v>3</v>
      </c>
      <c r="M337" s="1">
        <v>224000</v>
      </c>
      <c r="N337">
        <v>4.0999999999999996</v>
      </c>
      <c r="O337">
        <v>11</v>
      </c>
      <c r="P337" s="2" t="s">
        <v>26</v>
      </c>
    </row>
    <row r="338" spans="1:16" x14ac:dyDescent="0.25">
      <c r="A338" s="2" t="s">
        <v>1666</v>
      </c>
      <c r="B338" s="2" t="s">
        <v>1667</v>
      </c>
      <c r="C338" s="2" t="s">
        <v>29</v>
      </c>
      <c r="D338" s="2" t="s">
        <v>30</v>
      </c>
      <c r="E338" s="2" t="s">
        <v>31</v>
      </c>
      <c r="F338" s="2" t="s">
        <v>32</v>
      </c>
      <c r="G338" s="2" t="s">
        <v>22</v>
      </c>
      <c r="H338" s="2" t="s">
        <v>23</v>
      </c>
      <c r="I338" s="2" t="s">
        <v>57</v>
      </c>
      <c r="J338" s="2" t="s">
        <v>1668</v>
      </c>
      <c r="K338" s="2" t="s">
        <v>824</v>
      </c>
      <c r="L338">
        <v>6</v>
      </c>
      <c r="M338" s="1">
        <v>287000</v>
      </c>
      <c r="N338">
        <v>3.1</v>
      </c>
      <c r="O338">
        <v>9</v>
      </c>
      <c r="P338" s="2" t="s">
        <v>72</v>
      </c>
    </row>
    <row r="339" spans="1:16" x14ac:dyDescent="0.25">
      <c r="A339" s="2" t="s">
        <v>1669</v>
      </c>
      <c r="B339" s="2" t="s">
        <v>1670</v>
      </c>
      <c r="C339" s="2" t="s">
        <v>18</v>
      </c>
      <c r="D339" s="2" t="s">
        <v>19</v>
      </c>
      <c r="E339" s="2" t="s">
        <v>44</v>
      </c>
      <c r="F339" s="2" t="s">
        <v>32</v>
      </c>
      <c r="G339" s="2" t="s">
        <v>22</v>
      </c>
      <c r="H339" s="2" t="s">
        <v>23</v>
      </c>
      <c r="I339" s="2" t="s">
        <v>35</v>
      </c>
      <c r="J339" s="2" t="s">
        <v>1671</v>
      </c>
      <c r="K339" s="2" t="s">
        <v>1678</v>
      </c>
      <c r="L339">
        <v>5</v>
      </c>
      <c r="M339" s="1">
        <v>318000</v>
      </c>
      <c r="N339">
        <v>4</v>
      </c>
      <c r="O339">
        <v>13</v>
      </c>
      <c r="P339" s="2" t="s">
        <v>26</v>
      </c>
    </row>
    <row r="340" spans="1:16" x14ac:dyDescent="0.25">
      <c r="A340" s="2" t="s">
        <v>1672</v>
      </c>
      <c r="B340" s="2" t="s">
        <v>1673</v>
      </c>
      <c r="C340" s="2" t="s">
        <v>18</v>
      </c>
      <c r="D340" s="2" t="s">
        <v>30</v>
      </c>
      <c r="E340" s="2" t="s">
        <v>20</v>
      </c>
      <c r="F340" s="2" t="s">
        <v>39</v>
      </c>
      <c r="G340" s="2" t="s">
        <v>33</v>
      </c>
      <c r="H340" s="2" t="s">
        <v>34</v>
      </c>
      <c r="I340" s="2" t="s">
        <v>24</v>
      </c>
      <c r="J340" s="2" t="s">
        <v>1674</v>
      </c>
      <c r="K340" s="2" t="s">
        <v>1678</v>
      </c>
      <c r="L340">
        <v>2</v>
      </c>
      <c r="M340" s="1">
        <v>178000</v>
      </c>
      <c r="N340">
        <v>1.8</v>
      </c>
      <c r="O340">
        <v>1</v>
      </c>
      <c r="P340" s="2" t="s">
        <v>26</v>
      </c>
    </row>
    <row r="341" spans="1:16" x14ac:dyDescent="0.25">
      <c r="A341" s="2" t="s">
        <v>1675</v>
      </c>
      <c r="B341" s="2" t="s">
        <v>1676</v>
      </c>
      <c r="C341" s="2" t="s">
        <v>29</v>
      </c>
      <c r="D341" s="2" t="s">
        <v>50</v>
      </c>
      <c r="E341" s="2" t="s">
        <v>20</v>
      </c>
      <c r="F341" s="2" t="s">
        <v>39</v>
      </c>
      <c r="G341" s="2" t="s">
        <v>80</v>
      </c>
      <c r="H341" s="2" t="s">
        <v>46</v>
      </c>
      <c r="I341" s="2" t="s">
        <v>24</v>
      </c>
      <c r="J341" s="2" t="s">
        <v>1677</v>
      </c>
      <c r="K341" s="2" t="s">
        <v>1678</v>
      </c>
      <c r="L341">
        <v>6</v>
      </c>
      <c r="M341" s="1">
        <v>140000</v>
      </c>
      <c r="N341">
        <v>3.9</v>
      </c>
      <c r="O341">
        <v>9</v>
      </c>
      <c r="P341" s="2" t="s">
        <v>53</v>
      </c>
    </row>
    <row r="342" spans="1:16" x14ac:dyDescent="0.25">
      <c r="A342" s="2" t="s">
        <v>197</v>
      </c>
      <c r="B342" s="2" t="s">
        <v>198</v>
      </c>
      <c r="C342" s="2" t="s">
        <v>18</v>
      </c>
      <c r="D342" s="2" t="s">
        <v>30</v>
      </c>
      <c r="E342" s="2" t="s">
        <v>20</v>
      </c>
      <c r="F342" s="2" t="s">
        <v>39</v>
      </c>
      <c r="G342" s="2" t="s">
        <v>22</v>
      </c>
      <c r="H342" s="2" t="s">
        <v>34</v>
      </c>
      <c r="I342" s="2" t="s">
        <v>24</v>
      </c>
      <c r="J342" s="2" t="s">
        <v>199</v>
      </c>
      <c r="K342" s="2" t="s">
        <v>76</v>
      </c>
      <c r="L342">
        <v>5</v>
      </c>
      <c r="M342" s="1">
        <v>99000</v>
      </c>
      <c r="N342">
        <v>2.4</v>
      </c>
      <c r="O342">
        <v>8</v>
      </c>
      <c r="P342" s="2" t="s">
        <v>26</v>
      </c>
    </row>
    <row r="343" spans="1:16" x14ac:dyDescent="0.25">
      <c r="A343" s="2" t="s">
        <v>1679</v>
      </c>
      <c r="B343" s="2" t="s">
        <v>1680</v>
      </c>
      <c r="C343" s="2" t="s">
        <v>29</v>
      </c>
      <c r="D343" s="2" t="s">
        <v>30</v>
      </c>
      <c r="E343" s="2" t="s">
        <v>20</v>
      </c>
      <c r="F343" s="2" t="s">
        <v>39</v>
      </c>
      <c r="G343" s="2" t="s">
        <v>22</v>
      </c>
      <c r="H343" s="2" t="s">
        <v>34</v>
      </c>
      <c r="I343" s="2" t="s">
        <v>57</v>
      </c>
      <c r="J343" s="2" t="s">
        <v>1034</v>
      </c>
      <c r="K343" s="2" t="s">
        <v>76</v>
      </c>
      <c r="L343">
        <v>3</v>
      </c>
      <c r="M343" s="1">
        <v>88000</v>
      </c>
      <c r="N343">
        <v>2.4</v>
      </c>
      <c r="O343">
        <v>2</v>
      </c>
      <c r="P343" s="2" t="s">
        <v>72</v>
      </c>
    </row>
    <row r="344" spans="1:16" x14ac:dyDescent="0.25">
      <c r="A344" s="2" t="s">
        <v>1681</v>
      </c>
      <c r="B344" s="2" t="s">
        <v>1682</v>
      </c>
      <c r="C344" s="2" t="s">
        <v>18</v>
      </c>
      <c r="D344" s="2" t="s">
        <v>19</v>
      </c>
      <c r="E344" s="2" t="s">
        <v>20</v>
      </c>
      <c r="F344" s="2" t="s">
        <v>128</v>
      </c>
      <c r="G344" s="2" t="s">
        <v>69</v>
      </c>
      <c r="H344" s="2" t="s">
        <v>34</v>
      </c>
      <c r="I344" s="2" t="s">
        <v>75</v>
      </c>
      <c r="J344" s="2" t="s">
        <v>1683</v>
      </c>
      <c r="K344" s="2" t="s">
        <v>1684</v>
      </c>
      <c r="L344">
        <v>2</v>
      </c>
      <c r="M344" s="1">
        <v>482000</v>
      </c>
      <c r="N344">
        <v>4.2</v>
      </c>
      <c r="O344">
        <v>9</v>
      </c>
      <c r="P344" s="2" t="s">
        <v>72</v>
      </c>
    </row>
    <row r="345" spans="1:16" x14ac:dyDescent="0.25">
      <c r="A345" s="2" t="s">
        <v>1687</v>
      </c>
      <c r="B345" s="2" t="s">
        <v>1688</v>
      </c>
      <c r="C345" s="2" t="s">
        <v>29</v>
      </c>
      <c r="D345" s="2" t="s">
        <v>30</v>
      </c>
      <c r="E345" s="2" t="s">
        <v>20</v>
      </c>
      <c r="F345" s="2" t="s">
        <v>128</v>
      </c>
      <c r="G345" s="2" t="s">
        <v>80</v>
      </c>
      <c r="H345" s="2" t="s">
        <v>34</v>
      </c>
      <c r="I345" s="2" t="s">
        <v>24</v>
      </c>
      <c r="J345" s="2" t="s">
        <v>1689</v>
      </c>
      <c r="K345" s="2" t="s">
        <v>1690</v>
      </c>
      <c r="L345">
        <v>2</v>
      </c>
      <c r="M345" s="1">
        <v>474000</v>
      </c>
      <c r="N345">
        <v>3.4</v>
      </c>
      <c r="O345">
        <v>2</v>
      </c>
      <c r="P345" s="2" t="s">
        <v>53</v>
      </c>
    </row>
    <row r="346" spans="1:16" x14ac:dyDescent="0.25">
      <c r="A346" s="2" t="s">
        <v>1694</v>
      </c>
      <c r="B346" s="2" t="s">
        <v>1695</v>
      </c>
      <c r="C346" s="2" t="s">
        <v>29</v>
      </c>
      <c r="D346" s="2" t="s">
        <v>79</v>
      </c>
      <c r="E346" s="2" t="s">
        <v>20</v>
      </c>
      <c r="F346" s="2" t="s">
        <v>128</v>
      </c>
      <c r="G346" s="2" t="s">
        <v>22</v>
      </c>
      <c r="H346" s="2" t="s">
        <v>34</v>
      </c>
      <c r="I346" s="2" t="s">
        <v>24</v>
      </c>
      <c r="J346" s="2" t="s">
        <v>1696</v>
      </c>
      <c r="K346" s="2" t="s">
        <v>1471</v>
      </c>
      <c r="L346">
        <v>6</v>
      </c>
      <c r="M346" s="1">
        <v>558000</v>
      </c>
      <c r="N346">
        <v>2.1</v>
      </c>
      <c r="O346">
        <v>6</v>
      </c>
      <c r="P346" s="2" t="s">
        <v>26</v>
      </c>
    </row>
    <row r="347" spans="1:16" x14ac:dyDescent="0.25">
      <c r="A347" s="2" t="s">
        <v>1697</v>
      </c>
      <c r="B347" s="2" t="s">
        <v>1698</v>
      </c>
      <c r="C347" s="2" t="s">
        <v>29</v>
      </c>
      <c r="D347" s="2" t="s">
        <v>19</v>
      </c>
      <c r="E347" s="2" t="s">
        <v>20</v>
      </c>
      <c r="F347" s="2" t="s">
        <v>32</v>
      </c>
      <c r="G347" s="2" t="s">
        <v>22</v>
      </c>
      <c r="H347" s="2" t="s">
        <v>23</v>
      </c>
      <c r="I347" s="2" t="s">
        <v>24</v>
      </c>
      <c r="J347" s="2" t="s">
        <v>546</v>
      </c>
      <c r="K347" s="2" t="s">
        <v>1471</v>
      </c>
      <c r="L347">
        <v>4</v>
      </c>
      <c r="M347" s="1">
        <v>351000</v>
      </c>
      <c r="N347">
        <v>2.5</v>
      </c>
      <c r="O347">
        <v>12</v>
      </c>
      <c r="P347" s="2" t="s">
        <v>53</v>
      </c>
    </row>
    <row r="348" spans="1:16" x14ac:dyDescent="0.25">
      <c r="A348" s="2" t="s">
        <v>1699</v>
      </c>
      <c r="B348" s="2" t="s">
        <v>1700</v>
      </c>
      <c r="C348" s="2" t="s">
        <v>29</v>
      </c>
      <c r="D348" s="2" t="s">
        <v>30</v>
      </c>
      <c r="E348" s="2" t="s">
        <v>20</v>
      </c>
      <c r="F348" s="2" t="s">
        <v>32</v>
      </c>
      <c r="G348" s="2" t="s">
        <v>22</v>
      </c>
      <c r="H348" s="2" t="s">
        <v>34</v>
      </c>
      <c r="I348" s="2" t="s">
        <v>75</v>
      </c>
      <c r="J348" s="2" t="s">
        <v>136</v>
      </c>
      <c r="K348" s="2" t="s">
        <v>1709</v>
      </c>
      <c r="L348">
        <v>3</v>
      </c>
      <c r="M348" s="1">
        <v>257000</v>
      </c>
      <c r="N348">
        <v>4.2</v>
      </c>
      <c r="O348">
        <v>14</v>
      </c>
      <c r="P348" s="2" t="s">
        <v>26</v>
      </c>
    </row>
    <row r="349" spans="1:16" x14ac:dyDescent="0.25">
      <c r="A349" s="2" t="s">
        <v>1701</v>
      </c>
      <c r="B349" s="2" t="s">
        <v>1702</v>
      </c>
      <c r="C349" s="2" t="s">
        <v>18</v>
      </c>
      <c r="D349" s="2" t="s">
        <v>79</v>
      </c>
      <c r="E349" s="2" t="s">
        <v>44</v>
      </c>
      <c r="F349" s="2" t="s">
        <v>45</v>
      </c>
      <c r="G349" s="2" t="s">
        <v>69</v>
      </c>
      <c r="H349" s="2" t="s">
        <v>34</v>
      </c>
      <c r="I349" s="2" t="s">
        <v>35</v>
      </c>
      <c r="J349" s="2" t="s">
        <v>1703</v>
      </c>
      <c r="K349" s="2" t="s">
        <v>1709</v>
      </c>
      <c r="L349">
        <v>6</v>
      </c>
      <c r="M349" s="1">
        <v>1991000</v>
      </c>
      <c r="N349">
        <v>4.4000000000000004</v>
      </c>
      <c r="O349">
        <v>14</v>
      </c>
      <c r="P349" s="2" t="s">
        <v>26</v>
      </c>
    </row>
    <row r="350" spans="1:16" x14ac:dyDescent="0.25">
      <c r="A350" s="2" t="s">
        <v>1704</v>
      </c>
      <c r="B350" s="2" t="s">
        <v>1705</v>
      </c>
      <c r="C350" s="2" t="s">
        <v>18</v>
      </c>
      <c r="D350" s="2" t="s">
        <v>79</v>
      </c>
      <c r="E350" s="2" t="s">
        <v>20</v>
      </c>
      <c r="F350" s="2" t="s">
        <v>32</v>
      </c>
      <c r="G350" s="2" t="s">
        <v>33</v>
      </c>
      <c r="H350" s="2" t="s">
        <v>34</v>
      </c>
      <c r="I350" s="2" t="s">
        <v>57</v>
      </c>
      <c r="J350" s="2" t="s">
        <v>974</v>
      </c>
      <c r="K350" s="2" t="s">
        <v>1709</v>
      </c>
      <c r="L350">
        <v>2</v>
      </c>
      <c r="M350" s="1">
        <v>205000</v>
      </c>
      <c r="N350">
        <v>2.2000000000000002</v>
      </c>
      <c r="O350">
        <v>7</v>
      </c>
      <c r="P350" s="2" t="s">
        <v>26</v>
      </c>
    </row>
    <row r="351" spans="1:16" x14ac:dyDescent="0.25">
      <c r="A351" s="2" t="s">
        <v>1706</v>
      </c>
      <c r="B351" s="2" t="s">
        <v>1707</v>
      </c>
      <c r="C351" s="2" t="s">
        <v>18</v>
      </c>
      <c r="D351" s="2" t="s">
        <v>30</v>
      </c>
      <c r="E351" s="2" t="s">
        <v>20</v>
      </c>
      <c r="F351" s="2" t="s">
        <v>39</v>
      </c>
      <c r="G351" s="2" t="s">
        <v>22</v>
      </c>
      <c r="H351" s="2" t="s">
        <v>34</v>
      </c>
      <c r="I351" s="2" t="s">
        <v>35</v>
      </c>
      <c r="J351" s="2" t="s">
        <v>1708</v>
      </c>
      <c r="K351" s="2" t="s">
        <v>1709</v>
      </c>
      <c r="L351">
        <v>6</v>
      </c>
      <c r="M351" s="1">
        <v>136000</v>
      </c>
      <c r="N351">
        <v>2.2999999999999998</v>
      </c>
      <c r="O351">
        <v>8</v>
      </c>
      <c r="P351" s="2" t="s">
        <v>114</v>
      </c>
    </row>
    <row r="352" spans="1:16" x14ac:dyDescent="0.25">
      <c r="A352" s="2" t="s">
        <v>1710</v>
      </c>
      <c r="B352" s="2" t="s">
        <v>1711</v>
      </c>
      <c r="C352" s="2" t="s">
        <v>29</v>
      </c>
      <c r="D352" s="2" t="s">
        <v>19</v>
      </c>
      <c r="E352" s="2" t="s">
        <v>31</v>
      </c>
      <c r="F352" s="2" t="s">
        <v>32</v>
      </c>
      <c r="G352" s="2" t="s">
        <v>80</v>
      </c>
      <c r="H352" s="2" t="s">
        <v>34</v>
      </c>
      <c r="I352" s="2" t="s">
        <v>24</v>
      </c>
      <c r="J352" s="2" t="s">
        <v>1712</v>
      </c>
      <c r="K352" s="2" t="s">
        <v>1713</v>
      </c>
      <c r="L352">
        <v>2</v>
      </c>
      <c r="M352" s="1">
        <v>385000</v>
      </c>
      <c r="N352">
        <v>3.2</v>
      </c>
      <c r="O352">
        <v>4</v>
      </c>
      <c r="P352" s="2" t="s">
        <v>114</v>
      </c>
    </row>
    <row r="353" spans="1:16" x14ac:dyDescent="0.25">
      <c r="A353" s="2" t="s">
        <v>1714</v>
      </c>
      <c r="B353" s="2" t="s">
        <v>1715</v>
      </c>
      <c r="C353" s="2" t="s">
        <v>29</v>
      </c>
      <c r="D353" s="2" t="s">
        <v>30</v>
      </c>
      <c r="E353" s="2" t="s">
        <v>44</v>
      </c>
      <c r="F353" s="2" t="s">
        <v>32</v>
      </c>
      <c r="G353" s="2" t="s">
        <v>80</v>
      </c>
      <c r="H353" s="2" t="s">
        <v>23</v>
      </c>
      <c r="I353" s="2" t="s">
        <v>57</v>
      </c>
      <c r="J353" s="2" t="s">
        <v>1716</v>
      </c>
      <c r="K353" s="2" t="s">
        <v>1735</v>
      </c>
      <c r="L353">
        <v>2</v>
      </c>
      <c r="M353" s="1">
        <v>208000</v>
      </c>
      <c r="N353">
        <v>1.8</v>
      </c>
      <c r="O353">
        <v>13</v>
      </c>
      <c r="P353" s="2" t="s">
        <v>26</v>
      </c>
    </row>
    <row r="354" spans="1:16" x14ac:dyDescent="0.25">
      <c r="A354" s="2" t="s">
        <v>1717</v>
      </c>
      <c r="B354" s="2" t="s">
        <v>1718</v>
      </c>
      <c r="C354" s="2" t="s">
        <v>18</v>
      </c>
      <c r="D354" s="2" t="s">
        <v>19</v>
      </c>
      <c r="E354" s="2" t="s">
        <v>31</v>
      </c>
      <c r="F354" s="2" t="s">
        <v>32</v>
      </c>
      <c r="G354" s="2" t="s">
        <v>22</v>
      </c>
      <c r="H354" s="2" t="s">
        <v>46</v>
      </c>
      <c r="I354" s="2" t="s">
        <v>57</v>
      </c>
      <c r="J354" s="2" t="s">
        <v>1719</v>
      </c>
      <c r="K354" s="2" t="s">
        <v>1735</v>
      </c>
      <c r="L354">
        <v>3</v>
      </c>
      <c r="M354" s="1">
        <v>361000</v>
      </c>
      <c r="N354">
        <v>3.9</v>
      </c>
      <c r="O354">
        <v>10</v>
      </c>
      <c r="P354" s="2" t="s">
        <v>26</v>
      </c>
    </row>
    <row r="355" spans="1:16" x14ac:dyDescent="0.25">
      <c r="A355" s="2" t="s">
        <v>1720</v>
      </c>
      <c r="B355" s="2" t="s">
        <v>1721</v>
      </c>
      <c r="C355" s="2" t="s">
        <v>29</v>
      </c>
      <c r="D355" s="2" t="s">
        <v>50</v>
      </c>
      <c r="E355" s="2" t="s">
        <v>20</v>
      </c>
      <c r="F355" s="2" t="s">
        <v>21</v>
      </c>
      <c r="G355" s="2" t="s">
        <v>22</v>
      </c>
      <c r="H355" s="2" t="s">
        <v>23</v>
      </c>
      <c r="I355" s="2" t="s">
        <v>24</v>
      </c>
      <c r="J355" s="2" t="s">
        <v>1158</v>
      </c>
      <c r="K355" s="2" t="s">
        <v>1735</v>
      </c>
      <c r="L355">
        <v>3</v>
      </c>
      <c r="M355" s="1">
        <v>801000</v>
      </c>
      <c r="N355">
        <v>4.7</v>
      </c>
      <c r="O355">
        <v>3</v>
      </c>
      <c r="P355" s="2" t="s">
        <v>26</v>
      </c>
    </row>
    <row r="356" spans="1:16" x14ac:dyDescent="0.25">
      <c r="A356" s="2" t="s">
        <v>1722</v>
      </c>
      <c r="B356" s="2" t="s">
        <v>1723</v>
      </c>
      <c r="C356" s="2" t="s">
        <v>18</v>
      </c>
      <c r="D356" s="2" t="s">
        <v>79</v>
      </c>
      <c r="E356" s="2" t="s">
        <v>44</v>
      </c>
      <c r="F356" s="2" t="s">
        <v>21</v>
      </c>
      <c r="G356" s="2" t="s">
        <v>80</v>
      </c>
      <c r="H356" s="2" t="s">
        <v>62</v>
      </c>
      <c r="I356" s="2" t="s">
        <v>57</v>
      </c>
      <c r="J356" s="2" t="s">
        <v>416</v>
      </c>
      <c r="K356" s="2" t="s">
        <v>1735</v>
      </c>
      <c r="L356">
        <v>2</v>
      </c>
      <c r="M356" s="1">
        <v>854000</v>
      </c>
      <c r="N356">
        <v>4.2</v>
      </c>
      <c r="O356">
        <v>3</v>
      </c>
      <c r="P356" s="2" t="s">
        <v>26</v>
      </c>
    </row>
    <row r="357" spans="1:16" x14ac:dyDescent="0.25">
      <c r="A357" s="2" t="s">
        <v>1724</v>
      </c>
      <c r="B357" s="2" t="s">
        <v>1725</v>
      </c>
      <c r="C357" s="2" t="s">
        <v>18</v>
      </c>
      <c r="D357" s="2" t="s">
        <v>79</v>
      </c>
      <c r="E357" s="2" t="s">
        <v>20</v>
      </c>
      <c r="F357" s="2" t="s">
        <v>32</v>
      </c>
      <c r="G357" s="2" t="s">
        <v>69</v>
      </c>
      <c r="H357" s="2" t="s">
        <v>23</v>
      </c>
      <c r="I357" s="2" t="s">
        <v>75</v>
      </c>
      <c r="J357" s="2" t="s">
        <v>963</v>
      </c>
      <c r="K357" s="2" t="s">
        <v>1735</v>
      </c>
      <c r="L357">
        <v>4</v>
      </c>
      <c r="M357" s="1">
        <v>219000</v>
      </c>
      <c r="N357">
        <v>4.4000000000000004</v>
      </c>
      <c r="O357">
        <v>2</v>
      </c>
      <c r="P357" s="2" t="s">
        <v>26</v>
      </c>
    </row>
    <row r="358" spans="1:16" x14ac:dyDescent="0.25">
      <c r="A358" s="2" t="s">
        <v>1726</v>
      </c>
      <c r="B358" s="2" t="s">
        <v>869</v>
      </c>
      <c r="C358" s="2" t="s">
        <v>18</v>
      </c>
      <c r="D358" s="2" t="s">
        <v>79</v>
      </c>
      <c r="E358" s="2" t="s">
        <v>20</v>
      </c>
      <c r="F358" s="2" t="s">
        <v>32</v>
      </c>
      <c r="G358" s="2" t="s">
        <v>22</v>
      </c>
      <c r="H358" s="2" t="s">
        <v>46</v>
      </c>
      <c r="I358" s="2" t="s">
        <v>24</v>
      </c>
      <c r="J358" s="2" t="s">
        <v>1085</v>
      </c>
      <c r="K358" s="2" t="s">
        <v>1735</v>
      </c>
      <c r="L358">
        <v>6</v>
      </c>
      <c r="M358" s="1">
        <v>189000</v>
      </c>
      <c r="N358">
        <v>4.9000000000000004</v>
      </c>
      <c r="O358">
        <v>8</v>
      </c>
      <c r="P358" s="2" t="s">
        <v>26</v>
      </c>
    </row>
    <row r="359" spans="1:16" x14ac:dyDescent="0.25">
      <c r="A359" s="2" t="s">
        <v>1727</v>
      </c>
      <c r="B359" s="2" t="s">
        <v>1728</v>
      </c>
      <c r="C359" s="2" t="s">
        <v>18</v>
      </c>
      <c r="D359" s="2" t="s">
        <v>30</v>
      </c>
      <c r="E359" s="2" t="s">
        <v>44</v>
      </c>
      <c r="F359" s="2" t="s">
        <v>39</v>
      </c>
      <c r="G359" s="2" t="s">
        <v>80</v>
      </c>
      <c r="H359" s="2" t="s">
        <v>62</v>
      </c>
      <c r="I359" s="2" t="s">
        <v>24</v>
      </c>
      <c r="J359" s="2" t="s">
        <v>1729</v>
      </c>
      <c r="K359" s="2" t="s">
        <v>1735</v>
      </c>
      <c r="L359">
        <v>3</v>
      </c>
      <c r="M359" s="1">
        <v>86000</v>
      </c>
      <c r="N359">
        <v>3.4</v>
      </c>
      <c r="O359">
        <v>6</v>
      </c>
      <c r="P359" s="2" t="s">
        <v>26</v>
      </c>
    </row>
    <row r="360" spans="1:16" x14ac:dyDescent="0.25">
      <c r="A360" s="2" t="s">
        <v>1733</v>
      </c>
      <c r="B360" s="2" t="s">
        <v>1734</v>
      </c>
      <c r="C360" s="2" t="s">
        <v>18</v>
      </c>
      <c r="D360" s="2" t="s">
        <v>30</v>
      </c>
      <c r="E360" s="2" t="s">
        <v>20</v>
      </c>
      <c r="F360" s="2" t="s">
        <v>39</v>
      </c>
      <c r="G360" s="2" t="s">
        <v>22</v>
      </c>
      <c r="H360" s="2" t="s">
        <v>34</v>
      </c>
      <c r="I360" s="2" t="s">
        <v>75</v>
      </c>
      <c r="J360" s="2" t="s">
        <v>466</v>
      </c>
      <c r="K360" s="2" t="s">
        <v>1735</v>
      </c>
      <c r="L360">
        <v>4</v>
      </c>
      <c r="M360" s="1">
        <v>126000</v>
      </c>
      <c r="N360">
        <v>1.7</v>
      </c>
      <c r="O360">
        <v>8</v>
      </c>
      <c r="P360" s="2" t="s">
        <v>53</v>
      </c>
    </row>
    <row r="361" spans="1:16" x14ac:dyDescent="0.25">
      <c r="A361" s="2" t="s">
        <v>1739</v>
      </c>
      <c r="B361" s="2" t="s">
        <v>1740</v>
      </c>
      <c r="C361" s="2" t="s">
        <v>18</v>
      </c>
      <c r="D361" s="2" t="s">
        <v>43</v>
      </c>
      <c r="E361" s="2" t="s">
        <v>20</v>
      </c>
      <c r="F361" s="2" t="s">
        <v>32</v>
      </c>
      <c r="G361" s="2" t="s">
        <v>69</v>
      </c>
      <c r="H361" s="2" t="s">
        <v>62</v>
      </c>
      <c r="I361" s="2" t="s">
        <v>24</v>
      </c>
      <c r="J361" s="2" t="s">
        <v>1534</v>
      </c>
      <c r="K361" s="2" t="s">
        <v>1748</v>
      </c>
      <c r="L361">
        <v>6</v>
      </c>
      <c r="M361" s="1">
        <v>218000</v>
      </c>
      <c r="N361">
        <v>3.7</v>
      </c>
      <c r="O361">
        <v>11</v>
      </c>
      <c r="P361" s="2" t="s">
        <v>26</v>
      </c>
    </row>
    <row r="362" spans="1:16" x14ac:dyDescent="0.25">
      <c r="A362" s="2" t="s">
        <v>1745</v>
      </c>
      <c r="B362" s="2" t="s">
        <v>1746</v>
      </c>
      <c r="C362" s="2" t="s">
        <v>29</v>
      </c>
      <c r="D362" s="2" t="s">
        <v>50</v>
      </c>
      <c r="E362" s="2" t="s">
        <v>31</v>
      </c>
      <c r="F362" s="2" t="s">
        <v>128</v>
      </c>
      <c r="G362" s="2" t="s">
        <v>22</v>
      </c>
      <c r="H362" s="2" t="s">
        <v>46</v>
      </c>
      <c r="I362" s="2" t="s">
        <v>171</v>
      </c>
      <c r="J362" s="2" t="s">
        <v>1747</v>
      </c>
      <c r="K362" s="2" t="s">
        <v>1748</v>
      </c>
      <c r="L362">
        <v>5</v>
      </c>
      <c r="M362" s="1">
        <v>399000</v>
      </c>
      <c r="N362">
        <v>3.4</v>
      </c>
      <c r="O362">
        <v>10</v>
      </c>
      <c r="P362" s="2" t="s">
        <v>53</v>
      </c>
    </row>
    <row r="363" spans="1:16" x14ac:dyDescent="0.25">
      <c r="A363" s="2" t="s">
        <v>1749</v>
      </c>
      <c r="B363" s="2" t="s">
        <v>1750</v>
      </c>
      <c r="C363" s="2" t="s">
        <v>18</v>
      </c>
      <c r="D363" s="2" t="s">
        <v>79</v>
      </c>
      <c r="E363" s="2" t="s">
        <v>20</v>
      </c>
      <c r="F363" s="2" t="s">
        <v>45</v>
      </c>
      <c r="G363" s="2" t="s">
        <v>33</v>
      </c>
      <c r="H363" s="2" t="s">
        <v>34</v>
      </c>
      <c r="I363" s="2" t="s">
        <v>35</v>
      </c>
      <c r="J363" s="2" t="s">
        <v>1751</v>
      </c>
      <c r="K363" s="2" t="s">
        <v>25</v>
      </c>
      <c r="L363">
        <v>4</v>
      </c>
      <c r="M363" s="1">
        <v>1795000</v>
      </c>
      <c r="N363">
        <v>4.2</v>
      </c>
      <c r="O363">
        <v>11</v>
      </c>
      <c r="P363" s="2" t="s">
        <v>53</v>
      </c>
    </row>
    <row r="364" spans="1:16" x14ac:dyDescent="0.25">
      <c r="A364" s="2" t="s">
        <v>1755</v>
      </c>
      <c r="B364" s="2" t="s">
        <v>1756</v>
      </c>
      <c r="C364" s="2" t="s">
        <v>18</v>
      </c>
      <c r="D364" s="2" t="s">
        <v>50</v>
      </c>
      <c r="E364" s="2" t="s">
        <v>20</v>
      </c>
      <c r="F364" s="2" t="s">
        <v>128</v>
      </c>
      <c r="G364" s="2" t="s">
        <v>22</v>
      </c>
      <c r="H364" s="2" t="s">
        <v>34</v>
      </c>
      <c r="I364" s="2" t="s">
        <v>75</v>
      </c>
      <c r="J364" s="2" t="s">
        <v>1712</v>
      </c>
      <c r="K364" s="2" t="s">
        <v>784</v>
      </c>
      <c r="L364">
        <v>2</v>
      </c>
      <c r="M364" s="1">
        <v>583000</v>
      </c>
      <c r="N364">
        <v>4.0999999999999996</v>
      </c>
      <c r="O364">
        <v>4</v>
      </c>
      <c r="P364" s="2" t="s">
        <v>53</v>
      </c>
    </row>
    <row r="365" spans="1:16" x14ac:dyDescent="0.25">
      <c r="A365" s="2" t="s">
        <v>1757</v>
      </c>
      <c r="B365" s="2" t="s">
        <v>1758</v>
      </c>
      <c r="C365" s="2" t="s">
        <v>29</v>
      </c>
      <c r="D365" s="2" t="s">
        <v>79</v>
      </c>
      <c r="E365" s="2" t="s">
        <v>44</v>
      </c>
      <c r="F365" s="2" t="s">
        <v>128</v>
      </c>
      <c r="G365" s="2" t="s">
        <v>22</v>
      </c>
      <c r="H365" s="2" t="s">
        <v>23</v>
      </c>
      <c r="I365" s="2" t="s">
        <v>57</v>
      </c>
      <c r="J365" s="2" t="s">
        <v>1759</v>
      </c>
      <c r="K365" s="2" t="s">
        <v>1760</v>
      </c>
      <c r="L365">
        <v>6</v>
      </c>
      <c r="M365" s="1">
        <v>372000</v>
      </c>
      <c r="N365">
        <v>2.5</v>
      </c>
      <c r="O365">
        <v>2</v>
      </c>
      <c r="P365" s="2" t="s">
        <v>53</v>
      </c>
    </row>
    <row r="366" spans="1:16" x14ac:dyDescent="0.25">
      <c r="A366" s="2" t="s">
        <v>1761</v>
      </c>
      <c r="B366" s="2" t="s">
        <v>1762</v>
      </c>
      <c r="C366" s="2" t="s">
        <v>18</v>
      </c>
      <c r="D366" s="2" t="s">
        <v>50</v>
      </c>
      <c r="E366" s="2" t="s">
        <v>20</v>
      </c>
      <c r="F366" s="2" t="s">
        <v>32</v>
      </c>
      <c r="G366" s="2" t="s">
        <v>22</v>
      </c>
      <c r="H366" s="2" t="s">
        <v>34</v>
      </c>
      <c r="I366" s="2" t="s">
        <v>24</v>
      </c>
      <c r="J366" s="2" t="s">
        <v>1763</v>
      </c>
      <c r="K366" s="2" t="s">
        <v>745</v>
      </c>
      <c r="L366">
        <v>3</v>
      </c>
      <c r="M366" s="1">
        <v>267000</v>
      </c>
      <c r="N366">
        <v>2.1</v>
      </c>
      <c r="O366">
        <v>3</v>
      </c>
      <c r="P366" s="2" t="s">
        <v>26</v>
      </c>
    </row>
    <row r="367" spans="1:16" x14ac:dyDescent="0.25">
      <c r="A367" s="2" t="s">
        <v>1764</v>
      </c>
      <c r="B367" s="2" t="s">
        <v>1765</v>
      </c>
      <c r="C367" s="2" t="s">
        <v>18</v>
      </c>
      <c r="D367" s="2" t="s">
        <v>79</v>
      </c>
      <c r="E367" s="2" t="s">
        <v>20</v>
      </c>
      <c r="F367" s="2" t="s">
        <v>128</v>
      </c>
      <c r="G367" s="2" t="s">
        <v>80</v>
      </c>
      <c r="H367" s="2" t="s">
        <v>62</v>
      </c>
      <c r="I367" s="2" t="s">
        <v>24</v>
      </c>
      <c r="J367" s="2" t="s">
        <v>811</v>
      </c>
      <c r="K367" s="2" t="s">
        <v>745</v>
      </c>
      <c r="L367">
        <v>5</v>
      </c>
      <c r="M367" s="1">
        <v>437000</v>
      </c>
      <c r="N367">
        <v>3.9</v>
      </c>
      <c r="O367">
        <v>0</v>
      </c>
      <c r="P367" s="2" t="s">
        <v>26</v>
      </c>
    </row>
    <row r="368" spans="1:16" x14ac:dyDescent="0.25">
      <c r="A368" s="2" t="s">
        <v>1766</v>
      </c>
      <c r="B368" s="2" t="s">
        <v>1767</v>
      </c>
      <c r="C368" s="2" t="s">
        <v>18</v>
      </c>
      <c r="D368" s="2" t="s">
        <v>43</v>
      </c>
      <c r="E368" s="2" t="s">
        <v>20</v>
      </c>
      <c r="F368" s="2" t="s">
        <v>39</v>
      </c>
      <c r="G368" s="2" t="s">
        <v>33</v>
      </c>
      <c r="H368" s="2" t="s">
        <v>46</v>
      </c>
      <c r="I368" s="2" t="s">
        <v>24</v>
      </c>
      <c r="J368" s="2" t="s">
        <v>1768</v>
      </c>
      <c r="K368" s="2" t="s">
        <v>745</v>
      </c>
      <c r="L368">
        <v>4</v>
      </c>
      <c r="M368" s="1">
        <v>85000</v>
      </c>
      <c r="N368">
        <v>3.5</v>
      </c>
      <c r="O368">
        <v>12</v>
      </c>
      <c r="P368" s="2" t="s">
        <v>26</v>
      </c>
    </row>
    <row r="369" spans="1:16" x14ac:dyDescent="0.25">
      <c r="A369" s="2" t="s">
        <v>1769</v>
      </c>
      <c r="B369" s="2" t="s">
        <v>1770</v>
      </c>
      <c r="C369" s="2" t="s">
        <v>29</v>
      </c>
      <c r="D369" s="2" t="s">
        <v>50</v>
      </c>
      <c r="E369" s="2" t="s">
        <v>20</v>
      </c>
      <c r="F369" s="2" t="s">
        <v>128</v>
      </c>
      <c r="G369" s="2" t="s">
        <v>80</v>
      </c>
      <c r="H369" s="2" t="s">
        <v>34</v>
      </c>
      <c r="I369" s="2" t="s">
        <v>57</v>
      </c>
      <c r="J369" s="2" t="s">
        <v>1771</v>
      </c>
      <c r="K369" s="2" t="s">
        <v>745</v>
      </c>
      <c r="L369">
        <v>3</v>
      </c>
      <c r="M369" s="1">
        <v>577000</v>
      </c>
      <c r="N369">
        <v>2.2999999999999998</v>
      </c>
      <c r="O369">
        <v>0</v>
      </c>
      <c r="P369" s="2" t="s">
        <v>26</v>
      </c>
    </row>
    <row r="370" spans="1:16" x14ac:dyDescent="0.25">
      <c r="A370" s="2" t="s">
        <v>1772</v>
      </c>
      <c r="B370" s="2" t="s">
        <v>1773</v>
      </c>
      <c r="C370" s="2" t="s">
        <v>18</v>
      </c>
      <c r="D370" s="2" t="s">
        <v>19</v>
      </c>
      <c r="E370" s="2" t="s">
        <v>20</v>
      </c>
      <c r="F370" s="2" t="s">
        <v>39</v>
      </c>
      <c r="G370" s="2" t="s">
        <v>33</v>
      </c>
      <c r="H370" s="2" t="s">
        <v>34</v>
      </c>
      <c r="I370" s="2" t="s">
        <v>35</v>
      </c>
      <c r="J370" s="2" t="s">
        <v>1774</v>
      </c>
      <c r="K370" s="2" t="s">
        <v>745</v>
      </c>
      <c r="L370">
        <v>7</v>
      </c>
      <c r="M370" s="1">
        <v>173000</v>
      </c>
      <c r="N370">
        <v>4.8</v>
      </c>
      <c r="O370">
        <v>4</v>
      </c>
      <c r="P370" s="2" t="s">
        <v>26</v>
      </c>
    </row>
    <row r="371" spans="1:16" x14ac:dyDescent="0.25">
      <c r="A371" s="2" t="s">
        <v>1775</v>
      </c>
      <c r="B371" s="2" t="s">
        <v>1776</v>
      </c>
      <c r="C371" s="2" t="s">
        <v>29</v>
      </c>
      <c r="D371" s="2" t="s">
        <v>30</v>
      </c>
      <c r="E371" s="2" t="s">
        <v>20</v>
      </c>
      <c r="F371" s="2" t="s">
        <v>39</v>
      </c>
      <c r="G371" s="2" t="s">
        <v>80</v>
      </c>
      <c r="H371" s="2" t="s">
        <v>34</v>
      </c>
      <c r="I371" s="2" t="s">
        <v>24</v>
      </c>
      <c r="J371" s="2" t="s">
        <v>445</v>
      </c>
      <c r="K371" s="2" t="s">
        <v>745</v>
      </c>
      <c r="L371">
        <v>2</v>
      </c>
      <c r="M371" s="1">
        <v>87000</v>
      </c>
      <c r="N371">
        <v>1.7</v>
      </c>
      <c r="O371">
        <v>12</v>
      </c>
      <c r="P371" s="2" t="s">
        <v>72</v>
      </c>
    </row>
    <row r="372" spans="1:16" x14ac:dyDescent="0.25">
      <c r="A372" s="2" t="s">
        <v>1777</v>
      </c>
      <c r="B372" s="2" t="s">
        <v>1778</v>
      </c>
      <c r="C372" s="2" t="s">
        <v>29</v>
      </c>
      <c r="D372" s="2" t="s">
        <v>79</v>
      </c>
      <c r="E372" s="2" t="s">
        <v>20</v>
      </c>
      <c r="F372" s="2" t="s">
        <v>128</v>
      </c>
      <c r="G372" s="2" t="s">
        <v>22</v>
      </c>
      <c r="H372" s="2" t="s">
        <v>46</v>
      </c>
      <c r="I372" s="2" t="s">
        <v>35</v>
      </c>
      <c r="J372" s="2" t="s">
        <v>1779</v>
      </c>
      <c r="K372" s="2" t="s">
        <v>837</v>
      </c>
      <c r="L372">
        <v>7</v>
      </c>
      <c r="M372" s="1">
        <v>427000</v>
      </c>
      <c r="N372">
        <v>2.2999999999999998</v>
      </c>
      <c r="O372">
        <v>8</v>
      </c>
      <c r="P372" s="2" t="s">
        <v>26</v>
      </c>
    </row>
    <row r="373" spans="1:16" x14ac:dyDescent="0.25">
      <c r="A373" s="2" t="s">
        <v>1783</v>
      </c>
      <c r="B373" s="2" t="s">
        <v>1784</v>
      </c>
      <c r="C373" s="2" t="s">
        <v>18</v>
      </c>
      <c r="D373" s="2" t="s">
        <v>19</v>
      </c>
      <c r="E373" s="2" t="s">
        <v>20</v>
      </c>
      <c r="F373" s="2" t="s">
        <v>128</v>
      </c>
      <c r="G373" s="2" t="s">
        <v>22</v>
      </c>
      <c r="H373" s="2" t="s">
        <v>34</v>
      </c>
      <c r="I373" s="2" t="s">
        <v>24</v>
      </c>
      <c r="J373" s="2" t="s">
        <v>1785</v>
      </c>
      <c r="K373" s="2" t="s">
        <v>837</v>
      </c>
      <c r="L373">
        <v>4</v>
      </c>
      <c r="M373" s="1">
        <v>457000</v>
      </c>
      <c r="N373">
        <v>3.4</v>
      </c>
      <c r="O373">
        <v>14</v>
      </c>
      <c r="P373" s="2" t="s">
        <v>53</v>
      </c>
    </row>
    <row r="374" spans="1:16" x14ac:dyDescent="0.25">
      <c r="A374" s="2" t="s">
        <v>1791</v>
      </c>
      <c r="B374" s="2" t="s">
        <v>1792</v>
      </c>
      <c r="C374" s="2" t="s">
        <v>18</v>
      </c>
      <c r="D374" s="2" t="s">
        <v>30</v>
      </c>
      <c r="E374" s="2" t="s">
        <v>20</v>
      </c>
      <c r="F374" s="2" t="s">
        <v>32</v>
      </c>
      <c r="G374" s="2" t="s">
        <v>33</v>
      </c>
      <c r="H374" s="2" t="s">
        <v>46</v>
      </c>
      <c r="I374" s="2" t="s">
        <v>24</v>
      </c>
      <c r="J374" s="2" t="s">
        <v>645</v>
      </c>
      <c r="K374" s="2" t="s">
        <v>40</v>
      </c>
      <c r="L374">
        <v>2</v>
      </c>
      <c r="M374" s="1">
        <v>245000</v>
      </c>
      <c r="N374">
        <v>1.6</v>
      </c>
      <c r="O374">
        <v>6</v>
      </c>
      <c r="P374" s="2" t="s">
        <v>26</v>
      </c>
    </row>
    <row r="375" spans="1:16" x14ac:dyDescent="0.25">
      <c r="A375" s="2" t="s">
        <v>1793</v>
      </c>
      <c r="B375" s="2" t="s">
        <v>1794</v>
      </c>
      <c r="C375" s="2" t="s">
        <v>18</v>
      </c>
      <c r="D375" s="2" t="s">
        <v>79</v>
      </c>
      <c r="E375" s="2" t="s">
        <v>20</v>
      </c>
      <c r="F375" s="2" t="s">
        <v>21</v>
      </c>
      <c r="G375" s="2" t="s">
        <v>22</v>
      </c>
      <c r="H375" s="2" t="s">
        <v>34</v>
      </c>
      <c r="I375" s="2" t="s">
        <v>35</v>
      </c>
      <c r="J375" s="2" t="s">
        <v>1795</v>
      </c>
      <c r="K375" s="2" t="s">
        <v>40</v>
      </c>
      <c r="L375">
        <v>4</v>
      </c>
      <c r="M375" s="1">
        <v>769000</v>
      </c>
      <c r="N375">
        <v>4.8</v>
      </c>
      <c r="O375">
        <v>3</v>
      </c>
      <c r="P375" s="2" t="s">
        <v>26</v>
      </c>
    </row>
    <row r="376" spans="1:16" x14ac:dyDescent="0.25">
      <c r="A376" s="2" t="s">
        <v>1796</v>
      </c>
      <c r="B376" s="2" t="s">
        <v>1797</v>
      </c>
      <c r="C376" s="2" t="s">
        <v>18</v>
      </c>
      <c r="D376" s="2" t="s">
        <v>19</v>
      </c>
      <c r="E376" s="2" t="s">
        <v>44</v>
      </c>
      <c r="F376" s="2" t="s">
        <v>39</v>
      </c>
      <c r="G376" s="2" t="s">
        <v>80</v>
      </c>
      <c r="H376" s="2" t="s">
        <v>34</v>
      </c>
      <c r="I376" s="2" t="s">
        <v>24</v>
      </c>
      <c r="J376" s="2" t="s">
        <v>1798</v>
      </c>
      <c r="K376" s="2" t="s">
        <v>40</v>
      </c>
      <c r="L376">
        <v>6</v>
      </c>
      <c r="M376" s="1">
        <v>198000</v>
      </c>
      <c r="N376">
        <v>4.5999999999999996</v>
      </c>
      <c r="O376">
        <v>14</v>
      </c>
      <c r="P376" s="2" t="s">
        <v>26</v>
      </c>
    </row>
    <row r="377" spans="1:16" x14ac:dyDescent="0.25">
      <c r="A377" s="2" t="s">
        <v>1799</v>
      </c>
      <c r="B377" s="2" t="s">
        <v>1800</v>
      </c>
      <c r="C377" s="2" t="s">
        <v>18</v>
      </c>
      <c r="D377" s="2" t="s">
        <v>19</v>
      </c>
      <c r="E377" s="2" t="s">
        <v>20</v>
      </c>
      <c r="F377" s="2" t="s">
        <v>32</v>
      </c>
      <c r="G377" s="2" t="s">
        <v>22</v>
      </c>
      <c r="H377" s="2" t="s">
        <v>46</v>
      </c>
      <c r="I377" s="2" t="s">
        <v>24</v>
      </c>
      <c r="J377" s="2" t="s">
        <v>1677</v>
      </c>
      <c r="K377" s="2" t="s">
        <v>40</v>
      </c>
      <c r="L377">
        <v>6</v>
      </c>
      <c r="M377" s="1">
        <v>354000</v>
      </c>
      <c r="N377">
        <v>4.8</v>
      </c>
      <c r="O377">
        <v>16</v>
      </c>
      <c r="P377" s="2" t="s">
        <v>26</v>
      </c>
    </row>
    <row r="378" spans="1:16" x14ac:dyDescent="0.25">
      <c r="A378" s="2" t="s">
        <v>1815</v>
      </c>
      <c r="B378" s="2" t="s">
        <v>1816</v>
      </c>
      <c r="C378" s="2" t="s">
        <v>29</v>
      </c>
      <c r="D378" s="2" t="s">
        <v>79</v>
      </c>
      <c r="E378" s="2" t="s">
        <v>31</v>
      </c>
      <c r="F378" s="2" t="s">
        <v>32</v>
      </c>
      <c r="G378" s="2" t="s">
        <v>80</v>
      </c>
      <c r="H378" s="2" t="s">
        <v>62</v>
      </c>
      <c r="I378" s="2" t="s">
        <v>57</v>
      </c>
      <c r="J378" s="2" t="s">
        <v>1817</v>
      </c>
      <c r="K378" s="2" t="s">
        <v>40</v>
      </c>
      <c r="L378">
        <v>5</v>
      </c>
      <c r="M378" s="1">
        <v>187000</v>
      </c>
      <c r="N378">
        <v>3.1</v>
      </c>
      <c r="O378">
        <v>4</v>
      </c>
      <c r="P378" s="2" t="s">
        <v>72</v>
      </c>
    </row>
    <row r="379" spans="1:16" x14ac:dyDescent="0.25">
      <c r="A379" s="2" t="s">
        <v>1822</v>
      </c>
      <c r="B379" s="2" t="s">
        <v>259</v>
      </c>
      <c r="C379" s="2" t="s">
        <v>29</v>
      </c>
      <c r="D379" s="2" t="s">
        <v>43</v>
      </c>
      <c r="E379" s="2" t="s">
        <v>20</v>
      </c>
      <c r="F379" s="2" t="s">
        <v>39</v>
      </c>
      <c r="G379" s="2" t="s">
        <v>22</v>
      </c>
      <c r="H379" s="2" t="s">
        <v>34</v>
      </c>
      <c r="I379" s="2" t="s">
        <v>57</v>
      </c>
      <c r="J379" s="2" t="s">
        <v>500</v>
      </c>
      <c r="K379" s="2" t="s">
        <v>1398</v>
      </c>
      <c r="L379">
        <v>6</v>
      </c>
      <c r="M379" s="1">
        <v>85000</v>
      </c>
      <c r="N379">
        <v>3.7</v>
      </c>
      <c r="O379">
        <v>0</v>
      </c>
      <c r="P379" s="2" t="s">
        <v>26</v>
      </c>
    </row>
    <row r="380" spans="1:16" x14ac:dyDescent="0.25">
      <c r="A380" s="2" t="s">
        <v>1823</v>
      </c>
      <c r="B380" s="2" t="s">
        <v>1824</v>
      </c>
      <c r="C380" s="2" t="s">
        <v>29</v>
      </c>
      <c r="D380" s="2" t="s">
        <v>50</v>
      </c>
      <c r="E380" s="2" t="s">
        <v>20</v>
      </c>
      <c r="F380" s="2" t="s">
        <v>45</v>
      </c>
      <c r="G380" s="2" t="s">
        <v>80</v>
      </c>
      <c r="H380" s="2" t="s">
        <v>62</v>
      </c>
      <c r="I380" s="2" t="s">
        <v>171</v>
      </c>
      <c r="J380" s="2" t="s">
        <v>1596</v>
      </c>
      <c r="K380" s="2" t="s">
        <v>1398</v>
      </c>
      <c r="L380">
        <v>5</v>
      </c>
      <c r="M380" s="1">
        <v>1058000</v>
      </c>
      <c r="N380">
        <v>4.5999999999999996</v>
      </c>
      <c r="O380">
        <v>2</v>
      </c>
      <c r="P380" s="2" t="s">
        <v>114</v>
      </c>
    </row>
    <row r="381" spans="1:16" x14ac:dyDescent="0.25">
      <c r="A381" s="2" t="s">
        <v>1825</v>
      </c>
      <c r="B381" s="2" t="s">
        <v>1826</v>
      </c>
      <c r="C381" s="2" t="s">
        <v>29</v>
      </c>
      <c r="D381" s="2" t="s">
        <v>43</v>
      </c>
      <c r="E381" s="2" t="s">
        <v>20</v>
      </c>
      <c r="F381" s="2" t="s">
        <v>32</v>
      </c>
      <c r="G381" s="2" t="s">
        <v>22</v>
      </c>
      <c r="H381" s="2" t="s">
        <v>34</v>
      </c>
      <c r="I381" s="2" t="s">
        <v>57</v>
      </c>
      <c r="J381" s="2" t="s">
        <v>1827</v>
      </c>
      <c r="K381" s="2" t="s">
        <v>654</v>
      </c>
      <c r="L381">
        <v>4</v>
      </c>
      <c r="M381" s="1">
        <v>272000</v>
      </c>
      <c r="N381">
        <v>3.8</v>
      </c>
      <c r="O381">
        <v>14</v>
      </c>
      <c r="P381" s="2" t="s">
        <v>53</v>
      </c>
    </row>
    <row r="382" spans="1:16" x14ac:dyDescent="0.25">
      <c r="A382" s="2" t="s">
        <v>1828</v>
      </c>
      <c r="B382" s="2" t="s">
        <v>1829</v>
      </c>
      <c r="C382" s="2" t="s">
        <v>29</v>
      </c>
      <c r="D382" s="2" t="s">
        <v>19</v>
      </c>
      <c r="E382" s="2" t="s">
        <v>20</v>
      </c>
      <c r="F382" s="2" t="s">
        <v>39</v>
      </c>
      <c r="G382" s="2" t="s">
        <v>22</v>
      </c>
      <c r="H382" s="2" t="s">
        <v>34</v>
      </c>
      <c r="I382" s="2" t="s">
        <v>35</v>
      </c>
      <c r="J382" s="2" t="s">
        <v>1830</v>
      </c>
      <c r="K382" s="2" t="s">
        <v>1831</v>
      </c>
      <c r="L382">
        <v>5</v>
      </c>
      <c r="M382" s="1">
        <v>169000</v>
      </c>
      <c r="N382">
        <v>3.7</v>
      </c>
      <c r="O382">
        <v>3</v>
      </c>
      <c r="P382" s="2" t="s">
        <v>53</v>
      </c>
    </row>
    <row r="383" spans="1:16" x14ac:dyDescent="0.25">
      <c r="A383" s="2" t="s">
        <v>1832</v>
      </c>
      <c r="B383" s="2" t="s">
        <v>1833</v>
      </c>
      <c r="C383" s="2" t="s">
        <v>18</v>
      </c>
      <c r="D383" s="2" t="s">
        <v>50</v>
      </c>
      <c r="E383" s="2" t="s">
        <v>20</v>
      </c>
      <c r="F383" s="2" t="s">
        <v>39</v>
      </c>
      <c r="G383" s="2" t="s">
        <v>22</v>
      </c>
      <c r="H383" s="2" t="s">
        <v>23</v>
      </c>
      <c r="I383" s="2" t="s">
        <v>75</v>
      </c>
      <c r="J383" s="2" t="s">
        <v>1834</v>
      </c>
      <c r="K383" s="2" t="s">
        <v>129</v>
      </c>
      <c r="L383">
        <v>2</v>
      </c>
      <c r="M383" s="1">
        <v>145000</v>
      </c>
      <c r="N383">
        <v>2.2000000000000002</v>
      </c>
      <c r="O383">
        <v>25</v>
      </c>
      <c r="P383" s="2" t="s">
        <v>26</v>
      </c>
    </row>
    <row r="384" spans="1:16" x14ac:dyDescent="0.25">
      <c r="A384" s="2" t="s">
        <v>1835</v>
      </c>
      <c r="B384" s="2" t="s">
        <v>1836</v>
      </c>
      <c r="C384" s="2" t="s">
        <v>18</v>
      </c>
      <c r="D384" s="2" t="s">
        <v>79</v>
      </c>
      <c r="E384" s="2" t="s">
        <v>20</v>
      </c>
      <c r="F384" s="2" t="s">
        <v>32</v>
      </c>
      <c r="G384" s="2" t="s">
        <v>80</v>
      </c>
      <c r="H384" s="2" t="s">
        <v>23</v>
      </c>
      <c r="I384" s="2" t="s">
        <v>75</v>
      </c>
      <c r="J384" s="2" t="s">
        <v>1378</v>
      </c>
      <c r="K384" s="2" t="s">
        <v>129</v>
      </c>
      <c r="L384">
        <v>6</v>
      </c>
      <c r="M384" s="1">
        <v>243000</v>
      </c>
      <c r="N384">
        <v>3.2</v>
      </c>
      <c r="O384">
        <v>3</v>
      </c>
      <c r="P384" s="2" t="s">
        <v>26</v>
      </c>
    </row>
    <row r="385" spans="1:16" x14ac:dyDescent="0.25">
      <c r="A385" s="2" t="s">
        <v>1837</v>
      </c>
      <c r="B385" s="2" t="s">
        <v>1838</v>
      </c>
      <c r="C385" s="2" t="s">
        <v>29</v>
      </c>
      <c r="D385" s="2" t="s">
        <v>43</v>
      </c>
      <c r="E385" s="2" t="s">
        <v>44</v>
      </c>
      <c r="F385" s="2" t="s">
        <v>39</v>
      </c>
      <c r="G385" s="2" t="s">
        <v>33</v>
      </c>
      <c r="H385" s="2" t="s">
        <v>34</v>
      </c>
      <c r="I385" s="2" t="s">
        <v>24</v>
      </c>
      <c r="J385" s="2" t="s">
        <v>1839</v>
      </c>
      <c r="K385" s="2" t="s">
        <v>129</v>
      </c>
      <c r="L385">
        <v>6</v>
      </c>
      <c r="M385" s="1">
        <v>134000</v>
      </c>
      <c r="N385">
        <v>3.3</v>
      </c>
      <c r="O385">
        <v>40</v>
      </c>
      <c r="P385" s="2" t="s">
        <v>26</v>
      </c>
    </row>
    <row r="386" spans="1:16" x14ac:dyDescent="0.25">
      <c r="A386" s="2" t="s">
        <v>1840</v>
      </c>
      <c r="B386" s="2" t="s">
        <v>1841</v>
      </c>
      <c r="C386" s="2" t="s">
        <v>29</v>
      </c>
      <c r="D386" s="2" t="s">
        <v>50</v>
      </c>
      <c r="E386" s="2" t="s">
        <v>20</v>
      </c>
      <c r="F386" s="2" t="s">
        <v>39</v>
      </c>
      <c r="G386" s="2" t="s">
        <v>22</v>
      </c>
      <c r="H386" s="2" t="s">
        <v>34</v>
      </c>
      <c r="I386" s="2" t="s">
        <v>75</v>
      </c>
      <c r="J386" s="2" t="s">
        <v>1842</v>
      </c>
      <c r="K386" s="2" t="s">
        <v>129</v>
      </c>
      <c r="L386">
        <v>4</v>
      </c>
      <c r="M386" s="1">
        <v>169000</v>
      </c>
      <c r="N386">
        <v>3.3</v>
      </c>
      <c r="O386">
        <v>11</v>
      </c>
      <c r="P386" s="2" t="s">
        <v>53</v>
      </c>
    </row>
    <row r="387" spans="1:16" x14ac:dyDescent="0.25">
      <c r="A387" s="2" t="s">
        <v>1845</v>
      </c>
      <c r="B387" s="2" t="s">
        <v>1227</v>
      </c>
      <c r="C387" s="2" t="s">
        <v>18</v>
      </c>
      <c r="D387" s="2" t="s">
        <v>19</v>
      </c>
      <c r="E387" s="2" t="s">
        <v>20</v>
      </c>
      <c r="F387" s="2" t="s">
        <v>32</v>
      </c>
      <c r="G387" s="2" t="s">
        <v>80</v>
      </c>
      <c r="H387" s="2" t="s">
        <v>23</v>
      </c>
      <c r="I387" s="2" t="s">
        <v>57</v>
      </c>
      <c r="J387" s="2" t="s">
        <v>1846</v>
      </c>
      <c r="K387" s="2" t="s">
        <v>1849</v>
      </c>
      <c r="L387">
        <v>4</v>
      </c>
      <c r="M387" s="1">
        <v>301000</v>
      </c>
      <c r="N387">
        <v>4.9000000000000004</v>
      </c>
      <c r="O387">
        <v>2</v>
      </c>
      <c r="P387" s="2" t="s">
        <v>26</v>
      </c>
    </row>
    <row r="388" spans="1:16" x14ac:dyDescent="0.25">
      <c r="A388" s="2" t="s">
        <v>1847</v>
      </c>
      <c r="B388" s="2" t="s">
        <v>1848</v>
      </c>
      <c r="C388" s="2" t="s">
        <v>29</v>
      </c>
      <c r="D388" s="2" t="s">
        <v>50</v>
      </c>
      <c r="E388" s="2" t="s">
        <v>20</v>
      </c>
      <c r="F388" s="2" t="s">
        <v>39</v>
      </c>
      <c r="G388" s="2" t="s">
        <v>80</v>
      </c>
      <c r="H388" s="2" t="s">
        <v>46</v>
      </c>
      <c r="I388" s="2" t="s">
        <v>57</v>
      </c>
      <c r="J388" s="2" t="s">
        <v>1216</v>
      </c>
      <c r="K388" s="2" t="s">
        <v>1849</v>
      </c>
      <c r="L388">
        <v>3</v>
      </c>
      <c r="M388" s="1">
        <v>137000</v>
      </c>
      <c r="N388">
        <v>3.5</v>
      </c>
      <c r="O388">
        <v>1</v>
      </c>
      <c r="P388" s="2" t="s">
        <v>53</v>
      </c>
    </row>
    <row r="389" spans="1:16" x14ac:dyDescent="0.25">
      <c r="A389" s="2" t="s">
        <v>1853</v>
      </c>
      <c r="B389" s="2" t="s">
        <v>506</v>
      </c>
      <c r="C389" s="2" t="s">
        <v>18</v>
      </c>
      <c r="D389" s="2" t="s">
        <v>43</v>
      </c>
      <c r="E389" s="2" t="s">
        <v>44</v>
      </c>
      <c r="F389" s="2" t="s">
        <v>128</v>
      </c>
      <c r="G389" s="2" t="s">
        <v>33</v>
      </c>
      <c r="H389" s="2" t="s">
        <v>34</v>
      </c>
      <c r="I389" s="2" t="s">
        <v>24</v>
      </c>
      <c r="J389" s="2" t="s">
        <v>1854</v>
      </c>
      <c r="K389" s="2" t="s">
        <v>1394</v>
      </c>
      <c r="L389">
        <v>5</v>
      </c>
      <c r="M389" s="1">
        <v>421000</v>
      </c>
      <c r="N389">
        <v>3.7</v>
      </c>
      <c r="O389">
        <v>8</v>
      </c>
      <c r="P389" s="2" t="s">
        <v>26</v>
      </c>
    </row>
    <row r="390" spans="1:16" x14ac:dyDescent="0.25">
      <c r="A390" s="2" t="s">
        <v>1855</v>
      </c>
      <c r="B390" s="2" t="s">
        <v>1856</v>
      </c>
      <c r="C390" s="2" t="s">
        <v>18</v>
      </c>
      <c r="D390" s="2" t="s">
        <v>30</v>
      </c>
      <c r="E390" s="2" t="s">
        <v>20</v>
      </c>
      <c r="F390" s="2" t="s">
        <v>21</v>
      </c>
      <c r="G390" s="2" t="s">
        <v>22</v>
      </c>
      <c r="H390" s="2" t="s">
        <v>34</v>
      </c>
      <c r="I390" s="2" t="s">
        <v>24</v>
      </c>
      <c r="J390" s="2" t="s">
        <v>1857</v>
      </c>
      <c r="K390" s="2" t="s">
        <v>1394</v>
      </c>
      <c r="L390">
        <v>5</v>
      </c>
      <c r="M390" s="1">
        <v>907000</v>
      </c>
      <c r="N390">
        <v>3.8</v>
      </c>
      <c r="O390">
        <v>9</v>
      </c>
      <c r="P390" s="2" t="s">
        <v>53</v>
      </c>
    </row>
    <row r="391" spans="1:16" x14ac:dyDescent="0.25">
      <c r="A391" s="2" t="s">
        <v>1858</v>
      </c>
      <c r="B391" s="2" t="s">
        <v>1859</v>
      </c>
      <c r="C391" s="2" t="s">
        <v>29</v>
      </c>
      <c r="D391" s="2" t="s">
        <v>50</v>
      </c>
      <c r="E391" s="2" t="s">
        <v>31</v>
      </c>
      <c r="F391" s="2" t="s">
        <v>45</v>
      </c>
      <c r="G391" s="2" t="s">
        <v>33</v>
      </c>
      <c r="H391" s="2" t="s">
        <v>34</v>
      </c>
      <c r="I391" s="2" t="s">
        <v>57</v>
      </c>
      <c r="J391" s="2" t="s">
        <v>1860</v>
      </c>
      <c r="K391" s="2" t="s">
        <v>1875</v>
      </c>
      <c r="L391">
        <v>5</v>
      </c>
      <c r="M391" s="1">
        <v>1429000</v>
      </c>
      <c r="N391">
        <v>3.8</v>
      </c>
      <c r="O391">
        <v>25</v>
      </c>
      <c r="P391" s="2" t="s">
        <v>26</v>
      </c>
    </row>
    <row r="392" spans="1:16" x14ac:dyDescent="0.25">
      <c r="A392" s="2" t="s">
        <v>1865</v>
      </c>
      <c r="B392" s="2" t="s">
        <v>871</v>
      </c>
      <c r="C392" s="2" t="s">
        <v>29</v>
      </c>
      <c r="D392" s="2" t="s">
        <v>19</v>
      </c>
      <c r="E392" s="2" t="s">
        <v>44</v>
      </c>
      <c r="F392" s="2" t="s">
        <v>39</v>
      </c>
      <c r="G392" s="2" t="s">
        <v>33</v>
      </c>
      <c r="H392" s="2" t="s">
        <v>34</v>
      </c>
      <c r="I392" s="2" t="s">
        <v>57</v>
      </c>
      <c r="J392" s="2" t="s">
        <v>744</v>
      </c>
      <c r="K392" s="2" t="s">
        <v>1875</v>
      </c>
      <c r="L392">
        <v>4</v>
      </c>
      <c r="M392" s="1">
        <v>171000</v>
      </c>
      <c r="N392">
        <v>3.2</v>
      </c>
      <c r="O392">
        <v>8</v>
      </c>
      <c r="P392" s="2" t="s">
        <v>26</v>
      </c>
    </row>
    <row r="393" spans="1:16" x14ac:dyDescent="0.25">
      <c r="A393" s="2" t="s">
        <v>1872</v>
      </c>
      <c r="B393" s="2" t="s">
        <v>1873</v>
      </c>
      <c r="C393" s="2" t="s">
        <v>18</v>
      </c>
      <c r="D393" s="2" t="s">
        <v>79</v>
      </c>
      <c r="E393" s="2" t="s">
        <v>31</v>
      </c>
      <c r="F393" s="2" t="s">
        <v>32</v>
      </c>
      <c r="G393" s="2" t="s">
        <v>80</v>
      </c>
      <c r="H393" s="2" t="s">
        <v>46</v>
      </c>
      <c r="I393" s="2" t="s">
        <v>35</v>
      </c>
      <c r="J393" s="2" t="s">
        <v>1874</v>
      </c>
      <c r="K393" s="2" t="s">
        <v>1875</v>
      </c>
      <c r="L393">
        <v>6</v>
      </c>
      <c r="M393" s="1">
        <v>341000</v>
      </c>
      <c r="N393">
        <v>3.6</v>
      </c>
      <c r="O393">
        <v>12</v>
      </c>
      <c r="P393" s="2" t="s">
        <v>53</v>
      </c>
    </row>
    <row r="394" spans="1:16" x14ac:dyDescent="0.25">
      <c r="A394" s="2" t="s">
        <v>1879</v>
      </c>
      <c r="B394" s="2" t="s">
        <v>1880</v>
      </c>
      <c r="C394" s="2" t="s">
        <v>18</v>
      </c>
      <c r="D394" s="2" t="s">
        <v>50</v>
      </c>
      <c r="E394" s="2" t="s">
        <v>20</v>
      </c>
      <c r="F394" s="2" t="s">
        <v>32</v>
      </c>
      <c r="G394" s="2" t="s">
        <v>80</v>
      </c>
      <c r="H394" s="2" t="s">
        <v>23</v>
      </c>
      <c r="I394" s="2" t="s">
        <v>24</v>
      </c>
      <c r="J394" s="2" t="s">
        <v>149</v>
      </c>
      <c r="K394" s="2" t="s">
        <v>145</v>
      </c>
      <c r="L394">
        <v>3</v>
      </c>
      <c r="M394" s="1">
        <v>279000</v>
      </c>
      <c r="N394">
        <v>3.9</v>
      </c>
      <c r="O394">
        <v>10</v>
      </c>
      <c r="P394" s="2" t="s">
        <v>26</v>
      </c>
    </row>
    <row r="395" spans="1:16" x14ac:dyDescent="0.25">
      <c r="A395" s="2" t="s">
        <v>1881</v>
      </c>
      <c r="B395" s="2" t="s">
        <v>1882</v>
      </c>
      <c r="C395" s="2" t="s">
        <v>29</v>
      </c>
      <c r="D395" s="2" t="s">
        <v>79</v>
      </c>
      <c r="E395" s="2" t="s">
        <v>20</v>
      </c>
      <c r="F395" s="2" t="s">
        <v>128</v>
      </c>
      <c r="G395" s="2" t="s">
        <v>22</v>
      </c>
      <c r="H395" s="2" t="s">
        <v>34</v>
      </c>
      <c r="I395" s="2" t="s">
        <v>24</v>
      </c>
      <c r="J395" s="2" t="s">
        <v>1883</v>
      </c>
      <c r="K395" s="2" t="s">
        <v>145</v>
      </c>
      <c r="L395">
        <v>6</v>
      </c>
      <c r="M395" s="1">
        <v>488000</v>
      </c>
      <c r="N395">
        <v>3.6</v>
      </c>
      <c r="O395">
        <v>0</v>
      </c>
      <c r="P395" s="2" t="s">
        <v>114</v>
      </c>
    </row>
    <row r="396" spans="1:16" x14ac:dyDescent="0.25">
      <c r="A396" s="2" t="s">
        <v>1895</v>
      </c>
      <c r="B396" s="2" t="s">
        <v>1896</v>
      </c>
      <c r="C396" s="2" t="s">
        <v>18</v>
      </c>
      <c r="D396" s="2" t="s">
        <v>19</v>
      </c>
      <c r="E396" s="2" t="s">
        <v>20</v>
      </c>
      <c r="F396" s="2" t="s">
        <v>32</v>
      </c>
      <c r="G396" s="2" t="s">
        <v>22</v>
      </c>
      <c r="H396" s="2" t="s">
        <v>46</v>
      </c>
      <c r="I396" s="2" t="s">
        <v>35</v>
      </c>
      <c r="J396" s="2" t="s">
        <v>1897</v>
      </c>
      <c r="K396" s="2" t="s">
        <v>1901</v>
      </c>
      <c r="L396">
        <v>6</v>
      </c>
      <c r="M396" s="1">
        <v>326000</v>
      </c>
      <c r="N396">
        <v>2.1</v>
      </c>
      <c r="O396">
        <v>27</v>
      </c>
      <c r="P396" s="2" t="s">
        <v>26</v>
      </c>
    </row>
    <row r="397" spans="1:16" x14ac:dyDescent="0.25">
      <c r="A397" s="2" t="s">
        <v>1898</v>
      </c>
      <c r="B397" s="2" t="s">
        <v>1899</v>
      </c>
      <c r="C397" s="2" t="s">
        <v>29</v>
      </c>
      <c r="D397" s="2" t="s">
        <v>43</v>
      </c>
      <c r="E397" s="2" t="s">
        <v>20</v>
      </c>
      <c r="F397" s="2" t="s">
        <v>32</v>
      </c>
      <c r="G397" s="2" t="s">
        <v>69</v>
      </c>
      <c r="H397" s="2" t="s">
        <v>46</v>
      </c>
      <c r="I397" s="2" t="s">
        <v>24</v>
      </c>
      <c r="J397" s="2" t="s">
        <v>1900</v>
      </c>
      <c r="K397" s="2" t="s">
        <v>1901</v>
      </c>
      <c r="L397">
        <v>5</v>
      </c>
      <c r="M397" s="1">
        <v>273000</v>
      </c>
      <c r="N397">
        <v>2.1</v>
      </c>
      <c r="O397">
        <v>4</v>
      </c>
      <c r="P397" s="2" t="s">
        <v>72</v>
      </c>
    </row>
    <row r="398" spans="1:16" x14ac:dyDescent="0.25">
      <c r="A398" s="2" t="s">
        <v>1902</v>
      </c>
      <c r="B398" s="2" t="s">
        <v>1856</v>
      </c>
      <c r="C398" s="2" t="s">
        <v>18</v>
      </c>
      <c r="D398" s="2" t="s">
        <v>43</v>
      </c>
      <c r="E398" s="2" t="s">
        <v>20</v>
      </c>
      <c r="F398" s="2" t="s">
        <v>128</v>
      </c>
      <c r="G398" s="2" t="s">
        <v>22</v>
      </c>
      <c r="H398" s="2" t="s">
        <v>34</v>
      </c>
      <c r="I398" s="2" t="s">
        <v>24</v>
      </c>
      <c r="J398" s="2" t="s">
        <v>744</v>
      </c>
      <c r="K398" s="2" t="s">
        <v>1498</v>
      </c>
      <c r="L398">
        <v>4</v>
      </c>
      <c r="M398" s="1">
        <v>350000</v>
      </c>
      <c r="N398">
        <v>3.2</v>
      </c>
      <c r="O398">
        <v>12</v>
      </c>
      <c r="P398" s="2" t="s">
        <v>26</v>
      </c>
    </row>
    <row r="399" spans="1:16" x14ac:dyDescent="0.25">
      <c r="A399" s="2" t="s">
        <v>1903</v>
      </c>
      <c r="B399" s="2" t="s">
        <v>1904</v>
      </c>
      <c r="C399" s="2" t="s">
        <v>29</v>
      </c>
      <c r="D399" s="2" t="s">
        <v>30</v>
      </c>
      <c r="E399" s="2" t="s">
        <v>20</v>
      </c>
      <c r="F399" s="2" t="s">
        <v>39</v>
      </c>
      <c r="G399" s="2" t="s">
        <v>80</v>
      </c>
      <c r="H399" s="2" t="s">
        <v>34</v>
      </c>
      <c r="I399" s="2" t="s">
        <v>57</v>
      </c>
      <c r="J399" s="2" t="s">
        <v>1905</v>
      </c>
      <c r="K399" s="2" t="s">
        <v>1498</v>
      </c>
      <c r="L399">
        <v>3</v>
      </c>
      <c r="M399" s="1">
        <v>156000</v>
      </c>
      <c r="N399">
        <v>2.4</v>
      </c>
      <c r="O399">
        <v>1</v>
      </c>
      <c r="P399" s="2" t="s">
        <v>53</v>
      </c>
    </row>
    <row r="400" spans="1:16" x14ac:dyDescent="0.25">
      <c r="A400" s="2" t="s">
        <v>1906</v>
      </c>
      <c r="B400" s="2" t="s">
        <v>1907</v>
      </c>
      <c r="C400" s="2" t="s">
        <v>18</v>
      </c>
      <c r="D400" s="2" t="s">
        <v>30</v>
      </c>
      <c r="E400" s="2" t="s">
        <v>20</v>
      </c>
      <c r="F400" s="2" t="s">
        <v>39</v>
      </c>
      <c r="G400" s="2" t="s">
        <v>80</v>
      </c>
      <c r="H400" s="2" t="s">
        <v>23</v>
      </c>
      <c r="I400" s="2" t="s">
        <v>24</v>
      </c>
      <c r="J400" s="2" t="s">
        <v>1908</v>
      </c>
      <c r="K400" s="2" t="s">
        <v>1426</v>
      </c>
      <c r="L400">
        <v>4</v>
      </c>
      <c r="M400" s="1">
        <v>139000</v>
      </c>
      <c r="N400">
        <v>2.8</v>
      </c>
      <c r="O400">
        <v>13</v>
      </c>
      <c r="P400" s="2" t="s">
        <v>26</v>
      </c>
    </row>
    <row r="401" spans="1:16" x14ac:dyDescent="0.25">
      <c r="A401" s="2" t="s">
        <v>1909</v>
      </c>
      <c r="B401" s="2" t="s">
        <v>1910</v>
      </c>
      <c r="C401" s="2" t="s">
        <v>18</v>
      </c>
      <c r="D401" s="2" t="s">
        <v>50</v>
      </c>
      <c r="E401" s="2" t="s">
        <v>20</v>
      </c>
      <c r="F401" s="2" t="s">
        <v>32</v>
      </c>
      <c r="G401" s="2" t="s">
        <v>69</v>
      </c>
      <c r="H401" s="2" t="s">
        <v>34</v>
      </c>
      <c r="I401" s="2" t="s">
        <v>57</v>
      </c>
      <c r="J401" s="2" t="s">
        <v>641</v>
      </c>
      <c r="K401" s="2" t="s">
        <v>1426</v>
      </c>
      <c r="L401">
        <v>4</v>
      </c>
      <c r="M401" s="1">
        <v>223000</v>
      </c>
      <c r="N401">
        <v>4</v>
      </c>
      <c r="O401">
        <v>27</v>
      </c>
      <c r="P401" s="2" t="s">
        <v>26</v>
      </c>
    </row>
    <row r="402" spans="1:16" x14ac:dyDescent="0.25">
      <c r="A402" s="2" t="s">
        <v>1911</v>
      </c>
      <c r="B402" s="2" t="s">
        <v>1912</v>
      </c>
      <c r="C402" s="2" t="s">
        <v>18</v>
      </c>
      <c r="D402" s="2" t="s">
        <v>50</v>
      </c>
      <c r="E402" s="2" t="s">
        <v>20</v>
      </c>
      <c r="F402" s="2" t="s">
        <v>21</v>
      </c>
      <c r="G402" s="2" t="s">
        <v>33</v>
      </c>
      <c r="H402" s="2" t="s">
        <v>34</v>
      </c>
      <c r="I402" s="2" t="s">
        <v>171</v>
      </c>
      <c r="J402" s="2" t="s">
        <v>1913</v>
      </c>
      <c r="K402" s="2" t="s">
        <v>1426</v>
      </c>
      <c r="L402">
        <v>7</v>
      </c>
      <c r="M402" s="1">
        <v>690000</v>
      </c>
      <c r="N402">
        <v>4.4000000000000004</v>
      </c>
      <c r="O402">
        <v>14</v>
      </c>
      <c r="P402" s="2" t="s">
        <v>26</v>
      </c>
    </row>
    <row r="403" spans="1:16" x14ac:dyDescent="0.25">
      <c r="A403" s="2" t="s">
        <v>1914</v>
      </c>
      <c r="B403" s="2" t="s">
        <v>1915</v>
      </c>
      <c r="C403" s="2" t="s">
        <v>29</v>
      </c>
      <c r="D403" s="2" t="s">
        <v>79</v>
      </c>
      <c r="E403" s="2" t="s">
        <v>44</v>
      </c>
      <c r="F403" s="2" t="s">
        <v>128</v>
      </c>
      <c r="G403" s="2" t="s">
        <v>80</v>
      </c>
      <c r="H403" s="2" t="s">
        <v>34</v>
      </c>
      <c r="I403" s="2" t="s">
        <v>24</v>
      </c>
      <c r="J403" s="2" t="s">
        <v>1696</v>
      </c>
      <c r="K403" s="2" t="s">
        <v>1426</v>
      </c>
      <c r="L403">
        <v>6</v>
      </c>
      <c r="M403" s="1">
        <v>556000</v>
      </c>
      <c r="N403">
        <v>2.9</v>
      </c>
      <c r="O403">
        <v>33</v>
      </c>
      <c r="P403" s="2" t="s">
        <v>26</v>
      </c>
    </row>
    <row r="404" spans="1:16" x14ac:dyDescent="0.25">
      <c r="A404" s="2" t="s">
        <v>1919</v>
      </c>
      <c r="B404" s="2" t="s">
        <v>1920</v>
      </c>
      <c r="C404" s="2" t="s">
        <v>18</v>
      </c>
      <c r="D404" s="2" t="s">
        <v>30</v>
      </c>
      <c r="E404" s="2" t="s">
        <v>31</v>
      </c>
      <c r="F404" s="2" t="s">
        <v>39</v>
      </c>
      <c r="G404" s="2" t="s">
        <v>22</v>
      </c>
      <c r="H404" s="2" t="s">
        <v>62</v>
      </c>
      <c r="I404" s="2" t="s">
        <v>24</v>
      </c>
      <c r="J404" s="2" t="s">
        <v>1921</v>
      </c>
      <c r="K404" s="2" t="s">
        <v>1426</v>
      </c>
      <c r="L404">
        <v>7</v>
      </c>
      <c r="M404" s="1">
        <v>155000</v>
      </c>
      <c r="N404">
        <v>3.5</v>
      </c>
      <c r="O404">
        <v>8</v>
      </c>
      <c r="P404" s="2" t="s">
        <v>26</v>
      </c>
    </row>
    <row r="405" spans="1:16" x14ac:dyDescent="0.25">
      <c r="A405" s="2" t="s">
        <v>1922</v>
      </c>
      <c r="B405" s="2" t="s">
        <v>687</v>
      </c>
      <c r="C405" s="2" t="s">
        <v>29</v>
      </c>
      <c r="D405" s="2" t="s">
        <v>50</v>
      </c>
      <c r="E405" s="2" t="s">
        <v>31</v>
      </c>
      <c r="F405" s="2" t="s">
        <v>39</v>
      </c>
      <c r="G405" s="2" t="s">
        <v>22</v>
      </c>
      <c r="H405" s="2" t="s">
        <v>23</v>
      </c>
      <c r="I405" s="2" t="s">
        <v>24</v>
      </c>
      <c r="J405" s="2" t="s">
        <v>231</v>
      </c>
      <c r="K405" s="2" t="s">
        <v>1426</v>
      </c>
      <c r="L405">
        <v>6</v>
      </c>
      <c r="M405" s="1">
        <v>109000</v>
      </c>
      <c r="N405">
        <v>2.2000000000000002</v>
      </c>
      <c r="O405">
        <v>39</v>
      </c>
      <c r="P405" s="2" t="s">
        <v>26</v>
      </c>
    </row>
    <row r="406" spans="1:16" x14ac:dyDescent="0.25">
      <c r="A406" s="2" t="s">
        <v>1923</v>
      </c>
      <c r="B406" s="2" t="s">
        <v>1924</v>
      </c>
      <c r="C406" s="2" t="s">
        <v>29</v>
      </c>
      <c r="D406" s="2" t="s">
        <v>30</v>
      </c>
      <c r="E406" s="2" t="s">
        <v>20</v>
      </c>
      <c r="F406" s="2" t="s">
        <v>128</v>
      </c>
      <c r="G406" s="2" t="s">
        <v>69</v>
      </c>
      <c r="H406" s="2" t="s">
        <v>34</v>
      </c>
      <c r="I406" s="2" t="s">
        <v>75</v>
      </c>
      <c r="J406" s="2" t="s">
        <v>305</v>
      </c>
      <c r="K406" s="2" t="s">
        <v>1426</v>
      </c>
      <c r="L406">
        <v>3</v>
      </c>
      <c r="M406" s="1">
        <v>595000</v>
      </c>
      <c r="N406">
        <v>3.5</v>
      </c>
      <c r="O406">
        <v>35</v>
      </c>
      <c r="P406" s="2" t="s">
        <v>26</v>
      </c>
    </row>
    <row r="407" spans="1:16" x14ac:dyDescent="0.25">
      <c r="A407" s="2" t="s">
        <v>1925</v>
      </c>
      <c r="B407" s="2" t="s">
        <v>1926</v>
      </c>
      <c r="C407" s="2" t="s">
        <v>29</v>
      </c>
      <c r="D407" s="2" t="s">
        <v>30</v>
      </c>
      <c r="E407" s="2" t="s">
        <v>31</v>
      </c>
      <c r="F407" s="2" t="s">
        <v>32</v>
      </c>
      <c r="G407" s="2" t="s">
        <v>22</v>
      </c>
      <c r="H407" s="2" t="s">
        <v>46</v>
      </c>
      <c r="I407" s="2" t="s">
        <v>35</v>
      </c>
      <c r="J407" s="2" t="s">
        <v>1927</v>
      </c>
      <c r="K407" s="2" t="s">
        <v>1426</v>
      </c>
      <c r="L407">
        <v>4</v>
      </c>
      <c r="M407" s="1">
        <v>280000</v>
      </c>
      <c r="N407">
        <v>4.5999999999999996</v>
      </c>
      <c r="O407">
        <v>2</v>
      </c>
      <c r="P407" s="2" t="s">
        <v>53</v>
      </c>
    </row>
    <row r="408" spans="1:16" x14ac:dyDescent="0.25">
      <c r="A408" s="2" t="s">
        <v>1928</v>
      </c>
      <c r="B408" s="2" t="s">
        <v>1929</v>
      </c>
      <c r="C408" s="2" t="s">
        <v>18</v>
      </c>
      <c r="D408" s="2" t="s">
        <v>30</v>
      </c>
      <c r="E408" s="2" t="s">
        <v>20</v>
      </c>
      <c r="F408" s="2" t="s">
        <v>45</v>
      </c>
      <c r="G408" s="2" t="s">
        <v>33</v>
      </c>
      <c r="H408" s="2" t="s">
        <v>23</v>
      </c>
      <c r="I408" s="2" t="s">
        <v>57</v>
      </c>
      <c r="J408" s="2" t="s">
        <v>1930</v>
      </c>
      <c r="K408" s="2" t="s">
        <v>1771</v>
      </c>
      <c r="L408">
        <v>4</v>
      </c>
      <c r="M408" s="1">
        <v>1533000</v>
      </c>
      <c r="N408">
        <v>3.1</v>
      </c>
      <c r="O408">
        <v>4</v>
      </c>
      <c r="P408" s="2" t="s">
        <v>53</v>
      </c>
    </row>
    <row r="409" spans="1:16" x14ac:dyDescent="0.25">
      <c r="A409" s="2" t="s">
        <v>1935</v>
      </c>
      <c r="B409" s="2" t="s">
        <v>1936</v>
      </c>
      <c r="C409" s="2" t="s">
        <v>29</v>
      </c>
      <c r="D409" s="2" t="s">
        <v>30</v>
      </c>
      <c r="E409" s="2" t="s">
        <v>20</v>
      </c>
      <c r="F409" s="2" t="s">
        <v>39</v>
      </c>
      <c r="G409" s="2" t="s">
        <v>33</v>
      </c>
      <c r="H409" s="2" t="s">
        <v>34</v>
      </c>
      <c r="I409" s="2" t="s">
        <v>24</v>
      </c>
      <c r="J409" s="2" t="s">
        <v>1937</v>
      </c>
      <c r="K409" s="2" t="s">
        <v>1943</v>
      </c>
      <c r="L409">
        <v>2</v>
      </c>
      <c r="M409" s="1">
        <v>143000</v>
      </c>
      <c r="N409">
        <v>2.6</v>
      </c>
      <c r="O409">
        <v>6</v>
      </c>
      <c r="P409" s="2" t="s">
        <v>26</v>
      </c>
    </row>
    <row r="410" spans="1:16" x14ac:dyDescent="0.25">
      <c r="A410" s="2" t="s">
        <v>1939</v>
      </c>
      <c r="B410" s="2" t="s">
        <v>1940</v>
      </c>
      <c r="C410" s="2" t="s">
        <v>18</v>
      </c>
      <c r="D410" s="2" t="s">
        <v>19</v>
      </c>
      <c r="E410" s="2" t="s">
        <v>20</v>
      </c>
      <c r="F410" s="2" t="s">
        <v>32</v>
      </c>
      <c r="G410" s="2" t="s">
        <v>80</v>
      </c>
      <c r="H410" s="2" t="s">
        <v>23</v>
      </c>
      <c r="I410" s="2" t="s">
        <v>35</v>
      </c>
      <c r="J410" s="2" t="s">
        <v>1941</v>
      </c>
      <c r="K410" s="2" t="s">
        <v>1943</v>
      </c>
      <c r="L410">
        <v>5</v>
      </c>
      <c r="M410" s="1">
        <v>247000</v>
      </c>
      <c r="N410">
        <v>4.4000000000000004</v>
      </c>
      <c r="O410">
        <v>23</v>
      </c>
      <c r="P410" s="2" t="s">
        <v>26</v>
      </c>
    </row>
    <row r="411" spans="1:16" x14ac:dyDescent="0.25">
      <c r="A411" s="2" t="s">
        <v>1942</v>
      </c>
      <c r="B411" s="2" t="s">
        <v>440</v>
      </c>
      <c r="C411" s="2" t="s">
        <v>18</v>
      </c>
      <c r="D411" s="2" t="s">
        <v>30</v>
      </c>
      <c r="E411" s="2" t="s">
        <v>20</v>
      </c>
      <c r="F411" s="2" t="s">
        <v>32</v>
      </c>
      <c r="G411" s="2" t="s">
        <v>80</v>
      </c>
      <c r="H411" s="2" t="s">
        <v>23</v>
      </c>
      <c r="I411" s="2" t="s">
        <v>24</v>
      </c>
      <c r="J411" s="2" t="s">
        <v>1145</v>
      </c>
      <c r="K411" s="2" t="s">
        <v>1943</v>
      </c>
      <c r="L411">
        <v>3</v>
      </c>
      <c r="M411" s="1">
        <v>315000</v>
      </c>
      <c r="N411">
        <v>2.4</v>
      </c>
      <c r="O411">
        <v>5</v>
      </c>
      <c r="P411" s="2" t="s">
        <v>53</v>
      </c>
    </row>
    <row r="412" spans="1:16" x14ac:dyDescent="0.25">
      <c r="A412" s="2" t="s">
        <v>1944</v>
      </c>
      <c r="B412" s="2" t="s">
        <v>1945</v>
      </c>
      <c r="C412" s="2" t="s">
        <v>18</v>
      </c>
      <c r="D412" s="2" t="s">
        <v>79</v>
      </c>
      <c r="E412" s="2" t="s">
        <v>44</v>
      </c>
      <c r="F412" s="2" t="s">
        <v>32</v>
      </c>
      <c r="G412" s="2" t="s">
        <v>80</v>
      </c>
      <c r="H412" s="2" t="s">
        <v>62</v>
      </c>
      <c r="I412" s="2" t="s">
        <v>24</v>
      </c>
      <c r="J412" s="2" t="s">
        <v>1946</v>
      </c>
      <c r="K412" s="2" t="s">
        <v>1112</v>
      </c>
      <c r="L412">
        <v>5</v>
      </c>
      <c r="M412" s="1">
        <v>326000</v>
      </c>
      <c r="N412">
        <v>2.4</v>
      </c>
      <c r="O412">
        <v>13</v>
      </c>
      <c r="P412" s="2" t="s">
        <v>26</v>
      </c>
    </row>
    <row r="413" spans="1:16" x14ac:dyDescent="0.25">
      <c r="A413" s="2" t="s">
        <v>1947</v>
      </c>
      <c r="B413" s="2" t="s">
        <v>1948</v>
      </c>
      <c r="C413" s="2" t="s">
        <v>29</v>
      </c>
      <c r="D413" s="2" t="s">
        <v>79</v>
      </c>
      <c r="E413" s="2" t="s">
        <v>31</v>
      </c>
      <c r="F413" s="2" t="s">
        <v>128</v>
      </c>
      <c r="G413" s="2" t="s">
        <v>33</v>
      </c>
      <c r="H413" s="2" t="s">
        <v>23</v>
      </c>
      <c r="I413" s="2" t="s">
        <v>24</v>
      </c>
      <c r="J413" s="2" t="s">
        <v>844</v>
      </c>
      <c r="K413" s="2" t="s">
        <v>1112</v>
      </c>
      <c r="L413">
        <v>5</v>
      </c>
      <c r="M413" s="1">
        <v>363000</v>
      </c>
      <c r="N413">
        <v>3.7</v>
      </c>
      <c r="O413">
        <v>4</v>
      </c>
      <c r="P413" s="2" t="s">
        <v>26</v>
      </c>
    </row>
    <row r="414" spans="1:16" x14ac:dyDescent="0.25">
      <c r="A414" s="2" t="s">
        <v>1949</v>
      </c>
      <c r="B414" s="2" t="s">
        <v>1950</v>
      </c>
      <c r="C414" s="2" t="s">
        <v>29</v>
      </c>
      <c r="D414" s="2" t="s">
        <v>30</v>
      </c>
      <c r="E414" s="2" t="s">
        <v>31</v>
      </c>
      <c r="F414" s="2" t="s">
        <v>32</v>
      </c>
      <c r="G414" s="2" t="s">
        <v>80</v>
      </c>
      <c r="H414" s="2" t="s">
        <v>23</v>
      </c>
      <c r="I414" s="2" t="s">
        <v>35</v>
      </c>
      <c r="J414" s="2" t="s">
        <v>1951</v>
      </c>
      <c r="K414" s="2" t="s">
        <v>1112</v>
      </c>
      <c r="L414">
        <v>6</v>
      </c>
      <c r="M414" s="1">
        <v>224000</v>
      </c>
      <c r="N414">
        <v>2.7</v>
      </c>
      <c r="O414">
        <v>10</v>
      </c>
      <c r="P414" s="2" t="s">
        <v>26</v>
      </c>
    </row>
    <row r="415" spans="1:16" x14ac:dyDescent="0.25">
      <c r="A415" s="2" t="s">
        <v>1952</v>
      </c>
      <c r="B415" s="2" t="s">
        <v>1953</v>
      </c>
      <c r="C415" s="2" t="s">
        <v>18</v>
      </c>
      <c r="D415" s="2" t="s">
        <v>50</v>
      </c>
      <c r="E415" s="2" t="s">
        <v>20</v>
      </c>
      <c r="F415" s="2" t="s">
        <v>32</v>
      </c>
      <c r="G415" s="2" t="s">
        <v>80</v>
      </c>
      <c r="H415" s="2" t="s">
        <v>34</v>
      </c>
      <c r="I415" s="2" t="s">
        <v>24</v>
      </c>
      <c r="J415" s="2" t="s">
        <v>1954</v>
      </c>
      <c r="K415" s="2" t="s">
        <v>1112</v>
      </c>
      <c r="L415">
        <v>4</v>
      </c>
      <c r="M415" s="1">
        <v>319000</v>
      </c>
      <c r="N415">
        <v>2.8</v>
      </c>
      <c r="O415">
        <v>8</v>
      </c>
      <c r="P415" s="2" t="s">
        <v>53</v>
      </c>
    </row>
    <row r="416" spans="1:16" x14ac:dyDescent="0.25">
      <c r="A416" s="2" t="s">
        <v>1955</v>
      </c>
      <c r="B416" s="2" t="s">
        <v>826</v>
      </c>
      <c r="C416" s="2" t="s">
        <v>18</v>
      </c>
      <c r="D416" s="2" t="s">
        <v>30</v>
      </c>
      <c r="E416" s="2" t="s">
        <v>31</v>
      </c>
      <c r="F416" s="2" t="s">
        <v>128</v>
      </c>
      <c r="G416" s="2" t="s">
        <v>80</v>
      </c>
      <c r="H416" s="2" t="s">
        <v>34</v>
      </c>
      <c r="I416" s="2" t="s">
        <v>57</v>
      </c>
      <c r="J416" s="2" t="s">
        <v>1956</v>
      </c>
      <c r="K416" s="2" t="s">
        <v>1960</v>
      </c>
      <c r="L416">
        <v>2</v>
      </c>
      <c r="M416" s="1">
        <v>495000</v>
      </c>
      <c r="N416">
        <v>4.0999999999999996</v>
      </c>
      <c r="O416">
        <v>1</v>
      </c>
      <c r="P416" s="2" t="s">
        <v>26</v>
      </c>
    </row>
    <row r="417" spans="1:16" x14ac:dyDescent="0.25">
      <c r="A417" s="2" t="s">
        <v>1957</v>
      </c>
      <c r="B417" s="2" t="s">
        <v>1958</v>
      </c>
      <c r="C417" s="2" t="s">
        <v>18</v>
      </c>
      <c r="D417" s="2" t="s">
        <v>30</v>
      </c>
      <c r="E417" s="2" t="s">
        <v>31</v>
      </c>
      <c r="F417" s="2" t="s">
        <v>32</v>
      </c>
      <c r="G417" s="2" t="s">
        <v>80</v>
      </c>
      <c r="H417" s="2" t="s">
        <v>34</v>
      </c>
      <c r="I417" s="2" t="s">
        <v>57</v>
      </c>
      <c r="J417" s="2" t="s">
        <v>1959</v>
      </c>
      <c r="K417" s="2" t="s">
        <v>1960</v>
      </c>
      <c r="L417">
        <v>5</v>
      </c>
      <c r="M417" s="1">
        <v>336000</v>
      </c>
      <c r="N417">
        <v>3.8</v>
      </c>
      <c r="O417">
        <v>9</v>
      </c>
      <c r="P417" s="2" t="s">
        <v>53</v>
      </c>
    </row>
    <row r="418" spans="1:16" x14ac:dyDescent="0.25">
      <c r="A418" s="2" t="s">
        <v>1961</v>
      </c>
      <c r="B418" s="2" t="s">
        <v>1962</v>
      </c>
      <c r="C418" s="2" t="s">
        <v>29</v>
      </c>
      <c r="D418" s="2" t="s">
        <v>30</v>
      </c>
      <c r="E418" s="2" t="s">
        <v>44</v>
      </c>
      <c r="F418" s="2" t="s">
        <v>39</v>
      </c>
      <c r="G418" s="2" t="s">
        <v>22</v>
      </c>
      <c r="H418" s="2" t="s">
        <v>46</v>
      </c>
      <c r="I418" s="2" t="s">
        <v>57</v>
      </c>
      <c r="J418" s="2" t="s">
        <v>1963</v>
      </c>
      <c r="K418" s="2" t="s">
        <v>1964</v>
      </c>
      <c r="L418">
        <v>4</v>
      </c>
      <c r="M418" s="1">
        <v>146000</v>
      </c>
      <c r="N418">
        <v>2.2000000000000002</v>
      </c>
      <c r="O418">
        <v>9</v>
      </c>
      <c r="P418" s="2" t="s">
        <v>53</v>
      </c>
    </row>
    <row r="419" spans="1:16" x14ac:dyDescent="0.25">
      <c r="A419" s="2" t="s">
        <v>1965</v>
      </c>
      <c r="B419" s="2" t="s">
        <v>1966</v>
      </c>
      <c r="C419" s="2" t="s">
        <v>18</v>
      </c>
      <c r="D419" s="2" t="s">
        <v>43</v>
      </c>
      <c r="E419" s="2" t="s">
        <v>20</v>
      </c>
      <c r="F419" s="2" t="s">
        <v>39</v>
      </c>
      <c r="G419" s="2" t="s">
        <v>22</v>
      </c>
      <c r="H419" s="2" t="s">
        <v>23</v>
      </c>
      <c r="I419" s="2" t="s">
        <v>57</v>
      </c>
      <c r="J419" s="2" t="s">
        <v>1967</v>
      </c>
      <c r="K419" s="2" t="s">
        <v>1146</v>
      </c>
      <c r="L419">
        <v>6</v>
      </c>
      <c r="M419" s="1">
        <v>115000</v>
      </c>
      <c r="N419">
        <v>4</v>
      </c>
      <c r="O419">
        <v>11</v>
      </c>
      <c r="P419" s="2" t="s">
        <v>26</v>
      </c>
    </row>
    <row r="420" spans="1:16" x14ac:dyDescent="0.25">
      <c r="A420" s="2" t="s">
        <v>1968</v>
      </c>
      <c r="B420" s="2" t="s">
        <v>1969</v>
      </c>
      <c r="C420" s="2" t="s">
        <v>18</v>
      </c>
      <c r="D420" s="2" t="s">
        <v>79</v>
      </c>
      <c r="E420" s="2" t="s">
        <v>20</v>
      </c>
      <c r="F420" s="2" t="s">
        <v>128</v>
      </c>
      <c r="G420" s="2" t="s">
        <v>22</v>
      </c>
      <c r="H420" s="2" t="s">
        <v>46</v>
      </c>
      <c r="I420" s="2" t="s">
        <v>75</v>
      </c>
      <c r="J420" s="2" t="s">
        <v>1970</v>
      </c>
      <c r="K420" s="2" t="s">
        <v>1146</v>
      </c>
      <c r="L420">
        <v>7</v>
      </c>
      <c r="M420" s="1">
        <v>419000</v>
      </c>
      <c r="N420">
        <v>4.4000000000000004</v>
      </c>
      <c r="O420">
        <v>4</v>
      </c>
      <c r="P420" s="2" t="s">
        <v>26</v>
      </c>
    </row>
    <row r="421" spans="1:16" x14ac:dyDescent="0.25">
      <c r="A421" s="2" t="s">
        <v>1971</v>
      </c>
      <c r="B421" s="2" t="s">
        <v>1972</v>
      </c>
      <c r="C421" s="2" t="s">
        <v>29</v>
      </c>
      <c r="D421" s="2" t="s">
        <v>19</v>
      </c>
      <c r="E421" s="2" t="s">
        <v>20</v>
      </c>
      <c r="F421" s="2" t="s">
        <v>39</v>
      </c>
      <c r="G421" s="2" t="s">
        <v>22</v>
      </c>
      <c r="H421" s="2" t="s">
        <v>34</v>
      </c>
      <c r="I421" s="2" t="s">
        <v>24</v>
      </c>
      <c r="J421" s="2" t="s">
        <v>1693</v>
      </c>
      <c r="K421" s="2" t="s">
        <v>1146</v>
      </c>
      <c r="L421">
        <v>2</v>
      </c>
      <c r="M421" s="1">
        <v>166000</v>
      </c>
      <c r="N421">
        <v>2.1</v>
      </c>
      <c r="O421">
        <v>12</v>
      </c>
      <c r="P421" s="2" t="s">
        <v>53</v>
      </c>
    </row>
    <row r="422" spans="1:16" x14ac:dyDescent="0.25">
      <c r="A422" s="2" t="s">
        <v>1978</v>
      </c>
      <c r="B422" s="2" t="s">
        <v>1979</v>
      </c>
      <c r="C422" s="2" t="s">
        <v>29</v>
      </c>
      <c r="D422" s="2" t="s">
        <v>50</v>
      </c>
      <c r="E422" s="2" t="s">
        <v>44</v>
      </c>
      <c r="F422" s="2" t="s">
        <v>32</v>
      </c>
      <c r="G422" s="2" t="s">
        <v>22</v>
      </c>
      <c r="H422" s="2" t="s">
        <v>46</v>
      </c>
      <c r="I422" s="2" t="s">
        <v>57</v>
      </c>
      <c r="J422" s="2" t="s">
        <v>1980</v>
      </c>
      <c r="K422" s="2" t="s">
        <v>823</v>
      </c>
      <c r="L422">
        <v>6</v>
      </c>
      <c r="M422" s="1">
        <v>217000</v>
      </c>
      <c r="N422">
        <v>3.1</v>
      </c>
      <c r="O422">
        <v>7</v>
      </c>
      <c r="P422" s="2" t="s">
        <v>26</v>
      </c>
    </row>
    <row r="423" spans="1:16" x14ac:dyDescent="0.25">
      <c r="A423" s="2" t="s">
        <v>1981</v>
      </c>
      <c r="B423" s="2" t="s">
        <v>1982</v>
      </c>
      <c r="C423" s="2" t="s">
        <v>18</v>
      </c>
      <c r="D423" s="2" t="s">
        <v>50</v>
      </c>
      <c r="E423" s="2" t="s">
        <v>20</v>
      </c>
      <c r="F423" s="2" t="s">
        <v>39</v>
      </c>
      <c r="G423" s="2" t="s">
        <v>22</v>
      </c>
      <c r="H423" s="2" t="s">
        <v>46</v>
      </c>
      <c r="I423" s="2" t="s">
        <v>57</v>
      </c>
      <c r="J423" s="2" t="s">
        <v>1983</v>
      </c>
      <c r="K423" s="2" t="s">
        <v>823</v>
      </c>
      <c r="L423">
        <v>6</v>
      </c>
      <c r="M423" s="1">
        <v>99000</v>
      </c>
      <c r="N423">
        <v>3.4</v>
      </c>
      <c r="O423">
        <v>9</v>
      </c>
      <c r="P423" s="2" t="s">
        <v>53</v>
      </c>
    </row>
    <row r="424" spans="1:16" x14ac:dyDescent="0.25">
      <c r="A424" s="2" t="s">
        <v>1986</v>
      </c>
      <c r="B424" s="2" t="s">
        <v>1987</v>
      </c>
      <c r="C424" s="2" t="s">
        <v>29</v>
      </c>
      <c r="D424" s="2" t="s">
        <v>50</v>
      </c>
      <c r="E424" s="2" t="s">
        <v>44</v>
      </c>
      <c r="F424" s="2" t="s">
        <v>32</v>
      </c>
      <c r="G424" s="2" t="s">
        <v>22</v>
      </c>
      <c r="H424" s="2" t="s">
        <v>23</v>
      </c>
      <c r="I424" s="2" t="s">
        <v>57</v>
      </c>
      <c r="J424" s="2" t="s">
        <v>1988</v>
      </c>
      <c r="K424" s="2" t="s">
        <v>729</v>
      </c>
      <c r="L424">
        <v>4</v>
      </c>
      <c r="M424" s="1">
        <v>324000</v>
      </c>
      <c r="N424">
        <v>3</v>
      </c>
      <c r="O424">
        <v>12</v>
      </c>
      <c r="P424" s="2" t="s">
        <v>53</v>
      </c>
    </row>
    <row r="425" spans="1:16" x14ac:dyDescent="0.25">
      <c r="A425" s="2" t="s">
        <v>1991</v>
      </c>
      <c r="B425" s="2" t="s">
        <v>1992</v>
      </c>
      <c r="C425" s="2" t="s">
        <v>18</v>
      </c>
      <c r="D425" s="2" t="s">
        <v>30</v>
      </c>
      <c r="E425" s="2" t="s">
        <v>20</v>
      </c>
      <c r="F425" s="2" t="s">
        <v>32</v>
      </c>
      <c r="G425" s="2" t="s">
        <v>22</v>
      </c>
      <c r="H425" s="2" t="s">
        <v>34</v>
      </c>
      <c r="I425" s="2" t="s">
        <v>57</v>
      </c>
      <c r="J425" s="2" t="s">
        <v>1993</v>
      </c>
      <c r="K425" s="2" t="s">
        <v>1994</v>
      </c>
      <c r="L425">
        <v>6</v>
      </c>
      <c r="M425" s="1">
        <v>207000</v>
      </c>
      <c r="N425">
        <v>2.8</v>
      </c>
      <c r="O425">
        <v>7</v>
      </c>
      <c r="P425" s="2" t="s">
        <v>53</v>
      </c>
    </row>
    <row r="426" spans="1:16" x14ac:dyDescent="0.25">
      <c r="A426" s="2" t="s">
        <v>2001</v>
      </c>
      <c r="B426" s="2" t="s">
        <v>1174</v>
      </c>
      <c r="C426" s="2" t="s">
        <v>18</v>
      </c>
      <c r="D426" s="2" t="s">
        <v>43</v>
      </c>
      <c r="E426" s="2" t="s">
        <v>44</v>
      </c>
      <c r="F426" s="2" t="s">
        <v>128</v>
      </c>
      <c r="G426" s="2" t="s">
        <v>80</v>
      </c>
      <c r="H426" s="2" t="s">
        <v>34</v>
      </c>
      <c r="I426" s="2" t="s">
        <v>57</v>
      </c>
      <c r="J426" s="2" t="s">
        <v>2002</v>
      </c>
      <c r="K426" s="2" t="s">
        <v>382</v>
      </c>
      <c r="L426">
        <v>5</v>
      </c>
      <c r="M426" s="1">
        <v>440000</v>
      </c>
      <c r="N426">
        <v>3.3</v>
      </c>
      <c r="O426">
        <v>12</v>
      </c>
      <c r="P426" s="2" t="s">
        <v>26</v>
      </c>
    </row>
    <row r="427" spans="1:16" x14ac:dyDescent="0.25">
      <c r="A427" s="2" t="s">
        <v>2003</v>
      </c>
      <c r="B427" s="2" t="s">
        <v>294</v>
      </c>
      <c r="C427" s="2" t="s">
        <v>18</v>
      </c>
      <c r="D427" s="2" t="s">
        <v>30</v>
      </c>
      <c r="E427" s="2" t="s">
        <v>20</v>
      </c>
      <c r="F427" s="2" t="s">
        <v>45</v>
      </c>
      <c r="G427" s="2" t="s">
        <v>80</v>
      </c>
      <c r="H427" s="2" t="s">
        <v>23</v>
      </c>
      <c r="I427" s="2" t="s">
        <v>57</v>
      </c>
      <c r="J427" s="2" t="s">
        <v>2004</v>
      </c>
      <c r="K427" s="2" t="s">
        <v>382</v>
      </c>
      <c r="L427">
        <v>5</v>
      </c>
      <c r="M427" s="1">
        <v>1067000</v>
      </c>
      <c r="N427">
        <v>4.5</v>
      </c>
      <c r="O427">
        <v>6</v>
      </c>
      <c r="P427" s="2" t="s">
        <v>26</v>
      </c>
    </row>
    <row r="428" spans="1:16" x14ac:dyDescent="0.25">
      <c r="A428" s="2" t="s">
        <v>2005</v>
      </c>
      <c r="B428" s="2" t="s">
        <v>2006</v>
      </c>
      <c r="C428" s="2" t="s">
        <v>18</v>
      </c>
      <c r="D428" s="2" t="s">
        <v>50</v>
      </c>
      <c r="E428" s="2" t="s">
        <v>44</v>
      </c>
      <c r="F428" s="2" t="s">
        <v>32</v>
      </c>
      <c r="G428" s="2" t="s">
        <v>22</v>
      </c>
      <c r="H428" s="2" t="s">
        <v>62</v>
      </c>
      <c r="I428" s="2" t="s">
        <v>57</v>
      </c>
      <c r="J428" s="2" t="s">
        <v>2007</v>
      </c>
      <c r="K428" s="2" t="s">
        <v>382</v>
      </c>
      <c r="L428">
        <v>2</v>
      </c>
      <c r="M428" s="1">
        <v>198000</v>
      </c>
      <c r="N428">
        <v>3.2</v>
      </c>
      <c r="O428">
        <v>4</v>
      </c>
      <c r="P428" s="2" t="s">
        <v>53</v>
      </c>
    </row>
    <row r="429" spans="1:16" x14ac:dyDescent="0.25">
      <c r="A429" s="2" t="s">
        <v>2008</v>
      </c>
      <c r="B429" s="2" t="s">
        <v>2009</v>
      </c>
      <c r="C429" s="2" t="s">
        <v>18</v>
      </c>
      <c r="D429" s="2" t="s">
        <v>79</v>
      </c>
      <c r="E429" s="2" t="s">
        <v>20</v>
      </c>
      <c r="F429" s="2" t="s">
        <v>128</v>
      </c>
      <c r="G429" s="2" t="s">
        <v>22</v>
      </c>
      <c r="H429" s="2" t="s">
        <v>34</v>
      </c>
      <c r="I429" s="2" t="s">
        <v>24</v>
      </c>
      <c r="J429" s="2" t="s">
        <v>302</v>
      </c>
      <c r="K429" s="2" t="s">
        <v>745</v>
      </c>
      <c r="L429">
        <v>3</v>
      </c>
      <c r="M429" s="1">
        <v>586000</v>
      </c>
      <c r="N429">
        <v>4</v>
      </c>
      <c r="O429">
        <v>5</v>
      </c>
      <c r="P429" s="2" t="s">
        <v>26</v>
      </c>
    </row>
    <row r="430" spans="1:16" x14ac:dyDescent="0.25">
      <c r="A430" s="2" t="s">
        <v>2010</v>
      </c>
      <c r="B430" s="2" t="s">
        <v>2011</v>
      </c>
      <c r="C430" s="2" t="s">
        <v>18</v>
      </c>
      <c r="D430" s="2" t="s">
        <v>19</v>
      </c>
      <c r="E430" s="2" t="s">
        <v>31</v>
      </c>
      <c r="F430" s="2" t="s">
        <v>32</v>
      </c>
      <c r="G430" s="2" t="s">
        <v>22</v>
      </c>
      <c r="H430" s="2" t="s">
        <v>62</v>
      </c>
      <c r="I430" s="2" t="s">
        <v>24</v>
      </c>
      <c r="J430" s="2" t="s">
        <v>564</v>
      </c>
      <c r="K430" s="2" t="s">
        <v>745</v>
      </c>
      <c r="L430">
        <v>7</v>
      </c>
      <c r="M430" s="1">
        <v>385000</v>
      </c>
      <c r="N430">
        <v>4</v>
      </c>
      <c r="O430">
        <v>10</v>
      </c>
      <c r="P430" s="2" t="s">
        <v>26</v>
      </c>
    </row>
    <row r="431" spans="1:16" x14ac:dyDescent="0.25">
      <c r="A431" s="2" t="s">
        <v>2012</v>
      </c>
      <c r="B431" s="2" t="s">
        <v>1400</v>
      </c>
      <c r="C431" s="2" t="s">
        <v>18</v>
      </c>
      <c r="D431" s="2" t="s">
        <v>19</v>
      </c>
      <c r="E431" s="2" t="s">
        <v>20</v>
      </c>
      <c r="F431" s="2" t="s">
        <v>32</v>
      </c>
      <c r="G431" s="2" t="s">
        <v>80</v>
      </c>
      <c r="H431" s="2" t="s">
        <v>34</v>
      </c>
      <c r="I431" s="2" t="s">
        <v>24</v>
      </c>
      <c r="J431" s="2" t="s">
        <v>2013</v>
      </c>
      <c r="K431" s="2" t="s">
        <v>745</v>
      </c>
      <c r="L431">
        <v>2</v>
      </c>
      <c r="M431" s="1">
        <v>300000</v>
      </c>
      <c r="N431">
        <v>2.8</v>
      </c>
      <c r="O431">
        <v>12</v>
      </c>
      <c r="P431" s="2" t="s">
        <v>26</v>
      </c>
    </row>
    <row r="432" spans="1:16" x14ac:dyDescent="0.25">
      <c r="A432" s="2" t="s">
        <v>2017</v>
      </c>
      <c r="B432" s="2" t="s">
        <v>2018</v>
      </c>
      <c r="C432" s="2" t="s">
        <v>18</v>
      </c>
      <c r="D432" s="2" t="s">
        <v>43</v>
      </c>
      <c r="E432" s="2" t="s">
        <v>20</v>
      </c>
      <c r="F432" s="2" t="s">
        <v>128</v>
      </c>
      <c r="G432" s="2" t="s">
        <v>33</v>
      </c>
      <c r="H432" s="2" t="s">
        <v>23</v>
      </c>
      <c r="I432" s="2" t="s">
        <v>24</v>
      </c>
      <c r="J432" s="2" t="s">
        <v>1827</v>
      </c>
      <c r="K432" s="2" t="s">
        <v>745</v>
      </c>
      <c r="L432">
        <v>4</v>
      </c>
      <c r="M432" s="1">
        <v>393000</v>
      </c>
      <c r="N432">
        <v>4.7</v>
      </c>
      <c r="O432">
        <v>8</v>
      </c>
      <c r="P432" s="2" t="s">
        <v>26</v>
      </c>
    </row>
    <row r="433" spans="1:16" x14ac:dyDescent="0.25">
      <c r="A433" s="2" t="s">
        <v>2019</v>
      </c>
      <c r="B433" s="2" t="s">
        <v>2020</v>
      </c>
      <c r="C433" s="2" t="s">
        <v>29</v>
      </c>
      <c r="D433" s="2" t="s">
        <v>50</v>
      </c>
      <c r="E433" s="2" t="s">
        <v>44</v>
      </c>
      <c r="F433" s="2" t="s">
        <v>39</v>
      </c>
      <c r="G433" s="2" t="s">
        <v>33</v>
      </c>
      <c r="H433" s="2" t="s">
        <v>46</v>
      </c>
      <c r="I433" s="2" t="s">
        <v>57</v>
      </c>
      <c r="J433" s="2" t="s">
        <v>227</v>
      </c>
      <c r="K433" s="2" t="s">
        <v>745</v>
      </c>
      <c r="L433">
        <v>5</v>
      </c>
      <c r="M433" s="1">
        <v>114000</v>
      </c>
      <c r="N433">
        <v>4.9000000000000004</v>
      </c>
      <c r="O433">
        <v>1</v>
      </c>
      <c r="P433" s="2" t="s">
        <v>53</v>
      </c>
    </row>
    <row r="434" spans="1:16" x14ac:dyDescent="0.25">
      <c r="A434" s="2" t="s">
        <v>2021</v>
      </c>
      <c r="B434" s="2" t="s">
        <v>2022</v>
      </c>
      <c r="C434" s="2" t="s">
        <v>29</v>
      </c>
      <c r="D434" s="2" t="s">
        <v>30</v>
      </c>
      <c r="E434" s="2" t="s">
        <v>31</v>
      </c>
      <c r="F434" s="2" t="s">
        <v>32</v>
      </c>
      <c r="G434" s="2" t="s">
        <v>22</v>
      </c>
      <c r="H434" s="2" t="s">
        <v>23</v>
      </c>
      <c r="I434" s="2" t="s">
        <v>24</v>
      </c>
      <c r="J434" s="2" t="s">
        <v>2023</v>
      </c>
      <c r="K434" s="2" t="s">
        <v>2024</v>
      </c>
      <c r="L434">
        <v>4</v>
      </c>
      <c r="M434" s="1">
        <v>182000</v>
      </c>
      <c r="N434">
        <v>1.9</v>
      </c>
      <c r="O434">
        <v>10</v>
      </c>
      <c r="P434" s="2" t="s">
        <v>53</v>
      </c>
    </row>
    <row r="435" spans="1:16" x14ac:dyDescent="0.25">
      <c r="A435" s="2" t="s">
        <v>2029</v>
      </c>
      <c r="B435" s="2" t="s">
        <v>2030</v>
      </c>
      <c r="C435" s="2" t="s">
        <v>18</v>
      </c>
      <c r="D435" s="2" t="s">
        <v>30</v>
      </c>
      <c r="E435" s="2" t="s">
        <v>20</v>
      </c>
      <c r="F435" s="2" t="s">
        <v>32</v>
      </c>
      <c r="G435" s="2" t="s">
        <v>69</v>
      </c>
      <c r="H435" s="2" t="s">
        <v>34</v>
      </c>
      <c r="I435" s="2" t="s">
        <v>35</v>
      </c>
      <c r="J435" s="2" t="s">
        <v>2031</v>
      </c>
      <c r="K435" s="2" t="s">
        <v>2072</v>
      </c>
      <c r="L435">
        <v>5</v>
      </c>
      <c r="M435" s="1">
        <v>255000</v>
      </c>
      <c r="N435">
        <v>2.2000000000000002</v>
      </c>
      <c r="O435">
        <v>26</v>
      </c>
      <c r="P435" s="2" t="s">
        <v>26</v>
      </c>
    </row>
    <row r="436" spans="1:16" x14ac:dyDescent="0.25">
      <c r="A436" s="2" t="s">
        <v>2032</v>
      </c>
      <c r="B436" s="2" t="s">
        <v>2033</v>
      </c>
      <c r="C436" s="2" t="s">
        <v>29</v>
      </c>
      <c r="D436" s="2" t="s">
        <v>19</v>
      </c>
      <c r="E436" s="2" t="s">
        <v>20</v>
      </c>
      <c r="F436" s="2" t="s">
        <v>32</v>
      </c>
      <c r="G436" s="2" t="s">
        <v>80</v>
      </c>
      <c r="H436" s="2" t="s">
        <v>62</v>
      </c>
      <c r="I436" s="2" t="s">
        <v>75</v>
      </c>
      <c r="J436" s="2" t="s">
        <v>2034</v>
      </c>
      <c r="K436" s="2" t="s">
        <v>2072</v>
      </c>
      <c r="L436">
        <v>2</v>
      </c>
      <c r="M436" s="1">
        <v>204000</v>
      </c>
      <c r="N436">
        <v>3.1</v>
      </c>
      <c r="O436">
        <v>0</v>
      </c>
      <c r="P436" s="2" t="s">
        <v>26</v>
      </c>
    </row>
    <row r="437" spans="1:16" x14ac:dyDescent="0.25">
      <c r="A437" s="2" t="s">
        <v>2042</v>
      </c>
      <c r="B437" s="2" t="s">
        <v>2043</v>
      </c>
      <c r="C437" s="2" t="s">
        <v>18</v>
      </c>
      <c r="D437" s="2" t="s">
        <v>79</v>
      </c>
      <c r="E437" s="2" t="s">
        <v>44</v>
      </c>
      <c r="F437" s="2" t="s">
        <v>128</v>
      </c>
      <c r="G437" s="2" t="s">
        <v>22</v>
      </c>
      <c r="H437" s="2" t="s">
        <v>62</v>
      </c>
      <c r="I437" s="2" t="s">
        <v>57</v>
      </c>
      <c r="J437" s="2" t="s">
        <v>2044</v>
      </c>
      <c r="K437" s="2" t="s">
        <v>2072</v>
      </c>
      <c r="L437">
        <v>5</v>
      </c>
      <c r="M437" s="1">
        <v>440000</v>
      </c>
      <c r="N437">
        <v>4.5</v>
      </c>
      <c r="O437">
        <v>7</v>
      </c>
      <c r="P437" s="2" t="s">
        <v>26</v>
      </c>
    </row>
    <row r="438" spans="1:16" x14ac:dyDescent="0.25">
      <c r="A438" s="2" t="s">
        <v>2054</v>
      </c>
      <c r="B438" s="2" t="s">
        <v>2055</v>
      </c>
      <c r="C438" s="2" t="s">
        <v>18</v>
      </c>
      <c r="D438" s="2" t="s">
        <v>43</v>
      </c>
      <c r="E438" s="2" t="s">
        <v>44</v>
      </c>
      <c r="F438" s="2" t="s">
        <v>32</v>
      </c>
      <c r="G438" s="2" t="s">
        <v>22</v>
      </c>
      <c r="H438" s="2" t="s">
        <v>23</v>
      </c>
      <c r="I438" s="2" t="s">
        <v>24</v>
      </c>
      <c r="J438" s="2" t="s">
        <v>2056</v>
      </c>
      <c r="K438" s="2" t="s">
        <v>2072</v>
      </c>
      <c r="L438">
        <v>4</v>
      </c>
      <c r="M438" s="1">
        <v>198000</v>
      </c>
      <c r="N438">
        <v>3.9</v>
      </c>
      <c r="O438">
        <v>0</v>
      </c>
      <c r="P438" s="2" t="s">
        <v>26</v>
      </c>
    </row>
    <row r="439" spans="1:16" x14ac:dyDescent="0.25">
      <c r="A439" s="2" t="s">
        <v>2059</v>
      </c>
      <c r="B439" s="2" t="s">
        <v>2060</v>
      </c>
      <c r="C439" s="2" t="s">
        <v>18</v>
      </c>
      <c r="D439" s="2" t="s">
        <v>30</v>
      </c>
      <c r="E439" s="2" t="s">
        <v>44</v>
      </c>
      <c r="F439" s="2" t="s">
        <v>39</v>
      </c>
      <c r="G439" s="2" t="s">
        <v>22</v>
      </c>
      <c r="H439" s="2" t="s">
        <v>46</v>
      </c>
      <c r="I439" s="2" t="s">
        <v>24</v>
      </c>
      <c r="J439" s="2" t="s">
        <v>2061</v>
      </c>
      <c r="K439" s="2" t="s">
        <v>2072</v>
      </c>
      <c r="L439">
        <v>6</v>
      </c>
      <c r="M439" s="1">
        <v>114000</v>
      </c>
      <c r="N439">
        <v>2.7</v>
      </c>
      <c r="O439">
        <v>7</v>
      </c>
      <c r="P439" s="2" t="s">
        <v>26</v>
      </c>
    </row>
    <row r="440" spans="1:16" x14ac:dyDescent="0.25">
      <c r="A440" s="2" t="s">
        <v>2062</v>
      </c>
      <c r="B440" s="2" t="s">
        <v>2063</v>
      </c>
      <c r="C440" s="2" t="s">
        <v>29</v>
      </c>
      <c r="D440" s="2" t="s">
        <v>30</v>
      </c>
      <c r="E440" s="2" t="s">
        <v>20</v>
      </c>
      <c r="F440" s="2" t="s">
        <v>39</v>
      </c>
      <c r="G440" s="2" t="s">
        <v>33</v>
      </c>
      <c r="H440" s="2" t="s">
        <v>34</v>
      </c>
      <c r="I440" s="2" t="s">
        <v>24</v>
      </c>
      <c r="J440" s="2" t="s">
        <v>2064</v>
      </c>
      <c r="K440" s="2" t="s">
        <v>2072</v>
      </c>
      <c r="L440">
        <v>3</v>
      </c>
      <c r="M440" s="1">
        <v>153000</v>
      </c>
      <c r="N440">
        <v>2.9</v>
      </c>
      <c r="O440">
        <v>4</v>
      </c>
      <c r="P440" s="2" t="s">
        <v>26</v>
      </c>
    </row>
    <row r="441" spans="1:16" x14ac:dyDescent="0.25">
      <c r="A441" s="2" t="s">
        <v>2065</v>
      </c>
      <c r="B441" s="2" t="s">
        <v>101</v>
      </c>
      <c r="C441" s="2" t="s">
        <v>18</v>
      </c>
      <c r="D441" s="2" t="s">
        <v>50</v>
      </c>
      <c r="E441" s="2" t="s">
        <v>20</v>
      </c>
      <c r="F441" s="2" t="s">
        <v>39</v>
      </c>
      <c r="G441" s="2" t="s">
        <v>33</v>
      </c>
      <c r="H441" s="2" t="s">
        <v>62</v>
      </c>
      <c r="I441" s="2" t="s">
        <v>24</v>
      </c>
      <c r="J441" s="2" t="s">
        <v>2066</v>
      </c>
      <c r="K441" s="2" t="s">
        <v>2072</v>
      </c>
      <c r="L441">
        <v>4</v>
      </c>
      <c r="M441" s="1">
        <v>175000</v>
      </c>
      <c r="N441">
        <v>5</v>
      </c>
      <c r="O441">
        <v>6</v>
      </c>
      <c r="P441" s="2" t="s">
        <v>26</v>
      </c>
    </row>
    <row r="442" spans="1:16" x14ac:dyDescent="0.25">
      <c r="A442" s="2" t="s">
        <v>2067</v>
      </c>
      <c r="B442" s="2" t="s">
        <v>2068</v>
      </c>
      <c r="C442" s="2" t="s">
        <v>29</v>
      </c>
      <c r="D442" s="2" t="s">
        <v>79</v>
      </c>
      <c r="E442" s="2" t="s">
        <v>20</v>
      </c>
      <c r="F442" s="2" t="s">
        <v>128</v>
      </c>
      <c r="G442" s="2" t="s">
        <v>80</v>
      </c>
      <c r="H442" s="2" t="s">
        <v>34</v>
      </c>
      <c r="I442" s="2" t="s">
        <v>24</v>
      </c>
      <c r="J442" s="2" t="s">
        <v>732</v>
      </c>
      <c r="K442" s="2" t="s">
        <v>2072</v>
      </c>
      <c r="L442">
        <v>3</v>
      </c>
      <c r="M442" s="1">
        <v>390000</v>
      </c>
      <c r="N442">
        <v>4.8</v>
      </c>
      <c r="O442">
        <v>7</v>
      </c>
      <c r="P442" s="2" t="s">
        <v>26</v>
      </c>
    </row>
    <row r="443" spans="1:16" x14ac:dyDescent="0.25">
      <c r="A443" s="2" t="s">
        <v>2069</v>
      </c>
      <c r="B443" s="2" t="s">
        <v>2070</v>
      </c>
      <c r="C443" s="2" t="s">
        <v>18</v>
      </c>
      <c r="D443" s="2" t="s">
        <v>30</v>
      </c>
      <c r="E443" s="2" t="s">
        <v>44</v>
      </c>
      <c r="F443" s="2" t="s">
        <v>32</v>
      </c>
      <c r="G443" s="2" t="s">
        <v>80</v>
      </c>
      <c r="H443" s="2" t="s">
        <v>34</v>
      </c>
      <c r="I443" s="2" t="s">
        <v>171</v>
      </c>
      <c r="J443" s="2" t="s">
        <v>2071</v>
      </c>
      <c r="K443" s="2" t="s">
        <v>2072</v>
      </c>
      <c r="L443">
        <v>2</v>
      </c>
      <c r="M443" s="1">
        <v>190000</v>
      </c>
      <c r="N443">
        <v>2.6</v>
      </c>
      <c r="O443">
        <v>4</v>
      </c>
      <c r="P443" s="2" t="s">
        <v>53</v>
      </c>
    </row>
    <row r="444" spans="1:16" x14ac:dyDescent="0.25">
      <c r="A444" s="2" t="s">
        <v>2077</v>
      </c>
      <c r="B444" s="2" t="s">
        <v>2078</v>
      </c>
      <c r="C444" s="2" t="s">
        <v>29</v>
      </c>
      <c r="D444" s="2" t="s">
        <v>19</v>
      </c>
      <c r="E444" s="2" t="s">
        <v>44</v>
      </c>
      <c r="F444" s="2" t="s">
        <v>128</v>
      </c>
      <c r="G444" s="2" t="s">
        <v>69</v>
      </c>
      <c r="H444" s="2" t="s">
        <v>46</v>
      </c>
      <c r="I444" s="2" t="s">
        <v>57</v>
      </c>
      <c r="J444" s="2" t="s">
        <v>360</v>
      </c>
      <c r="K444" s="2" t="s">
        <v>2085</v>
      </c>
      <c r="L444">
        <v>2</v>
      </c>
      <c r="M444" s="1">
        <v>549000</v>
      </c>
      <c r="N444">
        <v>3.3</v>
      </c>
      <c r="O444">
        <v>10</v>
      </c>
      <c r="P444" s="2" t="s">
        <v>26</v>
      </c>
    </row>
    <row r="445" spans="1:16" x14ac:dyDescent="0.25">
      <c r="A445" s="2" t="s">
        <v>2079</v>
      </c>
      <c r="B445" s="2" t="s">
        <v>2080</v>
      </c>
      <c r="C445" s="2" t="s">
        <v>18</v>
      </c>
      <c r="D445" s="2" t="s">
        <v>79</v>
      </c>
      <c r="E445" s="2" t="s">
        <v>20</v>
      </c>
      <c r="F445" s="2" t="s">
        <v>21</v>
      </c>
      <c r="G445" s="2" t="s">
        <v>80</v>
      </c>
      <c r="H445" s="2" t="s">
        <v>46</v>
      </c>
      <c r="I445" s="2" t="s">
        <v>35</v>
      </c>
      <c r="J445" s="2" t="s">
        <v>1671</v>
      </c>
      <c r="K445" s="2" t="s">
        <v>2085</v>
      </c>
      <c r="L445">
        <v>5</v>
      </c>
      <c r="M445" s="1">
        <v>824000</v>
      </c>
      <c r="N445">
        <v>4</v>
      </c>
      <c r="O445">
        <v>4</v>
      </c>
      <c r="P445" s="2" t="s">
        <v>26</v>
      </c>
    </row>
    <row r="446" spans="1:16" x14ac:dyDescent="0.25">
      <c r="A446" s="2" t="s">
        <v>2081</v>
      </c>
      <c r="B446" s="2" t="s">
        <v>833</v>
      </c>
      <c r="C446" s="2" t="s">
        <v>18</v>
      </c>
      <c r="D446" s="2" t="s">
        <v>50</v>
      </c>
      <c r="E446" s="2" t="s">
        <v>20</v>
      </c>
      <c r="F446" s="2" t="s">
        <v>128</v>
      </c>
      <c r="G446" s="2" t="s">
        <v>80</v>
      </c>
      <c r="H446" s="2" t="s">
        <v>34</v>
      </c>
      <c r="I446" s="2" t="s">
        <v>24</v>
      </c>
      <c r="J446" s="2" t="s">
        <v>1586</v>
      </c>
      <c r="K446" s="2" t="s">
        <v>2085</v>
      </c>
      <c r="L446">
        <v>6</v>
      </c>
      <c r="M446" s="1">
        <v>472000</v>
      </c>
      <c r="N446">
        <v>4.7</v>
      </c>
      <c r="O446">
        <v>9</v>
      </c>
      <c r="P446" s="2" t="s">
        <v>26</v>
      </c>
    </row>
    <row r="447" spans="1:16" x14ac:dyDescent="0.25">
      <c r="A447" s="2" t="s">
        <v>2082</v>
      </c>
      <c r="B447" s="2" t="s">
        <v>2083</v>
      </c>
      <c r="C447" s="2" t="s">
        <v>18</v>
      </c>
      <c r="D447" s="2" t="s">
        <v>43</v>
      </c>
      <c r="E447" s="2" t="s">
        <v>20</v>
      </c>
      <c r="F447" s="2" t="s">
        <v>32</v>
      </c>
      <c r="G447" s="2" t="s">
        <v>22</v>
      </c>
      <c r="H447" s="2" t="s">
        <v>23</v>
      </c>
      <c r="I447" s="2" t="s">
        <v>35</v>
      </c>
      <c r="J447" s="2" t="s">
        <v>2084</v>
      </c>
      <c r="K447" s="2" t="s">
        <v>2085</v>
      </c>
      <c r="L447">
        <v>6</v>
      </c>
      <c r="M447" s="1">
        <v>208000</v>
      </c>
      <c r="N447">
        <v>2.2000000000000002</v>
      </c>
      <c r="O447">
        <v>1</v>
      </c>
      <c r="P447" s="2" t="s">
        <v>53</v>
      </c>
    </row>
    <row r="448" spans="1:16" x14ac:dyDescent="0.25">
      <c r="A448" s="2" t="s">
        <v>2086</v>
      </c>
      <c r="B448" s="2" t="s">
        <v>2087</v>
      </c>
      <c r="C448" s="2" t="s">
        <v>29</v>
      </c>
      <c r="D448" s="2" t="s">
        <v>30</v>
      </c>
      <c r="E448" s="2" t="s">
        <v>44</v>
      </c>
      <c r="F448" s="2" t="s">
        <v>39</v>
      </c>
      <c r="G448" s="2" t="s">
        <v>22</v>
      </c>
      <c r="H448" s="2" t="s">
        <v>23</v>
      </c>
      <c r="I448" s="2" t="s">
        <v>24</v>
      </c>
      <c r="J448" s="2" t="s">
        <v>818</v>
      </c>
      <c r="K448" s="2" t="s">
        <v>978</v>
      </c>
      <c r="L448">
        <v>3</v>
      </c>
      <c r="M448" s="1">
        <v>87000</v>
      </c>
      <c r="N448">
        <v>1.7</v>
      </c>
      <c r="O448">
        <v>1</v>
      </c>
      <c r="P448" s="2" t="s">
        <v>53</v>
      </c>
    </row>
    <row r="449" spans="1:16" x14ac:dyDescent="0.25">
      <c r="A449" s="2" t="s">
        <v>2092</v>
      </c>
      <c r="B449" s="2" t="s">
        <v>2093</v>
      </c>
      <c r="C449" s="2" t="s">
        <v>29</v>
      </c>
      <c r="D449" s="2" t="s">
        <v>50</v>
      </c>
      <c r="E449" s="2" t="s">
        <v>44</v>
      </c>
      <c r="F449" s="2" t="s">
        <v>128</v>
      </c>
      <c r="G449" s="2" t="s">
        <v>80</v>
      </c>
      <c r="H449" s="2" t="s">
        <v>34</v>
      </c>
      <c r="I449" s="2" t="s">
        <v>75</v>
      </c>
      <c r="J449" s="2" t="s">
        <v>2094</v>
      </c>
      <c r="K449" s="2" t="s">
        <v>2104</v>
      </c>
      <c r="L449">
        <v>5</v>
      </c>
      <c r="M449" s="1">
        <v>483000</v>
      </c>
      <c r="N449">
        <v>2</v>
      </c>
      <c r="O449">
        <v>11</v>
      </c>
      <c r="P449" s="2" t="s">
        <v>26</v>
      </c>
    </row>
    <row r="450" spans="1:16" x14ac:dyDescent="0.25">
      <c r="A450" s="2" t="s">
        <v>2098</v>
      </c>
      <c r="B450" s="2" t="s">
        <v>2099</v>
      </c>
      <c r="C450" s="2" t="s">
        <v>18</v>
      </c>
      <c r="D450" s="2" t="s">
        <v>30</v>
      </c>
      <c r="E450" s="2" t="s">
        <v>20</v>
      </c>
      <c r="F450" s="2" t="s">
        <v>32</v>
      </c>
      <c r="G450" s="2" t="s">
        <v>69</v>
      </c>
      <c r="H450" s="2" t="s">
        <v>23</v>
      </c>
      <c r="I450" s="2" t="s">
        <v>35</v>
      </c>
      <c r="J450" s="2" t="s">
        <v>2100</v>
      </c>
      <c r="K450" s="2" t="s">
        <v>2104</v>
      </c>
      <c r="L450">
        <v>2</v>
      </c>
      <c r="M450" s="1">
        <v>294000</v>
      </c>
      <c r="N450">
        <v>4.8</v>
      </c>
      <c r="O450">
        <v>14</v>
      </c>
      <c r="P450" s="2" t="s">
        <v>26</v>
      </c>
    </row>
    <row r="451" spans="1:16" x14ac:dyDescent="0.25">
      <c r="A451" s="2" t="s">
        <v>2101</v>
      </c>
      <c r="B451" s="2" t="s">
        <v>2102</v>
      </c>
      <c r="C451" s="2" t="s">
        <v>18</v>
      </c>
      <c r="D451" s="2" t="s">
        <v>30</v>
      </c>
      <c r="E451" s="2" t="s">
        <v>44</v>
      </c>
      <c r="F451" s="2" t="s">
        <v>128</v>
      </c>
      <c r="G451" s="2" t="s">
        <v>33</v>
      </c>
      <c r="H451" s="2" t="s">
        <v>34</v>
      </c>
      <c r="I451" s="2" t="s">
        <v>57</v>
      </c>
      <c r="J451" s="2" t="s">
        <v>2103</v>
      </c>
      <c r="K451" s="2" t="s">
        <v>2104</v>
      </c>
      <c r="L451">
        <v>2</v>
      </c>
      <c r="M451" s="1">
        <v>594000</v>
      </c>
      <c r="N451">
        <v>2.7</v>
      </c>
      <c r="O451">
        <v>3</v>
      </c>
      <c r="P451" s="2" t="s">
        <v>53</v>
      </c>
    </row>
    <row r="452" spans="1:16" x14ac:dyDescent="0.25">
      <c r="A452" s="2" t="s">
        <v>2108</v>
      </c>
      <c r="B452" s="2" t="s">
        <v>2109</v>
      </c>
      <c r="C452" s="2" t="s">
        <v>29</v>
      </c>
      <c r="D452" s="2" t="s">
        <v>43</v>
      </c>
      <c r="E452" s="2" t="s">
        <v>20</v>
      </c>
      <c r="F452" s="2" t="s">
        <v>128</v>
      </c>
      <c r="G452" s="2" t="s">
        <v>80</v>
      </c>
      <c r="H452" s="2" t="s">
        <v>62</v>
      </c>
      <c r="I452" s="2" t="s">
        <v>57</v>
      </c>
      <c r="J452" s="2" t="s">
        <v>2110</v>
      </c>
      <c r="K452" s="2" t="s">
        <v>2120</v>
      </c>
      <c r="L452">
        <v>6</v>
      </c>
      <c r="M452" s="1">
        <v>377000</v>
      </c>
      <c r="N452">
        <v>2.7</v>
      </c>
      <c r="O452">
        <v>6</v>
      </c>
      <c r="P452" s="2" t="s">
        <v>26</v>
      </c>
    </row>
    <row r="453" spans="1:16" x14ac:dyDescent="0.25">
      <c r="A453" s="2" t="s">
        <v>2111</v>
      </c>
      <c r="B453" s="2" t="s">
        <v>2112</v>
      </c>
      <c r="C453" s="2" t="s">
        <v>29</v>
      </c>
      <c r="D453" s="2" t="s">
        <v>50</v>
      </c>
      <c r="E453" s="2" t="s">
        <v>44</v>
      </c>
      <c r="F453" s="2" t="s">
        <v>39</v>
      </c>
      <c r="G453" s="2" t="s">
        <v>22</v>
      </c>
      <c r="H453" s="2" t="s">
        <v>34</v>
      </c>
      <c r="I453" s="2" t="s">
        <v>57</v>
      </c>
      <c r="J453" s="2" t="s">
        <v>2113</v>
      </c>
      <c r="K453" s="2" t="s">
        <v>2120</v>
      </c>
      <c r="L453">
        <v>5</v>
      </c>
      <c r="M453" s="1">
        <v>142000</v>
      </c>
      <c r="N453">
        <v>3</v>
      </c>
      <c r="O453">
        <v>22</v>
      </c>
      <c r="P453" s="2" t="s">
        <v>26</v>
      </c>
    </row>
    <row r="454" spans="1:16" x14ac:dyDescent="0.25">
      <c r="A454" s="2" t="s">
        <v>2114</v>
      </c>
      <c r="B454" s="2" t="s">
        <v>2115</v>
      </c>
      <c r="C454" s="2" t="s">
        <v>29</v>
      </c>
      <c r="D454" s="2" t="s">
        <v>50</v>
      </c>
      <c r="E454" s="2" t="s">
        <v>20</v>
      </c>
      <c r="F454" s="2" t="s">
        <v>32</v>
      </c>
      <c r="G454" s="2" t="s">
        <v>69</v>
      </c>
      <c r="H454" s="2" t="s">
        <v>23</v>
      </c>
      <c r="I454" s="2" t="s">
        <v>24</v>
      </c>
      <c r="J454" s="2" t="s">
        <v>2116</v>
      </c>
      <c r="K454" s="2" t="s">
        <v>2120</v>
      </c>
      <c r="L454">
        <v>4</v>
      </c>
      <c r="M454" s="1">
        <v>309000</v>
      </c>
      <c r="N454">
        <v>3.6</v>
      </c>
      <c r="O454">
        <v>7</v>
      </c>
      <c r="P454" s="2" t="s">
        <v>26</v>
      </c>
    </row>
    <row r="455" spans="1:16" x14ac:dyDescent="0.25">
      <c r="A455" s="2" t="s">
        <v>2117</v>
      </c>
      <c r="B455" s="2" t="s">
        <v>2118</v>
      </c>
      <c r="C455" s="2" t="s">
        <v>18</v>
      </c>
      <c r="D455" s="2" t="s">
        <v>79</v>
      </c>
      <c r="E455" s="2" t="s">
        <v>20</v>
      </c>
      <c r="F455" s="2" t="s">
        <v>128</v>
      </c>
      <c r="G455" s="2" t="s">
        <v>69</v>
      </c>
      <c r="H455" s="2" t="s">
        <v>23</v>
      </c>
      <c r="I455" s="2" t="s">
        <v>35</v>
      </c>
      <c r="J455" s="2" t="s">
        <v>2119</v>
      </c>
      <c r="K455" s="2" t="s">
        <v>2120</v>
      </c>
      <c r="L455">
        <v>2</v>
      </c>
      <c r="M455" s="1">
        <v>585000</v>
      </c>
      <c r="N455">
        <v>2.4</v>
      </c>
      <c r="O455">
        <v>7</v>
      </c>
      <c r="P455" s="2" t="s">
        <v>53</v>
      </c>
    </row>
    <row r="456" spans="1:16" x14ac:dyDescent="0.25">
      <c r="A456" s="2" t="s">
        <v>2125</v>
      </c>
      <c r="B456" s="2" t="s">
        <v>2126</v>
      </c>
      <c r="C456" s="2" t="s">
        <v>18</v>
      </c>
      <c r="D456" s="2" t="s">
        <v>79</v>
      </c>
      <c r="E456" s="2" t="s">
        <v>20</v>
      </c>
      <c r="F456" s="2" t="s">
        <v>21</v>
      </c>
      <c r="G456" s="2" t="s">
        <v>22</v>
      </c>
      <c r="H456" s="2" t="s">
        <v>34</v>
      </c>
      <c r="I456" s="2" t="s">
        <v>75</v>
      </c>
      <c r="J456" s="2" t="s">
        <v>956</v>
      </c>
      <c r="K456" s="2" t="s">
        <v>2129</v>
      </c>
      <c r="L456">
        <v>6</v>
      </c>
      <c r="M456" s="1">
        <v>693000</v>
      </c>
      <c r="N456">
        <v>3.4</v>
      </c>
      <c r="O456">
        <v>13</v>
      </c>
      <c r="P456" s="2" t="s">
        <v>26</v>
      </c>
    </row>
    <row r="457" spans="1:16" x14ac:dyDescent="0.25">
      <c r="A457" s="2" t="s">
        <v>2127</v>
      </c>
      <c r="B457" s="2" t="s">
        <v>471</v>
      </c>
      <c r="C457" s="2" t="s">
        <v>18</v>
      </c>
      <c r="D457" s="2" t="s">
        <v>43</v>
      </c>
      <c r="E457" s="2" t="s">
        <v>31</v>
      </c>
      <c r="F457" s="2" t="s">
        <v>32</v>
      </c>
      <c r="G457" s="2" t="s">
        <v>22</v>
      </c>
      <c r="H457" s="2" t="s">
        <v>34</v>
      </c>
      <c r="I457" s="2" t="s">
        <v>24</v>
      </c>
      <c r="J457" s="2" t="s">
        <v>475</v>
      </c>
      <c r="K457" s="2" t="s">
        <v>2129</v>
      </c>
      <c r="L457">
        <v>5</v>
      </c>
      <c r="M457" s="1">
        <v>322000</v>
      </c>
      <c r="N457">
        <v>5</v>
      </c>
      <c r="O457">
        <v>0</v>
      </c>
      <c r="P457" s="2" t="s">
        <v>26</v>
      </c>
    </row>
    <row r="458" spans="1:16" x14ac:dyDescent="0.25">
      <c r="A458" s="2" t="s">
        <v>2128</v>
      </c>
      <c r="B458" s="2" t="s">
        <v>123</v>
      </c>
      <c r="C458" s="2" t="s">
        <v>29</v>
      </c>
      <c r="D458" s="2" t="s">
        <v>19</v>
      </c>
      <c r="E458" s="2" t="s">
        <v>20</v>
      </c>
      <c r="F458" s="2" t="s">
        <v>32</v>
      </c>
      <c r="G458" s="2" t="s">
        <v>22</v>
      </c>
      <c r="H458" s="2" t="s">
        <v>46</v>
      </c>
      <c r="I458" s="2" t="s">
        <v>24</v>
      </c>
      <c r="J458" s="2" t="s">
        <v>2064</v>
      </c>
      <c r="K458" s="2" t="s">
        <v>2129</v>
      </c>
      <c r="L458">
        <v>3</v>
      </c>
      <c r="M458" s="1">
        <v>293000</v>
      </c>
      <c r="N458">
        <v>3.7</v>
      </c>
      <c r="O458">
        <v>0</v>
      </c>
      <c r="P458" s="2" t="s">
        <v>72</v>
      </c>
    </row>
    <row r="459" spans="1:16" x14ac:dyDescent="0.25">
      <c r="A459" s="2" t="s">
        <v>2132</v>
      </c>
      <c r="B459" s="2" t="s">
        <v>2133</v>
      </c>
      <c r="C459" s="2" t="s">
        <v>18</v>
      </c>
      <c r="D459" s="2" t="s">
        <v>30</v>
      </c>
      <c r="E459" s="2" t="s">
        <v>20</v>
      </c>
      <c r="F459" s="2" t="s">
        <v>39</v>
      </c>
      <c r="G459" s="2" t="s">
        <v>22</v>
      </c>
      <c r="H459" s="2" t="s">
        <v>34</v>
      </c>
      <c r="I459" s="2" t="s">
        <v>24</v>
      </c>
      <c r="J459" s="2" t="s">
        <v>342</v>
      </c>
      <c r="K459" s="2" t="s">
        <v>2157</v>
      </c>
      <c r="L459">
        <v>4</v>
      </c>
      <c r="M459" s="1">
        <v>174000</v>
      </c>
      <c r="N459">
        <v>2.1</v>
      </c>
      <c r="O459">
        <v>9</v>
      </c>
      <c r="P459" s="2" t="s">
        <v>26</v>
      </c>
    </row>
    <row r="460" spans="1:16" x14ac:dyDescent="0.25">
      <c r="A460" s="2" t="s">
        <v>2134</v>
      </c>
      <c r="B460" s="2" t="s">
        <v>647</v>
      </c>
      <c r="C460" s="2" t="s">
        <v>29</v>
      </c>
      <c r="D460" s="2" t="s">
        <v>50</v>
      </c>
      <c r="E460" s="2" t="s">
        <v>20</v>
      </c>
      <c r="F460" s="2" t="s">
        <v>32</v>
      </c>
      <c r="G460" s="2" t="s">
        <v>22</v>
      </c>
      <c r="H460" s="2" t="s">
        <v>23</v>
      </c>
      <c r="I460" s="2" t="s">
        <v>24</v>
      </c>
      <c r="J460" s="2" t="s">
        <v>2135</v>
      </c>
      <c r="K460" s="2" t="s">
        <v>2157</v>
      </c>
      <c r="L460">
        <v>2</v>
      </c>
      <c r="M460" s="1">
        <v>236000</v>
      </c>
      <c r="N460">
        <v>3.8</v>
      </c>
      <c r="O460">
        <v>7</v>
      </c>
      <c r="P460" s="2" t="s">
        <v>26</v>
      </c>
    </row>
    <row r="461" spans="1:16" x14ac:dyDescent="0.25">
      <c r="A461" s="2" t="s">
        <v>2136</v>
      </c>
      <c r="B461" s="2" t="s">
        <v>2137</v>
      </c>
      <c r="C461" s="2" t="s">
        <v>18</v>
      </c>
      <c r="D461" s="2" t="s">
        <v>79</v>
      </c>
      <c r="E461" s="2" t="s">
        <v>31</v>
      </c>
      <c r="F461" s="2" t="s">
        <v>39</v>
      </c>
      <c r="G461" s="2" t="s">
        <v>80</v>
      </c>
      <c r="H461" s="2" t="s">
        <v>34</v>
      </c>
      <c r="I461" s="2" t="s">
        <v>57</v>
      </c>
      <c r="J461" s="2" t="s">
        <v>1497</v>
      </c>
      <c r="K461" s="2" t="s">
        <v>2157</v>
      </c>
      <c r="L461">
        <v>2</v>
      </c>
      <c r="M461" s="1">
        <v>123000</v>
      </c>
      <c r="N461">
        <v>2.7</v>
      </c>
      <c r="O461">
        <v>12</v>
      </c>
      <c r="P461" s="2" t="s">
        <v>26</v>
      </c>
    </row>
    <row r="462" spans="1:16" x14ac:dyDescent="0.25">
      <c r="A462" s="2" t="s">
        <v>2138</v>
      </c>
      <c r="B462" s="2" t="s">
        <v>2139</v>
      </c>
      <c r="C462" s="2" t="s">
        <v>18</v>
      </c>
      <c r="D462" s="2" t="s">
        <v>43</v>
      </c>
      <c r="E462" s="2" t="s">
        <v>20</v>
      </c>
      <c r="F462" s="2" t="s">
        <v>128</v>
      </c>
      <c r="G462" s="2" t="s">
        <v>22</v>
      </c>
      <c r="H462" s="2" t="s">
        <v>23</v>
      </c>
      <c r="I462" s="2" t="s">
        <v>35</v>
      </c>
      <c r="J462" s="2" t="s">
        <v>1930</v>
      </c>
      <c r="K462" s="2" t="s">
        <v>2157</v>
      </c>
      <c r="L462">
        <v>4</v>
      </c>
      <c r="M462" s="1">
        <v>460000</v>
      </c>
      <c r="N462">
        <v>5</v>
      </c>
      <c r="O462">
        <v>1</v>
      </c>
      <c r="P462" s="2" t="s">
        <v>26</v>
      </c>
    </row>
    <row r="463" spans="1:16" x14ac:dyDescent="0.25">
      <c r="A463" s="2" t="s">
        <v>2140</v>
      </c>
      <c r="B463" s="2" t="s">
        <v>1841</v>
      </c>
      <c r="C463" s="2" t="s">
        <v>29</v>
      </c>
      <c r="D463" s="2" t="s">
        <v>30</v>
      </c>
      <c r="E463" s="2" t="s">
        <v>44</v>
      </c>
      <c r="F463" s="2" t="s">
        <v>39</v>
      </c>
      <c r="G463" s="2" t="s">
        <v>33</v>
      </c>
      <c r="H463" s="2" t="s">
        <v>34</v>
      </c>
      <c r="I463" s="2" t="s">
        <v>24</v>
      </c>
      <c r="J463" s="2" t="s">
        <v>670</v>
      </c>
      <c r="K463" s="2" t="s">
        <v>2157</v>
      </c>
      <c r="L463">
        <v>5</v>
      </c>
      <c r="M463" s="1">
        <v>120000</v>
      </c>
      <c r="N463">
        <v>2.4</v>
      </c>
      <c r="O463">
        <v>14</v>
      </c>
      <c r="P463" s="2" t="s">
        <v>26</v>
      </c>
    </row>
    <row r="464" spans="1:16" x14ac:dyDescent="0.25">
      <c r="A464" s="2" t="s">
        <v>2141</v>
      </c>
      <c r="B464" s="2" t="s">
        <v>2142</v>
      </c>
      <c r="C464" s="2" t="s">
        <v>18</v>
      </c>
      <c r="D464" s="2" t="s">
        <v>30</v>
      </c>
      <c r="E464" s="2" t="s">
        <v>20</v>
      </c>
      <c r="F464" s="2" t="s">
        <v>21</v>
      </c>
      <c r="G464" s="2" t="s">
        <v>22</v>
      </c>
      <c r="H464" s="2" t="s">
        <v>62</v>
      </c>
      <c r="I464" s="2" t="s">
        <v>35</v>
      </c>
      <c r="J464" s="2" t="s">
        <v>2143</v>
      </c>
      <c r="K464" s="2" t="s">
        <v>2157</v>
      </c>
      <c r="L464">
        <v>7</v>
      </c>
      <c r="M464" s="1">
        <v>812000</v>
      </c>
      <c r="N464">
        <v>4</v>
      </c>
      <c r="O464">
        <v>7</v>
      </c>
      <c r="P464" s="2" t="s">
        <v>26</v>
      </c>
    </row>
    <row r="465" spans="1:16" x14ac:dyDescent="0.25">
      <c r="A465" s="2" t="s">
        <v>2151</v>
      </c>
      <c r="B465" s="2" t="s">
        <v>675</v>
      </c>
      <c r="C465" s="2" t="s">
        <v>18</v>
      </c>
      <c r="D465" s="2" t="s">
        <v>19</v>
      </c>
      <c r="E465" s="2" t="s">
        <v>20</v>
      </c>
      <c r="F465" s="2" t="s">
        <v>128</v>
      </c>
      <c r="G465" s="2" t="s">
        <v>22</v>
      </c>
      <c r="H465" s="2" t="s">
        <v>23</v>
      </c>
      <c r="I465" s="2" t="s">
        <v>24</v>
      </c>
      <c r="J465" s="2" t="s">
        <v>2152</v>
      </c>
      <c r="K465" s="2" t="s">
        <v>2157</v>
      </c>
      <c r="L465">
        <v>6</v>
      </c>
      <c r="M465" s="1">
        <v>527000</v>
      </c>
      <c r="N465">
        <v>4.4000000000000004</v>
      </c>
      <c r="O465">
        <v>14</v>
      </c>
      <c r="P465" s="2" t="s">
        <v>26</v>
      </c>
    </row>
    <row r="466" spans="1:16" x14ac:dyDescent="0.25">
      <c r="A466" s="2" t="s">
        <v>2155</v>
      </c>
      <c r="B466" s="2" t="s">
        <v>2156</v>
      </c>
      <c r="C466" s="2" t="s">
        <v>29</v>
      </c>
      <c r="D466" s="2" t="s">
        <v>50</v>
      </c>
      <c r="E466" s="2" t="s">
        <v>44</v>
      </c>
      <c r="F466" s="2" t="s">
        <v>128</v>
      </c>
      <c r="G466" s="2" t="s">
        <v>22</v>
      </c>
      <c r="H466" s="2" t="s">
        <v>23</v>
      </c>
      <c r="I466" s="2" t="s">
        <v>57</v>
      </c>
      <c r="J466" s="2" t="s">
        <v>117</v>
      </c>
      <c r="K466" s="2" t="s">
        <v>2157</v>
      </c>
      <c r="L466">
        <v>4</v>
      </c>
      <c r="M466" s="1">
        <v>429000</v>
      </c>
      <c r="N466">
        <v>4.9000000000000004</v>
      </c>
      <c r="O466">
        <v>14</v>
      </c>
      <c r="P466" s="2" t="s">
        <v>72</v>
      </c>
    </row>
    <row r="467" spans="1:16" x14ac:dyDescent="0.25">
      <c r="A467" s="2" t="s">
        <v>2158</v>
      </c>
      <c r="B467" s="2" t="s">
        <v>2159</v>
      </c>
      <c r="C467" s="2" t="s">
        <v>18</v>
      </c>
      <c r="D467" s="2" t="s">
        <v>50</v>
      </c>
      <c r="E467" s="2" t="s">
        <v>20</v>
      </c>
      <c r="F467" s="2" t="s">
        <v>32</v>
      </c>
      <c r="G467" s="2" t="s">
        <v>22</v>
      </c>
      <c r="H467" s="2" t="s">
        <v>23</v>
      </c>
      <c r="I467" s="2" t="s">
        <v>57</v>
      </c>
      <c r="J467" s="2" t="s">
        <v>2160</v>
      </c>
      <c r="K467" s="2" t="s">
        <v>282</v>
      </c>
      <c r="L467">
        <v>5</v>
      </c>
      <c r="M467" s="1">
        <v>249000</v>
      </c>
      <c r="N467">
        <v>4.0999999999999996</v>
      </c>
      <c r="O467">
        <v>0</v>
      </c>
      <c r="P467" s="2" t="s">
        <v>26</v>
      </c>
    </row>
    <row r="468" spans="1:16" x14ac:dyDescent="0.25">
      <c r="A468" s="2" t="s">
        <v>2161</v>
      </c>
      <c r="B468" s="2" t="s">
        <v>2162</v>
      </c>
      <c r="C468" s="2" t="s">
        <v>18</v>
      </c>
      <c r="D468" s="2" t="s">
        <v>50</v>
      </c>
      <c r="E468" s="2" t="s">
        <v>44</v>
      </c>
      <c r="F468" s="2" t="s">
        <v>128</v>
      </c>
      <c r="G468" s="2" t="s">
        <v>22</v>
      </c>
      <c r="H468" s="2" t="s">
        <v>23</v>
      </c>
      <c r="I468" s="2" t="s">
        <v>24</v>
      </c>
      <c r="J468" s="2" t="s">
        <v>2163</v>
      </c>
      <c r="K468" s="2" t="s">
        <v>282</v>
      </c>
      <c r="L468">
        <v>7</v>
      </c>
      <c r="M468" s="1">
        <v>379000</v>
      </c>
      <c r="N468">
        <v>4.9000000000000004</v>
      </c>
      <c r="O468">
        <v>4</v>
      </c>
      <c r="P468" s="2" t="s">
        <v>26</v>
      </c>
    </row>
    <row r="469" spans="1:16" x14ac:dyDescent="0.25">
      <c r="A469" s="2" t="s">
        <v>2164</v>
      </c>
      <c r="B469" s="2" t="s">
        <v>2165</v>
      </c>
      <c r="C469" s="2" t="s">
        <v>18</v>
      </c>
      <c r="D469" s="2" t="s">
        <v>50</v>
      </c>
      <c r="E469" s="2" t="s">
        <v>20</v>
      </c>
      <c r="F469" s="2" t="s">
        <v>39</v>
      </c>
      <c r="G469" s="2" t="s">
        <v>33</v>
      </c>
      <c r="H469" s="2" t="s">
        <v>62</v>
      </c>
      <c r="I469" s="2" t="s">
        <v>57</v>
      </c>
      <c r="J469" s="2" t="s">
        <v>2166</v>
      </c>
      <c r="K469" s="2" t="s">
        <v>282</v>
      </c>
      <c r="L469">
        <v>4</v>
      </c>
      <c r="M469" s="1">
        <v>116000</v>
      </c>
      <c r="N469">
        <v>4.4000000000000004</v>
      </c>
      <c r="O469">
        <v>6</v>
      </c>
      <c r="P469" s="2" t="s">
        <v>26</v>
      </c>
    </row>
    <row r="470" spans="1:16" x14ac:dyDescent="0.25">
      <c r="A470" s="2" t="s">
        <v>2167</v>
      </c>
      <c r="B470" s="2" t="s">
        <v>2168</v>
      </c>
      <c r="C470" s="2" t="s">
        <v>18</v>
      </c>
      <c r="D470" s="2" t="s">
        <v>79</v>
      </c>
      <c r="E470" s="2" t="s">
        <v>20</v>
      </c>
      <c r="F470" s="2" t="s">
        <v>128</v>
      </c>
      <c r="G470" s="2" t="s">
        <v>33</v>
      </c>
      <c r="H470" s="2" t="s">
        <v>23</v>
      </c>
      <c r="I470" s="2" t="s">
        <v>24</v>
      </c>
      <c r="J470" s="2" t="s">
        <v>2169</v>
      </c>
      <c r="K470" s="2" t="s">
        <v>282</v>
      </c>
      <c r="L470">
        <v>5</v>
      </c>
      <c r="M470" s="1">
        <v>449000</v>
      </c>
      <c r="N470">
        <v>3</v>
      </c>
      <c r="O470">
        <v>12</v>
      </c>
      <c r="P470" s="2" t="s">
        <v>26</v>
      </c>
    </row>
    <row r="471" spans="1:16" x14ac:dyDescent="0.25">
      <c r="A471" s="2" t="s">
        <v>2170</v>
      </c>
      <c r="B471" s="2" t="s">
        <v>2171</v>
      </c>
      <c r="C471" s="2" t="s">
        <v>29</v>
      </c>
      <c r="D471" s="2" t="s">
        <v>50</v>
      </c>
      <c r="E471" s="2" t="s">
        <v>44</v>
      </c>
      <c r="F471" s="2" t="s">
        <v>39</v>
      </c>
      <c r="G471" s="2" t="s">
        <v>22</v>
      </c>
      <c r="H471" s="2" t="s">
        <v>34</v>
      </c>
      <c r="I471" s="2" t="s">
        <v>171</v>
      </c>
      <c r="J471" s="2" t="s">
        <v>152</v>
      </c>
      <c r="K471" s="2" t="s">
        <v>282</v>
      </c>
      <c r="L471">
        <v>4</v>
      </c>
      <c r="M471" s="1">
        <v>99000</v>
      </c>
      <c r="N471">
        <v>3.9</v>
      </c>
      <c r="O471">
        <v>1</v>
      </c>
      <c r="P471" s="2" t="s">
        <v>72</v>
      </c>
    </row>
    <row r="472" spans="1:16" x14ac:dyDescent="0.25">
      <c r="A472" s="2" t="s">
        <v>2172</v>
      </c>
      <c r="B472" s="2" t="s">
        <v>2173</v>
      </c>
      <c r="C472" s="2" t="s">
        <v>29</v>
      </c>
      <c r="D472" s="2" t="s">
        <v>50</v>
      </c>
      <c r="E472" s="2" t="s">
        <v>20</v>
      </c>
      <c r="F472" s="2" t="s">
        <v>128</v>
      </c>
      <c r="G472" s="2" t="s">
        <v>33</v>
      </c>
      <c r="H472" s="2" t="s">
        <v>34</v>
      </c>
      <c r="I472" s="2" t="s">
        <v>24</v>
      </c>
      <c r="J472" s="2" t="s">
        <v>1392</v>
      </c>
      <c r="K472" s="2" t="s">
        <v>1456</v>
      </c>
      <c r="L472">
        <v>3</v>
      </c>
      <c r="M472" s="1">
        <v>595000</v>
      </c>
      <c r="N472">
        <v>3</v>
      </c>
      <c r="O472">
        <v>2</v>
      </c>
      <c r="P472" s="2" t="s">
        <v>26</v>
      </c>
    </row>
    <row r="473" spans="1:16" x14ac:dyDescent="0.25">
      <c r="A473" s="2" t="s">
        <v>2174</v>
      </c>
      <c r="B473" s="2" t="s">
        <v>2175</v>
      </c>
      <c r="C473" s="2" t="s">
        <v>18</v>
      </c>
      <c r="D473" s="2" t="s">
        <v>50</v>
      </c>
      <c r="E473" s="2" t="s">
        <v>20</v>
      </c>
      <c r="F473" s="2" t="s">
        <v>39</v>
      </c>
      <c r="G473" s="2" t="s">
        <v>33</v>
      </c>
      <c r="H473" s="2" t="s">
        <v>46</v>
      </c>
      <c r="I473" s="2" t="s">
        <v>24</v>
      </c>
      <c r="J473" s="2" t="s">
        <v>2176</v>
      </c>
      <c r="K473" s="2" t="s">
        <v>1456</v>
      </c>
      <c r="L473">
        <v>3</v>
      </c>
      <c r="M473" s="1">
        <v>108000</v>
      </c>
      <c r="N473">
        <v>2.9</v>
      </c>
      <c r="O473">
        <v>7</v>
      </c>
      <c r="P473" s="2" t="s">
        <v>26</v>
      </c>
    </row>
    <row r="474" spans="1:16" x14ac:dyDescent="0.25">
      <c r="A474" s="2" t="s">
        <v>2180</v>
      </c>
      <c r="B474" s="2" t="s">
        <v>2181</v>
      </c>
      <c r="C474" s="2" t="s">
        <v>18</v>
      </c>
      <c r="D474" s="2" t="s">
        <v>79</v>
      </c>
      <c r="E474" s="2" t="s">
        <v>44</v>
      </c>
      <c r="F474" s="2" t="s">
        <v>39</v>
      </c>
      <c r="G474" s="2" t="s">
        <v>22</v>
      </c>
      <c r="H474" s="2" t="s">
        <v>23</v>
      </c>
      <c r="I474" s="2" t="s">
        <v>35</v>
      </c>
      <c r="J474" s="2" t="s">
        <v>2182</v>
      </c>
      <c r="K474" s="2" t="s">
        <v>1456</v>
      </c>
      <c r="L474">
        <v>2</v>
      </c>
      <c r="M474" s="1">
        <v>157000</v>
      </c>
      <c r="N474">
        <v>3.7</v>
      </c>
      <c r="O474">
        <v>34</v>
      </c>
      <c r="P474" s="2" t="s">
        <v>53</v>
      </c>
    </row>
    <row r="475" spans="1:16" x14ac:dyDescent="0.25">
      <c r="A475" s="2" t="s">
        <v>2183</v>
      </c>
      <c r="B475" s="2" t="s">
        <v>2184</v>
      </c>
      <c r="C475" s="2" t="s">
        <v>18</v>
      </c>
      <c r="D475" s="2" t="s">
        <v>30</v>
      </c>
      <c r="E475" s="2" t="s">
        <v>20</v>
      </c>
      <c r="F475" s="2" t="s">
        <v>128</v>
      </c>
      <c r="G475" s="2" t="s">
        <v>33</v>
      </c>
      <c r="H475" s="2" t="s">
        <v>23</v>
      </c>
      <c r="I475" s="2" t="s">
        <v>75</v>
      </c>
      <c r="J475" s="2" t="s">
        <v>2185</v>
      </c>
      <c r="K475" s="2" t="s">
        <v>2186</v>
      </c>
      <c r="L475">
        <v>5</v>
      </c>
      <c r="M475" s="1">
        <v>437000</v>
      </c>
      <c r="N475">
        <v>3.9</v>
      </c>
      <c r="O475">
        <v>4</v>
      </c>
      <c r="P475" s="2" t="s">
        <v>72</v>
      </c>
    </row>
    <row r="476" spans="1:16" x14ac:dyDescent="0.25">
      <c r="A476" s="2" t="s">
        <v>2187</v>
      </c>
      <c r="B476" s="2" t="s">
        <v>2188</v>
      </c>
      <c r="C476" s="2" t="s">
        <v>29</v>
      </c>
      <c r="D476" s="2" t="s">
        <v>79</v>
      </c>
      <c r="E476" s="2" t="s">
        <v>20</v>
      </c>
      <c r="F476" s="2" t="s">
        <v>128</v>
      </c>
      <c r="G476" s="2" t="s">
        <v>22</v>
      </c>
      <c r="H476" s="2" t="s">
        <v>34</v>
      </c>
      <c r="I476" s="2" t="s">
        <v>57</v>
      </c>
      <c r="J476" s="2" t="s">
        <v>2189</v>
      </c>
      <c r="K476" s="2" t="s">
        <v>1735</v>
      </c>
      <c r="L476">
        <v>3</v>
      </c>
      <c r="M476" s="1">
        <v>570000</v>
      </c>
      <c r="N476">
        <v>2</v>
      </c>
      <c r="O476">
        <v>9</v>
      </c>
      <c r="P476" s="2" t="s">
        <v>72</v>
      </c>
    </row>
    <row r="477" spans="1:16" x14ac:dyDescent="0.25">
      <c r="A477" s="2" t="s">
        <v>2190</v>
      </c>
      <c r="B477" s="2" t="s">
        <v>1904</v>
      </c>
      <c r="C477" s="2" t="s">
        <v>29</v>
      </c>
      <c r="D477" s="2" t="s">
        <v>30</v>
      </c>
      <c r="E477" s="2" t="s">
        <v>44</v>
      </c>
      <c r="F477" s="2" t="s">
        <v>128</v>
      </c>
      <c r="G477" s="2" t="s">
        <v>22</v>
      </c>
      <c r="H477" s="2" t="s">
        <v>23</v>
      </c>
      <c r="I477" s="2" t="s">
        <v>57</v>
      </c>
      <c r="J477" s="2" t="s">
        <v>316</v>
      </c>
      <c r="K477" s="2" t="s">
        <v>220</v>
      </c>
      <c r="L477">
        <v>3</v>
      </c>
      <c r="M477" s="1">
        <v>402000</v>
      </c>
      <c r="N477">
        <v>3.2</v>
      </c>
      <c r="O477">
        <v>2</v>
      </c>
      <c r="P477" s="2" t="s">
        <v>114</v>
      </c>
    </row>
    <row r="478" spans="1:16" x14ac:dyDescent="0.25">
      <c r="A478" s="2" t="s">
        <v>2191</v>
      </c>
      <c r="B478" s="2" t="s">
        <v>552</v>
      </c>
      <c r="C478" s="2" t="s">
        <v>18</v>
      </c>
      <c r="D478" s="2" t="s">
        <v>43</v>
      </c>
      <c r="E478" s="2" t="s">
        <v>20</v>
      </c>
      <c r="F478" s="2" t="s">
        <v>32</v>
      </c>
      <c r="G478" s="2" t="s">
        <v>22</v>
      </c>
      <c r="H478" s="2" t="s">
        <v>23</v>
      </c>
      <c r="I478" s="2" t="s">
        <v>35</v>
      </c>
      <c r="J478" s="2" t="s">
        <v>2192</v>
      </c>
      <c r="K478" s="2" t="s">
        <v>2193</v>
      </c>
      <c r="L478">
        <v>4</v>
      </c>
      <c r="M478" s="1">
        <v>180000</v>
      </c>
      <c r="N478">
        <v>4.7</v>
      </c>
      <c r="O478">
        <v>1</v>
      </c>
      <c r="P478" s="2" t="s">
        <v>53</v>
      </c>
    </row>
    <row r="479" spans="1:16" x14ac:dyDescent="0.25">
      <c r="A479" s="2" t="s">
        <v>2198</v>
      </c>
      <c r="B479" s="2" t="s">
        <v>2199</v>
      </c>
      <c r="C479" s="2" t="s">
        <v>18</v>
      </c>
      <c r="D479" s="2" t="s">
        <v>79</v>
      </c>
      <c r="E479" s="2" t="s">
        <v>20</v>
      </c>
      <c r="F479" s="2" t="s">
        <v>32</v>
      </c>
      <c r="G479" s="2" t="s">
        <v>22</v>
      </c>
      <c r="H479" s="2" t="s">
        <v>46</v>
      </c>
      <c r="I479" s="2" t="s">
        <v>75</v>
      </c>
      <c r="J479" s="2" t="s">
        <v>2200</v>
      </c>
      <c r="K479" s="2" t="s">
        <v>2211</v>
      </c>
      <c r="L479">
        <v>2</v>
      </c>
      <c r="M479" s="1">
        <v>211000</v>
      </c>
      <c r="N479">
        <v>3.3</v>
      </c>
      <c r="O479">
        <v>1</v>
      </c>
      <c r="P479" s="2" t="s">
        <v>26</v>
      </c>
    </row>
    <row r="480" spans="1:16" x14ac:dyDescent="0.25">
      <c r="A480" s="2" t="s">
        <v>2201</v>
      </c>
      <c r="B480" s="2" t="s">
        <v>2202</v>
      </c>
      <c r="C480" s="2" t="s">
        <v>18</v>
      </c>
      <c r="D480" s="2" t="s">
        <v>43</v>
      </c>
      <c r="E480" s="2" t="s">
        <v>20</v>
      </c>
      <c r="F480" s="2" t="s">
        <v>39</v>
      </c>
      <c r="G480" s="2" t="s">
        <v>33</v>
      </c>
      <c r="H480" s="2" t="s">
        <v>46</v>
      </c>
      <c r="I480" s="2" t="s">
        <v>24</v>
      </c>
      <c r="J480" s="2" t="s">
        <v>411</v>
      </c>
      <c r="K480" s="2" t="s">
        <v>2211</v>
      </c>
      <c r="L480">
        <v>4</v>
      </c>
      <c r="M480" s="1">
        <v>100000</v>
      </c>
      <c r="N480">
        <v>3.1</v>
      </c>
      <c r="O480">
        <v>12</v>
      </c>
      <c r="P480" s="2" t="s">
        <v>26</v>
      </c>
    </row>
    <row r="481" spans="1:16" x14ac:dyDescent="0.25">
      <c r="A481" s="2" t="s">
        <v>2203</v>
      </c>
      <c r="B481" s="2" t="s">
        <v>1885</v>
      </c>
      <c r="C481" s="2" t="s">
        <v>29</v>
      </c>
      <c r="D481" s="2" t="s">
        <v>19</v>
      </c>
      <c r="E481" s="2" t="s">
        <v>20</v>
      </c>
      <c r="F481" s="2" t="s">
        <v>39</v>
      </c>
      <c r="G481" s="2" t="s">
        <v>22</v>
      </c>
      <c r="H481" s="2" t="s">
        <v>34</v>
      </c>
      <c r="I481" s="2" t="s">
        <v>24</v>
      </c>
      <c r="J481" s="2" t="s">
        <v>2204</v>
      </c>
      <c r="K481" s="2" t="s">
        <v>2211</v>
      </c>
      <c r="L481">
        <v>6</v>
      </c>
      <c r="M481" s="1">
        <v>114000</v>
      </c>
      <c r="N481">
        <v>3.7</v>
      </c>
      <c r="O481">
        <v>21</v>
      </c>
      <c r="P481" s="2" t="s">
        <v>26</v>
      </c>
    </row>
    <row r="482" spans="1:16" x14ac:dyDescent="0.25">
      <c r="A482" s="2" t="s">
        <v>2205</v>
      </c>
      <c r="B482" s="2" t="s">
        <v>2206</v>
      </c>
      <c r="C482" s="2" t="s">
        <v>18</v>
      </c>
      <c r="D482" s="2" t="s">
        <v>50</v>
      </c>
      <c r="E482" s="2" t="s">
        <v>20</v>
      </c>
      <c r="F482" s="2" t="s">
        <v>32</v>
      </c>
      <c r="G482" s="2" t="s">
        <v>22</v>
      </c>
      <c r="H482" s="2" t="s">
        <v>34</v>
      </c>
      <c r="I482" s="2" t="s">
        <v>24</v>
      </c>
      <c r="J482" s="2" t="s">
        <v>1176</v>
      </c>
      <c r="K482" s="2" t="s">
        <v>2211</v>
      </c>
      <c r="L482">
        <v>5</v>
      </c>
      <c r="M482" s="1">
        <v>182000</v>
      </c>
      <c r="N482">
        <v>4.5</v>
      </c>
      <c r="O482">
        <v>2</v>
      </c>
      <c r="P482" s="2" t="s">
        <v>26</v>
      </c>
    </row>
    <row r="483" spans="1:16" x14ac:dyDescent="0.25">
      <c r="A483" s="2" t="s">
        <v>2207</v>
      </c>
      <c r="B483" s="2" t="s">
        <v>2208</v>
      </c>
      <c r="C483" s="2" t="s">
        <v>18</v>
      </c>
      <c r="D483" s="2" t="s">
        <v>19</v>
      </c>
      <c r="E483" s="2" t="s">
        <v>20</v>
      </c>
      <c r="F483" s="2" t="s">
        <v>39</v>
      </c>
      <c r="G483" s="2" t="s">
        <v>69</v>
      </c>
      <c r="H483" s="2" t="s">
        <v>46</v>
      </c>
      <c r="I483" s="2" t="s">
        <v>24</v>
      </c>
      <c r="J483" s="2" t="s">
        <v>773</v>
      </c>
      <c r="K483" s="2" t="s">
        <v>2211</v>
      </c>
      <c r="L483">
        <v>4</v>
      </c>
      <c r="M483" s="1">
        <v>127000</v>
      </c>
      <c r="N483">
        <v>4</v>
      </c>
      <c r="O483">
        <v>10</v>
      </c>
      <c r="P483" s="2" t="s">
        <v>26</v>
      </c>
    </row>
    <row r="484" spans="1:16" x14ac:dyDescent="0.25">
      <c r="A484" s="2" t="s">
        <v>2209</v>
      </c>
      <c r="B484" s="2" t="s">
        <v>1778</v>
      </c>
      <c r="C484" s="2" t="s">
        <v>29</v>
      </c>
      <c r="D484" s="2" t="s">
        <v>19</v>
      </c>
      <c r="E484" s="2" t="s">
        <v>44</v>
      </c>
      <c r="F484" s="2" t="s">
        <v>128</v>
      </c>
      <c r="G484" s="2" t="s">
        <v>22</v>
      </c>
      <c r="H484" s="2" t="s">
        <v>62</v>
      </c>
      <c r="I484" s="2" t="s">
        <v>24</v>
      </c>
      <c r="J484" s="2" t="s">
        <v>2210</v>
      </c>
      <c r="K484" s="2" t="s">
        <v>2211</v>
      </c>
      <c r="L484">
        <v>4</v>
      </c>
      <c r="M484" s="1">
        <v>424000</v>
      </c>
      <c r="N484">
        <v>4.5999999999999996</v>
      </c>
      <c r="O484">
        <v>4</v>
      </c>
      <c r="P484" s="2" t="s">
        <v>53</v>
      </c>
    </row>
    <row r="485" spans="1:16" x14ac:dyDescent="0.25">
      <c r="A485" s="2" t="s">
        <v>2214</v>
      </c>
      <c r="B485" s="2" t="s">
        <v>2215</v>
      </c>
      <c r="C485" s="2" t="s">
        <v>18</v>
      </c>
      <c r="D485" s="2" t="s">
        <v>50</v>
      </c>
      <c r="E485" s="2" t="s">
        <v>20</v>
      </c>
      <c r="F485" s="2" t="s">
        <v>32</v>
      </c>
      <c r="G485" s="2" t="s">
        <v>22</v>
      </c>
      <c r="H485" s="2" t="s">
        <v>34</v>
      </c>
      <c r="I485" s="2" t="s">
        <v>171</v>
      </c>
      <c r="J485" s="2" t="s">
        <v>2216</v>
      </c>
      <c r="K485" s="2" t="s">
        <v>2217</v>
      </c>
      <c r="L485">
        <v>2</v>
      </c>
      <c r="M485" s="1">
        <v>240000</v>
      </c>
      <c r="N485">
        <v>2.7</v>
      </c>
      <c r="O485">
        <v>12</v>
      </c>
      <c r="P485" s="2" t="s">
        <v>53</v>
      </c>
    </row>
    <row r="486" spans="1:16" x14ac:dyDescent="0.25">
      <c r="A486" s="2" t="s">
        <v>2225</v>
      </c>
      <c r="B486" s="2" t="s">
        <v>2226</v>
      </c>
      <c r="C486" s="2" t="s">
        <v>29</v>
      </c>
      <c r="D486" s="2" t="s">
        <v>79</v>
      </c>
      <c r="E486" s="2" t="s">
        <v>20</v>
      </c>
      <c r="F486" s="2" t="s">
        <v>128</v>
      </c>
      <c r="G486" s="2" t="s">
        <v>80</v>
      </c>
      <c r="H486" s="2" t="s">
        <v>23</v>
      </c>
      <c r="I486" s="2" t="s">
        <v>24</v>
      </c>
      <c r="J486" s="2" t="s">
        <v>1154</v>
      </c>
      <c r="K486" s="2" t="s">
        <v>823</v>
      </c>
      <c r="L486">
        <v>4</v>
      </c>
      <c r="M486" s="1">
        <v>539000</v>
      </c>
      <c r="N486">
        <v>2.9</v>
      </c>
      <c r="O486">
        <v>2</v>
      </c>
      <c r="P486" s="2" t="s">
        <v>72</v>
      </c>
    </row>
    <row r="487" spans="1:16" x14ac:dyDescent="0.25">
      <c r="A487" s="2" t="s">
        <v>2227</v>
      </c>
      <c r="B487" s="2" t="s">
        <v>2228</v>
      </c>
      <c r="C487" s="2" t="s">
        <v>18</v>
      </c>
      <c r="D487" s="2" t="s">
        <v>19</v>
      </c>
      <c r="E487" s="2" t="s">
        <v>20</v>
      </c>
      <c r="F487" s="2" t="s">
        <v>128</v>
      </c>
      <c r="G487" s="2" t="s">
        <v>22</v>
      </c>
      <c r="H487" s="2" t="s">
        <v>46</v>
      </c>
      <c r="I487" s="2" t="s">
        <v>24</v>
      </c>
      <c r="J487" s="2" t="s">
        <v>2229</v>
      </c>
      <c r="K487" s="2" t="s">
        <v>2230</v>
      </c>
      <c r="L487">
        <v>6</v>
      </c>
      <c r="M487" s="1">
        <v>631000</v>
      </c>
      <c r="N487">
        <v>4.7</v>
      </c>
      <c r="O487">
        <v>6</v>
      </c>
      <c r="P487" s="2" t="s">
        <v>72</v>
      </c>
    </row>
    <row r="488" spans="1:16" x14ac:dyDescent="0.25">
      <c r="A488" s="2" t="s">
        <v>2234</v>
      </c>
      <c r="B488" s="2" t="s">
        <v>2235</v>
      </c>
      <c r="C488" s="2" t="s">
        <v>29</v>
      </c>
      <c r="D488" s="2" t="s">
        <v>30</v>
      </c>
      <c r="E488" s="2" t="s">
        <v>44</v>
      </c>
      <c r="F488" s="2" t="s">
        <v>39</v>
      </c>
      <c r="G488" s="2" t="s">
        <v>80</v>
      </c>
      <c r="H488" s="2" t="s">
        <v>23</v>
      </c>
      <c r="I488" s="2" t="s">
        <v>35</v>
      </c>
      <c r="J488" s="2" t="s">
        <v>2236</v>
      </c>
      <c r="K488" s="2" t="s">
        <v>2252</v>
      </c>
      <c r="L488">
        <v>3</v>
      </c>
      <c r="M488" s="1">
        <v>129000</v>
      </c>
      <c r="N488">
        <v>1.6</v>
      </c>
      <c r="O488">
        <v>40</v>
      </c>
      <c r="P488" s="2" t="s">
        <v>26</v>
      </c>
    </row>
    <row r="489" spans="1:16" x14ac:dyDescent="0.25">
      <c r="A489" s="2" t="s">
        <v>2244</v>
      </c>
      <c r="B489" s="2" t="s">
        <v>2245</v>
      </c>
      <c r="C489" s="2" t="s">
        <v>18</v>
      </c>
      <c r="D489" s="2" t="s">
        <v>50</v>
      </c>
      <c r="E489" s="2" t="s">
        <v>20</v>
      </c>
      <c r="F489" s="2" t="s">
        <v>32</v>
      </c>
      <c r="G489" s="2" t="s">
        <v>33</v>
      </c>
      <c r="H489" s="2" t="s">
        <v>23</v>
      </c>
      <c r="I489" s="2" t="s">
        <v>24</v>
      </c>
      <c r="J489" s="2" t="s">
        <v>654</v>
      </c>
      <c r="K489" s="2" t="s">
        <v>2252</v>
      </c>
      <c r="L489">
        <v>3</v>
      </c>
      <c r="M489" s="1">
        <v>267000</v>
      </c>
      <c r="N489">
        <v>3.7</v>
      </c>
      <c r="O489">
        <v>0</v>
      </c>
      <c r="P489" s="2" t="s">
        <v>26</v>
      </c>
    </row>
    <row r="490" spans="1:16" x14ac:dyDescent="0.25">
      <c r="A490" s="2" t="s">
        <v>2246</v>
      </c>
      <c r="B490" s="2" t="s">
        <v>2247</v>
      </c>
      <c r="C490" s="2" t="s">
        <v>18</v>
      </c>
      <c r="D490" s="2" t="s">
        <v>50</v>
      </c>
      <c r="E490" s="2" t="s">
        <v>20</v>
      </c>
      <c r="F490" s="2" t="s">
        <v>32</v>
      </c>
      <c r="G490" s="2" t="s">
        <v>80</v>
      </c>
      <c r="H490" s="2" t="s">
        <v>34</v>
      </c>
      <c r="I490" s="2" t="s">
        <v>24</v>
      </c>
      <c r="J490" s="2" t="s">
        <v>1883</v>
      </c>
      <c r="K490" s="2" t="s">
        <v>2252</v>
      </c>
      <c r="L490">
        <v>6</v>
      </c>
      <c r="M490" s="1">
        <v>339000</v>
      </c>
      <c r="N490">
        <v>2.5</v>
      </c>
      <c r="O490">
        <v>34</v>
      </c>
      <c r="P490" s="2" t="s">
        <v>26</v>
      </c>
    </row>
    <row r="491" spans="1:16" x14ac:dyDescent="0.25">
      <c r="A491" s="2" t="s">
        <v>2250</v>
      </c>
      <c r="B491" s="2" t="s">
        <v>2251</v>
      </c>
      <c r="C491" s="2" t="s">
        <v>29</v>
      </c>
      <c r="D491" s="2" t="s">
        <v>79</v>
      </c>
      <c r="E491" s="2" t="s">
        <v>44</v>
      </c>
      <c r="F491" s="2" t="s">
        <v>39</v>
      </c>
      <c r="G491" s="2" t="s">
        <v>22</v>
      </c>
      <c r="H491" s="2" t="s">
        <v>46</v>
      </c>
      <c r="I491" s="2" t="s">
        <v>57</v>
      </c>
      <c r="J491" s="2" t="s">
        <v>855</v>
      </c>
      <c r="K491" s="2" t="s">
        <v>2252</v>
      </c>
      <c r="L491">
        <v>4</v>
      </c>
      <c r="M491" s="1">
        <v>100000</v>
      </c>
      <c r="N491">
        <v>4.5</v>
      </c>
      <c r="O491">
        <v>9</v>
      </c>
      <c r="P491" s="2" t="s">
        <v>53</v>
      </c>
    </row>
    <row r="492" spans="1:16" x14ac:dyDescent="0.25">
      <c r="A492" s="2" t="s">
        <v>2253</v>
      </c>
      <c r="B492" s="2" t="s">
        <v>2254</v>
      </c>
      <c r="C492" s="2" t="s">
        <v>18</v>
      </c>
      <c r="D492" s="2" t="s">
        <v>19</v>
      </c>
      <c r="E492" s="2" t="s">
        <v>20</v>
      </c>
      <c r="F492" s="2" t="s">
        <v>32</v>
      </c>
      <c r="G492" s="2" t="s">
        <v>22</v>
      </c>
      <c r="H492" s="2" t="s">
        <v>46</v>
      </c>
      <c r="I492" s="2" t="s">
        <v>35</v>
      </c>
      <c r="J492" s="2" t="s">
        <v>2255</v>
      </c>
      <c r="K492" s="2" t="s">
        <v>964</v>
      </c>
      <c r="L492">
        <v>3</v>
      </c>
      <c r="M492" s="1">
        <v>359000</v>
      </c>
      <c r="N492">
        <v>3.2</v>
      </c>
      <c r="O492">
        <v>13</v>
      </c>
      <c r="P492" s="2" t="s">
        <v>26</v>
      </c>
    </row>
    <row r="493" spans="1:16" x14ac:dyDescent="0.25">
      <c r="A493" s="2" t="s">
        <v>2258</v>
      </c>
      <c r="B493" s="2" t="s">
        <v>1990</v>
      </c>
      <c r="C493" s="2" t="s">
        <v>18</v>
      </c>
      <c r="D493" s="2" t="s">
        <v>30</v>
      </c>
      <c r="E493" s="2" t="s">
        <v>20</v>
      </c>
      <c r="F493" s="2" t="s">
        <v>39</v>
      </c>
      <c r="G493" s="2" t="s">
        <v>80</v>
      </c>
      <c r="H493" s="2" t="s">
        <v>46</v>
      </c>
      <c r="I493" s="2" t="s">
        <v>75</v>
      </c>
      <c r="J493" s="2" t="s">
        <v>2259</v>
      </c>
      <c r="K493" s="2" t="s">
        <v>964</v>
      </c>
      <c r="L493">
        <v>6</v>
      </c>
      <c r="M493" s="1">
        <v>117000</v>
      </c>
      <c r="N493">
        <v>3.3</v>
      </c>
      <c r="O493">
        <v>10</v>
      </c>
      <c r="P493" s="2" t="s">
        <v>26</v>
      </c>
    </row>
    <row r="494" spans="1:16" x14ac:dyDescent="0.25">
      <c r="A494" s="2" t="s">
        <v>2263</v>
      </c>
      <c r="B494" s="2" t="s">
        <v>2264</v>
      </c>
      <c r="C494" s="2" t="s">
        <v>29</v>
      </c>
      <c r="D494" s="2" t="s">
        <v>50</v>
      </c>
      <c r="E494" s="2" t="s">
        <v>44</v>
      </c>
      <c r="F494" s="2" t="s">
        <v>39</v>
      </c>
      <c r="G494" s="2" t="s">
        <v>22</v>
      </c>
      <c r="H494" s="2" t="s">
        <v>46</v>
      </c>
      <c r="I494" s="2" t="s">
        <v>57</v>
      </c>
      <c r="J494" s="2" t="s">
        <v>2265</v>
      </c>
      <c r="K494" s="2" t="s">
        <v>964</v>
      </c>
      <c r="L494">
        <v>4</v>
      </c>
      <c r="M494" s="1">
        <v>150000</v>
      </c>
      <c r="N494">
        <v>2.9</v>
      </c>
      <c r="O494">
        <v>14</v>
      </c>
      <c r="P494" s="2" t="s">
        <v>53</v>
      </c>
    </row>
    <row r="495" spans="1:16" x14ac:dyDescent="0.25">
      <c r="A495" s="2" t="s">
        <v>2269</v>
      </c>
      <c r="B495" s="2" t="s">
        <v>248</v>
      </c>
      <c r="C495" s="2" t="s">
        <v>18</v>
      </c>
      <c r="D495" s="2" t="s">
        <v>43</v>
      </c>
      <c r="E495" s="2" t="s">
        <v>20</v>
      </c>
      <c r="F495" s="2" t="s">
        <v>32</v>
      </c>
      <c r="G495" s="2" t="s">
        <v>22</v>
      </c>
      <c r="H495" s="2" t="s">
        <v>46</v>
      </c>
      <c r="I495" s="2" t="s">
        <v>24</v>
      </c>
      <c r="J495" s="2" t="s">
        <v>342</v>
      </c>
      <c r="K495" s="2" t="s">
        <v>2271</v>
      </c>
      <c r="L495">
        <v>4</v>
      </c>
      <c r="M495" s="1">
        <v>301000</v>
      </c>
      <c r="N495">
        <v>4.5999999999999996</v>
      </c>
      <c r="O495">
        <v>9</v>
      </c>
      <c r="P495" s="2" t="s">
        <v>26</v>
      </c>
    </row>
    <row r="496" spans="1:16" x14ac:dyDescent="0.25">
      <c r="A496" s="2" t="s">
        <v>2270</v>
      </c>
      <c r="B496" s="2" t="s">
        <v>886</v>
      </c>
      <c r="C496" s="2" t="s">
        <v>18</v>
      </c>
      <c r="D496" s="2" t="s">
        <v>50</v>
      </c>
      <c r="E496" s="2" t="s">
        <v>20</v>
      </c>
      <c r="F496" s="2" t="s">
        <v>39</v>
      </c>
      <c r="G496" s="2" t="s">
        <v>80</v>
      </c>
      <c r="H496" s="2" t="s">
        <v>46</v>
      </c>
      <c r="I496" s="2" t="s">
        <v>171</v>
      </c>
      <c r="J496" s="2" t="s">
        <v>1817</v>
      </c>
      <c r="K496" s="2" t="s">
        <v>2271</v>
      </c>
      <c r="L496">
        <v>5</v>
      </c>
      <c r="M496" s="1">
        <v>107000</v>
      </c>
      <c r="N496">
        <v>4.4000000000000004</v>
      </c>
      <c r="O496">
        <v>20</v>
      </c>
      <c r="P496" s="2" t="s">
        <v>72</v>
      </c>
    </row>
    <row r="497" spans="1:16" x14ac:dyDescent="0.25">
      <c r="A497" s="2" t="s">
        <v>2272</v>
      </c>
      <c r="B497" s="2" t="s">
        <v>843</v>
      </c>
      <c r="C497" s="2" t="s">
        <v>18</v>
      </c>
      <c r="D497" s="2" t="s">
        <v>50</v>
      </c>
      <c r="E497" s="2" t="s">
        <v>44</v>
      </c>
      <c r="F497" s="2" t="s">
        <v>39</v>
      </c>
      <c r="G497" s="2" t="s">
        <v>22</v>
      </c>
      <c r="H497" s="2" t="s">
        <v>34</v>
      </c>
      <c r="I497" s="2" t="s">
        <v>24</v>
      </c>
      <c r="J497" s="2" t="s">
        <v>2273</v>
      </c>
      <c r="K497" s="2" t="s">
        <v>2274</v>
      </c>
      <c r="L497">
        <v>6</v>
      </c>
      <c r="M497" s="1">
        <v>118000</v>
      </c>
      <c r="N497">
        <v>4.7</v>
      </c>
      <c r="O497">
        <v>3</v>
      </c>
      <c r="P497" s="2" t="s">
        <v>53</v>
      </c>
    </row>
    <row r="498" spans="1:16" x14ac:dyDescent="0.25">
      <c r="A498" s="2" t="s">
        <v>2275</v>
      </c>
      <c r="B498" s="2" t="s">
        <v>2276</v>
      </c>
      <c r="C498" s="2" t="s">
        <v>18</v>
      </c>
      <c r="D498" s="2" t="s">
        <v>79</v>
      </c>
      <c r="E498" s="2" t="s">
        <v>20</v>
      </c>
      <c r="F498" s="2" t="s">
        <v>128</v>
      </c>
      <c r="G498" s="2" t="s">
        <v>80</v>
      </c>
      <c r="H498" s="2" t="s">
        <v>62</v>
      </c>
      <c r="I498" s="2" t="s">
        <v>24</v>
      </c>
      <c r="J498" s="2" t="s">
        <v>2277</v>
      </c>
      <c r="K498" s="2" t="s">
        <v>2285</v>
      </c>
      <c r="L498">
        <v>2</v>
      </c>
      <c r="M498" s="1">
        <v>398000</v>
      </c>
      <c r="N498">
        <v>2.5</v>
      </c>
      <c r="O498">
        <v>10</v>
      </c>
      <c r="P498" s="2" t="s">
        <v>26</v>
      </c>
    </row>
    <row r="499" spans="1:16" x14ac:dyDescent="0.25">
      <c r="A499" s="2" t="s">
        <v>2278</v>
      </c>
      <c r="B499" s="2" t="s">
        <v>2279</v>
      </c>
      <c r="C499" s="2" t="s">
        <v>18</v>
      </c>
      <c r="D499" s="2" t="s">
        <v>50</v>
      </c>
      <c r="E499" s="2" t="s">
        <v>20</v>
      </c>
      <c r="F499" s="2" t="s">
        <v>128</v>
      </c>
      <c r="G499" s="2" t="s">
        <v>69</v>
      </c>
      <c r="H499" s="2" t="s">
        <v>34</v>
      </c>
      <c r="I499" s="2" t="s">
        <v>24</v>
      </c>
      <c r="J499" s="2" t="s">
        <v>2280</v>
      </c>
      <c r="K499" s="2" t="s">
        <v>2285</v>
      </c>
      <c r="L499">
        <v>2</v>
      </c>
      <c r="M499" s="1">
        <v>574000</v>
      </c>
      <c r="N499">
        <v>4.4000000000000004</v>
      </c>
      <c r="O499">
        <v>12</v>
      </c>
      <c r="P499" s="2" t="s">
        <v>26</v>
      </c>
    </row>
    <row r="500" spans="1:16" x14ac:dyDescent="0.25">
      <c r="A500" s="2" t="s">
        <v>2283</v>
      </c>
      <c r="B500" s="2" t="s">
        <v>2284</v>
      </c>
      <c r="C500" s="2" t="s">
        <v>18</v>
      </c>
      <c r="D500" s="2" t="s">
        <v>50</v>
      </c>
      <c r="E500" s="2" t="s">
        <v>31</v>
      </c>
      <c r="F500" s="2" t="s">
        <v>32</v>
      </c>
      <c r="G500" s="2" t="s">
        <v>80</v>
      </c>
      <c r="H500" s="2" t="s">
        <v>23</v>
      </c>
      <c r="I500" s="2" t="s">
        <v>75</v>
      </c>
      <c r="J500" s="2" t="s">
        <v>709</v>
      </c>
      <c r="K500" s="2" t="s">
        <v>2285</v>
      </c>
      <c r="L500">
        <v>3</v>
      </c>
      <c r="M500" s="1">
        <v>192000</v>
      </c>
      <c r="N500">
        <v>2.5</v>
      </c>
      <c r="O500">
        <v>1</v>
      </c>
      <c r="P500" s="2" t="s">
        <v>53</v>
      </c>
    </row>
    <row r="501" spans="1:16" x14ac:dyDescent="0.25">
      <c r="A501" s="2" t="s">
        <v>2286</v>
      </c>
      <c r="B501" s="2" t="s">
        <v>1094</v>
      </c>
      <c r="C501" s="2" t="s">
        <v>18</v>
      </c>
      <c r="D501" s="2" t="s">
        <v>30</v>
      </c>
      <c r="E501" s="2" t="s">
        <v>20</v>
      </c>
      <c r="F501" s="2" t="s">
        <v>32</v>
      </c>
      <c r="G501" s="2" t="s">
        <v>80</v>
      </c>
      <c r="H501" s="2" t="s">
        <v>62</v>
      </c>
      <c r="I501" s="2" t="s">
        <v>171</v>
      </c>
      <c r="J501" s="2" t="s">
        <v>688</v>
      </c>
      <c r="K501" s="2" t="s">
        <v>2287</v>
      </c>
      <c r="L501">
        <v>6</v>
      </c>
      <c r="M501" s="1">
        <v>256000</v>
      </c>
      <c r="N501">
        <v>2.1</v>
      </c>
      <c r="O501">
        <v>35</v>
      </c>
      <c r="P501" s="2" t="s">
        <v>53</v>
      </c>
    </row>
    <row r="502" spans="1:16" x14ac:dyDescent="0.25">
      <c r="A502" s="2" t="s">
        <v>2290</v>
      </c>
      <c r="B502" s="2" t="s">
        <v>2291</v>
      </c>
      <c r="C502" s="2" t="s">
        <v>29</v>
      </c>
      <c r="D502" s="2" t="s">
        <v>19</v>
      </c>
      <c r="E502" s="2" t="s">
        <v>20</v>
      </c>
      <c r="F502" s="2" t="s">
        <v>39</v>
      </c>
      <c r="G502" s="2" t="s">
        <v>69</v>
      </c>
      <c r="H502" s="2" t="s">
        <v>34</v>
      </c>
      <c r="I502" s="2" t="s">
        <v>24</v>
      </c>
      <c r="J502" s="2" t="s">
        <v>2292</v>
      </c>
      <c r="K502" s="2" t="s">
        <v>1310</v>
      </c>
      <c r="L502">
        <v>2</v>
      </c>
      <c r="M502" s="1">
        <v>164000</v>
      </c>
      <c r="N502">
        <v>3.6</v>
      </c>
      <c r="O502">
        <v>9</v>
      </c>
      <c r="P502" s="2" t="s">
        <v>53</v>
      </c>
    </row>
    <row r="503" spans="1:16" x14ac:dyDescent="0.25">
      <c r="A503" s="2" t="s">
        <v>2297</v>
      </c>
      <c r="B503" s="2" t="s">
        <v>2298</v>
      </c>
      <c r="C503" s="2" t="s">
        <v>18</v>
      </c>
      <c r="D503" s="2" t="s">
        <v>30</v>
      </c>
      <c r="E503" s="2" t="s">
        <v>44</v>
      </c>
      <c r="F503" s="2" t="s">
        <v>32</v>
      </c>
      <c r="G503" s="2" t="s">
        <v>80</v>
      </c>
      <c r="H503" s="2" t="s">
        <v>34</v>
      </c>
      <c r="I503" s="2" t="s">
        <v>57</v>
      </c>
      <c r="J503" s="2" t="s">
        <v>2299</v>
      </c>
      <c r="K503" s="2" t="s">
        <v>2300</v>
      </c>
      <c r="L503">
        <v>5</v>
      </c>
      <c r="M503" s="1">
        <v>195000</v>
      </c>
      <c r="N503">
        <v>1.9</v>
      </c>
      <c r="O503">
        <v>17</v>
      </c>
      <c r="P503" s="2" t="s">
        <v>72</v>
      </c>
    </row>
    <row r="504" spans="1:16" x14ac:dyDescent="0.25">
      <c r="A504" s="2" t="s">
        <v>2301</v>
      </c>
      <c r="B504" s="2" t="s">
        <v>2302</v>
      </c>
      <c r="C504" s="2" t="s">
        <v>18</v>
      </c>
      <c r="D504" s="2" t="s">
        <v>50</v>
      </c>
      <c r="E504" s="2" t="s">
        <v>20</v>
      </c>
      <c r="F504" s="2" t="s">
        <v>39</v>
      </c>
      <c r="G504" s="2" t="s">
        <v>80</v>
      </c>
      <c r="H504" s="2" t="s">
        <v>62</v>
      </c>
      <c r="I504" s="2" t="s">
        <v>24</v>
      </c>
      <c r="J504" s="2" t="s">
        <v>1803</v>
      </c>
      <c r="K504" s="2" t="s">
        <v>1344</v>
      </c>
      <c r="L504">
        <v>6</v>
      </c>
      <c r="M504" s="1">
        <v>102000</v>
      </c>
      <c r="N504">
        <v>4.7</v>
      </c>
      <c r="O504">
        <v>14</v>
      </c>
      <c r="P504" s="2" t="s">
        <v>53</v>
      </c>
    </row>
    <row r="505" spans="1:16" x14ac:dyDescent="0.25">
      <c r="A505" s="2" t="s">
        <v>2303</v>
      </c>
      <c r="B505" s="2" t="s">
        <v>2304</v>
      </c>
      <c r="C505" s="2" t="s">
        <v>29</v>
      </c>
      <c r="D505" s="2" t="s">
        <v>30</v>
      </c>
      <c r="E505" s="2" t="s">
        <v>31</v>
      </c>
      <c r="F505" s="2" t="s">
        <v>39</v>
      </c>
      <c r="G505" s="2" t="s">
        <v>80</v>
      </c>
      <c r="H505" s="2" t="s">
        <v>23</v>
      </c>
      <c r="I505" s="2" t="s">
        <v>57</v>
      </c>
      <c r="J505" s="2" t="s">
        <v>2305</v>
      </c>
      <c r="K505" s="2" t="s">
        <v>2313</v>
      </c>
      <c r="L505">
        <v>5</v>
      </c>
      <c r="M505" s="1">
        <v>108000</v>
      </c>
      <c r="N505">
        <v>2</v>
      </c>
      <c r="O505">
        <v>1</v>
      </c>
      <c r="P505" s="2" t="s">
        <v>26</v>
      </c>
    </row>
    <row r="506" spans="1:16" x14ac:dyDescent="0.25">
      <c r="A506" s="2" t="s">
        <v>2308</v>
      </c>
      <c r="B506" s="2" t="s">
        <v>2309</v>
      </c>
      <c r="C506" s="2" t="s">
        <v>18</v>
      </c>
      <c r="D506" s="2" t="s">
        <v>50</v>
      </c>
      <c r="E506" s="2" t="s">
        <v>20</v>
      </c>
      <c r="F506" s="2" t="s">
        <v>21</v>
      </c>
      <c r="G506" s="2" t="s">
        <v>22</v>
      </c>
      <c r="H506" s="2" t="s">
        <v>23</v>
      </c>
      <c r="I506" s="2" t="s">
        <v>35</v>
      </c>
      <c r="J506" s="2" t="s">
        <v>2310</v>
      </c>
      <c r="K506" s="2" t="s">
        <v>2313</v>
      </c>
      <c r="L506">
        <v>5</v>
      </c>
      <c r="M506" s="1">
        <v>801000</v>
      </c>
      <c r="N506">
        <v>4</v>
      </c>
      <c r="O506">
        <v>7</v>
      </c>
      <c r="P506" s="2" t="s">
        <v>26</v>
      </c>
    </row>
    <row r="507" spans="1:16" x14ac:dyDescent="0.25">
      <c r="A507" s="2" t="s">
        <v>2311</v>
      </c>
      <c r="B507" s="2" t="s">
        <v>2312</v>
      </c>
      <c r="C507" s="2" t="s">
        <v>29</v>
      </c>
      <c r="D507" s="2" t="s">
        <v>50</v>
      </c>
      <c r="E507" s="2" t="s">
        <v>20</v>
      </c>
      <c r="F507" s="2" t="s">
        <v>39</v>
      </c>
      <c r="G507" s="2" t="s">
        <v>22</v>
      </c>
      <c r="H507" s="2" t="s">
        <v>34</v>
      </c>
      <c r="I507" s="2" t="s">
        <v>57</v>
      </c>
      <c r="J507" s="2" t="s">
        <v>1448</v>
      </c>
      <c r="K507" s="2" t="s">
        <v>2313</v>
      </c>
      <c r="L507">
        <v>2</v>
      </c>
      <c r="M507" s="1">
        <v>172000</v>
      </c>
      <c r="N507">
        <v>2.9</v>
      </c>
      <c r="O507">
        <v>6</v>
      </c>
      <c r="P507" s="2" t="s">
        <v>53</v>
      </c>
    </row>
    <row r="508" spans="1:16" x14ac:dyDescent="0.25">
      <c r="A508" s="2" t="s">
        <v>2314</v>
      </c>
      <c r="B508" s="2" t="s">
        <v>2315</v>
      </c>
      <c r="C508" s="2" t="s">
        <v>29</v>
      </c>
      <c r="D508" s="2" t="s">
        <v>79</v>
      </c>
      <c r="E508" s="2" t="s">
        <v>20</v>
      </c>
      <c r="F508" s="2" t="s">
        <v>32</v>
      </c>
      <c r="G508" s="2" t="s">
        <v>22</v>
      </c>
      <c r="H508" s="2" t="s">
        <v>23</v>
      </c>
      <c r="I508" s="2" t="s">
        <v>57</v>
      </c>
      <c r="J508" s="2" t="s">
        <v>993</v>
      </c>
      <c r="K508" s="2" t="s">
        <v>2323</v>
      </c>
      <c r="L508">
        <v>4</v>
      </c>
      <c r="M508" s="1">
        <v>237000</v>
      </c>
      <c r="N508">
        <v>2.9</v>
      </c>
      <c r="O508">
        <v>6</v>
      </c>
      <c r="P508" s="2" t="s">
        <v>26</v>
      </c>
    </row>
    <row r="509" spans="1:16" x14ac:dyDescent="0.25">
      <c r="A509" s="2" t="s">
        <v>2316</v>
      </c>
      <c r="B509" s="2" t="s">
        <v>2317</v>
      </c>
      <c r="C509" s="2" t="s">
        <v>29</v>
      </c>
      <c r="D509" s="2" t="s">
        <v>30</v>
      </c>
      <c r="E509" s="2" t="s">
        <v>20</v>
      </c>
      <c r="F509" s="2" t="s">
        <v>39</v>
      </c>
      <c r="G509" s="2" t="s">
        <v>22</v>
      </c>
      <c r="H509" s="2" t="s">
        <v>34</v>
      </c>
      <c r="I509" s="2" t="s">
        <v>24</v>
      </c>
      <c r="J509" s="2" t="s">
        <v>1056</v>
      </c>
      <c r="K509" s="2" t="s">
        <v>2323</v>
      </c>
      <c r="L509">
        <v>5</v>
      </c>
      <c r="M509" s="1">
        <v>132000</v>
      </c>
      <c r="N509">
        <v>2.4</v>
      </c>
      <c r="O509">
        <v>0</v>
      </c>
      <c r="P509" s="2" t="s">
        <v>26</v>
      </c>
    </row>
    <row r="510" spans="1:16" x14ac:dyDescent="0.25">
      <c r="A510" s="2" t="s">
        <v>2321</v>
      </c>
      <c r="B510" s="2" t="s">
        <v>2322</v>
      </c>
      <c r="C510" s="2" t="s">
        <v>18</v>
      </c>
      <c r="D510" s="2" t="s">
        <v>30</v>
      </c>
      <c r="E510" s="2" t="s">
        <v>20</v>
      </c>
      <c r="F510" s="2" t="s">
        <v>128</v>
      </c>
      <c r="G510" s="2" t="s">
        <v>33</v>
      </c>
      <c r="H510" s="2" t="s">
        <v>23</v>
      </c>
      <c r="I510" s="2" t="s">
        <v>35</v>
      </c>
      <c r="J510" s="2" t="s">
        <v>2064</v>
      </c>
      <c r="K510" s="2" t="s">
        <v>2323</v>
      </c>
      <c r="L510">
        <v>3</v>
      </c>
      <c r="M510" s="1">
        <v>402000</v>
      </c>
      <c r="N510">
        <v>3.1</v>
      </c>
      <c r="O510">
        <v>12</v>
      </c>
      <c r="P510" s="2" t="s">
        <v>72</v>
      </c>
    </row>
    <row r="511" spans="1:16" x14ac:dyDescent="0.25">
      <c r="A511" s="2" t="s">
        <v>2324</v>
      </c>
      <c r="B511" s="2" t="s">
        <v>2325</v>
      </c>
      <c r="C511" s="2" t="s">
        <v>29</v>
      </c>
      <c r="D511" s="2" t="s">
        <v>30</v>
      </c>
      <c r="E511" s="2" t="s">
        <v>20</v>
      </c>
      <c r="F511" s="2" t="s">
        <v>39</v>
      </c>
      <c r="G511" s="2" t="s">
        <v>22</v>
      </c>
      <c r="H511" s="2" t="s">
        <v>46</v>
      </c>
      <c r="I511" s="2" t="s">
        <v>57</v>
      </c>
      <c r="J511" s="2" t="s">
        <v>2326</v>
      </c>
      <c r="K511" s="2" t="s">
        <v>1637</v>
      </c>
      <c r="L511">
        <v>2</v>
      </c>
      <c r="M511" s="1">
        <v>88000</v>
      </c>
      <c r="N511">
        <v>1.6</v>
      </c>
      <c r="O511">
        <v>13</v>
      </c>
      <c r="P511" s="2" t="s">
        <v>26</v>
      </c>
    </row>
    <row r="512" spans="1:16" x14ac:dyDescent="0.25">
      <c r="A512" s="2" t="s">
        <v>2327</v>
      </c>
      <c r="B512" s="2" t="s">
        <v>2328</v>
      </c>
      <c r="C512" s="2" t="s">
        <v>18</v>
      </c>
      <c r="D512" s="2" t="s">
        <v>43</v>
      </c>
      <c r="E512" s="2" t="s">
        <v>20</v>
      </c>
      <c r="F512" s="2" t="s">
        <v>21</v>
      </c>
      <c r="G512" s="2" t="s">
        <v>33</v>
      </c>
      <c r="H512" s="2" t="s">
        <v>23</v>
      </c>
      <c r="I512" s="2" t="s">
        <v>24</v>
      </c>
      <c r="J512" s="2" t="s">
        <v>2329</v>
      </c>
      <c r="K512" s="2" t="s">
        <v>1637</v>
      </c>
      <c r="L512">
        <v>2</v>
      </c>
      <c r="M512" s="1">
        <v>819000</v>
      </c>
      <c r="N512">
        <v>3.4</v>
      </c>
      <c r="O512">
        <v>31</v>
      </c>
      <c r="P512" s="2" t="s">
        <v>26</v>
      </c>
    </row>
    <row r="513" spans="1:16" x14ac:dyDescent="0.25">
      <c r="A513" s="2" t="s">
        <v>2336</v>
      </c>
      <c r="B513" s="2" t="s">
        <v>2312</v>
      </c>
      <c r="C513" s="2" t="s">
        <v>29</v>
      </c>
      <c r="D513" s="2" t="s">
        <v>50</v>
      </c>
      <c r="E513" s="2" t="s">
        <v>44</v>
      </c>
      <c r="F513" s="2" t="s">
        <v>39</v>
      </c>
      <c r="G513" s="2" t="s">
        <v>69</v>
      </c>
      <c r="H513" s="2" t="s">
        <v>62</v>
      </c>
      <c r="I513" s="2" t="s">
        <v>35</v>
      </c>
      <c r="J513" s="2" t="s">
        <v>2337</v>
      </c>
      <c r="K513" s="2" t="s">
        <v>1637</v>
      </c>
      <c r="L513">
        <v>3</v>
      </c>
      <c r="M513" s="1">
        <v>114000</v>
      </c>
      <c r="N513">
        <v>4</v>
      </c>
      <c r="O513">
        <v>14</v>
      </c>
      <c r="P513" s="2" t="s">
        <v>26</v>
      </c>
    </row>
    <row r="514" spans="1:16" x14ac:dyDescent="0.25">
      <c r="A514" s="2" t="s">
        <v>2338</v>
      </c>
      <c r="B514" s="2" t="s">
        <v>2339</v>
      </c>
      <c r="C514" s="2" t="s">
        <v>29</v>
      </c>
      <c r="D514" s="2" t="s">
        <v>19</v>
      </c>
      <c r="E514" s="2" t="s">
        <v>20</v>
      </c>
      <c r="F514" s="2" t="s">
        <v>32</v>
      </c>
      <c r="G514" s="2" t="s">
        <v>80</v>
      </c>
      <c r="H514" s="2" t="s">
        <v>46</v>
      </c>
      <c r="I514" s="2" t="s">
        <v>35</v>
      </c>
      <c r="J514" s="2" t="s">
        <v>135</v>
      </c>
      <c r="K514" s="2" t="s">
        <v>1637</v>
      </c>
      <c r="L514">
        <v>5</v>
      </c>
      <c r="M514" s="1">
        <v>257000</v>
      </c>
      <c r="N514">
        <v>3.7</v>
      </c>
      <c r="O514">
        <v>14</v>
      </c>
      <c r="P514" s="2" t="s">
        <v>26</v>
      </c>
    </row>
    <row r="515" spans="1:16" x14ac:dyDescent="0.25">
      <c r="A515" s="2" t="s">
        <v>2340</v>
      </c>
      <c r="B515" s="2" t="s">
        <v>2341</v>
      </c>
      <c r="C515" s="2" t="s">
        <v>18</v>
      </c>
      <c r="D515" s="2" t="s">
        <v>79</v>
      </c>
      <c r="E515" s="2" t="s">
        <v>20</v>
      </c>
      <c r="F515" s="2" t="s">
        <v>128</v>
      </c>
      <c r="G515" s="2" t="s">
        <v>33</v>
      </c>
      <c r="H515" s="2" t="s">
        <v>62</v>
      </c>
      <c r="I515" s="2" t="s">
        <v>24</v>
      </c>
      <c r="J515" s="2" t="s">
        <v>2342</v>
      </c>
      <c r="K515" s="2" t="s">
        <v>1637</v>
      </c>
      <c r="L515">
        <v>2</v>
      </c>
      <c r="M515" s="1">
        <v>474000</v>
      </c>
      <c r="N515">
        <v>4</v>
      </c>
      <c r="O515">
        <v>12</v>
      </c>
      <c r="P515" s="2" t="s">
        <v>53</v>
      </c>
    </row>
    <row r="516" spans="1:16" x14ac:dyDescent="0.25">
      <c r="A516" s="2" t="s">
        <v>2343</v>
      </c>
      <c r="B516" s="2" t="s">
        <v>1871</v>
      </c>
      <c r="C516" s="2" t="s">
        <v>18</v>
      </c>
      <c r="D516" s="2" t="s">
        <v>79</v>
      </c>
      <c r="E516" s="2" t="s">
        <v>20</v>
      </c>
      <c r="F516" s="2" t="s">
        <v>32</v>
      </c>
      <c r="G516" s="2" t="s">
        <v>80</v>
      </c>
      <c r="H516" s="2" t="s">
        <v>34</v>
      </c>
      <c r="I516" s="2" t="s">
        <v>57</v>
      </c>
      <c r="J516" s="2" t="s">
        <v>2344</v>
      </c>
      <c r="K516" s="2" t="s">
        <v>2365</v>
      </c>
      <c r="L516">
        <v>3</v>
      </c>
      <c r="M516" s="1">
        <v>240000</v>
      </c>
      <c r="N516">
        <v>4.8</v>
      </c>
      <c r="O516">
        <v>8</v>
      </c>
      <c r="P516" s="2" t="s">
        <v>26</v>
      </c>
    </row>
    <row r="517" spans="1:16" x14ac:dyDescent="0.25">
      <c r="A517" s="2" t="s">
        <v>2345</v>
      </c>
      <c r="B517" s="2" t="s">
        <v>2346</v>
      </c>
      <c r="C517" s="2" t="s">
        <v>18</v>
      </c>
      <c r="D517" s="2" t="s">
        <v>79</v>
      </c>
      <c r="E517" s="2" t="s">
        <v>20</v>
      </c>
      <c r="F517" s="2" t="s">
        <v>32</v>
      </c>
      <c r="G517" s="2" t="s">
        <v>33</v>
      </c>
      <c r="H517" s="2" t="s">
        <v>46</v>
      </c>
      <c r="I517" s="2" t="s">
        <v>57</v>
      </c>
      <c r="J517" s="2" t="s">
        <v>2347</v>
      </c>
      <c r="K517" s="2" t="s">
        <v>2365</v>
      </c>
      <c r="L517">
        <v>6</v>
      </c>
      <c r="M517" s="1">
        <v>232000</v>
      </c>
      <c r="N517">
        <v>4.0999999999999996</v>
      </c>
      <c r="O517">
        <v>6</v>
      </c>
      <c r="P517" s="2" t="s">
        <v>26</v>
      </c>
    </row>
    <row r="518" spans="1:16" x14ac:dyDescent="0.25">
      <c r="A518" s="2" t="s">
        <v>2351</v>
      </c>
      <c r="B518" s="2" t="s">
        <v>2352</v>
      </c>
      <c r="C518" s="2" t="s">
        <v>29</v>
      </c>
      <c r="D518" s="2" t="s">
        <v>30</v>
      </c>
      <c r="E518" s="2" t="s">
        <v>20</v>
      </c>
      <c r="F518" s="2" t="s">
        <v>32</v>
      </c>
      <c r="G518" s="2" t="s">
        <v>80</v>
      </c>
      <c r="H518" s="2" t="s">
        <v>62</v>
      </c>
      <c r="I518" s="2" t="s">
        <v>75</v>
      </c>
      <c r="J518" s="2" t="s">
        <v>1059</v>
      </c>
      <c r="K518" s="2" t="s">
        <v>2365</v>
      </c>
      <c r="L518">
        <v>3</v>
      </c>
      <c r="M518" s="1">
        <v>342000</v>
      </c>
      <c r="N518">
        <v>2.8</v>
      </c>
      <c r="O518">
        <v>14</v>
      </c>
      <c r="P518" s="2" t="s">
        <v>26</v>
      </c>
    </row>
    <row r="519" spans="1:16" x14ac:dyDescent="0.25">
      <c r="A519" s="2" t="s">
        <v>2353</v>
      </c>
      <c r="B519" s="2" t="s">
        <v>2354</v>
      </c>
      <c r="C519" s="2" t="s">
        <v>18</v>
      </c>
      <c r="D519" s="2" t="s">
        <v>50</v>
      </c>
      <c r="E519" s="2" t="s">
        <v>31</v>
      </c>
      <c r="F519" s="2" t="s">
        <v>39</v>
      </c>
      <c r="G519" s="2" t="s">
        <v>22</v>
      </c>
      <c r="H519" s="2" t="s">
        <v>34</v>
      </c>
      <c r="I519" s="2" t="s">
        <v>24</v>
      </c>
      <c r="J519" s="2" t="s">
        <v>2355</v>
      </c>
      <c r="K519" s="2" t="s">
        <v>2365</v>
      </c>
      <c r="L519">
        <v>7</v>
      </c>
      <c r="M519" s="1">
        <v>178000</v>
      </c>
      <c r="N519">
        <v>4.3</v>
      </c>
      <c r="O519">
        <v>1</v>
      </c>
      <c r="P519" s="2" t="s">
        <v>26</v>
      </c>
    </row>
    <row r="520" spans="1:16" x14ac:dyDescent="0.25">
      <c r="A520" s="2" t="s">
        <v>2359</v>
      </c>
      <c r="B520" s="2" t="s">
        <v>2360</v>
      </c>
      <c r="C520" s="2" t="s">
        <v>29</v>
      </c>
      <c r="D520" s="2" t="s">
        <v>19</v>
      </c>
      <c r="E520" s="2" t="s">
        <v>20</v>
      </c>
      <c r="F520" s="2" t="s">
        <v>32</v>
      </c>
      <c r="G520" s="2" t="s">
        <v>33</v>
      </c>
      <c r="H520" s="2" t="s">
        <v>34</v>
      </c>
      <c r="I520" s="2" t="s">
        <v>35</v>
      </c>
      <c r="J520" s="2" t="s">
        <v>2361</v>
      </c>
      <c r="K520" s="2" t="s">
        <v>2365</v>
      </c>
      <c r="L520">
        <v>4</v>
      </c>
      <c r="M520" s="1">
        <v>273000</v>
      </c>
      <c r="N520">
        <v>4.7</v>
      </c>
      <c r="O520">
        <v>1</v>
      </c>
      <c r="P520" s="2" t="s">
        <v>26</v>
      </c>
    </row>
    <row r="521" spans="1:16" x14ac:dyDescent="0.25">
      <c r="A521" s="2" t="s">
        <v>2362</v>
      </c>
      <c r="B521" s="2" t="s">
        <v>2363</v>
      </c>
      <c r="C521" s="2" t="s">
        <v>29</v>
      </c>
      <c r="D521" s="2" t="s">
        <v>43</v>
      </c>
      <c r="E521" s="2" t="s">
        <v>44</v>
      </c>
      <c r="F521" s="2" t="s">
        <v>21</v>
      </c>
      <c r="G521" s="2" t="s">
        <v>22</v>
      </c>
      <c r="H521" s="2" t="s">
        <v>23</v>
      </c>
      <c r="I521" s="2" t="s">
        <v>35</v>
      </c>
      <c r="J521" s="2" t="s">
        <v>2364</v>
      </c>
      <c r="K521" s="2" t="s">
        <v>2365</v>
      </c>
      <c r="L521">
        <v>7</v>
      </c>
      <c r="M521" s="1">
        <v>827000</v>
      </c>
      <c r="N521">
        <v>3.5</v>
      </c>
      <c r="O521">
        <v>9</v>
      </c>
      <c r="P521" s="2" t="s">
        <v>53</v>
      </c>
    </row>
    <row r="522" spans="1:16" x14ac:dyDescent="0.25">
      <c r="A522" s="2" t="s">
        <v>2366</v>
      </c>
      <c r="B522" s="2" t="s">
        <v>2367</v>
      </c>
      <c r="C522" s="2" t="s">
        <v>29</v>
      </c>
      <c r="D522" s="2" t="s">
        <v>30</v>
      </c>
      <c r="E522" s="2" t="s">
        <v>20</v>
      </c>
      <c r="F522" s="2" t="s">
        <v>128</v>
      </c>
      <c r="G522" s="2" t="s">
        <v>33</v>
      </c>
      <c r="H522" s="2" t="s">
        <v>46</v>
      </c>
      <c r="I522" s="2" t="s">
        <v>24</v>
      </c>
      <c r="J522" s="2" t="s">
        <v>867</v>
      </c>
      <c r="K522" s="2" t="s">
        <v>2368</v>
      </c>
      <c r="L522">
        <v>2</v>
      </c>
      <c r="M522" s="1">
        <v>375000</v>
      </c>
      <c r="N522">
        <v>3.8</v>
      </c>
      <c r="O522">
        <v>13</v>
      </c>
      <c r="P522" s="2" t="s">
        <v>53</v>
      </c>
    </row>
    <row r="523" spans="1:16" x14ac:dyDescent="0.25">
      <c r="A523" s="2" t="s">
        <v>2369</v>
      </c>
      <c r="B523" s="2" t="s">
        <v>582</v>
      </c>
      <c r="C523" s="2" t="s">
        <v>18</v>
      </c>
      <c r="D523" s="2" t="s">
        <v>30</v>
      </c>
      <c r="E523" s="2" t="s">
        <v>20</v>
      </c>
      <c r="F523" s="2" t="s">
        <v>32</v>
      </c>
      <c r="G523" s="2" t="s">
        <v>22</v>
      </c>
      <c r="H523" s="2" t="s">
        <v>34</v>
      </c>
      <c r="I523" s="2" t="s">
        <v>24</v>
      </c>
      <c r="J523" s="2" t="s">
        <v>1738</v>
      </c>
      <c r="K523" s="2" t="s">
        <v>2157</v>
      </c>
      <c r="L523">
        <v>3</v>
      </c>
      <c r="M523" s="1">
        <v>258000</v>
      </c>
      <c r="N523">
        <v>4.4000000000000004</v>
      </c>
      <c r="O523">
        <v>7</v>
      </c>
      <c r="P523" s="2" t="s">
        <v>26</v>
      </c>
    </row>
    <row r="524" spans="1:16" x14ac:dyDescent="0.25">
      <c r="A524" s="2" t="s">
        <v>2373</v>
      </c>
      <c r="B524" s="2" t="s">
        <v>2374</v>
      </c>
      <c r="C524" s="2" t="s">
        <v>18</v>
      </c>
      <c r="D524" s="2" t="s">
        <v>43</v>
      </c>
      <c r="E524" s="2" t="s">
        <v>20</v>
      </c>
      <c r="F524" s="2" t="s">
        <v>32</v>
      </c>
      <c r="G524" s="2" t="s">
        <v>33</v>
      </c>
      <c r="H524" s="2" t="s">
        <v>34</v>
      </c>
      <c r="I524" s="2" t="s">
        <v>24</v>
      </c>
      <c r="J524" s="2" t="s">
        <v>2375</v>
      </c>
      <c r="K524" s="2" t="s">
        <v>2157</v>
      </c>
      <c r="L524">
        <v>4</v>
      </c>
      <c r="M524" s="1">
        <v>220000</v>
      </c>
      <c r="N524">
        <v>3.6</v>
      </c>
      <c r="O524">
        <v>1</v>
      </c>
      <c r="P524" s="2" t="s">
        <v>72</v>
      </c>
    </row>
    <row r="525" spans="1:16" x14ac:dyDescent="0.25">
      <c r="A525" s="2" t="s">
        <v>2376</v>
      </c>
      <c r="B525" s="2" t="s">
        <v>1031</v>
      </c>
      <c r="C525" s="2" t="s">
        <v>18</v>
      </c>
      <c r="D525" s="2" t="s">
        <v>79</v>
      </c>
      <c r="E525" s="2" t="s">
        <v>20</v>
      </c>
      <c r="F525" s="2" t="s">
        <v>128</v>
      </c>
      <c r="G525" s="2" t="s">
        <v>22</v>
      </c>
      <c r="H525" s="2" t="s">
        <v>46</v>
      </c>
      <c r="I525" s="2" t="s">
        <v>57</v>
      </c>
      <c r="J525" s="2" t="s">
        <v>404</v>
      </c>
      <c r="K525" s="2" t="s">
        <v>1606</v>
      </c>
      <c r="L525">
        <v>6</v>
      </c>
      <c r="M525" s="1">
        <v>557000</v>
      </c>
      <c r="N525">
        <v>4.2</v>
      </c>
      <c r="O525">
        <v>2</v>
      </c>
      <c r="P525" s="2" t="s">
        <v>26</v>
      </c>
    </row>
    <row r="526" spans="1:16" x14ac:dyDescent="0.25">
      <c r="A526" s="2" t="s">
        <v>2379</v>
      </c>
      <c r="B526" s="2" t="s">
        <v>2380</v>
      </c>
      <c r="C526" s="2" t="s">
        <v>18</v>
      </c>
      <c r="D526" s="2" t="s">
        <v>50</v>
      </c>
      <c r="E526" s="2" t="s">
        <v>20</v>
      </c>
      <c r="F526" s="2" t="s">
        <v>32</v>
      </c>
      <c r="G526" s="2" t="s">
        <v>33</v>
      </c>
      <c r="H526" s="2" t="s">
        <v>23</v>
      </c>
      <c r="I526" s="2" t="s">
        <v>24</v>
      </c>
      <c r="J526" s="2" t="s">
        <v>2381</v>
      </c>
      <c r="K526" s="2" t="s">
        <v>1606</v>
      </c>
      <c r="L526">
        <v>4</v>
      </c>
      <c r="M526" s="1">
        <v>246000</v>
      </c>
      <c r="N526">
        <v>5</v>
      </c>
      <c r="O526">
        <v>3</v>
      </c>
      <c r="P526" s="2" t="s">
        <v>26</v>
      </c>
    </row>
    <row r="527" spans="1:16" x14ac:dyDescent="0.25">
      <c r="A527" s="2" t="s">
        <v>2386</v>
      </c>
      <c r="B527" s="2" t="s">
        <v>2074</v>
      </c>
      <c r="C527" s="2" t="s">
        <v>29</v>
      </c>
      <c r="D527" s="2" t="s">
        <v>19</v>
      </c>
      <c r="E527" s="2" t="s">
        <v>20</v>
      </c>
      <c r="F527" s="2" t="s">
        <v>39</v>
      </c>
      <c r="G527" s="2" t="s">
        <v>22</v>
      </c>
      <c r="H527" s="2" t="s">
        <v>23</v>
      </c>
      <c r="I527" s="2" t="s">
        <v>57</v>
      </c>
      <c r="J527" s="2" t="s">
        <v>2216</v>
      </c>
      <c r="K527" s="2" t="s">
        <v>1606</v>
      </c>
      <c r="L527">
        <v>2</v>
      </c>
      <c r="M527" s="1">
        <v>102000</v>
      </c>
      <c r="N527">
        <v>4.0999999999999996</v>
      </c>
      <c r="O527">
        <v>2</v>
      </c>
      <c r="P527" s="2" t="s">
        <v>26</v>
      </c>
    </row>
    <row r="528" spans="1:16" x14ac:dyDescent="0.25">
      <c r="A528" s="2" t="s">
        <v>2387</v>
      </c>
      <c r="B528" s="2" t="s">
        <v>2388</v>
      </c>
      <c r="C528" s="2" t="s">
        <v>29</v>
      </c>
      <c r="D528" s="2" t="s">
        <v>79</v>
      </c>
      <c r="E528" s="2" t="s">
        <v>20</v>
      </c>
      <c r="F528" s="2" t="s">
        <v>128</v>
      </c>
      <c r="G528" s="2" t="s">
        <v>80</v>
      </c>
      <c r="H528" s="2" t="s">
        <v>23</v>
      </c>
      <c r="I528" s="2" t="s">
        <v>57</v>
      </c>
      <c r="J528" s="2" t="s">
        <v>2389</v>
      </c>
      <c r="K528" s="2" t="s">
        <v>1606</v>
      </c>
      <c r="L528">
        <v>6</v>
      </c>
      <c r="M528" s="1">
        <v>557000</v>
      </c>
      <c r="N528">
        <v>4.0999999999999996</v>
      </c>
      <c r="O528">
        <v>2</v>
      </c>
      <c r="P528" s="2" t="s">
        <v>53</v>
      </c>
    </row>
    <row r="529" spans="1:16" x14ac:dyDescent="0.25">
      <c r="A529" s="2" t="s">
        <v>2390</v>
      </c>
      <c r="B529" s="2" t="s">
        <v>2391</v>
      </c>
      <c r="C529" s="2" t="s">
        <v>29</v>
      </c>
      <c r="D529" s="2" t="s">
        <v>79</v>
      </c>
      <c r="E529" s="2" t="s">
        <v>20</v>
      </c>
      <c r="F529" s="2" t="s">
        <v>45</v>
      </c>
      <c r="G529" s="2" t="s">
        <v>22</v>
      </c>
      <c r="H529" s="2" t="s">
        <v>23</v>
      </c>
      <c r="I529" s="2" t="s">
        <v>171</v>
      </c>
      <c r="J529" s="2" t="s">
        <v>2392</v>
      </c>
      <c r="K529" s="2" t="s">
        <v>2399</v>
      </c>
      <c r="L529">
        <v>2</v>
      </c>
      <c r="M529" s="1">
        <v>1702000</v>
      </c>
      <c r="N529">
        <v>3.7</v>
      </c>
      <c r="O529">
        <v>0</v>
      </c>
      <c r="P529" s="2" t="s">
        <v>26</v>
      </c>
    </row>
    <row r="530" spans="1:16" x14ac:dyDescent="0.25">
      <c r="A530" s="2" t="s">
        <v>2395</v>
      </c>
      <c r="B530" s="2" t="s">
        <v>2396</v>
      </c>
      <c r="C530" s="2" t="s">
        <v>18</v>
      </c>
      <c r="D530" s="2" t="s">
        <v>30</v>
      </c>
      <c r="E530" s="2" t="s">
        <v>20</v>
      </c>
      <c r="F530" s="2" t="s">
        <v>32</v>
      </c>
      <c r="G530" s="2" t="s">
        <v>22</v>
      </c>
      <c r="H530" s="2" t="s">
        <v>62</v>
      </c>
      <c r="I530" s="2" t="s">
        <v>35</v>
      </c>
      <c r="J530" s="2" t="s">
        <v>366</v>
      </c>
      <c r="K530" s="2" t="s">
        <v>2399</v>
      </c>
      <c r="L530">
        <v>3</v>
      </c>
      <c r="M530" s="1">
        <v>216000</v>
      </c>
      <c r="N530">
        <v>2</v>
      </c>
      <c r="O530">
        <v>14</v>
      </c>
      <c r="P530" s="2" t="s">
        <v>26</v>
      </c>
    </row>
    <row r="531" spans="1:16" x14ac:dyDescent="0.25">
      <c r="A531" s="2" t="s">
        <v>2397</v>
      </c>
      <c r="B531" s="2" t="s">
        <v>2398</v>
      </c>
      <c r="C531" s="2" t="s">
        <v>18</v>
      </c>
      <c r="D531" s="2" t="s">
        <v>50</v>
      </c>
      <c r="E531" s="2" t="s">
        <v>20</v>
      </c>
      <c r="F531" s="2" t="s">
        <v>32</v>
      </c>
      <c r="G531" s="2" t="s">
        <v>22</v>
      </c>
      <c r="H531" s="2" t="s">
        <v>34</v>
      </c>
      <c r="I531" s="2" t="s">
        <v>57</v>
      </c>
      <c r="J531" s="2" t="s">
        <v>1927</v>
      </c>
      <c r="K531" s="2" t="s">
        <v>2399</v>
      </c>
      <c r="L531">
        <v>4</v>
      </c>
      <c r="M531" s="1">
        <v>181000</v>
      </c>
      <c r="N531">
        <v>4.0999999999999996</v>
      </c>
      <c r="O531">
        <v>36</v>
      </c>
      <c r="P531" s="2" t="s">
        <v>53</v>
      </c>
    </row>
    <row r="532" spans="1:16" x14ac:dyDescent="0.25">
      <c r="A532" s="2" t="s">
        <v>2400</v>
      </c>
      <c r="B532" s="2" t="s">
        <v>2401</v>
      </c>
      <c r="C532" s="2" t="s">
        <v>18</v>
      </c>
      <c r="D532" s="2" t="s">
        <v>43</v>
      </c>
      <c r="E532" s="2" t="s">
        <v>20</v>
      </c>
      <c r="F532" s="2" t="s">
        <v>32</v>
      </c>
      <c r="G532" s="2" t="s">
        <v>80</v>
      </c>
      <c r="H532" s="2" t="s">
        <v>46</v>
      </c>
      <c r="I532" s="2" t="s">
        <v>24</v>
      </c>
      <c r="J532" s="2" t="s">
        <v>2402</v>
      </c>
      <c r="K532" s="2" t="s">
        <v>2410</v>
      </c>
      <c r="L532">
        <v>2</v>
      </c>
      <c r="M532" s="1">
        <v>180000</v>
      </c>
      <c r="N532">
        <v>3</v>
      </c>
      <c r="O532">
        <v>27</v>
      </c>
      <c r="P532" s="2" t="s">
        <v>26</v>
      </c>
    </row>
    <row r="533" spans="1:16" x14ac:dyDescent="0.25">
      <c r="A533" s="2" t="s">
        <v>2403</v>
      </c>
      <c r="B533" s="2" t="s">
        <v>2404</v>
      </c>
      <c r="C533" s="2" t="s">
        <v>29</v>
      </c>
      <c r="D533" s="2" t="s">
        <v>43</v>
      </c>
      <c r="E533" s="2" t="s">
        <v>20</v>
      </c>
      <c r="F533" s="2" t="s">
        <v>32</v>
      </c>
      <c r="G533" s="2" t="s">
        <v>22</v>
      </c>
      <c r="H533" s="2" t="s">
        <v>34</v>
      </c>
      <c r="I533" s="2" t="s">
        <v>57</v>
      </c>
      <c r="J533" s="2" t="s">
        <v>1413</v>
      </c>
      <c r="K533" s="2" t="s">
        <v>2410</v>
      </c>
      <c r="L533">
        <v>3</v>
      </c>
      <c r="M533" s="1">
        <v>235000</v>
      </c>
      <c r="N533">
        <v>4.8</v>
      </c>
      <c r="O533">
        <v>2</v>
      </c>
      <c r="P533" s="2" t="s">
        <v>26</v>
      </c>
    </row>
    <row r="534" spans="1:16" x14ac:dyDescent="0.25">
      <c r="A534" s="2" t="s">
        <v>2405</v>
      </c>
      <c r="B534" s="2" t="s">
        <v>2406</v>
      </c>
      <c r="C534" s="2" t="s">
        <v>29</v>
      </c>
      <c r="D534" s="2" t="s">
        <v>50</v>
      </c>
      <c r="E534" s="2" t="s">
        <v>20</v>
      </c>
      <c r="F534" s="2" t="s">
        <v>21</v>
      </c>
      <c r="G534" s="2" t="s">
        <v>22</v>
      </c>
      <c r="H534" s="2" t="s">
        <v>23</v>
      </c>
      <c r="I534" s="2" t="s">
        <v>35</v>
      </c>
      <c r="J534" s="2" t="s">
        <v>2407</v>
      </c>
      <c r="K534" s="2" t="s">
        <v>2410</v>
      </c>
      <c r="L534">
        <v>5</v>
      </c>
      <c r="M534" s="1">
        <v>833000</v>
      </c>
      <c r="N534">
        <v>3.1</v>
      </c>
      <c r="O534">
        <v>7</v>
      </c>
      <c r="P534" s="2" t="s">
        <v>26</v>
      </c>
    </row>
    <row r="535" spans="1:16" x14ac:dyDescent="0.25">
      <c r="A535" s="2" t="s">
        <v>2408</v>
      </c>
      <c r="B535" s="2" t="s">
        <v>2409</v>
      </c>
      <c r="C535" s="2" t="s">
        <v>18</v>
      </c>
      <c r="D535" s="2" t="s">
        <v>43</v>
      </c>
      <c r="E535" s="2" t="s">
        <v>20</v>
      </c>
      <c r="F535" s="2" t="s">
        <v>32</v>
      </c>
      <c r="G535" s="2" t="s">
        <v>80</v>
      </c>
      <c r="H535" s="2" t="s">
        <v>62</v>
      </c>
      <c r="I535" s="2" t="s">
        <v>24</v>
      </c>
      <c r="J535" s="2" t="s">
        <v>76</v>
      </c>
      <c r="K535" s="2" t="s">
        <v>2410</v>
      </c>
      <c r="L535">
        <v>2</v>
      </c>
      <c r="M535" s="1">
        <v>194000</v>
      </c>
      <c r="N535">
        <v>4.0999999999999996</v>
      </c>
      <c r="O535">
        <v>1</v>
      </c>
      <c r="P535" s="2" t="s">
        <v>72</v>
      </c>
    </row>
    <row r="536" spans="1:16" x14ac:dyDescent="0.25">
      <c r="A536" s="2" t="s">
        <v>2418</v>
      </c>
      <c r="B536" s="2" t="s">
        <v>2419</v>
      </c>
      <c r="C536" s="2" t="s">
        <v>18</v>
      </c>
      <c r="D536" s="2" t="s">
        <v>50</v>
      </c>
      <c r="E536" s="2" t="s">
        <v>20</v>
      </c>
      <c r="F536" s="2" t="s">
        <v>32</v>
      </c>
      <c r="G536" s="2" t="s">
        <v>22</v>
      </c>
      <c r="H536" s="2" t="s">
        <v>34</v>
      </c>
      <c r="I536" s="2" t="s">
        <v>24</v>
      </c>
      <c r="J536" s="2" t="s">
        <v>1187</v>
      </c>
      <c r="K536" s="2" t="s">
        <v>2423</v>
      </c>
      <c r="L536">
        <v>4</v>
      </c>
      <c r="M536" s="1">
        <v>263000</v>
      </c>
      <c r="N536">
        <v>2.5</v>
      </c>
      <c r="O536">
        <v>13</v>
      </c>
      <c r="P536" s="2" t="s">
        <v>26</v>
      </c>
    </row>
    <row r="537" spans="1:16" x14ac:dyDescent="0.25">
      <c r="A537" s="2" t="s">
        <v>2420</v>
      </c>
      <c r="B537" s="2" t="s">
        <v>2421</v>
      </c>
      <c r="C537" s="2" t="s">
        <v>18</v>
      </c>
      <c r="D537" s="2" t="s">
        <v>30</v>
      </c>
      <c r="E537" s="2" t="s">
        <v>20</v>
      </c>
      <c r="F537" s="2" t="s">
        <v>32</v>
      </c>
      <c r="G537" s="2" t="s">
        <v>22</v>
      </c>
      <c r="H537" s="2" t="s">
        <v>34</v>
      </c>
      <c r="I537" s="2" t="s">
        <v>57</v>
      </c>
      <c r="J537" s="2" t="s">
        <v>2422</v>
      </c>
      <c r="K537" s="2" t="s">
        <v>2423</v>
      </c>
      <c r="L537">
        <v>2</v>
      </c>
      <c r="M537" s="1">
        <v>321000</v>
      </c>
      <c r="N537">
        <v>2.9</v>
      </c>
      <c r="O537">
        <v>9</v>
      </c>
      <c r="P537" s="2" t="s">
        <v>72</v>
      </c>
    </row>
    <row r="538" spans="1:16" x14ac:dyDescent="0.25">
      <c r="A538" s="2" t="s">
        <v>2431</v>
      </c>
      <c r="B538" s="2" t="s">
        <v>2432</v>
      </c>
      <c r="C538" s="2" t="s">
        <v>29</v>
      </c>
      <c r="D538" s="2" t="s">
        <v>30</v>
      </c>
      <c r="E538" s="2" t="s">
        <v>44</v>
      </c>
      <c r="F538" s="2" t="s">
        <v>128</v>
      </c>
      <c r="G538" s="2" t="s">
        <v>80</v>
      </c>
      <c r="H538" s="2" t="s">
        <v>23</v>
      </c>
      <c r="I538" s="2" t="s">
        <v>35</v>
      </c>
      <c r="J538" s="2" t="s">
        <v>2433</v>
      </c>
      <c r="K538" s="2" t="s">
        <v>2434</v>
      </c>
      <c r="L538">
        <v>4</v>
      </c>
      <c r="M538" s="1">
        <v>410000</v>
      </c>
      <c r="N538">
        <v>4.2</v>
      </c>
      <c r="O538">
        <v>2</v>
      </c>
      <c r="P538" s="2" t="s">
        <v>53</v>
      </c>
    </row>
    <row r="539" spans="1:16" x14ac:dyDescent="0.25">
      <c r="A539" s="2" t="s">
        <v>2435</v>
      </c>
      <c r="B539" s="2" t="s">
        <v>2371</v>
      </c>
      <c r="C539" s="2" t="s">
        <v>29</v>
      </c>
      <c r="D539" s="2" t="s">
        <v>19</v>
      </c>
      <c r="E539" s="2" t="s">
        <v>20</v>
      </c>
      <c r="F539" s="2" t="s">
        <v>32</v>
      </c>
      <c r="G539" s="2" t="s">
        <v>69</v>
      </c>
      <c r="H539" s="2" t="s">
        <v>62</v>
      </c>
      <c r="I539" s="2" t="s">
        <v>35</v>
      </c>
      <c r="J539" s="2" t="s">
        <v>2292</v>
      </c>
      <c r="K539" s="2" t="s">
        <v>1119</v>
      </c>
      <c r="L539">
        <v>2</v>
      </c>
      <c r="M539" s="1">
        <v>243000</v>
      </c>
      <c r="N539">
        <v>4.7</v>
      </c>
      <c r="O539">
        <v>7</v>
      </c>
      <c r="P539" s="2" t="s">
        <v>53</v>
      </c>
    </row>
    <row r="540" spans="1:16" x14ac:dyDescent="0.25">
      <c r="A540" s="2" t="s">
        <v>2436</v>
      </c>
      <c r="B540" s="2" t="s">
        <v>2437</v>
      </c>
      <c r="C540" s="2" t="s">
        <v>29</v>
      </c>
      <c r="D540" s="2" t="s">
        <v>79</v>
      </c>
      <c r="E540" s="2" t="s">
        <v>31</v>
      </c>
      <c r="F540" s="2" t="s">
        <v>32</v>
      </c>
      <c r="G540" s="2" t="s">
        <v>33</v>
      </c>
      <c r="H540" s="2" t="s">
        <v>46</v>
      </c>
      <c r="I540" s="2" t="s">
        <v>75</v>
      </c>
      <c r="J540" s="2" t="s">
        <v>2091</v>
      </c>
      <c r="K540" s="2" t="s">
        <v>2440</v>
      </c>
      <c r="L540">
        <v>6</v>
      </c>
      <c r="M540" s="1">
        <v>221000</v>
      </c>
      <c r="N540">
        <v>4.3</v>
      </c>
      <c r="O540">
        <v>9</v>
      </c>
      <c r="P540" s="2" t="s">
        <v>26</v>
      </c>
    </row>
    <row r="541" spans="1:16" x14ac:dyDescent="0.25">
      <c r="A541" s="2" t="s">
        <v>2438</v>
      </c>
      <c r="B541" s="2" t="s">
        <v>1338</v>
      </c>
      <c r="C541" s="2" t="s">
        <v>29</v>
      </c>
      <c r="D541" s="2" t="s">
        <v>30</v>
      </c>
      <c r="E541" s="2" t="s">
        <v>20</v>
      </c>
      <c r="F541" s="2" t="s">
        <v>39</v>
      </c>
      <c r="G541" s="2" t="s">
        <v>22</v>
      </c>
      <c r="H541" s="2" t="s">
        <v>23</v>
      </c>
      <c r="I541" s="2" t="s">
        <v>24</v>
      </c>
      <c r="J541" s="2" t="s">
        <v>2439</v>
      </c>
      <c r="K541" s="2" t="s">
        <v>2440</v>
      </c>
      <c r="L541">
        <v>3</v>
      </c>
      <c r="M541" s="1">
        <v>90000</v>
      </c>
      <c r="N541">
        <v>1.5</v>
      </c>
      <c r="O541">
        <v>11</v>
      </c>
      <c r="P541" s="2" t="s">
        <v>53</v>
      </c>
    </row>
    <row r="542" spans="1:16" x14ac:dyDescent="0.25">
      <c r="A542" s="2" t="s">
        <v>2441</v>
      </c>
      <c r="B542" s="2" t="s">
        <v>2442</v>
      </c>
      <c r="C542" s="2" t="s">
        <v>29</v>
      </c>
      <c r="D542" s="2" t="s">
        <v>30</v>
      </c>
      <c r="E542" s="2" t="s">
        <v>20</v>
      </c>
      <c r="F542" s="2" t="s">
        <v>32</v>
      </c>
      <c r="G542" s="2" t="s">
        <v>80</v>
      </c>
      <c r="H542" s="2" t="s">
        <v>23</v>
      </c>
      <c r="I542" s="2" t="s">
        <v>171</v>
      </c>
      <c r="J542" s="2" t="s">
        <v>2443</v>
      </c>
      <c r="K542" s="2" t="s">
        <v>2444</v>
      </c>
      <c r="L542">
        <v>5</v>
      </c>
      <c r="M542" s="1">
        <v>255000</v>
      </c>
      <c r="N542">
        <v>4.9000000000000004</v>
      </c>
      <c r="O542">
        <v>1</v>
      </c>
      <c r="P542" s="2" t="s">
        <v>114</v>
      </c>
    </row>
    <row r="543" spans="1:16" x14ac:dyDescent="0.25">
      <c r="A543" s="2" t="s">
        <v>2445</v>
      </c>
      <c r="B543" s="2" t="s">
        <v>2446</v>
      </c>
      <c r="C543" s="2" t="s">
        <v>29</v>
      </c>
      <c r="D543" s="2" t="s">
        <v>19</v>
      </c>
      <c r="E543" s="2" t="s">
        <v>44</v>
      </c>
      <c r="F543" s="2" t="s">
        <v>39</v>
      </c>
      <c r="G543" s="2" t="s">
        <v>22</v>
      </c>
      <c r="H543" s="2" t="s">
        <v>23</v>
      </c>
      <c r="I543" s="2" t="s">
        <v>24</v>
      </c>
      <c r="J543" s="2" t="s">
        <v>1550</v>
      </c>
      <c r="K543" s="2" t="s">
        <v>2447</v>
      </c>
      <c r="L543">
        <v>3</v>
      </c>
      <c r="M543" s="1">
        <v>198000</v>
      </c>
      <c r="N543">
        <v>3.3</v>
      </c>
      <c r="O543">
        <v>13</v>
      </c>
      <c r="P543" s="2" t="s">
        <v>53</v>
      </c>
    </row>
    <row r="544" spans="1:16" x14ac:dyDescent="0.25">
      <c r="A544" s="2" t="s">
        <v>2450</v>
      </c>
      <c r="B544" s="2" t="s">
        <v>1590</v>
      </c>
      <c r="C544" s="2" t="s">
        <v>29</v>
      </c>
      <c r="D544" s="2" t="s">
        <v>19</v>
      </c>
      <c r="E544" s="2" t="s">
        <v>20</v>
      </c>
      <c r="F544" s="2" t="s">
        <v>32</v>
      </c>
      <c r="G544" s="2" t="s">
        <v>69</v>
      </c>
      <c r="H544" s="2" t="s">
        <v>34</v>
      </c>
      <c r="I544" s="2" t="s">
        <v>24</v>
      </c>
      <c r="J544" s="2" t="s">
        <v>1488</v>
      </c>
      <c r="K544" s="2" t="s">
        <v>709</v>
      </c>
      <c r="L544">
        <v>3</v>
      </c>
      <c r="M544" s="1">
        <v>300000</v>
      </c>
      <c r="N544">
        <v>3.2</v>
      </c>
      <c r="O544">
        <v>13</v>
      </c>
      <c r="P544" s="2" t="s">
        <v>26</v>
      </c>
    </row>
    <row r="545" spans="1:16" x14ac:dyDescent="0.25">
      <c r="A545" s="2" t="s">
        <v>2451</v>
      </c>
      <c r="B545" s="2" t="s">
        <v>2452</v>
      </c>
      <c r="C545" s="2" t="s">
        <v>29</v>
      </c>
      <c r="D545" s="2" t="s">
        <v>50</v>
      </c>
      <c r="E545" s="2" t="s">
        <v>20</v>
      </c>
      <c r="F545" s="2" t="s">
        <v>39</v>
      </c>
      <c r="G545" s="2" t="s">
        <v>80</v>
      </c>
      <c r="H545" s="2" t="s">
        <v>23</v>
      </c>
      <c r="I545" s="2" t="s">
        <v>75</v>
      </c>
      <c r="J545" s="2" t="s">
        <v>2453</v>
      </c>
      <c r="K545" s="2" t="s">
        <v>709</v>
      </c>
      <c r="L545">
        <v>2</v>
      </c>
      <c r="M545" s="1">
        <v>123000</v>
      </c>
      <c r="N545">
        <v>4.9000000000000004</v>
      </c>
      <c r="O545">
        <v>5</v>
      </c>
      <c r="P545" s="2" t="s">
        <v>26</v>
      </c>
    </row>
    <row r="546" spans="1:16" x14ac:dyDescent="0.25">
      <c r="A546" s="2" t="s">
        <v>2454</v>
      </c>
      <c r="B546" s="2" t="s">
        <v>2221</v>
      </c>
      <c r="C546" s="2" t="s">
        <v>18</v>
      </c>
      <c r="D546" s="2" t="s">
        <v>30</v>
      </c>
      <c r="E546" s="2" t="s">
        <v>20</v>
      </c>
      <c r="F546" s="2" t="s">
        <v>39</v>
      </c>
      <c r="G546" s="2" t="s">
        <v>22</v>
      </c>
      <c r="H546" s="2" t="s">
        <v>23</v>
      </c>
      <c r="I546" s="2" t="s">
        <v>24</v>
      </c>
      <c r="J546" s="2" t="s">
        <v>2455</v>
      </c>
      <c r="K546" s="2" t="s">
        <v>709</v>
      </c>
      <c r="L546">
        <v>6</v>
      </c>
      <c r="M546" s="1">
        <v>166000</v>
      </c>
      <c r="N546">
        <v>1.5</v>
      </c>
      <c r="O546">
        <v>5</v>
      </c>
      <c r="P546" s="2" t="s">
        <v>26</v>
      </c>
    </row>
    <row r="547" spans="1:16" x14ac:dyDescent="0.25">
      <c r="A547" s="2" t="s">
        <v>2459</v>
      </c>
      <c r="B547" s="2" t="s">
        <v>1166</v>
      </c>
      <c r="C547" s="2" t="s">
        <v>29</v>
      </c>
      <c r="D547" s="2" t="s">
        <v>50</v>
      </c>
      <c r="E547" s="2" t="s">
        <v>20</v>
      </c>
      <c r="F547" s="2" t="s">
        <v>128</v>
      </c>
      <c r="G547" s="2" t="s">
        <v>69</v>
      </c>
      <c r="H547" s="2" t="s">
        <v>34</v>
      </c>
      <c r="I547" s="2" t="s">
        <v>24</v>
      </c>
      <c r="J547" s="2" t="s">
        <v>2460</v>
      </c>
      <c r="K547" s="2" t="s">
        <v>709</v>
      </c>
      <c r="L547">
        <v>4</v>
      </c>
      <c r="M547" s="1">
        <v>390000</v>
      </c>
      <c r="N547">
        <v>2.8</v>
      </c>
      <c r="O547">
        <v>4</v>
      </c>
      <c r="P547" s="2" t="s">
        <v>53</v>
      </c>
    </row>
    <row r="548" spans="1:16" x14ac:dyDescent="0.25">
      <c r="A548" s="2" t="s">
        <v>2461</v>
      </c>
      <c r="B548" s="2" t="s">
        <v>2462</v>
      </c>
      <c r="C548" s="2" t="s">
        <v>18</v>
      </c>
      <c r="D548" s="2" t="s">
        <v>43</v>
      </c>
      <c r="E548" s="2" t="s">
        <v>20</v>
      </c>
      <c r="F548" s="2" t="s">
        <v>32</v>
      </c>
      <c r="G548" s="2" t="s">
        <v>22</v>
      </c>
      <c r="H548" s="2" t="s">
        <v>23</v>
      </c>
      <c r="I548" s="2" t="s">
        <v>171</v>
      </c>
      <c r="J548" s="2" t="s">
        <v>2463</v>
      </c>
      <c r="K548" s="2" t="s">
        <v>2464</v>
      </c>
      <c r="L548">
        <v>7</v>
      </c>
      <c r="M548" s="1">
        <v>213000</v>
      </c>
      <c r="N548">
        <v>4.2</v>
      </c>
      <c r="O548">
        <v>2</v>
      </c>
      <c r="P548" s="2" t="s">
        <v>53</v>
      </c>
    </row>
    <row r="549" spans="1:16" x14ac:dyDescent="0.25">
      <c r="A549" s="2" t="s">
        <v>2465</v>
      </c>
      <c r="B549" s="2" t="s">
        <v>2325</v>
      </c>
      <c r="C549" s="2" t="s">
        <v>29</v>
      </c>
      <c r="D549" s="2" t="s">
        <v>79</v>
      </c>
      <c r="E549" s="2" t="s">
        <v>44</v>
      </c>
      <c r="F549" s="2" t="s">
        <v>32</v>
      </c>
      <c r="G549" s="2" t="s">
        <v>80</v>
      </c>
      <c r="H549" s="2" t="s">
        <v>34</v>
      </c>
      <c r="I549" s="2" t="s">
        <v>24</v>
      </c>
      <c r="J549" s="2" t="s">
        <v>1703</v>
      </c>
      <c r="K549" s="2" t="s">
        <v>2471</v>
      </c>
      <c r="L549">
        <v>6</v>
      </c>
      <c r="M549" s="1">
        <v>342000</v>
      </c>
      <c r="N549">
        <v>2.2000000000000002</v>
      </c>
      <c r="O549">
        <v>3</v>
      </c>
      <c r="P549" s="2" t="s">
        <v>26</v>
      </c>
    </row>
    <row r="550" spans="1:16" x14ac:dyDescent="0.25">
      <c r="A550" s="2" t="s">
        <v>2466</v>
      </c>
      <c r="B550" s="2" t="s">
        <v>2467</v>
      </c>
      <c r="C550" s="2" t="s">
        <v>18</v>
      </c>
      <c r="D550" s="2" t="s">
        <v>79</v>
      </c>
      <c r="E550" s="2" t="s">
        <v>31</v>
      </c>
      <c r="F550" s="2" t="s">
        <v>21</v>
      </c>
      <c r="G550" s="2" t="s">
        <v>33</v>
      </c>
      <c r="H550" s="2" t="s">
        <v>23</v>
      </c>
      <c r="I550" s="2" t="s">
        <v>35</v>
      </c>
      <c r="J550" s="2" t="s">
        <v>2389</v>
      </c>
      <c r="K550" s="2" t="s">
        <v>2471</v>
      </c>
      <c r="L550">
        <v>6</v>
      </c>
      <c r="M550" s="1">
        <v>682000</v>
      </c>
      <c r="N550">
        <v>4</v>
      </c>
      <c r="O550">
        <v>3</v>
      </c>
      <c r="P550" s="2" t="s">
        <v>26</v>
      </c>
    </row>
    <row r="551" spans="1:16" x14ac:dyDescent="0.25">
      <c r="A551" s="2" t="s">
        <v>2468</v>
      </c>
      <c r="B551" s="2" t="s">
        <v>2469</v>
      </c>
      <c r="C551" s="2" t="s">
        <v>18</v>
      </c>
      <c r="D551" s="2" t="s">
        <v>30</v>
      </c>
      <c r="E551" s="2" t="s">
        <v>20</v>
      </c>
      <c r="F551" s="2" t="s">
        <v>39</v>
      </c>
      <c r="G551" s="2" t="s">
        <v>22</v>
      </c>
      <c r="H551" s="2" t="s">
        <v>23</v>
      </c>
      <c r="I551" s="2" t="s">
        <v>171</v>
      </c>
      <c r="J551" s="2" t="s">
        <v>2470</v>
      </c>
      <c r="K551" s="2" t="s">
        <v>2471</v>
      </c>
      <c r="L551">
        <v>5</v>
      </c>
      <c r="M551" s="1">
        <v>98000</v>
      </c>
      <c r="N551">
        <v>2.9</v>
      </c>
      <c r="O551">
        <v>2</v>
      </c>
      <c r="P551" s="2" t="s">
        <v>53</v>
      </c>
    </row>
    <row r="552" spans="1:16" x14ac:dyDescent="0.25">
      <c r="A552" s="2" t="s">
        <v>2472</v>
      </c>
      <c r="B552" s="2" t="s">
        <v>728</v>
      </c>
      <c r="C552" s="2" t="s">
        <v>29</v>
      </c>
      <c r="D552" s="2" t="s">
        <v>30</v>
      </c>
      <c r="E552" s="2" t="s">
        <v>20</v>
      </c>
      <c r="F552" s="2" t="s">
        <v>39</v>
      </c>
      <c r="G552" s="2" t="s">
        <v>33</v>
      </c>
      <c r="H552" s="2" t="s">
        <v>62</v>
      </c>
      <c r="I552" s="2" t="s">
        <v>24</v>
      </c>
      <c r="J552" s="2" t="s">
        <v>2061</v>
      </c>
      <c r="K552" s="2" t="s">
        <v>2473</v>
      </c>
      <c r="L552">
        <v>6</v>
      </c>
      <c r="M552" s="1">
        <v>86000</v>
      </c>
      <c r="N552">
        <v>3</v>
      </c>
      <c r="O552">
        <v>9</v>
      </c>
      <c r="P552" s="2" t="s">
        <v>53</v>
      </c>
    </row>
    <row r="553" spans="1:16" x14ac:dyDescent="0.25">
      <c r="A553" s="2" t="s">
        <v>2474</v>
      </c>
      <c r="B553" s="2" t="s">
        <v>2475</v>
      </c>
      <c r="C553" s="2" t="s">
        <v>18</v>
      </c>
      <c r="D553" s="2" t="s">
        <v>19</v>
      </c>
      <c r="E553" s="2" t="s">
        <v>31</v>
      </c>
      <c r="F553" s="2" t="s">
        <v>32</v>
      </c>
      <c r="G553" s="2" t="s">
        <v>22</v>
      </c>
      <c r="H553" s="2" t="s">
        <v>34</v>
      </c>
      <c r="I553" s="2" t="s">
        <v>24</v>
      </c>
      <c r="J553" s="2" t="s">
        <v>2476</v>
      </c>
      <c r="K553" s="2" t="s">
        <v>2477</v>
      </c>
      <c r="L553">
        <v>4</v>
      </c>
      <c r="M553" s="1">
        <v>310000</v>
      </c>
      <c r="N553">
        <v>4.5</v>
      </c>
      <c r="O553">
        <v>1</v>
      </c>
      <c r="P553" s="2" t="s">
        <v>53</v>
      </c>
    </row>
    <row r="554" spans="1:16" x14ac:dyDescent="0.25">
      <c r="A554" s="2" t="s">
        <v>2481</v>
      </c>
      <c r="B554" s="2" t="s">
        <v>2482</v>
      </c>
      <c r="C554" s="2" t="s">
        <v>18</v>
      </c>
      <c r="D554" s="2" t="s">
        <v>50</v>
      </c>
      <c r="E554" s="2" t="s">
        <v>20</v>
      </c>
      <c r="F554" s="2" t="s">
        <v>39</v>
      </c>
      <c r="G554" s="2" t="s">
        <v>22</v>
      </c>
      <c r="H554" s="2" t="s">
        <v>23</v>
      </c>
      <c r="I554" s="2" t="s">
        <v>35</v>
      </c>
      <c r="J554" s="2" t="s">
        <v>2483</v>
      </c>
      <c r="K554" s="2" t="s">
        <v>2502</v>
      </c>
      <c r="L554">
        <v>3</v>
      </c>
      <c r="M554" s="1">
        <v>164000</v>
      </c>
      <c r="N554">
        <v>3.7</v>
      </c>
      <c r="O554">
        <v>12</v>
      </c>
      <c r="P554" s="2" t="s">
        <v>26</v>
      </c>
    </row>
    <row r="555" spans="1:16" x14ac:dyDescent="0.25">
      <c r="A555" s="2" t="s">
        <v>2486</v>
      </c>
      <c r="B555" s="2" t="s">
        <v>319</v>
      </c>
      <c r="C555" s="2" t="s">
        <v>18</v>
      </c>
      <c r="D555" s="2" t="s">
        <v>43</v>
      </c>
      <c r="E555" s="2" t="s">
        <v>20</v>
      </c>
      <c r="F555" s="2" t="s">
        <v>32</v>
      </c>
      <c r="G555" s="2" t="s">
        <v>33</v>
      </c>
      <c r="H555" s="2" t="s">
        <v>23</v>
      </c>
      <c r="I555" s="2" t="s">
        <v>24</v>
      </c>
      <c r="J555" s="2" t="s">
        <v>2487</v>
      </c>
      <c r="K555" s="2" t="s">
        <v>2502</v>
      </c>
      <c r="L555">
        <v>2</v>
      </c>
      <c r="M555" s="1">
        <v>196000</v>
      </c>
      <c r="N555">
        <v>3.2</v>
      </c>
      <c r="O555">
        <v>0</v>
      </c>
      <c r="P555" s="2" t="s">
        <v>26</v>
      </c>
    </row>
    <row r="556" spans="1:16" x14ac:dyDescent="0.25">
      <c r="A556" s="2" t="s">
        <v>2492</v>
      </c>
      <c r="B556" s="2" t="s">
        <v>2493</v>
      </c>
      <c r="C556" s="2" t="s">
        <v>18</v>
      </c>
      <c r="D556" s="2" t="s">
        <v>50</v>
      </c>
      <c r="E556" s="2" t="s">
        <v>31</v>
      </c>
      <c r="F556" s="2" t="s">
        <v>39</v>
      </c>
      <c r="G556" s="2" t="s">
        <v>22</v>
      </c>
      <c r="H556" s="2" t="s">
        <v>34</v>
      </c>
      <c r="I556" s="2" t="s">
        <v>35</v>
      </c>
      <c r="J556" s="2" t="s">
        <v>661</v>
      </c>
      <c r="K556" s="2" t="s">
        <v>2502</v>
      </c>
      <c r="L556">
        <v>3</v>
      </c>
      <c r="M556" s="1">
        <v>144000</v>
      </c>
      <c r="N556">
        <v>2.1</v>
      </c>
      <c r="O556">
        <v>6</v>
      </c>
      <c r="P556" s="2" t="s">
        <v>26</v>
      </c>
    </row>
    <row r="557" spans="1:16" x14ac:dyDescent="0.25">
      <c r="A557" s="2" t="s">
        <v>2500</v>
      </c>
      <c r="B557" s="2" t="s">
        <v>2501</v>
      </c>
      <c r="C557" s="2" t="s">
        <v>29</v>
      </c>
      <c r="D557" s="2" t="s">
        <v>19</v>
      </c>
      <c r="E557" s="2" t="s">
        <v>31</v>
      </c>
      <c r="F557" s="2" t="s">
        <v>32</v>
      </c>
      <c r="G557" s="2" t="s">
        <v>22</v>
      </c>
      <c r="H557" s="2" t="s">
        <v>46</v>
      </c>
      <c r="I557" s="2" t="s">
        <v>75</v>
      </c>
      <c r="J557" s="2" t="s">
        <v>1830</v>
      </c>
      <c r="K557" s="2" t="s">
        <v>2502</v>
      </c>
      <c r="L557">
        <v>5</v>
      </c>
      <c r="M557" s="1">
        <v>360000</v>
      </c>
      <c r="N557">
        <v>2.1</v>
      </c>
      <c r="O557">
        <v>38</v>
      </c>
      <c r="P557" s="2" t="s">
        <v>53</v>
      </c>
    </row>
    <row r="558" spans="1:16" x14ac:dyDescent="0.25">
      <c r="A558" s="2" t="s">
        <v>2508</v>
      </c>
      <c r="B558" s="2" t="s">
        <v>2509</v>
      </c>
      <c r="C558" s="2" t="s">
        <v>29</v>
      </c>
      <c r="D558" s="2" t="s">
        <v>50</v>
      </c>
      <c r="E558" s="2" t="s">
        <v>44</v>
      </c>
      <c r="F558" s="2" t="s">
        <v>39</v>
      </c>
      <c r="G558" s="2" t="s">
        <v>22</v>
      </c>
      <c r="H558" s="2" t="s">
        <v>34</v>
      </c>
      <c r="I558" s="2" t="s">
        <v>24</v>
      </c>
      <c r="J558" s="2" t="s">
        <v>2510</v>
      </c>
      <c r="K558" s="2" t="s">
        <v>2511</v>
      </c>
      <c r="L558">
        <v>3</v>
      </c>
      <c r="M558" s="1">
        <v>119000</v>
      </c>
      <c r="N558">
        <v>4.8</v>
      </c>
      <c r="O558">
        <v>7</v>
      </c>
      <c r="P558" s="2" t="s">
        <v>72</v>
      </c>
    </row>
    <row r="559" spans="1:16" x14ac:dyDescent="0.25">
      <c r="A559" s="2" t="s">
        <v>2512</v>
      </c>
      <c r="B559" s="2" t="s">
        <v>1996</v>
      </c>
      <c r="C559" s="2" t="s">
        <v>18</v>
      </c>
      <c r="D559" s="2" t="s">
        <v>30</v>
      </c>
      <c r="E559" s="2" t="s">
        <v>44</v>
      </c>
      <c r="F559" s="2" t="s">
        <v>21</v>
      </c>
      <c r="G559" s="2" t="s">
        <v>80</v>
      </c>
      <c r="H559" s="2" t="s">
        <v>62</v>
      </c>
      <c r="I559" s="2" t="s">
        <v>24</v>
      </c>
      <c r="J559" s="2" t="s">
        <v>2513</v>
      </c>
      <c r="K559" s="2" t="s">
        <v>2540</v>
      </c>
      <c r="L559">
        <v>2</v>
      </c>
      <c r="M559" s="1">
        <v>614000</v>
      </c>
      <c r="N559">
        <v>3.9</v>
      </c>
      <c r="O559">
        <v>11</v>
      </c>
      <c r="P559" s="2" t="s">
        <v>26</v>
      </c>
    </row>
    <row r="560" spans="1:16" x14ac:dyDescent="0.25">
      <c r="A560" s="2" t="s">
        <v>2519</v>
      </c>
      <c r="B560" s="2" t="s">
        <v>2520</v>
      </c>
      <c r="C560" s="2" t="s">
        <v>29</v>
      </c>
      <c r="D560" s="2" t="s">
        <v>50</v>
      </c>
      <c r="E560" s="2" t="s">
        <v>20</v>
      </c>
      <c r="F560" s="2" t="s">
        <v>32</v>
      </c>
      <c r="G560" s="2" t="s">
        <v>80</v>
      </c>
      <c r="H560" s="2" t="s">
        <v>23</v>
      </c>
      <c r="I560" s="2" t="s">
        <v>57</v>
      </c>
      <c r="J560" s="2" t="s">
        <v>2521</v>
      </c>
      <c r="K560" s="2" t="s">
        <v>2540</v>
      </c>
      <c r="L560">
        <v>3</v>
      </c>
      <c r="M560" s="1">
        <v>239000</v>
      </c>
      <c r="N560">
        <v>2.2999999999999998</v>
      </c>
      <c r="O560">
        <v>7</v>
      </c>
      <c r="P560" s="2" t="s">
        <v>26</v>
      </c>
    </row>
    <row r="561" spans="1:16" x14ac:dyDescent="0.25">
      <c r="A561" s="2" t="s">
        <v>2522</v>
      </c>
      <c r="B561" s="2" t="s">
        <v>2028</v>
      </c>
      <c r="C561" s="2" t="s">
        <v>18</v>
      </c>
      <c r="D561" s="2" t="s">
        <v>30</v>
      </c>
      <c r="E561" s="2" t="s">
        <v>20</v>
      </c>
      <c r="F561" s="2" t="s">
        <v>39</v>
      </c>
      <c r="G561" s="2" t="s">
        <v>22</v>
      </c>
      <c r="H561" s="2" t="s">
        <v>23</v>
      </c>
      <c r="I561" s="2" t="s">
        <v>171</v>
      </c>
      <c r="J561" s="2" t="s">
        <v>182</v>
      </c>
      <c r="K561" s="2" t="s">
        <v>2540</v>
      </c>
      <c r="L561">
        <v>2</v>
      </c>
      <c r="M561" s="1">
        <v>163000</v>
      </c>
      <c r="N561">
        <v>3.4</v>
      </c>
      <c r="O561">
        <v>1</v>
      </c>
      <c r="P561" s="2" t="s">
        <v>26</v>
      </c>
    </row>
    <row r="562" spans="1:16" x14ac:dyDescent="0.25">
      <c r="A562" s="2" t="s">
        <v>2523</v>
      </c>
      <c r="B562" s="2" t="s">
        <v>2524</v>
      </c>
      <c r="C562" s="2" t="s">
        <v>29</v>
      </c>
      <c r="D562" s="2" t="s">
        <v>30</v>
      </c>
      <c r="E562" s="2" t="s">
        <v>44</v>
      </c>
      <c r="F562" s="2" t="s">
        <v>39</v>
      </c>
      <c r="G562" s="2" t="s">
        <v>33</v>
      </c>
      <c r="H562" s="2" t="s">
        <v>34</v>
      </c>
      <c r="I562" s="2" t="s">
        <v>171</v>
      </c>
      <c r="J562" s="2" t="s">
        <v>2525</v>
      </c>
      <c r="K562" s="2" t="s">
        <v>2540</v>
      </c>
      <c r="L562">
        <v>2</v>
      </c>
      <c r="M562" s="1">
        <v>150000</v>
      </c>
      <c r="N562">
        <v>2.2999999999999998</v>
      </c>
      <c r="O562">
        <v>6</v>
      </c>
      <c r="P562" s="2" t="s">
        <v>26</v>
      </c>
    </row>
    <row r="563" spans="1:16" x14ac:dyDescent="0.25">
      <c r="A563" s="2" t="s">
        <v>2528</v>
      </c>
      <c r="B563" s="2" t="s">
        <v>2529</v>
      </c>
      <c r="C563" s="2" t="s">
        <v>18</v>
      </c>
      <c r="D563" s="2" t="s">
        <v>30</v>
      </c>
      <c r="E563" s="2" t="s">
        <v>20</v>
      </c>
      <c r="F563" s="2" t="s">
        <v>128</v>
      </c>
      <c r="G563" s="2" t="s">
        <v>22</v>
      </c>
      <c r="H563" s="2" t="s">
        <v>23</v>
      </c>
      <c r="I563" s="2" t="s">
        <v>24</v>
      </c>
      <c r="J563" s="2" t="s">
        <v>2530</v>
      </c>
      <c r="K563" s="2" t="s">
        <v>2540</v>
      </c>
      <c r="L563">
        <v>3</v>
      </c>
      <c r="M563" s="1">
        <v>474000</v>
      </c>
      <c r="N563">
        <v>3.5</v>
      </c>
      <c r="O563">
        <v>13</v>
      </c>
      <c r="P563" s="2" t="s">
        <v>26</v>
      </c>
    </row>
    <row r="564" spans="1:16" x14ac:dyDescent="0.25">
      <c r="A564" s="2" t="s">
        <v>2535</v>
      </c>
      <c r="B564" s="2" t="s">
        <v>2536</v>
      </c>
      <c r="C564" s="2" t="s">
        <v>18</v>
      </c>
      <c r="D564" s="2" t="s">
        <v>43</v>
      </c>
      <c r="E564" s="2" t="s">
        <v>20</v>
      </c>
      <c r="F564" s="2" t="s">
        <v>32</v>
      </c>
      <c r="G564" s="2" t="s">
        <v>80</v>
      </c>
      <c r="H564" s="2" t="s">
        <v>34</v>
      </c>
      <c r="I564" s="2" t="s">
        <v>24</v>
      </c>
      <c r="J564" s="2" t="s">
        <v>1282</v>
      </c>
      <c r="K564" s="2" t="s">
        <v>2540</v>
      </c>
      <c r="L564">
        <v>2</v>
      </c>
      <c r="M564" s="1">
        <v>233000</v>
      </c>
      <c r="N564">
        <v>4.2</v>
      </c>
      <c r="O564">
        <v>10</v>
      </c>
      <c r="P564" s="2" t="s">
        <v>26</v>
      </c>
    </row>
    <row r="565" spans="1:16" x14ac:dyDescent="0.25">
      <c r="A565" s="2" t="s">
        <v>2537</v>
      </c>
      <c r="B565" s="2" t="s">
        <v>2538</v>
      </c>
      <c r="C565" s="2" t="s">
        <v>18</v>
      </c>
      <c r="D565" s="2" t="s">
        <v>79</v>
      </c>
      <c r="E565" s="2" t="s">
        <v>20</v>
      </c>
      <c r="F565" s="2" t="s">
        <v>32</v>
      </c>
      <c r="G565" s="2" t="s">
        <v>22</v>
      </c>
      <c r="H565" s="2" t="s">
        <v>34</v>
      </c>
      <c r="I565" s="2" t="s">
        <v>57</v>
      </c>
      <c r="J565" s="2" t="s">
        <v>58</v>
      </c>
      <c r="K565" s="2" t="s">
        <v>2540</v>
      </c>
      <c r="L565">
        <v>3</v>
      </c>
      <c r="M565" s="1">
        <v>288000</v>
      </c>
      <c r="N565">
        <v>3.6</v>
      </c>
      <c r="O565">
        <v>7</v>
      </c>
      <c r="P565" s="2" t="s">
        <v>26</v>
      </c>
    </row>
    <row r="566" spans="1:16" x14ac:dyDescent="0.25">
      <c r="A566" s="2" t="s">
        <v>2539</v>
      </c>
      <c r="B566" s="2" t="s">
        <v>1670</v>
      </c>
      <c r="C566" s="2" t="s">
        <v>18</v>
      </c>
      <c r="D566" s="2" t="s">
        <v>50</v>
      </c>
      <c r="E566" s="2" t="s">
        <v>20</v>
      </c>
      <c r="F566" s="2" t="s">
        <v>39</v>
      </c>
      <c r="G566" s="2" t="s">
        <v>22</v>
      </c>
      <c r="H566" s="2" t="s">
        <v>62</v>
      </c>
      <c r="I566" s="2" t="s">
        <v>24</v>
      </c>
      <c r="J566" s="2" t="s">
        <v>844</v>
      </c>
      <c r="K566" s="2" t="s">
        <v>2540</v>
      </c>
      <c r="L566">
        <v>5</v>
      </c>
      <c r="M566" s="1">
        <v>96000</v>
      </c>
      <c r="N566">
        <v>4.7</v>
      </c>
      <c r="O566">
        <v>6</v>
      </c>
      <c r="P566" s="2" t="s">
        <v>53</v>
      </c>
    </row>
    <row r="567" spans="1:16" x14ac:dyDescent="0.25">
      <c r="A567" s="2" t="s">
        <v>2541</v>
      </c>
      <c r="B567" s="2" t="s">
        <v>2542</v>
      </c>
      <c r="C567" s="2" t="s">
        <v>18</v>
      </c>
      <c r="D567" s="2" t="s">
        <v>43</v>
      </c>
      <c r="E567" s="2" t="s">
        <v>20</v>
      </c>
      <c r="F567" s="2" t="s">
        <v>21</v>
      </c>
      <c r="G567" s="2" t="s">
        <v>33</v>
      </c>
      <c r="H567" s="2" t="s">
        <v>34</v>
      </c>
      <c r="I567" s="2" t="s">
        <v>35</v>
      </c>
      <c r="J567" s="2" t="s">
        <v>1216</v>
      </c>
      <c r="K567" s="2" t="s">
        <v>2548</v>
      </c>
      <c r="L567">
        <v>3</v>
      </c>
      <c r="M567" s="1">
        <v>600000</v>
      </c>
      <c r="N567">
        <v>3.6</v>
      </c>
      <c r="O567">
        <v>7</v>
      </c>
      <c r="P567" s="2" t="s">
        <v>26</v>
      </c>
    </row>
    <row r="568" spans="1:16" x14ac:dyDescent="0.25">
      <c r="A568" s="2" t="s">
        <v>2546</v>
      </c>
      <c r="B568" s="2" t="s">
        <v>1802</v>
      </c>
      <c r="C568" s="2" t="s">
        <v>18</v>
      </c>
      <c r="D568" s="2" t="s">
        <v>19</v>
      </c>
      <c r="E568" s="2" t="s">
        <v>20</v>
      </c>
      <c r="F568" s="2" t="s">
        <v>128</v>
      </c>
      <c r="G568" s="2" t="s">
        <v>80</v>
      </c>
      <c r="H568" s="2" t="s">
        <v>23</v>
      </c>
      <c r="I568" s="2" t="s">
        <v>35</v>
      </c>
      <c r="J568" s="2" t="s">
        <v>2547</v>
      </c>
      <c r="K568" s="2" t="s">
        <v>2548</v>
      </c>
      <c r="L568">
        <v>4</v>
      </c>
      <c r="M568" s="1">
        <v>592000</v>
      </c>
      <c r="N568">
        <v>2.2000000000000002</v>
      </c>
      <c r="O568">
        <v>37</v>
      </c>
      <c r="P568" s="2" t="s">
        <v>114</v>
      </c>
    </row>
    <row r="569" spans="1:16" x14ac:dyDescent="0.25">
      <c r="A569" s="2" t="s">
        <v>2549</v>
      </c>
      <c r="B569" s="2" t="s">
        <v>2550</v>
      </c>
      <c r="C569" s="2" t="s">
        <v>29</v>
      </c>
      <c r="D569" s="2" t="s">
        <v>79</v>
      </c>
      <c r="E569" s="2" t="s">
        <v>20</v>
      </c>
      <c r="F569" s="2" t="s">
        <v>21</v>
      </c>
      <c r="G569" s="2" t="s">
        <v>22</v>
      </c>
      <c r="H569" s="2" t="s">
        <v>34</v>
      </c>
      <c r="I569" s="2" t="s">
        <v>24</v>
      </c>
      <c r="J569" s="2" t="s">
        <v>2551</v>
      </c>
      <c r="K569" s="2" t="s">
        <v>726</v>
      </c>
      <c r="L569">
        <v>5</v>
      </c>
      <c r="M569" s="1">
        <v>839000</v>
      </c>
      <c r="N569">
        <v>3.6</v>
      </c>
      <c r="O569">
        <v>12</v>
      </c>
      <c r="P569" s="2" t="s">
        <v>72</v>
      </c>
    </row>
    <row r="570" spans="1:16" x14ac:dyDescent="0.25">
      <c r="A570" s="2" t="s">
        <v>2555</v>
      </c>
      <c r="B570" s="2" t="s">
        <v>2556</v>
      </c>
      <c r="C570" s="2" t="s">
        <v>18</v>
      </c>
      <c r="D570" s="2" t="s">
        <v>50</v>
      </c>
      <c r="E570" s="2" t="s">
        <v>44</v>
      </c>
      <c r="F570" s="2" t="s">
        <v>39</v>
      </c>
      <c r="G570" s="2" t="s">
        <v>22</v>
      </c>
      <c r="H570" s="2" t="s">
        <v>34</v>
      </c>
      <c r="I570" s="2" t="s">
        <v>24</v>
      </c>
      <c r="J570" s="2" t="s">
        <v>2399</v>
      </c>
      <c r="K570" s="2" t="s">
        <v>2562</v>
      </c>
      <c r="L570">
        <v>2</v>
      </c>
      <c r="M570" s="1">
        <v>116000</v>
      </c>
      <c r="N570">
        <v>4.5999999999999996</v>
      </c>
      <c r="O570">
        <v>36</v>
      </c>
      <c r="P570" s="2" t="s">
        <v>26</v>
      </c>
    </row>
    <row r="571" spans="1:16" x14ac:dyDescent="0.25">
      <c r="A571" s="2" t="s">
        <v>2560</v>
      </c>
      <c r="B571" s="2" t="s">
        <v>2561</v>
      </c>
      <c r="C571" s="2" t="s">
        <v>29</v>
      </c>
      <c r="D571" s="2" t="s">
        <v>79</v>
      </c>
      <c r="E571" s="2" t="s">
        <v>20</v>
      </c>
      <c r="F571" s="2" t="s">
        <v>39</v>
      </c>
      <c r="G571" s="2" t="s">
        <v>80</v>
      </c>
      <c r="H571" s="2" t="s">
        <v>34</v>
      </c>
      <c r="I571" s="2" t="s">
        <v>35</v>
      </c>
      <c r="J571" s="2" t="s">
        <v>47</v>
      </c>
      <c r="K571" s="2" t="s">
        <v>2562</v>
      </c>
      <c r="L571">
        <v>3</v>
      </c>
      <c r="M571" s="1">
        <v>93000</v>
      </c>
      <c r="N571">
        <v>2.5</v>
      </c>
      <c r="O571">
        <v>12</v>
      </c>
      <c r="P571" s="2" t="s">
        <v>53</v>
      </c>
    </row>
    <row r="572" spans="1:16" x14ac:dyDescent="0.25">
      <c r="A572" s="2" t="s">
        <v>2563</v>
      </c>
      <c r="B572" s="2" t="s">
        <v>2564</v>
      </c>
      <c r="C572" s="2" t="s">
        <v>18</v>
      </c>
      <c r="D572" s="2" t="s">
        <v>50</v>
      </c>
      <c r="E572" s="2" t="s">
        <v>20</v>
      </c>
      <c r="F572" s="2" t="s">
        <v>128</v>
      </c>
      <c r="G572" s="2" t="s">
        <v>22</v>
      </c>
      <c r="H572" s="2" t="s">
        <v>23</v>
      </c>
      <c r="I572" s="2" t="s">
        <v>35</v>
      </c>
      <c r="J572" s="2" t="s">
        <v>2565</v>
      </c>
      <c r="K572" s="2" t="s">
        <v>2617</v>
      </c>
      <c r="L572">
        <v>2</v>
      </c>
      <c r="M572" s="1">
        <v>421000</v>
      </c>
      <c r="N572">
        <v>4.5</v>
      </c>
      <c r="O572">
        <v>1</v>
      </c>
      <c r="P572" s="2" t="s">
        <v>26</v>
      </c>
    </row>
    <row r="573" spans="1:16" x14ac:dyDescent="0.25">
      <c r="A573" s="2" t="s">
        <v>2572</v>
      </c>
      <c r="B573" s="2" t="s">
        <v>754</v>
      </c>
      <c r="C573" s="2" t="s">
        <v>29</v>
      </c>
      <c r="D573" s="2" t="s">
        <v>30</v>
      </c>
      <c r="E573" s="2" t="s">
        <v>44</v>
      </c>
      <c r="F573" s="2" t="s">
        <v>32</v>
      </c>
      <c r="G573" s="2" t="s">
        <v>22</v>
      </c>
      <c r="H573" s="2" t="s">
        <v>34</v>
      </c>
      <c r="I573" s="2" t="s">
        <v>75</v>
      </c>
      <c r="J573" s="2" t="s">
        <v>2573</v>
      </c>
      <c r="K573" s="2" t="s">
        <v>2617</v>
      </c>
      <c r="L573">
        <v>4</v>
      </c>
      <c r="M573" s="1">
        <v>302000</v>
      </c>
      <c r="N573">
        <v>3.8</v>
      </c>
      <c r="O573">
        <v>5</v>
      </c>
      <c r="P573" s="2" t="s">
        <v>26</v>
      </c>
    </row>
    <row r="574" spans="1:16" x14ac:dyDescent="0.25">
      <c r="A574" s="2" t="s">
        <v>2580</v>
      </c>
      <c r="B574" s="2" t="s">
        <v>2581</v>
      </c>
      <c r="C574" s="2" t="s">
        <v>18</v>
      </c>
      <c r="D574" s="2" t="s">
        <v>30</v>
      </c>
      <c r="E574" s="2" t="s">
        <v>20</v>
      </c>
      <c r="F574" s="2" t="s">
        <v>32</v>
      </c>
      <c r="G574" s="2" t="s">
        <v>33</v>
      </c>
      <c r="H574" s="2" t="s">
        <v>34</v>
      </c>
      <c r="I574" s="2" t="s">
        <v>24</v>
      </c>
      <c r="J574" s="2" t="s">
        <v>1097</v>
      </c>
      <c r="K574" s="2" t="s">
        <v>2617</v>
      </c>
      <c r="L574">
        <v>5</v>
      </c>
      <c r="M574" s="1">
        <v>326000</v>
      </c>
      <c r="N574">
        <v>3.7</v>
      </c>
      <c r="O574">
        <v>10</v>
      </c>
      <c r="P574" s="2" t="s">
        <v>26</v>
      </c>
    </row>
    <row r="575" spans="1:16" x14ac:dyDescent="0.25">
      <c r="A575" s="2" t="s">
        <v>2585</v>
      </c>
      <c r="B575" s="2" t="s">
        <v>519</v>
      </c>
      <c r="C575" s="2" t="s">
        <v>29</v>
      </c>
      <c r="D575" s="2" t="s">
        <v>43</v>
      </c>
      <c r="E575" s="2" t="s">
        <v>44</v>
      </c>
      <c r="F575" s="2" t="s">
        <v>128</v>
      </c>
      <c r="G575" s="2" t="s">
        <v>33</v>
      </c>
      <c r="H575" s="2" t="s">
        <v>34</v>
      </c>
      <c r="I575" s="2" t="s">
        <v>35</v>
      </c>
      <c r="J575" s="2" t="s">
        <v>575</v>
      </c>
      <c r="K575" s="2" t="s">
        <v>2617</v>
      </c>
      <c r="L575">
        <v>2</v>
      </c>
      <c r="M575" s="1">
        <v>494000</v>
      </c>
      <c r="N575">
        <v>3.7</v>
      </c>
      <c r="O575">
        <v>1</v>
      </c>
      <c r="P575" s="2" t="s">
        <v>26</v>
      </c>
    </row>
    <row r="576" spans="1:16" x14ac:dyDescent="0.25">
      <c r="A576" s="2" t="s">
        <v>2586</v>
      </c>
      <c r="B576" s="2" t="s">
        <v>2587</v>
      </c>
      <c r="C576" s="2" t="s">
        <v>29</v>
      </c>
      <c r="D576" s="2" t="s">
        <v>50</v>
      </c>
      <c r="E576" s="2" t="s">
        <v>20</v>
      </c>
      <c r="F576" s="2" t="s">
        <v>21</v>
      </c>
      <c r="G576" s="2" t="s">
        <v>80</v>
      </c>
      <c r="H576" s="2" t="s">
        <v>23</v>
      </c>
      <c r="I576" s="2" t="s">
        <v>24</v>
      </c>
      <c r="J576" s="2" t="s">
        <v>1008</v>
      </c>
      <c r="K576" s="2" t="s">
        <v>2617</v>
      </c>
      <c r="L576">
        <v>5</v>
      </c>
      <c r="M576" s="1">
        <v>811000</v>
      </c>
      <c r="N576">
        <v>4.9000000000000004</v>
      </c>
      <c r="O576">
        <v>35</v>
      </c>
      <c r="P576" s="2" t="s">
        <v>26</v>
      </c>
    </row>
    <row r="577" spans="1:16" x14ac:dyDescent="0.25">
      <c r="A577" s="2" t="s">
        <v>2588</v>
      </c>
      <c r="B577" s="2" t="s">
        <v>2363</v>
      </c>
      <c r="C577" s="2" t="s">
        <v>29</v>
      </c>
      <c r="D577" s="2" t="s">
        <v>30</v>
      </c>
      <c r="E577" s="2" t="s">
        <v>20</v>
      </c>
      <c r="F577" s="2" t="s">
        <v>39</v>
      </c>
      <c r="G577" s="2" t="s">
        <v>22</v>
      </c>
      <c r="H577" s="2" t="s">
        <v>23</v>
      </c>
      <c r="I577" s="2" t="s">
        <v>35</v>
      </c>
      <c r="J577" s="2" t="s">
        <v>2589</v>
      </c>
      <c r="K577" s="2" t="s">
        <v>2617</v>
      </c>
      <c r="L577">
        <v>6</v>
      </c>
      <c r="M577" s="1">
        <v>98000</v>
      </c>
      <c r="N577">
        <v>2.4</v>
      </c>
      <c r="O577">
        <v>12</v>
      </c>
      <c r="P577" s="2" t="s">
        <v>26</v>
      </c>
    </row>
    <row r="578" spans="1:16" x14ac:dyDescent="0.25">
      <c r="A578" s="2" t="s">
        <v>2590</v>
      </c>
      <c r="B578" s="2" t="s">
        <v>2591</v>
      </c>
      <c r="C578" s="2" t="s">
        <v>29</v>
      </c>
      <c r="D578" s="2" t="s">
        <v>30</v>
      </c>
      <c r="E578" s="2" t="s">
        <v>20</v>
      </c>
      <c r="F578" s="2" t="s">
        <v>39</v>
      </c>
      <c r="G578" s="2" t="s">
        <v>80</v>
      </c>
      <c r="H578" s="2" t="s">
        <v>23</v>
      </c>
      <c r="I578" s="2" t="s">
        <v>35</v>
      </c>
      <c r="J578" s="2" t="s">
        <v>2592</v>
      </c>
      <c r="K578" s="2" t="s">
        <v>2617</v>
      </c>
      <c r="L578">
        <v>5</v>
      </c>
      <c r="M578" s="1">
        <v>140000</v>
      </c>
      <c r="N578">
        <v>2</v>
      </c>
      <c r="O578">
        <v>5</v>
      </c>
      <c r="P578" s="2" t="s">
        <v>26</v>
      </c>
    </row>
    <row r="579" spans="1:16" x14ac:dyDescent="0.25">
      <c r="A579" s="2" t="s">
        <v>2598</v>
      </c>
      <c r="B579" s="2" t="s">
        <v>2599</v>
      </c>
      <c r="C579" s="2" t="s">
        <v>18</v>
      </c>
      <c r="D579" s="2" t="s">
        <v>19</v>
      </c>
      <c r="E579" s="2" t="s">
        <v>20</v>
      </c>
      <c r="F579" s="2" t="s">
        <v>21</v>
      </c>
      <c r="G579" s="2" t="s">
        <v>69</v>
      </c>
      <c r="H579" s="2" t="s">
        <v>46</v>
      </c>
      <c r="I579" s="2" t="s">
        <v>24</v>
      </c>
      <c r="J579" s="2" t="s">
        <v>2600</v>
      </c>
      <c r="K579" s="2" t="s">
        <v>2617</v>
      </c>
      <c r="L579">
        <v>3</v>
      </c>
      <c r="M579" s="1">
        <v>1007000</v>
      </c>
      <c r="N579">
        <v>4.7</v>
      </c>
      <c r="O579">
        <v>8</v>
      </c>
      <c r="P579" s="2" t="s">
        <v>26</v>
      </c>
    </row>
    <row r="580" spans="1:16" x14ac:dyDescent="0.25">
      <c r="A580" s="2" t="s">
        <v>2604</v>
      </c>
      <c r="B580" s="2" t="s">
        <v>2605</v>
      </c>
      <c r="C580" s="2" t="s">
        <v>18</v>
      </c>
      <c r="D580" s="2" t="s">
        <v>19</v>
      </c>
      <c r="E580" s="2" t="s">
        <v>20</v>
      </c>
      <c r="F580" s="2" t="s">
        <v>39</v>
      </c>
      <c r="G580" s="2" t="s">
        <v>80</v>
      </c>
      <c r="H580" s="2" t="s">
        <v>23</v>
      </c>
      <c r="I580" s="2" t="s">
        <v>75</v>
      </c>
      <c r="J580" s="2" t="s">
        <v>2606</v>
      </c>
      <c r="K580" s="2" t="s">
        <v>2617</v>
      </c>
      <c r="L580">
        <v>2</v>
      </c>
      <c r="M580" s="1">
        <v>131000</v>
      </c>
      <c r="N580">
        <v>2.1</v>
      </c>
      <c r="O580">
        <v>11</v>
      </c>
      <c r="P580" s="2" t="s">
        <v>26</v>
      </c>
    </row>
    <row r="581" spans="1:16" x14ac:dyDescent="0.25">
      <c r="A581" s="2" t="s">
        <v>2607</v>
      </c>
      <c r="B581" s="2" t="s">
        <v>2608</v>
      </c>
      <c r="C581" s="2" t="s">
        <v>29</v>
      </c>
      <c r="D581" s="2" t="s">
        <v>30</v>
      </c>
      <c r="E581" s="2" t="s">
        <v>20</v>
      </c>
      <c r="F581" s="2" t="s">
        <v>39</v>
      </c>
      <c r="G581" s="2" t="s">
        <v>80</v>
      </c>
      <c r="H581" s="2" t="s">
        <v>46</v>
      </c>
      <c r="I581" s="2" t="s">
        <v>35</v>
      </c>
      <c r="J581" s="2" t="s">
        <v>2609</v>
      </c>
      <c r="K581" s="2" t="s">
        <v>2617</v>
      </c>
      <c r="L581">
        <v>4</v>
      </c>
      <c r="M581" s="1">
        <v>91000</v>
      </c>
      <c r="N581">
        <v>2.9</v>
      </c>
      <c r="O581">
        <v>5</v>
      </c>
      <c r="P581" s="2" t="s">
        <v>26</v>
      </c>
    </row>
    <row r="582" spans="1:16" x14ac:dyDescent="0.25">
      <c r="A582" s="2" t="s">
        <v>2610</v>
      </c>
      <c r="B582" s="2" t="s">
        <v>2611</v>
      </c>
      <c r="C582" s="2" t="s">
        <v>18</v>
      </c>
      <c r="D582" s="2" t="s">
        <v>50</v>
      </c>
      <c r="E582" s="2" t="s">
        <v>31</v>
      </c>
      <c r="F582" s="2" t="s">
        <v>39</v>
      </c>
      <c r="G582" s="2" t="s">
        <v>22</v>
      </c>
      <c r="H582" s="2" t="s">
        <v>23</v>
      </c>
      <c r="I582" s="2" t="s">
        <v>75</v>
      </c>
      <c r="J582" s="2" t="s">
        <v>2612</v>
      </c>
      <c r="K582" s="2" t="s">
        <v>2617</v>
      </c>
      <c r="L582">
        <v>7</v>
      </c>
      <c r="M582" s="1">
        <v>155000</v>
      </c>
      <c r="N582">
        <v>3.5</v>
      </c>
      <c r="O582">
        <v>3</v>
      </c>
      <c r="P582" s="2" t="s">
        <v>26</v>
      </c>
    </row>
    <row r="583" spans="1:16" x14ac:dyDescent="0.25">
      <c r="A583" s="2" t="s">
        <v>2613</v>
      </c>
      <c r="B583" s="2" t="s">
        <v>2614</v>
      </c>
      <c r="C583" s="2" t="s">
        <v>18</v>
      </c>
      <c r="D583" s="2" t="s">
        <v>79</v>
      </c>
      <c r="E583" s="2" t="s">
        <v>20</v>
      </c>
      <c r="F583" s="2" t="s">
        <v>128</v>
      </c>
      <c r="G583" s="2" t="s">
        <v>80</v>
      </c>
      <c r="H583" s="2" t="s">
        <v>34</v>
      </c>
      <c r="I583" s="2" t="s">
        <v>35</v>
      </c>
      <c r="J583" s="2" t="s">
        <v>2320</v>
      </c>
      <c r="K583" s="2" t="s">
        <v>2617</v>
      </c>
      <c r="L583">
        <v>6</v>
      </c>
      <c r="M583" s="1">
        <v>394000</v>
      </c>
      <c r="N583">
        <v>2.4</v>
      </c>
      <c r="O583">
        <v>2</v>
      </c>
      <c r="P583" s="2" t="s">
        <v>26</v>
      </c>
    </row>
    <row r="584" spans="1:16" x14ac:dyDescent="0.25">
      <c r="A584" s="2" t="s">
        <v>2615</v>
      </c>
      <c r="B584" s="2" t="s">
        <v>2616</v>
      </c>
      <c r="C584" s="2" t="s">
        <v>18</v>
      </c>
      <c r="D584" s="2" t="s">
        <v>43</v>
      </c>
      <c r="E584" s="2" t="s">
        <v>20</v>
      </c>
      <c r="F584" s="2" t="s">
        <v>128</v>
      </c>
      <c r="G584" s="2" t="s">
        <v>22</v>
      </c>
      <c r="H584" s="2" t="s">
        <v>34</v>
      </c>
      <c r="I584" s="2" t="s">
        <v>24</v>
      </c>
      <c r="J584" s="2" t="s">
        <v>452</v>
      </c>
      <c r="K584" s="2" t="s">
        <v>2617</v>
      </c>
      <c r="L584">
        <v>4</v>
      </c>
      <c r="M584" s="1">
        <v>477000</v>
      </c>
      <c r="N584">
        <v>2.8</v>
      </c>
      <c r="O584">
        <v>1</v>
      </c>
      <c r="P584" s="2" t="s">
        <v>72</v>
      </c>
    </row>
    <row r="585" spans="1:16" x14ac:dyDescent="0.25">
      <c r="A585" s="2" t="s">
        <v>2623</v>
      </c>
      <c r="B585" s="2" t="s">
        <v>2624</v>
      </c>
      <c r="C585" s="2" t="s">
        <v>18</v>
      </c>
      <c r="D585" s="2" t="s">
        <v>19</v>
      </c>
      <c r="E585" s="2" t="s">
        <v>20</v>
      </c>
      <c r="F585" s="2" t="s">
        <v>39</v>
      </c>
      <c r="G585" s="2" t="s">
        <v>33</v>
      </c>
      <c r="H585" s="2" t="s">
        <v>34</v>
      </c>
      <c r="I585" s="2" t="s">
        <v>24</v>
      </c>
      <c r="J585" s="2" t="s">
        <v>2625</v>
      </c>
      <c r="K585" s="2" t="s">
        <v>2626</v>
      </c>
      <c r="L585">
        <v>4</v>
      </c>
      <c r="M585" s="1">
        <v>114000</v>
      </c>
      <c r="N585">
        <v>3.4</v>
      </c>
      <c r="O585">
        <v>13</v>
      </c>
      <c r="P585" s="2" t="s">
        <v>72</v>
      </c>
    </row>
    <row r="586" spans="1:16" x14ac:dyDescent="0.25">
      <c r="A586" s="2" t="s">
        <v>2627</v>
      </c>
      <c r="B586" s="2" t="s">
        <v>2628</v>
      </c>
      <c r="C586" s="2" t="s">
        <v>29</v>
      </c>
      <c r="D586" s="2" t="s">
        <v>50</v>
      </c>
      <c r="E586" s="2" t="s">
        <v>31</v>
      </c>
      <c r="F586" s="2" t="s">
        <v>39</v>
      </c>
      <c r="G586" s="2" t="s">
        <v>80</v>
      </c>
      <c r="H586" s="2" t="s">
        <v>23</v>
      </c>
      <c r="I586" s="2" t="s">
        <v>57</v>
      </c>
      <c r="J586" s="2" t="s">
        <v>1651</v>
      </c>
      <c r="K586" s="2" t="s">
        <v>381</v>
      </c>
      <c r="L586">
        <v>7</v>
      </c>
      <c r="M586" s="1">
        <v>157000</v>
      </c>
      <c r="N586">
        <v>3</v>
      </c>
      <c r="O586">
        <v>7</v>
      </c>
      <c r="P586" s="2" t="s">
        <v>26</v>
      </c>
    </row>
    <row r="587" spans="1:16" x14ac:dyDescent="0.25">
      <c r="A587" s="2" t="s">
        <v>2629</v>
      </c>
      <c r="B587" s="2" t="s">
        <v>2630</v>
      </c>
      <c r="C587" s="2" t="s">
        <v>29</v>
      </c>
      <c r="D587" s="2" t="s">
        <v>43</v>
      </c>
      <c r="E587" s="2" t="s">
        <v>20</v>
      </c>
      <c r="F587" s="2" t="s">
        <v>128</v>
      </c>
      <c r="G587" s="2" t="s">
        <v>33</v>
      </c>
      <c r="H587" s="2" t="s">
        <v>62</v>
      </c>
      <c r="I587" s="2" t="s">
        <v>35</v>
      </c>
      <c r="J587" s="2" t="s">
        <v>1760</v>
      </c>
      <c r="K587" s="2" t="s">
        <v>381</v>
      </c>
      <c r="L587">
        <v>5</v>
      </c>
      <c r="M587" s="1">
        <v>526000</v>
      </c>
      <c r="N587">
        <v>5</v>
      </c>
      <c r="O587">
        <v>8</v>
      </c>
      <c r="P587" s="2" t="s">
        <v>53</v>
      </c>
    </row>
    <row r="588" spans="1:16" x14ac:dyDescent="0.25">
      <c r="A588" s="2" t="s">
        <v>2640</v>
      </c>
      <c r="B588" s="2" t="s">
        <v>2641</v>
      </c>
      <c r="C588" s="2" t="s">
        <v>29</v>
      </c>
      <c r="D588" s="2" t="s">
        <v>79</v>
      </c>
      <c r="E588" s="2" t="s">
        <v>20</v>
      </c>
      <c r="F588" s="2" t="s">
        <v>128</v>
      </c>
      <c r="G588" s="2" t="s">
        <v>33</v>
      </c>
      <c r="H588" s="2" t="s">
        <v>46</v>
      </c>
      <c r="I588" s="2" t="s">
        <v>35</v>
      </c>
      <c r="J588" s="2" t="s">
        <v>2642</v>
      </c>
      <c r="K588" s="2" t="s">
        <v>2643</v>
      </c>
      <c r="L588">
        <v>5</v>
      </c>
      <c r="M588" s="1">
        <v>515000</v>
      </c>
      <c r="N588">
        <v>4.8</v>
      </c>
      <c r="O588">
        <v>5</v>
      </c>
      <c r="P588" s="2" t="s">
        <v>53</v>
      </c>
    </row>
    <row r="589" spans="1:16" x14ac:dyDescent="0.25">
      <c r="A589" s="2" t="s">
        <v>2644</v>
      </c>
      <c r="B589" s="2" t="s">
        <v>2645</v>
      </c>
      <c r="C589" s="2" t="s">
        <v>18</v>
      </c>
      <c r="D589" s="2" t="s">
        <v>79</v>
      </c>
      <c r="E589" s="2" t="s">
        <v>31</v>
      </c>
      <c r="F589" s="2" t="s">
        <v>39</v>
      </c>
      <c r="G589" s="2" t="s">
        <v>80</v>
      </c>
      <c r="H589" s="2" t="s">
        <v>23</v>
      </c>
      <c r="I589" s="2" t="s">
        <v>24</v>
      </c>
      <c r="J589" s="2" t="s">
        <v>2646</v>
      </c>
      <c r="K589" s="2" t="s">
        <v>2673</v>
      </c>
      <c r="L589">
        <v>4</v>
      </c>
      <c r="M589" s="1">
        <v>178000</v>
      </c>
      <c r="N589">
        <v>4.0999999999999996</v>
      </c>
      <c r="O589">
        <v>11</v>
      </c>
      <c r="P589" s="2" t="s">
        <v>26</v>
      </c>
    </row>
    <row r="590" spans="1:16" x14ac:dyDescent="0.25">
      <c r="A590" s="2" t="s">
        <v>2651</v>
      </c>
      <c r="B590" s="2" t="s">
        <v>2652</v>
      </c>
      <c r="C590" s="2" t="s">
        <v>18</v>
      </c>
      <c r="D590" s="2" t="s">
        <v>43</v>
      </c>
      <c r="E590" s="2" t="s">
        <v>44</v>
      </c>
      <c r="F590" s="2" t="s">
        <v>128</v>
      </c>
      <c r="G590" s="2" t="s">
        <v>22</v>
      </c>
      <c r="H590" s="2" t="s">
        <v>34</v>
      </c>
      <c r="I590" s="2" t="s">
        <v>24</v>
      </c>
      <c r="J590" s="2" t="s">
        <v>2653</v>
      </c>
      <c r="K590" s="2" t="s">
        <v>2673</v>
      </c>
      <c r="L590">
        <v>5</v>
      </c>
      <c r="M590" s="1">
        <v>485000</v>
      </c>
      <c r="N590">
        <v>4.9000000000000004</v>
      </c>
      <c r="O590">
        <v>3</v>
      </c>
      <c r="P590" s="2" t="s">
        <v>26</v>
      </c>
    </row>
    <row r="591" spans="1:16" x14ac:dyDescent="0.25">
      <c r="A591" s="2" t="s">
        <v>2658</v>
      </c>
      <c r="B591" s="2" t="s">
        <v>2659</v>
      </c>
      <c r="C591" s="2" t="s">
        <v>29</v>
      </c>
      <c r="D591" s="2" t="s">
        <v>50</v>
      </c>
      <c r="E591" s="2" t="s">
        <v>20</v>
      </c>
      <c r="F591" s="2" t="s">
        <v>32</v>
      </c>
      <c r="G591" s="2" t="s">
        <v>80</v>
      </c>
      <c r="H591" s="2" t="s">
        <v>23</v>
      </c>
      <c r="I591" s="2" t="s">
        <v>57</v>
      </c>
      <c r="J591" s="2" t="s">
        <v>738</v>
      </c>
      <c r="K591" s="2" t="s">
        <v>2673</v>
      </c>
      <c r="L591">
        <v>4</v>
      </c>
      <c r="M591" s="1">
        <v>267000</v>
      </c>
      <c r="N591">
        <v>4.0999999999999996</v>
      </c>
      <c r="O591">
        <v>0</v>
      </c>
      <c r="P591" s="2" t="s">
        <v>26</v>
      </c>
    </row>
    <row r="592" spans="1:16" x14ac:dyDescent="0.25">
      <c r="A592" s="2" t="s">
        <v>2664</v>
      </c>
      <c r="B592" s="2" t="s">
        <v>2665</v>
      </c>
      <c r="C592" s="2" t="s">
        <v>29</v>
      </c>
      <c r="D592" s="2" t="s">
        <v>50</v>
      </c>
      <c r="E592" s="2" t="s">
        <v>20</v>
      </c>
      <c r="F592" s="2" t="s">
        <v>45</v>
      </c>
      <c r="G592" s="2" t="s">
        <v>80</v>
      </c>
      <c r="H592" s="2" t="s">
        <v>23</v>
      </c>
      <c r="I592" s="2" t="s">
        <v>24</v>
      </c>
      <c r="J592" s="2" t="s">
        <v>2666</v>
      </c>
      <c r="K592" s="2" t="s">
        <v>2673</v>
      </c>
      <c r="L592">
        <v>5</v>
      </c>
      <c r="M592" s="1">
        <v>1640000</v>
      </c>
      <c r="N592">
        <v>3.1</v>
      </c>
      <c r="O592">
        <v>1</v>
      </c>
      <c r="P592" s="2" t="s">
        <v>26</v>
      </c>
    </row>
    <row r="593" spans="1:16" x14ac:dyDescent="0.25">
      <c r="A593" s="2" t="s">
        <v>2667</v>
      </c>
      <c r="B593" s="2" t="s">
        <v>2668</v>
      </c>
      <c r="C593" s="2" t="s">
        <v>18</v>
      </c>
      <c r="D593" s="2" t="s">
        <v>50</v>
      </c>
      <c r="E593" s="2" t="s">
        <v>44</v>
      </c>
      <c r="F593" s="2" t="s">
        <v>39</v>
      </c>
      <c r="G593" s="2" t="s">
        <v>80</v>
      </c>
      <c r="H593" s="2" t="s">
        <v>34</v>
      </c>
      <c r="I593" s="2" t="s">
        <v>75</v>
      </c>
      <c r="J593" s="2" t="s">
        <v>1834</v>
      </c>
      <c r="K593" s="2" t="s">
        <v>2673</v>
      </c>
      <c r="L593">
        <v>2</v>
      </c>
      <c r="M593" s="1">
        <v>117000</v>
      </c>
      <c r="N593">
        <v>4.7</v>
      </c>
      <c r="O593">
        <v>8</v>
      </c>
      <c r="P593" s="2" t="s">
        <v>26</v>
      </c>
    </row>
    <row r="594" spans="1:16" x14ac:dyDescent="0.25">
      <c r="A594" s="2" t="s">
        <v>2671</v>
      </c>
      <c r="B594" s="2" t="s">
        <v>2672</v>
      </c>
      <c r="C594" s="2" t="s">
        <v>29</v>
      </c>
      <c r="D594" s="2" t="s">
        <v>30</v>
      </c>
      <c r="E594" s="2" t="s">
        <v>44</v>
      </c>
      <c r="F594" s="2" t="s">
        <v>128</v>
      </c>
      <c r="G594" s="2" t="s">
        <v>80</v>
      </c>
      <c r="H594" s="2" t="s">
        <v>34</v>
      </c>
      <c r="I594" s="2" t="s">
        <v>24</v>
      </c>
      <c r="J594" s="2" t="s">
        <v>1282</v>
      </c>
      <c r="K594" s="2" t="s">
        <v>2673</v>
      </c>
      <c r="L594">
        <v>2</v>
      </c>
      <c r="M594" s="1">
        <v>426000</v>
      </c>
      <c r="N594">
        <v>2.2999999999999998</v>
      </c>
      <c r="O594">
        <v>14</v>
      </c>
      <c r="P594" s="2" t="s">
        <v>72</v>
      </c>
    </row>
    <row r="595" spans="1:16" x14ac:dyDescent="0.25">
      <c r="A595" s="2" t="s">
        <v>2676</v>
      </c>
      <c r="B595" s="2" t="s">
        <v>2677</v>
      </c>
      <c r="C595" s="2" t="s">
        <v>18</v>
      </c>
      <c r="D595" s="2" t="s">
        <v>19</v>
      </c>
      <c r="E595" s="2" t="s">
        <v>20</v>
      </c>
      <c r="F595" s="2" t="s">
        <v>32</v>
      </c>
      <c r="G595" s="2" t="s">
        <v>22</v>
      </c>
      <c r="H595" s="2" t="s">
        <v>34</v>
      </c>
      <c r="I595" s="2" t="s">
        <v>24</v>
      </c>
      <c r="J595" s="2" t="s">
        <v>2185</v>
      </c>
      <c r="K595" s="2" t="s">
        <v>2678</v>
      </c>
      <c r="L595">
        <v>5</v>
      </c>
      <c r="M595" s="1">
        <v>385000</v>
      </c>
      <c r="N595">
        <v>4.0999999999999996</v>
      </c>
      <c r="O595">
        <v>1</v>
      </c>
      <c r="P595" s="2" t="s">
        <v>53</v>
      </c>
    </row>
    <row r="596" spans="1:16" x14ac:dyDescent="0.25">
      <c r="A596" s="2" t="s">
        <v>2679</v>
      </c>
      <c r="B596" s="2" t="s">
        <v>2680</v>
      </c>
      <c r="C596" s="2" t="s">
        <v>18</v>
      </c>
      <c r="D596" s="2" t="s">
        <v>50</v>
      </c>
      <c r="E596" s="2" t="s">
        <v>20</v>
      </c>
      <c r="F596" s="2" t="s">
        <v>32</v>
      </c>
      <c r="G596" s="2" t="s">
        <v>69</v>
      </c>
      <c r="H596" s="2" t="s">
        <v>34</v>
      </c>
      <c r="I596" s="2" t="s">
        <v>57</v>
      </c>
      <c r="J596" s="2" t="s">
        <v>2681</v>
      </c>
      <c r="K596" s="2" t="s">
        <v>2684</v>
      </c>
      <c r="L596">
        <v>2</v>
      </c>
      <c r="M596" s="1">
        <v>268000</v>
      </c>
      <c r="N596">
        <v>2.1</v>
      </c>
      <c r="O596">
        <v>0</v>
      </c>
      <c r="P596" s="2" t="s">
        <v>26</v>
      </c>
    </row>
    <row r="597" spans="1:16" x14ac:dyDescent="0.25">
      <c r="A597" s="2" t="s">
        <v>2682</v>
      </c>
      <c r="B597" s="2" t="s">
        <v>2683</v>
      </c>
      <c r="C597" s="2" t="s">
        <v>29</v>
      </c>
      <c r="D597" s="2" t="s">
        <v>19</v>
      </c>
      <c r="E597" s="2" t="s">
        <v>20</v>
      </c>
      <c r="F597" s="2" t="s">
        <v>39</v>
      </c>
      <c r="G597" s="2" t="s">
        <v>22</v>
      </c>
      <c r="H597" s="2" t="s">
        <v>34</v>
      </c>
      <c r="I597" s="2" t="s">
        <v>24</v>
      </c>
      <c r="J597" s="2" t="s">
        <v>1774</v>
      </c>
      <c r="K597" s="2" t="s">
        <v>2684</v>
      </c>
      <c r="L597">
        <v>7</v>
      </c>
      <c r="M597" s="1">
        <v>157000</v>
      </c>
      <c r="N597">
        <v>4</v>
      </c>
      <c r="O597">
        <v>17</v>
      </c>
      <c r="P597" s="2" t="s">
        <v>53</v>
      </c>
    </row>
    <row r="598" spans="1:16" x14ac:dyDescent="0.25">
      <c r="A598" s="2" t="s">
        <v>2688</v>
      </c>
      <c r="B598" s="2" t="s">
        <v>2363</v>
      </c>
      <c r="C598" s="2" t="s">
        <v>29</v>
      </c>
      <c r="D598" s="2" t="s">
        <v>79</v>
      </c>
      <c r="E598" s="2" t="s">
        <v>20</v>
      </c>
      <c r="F598" s="2" t="s">
        <v>32</v>
      </c>
      <c r="G598" s="2" t="s">
        <v>22</v>
      </c>
      <c r="H598" s="2" t="s">
        <v>46</v>
      </c>
      <c r="I598" s="2" t="s">
        <v>35</v>
      </c>
      <c r="J598" s="2" t="s">
        <v>2689</v>
      </c>
      <c r="K598" s="2" t="s">
        <v>2719</v>
      </c>
      <c r="L598">
        <v>5</v>
      </c>
      <c r="M598" s="1">
        <v>249000</v>
      </c>
      <c r="N598">
        <v>4.0999999999999996</v>
      </c>
      <c r="O598">
        <v>4</v>
      </c>
      <c r="P598" s="2" t="s">
        <v>26</v>
      </c>
    </row>
    <row r="599" spans="1:16" x14ac:dyDescent="0.25">
      <c r="A599" s="2" t="s">
        <v>2693</v>
      </c>
      <c r="B599" s="2" t="s">
        <v>2694</v>
      </c>
      <c r="C599" s="2" t="s">
        <v>29</v>
      </c>
      <c r="D599" s="2" t="s">
        <v>19</v>
      </c>
      <c r="E599" s="2" t="s">
        <v>44</v>
      </c>
      <c r="F599" s="2" t="s">
        <v>32</v>
      </c>
      <c r="G599" s="2" t="s">
        <v>69</v>
      </c>
      <c r="H599" s="2" t="s">
        <v>23</v>
      </c>
      <c r="I599" s="2" t="s">
        <v>75</v>
      </c>
      <c r="J599" s="2" t="s">
        <v>2695</v>
      </c>
      <c r="K599" s="2" t="s">
        <v>2719</v>
      </c>
      <c r="L599">
        <v>6</v>
      </c>
      <c r="M599" s="1">
        <v>381000</v>
      </c>
      <c r="N599">
        <v>2.2999999999999998</v>
      </c>
      <c r="O599">
        <v>7</v>
      </c>
      <c r="P599" s="2" t="s">
        <v>26</v>
      </c>
    </row>
    <row r="600" spans="1:16" x14ac:dyDescent="0.25">
      <c r="A600" s="2" t="s">
        <v>2696</v>
      </c>
      <c r="B600" s="2" t="s">
        <v>2697</v>
      </c>
      <c r="C600" s="2" t="s">
        <v>29</v>
      </c>
      <c r="D600" s="2" t="s">
        <v>30</v>
      </c>
      <c r="E600" s="2" t="s">
        <v>31</v>
      </c>
      <c r="F600" s="2" t="s">
        <v>32</v>
      </c>
      <c r="G600" s="2" t="s">
        <v>33</v>
      </c>
      <c r="H600" s="2" t="s">
        <v>62</v>
      </c>
      <c r="I600" s="2" t="s">
        <v>24</v>
      </c>
      <c r="J600" s="2" t="s">
        <v>2698</v>
      </c>
      <c r="K600" s="2" t="s">
        <v>2719</v>
      </c>
      <c r="L600">
        <v>4</v>
      </c>
      <c r="M600" s="1">
        <v>247000</v>
      </c>
      <c r="N600">
        <v>1.7</v>
      </c>
      <c r="O600">
        <v>6</v>
      </c>
      <c r="P600" s="2" t="s">
        <v>26</v>
      </c>
    </row>
    <row r="601" spans="1:16" x14ac:dyDescent="0.25">
      <c r="A601" s="2" t="s">
        <v>2699</v>
      </c>
      <c r="B601" s="2" t="s">
        <v>2700</v>
      </c>
      <c r="C601" s="2" t="s">
        <v>29</v>
      </c>
      <c r="D601" s="2" t="s">
        <v>43</v>
      </c>
      <c r="E601" s="2" t="s">
        <v>20</v>
      </c>
      <c r="F601" s="2" t="s">
        <v>128</v>
      </c>
      <c r="G601" s="2" t="s">
        <v>33</v>
      </c>
      <c r="H601" s="2" t="s">
        <v>46</v>
      </c>
      <c r="I601" s="2" t="s">
        <v>57</v>
      </c>
      <c r="J601" s="2" t="s">
        <v>2701</v>
      </c>
      <c r="K601" s="2" t="s">
        <v>2719</v>
      </c>
      <c r="L601">
        <v>3</v>
      </c>
      <c r="M601" s="1">
        <v>350000</v>
      </c>
      <c r="N601">
        <v>4.4000000000000004</v>
      </c>
      <c r="O601">
        <v>12</v>
      </c>
      <c r="P601" s="2" t="s">
        <v>26</v>
      </c>
    </row>
    <row r="602" spans="1:16" x14ac:dyDescent="0.25">
      <c r="A602" s="2" t="s">
        <v>2702</v>
      </c>
      <c r="B602" s="2" t="s">
        <v>799</v>
      </c>
      <c r="C602" s="2" t="s">
        <v>29</v>
      </c>
      <c r="D602" s="2" t="s">
        <v>43</v>
      </c>
      <c r="E602" s="2" t="s">
        <v>20</v>
      </c>
      <c r="F602" s="2" t="s">
        <v>128</v>
      </c>
      <c r="G602" s="2" t="s">
        <v>80</v>
      </c>
      <c r="H602" s="2" t="s">
        <v>62</v>
      </c>
      <c r="I602" s="2" t="s">
        <v>24</v>
      </c>
      <c r="J602" s="2" t="s">
        <v>1980</v>
      </c>
      <c r="K602" s="2" t="s">
        <v>2719</v>
      </c>
      <c r="L602">
        <v>6</v>
      </c>
      <c r="M602" s="1">
        <v>350000</v>
      </c>
      <c r="N602">
        <v>2.4</v>
      </c>
      <c r="O602">
        <v>1</v>
      </c>
      <c r="P602" s="2" t="s">
        <v>26</v>
      </c>
    </row>
    <row r="603" spans="1:16" x14ac:dyDescent="0.25">
      <c r="A603" s="2" t="s">
        <v>2703</v>
      </c>
      <c r="B603" s="2" t="s">
        <v>2704</v>
      </c>
      <c r="C603" s="2" t="s">
        <v>18</v>
      </c>
      <c r="D603" s="2" t="s">
        <v>79</v>
      </c>
      <c r="E603" s="2" t="s">
        <v>20</v>
      </c>
      <c r="F603" s="2" t="s">
        <v>39</v>
      </c>
      <c r="G603" s="2" t="s">
        <v>80</v>
      </c>
      <c r="H603" s="2" t="s">
        <v>34</v>
      </c>
      <c r="I603" s="2" t="s">
        <v>24</v>
      </c>
      <c r="J603" s="2" t="s">
        <v>2705</v>
      </c>
      <c r="K603" s="2" t="s">
        <v>2719</v>
      </c>
      <c r="L603">
        <v>2</v>
      </c>
      <c r="M603" s="1">
        <v>165000</v>
      </c>
      <c r="N603">
        <v>3</v>
      </c>
      <c r="O603">
        <v>0</v>
      </c>
      <c r="P603" s="2" t="s">
        <v>26</v>
      </c>
    </row>
    <row r="604" spans="1:16" x14ac:dyDescent="0.25">
      <c r="A604" s="2" t="s">
        <v>2714</v>
      </c>
      <c r="B604" s="2" t="s">
        <v>2715</v>
      </c>
      <c r="C604" s="2" t="s">
        <v>29</v>
      </c>
      <c r="D604" s="2" t="s">
        <v>30</v>
      </c>
      <c r="E604" s="2" t="s">
        <v>20</v>
      </c>
      <c r="F604" s="2" t="s">
        <v>128</v>
      </c>
      <c r="G604" s="2" t="s">
        <v>22</v>
      </c>
      <c r="H604" s="2" t="s">
        <v>34</v>
      </c>
      <c r="I604" s="2" t="s">
        <v>35</v>
      </c>
      <c r="J604" s="2" t="s">
        <v>1567</v>
      </c>
      <c r="K604" s="2" t="s">
        <v>2719</v>
      </c>
      <c r="L604">
        <v>4</v>
      </c>
      <c r="M604" s="1">
        <v>393000</v>
      </c>
      <c r="N604">
        <v>2.1</v>
      </c>
      <c r="O604">
        <v>1</v>
      </c>
      <c r="P604" s="2" t="s">
        <v>26</v>
      </c>
    </row>
    <row r="605" spans="1:16" x14ac:dyDescent="0.25">
      <c r="A605" s="2" t="s">
        <v>2716</v>
      </c>
      <c r="B605" s="2" t="s">
        <v>2717</v>
      </c>
      <c r="C605" s="2" t="s">
        <v>18</v>
      </c>
      <c r="D605" s="2" t="s">
        <v>19</v>
      </c>
      <c r="E605" s="2" t="s">
        <v>20</v>
      </c>
      <c r="F605" s="2" t="s">
        <v>32</v>
      </c>
      <c r="G605" s="2" t="s">
        <v>22</v>
      </c>
      <c r="H605" s="2" t="s">
        <v>46</v>
      </c>
      <c r="I605" s="2" t="s">
        <v>75</v>
      </c>
      <c r="J605" s="2" t="s">
        <v>2718</v>
      </c>
      <c r="K605" s="2" t="s">
        <v>2719</v>
      </c>
      <c r="L605">
        <v>3</v>
      </c>
      <c r="M605" s="1">
        <v>261000</v>
      </c>
      <c r="N605">
        <v>4.7</v>
      </c>
      <c r="O605">
        <v>24</v>
      </c>
      <c r="P605" s="2" t="s">
        <v>53</v>
      </c>
    </row>
    <row r="606" spans="1:16" x14ac:dyDescent="0.25">
      <c r="A606" s="2" t="s">
        <v>2720</v>
      </c>
      <c r="B606" s="2" t="s">
        <v>2721</v>
      </c>
      <c r="C606" s="2" t="s">
        <v>18</v>
      </c>
      <c r="D606" s="2" t="s">
        <v>79</v>
      </c>
      <c r="E606" s="2" t="s">
        <v>31</v>
      </c>
      <c r="F606" s="2" t="s">
        <v>39</v>
      </c>
      <c r="G606" s="2" t="s">
        <v>22</v>
      </c>
      <c r="H606" s="2" t="s">
        <v>62</v>
      </c>
      <c r="I606" s="2" t="s">
        <v>57</v>
      </c>
      <c r="J606" s="2" t="s">
        <v>1668</v>
      </c>
      <c r="K606" s="2" t="s">
        <v>2727</v>
      </c>
      <c r="L606">
        <v>6</v>
      </c>
      <c r="M606" s="1">
        <v>87000</v>
      </c>
      <c r="N606">
        <v>2.7</v>
      </c>
      <c r="O606">
        <v>10</v>
      </c>
      <c r="P606" s="2" t="s">
        <v>26</v>
      </c>
    </row>
    <row r="607" spans="1:16" x14ac:dyDescent="0.25">
      <c r="A607" s="2" t="s">
        <v>2724</v>
      </c>
      <c r="B607" s="2" t="s">
        <v>2725</v>
      </c>
      <c r="C607" s="2" t="s">
        <v>18</v>
      </c>
      <c r="D607" s="2" t="s">
        <v>79</v>
      </c>
      <c r="E607" s="2" t="s">
        <v>20</v>
      </c>
      <c r="F607" s="2" t="s">
        <v>32</v>
      </c>
      <c r="G607" s="2" t="s">
        <v>22</v>
      </c>
      <c r="H607" s="2" t="s">
        <v>46</v>
      </c>
      <c r="I607" s="2" t="s">
        <v>57</v>
      </c>
      <c r="J607" s="2" t="s">
        <v>2726</v>
      </c>
      <c r="K607" s="2" t="s">
        <v>2727</v>
      </c>
      <c r="L607">
        <v>6</v>
      </c>
      <c r="M607" s="1">
        <v>274000</v>
      </c>
      <c r="N607">
        <v>2.4</v>
      </c>
      <c r="O607">
        <v>7</v>
      </c>
      <c r="P607" s="2" t="s">
        <v>53</v>
      </c>
    </row>
    <row r="608" spans="1:16" x14ac:dyDescent="0.25">
      <c r="A608" s="2" t="s">
        <v>2730</v>
      </c>
      <c r="B608" s="2" t="s">
        <v>2731</v>
      </c>
      <c r="C608" s="2" t="s">
        <v>29</v>
      </c>
      <c r="D608" s="2" t="s">
        <v>50</v>
      </c>
      <c r="E608" s="2" t="s">
        <v>44</v>
      </c>
      <c r="F608" s="2" t="s">
        <v>39</v>
      </c>
      <c r="G608" s="2" t="s">
        <v>22</v>
      </c>
      <c r="H608" s="2" t="s">
        <v>34</v>
      </c>
      <c r="I608" s="2" t="s">
        <v>35</v>
      </c>
      <c r="J608" s="2" t="s">
        <v>394</v>
      </c>
      <c r="K608" s="2" t="s">
        <v>2732</v>
      </c>
      <c r="L608">
        <v>7</v>
      </c>
      <c r="M608" s="1">
        <v>110000</v>
      </c>
      <c r="N608">
        <v>2.4</v>
      </c>
      <c r="O608">
        <v>4</v>
      </c>
      <c r="P608" s="2" t="s">
        <v>53</v>
      </c>
    </row>
    <row r="609" spans="1:16" x14ac:dyDescent="0.25">
      <c r="A609" s="2" t="s">
        <v>2733</v>
      </c>
      <c r="B609" s="2" t="s">
        <v>2734</v>
      </c>
      <c r="C609" s="2" t="s">
        <v>18</v>
      </c>
      <c r="D609" s="2" t="s">
        <v>19</v>
      </c>
      <c r="E609" s="2" t="s">
        <v>44</v>
      </c>
      <c r="F609" s="2" t="s">
        <v>21</v>
      </c>
      <c r="G609" s="2" t="s">
        <v>22</v>
      </c>
      <c r="H609" s="2" t="s">
        <v>46</v>
      </c>
      <c r="I609" s="2" t="s">
        <v>24</v>
      </c>
      <c r="J609" s="2" t="s">
        <v>342</v>
      </c>
      <c r="K609" s="2" t="s">
        <v>2740</v>
      </c>
      <c r="L609">
        <v>4</v>
      </c>
      <c r="M609" s="1">
        <v>980000</v>
      </c>
      <c r="N609">
        <v>3.1</v>
      </c>
      <c r="O609">
        <v>13</v>
      </c>
      <c r="P609" s="2" t="s">
        <v>26</v>
      </c>
    </row>
    <row r="610" spans="1:16" x14ac:dyDescent="0.25">
      <c r="A610" s="2" t="s">
        <v>2735</v>
      </c>
      <c r="B610" s="2" t="s">
        <v>1450</v>
      </c>
      <c r="C610" s="2" t="s">
        <v>29</v>
      </c>
      <c r="D610" s="2" t="s">
        <v>79</v>
      </c>
      <c r="E610" s="2" t="s">
        <v>20</v>
      </c>
      <c r="F610" s="2" t="s">
        <v>39</v>
      </c>
      <c r="G610" s="2" t="s">
        <v>33</v>
      </c>
      <c r="H610" s="2" t="s">
        <v>23</v>
      </c>
      <c r="I610" s="2" t="s">
        <v>57</v>
      </c>
      <c r="J610" s="2" t="s">
        <v>630</v>
      </c>
      <c r="K610" s="2" t="s">
        <v>2740</v>
      </c>
      <c r="L610">
        <v>5</v>
      </c>
      <c r="M610" s="1">
        <v>165000</v>
      </c>
      <c r="N610">
        <v>4</v>
      </c>
      <c r="O610">
        <v>6</v>
      </c>
      <c r="P610" s="2" t="s">
        <v>26</v>
      </c>
    </row>
    <row r="611" spans="1:16" x14ac:dyDescent="0.25">
      <c r="A611" s="2" t="s">
        <v>2736</v>
      </c>
      <c r="B611" s="2" t="s">
        <v>2106</v>
      </c>
      <c r="C611" s="2" t="s">
        <v>18</v>
      </c>
      <c r="D611" s="2" t="s">
        <v>19</v>
      </c>
      <c r="E611" s="2" t="s">
        <v>20</v>
      </c>
      <c r="F611" s="2" t="s">
        <v>39</v>
      </c>
      <c r="G611" s="2" t="s">
        <v>80</v>
      </c>
      <c r="H611" s="2" t="s">
        <v>23</v>
      </c>
      <c r="I611" s="2" t="s">
        <v>24</v>
      </c>
      <c r="J611" s="2" t="s">
        <v>2737</v>
      </c>
      <c r="K611" s="2" t="s">
        <v>2740</v>
      </c>
      <c r="L611">
        <v>3</v>
      </c>
      <c r="M611" s="1">
        <v>120000</v>
      </c>
      <c r="N611">
        <v>4</v>
      </c>
      <c r="O611">
        <v>4</v>
      </c>
      <c r="P611" s="2" t="s">
        <v>26</v>
      </c>
    </row>
    <row r="612" spans="1:16" x14ac:dyDescent="0.25">
      <c r="A612" s="2" t="s">
        <v>2738</v>
      </c>
      <c r="B612" s="2" t="s">
        <v>2739</v>
      </c>
      <c r="C612" s="2" t="s">
        <v>29</v>
      </c>
      <c r="D612" s="2" t="s">
        <v>50</v>
      </c>
      <c r="E612" s="2" t="s">
        <v>31</v>
      </c>
      <c r="F612" s="2" t="s">
        <v>32</v>
      </c>
      <c r="G612" s="2" t="s">
        <v>22</v>
      </c>
      <c r="H612" s="2" t="s">
        <v>23</v>
      </c>
      <c r="I612" s="2" t="s">
        <v>171</v>
      </c>
      <c r="J612" s="2" t="s">
        <v>1580</v>
      </c>
      <c r="K612" s="2" t="s">
        <v>2740</v>
      </c>
      <c r="L612">
        <v>6</v>
      </c>
      <c r="M612" s="1">
        <v>311000</v>
      </c>
      <c r="N612">
        <v>3.9</v>
      </c>
      <c r="O612">
        <v>6</v>
      </c>
      <c r="P612" s="2" t="s">
        <v>53</v>
      </c>
    </row>
    <row r="613" spans="1:16" x14ac:dyDescent="0.25">
      <c r="A613" s="2" t="s">
        <v>2747</v>
      </c>
      <c r="B613" s="2" t="s">
        <v>1299</v>
      </c>
      <c r="C613" s="2" t="s">
        <v>18</v>
      </c>
      <c r="D613" s="2" t="s">
        <v>30</v>
      </c>
      <c r="E613" s="2" t="s">
        <v>31</v>
      </c>
      <c r="F613" s="2" t="s">
        <v>128</v>
      </c>
      <c r="G613" s="2" t="s">
        <v>69</v>
      </c>
      <c r="H613" s="2" t="s">
        <v>34</v>
      </c>
      <c r="I613" s="2" t="s">
        <v>24</v>
      </c>
      <c r="J613" s="2" t="s">
        <v>2748</v>
      </c>
      <c r="K613" s="2" t="s">
        <v>2760</v>
      </c>
      <c r="L613">
        <v>5</v>
      </c>
      <c r="M613" s="1">
        <v>523000</v>
      </c>
      <c r="N613">
        <v>3.4</v>
      </c>
      <c r="O613">
        <v>7</v>
      </c>
      <c r="P613" s="2" t="s">
        <v>26</v>
      </c>
    </row>
    <row r="614" spans="1:16" x14ac:dyDescent="0.25">
      <c r="A614" s="2" t="s">
        <v>2749</v>
      </c>
      <c r="B614" s="2" t="s">
        <v>2750</v>
      </c>
      <c r="C614" s="2" t="s">
        <v>18</v>
      </c>
      <c r="D614" s="2" t="s">
        <v>43</v>
      </c>
      <c r="E614" s="2" t="s">
        <v>31</v>
      </c>
      <c r="F614" s="2" t="s">
        <v>39</v>
      </c>
      <c r="G614" s="2" t="s">
        <v>80</v>
      </c>
      <c r="H614" s="2" t="s">
        <v>23</v>
      </c>
      <c r="I614" s="2" t="s">
        <v>35</v>
      </c>
      <c r="J614" s="2" t="s">
        <v>2751</v>
      </c>
      <c r="K614" s="2" t="s">
        <v>2760</v>
      </c>
      <c r="L614">
        <v>4</v>
      </c>
      <c r="M614" s="1">
        <v>153000</v>
      </c>
      <c r="N614">
        <v>4.9000000000000004</v>
      </c>
      <c r="O614">
        <v>2</v>
      </c>
      <c r="P614" s="2" t="s">
        <v>26</v>
      </c>
    </row>
    <row r="615" spans="1:16" x14ac:dyDescent="0.25">
      <c r="A615" s="2" t="s">
        <v>2757</v>
      </c>
      <c r="B615" s="2" t="s">
        <v>2758</v>
      </c>
      <c r="C615" s="2" t="s">
        <v>18</v>
      </c>
      <c r="D615" s="2" t="s">
        <v>30</v>
      </c>
      <c r="E615" s="2" t="s">
        <v>20</v>
      </c>
      <c r="F615" s="2" t="s">
        <v>39</v>
      </c>
      <c r="G615" s="2" t="s">
        <v>22</v>
      </c>
      <c r="H615" s="2" t="s">
        <v>23</v>
      </c>
      <c r="I615" s="2" t="s">
        <v>24</v>
      </c>
      <c r="J615" s="2" t="s">
        <v>2759</v>
      </c>
      <c r="K615" s="2" t="s">
        <v>2760</v>
      </c>
      <c r="L615">
        <v>5</v>
      </c>
      <c r="M615" s="1">
        <v>109000</v>
      </c>
      <c r="N615">
        <v>2</v>
      </c>
      <c r="O615">
        <v>9</v>
      </c>
      <c r="P615" s="2" t="s">
        <v>53</v>
      </c>
    </row>
    <row r="616" spans="1:16" x14ac:dyDescent="0.25">
      <c r="A616" s="2" t="s">
        <v>2761</v>
      </c>
      <c r="B616" s="2" t="s">
        <v>2762</v>
      </c>
      <c r="C616" s="2" t="s">
        <v>29</v>
      </c>
      <c r="D616" s="2" t="s">
        <v>19</v>
      </c>
      <c r="E616" s="2" t="s">
        <v>20</v>
      </c>
      <c r="F616" s="2" t="s">
        <v>128</v>
      </c>
      <c r="G616" s="2" t="s">
        <v>80</v>
      </c>
      <c r="H616" s="2" t="s">
        <v>62</v>
      </c>
      <c r="I616" s="2" t="s">
        <v>24</v>
      </c>
      <c r="J616" s="2" t="s">
        <v>2763</v>
      </c>
      <c r="K616" s="2" t="s">
        <v>511</v>
      </c>
      <c r="L616">
        <v>4</v>
      </c>
      <c r="M616" s="1">
        <v>491000</v>
      </c>
      <c r="N616">
        <v>3.3</v>
      </c>
      <c r="O616">
        <v>6</v>
      </c>
      <c r="P616" s="2" t="s">
        <v>26</v>
      </c>
    </row>
    <row r="617" spans="1:16" x14ac:dyDescent="0.25">
      <c r="A617" s="2" t="s">
        <v>2764</v>
      </c>
      <c r="B617" s="2" t="s">
        <v>2765</v>
      </c>
      <c r="C617" s="2" t="s">
        <v>29</v>
      </c>
      <c r="D617" s="2" t="s">
        <v>30</v>
      </c>
      <c r="E617" s="2" t="s">
        <v>20</v>
      </c>
      <c r="F617" s="2" t="s">
        <v>32</v>
      </c>
      <c r="G617" s="2" t="s">
        <v>33</v>
      </c>
      <c r="H617" s="2" t="s">
        <v>34</v>
      </c>
      <c r="I617" s="2" t="s">
        <v>24</v>
      </c>
      <c r="J617" s="2" t="s">
        <v>2766</v>
      </c>
      <c r="K617" s="2" t="s">
        <v>511</v>
      </c>
      <c r="L617">
        <v>5</v>
      </c>
      <c r="M617" s="1">
        <v>273000</v>
      </c>
      <c r="N617">
        <v>3.1</v>
      </c>
      <c r="O617">
        <v>14</v>
      </c>
      <c r="P617" s="2" t="s">
        <v>26</v>
      </c>
    </row>
    <row r="618" spans="1:16" x14ac:dyDescent="0.25">
      <c r="A618" s="2" t="s">
        <v>2767</v>
      </c>
      <c r="B618" s="2" t="s">
        <v>1740</v>
      </c>
      <c r="C618" s="2" t="s">
        <v>18</v>
      </c>
      <c r="D618" s="2" t="s">
        <v>50</v>
      </c>
      <c r="E618" s="2" t="s">
        <v>31</v>
      </c>
      <c r="F618" s="2" t="s">
        <v>39</v>
      </c>
      <c r="G618" s="2" t="s">
        <v>80</v>
      </c>
      <c r="H618" s="2" t="s">
        <v>23</v>
      </c>
      <c r="I618" s="2" t="s">
        <v>57</v>
      </c>
      <c r="J618" s="2" t="s">
        <v>2768</v>
      </c>
      <c r="K618" s="2" t="s">
        <v>511</v>
      </c>
      <c r="L618">
        <v>4</v>
      </c>
      <c r="M618" s="1">
        <v>138000</v>
      </c>
      <c r="N618">
        <v>2.5</v>
      </c>
      <c r="O618">
        <v>12</v>
      </c>
      <c r="P618" s="2" t="s">
        <v>26</v>
      </c>
    </row>
    <row r="619" spans="1:16" x14ac:dyDescent="0.25">
      <c r="A619" s="2" t="s">
        <v>2769</v>
      </c>
      <c r="B619" s="2" t="s">
        <v>2770</v>
      </c>
      <c r="C619" s="2" t="s">
        <v>29</v>
      </c>
      <c r="D619" s="2" t="s">
        <v>79</v>
      </c>
      <c r="E619" s="2" t="s">
        <v>20</v>
      </c>
      <c r="F619" s="2" t="s">
        <v>39</v>
      </c>
      <c r="G619" s="2" t="s">
        <v>69</v>
      </c>
      <c r="H619" s="2" t="s">
        <v>62</v>
      </c>
      <c r="I619" s="2" t="s">
        <v>57</v>
      </c>
      <c r="J619" s="2" t="s">
        <v>2771</v>
      </c>
      <c r="K619" s="2" t="s">
        <v>511</v>
      </c>
      <c r="L619">
        <v>3</v>
      </c>
      <c r="M619" s="1">
        <v>146000</v>
      </c>
      <c r="N619">
        <v>4.9000000000000004</v>
      </c>
      <c r="O619">
        <v>25</v>
      </c>
      <c r="P619" s="2" t="s">
        <v>26</v>
      </c>
    </row>
    <row r="620" spans="1:16" x14ac:dyDescent="0.25">
      <c r="A620" s="2" t="s">
        <v>2773</v>
      </c>
      <c r="B620" s="2" t="s">
        <v>2774</v>
      </c>
      <c r="C620" s="2" t="s">
        <v>29</v>
      </c>
      <c r="D620" s="2" t="s">
        <v>43</v>
      </c>
      <c r="E620" s="2" t="s">
        <v>20</v>
      </c>
      <c r="F620" s="2" t="s">
        <v>32</v>
      </c>
      <c r="G620" s="2" t="s">
        <v>22</v>
      </c>
      <c r="H620" s="2" t="s">
        <v>34</v>
      </c>
      <c r="I620" s="2" t="s">
        <v>24</v>
      </c>
      <c r="J620" s="2" t="s">
        <v>926</v>
      </c>
      <c r="K620" s="2" t="s">
        <v>511</v>
      </c>
      <c r="L620">
        <v>4</v>
      </c>
      <c r="M620" s="1">
        <v>242000</v>
      </c>
      <c r="N620">
        <v>3.3</v>
      </c>
      <c r="O620">
        <v>40</v>
      </c>
      <c r="P620" s="2" t="s">
        <v>26</v>
      </c>
    </row>
    <row r="621" spans="1:16" x14ac:dyDescent="0.25">
      <c r="A621" s="2" t="s">
        <v>2775</v>
      </c>
      <c r="B621" s="2" t="s">
        <v>2776</v>
      </c>
      <c r="C621" s="2" t="s">
        <v>29</v>
      </c>
      <c r="D621" s="2" t="s">
        <v>50</v>
      </c>
      <c r="E621" s="2" t="s">
        <v>31</v>
      </c>
      <c r="F621" s="2" t="s">
        <v>39</v>
      </c>
      <c r="G621" s="2" t="s">
        <v>22</v>
      </c>
      <c r="H621" s="2" t="s">
        <v>46</v>
      </c>
      <c r="I621" s="2" t="s">
        <v>57</v>
      </c>
      <c r="J621" s="2" t="s">
        <v>2777</v>
      </c>
      <c r="K621" s="2" t="s">
        <v>511</v>
      </c>
      <c r="L621">
        <v>3</v>
      </c>
      <c r="M621" s="1">
        <v>86000</v>
      </c>
      <c r="N621">
        <v>5</v>
      </c>
      <c r="O621">
        <v>14</v>
      </c>
      <c r="P621" s="2" t="s">
        <v>26</v>
      </c>
    </row>
    <row r="622" spans="1:16" x14ac:dyDescent="0.25">
      <c r="A622" s="2" t="s">
        <v>2778</v>
      </c>
      <c r="B622" s="2" t="s">
        <v>2779</v>
      </c>
      <c r="C622" s="2" t="s">
        <v>29</v>
      </c>
      <c r="D622" s="2" t="s">
        <v>50</v>
      </c>
      <c r="E622" s="2" t="s">
        <v>20</v>
      </c>
      <c r="F622" s="2" t="s">
        <v>39</v>
      </c>
      <c r="G622" s="2" t="s">
        <v>33</v>
      </c>
      <c r="H622" s="2" t="s">
        <v>62</v>
      </c>
      <c r="I622" s="2" t="s">
        <v>57</v>
      </c>
      <c r="J622" s="2" t="s">
        <v>2499</v>
      </c>
      <c r="K622" s="2" t="s">
        <v>511</v>
      </c>
      <c r="L622">
        <v>3</v>
      </c>
      <c r="M622" s="1">
        <v>164000</v>
      </c>
      <c r="N622">
        <v>2</v>
      </c>
      <c r="O622">
        <v>2</v>
      </c>
      <c r="P622" s="2" t="s">
        <v>26</v>
      </c>
    </row>
    <row r="623" spans="1:16" x14ac:dyDescent="0.25">
      <c r="A623" s="2" t="s">
        <v>2780</v>
      </c>
      <c r="B623" s="2" t="s">
        <v>2781</v>
      </c>
      <c r="C623" s="2" t="s">
        <v>29</v>
      </c>
      <c r="D623" s="2" t="s">
        <v>2782</v>
      </c>
      <c r="E623" s="2" t="s">
        <v>31</v>
      </c>
      <c r="F623" s="2" t="s">
        <v>128</v>
      </c>
      <c r="G623" s="2" t="s">
        <v>22</v>
      </c>
      <c r="H623" s="2" t="s">
        <v>62</v>
      </c>
      <c r="I623" s="2" t="s">
        <v>24</v>
      </c>
      <c r="J623" s="2" t="s">
        <v>2783</v>
      </c>
      <c r="K623" s="2" t="s">
        <v>511</v>
      </c>
      <c r="L623">
        <v>6</v>
      </c>
      <c r="M623" s="1">
        <v>529000</v>
      </c>
      <c r="N623">
        <v>4</v>
      </c>
      <c r="O623">
        <v>13</v>
      </c>
      <c r="P623" s="2" t="s">
        <v>26</v>
      </c>
    </row>
    <row r="624" spans="1:16" x14ac:dyDescent="0.25">
      <c r="A624" s="2" t="s">
        <v>2784</v>
      </c>
      <c r="B624" s="2" t="s">
        <v>2785</v>
      </c>
      <c r="C624" s="2" t="s">
        <v>29</v>
      </c>
      <c r="D624" s="2" t="s">
        <v>43</v>
      </c>
      <c r="E624" s="2" t="s">
        <v>20</v>
      </c>
      <c r="F624" s="2" t="s">
        <v>39</v>
      </c>
      <c r="G624" s="2" t="s">
        <v>33</v>
      </c>
      <c r="H624" s="2" t="s">
        <v>34</v>
      </c>
      <c r="I624" s="2" t="s">
        <v>35</v>
      </c>
      <c r="J624" s="2" t="s">
        <v>2786</v>
      </c>
      <c r="K624" s="2" t="s">
        <v>511</v>
      </c>
      <c r="L624">
        <v>5</v>
      </c>
      <c r="M624" s="1">
        <v>105000</v>
      </c>
      <c r="N624">
        <v>2.6</v>
      </c>
      <c r="O624">
        <v>14</v>
      </c>
      <c r="P624" s="2" t="s">
        <v>26</v>
      </c>
    </row>
    <row r="625" spans="1:16" x14ac:dyDescent="0.25">
      <c r="A625" s="2" t="s">
        <v>2789</v>
      </c>
      <c r="B625" s="2" t="s">
        <v>2790</v>
      </c>
      <c r="C625" s="2" t="s">
        <v>18</v>
      </c>
      <c r="D625" s="2" t="s">
        <v>30</v>
      </c>
      <c r="E625" s="2" t="s">
        <v>44</v>
      </c>
      <c r="F625" s="2" t="s">
        <v>32</v>
      </c>
      <c r="G625" s="2" t="s">
        <v>22</v>
      </c>
      <c r="H625" s="2" t="s">
        <v>62</v>
      </c>
      <c r="I625" s="2" t="s">
        <v>75</v>
      </c>
      <c r="J625" s="2" t="s">
        <v>533</v>
      </c>
      <c r="K625" s="2" t="s">
        <v>511</v>
      </c>
      <c r="L625">
        <v>4</v>
      </c>
      <c r="M625" s="1">
        <v>267000</v>
      </c>
      <c r="N625">
        <v>3.2</v>
      </c>
      <c r="O625">
        <v>11</v>
      </c>
      <c r="P625" s="2" t="s">
        <v>26</v>
      </c>
    </row>
    <row r="626" spans="1:16" x14ac:dyDescent="0.25">
      <c r="A626" s="2" t="s">
        <v>2791</v>
      </c>
      <c r="B626" s="2" t="s">
        <v>2792</v>
      </c>
      <c r="C626" s="2" t="s">
        <v>29</v>
      </c>
      <c r="D626" s="2" t="s">
        <v>79</v>
      </c>
      <c r="E626" s="2" t="s">
        <v>20</v>
      </c>
      <c r="F626" s="2" t="s">
        <v>45</v>
      </c>
      <c r="G626" s="2" t="s">
        <v>22</v>
      </c>
      <c r="H626" s="2" t="s">
        <v>46</v>
      </c>
      <c r="I626" s="2" t="s">
        <v>57</v>
      </c>
      <c r="J626" s="2" t="s">
        <v>2016</v>
      </c>
      <c r="K626" s="2" t="s">
        <v>511</v>
      </c>
      <c r="L626">
        <v>2</v>
      </c>
      <c r="M626" s="1">
        <v>1883000</v>
      </c>
      <c r="N626">
        <v>4.5</v>
      </c>
      <c r="O626">
        <v>0</v>
      </c>
      <c r="P626" s="2" t="s">
        <v>72</v>
      </c>
    </row>
    <row r="627" spans="1:16" x14ac:dyDescent="0.25">
      <c r="A627" s="2" t="s">
        <v>2796</v>
      </c>
      <c r="B627" s="2" t="s">
        <v>822</v>
      </c>
      <c r="C627" s="2" t="s">
        <v>18</v>
      </c>
      <c r="D627" s="2" t="s">
        <v>50</v>
      </c>
      <c r="E627" s="2" t="s">
        <v>44</v>
      </c>
      <c r="F627" s="2" t="s">
        <v>32</v>
      </c>
      <c r="G627" s="2" t="s">
        <v>80</v>
      </c>
      <c r="H627" s="2" t="s">
        <v>23</v>
      </c>
      <c r="I627" s="2" t="s">
        <v>57</v>
      </c>
      <c r="J627" s="2" t="s">
        <v>2797</v>
      </c>
      <c r="K627" s="2" t="s">
        <v>1875</v>
      </c>
      <c r="L627">
        <v>4</v>
      </c>
      <c r="M627" s="1">
        <v>318000</v>
      </c>
      <c r="N627">
        <v>2.7</v>
      </c>
      <c r="O627">
        <v>6</v>
      </c>
      <c r="P627" s="2" t="s">
        <v>26</v>
      </c>
    </row>
    <row r="628" spans="1:16" x14ac:dyDescent="0.25">
      <c r="A628" s="2" t="s">
        <v>2800</v>
      </c>
      <c r="B628" s="2" t="s">
        <v>2801</v>
      </c>
      <c r="C628" s="2" t="s">
        <v>18</v>
      </c>
      <c r="D628" s="2" t="s">
        <v>50</v>
      </c>
      <c r="E628" s="2" t="s">
        <v>20</v>
      </c>
      <c r="F628" s="2" t="s">
        <v>32</v>
      </c>
      <c r="G628" s="2" t="s">
        <v>22</v>
      </c>
      <c r="H628" s="2" t="s">
        <v>62</v>
      </c>
      <c r="I628" s="2" t="s">
        <v>35</v>
      </c>
      <c r="J628" s="2" t="s">
        <v>2802</v>
      </c>
      <c r="K628" s="2" t="s">
        <v>1875</v>
      </c>
      <c r="L628">
        <v>7</v>
      </c>
      <c r="M628" s="1">
        <v>189000</v>
      </c>
      <c r="N628">
        <v>4.4000000000000004</v>
      </c>
      <c r="O628">
        <v>8</v>
      </c>
      <c r="P628" s="2" t="s">
        <v>72</v>
      </c>
    </row>
    <row r="629" spans="1:16" x14ac:dyDescent="0.25">
      <c r="A629" s="2" t="s">
        <v>2803</v>
      </c>
      <c r="B629" s="2" t="s">
        <v>2804</v>
      </c>
      <c r="C629" s="2" t="s">
        <v>29</v>
      </c>
      <c r="D629" s="2" t="s">
        <v>50</v>
      </c>
      <c r="E629" s="2" t="s">
        <v>20</v>
      </c>
      <c r="F629" s="2" t="s">
        <v>32</v>
      </c>
      <c r="G629" s="2" t="s">
        <v>33</v>
      </c>
      <c r="H629" s="2" t="s">
        <v>23</v>
      </c>
      <c r="I629" s="2" t="s">
        <v>57</v>
      </c>
      <c r="J629" s="2" t="s">
        <v>1759</v>
      </c>
      <c r="K629" s="2" t="s">
        <v>2807</v>
      </c>
      <c r="L629">
        <v>6</v>
      </c>
      <c r="M629" s="1">
        <v>195000</v>
      </c>
      <c r="N629">
        <v>2.5</v>
      </c>
      <c r="O629">
        <v>37</v>
      </c>
      <c r="P629" s="2" t="s">
        <v>26</v>
      </c>
    </row>
    <row r="630" spans="1:16" x14ac:dyDescent="0.25">
      <c r="A630" s="2" t="s">
        <v>2805</v>
      </c>
      <c r="B630" s="2" t="s">
        <v>2806</v>
      </c>
      <c r="C630" s="2" t="s">
        <v>29</v>
      </c>
      <c r="D630" s="2" t="s">
        <v>50</v>
      </c>
      <c r="E630" s="2" t="s">
        <v>20</v>
      </c>
      <c r="F630" s="2" t="s">
        <v>32</v>
      </c>
      <c r="G630" s="2" t="s">
        <v>22</v>
      </c>
      <c r="H630" s="2" t="s">
        <v>23</v>
      </c>
      <c r="I630" s="2" t="s">
        <v>24</v>
      </c>
      <c r="J630" s="2" t="s">
        <v>2385</v>
      </c>
      <c r="K630" s="2" t="s">
        <v>2807</v>
      </c>
      <c r="L630">
        <v>2</v>
      </c>
      <c r="M630" s="1">
        <v>309000</v>
      </c>
      <c r="N630">
        <v>2.1</v>
      </c>
      <c r="O630">
        <v>12</v>
      </c>
      <c r="P630" s="2" t="s">
        <v>53</v>
      </c>
    </row>
    <row r="631" spans="1:16" x14ac:dyDescent="0.25">
      <c r="A631" s="2" t="s">
        <v>2808</v>
      </c>
      <c r="B631" s="2" t="s">
        <v>802</v>
      </c>
      <c r="C631" s="2" t="s">
        <v>29</v>
      </c>
      <c r="D631" s="2" t="s">
        <v>50</v>
      </c>
      <c r="E631" s="2" t="s">
        <v>20</v>
      </c>
      <c r="F631" s="2" t="s">
        <v>21</v>
      </c>
      <c r="G631" s="2" t="s">
        <v>33</v>
      </c>
      <c r="H631" s="2" t="s">
        <v>46</v>
      </c>
      <c r="I631" s="2" t="s">
        <v>35</v>
      </c>
      <c r="J631" s="2" t="s">
        <v>2809</v>
      </c>
      <c r="K631" s="2" t="s">
        <v>2810</v>
      </c>
      <c r="L631">
        <v>2</v>
      </c>
      <c r="M631" s="1">
        <v>778000</v>
      </c>
      <c r="N631">
        <v>4.5999999999999996</v>
      </c>
      <c r="O631">
        <v>4</v>
      </c>
      <c r="P631" s="2" t="s">
        <v>53</v>
      </c>
    </row>
    <row r="632" spans="1:16" x14ac:dyDescent="0.25">
      <c r="A632" s="2" t="s">
        <v>2811</v>
      </c>
      <c r="B632" s="2" t="s">
        <v>2812</v>
      </c>
      <c r="C632" s="2" t="s">
        <v>18</v>
      </c>
      <c r="D632" s="2" t="s">
        <v>30</v>
      </c>
      <c r="E632" s="2" t="s">
        <v>20</v>
      </c>
      <c r="F632" s="2" t="s">
        <v>128</v>
      </c>
      <c r="G632" s="2" t="s">
        <v>80</v>
      </c>
      <c r="H632" s="2" t="s">
        <v>46</v>
      </c>
      <c r="I632" s="2" t="s">
        <v>24</v>
      </c>
      <c r="J632" s="2" t="s">
        <v>2813</v>
      </c>
      <c r="K632" s="2" t="s">
        <v>2213</v>
      </c>
      <c r="L632">
        <v>5</v>
      </c>
      <c r="M632" s="1">
        <v>484000</v>
      </c>
      <c r="N632">
        <v>3.1</v>
      </c>
      <c r="O632">
        <v>9</v>
      </c>
      <c r="P632" s="2" t="s">
        <v>26</v>
      </c>
    </row>
    <row r="633" spans="1:16" x14ac:dyDescent="0.25">
      <c r="A633" s="2" t="s">
        <v>2814</v>
      </c>
      <c r="B633" s="2" t="s">
        <v>2815</v>
      </c>
      <c r="C633" s="2" t="s">
        <v>29</v>
      </c>
      <c r="D633" s="2" t="s">
        <v>79</v>
      </c>
      <c r="E633" s="2" t="s">
        <v>20</v>
      </c>
      <c r="F633" s="2" t="s">
        <v>21</v>
      </c>
      <c r="G633" s="2" t="s">
        <v>69</v>
      </c>
      <c r="H633" s="2" t="s">
        <v>34</v>
      </c>
      <c r="I633" s="2" t="s">
        <v>35</v>
      </c>
      <c r="J633" s="2" t="s">
        <v>2816</v>
      </c>
      <c r="K633" s="2" t="s">
        <v>2213</v>
      </c>
      <c r="L633">
        <v>6</v>
      </c>
      <c r="M633" s="1">
        <v>846000</v>
      </c>
      <c r="N633">
        <v>3.2</v>
      </c>
      <c r="O633">
        <v>11</v>
      </c>
      <c r="P633" s="2" t="s">
        <v>26</v>
      </c>
    </row>
    <row r="634" spans="1:16" x14ac:dyDescent="0.25">
      <c r="A634" s="2" t="s">
        <v>2820</v>
      </c>
      <c r="B634" s="2" t="s">
        <v>2821</v>
      </c>
      <c r="C634" s="2" t="s">
        <v>29</v>
      </c>
      <c r="D634" s="2" t="s">
        <v>19</v>
      </c>
      <c r="E634" s="2" t="s">
        <v>31</v>
      </c>
      <c r="F634" s="2" t="s">
        <v>128</v>
      </c>
      <c r="G634" s="2" t="s">
        <v>22</v>
      </c>
      <c r="H634" s="2" t="s">
        <v>23</v>
      </c>
      <c r="I634" s="2" t="s">
        <v>57</v>
      </c>
      <c r="J634" s="2" t="s">
        <v>2822</v>
      </c>
      <c r="K634" s="2" t="s">
        <v>2213</v>
      </c>
      <c r="L634">
        <v>3</v>
      </c>
      <c r="M634" s="1">
        <v>459000</v>
      </c>
      <c r="N634">
        <v>4</v>
      </c>
      <c r="O634">
        <v>12</v>
      </c>
      <c r="P634" s="2" t="s">
        <v>53</v>
      </c>
    </row>
    <row r="635" spans="1:16" x14ac:dyDescent="0.25">
      <c r="A635" s="2" t="s">
        <v>2823</v>
      </c>
      <c r="B635" s="2" t="s">
        <v>2824</v>
      </c>
      <c r="C635" s="2" t="s">
        <v>18</v>
      </c>
      <c r="D635" s="2" t="s">
        <v>43</v>
      </c>
      <c r="E635" s="2" t="s">
        <v>20</v>
      </c>
      <c r="F635" s="2" t="s">
        <v>21</v>
      </c>
      <c r="G635" s="2" t="s">
        <v>80</v>
      </c>
      <c r="H635" s="2" t="s">
        <v>46</v>
      </c>
      <c r="I635" s="2" t="s">
        <v>57</v>
      </c>
      <c r="J635" s="2" t="s">
        <v>348</v>
      </c>
      <c r="K635" s="2" t="s">
        <v>2837</v>
      </c>
      <c r="L635">
        <v>5</v>
      </c>
      <c r="M635" s="1">
        <v>600000</v>
      </c>
      <c r="N635">
        <v>4.4000000000000004</v>
      </c>
      <c r="O635">
        <v>9</v>
      </c>
      <c r="P635" s="2" t="s">
        <v>26</v>
      </c>
    </row>
    <row r="636" spans="1:16" x14ac:dyDescent="0.25">
      <c r="A636" s="2" t="s">
        <v>2828</v>
      </c>
      <c r="B636" s="2" t="s">
        <v>2829</v>
      </c>
      <c r="C636" s="2" t="s">
        <v>29</v>
      </c>
      <c r="D636" s="2" t="s">
        <v>50</v>
      </c>
      <c r="E636" s="2" t="s">
        <v>20</v>
      </c>
      <c r="F636" s="2" t="s">
        <v>39</v>
      </c>
      <c r="G636" s="2" t="s">
        <v>80</v>
      </c>
      <c r="H636" s="2" t="s">
        <v>34</v>
      </c>
      <c r="I636" s="2" t="s">
        <v>57</v>
      </c>
      <c r="J636" s="2" t="s">
        <v>2771</v>
      </c>
      <c r="K636" s="2" t="s">
        <v>2837</v>
      </c>
      <c r="L636">
        <v>3</v>
      </c>
      <c r="M636" s="1">
        <v>176000</v>
      </c>
      <c r="N636">
        <v>3.4</v>
      </c>
      <c r="O636">
        <v>10</v>
      </c>
      <c r="P636" s="2" t="s">
        <v>26</v>
      </c>
    </row>
    <row r="637" spans="1:16" x14ac:dyDescent="0.25">
      <c r="A637" s="2" t="s">
        <v>2833</v>
      </c>
      <c r="B637" s="2" t="s">
        <v>2599</v>
      </c>
      <c r="C637" s="2" t="s">
        <v>18</v>
      </c>
      <c r="D637" s="2" t="s">
        <v>50</v>
      </c>
      <c r="E637" s="2" t="s">
        <v>20</v>
      </c>
      <c r="F637" s="2" t="s">
        <v>32</v>
      </c>
      <c r="G637" s="2" t="s">
        <v>33</v>
      </c>
      <c r="H637" s="2" t="s">
        <v>46</v>
      </c>
      <c r="I637" s="2" t="s">
        <v>24</v>
      </c>
      <c r="J637" s="2" t="s">
        <v>2834</v>
      </c>
      <c r="K637" s="2" t="s">
        <v>2837</v>
      </c>
      <c r="L637">
        <v>2</v>
      </c>
      <c r="M637" s="1">
        <v>302000</v>
      </c>
      <c r="N637">
        <v>3.2</v>
      </c>
      <c r="O637">
        <v>6</v>
      </c>
      <c r="P637" s="2" t="s">
        <v>26</v>
      </c>
    </row>
    <row r="638" spans="1:16" x14ac:dyDescent="0.25">
      <c r="A638" s="2" t="s">
        <v>2835</v>
      </c>
      <c r="B638" s="2" t="s">
        <v>2836</v>
      </c>
      <c r="C638" s="2" t="s">
        <v>29</v>
      </c>
      <c r="D638" s="2" t="s">
        <v>30</v>
      </c>
      <c r="E638" s="2" t="s">
        <v>44</v>
      </c>
      <c r="F638" s="2" t="s">
        <v>32</v>
      </c>
      <c r="G638" s="2" t="s">
        <v>22</v>
      </c>
      <c r="H638" s="2" t="s">
        <v>34</v>
      </c>
      <c r="I638" s="2" t="s">
        <v>24</v>
      </c>
      <c r="J638" s="2" t="s">
        <v>1423</v>
      </c>
      <c r="K638" s="2" t="s">
        <v>2837</v>
      </c>
      <c r="L638">
        <v>5</v>
      </c>
      <c r="M638" s="1">
        <v>295000</v>
      </c>
      <c r="N638">
        <v>2.4</v>
      </c>
      <c r="O638">
        <v>9</v>
      </c>
      <c r="P638" s="2" t="s">
        <v>53</v>
      </c>
    </row>
    <row r="639" spans="1:16" x14ac:dyDescent="0.25">
      <c r="A639" s="2" t="s">
        <v>2839</v>
      </c>
      <c r="B639" s="2" t="s">
        <v>2840</v>
      </c>
      <c r="C639" s="2" t="s">
        <v>29</v>
      </c>
      <c r="D639" s="2" t="s">
        <v>79</v>
      </c>
      <c r="E639" s="2" t="s">
        <v>44</v>
      </c>
      <c r="F639" s="2" t="s">
        <v>39</v>
      </c>
      <c r="G639" s="2" t="s">
        <v>69</v>
      </c>
      <c r="H639" s="2" t="s">
        <v>23</v>
      </c>
      <c r="I639" s="2" t="s">
        <v>24</v>
      </c>
      <c r="J639" s="2" t="s">
        <v>1827</v>
      </c>
      <c r="K639" s="2" t="s">
        <v>1735</v>
      </c>
      <c r="L639">
        <v>4</v>
      </c>
      <c r="M639" s="1">
        <v>136000</v>
      </c>
      <c r="N639">
        <v>4.5</v>
      </c>
      <c r="O639">
        <v>9</v>
      </c>
      <c r="P639" s="2" t="s">
        <v>53</v>
      </c>
    </row>
    <row r="640" spans="1:16" x14ac:dyDescent="0.25">
      <c r="A640" s="2" t="s">
        <v>2841</v>
      </c>
      <c r="B640" s="2" t="s">
        <v>2842</v>
      </c>
      <c r="C640" s="2" t="s">
        <v>29</v>
      </c>
      <c r="D640" s="2" t="s">
        <v>19</v>
      </c>
      <c r="E640" s="2" t="s">
        <v>31</v>
      </c>
      <c r="F640" s="2" t="s">
        <v>32</v>
      </c>
      <c r="G640" s="2" t="s">
        <v>80</v>
      </c>
      <c r="H640" s="2" t="s">
        <v>46</v>
      </c>
      <c r="I640" s="2" t="s">
        <v>24</v>
      </c>
      <c r="J640" s="2" t="s">
        <v>2843</v>
      </c>
      <c r="K640" s="2" t="s">
        <v>1237</v>
      </c>
      <c r="L640">
        <v>3</v>
      </c>
      <c r="M640" s="1">
        <v>245000</v>
      </c>
      <c r="N640">
        <v>3.4</v>
      </c>
      <c r="O640">
        <v>8</v>
      </c>
      <c r="P640" s="2" t="s">
        <v>53</v>
      </c>
    </row>
    <row r="641" spans="1:16" x14ac:dyDescent="0.25">
      <c r="A641" s="2" t="s">
        <v>2844</v>
      </c>
      <c r="B641" s="2" t="s">
        <v>2845</v>
      </c>
      <c r="C641" s="2" t="s">
        <v>29</v>
      </c>
      <c r="D641" s="2" t="s">
        <v>30</v>
      </c>
      <c r="E641" s="2" t="s">
        <v>20</v>
      </c>
      <c r="F641" s="2" t="s">
        <v>128</v>
      </c>
      <c r="G641" s="2" t="s">
        <v>69</v>
      </c>
      <c r="H641" s="2" t="s">
        <v>46</v>
      </c>
      <c r="I641" s="2" t="s">
        <v>171</v>
      </c>
      <c r="J641" s="2" t="s">
        <v>2261</v>
      </c>
      <c r="K641" s="2" t="s">
        <v>2850</v>
      </c>
      <c r="L641">
        <v>6</v>
      </c>
      <c r="M641" s="1">
        <v>558000</v>
      </c>
      <c r="N641">
        <v>4.4000000000000004</v>
      </c>
      <c r="O641">
        <v>7</v>
      </c>
      <c r="P641" s="2" t="s">
        <v>26</v>
      </c>
    </row>
    <row r="642" spans="1:16" x14ac:dyDescent="0.25">
      <c r="A642" s="2" t="s">
        <v>2846</v>
      </c>
      <c r="B642" s="2" t="s">
        <v>2159</v>
      </c>
      <c r="C642" s="2" t="s">
        <v>18</v>
      </c>
      <c r="D642" s="2" t="s">
        <v>30</v>
      </c>
      <c r="E642" s="2" t="s">
        <v>44</v>
      </c>
      <c r="F642" s="2" t="s">
        <v>39</v>
      </c>
      <c r="G642" s="2" t="s">
        <v>22</v>
      </c>
      <c r="H642" s="2" t="s">
        <v>34</v>
      </c>
      <c r="I642" s="2" t="s">
        <v>57</v>
      </c>
      <c r="J642" s="2" t="s">
        <v>1477</v>
      </c>
      <c r="K642" s="2" t="s">
        <v>2850</v>
      </c>
      <c r="L642">
        <v>6</v>
      </c>
      <c r="M642" s="1">
        <v>124000</v>
      </c>
      <c r="N642">
        <v>2.5</v>
      </c>
      <c r="O642">
        <v>11</v>
      </c>
      <c r="P642" s="2" t="s">
        <v>26</v>
      </c>
    </row>
    <row r="643" spans="1:16" x14ac:dyDescent="0.25">
      <c r="A643" s="2" t="s">
        <v>2848</v>
      </c>
      <c r="B643" s="2" t="s">
        <v>2849</v>
      </c>
      <c r="C643" s="2" t="s">
        <v>29</v>
      </c>
      <c r="D643" s="2" t="s">
        <v>50</v>
      </c>
      <c r="E643" s="2" t="s">
        <v>20</v>
      </c>
      <c r="F643" s="2" t="s">
        <v>32</v>
      </c>
      <c r="G643" s="2" t="s">
        <v>22</v>
      </c>
      <c r="H643" s="2" t="s">
        <v>34</v>
      </c>
      <c r="I643" s="2" t="s">
        <v>171</v>
      </c>
      <c r="J643" s="2" t="s">
        <v>2204</v>
      </c>
      <c r="K643" s="2" t="s">
        <v>2850</v>
      </c>
      <c r="L643">
        <v>6</v>
      </c>
      <c r="M643" s="1">
        <v>349000</v>
      </c>
      <c r="N643">
        <v>4.3</v>
      </c>
      <c r="O643">
        <v>28</v>
      </c>
      <c r="P643" s="2" t="s">
        <v>53</v>
      </c>
    </row>
    <row r="644" spans="1:16" x14ac:dyDescent="0.25">
      <c r="A644" s="2" t="s">
        <v>2851</v>
      </c>
      <c r="B644" s="2" t="s">
        <v>2852</v>
      </c>
      <c r="C644" s="2" t="s">
        <v>18</v>
      </c>
      <c r="D644" s="2" t="s">
        <v>30</v>
      </c>
      <c r="E644" s="2" t="s">
        <v>31</v>
      </c>
      <c r="F644" s="2" t="s">
        <v>128</v>
      </c>
      <c r="G644" s="2" t="s">
        <v>80</v>
      </c>
      <c r="H644" s="2" t="s">
        <v>34</v>
      </c>
      <c r="I644" s="2" t="s">
        <v>24</v>
      </c>
      <c r="J644" s="2" t="s">
        <v>2853</v>
      </c>
      <c r="K644" s="2" t="s">
        <v>1684</v>
      </c>
      <c r="L644">
        <v>2</v>
      </c>
      <c r="M644" s="1">
        <v>495000</v>
      </c>
      <c r="N644">
        <v>3.2</v>
      </c>
      <c r="O644">
        <v>13</v>
      </c>
      <c r="P644" s="2" t="s">
        <v>26</v>
      </c>
    </row>
    <row r="645" spans="1:16" x14ac:dyDescent="0.25">
      <c r="A645" s="2" t="s">
        <v>2854</v>
      </c>
      <c r="B645" s="2" t="s">
        <v>2855</v>
      </c>
      <c r="C645" s="2" t="s">
        <v>18</v>
      </c>
      <c r="D645" s="2" t="s">
        <v>79</v>
      </c>
      <c r="E645" s="2" t="s">
        <v>20</v>
      </c>
      <c r="F645" s="2" t="s">
        <v>32</v>
      </c>
      <c r="G645" s="2" t="s">
        <v>22</v>
      </c>
      <c r="H645" s="2" t="s">
        <v>23</v>
      </c>
      <c r="I645" s="2" t="s">
        <v>57</v>
      </c>
      <c r="J645" s="2" t="s">
        <v>2856</v>
      </c>
      <c r="K645" s="2" t="s">
        <v>1684</v>
      </c>
      <c r="L645">
        <v>6</v>
      </c>
      <c r="M645" s="1">
        <v>268000</v>
      </c>
      <c r="N645">
        <v>4.9000000000000004</v>
      </c>
      <c r="O645">
        <v>1</v>
      </c>
      <c r="P645" s="2" t="s">
        <v>26</v>
      </c>
    </row>
    <row r="646" spans="1:16" x14ac:dyDescent="0.25">
      <c r="A646" s="2" t="s">
        <v>2857</v>
      </c>
      <c r="B646" s="2" t="s">
        <v>2858</v>
      </c>
      <c r="C646" s="2" t="s">
        <v>29</v>
      </c>
      <c r="D646" s="2" t="s">
        <v>19</v>
      </c>
      <c r="E646" s="2" t="s">
        <v>20</v>
      </c>
      <c r="F646" s="2" t="s">
        <v>39</v>
      </c>
      <c r="G646" s="2" t="s">
        <v>22</v>
      </c>
      <c r="H646" s="2" t="s">
        <v>46</v>
      </c>
      <c r="I646" s="2" t="s">
        <v>57</v>
      </c>
      <c r="J646" s="2" t="s">
        <v>1596</v>
      </c>
      <c r="K646" s="2" t="s">
        <v>1684</v>
      </c>
      <c r="L646">
        <v>5</v>
      </c>
      <c r="M646" s="1">
        <v>165000</v>
      </c>
      <c r="N646">
        <v>2.7</v>
      </c>
      <c r="O646">
        <v>6</v>
      </c>
      <c r="P646" s="2" t="s">
        <v>26</v>
      </c>
    </row>
    <row r="647" spans="1:16" x14ac:dyDescent="0.25">
      <c r="A647" s="2" t="s">
        <v>2859</v>
      </c>
      <c r="B647" s="2" t="s">
        <v>1899</v>
      </c>
      <c r="C647" s="2" t="s">
        <v>29</v>
      </c>
      <c r="D647" s="2" t="s">
        <v>43</v>
      </c>
      <c r="E647" s="2" t="s">
        <v>31</v>
      </c>
      <c r="F647" s="2" t="s">
        <v>128</v>
      </c>
      <c r="G647" s="2" t="s">
        <v>80</v>
      </c>
      <c r="H647" s="2" t="s">
        <v>23</v>
      </c>
      <c r="I647" s="2" t="s">
        <v>24</v>
      </c>
      <c r="J647" s="2" t="s">
        <v>2860</v>
      </c>
      <c r="K647" s="2" t="s">
        <v>1684</v>
      </c>
      <c r="L647">
        <v>5</v>
      </c>
      <c r="M647" s="1">
        <v>404000</v>
      </c>
      <c r="N647">
        <v>3</v>
      </c>
      <c r="O647">
        <v>3</v>
      </c>
      <c r="P647" s="2" t="s">
        <v>26</v>
      </c>
    </row>
    <row r="648" spans="1:16" x14ac:dyDescent="0.25">
      <c r="A648" s="2" t="s">
        <v>2864</v>
      </c>
      <c r="B648" s="2" t="s">
        <v>2515</v>
      </c>
      <c r="C648" s="2" t="s">
        <v>18</v>
      </c>
      <c r="D648" s="2" t="s">
        <v>43</v>
      </c>
      <c r="E648" s="2" t="s">
        <v>20</v>
      </c>
      <c r="F648" s="2" t="s">
        <v>45</v>
      </c>
      <c r="G648" s="2" t="s">
        <v>33</v>
      </c>
      <c r="H648" s="2" t="s">
        <v>46</v>
      </c>
      <c r="I648" s="2" t="s">
        <v>57</v>
      </c>
      <c r="J648" s="2" t="s">
        <v>438</v>
      </c>
      <c r="K648" s="2" t="s">
        <v>1684</v>
      </c>
      <c r="L648">
        <v>6</v>
      </c>
      <c r="M648" s="1">
        <v>1200000</v>
      </c>
      <c r="N648">
        <v>4.0999999999999996</v>
      </c>
      <c r="O648">
        <v>10</v>
      </c>
      <c r="P648" s="2" t="s">
        <v>26</v>
      </c>
    </row>
    <row r="649" spans="1:16" x14ac:dyDescent="0.25">
      <c r="A649" s="2" t="s">
        <v>2872</v>
      </c>
      <c r="B649" s="2" t="s">
        <v>2873</v>
      </c>
      <c r="C649" s="2" t="s">
        <v>18</v>
      </c>
      <c r="D649" s="2" t="s">
        <v>43</v>
      </c>
      <c r="E649" s="2" t="s">
        <v>20</v>
      </c>
      <c r="F649" s="2" t="s">
        <v>39</v>
      </c>
      <c r="G649" s="2" t="s">
        <v>80</v>
      </c>
      <c r="H649" s="2" t="s">
        <v>46</v>
      </c>
      <c r="I649" s="2" t="s">
        <v>35</v>
      </c>
      <c r="J649" s="2" t="s">
        <v>761</v>
      </c>
      <c r="K649" s="2" t="s">
        <v>1684</v>
      </c>
      <c r="L649">
        <v>2</v>
      </c>
      <c r="M649" s="1">
        <v>85000</v>
      </c>
      <c r="N649">
        <v>2.5</v>
      </c>
      <c r="O649">
        <v>0</v>
      </c>
      <c r="P649" s="2" t="s">
        <v>26</v>
      </c>
    </row>
    <row r="650" spans="1:16" x14ac:dyDescent="0.25">
      <c r="A650" s="2" t="s">
        <v>2874</v>
      </c>
      <c r="B650" s="2" t="s">
        <v>2875</v>
      </c>
      <c r="C650" s="2" t="s">
        <v>18</v>
      </c>
      <c r="D650" s="2" t="s">
        <v>43</v>
      </c>
      <c r="E650" s="2" t="s">
        <v>31</v>
      </c>
      <c r="F650" s="2" t="s">
        <v>21</v>
      </c>
      <c r="G650" s="2" t="s">
        <v>22</v>
      </c>
      <c r="H650" s="2" t="s">
        <v>34</v>
      </c>
      <c r="I650" s="2" t="s">
        <v>24</v>
      </c>
      <c r="J650" s="2" t="s">
        <v>2119</v>
      </c>
      <c r="K650" s="2" t="s">
        <v>1684</v>
      </c>
      <c r="L650">
        <v>2</v>
      </c>
      <c r="M650" s="1">
        <v>648000</v>
      </c>
      <c r="N650">
        <v>3.9</v>
      </c>
      <c r="O650">
        <v>1</v>
      </c>
      <c r="P650" s="2" t="s">
        <v>53</v>
      </c>
    </row>
    <row r="651" spans="1:16" x14ac:dyDescent="0.25">
      <c r="A651" s="2" t="s">
        <v>2876</v>
      </c>
      <c r="B651" s="2" t="s">
        <v>2877</v>
      </c>
      <c r="C651" s="2" t="s">
        <v>18</v>
      </c>
      <c r="D651" s="2" t="s">
        <v>79</v>
      </c>
      <c r="E651" s="2" t="s">
        <v>31</v>
      </c>
      <c r="F651" s="2" t="s">
        <v>21</v>
      </c>
      <c r="G651" s="2" t="s">
        <v>22</v>
      </c>
      <c r="H651" s="2" t="s">
        <v>23</v>
      </c>
      <c r="I651" s="2" t="s">
        <v>24</v>
      </c>
      <c r="J651" s="2" t="s">
        <v>2878</v>
      </c>
      <c r="K651" s="2" t="s">
        <v>2879</v>
      </c>
      <c r="L651">
        <v>6</v>
      </c>
      <c r="M651" s="1">
        <v>730000</v>
      </c>
      <c r="N651">
        <v>3.6</v>
      </c>
      <c r="O651">
        <v>8</v>
      </c>
      <c r="P651" s="2" t="s">
        <v>53</v>
      </c>
    </row>
    <row r="652" spans="1:16" x14ac:dyDescent="0.25">
      <c r="A652" s="2" t="s">
        <v>2882</v>
      </c>
      <c r="B652" s="2" t="s">
        <v>2883</v>
      </c>
      <c r="C652" s="2" t="s">
        <v>18</v>
      </c>
      <c r="D652" s="2" t="s">
        <v>50</v>
      </c>
      <c r="E652" s="2" t="s">
        <v>44</v>
      </c>
      <c r="F652" s="2" t="s">
        <v>32</v>
      </c>
      <c r="G652" s="2" t="s">
        <v>69</v>
      </c>
      <c r="H652" s="2" t="s">
        <v>34</v>
      </c>
      <c r="I652" s="2" t="s">
        <v>75</v>
      </c>
      <c r="J652" s="2" t="s">
        <v>1062</v>
      </c>
      <c r="K652" s="2" t="s">
        <v>2891</v>
      </c>
      <c r="L652">
        <v>4</v>
      </c>
      <c r="M652" s="1">
        <v>247000</v>
      </c>
      <c r="N652">
        <v>3.4</v>
      </c>
      <c r="O652">
        <v>7</v>
      </c>
      <c r="P652" s="2" t="s">
        <v>26</v>
      </c>
    </row>
    <row r="653" spans="1:16" x14ac:dyDescent="0.25">
      <c r="A653" s="2" t="s">
        <v>2884</v>
      </c>
      <c r="B653" s="2" t="s">
        <v>2885</v>
      </c>
      <c r="C653" s="2" t="s">
        <v>18</v>
      </c>
      <c r="D653" s="2" t="s">
        <v>43</v>
      </c>
      <c r="E653" s="2" t="s">
        <v>20</v>
      </c>
      <c r="F653" s="2" t="s">
        <v>32</v>
      </c>
      <c r="G653" s="2" t="s">
        <v>22</v>
      </c>
      <c r="H653" s="2" t="s">
        <v>34</v>
      </c>
      <c r="I653" s="2" t="s">
        <v>24</v>
      </c>
      <c r="J653" s="2" t="s">
        <v>2886</v>
      </c>
      <c r="K653" s="2" t="s">
        <v>2891</v>
      </c>
      <c r="L653">
        <v>3</v>
      </c>
      <c r="M653" s="1">
        <v>270000</v>
      </c>
      <c r="N653">
        <v>4.9000000000000004</v>
      </c>
      <c r="O653">
        <v>33</v>
      </c>
      <c r="P653" s="2" t="s">
        <v>26</v>
      </c>
    </row>
    <row r="654" spans="1:16" x14ac:dyDescent="0.25">
      <c r="A654" s="2" t="s">
        <v>2887</v>
      </c>
      <c r="B654" s="2" t="s">
        <v>2888</v>
      </c>
      <c r="C654" s="2" t="s">
        <v>18</v>
      </c>
      <c r="D654" s="2" t="s">
        <v>79</v>
      </c>
      <c r="E654" s="2" t="s">
        <v>20</v>
      </c>
      <c r="F654" s="2" t="s">
        <v>32</v>
      </c>
      <c r="G654" s="2" t="s">
        <v>69</v>
      </c>
      <c r="H654" s="2" t="s">
        <v>34</v>
      </c>
      <c r="I654" s="2" t="s">
        <v>35</v>
      </c>
      <c r="J654" s="2" t="s">
        <v>621</v>
      </c>
      <c r="K654" s="2" t="s">
        <v>2891</v>
      </c>
      <c r="L654">
        <v>2</v>
      </c>
      <c r="M654" s="1">
        <v>305000</v>
      </c>
      <c r="N654">
        <v>4.5</v>
      </c>
      <c r="O654">
        <v>9</v>
      </c>
      <c r="P654" s="2" t="s">
        <v>26</v>
      </c>
    </row>
    <row r="655" spans="1:16" x14ac:dyDescent="0.25">
      <c r="A655" s="2" t="s">
        <v>2889</v>
      </c>
      <c r="B655" s="2" t="s">
        <v>2890</v>
      </c>
      <c r="C655" s="2" t="s">
        <v>18</v>
      </c>
      <c r="D655" s="2" t="s">
        <v>30</v>
      </c>
      <c r="E655" s="2" t="s">
        <v>20</v>
      </c>
      <c r="F655" s="2" t="s">
        <v>21</v>
      </c>
      <c r="G655" s="2" t="s">
        <v>22</v>
      </c>
      <c r="H655" s="2" t="s">
        <v>23</v>
      </c>
      <c r="I655" s="2" t="s">
        <v>57</v>
      </c>
      <c r="J655" s="2" t="s">
        <v>2185</v>
      </c>
      <c r="K655" s="2" t="s">
        <v>2891</v>
      </c>
      <c r="L655">
        <v>5</v>
      </c>
      <c r="M655" s="1">
        <v>645000</v>
      </c>
      <c r="N655">
        <v>3.2</v>
      </c>
      <c r="O655">
        <v>2</v>
      </c>
      <c r="P655" s="2" t="s">
        <v>53</v>
      </c>
    </row>
    <row r="656" spans="1:16" x14ac:dyDescent="0.25">
      <c r="A656" s="2" t="s">
        <v>2894</v>
      </c>
      <c r="B656" s="2" t="s">
        <v>2895</v>
      </c>
      <c r="C656" s="2" t="s">
        <v>18</v>
      </c>
      <c r="D656" s="2" t="s">
        <v>79</v>
      </c>
      <c r="E656" s="2" t="s">
        <v>44</v>
      </c>
      <c r="F656" s="2" t="s">
        <v>128</v>
      </c>
      <c r="G656" s="2" t="s">
        <v>33</v>
      </c>
      <c r="H656" s="2" t="s">
        <v>23</v>
      </c>
      <c r="I656" s="2" t="s">
        <v>24</v>
      </c>
      <c r="J656" s="2" t="s">
        <v>70</v>
      </c>
      <c r="K656" s="2" t="s">
        <v>2896</v>
      </c>
      <c r="L656">
        <v>2</v>
      </c>
      <c r="M656" s="1">
        <v>361000</v>
      </c>
      <c r="N656">
        <v>2.4</v>
      </c>
      <c r="O656">
        <v>7</v>
      </c>
      <c r="P656" s="2" t="s">
        <v>72</v>
      </c>
    </row>
    <row r="657" spans="1:16" x14ac:dyDescent="0.25">
      <c r="A657" s="2" t="s">
        <v>2898</v>
      </c>
      <c r="B657" s="2" t="s">
        <v>2899</v>
      </c>
      <c r="C657" s="2" t="s">
        <v>18</v>
      </c>
      <c r="D657" s="2" t="s">
        <v>79</v>
      </c>
      <c r="E657" s="2" t="s">
        <v>20</v>
      </c>
      <c r="F657" s="2" t="s">
        <v>21</v>
      </c>
      <c r="G657" s="2" t="s">
        <v>33</v>
      </c>
      <c r="H657" s="2" t="s">
        <v>23</v>
      </c>
      <c r="I657" s="2" t="s">
        <v>35</v>
      </c>
      <c r="J657" s="2" t="s">
        <v>1228</v>
      </c>
      <c r="K657" s="2" t="s">
        <v>2903</v>
      </c>
      <c r="L657">
        <v>5</v>
      </c>
      <c r="M657" s="1">
        <v>895000</v>
      </c>
      <c r="N657">
        <v>4.5</v>
      </c>
      <c r="O657">
        <v>1</v>
      </c>
      <c r="P657" s="2" t="s">
        <v>26</v>
      </c>
    </row>
    <row r="658" spans="1:16" x14ac:dyDescent="0.25">
      <c r="A658" s="2" t="s">
        <v>2900</v>
      </c>
      <c r="B658" s="2" t="s">
        <v>2901</v>
      </c>
      <c r="C658" s="2" t="s">
        <v>29</v>
      </c>
      <c r="D658" s="2" t="s">
        <v>79</v>
      </c>
      <c r="E658" s="2" t="s">
        <v>44</v>
      </c>
      <c r="F658" s="2" t="s">
        <v>45</v>
      </c>
      <c r="G658" s="2" t="s">
        <v>22</v>
      </c>
      <c r="H658" s="2" t="s">
        <v>46</v>
      </c>
      <c r="I658" s="2" t="s">
        <v>24</v>
      </c>
      <c r="J658" s="2" t="s">
        <v>2902</v>
      </c>
      <c r="K658" s="2" t="s">
        <v>2903</v>
      </c>
      <c r="L658">
        <v>4</v>
      </c>
      <c r="M658" s="1">
        <v>1494000</v>
      </c>
      <c r="N658">
        <v>4.7</v>
      </c>
      <c r="O658">
        <v>9</v>
      </c>
      <c r="P658" s="2" t="s">
        <v>53</v>
      </c>
    </row>
    <row r="659" spans="1:16" x14ac:dyDescent="0.25">
      <c r="A659" s="2" t="s">
        <v>2904</v>
      </c>
      <c r="B659" s="2" t="s">
        <v>636</v>
      </c>
      <c r="C659" s="2" t="s">
        <v>18</v>
      </c>
      <c r="D659" s="2" t="s">
        <v>79</v>
      </c>
      <c r="E659" s="2" t="s">
        <v>44</v>
      </c>
      <c r="F659" s="2" t="s">
        <v>39</v>
      </c>
      <c r="G659" s="2" t="s">
        <v>22</v>
      </c>
      <c r="H659" s="2" t="s">
        <v>23</v>
      </c>
      <c r="I659" s="2" t="s">
        <v>35</v>
      </c>
      <c r="J659" s="2" t="s">
        <v>2905</v>
      </c>
      <c r="K659" s="2" t="s">
        <v>2867</v>
      </c>
      <c r="L659">
        <v>6</v>
      </c>
      <c r="M659" s="1">
        <v>143000</v>
      </c>
      <c r="N659">
        <v>3.6</v>
      </c>
      <c r="O659">
        <v>32</v>
      </c>
      <c r="P659" s="2" t="s">
        <v>26</v>
      </c>
    </row>
    <row r="660" spans="1:16" x14ac:dyDescent="0.25">
      <c r="A660" s="2" t="s">
        <v>2906</v>
      </c>
      <c r="B660" s="2" t="s">
        <v>2907</v>
      </c>
      <c r="C660" s="2" t="s">
        <v>18</v>
      </c>
      <c r="D660" s="2" t="s">
        <v>43</v>
      </c>
      <c r="E660" s="2" t="s">
        <v>20</v>
      </c>
      <c r="F660" s="2" t="s">
        <v>128</v>
      </c>
      <c r="G660" s="2" t="s">
        <v>22</v>
      </c>
      <c r="H660" s="2" t="s">
        <v>23</v>
      </c>
      <c r="I660" s="2" t="s">
        <v>24</v>
      </c>
      <c r="J660" s="2" t="s">
        <v>2908</v>
      </c>
      <c r="K660" s="2" t="s">
        <v>2867</v>
      </c>
      <c r="L660">
        <v>3</v>
      </c>
      <c r="M660" s="1">
        <v>350000</v>
      </c>
      <c r="N660">
        <v>3.3</v>
      </c>
      <c r="O660">
        <v>22</v>
      </c>
      <c r="P660" s="2" t="s">
        <v>26</v>
      </c>
    </row>
    <row r="661" spans="1:16" x14ac:dyDescent="0.25">
      <c r="A661" s="2" t="s">
        <v>2909</v>
      </c>
      <c r="B661" s="2" t="s">
        <v>2910</v>
      </c>
      <c r="C661" s="2" t="s">
        <v>29</v>
      </c>
      <c r="D661" s="2" t="s">
        <v>19</v>
      </c>
      <c r="E661" s="2" t="s">
        <v>44</v>
      </c>
      <c r="F661" s="2" t="s">
        <v>128</v>
      </c>
      <c r="G661" s="2" t="s">
        <v>22</v>
      </c>
      <c r="H661" s="2" t="s">
        <v>46</v>
      </c>
      <c r="I661" s="2" t="s">
        <v>35</v>
      </c>
      <c r="J661" s="2" t="s">
        <v>2911</v>
      </c>
      <c r="K661" s="2" t="s">
        <v>2867</v>
      </c>
      <c r="L661">
        <v>5</v>
      </c>
      <c r="M661" s="1">
        <v>415000</v>
      </c>
      <c r="N661">
        <v>3.4</v>
      </c>
      <c r="O661">
        <v>16</v>
      </c>
      <c r="P661" s="2" t="s">
        <v>26</v>
      </c>
    </row>
    <row r="662" spans="1:16" x14ac:dyDescent="0.25">
      <c r="A662" s="2" t="s">
        <v>2915</v>
      </c>
      <c r="B662" s="2" t="s">
        <v>663</v>
      </c>
      <c r="C662" s="2" t="s">
        <v>29</v>
      </c>
      <c r="D662" s="2" t="s">
        <v>43</v>
      </c>
      <c r="E662" s="2" t="s">
        <v>44</v>
      </c>
      <c r="F662" s="2" t="s">
        <v>128</v>
      </c>
      <c r="G662" s="2" t="s">
        <v>22</v>
      </c>
      <c r="H662" s="2" t="s">
        <v>46</v>
      </c>
      <c r="I662" s="2" t="s">
        <v>24</v>
      </c>
      <c r="J662" s="2" t="s">
        <v>2916</v>
      </c>
      <c r="K662" s="2" t="s">
        <v>2867</v>
      </c>
      <c r="L662">
        <v>5</v>
      </c>
      <c r="M662" s="1">
        <v>409000</v>
      </c>
      <c r="N662">
        <v>2.7</v>
      </c>
      <c r="O662">
        <v>8</v>
      </c>
      <c r="P662" s="2" t="s">
        <v>72</v>
      </c>
    </row>
    <row r="663" spans="1:16" x14ac:dyDescent="0.25">
      <c r="A663" s="2" t="s">
        <v>2925</v>
      </c>
      <c r="B663" s="2" t="s">
        <v>2926</v>
      </c>
      <c r="C663" s="2" t="s">
        <v>18</v>
      </c>
      <c r="D663" s="2" t="s">
        <v>19</v>
      </c>
      <c r="E663" s="2" t="s">
        <v>31</v>
      </c>
      <c r="F663" s="2" t="s">
        <v>21</v>
      </c>
      <c r="G663" s="2" t="s">
        <v>33</v>
      </c>
      <c r="H663" s="2" t="s">
        <v>34</v>
      </c>
      <c r="I663" s="2" t="s">
        <v>24</v>
      </c>
      <c r="J663" s="2" t="s">
        <v>661</v>
      </c>
      <c r="K663" s="2" t="s">
        <v>2944</v>
      </c>
      <c r="L663">
        <v>3</v>
      </c>
      <c r="M663" s="1">
        <v>822000</v>
      </c>
      <c r="N663">
        <v>4.8</v>
      </c>
      <c r="O663">
        <v>11</v>
      </c>
      <c r="P663" s="2" t="s">
        <v>26</v>
      </c>
    </row>
    <row r="664" spans="1:16" x14ac:dyDescent="0.25">
      <c r="A664" s="2" t="s">
        <v>2927</v>
      </c>
      <c r="B664" s="2" t="s">
        <v>2928</v>
      </c>
      <c r="C664" s="2" t="s">
        <v>18</v>
      </c>
      <c r="D664" s="2" t="s">
        <v>50</v>
      </c>
      <c r="E664" s="2" t="s">
        <v>20</v>
      </c>
      <c r="F664" s="2" t="s">
        <v>128</v>
      </c>
      <c r="G664" s="2" t="s">
        <v>80</v>
      </c>
      <c r="H664" s="2" t="s">
        <v>46</v>
      </c>
      <c r="I664" s="2" t="s">
        <v>24</v>
      </c>
      <c r="J664" s="2" t="s">
        <v>597</v>
      </c>
      <c r="K664" s="2" t="s">
        <v>2944</v>
      </c>
      <c r="L664">
        <v>2</v>
      </c>
      <c r="M664" s="1">
        <v>542000</v>
      </c>
      <c r="N664">
        <v>2.4</v>
      </c>
      <c r="O664">
        <v>2</v>
      </c>
      <c r="P664" s="2" t="s">
        <v>26</v>
      </c>
    </row>
    <row r="665" spans="1:16" x14ac:dyDescent="0.25">
      <c r="A665" s="2" t="s">
        <v>2929</v>
      </c>
      <c r="B665" s="2" t="s">
        <v>2930</v>
      </c>
      <c r="C665" s="2" t="s">
        <v>18</v>
      </c>
      <c r="D665" s="2" t="s">
        <v>43</v>
      </c>
      <c r="E665" s="2" t="s">
        <v>44</v>
      </c>
      <c r="F665" s="2" t="s">
        <v>39</v>
      </c>
      <c r="G665" s="2" t="s">
        <v>22</v>
      </c>
      <c r="H665" s="2" t="s">
        <v>34</v>
      </c>
      <c r="I665" s="2" t="s">
        <v>24</v>
      </c>
      <c r="J665" s="2" t="s">
        <v>2931</v>
      </c>
      <c r="K665" s="2" t="s">
        <v>2944</v>
      </c>
      <c r="L665">
        <v>3</v>
      </c>
      <c r="M665" s="1">
        <v>126000</v>
      </c>
      <c r="N665">
        <v>2.2000000000000002</v>
      </c>
      <c r="O665">
        <v>37</v>
      </c>
      <c r="P665" s="2" t="s">
        <v>26</v>
      </c>
    </row>
    <row r="666" spans="1:16" x14ac:dyDescent="0.25">
      <c r="A666" s="2" t="s">
        <v>2942</v>
      </c>
      <c r="B666" s="2" t="s">
        <v>2943</v>
      </c>
      <c r="C666" s="2" t="s">
        <v>18</v>
      </c>
      <c r="D666" s="2" t="s">
        <v>79</v>
      </c>
      <c r="E666" s="2" t="s">
        <v>44</v>
      </c>
      <c r="F666" s="2" t="s">
        <v>32</v>
      </c>
      <c r="G666" s="2" t="s">
        <v>22</v>
      </c>
      <c r="H666" s="2" t="s">
        <v>34</v>
      </c>
      <c r="I666" s="2" t="s">
        <v>171</v>
      </c>
      <c r="J666" s="2" t="s">
        <v>1712</v>
      </c>
      <c r="K666" s="2" t="s">
        <v>2944</v>
      </c>
      <c r="L666">
        <v>2</v>
      </c>
      <c r="M666" s="1">
        <v>234000</v>
      </c>
      <c r="N666">
        <v>2.5</v>
      </c>
      <c r="O666">
        <v>12</v>
      </c>
      <c r="P666" s="2" t="s">
        <v>53</v>
      </c>
    </row>
    <row r="667" spans="1:16" x14ac:dyDescent="0.25">
      <c r="A667" s="2" t="s">
        <v>2945</v>
      </c>
      <c r="B667" s="2" t="s">
        <v>2946</v>
      </c>
      <c r="C667" s="2" t="s">
        <v>18</v>
      </c>
      <c r="D667" s="2" t="s">
        <v>79</v>
      </c>
      <c r="E667" s="2" t="s">
        <v>20</v>
      </c>
      <c r="F667" s="2" t="s">
        <v>32</v>
      </c>
      <c r="G667" s="2" t="s">
        <v>80</v>
      </c>
      <c r="H667" s="2" t="s">
        <v>23</v>
      </c>
      <c r="I667" s="2" t="s">
        <v>35</v>
      </c>
      <c r="J667" s="2" t="s">
        <v>2617</v>
      </c>
      <c r="K667" s="2" t="s">
        <v>2948</v>
      </c>
      <c r="L667">
        <v>3</v>
      </c>
      <c r="M667" s="1">
        <v>301000</v>
      </c>
      <c r="N667">
        <v>2.2000000000000002</v>
      </c>
      <c r="O667">
        <v>1</v>
      </c>
      <c r="P667" s="2" t="s">
        <v>26</v>
      </c>
    </row>
    <row r="668" spans="1:16" x14ac:dyDescent="0.25">
      <c r="A668" s="2" t="s">
        <v>2947</v>
      </c>
      <c r="B668" s="2" t="s">
        <v>2181</v>
      </c>
      <c r="C668" s="2" t="s">
        <v>18</v>
      </c>
      <c r="D668" s="2" t="s">
        <v>43</v>
      </c>
      <c r="E668" s="2" t="s">
        <v>44</v>
      </c>
      <c r="F668" s="2" t="s">
        <v>21</v>
      </c>
      <c r="G668" s="2" t="s">
        <v>80</v>
      </c>
      <c r="H668" s="2" t="s">
        <v>23</v>
      </c>
      <c r="I668" s="2" t="s">
        <v>35</v>
      </c>
      <c r="J668" s="2" t="s">
        <v>507</v>
      </c>
      <c r="K668" s="2" t="s">
        <v>2948</v>
      </c>
      <c r="L668">
        <v>5</v>
      </c>
      <c r="M668" s="1">
        <v>732000</v>
      </c>
      <c r="N668">
        <v>3.5</v>
      </c>
      <c r="O668">
        <v>38</v>
      </c>
      <c r="P668" s="2" t="s">
        <v>53</v>
      </c>
    </row>
    <row r="669" spans="1:16" x14ac:dyDescent="0.25">
      <c r="A669" s="2" t="s">
        <v>2954</v>
      </c>
      <c r="B669" s="2" t="s">
        <v>2955</v>
      </c>
      <c r="C669" s="2" t="s">
        <v>18</v>
      </c>
      <c r="D669" s="2" t="s">
        <v>30</v>
      </c>
      <c r="E669" s="2" t="s">
        <v>20</v>
      </c>
      <c r="F669" s="2" t="s">
        <v>32</v>
      </c>
      <c r="G669" s="2" t="s">
        <v>22</v>
      </c>
      <c r="H669" s="2" t="s">
        <v>34</v>
      </c>
      <c r="I669" s="2" t="s">
        <v>24</v>
      </c>
      <c r="J669" s="2" t="s">
        <v>2956</v>
      </c>
      <c r="K669" s="2" t="s">
        <v>2368</v>
      </c>
      <c r="L669">
        <v>5</v>
      </c>
      <c r="M669" s="1">
        <v>341000</v>
      </c>
      <c r="N669">
        <v>3.1</v>
      </c>
      <c r="O669">
        <v>1</v>
      </c>
      <c r="P669" s="2" t="s">
        <v>53</v>
      </c>
    </row>
    <row r="670" spans="1:16" x14ac:dyDescent="0.25">
      <c r="A670" s="2" t="s">
        <v>2957</v>
      </c>
      <c r="B670" s="2" t="s">
        <v>2958</v>
      </c>
      <c r="C670" s="2" t="s">
        <v>18</v>
      </c>
      <c r="D670" s="2" t="s">
        <v>43</v>
      </c>
      <c r="E670" s="2" t="s">
        <v>20</v>
      </c>
      <c r="F670" s="2" t="s">
        <v>21</v>
      </c>
      <c r="G670" s="2" t="s">
        <v>22</v>
      </c>
      <c r="H670" s="2" t="s">
        <v>46</v>
      </c>
      <c r="I670" s="2" t="s">
        <v>24</v>
      </c>
      <c r="J670" s="2" t="s">
        <v>2959</v>
      </c>
      <c r="K670" s="2" t="s">
        <v>2960</v>
      </c>
      <c r="L670">
        <v>5</v>
      </c>
      <c r="M670" s="1">
        <v>737000</v>
      </c>
      <c r="N670">
        <v>4</v>
      </c>
      <c r="O670">
        <v>7</v>
      </c>
      <c r="P670" s="2" t="s">
        <v>53</v>
      </c>
    </row>
    <row r="671" spans="1:16" x14ac:dyDescent="0.25">
      <c r="A671" s="2" t="s">
        <v>2961</v>
      </c>
      <c r="B671" s="2" t="s">
        <v>2962</v>
      </c>
      <c r="C671" s="2" t="s">
        <v>29</v>
      </c>
      <c r="D671" s="2" t="s">
        <v>43</v>
      </c>
      <c r="E671" s="2" t="s">
        <v>20</v>
      </c>
      <c r="F671" s="2" t="s">
        <v>21</v>
      </c>
      <c r="G671" s="2" t="s">
        <v>69</v>
      </c>
      <c r="H671" s="2" t="s">
        <v>23</v>
      </c>
      <c r="I671" s="2" t="s">
        <v>24</v>
      </c>
      <c r="J671" s="2" t="s">
        <v>898</v>
      </c>
      <c r="K671" s="2" t="s">
        <v>2963</v>
      </c>
      <c r="L671">
        <v>3</v>
      </c>
      <c r="M671" s="1">
        <v>720000</v>
      </c>
      <c r="N671">
        <v>4.0999999999999996</v>
      </c>
      <c r="O671">
        <v>0</v>
      </c>
      <c r="P671" s="2" t="s">
        <v>72</v>
      </c>
    </row>
    <row r="672" spans="1:16" x14ac:dyDescent="0.25">
      <c r="A672" s="2" t="s">
        <v>2964</v>
      </c>
      <c r="B672" s="2" t="s">
        <v>2950</v>
      </c>
      <c r="C672" s="2" t="s">
        <v>29</v>
      </c>
      <c r="D672" s="2" t="s">
        <v>50</v>
      </c>
      <c r="E672" s="2" t="s">
        <v>31</v>
      </c>
      <c r="F672" s="2" t="s">
        <v>39</v>
      </c>
      <c r="G672" s="2" t="s">
        <v>22</v>
      </c>
      <c r="H672" s="2" t="s">
        <v>46</v>
      </c>
      <c r="I672" s="2" t="s">
        <v>24</v>
      </c>
      <c r="J672" s="2" t="s">
        <v>2965</v>
      </c>
      <c r="K672" s="2" t="s">
        <v>2968</v>
      </c>
      <c r="L672">
        <v>6</v>
      </c>
      <c r="M672" s="1">
        <v>157000</v>
      </c>
      <c r="N672">
        <v>3.1</v>
      </c>
      <c r="O672">
        <v>4</v>
      </c>
      <c r="P672" s="2" t="s">
        <v>26</v>
      </c>
    </row>
    <row r="673" spans="1:16" x14ac:dyDescent="0.25">
      <c r="A673" s="2" t="s">
        <v>2966</v>
      </c>
      <c r="B673" s="2" t="s">
        <v>2967</v>
      </c>
      <c r="C673" s="2" t="s">
        <v>18</v>
      </c>
      <c r="D673" s="2" t="s">
        <v>30</v>
      </c>
      <c r="E673" s="2" t="s">
        <v>44</v>
      </c>
      <c r="F673" s="2" t="s">
        <v>39</v>
      </c>
      <c r="G673" s="2" t="s">
        <v>80</v>
      </c>
      <c r="H673" s="2" t="s">
        <v>23</v>
      </c>
      <c r="I673" s="2" t="s">
        <v>24</v>
      </c>
      <c r="J673" s="2" t="s">
        <v>2768</v>
      </c>
      <c r="K673" s="2" t="s">
        <v>2968</v>
      </c>
      <c r="L673">
        <v>4</v>
      </c>
      <c r="M673" s="1">
        <v>175000</v>
      </c>
      <c r="N673">
        <v>3.3</v>
      </c>
      <c r="O673">
        <v>1</v>
      </c>
      <c r="P673" s="2" t="s">
        <v>53</v>
      </c>
    </row>
    <row r="674" spans="1:16" x14ac:dyDescent="0.25">
      <c r="A674" s="2" t="s">
        <v>2969</v>
      </c>
      <c r="B674" s="2" t="s">
        <v>2970</v>
      </c>
      <c r="C674" s="2" t="s">
        <v>18</v>
      </c>
      <c r="D674" s="2" t="s">
        <v>30</v>
      </c>
      <c r="E674" s="2" t="s">
        <v>20</v>
      </c>
      <c r="F674" s="2" t="s">
        <v>128</v>
      </c>
      <c r="G674" s="2" t="s">
        <v>22</v>
      </c>
      <c r="H674" s="2" t="s">
        <v>34</v>
      </c>
      <c r="I674" s="2" t="s">
        <v>24</v>
      </c>
      <c r="J674" s="2" t="s">
        <v>2908</v>
      </c>
      <c r="K674" s="2" t="s">
        <v>530</v>
      </c>
      <c r="L674">
        <v>3</v>
      </c>
      <c r="M674" s="1">
        <v>570000</v>
      </c>
      <c r="N674">
        <v>3.1</v>
      </c>
      <c r="O674">
        <v>14</v>
      </c>
      <c r="P674" s="2" t="s">
        <v>26</v>
      </c>
    </row>
    <row r="675" spans="1:16" x14ac:dyDescent="0.25">
      <c r="A675" s="2" t="s">
        <v>2971</v>
      </c>
      <c r="B675" s="2" t="s">
        <v>2972</v>
      </c>
      <c r="C675" s="2" t="s">
        <v>18</v>
      </c>
      <c r="D675" s="2" t="s">
        <v>50</v>
      </c>
      <c r="E675" s="2" t="s">
        <v>20</v>
      </c>
      <c r="F675" s="2" t="s">
        <v>32</v>
      </c>
      <c r="G675" s="2" t="s">
        <v>80</v>
      </c>
      <c r="H675" s="2" t="s">
        <v>62</v>
      </c>
      <c r="I675" s="2" t="s">
        <v>75</v>
      </c>
      <c r="J675" s="2" t="s">
        <v>1921</v>
      </c>
      <c r="K675" s="2" t="s">
        <v>530</v>
      </c>
      <c r="L675">
        <v>7</v>
      </c>
      <c r="M675" s="1">
        <v>345000</v>
      </c>
      <c r="N675">
        <v>3.5</v>
      </c>
      <c r="O675">
        <v>11</v>
      </c>
      <c r="P675" s="2" t="s">
        <v>26</v>
      </c>
    </row>
    <row r="676" spans="1:16" x14ac:dyDescent="0.25">
      <c r="A676" s="2" t="s">
        <v>2973</v>
      </c>
      <c r="B676" s="2" t="s">
        <v>2974</v>
      </c>
      <c r="C676" s="2" t="s">
        <v>29</v>
      </c>
      <c r="D676" s="2" t="s">
        <v>79</v>
      </c>
      <c r="E676" s="2" t="s">
        <v>44</v>
      </c>
      <c r="F676" s="2" t="s">
        <v>128</v>
      </c>
      <c r="G676" s="2" t="s">
        <v>33</v>
      </c>
      <c r="H676" s="2" t="s">
        <v>46</v>
      </c>
      <c r="I676" s="2" t="s">
        <v>35</v>
      </c>
      <c r="J676" s="2" t="s">
        <v>2355</v>
      </c>
      <c r="K676" s="2" t="s">
        <v>530</v>
      </c>
      <c r="L676">
        <v>7</v>
      </c>
      <c r="M676" s="1">
        <v>506000</v>
      </c>
      <c r="N676">
        <v>4.8</v>
      </c>
      <c r="O676">
        <v>12</v>
      </c>
      <c r="P676" s="2" t="s">
        <v>72</v>
      </c>
    </row>
    <row r="677" spans="1:16" x14ac:dyDescent="0.25">
      <c r="A677" s="2" t="s">
        <v>2975</v>
      </c>
      <c r="B677" s="2" t="s">
        <v>2976</v>
      </c>
      <c r="C677" s="2" t="s">
        <v>18</v>
      </c>
      <c r="D677" s="2" t="s">
        <v>79</v>
      </c>
      <c r="E677" s="2" t="s">
        <v>20</v>
      </c>
      <c r="F677" s="2" t="s">
        <v>128</v>
      </c>
      <c r="G677" s="2" t="s">
        <v>80</v>
      </c>
      <c r="H677" s="2" t="s">
        <v>46</v>
      </c>
      <c r="I677" s="2" t="s">
        <v>24</v>
      </c>
      <c r="J677" s="2" t="s">
        <v>2977</v>
      </c>
      <c r="K677" s="2" t="s">
        <v>2984</v>
      </c>
      <c r="L677">
        <v>5</v>
      </c>
      <c r="M677" s="1">
        <v>552000</v>
      </c>
      <c r="N677">
        <v>2.5</v>
      </c>
      <c r="O677">
        <v>33</v>
      </c>
      <c r="P677" s="2" t="s">
        <v>26</v>
      </c>
    </row>
    <row r="678" spans="1:16" x14ac:dyDescent="0.25">
      <c r="A678" s="2" t="s">
        <v>2981</v>
      </c>
      <c r="B678" s="2" t="s">
        <v>2982</v>
      </c>
      <c r="C678" s="2" t="s">
        <v>18</v>
      </c>
      <c r="D678" s="2" t="s">
        <v>30</v>
      </c>
      <c r="E678" s="2" t="s">
        <v>44</v>
      </c>
      <c r="F678" s="2" t="s">
        <v>39</v>
      </c>
      <c r="G678" s="2" t="s">
        <v>33</v>
      </c>
      <c r="H678" s="2" t="s">
        <v>46</v>
      </c>
      <c r="I678" s="2" t="s">
        <v>24</v>
      </c>
      <c r="J678" s="2" t="s">
        <v>2983</v>
      </c>
      <c r="K678" s="2" t="s">
        <v>2984</v>
      </c>
      <c r="L678">
        <v>2</v>
      </c>
      <c r="M678" s="1">
        <v>119000</v>
      </c>
      <c r="N678">
        <v>2.9</v>
      </c>
      <c r="O678">
        <v>0</v>
      </c>
      <c r="P678" s="2" t="s">
        <v>53</v>
      </c>
    </row>
    <row r="679" spans="1:16" x14ac:dyDescent="0.25">
      <c r="A679" s="2" t="s">
        <v>2985</v>
      </c>
      <c r="B679" s="2" t="s">
        <v>1212</v>
      </c>
      <c r="C679" s="2" t="s">
        <v>29</v>
      </c>
      <c r="D679" s="2" t="s">
        <v>19</v>
      </c>
      <c r="E679" s="2" t="s">
        <v>20</v>
      </c>
      <c r="F679" s="2" t="s">
        <v>39</v>
      </c>
      <c r="G679" s="2" t="s">
        <v>80</v>
      </c>
      <c r="H679" s="2" t="s">
        <v>46</v>
      </c>
      <c r="I679" s="2" t="s">
        <v>35</v>
      </c>
      <c r="J679" s="2" t="s">
        <v>2295</v>
      </c>
      <c r="K679" s="2" t="s">
        <v>2999</v>
      </c>
      <c r="L679">
        <v>5</v>
      </c>
      <c r="M679" s="1">
        <v>131000</v>
      </c>
      <c r="N679">
        <v>3.5</v>
      </c>
      <c r="O679">
        <v>13</v>
      </c>
      <c r="P679" s="2" t="s">
        <v>26</v>
      </c>
    </row>
    <row r="680" spans="1:16" x14ac:dyDescent="0.25">
      <c r="A680" s="2" t="s">
        <v>2986</v>
      </c>
      <c r="B680" s="2" t="s">
        <v>2987</v>
      </c>
      <c r="C680" s="2" t="s">
        <v>29</v>
      </c>
      <c r="D680" s="2" t="s">
        <v>30</v>
      </c>
      <c r="E680" s="2" t="s">
        <v>44</v>
      </c>
      <c r="F680" s="2" t="s">
        <v>32</v>
      </c>
      <c r="G680" s="2" t="s">
        <v>22</v>
      </c>
      <c r="H680" s="2" t="s">
        <v>23</v>
      </c>
      <c r="I680" s="2" t="s">
        <v>57</v>
      </c>
      <c r="J680" s="2" t="s">
        <v>2988</v>
      </c>
      <c r="K680" s="2" t="s">
        <v>2999</v>
      </c>
      <c r="L680">
        <v>5</v>
      </c>
      <c r="M680" s="1">
        <v>259000</v>
      </c>
      <c r="N680">
        <v>4.9000000000000004</v>
      </c>
      <c r="O680">
        <v>2</v>
      </c>
      <c r="P680" s="2" t="s">
        <v>26</v>
      </c>
    </row>
    <row r="681" spans="1:16" x14ac:dyDescent="0.25">
      <c r="A681" s="2" t="s">
        <v>2994</v>
      </c>
      <c r="B681" s="2" t="s">
        <v>2446</v>
      </c>
      <c r="C681" s="2" t="s">
        <v>29</v>
      </c>
      <c r="D681" s="2" t="s">
        <v>43</v>
      </c>
      <c r="E681" s="2" t="s">
        <v>20</v>
      </c>
      <c r="F681" s="2" t="s">
        <v>128</v>
      </c>
      <c r="G681" s="2" t="s">
        <v>22</v>
      </c>
      <c r="H681" s="2" t="s">
        <v>46</v>
      </c>
      <c r="I681" s="2" t="s">
        <v>57</v>
      </c>
      <c r="J681" s="2" t="s">
        <v>1366</v>
      </c>
      <c r="K681" s="2" t="s">
        <v>2999</v>
      </c>
      <c r="L681">
        <v>2</v>
      </c>
      <c r="M681" s="1">
        <v>401000</v>
      </c>
      <c r="N681">
        <v>2.8</v>
      </c>
      <c r="O681">
        <v>1</v>
      </c>
      <c r="P681" s="2" t="s">
        <v>26</v>
      </c>
    </row>
    <row r="682" spans="1:16" x14ac:dyDescent="0.25">
      <c r="A682" s="2" t="s">
        <v>2995</v>
      </c>
      <c r="B682" s="2" t="s">
        <v>2996</v>
      </c>
      <c r="C682" s="2" t="s">
        <v>18</v>
      </c>
      <c r="D682" s="2" t="s">
        <v>79</v>
      </c>
      <c r="E682" s="2" t="s">
        <v>20</v>
      </c>
      <c r="F682" s="2" t="s">
        <v>128</v>
      </c>
      <c r="G682" s="2" t="s">
        <v>80</v>
      </c>
      <c r="H682" s="2" t="s">
        <v>46</v>
      </c>
      <c r="I682" s="2" t="s">
        <v>24</v>
      </c>
      <c r="J682" s="2" t="s">
        <v>2997</v>
      </c>
      <c r="K682" s="2" t="s">
        <v>2999</v>
      </c>
      <c r="L682">
        <v>3</v>
      </c>
      <c r="M682" s="1">
        <v>568000</v>
      </c>
      <c r="N682">
        <v>3.4</v>
      </c>
      <c r="O682">
        <v>12</v>
      </c>
      <c r="P682" s="2" t="s">
        <v>26</v>
      </c>
    </row>
    <row r="683" spans="1:16" x14ac:dyDescent="0.25">
      <c r="A683" s="2" t="s">
        <v>2998</v>
      </c>
      <c r="B683" s="2" t="s">
        <v>218</v>
      </c>
      <c r="C683" s="2" t="s">
        <v>18</v>
      </c>
      <c r="D683" s="2" t="s">
        <v>43</v>
      </c>
      <c r="E683" s="2" t="s">
        <v>20</v>
      </c>
      <c r="F683" s="2" t="s">
        <v>21</v>
      </c>
      <c r="G683" s="2" t="s">
        <v>33</v>
      </c>
      <c r="H683" s="2" t="s">
        <v>34</v>
      </c>
      <c r="I683" s="2" t="s">
        <v>75</v>
      </c>
      <c r="J683" s="2" t="s">
        <v>2893</v>
      </c>
      <c r="K683" s="2" t="s">
        <v>2999</v>
      </c>
      <c r="L683">
        <v>6</v>
      </c>
      <c r="M683" s="1">
        <v>600000</v>
      </c>
      <c r="N683">
        <v>5</v>
      </c>
      <c r="O683">
        <v>1</v>
      </c>
      <c r="P683" s="2" t="s">
        <v>72</v>
      </c>
    </row>
    <row r="684" spans="1:16" x14ac:dyDescent="0.25">
      <c r="A684" s="2" t="s">
        <v>3007</v>
      </c>
      <c r="B684" s="2" t="s">
        <v>3008</v>
      </c>
      <c r="C684" s="2" t="s">
        <v>18</v>
      </c>
      <c r="D684" s="2" t="s">
        <v>19</v>
      </c>
      <c r="E684" s="2" t="s">
        <v>20</v>
      </c>
      <c r="F684" s="2" t="s">
        <v>32</v>
      </c>
      <c r="G684" s="2" t="s">
        <v>22</v>
      </c>
      <c r="H684" s="2" t="s">
        <v>62</v>
      </c>
      <c r="I684" s="2" t="s">
        <v>57</v>
      </c>
      <c r="J684" s="2" t="s">
        <v>1571</v>
      </c>
      <c r="K684" s="2" t="s">
        <v>3020</v>
      </c>
      <c r="L684">
        <v>4</v>
      </c>
      <c r="M684" s="1">
        <v>215000</v>
      </c>
      <c r="N684">
        <v>4.8</v>
      </c>
      <c r="O684">
        <v>37</v>
      </c>
      <c r="P684" s="2" t="s">
        <v>26</v>
      </c>
    </row>
    <row r="685" spans="1:16" x14ac:dyDescent="0.25">
      <c r="A685" s="2" t="s">
        <v>3012</v>
      </c>
      <c r="B685" s="2" t="s">
        <v>3013</v>
      </c>
      <c r="C685" s="2" t="s">
        <v>29</v>
      </c>
      <c r="D685" s="2" t="s">
        <v>30</v>
      </c>
      <c r="E685" s="2" t="s">
        <v>44</v>
      </c>
      <c r="F685" s="2" t="s">
        <v>32</v>
      </c>
      <c r="G685" s="2" t="s">
        <v>33</v>
      </c>
      <c r="H685" s="2" t="s">
        <v>46</v>
      </c>
      <c r="I685" s="2" t="s">
        <v>24</v>
      </c>
      <c r="J685" s="2" t="s">
        <v>3014</v>
      </c>
      <c r="K685" s="2" t="s">
        <v>3020</v>
      </c>
      <c r="L685">
        <v>5</v>
      </c>
      <c r="M685" s="1">
        <v>326000</v>
      </c>
      <c r="N685">
        <v>4.2</v>
      </c>
      <c r="O685">
        <v>13</v>
      </c>
      <c r="P685" s="2" t="s">
        <v>26</v>
      </c>
    </row>
    <row r="686" spans="1:16" x14ac:dyDescent="0.25">
      <c r="A686" s="2" t="s">
        <v>3015</v>
      </c>
      <c r="B686" s="2" t="s">
        <v>559</v>
      </c>
      <c r="C686" s="2" t="s">
        <v>29</v>
      </c>
      <c r="D686" s="2" t="s">
        <v>50</v>
      </c>
      <c r="E686" s="2" t="s">
        <v>20</v>
      </c>
      <c r="F686" s="2" t="s">
        <v>39</v>
      </c>
      <c r="G686" s="2" t="s">
        <v>80</v>
      </c>
      <c r="H686" s="2" t="s">
        <v>34</v>
      </c>
      <c r="I686" s="2" t="s">
        <v>57</v>
      </c>
      <c r="J686" s="2" t="s">
        <v>500</v>
      </c>
      <c r="K686" s="2" t="s">
        <v>3020</v>
      </c>
      <c r="L686">
        <v>6</v>
      </c>
      <c r="M686" s="1">
        <v>132000</v>
      </c>
      <c r="N686">
        <v>3.4</v>
      </c>
      <c r="O686">
        <v>1</v>
      </c>
      <c r="P686" s="2" t="s">
        <v>26</v>
      </c>
    </row>
    <row r="687" spans="1:16" x14ac:dyDescent="0.25">
      <c r="A687" s="2" t="s">
        <v>3018</v>
      </c>
      <c r="B687" s="2" t="s">
        <v>3019</v>
      </c>
      <c r="C687" s="2" t="s">
        <v>18</v>
      </c>
      <c r="D687" s="2" t="s">
        <v>19</v>
      </c>
      <c r="E687" s="2" t="s">
        <v>31</v>
      </c>
      <c r="F687" s="2" t="s">
        <v>128</v>
      </c>
      <c r="G687" s="2" t="s">
        <v>80</v>
      </c>
      <c r="H687" s="2" t="s">
        <v>34</v>
      </c>
      <c r="I687" s="2" t="s">
        <v>57</v>
      </c>
      <c r="J687" s="2" t="s">
        <v>2643</v>
      </c>
      <c r="K687" s="2" t="s">
        <v>3020</v>
      </c>
      <c r="L687">
        <v>4</v>
      </c>
      <c r="M687" s="1">
        <v>621000</v>
      </c>
      <c r="N687">
        <v>2.2999999999999998</v>
      </c>
      <c r="O687">
        <v>34</v>
      </c>
      <c r="P687" s="2" t="s">
        <v>114</v>
      </c>
    </row>
    <row r="688" spans="1:16" x14ac:dyDescent="0.25">
      <c r="A688" s="2" t="s">
        <v>3021</v>
      </c>
      <c r="B688" s="2" t="s">
        <v>2412</v>
      </c>
      <c r="C688" s="2" t="s">
        <v>18</v>
      </c>
      <c r="D688" s="2" t="s">
        <v>19</v>
      </c>
      <c r="E688" s="2" t="s">
        <v>20</v>
      </c>
      <c r="F688" s="2" t="s">
        <v>32</v>
      </c>
      <c r="G688" s="2" t="s">
        <v>22</v>
      </c>
      <c r="H688" s="2" t="s">
        <v>23</v>
      </c>
      <c r="I688" s="2" t="s">
        <v>24</v>
      </c>
      <c r="J688" s="2" t="s">
        <v>2257</v>
      </c>
      <c r="K688" s="2" t="s">
        <v>2439</v>
      </c>
      <c r="L688">
        <v>4</v>
      </c>
      <c r="M688" s="1">
        <v>350000</v>
      </c>
      <c r="N688">
        <v>2.8</v>
      </c>
      <c r="O688">
        <v>11</v>
      </c>
      <c r="P688" s="2" t="s">
        <v>26</v>
      </c>
    </row>
    <row r="689" spans="1:16" x14ac:dyDescent="0.25">
      <c r="A689" s="2" t="s">
        <v>3026</v>
      </c>
      <c r="B689" s="2" t="s">
        <v>3027</v>
      </c>
      <c r="C689" s="2" t="s">
        <v>29</v>
      </c>
      <c r="D689" s="2" t="s">
        <v>30</v>
      </c>
      <c r="E689" s="2" t="s">
        <v>20</v>
      </c>
      <c r="F689" s="2" t="s">
        <v>128</v>
      </c>
      <c r="G689" s="2" t="s">
        <v>80</v>
      </c>
      <c r="H689" s="2" t="s">
        <v>46</v>
      </c>
      <c r="I689" s="2" t="s">
        <v>75</v>
      </c>
      <c r="J689" s="2" t="s">
        <v>2230</v>
      </c>
      <c r="K689" s="2" t="s">
        <v>2439</v>
      </c>
      <c r="L689">
        <v>5</v>
      </c>
      <c r="M689" s="1">
        <v>556000</v>
      </c>
      <c r="N689">
        <v>4.9000000000000004</v>
      </c>
      <c r="O689">
        <v>0</v>
      </c>
      <c r="P689" s="2" t="s">
        <v>53</v>
      </c>
    </row>
    <row r="690" spans="1:16" x14ac:dyDescent="0.25">
      <c r="A690" s="2" t="s">
        <v>3034</v>
      </c>
      <c r="B690" s="2" t="s">
        <v>3035</v>
      </c>
      <c r="C690" s="2" t="s">
        <v>29</v>
      </c>
      <c r="D690" s="2" t="s">
        <v>50</v>
      </c>
      <c r="E690" s="2" t="s">
        <v>20</v>
      </c>
      <c r="F690" s="2" t="s">
        <v>128</v>
      </c>
      <c r="G690" s="2" t="s">
        <v>69</v>
      </c>
      <c r="H690" s="2" t="s">
        <v>46</v>
      </c>
      <c r="I690" s="2" t="s">
        <v>57</v>
      </c>
      <c r="J690" s="2" t="s">
        <v>3036</v>
      </c>
      <c r="K690" s="2" t="s">
        <v>3033</v>
      </c>
      <c r="L690">
        <v>6</v>
      </c>
      <c r="M690" s="1">
        <v>371000</v>
      </c>
      <c r="N690">
        <v>3.2</v>
      </c>
      <c r="O690">
        <v>0</v>
      </c>
      <c r="P690" s="2" t="s">
        <v>26</v>
      </c>
    </row>
    <row r="691" spans="1:16" x14ac:dyDescent="0.25">
      <c r="A691" s="2" t="s">
        <v>3037</v>
      </c>
      <c r="B691" s="2" t="s">
        <v>2341</v>
      </c>
      <c r="C691" s="2" t="s">
        <v>18</v>
      </c>
      <c r="D691" s="2" t="s">
        <v>50</v>
      </c>
      <c r="E691" s="2" t="s">
        <v>31</v>
      </c>
      <c r="F691" s="2" t="s">
        <v>39</v>
      </c>
      <c r="G691" s="2" t="s">
        <v>33</v>
      </c>
      <c r="H691" s="2" t="s">
        <v>34</v>
      </c>
      <c r="I691" s="2" t="s">
        <v>57</v>
      </c>
      <c r="J691" s="2" t="s">
        <v>706</v>
      </c>
      <c r="K691" s="2" t="s">
        <v>3033</v>
      </c>
      <c r="L691">
        <v>5</v>
      </c>
      <c r="M691" s="1">
        <v>154000</v>
      </c>
      <c r="N691">
        <v>3.1</v>
      </c>
      <c r="O691">
        <v>36</v>
      </c>
      <c r="P691" s="2" t="s">
        <v>53</v>
      </c>
    </row>
    <row r="692" spans="1:16" x14ac:dyDescent="0.25">
      <c r="A692" s="2" t="s">
        <v>3040</v>
      </c>
      <c r="B692" s="2" t="s">
        <v>3041</v>
      </c>
      <c r="C692" s="2" t="s">
        <v>18</v>
      </c>
      <c r="D692" s="2" t="s">
        <v>43</v>
      </c>
      <c r="E692" s="2" t="s">
        <v>31</v>
      </c>
      <c r="F692" s="2" t="s">
        <v>32</v>
      </c>
      <c r="G692" s="2" t="s">
        <v>80</v>
      </c>
      <c r="H692" s="2" t="s">
        <v>62</v>
      </c>
      <c r="I692" s="2" t="s">
        <v>75</v>
      </c>
      <c r="J692" s="2" t="s">
        <v>827</v>
      </c>
      <c r="K692" s="2" t="s">
        <v>3042</v>
      </c>
      <c r="L692">
        <v>5</v>
      </c>
      <c r="M692" s="1">
        <v>271000</v>
      </c>
      <c r="N692">
        <v>4.0999999999999996</v>
      </c>
      <c r="O692">
        <v>26</v>
      </c>
      <c r="P692" s="2" t="s">
        <v>53</v>
      </c>
    </row>
    <row r="693" spans="1:16" x14ac:dyDescent="0.25">
      <c r="A693" s="2" t="s">
        <v>3050</v>
      </c>
      <c r="B693" s="2" t="s">
        <v>2594</v>
      </c>
      <c r="C693" s="2" t="s">
        <v>29</v>
      </c>
      <c r="D693" s="2" t="s">
        <v>30</v>
      </c>
      <c r="E693" s="2" t="s">
        <v>20</v>
      </c>
      <c r="F693" s="2" t="s">
        <v>32</v>
      </c>
      <c r="G693" s="2" t="s">
        <v>80</v>
      </c>
      <c r="H693" s="2" t="s">
        <v>23</v>
      </c>
      <c r="I693" s="2" t="s">
        <v>24</v>
      </c>
      <c r="J693" s="2" t="s">
        <v>583</v>
      </c>
      <c r="K693" s="2" t="s">
        <v>2176</v>
      </c>
      <c r="L693">
        <v>5</v>
      </c>
      <c r="M693" s="1">
        <v>204000</v>
      </c>
      <c r="N693">
        <v>2.5</v>
      </c>
      <c r="O693">
        <v>1</v>
      </c>
      <c r="P693" s="2" t="s">
        <v>72</v>
      </c>
    </row>
    <row r="694" spans="1:16" x14ac:dyDescent="0.25">
      <c r="A694" s="2" t="s">
        <v>3055</v>
      </c>
      <c r="B694" s="2" t="s">
        <v>3056</v>
      </c>
      <c r="C694" s="2" t="s">
        <v>29</v>
      </c>
      <c r="D694" s="2" t="s">
        <v>19</v>
      </c>
      <c r="E694" s="2" t="s">
        <v>20</v>
      </c>
      <c r="F694" s="2" t="s">
        <v>128</v>
      </c>
      <c r="G694" s="2" t="s">
        <v>69</v>
      </c>
      <c r="H694" s="2" t="s">
        <v>34</v>
      </c>
      <c r="I694" s="2" t="s">
        <v>57</v>
      </c>
      <c r="J694" s="2" t="s">
        <v>3057</v>
      </c>
      <c r="K694" s="2" t="s">
        <v>158</v>
      </c>
      <c r="L694">
        <v>6</v>
      </c>
      <c r="M694" s="1">
        <v>518000</v>
      </c>
      <c r="N694">
        <v>2.2999999999999998</v>
      </c>
      <c r="O694">
        <v>13</v>
      </c>
      <c r="P694" s="2" t="s">
        <v>72</v>
      </c>
    </row>
    <row r="695" spans="1:16" x14ac:dyDescent="0.25">
      <c r="A695" s="2" t="s">
        <v>3060</v>
      </c>
      <c r="B695" s="2" t="s">
        <v>3061</v>
      </c>
      <c r="C695" s="2" t="s">
        <v>29</v>
      </c>
      <c r="D695" s="2" t="s">
        <v>50</v>
      </c>
      <c r="E695" s="2" t="s">
        <v>44</v>
      </c>
      <c r="F695" s="2" t="s">
        <v>32</v>
      </c>
      <c r="G695" s="2" t="s">
        <v>80</v>
      </c>
      <c r="H695" s="2" t="s">
        <v>23</v>
      </c>
      <c r="I695" s="2" t="s">
        <v>57</v>
      </c>
      <c r="J695" s="2" t="s">
        <v>3062</v>
      </c>
      <c r="K695" s="2" t="s">
        <v>3064</v>
      </c>
      <c r="L695">
        <v>3</v>
      </c>
      <c r="M695" s="1">
        <v>188000</v>
      </c>
      <c r="N695">
        <v>2.4</v>
      </c>
      <c r="O695">
        <v>7</v>
      </c>
      <c r="P695" s="2" t="s">
        <v>26</v>
      </c>
    </row>
    <row r="696" spans="1:16" x14ac:dyDescent="0.25">
      <c r="A696" s="2" t="s">
        <v>3063</v>
      </c>
      <c r="B696" s="2" t="s">
        <v>1573</v>
      </c>
      <c r="C696" s="2" t="s">
        <v>18</v>
      </c>
      <c r="D696" s="2" t="s">
        <v>79</v>
      </c>
      <c r="E696" s="2" t="s">
        <v>44</v>
      </c>
      <c r="F696" s="2" t="s">
        <v>128</v>
      </c>
      <c r="G696" s="2" t="s">
        <v>22</v>
      </c>
      <c r="H696" s="2" t="s">
        <v>23</v>
      </c>
      <c r="I696" s="2" t="s">
        <v>35</v>
      </c>
      <c r="J696" s="2" t="s">
        <v>404</v>
      </c>
      <c r="K696" s="2" t="s">
        <v>3064</v>
      </c>
      <c r="L696">
        <v>6</v>
      </c>
      <c r="M696" s="1">
        <v>514000</v>
      </c>
      <c r="N696">
        <v>3.1</v>
      </c>
      <c r="O696">
        <v>7</v>
      </c>
      <c r="P696" s="2" t="s">
        <v>53</v>
      </c>
    </row>
    <row r="697" spans="1:16" x14ac:dyDescent="0.25">
      <c r="A697" s="2" t="s">
        <v>3067</v>
      </c>
      <c r="B697" s="2" t="s">
        <v>1271</v>
      </c>
      <c r="C697" s="2" t="s">
        <v>18</v>
      </c>
      <c r="D697" s="2" t="s">
        <v>30</v>
      </c>
      <c r="E697" s="2" t="s">
        <v>20</v>
      </c>
      <c r="F697" s="2" t="s">
        <v>32</v>
      </c>
      <c r="G697" s="2" t="s">
        <v>22</v>
      </c>
      <c r="H697" s="2" t="s">
        <v>34</v>
      </c>
      <c r="I697" s="2" t="s">
        <v>57</v>
      </c>
      <c r="J697" s="2" t="s">
        <v>738</v>
      </c>
      <c r="K697" s="2" t="s">
        <v>3085</v>
      </c>
      <c r="L697">
        <v>4</v>
      </c>
      <c r="M697" s="1">
        <v>253000</v>
      </c>
      <c r="N697">
        <v>3.6</v>
      </c>
      <c r="O697">
        <v>6</v>
      </c>
      <c r="P697" s="2" t="s">
        <v>26</v>
      </c>
    </row>
    <row r="698" spans="1:16" x14ac:dyDescent="0.25">
      <c r="A698" s="2" t="s">
        <v>3068</v>
      </c>
      <c r="B698" s="2" t="s">
        <v>3069</v>
      </c>
      <c r="C698" s="2" t="s">
        <v>29</v>
      </c>
      <c r="D698" s="2" t="s">
        <v>79</v>
      </c>
      <c r="E698" s="2" t="s">
        <v>20</v>
      </c>
      <c r="F698" s="2" t="s">
        <v>32</v>
      </c>
      <c r="G698" s="2" t="s">
        <v>69</v>
      </c>
      <c r="H698" s="2" t="s">
        <v>62</v>
      </c>
      <c r="I698" s="2" t="s">
        <v>24</v>
      </c>
      <c r="J698" s="2" t="s">
        <v>3070</v>
      </c>
      <c r="K698" s="2" t="s">
        <v>3085</v>
      </c>
      <c r="L698">
        <v>3</v>
      </c>
      <c r="M698" s="1">
        <v>282000</v>
      </c>
      <c r="N698">
        <v>4.7</v>
      </c>
      <c r="O698">
        <v>9</v>
      </c>
      <c r="P698" s="2" t="s">
        <v>26</v>
      </c>
    </row>
    <row r="699" spans="1:16" x14ac:dyDescent="0.25">
      <c r="A699" s="2" t="s">
        <v>3076</v>
      </c>
      <c r="B699" s="2" t="s">
        <v>3077</v>
      </c>
      <c r="C699" s="2" t="s">
        <v>18</v>
      </c>
      <c r="D699" s="2" t="s">
        <v>50</v>
      </c>
      <c r="E699" s="2" t="s">
        <v>20</v>
      </c>
      <c r="F699" s="2" t="s">
        <v>32</v>
      </c>
      <c r="G699" s="2" t="s">
        <v>22</v>
      </c>
      <c r="H699" s="2" t="s">
        <v>34</v>
      </c>
      <c r="I699" s="2" t="s">
        <v>24</v>
      </c>
      <c r="J699" s="2" t="s">
        <v>3078</v>
      </c>
      <c r="K699" s="2" t="s">
        <v>3085</v>
      </c>
      <c r="L699">
        <v>5</v>
      </c>
      <c r="M699" s="1">
        <v>325000</v>
      </c>
      <c r="N699">
        <v>4.7</v>
      </c>
      <c r="O699">
        <v>10</v>
      </c>
      <c r="P699" s="2" t="s">
        <v>26</v>
      </c>
    </row>
    <row r="700" spans="1:16" x14ac:dyDescent="0.25">
      <c r="A700" s="2" t="s">
        <v>3082</v>
      </c>
      <c r="B700" s="2" t="s">
        <v>3083</v>
      </c>
      <c r="C700" s="2" t="s">
        <v>18</v>
      </c>
      <c r="D700" s="2" t="s">
        <v>50</v>
      </c>
      <c r="E700" s="2" t="s">
        <v>20</v>
      </c>
      <c r="F700" s="2" t="s">
        <v>39</v>
      </c>
      <c r="G700" s="2" t="s">
        <v>80</v>
      </c>
      <c r="H700" s="2" t="s">
        <v>46</v>
      </c>
      <c r="I700" s="2" t="s">
        <v>24</v>
      </c>
      <c r="J700" s="2" t="s">
        <v>3084</v>
      </c>
      <c r="K700" s="2" t="s">
        <v>3085</v>
      </c>
      <c r="L700">
        <v>6</v>
      </c>
      <c r="M700" s="1">
        <v>123000</v>
      </c>
      <c r="N700">
        <v>2.4</v>
      </c>
      <c r="O700">
        <v>7</v>
      </c>
      <c r="P700" s="2" t="s">
        <v>114</v>
      </c>
    </row>
    <row r="701" spans="1:16" x14ac:dyDescent="0.25">
      <c r="A701" s="2" t="s">
        <v>3103</v>
      </c>
      <c r="B701" s="2" t="s">
        <v>3096</v>
      </c>
      <c r="C701" s="2" t="s">
        <v>29</v>
      </c>
      <c r="D701" s="2" t="s">
        <v>30</v>
      </c>
      <c r="E701" s="2" t="s">
        <v>20</v>
      </c>
      <c r="F701" s="2" t="s">
        <v>32</v>
      </c>
      <c r="G701" s="2" t="s">
        <v>22</v>
      </c>
      <c r="H701" s="2" t="s">
        <v>62</v>
      </c>
      <c r="I701" s="2" t="s">
        <v>57</v>
      </c>
      <c r="J701" s="2" t="s">
        <v>3104</v>
      </c>
      <c r="K701" s="2" t="s">
        <v>112</v>
      </c>
      <c r="L701">
        <v>6</v>
      </c>
      <c r="M701" s="1">
        <v>347000</v>
      </c>
      <c r="N701">
        <v>2.5</v>
      </c>
      <c r="O701">
        <v>37</v>
      </c>
      <c r="P701" s="2" t="s">
        <v>114</v>
      </c>
    </row>
    <row r="702" spans="1:16" x14ac:dyDescent="0.25">
      <c r="A702" s="2" t="s">
        <v>3105</v>
      </c>
      <c r="B702" s="2" t="s">
        <v>3106</v>
      </c>
      <c r="C702" s="2" t="s">
        <v>29</v>
      </c>
      <c r="D702" s="2" t="s">
        <v>50</v>
      </c>
      <c r="E702" s="2" t="s">
        <v>20</v>
      </c>
      <c r="F702" s="2" t="s">
        <v>128</v>
      </c>
      <c r="G702" s="2" t="s">
        <v>69</v>
      </c>
      <c r="H702" s="2" t="s">
        <v>62</v>
      </c>
      <c r="I702" s="2" t="s">
        <v>24</v>
      </c>
      <c r="J702" s="2" t="s">
        <v>3107</v>
      </c>
      <c r="K702" s="2" t="s">
        <v>3120</v>
      </c>
      <c r="L702">
        <v>3</v>
      </c>
      <c r="M702" s="1">
        <v>555000</v>
      </c>
      <c r="N702">
        <v>3</v>
      </c>
      <c r="O702">
        <v>4</v>
      </c>
      <c r="P702" s="2" t="s">
        <v>26</v>
      </c>
    </row>
    <row r="703" spans="1:16" x14ac:dyDescent="0.25">
      <c r="A703" s="2" t="s">
        <v>3111</v>
      </c>
      <c r="B703" s="2" t="s">
        <v>3112</v>
      </c>
      <c r="C703" s="2" t="s">
        <v>29</v>
      </c>
      <c r="D703" s="2" t="s">
        <v>50</v>
      </c>
      <c r="E703" s="2" t="s">
        <v>20</v>
      </c>
      <c r="F703" s="2" t="s">
        <v>32</v>
      </c>
      <c r="G703" s="2" t="s">
        <v>80</v>
      </c>
      <c r="H703" s="2" t="s">
        <v>46</v>
      </c>
      <c r="I703" s="2" t="s">
        <v>57</v>
      </c>
      <c r="J703" s="2" t="s">
        <v>196</v>
      </c>
      <c r="K703" s="2" t="s">
        <v>3120</v>
      </c>
      <c r="L703">
        <v>3</v>
      </c>
      <c r="M703" s="1">
        <v>280000</v>
      </c>
      <c r="N703">
        <v>4.5999999999999996</v>
      </c>
      <c r="O703">
        <v>10</v>
      </c>
      <c r="P703" s="2" t="s">
        <v>26</v>
      </c>
    </row>
    <row r="704" spans="1:16" x14ac:dyDescent="0.25">
      <c r="A704" s="2" t="s">
        <v>3113</v>
      </c>
      <c r="B704" s="2" t="s">
        <v>2322</v>
      </c>
      <c r="C704" s="2" t="s">
        <v>18</v>
      </c>
      <c r="D704" s="2" t="s">
        <v>19</v>
      </c>
      <c r="E704" s="2" t="s">
        <v>20</v>
      </c>
      <c r="F704" s="2" t="s">
        <v>21</v>
      </c>
      <c r="G704" s="2" t="s">
        <v>22</v>
      </c>
      <c r="H704" s="2" t="s">
        <v>23</v>
      </c>
      <c r="I704" s="2" t="s">
        <v>57</v>
      </c>
      <c r="J704" s="2" t="s">
        <v>3114</v>
      </c>
      <c r="K704" s="2" t="s">
        <v>3120</v>
      </c>
      <c r="L704">
        <v>5</v>
      </c>
      <c r="M704" s="1">
        <v>940000</v>
      </c>
      <c r="N704">
        <v>4.5</v>
      </c>
      <c r="O704">
        <v>4</v>
      </c>
      <c r="P704" s="2" t="s">
        <v>26</v>
      </c>
    </row>
    <row r="705" spans="1:16" x14ac:dyDescent="0.25">
      <c r="A705" s="2" t="s">
        <v>3115</v>
      </c>
      <c r="B705" s="2" t="s">
        <v>3116</v>
      </c>
      <c r="C705" s="2" t="s">
        <v>18</v>
      </c>
      <c r="D705" s="2" t="s">
        <v>30</v>
      </c>
      <c r="E705" s="2" t="s">
        <v>31</v>
      </c>
      <c r="F705" s="2" t="s">
        <v>39</v>
      </c>
      <c r="G705" s="2" t="s">
        <v>80</v>
      </c>
      <c r="H705" s="2" t="s">
        <v>46</v>
      </c>
      <c r="I705" s="2" t="s">
        <v>24</v>
      </c>
      <c r="J705" s="2" t="s">
        <v>3117</v>
      </c>
      <c r="K705" s="2" t="s">
        <v>3120</v>
      </c>
      <c r="L705">
        <v>2</v>
      </c>
      <c r="M705" s="1">
        <v>114000</v>
      </c>
      <c r="N705">
        <v>1.5</v>
      </c>
      <c r="O705">
        <v>16</v>
      </c>
      <c r="P705" s="2" t="s">
        <v>26</v>
      </c>
    </row>
    <row r="706" spans="1:16" x14ac:dyDescent="0.25">
      <c r="A706" s="2" t="s">
        <v>3118</v>
      </c>
      <c r="B706" s="2" t="s">
        <v>3119</v>
      </c>
      <c r="C706" s="2" t="s">
        <v>18</v>
      </c>
      <c r="D706" s="2" t="s">
        <v>19</v>
      </c>
      <c r="E706" s="2" t="s">
        <v>31</v>
      </c>
      <c r="F706" s="2" t="s">
        <v>21</v>
      </c>
      <c r="G706" s="2" t="s">
        <v>22</v>
      </c>
      <c r="H706" s="2" t="s">
        <v>34</v>
      </c>
      <c r="I706" s="2" t="s">
        <v>57</v>
      </c>
      <c r="J706" s="2" t="s">
        <v>2233</v>
      </c>
      <c r="K706" s="2" t="s">
        <v>3120</v>
      </c>
      <c r="L706">
        <v>3</v>
      </c>
      <c r="M706" s="1">
        <v>1042000</v>
      </c>
      <c r="N706">
        <v>3.8</v>
      </c>
      <c r="O706">
        <v>6</v>
      </c>
      <c r="P706" s="2" t="s">
        <v>53</v>
      </c>
    </row>
    <row r="707" spans="1:16" x14ac:dyDescent="0.25">
      <c r="A707" s="2" t="s">
        <v>3123</v>
      </c>
      <c r="B707" s="2" t="s">
        <v>3124</v>
      </c>
      <c r="C707" s="2" t="s">
        <v>29</v>
      </c>
      <c r="D707" s="2" t="s">
        <v>50</v>
      </c>
      <c r="E707" s="2" t="s">
        <v>20</v>
      </c>
      <c r="F707" s="2" t="s">
        <v>39</v>
      </c>
      <c r="G707" s="2" t="s">
        <v>22</v>
      </c>
      <c r="H707" s="2" t="s">
        <v>62</v>
      </c>
      <c r="I707" s="2" t="s">
        <v>57</v>
      </c>
      <c r="J707" s="2" t="s">
        <v>1363</v>
      </c>
      <c r="K707" s="2" t="s">
        <v>422</v>
      </c>
      <c r="L707">
        <v>6</v>
      </c>
      <c r="M707" s="1">
        <v>149000</v>
      </c>
      <c r="N707">
        <v>2.5</v>
      </c>
      <c r="O707">
        <v>31</v>
      </c>
      <c r="P707" s="2" t="s">
        <v>114</v>
      </c>
    </row>
    <row r="708" spans="1:16" x14ac:dyDescent="0.25">
      <c r="A708" s="2" t="s">
        <v>3125</v>
      </c>
      <c r="B708" s="2" t="s">
        <v>3126</v>
      </c>
      <c r="C708" s="2" t="s">
        <v>29</v>
      </c>
      <c r="D708" s="2" t="s">
        <v>30</v>
      </c>
      <c r="E708" s="2" t="s">
        <v>20</v>
      </c>
      <c r="F708" s="2" t="s">
        <v>39</v>
      </c>
      <c r="G708" s="2" t="s">
        <v>22</v>
      </c>
      <c r="H708" s="2" t="s">
        <v>23</v>
      </c>
      <c r="I708" s="2" t="s">
        <v>35</v>
      </c>
      <c r="J708" s="2" t="s">
        <v>1600</v>
      </c>
      <c r="K708" s="2" t="s">
        <v>239</v>
      </c>
      <c r="L708">
        <v>6</v>
      </c>
      <c r="M708" s="1">
        <v>137000</v>
      </c>
      <c r="N708">
        <v>3.4</v>
      </c>
      <c r="O708">
        <v>4</v>
      </c>
      <c r="P708" s="2" t="s">
        <v>53</v>
      </c>
    </row>
    <row r="709" spans="1:16" x14ac:dyDescent="0.25">
      <c r="A709" s="2" t="s">
        <v>3127</v>
      </c>
      <c r="B709" s="2" t="s">
        <v>3128</v>
      </c>
      <c r="C709" s="2" t="s">
        <v>18</v>
      </c>
      <c r="D709" s="2" t="s">
        <v>50</v>
      </c>
      <c r="E709" s="2" t="s">
        <v>44</v>
      </c>
      <c r="F709" s="2" t="s">
        <v>128</v>
      </c>
      <c r="G709" s="2" t="s">
        <v>33</v>
      </c>
      <c r="H709" s="2" t="s">
        <v>34</v>
      </c>
      <c r="I709" s="2" t="s">
        <v>171</v>
      </c>
      <c r="J709" s="2" t="s">
        <v>3129</v>
      </c>
      <c r="K709" s="2" t="s">
        <v>3140</v>
      </c>
      <c r="L709">
        <v>5</v>
      </c>
      <c r="M709" s="1">
        <v>553000</v>
      </c>
      <c r="N709">
        <v>4.4000000000000004</v>
      </c>
      <c r="O709">
        <v>7</v>
      </c>
      <c r="P709" s="2" t="s">
        <v>26</v>
      </c>
    </row>
    <row r="710" spans="1:16" x14ac:dyDescent="0.25">
      <c r="A710" s="2" t="s">
        <v>3131</v>
      </c>
      <c r="B710" s="2" t="s">
        <v>3132</v>
      </c>
      <c r="C710" s="2" t="s">
        <v>29</v>
      </c>
      <c r="D710" s="2" t="s">
        <v>50</v>
      </c>
      <c r="E710" s="2" t="s">
        <v>44</v>
      </c>
      <c r="F710" s="2" t="s">
        <v>32</v>
      </c>
      <c r="G710" s="2" t="s">
        <v>22</v>
      </c>
      <c r="H710" s="2" t="s">
        <v>46</v>
      </c>
      <c r="I710" s="2" t="s">
        <v>57</v>
      </c>
      <c r="J710" s="2" t="s">
        <v>1488</v>
      </c>
      <c r="K710" s="2" t="s">
        <v>3140</v>
      </c>
      <c r="L710">
        <v>3</v>
      </c>
      <c r="M710" s="1">
        <v>322000</v>
      </c>
      <c r="N710">
        <v>3.1</v>
      </c>
      <c r="O710">
        <v>12</v>
      </c>
      <c r="P710" s="2" t="s">
        <v>26</v>
      </c>
    </row>
    <row r="711" spans="1:16" x14ac:dyDescent="0.25">
      <c r="A711" s="2" t="s">
        <v>3135</v>
      </c>
      <c r="B711" s="2" t="s">
        <v>3136</v>
      </c>
      <c r="C711" s="2" t="s">
        <v>29</v>
      </c>
      <c r="D711" s="2" t="s">
        <v>79</v>
      </c>
      <c r="E711" s="2" t="s">
        <v>20</v>
      </c>
      <c r="F711" s="2" t="s">
        <v>128</v>
      </c>
      <c r="G711" s="2" t="s">
        <v>33</v>
      </c>
      <c r="H711" s="2" t="s">
        <v>34</v>
      </c>
      <c r="I711" s="2" t="s">
        <v>75</v>
      </c>
      <c r="J711" s="2" t="s">
        <v>645</v>
      </c>
      <c r="K711" s="2" t="s">
        <v>3140</v>
      </c>
      <c r="L711">
        <v>2</v>
      </c>
      <c r="M711" s="1">
        <v>402000</v>
      </c>
      <c r="N711">
        <v>2.4</v>
      </c>
      <c r="O711">
        <v>10</v>
      </c>
      <c r="P711" s="2" t="s">
        <v>26</v>
      </c>
    </row>
    <row r="712" spans="1:16" x14ac:dyDescent="0.25">
      <c r="A712" s="2" t="s">
        <v>3137</v>
      </c>
      <c r="B712" s="2" t="s">
        <v>3138</v>
      </c>
      <c r="C712" s="2" t="s">
        <v>18</v>
      </c>
      <c r="D712" s="2" t="s">
        <v>50</v>
      </c>
      <c r="E712" s="2" t="s">
        <v>20</v>
      </c>
      <c r="F712" s="2" t="s">
        <v>128</v>
      </c>
      <c r="G712" s="2" t="s">
        <v>33</v>
      </c>
      <c r="H712" s="2" t="s">
        <v>23</v>
      </c>
      <c r="I712" s="2" t="s">
        <v>35</v>
      </c>
      <c r="J712" s="2" t="s">
        <v>3139</v>
      </c>
      <c r="K712" s="2" t="s">
        <v>3140</v>
      </c>
      <c r="L712">
        <v>2</v>
      </c>
      <c r="M712" s="1">
        <v>536000</v>
      </c>
      <c r="N712">
        <v>4.2</v>
      </c>
      <c r="O712">
        <v>4</v>
      </c>
      <c r="P712" s="2" t="s">
        <v>53</v>
      </c>
    </row>
    <row r="713" spans="1:16" x14ac:dyDescent="0.25">
      <c r="A713" s="2" t="s">
        <v>3141</v>
      </c>
      <c r="B713" s="2" t="s">
        <v>3142</v>
      </c>
      <c r="C713" s="2" t="s">
        <v>29</v>
      </c>
      <c r="D713" s="2" t="s">
        <v>50</v>
      </c>
      <c r="E713" s="2" t="s">
        <v>20</v>
      </c>
      <c r="F713" s="2" t="s">
        <v>32</v>
      </c>
      <c r="G713" s="2" t="s">
        <v>33</v>
      </c>
      <c r="H713" s="2" t="s">
        <v>62</v>
      </c>
      <c r="I713" s="2" t="s">
        <v>24</v>
      </c>
      <c r="J713" s="2" t="s">
        <v>3143</v>
      </c>
      <c r="K713" s="2" t="s">
        <v>1901</v>
      </c>
      <c r="L713">
        <v>4</v>
      </c>
      <c r="M713" s="1">
        <v>238000</v>
      </c>
      <c r="N713">
        <v>2.7</v>
      </c>
      <c r="O713">
        <v>9</v>
      </c>
      <c r="P713" s="2" t="s">
        <v>26</v>
      </c>
    </row>
    <row r="714" spans="1:16" x14ac:dyDescent="0.25">
      <c r="A714" s="2" t="s">
        <v>3146</v>
      </c>
      <c r="B714" s="2" t="s">
        <v>3147</v>
      </c>
      <c r="C714" s="2" t="s">
        <v>29</v>
      </c>
      <c r="D714" s="2" t="s">
        <v>79</v>
      </c>
      <c r="E714" s="2" t="s">
        <v>20</v>
      </c>
      <c r="F714" s="2" t="s">
        <v>32</v>
      </c>
      <c r="G714" s="2" t="s">
        <v>22</v>
      </c>
      <c r="H714" s="2" t="s">
        <v>62</v>
      </c>
      <c r="I714" s="2" t="s">
        <v>35</v>
      </c>
      <c r="J714" s="2" t="s">
        <v>51</v>
      </c>
      <c r="K714" s="2" t="s">
        <v>1901</v>
      </c>
      <c r="L714">
        <v>5</v>
      </c>
      <c r="M714" s="1">
        <v>184000</v>
      </c>
      <c r="N714">
        <v>2</v>
      </c>
      <c r="O714">
        <v>4</v>
      </c>
      <c r="P714" s="2" t="s">
        <v>26</v>
      </c>
    </row>
    <row r="715" spans="1:16" x14ac:dyDescent="0.25">
      <c r="A715" s="2" t="s">
        <v>3151</v>
      </c>
      <c r="B715" s="2" t="s">
        <v>3152</v>
      </c>
      <c r="C715" s="2" t="s">
        <v>29</v>
      </c>
      <c r="D715" s="2" t="s">
        <v>79</v>
      </c>
      <c r="E715" s="2" t="s">
        <v>20</v>
      </c>
      <c r="F715" s="2" t="s">
        <v>32</v>
      </c>
      <c r="G715" s="2" t="s">
        <v>22</v>
      </c>
      <c r="H715" s="2" t="s">
        <v>23</v>
      </c>
      <c r="I715" s="2" t="s">
        <v>35</v>
      </c>
      <c r="J715" s="2" t="s">
        <v>2687</v>
      </c>
      <c r="K715" s="2" t="s">
        <v>1901</v>
      </c>
      <c r="L715">
        <v>2</v>
      </c>
      <c r="M715" s="1">
        <v>315000</v>
      </c>
      <c r="N715">
        <v>4.3</v>
      </c>
      <c r="O715">
        <v>3</v>
      </c>
      <c r="P715" s="2" t="s">
        <v>26</v>
      </c>
    </row>
    <row r="716" spans="1:16" x14ac:dyDescent="0.25">
      <c r="A716" s="2" t="s">
        <v>3153</v>
      </c>
      <c r="B716" s="2" t="s">
        <v>1150</v>
      </c>
      <c r="C716" s="2" t="s">
        <v>18</v>
      </c>
      <c r="D716" s="2" t="s">
        <v>50</v>
      </c>
      <c r="E716" s="2" t="s">
        <v>20</v>
      </c>
      <c r="F716" s="2" t="s">
        <v>39</v>
      </c>
      <c r="G716" s="2" t="s">
        <v>33</v>
      </c>
      <c r="H716" s="2" t="s">
        <v>23</v>
      </c>
      <c r="I716" s="2" t="s">
        <v>24</v>
      </c>
      <c r="J716" s="2" t="s">
        <v>1382</v>
      </c>
      <c r="K716" s="2" t="s">
        <v>1901</v>
      </c>
      <c r="L716">
        <v>6</v>
      </c>
      <c r="M716" s="1">
        <v>100000</v>
      </c>
      <c r="N716">
        <v>3.7</v>
      </c>
      <c r="O716">
        <v>18</v>
      </c>
      <c r="P716" s="2" t="s">
        <v>26</v>
      </c>
    </row>
    <row r="717" spans="1:16" x14ac:dyDescent="0.25">
      <c r="A717" s="2" t="s">
        <v>3156</v>
      </c>
      <c r="B717" s="2" t="s">
        <v>3157</v>
      </c>
      <c r="C717" s="2" t="s">
        <v>18</v>
      </c>
      <c r="D717" s="2" t="s">
        <v>30</v>
      </c>
      <c r="E717" s="2" t="s">
        <v>20</v>
      </c>
      <c r="F717" s="2" t="s">
        <v>128</v>
      </c>
      <c r="G717" s="2" t="s">
        <v>22</v>
      </c>
      <c r="H717" s="2" t="s">
        <v>23</v>
      </c>
      <c r="I717" s="2" t="s">
        <v>24</v>
      </c>
      <c r="J717" s="2" t="s">
        <v>3158</v>
      </c>
      <c r="K717" s="2" t="s">
        <v>1901</v>
      </c>
      <c r="L717">
        <v>5</v>
      </c>
      <c r="M717" s="1">
        <v>559000</v>
      </c>
      <c r="N717">
        <v>3.9</v>
      </c>
      <c r="O717">
        <v>0</v>
      </c>
      <c r="P717" s="2" t="s">
        <v>72</v>
      </c>
    </row>
    <row r="718" spans="1:16" x14ac:dyDescent="0.25">
      <c r="A718" s="2" t="s">
        <v>3162</v>
      </c>
      <c r="B718" s="2" t="s">
        <v>2325</v>
      </c>
      <c r="C718" s="2" t="s">
        <v>29</v>
      </c>
      <c r="D718" s="2" t="s">
        <v>50</v>
      </c>
      <c r="E718" s="2" t="s">
        <v>20</v>
      </c>
      <c r="F718" s="2" t="s">
        <v>39</v>
      </c>
      <c r="G718" s="2" t="s">
        <v>22</v>
      </c>
      <c r="H718" s="2" t="s">
        <v>23</v>
      </c>
      <c r="I718" s="2" t="s">
        <v>35</v>
      </c>
      <c r="J718" s="2" t="s">
        <v>3163</v>
      </c>
      <c r="K718" s="2" t="s">
        <v>3169</v>
      </c>
      <c r="L718">
        <v>5</v>
      </c>
      <c r="M718" s="1">
        <v>110000</v>
      </c>
      <c r="N718">
        <v>2.1</v>
      </c>
      <c r="O718">
        <v>7</v>
      </c>
      <c r="P718" s="2" t="s">
        <v>26</v>
      </c>
    </row>
    <row r="719" spans="1:16" x14ac:dyDescent="0.25">
      <c r="A719" s="2" t="s">
        <v>3167</v>
      </c>
      <c r="B719" s="2" t="s">
        <v>3168</v>
      </c>
      <c r="C719" s="2" t="s">
        <v>18</v>
      </c>
      <c r="D719" s="2" t="s">
        <v>50</v>
      </c>
      <c r="E719" s="2" t="s">
        <v>44</v>
      </c>
      <c r="F719" s="2" t="s">
        <v>32</v>
      </c>
      <c r="G719" s="2" t="s">
        <v>80</v>
      </c>
      <c r="H719" s="2" t="s">
        <v>46</v>
      </c>
      <c r="I719" s="2" t="s">
        <v>75</v>
      </c>
      <c r="J719" s="2" t="s">
        <v>1231</v>
      </c>
      <c r="K719" s="2" t="s">
        <v>3169</v>
      </c>
      <c r="L719">
        <v>3</v>
      </c>
      <c r="M719" s="1">
        <v>227000</v>
      </c>
      <c r="N719">
        <v>2.8</v>
      </c>
      <c r="O719">
        <v>0</v>
      </c>
      <c r="P719" s="2" t="s">
        <v>53</v>
      </c>
    </row>
    <row r="720" spans="1:16" x14ac:dyDescent="0.25">
      <c r="A720" s="2" t="s">
        <v>3170</v>
      </c>
      <c r="B720" s="2" t="s">
        <v>3171</v>
      </c>
      <c r="C720" s="2" t="s">
        <v>18</v>
      </c>
      <c r="D720" s="2" t="s">
        <v>79</v>
      </c>
      <c r="E720" s="2" t="s">
        <v>20</v>
      </c>
      <c r="F720" s="2" t="s">
        <v>39</v>
      </c>
      <c r="G720" s="2" t="s">
        <v>22</v>
      </c>
      <c r="H720" s="2" t="s">
        <v>62</v>
      </c>
      <c r="I720" s="2" t="s">
        <v>24</v>
      </c>
      <c r="J720" s="2" t="s">
        <v>3172</v>
      </c>
      <c r="K720" s="2" t="s">
        <v>975</v>
      </c>
      <c r="L720">
        <v>2</v>
      </c>
      <c r="M720" s="1">
        <v>105000</v>
      </c>
      <c r="N720">
        <v>3.4</v>
      </c>
      <c r="O720">
        <v>14</v>
      </c>
      <c r="P720" s="2" t="s">
        <v>53</v>
      </c>
    </row>
    <row r="721" spans="1:16" x14ac:dyDescent="0.25">
      <c r="A721" s="2" t="s">
        <v>3173</v>
      </c>
      <c r="B721" s="2" t="s">
        <v>3174</v>
      </c>
      <c r="C721" s="2" t="s">
        <v>29</v>
      </c>
      <c r="D721" s="2" t="s">
        <v>30</v>
      </c>
      <c r="E721" s="2" t="s">
        <v>44</v>
      </c>
      <c r="F721" s="2" t="s">
        <v>45</v>
      </c>
      <c r="G721" s="2" t="s">
        <v>22</v>
      </c>
      <c r="H721" s="2" t="s">
        <v>34</v>
      </c>
      <c r="I721" s="2" t="s">
        <v>24</v>
      </c>
      <c r="J721" s="2" t="s">
        <v>1623</v>
      </c>
      <c r="K721" s="2" t="s">
        <v>2853</v>
      </c>
      <c r="L721">
        <v>3</v>
      </c>
      <c r="M721" s="1">
        <v>1879000</v>
      </c>
      <c r="N721">
        <v>3.5</v>
      </c>
      <c r="O721">
        <v>36</v>
      </c>
      <c r="P721" s="2" t="s">
        <v>26</v>
      </c>
    </row>
    <row r="722" spans="1:16" x14ac:dyDescent="0.25">
      <c r="A722" s="2" t="s">
        <v>3175</v>
      </c>
      <c r="B722" s="2" t="s">
        <v>3176</v>
      </c>
      <c r="C722" s="2" t="s">
        <v>29</v>
      </c>
      <c r="D722" s="2" t="s">
        <v>30</v>
      </c>
      <c r="E722" s="2" t="s">
        <v>44</v>
      </c>
      <c r="F722" s="2" t="s">
        <v>39</v>
      </c>
      <c r="G722" s="2" t="s">
        <v>80</v>
      </c>
      <c r="H722" s="2" t="s">
        <v>34</v>
      </c>
      <c r="I722" s="2" t="s">
        <v>171</v>
      </c>
      <c r="J722" s="2" t="s">
        <v>302</v>
      </c>
      <c r="K722" s="2" t="s">
        <v>2853</v>
      </c>
      <c r="L722">
        <v>3</v>
      </c>
      <c r="M722" s="1">
        <v>109000</v>
      </c>
      <c r="N722">
        <v>3.3</v>
      </c>
      <c r="O722">
        <v>12</v>
      </c>
      <c r="P722" s="2" t="s">
        <v>53</v>
      </c>
    </row>
    <row r="723" spans="1:16" x14ac:dyDescent="0.25">
      <c r="A723" s="2" t="s">
        <v>3181</v>
      </c>
      <c r="B723" s="2" t="s">
        <v>3182</v>
      </c>
      <c r="C723" s="2" t="s">
        <v>18</v>
      </c>
      <c r="D723" s="2" t="s">
        <v>30</v>
      </c>
      <c r="E723" s="2" t="s">
        <v>20</v>
      </c>
      <c r="F723" s="2" t="s">
        <v>32</v>
      </c>
      <c r="G723" s="2" t="s">
        <v>22</v>
      </c>
      <c r="H723" s="2" t="s">
        <v>23</v>
      </c>
      <c r="I723" s="2" t="s">
        <v>24</v>
      </c>
      <c r="J723" s="2" t="s">
        <v>3183</v>
      </c>
      <c r="K723" s="2" t="s">
        <v>3184</v>
      </c>
      <c r="L723">
        <v>2</v>
      </c>
      <c r="M723" s="1">
        <v>340000</v>
      </c>
      <c r="N723">
        <v>4</v>
      </c>
      <c r="O723">
        <v>32</v>
      </c>
      <c r="P723" s="2" t="s">
        <v>53</v>
      </c>
    </row>
    <row r="724" spans="1:16" x14ac:dyDescent="0.25">
      <c r="A724" s="2" t="s">
        <v>3186</v>
      </c>
      <c r="B724" s="2" t="s">
        <v>3187</v>
      </c>
      <c r="C724" s="2" t="s">
        <v>29</v>
      </c>
      <c r="D724" s="2" t="s">
        <v>43</v>
      </c>
      <c r="E724" s="2" t="s">
        <v>20</v>
      </c>
      <c r="F724" s="2" t="s">
        <v>32</v>
      </c>
      <c r="G724" s="2" t="s">
        <v>33</v>
      </c>
      <c r="H724" s="2" t="s">
        <v>46</v>
      </c>
      <c r="I724" s="2" t="s">
        <v>24</v>
      </c>
      <c r="J724" s="2" t="s">
        <v>3188</v>
      </c>
      <c r="K724" s="2" t="s">
        <v>2337</v>
      </c>
      <c r="L724">
        <v>5</v>
      </c>
      <c r="M724" s="1">
        <v>206000</v>
      </c>
      <c r="N724">
        <v>4.4000000000000004</v>
      </c>
      <c r="O724">
        <v>7</v>
      </c>
      <c r="P724" s="2" t="s">
        <v>26</v>
      </c>
    </row>
    <row r="725" spans="1:16" x14ac:dyDescent="0.25">
      <c r="A725" s="2" t="s">
        <v>3191</v>
      </c>
      <c r="B725" s="2" t="s">
        <v>3192</v>
      </c>
      <c r="C725" s="2" t="s">
        <v>29</v>
      </c>
      <c r="D725" s="2" t="s">
        <v>19</v>
      </c>
      <c r="E725" s="2" t="s">
        <v>20</v>
      </c>
      <c r="F725" s="2" t="s">
        <v>39</v>
      </c>
      <c r="G725" s="2" t="s">
        <v>33</v>
      </c>
      <c r="H725" s="2" t="s">
        <v>34</v>
      </c>
      <c r="I725" s="2" t="s">
        <v>57</v>
      </c>
      <c r="J725" s="2" t="s">
        <v>394</v>
      </c>
      <c r="K725" s="2" t="s">
        <v>2337</v>
      </c>
      <c r="L725">
        <v>7</v>
      </c>
      <c r="M725" s="1">
        <v>177000</v>
      </c>
      <c r="N725">
        <v>2.5</v>
      </c>
      <c r="O725">
        <v>11</v>
      </c>
      <c r="P725" s="2" t="s">
        <v>114</v>
      </c>
    </row>
    <row r="726" spans="1:16" x14ac:dyDescent="0.25">
      <c r="A726" s="2" t="s">
        <v>3193</v>
      </c>
      <c r="B726" s="2" t="s">
        <v>3194</v>
      </c>
      <c r="C726" s="2" t="s">
        <v>29</v>
      </c>
      <c r="D726" s="2" t="s">
        <v>79</v>
      </c>
      <c r="E726" s="2" t="s">
        <v>20</v>
      </c>
      <c r="F726" s="2" t="s">
        <v>128</v>
      </c>
      <c r="G726" s="2" t="s">
        <v>69</v>
      </c>
      <c r="H726" s="2" t="s">
        <v>34</v>
      </c>
      <c r="I726" s="2" t="s">
        <v>24</v>
      </c>
      <c r="J726" s="2" t="s">
        <v>3195</v>
      </c>
      <c r="K726" s="2" t="s">
        <v>1712</v>
      </c>
      <c r="L726">
        <v>6</v>
      </c>
      <c r="M726" s="1">
        <v>394000</v>
      </c>
      <c r="N726">
        <v>4</v>
      </c>
      <c r="O726">
        <v>1</v>
      </c>
      <c r="P726" s="2" t="s">
        <v>26</v>
      </c>
    </row>
    <row r="727" spans="1:16" x14ac:dyDescent="0.25">
      <c r="A727" s="2" t="s">
        <v>3196</v>
      </c>
      <c r="B727" s="2" t="s">
        <v>3197</v>
      </c>
      <c r="C727" s="2" t="s">
        <v>29</v>
      </c>
      <c r="D727" s="2" t="s">
        <v>43</v>
      </c>
      <c r="E727" s="2" t="s">
        <v>20</v>
      </c>
      <c r="F727" s="2" t="s">
        <v>32</v>
      </c>
      <c r="G727" s="2" t="s">
        <v>80</v>
      </c>
      <c r="H727" s="2" t="s">
        <v>46</v>
      </c>
      <c r="I727" s="2" t="s">
        <v>24</v>
      </c>
      <c r="J727" s="2" t="s">
        <v>3198</v>
      </c>
      <c r="K727" s="2" t="s">
        <v>1712</v>
      </c>
      <c r="L727">
        <v>6</v>
      </c>
      <c r="M727" s="1">
        <v>239000</v>
      </c>
      <c r="N727">
        <v>3.7</v>
      </c>
      <c r="O727">
        <v>14</v>
      </c>
      <c r="P727" s="2" t="s">
        <v>26</v>
      </c>
    </row>
    <row r="728" spans="1:16" x14ac:dyDescent="0.25">
      <c r="A728" s="2" t="s">
        <v>3200</v>
      </c>
      <c r="B728" s="2" t="s">
        <v>3201</v>
      </c>
      <c r="C728" s="2" t="s">
        <v>18</v>
      </c>
      <c r="D728" s="2" t="s">
        <v>43</v>
      </c>
      <c r="E728" s="2" t="s">
        <v>20</v>
      </c>
      <c r="F728" s="2" t="s">
        <v>21</v>
      </c>
      <c r="G728" s="2" t="s">
        <v>22</v>
      </c>
      <c r="H728" s="2" t="s">
        <v>34</v>
      </c>
      <c r="I728" s="2" t="s">
        <v>57</v>
      </c>
      <c r="J728" s="2" t="s">
        <v>2701</v>
      </c>
      <c r="K728" s="2" t="s">
        <v>1712</v>
      </c>
      <c r="L728">
        <v>3</v>
      </c>
      <c r="M728" s="1">
        <v>600000</v>
      </c>
      <c r="N728">
        <v>4.3</v>
      </c>
      <c r="O728">
        <v>3</v>
      </c>
      <c r="P728" s="2" t="s">
        <v>53</v>
      </c>
    </row>
    <row r="729" spans="1:16" x14ac:dyDescent="0.25">
      <c r="A729" s="2" t="s">
        <v>3202</v>
      </c>
      <c r="B729" s="2" t="s">
        <v>3203</v>
      </c>
      <c r="C729" s="2" t="s">
        <v>18</v>
      </c>
      <c r="D729" s="2" t="s">
        <v>79</v>
      </c>
      <c r="E729" s="2" t="s">
        <v>31</v>
      </c>
      <c r="F729" s="2" t="s">
        <v>32</v>
      </c>
      <c r="G729" s="2" t="s">
        <v>80</v>
      </c>
      <c r="H729" s="2" t="s">
        <v>23</v>
      </c>
      <c r="I729" s="2" t="s">
        <v>24</v>
      </c>
      <c r="J729" s="2" t="s">
        <v>3030</v>
      </c>
      <c r="K729" s="2" t="s">
        <v>2565</v>
      </c>
      <c r="L729">
        <v>4</v>
      </c>
      <c r="M729" s="1">
        <v>336000</v>
      </c>
      <c r="N729">
        <v>2.5</v>
      </c>
      <c r="O729">
        <v>5</v>
      </c>
      <c r="P729" s="2" t="s">
        <v>26</v>
      </c>
    </row>
    <row r="730" spans="1:16" x14ac:dyDescent="0.25">
      <c r="A730" s="2" t="s">
        <v>3204</v>
      </c>
      <c r="B730" s="2" t="s">
        <v>3205</v>
      </c>
      <c r="C730" s="2" t="s">
        <v>18</v>
      </c>
      <c r="D730" s="2" t="s">
        <v>50</v>
      </c>
      <c r="E730" s="2" t="s">
        <v>20</v>
      </c>
      <c r="F730" s="2" t="s">
        <v>128</v>
      </c>
      <c r="G730" s="2" t="s">
        <v>22</v>
      </c>
      <c r="H730" s="2" t="s">
        <v>23</v>
      </c>
      <c r="I730" s="2" t="s">
        <v>24</v>
      </c>
      <c r="J730" s="2" t="s">
        <v>3206</v>
      </c>
      <c r="K730" s="2" t="s">
        <v>2565</v>
      </c>
      <c r="L730">
        <v>6</v>
      </c>
      <c r="M730" s="1">
        <v>352000</v>
      </c>
      <c r="N730">
        <v>4.2</v>
      </c>
      <c r="O730">
        <v>9</v>
      </c>
      <c r="P730" s="2" t="s">
        <v>26</v>
      </c>
    </row>
    <row r="731" spans="1:16" x14ac:dyDescent="0.25">
      <c r="A731" s="2" t="s">
        <v>3207</v>
      </c>
      <c r="B731" s="2" t="s">
        <v>3208</v>
      </c>
      <c r="C731" s="2" t="s">
        <v>18</v>
      </c>
      <c r="D731" s="2" t="s">
        <v>30</v>
      </c>
      <c r="E731" s="2" t="s">
        <v>20</v>
      </c>
      <c r="F731" s="2" t="s">
        <v>32</v>
      </c>
      <c r="G731" s="2" t="s">
        <v>22</v>
      </c>
      <c r="H731" s="2" t="s">
        <v>23</v>
      </c>
      <c r="I731" s="2" t="s">
        <v>35</v>
      </c>
      <c r="J731" s="2" t="s">
        <v>823</v>
      </c>
      <c r="K731" s="2" t="s">
        <v>2565</v>
      </c>
      <c r="L731">
        <v>2</v>
      </c>
      <c r="M731" s="1">
        <v>221000</v>
      </c>
      <c r="N731">
        <v>2.8</v>
      </c>
      <c r="O731">
        <v>8</v>
      </c>
      <c r="P731" s="2" t="s">
        <v>26</v>
      </c>
    </row>
    <row r="732" spans="1:16" x14ac:dyDescent="0.25">
      <c r="A732" s="2" t="s">
        <v>3209</v>
      </c>
      <c r="B732" s="2" t="s">
        <v>3210</v>
      </c>
      <c r="C732" s="2" t="s">
        <v>29</v>
      </c>
      <c r="D732" s="2" t="s">
        <v>30</v>
      </c>
      <c r="E732" s="2" t="s">
        <v>20</v>
      </c>
      <c r="F732" s="2" t="s">
        <v>128</v>
      </c>
      <c r="G732" s="2" t="s">
        <v>80</v>
      </c>
      <c r="H732" s="2" t="s">
        <v>23</v>
      </c>
      <c r="I732" s="2" t="s">
        <v>35</v>
      </c>
      <c r="J732" s="2" t="s">
        <v>2335</v>
      </c>
      <c r="K732" s="2" t="s">
        <v>2565</v>
      </c>
      <c r="L732">
        <v>3</v>
      </c>
      <c r="M732" s="1">
        <v>557000</v>
      </c>
      <c r="N732">
        <v>3.4</v>
      </c>
      <c r="O732">
        <v>1</v>
      </c>
      <c r="P732" s="2" t="s">
        <v>26</v>
      </c>
    </row>
    <row r="733" spans="1:16" x14ac:dyDescent="0.25">
      <c r="A733" s="2" t="s">
        <v>3211</v>
      </c>
      <c r="B733" s="2" t="s">
        <v>120</v>
      </c>
      <c r="C733" s="2" t="s">
        <v>18</v>
      </c>
      <c r="D733" s="2" t="s">
        <v>50</v>
      </c>
      <c r="E733" s="2" t="s">
        <v>20</v>
      </c>
      <c r="F733" s="2" t="s">
        <v>128</v>
      </c>
      <c r="G733" s="2" t="s">
        <v>33</v>
      </c>
      <c r="H733" s="2" t="s">
        <v>23</v>
      </c>
      <c r="I733" s="2" t="s">
        <v>35</v>
      </c>
      <c r="J733" s="2" t="s">
        <v>2937</v>
      </c>
      <c r="K733" s="2" t="s">
        <v>2565</v>
      </c>
      <c r="L733">
        <v>3</v>
      </c>
      <c r="M733" s="1">
        <v>516000</v>
      </c>
      <c r="N733">
        <v>3.7</v>
      </c>
      <c r="O733">
        <v>2</v>
      </c>
      <c r="P733" s="2" t="s">
        <v>53</v>
      </c>
    </row>
    <row r="734" spans="1:16" x14ac:dyDescent="0.25">
      <c r="A734" s="2" t="s">
        <v>3215</v>
      </c>
      <c r="B734" s="2" t="s">
        <v>3216</v>
      </c>
      <c r="C734" s="2" t="s">
        <v>29</v>
      </c>
      <c r="D734" s="2" t="s">
        <v>19</v>
      </c>
      <c r="E734" s="2" t="s">
        <v>20</v>
      </c>
      <c r="F734" s="2" t="s">
        <v>32</v>
      </c>
      <c r="G734" s="2" t="s">
        <v>33</v>
      </c>
      <c r="H734" s="2" t="s">
        <v>23</v>
      </c>
      <c r="I734" s="2" t="s">
        <v>57</v>
      </c>
      <c r="J734" s="2" t="s">
        <v>1118</v>
      </c>
      <c r="K734" s="2" t="s">
        <v>1313</v>
      </c>
      <c r="L734">
        <v>5</v>
      </c>
      <c r="M734" s="1">
        <v>233000</v>
      </c>
      <c r="N734">
        <v>3.5</v>
      </c>
      <c r="O734">
        <v>10</v>
      </c>
      <c r="P734" s="2" t="s">
        <v>72</v>
      </c>
    </row>
    <row r="735" spans="1:16" x14ac:dyDescent="0.25">
      <c r="A735" s="2" t="s">
        <v>3222</v>
      </c>
      <c r="B735" s="2" t="s">
        <v>3223</v>
      </c>
      <c r="C735" s="2" t="s">
        <v>18</v>
      </c>
      <c r="D735" s="2" t="s">
        <v>30</v>
      </c>
      <c r="E735" s="2" t="s">
        <v>20</v>
      </c>
      <c r="F735" s="2" t="s">
        <v>39</v>
      </c>
      <c r="G735" s="2" t="s">
        <v>22</v>
      </c>
      <c r="H735" s="2" t="s">
        <v>23</v>
      </c>
      <c r="I735" s="2" t="s">
        <v>75</v>
      </c>
      <c r="J735" s="2" t="s">
        <v>3224</v>
      </c>
      <c r="K735" s="2" t="s">
        <v>129</v>
      </c>
      <c r="L735">
        <v>4</v>
      </c>
      <c r="M735" s="1">
        <v>95000</v>
      </c>
      <c r="N735">
        <v>2.6</v>
      </c>
      <c r="O735">
        <v>7</v>
      </c>
      <c r="P735" s="2" t="s">
        <v>26</v>
      </c>
    </row>
    <row r="736" spans="1:16" x14ac:dyDescent="0.25">
      <c r="A736" s="2" t="s">
        <v>3229</v>
      </c>
      <c r="B736" s="2" t="s">
        <v>3100</v>
      </c>
      <c r="C736" s="2" t="s">
        <v>29</v>
      </c>
      <c r="D736" s="2" t="s">
        <v>19</v>
      </c>
      <c r="E736" s="2" t="s">
        <v>20</v>
      </c>
      <c r="F736" s="2" t="s">
        <v>32</v>
      </c>
      <c r="G736" s="2" t="s">
        <v>80</v>
      </c>
      <c r="H736" s="2" t="s">
        <v>46</v>
      </c>
      <c r="I736" s="2" t="s">
        <v>75</v>
      </c>
      <c r="J736" s="2" t="s">
        <v>2666</v>
      </c>
      <c r="K736" s="2" t="s">
        <v>129</v>
      </c>
      <c r="L736">
        <v>5</v>
      </c>
      <c r="M736" s="1">
        <v>324000</v>
      </c>
      <c r="N736">
        <v>2.5</v>
      </c>
      <c r="O736">
        <v>34</v>
      </c>
      <c r="P736" s="2" t="s">
        <v>53</v>
      </c>
    </row>
    <row r="737" spans="1:16" x14ac:dyDescent="0.25">
      <c r="A737" s="2" t="s">
        <v>3237</v>
      </c>
      <c r="B737" s="2" t="s">
        <v>768</v>
      </c>
      <c r="C737" s="2" t="s">
        <v>18</v>
      </c>
      <c r="D737" s="2" t="s">
        <v>30</v>
      </c>
      <c r="E737" s="2" t="s">
        <v>31</v>
      </c>
      <c r="F737" s="2" t="s">
        <v>128</v>
      </c>
      <c r="G737" s="2" t="s">
        <v>80</v>
      </c>
      <c r="H737" s="2" t="s">
        <v>34</v>
      </c>
      <c r="I737" s="2" t="s">
        <v>24</v>
      </c>
      <c r="J737" s="2" t="s">
        <v>3238</v>
      </c>
      <c r="K737" s="2" t="s">
        <v>3242</v>
      </c>
      <c r="L737">
        <v>2</v>
      </c>
      <c r="M737" s="1">
        <v>592000</v>
      </c>
      <c r="N737">
        <v>4.5999999999999996</v>
      </c>
      <c r="O737">
        <v>17</v>
      </c>
      <c r="P737" s="2" t="s">
        <v>26</v>
      </c>
    </row>
    <row r="738" spans="1:16" x14ac:dyDescent="0.25">
      <c r="A738" s="2" t="s">
        <v>3239</v>
      </c>
      <c r="B738" s="2" t="s">
        <v>3240</v>
      </c>
      <c r="C738" s="2" t="s">
        <v>18</v>
      </c>
      <c r="D738" s="2" t="s">
        <v>50</v>
      </c>
      <c r="E738" s="2" t="s">
        <v>20</v>
      </c>
      <c r="F738" s="2" t="s">
        <v>128</v>
      </c>
      <c r="G738" s="2" t="s">
        <v>22</v>
      </c>
      <c r="H738" s="2" t="s">
        <v>23</v>
      </c>
      <c r="I738" s="2" t="s">
        <v>75</v>
      </c>
      <c r="J738" s="2" t="s">
        <v>2034</v>
      </c>
      <c r="K738" s="2" t="s">
        <v>3242</v>
      </c>
      <c r="L738">
        <v>2</v>
      </c>
      <c r="M738" s="1">
        <v>593000</v>
      </c>
      <c r="N738">
        <v>2</v>
      </c>
      <c r="O738">
        <v>2</v>
      </c>
      <c r="P738" s="2" t="s">
        <v>26</v>
      </c>
    </row>
    <row r="739" spans="1:16" x14ac:dyDescent="0.25">
      <c r="A739" s="2" t="s">
        <v>3241</v>
      </c>
      <c r="B739" s="2" t="s">
        <v>414</v>
      </c>
      <c r="C739" s="2" t="s">
        <v>29</v>
      </c>
      <c r="D739" s="2" t="s">
        <v>19</v>
      </c>
      <c r="E739" s="2" t="s">
        <v>20</v>
      </c>
      <c r="F739" s="2" t="s">
        <v>39</v>
      </c>
      <c r="G739" s="2" t="s">
        <v>80</v>
      </c>
      <c r="H739" s="2" t="s">
        <v>34</v>
      </c>
      <c r="I739" s="2" t="s">
        <v>24</v>
      </c>
      <c r="J739" s="2" t="s">
        <v>850</v>
      </c>
      <c r="K739" s="2" t="s">
        <v>3242</v>
      </c>
      <c r="L739">
        <v>3</v>
      </c>
      <c r="M739" s="1">
        <v>144000</v>
      </c>
      <c r="N739">
        <v>4.5</v>
      </c>
      <c r="O739">
        <v>6</v>
      </c>
      <c r="P739" s="2" t="s">
        <v>53</v>
      </c>
    </row>
    <row r="740" spans="1:16" x14ac:dyDescent="0.25">
      <c r="A740" s="2" t="s">
        <v>3243</v>
      </c>
      <c r="B740" s="2" t="s">
        <v>509</v>
      </c>
      <c r="C740" s="2" t="s">
        <v>29</v>
      </c>
      <c r="D740" s="2" t="s">
        <v>19</v>
      </c>
      <c r="E740" s="2" t="s">
        <v>31</v>
      </c>
      <c r="F740" s="2" t="s">
        <v>128</v>
      </c>
      <c r="G740" s="2" t="s">
        <v>80</v>
      </c>
      <c r="H740" s="2" t="s">
        <v>23</v>
      </c>
      <c r="I740" s="2" t="s">
        <v>57</v>
      </c>
      <c r="J740" s="2" t="s">
        <v>2756</v>
      </c>
      <c r="K740" s="2" t="s">
        <v>2384</v>
      </c>
      <c r="L740">
        <v>4</v>
      </c>
      <c r="M740" s="1">
        <v>612000</v>
      </c>
      <c r="N740">
        <v>2.8</v>
      </c>
      <c r="O740">
        <v>8</v>
      </c>
      <c r="P740" s="2" t="s">
        <v>26</v>
      </c>
    </row>
    <row r="741" spans="1:16" x14ac:dyDescent="0.25">
      <c r="A741" s="2" t="s">
        <v>3244</v>
      </c>
      <c r="B741" s="2" t="s">
        <v>2126</v>
      </c>
      <c r="C741" s="2" t="s">
        <v>18</v>
      </c>
      <c r="D741" s="2" t="s">
        <v>19</v>
      </c>
      <c r="E741" s="2" t="s">
        <v>44</v>
      </c>
      <c r="F741" s="2" t="s">
        <v>39</v>
      </c>
      <c r="G741" s="2" t="s">
        <v>22</v>
      </c>
      <c r="H741" s="2" t="s">
        <v>23</v>
      </c>
      <c r="I741" s="2" t="s">
        <v>24</v>
      </c>
      <c r="J741" s="2" t="s">
        <v>3245</v>
      </c>
      <c r="K741" s="2" t="s">
        <v>2384</v>
      </c>
      <c r="L741">
        <v>5</v>
      </c>
      <c r="M741" s="1">
        <v>198000</v>
      </c>
      <c r="N741">
        <v>4</v>
      </c>
      <c r="O741">
        <v>5</v>
      </c>
      <c r="P741" s="2" t="s">
        <v>53</v>
      </c>
    </row>
    <row r="742" spans="1:16" x14ac:dyDescent="0.25">
      <c r="A742" s="2" t="s">
        <v>3246</v>
      </c>
      <c r="B742" s="2" t="s">
        <v>3247</v>
      </c>
      <c r="C742" s="2" t="s">
        <v>29</v>
      </c>
      <c r="D742" s="2" t="s">
        <v>2782</v>
      </c>
      <c r="E742" s="2" t="s">
        <v>44</v>
      </c>
      <c r="F742" s="2" t="s">
        <v>128</v>
      </c>
      <c r="G742" s="2" t="s">
        <v>22</v>
      </c>
      <c r="H742" s="2" t="s">
        <v>62</v>
      </c>
      <c r="I742" s="2" t="s">
        <v>24</v>
      </c>
      <c r="J742" s="2" t="s">
        <v>2037</v>
      </c>
      <c r="K742" s="2" t="s">
        <v>3248</v>
      </c>
      <c r="L742">
        <v>2</v>
      </c>
      <c r="M742" s="1">
        <v>521000</v>
      </c>
      <c r="N742">
        <v>4.5</v>
      </c>
      <c r="O742">
        <v>14</v>
      </c>
      <c r="P742" s="2" t="s">
        <v>53</v>
      </c>
    </row>
    <row r="743" spans="1:16" x14ac:dyDescent="0.25">
      <c r="A743" s="2" t="s">
        <v>3251</v>
      </c>
      <c r="B743" s="2" t="s">
        <v>3252</v>
      </c>
      <c r="C743" s="2" t="s">
        <v>29</v>
      </c>
      <c r="D743" s="2" t="s">
        <v>50</v>
      </c>
      <c r="E743" s="2" t="s">
        <v>44</v>
      </c>
      <c r="F743" s="2" t="s">
        <v>32</v>
      </c>
      <c r="G743" s="2" t="s">
        <v>22</v>
      </c>
      <c r="H743" s="2" t="s">
        <v>34</v>
      </c>
      <c r="I743" s="2" t="s">
        <v>57</v>
      </c>
      <c r="J743" s="2" t="s">
        <v>3253</v>
      </c>
      <c r="K743" s="2" t="s">
        <v>3257</v>
      </c>
      <c r="L743">
        <v>3</v>
      </c>
      <c r="M743" s="1">
        <v>321000</v>
      </c>
      <c r="N743">
        <v>4.4000000000000004</v>
      </c>
      <c r="O743">
        <v>10</v>
      </c>
      <c r="P743" s="2" t="s">
        <v>26</v>
      </c>
    </row>
    <row r="744" spans="1:16" x14ac:dyDescent="0.25">
      <c r="A744" s="2" t="s">
        <v>3254</v>
      </c>
      <c r="B744" s="2" t="s">
        <v>3255</v>
      </c>
      <c r="C744" s="2" t="s">
        <v>18</v>
      </c>
      <c r="D744" s="2" t="s">
        <v>50</v>
      </c>
      <c r="E744" s="2" t="s">
        <v>20</v>
      </c>
      <c r="F744" s="2" t="s">
        <v>39</v>
      </c>
      <c r="G744" s="2" t="s">
        <v>22</v>
      </c>
      <c r="H744" s="2" t="s">
        <v>34</v>
      </c>
      <c r="I744" s="2" t="s">
        <v>57</v>
      </c>
      <c r="J744" s="2" t="s">
        <v>3256</v>
      </c>
      <c r="K744" s="2" t="s">
        <v>3257</v>
      </c>
      <c r="L744">
        <v>3</v>
      </c>
      <c r="M744" s="1">
        <v>152000</v>
      </c>
      <c r="N744">
        <v>3.4</v>
      </c>
      <c r="O744">
        <v>12</v>
      </c>
      <c r="P744" s="2" t="s">
        <v>114</v>
      </c>
    </row>
    <row r="745" spans="1:16" x14ac:dyDescent="0.25">
      <c r="A745" s="2" t="s">
        <v>3258</v>
      </c>
      <c r="B745" s="2" t="s">
        <v>3259</v>
      </c>
      <c r="C745" s="2" t="s">
        <v>18</v>
      </c>
      <c r="D745" s="2" t="s">
        <v>50</v>
      </c>
      <c r="E745" s="2" t="s">
        <v>20</v>
      </c>
      <c r="F745" s="2" t="s">
        <v>39</v>
      </c>
      <c r="G745" s="2" t="s">
        <v>33</v>
      </c>
      <c r="H745" s="2" t="s">
        <v>23</v>
      </c>
      <c r="I745" s="2" t="s">
        <v>75</v>
      </c>
      <c r="J745" s="2" t="s">
        <v>1225</v>
      </c>
      <c r="K745" s="2" t="s">
        <v>1465</v>
      </c>
      <c r="L745">
        <v>5</v>
      </c>
      <c r="M745" s="1">
        <v>169000</v>
      </c>
      <c r="N745">
        <v>2.4</v>
      </c>
      <c r="O745">
        <v>22</v>
      </c>
      <c r="P745" s="2" t="s">
        <v>26</v>
      </c>
    </row>
    <row r="746" spans="1:16" x14ac:dyDescent="0.25">
      <c r="A746" s="2" t="s">
        <v>3260</v>
      </c>
      <c r="B746" s="2" t="s">
        <v>3261</v>
      </c>
      <c r="C746" s="2" t="s">
        <v>18</v>
      </c>
      <c r="D746" s="2" t="s">
        <v>79</v>
      </c>
      <c r="E746" s="2" t="s">
        <v>20</v>
      </c>
      <c r="F746" s="2" t="s">
        <v>32</v>
      </c>
      <c r="G746" s="2" t="s">
        <v>69</v>
      </c>
      <c r="H746" s="2" t="s">
        <v>62</v>
      </c>
      <c r="I746" s="2" t="s">
        <v>171</v>
      </c>
      <c r="J746" s="2" t="s">
        <v>2687</v>
      </c>
      <c r="K746" s="2" t="s">
        <v>1465</v>
      </c>
      <c r="L746">
        <v>2</v>
      </c>
      <c r="M746" s="1">
        <v>249000</v>
      </c>
      <c r="N746">
        <v>3.9</v>
      </c>
      <c r="O746">
        <v>0</v>
      </c>
      <c r="P746" s="2" t="s">
        <v>114</v>
      </c>
    </row>
    <row r="747" spans="1:16" x14ac:dyDescent="0.25">
      <c r="A747" s="2" t="s">
        <v>3265</v>
      </c>
      <c r="B747" s="2" t="s">
        <v>1560</v>
      </c>
      <c r="C747" s="2" t="s">
        <v>18</v>
      </c>
      <c r="D747" s="2" t="s">
        <v>50</v>
      </c>
      <c r="E747" s="2" t="s">
        <v>20</v>
      </c>
      <c r="F747" s="2" t="s">
        <v>32</v>
      </c>
      <c r="G747" s="2" t="s">
        <v>80</v>
      </c>
      <c r="H747" s="2" t="s">
        <v>62</v>
      </c>
      <c r="I747" s="2" t="s">
        <v>57</v>
      </c>
      <c r="J747" s="2" t="s">
        <v>3266</v>
      </c>
      <c r="K747" s="2" t="s">
        <v>3273</v>
      </c>
      <c r="L747">
        <v>6</v>
      </c>
      <c r="M747" s="1">
        <v>223000</v>
      </c>
      <c r="N747">
        <v>3.2</v>
      </c>
      <c r="O747">
        <v>6</v>
      </c>
      <c r="P747" s="2" t="s">
        <v>26</v>
      </c>
    </row>
    <row r="748" spans="1:16" x14ac:dyDescent="0.25">
      <c r="A748" s="2" t="s">
        <v>3267</v>
      </c>
      <c r="B748" s="2" t="s">
        <v>3268</v>
      </c>
      <c r="C748" s="2" t="s">
        <v>18</v>
      </c>
      <c r="D748" s="2" t="s">
        <v>30</v>
      </c>
      <c r="E748" s="2" t="s">
        <v>20</v>
      </c>
      <c r="F748" s="2" t="s">
        <v>21</v>
      </c>
      <c r="G748" s="2" t="s">
        <v>22</v>
      </c>
      <c r="H748" s="2" t="s">
        <v>23</v>
      </c>
      <c r="I748" s="2" t="s">
        <v>57</v>
      </c>
      <c r="J748" s="2" t="s">
        <v>165</v>
      </c>
      <c r="K748" s="2" t="s">
        <v>3273</v>
      </c>
      <c r="L748">
        <v>2</v>
      </c>
      <c r="M748" s="1">
        <v>655000</v>
      </c>
      <c r="N748">
        <v>4.7</v>
      </c>
      <c r="O748">
        <v>1</v>
      </c>
      <c r="P748" s="2" t="s">
        <v>26</v>
      </c>
    </row>
    <row r="749" spans="1:16" x14ac:dyDescent="0.25">
      <c r="A749" s="2" t="s">
        <v>3269</v>
      </c>
      <c r="B749" s="2" t="s">
        <v>1826</v>
      </c>
      <c r="C749" s="2" t="s">
        <v>29</v>
      </c>
      <c r="D749" s="2" t="s">
        <v>19</v>
      </c>
      <c r="E749" s="2" t="s">
        <v>20</v>
      </c>
      <c r="F749" s="2" t="s">
        <v>39</v>
      </c>
      <c r="G749" s="2" t="s">
        <v>22</v>
      </c>
      <c r="H749" s="2" t="s">
        <v>23</v>
      </c>
      <c r="I749" s="2" t="s">
        <v>24</v>
      </c>
      <c r="J749" s="2" t="s">
        <v>3270</v>
      </c>
      <c r="K749" s="2" t="s">
        <v>3273</v>
      </c>
      <c r="L749">
        <v>7</v>
      </c>
      <c r="M749" s="1">
        <v>107000</v>
      </c>
      <c r="N749">
        <v>4.4000000000000004</v>
      </c>
      <c r="O749">
        <v>9</v>
      </c>
      <c r="P749" s="2" t="s">
        <v>26</v>
      </c>
    </row>
    <row r="750" spans="1:16" x14ac:dyDescent="0.25">
      <c r="A750" s="2" t="s">
        <v>3271</v>
      </c>
      <c r="B750" s="2" t="s">
        <v>3272</v>
      </c>
      <c r="C750" s="2" t="s">
        <v>29</v>
      </c>
      <c r="D750" s="2" t="s">
        <v>50</v>
      </c>
      <c r="E750" s="2" t="s">
        <v>20</v>
      </c>
      <c r="F750" s="2" t="s">
        <v>32</v>
      </c>
      <c r="G750" s="2" t="s">
        <v>22</v>
      </c>
      <c r="H750" s="2" t="s">
        <v>34</v>
      </c>
      <c r="I750" s="2" t="s">
        <v>35</v>
      </c>
      <c r="J750" s="2" t="s">
        <v>2713</v>
      </c>
      <c r="K750" s="2" t="s">
        <v>3273</v>
      </c>
      <c r="L750">
        <v>4</v>
      </c>
      <c r="M750" s="1">
        <v>234000</v>
      </c>
      <c r="N750">
        <v>2.2999999999999998</v>
      </c>
      <c r="O750">
        <v>11</v>
      </c>
      <c r="P750" s="2" t="s">
        <v>53</v>
      </c>
    </row>
    <row r="751" spans="1:16" x14ac:dyDescent="0.25">
      <c r="A751" s="2" t="s">
        <v>3274</v>
      </c>
      <c r="B751" s="2" t="s">
        <v>3275</v>
      </c>
      <c r="C751" s="2" t="s">
        <v>18</v>
      </c>
      <c r="D751" s="2" t="s">
        <v>19</v>
      </c>
      <c r="E751" s="2" t="s">
        <v>44</v>
      </c>
      <c r="F751" s="2" t="s">
        <v>128</v>
      </c>
      <c r="G751" s="2" t="s">
        <v>22</v>
      </c>
      <c r="H751" s="2" t="s">
        <v>46</v>
      </c>
      <c r="I751" s="2" t="s">
        <v>35</v>
      </c>
      <c r="J751" s="2" t="s">
        <v>3276</v>
      </c>
      <c r="K751" s="2" t="s">
        <v>761</v>
      </c>
      <c r="L751">
        <v>4</v>
      </c>
      <c r="M751" s="1">
        <v>660000</v>
      </c>
      <c r="N751">
        <v>4.5999999999999996</v>
      </c>
      <c r="O751">
        <v>11</v>
      </c>
      <c r="P751" s="2" t="s">
        <v>26</v>
      </c>
    </row>
    <row r="752" spans="1:16" x14ac:dyDescent="0.25">
      <c r="A752" s="2" t="s">
        <v>3277</v>
      </c>
      <c r="B752" s="2" t="s">
        <v>3278</v>
      </c>
      <c r="C752" s="2" t="s">
        <v>18</v>
      </c>
      <c r="D752" s="2" t="s">
        <v>30</v>
      </c>
      <c r="E752" s="2" t="s">
        <v>20</v>
      </c>
      <c r="F752" s="2" t="s">
        <v>21</v>
      </c>
      <c r="G752" s="2" t="s">
        <v>69</v>
      </c>
      <c r="H752" s="2" t="s">
        <v>23</v>
      </c>
      <c r="I752" s="2" t="s">
        <v>24</v>
      </c>
      <c r="J752" s="2" t="s">
        <v>3279</v>
      </c>
      <c r="K752" s="2" t="s">
        <v>761</v>
      </c>
      <c r="L752">
        <v>4</v>
      </c>
      <c r="M752" s="1">
        <v>878000</v>
      </c>
      <c r="N752">
        <v>3.6</v>
      </c>
      <c r="O752">
        <v>8</v>
      </c>
      <c r="P752" s="2" t="s">
        <v>53</v>
      </c>
    </row>
    <row r="753" spans="1:16" x14ac:dyDescent="0.25">
      <c r="A753" s="2" t="s">
        <v>3283</v>
      </c>
      <c r="B753" s="2" t="s">
        <v>1969</v>
      </c>
      <c r="C753" s="2" t="s">
        <v>18</v>
      </c>
      <c r="D753" s="2" t="s">
        <v>43</v>
      </c>
      <c r="E753" s="2" t="s">
        <v>20</v>
      </c>
      <c r="F753" s="2" t="s">
        <v>128</v>
      </c>
      <c r="G753" s="2" t="s">
        <v>22</v>
      </c>
      <c r="H753" s="2" t="s">
        <v>46</v>
      </c>
      <c r="I753" s="2" t="s">
        <v>75</v>
      </c>
      <c r="J753" s="2" t="s">
        <v>3284</v>
      </c>
      <c r="K753" s="2" t="s">
        <v>227</v>
      </c>
      <c r="L753">
        <v>3</v>
      </c>
      <c r="M753" s="1">
        <v>438000</v>
      </c>
      <c r="N753">
        <v>3.2</v>
      </c>
      <c r="O753">
        <v>3</v>
      </c>
      <c r="P753" s="2" t="s">
        <v>26</v>
      </c>
    </row>
    <row r="754" spans="1:16" x14ac:dyDescent="0.25">
      <c r="A754" s="2" t="s">
        <v>3285</v>
      </c>
      <c r="B754" s="2" t="s">
        <v>2020</v>
      </c>
      <c r="C754" s="2" t="s">
        <v>29</v>
      </c>
      <c r="D754" s="2" t="s">
        <v>30</v>
      </c>
      <c r="E754" s="2" t="s">
        <v>20</v>
      </c>
      <c r="F754" s="2" t="s">
        <v>39</v>
      </c>
      <c r="G754" s="2" t="s">
        <v>22</v>
      </c>
      <c r="H754" s="2" t="s">
        <v>34</v>
      </c>
      <c r="I754" s="2" t="s">
        <v>57</v>
      </c>
      <c r="J754" s="2" t="s">
        <v>285</v>
      </c>
      <c r="K754" s="2" t="s">
        <v>227</v>
      </c>
      <c r="L754">
        <v>5</v>
      </c>
      <c r="M754" s="1">
        <v>118000</v>
      </c>
      <c r="N754">
        <v>2.4</v>
      </c>
      <c r="O754">
        <v>3</v>
      </c>
      <c r="P754" s="2" t="s">
        <v>26</v>
      </c>
    </row>
    <row r="755" spans="1:16" x14ac:dyDescent="0.25">
      <c r="A755" s="2" t="s">
        <v>3286</v>
      </c>
      <c r="B755" s="2" t="s">
        <v>3287</v>
      </c>
      <c r="C755" s="2" t="s">
        <v>18</v>
      </c>
      <c r="D755" s="2" t="s">
        <v>19</v>
      </c>
      <c r="E755" s="2" t="s">
        <v>20</v>
      </c>
      <c r="F755" s="2" t="s">
        <v>39</v>
      </c>
      <c r="G755" s="2" t="s">
        <v>80</v>
      </c>
      <c r="H755" s="2" t="s">
        <v>23</v>
      </c>
      <c r="I755" s="2" t="s">
        <v>35</v>
      </c>
      <c r="J755" s="2" t="s">
        <v>3288</v>
      </c>
      <c r="K755" s="2" t="s">
        <v>227</v>
      </c>
      <c r="L755">
        <v>4</v>
      </c>
      <c r="M755" s="1">
        <v>186000</v>
      </c>
      <c r="N755">
        <v>2.9</v>
      </c>
      <c r="O755">
        <v>13</v>
      </c>
      <c r="P755" s="2" t="s">
        <v>26</v>
      </c>
    </row>
    <row r="756" spans="1:16" x14ac:dyDescent="0.25">
      <c r="A756" s="2" t="s">
        <v>3289</v>
      </c>
      <c r="B756" s="2" t="s">
        <v>3290</v>
      </c>
      <c r="C756" s="2" t="s">
        <v>18</v>
      </c>
      <c r="D756" s="2" t="s">
        <v>30</v>
      </c>
      <c r="E756" s="2" t="s">
        <v>44</v>
      </c>
      <c r="F756" s="2" t="s">
        <v>39</v>
      </c>
      <c r="G756" s="2" t="s">
        <v>69</v>
      </c>
      <c r="H756" s="2" t="s">
        <v>23</v>
      </c>
      <c r="I756" s="2" t="s">
        <v>24</v>
      </c>
      <c r="J756" s="2" t="s">
        <v>3291</v>
      </c>
      <c r="K756" s="2" t="s">
        <v>227</v>
      </c>
      <c r="L756">
        <v>7</v>
      </c>
      <c r="M756" s="1">
        <v>160000</v>
      </c>
      <c r="N756">
        <v>1.8</v>
      </c>
      <c r="O756">
        <v>2</v>
      </c>
      <c r="P756" s="2" t="s">
        <v>53</v>
      </c>
    </row>
    <row r="757" spans="1:16" x14ac:dyDescent="0.25">
      <c r="A757" s="2" t="s">
        <v>3295</v>
      </c>
      <c r="B757" s="2" t="s">
        <v>3296</v>
      </c>
      <c r="C757" s="2" t="s">
        <v>18</v>
      </c>
      <c r="D757" s="2" t="s">
        <v>79</v>
      </c>
      <c r="E757" s="2" t="s">
        <v>20</v>
      </c>
      <c r="F757" s="2" t="s">
        <v>21</v>
      </c>
      <c r="G757" s="2" t="s">
        <v>22</v>
      </c>
      <c r="H757" s="2" t="s">
        <v>46</v>
      </c>
      <c r="I757" s="2" t="s">
        <v>35</v>
      </c>
      <c r="J757" s="2" t="s">
        <v>3297</v>
      </c>
      <c r="K757" s="2" t="s">
        <v>3330</v>
      </c>
      <c r="L757">
        <v>2</v>
      </c>
      <c r="M757" s="1">
        <v>796000</v>
      </c>
      <c r="N757">
        <v>4.7</v>
      </c>
      <c r="O757">
        <v>6</v>
      </c>
      <c r="P757" s="2" t="s">
        <v>26</v>
      </c>
    </row>
    <row r="758" spans="1:16" x14ac:dyDescent="0.25">
      <c r="A758" s="2" t="s">
        <v>3306</v>
      </c>
      <c r="B758" s="2" t="s">
        <v>3307</v>
      </c>
      <c r="C758" s="2" t="s">
        <v>29</v>
      </c>
      <c r="D758" s="2" t="s">
        <v>50</v>
      </c>
      <c r="E758" s="2" t="s">
        <v>31</v>
      </c>
      <c r="F758" s="2" t="s">
        <v>21</v>
      </c>
      <c r="G758" s="2" t="s">
        <v>80</v>
      </c>
      <c r="H758" s="2" t="s">
        <v>46</v>
      </c>
      <c r="I758" s="2" t="s">
        <v>24</v>
      </c>
      <c r="J758" s="2" t="s">
        <v>3308</v>
      </c>
      <c r="K758" s="2" t="s">
        <v>3330</v>
      </c>
      <c r="L758">
        <v>2</v>
      </c>
      <c r="M758" s="1">
        <v>800000</v>
      </c>
      <c r="N758">
        <v>3</v>
      </c>
      <c r="O758">
        <v>8</v>
      </c>
      <c r="P758" s="2" t="s">
        <v>26</v>
      </c>
    </row>
    <row r="759" spans="1:16" x14ac:dyDescent="0.25">
      <c r="A759" s="2" t="s">
        <v>3309</v>
      </c>
      <c r="B759" s="2" t="s">
        <v>3124</v>
      </c>
      <c r="C759" s="2" t="s">
        <v>29</v>
      </c>
      <c r="D759" s="2" t="s">
        <v>43</v>
      </c>
      <c r="E759" s="2" t="s">
        <v>44</v>
      </c>
      <c r="F759" s="2" t="s">
        <v>32</v>
      </c>
      <c r="G759" s="2" t="s">
        <v>22</v>
      </c>
      <c r="H759" s="2" t="s">
        <v>34</v>
      </c>
      <c r="I759" s="2" t="s">
        <v>24</v>
      </c>
      <c r="J759" s="2" t="s">
        <v>327</v>
      </c>
      <c r="K759" s="2" t="s">
        <v>3330</v>
      </c>
      <c r="L759">
        <v>4</v>
      </c>
      <c r="M759" s="1">
        <v>223000</v>
      </c>
      <c r="N759">
        <v>4</v>
      </c>
      <c r="O759">
        <v>25</v>
      </c>
      <c r="P759" s="2" t="s">
        <v>26</v>
      </c>
    </row>
    <row r="760" spans="1:16" x14ac:dyDescent="0.25">
      <c r="A760" s="2" t="s">
        <v>3310</v>
      </c>
      <c r="B760" s="2" t="s">
        <v>3311</v>
      </c>
      <c r="C760" s="2" t="s">
        <v>29</v>
      </c>
      <c r="D760" s="2" t="s">
        <v>50</v>
      </c>
      <c r="E760" s="2" t="s">
        <v>20</v>
      </c>
      <c r="F760" s="2" t="s">
        <v>128</v>
      </c>
      <c r="G760" s="2" t="s">
        <v>33</v>
      </c>
      <c r="H760" s="2" t="s">
        <v>34</v>
      </c>
      <c r="I760" s="2" t="s">
        <v>35</v>
      </c>
      <c r="J760" s="2" t="s">
        <v>165</v>
      </c>
      <c r="K760" s="2" t="s">
        <v>3330</v>
      </c>
      <c r="L760">
        <v>2</v>
      </c>
      <c r="M760" s="1">
        <v>458000</v>
      </c>
      <c r="N760">
        <v>4.5999999999999996</v>
      </c>
      <c r="O760">
        <v>13</v>
      </c>
      <c r="P760" s="2" t="s">
        <v>26</v>
      </c>
    </row>
    <row r="761" spans="1:16" x14ac:dyDescent="0.25">
      <c r="A761" s="2" t="s">
        <v>3316</v>
      </c>
      <c r="B761" s="2" t="s">
        <v>3317</v>
      </c>
      <c r="C761" s="2" t="s">
        <v>29</v>
      </c>
      <c r="D761" s="2" t="s">
        <v>30</v>
      </c>
      <c r="E761" s="2" t="s">
        <v>20</v>
      </c>
      <c r="F761" s="2" t="s">
        <v>21</v>
      </c>
      <c r="G761" s="2" t="s">
        <v>80</v>
      </c>
      <c r="H761" s="2" t="s">
        <v>23</v>
      </c>
      <c r="I761" s="2" t="s">
        <v>24</v>
      </c>
      <c r="J761" s="2" t="s">
        <v>3014</v>
      </c>
      <c r="K761" s="2" t="s">
        <v>3330</v>
      </c>
      <c r="L761">
        <v>5</v>
      </c>
      <c r="M761" s="1">
        <v>688000</v>
      </c>
      <c r="N761">
        <v>4.7</v>
      </c>
      <c r="O761">
        <v>5</v>
      </c>
      <c r="P761" s="2" t="s">
        <v>26</v>
      </c>
    </row>
    <row r="762" spans="1:16" x14ac:dyDescent="0.25">
      <c r="A762" s="2" t="s">
        <v>3318</v>
      </c>
      <c r="B762" s="2" t="s">
        <v>3319</v>
      </c>
      <c r="C762" s="2" t="s">
        <v>18</v>
      </c>
      <c r="D762" s="2" t="s">
        <v>19</v>
      </c>
      <c r="E762" s="2" t="s">
        <v>20</v>
      </c>
      <c r="F762" s="2" t="s">
        <v>39</v>
      </c>
      <c r="G762" s="2" t="s">
        <v>80</v>
      </c>
      <c r="H762" s="2" t="s">
        <v>62</v>
      </c>
      <c r="I762" s="2" t="s">
        <v>35</v>
      </c>
      <c r="J762" s="2" t="s">
        <v>3320</v>
      </c>
      <c r="K762" s="2" t="s">
        <v>3330</v>
      </c>
      <c r="L762">
        <v>2</v>
      </c>
      <c r="M762" s="1">
        <v>160000</v>
      </c>
      <c r="N762">
        <v>4.0999999999999996</v>
      </c>
      <c r="O762">
        <v>14</v>
      </c>
      <c r="P762" s="2" t="s">
        <v>26</v>
      </c>
    </row>
    <row r="763" spans="1:16" x14ac:dyDescent="0.25">
      <c r="A763" s="2" t="s">
        <v>3323</v>
      </c>
      <c r="B763" s="2" t="s">
        <v>3008</v>
      </c>
      <c r="C763" s="2" t="s">
        <v>18</v>
      </c>
      <c r="D763" s="2" t="s">
        <v>30</v>
      </c>
      <c r="E763" s="2" t="s">
        <v>31</v>
      </c>
      <c r="F763" s="2" t="s">
        <v>128</v>
      </c>
      <c r="G763" s="2" t="s">
        <v>22</v>
      </c>
      <c r="H763" s="2" t="s">
        <v>23</v>
      </c>
      <c r="I763" s="2" t="s">
        <v>75</v>
      </c>
      <c r="J763" s="2" t="s">
        <v>182</v>
      </c>
      <c r="K763" s="2" t="s">
        <v>3330</v>
      </c>
      <c r="L763">
        <v>2</v>
      </c>
      <c r="M763" s="1">
        <v>355000</v>
      </c>
      <c r="N763">
        <v>3.7</v>
      </c>
      <c r="O763">
        <v>40</v>
      </c>
      <c r="P763" s="2" t="s">
        <v>26</v>
      </c>
    </row>
    <row r="764" spans="1:16" x14ac:dyDescent="0.25">
      <c r="A764" s="2" t="s">
        <v>3327</v>
      </c>
      <c r="B764" s="2" t="s">
        <v>3328</v>
      </c>
      <c r="C764" s="2" t="s">
        <v>29</v>
      </c>
      <c r="D764" s="2" t="s">
        <v>43</v>
      </c>
      <c r="E764" s="2" t="s">
        <v>20</v>
      </c>
      <c r="F764" s="2" t="s">
        <v>45</v>
      </c>
      <c r="G764" s="2" t="s">
        <v>22</v>
      </c>
      <c r="H764" s="2" t="s">
        <v>23</v>
      </c>
      <c r="I764" s="2" t="s">
        <v>24</v>
      </c>
      <c r="J764" s="2" t="s">
        <v>2617</v>
      </c>
      <c r="K764" s="2" t="s">
        <v>3330</v>
      </c>
      <c r="L764">
        <v>3</v>
      </c>
      <c r="M764" s="1">
        <v>1761000</v>
      </c>
      <c r="N764">
        <v>4</v>
      </c>
      <c r="O764">
        <v>5</v>
      </c>
      <c r="P764" s="2" t="s">
        <v>26</v>
      </c>
    </row>
    <row r="765" spans="1:16" x14ac:dyDescent="0.25">
      <c r="A765" s="2" t="s">
        <v>3329</v>
      </c>
      <c r="B765" s="2" t="s">
        <v>1338</v>
      </c>
      <c r="C765" s="2" t="s">
        <v>29</v>
      </c>
      <c r="D765" s="2" t="s">
        <v>30</v>
      </c>
      <c r="E765" s="2" t="s">
        <v>44</v>
      </c>
      <c r="F765" s="2" t="s">
        <v>32</v>
      </c>
      <c r="G765" s="2" t="s">
        <v>22</v>
      </c>
      <c r="H765" s="2" t="s">
        <v>23</v>
      </c>
      <c r="I765" s="2" t="s">
        <v>35</v>
      </c>
      <c r="J765" s="2" t="s">
        <v>385</v>
      </c>
      <c r="K765" s="2" t="s">
        <v>3330</v>
      </c>
      <c r="L765">
        <v>3</v>
      </c>
      <c r="M765" s="1">
        <v>301000</v>
      </c>
      <c r="N765">
        <v>4.0999999999999996</v>
      </c>
      <c r="O765">
        <v>0</v>
      </c>
      <c r="P765" s="2" t="s">
        <v>53</v>
      </c>
    </row>
    <row r="766" spans="1:16" x14ac:dyDescent="0.25">
      <c r="A766" s="2" t="s">
        <v>3333</v>
      </c>
      <c r="B766" s="2" t="s">
        <v>3334</v>
      </c>
      <c r="C766" s="2" t="s">
        <v>29</v>
      </c>
      <c r="D766" s="2" t="s">
        <v>19</v>
      </c>
      <c r="E766" s="2" t="s">
        <v>31</v>
      </c>
      <c r="F766" s="2" t="s">
        <v>32</v>
      </c>
      <c r="G766" s="2" t="s">
        <v>33</v>
      </c>
      <c r="H766" s="2" t="s">
        <v>46</v>
      </c>
      <c r="I766" s="2" t="s">
        <v>75</v>
      </c>
      <c r="J766" s="2" t="s">
        <v>1754</v>
      </c>
      <c r="K766" s="2" t="s">
        <v>3337</v>
      </c>
      <c r="L766">
        <v>3</v>
      </c>
      <c r="M766" s="1">
        <v>381000</v>
      </c>
      <c r="N766">
        <v>3.7</v>
      </c>
      <c r="O766">
        <v>9</v>
      </c>
      <c r="P766" s="2" t="s">
        <v>26</v>
      </c>
    </row>
    <row r="767" spans="1:16" x14ac:dyDescent="0.25">
      <c r="A767" s="2" t="s">
        <v>3335</v>
      </c>
      <c r="B767" s="2" t="s">
        <v>3336</v>
      </c>
      <c r="C767" s="2" t="s">
        <v>18</v>
      </c>
      <c r="D767" s="2" t="s">
        <v>30</v>
      </c>
      <c r="E767" s="2" t="s">
        <v>44</v>
      </c>
      <c r="F767" s="2" t="s">
        <v>128</v>
      </c>
      <c r="G767" s="2" t="s">
        <v>33</v>
      </c>
      <c r="H767" s="2" t="s">
        <v>46</v>
      </c>
      <c r="I767" s="2" t="s">
        <v>75</v>
      </c>
      <c r="J767" s="2" t="s">
        <v>2822</v>
      </c>
      <c r="K767" s="2" t="s">
        <v>3337</v>
      </c>
      <c r="L767">
        <v>3</v>
      </c>
      <c r="M767" s="1">
        <v>558000</v>
      </c>
      <c r="N767">
        <v>2.4</v>
      </c>
      <c r="O767">
        <v>0</v>
      </c>
      <c r="P767" s="2" t="s">
        <v>53</v>
      </c>
    </row>
    <row r="768" spans="1:16" x14ac:dyDescent="0.25">
      <c r="A768" s="2" t="s">
        <v>3343</v>
      </c>
      <c r="B768" s="2" t="s">
        <v>3344</v>
      </c>
      <c r="C768" s="2" t="s">
        <v>29</v>
      </c>
      <c r="D768" s="2" t="s">
        <v>30</v>
      </c>
      <c r="E768" s="2" t="s">
        <v>44</v>
      </c>
      <c r="F768" s="2" t="s">
        <v>39</v>
      </c>
      <c r="G768" s="2" t="s">
        <v>80</v>
      </c>
      <c r="H768" s="2" t="s">
        <v>23</v>
      </c>
      <c r="I768" s="2" t="s">
        <v>24</v>
      </c>
      <c r="J768" s="2" t="s">
        <v>3345</v>
      </c>
      <c r="K768" s="2" t="s">
        <v>478</v>
      </c>
      <c r="L768">
        <v>5</v>
      </c>
      <c r="M768" s="1">
        <v>91000</v>
      </c>
      <c r="N768">
        <v>2.1</v>
      </c>
      <c r="O768">
        <v>11</v>
      </c>
      <c r="P768" s="2" t="s">
        <v>26</v>
      </c>
    </row>
    <row r="769" spans="1:16" x14ac:dyDescent="0.25">
      <c r="A769" s="2" t="s">
        <v>3351</v>
      </c>
      <c r="B769" s="2" t="s">
        <v>3263</v>
      </c>
      <c r="C769" s="2" t="s">
        <v>18</v>
      </c>
      <c r="D769" s="2" t="s">
        <v>79</v>
      </c>
      <c r="E769" s="2" t="s">
        <v>20</v>
      </c>
      <c r="F769" s="2" t="s">
        <v>128</v>
      </c>
      <c r="G769" s="2" t="s">
        <v>69</v>
      </c>
      <c r="H769" s="2" t="s">
        <v>34</v>
      </c>
      <c r="I769" s="2" t="s">
        <v>171</v>
      </c>
      <c r="J769" s="2" t="s">
        <v>866</v>
      </c>
      <c r="K769" s="2" t="s">
        <v>478</v>
      </c>
      <c r="L769">
        <v>3</v>
      </c>
      <c r="M769" s="1">
        <v>466000</v>
      </c>
      <c r="N769">
        <v>3.4</v>
      </c>
      <c r="O769">
        <v>10</v>
      </c>
      <c r="P769" s="2" t="s">
        <v>26</v>
      </c>
    </row>
    <row r="770" spans="1:16" x14ac:dyDescent="0.25">
      <c r="A770" s="2" t="s">
        <v>3352</v>
      </c>
      <c r="B770" s="2" t="s">
        <v>1700</v>
      </c>
      <c r="C770" s="2" t="s">
        <v>29</v>
      </c>
      <c r="D770" s="2" t="s">
        <v>79</v>
      </c>
      <c r="E770" s="2" t="s">
        <v>31</v>
      </c>
      <c r="F770" s="2" t="s">
        <v>128</v>
      </c>
      <c r="G770" s="2" t="s">
        <v>80</v>
      </c>
      <c r="H770" s="2" t="s">
        <v>23</v>
      </c>
      <c r="I770" s="2" t="s">
        <v>35</v>
      </c>
      <c r="J770" s="2" t="s">
        <v>3353</v>
      </c>
      <c r="K770" s="2" t="s">
        <v>478</v>
      </c>
      <c r="L770">
        <v>6</v>
      </c>
      <c r="M770" s="1">
        <v>586000</v>
      </c>
      <c r="N770">
        <v>4.7</v>
      </c>
      <c r="O770">
        <v>12</v>
      </c>
      <c r="P770" s="2" t="s">
        <v>72</v>
      </c>
    </row>
    <row r="771" spans="1:16" x14ac:dyDescent="0.25">
      <c r="A771" s="2" t="s">
        <v>3354</v>
      </c>
      <c r="B771" s="2" t="s">
        <v>1233</v>
      </c>
      <c r="C771" s="2" t="s">
        <v>29</v>
      </c>
      <c r="D771" s="2" t="s">
        <v>30</v>
      </c>
      <c r="E771" s="2" t="s">
        <v>20</v>
      </c>
      <c r="F771" s="2" t="s">
        <v>39</v>
      </c>
      <c r="G771" s="2" t="s">
        <v>22</v>
      </c>
      <c r="H771" s="2" t="s">
        <v>34</v>
      </c>
      <c r="I771" s="2" t="s">
        <v>35</v>
      </c>
      <c r="J771" s="2" t="s">
        <v>369</v>
      </c>
      <c r="K771" s="2" t="s">
        <v>3366</v>
      </c>
      <c r="L771">
        <v>6</v>
      </c>
      <c r="M771" s="1">
        <v>164000</v>
      </c>
      <c r="N771">
        <v>2.2999999999999998</v>
      </c>
      <c r="O771">
        <v>1</v>
      </c>
      <c r="P771" s="2" t="s">
        <v>26</v>
      </c>
    </row>
    <row r="772" spans="1:16" x14ac:dyDescent="0.25">
      <c r="A772" s="2" t="s">
        <v>3362</v>
      </c>
      <c r="B772" s="2" t="s">
        <v>3363</v>
      </c>
      <c r="C772" s="2" t="s">
        <v>18</v>
      </c>
      <c r="D772" s="2" t="s">
        <v>50</v>
      </c>
      <c r="E772" s="2" t="s">
        <v>20</v>
      </c>
      <c r="F772" s="2" t="s">
        <v>32</v>
      </c>
      <c r="G772" s="2" t="s">
        <v>69</v>
      </c>
      <c r="H772" s="2" t="s">
        <v>34</v>
      </c>
      <c r="I772" s="2" t="s">
        <v>24</v>
      </c>
      <c r="J772" s="2" t="s">
        <v>2686</v>
      </c>
      <c r="K772" s="2" t="s">
        <v>3366</v>
      </c>
      <c r="L772">
        <v>6</v>
      </c>
      <c r="M772" s="1">
        <v>283000</v>
      </c>
      <c r="N772">
        <v>4.5</v>
      </c>
      <c r="O772">
        <v>0</v>
      </c>
      <c r="P772" s="2" t="s">
        <v>26</v>
      </c>
    </row>
    <row r="773" spans="1:16" x14ac:dyDescent="0.25">
      <c r="A773" s="2" t="s">
        <v>3364</v>
      </c>
      <c r="B773" s="2" t="s">
        <v>3365</v>
      </c>
      <c r="C773" s="2" t="s">
        <v>18</v>
      </c>
      <c r="D773" s="2" t="s">
        <v>19</v>
      </c>
      <c r="E773" s="2" t="s">
        <v>20</v>
      </c>
      <c r="F773" s="2" t="s">
        <v>32</v>
      </c>
      <c r="G773" s="2" t="s">
        <v>22</v>
      </c>
      <c r="H773" s="2" t="s">
        <v>23</v>
      </c>
      <c r="I773" s="2" t="s">
        <v>57</v>
      </c>
      <c r="J773" s="2" t="s">
        <v>136</v>
      </c>
      <c r="K773" s="2" t="s">
        <v>3366</v>
      </c>
      <c r="L773">
        <v>3</v>
      </c>
      <c r="M773" s="1">
        <v>384000</v>
      </c>
      <c r="N773">
        <v>3.3</v>
      </c>
      <c r="O773">
        <v>10</v>
      </c>
      <c r="P773" s="2" t="s">
        <v>53</v>
      </c>
    </row>
    <row r="774" spans="1:16" x14ac:dyDescent="0.25">
      <c r="A774" s="2" t="s">
        <v>3370</v>
      </c>
      <c r="B774" s="2" t="s">
        <v>3371</v>
      </c>
      <c r="C774" s="2" t="s">
        <v>29</v>
      </c>
      <c r="D774" s="2" t="s">
        <v>79</v>
      </c>
      <c r="E774" s="2" t="s">
        <v>20</v>
      </c>
      <c r="F774" s="2" t="s">
        <v>21</v>
      </c>
      <c r="G774" s="2" t="s">
        <v>22</v>
      </c>
      <c r="H774" s="2" t="s">
        <v>46</v>
      </c>
      <c r="I774" s="2" t="s">
        <v>35</v>
      </c>
      <c r="J774" s="2" t="s">
        <v>1839</v>
      </c>
      <c r="K774" s="2" t="s">
        <v>3376</v>
      </c>
      <c r="L774">
        <v>6</v>
      </c>
      <c r="M774" s="1">
        <v>881000</v>
      </c>
      <c r="N774">
        <v>3.9</v>
      </c>
      <c r="O774">
        <v>11</v>
      </c>
      <c r="P774" s="2" t="s">
        <v>26</v>
      </c>
    </row>
    <row r="775" spans="1:16" x14ac:dyDescent="0.25">
      <c r="A775" s="2" t="s">
        <v>3374</v>
      </c>
      <c r="B775" s="2" t="s">
        <v>3375</v>
      </c>
      <c r="C775" s="2" t="s">
        <v>18</v>
      </c>
      <c r="D775" s="2" t="s">
        <v>30</v>
      </c>
      <c r="E775" s="2" t="s">
        <v>31</v>
      </c>
      <c r="F775" s="2" t="s">
        <v>32</v>
      </c>
      <c r="G775" s="2" t="s">
        <v>80</v>
      </c>
      <c r="H775" s="2" t="s">
        <v>34</v>
      </c>
      <c r="I775" s="2" t="s">
        <v>35</v>
      </c>
      <c r="J775" s="2" t="s">
        <v>2959</v>
      </c>
      <c r="K775" s="2" t="s">
        <v>3376</v>
      </c>
      <c r="L775">
        <v>5</v>
      </c>
      <c r="M775" s="1">
        <v>276000</v>
      </c>
      <c r="N775">
        <v>2.2000000000000002</v>
      </c>
      <c r="O775">
        <v>21</v>
      </c>
      <c r="P775" s="2" t="s">
        <v>72</v>
      </c>
    </row>
    <row r="776" spans="1:16" x14ac:dyDescent="0.25">
      <c r="A776" s="2" t="s">
        <v>3377</v>
      </c>
      <c r="B776" s="2" t="s">
        <v>3378</v>
      </c>
      <c r="C776" s="2" t="s">
        <v>18</v>
      </c>
      <c r="D776" s="2" t="s">
        <v>30</v>
      </c>
      <c r="E776" s="2" t="s">
        <v>20</v>
      </c>
      <c r="F776" s="2" t="s">
        <v>39</v>
      </c>
      <c r="G776" s="2" t="s">
        <v>80</v>
      </c>
      <c r="H776" s="2" t="s">
        <v>34</v>
      </c>
      <c r="I776" s="2" t="s">
        <v>24</v>
      </c>
      <c r="J776" s="2" t="s">
        <v>1154</v>
      </c>
      <c r="K776" s="2" t="s">
        <v>2968</v>
      </c>
      <c r="L776">
        <v>4</v>
      </c>
      <c r="M776" s="1">
        <v>144000</v>
      </c>
      <c r="N776">
        <v>2.8</v>
      </c>
      <c r="O776">
        <v>6</v>
      </c>
      <c r="P776" s="2" t="s">
        <v>26</v>
      </c>
    </row>
    <row r="777" spans="1:16" x14ac:dyDescent="0.25">
      <c r="A777" s="2" t="s">
        <v>3379</v>
      </c>
      <c r="B777" s="2" t="s">
        <v>3380</v>
      </c>
      <c r="C777" s="2" t="s">
        <v>18</v>
      </c>
      <c r="D777" s="2" t="s">
        <v>43</v>
      </c>
      <c r="E777" s="2" t="s">
        <v>44</v>
      </c>
      <c r="F777" s="2" t="s">
        <v>39</v>
      </c>
      <c r="G777" s="2" t="s">
        <v>80</v>
      </c>
      <c r="H777" s="2" t="s">
        <v>23</v>
      </c>
      <c r="I777" s="2" t="s">
        <v>57</v>
      </c>
      <c r="J777" s="2" t="s">
        <v>1760</v>
      </c>
      <c r="K777" s="2" t="s">
        <v>2968</v>
      </c>
      <c r="L777">
        <v>5</v>
      </c>
      <c r="M777" s="1">
        <v>141000</v>
      </c>
      <c r="N777">
        <v>4.5</v>
      </c>
      <c r="O777">
        <v>4</v>
      </c>
      <c r="P777" s="2" t="s">
        <v>53</v>
      </c>
    </row>
    <row r="778" spans="1:16" x14ac:dyDescent="0.25">
      <c r="A778" s="2" t="s">
        <v>3381</v>
      </c>
      <c r="B778" s="2" t="s">
        <v>3382</v>
      </c>
      <c r="C778" s="2" t="s">
        <v>29</v>
      </c>
      <c r="D778" s="2" t="s">
        <v>19</v>
      </c>
      <c r="E778" s="2" t="s">
        <v>44</v>
      </c>
      <c r="F778" s="2" t="s">
        <v>32</v>
      </c>
      <c r="G778" s="2" t="s">
        <v>33</v>
      </c>
      <c r="H778" s="2" t="s">
        <v>46</v>
      </c>
      <c r="I778" s="2" t="s">
        <v>35</v>
      </c>
      <c r="J778" s="2" t="s">
        <v>3383</v>
      </c>
      <c r="K778" s="2" t="s">
        <v>1091</v>
      </c>
      <c r="L778">
        <v>4</v>
      </c>
      <c r="M778" s="1">
        <v>385000</v>
      </c>
      <c r="N778">
        <v>3.3</v>
      </c>
      <c r="O778">
        <v>1</v>
      </c>
      <c r="P778" s="2" t="s">
        <v>26</v>
      </c>
    </row>
    <row r="779" spans="1:16" x14ac:dyDescent="0.25">
      <c r="A779" s="2" t="s">
        <v>3386</v>
      </c>
      <c r="B779" s="2" t="s">
        <v>3387</v>
      </c>
      <c r="C779" s="2" t="s">
        <v>29</v>
      </c>
      <c r="D779" s="2" t="s">
        <v>50</v>
      </c>
      <c r="E779" s="2" t="s">
        <v>20</v>
      </c>
      <c r="F779" s="2" t="s">
        <v>39</v>
      </c>
      <c r="G779" s="2" t="s">
        <v>22</v>
      </c>
      <c r="H779" s="2" t="s">
        <v>62</v>
      </c>
      <c r="I779" s="2" t="s">
        <v>24</v>
      </c>
      <c r="J779" s="2" t="s">
        <v>1379</v>
      </c>
      <c r="K779" s="2" t="s">
        <v>1091</v>
      </c>
      <c r="L779">
        <v>2</v>
      </c>
      <c r="M779" s="1">
        <v>162000</v>
      </c>
      <c r="N779">
        <v>2.6</v>
      </c>
      <c r="O779">
        <v>9</v>
      </c>
      <c r="P779" s="2" t="s">
        <v>26</v>
      </c>
    </row>
    <row r="780" spans="1:16" x14ac:dyDescent="0.25">
      <c r="A780" s="2" t="s">
        <v>3397</v>
      </c>
      <c r="B780" s="2" t="s">
        <v>2645</v>
      </c>
      <c r="C780" s="2" t="s">
        <v>18</v>
      </c>
      <c r="D780" s="2" t="s">
        <v>185</v>
      </c>
      <c r="E780" s="2" t="s">
        <v>31</v>
      </c>
      <c r="F780" s="2" t="s">
        <v>21</v>
      </c>
      <c r="G780" s="2" t="s">
        <v>22</v>
      </c>
      <c r="H780" s="2" t="s">
        <v>23</v>
      </c>
      <c r="I780" s="2" t="s">
        <v>57</v>
      </c>
      <c r="J780" s="2" t="s">
        <v>2292</v>
      </c>
      <c r="K780" s="2" t="s">
        <v>1091</v>
      </c>
      <c r="L780">
        <v>2</v>
      </c>
      <c r="M780" s="1">
        <v>826000</v>
      </c>
      <c r="N780">
        <v>4.4000000000000004</v>
      </c>
      <c r="O780">
        <v>35</v>
      </c>
      <c r="P780" s="2" t="s">
        <v>26</v>
      </c>
    </row>
    <row r="781" spans="1:16" x14ac:dyDescent="0.25">
      <c r="A781" s="2" t="s">
        <v>3398</v>
      </c>
      <c r="B781" s="2" t="s">
        <v>3399</v>
      </c>
      <c r="C781" s="2" t="s">
        <v>18</v>
      </c>
      <c r="D781" s="2" t="s">
        <v>19</v>
      </c>
      <c r="E781" s="2" t="s">
        <v>20</v>
      </c>
      <c r="F781" s="2" t="s">
        <v>128</v>
      </c>
      <c r="G781" s="2" t="s">
        <v>80</v>
      </c>
      <c r="H781" s="2" t="s">
        <v>23</v>
      </c>
      <c r="I781" s="2" t="s">
        <v>24</v>
      </c>
      <c r="J781" s="2" t="s">
        <v>3400</v>
      </c>
      <c r="K781" s="2" t="s">
        <v>1091</v>
      </c>
      <c r="L781">
        <v>2</v>
      </c>
      <c r="M781" s="1">
        <v>660000</v>
      </c>
      <c r="N781">
        <v>3.6</v>
      </c>
      <c r="O781">
        <v>3</v>
      </c>
      <c r="P781" s="2" t="s">
        <v>26</v>
      </c>
    </row>
    <row r="782" spans="1:16" x14ac:dyDescent="0.25">
      <c r="A782" s="2" t="s">
        <v>3401</v>
      </c>
      <c r="B782" s="2" t="s">
        <v>3402</v>
      </c>
      <c r="C782" s="2" t="s">
        <v>18</v>
      </c>
      <c r="D782" s="2" t="s">
        <v>19</v>
      </c>
      <c r="E782" s="2" t="s">
        <v>20</v>
      </c>
      <c r="F782" s="2" t="s">
        <v>32</v>
      </c>
      <c r="G782" s="2" t="s">
        <v>69</v>
      </c>
      <c r="H782" s="2" t="s">
        <v>34</v>
      </c>
      <c r="I782" s="2" t="s">
        <v>57</v>
      </c>
      <c r="J782" s="2" t="s">
        <v>709</v>
      </c>
      <c r="K782" s="2" t="s">
        <v>1091</v>
      </c>
      <c r="L782">
        <v>3</v>
      </c>
      <c r="M782" s="1">
        <v>306000</v>
      </c>
      <c r="N782">
        <v>5</v>
      </c>
      <c r="O782">
        <v>0</v>
      </c>
      <c r="P782" s="2" t="s">
        <v>26</v>
      </c>
    </row>
    <row r="783" spans="1:16" x14ac:dyDescent="0.25">
      <c r="A783" s="2" t="s">
        <v>3403</v>
      </c>
      <c r="B783" s="2" t="s">
        <v>3404</v>
      </c>
      <c r="C783" s="2" t="s">
        <v>18</v>
      </c>
      <c r="D783" s="2" t="s">
        <v>43</v>
      </c>
      <c r="E783" s="2" t="s">
        <v>20</v>
      </c>
      <c r="F783" s="2" t="s">
        <v>39</v>
      </c>
      <c r="G783" s="2" t="s">
        <v>69</v>
      </c>
      <c r="H783" s="2" t="s">
        <v>46</v>
      </c>
      <c r="I783" s="2" t="s">
        <v>75</v>
      </c>
      <c r="J783" s="2" t="s">
        <v>2870</v>
      </c>
      <c r="K783" s="2" t="s">
        <v>1091</v>
      </c>
      <c r="L783">
        <v>4</v>
      </c>
      <c r="M783" s="1">
        <v>88000</v>
      </c>
      <c r="N783">
        <v>2.2999999999999998</v>
      </c>
      <c r="O783">
        <v>7</v>
      </c>
      <c r="P783" s="2" t="s">
        <v>26</v>
      </c>
    </row>
    <row r="784" spans="1:16" x14ac:dyDescent="0.25">
      <c r="A784" s="2" t="s">
        <v>3405</v>
      </c>
      <c r="B784" s="2" t="s">
        <v>3406</v>
      </c>
      <c r="C784" s="2" t="s">
        <v>18</v>
      </c>
      <c r="D784" s="2" t="s">
        <v>79</v>
      </c>
      <c r="E784" s="2" t="s">
        <v>31</v>
      </c>
      <c r="F784" s="2" t="s">
        <v>21</v>
      </c>
      <c r="G784" s="2" t="s">
        <v>33</v>
      </c>
      <c r="H784" s="2" t="s">
        <v>23</v>
      </c>
      <c r="I784" s="2" t="s">
        <v>75</v>
      </c>
      <c r="J784" s="2" t="s">
        <v>2476</v>
      </c>
      <c r="K784" s="2" t="s">
        <v>1091</v>
      </c>
      <c r="L784">
        <v>4</v>
      </c>
      <c r="M784" s="1">
        <v>907000</v>
      </c>
      <c r="N784">
        <v>3.7</v>
      </c>
      <c r="O784">
        <v>4</v>
      </c>
      <c r="P784" s="2" t="s">
        <v>26</v>
      </c>
    </row>
    <row r="785" spans="1:16" x14ac:dyDescent="0.25">
      <c r="A785" s="2" t="s">
        <v>3409</v>
      </c>
      <c r="B785" s="2" t="s">
        <v>582</v>
      </c>
      <c r="C785" s="2" t="s">
        <v>18</v>
      </c>
      <c r="D785" s="2" t="s">
        <v>19</v>
      </c>
      <c r="E785" s="2" t="s">
        <v>31</v>
      </c>
      <c r="F785" s="2" t="s">
        <v>32</v>
      </c>
      <c r="G785" s="2" t="s">
        <v>69</v>
      </c>
      <c r="H785" s="2" t="s">
        <v>46</v>
      </c>
      <c r="I785" s="2" t="s">
        <v>35</v>
      </c>
      <c r="J785" s="2" t="s">
        <v>2110</v>
      </c>
      <c r="K785" s="2" t="s">
        <v>1091</v>
      </c>
      <c r="L785">
        <v>6</v>
      </c>
      <c r="M785" s="1">
        <v>215000</v>
      </c>
      <c r="N785">
        <v>3.4</v>
      </c>
      <c r="O785">
        <v>1</v>
      </c>
      <c r="P785" s="2" t="s">
        <v>26</v>
      </c>
    </row>
    <row r="786" spans="1:16" x14ac:dyDescent="0.25">
      <c r="A786" s="2" t="s">
        <v>3410</v>
      </c>
      <c r="B786" s="2" t="s">
        <v>447</v>
      </c>
      <c r="C786" s="2" t="s">
        <v>18</v>
      </c>
      <c r="D786" s="2" t="s">
        <v>79</v>
      </c>
      <c r="E786" s="2" t="s">
        <v>31</v>
      </c>
      <c r="F786" s="2" t="s">
        <v>39</v>
      </c>
      <c r="G786" s="2" t="s">
        <v>22</v>
      </c>
      <c r="H786" s="2" t="s">
        <v>46</v>
      </c>
      <c r="I786" s="2" t="s">
        <v>57</v>
      </c>
      <c r="J786" s="2" t="s">
        <v>2013</v>
      </c>
      <c r="K786" s="2" t="s">
        <v>1091</v>
      </c>
      <c r="L786">
        <v>2</v>
      </c>
      <c r="M786" s="1">
        <v>90000</v>
      </c>
      <c r="N786">
        <v>2.8</v>
      </c>
      <c r="O786">
        <v>13</v>
      </c>
      <c r="P786" s="2" t="s">
        <v>26</v>
      </c>
    </row>
    <row r="787" spans="1:16" x14ac:dyDescent="0.25">
      <c r="A787" s="2" t="s">
        <v>3415</v>
      </c>
      <c r="B787" s="2" t="s">
        <v>341</v>
      </c>
      <c r="C787" s="2" t="s">
        <v>18</v>
      </c>
      <c r="D787" s="2" t="s">
        <v>19</v>
      </c>
      <c r="E787" s="2" t="s">
        <v>44</v>
      </c>
      <c r="F787" s="2" t="s">
        <v>32</v>
      </c>
      <c r="G787" s="2" t="s">
        <v>22</v>
      </c>
      <c r="H787" s="2" t="s">
        <v>34</v>
      </c>
      <c r="I787" s="2" t="s">
        <v>57</v>
      </c>
      <c r="J787" s="2" t="s">
        <v>2746</v>
      </c>
      <c r="K787" s="2" t="s">
        <v>1091</v>
      </c>
      <c r="L787">
        <v>7</v>
      </c>
      <c r="M787" s="1">
        <v>368000</v>
      </c>
      <c r="N787">
        <v>3.4</v>
      </c>
      <c r="O787">
        <v>12</v>
      </c>
      <c r="P787" s="2" t="s">
        <v>26</v>
      </c>
    </row>
    <row r="788" spans="1:16" x14ac:dyDescent="0.25">
      <c r="A788" s="2" t="s">
        <v>3416</v>
      </c>
      <c r="B788" s="2" t="s">
        <v>3417</v>
      </c>
      <c r="C788" s="2" t="s">
        <v>29</v>
      </c>
      <c r="D788" s="2" t="s">
        <v>79</v>
      </c>
      <c r="E788" s="2" t="s">
        <v>20</v>
      </c>
      <c r="F788" s="2" t="s">
        <v>128</v>
      </c>
      <c r="G788" s="2" t="s">
        <v>33</v>
      </c>
      <c r="H788" s="2" t="s">
        <v>34</v>
      </c>
      <c r="I788" s="2" t="s">
        <v>35</v>
      </c>
      <c r="J788" s="2" t="s">
        <v>213</v>
      </c>
      <c r="K788" s="2" t="s">
        <v>1091</v>
      </c>
      <c r="L788">
        <v>5</v>
      </c>
      <c r="M788" s="1">
        <v>420000</v>
      </c>
      <c r="N788">
        <v>2.7</v>
      </c>
      <c r="O788">
        <v>20</v>
      </c>
      <c r="P788" s="2" t="s">
        <v>26</v>
      </c>
    </row>
    <row r="789" spans="1:16" x14ac:dyDescent="0.25">
      <c r="A789" s="2" t="s">
        <v>3420</v>
      </c>
      <c r="B789" s="2" t="s">
        <v>2396</v>
      </c>
      <c r="C789" s="2" t="s">
        <v>18</v>
      </c>
      <c r="D789" s="2" t="s">
        <v>79</v>
      </c>
      <c r="E789" s="2" t="s">
        <v>44</v>
      </c>
      <c r="F789" s="2" t="s">
        <v>32</v>
      </c>
      <c r="G789" s="2" t="s">
        <v>22</v>
      </c>
      <c r="H789" s="2" t="s">
        <v>23</v>
      </c>
      <c r="I789" s="2" t="s">
        <v>171</v>
      </c>
      <c r="J789" s="2" t="s">
        <v>3421</v>
      </c>
      <c r="K789" s="2" t="s">
        <v>1091</v>
      </c>
      <c r="L789">
        <v>6</v>
      </c>
      <c r="M789" s="1">
        <v>283000</v>
      </c>
      <c r="N789">
        <v>4.9000000000000004</v>
      </c>
      <c r="O789">
        <v>10</v>
      </c>
      <c r="P789" s="2" t="s">
        <v>26</v>
      </c>
    </row>
    <row r="790" spans="1:16" x14ac:dyDescent="0.25">
      <c r="A790" s="2" t="s">
        <v>3430</v>
      </c>
      <c r="B790" s="2" t="s">
        <v>188</v>
      </c>
      <c r="C790" s="2" t="s">
        <v>29</v>
      </c>
      <c r="D790" s="2" t="s">
        <v>30</v>
      </c>
      <c r="E790" s="2" t="s">
        <v>20</v>
      </c>
      <c r="F790" s="2" t="s">
        <v>32</v>
      </c>
      <c r="G790" s="2" t="s">
        <v>22</v>
      </c>
      <c r="H790" s="2" t="s">
        <v>46</v>
      </c>
      <c r="I790" s="2" t="s">
        <v>35</v>
      </c>
      <c r="J790" s="2" t="s">
        <v>3431</v>
      </c>
      <c r="K790" s="2" t="s">
        <v>1091</v>
      </c>
      <c r="L790">
        <v>5</v>
      </c>
      <c r="M790" s="1">
        <v>272000</v>
      </c>
      <c r="N790">
        <v>2.1</v>
      </c>
      <c r="O790">
        <v>29</v>
      </c>
      <c r="P790" s="2" t="s">
        <v>72</v>
      </c>
    </row>
    <row r="791" spans="1:16" x14ac:dyDescent="0.25">
      <c r="A791" s="2" t="s">
        <v>3435</v>
      </c>
      <c r="B791" s="2" t="s">
        <v>3436</v>
      </c>
      <c r="C791" s="2" t="s">
        <v>29</v>
      </c>
      <c r="D791" s="2" t="s">
        <v>19</v>
      </c>
      <c r="E791" s="2" t="s">
        <v>44</v>
      </c>
      <c r="F791" s="2" t="s">
        <v>128</v>
      </c>
      <c r="G791" s="2" t="s">
        <v>22</v>
      </c>
      <c r="H791" s="2" t="s">
        <v>46</v>
      </c>
      <c r="I791" s="2" t="s">
        <v>57</v>
      </c>
      <c r="J791" s="2" t="s">
        <v>1834</v>
      </c>
      <c r="K791" s="2" t="s">
        <v>1310</v>
      </c>
      <c r="L791">
        <v>2</v>
      </c>
      <c r="M791" s="1">
        <v>451000</v>
      </c>
      <c r="N791">
        <v>4.8</v>
      </c>
      <c r="O791">
        <v>9</v>
      </c>
      <c r="P791" s="2" t="s">
        <v>72</v>
      </c>
    </row>
    <row r="792" spans="1:16" x14ac:dyDescent="0.25">
      <c r="A792" s="2" t="s">
        <v>3437</v>
      </c>
      <c r="B792" s="2" t="s">
        <v>3438</v>
      </c>
      <c r="C792" s="2" t="s">
        <v>29</v>
      </c>
      <c r="D792" s="2" t="s">
        <v>50</v>
      </c>
      <c r="E792" s="2" t="s">
        <v>20</v>
      </c>
      <c r="F792" s="2" t="s">
        <v>45</v>
      </c>
      <c r="G792" s="2" t="s">
        <v>22</v>
      </c>
      <c r="H792" s="2" t="s">
        <v>34</v>
      </c>
      <c r="I792" s="2" t="s">
        <v>75</v>
      </c>
      <c r="J792" s="2" t="s">
        <v>208</v>
      </c>
      <c r="K792" s="2" t="s">
        <v>3440</v>
      </c>
      <c r="L792">
        <v>6</v>
      </c>
      <c r="M792" s="1">
        <v>1307000</v>
      </c>
      <c r="N792">
        <v>4.9000000000000004</v>
      </c>
      <c r="O792">
        <v>31</v>
      </c>
      <c r="P792" s="2" t="s">
        <v>26</v>
      </c>
    </row>
    <row r="793" spans="1:16" x14ac:dyDescent="0.25">
      <c r="A793" s="2" t="s">
        <v>3439</v>
      </c>
      <c r="B793" s="2" t="s">
        <v>2388</v>
      </c>
      <c r="C793" s="2" t="s">
        <v>29</v>
      </c>
      <c r="D793" s="2" t="s">
        <v>30</v>
      </c>
      <c r="E793" s="2" t="s">
        <v>44</v>
      </c>
      <c r="F793" s="2" t="s">
        <v>32</v>
      </c>
      <c r="G793" s="2" t="s">
        <v>33</v>
      </c>
      <c r="H793" s="2" t="s">
        <v>23</v>
      </c>
      <c r="I793" s="2" t="s">
        <v>24</v>
      </c>
      <c r="J793" s="2" t="s">
        <v>1154</v>
      </c>
      <c r="K793" s="2" t="s">
        <v>3440</v>
      </c>
      <c r="L793">
        <v>4</v>
      </c>
      <c r="M793" s="1">
        <v>293000</v>
      </c>
      <c r="N793">
        <v>2.5</v>
      </c>
      <c r="O793">
        <v>3</v>
      </c>
      <c r="P793" s="2" t="s">
        <v>53</v>
      </c>
    </row>
    <row r="794" spans="1:16" x14ac:dyDescent="0.25">
      <c r="A794" s="2" t="s">
        <v>3441</v>
      </c>
      <c r="B794" s="2" t="s">
        <v>3442</v>
      </c>
      <c r="C794" s="2" t="s">
        <v>29</v>
      </c>
      <c r="D794" s="2" t="s">
        <v>79</v>
      </c>
      <c r="E794" s="2" t="s">
        <v>44</v>
      </c>
      <c r="F794" s="2" t="s">
        <v>39</v>
      </c>
      <c r="G794" s="2" t="s">
        <v>33</v>
      </c>
      <c r="H794" s="2" t="s">
        <v>46</v>
      </c>
      <c r="I794" s="2" t="s">
        <v>24</v>
      </c>
      <c r="J794" s="2" t="s">
        <v>3443</v>
      </c>
      <c r="K794" s="2" t="s">
        <v>2255</v>
      </c>
      <c r="L794">
        <v>5</v>
      </c>
      <c r="M794" s="1">
        <v>105000</v>
      </c>
      <c r="N794">
        <v>2.9</v>
      </c>
      <c r="O794">
        <v>10</v>
      </c>
      <c r="P794" s="2" t="s">
        <v>26</v>
      </c>
    </row>
    <row r="795" spans="1:16" x14ac:dyDescent="0.25">
      <c r="A795" s="2" t="s">
        <v>3444</v>
      </c>
      <c r="B795" s="2" t="s">
        <v>3445</v>
      </c>
      <c r="C795" s="2" t="s">
        <v>29</v>
      </c>
      <c r="D795" s="2" t="s">
        <v>30</v>
      </c>
      <c r="E795" s="2" t="s">
        <v>20</v>
      </c>
      <c r="F795" s="2" t="s">
        <v>32</v>
      </c>
      <c r="G795" s="2" t="s">
        <v>33</v>
      </c>
      <c r="H795" s="2" t="s">
        <v>46</v>
      </c>
      <c r="I795" s="2" t="s">
        <v>57</v>
      </c>
      <c r="J795" s="2" t="s">
        <v>2257</v>
      </c>
      <c r="K795" s="2" t="s">
        <v>2255</v>
      </c>
      <c r="L795">
        <v>4</v>
      </c>
      <c r="M795" s="1">
        <v>346000</v>
      </c>
      <c r="N795">
        <v>4</v>
      </c>
      <c r="O795">
        <v>1</v>
      </c>
      <c r="P795" s="2" t="s">
        <v>53</v>
      </c>
    </row>
    <row r="796" spans="1:16" x14ac:dyDescent="0.25">
      <c r="A796" s="2" t="s">
        <v>3446</v>
      </c>
      <c r="B796" s="2" t="s">
        <v>3447</v>
      </c>
      <c r="C796" s="2" t="s">
        <v>29</v>
      </c>
      <c r="D796" s="2" t="s">
        <v>43</v>
      </c>
      <c r="E796" s="2" t="s">
        <v>20</v>
      </c>
      <c r="F796" s="2" t="s">
        <v>39</v>
      </c>
      <c r="G796" s="2" t="s">
        <v>80</v>
      </c>
      <c r="H796" s="2" t="s">
        <v>34</v>
      </c>
      <c r="I796" s="2" t="s">
        <v>57</v>
      </c>
      <c r="J796" s="2" t="s">
        <v>3448</v>
      </c>
      <c r="K796" s="2" t="s">
        <v>3451</v>
      </c>
      <c r="L796">
        <v>6</v>
      </c>
      <c r="M796" s="1">
        <v>131000</v>
      </c>
      <c r="N796">
        <v>3.6</v>
      </c>
      <c r="O796">
        <v>9</v>
      </c>
      <c r="P796" s="2" t="s">
        <v>26</v>
      </c>
    </row>
    <row r="797" spans="1:16" x14ac:dyDescent="0.25">
      <c r="A797" s="2" t="s">
        <v>3449</v>
      </c>
      <c r="B797" s="2" t="s">
        <v>2208</v>
      </c>
      <c r="C797" s="2" t="s">
        <v>18</v>
      </c>
      <c r="D797" s="2" t="s">
        <v>19</v>
      </c>
      <c r="E797" s="2" t="s">
        <v>20</v>
      </c>
      <c r="F797" s="2" t="s">
        <v>32</v>
      </c>
      <c r="G797" s="2" t="s">
        <v>22</v>
      </c>
      <c r="H797" s="2" t="s">
        <v>23</v>
      </c>
      <c r="I797" s="2" t="s">
        <v>35</v>
      </c>
      <c r="J797" s="2" t="s">
        <v>3450</v>
      </c>
      <c r="K797" s="2" t="s">
        <v>3451</v>
      </c>
      <c r="L797">
        <v>3</v>
      </c>
      <c r="M797" s="1">
        <v>281000</v>
      </c>
      <c r="N797">
        <v>5</v>
      </c>
      <c r="O797">
        <v>1</v>
      </c>
      <c r="P797" s="2" t="s">
        <v>53</v>
      </c>
    </row>
    <row r="798" spans="1:16" x14ac:dyDescent="0.25">
      <c r="A798" s="2" t="s">
        <v>3452</v>
      </c>
      <c r="B798" s="2" t="s">
        <v>1335</v>
      </c>
      <c r="C798" s="2" t="s">
        <v>29</v>
      </c>
      <c r="D798" s="2" t="s">
        <v>50</v>
      </c>
      <c r="E798" s="2" t="s">
        <v>44</v>
      </c>
      <c r="F798" s="2" t="s">
        <v>32</v>
      </c>
      <c r="G798" s="2" t="s">
        <v>22</v>
      </c>
      <c r="H798" s="2" t="s">
        <v>23</v>
      </c>
      <c r="I798" s="2" t="s">
        <v>35</v>
      </c>
      <c r="J798" s="2" t="s">
        <v>3453</v>
      </c>
      <c r="K798" s="2" t="s">
        <v>3458</v>
      </c>
      <c r="L798">
        <v>2</v>
      </c>
      <c r="M798" s="1">
        <v>213000</v>
      </c>
      <c r="N798">
        <v>4.0999999999999996</v>
      </c>
      <c r="O798">
        <v>11</v>
      </c>
      <c r="P798" s="2" t="s">
        <v>26</v>
      </c>
    </row>
    <row r="799" spans="1:16" x14ac:dyDescent="0.25">
      <c r="A799" s="2" t="s">
        <v>3456</v>
      </c>
      <c r="B799" s="2" t="s">
        <v>3457</v>
      </c>
      <c r="C799" s="2" t="s">
        <v>18</v>
      </c>
      <c r="D799" s="2" t="s">
        <v>19</v>
      </c>
      <c r="E799" s="2" t="s">
        <v>31</v>
      </c>
      <c r="F799" s="2" t="s">
        <v>128</v>
      </c>
      <c r="G799" s="2" t="s">
        <v>22</v>
      </c>
      <c r="H799" s="2" t="s">
        <v>34</v>
      </c>
      <c r="I799" s="2" t="s">
        <v>57</v>
      </c>
      <c r="J799" s="2" t="s">
        <v>2726</v>
      </c>
      <c r="K799" s="2" t="s">
        <v>3458</v>
      </c>
      <c r="L799">
        <v>6</v>
      </c>
      <c r="M799" s="1">
        <v>514000</v>
      </c>
      <c r="N799">
        <v>3.6</v>
      </c>
      <c r="O799">
        <v>9</v>
      </c>
      <c r="P799" s="2" t="s">
        <v>72</v>
      </c>
    </row>
    <row r="800" spans="1:16" x14ac:dyDescent="0.25">
      <c r="A800" s="2" t="s">
        <v>3459</v>
      </c>
      <c r="B800" s="2" t="s">
        <v>3460</v>
      </c>
      <c r="C800" s="2" t="s">
        <v>18</v>
      </c>
      <c r="D800" s="2" t="s">
        <v>79</v>
      </c>
      <c r="E800" s="2" t="s">
        <v>44</v>
      </c>
      <c r="F800" s="2" t="s">
        <v>21</v>
      </c>
      <c r="G800" s="2" t="s">
        <v>33</v>
      </c>
      <c r="H800" s="2" t="s">
        <v>34</v>
      </c>
      <c r="I800" s="2" t="s">
        <v>57</v>
      </c>
      <c r="J800" s="2" t="s">
        <v>2853</v>
      </c>
      <c r="K800" s="2" t="s">
        <v>497</v>
      </c>
      <c r="L800">
        <v>2</v>
      </c>
      <c r="M800" s="1">
        <v>878000</v>
      </c>
      <c r="N800">
        <v>4.9000000000000004</v>
      </c>
      <c r="O800">
        <v>11</v>
      </c>
      <c r="P800" s="2" t="s">
        <v>26</v>
      </c>
    </row>
    <row r="801" spans="1:16" x14ac:dyDescent="0.25">
      <c r="A801" s="2" t="s">
        <v>3461</v>
      </c>
      <c r="B801" s="2" t="s">
        <v>3462</v>
      </c>
      <c r="C801" s="2" t="s">
        <v>29</v>
      </c>
      <c r="D801" s="2" t="s">
        <v>30</v>
      </c>
      <c r="E801" s="2" t="s">
        <v>20</v>
      </c>
      <c r="F801" s="2" t="s">
        <v>39</v>
      </c>
      <c r="G801" s="2" t="s">
        <v>22</v>
      </c>
      <c r="H801" s="2" t="s">
        <v>23</v>
      </c>
      <c r="I801" s="2" t="s">
        <v>57</v>
      </c>
      <c r="J801" s="2" t="s">
        <v>3463</v>
      </c>
      <c r="K801" s="2" t="s">
        <v>497</v>
      </c>
      <c r="L801">
        <v>6</v>
      </c>
      <c r="M801" s="1">
        <v>111000</v>
      </c>
      <c r="N801">
        <v>2</v>
      </c>
      <c r="O801">
        <v>2</v>
      </c>
      <c r="P801" s="2" t="s">
        <v>26</v>
      </c>
    </row>
    <row r="802" spans="1:16" x14ac:dyDescent="0.25">
      <c r="A802" s="2" t="s">
        <v>3468</v>
      </c>
      <c r="B802" s="2" t="s">
        <v>3469</v>
      </c>
      <c r="C802" s="2" t="s">
        <v>29</v>
      </c>
      <c r="D802" s="2" t="s">
        <v>30</v>
      </c>
      <c r="E802" s="2" t="s">
        <v>31</v>
      </c>
      <c r="F802" s="2" t="s">
        <v>21</v>
      </c>
      <c r="G802" s="2" t="s">
        <v>33</v>
      </c>
      <c r="H802" s="2" t="s">
        <v>34</v>
      </c>
      <c r="I802" s="2" t="s">
        <v>57</v>
      </c>
      <c r="J802" s="2" t="s">
        <v>3470</v>
      </c>
      <c r="K802" s="2" t="s">
        <v>497</v>
      </c>
      <c r="L802">
        <v>3</v>
      </c>
      <c r="M802" s="1">
        <v>859000</v>
      </c>
      <c r="N802">
        <v>3.6</v>
      </c>
      <c r="O802">
        <v>1</v>
      </c>
      <c r="P802" s="2" t="s">
        <v>53</v>
      </c>
    </row>
    <row r="803" spans="1:16" x14ac:dyDescent="0.25">
      <c r="A803" s="2" t="s">
        <v>3476</v>
      </c>
      <c r="B803" s="2" t="s">
        <v>3477</v>
      </c>
      <c r="C803" s="2" t="s">
        <v>18</v>
      </c>
      <c r="D803" s="2" t="s">
        <v>30</v>
      </c>
      <c r="E803" s="2" t="s">
        <v>44</v>
      </c>
      <c r="F803" s="2" t="s">
        <v>21</v>
      </c>
      <c r="G803" s="2" t="s">
        <v>22</v>
      </c>
      <c r="H803" s="2" t="s">
        <v>23</v>
      </c>
      <c r="I803" s="2" t="s">
        <v>57</v>
      </c>
      <c r="J803" s="2" t="s">
        <v>2223</v>
      </c>
      <c r="K803" s="2" t="s">
        <v>3478</v>
      </c>
      <c r="L803">
        <v>5</v>
      </c>
      <c r="M803" s="1">
        <v>812000</v>
      </c>
      <c r="N803">
        <v>3.2</v>
      </c>
      <c r="O803">
        <v>3</v>
      </c>
      <c r="P803" s="2" t="s">
        <v>114</v>
      </c>
    </row>
    <row r="804" spans="1:16" x14ac:dyDescent="0.25">
      <c r="A804" s="2" t="s">
        <v>3479</v>
      </c>
      <c r="B804" s="2" t="s">
        <v>3480</v>
      </c>
      <c r="C804" s="2" t="s">
        <v>29</v>
      </c>
      <c r="D804" s="2" t="s">
        <v>30</v>
      </c>
      <c r="E804" s="2" t="s">
        <v>20</v>
      </c>
      <c r="F804" s="2" t="s">
        <v>39</v>
      </c>
      <c r="G804" s="2" t="s">
        <v>22</v>
      </c>
      <c r="H804" s="2" t="s">
        <v>62</v>
      </c>
      <c r="I804" s="2" t="s">
        <v>24</v>
      </c>
      <c r="J804" s="2" t="s">
        <v>1913</v>
      </c>
      <c r="K804" s="2" t="s">
        <v>3499</v>
      </c>
      <c r="L804">
        <v>7</v>
      </c>
      <c r="M804" s="1">
        <v>148000</v>
      </c>
      <c r="N804">
        <v>1.9</v>
      </c>
      <c r="O804">
        <v>3</v>
      </c>
      <c r="P804" s="2" t="s">
        <v>26</v>
      </c>
    </row>
    <row r="805" spans="1:16" x14ac:dyDescent="0.25">
      <c r="A805" s="2" t="s">
        <v>3481</v>
      </c>
      <c r="B805" s="2" t="s">
        <v>3482</v>
      </c>
      <c r="C805" s="2" t="s">
        <v>18</v>
      </c>
      <c r="D805" s="2" t="s">
        <v>50</v>
      </c>
      <c r="E805" s="2" t="s">
        <v>20</v>
      </c>
      <c r="F805" s="2" t="s">
        <v>32</v>
      </c>
      <c r="G805" s="2" t="s">
        <v>69</v>
      </c>
      <c r="H805" s="2" t="s">
        <v>34</v>
      </c>
      <c r="I805" s="2" t="s">
        <v>24</v>
      </c>
      <c r="J805" s="2" t="s">
        <v>2565</v>
      </c>
      <c r="K805" s="2" t="s">
        <v>3499</v>
      </c>
      <c r="L805">
        <v>2</v>
      </c>
      <c r="M805" s="1">
        <v>289000</v>
      </c>
      <c r="N805">
        <v>3.1</v>
      </c>
      <c r="O805">
        <v>14</v>
      </c>
      <c r="P805" s="2" t="s">
        <v>26</v>
      </c>
    </row>
    <row r="806" spans="1:16" x14ac:dyDescent="0.25">
      <c r="A806" s="2" t="s">
        <v>3489</v>
      </c>
      <c r="B806" s="2" t="s">
        <v>3490</v>
      </c>
      <c r="C806" s="2" t="s">
        <v>29</v>
      </c>
      <c r="D806" s="2" t="s">
        <v>19</v>
      </c>
      <c r="E806" s="2" t="s">
        <v>20</v>
      </c>
      <c r="F806" s="2" t="s">
        <v>39</v>
      </c>
      <c r="G806" s="2" t="s">
        <v>22</v>
      </c>
      <c r="H806" s="2" t="s">
        <v>46</v>
      </c>
      <c r="I806" s="2" t="s">
        <v>24</v>
      </c>
      <c r="J806" s="2" t="s">
        <v>1369</v>
      </c>
      <c r="K806" s="2" t="s">
        <v>3499</v>
      </c>
      <c r="L806">
        <v>5</v>
      </c>
      <c r="M806" s="1">
        <v>196000</v>
      </c>
      <c r="N806">
        <v>2.2000000000000002</v>
      </c>
      <c r="O806">
        <v>2</v>
      </c>
      <c r="P806" s="2" t="s">
        <v>26</v>
      </c>
    </row>
    <row r="807" spans="1:16" x14ac:dyDescent="0.25">
      <c r="A807" s="2" t="s">
        <v>3491</v>
      </c>
      <c r="B807" s="2" t="s">
        <v>3492</v>
      </c>
      <c r="C807" s="2" t="s">
        <v>18</v>
      </c>
      <c r="D807" s="2" t="s">
        <v>30</v>
      </c>
      <c r="E807" s="2" t="s">
        <v>20</v>
      </c>
      <c r="F807" s="2" t="s">
        <v>21</v>
      </c>
      <c r="G807" s="2" t="s">
        <v>80</v>
      </c>
      <c r="H807" s="2" t="s">
        <v>62</v>
      </c>
      <c r="I807" s="2" t="s">
        <v>57</v>
      </c>
      <c r="J807" s="2" t="s">
        <v>3493</v>
      </c>
      <c r="K807" s="2" t="s">
        <v>3499</v>
      </c>
      <c r="L807">
        <v>2</v>
      </c>
      <c r="M807" s="1">
        <v>907000</v>
      </c>
      <c r="N807">
        <v>4.0999999999999996</v>
      </c>
      <c r="O807">
        <v>8</v>
      </c>
      <c r="P807" s="2" t="s">
        <v>26</v>
      </c>
    </row>
    <row r="808" spans="1:16" x14ac:dyDescent="0.25">
      <c r="A808" s="2" t="s">
        <v>3497</v>
      </c>
      <c r="B808" s="2" t="s">
        <v>3498</v>
      </c>
      <c r="C808" s="2" t="s">
        <v>18</v>
      </c>
      <c r="D808" s="2" t="s">
        <v>30</v>
      </c>
      <c r="E808" s="2" t="s">
        <v>44</v>
      </c>
      <c r="F808" s="2" t="s">
        <v>32</v>
      </c>
      <c r="G808" s="2" t="s">
        <v>80</v>
      </c>
      <c r="H808" s="2" t="s">
        <v>23</v>
      </c>
      <c r="I808" s="2" t="s">
        <v>24</v>
      </c>
      <c r="J808" s="2" t="s">
        <v>2723</v>
      </c>
      <c r="K808" s="2" t="s">
        <v>3499</v>
      </c>
      <c r="L808">
        <v>3</v>
      </c>
      <c r="M808" s="1">
        <v>332000</v>
      </c>
      <c r="N808">
        <v>2.6</v>
      </c>
      <c r="O808">
        <v>1</v>
      </c>
      <c r="P808" s="2" t="s">
        <v>114</v>
      </c>
    </row>
    <row r="809" spans="1:16" x14ac:dyDescent="0.25">
      <c r="A809" s="2" t="s">
        <v>3501</v>
      </c>
      <c r="B809" s="2" t="s">
        <v>3502</v>
      </c>
      <c r="C809" s="2" t="s">
        <v>18</v>
      </c>
      <c r="D809" s="2" t="s">
        <v>79</v>
      </c>
      <c r="E809" s="2" t="s">
        <v>20</v>
      </c>
      <c r="F809" s="2" t="s">
        <v>39</v>
      </c>
      <c r="G809" s="2" t="s">
        <v>69</v>
      </c>
      <c r="H809" s="2" t="s">
        <v>23</v>
      </c>
      <c r="I809" s="2" t="s">
        <v>24</v>
      </c>
      <c r="J809" s="2" t="s">
        <v>3503</v>
      </c>
      <c r="K809" s="2" t="s">
        <v>975</v>
      </c>
      <c r="L809">
        <v>6</v>
      </c>
      <c r="M809" s="1">
        <v>178000</v>
      </c>
      <c r="N809">
        <v>3.8</v>
      </c>
      <c r="O809">
        <v>0</v>
      </c>
      <c r="P809" s="2" t="s">
        <v>53</v>
      </c>
    </row>
    <row r="810" spans="1:16" x14ac:dyDescent="0.25">
      <c r="A810" s="2" t="s">
        <v>3504</v>
      </c>
      <c r="B810" s="2" t="s">
        <v>3505</v>
      </c>
      <c r="C810" s="2" t="s">
        <v>18</v>
      </c>
      <c r="D810" s="2" t="s">
        <v>30</v>
      </c>
      <c r="E810" s="2" t="s">
        <v>44</v>
      </c>
      <c r="F810" s="2" t="s">
        <v>128</v>
      </c>
      <c r="G810" s="2" t="s">
        <v>22</v>
      </c>
      <c r="H810" s="2" t="s">
        <v>34</v>
      </c>
      <c r="I810" s="2" t="s">
        <v>57</v>
      </c>
      <c r="J810" s="2" t="s">
        <v>3506</v>
      </c>
      <c r="K810" s="2" t="s">
        <v>199</v>
      </c>
      <c r="L810">
        <v>3</v>
      </c>
      <c r="M810" s="1">
        <v>536000</v>
      </c>
      <c r="N810">
        <v>4</v>
      </c>
      <c r="O810">
        <v>30</v>
      </c>
      <c r="P810" s="2" t="s">
        <v>26</v>
      </c>
    </row>
    <row r="811" spans="1:16" x14ac:dyDescent="0.25">
      <c r="A811" s="2" t="s">
        <v>3507</v>
      </c>
      <c r="B811" s="2" t="s">
        <v>3508</v>
      </c>
      <c r="C811" s="2" t="s">
        <v>18</v>
      </c>
      <c r="D811" s="2" t="s">
        <v>19</v>
      </c>
      <c r="E811" s="2" t="s">
        <v>20</v>
      </c>
      <c r="F811" s="2" t="s">
        <v>21</v>
      </c>
      <c r="G811" s="2" t="s">
        <v>22</v>
      </c>
      <c r="H811" s="2" t="s">
        <v>46</v>
      </c>
      <c r="I811" s="2" t="s">
        <v>35</v>
      </c>
      <c r="J811" s="2" t="s">
        <v>2299</v>
      </c>
      <c r="K811" s="2" t="s">
        <v>199</v>
      </c>
      <c r="L811">
        <v>5</v>
      </c>
      <c r="M811" s="1">
        <v>722000</v>
      </c>
      <c r="N811">
        <v>5</v>
      </c>
      <c r="O811">
        <v>8</v>
      </c>
      <c r="P811" s="2" t="s">
        <v>72</v>
      </c>
    </row>
    <row r="812" spans="1:16" x14ac:dyDescent="0.25">
      <c r="A812" s="2" t="s">
        <v>3509</v>
      </c>
      <c r="B812" s="2" t="s">
        <v>3510</v>
      </c>
      <c r="C812" s="2" t="s">
        <v>18</v>
      </c>
      <c r="D812" s="2" t="s">
        <v>50</v>
      </c>
      <c r="E812" s="2" t="s">
        <v>31</v>
      </c>
      <c r="F812" s="2" t="s">
        <v>21</v>
      </c>
      <c r="G812" s="2" t="s">
        <v>22</v>
      </c>
      <c r="H812" s="2" t="s">
        <v>46</v>
      </c>
      <c r="I812" s="2" t="s">
        <v>35</v>
      </c>
      <c r="J812" s="2" t="s">
        <v>1532</v>
      </c>
      <c r="K812" s="2" t="s">
        <v>2853</v>
      </c>
      <c r="L812">
        <v>4</v>
      </c>
      <c r="M812" s="1">
        <v>819000</v>
      </c>
      <c r="N812">
        <v>3.6</v>
      </c>
      <c r="O812">
        <v>10</v>
      </c>
      <c r="P812" s="2" t="s">
        <v>53</v>
      </c>
    </row>
    <row r="813" spans="1:16" x14ac:dyDescent="0.25">
      <c r="A813" s="2" t="s">
        <v>3512</v>
      </c>
      <c r="B813" s="2" t="s">
        <v>3513</v>
      </c>
      <c r="C813" s="2" t="s">
        <v>29</v>
      </c>
      <c r="D813" s="2" t="s">
        <v>30</v>
      </c>
      <c r="E813" s="2" t="s">
        <v>31</v>
      </c>
      <c r="F813" s="2" t="s">
        <v>128</v>
      </c>
      <c r="G813" s="2" t="s">
        <v>22</v>
      </c>
      <c r="H813" s="2" t="s">
        <v>34</v>
      </c>
      <c r="I813" s="2" t="s">
        <v>57</v>
      </c>
      <c r="J813" s="2" t="s">
        <v>2713</v>
      </c>
      <c r="K813" s="2" t="s">
        <v>3514</v>
      </c>
      <c r="L813">
        <v>4</v>
      </c>
      <c r="M813" s="1">
        <v>541000</v>
      </c>
      <c r="N813">
        <v>4.3</v>
      </c>
      <c r="O813">
        <v>1</v>
      </c>
      <c r="P813" s="2" t="s">
        <v>26</v>
      </c>
    </row>
    <row r="814" spans="1:16" x14ac:dyDescent="0.25">
      <c r="A814" s="2" t="s">
        <v>3515</v>
      </c>
      <c r="B814" s="2" t="s">
        <v>3516</v>
      </c>
      <c r="C814" s="2" t="s">
        <v>29</v>
      </c>
      <c r="D814" s="2" t="s">
        <v>79</v>
      </c>
      <c r="E814" s="2" t="s">
        <v>20</v>
      </c>
      <c r="F814" s="2" t="s">
        <v>32</v>
      </c>
      <c r="G814" s="2" t="s">
        <v>80</v>
      </c>
      <c r="H814" s="2" t="s">
        <v>62</v>
      </c>
      <c r="I814" s="2" t="s">
        <v>24</v>
      </c>
      <c r="J814" s="2" t="s">
        <v>3517</v>
      </c>
      <c r="K814" s="2" t="s">
        <v>3545</v>
      </c>
      <c r="L814">
        <v>6</v>
      </c>
      <c r="M814" s="1">
        <v>257000</v>
      </c>
      <c r="N814">
        <v>4.3</v>
      </c>
      <c r="O814">
        <v>13</v>
      </c>
      <c r="P814" s="2" t="s">
        <v>26</v>
      </c>
    </row>
    <row r="815" spans="1:16" x14ac:dyDescent="0.25">
      <c r="A815" s="2" t="s">
        <v>3518</v>
      </c>
      <c r="B815" s="2" t="s">
        <v>3519</v>
      </c>
      <c r="C815" s="2" t="s">
        <v>29</v>
      </c>
      <c r="D815" s="2" t="s">
        <v>79</v>
      </c>
      <c r="E815" s="2" t="s">
        <v>20</v>
      </c>
      <c r="F815" s="2" t="s">
        <v>128</v>
      </c>
      <c r="G815" s="2" t="s">
        <v>22</v>
      </c>
      <c r="H815" s="2" t="s">
        <v>34</v>
      </c>
      <c r="I815" s="2" t="s">
        <v>35</v>
      </c>
      <c r="J815" s="2" t="s">
        <v>3520</v>
      </c>
      <c r="K815" s="2" t="s">
        <v>3545</v>
      </c>
      <c r="L815">
        <v>6</v>
      </c>
      <c r="M815" s="1">
        <v>445000</v>
      </c>
      <c r="N815">
        <v>4.5999999999999996</v>
      </c>
      <c r="O815">
        <v>7</v>
      </c>
      <c r="P815" s="2" t="s">
        <v>26</v>
      </c>
    </row>
    <row r="816" spans="1:16" x14ac:dyDescent="0.25">
      <c r="A816" s="2" t="s">
        <v>3523</v>
      </c>
      <c r="B816" s="2" t="s">
        <v>3524</v>
      </c>
      <c r="C816" s="2" t="s">
        <v>29</v>
      </c>
      <c r="D816" s="2" t="s">
        <v>43</v>
      </c>
      <c r="E816" s="2" t="s">
        <v>20</v>
      </c>
      <c r="F816" s="2" t="s">
        <v>21</v>
      </c>
      <c r="G816" s="2" t="s">
        <v>22</v>
      </c>
      <c r="H816" s="2" t="s">
        <v>46</v>
      </c>
      <c r="I816" s="2" t="s">
        <v>24</v>
      </c>
      <c r="J816" s="2" t="s">
        <v>732</v>
      </c>
      <c r="K816" s="2" t="s">
        <v>3545</v>
      </c>
      <c r="L816">
        <v>3</v>
      </c>
      <c r="M816" s="1">
        <v>730000</v>
      </c>
      <c r="N816">
        <v>4.4000000000000004</v>
      </c>
      <c r="O816">
        <v>4</v>
      </c>
      <c r="P816" s="2" t="s">
        <v>26</v>
      </c>
    </row>
    <row r="817" spans="1:16" x14ac:dyDescent="0.25">
      <c r="A817" s="2" t="s">
        <v>3525</v>
      </c>
      <c r="B817" s="2" t="s">
        <v>3526</v>
      </c>
      <c r="C817" s="2" t="s">
        <v>29</v>
      </c>
      <c r="D817" s="2" t="s">
        <v>79</v>
      </c>
      <c r="E817" s="2" t="s">
        <v>20</v>
      </c>
      <c r="F817" s="2" t="s">
        <v>21</v>
      </c>
      <c r="G817" s="2" t="s">
        <v>33</v>
      </c>
      <c r="H817" s="2" t="s">
        <v>34</v>
      </c>
      <c r="I817" s="2" t="s">
        <v>24</v>
      </c>
      <c r="J817" s="2" t="s">
        <v>691</v>
      </c>
      <c r="K817" s="2" t="s">
        <v>3545</v>
      </c>
      <c r="L817">
        <v>6</v>
      </c>
      <c r="M817" s="1">
        <v>608000</v>
      </c>
      <c r="N817">
        <v>3.5</v>
      </c>
      <c r="O817">
        <v>7</v>
      </c>
      <c r="P817" s="2" t="s">
        <v>26</v>
      </c>
    </row>
    <row r="818" spans="1:16" x14ac:dyDescent="0.25">
      <c r="A818" s="2" t="s">
        <v>3533</v>
      </c>
      <c r="B818" s="2" t="s">
        <v>3534</v>
      </c>
      <c r="C818" s="2" t="s">
        <v>18</v>
      </c>
      <c r="D818" s="2" t="s">
        <v>19</v>
      </c>
      <c r="E818" s="2" t="s">
        <v>44</v>
      </c>
      <c r="F818" s="2" t="s">
        <v>128</v>
      </c>
      <c r="G818" s="2" t="s">
        <v>22</v>
      </c>
      <c r="H818" s="2" t="s">
        <v>34</v>
      </c>
      <c r="I818" s="2" t="s">
        <v>75</v>
      </c>
      <c r="J818" s="2" t="s">
        <v>1459</v>
      </c>
      <c r="K818" s="2" t="s">
        <v>3545</v>
      </c>
      <c r="L818">
        <v>6</v>
      </c>
      <c r="M818" s="1">
        <v>521000</v>
      </c>
      <c r="N818">
        <v>3.6</v>
      </c>
      <c r="O818">
        <v>8</v>
      </c>
      <c r="P818" s="2" t="s">
        <v>26</v>
      </c>
    </row>
    <row r="819" spans="1:16" x14ac:dyDescent="0.25">
      <c r="A819" s="2" t="s">
        <v>3542</v>
      </c>
      <c r="B819" s="2" t="s">
        <v>3543</v>
      </c>
      <c r="C819" s="2" t="s">
        <v>29</v>
      </c>
      <c r="D819" s="2" t="s">
        <v>43</v>
      </c>
      <c r="E819" s="2" t="s">
        <v>20</v>
      </c>
      <c r="F819" s="2" t="s">
        <v>32</v>
      </c>
      <c r="G819" s="2" t="s">
        <v>22</v>
      </c>
      <c r="H819" s="2" t="s">
        <v>34</v>
      </c>
      <c r="I819" s="2" t="s">
        <v>57</v>
      </c>
      <c r="J819" s="2" t="s">
        <v>3544</v>
      </c>
      <c r="K819" s="2" t="s">
        <v>3545</v>
      </c>
      <c r="L819">
        <v>3</v>
      </c>
      <c r="M819" s="1">
        <v>286000</v>
      </c>
      <c r="N819">
        <v>3.7</v>
      </c>
      <c r="O819">
        <v>10</v>
      </c>
      <c r="P819" s="2" t="s">
        <v>53</v>
      </c>
    </row>
    <row r="820" spans="1:16" x14ac:dyDescent="0.25">
      <c r="A820" s="2" t="s">
        <v>3546</v>
      </c>
      <c r="B820" s="2" t="s">
        <v>3547</v>
      </c>
      <c r="C820" s="2" t="s">
        <v>29</v>
      </c>
      <c r="D820" s="2" t="s">
        <v>50</v>
      </c>
      <c r="E820" s="2" t="s">
        <v>44</v>
      </c>
      <c r="F820" s="2" t="s">
        <v>32</v>
      </c>
      <c r="G820" s="2" t="s">
        <v>22</v>
      </c>
      <c r="H820" s="2" t="s">
        <v>23</v>
      </c>
      <c r="I820" s="2" t="s">
        <v>24</v>
      </c>
      <c r="J820" s="2" t="s">
        <v>2534</v>
      </c>
      <c r="K820" s="2" t="s">
        <v>3548</v>
      </c>
      <c r="L820">
        <v>6</v>
      </c>
      <c r="M820" s="1">
        <v>324000</v>
      </c>
      <c r="N820">
        <v>2.5</v>
      </c>
      <c r="O820">
        <v>9</v>
      </c>
      <c r="P820" s="2" t="s">
        <v>53</v>
      </c>
    </row>
    <row r="821" spans="1:16" x14ac:dyDescent="0.25">
      <c r="A821" s="2" t="s">
        <v>3554</v>
      </c>
      <c r="B821" s="2" t="s">
        <v>1493</v>
      </c>
      <c r="C821" s="2" t="s">
        <v>18</v>
      </c>
      <c r="D821" s="2" t="s">
        <v>43</v>
      </c>
      <c r="E821" s="2" t="s">
        <v>31</v>
      </c>
      <c r="F821" s="2" t="s">
        <v>21</v>
      </c>
      <c r="G821" s="2" t="s">
        <v>22</v>
      </c>
      <c r="H821" s="2" t="s">
        <v>23</v>
      </c>
      <c r="I821" s="2" t="s">
        <v>35</v>
      </c>
      <c r="J821" s="2" t="s">
        <v>408</v>
      </c>
      <c r="K821" s="2" t="s">
        <v>3555</v>
      </c>
      <c r="L821">
        <v>4</v>
      </c>
      <c r="M821" s="1">
        <v>606000</v>
      </c>
      <c r="N821">
        <v>4.7</v>
      </c>
      <c r="O821">
        <v>2</v>
      </c>
      <c r="P821" s="2" t="s">
        <v>53</v>
      </c>
    </row>
    <row r="822" spans="1:16" x14ac:dyDescent="0.25">
      <c r="A822" s="2" t="s">
        <v>3556</v>
      </c>
      <c r="B822" s="2" t="s">
        <v>2367</v>
      </c>
      <c r="C822" s="2" t="s">
        <v>29</v>
      </c>
      <c r="D822" s="2" t="s">
        <v>50</v>
      </c>
      <c r="E822" s="2" t="s">
        <v>31</v>
      </c>
      <c r="F822" s="2" t="s">
        <v>32</v>
      </c>
      <c r="G822" s="2" t="s">
        <v>22</v>
      </c>
      <c r="H822" s="2" t="s">
        <v>34</v>
      </c>
      <c r="I822" s="2" t="s">
        <v>57</v>
      </c>
      <c r="J822" s="2" t="s">
        <v>3557</v>
      </c>
      <c r="K822" s="2" t="s">
        <v>3558</v>
      </c>
      <c r="L822">
        <v>2</v>
      </c>
      <c r="M822" s="1">
        <v>196000</v>
      </c>
      <c r="N822">
        <v>2.2000000000000002</v>
      </c>
      <c r="O822">
        <v>8</v>
      </c>
      <c r="P822" s="2" t="s">
        <v>53</v>
      </c>
    </row>
    <row r="823" spans="1:16" x14ac:dyDescent="0.25">
      <c r="A823" s="2" t="s">
        <v>3559</v>
      </c>
      <c r="B823" s="2" t="s">
        <v>3560</v>
      </c>
      <c r="C823" s="2" t="s">
        <v>29</v>
      </c>
      <c r="D823" s="2" t="s">
        <v>19</v>
      </c>
      <c r="E823" s="2" t="s">
        <v>44</v>
      </c>
      <c r="F823" s="2" t="s">
        <v>128</v>
      </c>
      <c r="G823" s="2" t="s">
        <v>80</v>
      </c>
      <c r="H823" s="2" t="s">
        <v>23</v>
      </c>
      <c r="I823" s="2" t="s">
        <v>24</v>
      </c>
      <c r="J823" s="2" t="s">
        <v>3561</v>
      </c>
      <c r="K823" s="2" t="s">
        <v>3562</v>
      </c>
      <c r="L823">
        <v>2</v>
      </c>
      <c r="M823" s="1">
        <v>379000</v>
      </c>
      <c r="N823">
        <v>3.6</v>
      </c>
      <c r="O823">
        <v>14</v>
      </c>
      <c r="P823" s="2" t="s">
        <v>53</v>
      </c>
    </row>
    <row r="824" spans="1:16" x14ac:dyDescent="0.25">
      <c r="A824" s="2" t="s">
        <v>3566</v>
      </c>
      <c r="B824" s="2" t="s">
        <v>3567</v>
      </c>
      <c r="C824" s="2" t="s">
        <v>18</v>
      </c>
      <c r="D824" s="2" t="s">
        <v>50</v>
      </c>
      <c r="E824" s="2" t="s">
        <v>20</v>
      </c>
      <c r="F824" s="2" t="s">
        <v>39</v>
      </c>
      <c r="G824" s="2" t="s">
        <v>22</v>
      </c>
      <c r="H824" s="2" t="s">
        <v>34</v>
      </c>
      <c r="I824" s="2" t="s">
        <v>35</v>
      </c>
      <c r="J824" s="2" t="s">
        <v>3568</v>
      </c>
      <c r="K824" s="2" t="s">
        <v>3569</v>
      </c>
      <c r="L824">
        <v>2</v>
      </c>
      <c r="M824" s="1">
        <v>129000</v>
      </c>
      <c r="N824">
        <v>4.2</v>
      </c>
      <c r="O824">
        <v>17</v>
      </c>
      <c r="P824" s="2" t="s">
        <v>72</v>
      </c>
    </row>
    <row r="825" spans="1:16" x14ac:dyDescent="0.25">
      <c r="A825" s="2" t="s">
        <v>3570</v>
      </c>
      <c r="B825" s="2" t="s">
        <v>1291</v>
      </c>
      <c r="C825" s="2" t="s">
        <v>18</v>
      </c>
      <c r="D825" s="2" t="s">
        <v>50</v>
      </c>
      <c r="E825" s="2" t="s">
        <v>20</v>
      </c>
      <c r="F825" s="2" t="s">
        <v>39</v>
      </c>
      <c r="G825" s="2" t="s">
        <v>33</v>
      </c>
      <c r="H825" s="2" t="s">
        <v>46</v>
      </c>
      <c r="I825" s="2" t="s">
        <v>171</v>
      </c>
      <c r="J825" s="2" t="s">
        <v>1231</v>
      </c>
      <c r="K825" s="2" t="s">
        <v>1217</v>
      </c>
      <c r="L825">
        <v>3</v>
      </c>
      <c r="M825" s="1">
        <v>131000</v>
      </c>
      <c r="N825">
        <v>4.4000000000000004</v>
      </c>
      <c r="O825">
        <v>23</v>
      </c>
      <c r="P825" s="2" t="s">
        <v>114</v>
      </c>
    </row>
    <row r="826" spans="1:16" x14ac:dyDescent="0.25">
      <c r="A826" s="2" t="s">
        <v>3571</v>
      </c>
      <c r="B826" s="2" t="s">
        <v>3572</v>
      </c>
      <c r="C826" s="2" t="s">
        <v>18</v>
      </c>
      <c r="D826" s="2" t="s">
        <v>50</v>
      </c>
      <c r="E826" s="2" t="s">
        <v>20</v>
      </c>
      <c r="F826" s="2" t="s">
        <v>39</v>
      </c>
      <c r="G826" s="2" t="s">
        <v>22</v>
      </c>
      <c r="H826" s="2" t="s">
        <v>23</v>
      </c>
      <c r="I826" s="2" t="s">
        <v>57</v>
      </c>
      <c r="J826" s="2" t="s">
        <v>3302</v>
      </c>
      <c r="K826" s="2" t="s">
        <v>3574</v>
      </c>
      <c r="L826">
        <v>5</v>
      </c>
      <c r="M826" s="1">
        <v>97000</v>
      </c>
      <c r="N826">
        <v>3.5</v>
      </c>
      <c r="O826">
        <v>12</v>
      </c>
      <c r="P826" s="2" t="s">
        <v>26</v>
      </c>
    </row>
    <row r="827" spans="1:16" x14ac:dyDescent="0.25">
      <c r="A827" s="2" t="s">
        <v>3573</v>
      </c>
      <c r="B827" s="2" t="s">
        <v>734</v>
      </c>
      <c r="C827" s="2" t="s">
        <v>18</v>
      </c>
      <c r="D827" s="2" t="s">
        <v>30</v>
      </c>
      <c r="E827" s="2" t="s">
        <v>20</v>
      </c>
      <c r="F827" s="2" t="s">
        <v>39</v>
      </c>
      <c r="G827" s="2" t="s">
        <v>22</v>
      </c>
      <c r="H827" s="2" t="s">
        <v>23</v>
      </c>
      <c r="I827" s="2" t="s">
        <v>24</v>
      </c>
      <c r="J827" s="2" t="s">
        <v>1605</v>
      </c>
      <c r="K827" s="2" t="s">
        <v>3574</v>
      </c>
      <c r="L827">
        <v>3</v>
      </c>
      <c r="M827" s="1">
        <v>163000</v>
      </c>
      <c r="N827">
        <v>2.1</v>
      </c>
      <c r="O827">
        <v>9</v>
      </c>
      <c r="P827" s="2" t="s">
        <v>53</v>
      </c>
    </row>
    <row r="828" spans="1:16" x14ac:dyDescent="0.25">
      <c r="A828" s="2" t="s">
        <v>3575</v>
      </c>
      <c r="B828" s="2" t="s">
        <v>3576</v>
      </c>
      <c r="C828" s="2" t="s">
        <v>29</v>
      </c>
      <c r="D828" s="2" t="s">
        <v>50</v>
      </c>
      <c r="E828" s="2" t="s">
        <v>20</v>
      </c>
      <c r="F828" s="2" t="s">
        <v>32</v>
      </c>
      <c r="G828" s="2" t="s">
        <v>22</v>
      </c>
      <c r="H828" s="2" t="s">
        <v>34</v>
      </c>
      <c r="I828" s="2" t="s">
        <v>57</v>
      </c>
      <c r="J828" s="2" t="s">
        <v>2499</v>
      </c>
      <c r="K828" s="2" t="s">
        <v>3581</v>
      </c>
      <c r="L828">
        <v>3</v>
      </c>
      <c r="M828" s="1">
        <v>336000</v>
      </c>
      <c r="N828">
        <v>2.8</v>
      </c>
      <c r="O828">
        <v>18</v>
      </c>
      <c r="P828" s="2" t="s">
        <v>26</v>
      </c>
    </row>
    <row r="829" spans="1:16" x14ac:dyDescent="0.25">
      <c r="A829" s="2" t="s">
        <v>3577</v>
      </c>
      <c r="B829" s="2" t="s">
        <v>3578</v>
      </c>
      <c r="C829" s="2" t="s">
        <v>18</v>
      </c>
      <c r="D829" s="2" t="s">
        <v>50</v>
      </c>
      <c r="E829" s="2" t="s">
        <v>20</v>
      </c>
      <c r="F829" s="2" t="s">
        <v>32</v>
      </c>
      <c r="G829" s="2" t="s">
        <v>69</v>
      </c>
      <c r="H829" s="2" t="s">
        <v>34</v>
      </c>
      <c r="I829" s="2" t="s">
        <v>57</v>
      </c>
      <c r="J829" s="2" t="s">
        <v>1118</v>
      </c>
      <c r="K829" s="2" t="s">
        <v>3581</v>
      </c>
      <c r="L829">
        <v>5</v>
      </c>
      <c r="M829" s="1">
        <v>295000</v>
      </c>
      <c r="N829">
        <v>3.6</v>
      </c>
      <c r="O829">
        <v>8</v>
      </c>
      <c r="P829" s="2" t="s">
        <v>26</v>
      </c>
    </row>
    <row r="830" spans="1:16" x14ac:dyDescent="0.25">
      <c r="A830" s="2" t="s">
        <v>3579</v>
      </c>
      <c r="B830" s="2" t="s">
        <v>1659</v>
      </c>
      <c r="C830" s="2" t="s">
        <v>29</v>
      </c>
      <c r="D830" s="2" t="s">
        <v>43</v>
      </c>
      <c r="E830" s="2" t="s">
        <v>20</v>
      </c>
      <c r="F830" s="2" t="s">
        <v>32</v>
      </c>
      <c r="G830" s="2" t="s">
        <v>22</v>
      </c>
      <c r="H830" s="2" t="s">
        <v>34</v>
      </c>
      <c r="I830" s="2" t="s">
        <v>75</v>
      </c>
      <c r="J830" s="2" t="s">
        <v>3580</v>
      </c>
      <c r="K830" s="2" t="s">
        <v>3581</v>
      </c>
      <c r="L830">
        <v>2</v>
      </c>
      <c r="M830" s="1">
        <v>273000</v>
      </c>
      <c r="N830">
        <v>3.8</v>
      </c>
      <c r="O830">
        <v>6</v>
      </c>
      <c r="P830" s="2" t="s">
        <v>72</v>
      </c>
    </row>
    <row r="831" spans="1:16" x14ac:dyDescent="0.25">
      <c r="A831" s="2" t="s">
        <v>3588</v>
      </c>
      <c r="B831" s="2" t="s">
        <v>1711</v>
      </c>
      <c r="C831" s="2" t="s">
        <v>29</v>
      </c>
      <c r="D831" s="2" t="s">
        <v>79</v>
      </c>
      <c r="E831" s="2" t="s">
        <v>20</v>
      </c>
      <c r="F831" s="2" t="s">
        <v>128</v>
      </c>
      <c r="G831" s="2" t="s">
        <v>33</v>
      </c>
      <c r="H831" s="2" t="s">
        <v>23</v>
      </c>
      <c r="I831" s="2" t="s">
        <v>24</v>
      </c>
      <c r="J831" s="2" t="s">
        <v>1760</v>
      </c>
      <c r="K831" s="2" t="s">
        <v>276</v>
      </c>
      <c r="L831">
        <v>5</v>
      </c>
      <c r="M831" s="1">
        <v>451000</v>
      </c>
      <c r="N831">
        <v>2.8</v>
      </c>
      <c r="O831">
        <v>14</v>
      </c>
      <c r="P831" s="2" t="s">
        <v>26</v>
      </c>
    </row>
    <row r="832" spans="1:16" x14ac:dyDescent="0.25">
      <c r="A832" s="2" t="s">
        <v>3589</v>
      </c>
      <c r="B832" s="2" t="s">
        <v>1889</v>
      </c>
      <c r="C832" s="2" t="s">
        <v>29</v>
      </c>
      <c r="D832" s="2" t="s">
        <v>79</v>
      </c>
      <c r="E832" s="2" t="s">
        <v>20</v>
      </c>
      <c r="F832" s="2" t="s">
        <v>128</v>
      </c>
      <c r="G832" s="2" t="s">
        <v>22</v>
      </c>
      <c r="H832" s="2" t="s">
        <v>23</v>
      </c>
      <c r="I832" s="2" t="s">
        <v>35</v>
      </c>
      <c r="J832" s="2" t="s">
        <v>3590</v>
      </c>
      <c r="K832" s="2" t="s">
        <v>276</v>
      </c>
      <c r="L832">
        <v>6</v>
      </c>
      <c r="M832" s="1">
        <v>444000</v>
      </c>
      <c r="N832">
        <v>4.5999999999999996</v>
      </c>
      <c r="O832">
        <v>18</v>
      </c>
      <c r="P832" s="2" t="s">
        <v>26</v>
      </c>
    </row>
    <row r="833" spans="1:16" x14ac:dyDescent="0.25">
      <c r="A833" s="2" t="s">
        <v>3594</v>
      </c>
      <c r="B833" s="2" t="s">
        <v>3299</v>
      </c>
      <c r="C833" s="2" t="s">
        <v>29</v>
      </c>
      <c r="D833" s="2" t="s">
        <v>43</v>
      </c>
      <c r="E833" s="2" t="s">
        <v>20</v>
      </c>
      <c r="F833" s="2" t="s">
        <v>39</v>
      </c>
      <c r="G833" s="2" t="s">
        <v>33</v>
      </c>
      <c r="H833" s="2" t="s">
        <v>23</v>
      </c>
      <c r="I833" s="2" t="s">
        <v>57</v>
      </c>
      <c r="J833" s="2" t="s">
        <v>2698</v>
      </c>
      <c r="K833" s="2" t="s">
        <v>276</v>
      </c>
      <c r="L833">
        <v>4</v>
      </c>
      <c r="M833" s="1">
        <v>88000</v>
      </c>
      <c r="N833">
        <v>4.2</v>
      </c>
      <c r="O833">
        <v>9</v>
      </c>
      <c r="P833" s="2" t="s">
        <v>26</v>
      </c>
    </row>
    <row r="834" spans="1:16" x14ac:dyDescent="0.25">
      <c r="A834" s="2" t="s">
        <v>3596</v>
      </c>
      <c r="B834" s="2" t="s">
        <v>393</v>
      </c>
      <c r="C834" s="2" t="s">
        <v>18</v>
      </c>
      <c r="D834" s="2" t="s">
        <v>30</v>
      </c>
      <c r="E834" s="2" t="s">
        <v>20</v>
      </c>
      <c r="F834" s="2" t="s">
        <v>39</v>
      </c>
      <c r="G834" s="2" t="s">
        <v>69</v>
      </c>
      <c r="H834" s="2" t="s">
        <v>34</v>
      </c>
      <c r="I834" s="2" t="s">
        <v>35</v>
      </c>
      <c r="J834" s="2" t="s">
        <v>339</v>
      </c>
      <c r="K834" s="2" t="s">
        <v>276</v>
      </c>
      <c r="L834">
        <v>3</v>
      </c>
      <c r="M834" s="1">
        <v>109000</v>
      </c>
      <c r="N834">
        <v>1.7</v>
      </c>
      <c r="O834">
        <v>5</v>
      </c>
      <c r="P834" s="2" t="s">
        <v>26</v>
      </c>
    </row>
    <row r="835" spans="1:16" x14ac:dyDescent="0.25">
      <c r="A835" s="2" t="s">
        <v>3605</v>
      </c>
      <c r="B835" s="2" t="s">
        <v>3147</v>
      </c>
      <c r="C835" s="2" t="s">
        <v>29</v>
      </c>
      <c r="D835" s="2" t="s">
        <v>50</v>
      </c>
      <c r="E835" s="2" t="s">
        <v>20</v>
      </c>
      <c r="F835" s="2" t="s">
        <v>32</v>
      </c>
      <c r="G835" s="2" t="s">
        <v>80</v>
      </c>
      <c r="H835" s="2" t="s">
        <v>23</v>
      </c>
      <c r="I835" s="2" t="s">
        <v>57</v>
      </c>
      <c r="J835" s="2" t="s">
        <v>3606</v>
      </c>
      <c r="K835" s="2" t="s">
        <v>276</v>
      </c>
      <c r="L835">
        <v>2</v>
      </c>
      <c r="M835" s="1">
        <v>209000</v>
      </c>
      <c r="N835">
        <v>2.4</v>
      </c>
      <c r="O835">
        <v>12</v>
      </c>
      <c r="P835" s="2" t="s">
        <v>26</v>
      </c>
    </row>
    <row r="836" spans="1:16" x14ac:dyDescent="0.25">
      <c r="A836" s="2" t="s">
        <v>3607</v>
      </c>
      <c r="B836" s="2" t="s">
        <v>3608</v>
      </c>
      <c r="C836" s="2" t="s">
        <v>18</v>
      </c>
      <c r="D836" s="2" t="s">
        <v>43</v>
      </c>
      <c r="E836" s="2" t="s">
        <v>20</v>
      </c>
      <c r="F836" s="2" t="s">
        <v>32</v>
      </c>
      <c r="G836" s="2" t="s">
        <v>22</v>
      </c>
      <c r="H836" s="2" t="s">
        <v>46</v>
      </c>
      <c r="I836" s="2" t="s">
        <v>35</v>
      </c>
      <c r="J836" s="2" t="s">
        <v>2525</v>
      </c>
      <c r="K836" s="2" t="s">
        <v>276</v>
      </c>
      <c r="L836">
        <v>2</v>
      </c>
      <c r="M836" s="1">
        <v>201000</v>
      </c>
      <c r="N836">
        <v>4.2</v>
      </c>
      <c r="O836">
        <v>37</v>
      </c>
      <c r="P836" s="2" t="s">
        <v>26</v>
      </c>
    </row>
    <row r="837" spans="1:16" x14ac:dyDescent="0.25">
      <c r="A837" s="2" t="s">
        <v>3609</v>
      </c>
      <c r="B837" s="2" t="s">
        <v>3610</v>
      </c>
      <c r="C837" s="2" t="s">
        <v>18</v>
      </c>
      <c r="D837" s="2" t="s">
        <v>50</v>
      </c>
      <c r="E837" s="2" t="s">
        <v>44</v>
      </c>
      <c r="F837" s="2" t="s">
        <v>39</v>
      </c>
      <c r="G837" s="2" t="s">
        <v>22</v>
      </c>
      <c r="H837" s="2" t="s">
        <v>23</v>
      </c>
      <c r="I837" s="2" t="s">
        <v>24</v>
      </c>
      <c r="J837" s="2" t="s">
        <v>1303</v>
      </c>
      <c r="K837" s="2" t="s">
        <v>276</v>
      </c>
      <c r="L837">
        <v>6</v>
      </c>
      <c r="M837" s="1">
        <v>166000</v>
      </c>
      <c r="N837">
        <v>2.2999999999999998</v>
      </c>
      <c r="O837">
        <v>14</v>
      </c>
      <c r="P837" s="2" t="s">
        <v>26</v>
      </c>
    </row>
    <row r="838" spans="1:16" x14ac:dyDescent="0.25">
      <c r="A838" s="2" t="s">
        <v>3611</v>
      </c>
      <c r="B838" s="2" t="s">
        <v>3152</v>
      </c>
      <c r="C838" s="2" t="s">
        <v>29</v>
      </c>
      <c r="D838" s="2" t="s">
        <v>30</v>
      </c>
      <c r="E838" s="2" t="s">
        <v>20</v>
      </c>
      <c r="F838" s="2" t="s">
        <v>39</v>
      </c>
      <c r="G838" s="2" t="s">
        <v>22</v>
      </c>
      <c r="H838" s="2" t="s">
        <v>23</v>
      </c>
      <c r="I838" s="2" t="s">
        <v>57</v>
      </c>
      <c r="J838" s="2" t="s">
        <v>3612</v>
      </c>
      <c r="K838" s="2" t="s">
        <v>276</v>
      </c>
      <c r="L838">
        <v>5</v>
      </c>
      <c r="M838" s="1">
        <v>124000</v>
      </c>
      <c r="N838">
        <v>2</v>
      </c>
      <c r="O838">
        <v>4</v>
      </c>
      <c r="P838" s="2" t="s">
        <v>53</v>
      </c>
    </row>
    <row r="839" spans="1:16" x14ac:dyDescent="0.25">
      <c r="A839" s="2" t="s">
        <v>3613</v>
      </c>
      <c r="B839" s="2" t="s">
        <v>3614</v>
      </c>
      <c r="C839" s="2" t="s">
        <v>18</v>
      </c>
      <c r="D839" s="2" t="s">
        <v>30</v>
      </c>
      <c r="E839" s="2" t="s">
        <v>20</v>
      </c>
      <c r="F839" s="2" t="s">
        <v>32</v>
      </c>
      <c r="G839" s="2" t="s">
        <v>22</v>
      </c>
      <c r="H839" s="2" t="s">
        <v>46</v>
      </c>
      <c r="I839" s="2" t="s">
        <v>24</v>
      </c>
      <c r="J839" s="2" t="s">
        <v>3150</v>
      </c>
      <c r="K839" s="2" t="s">
        <v>2573</v>
      </c>
      <c r="L839">
        <v>5</v>
      </c>
      <c r="M839" s="1">
        <v>212000</v>
      </c>
      <c r="N839">
        <v>2.1</v>
      </c>
      <c r="O839">
        <v>9</v>
      </c>
      <c r="P839" s="2" t="s">
        <v>53</v>
      </c>
    </row>
    <row r="840" spans="1:16" x14ac:dyDescent="0.25">
      <c r="A840" s="2" t="s">
        <v>3615</v>
      </c>
      <c r="B840" s="2" t="s">
        <v>495</v>
      </c>
      <c r="C840" s="2" t="s">
        <v>29</v>
      </c>
      <c r="D840" s="2" t="s">
        <v>50</v>
      </c>
      <c r="E840" s="2" t="s">
        <v>44</v>
      </c>
      <c r="F840" s="2" t="s">
        <v>39</v>
      </c>
      <c r="G840" s="2" t="s">
        <v>22</v>
      </c>
      <c r="H840" s="2" t="s">
        <v>23</v>
      </c>
      <c r="I840" s="2" t="s">
        <v>24</v>
      </c>
      <c r="J840" s="2" t="s">
        <v>3448</v>
      </c>
      <c r="K840" s="2" t="s">
        <v>3619</v>
      </c>
      <c r="L840">
        <v>6</v>
      </c>
      <c r="M840" s="1">
        <v>92000</v>
      </c>
      <c r="N840">
        <v>3.1</v>
      </c>
      <c r="O840">
        <v>1</v>
      </c>
      <c r="P840" s="2" t="s">
        <v>26</v>
      </c>
    </row>
    <row r="841" spans="1:16" x14ac:dyDescent="0.25">
      <c r="A841" s="2" t="s">
        <v>3616</v>
      </c>
      <c r="B841" s="2" t="s">
        <v>3617</v>
      </c>
      <c r="C841" s="2" t="s">
        <v>18</v>
      </c>
      <c r="D841" s="2" t="s">
        <v>79</v>
      </c>
      <c r="E841" s="2" t="s">
        <v>31</v>
      </c>
      <c r="F841" s="2" t="s">
        <v>32</v>
      </c>
      <c r="G841" s="2" t="s">
        <v>80</v>
      </c>
      <c r="H841" s="2" t="s">
        <v>46</v>
      </c>
      <c r="I841" s="2" t="s">
        <v>35</v>
      </c>
      <c r="J841" s="2" t="s">
        <v>3618</v>
      </c>
      <c r="K841" s="2" t="s">
        <v>3619</v>
      </c>
      <c r="L841">
        <v>4</v>
      </c>
      <c r="M841" s="1">
        <v>208000</v>
      </c>
      <c r="N841">
        <v>2.9</v>
      </c>
      <c r="O841">
        <v>1</v>
      </c>
      <c r="P841" s="2" t="s">
        <v>53</v>
      </c>
    </row>
    <row r="842" spans="1:16" x14ac:dyDescent="0.25">
      <c r="A842" s="2" t="s">
        <v>3621</v>
      </c>
      <c r="B842" s="2" t="s">
        <v>1992</v>
      </c>
      <c r="C842" s="2" t="s">
        <v>18</v>
      </c>
      <c r="D842" s="2" t="s">
        <v>30</v>
      </c>
      <c r="E842" s="2" t="s">
        <v>20</v>
      </c>
      <c r="F842" s="2" t="s">
        <v>39</v>
      </c>
      <c r="G842" s="2" t="s">
        <v>80</v>
      </c>
      <c r="H842" s="2" t="s">
        <v>46</v>
      </c>
      <c r="I842" s="2" t="s">
        <v>57</v>
      </c>
      <c r="J842" s="2" t="s">
        <v>3622</v>
      </c>
      <c r="K842" s="2" t="s">
        <v>1456</v>
      </c>
      <c r="L842">
        <v>4</v>
      </c>
      <c r="M842" s="1">
        <v>118000</v>
      </c>
      <c r="N842">
        <v>2.1</v>
      </c>
      <c r="O842">
        <v>3</v>
      </c>
      <c r="P842" s="2" t="s">
        <v>26</v>
      </c>
    </row>
    <row r="843" spans="1:16" x14ac:dyDescent="0.25">
      <c r="A843" s="2" t="s">
        <v>3623</v>
      </c>
      <c r="B843" s="2" t="s">
        <v>3624</v>
      </c>
      <c r="C843" s="2" t="s">
        <v>29</v>
      </c>
      <c r="D843" s="2" t="s">
        <v>19</v>
      </c>
      <c r="E843" s="2" t="s">
        <v>20</v>
      </c>
      <c r="F843" s="2" t="s">
        <v>32</v>
      </c>
      <c r="G843" s="2" t="s">
        <v>69</v>
      </c>
      <c r="H843" s="2" t="s">
        <v>23</v>
      </c>
      <c r="I843" s="2" t="s">
        <v>24</v>
      </c>
      <c r="J843" s="2" t="s">
        <v>3625</v>
      </c>
      <c r="K843" s="2" t="s">
        <v>1456</v>
      </c>
      <c r="L843">
        <v>6</v>
      </c>
      <c r="M843" s="1">
        <v>299000</v>
      </c>
      <c r="N843">
        <v>3</v>
      </c>
      <c r="O843">
        <v>4</v>
      </c>
      <c r="P843" s="2" t="s">
        <v>53</v>
      </c>
    </row>
    <row r="844" spans="1:16" x14ac:dyDescent="0.25">
      <c r="A844" s="2" t="s">
        <v>3626</v>
      </c>
      <c r="B844" s="2" t="s">
        <v>3627</v>
      </c>
      <c r="C844" s="2" t="s">
        <v>29</v>
      </c>
      <c r="D844" s="2" t="s">
        <v>50</v>
      </c>
      <c r="E844" s="2" t="s">
        <v>31</v>
      </c>
      <c r="F844" s="2" t="s">
        <v>39</v>
      </c>
      <c r="G844" s="2" t="s">
        <v>22</v>
      </c>
      <c r="H844" s="2" t="s">
        <v>34</v>
      </c>
      <c r="I844" s="2" t="s">
        <v>57</v>
      </c>
      <c r="J844" s="2" t="s">
        <v>3628</v>
      </c>
      <c r="K844" s="2" t="s">
        <v>3637</v>
      </c>
      <c r="L844">
        <v>4</v>
      </c>
      <c r="M844" s="1">
        <v>113000</v>
      </c>
      <c r="N844">
        <v>4.0999999999999996</v>
      </c>
      <c r="O844">
        <v>2</v>
      </c>
      <c r="P844" s="2" t="s">
        <v>26</v>
      </c>
    </row>
    <row r="845" spans="1:16" x14ac:dyDescent="0.25">
      <c r="A845" s="2" t="s">
        <v>3629</v>
      </c>
      <c r="B845" s="2" t="s">
        <v>2429</v>
      </c>
      <c r="C845" s="2" t="s">
        <v>29</v>
      </c>
      <c r="D845" s="2" t="s">
        <v>79</v>
      </c>
      <c r="E845" s="2" t="s">
        <v>20</v>
      </c>
      <c r="F845" s="2" t="s">
        <v>128</v>
      </c>
      <c r="G845" s="2" t="s">
        <v>22</v>
      </c>
      <c r="H845" s="2" t="s">
        <v>23</v>
      </c>
      <c r="I845" s="2" t="s">
        <v>75</v>
      </c>
      <c r="J845" s="2" t="s">
        <v>2197</v>
      </c>
      <c r="K845" s="2" t="s">
        <v>3637</v>
      </c>
      <c r="L845">
        <v>6</v>
      </c>
      <c r="M845" s="1">
        <v>361000</v>
      </c>
      <c r="N845">
        <v>3.2</v>
      </c>
      <c r="O845">
        <v>4</v>
      </c>
      <c r="P845" s="2" t="s">
        <v>26</v>
      </c>
    </row>
    <row r="846" spans="1:16" x14ac:dyDescent="0.25">
      <c r="A846" s="2" t="s">
        <v>3630</v>
      </c>
      <c r="B846" s="2" t="s">
        <v>999</v>
      </c>
      <c r="C846" s="2" t="s">
        <v>18</v>
      </c>
      <c r="D846" s="2" t="s">
        <v>50</v>
      </c>
      <c r="E846" s="2" t="s">
        <v>31</v>
      </c>
      <c r="F846" s="2" t="s">
        <v>32</v>
      </c>
      <c r="G846" s="2" t="s">
        <v>22</v>
      </c>
      <c r="H846" s="2" t="s">
        <v>23</v>
      </c>
      <c r="I846" s="2" t="s">
        <v>171</v>
      </c>
      <c r="J846" s="2" t="s">
        <v>2568</v>
      </c>
      <c r="K846" s="2" t="s">
        <v>3637</v>
      </c>
      <c r="L846">
        <v>2</v>
      </c>
      <c r="M846" s="1">
        <v>187000</v>
      </c>
      <c r="N846">
        <v>4.8</v>
      </c>
      <c r="O846">
        <v>9</v>
      </c>
      <c r="P846" s="2" t="s">
        <v>26</v>
      </c>
    </row>
    <row r="847" spans="1:16" x14ac:dyDescent="0.25">
      <c r="A847" s="2" t="s">
        <v>3631</v>
      </c>
      <c r="B847" s="2" t="s">
        <v>3490</v>
      </c>
      <c r="C847" s="2" t="s">
        <v>29</v>
      </c>
      <c r="D847" s="2" t="s">
        <v>19</v>
      </c>
      <c r="E847" s="2" t="s">
        <v>20</v>
      </c>
      <c r="F847" s="2" t="s">
        <v>39</v>
      </c>
      <c r="G847" s="2" t="s">
        <v>33</v>
      </c>
      <c r="H847" s="2" t="s">
        <v>23</v>
      </c>
      <c r="I847" s="2" t="s">
        <v>24</v>
      </c>
      <c r="J847" s="2" t="s">
        <v>2686</v>
      </c>
      <c r="K847" s="2" t="s">
        <v>3637</v>
      </c>
      <c r="L847">
        <v>6</v>
      </c>
      <c r="M847" s="1">
        <v>96000</v>
      </c>
      <c r="N847">
        <v>2</v>
      </c>
      <c r="O847">
        <v>6</v>
      </c>
      <c r="P847" s="2" t="s">
        <v>26</v>
      </c>
    </row>
    <row r="848" spans="1:16" x14ac:dyDescent="0.25">
      <c r="A848" s="2" t="s">
        <v>3635</v>
      </c>
      <c r="B848" s="2" t="s">
        <v>3636</v>
      </c>
      <c r="C848" s="2" t="s">
        <v>29</v>
      </c>
      <c r="D848" s="2" t="s">
        <v>19</v>
      </c>
      <c r="E848" s="2" t="s">
        <v>44</v>
      </c>
      <c r="F848" s="2" t="s">
        <v>32</v>
      </c>
      <c r="G848" s="2" t="s">
        <v>80</v>
      </c>
      <c r="H848" s="2" t="s">
        <v>23</v>
      </c>
      <c r="I848" s="2" t="s">
        <v>57</v>
      </c>
      <c r="J848" s="2" t="s">
        <v>1864</v>
      </c>
      <c r="K848" s="2" t="s">
        <v>3637</v>
      </c>
      <c r="L848">
        <v>6</v>
      </c>
      <c r="M848" s="1">
        <v>261000</v>
      </c>
      <c r="N848">
        <v>4.0999999999999996</v>
      </c>
      <c r="O848">
        <v>2</v>
      </c>
      <c r="P848" s="2" t="s">
        <v>114</v>
      </c>
    </row>
    <row r="849" spans="1:16" x14ac:dyDescent="0.25">
      <c r="A849" s="2" t="s">
        <v>3638</v>
      </c>
      <c r="B849" s="2" t="s">
        <v>3639</v>
      </c>
      <c r="C849" s="2" t="s">
        <v>18</v>
      </c>
      <c r="D849" s="2" t="s">
        <v>30</v>
      </c>
      <c r="E849" s="2" t="s">
        <v>20</v>
      </c>
      <c r="F849" s="2" t="s">
        <v>32</v>
      </c>
      <c r="G849" s="2" t="s">
        <v>22</v>
      </c>
      <c r="H849" s="2" t="s">
        <v>46</v>
      </c>
      <c r="I849" s="2" t="s">
        <v>24</v>
      </c>
      <c r="J849" s="2" t="s">
        <v>3640</v>
      </c>
      <c r="K849" s="2" t="s">
        <v>3654</v>
      </c>
      <c r="L849">
        <v>4</v>
      </c>
      <c r="M849" s="1">
        <v>273000</v>
      </c>
      <c r="N849">
        <v>2.2000000000000002</v>
      </c>
      <c r="O849">
        <v>2</v>
      </c>
      <c r="P849" s="2" t="s">
        <v>26</v>
      </c>
    </row>
    <row r="850" spans="1:16" x14ac:dyDescent="0.25">
      <c r="A850" s="2" t="s">
        <v>3645</v>
      </c>
      <c r="B850" s="2" t="s">
        <v>3646</v>
      </c>
      <c r="C850" s="2" t="s">
        <v>18</v>
      </c>
      <c r="D850" s="2" t="s">
        <v>50</v>
      </c>
      <c r="E850" s="2" t="s">
        <v>20</v>
      </c>
      <c r="F850" s="2" t="s">
        <v>32</v>
      </c>
      <c r="G850" s="2" t="s">
        <v>69</v>
      </c>
      <c r="H850" s="2" t="s">
        <v>46</v>
      </c>
      <c r="I850" s="2" t="s">
        <v>24</v>
      </c>
      <c r="J850" s="2" t="s">
        <v>3647</v>
      </c>
      <c r="K850" s="2" t="s">
        <v>3654</v>
      </c>
      <c r="L850">
        <v>2</v>
      </c>
      <c r="M850" s="1">
        <v>187000</v>
      </c>
      <c r="N850">
        <v>4.0999999999999996</v>
      </c>
      <c r="O850">
        <v>8</v>
      </c>
      <c r="P850" s="2" t="s">
        <v>26</v>
      </c>
    </row>
    <row r="851" spans="1:16" x14ac:dyDescent="0.25">
      <c r="A851" s="2" t="s">
        <v>3648</v>
      </c>
      <c r="B851" s="2" t="s">
        <v>3649</v>
      </c>
      <c r="C851" s="2" t="s">
        <v>29</v>
      </c>
      <c r="D851" s="2" t="s">
        <v>50</v>
      </c>
      <c r="E851" s="2" t="s">
        <v>31</v>
      </c>
      <c r="F851" s="2" t="s">
        <v>39</v>
      </c>
      <c r="G851" s="2" t="s">
        <v>69</v>
      </c>
      <c r="H851" s="2" t="s">
        <v>23</v>
      </c>
      <c r="I851" s="2" t="s">
        <v>24</v>
      </c>
      <c r="J851" s="2" t="s">
        <v>651</v>
      </c>
      <c r="K851" s="2" t="s">
        <v>3654</v>
      </c>
      <c r="L851">
        <v>3</v>
      </c>
      <c r="M851" s="1">
        <v>97000</v>
      </c>
      <c r="N851">
        <v>2</v>
      </c>
      <c r="O851">
        <v>2</v>
      </c>
      <c r="P851" s="2" t="s">
        <v>26</v>
      </c>
    </row>
    <row r="852" spans="1:16" x14ac:dyDescent="0.25">
      <c r="A852" s="2" t="s">
        <v>3652</v>
      </c>
      <c r="B852" s="2" t="s">
        <v>3653</v>
      </c>
      <c r="C852" s="2" t="s">
        <v>29</v>
      </c>
      <c r="D852" s="2" t="s">
        <v>30</v>
      </c>
      <c r="E852" s="2" t="s">
        <v>20</v>
      </c>
      <c r="F852" s="2" t="s">
        <v>39</v>
      </c>
      <c r="G852" s="2" t="s">
        <v>22</v>
      </c>
      <c r="H852" s="2" t="s">
        <v>23</v>
      </c>
      <c r="I852" s="2" t="s">
        <v>24</v>
      </c>
      <c r="J852" s="2" t="s">
        <v>1397</v>
      </c>
      <c r="K852" s="2" t="s">
        <v>3654</v>
      </c>
      <c r="L852">
        <v>7</v>
      </c>
      <c r="M852" s="1">
        <v>178000</v>
      </c>
      <c r="N852">
        <v>2.8</v>
      </c>
      <c r="O852">
        <v>9</v>
      </c>
      <c r="P852" s="2" t="s">
        <v>72</v>
      </c>
    </row>
    <row r="853" spans="1:16" x14ac:dyDescent="0.25">
      <c r="A853" s="2" t="s">
        <v>3655</v>
      </c>
      <c r="B853" s="2" t="s">
        <v>3656</v>
      </c>
      <c r="C853" s="2" t="s">
        <v>29</v>
      </c>
      <c r="D853" s="2" t="s">
        <v>43</v>
      </c>
      <c r="E853" s="2" t="s">
        <v>20</v>
      </c>
      <c r="F853" s="2" t="s">
        <v>128</v>
      </c>
      <c r="G853" s="2" t="s">
        <v>22</v>
      </c>
      <c r="H853" s="2" t="s">
        <v>23</v>
      </c>
      <c r="I853" s="2" t="s">
        <v>24</v>
      </c>
      <c r="J853" s="2" t="s">
        <v>3584</v>
      </c>
      <c r="K853" s="2" t="s">
        <v>3657</v>
      </c>
      <c r="L853">
        <v>5</v>
      </c>
      <c r="M853" s="1">
        <v>406000</v>
      </c>
      <c r="N853">
        <v>3.3</v>
      </c>
      <c r="O853">
        <v>19</v>
      </c>
      <c r="P853" s="2" t="s">
        <v>53</v>
      </c>
    </row>
    <row r="854" spans="1:16" x14ac:dyDescent="0.25">
      <c r="A854" s="2" t="s">
        <v>3658</v>
      </c>
      <c r="B854" s="2" t="s">
        <v>1108</v>
      </c>
      <c r="C854" s="2" t="s">
        <v>18</v>
      </c>
      <c r="D854" s="2" t="s">
        <v>19</v>
      </c>
      <c r="E854" s="2" t="s">
        <v>20</v>
      </c>
      <c r="F854" s="2" t="s">
        <v>32</v>
      </c>
      <c r="G854" s="2" t="s">
        <v>22</v>
      </c>
      <c r="H854" s="2" t="s">
        <v>34</v>
      </c>
      <c r="I854" s="2" t="s">
        <v>24</v>
      </c>
      <c r="J854" s="2" t="s">
        <v>3659</v>
      </c>
      <c r="K854" s="2" t="s">
        <v>3667</v>
      </c>
      <c r="L854">
        <v>4</v>
      </c>
      <c r="M854" s="1">
        <v>319000</v>
      </c>
      <c r="N854">
        <v>3</v>
      </c>
      <c r="O854">
        <v>9</v>
      </c>
      <c r="P854" s="2" t="s">
        <v>26</v>
      </c>
    </row>
    <row r="855" spans="1:16" x14ac:dyDescent="0.25">
      <c r="A855" s="2" t="s">
        <v>3660</v>
      </c>
      <c r="B855" s="2" t="s">
        <v>3661</v>
      </c>
      <c r="C855" s="2" t="s">
        <v>18</v>
      </c>
      <c r="D855" s="2" t="s">
        <v>43</v>
      </c>
      <c r="E855" s="2" t="s">
        <v>31</v>
      </c>
      <c r="F855" s="2" t="s">
        <v>128</v>
      </c>
      <c r="G855" s="2" t="s">
        <v>33</v>
      </c>
      <c r="H855" s="2" t="s">
        <v>34</v>
      </c>
      <c r="I855" s="2" t="s">
        <v>171</v>
      </c>
      <c r="J855" s="2" t="s">
        <v>887</v>
      </c>
      <c r="K855" s="2" t="s">
        <v>3667</v>
      </c>
      <c r="L855">
        <v>5</v>
      </c>
      <c r="M855" s="1">
        <v>543000</v>
      </c>
      <c r="N855">
        <v>4.0999999999999996</v>
      </c>
      <c r="O855">
        <v>28</v>
      </c>
      <c r="P855" s="2" t="s">
        <v>26</v>
      </c>
    </row>
    <row r="856" spans="1:16" x14ac:dyDescent="0.25">
      <c r="A856" s="2" t="s">
        <v>3662</v>
      </c>
      <c r="B856" s="2" t="s">
        <v>3663</v>
      </c>
      <c r="C856" s="2" t="s">
        <v>29</v>
      </c>
      <c r="D856" s="2" t="s">
        <v>79</v>
      </c>
      <c r="E856" s="2" t="s">
        <v>44</v>
      </c>
      <c r="F856" s="2" t="s">
        <v>21</v>
      </c>
      <c r="G856" s="2" t="s">
        <v>22</v>
      </c>
      <c r="H856" s="2" t="s">
        <v>46</v>
      </c>
      <c r="I856" s="2" t="s">
        <v>24</v>
      </c>
      <c r="J856" s="2" t="s">
        <v>3664</v>
      </c>
      <c r="K856" s="2" t="s">
        <v>3667</v>
      </c>
      <c r="L856">
        <v>4</v>
      </c>
      <c r="M856" s="1">
        <v>769000</v>
      </c>
      <c r="N856">
        <v>3.1</v>
      </c>
      <c r="O856">
        <v>11</v>
      </c>
      <c r="P856" s="2" t="s">
        <v>26</v>
      </c>
    </row>
    <row r="857" spans="1:16" x14ac:dyDescent="0.25">
      <c r="A857" s="2" t="s">
        <v>3665</v>
      </c>
      <c r="B857" s="2" t="s">
        <v>3666</v>
      </c>
      <c r="C857" s="2" t="s">
        <v>29</v>
      </c>
      <c r="D857" s="2" t="s">
        <v>30</v>
      </c>
      <c r="E857" s="2" t="s">
        <v>31</v>
      </c>
      <c r="F857" s="2" t="s">
        <v>39</v>
      </c>
      <c r="G857" s="2" t="s">
        <v>80</v>
      </c>
      <c r="H857" s="2" t="s">
        <v>23</v>
      </c>
      <c r="I857" s="2" t="s">
        <v>24</v>
      </c>
      <c r="J857" s="2" t="s">
        <v>1883</v>
      </c>
      <c r="K857" s="2" t="s">
        <v>3667</v>
      </c>
      <c r="L857">
        <v>6</v>
      </c>
      <c r="M857" s="1">
        <v>170000</v>
      </c>
      <c r="N857">
        <v>2.6</v>
      </c>
      <c r="O857">
        <v>13</v>
      </c>
      <c r="P857" s="2" t="s">
        <v>53</v>
      </c>
    </row>
    <row r="858" spans="1:16" x14ac:dyDescent="0.25">
      <c r="A858" s="2" t="s">
        <v>3668</v>
      </c>
      <c r="B858" s="2" t="s">
        <v>3669</v>
      </c>
      <c r="C858" s="2" t="s">
        <v>29</v>
      </c>
      <c r="D858" s="2" t="s">
        <v>30</v>
      </c>
      <c r="E858" s="2" t="s">
        <v>20</v>
      </c>
      <c r="F858" s="2" t="s">
        <v>39</v>
      </c>
      <c r="G858" s="2" t="s">
        <v>22</v>
      </c>
      <c r="H858" s="2" t="s">
        <v>23</v>
      </c>
      <c r="I858" s="2" t="s">
        <v>57</v>
      </c>
      <c r="J858" s="2" t="s">
        <v>3670</v>
      </c>
      <c r="K858" s="2" t="s">
        <v>3671</v>
      </c>
      <c r="L858">
        <v>3</v>
      </c>
      <c r="M858" s="1">
        <v>138000</v>
      </c>
      <c r="N858">
        <v>2.1</v>
      </c>
      <c r="O858">
        <v>7</v>
      </c>
      <c r="P858" s="2" t="s">
        <v>53</v>
      </c>
    </row>
    <row r="859" spans="1:16" x14ac:dyDescent="0.25">
      <c r="A859" s="2" t="s">
        <v>3677</v>
      </c>
      <c r="B859" s="2" t="s">
        <v>3678</v>
      </c>
      <c r="C859" s="2" t="s">
        <v>29</v>
      </c>
      <c r="D859" s="2" t="s">
        <v>43</v>
      </c>
      <c r="E859" s="2" t="s">
        <v>44</v>
      </c>
      <c r="F859" s="2" t="s">
        <v>32</v>
      </c>
      <c r="G859" s="2" t="s">
        <v>80</v>
      </c>
      <c r="H859" s="2" t="s">
        <v>34</v>
      </c>
      <c r="I859" s="2" t="s">
        <v>24</v>
      </c>
      <c r="J859" s="2" t="s">
        <v>129</v>
      </c>
      <c r="K859" s="2" t="s">
        <v>1744</v>
      </c>
      <c r="L859">
        <v>2</v>
      </c>
      <c r="M859" s="1">
        <v>289000</v>
      </c>
      <c r="N859">
        <v>3.5</v>
      </c>
      <c r="O859">
        <v>10</v>
      </c>
      <c r="P859" s="2" t="s">
        <v>53</v>
      </c>
    </row>
    <row r="860" spans="1:16" x14ac:dyDescent="0.25">
      <c r="A860" s="2" t="s">
        <v>3680</v>
      </c>
      <c r="B860" s="2" t="s">
        <v>3255</v>
      </c>
      <c r="C860" s="2" t="s">
        <v>18</v>
      </c>
      <c r="D860" s="2" t="s">
        <v>43</v>
      </c>
      <c r="E860" s="2" t="s">
        <v>20</v>
      </c>
      <c r="F860" s="2" t="s">
        <v>21</v>
      </c>
      <c r="G860" s="2" t="s">
        <v>22</v>
      </c>
      <c r="H860" s="2" t="s">
        <v>46</v>
      </c>
      <c r="I860" s="2" t="s">
        <v>24</v>
      </c>
      <c r="J860" s="2" t="s">
        <v>3681</v>
      </c>
      <c r="K860" s="2" t="s">
        <v>3694</v>
      </c>
      <c r="L860">
        <v>4</v>
      </c>
      <c r="M860" s="1">
        <v>646000</v>
      </c>
      <c r="N860">
        <v>3.9</v>
      </c>
      <c r="O860">
        <v>4</v>
      </c>
      <c r="P860" s="2" t="s">
        <v>26</v>
      </c>
    </row>
    <row r="861" spans="1:16" x14ac:dyDescent="0.25">
      <c r="A861" s="2" t="s">
        <v>3682</v>
      </c>
      <c r="B861" s="2" t="s">
        <v>3683</v>
      </c>
      <c r="C861" s="2" t="s">
        <v>29</v>
      </c>
      <c r="D861" s="2" t="s">
        <v>30</v>
      </c>
      <c r="E861" s="2" t="s">
        <v>20</v>
      </c>
      <c r="F861" s="2" t="s">
        <v>128</v>
      </c>
      <c r="G861" s="2" t="s">
        <v>22</v>
      </c>
      <c r="H861" s="2" t="s">
        <v>23</v>
      </c>
      <c r="I861" s="2" t="s">
        <v>24</v>
      </c>
      <c r="J861" s="2" t="s">
        <v>3684</v>
      </c>
      <c r="K861" s="2" t="s">
        <v>3694</v>
      </c>
      <c r="L861">
        <v>6</v>
      </c>
      <c r="M861" s="1">
        <v>425000</v>
      </c>
      <c r="N861">
        <v>4.2</v>
      </c>
      <c r="O861">
        <v>5</v>
      </c>
      <c r="P861" s="2" t="s">
        <v>26</v>
      </c>
    </row>
    <row r="862" spans="1:16" x14ac:dyDescent="0.25">
      <c r="A862" s="2" t="s">
        <v>3686</v>
      </c>
      <c r="B862" s="2" t="s">
        <v>2842</v>
      </c>
      <c r="C862" s="2" t="s">
        <v>29</v>
      </c>
      <c r="D862" s="2" t="s">
        <v>30</v>
      </c>
      <c r="E862" s="2" t="s">
        <v>20</v>
      </c>
      <c r="F862" s="2" t="s">
        <v>39</v>
      </c>
      <c r="G862" s="2" t="s">
        <v>22</v>
      </c>
      <c r="H862" s="2" t="s">
        <v>23</v>
      </c>
      <c r="I862" s="2" t="s">
        <v>75</v>
      </c>
      <c r="J862" s="2" t="s">
        <v>2521</v>
      </c>
      <c r="K862" s="2" t="s">
        <v>3694</v>
      </c>
      <c r="L862">
        <v>3</v>
      </c>
      <c r="M862" s="1">
        <v>93000</v>
      </c>
      <c r="N862">
        <v>2.6</v>
      </c>
      <c r="O862">
        <v>34</v>
      </c>
      <c r="P862" s="2" t="s">
        <v>26</v>
      </c>
    </row>
    <row r="863" spans="1:16" x14ac:dyDescent="0.25">
      <c r="A863" s="2" t="s">
        <v>3687</v>
      </c>
      <c r="B863" s="2" t="s">
        <v>2665</v>
      </c>
      <c r="C863" s="2" t="s">
        <v>29</v>
      </c>
      <c r="D863" s="2" t="s">
        <v>50</v>
      </c>
      <c r="E863" s="2" t="s">
        <v>31</v>
      </c>
      <c r="F863" s="2" t="s">
        <v>39</v>
      </c>
      <c r="G863" s="2" t="s">
        <v>22</v>
      </c>
      <c r="H863" s="2" t="s">
        <v>34</v>
      </c>
      <c r="I863" s="2" t="s">
        <v>35</v>
      </c>
      <c r="J863" s="2" t="s">
        <v>3688</v>
      </c>
      <c r="K863" s="2" t="s">
        <v>3694</v>
      </c>
      <c r="L863">
        <v>4</v>
      </c>
      <c r="M863" s="1">
        <v>173000</v>
      </c>
      <c r="N863">
        <v>3.3</v>
      </c>
      <c r="O863">
        <v>5</v>
      </c>
      <c r="P863" s="2" t="s">
        <v>26</v>
      </c>
    </row>
    <row r="864" spans="1:16" x14ac:dyDescent="0.25">
      <c r="A864" s="2" t="s">
        <v>3689</v>
      </c>
      <c r="B864" s="2" t="s">
        <v>772</v>
      </c>
      <c r="C864" s="2" t="s">
        <v>18</v>
      </c>
      <c r="D864" s="2" t="s">
        <v>79</v>
      </c>
      <c r="E864" s="2" t="s">
        <v>31</v>
      </c>
      <c r="F864" s="2" t="s">
        <v>128</v>
      </c>
      <c r="G864" s="2" t="s">
        <v>33</v>
      </c>
      <c r="H864" s="2" t="s">
        <v>46</v>
      </c>
      <c r="I864" s="2" t="s">
        <v>35</v>
      </c>
      <c r="J864" s="2" t="s">
        <v>3690</v>
      </c>
      <c r="K864" s="2" t="s">
        <v>3694</v>
      </c>
      <c r="L864">
        <v>2</v>
      </c>
      <c r="M864" s="1">
        <v>468000</v>
      </c>
      <c r="N864">
        <v>3</v>
      </c>
      <c r="O864">
        <v>2</v>
      </c>
      <c r="P864" s="2" t="s">
        <v>26</v>
      </c>
    </row>
    <row r="865" spans="1:16" x14ac:dyDescent="0.25">
      <c r="A865" s="2" t="s">
        <v>3691</v>
      </c>
      <c r="B865" s="2" t="s">
        <v>3692</v>
      </c>
      <c r="C865" s="2" t="s">
        <v>29</v>
      </c>
      <c r="D865" s="2" t="s">
        <v>50</v>
      </c>
      <c r="E865" s="2" t="s">
        <v>20</v>
      </c>
      <c r="F865" s="2" t="s">
        <v>32</v>
      </c>
      <c r="G865" s="2" t="s">
        <v>22</v>
      </c>
      <c r="H865" s="2" t="s">
        <v>34</v>
      </c>
      <c r="I865" s="2" t="s">
        <v>24</v>
      </c>
      <c r="J865" s="2" t="s">
        <v>3693</v>
      </c>
      <c r="K865" s="2" t="s">
        <v>3694</v>
      </c>
      <c r="L865">
        <v>7</v>
      </c>
      <c r="M865" s="1">
        <v>207000</v>
      </c>
      <c r="N865">
        <v>3.4</v>
      </c>
      <c r="O865">
        <v>1</v>
      </c>
      <c r="P865" s="2" t="s">
        <v>114</v>
      </c>
    </row>
    <row r="866" spans="1:16" x14ac:dyDescent="0.25">
      <c r="A866" s="2" t="s">
        <v>3697</v>
      </c>
      <c r="B866" s="2" t="s">
        <v>3698</v>
      </c>
      <c r="C866" s="2" t="s">
        <v>29</v>
      </c>
      <c r="D866" s="2" t="s">
        <v>50</v>
      </c>
      <c r="E866" s="2" t="s">
        <v>20</v>
      </c>
      <c r="F866" s="2" t="s">
        <v>21</v>
      </c>
      <c r="G866" s="2" t="s">
        <v>22</v>
      </c>
      <c r="H866" s="2" t="s">
        <v>23</v>
      </c>
      <c r="I866" s="2" t="s">
        <v>171</v>
      </c>
      <c r="J866" s="2" t="s">
        <v>1172</v>
      </c>
      <c r="K866" s="2" t="s">
        <v>911</v>
      </c>
      <c r="L866">
        <v>5</v>
      </c>
      <c r="M866" s="1">
        <v>914000</v>
      </c>
      <c r="N866">
        <v>3.5</v>
      </c>
      <c r="O866">
        <v>2</v>
      </c>
      <c r="P866" s="2" t="s">
        <v>26</v>
      </c>
    </row>
    <row r="867" spans="1:16" x14ac:dyDescent="0.25">
      <c r="A867" s="2" t="s">
        <v>3699</v>
      </c>
      <c r="B867" s="2" t="s">
        <v>3700</v>
      </c>
      <c r="C867" s="2" t="s">
        <v>18</v>
      </c>
      <c r="D867" s="2" t="s">
        <v>30</v>
      </c>
      <c r="E867" s="2" t="s">
        <v>44</v>
      </c>
      <c r="F867" s="2" t="s">
        <v>32</v>
      </c>
      <c r="G867" s="2" t="s">
        <v>22</v>
      </c>
      <c r="H867" s="2" t="s">
        <v>34</v>
      </c>
      <c r="I867" s="2" t="s">
        <v>24</v>
      </c>
      <c r="J867" s="2" t="s">
        <v>818</v>
      </c>
      <c r="K867" s="2" t="s">
        <v>911</v>
      </c>
      <c r="L867">
        <v>3</v>
      </c>
      <c r="M867" s="1">
        <v>209000</v>
      </c>
      <c r="N867">
        <v>1.6</v>
      </c>
      <c r="O867">
        <v>0</v>
      </c>
      <c r="P867" s="2" t="s">
        <v>114</v>
      </c>
    </row>
    <row r="868" spans="1:16" x14ac:dyDescent="0.25">
      <c r="A868" s="2" t="s">
        <v>3701</v>
      </c>
      <c r="B868" s="2" t="s">
        <v>3702</v>
      </c>
      <c r="C868" s="2" t="s">
        <v>29</v>
      </c>
      <c r="D868" s="2" t="s">
        <v>30</v>
      </c>
      <c r="E868" s="2" t="s">
        <v>20</v>
      </c>
      <c r="F868" s="2" t="s">
        <v>32</v>
      </c>
      <c r="G868" s="2" t="s">
        <v>22</v>
      </c>
      <c r="H868" s="2" t="s">
        <v>23</v>
      </c>
      <c r="I868" s="2" t="s">
        <v>24</v>
      </c>
      <c r="J868" s="2" t="s">
        <v>1228</v>
      </c>
      <c r="K868" s="2" t="s">
        <v>3713</v>
      </c>
      <c r="L868">
        <v>5</v>
      </c>
      <c r="M868" s="1">
        <v>312000</v>
      </c>
      <c r="N868">
        <v>4.0999999999999996</v>
      </c>
      <c r="O868">
        <v>19</v>
      </c>
      <c r="P868" s="2" t="s">
        <v>26</v>
      </c>
    </row>
    <row r="869" spans="1:16" x14ac:dyDescent="0.25">
      <c r="A869" s="2" t="s">
        <v>3703</v>
      </c>
      <c r="B869" s="2" t="s">
        <v>3704</v>
      </c>
      <c r="C869" s="2" t="s">
        <v>18</v>
      </c>
      <c r="D869" s="2" t="s">
        <v>30</v>
      </c>
      <c r="E869" s="2" t="s">
        <v>20</v>
      </c>
      <c r="F869" s="2" t="s">
        <v>32</v>
      </c>
      <c r="G869" s="2" t="s">
        <v>33</v>
      </c>
      <c r="H869" s="2" t="s">
        <v>46</v>
      </c>
      <c r="I869" s="2" t="s">
        <v>24</v>
      </c>
      <c r="J869" s="2" t="s">
        <v>478</v>
      </c>
      <c r="K869" s="2" t="s">
        <v>3713</v>
      </c>
      <c r="L869">
        <v>2</v>
      </c>
      <c r="M869" s="1">
        <v>208000</v>
      </c>
      <c r="N869">
        <v>2.5</v>
      </c>
      <c r="O869">
        <v>0</v>
      </c>
      <c r="P869" s="2" t="s">
        <v>26</v>
      </c>
    </row>
    <row r="870" spans="1:16" x14ac:dyDescent="0.25">
      <c r="A870" s="2" t="s">
        <v>3711</v>
      </c>
      <c r="B870" s="2" t="s">
        <v>734</v>
      </c>
      <c r="C870" s="2" t="s">
        <v>18</v>
      </c>
      <c r="D870" s="2" t="s">
        <v>19</v>
      </c>
      <c r="E870" s="2" t="s">
        <v>20</v>
      </c>
      <c r="F870" s="2" t="s">
        <v>39</v>
      </c>
      <c r="G870" s="2" t="s">
        <v>22</v>
      </c>
      <c r="H870" s="2" t="s">
        <v>23</v>
      </c>
      <c r="I870" s="2" t="s">
        <v>35</v>
      </c>
      <c r="J870" s="2" t="s">
        <v>3712</v>
      </c>
      <c r="K870" s="2" t="s">
        <v>3713</v>
      </c>
      <c r="L870">
        <v>2</v>
      </c>
      <c r="M870" s="1">
        <v>122000</v>
      </c>
      <c r="N870">
        <v>2.5</v>
      </c>
      <c r="O870">
        <v>33</v>
      </c>
      <c r="P870" s="2" t="s">
        <v>72</v>
      </c>
    </row>
    <row r="871" spans="1:16" x14ac:dyDescent="0.25">
      <c r="A871" s="2" t="s">
        <v>3714</v>
      </c>
      <c r="B871" s="2" t="s">
        <v>3715</v>
      </c>
      <c r="C871" s="2" t="s">
        <v>18</v>
      </c>
      <c r="D871" s="2" t="s">
        <v>30</v>
      </c>
      <c r="E871" s="2" t="s">
        <v>20</v>
      </c>
      <c r="F871" s="2" t="s">
        <v>45</v>
      </c>
      <c r="G871" s="2" t="s">
        <v>80</v>
      </c>
      <c r="H871" s="2" t="s">
        <v>23</v>
      </c>
      <c r="I871" s="2" t="s">
        <v>24</v>
      </c>
      <c r="J871" s="2" t="s">
        <v>2471</v>
      </c>
      <c r="K871" s="2" t="s">
        <v>2216</v>
      </c>
      <c r="L871">
        <v>4</v>
      </c>
      <c r="M871" s="1">
        <v>1226000</v>
      </c>
      <c r="N871">
        <v>3.8</v>
      </c>
      <c r="O871">
        <v>5</v>
      </c>
      <c r="P871" s="2" t="s">
        <v>26</v>
      </c>
    </row>
    <row r="872" spans="1:16" x14ac:dyDescent="0.25">
      <c r="A872" s="2" t="s">
        <v>3716</v>
      </c>
      <c r="B872" s="2" t="s">
        <v>3700</v>
      </c>
      <c r="C872" s="2" t="s">
        <v>18</v>
      </c>
      <c r="D872" s="2" t="s">
        <v>50</v>
      </c>
      <c r="E872" s="2" t="s">
        <v>20</v>
      </c>
      <c r="F872" s="2" t="s">
        <v>39</v>
      </c>
      <c r="G872" s="2" t="s">
        <v>22</v>
      </c>
      <c r="H872" s="2" t="s">
        <v>46</v>
      </c>
      <c r="I872" s="2" t="s">
        <v>35</v>
      </c>
      <c r="J872" s="2" t="s">
        <v>3139</v>
      </c>
      <c r="K872" s="2" t="s">
        <v>2216</v>
      </c>
      <c r="L872">
        <v>2</v>
      </c>
      <c r="M872" s="1">
        <v>149000</v>
      </c>
      <c r="N872">
        <v>2.1</v>
      </c>
      <c r="O872">
        <v>4</v>
      </c>
      <c r="P872" s="2" t="s">
        <v>26</v>
      </c>
    </row>
    <row r="873" spans="1:16" x14ac:dyDescent="0.25">
      <c r="A873" s="2" t="s">
        <v>3717</v>
      </c>
      <c r="B873" s="2" t="s">
        <v>3718</v>
      </c>
      <c r="C873" s="2" t="s">
        <v>18</v>
      </c>
      <c r="D873" s="2" t="s">
        <v>19</v>
      </c>
      <c r="E873" s="2" t="s">
        <v>44</v>
      </c>
      <c r="F873" s="2" t="s">
        <v>32</v>
      </c>
      <c r="G873" s="2" t="s">
        <v>80</v>
      </c>
      <c r="H873" s="2" t="s">
        <v>23</v>
      </c>
      <c r="I873" s="2" t="s">
        <v>57</v>
      </c>
      <c r="J873" s="2" t="s">
        <v>3719</v>
      </c>
      <c r="K873" s="2" t="s">
        <v>2216</v>
      </c>
      <c r="L873">
        <v>4</v>
      </c>
      <c r="M873" s="1">
        <v>356000</v>
      </c>
      <c r="N873">
        <v>3.2</v>
      </c>
      <c r="O873">
        <v>13</v>
      </c>
      <c r="P873" s="2" t="s">
        <v>26</v>
      </c>
    </row>
    <row r="874" spans="1:16" x14ac:dyDescent="0.25">
      <c r="A874" s="2" t="s">
        <v>3723</v>
      </c>
      <c r="B874" s="2" t="s">
        <v>3724</v>
      </c>
      <c r="C874" s="2" t="s">
        <v>18</v>
      </c>
      <c r="D874" s="2" t="s">
        <v>79</v>
      </c>
      <c r="E874" s="2" t="s">
        <v>20</v>
      </c>
      <c r="F874" s="2" t="s">
        <v>39</v>
      </c>
      <c r="G874" s="2" t="s">
        <v>22</v>
      </c>
      <c r="H874" s="2" t="s">
        <v>23</v>
      </c>
      <c r="I874" s="2" t="s">
        <v>57</v>
      </c>
      <c r="J874" s="2" t="s">
        <v>2911</v>
      </c>
      <c r="K874" s="2" t="s">
        <v>2216</v>
      </c>
      <c r="L874">
        <v>5</v>
      </c>
      <c r="M874" s="1">
        <v>103000</v>
      </c>
      <c r="N874">
        <v>2.5</v>
      </c>
      <c r="O874">
        <v>9</v>
      </c>
      <c r="P874" s="2" t="s">
        <v>26</v>
      </c>
    </row>
    <row r="875" spans="1:16" x14ac:dyDescent="0.25">
      <c r="A875" s="2" t="s">
        <v>3727</v>
      </c>
      <c r="B875" s="2" t="s">
        <v>2173</v>
      </c>
      <c r="C875" s="2" t="s">
        <v>29</v>
      </c>
      <c r="D875" s="2" t="s">
        <v>50</v>
      </c>
      <c r="E875" s="2" t="s">
        <v>20</v>
      </c>
      <c r="F875" s="2" t="s">
        <v>39</v>
      </c>
      <c r="G875" s="2" t="s">
        <v>33</v>
      </c>
      <c r="H875" s="2" t="s">
        <v>34</v>
      </c>
      <c r="I875" s="2" t="s">
        <v>171</v>
      </c>
      <c r="J875" s="2" t="s">
        <v>1814</v>
      </c>
      <c r="K875" s="2" t="s">
        <v>2216</v>
      </c>
      <c r="L875">
        <v>6</v>
      </c>
      <c r="M875" s="1">
        <v>121000</v>
      </c>
      <c r="N875">
        <v>3</v>
      </c>
      <c r="O875">
        <v>2</v>
      </c>
      <c r="P875" s="2" t="s">
        <v>26</v>
      </c>
    </row>
    <row r="876" spans="1:16" x14ac:dyDescent="0.25">
      <c r="A876" s="2" t="s">
        <v>3730</v>
      </c>
      <c r="B876" s="2" t="s">
        <v>3731</v>
      </c>
      <c r="C876" s="2" t="s">
        <v>18</v>
      </c>
      <c r="D876" s="2" t="s">
        <v>43</v>
      </c>
      <c r="E876" s="2" t="s">
        <v>44</v>
      </c>
      <c r="F876" s="2" t="s">
        <v>128</v>
      </c>
      <c r="G876" s="2" t="s">
        <v>22</v>
      </c>
      <c r="H876" s="2" t="s">
        <v>23</v>
      </c>
      <c r="I876" s="2" t="s">
        <v>57</v>
      </c>
      <c r="J876" s="2" t="s">
        <v>2937</v>
      </c>
      <c r="K876" s="2" t="s">
        <v>2216</v>
      </c>
      <c r="L876">
        <v>3</v>
      </c>
      <c r="M876" s="1">
        <v>452000</v>
      </c>
      <c r="N876">
        <v>2.2999999999999998</v>
      </c>
      <c r="O876">
        <v>9</v>
      </c>
      <c r="P876" s="2" t="s">
        <v>26</v>
      </c>
    </row>
    <row r="877" spans="1:16" x14ac:dyDescent="0.25">
      <c r="A877" s="2" t="s">
        <v>3732</v>
      </c>
      <c r="B877" s="2" t="s">
        <v>3733</v>
      </c>
      <c r="C877" s="2" t="s">
        <v>18</v>
      </c>
      <c r="D877" s="2" t="s">
        <v>50</v>
      </c>
      <c r="E877" s="2" t="s">
        <v>20</v>
      </c>
      <c r="F877" s="2" t="s">
        <v>39</v>
      </c>
      <c r="G877" s="2" t="s">
        <v>22</v>
      </c>
      <c r="H877" s="2" t="s">
        <v>23</v>
      </c>
      <c r="I877" s="2" t="s">
        <v>24</v>
      </c>
      <c r="J877" s="2" t="s">
        <v>3734</v>
      </c>
      <c r="K877" s="2" t="s">
        <v>2216</v>
      </c>
      <c r="L877">
        <v>4</v>
      </c>
      <c r="M877" s="1">
        <v>155000</v>
      </c>
      <c r="N877">
        <v>4.8</v>
      </c>
      <c r="O877">
        <v>6</v>
      </c>
      <c r="P877" s="2" t="s">
        <v>26</v>
      </c>
    </row>
    <row r="878" spans="1:16" x14ac:dyDescent="0.25">
      <c r="A878" s="2" t="s">
        <v>3739</v>
      </c>
      <c r="B878" s="2" t="s">
        <v>3041</v>
      </c>
      <c r="C878" s="2" t="s">
        <v>18</v>
      </c>
      <c r="D878" s="2" t="s">
        <v>50</v>
      </c>
      <c r="E878" s="2" t="s">
        <v>20</v>
      </c>
      <c r="F878" s="2" t="s">
        <v>32</v>
      </c>
      <c r="G878" s="2" t="s">
        <v>69</v>
      </c>
      <c r="H878" s="2" t="s">
        <v>23</v>
      </c>
      <c r="I878" s="2" t="s">
        <v>24</v>
      </c>
      <c r="J878" s="2" t="s">
        <v>3740</v>
      </c>
      <c r="K878" s="2" t="s">
        <v>2216</v>
      </c>
      <c r="L878">
        <v>4</v>
      </c>
      <c r="M878" s="1">
        <v>236000</v>
      </c>
      <c r="N878">
        <v>4.2</v>
      </c>
      <c r="O878">
        <v>6</v>
      </c>
      <c r="P878" s="2" t="s">
        <v>26</v>
      </c>
    </row>
    <row r="879" spans="1:16" x14ac:dyDescent="0.25">
      <c r="A879" s="2" t="s">
        <v>3741</v>
      </c>
      <c r="B879" s="2" t="s">
        <v>3742</v>
      </c>
      <c r="C879" s="2" t="s">
        <v>29</v>
      </c>
      <c r="D879" s="2" t="s">
        <v>79</v>
      </c>
      <c r="E879" s="2" t="s">
        <v>44</v>
      </c>
      <c r="F879" s="2" t="s">
        <v>32</v>
      </c>
      <c r="G879" s="2" t="s">
        <v>22</v>
      </c>
      <c r="H879" s="2" t="s">
        <v>62</v>
      </c>
      <c r="I879" s="2" t="s">
        <v>24</v>
      </c>
      <c r="J879" s="2" t="s">
        <v>3073</v>
      </c>
      <c r="K879" s="2" t="s">
        <v>2216</v>
      </c>
      <c r="L879">
        <v>4</v>
      </c>
      <c r="M879" s="1">
        <v>343000</v>
      </c>
      <c r="N879">
        <v>2.2999999999999998</v>
      </c>
      <c r="O879">
        <v>10</v>
      </c>
      <c r="P879" s="2" t="s">
        <v>53</v>
      </c>
    </row>
    <row r="880" spans="1:16" x14ac:dyDescent="0.25">
      <c r="A880" s="2" t="s">
        <v>3743</v>
      </c>
      <c r="B880" s="2" t="s">
        <v>2883</v>
      </c>
      <c r="C880" s="2" t="s">
        <v>18</v>
      </c>
      <c r="D880" s="2" t="s">
        <v>30</v>
      </c>
      <c r="E880" s="2" t="s">
        <v>20</v>
      </c>
      <c r="F880" s="2" t="s">
        <v>39</v>
      </c>
      <c r="G880" s="2" t="s">
        <v>22</v>
      </c>
      <c r="H880" s="2" t="s">
        <v>23</v>
      </c>
      <c r="I880" s="2" t="s">
        <v>24</v>
      </c>
      <c r="J880" s="2" t="s">
        <v>1260</v>
      </c>
      <c r="K880" s="2" t="s">
        <v>943</v>
      </c>
      <c r="L880">
        <v>3</v>
      </c>
      <c r="M880" s="1">
        <v>112000</v>
      </c>
      <c r="N880">
        <v>1.9</v>
      </c>
      <c r="O880">
        <v>17</v>
      </c>
      <c r="P880" s="2" t="s">
        <v>26</v>
      </c>
    </row>
    <row r="881" spans="1:16" x14ac:dyDescent="0.25">
      <c r="A881" s="2" t="s">
        <v>3746</v>
      </c>
      <c r="B881" s="2" t="s">
        <v>3747</v>
      </c>
      <c r="C881" s="2" t="s">
        <v>18</v>
      </c>
      <c r="D881" s="2" t="s">
        <v>43</v>
      </c>
      <c r="E881" s="2" t="s">
        <v>44</v>
      </c>
      <c r="F881" s="2" t="s">
        <v>45</v>
      </c>
      <c r="G881" s="2" t="s">
        <v>22</v>
      </c>
      <c r="H881" s="2" t="s">
        <v>34</v>
      </c>
      <c r="I881" s="2" t="s">
        <v>57</v>
      </c>
      <c r="J881" s="2" t="s">
        <v>3748</v>
      </c>
      <c r="K881" s="2" t="s">
        <v>943</v>
      </c>
      <c r="L881">
        <v>3</v>
      </c>
      <c r="M881" s="1">
        <v>1472000</v>
      </c>
      <c r="N881">
        <v>4.8</v>
      </c>
      <c r="O881">
        <v>13</v>
      </c>
      <c r="P881" s="2" t="s">
        <v>26</v>
      </c>
    </row>
    <row r="882" spans="1:16" x14ac:dyDescent="0.25">
      <c r="A882" s="2" t="s">
        <v>3749</v>
      </c>
      <c r="B882" s="2" t="s">
        <v>1569</v>
      </c>
      <c r="C882" s="2" t="s">
        <v>18</v>
      </c>
      <c r="D882" s="2" t="s">
        <v>43</v>
      </c>
      <c r="E882" s="2" t="s">
        <v>44</v>
      </c>
      <c r="F882" s="2" t="s">
        <v>32</v>
      </c>
      <c r="G882" s="2" t="s">
        <v>22</v>
      </c>
      <c r="H882" s="2" t="s">
        <v>23</v>
      </c>
      <c r="I882" s="2" t="s">
        <v>24</v>
      </c>
      <c r="J882" s="2" t="s">
        <v>2843</v>
      </c>
      <c r="K882" s="2" t="s">
        <v>943</v>
      </c>
      <c r="L882">
        <v>3</v>
      </c>
      <c r="M882" s="1">
        <v>292000</v>
      </c>
      <c r="N882">
        <v>4.3</v>
      </c>
      <c r="O882">
        <v>0</v>
      </c>
      <c r="P882" s="2" t="s">
        <v>26</v>
      </c>
    </row>
    <row r="883" spans="1:16" x14ac:dyDescent="0.25">
      <c r="A883" s="2" t="s">
        <v>3750</v>
      </c>
      <c r="B883" s="2" t="s">
        <v>3715</v>
      </c>
      <c r="C883" s="2" t="s">
        <v>18</v>
      </c>
      <c r="D883" s="2" t="s">
        <v>19</v>
      </c>
      <c r="E883" s="2" t="s">
        <v>44</v>
      </c>
      <c r="F883" s="2" t="s">
        <v>32</v>
      </c>
      <c r="G883" s="2" t="s">
        <v>33</v>
      </c>
      <c r="H883" s="2" t="s">
        <v>34</v>
      </c>
      <c r="I883" s="2" t="s">
        <v>57</v>
      </c>
      <c r="J883" s="2" t="s">
        <v>3590</v>
      </c>
      <c r="K883" s="2" t="s">
        <v>943</v>
      </c>
      <c r="L883">
        <v>6</v>
      </c>
      <c r="M883" s="1">
        <v>225000</v>
      </c>
      <c r="N883">
        <v>4.9000000000000004</v>
      </c>
      <c r="O883">
        <v>14</v>
      </c>
      <c r="P883" s="2" t="s">
        <v>53</v>
      </c>
    </row>
    <row r="884" spans="1:16" x14ac:dyDescent="0.25">
      <c r="A884" s="2" t="s">
        <v>3753</v>
      </c>
      <c r="B884" s="2" t="s">
        <v>3408</v>
      </c>
      <c r="C884" s="2" t="s">
        <v>18</v>
      </c>
      <c r="D884" s="2" t="s">
        <v>30</v>
      </c>
      <c r="E884" s="2" t="s">
        <v>31</v>
      </c>
      <c r="F884" s="2" t="s">
        <v>21</v>
      </c>
      <c r="G884" s="2" t="s">
        <v>33</v>
      </c>
      <c r="H884" s="2" t="s">
        <v>23</v>
      </c>
      <c r="I884" s="2" t="s">
        <v>24</v>
      </c>
      <c r="J884" s="2" t="s">
        <v>3754</v>
      </c>
      <c r="K884" s="2" t="s">
        <v>638</v>
      </c>
      <c r="L884">
        <v>3</v>
      </c>
      <c r="M884" s="1">
        <v>948000</v>
      </c>
      <c r="N884">
        <v>3.1</v>
      </c>
      <c r="O884">
        <v>3</v>
      </c>
      <c r="P884" s="2" t="s">
        <v>26</v>
      </c>
    </row>
    <row r="885" spans="1:16" x14ac:dyDescent="0.25">
      <c r="A885" s="2" t="s">
        <v>3755</v>
      </c>
      <c r="B885" s="2" t="s">
        <v>2349</v>
      </c>
      <c r="C885" s="2" t="s">
        <v>29</v>
      </c>
      <c r="D885" s="2" t="s">
        <v>30</v>
      </c>
      <c r="E885" s="2" t="s">
        <v>20</v>
      </c>
      <c r="F885" s="2" t="s">
        <v>32</v>
      </c>
      <c r="G885" s="2" t="s">
        <v>22</v>
      </c>
      <c r="H885" s="2" t="s">
        <v>46</v>
      </c>
      <c r="I885" s="2" t="s">
        <v>24</v>
      </c>
      <c r="J885" s="2" t="s">
        <v>2094</v>
      </c>
      <c r="K885" s="2" t="s">
        <v>638</v>
      </c>
      <c r="L885">
        <v>5</v>
      </c>
      <c r="M885" s="1">
        <v>341000</v>
      </c>
      <c r="N885">
        <v>2.5</v>
      </c>
      <c r="O885">
        <v>3</v>
      </c>
      <c r="P885" s="2" t="s">
        <v>53</v>
      </c>
    </row>
    <row r="886" spans="1:16" x14ac:dyDescent="0.25">
      <c r="A886" s="2" t="s">
        <v>3756</v>
      </c>
      <c r="B886" s="2" t="s">
        <v>3757</v>
      </c>
      <c r="C886" s="2" t="s">
        <v>18</v>
      </c>
      <c r="D886" s="2" t="s">
        <v>79</v>
      </c>
      <c r="E886" s="2" t="s">
        <v>20</v>
      </c>
      <c r="F886" s="2" t="s">
        <v>32</v>
      </c>
      <c r="G886" s="2" t="s">
        <v>33</v>
      </c>
      <c r="H886" s="2" t="s">
        <v>62</v>
      </c>
      <c r="I886" s="2" t="s">
        <v>57</v>
      </c>
      <c r="J886" s="2" t="s">
        <v>3758</v>
      </c>
      <c r="K886" s="2" t="s">
        <v>3762</v>
      </c>
      <c r="L886">
        <v>3</v>
      </c>
      <c r="M886" s="1">
        <v>205000</v>
      </c>
      <c r="N886">
        <v>2.8</v>
      </c>
      <c r="O886">
        <v>6</v>
      </c>
      <c r="P886" s="2" t="s">
        <v>26</v>
      </c>
    </row>
    <row r="887" spans="1:16" x14ac:dyDescent="0.25">
      <c r="A887" s="2" t="s">
        <v>3759</v>
      </c>
      <c r="B887" s="2" t="s">
        <v>3760</v>
      </c>
      <c r="C887" s="2" t="s">
        <v>29</v>
      </c>
      <c r="D887" s="2" t="s">
        <v>19</v>
      </c>
      <c r="E887" s="2" t="s">
        <v>31</v>
      </c>
      <c r="F887" s="2" t="s">
        <v>21</v>
      </c>
      <c r="G887" s="2" t="s">
        <v>22</v>
      </c>
      <c r="H887" s="2" t="s">
        <v>23</v>
      </c>
      <c r="I887" s="2" t="s">
        <v>57</v>
      </c>
      <c r="J887" s="2" t="s">
        <v>428</v>
      </c>
      <c r="K887" s="2" t="s">
        <v>3762</v>
      </c>
      <c r="L887">
        <v>4</v>
      </c>
      <c r="M887" s="1">
        <v>964000</v>
      </c>
      <c r="N887">
        <v>3.1</v>
      </c>
      <c r="O887">
        <v>7</v>
      </c>
      <c r="P887" s="2" t="s">
        <v>26</v>
      </c>
    </row>
    <row r="888" spans="1:16" x14ac:dyDescent="0.25">
      <c r="A888" s="2" t="s">
        <v>3761</v>
      </c>
      <c r="B888" s="2" t="s">
        <v>271</v>
      </c>
      <c r="C888" s="2" t="s">
        <v>29</v>
      </c>
      <c r="D888" s="2" t="s">
        <v>50</v>
      </c>
      <c r="E888" s="2" t="s">
        <v>31</v>
      </c>
      <c r="F888" s="2" t="s">
        <v>32</v>
      </c>
      <c r="G888" s="2" t="s">
        <v>22</v>
      </c>
      <c r="H888" s="2" t="s">
        <v>46</v>
      </c>
      <c r="I888" s="2" t="s">
        <v>24</v>
      </c>
      <c r="J888" s="2" t="s">
        <v>970</v>
      </c>
      <c r="K888" s="2" t="s">
        <v>3762</v>
      </c>
      <c r="L888">
        <v>2</v>
      </c>
      <c r="M888" s="1">
        <v>305000</v>
      </c>
      <c r="N888">
        <v>4.8</v>
      </c>
      <c r="O888">
        <v>3</v>
      </c>
      <c r="P888" s="2" t="s">
        <v>53</v>
      </c>
    </row>
    <row r="889" spans="1:16" x14ac:dyDescent="0.25">
      <c r="A889" s="2" t="s">
        <v>3763</v>
      </c>
      <c r="B889" s="2" t="s">
        <v>3614</v>
      </c>
      <c r="C889" s="2" t="s">
        <v>18</v>
      </c>
      <c r="D889" s="2" t="s">
        <v>43</v>
      </c>
      <c r="E889" s="2" t="s">
        <v>20</v>
      </c>
      <c r="F889" s="2" t="s">
        <v>39</v>
      </c>
      <c r="G889" s="2" t="s">
        <v>22</v>
      </c>
      <c r="H889" s="2" t="s">
        <v>46</v>
      </c>
      <c r="I889" s="2" t="s">
        <v>24</v>
      </c>
      <c r="J889" s="2" t="s">
        <v>3764</v>
      </c>
      <c r="K889" s="2" t="s">
        <v>3774</v>
      </c>
      <c r="L889">
        <v>5</v>
      </c>
      <c r="M889" s="1">
        <v>150000</v>
      </c>
      <c r="N889">
        <v>2.2999999999999998</v>
      </c>
      <c r="O889">
        <v>11</v>
      </c>
      <c r="P889" s="2" t="s">
        <v>26</v>
      </c>
    </row>
    <row r="890" spans="1:16" x14ac:dyDescent="0.25">
      <c r="A890" s="2" t="s">
        <v>3765</v>
      </c>
      <c r="B890" s="2" t="s">
        <v>3059</v>
      </c>
      <c r="C890" s="2" t="s">
        <v>18</v>
      </c>
      <c r="D890" s="2" t="s">
        <v>79</v>
      </c>
      <c r="E890" s="2" t="s">
        <v>44</v>
      </c>
      <c r="F890" s="2" t="s">
        <v>32</v>
      </c>
      <c r="G890" s="2" t="s">
        <v>33</v>
      </c>
      <c r="H890" s="2" t="s">
        <v>23</v>
      </c>
      <c r="I890" s="2" t="s">
        <v>35</v>
      </c>
      <c r="J890" s="2" t="s">
        <v>103</v>
      </c>
      <c r="K890" s="2" t="s">
        <v>3774</v>
      </c>
      <c r="L890">
        <v>3</v>
      </c>
      <c r="M890" s="1">
        <v>256000</v>
      </c>
      <c r="N890">
        <v>2.5</v>
      </c>
      <c r="O890">
        <v>13</v>
      </c>
      <c r="P890" s="2" t="s">
        <v>26</v>
      </c>
    </row>
    <row r="891" spans="1:16" x14ac:dyDescent="0.25">
      <c r="A891" s="2" t="s">
        <v>3766</v>
      </c>
      <c r="B891" s="2" t="s">
        <v>3767</v>
      </c>
      <c r="C891" s="2" t="s">
        <v>18</v>
      </c>
      <c r="D891" s="2" t="s">
        <v>43</v>
      </c>
      <c r="E891" s="2" t="s">
        <v>20</v>
      </c>
      <c r="F891" s="2" t="s">
        <v>21</v>
      </c>
      <c r="G891" s="2" t="s">
        <v>69</v>
      </c>
      <c r="H891" s="2" t="s">
        <v>34</v>
      </c>
      <c r="I891" s="2" t="s">
        <v>75</v>
      </c>
      <c r="J891" s="2" t="s">
        <v>3768</v>
      </c>
      <c r="K891" s="2" t="s">
        <v>3774</v>
      </c>
      <c r="L891">
        <v>6</v>
      </c>
      <c r="M891" s="1">
        <v>731000</v>
      </c>
      <c r="N891">
        <v>4.2</v>
      </c>
      <c r="O891">
        <v>0</v>
      </c>
      <c r="P891" s="2" t="s">
        <v>26</v>
      </c>
    </row>
    <row r="892" spans="1:16" x14ac:dyDescent="0.25">
      <c r="A892" s="2" t="s">
        <v>3769</v>
      </c>
      <c r="B892" s="2" t="s">
        <v>3770</v>
      </c>
      <c r="C892" s="2" t="s">
        <v>18</v>
      </c>
      <c r="D892" s="2" t="s">
        <v>43</v>
      </c>
      <c r="E892" s="2" t="s">
        <v>20</v>
      </c>
      <c r="F892" s="2" t="s">
        <v>128</v>
      </c>
      <c r="G892" s="2" t="s">
        <v>33</v>
      </c>
      <c r="H892" s="2" t="s">
        <v>34</v>
      </c>
      <c r="I892" s="2" t="s">
        <v>35</v>
      </c>
      <c r="J892" s="2" t="s">
        <v>3771</v>
      </c>
      <c r="K892" s="2" t="s">
        <v>3774</v>
      </c>
      <c r="L892">
        <v>7</v>
      </c>
      <c r="M892" s="1">
        <v>463000</v>
      </c>
      <c r="N892">
        <v>2.6</v>
      </c>
      <c r="O892">
        <v>3</v>
      </c>
      <c r="P892" s="2" t="s">
        <v>26</v>
      </c>
    </row>
    <row r="893" spans="1:16" x14ac:dyDescent="0.25">
      <c r="A893" s="2" t="s">
        <v>3772</v>
      </c>
      <c r="B893" s="2" t="s">
        <v>3773</v>
      </c>
      <c r="C893" s="2" t="s">
        <v>29</v>
      </c>
      <c r="D893" s="2" t="s">
        <v>30</v>
      </c>
      <c r="E893" s="2" t="s">
        <v>20</v>
      </c>
      <c r="F893" s="2" t="s">
        <v>39</v>
      </c>
      <c r="G893" s="2" t="s">
        <v>22</v>
      </c>
      <c r="H893" s="2" t="s">
        <v>34</v>
      </c>
      <c r="I893" s="2" t="s">
        <v>75</v>
      </c>
      <c r="J893" s="2" t="s">
        <v>1062</v>
      </c>
      <c r="K893" s="2" t="s">
        <v>3774</v>
      </c>
      <c r="L893">
        <v>4</v>
      </c>
      <c r="M893" s="1">
        <v>126000</v>
      </c>
      <c r="N893">
        <v>3.3</v>
      </c>
      <c r="O893">
        <v>12</v>
      </c>
      <c r="P893" s="2" t="s">
        <v>53</v>
      </c>
    </row>
    <row r="894" spans="1:16" x14ac:dyDescent="0.25">
      <c r="A894" s="2" t="s">
        <v>3775</v>
      </c>
      <c r="B894" s="2" t="s">
        <v>3776</v>
      </c>
      <c r="C894" s="2" t="s">
        <v>18</v>
      </c>
      <c r="D894" s="2" t="s">
        <v>2782</v>
      </c>
      <c r="E894" s="2" t="s">
        <v>20</v>
      </c>
      <c r="F894" s="2" t="s">
        <v>32</v>
      </c>
      <c r="G894" s="2" t="s">
        <v>22</v>
      </c>
      <c r="H894" s="2" t="s">
        <v>34</v>
      </c>
      <c r="I894" s="2" t="s">
        <v>75</v>
      </c>
      <c r="J894" s="2" t="s">
        <v>1554</v>
      </c>
      <c r="K894" s="2" t="s">
        <v>3777</v>
      </c>
      <c r="L894">
        <v>4</v>
      </c>
      <c r="M894" s="1">
        <v>222000</v>
      </c>
      <c r="N894">
        <v>2.2999999999999998</v>
      </c>
      <c r="O894">
        <v>8</v>
      </c>
      <c r="P894" s="2" t="s">
        <v>72</v>
      </c>
    </row>
    <row r="895" spans="1:16" x14ac:dyDescent="0.25">
      <c r="A895" s="2" t="s">
        <v>3778</v>
      </c>
      <c r="B895" s="2" t="s">
        <v>1521</v>
      </c>
      <c r="C895" s="2" t="s">
        <v>18</v>
      </c>
      <c r="D895" s="2" t="s">
        <v>30</v>
      </c>
      <c r="E895" s="2" t="s">
        <v>20</v>
      </c>
      <c r="F895" s="2" t="s">
        <v>21</v>
      </c>
      <c r="G895" s="2" t="s">
        <v>69</v>
      </c>
      <c r="H895" s="2" t="s">
        <v>34</v>
      </c>
      <c r="I895" s="2" t="s">
        <v>35</v>
      </c>
      <c r="J895" s="2" t="s">
        <v>3302</v>
      </c>
      <c r="K895" s="2" t="s">
        <v>2740</v>
      </c>
      <c r="L895">
        <v>5</v>
      </c>
      <c r="M895" s="1">
        <v>843000</v>
      </c>
      <c r="N895">
        <v>4.4000000000000004</v>
      </c>
      <c r="O895">
        <v>3</v>
      </c>
      <c r="P895" s="2" t="s">
        <v>53</v>
      </c>
    </row>
    <row r="896" spans="1:16" x14ac:dyDescent="0.25">
      <c r="A896" s="2" t="s">
        <v>3779</v>
      </c>
      <c r="B896" s="2" t="s">
        <v>2621</v>
      </c>
      <c r="C896" s="2" t="s">
        <v>18</v>
      </c>
      <c r="D896" s="2" t="s">
        <v>79</v>
      </c>
      <c r="E896" s="2" t="s">
        <v>20</v>
      </c>
      <c r="F896" s="2" t="s">
        <v>21</v>
      </c>
      <c r="G896" s="2" t="s">
        <v>22</v>
      </c>
      <c r="H896" s="2" t="s">
        <v>23</v>
      </c>
      <c r="I896" s="2" t="s">
        <v>57</v>
      </c>
      <c r="J896" s="2" t="s">
        <v>1967</v>
      </c>
      <c r="K896" s="2" t="s">
        <v>1243</v>
      </c>
      <c r="L896">
        <v>6</v>
      </c>
      <c r="M896" s="1">
        <v>727000</v>
      </c>
      <c r="N896">
        <v>3.6</v>
      </c>
      <c r="O896">
        <v>6</v>
      </c>
      <c r="P896" s="2" t="s">
        <v>26</v>
      </c>
    </row>
    <row r="897" spans="1:16" x14ac:dyDescent="0.25">
      <c r="A897" s="2" t="s">
        <v>3788</v>
      </c>
      <c r="B897" s="2" t="s">
        <v>2852</v>
      </c>
      <c r="C897" s="2" t="s">
        <v>18</v>
      </c>
      <c r="D897" s="2" t="s">
        <v>50</v>
      </c>
      <c r="E897" s="2" t="s">
        <v>20</v>
      </c>
      <c r="F897" s="2" t="s">
        <v>128</v>
      </c>
      <c r="G897" s="2" t="s">
        <v>33</v>
      </c>
      <c r="H897" s="2" t="s">
        <v>23</v>
      </c>
      <c r="I897" s="2" t="s">
        <v>24</v>
      </c>
      <c r="J897" s="2" t="s">
        <v>472</v>
      </c>
      <c r="K897" s="2" t="s">
        <v>1243</v>
      </c>
      <c r="L897">
        <v>6</v>
      </c>
      <c r="M897" s="1">
        <v>425000</v>
      </c>
      <c r="N897">
        <v>3.8</v>
      </c>
      <c r="O897">
        <v>1</v>
      </c>
      <c r="P897" s="2" t="s">
        <v>53</v>
      </c>
    </row>
    <row r="898" spans="1:16" x14ac:dyDescent="0.25">
      <c r="A898" s="2" t="s">
        <v>3789</v>
      </c>
      <c r="B898" s="2" t="s">
        <v>3787</v>
      </c>
      <c r="C898" s="2" t="s">
        <v>18</v>
      </c>
      <c r="D898" s="2" t="s">
        <v>79</v>
      </c>
      <c r="E898" s="2" t="s">
        <v>44</v>
      </c>
      <c r="F898" s="2" t="s">
        <v>45</v>
      </c>
      <c r="G898" s="2" t="s">
        <v>33</v>
      </c>
      <c r="H898" s="2" t="s">
        <v>23</v>
      </c>
      <c r="I898" s="2" t="s">
        <v>57</v>
      </c>
      <c r="J898" s="2" t="s">
        <v>3062</v>
      </c>
      <c r="K898" s="2" t="s">
        <v>3804</v>
      </c>
      <c r="L898">
        <v>3</v>
      </c>
      <c r="M898" s="1">
        <v>1310000</v>
      </c>
      <c r="N898">
        <v>4.2</v>
      </c>
      <c r="O898">
        <v>1</v>
      </c>
      <c r="P898" s="2" t="s">
        <v>26</v>
      </c>
    </row>
    <row r="899" spans="1:16" x14ac:dyDescent="0.25">
      <c r="A899" s="2" t="s">
        <v>3790</v>
      </c>
      <c r="B899" s="2" t="s">
        <v>3791</v>
      </c>
      <c r="C899" s="2" t="s">
        <v>29</v>
      </c>
      <c r="D899" s="2" t="s">
        <v>30</v>
      </c>
      <c r="E899" s="2" t="s">
        <v>31</v>
      </c>
      <c r="F899" s="2" t="s">
        <v>39</v>
      </c>
      <c r="G899" s="2" t="s">
        <v>22</v>
      </c>
      <c r="H899" s="2" t="s">
        <v>23</v>
      </c>
      <c r="I899" s="2" t="s">
        <v>171</v>
      </c>
      <c r="J899" s="2" t="s">
        <v>3792</v>
      </c>
      <c r="K899" s="2" t="s">
        <v>3804</v>
      </c>
      <c r="L899">
        <v>4</v>
      </c>
      <c r="M899" s="1">
        <v>118000</v>
      </c>
      <c r="N899">
        <v>2.9</v>
      </c>
      <c r="O899">
        <v>0</v>
      </c>
      <c r="P899" s="2" t="s">
        <v>26</v>
      </c>
    </row>
    <row r="900" spans="1:16" x14ac:dyDescent="0.25">
      <c r="A900" s="2" t="s">
        <v>3793</v>
      </c>
      <c r="B900" s="2" t="s">
        <v>3794</v>
      </c>
      <c r="C900" s="2" t="s">
        <v>18</v>
      </c>
      <c r="D900" s="2" t="s">
        <v>19</v>
      </c>
      <c r="E900" s="2" t="s">
        <v>20</v>
      </c>
      <c r="F900" s="2" t="s">
        <v>21</v>
      </c>
      <c r="G900" s="2" t="s">
        <v>33</v>
      </c>
      <c r="H900" s="2" t="s">
        <v>23</v>
      </c>
      <c r="I900" s="2" t="s">
        <v>171</v>
      </c>
      <c r="J900" s="2" t="s">
        <v>658</v>
      </c>
      <c r="K900" s="2" t="s">
        <v>3804</v>
      </c>
      <c r="L900">
        <v>6</v>
      </c>
      <c r="M900" s="1">
        <v>929000</v>
      </c>
      <c r="N900">
        <v>3.8</v>
      </c>
      <c r="O900">
        <v>0</v>
      </c>
      <c r="P900" s="2" t="s">
        <v>26</v>
      </c>
    </row>
    <row r="901" spans="1:16" x14ac:dyDescent="0.25">
      <c r="A901" s="2" t="s">
        <v>3802</v>
      </c>
      <c r="B901" s="2" t="s">
        <v>2053</v>
      </c>
      <c r="C901" s="2" t="s">
        <v>18</v>
      </c>
      <c r="D901" s="2" t="s">
        <v>30</v>
      </c>
      <c r="E901" s="2" t="s">
        <v>20</v>
      </c>
      <c r="F901" s="2" t="s">
        <v>39</v>
      </c>
      <c r="G901" s="2" t="s">
        <v>80</v>
      </c>
      <c r="H901" s="2" t="s">
        <v>23</v>
      </c>
      <c r="I901" s="2" t="s">
        <v>75</v>
      </c>
      <c r="J901" s="2" t="s">
        <v>3238</v>
      </c>
      <c r="K901" s="2" t="s">
        <v>3804</v>
      </c>
      <c r="L901">
        <v>2</v>
      </c>
      <c r="M901" s="1">
        <v>98000</v>
      </c>
      <c r="N901">
        <v>1.5</v>
      </c>
      <c r="O901">
        <v>10</v>
      </c>
      <c r="P901" s="2" t="s">
        <v>26</v>
      </c>
    </row>
    <row r="902" spans="1:16" x14ac:dyDescent="0.25">
      <c r="A902" s="2" t="s">
        <v>3806</v>
      </c>
      <c r="B902" s="2" t="s">
        <v>3106</v>
      </c>
      <c r="C902" s="2" t="s">
        <v>29</v>
      </c>
      <c r="D902" s="2" t="s">
        <v>30</v>
      </c>
      <c r="E902" s="2" t="s">
        <v>20</v>
      </c>
      <c r="F902" s="2" t="s">
        <v>32</v>
      </c>
      <c r="G902" s="2" t="s">
        <v>33</v>
      </c>
      <c r="H902" s="2" t="s">
        <v>34</v>
      </c>
      <c r="I902" s="2" t="s">
        <v>24</v>
      </c>
      <c r="J902" s="2" t="s">
        <v>2211</v>
      </c>
      <c r="K902" s="2" t="s">
        <v>3804</v>
      </c>
      <c r="L902">
        <v>4</v>
      </c>
      <c r="M902" s="1">
        <v>247000</v>
      </c>
      <c r="N902">
        <v>1.5</v>
      </c>
      <c r="O902">
        <v>9</v>
      </c>
      <c r="P902" s="2" t="s">
        <v>26</v>
      </c>
    </row>
    <row r="903" spans="1:16" x14ac:dyDescent="0.25">
      <c r="A903" s="2" t="s">
        <v>3807</v>
      </c>
      <c r="B903" s="2" t="s">
        <v>3808</v>
      </c>
      <c r="C903" s="2" t="s">
        <v>18</v>
      </c>
      <c r="D903" s="2" t="s">
        <v>79</v>
      </c>
      <c r="E903" s="2" t="s">
        <v>44</v>
      </c>
      <c r="F903" s="2" t="s">
        <v>39</v>
      </c>
      <c r="G903" s="2" t="s">
        <v>80</v>
      </c>
      <c r="H903" s="2" t="s">
        <v>34</v>
      </c>
      <c r="I903" s="2" t="s">
        <v>75</v>
      </c>
      <c r="J903" s="2" t="s">
        <v>3809</v>
      </c>
      <c r="K903" s="2" t="s">
        <v>3804</v>
      </c>
      <c r="L903">
        <v>5</v>
      </c>
      <c r="M903" s="1">
        <v>156000</v>
      </c>
      <c r="N903">
        <v>4.9000000000000004</v>
      </c>
      <c r="O903">
        <v>5</v>
      </c>
      <c r="P903" s="2" t="s">
        <v>53</v>
      </c>
    </row>
    <row r="904" spans="1:16" x14ac:dyDescent="0.25">
      <c r="A904" s="2" t="s">
        <v>3810</v>
      </c>
      <c r="B904" s="2" t="s">
        <v>1374</v>
      </c>
      <c r="C904" s="2" t="s">
        <v>18</v>
      </c>
      <c r="D904" s="2" t="s">
        <v>30</v>
      </c>
      <c r="E904" s="2" t="s">
        <v>20</v>
      </c>
      <c r="F904" s="2" t="s">
        <v>32</v>
      </c>
      <c r="G904" s="2" t="s">
        <v>22</v>
      </c>
      <c r="H904" s="2" t="s">
        <v>46</v>
      </c>
      <c r="I904" s="2" t="s">
        <v>24</v>
      </c>
      <c r="J904" s="2" t="s">
        <v>3097</v>
      </c>
      <c r="K904" s="2" t="s">
        <v>125</v>
      </c>
      <c r="L904">
        <v>5</v>
      </c>
      <c r="M904" s="1">
        <v>330000</v>
      </c>
      <c r="N904">
        <v>3.1</v>
      </c>
      <c r="O904">
        <v>2</v>
      </c>
      <c r="P904" s="2" t="s">
        <v>26</v>
      </c>
    </row>
    <row r="905" spans="1:16" x14ac:dyDescent="0.25">
      <c r="A905" s="2" t="s">
        <v>3814</v>
      </c>
      <c r="B905" s="2" t="s">
        <v>2707</v>
      </c>
      <c r="C905" s="2" t="s">
        <v>29</v>
      </c>
      <c r="D905" s="2" t="s">
        <v>79</v>
      </c>
      <c r="E905" s="2" t="s">
        <v>31</v>
      </c>
      <c r="F905" s="2" t="s">
        <v>128</v>
      </c>
      <c r="G905" s="2" t="s">
        <v>22</v>
      </c>
      <c r="H905" s="2" t="s">
        <v>23</v>
      </c>
      <c r="I905" s="2" t="s">
        <v>57</v>
      </c>
      <c r="J905" s="2" t="s">
        <v>974</v>
      </c>
      <c r="K905" s="2" t="s">
        <v>125</v>
      </c>
      <c r="L905">
        <v>2</v>
      </c>
      <c r="M905" s="1">
        <v>446000</v>
      </c>
      <c r="N905">
        <v>3.2</v>
      </c>
      <c r="O905">
        <v>4</v>
      </c>
      <c r="P905" s="2" t="s">
        <v>114</v>
      </c>
    </row>
    <row r="906" spans="1:16" x14ac:dyDescent="0.25">
      <c r="A906" s="2" t="s">
        <v>3819</v>
      </c>
      <c r="B906" s="2" t="s">
        <v>3820</v>
      </c>
      <c r="C906" s="2" t="s">
        <v>18</v>
      </c>
      <c r="D906" s="2" t="s">
        <v>43</v>
      </c>
      <c r="E906" s="2" t="s">
        <v>20</v>
      </c>
      <c r="F906" s="2" t="s">
        <v>128</v>
      </c>
      <c r="G906" s="2" t="s">
        <v>80</v>
      </c>
      <c r="H906" s="2" t="s">
        <v>46</v>
      </c>
      <c r="I906" s="2" t="s">
        <v>24</v>
      </c>
      <c r="J906" s="2" t="s">
        <v>3821</v>
      </c>
      <c r="K906" s="2" t="s">
        <v>755</v>
      </c>
      <c r="L906">
        <v>5</v>
      </c>
      <c r="M906" s="1">
        <v>493000</v>
      </c>
      <c r="N906">
        <v>5</v>
      </c>
      <c r="O906">
        <v>9</v>
      </c>
      <c r="P906" s="2" t="s">
        <v>26</v>
      </c>
    </row>
    <row r="907" spans="1:16" x14ac:dyDescent="0.25">
      <c r="A907" s="2" t="s">
        <v>3822</v>
      </c>
      <c r="B907" s="2" t="s">
        <v>3823</v>
      </c>
      <c r="C907" s="2" t="s">
        <v>29</v>
      </c>
      <c r="D907" s="2" t="s">
        <v>30</v>
      </c>
      <c r="E907" s="2" t="s">
        <v>20</v>
      </c>
      <c r="F907" s="2" t="s">
        <v>32</v>
      </c>
      <c r="G907" s="2" t="s">
        <v>22</v>
      </c>
      <c r="H907" s="2" t="s">
        <v>23</v>
      </c>
      <c r="I907" s="2" t="s">
        <v>171</v>
      </c>
      <c r="J907" s="2" t="s">
        <v>216</v>
      </c>
      <c r="K907" s="2" t="s">
        <v>755</v>
      </c>
      <c r="L907">
        <v>5</v>
      </c>
      <c r="M907" s="1">
        <v>320000</v>
      </c>
      <c r="N907">
        <v>2.2999999999999998</v>
      </c>
      <c r="O907">
        <v>8</v>
      </c>
      <c r="P907" s="2" t="s">
        <v>72</v>
      </c>
    </row>
    <row r="908" spans="1:16" x14ac:dyDescent="0.25">
      <c r="A908" s="2" t="s">
        <v>3824</v>
      </c>
      <c r="B908" s="2" t="s">
        <v>3299</v>
      </c>
      <c r="C908" s="2" t="s">
        <v>29</v>
      </c>
      <c r="D908" s="2" t="s">
        <v>79</v>
      </c>
      <c r="E908" s="2" t="s">
        <v>20</v>
      </c>
      <c r="F908" s="2" t="s">
        <v>21</v>
      </c>
      <c r="G908" s="2" t="s">
        <v>33</v>
      </c>
      <c r="H908" s="2" t="s">
        <v>46</v>
      </c>
      <c r="I908" s="2" t="s">
        <v>35</v>
      </c>
      <c r="J908" s="2" t="s">
        <v>3825</v>
      </c>
      <c r="K908" s="2" t="s">
        <v>3829</v>
      </c>
      <c r="L908">
        <v>6</v>
      </c>
      <c r="M908" s="1">
        <v>783000</v>
      </c>
      <c r="N908">
        <v>4.7</v>
      </c>
      <c r="O908">
        <v>14</v>
      </c>
      <c r="P908" s="2" t="s">
        <v>26</v>
      </c>
    </row>
    <row r="909" spans="1:16" x14ac:dyDescent="0.25">
      <c r="A909" s="2" t="s">
        <v>3826</v>
      </c>
      <c r="B909" s="2" t="s">
        <v>3827</v>
      </c>
      <c r="C909" s="2" t="s">
        <v>18</v>
      </c>
      <c r="D909" s="2" t="s">
        <v>30</v>
      </c>
      <c r="E909" s="2" t="s">
        <v>44</v>
      </c>
      <c r="F909" s="2" t="s">
        <v>32</v>
      </c>
      <c r="G909" s="2" t="s">
        <v>69</v>
      </c>
      <c r="H909" s="2" t="s">
        <v>34</v>
      </c>
      <c r="I909" s="2" t="s">
        <v>171</v>
      </c>
      <c r="J909" s="2" t="s">
        <v>3828</v>
      </c>
      <c r="K909" s="2" t="s">
        <v>3829</v>
      </c>
      <c r="L909">
        <v>3</v>
      </c>
      <c r="M909" s="1">
        <v>344000</v>
      </c>
      <c r="N909">
        <v>4.0999999999999996</v>
      </c>
      <c r="O909">
        <v>7</v>
      </c>
      <c r="P909" s="2" t="s">
        <v>53</v>
      </c>
    </row>
    <row r="910" spans="1:16" x14ac:dyDescent="0.25">
      <c r="A910" s="2" t="s">
        <v>3830</v>
      </c>
      <c r="B910" s="2" t="s">
        <v>3831</v>
      </c>
      <c r="C910" s="2" t="s">
        <v>29</v>
      </c>
      <c r="D910" s="2" t="s">
        <v>30</v>
      </c>
      <c r="E910" s="2" t="s">
        <v>20</v>
      </c>
      <c r="F910" s="2" t="s">
        <v>128</v>
      </c>
      <c r="G910" s="2" t="s">
        <v>80</v>
      </c>
      <c r="H910" s="2" t="s">
        <v>62</v>
      </c>
      <c r="I910" s="2" t="s">
        <v>24</v>
      </c>
      <c r="J910" s="2" t="s">
        <v>3832</v>
      </c>
      <c r="K910" s="2" t="s">
        <v>597</v>
      </c>
      <c r="L910">
        <v>3</v>
      </c>
      <c r="M910" s="1">
        <v>362000</v>
      </c>
      <c r="N910">
        <v>3.7</v>
      </c>
      <c r="O910">
        <v>5</v>
      </c>
      <c r="P910" s="2" t="s">
        <v>53</v>
      </c>
    </row>
    <row r="911" spans="1:16" x14ac:dyDescent="0.25">
      <c r="A911" s="2" t="s">
        <v>3833</v>
      </c>
      <c r="B911" s="2" t="s">
        <v>3834</v>
      </c>
      <c r="C911" s="2" t="s">
        <v>29</v>
      </c>
      <c r="D911" s="2" t="s">
        <v>79</v>
      </c>
      <c r="E911" s="2" t="s">
        <v>20</v>
      </c>
      <c r="F911" s="2" t="s">
        <v>128</v>
      </c>
      <c r="G911" s="2" t="s">
        <v>22</v>
      </c>
      <c r="H911" s="2" t="s">
        <v>34</v>
      </c>
      <c r="I911" s="2" t="s">
        <v>24</v>
      </c>
      <c r="J911" s="2" t="s">
        <v>3835</v>
      </c>
      <c r="K911" s="2" t="s">
        <v>118</v>
      </c>
      <c r="L911">
        <v>4</v>
      </c>
      <c r="M911" s="1">
        <v>545000</v>
      </c>
      <c r="N911">
        <v>4.4000000000000004</v>
      </c>
      <c r="O911">
        <v>14</v>
      </c>
      <c r="P911" s="2" t="s">
        <v>26</v>
      </c>
    </row>
    <row r="912" spans="1:16" x14ac:dyDescent="0.25">
      <c r="A912" s="2" t="s">
        <v>3836</v>
      </c>
      <c r="B912" s="2" t="s">
        <v>1137</v>
      </c>
      <c r="C912" s="2" t="s">
        <v>18</v>
      </c>
      <c r="D912" s="2" t="s">
        <v>79</v>
      </c>
      <c r="E912" s="2" t="s">
        <v>44</v>
      </c>
      <c r="F912" s="2" t="s">
        <v>39</v>
      </c>
      <c r="G912" s="2" t="s">
        <v>33</v>
      </c>
      <c r="H912" s="2" t="s">
        <v>62</v>
      </c>
      <c r="I912" s="2" t="s">
        <v>24</v>
      </c>
      <c r="J912" s="2" t="s">
        <v>3837</v>
      </c>
      <c r="K912" s="2" t="s">
        <v>118</v>
      </c>
      <c r="L912">
        <v>4</v>
      </c>
      <c r="M912" s="1">
        <v>90000</v>
      </c>
      <c r="N912">
        <v>3.4</v>
      </c>
      <c r="O912">
        <v>18</v>
      </c>
      <c r="P912" s="2" t="s">
        <v>26</v>
      </c>
    </row>
    <row r="913" spans="1:16" x14ac:dyDescent="0.25">
      <c r="A913" s="2" t="s">
        <v>3839</v>
      </c>
      <c r="B913" s="2" t="s">
        <v>3840</v>
      </c>
      <c r="C913" s="2" t="s">
        <v>29</v>
      </c>
      <c r="D913" s="2" t="s">
        <v>19</v>
      </c>
      <c r="E913" s="2" t="s">
        <v>20</v>
      </c>
      <c r="F913" s="2" t="s">
        <v>39</v>
      </c>
      <c r="G913" s="2" t="s">
        <v>80</v>
      </c>
      <c r="H913" s="2" t="s">
        <v>34</v>
      </c>
      <c r="I913" s="2" t="s">
        <v>57</v>
      </c>
      <c r="J913" s="2" t="s">
        <v>3841</v>
      </c>
      <c r="K913" s="2" t="s">
        <v>118</v>
      </c>
      <c r="L913">
        <v>6</v>
      </c>
      <c r="M913" s="1">
        <v>110000</v>
      </c>
      <c r="N913">
        <v>2.2000000000000002</v>
      </c>
      <c r="O913">
        <v>15</v>
      </c>
      <c r="P913" s="2" t="s">
        <v>26</v>
      </c>
    </row>
    <row r="914" spans="1:16" x14ac:dyDescent="0.25">
      <c r="A914" s="2" t="s">
        <v>3843</v>
      </c>
      <c r="B914" s="2" t="s">
        <v>3844</v>
      </c>
      <c r="C914" s="2" t="s">
        <v>18</v>
      </c>
      <c r="D914" s="2" t="s">
        <v>50</v>
      </c>
      <c r="E914" s="2" t="s">
        <v>20</v>
      </c>
      <c r="F914" s="2" t="s">
        <v>128</v>
      </c>
      <c r="G914" s="2" t="s">
        <v>33</v>
      </c>
      <c r="H914" s="2" t="s">
        <v>46</v>
      </c>
      <c r="I914" s="2" t="s">
        <v>75</v>
      </c>
      <c r="J914" s="2" t="s">
        <v>2186</v>
      </c>
      <c r="K914" s="2" t="s">
        <v>118</v>
      </c>
      <c r="L914">
        <v>4</v>
      </c>
      <c r="M914" s="1">
        <v>368000</v>
      </c>
      <c r="N914">
        <v>4.2</v>
      </c>
      <c r="O914">
        <v>11</v>
      </c>
      <c r="P914" s="2" t="s">
        <v>53</v>
      </c>
    </row>
    <row r="915" spans="1:16" x14ac:dyDescent="0.25">
      <c r="A915" s="2" t="s">
        <v>3845</v>
      </c>
      <c r="B915" s="2" t="s">
        <v>2406</v>
      </c>
      <c r="C915" s="2" t="s">
        <v>29</v>
      </c>
      <c r="D915" s="2" t="s">
        <v>19</v>
      </c>
      <c r="E915" s="2" t="s">
        <v>20</v>
      </c>
      <c r="F915" s="2" t="s">
        <v>32</v>
      </c>
      <c r="G915" s="2" t="s">
        <v>22</v>
      </c>
      <c r="H915" s="2" t="s">
        <v>62</v>
      </c>
      <c r="I915" s="2" t="s">
        <v>57</v>
      </c>
      <c r="J915" s="2" t="s">
        <v>1729</v>
      </c>
      <c r="K915" s="2" t="s">
        <v>3857</v>
      </c>
      <c r="L915">
        <v>3</v>
      </c>
      <c r="M915" s="1">
        <v>211000</v>
      </c>
      <c r="N915">
        <v>4.5999999999999996</v>
      </c>
      <c r="O915">
        <v>30</v>
      </c>
      <c r="P915" s="2" t="s">
        <v>26</v>
      </c>
    </row>
    <row r="916" spans="1:16" x14ac:dyDescent="0.25">
      <c r="A916" s="2" t="s">
        <v>3846</v>
      </c>
      <c r="B916" s="2" t="s">
        <v>3847</v>
      </c>
      <c r="C916" s="2" t="s">
        <v>29</v>
      </c>
      <c r="D916" s="2" t="s">
        <v>50</v>
      </c>
      <c r="E916" s="2" t="s">
        <v>20</v>
      </c>
      <c r="F916" s="2" t="s">
        <v>128</v>
      </c>
      <c r="G916" s="2" t="s">
        <v>33</v>
      </c>
      <c r="H916" s="2" t="s">
        <v>34</v>
      </c>
      <c r="I916" s="2" t="s">
        <v>57</v>
      </c>
      <c r="J916" s="2" t="s">
        <v>3848</v>
      </c>
      <c r="K916" s="2" t="s">
        <v>3857</v>
      </c>
      <c r="L916">
        <v>3</v>
      </c>
      <c r="M916" s="1">
        <v>473000</v>
      </c>
      <c r="N916">
        <v>3</v>
      </c>
      <c r="O916">
        <v>9</v>
      </c>
      <c r="P916" s="2" t="s">
        <v>26</v>
      </c>
    </row>
    <row r="917" spans="1:16" x14ac:dyDescent="0.25">
      <c r="A917" s="2" t="s">
        <v>3849</v>
      </c>
      <c r="B917" s="2" t="s">
        <v>3510</v>
      </c>
      <c r="C917" s="2" t="s">
        <v>18</v>
      </c>
      <c r="D917" s="2" t="s">
        <v>30</v>
      </c>
      <c r="E917" s="2" t="s">
        <v>20</v>
      </c>
      <c r="F917" s="2" t="s">
        <v>21</v>
      </c>
      <c r="G917" s="2" t="s">
        <v>80</v>
      </c>
      <c r="H917" s="2" t="s">
        <v>46</v>
      </c>
      <c r="I917" s="2" t="s">
        <v>35</v>
      </c>
      <c r="J917" s="2" t="s">
        <v>2783</v>
      </c>
      <c r="K917" s="2" t="s">
        <v>3857</v>
      </c>
      <c r="L917">
        <v>6</v>
      </c>
      <c r="M917" s="1">
        <v>841000</v>
      </c>
      <c r="N917">
        <v>4.7</v>
      </c>
      <c r="O917">
        <v>6</v>
      </c>
      <c r="P917" s="2" t="s">
        <v>26</v>
      </c>
    </row>
    <row r="918" spans="1:16" x14ac:dyDescent="0.25">
      <c r="A918" s="2" t="s">
        <v>3850</v>
      </c>
      <c r="B918" s="2" t="s">
        <v>3851</v>
      </c>
      <c r="C918" s="2" t="s">
        <v>29</v>
      </c>
      <c r="D918" s="2" t="s">
        <v>79</v>
      </c>
      <c r="E918" s="2" t="s">
        <v>31</v>
      </c>
      <c r="F918" s="2" t="s">
        <v>128</v>
      </c>
      <c r="G918" s="2" t="s">
        <v>69</v>
      </c>
      <c r="H918" s="2" t="s">
        <v>34</v>
      </c>
      <c r="I918" s="2" t="s">
        <v>57</v>
      </c>
      <c r="J918" s="2" t="s">
        <v>3852</v>
      </c>
      <c r="K918" s="2" t="s">
        <v>3857</v>
      </c>
      <c r="L918">
        <v>4</v>
      </c>
      <c r="M918" s="1">
        <v>407000</v>
      </c>
      <c r="N918">
        <v>3.7</v>
      </c>
      <c r="O918">
        <v>5</v>
      </c>
      <c r="P918" s="2" t="s">
        <v>26</v>
      </c>
    </row>
    <row r="919" spans="1:16" x14ac:dyDescent="0.25">
      <c r="A919" s="2" t="s">
        <v>3856</v>
      </c>
      <c r="B919" s="2" t="s">
        <v>1036</v>
      </c>
      <c r="C919" s="2" t="s">
        <v>29</v>
      </c>
      <c r="D919" s="2" t="s">
        <v>30</v>
      </c>
      <c r="E919" s="2" t="s">
        <v>20</v>
      </c>
      <c r="F919" s="2" t="s">
        <v>32</v>
      </c>
      <c r="G919" s="2" t="s">
        <v>22</v>
      </c>
      <c r="H919" s="2" t="s">
        <v>34</v>
      </c>
      <c r="I919" s="2" t="s">
        <v>24</v>
      </c>
      <c r="J919" s="2" t="s">
        <v>2831</v>
      </c>
      <c r="K919" s="2" t="s">
        <v>3857</v>
      </c>
      <c r="L919">
        <v>3</v>
      </c>
      <c r="M919" s="1">
        <v>290000</v>
      </c>
      <c r="N919">
        <v>4.0999999999999996</v>
      </c>
      <c r="O919">
        <v>1</v>
      </c>
      <c r="P919" s="2" t="s">
        <v>72</v>
      </c>
    </row>
    <row r="920" spans="1:16" x14ac:dyDescent="0.25">
      <c r="A920" s="2" t="s">
        <v>3858</v>
      </c>
      <c r="B920" s="2" t="s">
        <v>3859</v>
      </c>
      <c r="C920" s="2" t="s">
        <v>29</v>
      </c>
      <c r="D920" s="2" t="s">
        <v>30</v>
      </c>
      <c r="E920" s="2" t="s">
        <v>31</v>
      </c>
      <c r="F920" s="2" t="s">
        <v>39</v>
      </c>
      <c r="G920" s="2" t="s">
        <v>22</v>
      </c>
      <c r="H920" s="2" t="s">
        <v>34</v>
      </c>
      <c r="I920" s="2" t="s">
        <v>24</v>
      </c>
      <c r="J920" s="2" t="s">
        <v>3860</v>
      </c>
      <c r="K920" s="2" t="s">
        <v>2809</v>
      </c>
      <c r="L920">
        <v>5</v>
      </c>
      <c r="M920" s="1">
        <v>177000</v>
      </c>
      <c r="N920">
        <v>2.4</v>
      </c>
      <c r="O920">
        <v>6</v>
      </c>
      <c r="P920" s="2" t="s">
        <v>26</v>
      </c>
    </row>
    <row r="921" spans="1:16" x14ac:dyDescent="0.25">
      <c r="A921" s="2" t="s">
        <v>3861</v>
      </c>
      <c r="B921" s="2" t="s">
        <v>690</v>
      </c>
      <c r="C921" s="2" t="s">
        <v>18</v>
      </c>
      <c r="D921" s="2" t="s">
        <v>19</v>
      </c>
      <c r="E921" s="2" t="s">
        <v>20</v>
      </c>
      <c r="F921" s="2" t="s">
        <v>39</v>
      </c>
      <c r="G921" s="2" t="s">
        <v>22</v>
      </c>
      <c r="H921" s="2" t="s">
        <v>23</v>
      </c>
      <c r="I921" s="2" t="s">
        <v>24</v>
      </c>
      <c r="J921" s="2" t="s">
        <v>594</v>
      </c>
      <c r="K921" s="2" t="s">
        <v>2809</v>
      </c>
      <c r="L921">
        <v>3</v>
      </c>
      <c r="M921" s="1">
        <v>134000</v>
      </c>
      <c r="N921">
        <v>2.9</v>
      </c>
      <c r="O921">
        <v>4</v>
      </c>
      <c r="P921" s="2" t="s">
        <v>26</v>
      </c>
    </row>
    <row r="922" spans="1:16" x14ac:dyDescent="0.25">
      <c r="A922" s="2" t="s">
        <v>3862</v>
      </c>
      <c r="B922" s="2" t="s">
        <v>3863</v>
      </c>
      <c r="C922" s="2" t="s">
        <v>18</v>
      </c>
      <c r="D922" s="2" t="s">
        <v>50</v>
      </c>
      <c r="E922" s="2" t="s">
        <v>20</v>
      </c>
      <c r="F922" s="2" t="s">
        <v>39</v>
      </c>
      <c r="G922" s="2" t="s">
        <v>80</v>
      </c>
      <c r="H922" s="2" t="s">
        <v>34</v>
      </c>
      <c r="I922" s="2" t="s">
        <v>24</v>
      </c>
      <c r="J922" s="2" t="s">
        <v>3864</v>
      </c>
      <c r="K922" s="2" t="s">
        <v>2809</v>
      </c>
      <c r="L922">
        <v>4</v>
      </c>
      <c r="M922" s="1">
        <v>107000</v>
      </c>
      <c r="N922">
        <v>2.9</v>
      </c>
      <c r="O922">
        <v>9</v>
      </c>
      <c r="P922" s="2" t="s">
        <v>53</v>
      </c>
    </row>
    <row r="923" spans="1:16" x14ac:dyDescent="0.25">
      <c r="A923" s="2" t="s">
        <v>3865</v>
      </c>
      <c r="B923" s="2" t="s">
        <v>3866</v>
      </c>
      <c r="C923" s="2" t="s">
        <v>29</v>
      </c>
      <c r="D923" s="2" t="s">
        <v>79</v>
      </c>
      <c r="E923" s="2" t="s">
        <v>20</v>
      </c>
      <c r="F923" s="2" t="s">
        <v>21</v>
      </c>
      <c r="G923" s="2" t="s">
        <v>33</v>
      </c>
      <c r="H923" s="2" t="s">
        <v>46</v>
      </c>
      <c r="I923" s="2" t="s">
        <v>57</v>
      </c>
      <c r="J923" s="2" t="s">
        <v>1167</v>
      </c>
      <c r="K923" s="2" t="s">
        <v>3872</v>
      </c>
      <c r="L923">
        <v>4</v>
      </c>
      <c r="M923" s="1">
        <v>946000</v>
      </c>
      <c r="N923">
        <v>4.3</v>
      </c>
      <c r="O923">
        <v>3</v>
      </c>
      <c r="P923" s="2" t="s">
        <v>26</v>
      </c>
    </row>
    <row r="924" spans="1:16" x14ac:dyDescent="0.25">
      <c r="A924" s="2" t="s">
        <v>3867</v>
      </c>
      <c r="B924" s="2" t="s">
        <v>3868</v>
      </c>
      <c r="C924" s="2" t="s">
        <v>29</v>
      </c>
      <c r="D924" s="2" t="s">
        <v>43</v>
      </c>
      <c r="E924" s="2" t="s">
        <v>44</v>
      </c>
      <c r="F924" s="2" t="s">
        <v>45</v>
      </c>
      <c r="G924" s="2" t="s">
        <v>80</v>
      </c>
      <c r="H924" s="2" t="s">
        <v>46</v>
      </c>
      <c r="I924" s="2" t="s">
        <v>24</v>
      </c>
      <c r="J924" s="2" t="s">
        <v>3869</v>
      </c>
      <c r="K924" s="2" t="s">
        <v>3872</v>
      </c>
      <c r="L924">
        <v>5</v>
      </c>
      <c r="M924" s="1">
        <v>1085000</v>
      </c>
      <c r="N924">
        <v>3.3</v>
      </c>
      <c r="O924">
        <v>3</v>
      </c>
      <c r="P924" s="2" t="s">
        <v>26</v>
      </c>
    </row>
    <row r="925" spans="1:16" x14ac:dyDescent="0.25">
      <c r="A925" s="2" t="s">
        <v>3870</v>
      </c>
      <c r="B925" s="2" t="s">
        <v>3871</v>
      </c>
      <c r="C925" s="2" t="s">
        <v>18</v>
      </c>
      <c r="D925" s="2" t="s">
        <v>43</v>
      </c>
      <c r="E925" s="2" t="s">
        <v>44</v>
      </c>
      <c r="F925" s="2" t="s">
        <v>39</v>
      </c>
      <c r="G925" s="2" t="s">
        <v>22</v>
      </c>
      <c r="H925" s="2" t="s">
        <v>46</v>
      </c>
      <c r="I925" s="2" t="s">
        <v>75</v>
      </c>
      <c r="J925" s="2" t="s">
        <v>1134</v>
      </c>
      <c r="K925" s="2" t="s">
        <v>3872</v>
      </c>
      <c r="L925">
        <v>5</v>
      </c>
      <c r="M925" s="1">
        <v>152000</v>
      </c>
      <c r="N925">
        <v>2.5</v>
      </c>
      <c r="O925">
        <v>14</v>
      </c>
      <c r="P925" s="2" t="s">
        <v>53</v>
      </c>
    </row>
    <row r="926" spans="1:16" x14ac:dyDescent="0.25">
      <c r="A926" s="2" t="s">
        <v>3877</v>
      </c>
      <c r="B926" s="2" t="s">
        <v>3878</v>
      </c>
      <c r="C926" s="2" t="s">
        <v>18</v>
      </c>
      <c r="D926" s="2" t="s">
        <v>79</v>
      </c>
      <c r="E926" s="2" t="s">
        <v>20</v>
      </c>
      <c r="F926" s="2" t="s">
        <v>32</v>
      </c>
      <c r="G926" s="2" t="s">
        <v>22</v>
      </c>
      <c r="H926" s="2" t="s">
        <v>23</v>
      </c>
      <c r="I926" s="2" t="s">
        <v>24</v>
      </c>
      <c r="J926" s="2" t="s">
        <v>2483</v>
      </c>
      <c r="K926" s="2" t="s">
        <v>2120</v>
      </c>
      <c r="L926">
        <v>3</v>
      </c>
      <c r="M926" s="1">
        <v>307000</v>
      </c>
      <c r="N926">
        <v>4.5</v>
      </c>
      <c r="O926">
        <v>13</v>
      </c>
      <c r="P926" s="2" t="s">
        <v>26</v>
      </c>
    </row>
    <row r="927" spans="1:16" x14ac:dyDescent="0.25">
      <c r="A927" s="2" t="s">
        <v>3882</v>
      </c>
      <c r="B927" s="2" t="s">
        <v>2553</v>
      </c>
      <c r="C927" s="2" t="s">
        <v>18</v>
      </c>
      <c r="D927" s="2" t="s">
        <v>79</v>
      </c>
      <c r="E927" s="2" t="s">
        <v>44</v>
      </c>
      <c r="F927" s="2" t="s">
        <v>32</v>
      </c>
      <c r="G927" s="2" t="s">
        <v>22</v>
      </c>
      <c r="H927" s="2" t="s">
        <v>46</v>
      </c>
      <c r="I927" s="2" t="s">
        <v>75</v>
      </c>
      <c r="J927" s="2" t="s">
        <v>2071</v>
      </c>
      <c r="K927" s="2" t="s">
        <v>2120</v>
      </c>
      <c r="L927">
        <v>2</v>
      </c>
      <c r="M927" s="1">
        <v>260000</v>
      </c>
      <c r="N927">
        <v>4.3</v>
      </c>
      <c r="O927">
        <v>12</v>
      </c>
      <c r="P927" s="2" t="s">
        <v>53</v>
      </c>
    </row>
    <row r="928" spans="1:16" x14ac:dyDescent="0.25">
      <c r="A928" s="2" t="s">
        <v>3883</v>
      </c>
      <c r="B928" s="2" t="s">
        <v>3884</v>
      </c>
      <c r="C928" s="2" t="s">
        <v>29</v>
      </c>
      <c r="D928" s="2" t="s">
        <v>30</v>
      </c>
      <c r="E928" s="2" t="s">
        <v>20</v>
      </c>
      <c r="F928" s="2" t="s">
        <v>39</v>
      </c>
      <c r="G928" s="2" t="s">
        <v>22</v>
      </c>
      <c r="H928" s="2" t="s">
        <v>23</v>
      </c>
      <c r="I928" s="2" t="s">
        <v>57</v>
      </c>
      <c r="J928" s="2" t="s">
        <v>3273</v>
      </c>
      <c r="K928" s="2" t="s">
        <v>3890</v>
      </c>
      <c r="L928">
        <v>3</v>
      </c>
      <c r="M928" s="1">
        <v>153000</v>
      </c>
      <c r="N928">
        <v>3.3</v>
      </c>
      <c r="O928">
        <v>7</v>
      </c>
      <c r="P928" s="2" t="s">
        <v>26</v>
      </c>
    </row>
    <row r="929" spans="1:16" x14ac:dyDescent="0.25">
      <c r="A929" s="2" t="s">
        <v>3888</v>
      </c>
      <c r="B929" s="2" t="s">
        <v>2873</v>
      </c>
      <c r="C929" s="2" t="s">
        <v>18</v>
      </c>
      <c r="D929" s="2" t="s">
        <v>30</v>
      </c>
      <c r="E929" s="2" t="s">
        <v>31</v>
      </c>
      <c r="F929" s="2" t="s">
        <v>128</v>
      </c>
      <c r="G929" s="2" t="s">
        <v>80</v>
      </c>
      <c r="H929" s="2" t="s">
        <v>62</v>
      </c>
      <c r="I929" s="2" t="s">
        <v>57</v>
      </c>
      <c r="J929" s="2" t="s">
        <v>3889</v>
      </c>
      <c r="K929" s="2" t="s">
        <v>3890</v>
      </c>
      <c r="L929">
        <v>6</v>
      </c>
      <c r="M929" s="1">
        <v>487000</v>
      </c>
      <c r="N929">
        <v>4.3</v>
      </c>
      <c r="O929">
        <v>38</v>
      </c>
      <c r="P929" s="2" t="s">
        <v>53</v>
      </c>
    </row>
    <row r="930" spans="1:16" x14ac:dyDescent="0.25">
      <c r="A930" s="2" t="s">
        <v>3891</v>
      </c>
      <c r="B930" s="2" t="s">
        <v>1528</v>
      </c>
      <c r="C930" s="2" t="s">
        <v>18</v>
      </c>
      <c r="D930" s="2" t="s">
        <v>30</v>
      </c>
      <c r="E930" s="2" t="s">
        <v>20</v>
      </c>
      <c r="F930" s="2" t="s">
        <v>128</v>
      </c>
      <c r="G930" s="2" t="s">
        <v>80</v>
      </c>
      <c r="H930" s="2" t="s">
        <v>23</v>
      </c>
      <c r="I930" s="2" t="s">
        <v>24</v>
      </c>
      <c r="J930" s="2" t="s">
        <v>621</v>
      </c>
      <c r="K930" s="2" t="s">
        <v>2410</v>
      </c>
      <c r="L930">
        <v>2</v>
      </c>
      <c r="M930" s="1">
        <v>391000</v>
      </c>
      <c r="N930">
        <v>3.2</v>
      </c>
      <c r="O930">
        <v>3</v>
      </c>
      <c r="P930" s="2" t="s">
        <v>26</v>
      </c>
    </row>
    <row r="931" spans="1:16" x14ac:dyDescent="0.25">
      <c r="A931" s="2" t="s">
        <v>3892</v>
      </c>
      <c r="B931" s="2" t="s">
        <v>3893</v>
      </c>
      <c r="C931" s="2" t="s">
        <v>29</v>
      </c>
      <c r="D931" s="2" t="s">
        <v>79</v>
      </c>
      <c r="E931" s="2" t="s">
        <v>20</v>
      </c>
      <c r="F931" s="2" t="s">
        <v>128</v>
      </c>
      <c r="G931" s="2" t="s">
        <v>33</v>
      </c>
      <c r="H931" s="2" t="s">
        <v>23</v>
      </c>
      <c r="I931" s="2" t="s">
        <v>57</v>
      </c>
      <c r="J931" s="2" t="s">
        <v>3488</v>
      </c>
      <c r="K931" s="2" t="s">
        <v>2410</v>
      </c>
      <c r="L931">
        <v>4</v>
      </c>
      <c r="M931" s="1">
        <v>525000</v>
      </c>
      <c r="N931">
        <v>3.4</v>
      </c>
      <c r="O931">
        <v>34</v>
      </c>
      <c r="P931" s="2" t="s">
        <v>26</v>
      </c>
    </row>
    <row r="932" spans="1:16" x14ac:dyDescent="0.25">
      <c r="A932" s="2" t="s">
        <v>3896</v>
      </c>
      <c r="B932" s="2" t="s">
        <v>3897</v>
      </c>
      <c r="C932" s="2" t="s">
        <v>29</v>
      </c>
      <c r="D932" s="2" t="s">
        <v>43</v>
      </c>
      <c r="E932" s="2" t="s">
        <v>31</v>
      </c>
      <c r="F932" s="2" t="s">
        <v>128</v>
      </c>
      <c r="G932" s="2" t="s">
        <v>80</v>
      </c>
      <c r="H932" s="2" t="s">
        <v>46</v>
      </c>
      <c r="I932" s="2" t="s">
        <v>24</v>
      </c>
      <c r="J932" s="2" t="s">
        <v>693</v>
      </c>
      <c r="K932" s="2" t="s">
        <v>2410</v>
      </c>
      <c r="L932">
        <v>2</v>
      </c>
      <c r="M932" s="1">
        <v>371000</v>
      </c>
      <c r="N932">
        <v>4.7</v>
      </c>
      <c r="O932">
        <v>6</v>
      </c>
      <c r="P932" s="2" t="s">
        <v>26</v>
      </c>
    </row>
    <row r="933" spans="1:16" x14ac:dyDescent="0.25">
      <c r="A933" s="2" t="s">
        <v>3898</v>
      </c>
      <c r="B933" s="2" t="s">
        <v>3899</v>
      </c>
      <c r="C933" s="2" t="s">
        <v>18</v>
      </c>
      <c r="D933" s="2" t="s">
        <v>50</v>
      </c>
      <c r="E933" s="2" t="s">
        <v>31</v>
      </c>
      <c r="F933" s="2" t="s">
        <v>128</v>
      </c>
      <c r="G933" s="2" t="s">
        <v>22</v>
      </c>
      <c r="H933" s="2" t="s">
        <v>46</v>
      </c>
      <c r="I933" s="2" t="s">
        <v>75</v>
      </c>
      <c r="J933" s="2" t="s">
        <v>654</v>
      </c>
      <c r="K933" s="2" t="s">
        <v>2410</v>
      </c>
      <c r="L933">
        <v>3</v>
      </c>
      <c r="M933" s="1">
        <v>412000</v>
      </c>
      <c r="N933">
        <v>3.2</v>
      </c>
      <c r="O933">
        <v>2</v>
      </c>
      <c r="P933" s="2" t="s">
        <v>53</v>
      </c>
    </row>
    <row r="934" spans="1:16" x14ac:dyDescent="0.25">
      <c r="A934" s="2" t="s">
        <v>3900</v>
      </c>
      <c r="B934" s="2" t="s">
        <v>3901</v>
      </c>
      <c r="C934" s="2" t="s">
        <v>29</v>
      </c>
      <c r="D934" s="2" t="s">
        <v>43</v>
      </c>
      <c r="E934" s="2" t="s">
        <v>31</v>
      </c>
      <c r="F934" s="2" t="s">
        <v>128</v>
      </c>
      <c r="G934" s="2" t="s">
        <v>80</v>
      </c>
      <c r="H934" s="2" t="s">
        <v>46</v>
      </c>
      <c r="I934" s="2" t="s">
        <v>75</v>
      </c>
      <c r="J934" s="2" t="s">
        <v>2756</v>
      </c>
      <c r="K934" s="2" t="s">
        <v>504</v>
      </c>
      <c r="L934">
        <v>4</v>
      </c>
      <c r="M934" s="1">
        <v>438000</v>
      </c>
      <c r="N934">
        <v>2</v>
      </c>
      <c r="O934">
        <v>10</v>
      </c>
      <c r="P934" s="2" t="s">
        <v>26</v>
      </c>
    </row>
    <row r="935" spans="1:16" x14ac:dyDescent="0.25">
      <c r="A935" s="2" t="s">
        <v>3902</v>
      </c>
      <c r="B935" s="2" t="s">
        <v>3903</v>
      </c>
      <c r="C935" s="2" t="s">
        <v>29</v>
      </c>
      <c r="D935" s="2" t="s">
        <v>50</v>
      </c>
      <c r="E935" s="2" t="s">
        <v>44</v>
      </c>
      <c r="F935" s="2" t="s">
        <v>128</v>
      </c>
      <c r="G935" s="2" t="s">
        <v>80</v>
      </c>
      <c r="H935" s="2" t="s">
        <v>23</v>
      </c>
      <c r="I935" s="2" t="s">
        <v>57</v>
      </c>
      <c r="J935" s="2" t="s">
        <v>749</v>
      </c>
      <c r="K935" s="2" t="s">
        <v>504</v>
      </c>
      <c r="L935">
        <v>3</v>
      </c>
      <c r="M935" s="1">
        <v>457000</v>
      </c>
      <c r="N935">
        <v>4.2</v>
      </c>
      <c r="O935">
        <v>2</v>
      </c>
      <c r="P935" s="2" t="s">
        <v>26</v>
      </c>
    </row>
    <row r="936" spans="1:16" x14ac:dyDescent="0.25">
      <c r="A936" s="2" t="s">
        <v>3904</v>
      </c>
      <c r="B936" s="2" t="s">
        <v>3884</v>
      </c>
      <c r="C936" s="2" t="s">
        <v>29</v>
      </c>
      <c r="D936" s="2" t="s">
        <v>43</v>
      </c>
      <c r="E936" s="2" t="s">
        <v>31</v>
      </c>
      <c r="F936" s="2" t="s">
        <v>32</v>
      </c>
      <c r="G936" s="2" t="s">
        <v>69</v>
      </c>
      <c r="H936" s="2" t="s">
        <v>46</v>
      </c>
      <c r="I936" s="2" t="s">
        <v>24</v>
      </c>
      <c r="J936" s="2" t="s">
        <v>3905</v>
      </c>
      <c r="K936" s="2" t="s">
        <v>504</v>
      </c>
      <c r="L936">
        <v>2</v>
      </c>
      <c r="M936" s="1">
        <v>194000</v>
      </c>
      <c r="N936">
        <v>2.6</v>
      </c>
      <c r="O936">
        <v>15</v>
      </c>
      <c r="P936" s="2" t="s">
        <v>26</v>
      </c>
    </row>
    <row r="937" spans="1:16" x14ac:dyDescent="0.25">
      <c r="A937" s="2" t="s">
        <v>3906</v>
      </c>
      <c r="B937" s="2" t="s">
        <v>3907</v>
      </c>
      <c r="C937" s="2" t="s">
        <v>29</v>
      </c>
      <c r="D937" s="2" t="s">
        <v>30</v>
      </c>
      <c r="E937" s="2" t="s">
        <v>31</v>
      </c>
      <c r="F937" s="2" t="s">
        <v>128</v>
      </c>
      <c r="G937" s="2" t="s">
        <v>22</v>
      </c>
      <c r="H937" s="2" t="s">
        <v>23</v>
      </c>
      <c r="I937" s="2" t="s">
        <v>57</v>
      </c>
      <c r="J937" s="2" t="s">
        <v>658</v>
      </c>
      <c r="K937" s="2" t="s">
        <v>504</v>
      </c>
      <c r="L937">
        <v>6</v>
      </c>
      <c r="M937" s="1">
        <v>362000</v>
      </c>
      <c r="N937">
        <v>4.4000000000000004</v>
      </c>
      <c r="O937">
        <v>8</v>
      </c>
      <c r="P937" s="2" t="s">
        <v>26</v>
      </c>
    </row>
    <row r="938" spans="1:16" x14ac:dyDescent="0.25">
      <c r="A938" s="2" t="s">
        <v>3910</v>
      </c>
      <c r="B938" s="2" t="s">
        <v>3911</v>
      </c>
      <c r="C938" s="2" t="s">
        <v>18</v>
      </c>
      <c r="D938" s="2" t="s">
        <v>30</v>
      </c>
      <c r="E938" s="2" t="s">
        <v>44</v>
      </c>
      <c r="F938" s="2" t="s">
        <v>128</v>
      </c>
      <c r="G938" s="2" t="s">
        <v>22</v>
      </c>
      <c r="H938" s="2" t="s">
        <v>46</v>
      </c>
      <c r="I938" s="2" t="s">
        <v>24</v>
      </c>
      <c r="J938" s="2" t="s">
        <v>3912</v>
      </c>
      <c r="K938" s="2" t="s">
        <v>504</v>
      </c>
      <c r="L938">
        <v>5</v>
      </c>
      <c r="M938" s="1">
        <v>515000</v>
      </c>
      <c r="N938">
        <v>3.7</v>
      </c>
      <c r="O938">
        <v>2</v>
      </c>
      <c r="P938" s="2" t="s">
        <v>53</v>
      </c>
    </row>
    <row r="939" spans="1:16" x14ac:dyDescent="0.25">
      <c r="A939" s="2" t="s">
        <v>3915</v>
      </c>
      <c r="B939" s="2" t="s">
        <v>3916</v>
      </c>
      <c r="C939" s="2" t="s">
        <v>18</v>
      </c>
      <c r="D939" s="2" t="s">
        <v>50</v>
      </c>
      <c r="E939" s="2" t="s">
        <v>20</v>
      </c>
      <c r="F939" s="2" t="s">
        <v>39</v>
      </c>
      <c r="G939" s="2" t="s">
        <v>22</v>
      </c>
      <c r="H939" s="2" t="s">
        <v>34</v>
      </c>
      <c r="I939" s="2" t="s">
        <v>24</v>
      </c>
      <c r="J939" s="2" t="s">
        <v>867</v>
      </c>
      <c r="K939" s="2" t="s">
        <v>3928</v>
      </c>
      <c r="L939">
        <v>2</v>
      </c>
      <c r="M939" s="1">
        <v>171000</v>
      </c>
      <c r="N939">
        <v>3.7</v>
      </c>
      <c r="O939">
        <v>1</v>
      </c>
      <c r="P939" s="2" t="s">
        <v>26</v>
      </c>
    </row>
    <row r="940" spans="1:16" x14ac:dyDescent="0.25">
      <c r="A940" s="2" t="s">
        <v>3917</v>
      </c>
      <c r="B940" s="2" t="s">
        <v>3918</v>
      </c>
      <c r="C940" s="2" t="s">
        <v>18</v>
      </c>
      <c r="D940" s="2" t="s">
        <v>50</v>
      </c>
      <c r="E940" s="2" t="s">
        <v>31</v>
      </c>
      <c r="F940" s="2" t="s">
        <v>21</v>
      </c>
      <c r="G940" s="2" t="s">
        <v>69</v>
      </c>
      <c r="H940" s="2" t="s">
        <v>34</v>
      </c>
      <c r="I940" s="2" t="s">
        <v>24</v>
      </c>
      <c r="J940" s="2" t="s">
        <v>3919</v>
      </c>
      <c r="K940" s="2" t="s">
        <v>3928</v>
      </c>
      <c r="L940">
        <v>6</v>
      </c>
      <c r="M940" s="1">
        <v>719000</v>
      </c>
      <c r="N940">
        <v>3.5</v>
      </c>
      <c r="O940">
        <v>4</v>
      </c>
      <c r="P940" s="2" t="s">
        <v>26</v>
      </c>
    </row>
    <row r="941" spans="1:16" x14ac:dyDescent="0.25">
      <c r="A941" s="2" t="s">
        <v>3923</v>
      </c>
      <c r="B941" s="2" t="s">
        <v>3924</v>
      </c>
      <c r="C941" s="2" t="s">
        <v>18</v>
      </c>
      <c r="D941" s="2" t="s">
        <v>30</v>
      </c>
      <c r="E941" s="2" t="s">
        <v>44</v>
      </c>
      <c r="F941" s="2" t="s">
        <v>21</v>
      </c>
      <c r="G941" s="2" t="s">
        <v>22</v>
      </c>
      <c r="H941" s="2" t="s">
        <v>34</v>
      </c>
      <c r="I941" s="2" t="s">
        <v>24</v>
      </c>
      <c r="J941" s="2" t="s">
        <v>3925</v>
      </c>
      <c r="K941" s="2" t="s">
        <v>3928</v>
      </c>
      <c r="L941">
        <v>3</v>
      </c>
      <c r="M941" s="1">
        <v>766000</v>
      </c>
      <c r="N941">
        <v>4.5</v>
      </c>
      <c r="O941">
        <v>29</v>
      </c>
      <c r="P941" s="2" t="s">
        <v>26</v>
      </c>
    </row>
    <row r="942" spans="1:16" x14ac:dyDescent="0.25">
      <c r="A942" s="2" t="s">
        <v>3926</v>
      </c>
      <c r="B942" s="2" t="s">
        <v>3927</v>
      </c>
      <c r="C942" s="2" t="s">
        <v>29</v>
      </c>
      <c r="D942" s="2" t="s">
        <v>19</v>
      </c>
      <c r="E942" s="2" t="s">
        <v>20</v>
      </c>
      <c r="F942" s="2" t="s">
        <v>32</v>
      </c>
      <c r="G942" s="2" t="s">
        <v>33</v>
      </c>
      <c r="H942" s="2" t="s">
        <v>34</v>
      </c>
      <c r="I942" s="2" t="s">
        <v>24</v>
      </c>
      <c r="J942" s="2" t="s">
        <v>2280</v>
      </c>
      <c r="K942" s="2" t="s">
        <v>3928</v>
      </c>
      <c r="L942">
        <v>2</v>
      </c>
      <c r="M942" s="1">
        <v>385000</v>
      </c>
      <c r="N942">
        <v>4.3</v>
      </c>
      <c r="O942">
        <v>9</v>
      </c>
      <c r="P942" s="2" t="s">
        <v>53</v>
      </c>
    </row>
    <row r="943" spans="1:16" x14ac:dyDescent="0.25">
      <c r="A943" s="2" t="s">
        <v>3929</v>
      </c>
      <c r="B943" s="2" t="s">
        <v>934</v>
      </c>
      <c r="C943" s="2" t="s">
        <v>18</v>
      </c>
      <c r="D943" s="2" t="s">
        <v>79</v>
      </c>
      <c r="E943" s="2" t="s">
        <v>31</v>
      </c>
      <c r="F943" s="2" t="s">
        <v>21</v>
      </c>
      <c r="G943" s="2" t="s">
        <v>80</v>
      </c>
      <c r="H943" s="2" t="s">
        <v>23</v>
      </c>
      <c r="I943" s="2" t="s">
        <v>171</v>
      </c>
      <c r="J943" s="2" t="s">
        <v>2606</v>
      </c>
      <c r="K943" s="2" t="s">
        <v>3943</v>
      </c>
      <c r="L943">
        <v>2</v>
      </c>
      <c r="M943" s="1">
        <v>847000</v>
      </c>
      <c r="N943">
        <v>4</v>
      </c>
      <c r="O943">
        <v>7</v>
      </c>
      <c r="P943" s="2" t="s">
        <v>26</v>
      </c>
    </row>
    <row r="944" spans="1:16" x14ac:dyDescent="0.25">
      <c r="A944" s="2" t="s">
        <v>3932</v>
      </c>
      <c r="B944" s="2" t="s">
        <v>116</v>
      </c>
      <c r="C944" s="2" t="s">
        <v>18</v>
      </c>
      <c r="D944" s="2" t="s">
        <v>50</v>
      </c>
      <c r="E944" s="2" t="s">
        <v>20</v>
      </c>
      <c r="F944" s="2" t="s">
        <v>32</v>
      </c>
      <c r="G944" s="2" t="s">
        <v>80</v>
      </c>
      <c r="H944" s="2" t="s">
        <v>62</v>
      </c>
      <c r="I944" s="2" t="s">
        <v>57</v>
      </c>
      <c r="J944" s="2" t="s">
        <v>102</v>
      </c>
      <c r="K944" s="2" t="s">
        <v>3943</v>
      </c>
      <c r="L944">
        <v>5</v>
      </c>
      <c r="M944" s="1">
        <v>309000</v>
      </c>
      <c r="N944">
        <v>2.8</v>
      </c>
      <c r="O944">
        <v>9</v>
      </c>
      <c r="P944" s="2" t="s">
        <v>26</v>
      </c>
    </row>
    <row r="945" spans="1:16" x14ac:dyDescent="0.25">
      <c r="A945" s="2" t="s">
        <v>3935</v>
      </c>
      <c r="B945" s="2" t="s">
        <v>822</v>
      </c>
      <c r="C945" s="2" t="s">
        <v>18</v>
      </c>
      <c r="D945" s="2" t="s">
        <v>43</v>
      </c>
      <c r="E945" s="2" t="s">
        <v>20</v>
      </c>
      <c r="F945" s="2" t="s">
        <v>128</v>
      </c>
      <c r="G945" s="2" t="s">
        <v>69</v>
      </c>
      <c r="H945" s="2" t="s">
        <v>23</v>
      </c>
      <c r="I945" s="2" t="s">
        <v>75</v>
      </c>
      <c r="J945" s="2" t="s">
        <v>2097</v>
      </c>
      <c r="K945" s="2" t="s">
        <v>3943</v>
      </c>
      <c r="L945">
        <v>3</v>
      </c>
      <c r="M945" s="1">
        <v>350000</v>
      </c>
      <c r="N945">
        <v>3.1</v>
      </c>
      <c r="O945">
        <v>3</v>
      </c>
      <c r="P945" s="2" t="s">
        <v>26</v>
      </c>
    </row>
    <row r="946" spans="1:16" x14ac:dyDescent="0.25">
      <c r="A946" s="2" t="s">
        <v>3936</v>
      </c>
      <c r="B946" s="2" t="s">
        <v>3937</v>
      </c>
      <c r="C946" s="2" t="s">
        <v>29</v>
      </c>
      <c r="D946" s="2" t="s">
        <v>79</v>
      </c>
      <c r="E946" s="2" t="s">
        <v>20</v>
      </c>
      <c r="F946" s="2" t="s">
        <v>128</v>
      </c>
      <c r="G946" s="2" t="s">
        <v>22</v>
      </c>
      <c r="H946" s="2" t="s">
        <v>34</v>
      </c>
      <c r="I946" s="2" t="s">
        <v>24</v>
      </c>
      <c r="J946" s="2" t="s">
        <v>2530</v>
      </c>
      <c r="K946" s="2" t="s">
        <v>3943</v>
      </c>
      <c r="L946">
        <v>3</v>
      </c>
      <c r="M946" s="1">
        <v>566000</v>
      </c>
      <c r="N946">
        <v>4.8</v>
      </c>
      <c r="O946">
        <v>1</v>
      </c>
      <c r="P946" s="2" t="s">
        <v>26</v>
      </c>
    </row>
    <row r="947" spans="1:16" x14ac:dyDescent="0.25">
      <c r="A947" s="2" t="s">
        <v>3940</v>
      </c>
      <c r="B947" s="2" t="s">
        <v>3941</v>
      </c>
      <c r="C947" s="2" t="s">
        <v>18</v>
      </c>
      <c r="D947" s="2" t="s">
        <v>30</v>
      </c>
      <c r="E947" s="2" t="s">
        <v>20</v>
      </c>
      <c r="F947" s="2" t="s">
        <v>39</v>
      </c>
      <c r="G947" s="2" t="s">
        <v>33</v>
      </c>
      <c r="H947" s="2" t="s">
        <v>23</v>
      </c>
      <c r="I947" s="2" t="s">
        <v>24</v>
      </c>
      <c r="J947" s="2" t="s">
        <v>3942</v>
      </c>
      <c r="K947" s="2" t="s">
        <v>3943</v>
      </c>
      <c r="L947">
        <v>4</v>
      </c>
      <c r="M947" s="1">
        <v>103000</v>
      </c>
      <c r="N947">
        <v>3.4</v>
      </c>
      <c r="O947">
        <v>7</v>
      </c>
      <c r="P947" s="2" t="s">
        <v>53</v>
      </c>
    </row>
    <row r="948" spans="1:16" x14ac:dyDescent="0.25">
      <c r="A948" s="2" t="s">
        <v>3944</v>
      </c>
      <c r="B948" s="2" t="s">
        <v>2093</v>
      </c>
      <c r="C948" s="2" t="s">
        <v>29</v>
      </c>
      <c r="D948" s="2" t="s">
        <v>50</v>
      </c>
      <c r="E948" s="2" t="s">
        <v>44</v>
      </c>
      <c r="F948" s="2" t="s">
        <v>39</v>
      </c>
      <c r="G948" s="2" t="s">
        <v>69</v>
      </c>
      <c r="H948" s="2" t="s">
        <v>23</v>
      </c>
      <c r="I948" s="2" t="s">
        <v>57</v>
      </c>
      <c r="J948" s="2" t="s">
        <v>3945</v>
      </c>
      <c r="K948" s="2" t="s">
        <v>2430</v>
      </c>
      <c r="L948">
        <v>6</v>
      </c>
      <c r="M948" s="1">
        <v>115000</v>
      </c>
      <c r="N948">
        <v>2.1</v>
      </c>
      <c r="O948">
        <v>9</v>
      </c>
      <c r="P948" s="2" t="s">
        <v>53</v>
      </c>
    </row>
    <row r="949" spans="1:16" x14ac:dyDescent="0.25">
      <c r="A949" s="2" t="s">
        <v>3946</v>
      </c>
      <c r="B949" s="2" t="s">
        <v>3947</v>
      </c>
      <c r="C949" s="2" t="s">
        <v>18</v>
      </c>
      <c r="D949" s="2" t="s">
        <v>43</v>
      </c>
      <c r="E949" s="2" t="s">
        <v>20</v>
      </c>
      <c r="F949" s="2" t="s">
        <v>32</v>
      </c>
      <c r="G949" s="2" t="s">
        <v>33</v>
      </c>
      <c r="H949" s="2" t="s">
        <v>23</v>
      </c>
      <c r="I949" s="2" t="s">
        <v>171</v>
      </c>
      <c r="J949" s="2" t="s">
        <v>2034</v>
      </c>
      <c r="K949" s="2" t="s">
        <v>3948</v>
      </c>
      <c r="L949">
        <v>2</v>
      </c>
      <c r="M949" s="1">
        <v>229000</v>
      </c>
      <c r="N949">
        <v>3.3</v>
      </c>
      <c r="O949">
        <v>3</v>
      </c>
      <c r="P949" s="2" t="s">
        <v>53</v>
      </c>
    </row>
    <row r="950" spans="1:16" x14ac:dyDescent="0.25">
      <c r="A950" s="2" t="s">
        <v>3949</v>
      </c>
      <c r="B950" s="2" t="s">
        <v>3950</v>
      </c>
      <c r="C950" s="2" t="s">
        <v>18</v>
      </c>
      <c r="D950" s="2" t="s">
        <v>43</v>
      </c>
      <c r="E950" s="2" t="s">
        <v>20</v>
      </c>
      <c r="F950" s="2" t="s">
        <v>21</v>
      </c>
      <c r="G950" s="2" t="s">
        <v>22</v>
      </c>
      <c r="H950" s="2" t="s">
        <v>46</v>
      </c>
      <c r="I950" s="2" t="s">
        <v>24</v>
      </c>
      <c r="J950" s="2" t="s">
        <v>3640</v>
      </c>
      <c r="K950" s="2" t="s">
        <v>425</v>
      </c>
      <c r="L950">
        <v>4</v>
      </c>
      <c r="M950" s="1">
        <v>646000</v>
      </c>
      <c r="N950">
        <v>3.7</v>
      </c>
      <c r="O950">
        <v>13</v>
      </c>
      <c r="P950" s="2" t="s">
        <v>26</v>
      </c>
    </row>
    <row r="951" spans="1:16" x14ac:dyDescent="0.25">
      <c r="A951" s="2" t="s">
        <v>3954</v>
      </c>
      <c r="B951" s="2" t="s">
        <v>3955</v>
      </c>
      <c r="C951" s="2" t="s">
        <v>18</v>
      </c>
      <c r="D951" s="2" t="s">
        <v>43</v>
      </c>
      <c r="E951" s="2" t="s">
        <v>31</v>
      </c>
      <c r="F951" s="2" t="s">
        <v>32</v>
      </c>
      <c r="G951" s="2" t="s">
        <v>22</v>
      </c>
      <c r="H951" s="2" t="s">
        <v>34</v>
      </c>
      <c r="I951" s="2" t="s">
        <v>24</v>
      </c>
      <c r="J951" s="2" t="s">
        <v>2287</v>
      </c>
      <c r="K951" s="2" t="s">
        <v>425</v>
      </c>
      <c r="L951">
        <v>3</v>
      </c>
      <c r="M951" s="1">
        <v>283000</v>
      </c>
      <c r="N951">
        <v>2</v>
      </c>
      <c r="O951">
        <v>6</v>
      </c>
      <c r="P951" s="2" t="s">
        <v>53</v>
      </c>
    </row>
    <row r="952" spans="1:16" x14ac:dyDescent="0.25">
      <c r="A952" s="2" t="s">
        <v>3956</v>
      </c>
      <c r="B952" s="2" t="s">
        <v>3957</v>
      </c>
      <c r="C952" s="2" t="s">
        <v>18</v>
      </c>
      <c r="D952" s="2" t="s">
        <v>50</v>
      </c>
      <c r="E952" s="2" t="s">
        <v>31</v>
      </c>
      <c r="F952" s="2" t="s">
        <v>39</v>
      </c>
      <c r="G952" s="2" t="s">
        <v>22</v>
      </c>
      <c r="H952" s="2" t="s">
        <v>23</v>
      </c>
      <c r="I952" s="2" t="s">
        <v>24</v>
      </c>
      <c r="J952" s="2" t="s">
        <v>3958</v>
      </c>
      <c r="K952" s="2" t="s">
        <v>1432</v>
      </c>
      <c r="L952">
        <v>7</v>
      </c>
      <c r="M952" s="1">
        <v>173000</v>
      </c>
      <c r="N952">
        <v>2.7</v>
      </c>
      <c r="O952">
        <v>5</v>
      </c>
      <c r="P952" s="2" t="s">
        <v>26</v>
      </c>
    </row>
    <row r="953" spans="1:16" x14ac:dyDescent="0.25">
      <c r="A953" s="2" t="s">
        <v>3959</v>
      </c>
      <c r="B953" s="2" t="s">
        <v>3960</v>
      </c>
      <c r="C953" s="2" t="s">
        <v>18</v>
      </c>
      <c r="D953" s="2" t="s">
        <v>30</v>
      </c>
      <c r="E953" s="2" t="s">
        <v>31</v>
      </c>
      <c r="F953" s="2" t="s">
        <v>32</v>
      </c>
      <c r="G953" s="2" t="s">
        <v>22</v>
      </c>
      <c r="H953" s="2" t="s">
        <v>34</v>
      </c>
      <c r="I953" s="2" t="s">
        <v>57</v>
      </c>
      <c r="J953" s="2" t="s">
        <v>3961</v>
      </c>
      <c r="K953" s="2" t="s">
        <v>1432</v>
      </c>
      <c r="L953">
        <v>4</v>
      </c>
      <c r="M953" s="1">
        <v>261000</v>
      </c>
      <c r="N953">
        <v>4.7</v>
      </c>
      <c r="O953">
        <v>11</v>
      </c>
      <c r="P953" s="2" t="s">
        <v>53</v>
      </c>
    </row>
    <row r="954" spans="1:16" x14ac:dyDescent="0.25">
      <c r="A954" s="2" t="s">
        <v>3962</v>
      </c>
      <c r="B954" s="2" t="s">
        <v>3963</v>
      </c>
      <c r="C954" s="2" t="s">
        <v>29</v>
      </c>
      <c r="D954" s="2" t="s">
        <v>30</v>
      </c>
      <c r="E954" s="2" t="s">
        <v>31</v>
      </c>
      <c r="F954" s="2" t="s">
        <v>39</v>
      </c>
      <c r="G954" s="2" t="s">
        <v>33</v>
      </c>
      <c r="H954" s="2" t="s">
        <v>46</v>
      </c>
      <c r="I954" s="2" t="s">
        <v>57</v>
      </c>
      <c r="J954" s="2" t="s">
        <v>3964</v>
      </c>
      <c r="K954" s="2" t="s">
        <v>3973</v>
      </c>
      <c r="L954">
        <v>5</v>
      </c>
      <c r="M954" s="1">
        <v>164000</v>
      </c>
      <c r="N954">
        <v>3</v>
      </c>
      <c r="O954">
        <v>2</v>
      </c>
      <c r="P954" s="2" t="s">
        <v>26</v>
      </c>
    </row>
    <row r="955" spans="1:16" x14ac:dyDescent="0.25">
      <c r="A955" s="2" t="s">
        <v>3965</v>
      </c>
      <c r="B955" s="2" t="s">
        <v>3966</v>
      </c>
      <c r="C955" s="2" t="s">
        <v>29</v>
      </c>
      <c r="D955" s="2" t="s">
        <v>19</v>
      </c>
      <c r="E955" s="2" t="s">
        <v>20</v>
      </c>
      <c r="F955" s="2" t="s">
        <v>32</v>
      </c>
      <c r="G955" s="2" t="s">
        <v>22</v>
      </c>
      <c r="H955" s="2" t="s">
        <v>23</v>
      </c>
      <c r="I955" s="2" t="s">
        <v>24</v>
      </c>
      <c r="J955" s="2" t="s">
        <v>369</v>
      </c>
      <c r="K955" s="2" t="s">
        <v>3973</v>
      </c>
      <c r="L955">
        <v>6</v>
      </c>
      <c r="M955" s="1">
        <v>312000</v>
      </c>
      <c r="N955">
        <v>3.9</v>
      </c>
      <c r="O955">
        <v>8</v>
      </c>
      <c r="P955" s="2" t="s">
        <v>26</v>
      </c>
    </row>
    <row r="956" spans="1:16" x14ac:dyDescent="0.25">
      <c r="A956" s="2" t="s">
        <v>3970</v>
      </c>
      <c r="B956" s="2" t="s">
        <v>3971</v>
      </c>
      <c r="C956" s="2" t="s">
        <v>18</v>
      </c>
      <c r="D956" s="2" t="s">
        <v>30</v>
      </c>
      <c r="E956" s="2" t="s">
        <v>20</v>
      </c>
      <c r="F956" s="2" t="s">
        <v>39</v>
      </c>
      <c r="G956" s="2" t="s">
        <v>22</v>
      </c>
      <c r="H956" s="2" t="s">
        <v>23</v>
      </c>
      <c r="I956" s="2" t="s">
        <v>35</v>
      </c>
      <c r="J956" s="2" t="s">
        <v>3972</v>
      </c>
      <c r="K956" s="2" t="s">
        <v>3973</v>
      </c>
      <c r="L956">
        <v>5</v>
      </c>
      <c r="M956" s="1">
        <v>127000</v>
      </c>
      <c r="N956">
        <v>3.2</v>
      </c>
      <c r="O956">
        <v>6</v>
      </c>
      <c r="P956" s="2" t="s">
        <v>114</v>
      </c>
    </row>
    <row r="957" spans="1:16" x14ac:dyDescent="0.25">
      <c r="A957" s="2" t="s">
        <v>3974</v>
      </c>
      <c r="B957" s="2" t="s">
        <v>1094</v>
      </c>
      <c r="C957" s="2" t="s">
        <v>18</v>
      </c>
      <c r="D957" s="2" t="s">
        <v>50</v>
      </c>
      <c r="E957" s="2" t="s">
        <v>20</v>
      </c>
      <c r="F957" s="2" t="s">
        <v>39</v>
      </c>
      <c r="G957" s="2" t="s">
        <v>22</v>
      </c>
      <c r="H957" s="2" t="s">
        <v>46</v>
      </c>
      <c r="I957" s="2" t="s">
        <v>35</v>
      </c>
      <c r="J957" s="2" t="s">
        <v>3520</v>
      </c>
      <c r="K957" s="2" t="s">
        <v>622</v>
      </c>
      <c r="L957">
        <v>6</v>
      </c>
      <c r="M957" s="1">
        <v>134000</v>
      </c>
      <c r="N957">
        <v>2.7</v>
      </c>
      <c r="O957">
        <v>16</v>
      </c>
      <c r="P957" s="2" t="s">
        <v>26</v>
      </c>
    </row>
    <row r="958" spans="1:16" x14ac:dyDescent="0.25">
      <c r="A958" s="2" t="s">
        <v>3975</v>
      </c>
      <c r="B958" s="2" t="s">
        <v>3976</v>
      </c>
      <c r="C958" s="2" t="s">
        <v>29</v>
      </c>
      <c r="D958" s="2" t="s">
        <v>43</v>
      </c>
      <c r="E958" s="2" t="s">
        <v>44</v>
      </c>
      <c r="F958" s="2" t="s">
        <v>32</v>
      </c>
      <c r="G958" s="2" t="s">
        <v>22</v>
      </c>
      <c r="H958" s="2" t="s">
        <v>34</v>
      </c>
      <c r="I958" s="2" t="s">
        <v>24</v>
      </c>
      <c r="J958" s="2" t="s">
        <v>2344</v>
      </c>
      <c r="K958" s="2" t="s">
        <v>622</v>
      </c>
      <c r="L958">
        <v>3</v>
      </c>
      <c r="M958" s="1">
        <v>189000</v>
      </c>
      <c r="N958">
        <v>4.0999999999999996</v>
      </c>
      <c r="O958">
        <v>2</v>
      </c>
      <c r="P958" s="2" t="s">
        <v>53</v>
      </c>
    </row>
    <row r="959" spans="1:16" x14ac:dyDescent="0.25">
      <c r="A959" s="2" t="s">
        <v>3977</v>
      </c>
      <c r="B959" s="2" t="s">
        <v>3978</v>
      </c>
      <c r="C959" s="2" t="s">
        <v>18</v>
      </c>
      <c r="D959" s="2" t="s">
        <v>79</v>
      </c>
      <c r="E959" s="2" t="s">
        <v>20</v>
      </c>
      <c r="F959" s="2" t="s">
        <v>32</v>
      </c>
      <c r="G959" s="2" t="s">
        <v>80</v>
      </c>
      <c r="H959" s="2" t="s">
        <v>23</v>
      </c>
      <c r="I959" s="2" t="s">
        <v>24</v>
      </c>
      <c r="J959" s="2" t="s">
        <v>3979</v>
      </c>
      <c r="K959" s="2" t="s">
        <v>527</v>
      </c>
      <c r="L959">
        <v>5</v>
      </c>
      <c r="M959" s="1">
        <v>242000</v>
      </c>
      <c r="N959">
        <v>4.8</v>
      </c>
      <c r="O959">
        <v>3</v>
      </c>
      <c r="P959" s="2" t="s">
        <v>26</v>
      </c>
    </row>
    <row r="960" spans="1:16" x14ac:dyDescent="0.25">
      <c r="A960" s="2" t="s">
        <v>3980</v>
      </c>
      <c r="B960" s="2" t="s">
        <v>3981</v>
      </c>
      <c r="C960" s="2" t="s">
        <v>18</v>
      </c>
      <c r="D960" s="2" t="s">
        <v>19</v>
      </c>
      <c r="E960" s="2" t="s">
        <v>20</v>
      </c>
      <c r="F960" s="2" t="s">
        <v>21</v>
      </c>
      <c r="G960" s="2" t="s">
        <v>80</v>
      </c>
      <c r="H960" s="2" t="s">
        <v>34</v>
      </c>
      <c r="I960" s="2" t="s">
        <v>57</v>
      </c>
      <c r="J960" s="2" t="s">
        <v>3982</v>
      </c>
      <c r="K960" s="2" t="s">
        <v>527</v>
      </c>
      <c r="L960">
        <v>3</v>
      </c>
      <c r="M960" s="1">
        <v>862000</v>
      </c>
      <c r="N960">
        <v>3.6</v>
      </c>
      <c r="O960">
        <v>28</v>
      </c>
      <c r="P960" s="2" t="s">
        <v>53</v>
      </c>
    </row>
    <row r="961" spans="1:16" x14ac:dyDescent="0.25">
      <c r="A961" s="2" t="s">
        <v>3983</v>
      </c>
      <c r="B961" s="2" t="s">
        <v>3984</v>
      </c>
      <c r="C961" s="2" t="s">
        <v>18</v>
      </c>
      <c r="D961" s="2" t="s">
        <v>30</v>
      </c>
      <c r="E961" s="2" t="s">
        <v>20</v>
      </c>
      <c r="F961" s="2" t="s">
        <v>32</v>
      </c>
      <c r="G961" s="2" t="s">
        <v>80</v>
      </c>
      <c r="H961" s="2" t="s">
        <v>23</v>
      </c>
      <c r="I961" s="2" t="s">
        <v>24</v>
      </c>
      <c r="J961" s="2" t="s">
        <v>3985</v>
      </c>
      <c r="K961" s="2" t="s">
        <v>3986</v>
      </c>
      <c r="L961">
        <v>5</v>
      </c>
      <c r="M961" s="1">
        <v>272000</v>
      </c>
      <c r="N961">
        <v>4.5</v>
      </c>
      <c r="O961">
        <v>8</v>
      </c>
      <c r="P961" s="2" t="s">
        <v>53</v>
      </c>
    </row>
    <row r="962" spans="1:16" x14ac:dyDescent="0.25">
      <c r="A962" s="2" t="s">
        <v>3988</v>
      </c>
      <c r="B962" s="2" t="s">
        <v>3989</v>
      </c>
      <c r="C962" s="2" t="s">
        <v>29</v>
      </c>
      <c r="D962" s="2" t="s">
        <v>19</v>
      </c>
      <c r="E962" s="2" t="s">
        <v>44</v>
      </c>
      <c r="F962" s="2" t="s">
        <v>39</v>
      </c>
      <c r="G962" s="2" t="s">
        <v>33</v>
      </c>
      <c r="H962" s="2" t="s">
        <v>62</v>
      </c>
      <c r="I962" s="2" t="s">
        <v>24</v>
      </c>
      <c r="J962" s="2" t="s">
        <v>3990</v>
      </c>
      <c r="K962" s="2" t="s">
        <v>3297</v>
      </c>
      <c r="L962">
        <v>5</v>
      </c>
      <c r="M962" s="1">
        <v>198000</v>
      </c>
      <c r="N962">
        <v>3.3</v>
      </c>
      <c r="O962">
        <v>12</v>
      </c>
      <c r="P962" s="2" t="s">
        <v>26</v>
      </c>
    </row>
    <row r="963" spans="1:16" x14ac:dyDescent="0.25">
      <c r="A963" s="2" t="s">
        <v>3991</v>
      </c>
      <c r="B963" s="2" t="s">
        <v>3992</v>
      </c>
      <c r="C963" s="2" t="s">
        <v>18</v>
      </c>
      <c r="D963" s="2" t="s">
        <v>30</v>
      </c>
      <c r="E963" s="2" t="s">
        <v>44</v>
      </c>
      <c r="F963" s="2" t="s">
        <v>32</v>
      </c>
      <c r="G963" s="2" t="s">
        <v>80</v>
      </c>
      <c r="H963" s="2" t="s">
        <v>23</v>
      </c>
      <c r="I963" s="2" t="s">
        <v>75</v>
      </c>
      <c r="J963" s="2" t="s">
        <v>3993</v>
      </c>
      <c r="K963" s="2" t="s">
        <v>3297</v>
      </c>
      <c r="L963">
        <v>3</v>
      </c>
      <c r="M963" s="1">
        <v>248000</v>
      </c>
      <c r="N963">
        <v>2.5</v>
      </c>
      <c r="O963">
        <v>28</v>
      </c>
      <c r="P963" s="2" t="s">
        <v>53</v>
      </c>
    </row>
    <row r="964" spans="1:16" x14ac:dyDescent="0.25">
      <c r="A964" s="2" t="s">
        <v>3995</v>
      </c>
      <c r="B964" s="2" t="s">
        <v>3996</v>
      </c>
      <c r="C964" s="2" t="s">
        <v>29</v>
      </c>
      <c r="D964" s="2" t="s">
        <v>30</v>
      </c>
      <c r="E964" s="2" t="s">
        <v>44</v>
      </c>
      <c r="F964" s="2" t="s">
        <v>32</v>
      </c>
      <c r="G964" s="2" t="s">
        <v>69</v>
      </c>
      <c r="H964" s="2" t="s">
        <v>23</v>
      </c>
      <c r="I964" s="2" t="s">
        <v>57</v>
      </c>
      <c r="J964" s="2" t="s">
        <v>1418</v>
      </c>
      <c r="K964" s="2" t="s">
        <v>1330</v>
      </c>
      <c r="L964">
        <v>6</v>
      </c>
      <c r="M964" s="1">
        <v>268000</v>
      </c>
      <c r="N964">
        <v>4.3</v>
      </c>
      <c r="O964">
        <v>0</v>
      </c>
      <c r="P964" s="2" t="s">
        <v>26</v>
      </c>
    </row>
    <row r="965" spans="1:16" x14ac:dyDescent="0.25">
      <c r="A965" s="2" t="s">
        <v>3997</v>
      </c>
      <c r="B965" s="2" t="s">
        <v>3998</v>
      </c>
      <c r="C965" s="2" t="s">
        <v>29</v>
      </c>
      <c r="D965" s="2" t="s">
        <v>19</v>
      </c>
      <c r="E965" s="2" t="s">
        <v>31</v>
      </c>
      <c r="F965" s="2" t="s">
        <v>32</v>
      </c>
      <c r="G965" s="2" t="s">
        <v>22</v>
      </c>
      <c r="H965" s="2" t="s">
        <v>23</v>
      </c>
      <c r="I965" s="2" t="s">
        <v>57</v>
      </c>
      <c r="J965" s="2" t="s">
        <v>3999</v>
      </c>
      <c r="K965" s="2" t="s">
        <v>1330</v>
      </c>
      <c r="L965">
        <v>3</v>
      </c>
      <c r="M965" s="1">
        <v>340000</v>
      </c>
      <c r="N965">
        <v>2.2999999999999998</v>
      </c>
      <c r="O965">
        <v>7</v>
      </c>
      <c r="P965" s="2" t="s">
        <v>26</v>
      </c>
    </row>
    <row r="966" spans="1:16" x14ac:dyDescent="0.25">
      <c r="A966" s="2" t="s">
        <v>4000</v>
      </c>
      <c r="B966" s="2" t="s">
        <v>4001</v>
      </c>
      <c r="C966" s="2" t="s">
        <v>18</v>
      </c>
      <c r="D966" s="2" t="s">
        <v>79</v>
      </c>
      <c r="E966" s="2" t="s">
        <v>20</v>
      </c>
      <c r="F966" s="2" t="s">
        <v>32</v>
      </c>
      <c r="G966" s="2" t="s">
        <v>80</v>
      </c>
      <c r="H966" s="2" t="s">
        <v>62</v>
      </c>
      <c r="I966" s="2" t="s">
        <v>24</v>
      </c>
      <c r="J966" s="2" t="s">
        <v>4002</v>
      </c>
      <c r="K966" s="2" t="s">
        <v>1330</v>
      </c>
      <c r="L966">
        <v>5</v>
      </c>
      <c r="M966" s="1">
        <v>327000</v>
      </c>
      <c r="N966">
        <v>2.9</v>
      </c>
      <c r="O966">
        <v>25</v>
      </c>
      <c r="P966" s="2" t="s">
        <v>53</v>
      </c>
    </row>
    <row r="967" spans="1:16" x14ac:dyDescent="0.25">
      <c r="A967" s="2" t="s">
        <v>4003</v>
      </c>
      <c r="B967" s="2" t="s">
        <v>4004</v>
      </c>
      <c r="C967" s="2" t="s">
        <v>29</v>
      </c>
      <c r="D967" s="2" t="s">
        <v>19</v>
      </c>
      <c r="E967" s="2" t="s">
        <v>31</v>
      </c>
      <c r="F967" s="2" t="s">
        <v>21</v>
      </c>
      <c r="G967" s="2" t="s">
        <v>80</v>
      </c>
      <c r="H967" s="2" t="s">
        <v>34</v>
      </c>
      <c r="I967" s="2" t="s">
        <v>35</v>
      </c>
      <c r="J967" s="2" t="s">
        <v>1683</v>
      </c>
      <c r="K967" s="2" t="s">
        <v>4014</v>
      </c>
      <c r="L967">
        <v>2</v>
      </c>
      <c r="M967" s="1">
        <v>920000</v>
      </c>
      <c r="N967">
        <v>4.8</v>
      </c>
      <c r="O967">
        <v>7</v>
      </c>
      <c r="P967" s="2" t="s">
        <v>26</v>
      </c>
    </row>
    <row r="968" spans="1:16" x14ac:dyDescent="0.25">
      <c r="A968" s="2" t="s">
        <v>4005</v>
      </c>
      <c r="B968" s="2" t="s">
        <v>4006</v>
      </c>
      <c r="C968" s="2" t="s">
        <v>18</v>
      </c>
      <c r="D968" s="2" t="s">
        <v>30</v>
      </c>
      <c r="E968" s="2" t="s">
        <v>20</v>
      </c>
      <c r="F968" s="2" t="s">
        <v>39</v>
      </c>
      <c r="G968" s="2" t="s">
        <v>22</v>
      </c>
      <c r="H968" s="2" t="s">
        <v>23</v>
      </c>
      <c r="I968" s="2" t="s">
        <v>24</v>
      </c>
      <c r="J968" s="2" t="s">
        <v>4007</v>
      </c>
      <c r="K968" s="2" t="s">
        <v>4014</v>
      </c>
      <c r="L968">
        <v>6</v>
      </c>
      <c r="M968" s="1">
        <v>88000</v>
      </c>
      <c r="N968">
        <v>2.6</v>
      </c>
      <c r="O968">
        <v>11</v>
      </c>
      <c r="P968" s="2" t="s">
        <v>26</v>
      </c>
    </row>
    <row r="969" spans="1:16" x14ac:dyDescent="0.25">
      <c r="A969" s="2" t="s">
        <v>4008</v>
      </c>
      <c r="B969" s="2" t="s">
        <v>4009</v>
      </c>
      <c r="C969" s="2" t="s">
        <v>29</v>
      </c>
      <c r="D969" s="2" t="s">
        <v>79</v>
      </c>
      <c r="E969" s="2" t="s">
        <v>20</v>
      </c>
      <c r="F969" s="2" t="s">
        <v>128</v>
      </c>
      <c r="G969" s="2" t="s">
        <v>69</v>
      </c>
      <c r="H969" s="2" t="s">
        <v>23</v>
      </c>
      <c r="I969" s="2" t="s">
        <v>24</v>
      </c>
      <c r="J969" s="2" t="s">
        <v>2534</v>
      </c>
      <c r="K969" s="2" t="s">
        <v>4014</v>
      </c>
      <c r="L969">
        <v>6</v>
      </c>
      <c r="M969" s="1">
        <v>571000</v>
      </c>
      <c r="N969">
        <v>3</v>
      </c>
      <c r="O969">
        <v>0</v>
      </c>
      <c r="P969" s="2" t="s">
        <v>26</v>
      </c>
    </row>
    <row r="970" spans="1:16" x14ac:dyDescent="0.25">
      <c r="A970" s="2" t="s">
        <v>4010</v>
      </c>
      <c r="B970" s="2" t="s">
        <v>3119</v>
      </c>
      <c r="C970" s="2" t="s">
        <v>18</v>
      </c>
      <c r="D970" s="2" t="s">
        <v>30</v>
      </c>
      <c r="E970" s="2" t="s">
        <v>20</v>
      </c>
      <c r="F970" s="2" t="s">
        <v>32</v>
      </c>
      <c r="G970" s="2" t="s">
        <v>80</v>
      </c>
      <c r="H970" s="2" t="s">
        <v>23</v>
      </c>
      <c r="I970" s="2" t="s">
        <v>24</v>
      </c>
      <c r="J970" s="2" t="s">
        <v>4011</v>
      </c>
      <c r="K970" s="2" t="s">
        <v>4014</v>
      </c>
      <c r="L970">
        <v>6</v>
      </c>
      <c r="M970" s="1">
        <v>317000</v>
      </c>
      <c r="N970">
        <v>2.7</v>
      </c>
      <c r="O970">
        <v>12</v>
      </c>
      <c r="P970" s="2" t="s">
        <v>26</v>
      </c>
    </row>
    <row r="971" spans="1:16" x14ac:dyDescent="0.25">
      <c r="A971" s="2" t="s">
        <v>4012</v>
      </c>
      <c r="B971" s="2" t="s">
        <v>4013</v>
      </c>
      <c r="C971" s="2" t="s">
        <v>29</v>
      </c>
      <c r="D971" s="2" t="s">
        <v>79</v>
      </c>
      <c r="E971" s="2" t="s">
        <v>31</v>
      </c>
      <c r="F971" s="2" t="s">
        <v>32</v>
      </c>
      <c r="G971" s="2" t="s">
        <v>33</v>
      </c>
      <c r="H971" s="2" t="s">
        <v>23</v>
      </c>
      <c r="I971" s="2" t="s">
        <v>24</v>
      </c>
      <c r="J971" s="2" t="s">
        <v>2565</v>
      </c>
      <c r="K971" s="2" t="s">
        <v>4014</v>
      </c>
      <c r="L971">
        <v>2</v>
      </c>
      <c r="M971" s="1">
        <v>283000</v>
      </c>
      <c r="N971">
        <v>4.5999999999999996</v>
      </c>
      <c r="O971">
        <v>30</v>
      </c>
      <c r="P971" s="2" t="s">
        <v>72</v>
      </c>
    </row>
    <row r="972" spans="1:16" x14ac:dyDescent="0.25">
      <c r="A972" s="2" t="s">
        <v>4015</v>
      </c>
      <c r="B972" s="2" t="s">
        <v>522</v>
      </c>
      <c r="C972" s="2" t="s">
        <v>18</v>
      </c>
      <c r="D972" s="2" t="s">
        <v>43</v>
      </c>
      <c r="E972" s="2" t="s">
        <v>20</v>
      </c>
      <c r="F972" s="2" t="s">
        <v>128</v>
      </c>
      <c r="G972" s="2" t="s">
        <v>33</v>
      </c>
      <c r="H972" s="2" t="s">
        <v>23</v>
      </c>
      <c r="I972" s="2" t="s">
        <v>35</v>
      </c>
      <c r="J972" s="2" t="s">
        <v>1347</v>
      </c>
      <c r="K972" s="2" t="s">
        <v>4029</v>
      </c>
      <c r="L972">
        <v>5</v>
      </c>
      <c r="M972" s="1">
        <v>370000</v>
      </c>
      <c r="N972">
        <v>3.3</v>
      </c>
      <c r="O972">
        <v>19</v>
      </c>
      <c r="P972" s="2" t="s">
        <v>26</v>
      </c>
    </row>
    <row r="973" spans="1:16" x14ac:dyDescent="0.25">
      <c r="A973" s="2" t="s">
        <v>4018</v>
      </c>
      <c r="B973" s="2" t="s">
        <v>4019</v>
      </c>
      <c r="C973" s="2" t="s">
        <v>18</v>
      </c>
      <c r="D973" s="2" t="s">
        <v>79</v>
      </c>
      <c r="E973" s="2" t="s">
        <v>20</v>
      </c>
      <c r="F973" s="2" t="s">
        <v>21</v>
      </c>
      <c r="G973" s="2" t="s">
        <v>22</v>
      </c>
      <c r="H973" s="2" t="s">
        <v>23</v>
      </c>
      <c r="I973" s="2" t="s">
        <v>57</v>
      </c>
      <c r="J973" s="2" t="s">
        <v>4020</v>
      </c>
      <c r="K973" s="2" t="s">
        <v>4029</v>
      </c>
      <c r="L973">
        <v>5</v>
      </c>
      <c r="M973" s="1">
        <v>823000</v>
      </c>
      <c r="N973">
        <v>3.2</v>
      </c>
      <c r="O973">
        <v>1</v>
      </c>
      <c r="P973" s="2" t="s">
        <v>26</v>
      </c>
    </row>
    <row r="974" spans="1:16" x14ac:dyDescent="0.25">
      <c r="A974" s="2" t="s">
        <v>4023</v>
      </c>
      <c r="B974" s="2" t="s">
        <v>3138</v>
      </c>
      <c r="C974" s="2" t="s">
        <v>18</v>
      </c>
      <c r="D974" s="2" t="s">
        <v>79</v>
      </c>
      <c r="E974" s="2" t="s">
        <v>20</v>
      </c>
      <c r="F974" s="2" t="s">
        <v>32</v>
      </c>
      <c r="G974" s="2" t="s">
        <v>69</v>
      </c>
      <c r="H974" s="2" t="s">
        <v>34</v>
      </c>
      <c r="I974" s="2" t="s">
        <v>35</v>
      </c>
      <c r="J974" s="2" t="s">
        <v>2056</v>
      </c>
      <c r="K974" s="2" t="s">
        <v>4029</v>
      </c>
      <c r="L974">
        <v>4</v>
      </c>
      <c r="M974" s="1">
        <v>312000</v>
      </c>
      <c r="N974">
        <v>4.8</v>
      </c>
      <c r="O974">
        <v>36</v>
      </c>
      <c r="P974" s="2" t="s">
        <v>26</v>
      </c>
    </row>
    <row r="975" spans="1:16" x14ac:dyDescent="0.25">
      <c r="A975" s="2" t="s">
        <v>4024</v>
      </c>
      <c r="B975" s="2" t="s">
        <v>3460</v>
      </c>
      <c r="C975" s="2" t="s">
        <v>18</v>
      </c>
      <c r="D975" s="2" t="s">
        <v>50</v>
      </c>
      <c r="E975" s="2" t="s">
        <v>20</v>
      </c>
      <c r="F975" s="2" t="s">
        <v>128</v>
      </c>
      <c r="G975" s="2" t="s">
        <v>33</v>
      </c>
      <c r="H975" s="2" t="s">
        <v>23</v>
      </c>
      <c r="I975" s="2" t="s">
        <v>24</v>
      </c>
      <c r="J975" s="2" t="s">
        <v>441</v>
      </c>
      <c r="K975" s="2" t="s">
        <v>4029</v>
      </c>
      <c r="L975">
        <v>3</v>
      </c>
      <c r="M975" s="1">
        <v>360000</v>
      </c>
      <c r="N975">
        <v>4.9000000000000004</v>
      </c>
      <c r="O975">
        <v>1</v>
      </c>
      <c r="P975" s="2" t="s">
        <v>26</v>
      </c>
    </row>
    <row r="976" spans="1:16" x14ac:dyDescent="0.25">
      <c r="A976" s="2" t="s">
        <v>4027</v>
      </c>
      <c r="B976" s="2" t="s">
        <v>4028</v>
      </c>
      <c r="C976" s="2" t="s">
        <v>18</v>
      </c>
      <c r="D976" s="2" t="s">
        <v>50</v>
      </c>
      <c r="E976" s="2" t="s">
        <v>20</v>
      </c>
      <c r="F976" s="2" t="s">
        <v>39</v>
      </c>
      <c r="G976" s="2" t="s">
        <v>33</v>
      </c>
      <c r="H976" s="2" t="s">
        <v>23</v>
      </c>
      <c r="I976" s="2" t="s">
        <v>57</v>
      </c>
      <c r="J976" s="2" t="s">
        <v>309</v>
      </c>
      <c r="K976" s="2" t="s">
        <v>4029</v>
      </c>
      <c r="L976">
        <v>6</v>
      </c>
      <c r="M976" s="1">
        <v>174000</v>
      </c>
      <c r="N976">
        <v>4.9000000000000004</v>
      </c>
      <c r="O976">
        <v>13</v>
      </c>
      <c r="P976" s="2" t="s">
        <v>53</v>
      </c>
    </row>
    <row r="977" spans="1:16" x14ac:dyDescent="0.25">
      <c r="A977" s="2" t="s">
        <v>4030</v>
      </c>
      <c r="B977" s="2" t="s">
        <v>4031</v>
      </c>
      <c r="C977" s="2" t="s">
        <v>18</v>
      </c>
      <c r="D977" s="2" t="s">
        <v>50</v>
      </c>
      <c r="E977" s="2" t="s">
        <v>20</v>
      </c>
      <c r="F977" s="2" t="s">
        <v>128</v>
      </c>
      <c r="G977" s="2" t="s">
        <v>33</v>
      </c>
      <c r="H977" s="2" t="s">
        <v>46</v>
      </c>
      <c r="I977" s="2" t="s">
        <v>75</v>
      </c>
      <c r="J977" s="2" t="s">
        <v>4032</v>
      </c>
      <c r="K977" s="2" t="s">
        <v>1526</v>
      </c>
      <c r="L977">
        <v>2</v>
      </c>
      <c r="M977" s="1">
        <v>416000</v>
      </c>
      <c r="N977">
        <v>3.1</v>
      </c>
      <c r="O977">
        <v>30</v>
      </c>
      <c r="P977" s="2" t="s">
        <v>26</v>
      </c>
    </row>
    <row r="978" spans="1:16" x14ac:dyDescent="0.25">
      <c r="A978" s="2" t="s">
        <v>4035</v>
      </c>
      <c r="B978" s="2" t="s">
        <v>4036</v>
      </c>
      <c r="C978" s="2" t="s">
        <v>18</v>
      </c>
      <c r="D978" s="2" t="s">
        <v>43</v>
      </c>
      <c r="E978" s="2" t="s">
        <v>20</v>
      </c>
      <c r="F978" s="2" t="s">
        <v>39</v>
      </c>
      <c r="G978" s="2" t="s">
        <v>80</v>
      </c>
      <c r="H978" s="2" t="s">
        <v>34</v>
      </c>
      <c r="I978" s="2" t="s">
        <v>57</v>
      </c>
      <c r="J978" s="2" t="s">
        <v>2491</v>
      </c>
      <c r="K978" s="2" t="s">
        <v>1526</v>
      </c>
      <c r="L978">
        <v>2</v>
      </c>
      <c r="M978" s="1">
        <v>85000</v>
      </c>
      <c r="N978">
        <v>4.8</v>
      </c>
      <c r="O978">
        <v>1</v>
      </c>
      <c r="P978" s="2" t="s">
        <v>26</v>
      </c>
    </row>
    <row r="979" spans="1:16" x14ac:dyDescent="0.25">
      <c r="A979" s="2" t="s">
        <v>4037</v>
      </c>
      <c r="B979" s="2" t="s">
        <v>4038</v>
      </c>
      <c r="C979" s="2" t="s">
        <v>18</v>
      </c>
      <c r="D979" s="2" t="s">
        <v>79</v>
      </c>
      <c r="E979" s="2" t="s">
        <v>20</v>
      </c>
      <c r="F979" s="2" t="s">
        <v>32</v>
      </c>
      <c r="G979" s="2" t="s">
        <v>33</v>
      </c>
      <c r="H979" s="2" t="s">
        <v>46</v>
      </c>
      <c r="I979" s="2" t="s">
        <v>57</v>
      </c>
      <c r="J979" s="2" t="s">
        <v>888</v>
      </c>
      <c r="K979" s="2" t="s">
        <v>1526</v>
      </c>
      <c r="L979">
        <v>3</v>
      </c>
      <c r="M979" s="1">
        <v>333000</v>
      </c>
      <c r="N979">
        <v>4.8</v>
      </c>
      <c r="O979">
        <v>5</v>
      </c>
      <c r="P979" s="2" t="s">
        <v>26</v>
      </c>
    </row>
    <row r="980" spans="1:16" x14ac:dyDescent="0.25">
      <c r="A980" s="2" t="s">
        <v>4039</v>
      </c>
      <c r="B980" s="2" t="s">
        <v>4040</v>
      </c>
      <c r="C980" s="2" t="s">
        <v>18</v>
      </c>
      <c r="D980" s="2" t="s">
        <v>43</v>
      </c>
      <c r="E980" s="2" t="s">
        <v>20</v>
      </c>
      <c r="F980" s="2" t="s">
        <v>39</v>
      </c>
      <c r="G980" s="2" t="s">
        <v>22</v>
      </c>
      <c r="H980" s="2" t="s">
        <v>46</v>
      </c>
      <c r="I980" s="2" t="s">
        <v>75</v>
      </c>
      <c r="J980" s="2" t="s">
        <v>4041</v>
      </c>
      <c r="K980" s="2" t="s">
        <v>1526</v>
      </c>
      <c r="L980">
        <v>2</v>
      </c>
      <c r="M980" s="1">
        <v>129000</v>
      </c>
      <c r="N980">
        <v>2.8</v>
      </c>
      <c r="O980">
        <v>1</v>
      </c>
      <c r="P980" s="2" t="s">
        <v>26</v>
      </c>
    </row>
    <row r="981" spans="1:16" x14ac:dyDescent="0.25">
      <c r="A981" s="2" t="s">
        <v>4042</v>
      </c>
      <c r="B981" s="2" t="s">
        <v>2168</v>
      </c>
      <c r="C981" s="2" t="s">
        <v>18</v>
      </c>
      <c r="D981" s="2" t="s">
        <v>50</v>
      </c>
      <c r="E981" s="2" t="s">
        <v>31</v>
      </c>
      <c r="F981" s="2" t="s">
        <v>128</v>
      </c>
      <c r="G981" s="2" t="s">
        <v>80</v>
      </c>
      <c r="H981" s="2" t="s">
        <v>23</v>
      </c>
      <c r="I981" s="2" t="s">
        <v>24</v>
      </c>
      <c r="J981" s="2" t="s">
        <v>3969</v>
      </c>
      <c r="K981" s="2" t="s">
        <v>1526</v>
      </c>
      <c r="L981">
        <v>3</v>
      </c>
      <c r="M981" s="1">
        <v>515000</v>
      </c>
      <c r="N981">
        <v>2.6</v>
      </c>
      <c r="O981">
        <v>11</v>
      </c>
      <c r="P981" s="2" t="s">
        <v>26</v>
      </c>
    </row>
    <row r="982" spans="1:16" x14ac:dyDescent="0.25">
      <c r="A982" s="2" t="s">
        <v>4043</v>
      </c>
      <c r="B982" s="2" t="s">
        <v>509</v>
      </c>
      <c r="C982" s="2" t="s">
        <v>29</v>
      </c>
      <c r="D982" s="2" t="s">
        <v>50</v>
      </c>
      <c r="E982" s="2" t="s">
        <v>20</v>
      </c>
      <c r="F982" s="2" t="s">
        <v>39</v>
      </c>
      <c r="G982" s="2" t="s">
        <v>33</v>
      </c>
      <c r="H982" s="2" t="s">
        <v>34</v>
      </c>
      <c r="I982" s="2" t="s">
        <v>35</v>
      </c>
      <c r="J982" s="2" t="s">
        <v>4044</v>
      </c>
      <c r="K982" s="2" t="s">
        <v>1526</v>
      </c>
      <c r="L982">
        <v>3</v>
      </c>
      <c r="M982" s="1">
        <v>131000</v>
      </c>
      <c r="N982">
        <v>2.7</v>
      </c>
      <c r="O982">
        <v>13</v>
      </c>
      <c r="P982" s="2" t="s">
        <v>26</v>
      </c>
    </row>
    <row r="983" spans="1:16" x14ac:dyDescent="0.25">
      <c r="A983" s="2" t="s">
        <v>4045</v>
      </c>
      <c r="B983" s="2" t="s">
        <v>4046</v>
      </c>
      <c r="C983" s="2" t="s">
        <v>18</v>
      </c>
      <c r="D983" s="2" t="s">
        <v>19</v>
      </c>
      <c r="E983" s="2" t="s">
        <v>44</v>
      </c>
      <c r="F983" s="2" t="s">
        <v>128</v>
      </c>
      <c r="G983" s="2" t="s">
        <v>33</v>
      </c>
      <c r="H983" s="2" t="s">
        <v>34</v>
      </c>
      <c r="I983" s="2" t="s">
        <v>35</v>
      </c>
      <c r="J983" s="2" t="s">
        <v>3253</v>
      </c>
      <c r="K983" s="2" t="s">
        <v>1526</v>
      </c>
      <c r="L983">
        <v>3</v>
      </c>
      <c r="M983" s="1">
        <v>660000</v>
      </c>
      <c r="N983">
        <v>4.0999999999999996</v>
      </c>
      <c r="O983">
        <v>6</v>
      </c>
      <c r="P983" s="2" t="s">
        <v>26</v>
      </c>
    </row>
    <row r="984" spans="1:16" x14ac:dyDescent="0.25">
      <c r="A984" s="2" t="s">
        <v>4047</v>
      </c>
      <c r="B984" s="2" t="s">
        <v>4048</v>
      </c>
      <c r="C984" s="2" t="s">
        <v>18</v>
      </c>
      <c r="D984" s="2" t="s">
        <v>30</v>
      </c>
      <c r="E984" s="2" t="s">
        <v>20</v>
      </c>
      <c r="F984" s="2" t="s">
        <v>39</v>
      </c>
      <c r="G984" s="2" t="s">
        <v>80</v>
      </c>
      <c r="H984" s="2" t="s">
        <v>46</v>
      </c>
      <c r="I984" s="2" t="s">
        <v>24</v>
      </c>
      <c r="J984" s="2" t="s">
        <v>4049</v>
      </c>
      <c r="K984" s="2" t="s">
        <v>1526</v>
      </c>
      <c r="L984">
        <v>6</v>
      </c>
      <c r="M984" s="1">
        <v>120000</v>
      </c>
      <c r="N984">
        <v>3.1</v>
      </c>
      <c r="O984">
        <v>2</v>
      </c>
      <c r="P984" s="2" t="s">
        <v>72</v>
      </c>
    </row>
    <row r="985" spans="1:16" x14ac:dyDescent="0.25">
      <c r="A985" s="2" t="s">
        <v>4052</v>
      </c>
      <c r="B985" s="2" t="s">
        <v>4053</v>
      </c>
      <c r="C985" s="2" t="s">
        <v>18</v>
      </c>
      <c r="D985" s="2" t="s">
        <v>79</v>
      </c>
      <c r="E985" s="2" t="s">
        <v>20</v>
      </c>
      <c r="F985" s="2" t="s">
        <v>39</v>
      </c>
      <c r="G985" s="2" t="s">
        <v>22</v>
      </c>
      <c r="H985" s="2" t="s">
        <v>34</v>
      </c>
      <c r="I985" s="2" t="s">
        <v>57</v>
      </c>
      <c r="J985" s="2" t="s">
        <v>4054</v>
      </c>
      <c r="K985" s="2" t="s">
        <v>1145</v>
      </c>
      <c r="L985">
        <v>7</v>
      </c>
      <c r="M985" s="1">
        <v>125000</v>
      </c>
      <c r="N985">
        <v>5</v>
      </c>
      <c r="O985">
        <v>3</v>
      </c>
      <c r="P985" s="2" t="s">
        <v>26</v>
      </c>
    </row>
    <row r="986" spans="1:16" x14ac:dyDescent="0.25">
      <c r="A986" s="2" t="s">
        <v>4057</v>
      </c>
      <c r="B986" s="2" t="s">
        <v>4058</v>
      </c>
      <c r="C986" s="2" t="s">
        <v>18</v>
      </c>
      <c r="D986" s="2" t="s">
        <v>79</v>
      </c>
      <c r="E986" s="2" t="s">
        <v>20</v>
      </c>
      <c r="F986" s="2" t="s">
        <v>128</v>
      </c>
      <c r="G986" s="2" t="s">
        <v>22</v>
      </c>
      <c r="H986" s="2" t="s">
        <v>23</v>
      </c>
      <c r="I986" s="2" t="s">
        <v>57</v>
      </c>
      <c r="J986" s="2" t="s">
        <v>1151</v>
      </c>
      <c r="K986" s="2" t="s">
        <v>1145</v>
      </c>
      <c r="L986">
        <v>4</v>
      </c>
      <c r="M986" s="1">
        <v>357000</v>
      </c>
      <c r="N986">
        <v>2.9</v>
      </c>
      <c r="O986">
        <v>11</v>
      </c>
      <c r="P986" s="2" t="s">
        <v>53</v>
      </c>
    </row>
    <row r="987" spans="1:16" x14ac:dyDescent="0.25">
      <c r="A987" s="2" t="s">
        <v>4059</v>
      </c>
      <c r="B987" s="2" t="s">
        <v>2053</v>
      </c>
      <c r="C987" s="2" t="s">
        <v>18</v>
      </c>
      <c r="D987" s="2" t="s">
        <v>30</v>
      </c>
      <c r="E987" s="2" t="s">
        <v>44</v>
      </c>
      <c r="F987" s="2" t="s">
        <v>32</v>
      </c>
      <c r="G987" s="2" t="s">
        <v>33</v>
      </c>
      <c r="H987" s="2" t="s">
        <v>46</v>
      </c>
      <c r="I987" s="2" t="s">
        <v>24</v>
      </c>
      <c r="J987" s="2" t="s">
        <v>3238</v>
      </c>
      <c r="K987" s="2" t="s">
        <v>4060</v>
      </c>
      <c r="L987">
        <v>2</v>
      </c>
      <c r="M987" s="1">
        <v>274000</v>
      </c>
      <c r="N987">
        <v>4</v>
      </c>
      <c r="O987">
        <v>13</v>
      </c>
      <c r="P987" s="2" t="s">
        <v>53</v>
      </c>
    </row>
    <row r="988" spans="1:16" x14ac:dyDescent="0.25">
      <c r="A988" s="2" t="s">
        <v>4068</v>
      </c>
      <c r="B988" s="2" t="s">
        <v>4069</v>
      </c>
      <c r="C988" s="2" t="s">
        <v>29</v>
      </c>
      <c r="D988" s="2" t="s">
        <v>43</v>
      </c>
      <c r="E988" s="2" t="s">
        <v>20</v>
      </c>
      <c r="F988" s="2" t="s">
        <v>128</v>
      </c>
      <c r="G988" s="2" t="s">
        <v>22</v>
      </c>
      <c r="H988" s="2" t="s">
        <v>34</v>
      </c>
      <c r="I988" s="2" t="s">
        <v>24</v>
      </c>
      <c r="J988" s="2" t="s">
        <v>1184</v>
      </c>
      <c r="K988" s="2" t="s">
        <v>4070</v>
      </c>
      <c r="L988">
        <v>2</v>
      </c>
      <c r="M988" s="1">
        <v>406000</v>
      </c>
      <c r="N988">
        <v>2.7</v>
      </c>
      <c r="O988">
        <v>0</v>
      </c>
      <c r="P988" s="2" t="s">
        <v>72</v>
      </c>
    </row>
    <row r="989" spans="1:16" x14ac:dyDescent="0.25">
      <c r="A989" s="2" t="s">
        <v>4071</v>
      </c>
      <c r="B989" s="2" t="s">
        <v>1312</v>
      </c>
      <c r="C989" s="2" t="s">
        <v>29</v>
      </c>
      <c r="D989" s="2" t="s">
        <v>50</v>
      </c>
      <c r="E989" s="2" t="s">
        <v>31</v>
      </c>
      <c r="F989" s="2" t="s">
        <v>45</v>
      </c>
      <c r="G989" s="2" t="s">
        <v>33</v>
      </c>
      <c r="H989" s="2" t="s">
        <v>46</v>
      </c>
      <c r="I989" s="2" t="s">
        <v>24</v>
      </c>
      <c r="J989" s="2" t="s">
        <v>4072</v>
      </c>
      <c r="K989" s="2" t="s">
        <v>4091</v>
      </c>
      <c r="L989">
        <v>6</v>
      </c>
      <c r="M989" s="1">
        <v>1272000</v>
      </c>
      <c r="N989">
        <v>4.2</v>
      </c>
      <c r="O989">
        <v>8</v>
      </c>
      <c r="P989" s="2" t="s">
        <v>26</v>
      </c>
    </row>
    <row r="990" spans="1:16" x14ac:dyDescent="0.25">
      <c r="A990" s="2" t="s">
        <v>4073</v>
      </c>
      <c r="B990" s="2" t="s">
        <v>434</v>
      </c>
      <c r="C990" s="2" t="s">
        <v>29</v>
      </c>
      <c r="D990" s="2" t="s">
        <v>50</v>
      </c>
      <c r="E990" s="2" t="s">
        <v>20</v>
      </c>
      <c r="F990" s="2" t="s">
        <v>39</v>
      </c>
      <c r="G990" s="2" t="s">
        <v>22</v>
      </c>
      <c r="H990" s="2" t="s">
        <v>46</v>
      </c>
      <c r="I990" s="2" t="s">
        <v>24</v>
      </c>
      <c r="J990" s="2" t="s">
        <v>292</v>
      </c>
      <c r="K990" s="2" t="s">
        <v>4091</v>
      </c>
      <c r="L990">
        <v>3</v>
      </c>
      <c r="M990" s="1">
        <v>158000</v>
      </c>
      <c r="N990">
        <v>3.9</v>
      </c>
      <c r="O990">
        <v>4</v>
      </c>
      <c r="P990" s="2" t="s">
        <v>26</v>
      </c>
    </row>
    <row r="991" spans="1:16" x14ac:dyDescent="0.25">
      <c r="A991" s="2" t="s">
        <v>4077</v>
      </c>
      <c r="B991" s="2" t="s">
        <v>4078</v>
      </c>
      <c r="C991" s="2" t="s">
        <v>29</v>
      </c>
      <c r="D991" s="2" t="s">
        <v>79</v>
      </c>
      <c r="E991" s="2" t="s">
        <v>44</v>
      </c>
      <c r="F991" s="2" t="s">
        <v>32</v>
      </c>
      <c r="G991" s="2" t="s">
        <v>80</v>
      </c>
      <c r="H991" s="2" t="s">
        <v>34</v>
      </c>
      <c r="I991" s="2" t="s">
        <v>24</v>
      </c>
      <c r="J991" s="2" t="s">
        <v>1846</v>
      </c>
      <c r="K991" s="2" t="s">
        <v>4091</v>
      </c>
      <c r="L991">
        <v>4</v>
      </c>
      <c r="M991" s="1">
        <v>300000</v>
      </c>
      <c r="N991">
        <v>3.1</v>
      </c>
      <c r="O991">
        <v>14</v>
      </c>
      <c r="P991" s="2" t="s">
        <v>26</v>
      </c>
    </row>
    <row r="992" spans="1:16" x14ac:dyDescent="0.25">
      <c r="A992" s="2" t="s">
        <v>4081</v>
      </c>
      <c r="B992" s="2" t="s">
        <v>4082</v>
      </c>
      <c r="C992" s="2" t="s">
        <v>29</v>
      </c>
      <c r="D992" s="2" t="s">
        <v>50</v>
      </c>
      <c r="E992" s="2" t="s">
        <v>20</v>
      </c>
      <c r="F992" s="2" t="s">
        <v>45</v>
      </c>
      <c r="G992" s="2" t="s">
        <v>80</v>
      </c>
      <c r="H992" s="2" t="s">
        <v>34</v>
      </c>
      <c r="I992" s="2" t="s">
        <v>35</v>
      </c>
      <c r="J992" s="2" t="s">
        <v>2559</v>
      </c>
      <c r="K992" s="2" t="s">
        <v>4091</v>
      </c>
      <c r="L992">
        <v>5</v>
      </c>
      <c r="M992" s="1">
        <v>1670000</v>
      </c>
      <c r="N992">
        <v>3.3</v>
      </c>
      <c r="O992">
        <v>0</v>
      </c>
      <c r="P992" s="2" t="s">
        <v>26</v>
      </c>
    </row>
    <row r="993" spans="1:16" x14ac:dyDescent="0.25">
      <c r="A993" s="2" t="s">
        <v>4083</v>
      </c>
      <c r="B993" s="2" t="s">
        <v>4084</v>
      </c>
      <c r="C993" s="2" t="s">
        <v>18</v>
      </c>
      <c r="D993" s="2" t="s">
        <v>79</v>
      </c>
      <c r="E993" s="2" t="s">
        <v>20</v>
      </c>
      <c r="F993" s="2" t="s">
        <v>128</v>
      </c>
      <c r="G993" s="2" t="s">
        <v>80</v>
      </c>
      <c r="H993" s="2" t="s">
        <v>23</v>
      </c>
      <c r="I993" s="2" t="s">
        <v>24</v>
      </c>
      <c r="J993" s="2" t="s">
        <v>4085</v>
      </c>
      <c r="K993" s="2" t="s">
        <v>4091</v>
      </c>
      <c r="L993">
        <v>6</v>
      </c>
      <c r="M993" s="1">
        <v>560000</v>
      </c>
      <c r="N993">
        <v>3</v>
      </c>
      <c r="O993">
        <v>8</v>
      </c>
      <c r="P993" s="2" t="s">
        <v>26</v>
      </c>
    </row>
    <row r="994" spans="1:16" x14ac:dyDescent="0.25">
      <c r="A994" s="2" t="s">
        <v>4089</v>
      </c>
      <c r="B994" s="2" t="s">
        <v>4090</v>
      </c>
      <c r="C994" s="2" t="s">
        <v>18</v>
      </c>
      <c r="D994" s="2" t="s">
        <v>30</v>
      </c>
      <c r="E994" s="2" t="s">
        <v>20</v>
      </c>
      <c r="F994" s="2" t="s">
        <v>32</v>
      </c>
      <c r="G994" s="2" t="s">
        <v>22</v>
      </c>
      <c r="H994" s="2" t="s">
        <v>23</v>
      </c>
      <c r="I994" s="2" t="s">
        <v>171</v>
      </c>
      <c r="J994" s="2" t="s">
        <v>3120</v>
      </c>
      <c r="K994" s="2" t="s">
        <v>4091</v>
      </c>
      <c r="L994">
        <v>2</v>
      </c>
      <c r="M994" s="1">
        <v>186000</v>
      </c>
      <c r="N994">
        <v>1.7</v>
      </c>
      <c r="O994">
        <v>39</v>
      </c>
      <c r="P994" s="2" t="s">
        <v>53</v>
      </c>
    </row>
    <row r="995" spans="1:16" x14ac:dyDescent="0.25">
      <c r="A995" s="2" t="s">
        <v>4095</v>
      </c>
      <c r="B995" s="2" t="s">
        <v>1150</v>
      </c>
      <c r="C995" s="2" t="s">
        <v>18</v>
      </c>
      <c r="D995" s="2" t="s">
        <v>30</v>
      </c>
      <c r="E995" s="2" t="s">
        <v>20</v>
      </c>
      <c r="F995" s="2" t="s">
        <v>32</v>
      </c>
      <c r="G995" s="2" t="s">
        <v>22</v>
      </c>
      <c r="H995" s="2" t="s">
        <v>46</v>
      </c>
      <c r="I995" s="2" t="s">
        <v>57</v>
      </c>
      <c r="J995" s="2" t="s">
        <v>4096</v>
      </c>
      <c r="K995" s="2" t="s">
        <v>1398</v>
      </c>
      <c r="L995">
        <v>7</v>
      </c>
      <c r="M995" s="1">
        <v>247000</v>
      </c>
      <c r="N995">
        <v>1.8</v>
      </c>
      <c r="O995">
        <v>8</v>
      </c>
      <c r="P995" s="2" t="s">
        <v>53</v>
      </c>
    </row>
    <row r="996" spans="1:16" x14ac:dyDescent="0.25">
      <c r="A996" s="2" t="s">
        <v>4097</v>
      </c>
      <c r="B996" s="2" t="s">
        <v>1027</v>
      </c>
      <c r="C996" s="2" t="s">
        <v>29</v>
      </c>
      <c r="D996" s="2" t="s">
        <v>19</v>
      </c>
      <c r="E996" s="2" t="s">
        <v>44</v>
      </c>
      <c r="F996" s="2" t="s">
        <v>39</v>
      </c>
      <c r="G996" s="2" t="s">
        <v>69</v>
      </c>
      <c r="H996" s="2" t="s">
        <v>62</v>
      </c>
      <c r="I996" s="2" t="s">
        <v>24</v>
      </c>
      <c r="J996" s="2" t="s">
        <v>1336</v>
      </c>
      <c r="K996" s="2" t="s">
        <v>3320</v>
      </c>
      <c r="L996">
        <v>3</v>
      </c>
      <c r="M996" s="1">
        <v>152000</v>
      </c>
      <c r="N996">
        <v>3</v>
      </c>
      <c r="O996">
        <v>11</v>
      </c>
      <c r="P996" s="2" t="s">
        <v>53</v>
      </c>
    </row>
    <row r="997" spans="1:16" x14ac:dyDescent="0.25">
      <c r="A997" s="2" t="s">
        <v>4098</v>
      </c>
      <c r="B997" s="2" t="s">
        <v>4099</v>
      </c>
      <c r="C997" s="2" t="s">
        <v>18</v>
      </c>
      <c r="D997" s="2" t="s">
        <v>43</v>
      </c>
      <c r="E997" s="2" t="s">
        <v>31</v>
      </c>
      <c r="F997" s="2" t="s">
        <v>128</v>
      </c>
      <c r="G997" s="2" t="s">
        <v>69</v>
      </c>
      <c r="H997" s="2" t="s">
        <v>34</v>
      </c>
      <c r="I997" s="2" t="s">
        <v>57</v>
      </c>
      <c r="J997" s="2" t="s">
        <v>338</v>
      </c>
      <c r="K997" s="2" t="s">
        <v>4103</v>
      </c>
      <c r="L997">
        <v>5</v>
      </c>
      <c r="M997" s="1">
        <v>417000</v>
      </c>
      <c r="N997">
        <v>3.5</v>
      </c>
      <c r="O997">
        <v>7</v>
      </c>
      <c r="P997" s="2" t="s">
        <v>26</v>
      </c>
    </row>
    <row r="998" spans="1:16" x14ac:dyDescent="0.25">
      <c r="A998" s="2" t="s">
        <v>4101</v>
      </c>
      <c r="B998" s="2" t="s">
        <v>4102</v>
      </c>
      <c r="C998" s="2" t="s">
        <v>29</v>
      </c>
      <c r="D998" s="2" t="s">
        <v>50</v>
      </c>
      <c r="E998" s="2" t="s">
        <v>31</v>
      </c>
      <c r="F998" s="2" t="s">
        <v>39</v>
      </c>
      <c r="G998" s="2" t="s">
        <v>80</v>
      </c>
      <c r="H998" s="2" t="s">
        <v>23</v>
      </c>
      <c r="I998" s="2" t="s">
        <v>24</v>
      </c>
      <c r="J998" s="2" t="s">
        <v>2342</v>
      </c>
      <c r="K998" s="2" t="s">
        <v>4103</v>
      </c>
      <c r="L998">
        <v>2</v>
      </c>
      <c r="M998" s="1">
        <v>174000</v>
      </c>
      <c r="N998">
        <v>4.8</v>
      </c>
      <c r="O998">
        <v>28</v>
      </c>
      <c r="P998" s="2" t="s">
        <v>53</v>
      </c>
    </row>
    <row r="999" spans="1:16" x14ac:dyDescent="0.25">
      <c r="A999" s="2" t="s">
        <v>4104</v>
      </c>
      <c r="B999" s="2" t="s">
        <v>4105</v>
      </c>
      <c r="C999" s="2" t="s">
        <v>18</v>
      </c>
      <c r="D999" s="2" t="s">
        <v>30</v>
      </c>
      <c r="E999" s="2" t="s">
        <v>20</v>
      </c>
      <c r="F999" s="2" t="s">
        <v>39</v>
      </c>
      <c r="G999" s="2" t="s">
        <v>22</v>
      </c>
      <c r="H999" s="2" t="s">
        <v>34</v>
      </c>
      <c r="I999" s="2" t="s">
        <v>57</v>
      </c>
      <c r="J999" s="2" t="s">
        <v>354</v>
      </c>
      <c r="K999" s="2" t="s">
        <v>4106</v>
      </c>
      <c r="L999">
        <v>2</v>
      </c>
      <c r="M999" s="1">
        <v>160000</v>
      </c>
      <c r="N999">
        <v>3.4</v>
      </c>
      <c r="O999">
        <v>40</v>
      </c>
      <c r="P999" s="2" t="s">
        <v>53</v>
      </c>
    </row>
    <row r="1000" spans="1:16" x14ac:dyDescent="0.25">
      <c r="A1000" s="2" t="s">
        <v>4107</v>
      </c>
      <c r="B1000" s="2" t="s">
        <v>574</v>
      </c>
      <c r="C1000" s="2" t="s">
        <v>29</v>
      </c>
      <c r="D1000" s="2" t="s">
        <v>30</v>
      </c>
      <c r="E1000" s="2" t="s">
        <v>44</v>
      </c>
      <c r="F1000" s="2" t="s">
        <v>39</v>
      </c>
      <c r="G1000" s="2" t="s">
        <v>80</v>
      </c>
      <c r="H1000" s="2" t="s">
        <v>34</v>
      </c>
      <c r="I1000" s="2" t="s">
        <v>35</v>
      </c>
      <c r="J1000" s="2" t="s">
        <v>3179</v>
      </c>
      <c r="K1000" s="2" t="s">
        <v>4108</v>
      </c>
      <c r="L1000">
        <v>7</v>
      </c>
      <c r="M1000" s="1">
        <v>109000</v>
      </c>
      <c r="N1000">
        <v>1.5</v>
      </c>
      <c r="O1000">
        <v>22</v>
      </c>
      <c r="P1000" s="2" t="s">
        <v>53</v>
      </c>
    </row>
    <row r="1001" spans="1:16" x14ac:dyDescent="0.25">
      <c r="A1001" s="2" t="s">
        <v>4115</v>
      </c>
      <c r="B1001" s="2" t="s">
        <v>4116</v>
      </c>
      <c r="C1001" s="2" t="s">
        <v>18</v>
      </c>
      <c r="D1001" s="2" t="s">
        <v>30</v>
      </c>
      <c r="E1001" s="2" t="s">
        <v>20</v>
      </c>
      <c r="F1001" s="2" t="s">
        <v>32</v>
      </c>
      <c r="G1001" s="2" t="s">
        <v>22</v>
      </c>
      <c r="H1001" s="2" t="s">
        <v>34</v>
      </c>
      <c r="I1001" s="2" t="s">
        <v>35</v>
      </c>
      <c r="J1001" s="2" t="s">
        <v>850</v>
      </c>
      <c r="K1001" s="2" t="s">
        <v>4119</v>
      </c>
      <c r="L1001">
        <v>3</v>
      </c>
      <c r="M1001" s="1">
        <v>265000</v>
      </c>
      <c r="N1001">
        <v>2.1</v>
      </c>
      <c r="O1001">
        <v>11</v>
      </c>
      <c r="P1001" s="2" t="s">
        <v>26</v>
      </c>
    </row>
    <row r="1002" spans="1:16" x14ac:dyDescent="0.25">
      <c r="A1002" s="2" t="s">
        <v>4117</v>
      </c>
      <c r="B1002" s="2" t="s">
        <v>4118</v>
      </c>
      <c r="C1002" s="2" t="s">
        <v>18</v>
      </c>
      <c r="D1002" s="2" t="s">
        <v>43</v>
      </c>
      <c r="E1002" s="2" t="s">
        <v>20</v>
      </c>
      <c r="F1002" s="2" t="s">
        <v>39</v>
      </c>
      <c r="G1002" s="2" t="s">
        <v>22</v>
      </c>
      <c r="H1002" s="2" t="s">
        <v>46</v>
      </c>
      <c r="I1002" s="2" t="s">
        <v>57</v>
      </c>
      <c r="J1002" s="2" t="s">
        <v>1886</v>
      </c>
      <c r="K1002" s="2" t="s">
        <v>4119</v>
      </c>
      <c r="L1002">
        <v>3</v>
      </c>
      <c r="M1002" s="1">
        <v>140000</v>
      </c>
      <c r="N1002">
        <v>4.5</v>
      </c>
      <c r="O1002">
        <v>12</v>
      </c>
      <c r="P1002" s="2" t="s">
        <v>53</v>
      </c>
    </row>
    <row r="1003" spans="1:16" x14ac:dyDescent="0.25">
      <c r="A1003" s="2" t="s">
        <v>4120</v>
      </c>
      <c r="B1003" s="2" t="s">
        <v>4121</v>
      </c>
      <c r="C1003" s="2" t="s">
        <v>18</v>
      </c>
      <c r="D1003" s="2" t="s">
        <v>30</v>
      </c>
      <c r="E1003" s="2" t="s">
        <v>20</v>
      </c>
      <c r="F1003" s="2" t="s">
        <v>39</v>
      </c>
      <c r="G1003" s="2" t="s">
        <v>33</v>
      </c>
      <c r="H1003" s="2" t="s">
        <v>23</v>
      </c>
      <c r="I1003" s="2" t="s">
        <v>24</v>
      </c>
      <c r="J1003" s="2" t="s">
        <v>722</v>
      </c>
      <c r="K1003" s="2" t="s">
        <v>4122</v>
      </c>
      <c r="L1003">
        <v>4</v>
      </c>
      <c r="M1003" s="1">
        <v>171000</v>
      </c>
      <c r="N1003">
        <v>2.8</v>
      </c>
      <c r="O1003">
        <v>9</v>
      </c>
      <c r="P1003" s="2" t="s">
        <v>72</v>
      </c>
    </row>
    <row r="1004" spans="1:16" x14ac:dyDescent="0.25">
      <c r="A1004" s="2" t="s">
        <v>4123</v>
      </c>
      <c r="B1004" s="2" t="s">
        <v>4124</v>
      </c>
      <c r="C1004" s="2" t="s">
        <v>18</v>
      </c>
      <c r="D1004" s="2" t="s">
        <v>30</v>
      </c>
      <c r="E1004" s="2" t="s">
        <v>31</v>
      </c>
      <c r="F1004" s="2" t="s">
        <v>128</v>
      </c>
      <c r="G1004" s="2" t="s">
        <v>22</v>
      </c>
      <c r="H1004" s="2" t="s">
        <v>34</v>
      </c>
      <c r="I1004" s="2" t="s">
        <v>57</v>
      </c>
      <c r="J1004" s="2" t="s">
        <v>1869</v>
      </c>
      <c r="K1004" s="2" t="s">
        <v>3253</v>
      </c>
      <c r="L1004">
        <v>4</v>
      </c>
      <c r="M1004" s="1">
        <v>398000</v>
      </c>
      <c r="N1004">
        <v>4.4000000000000004</v>
      </c>
      <c r="O1004">
        <v>12</v>
      </c>
      <c r="P1004" s="2" t="s">
        <v>53</v>
      </c>
    </row>
    <row r="1005" spans="1:16" x14ac:dyDescent="0.25">
      <c r="A1005" s="2" t="s">
        <v>4125</v>
      </c>
      <c r="B1005" s="2" t="s">
        <v>4126</v>
      </c>
      <c r="C1005" s="2" t="s">
        <v>18</v>
      </c>
      <c r="D1005" s="2" t="s">
        <v>19</v>
      </c>
      <c r="E1005" s="2" t="s">
        <v>31</v>
      </c>
      <c r="F1005" s="2" t="s">
        <v>39</v>
      </c>
      <c r="G1005" s="2" t="s">
        <v>80</v>
      </c>
      <c r="H1005" s="2" t="s">
        <v>46</v>
      </c>
      <c r="I1005" s="2" t="s">
        <v>24</v>
      </c>
      <c r="J1005" s="2" t="s">
        <v>2786</v>
      </c>
      <c r="K1005" s="2" t="s">
        <v>4135</v>
      </c>
      <c r="L1005">
        <v>5</v>
      </c>
      <c r="M1005" s="1">
        <v>174000</v>
      </c>
      <c r="N1005">
        <v>4.4000000000000004</v>
      </c>
      <c r="O1005">
        <v>0</v>
      </c>
      <c r="P1005" s="2" t="s">
        <v>26</v>
      </c>
    </row>
    <row r="1006" spans="1:16" x14ac:dyDescent="0.25">
      <c r="A1006" s="2" t="s">
        <v>4127</v>
      </c>
      <c r="B1006" s="2" t="s">
        <v>4128</v>
      </c>
      <c r="C1006" s="2" t="s">
        <v>18</v>
      </c>
      <c r="D1006" s="2" t="s">
        <v>19</v>
      </c>
      <c r="E1006" s="2" t="s">
        <v>20</v>
      </c>
      <c r="F1006" s="2" t="s">
        <v>21</v>
      </c>
      <c r="G1006" s="2" t="s">
        <v>22</v>
      </c>
      <c r="H1006" s="2" t="s">
        <v>23</v>
      </c>
      <c r="I1006" s="2" t="s">
        <v>24</v>
      </c>
      <c r="J1006" s="2" t="s">
        <v>2870</v>
      </c>
      <c r="K1006" s="2" t="s">
        <v>4135</v>
      </c>
      <c r="L1006">
        <v>4</v>
      </c>
      <c r="M1006" s="1">
        <v>1024000</v>
      </c>
      <c r="N1006">
        <v>3.6</v>
      </c>
      <c r="O1006">
        <v>13</v>
      </c>
      <c r="P1006" s="2" t="s">
        <v>26</v>
      </c>
    </row>
    <row r="1007" spans="1:16" x14ac:dyDescent="0.25">
      <c r="A1007" s="2" t="s">
        <v>4134</v>
      </c>
      <c r="B1007" s="2" t="s">
        <v>948</v>
      </c>
      <c r="C1007" s="2" t="s">
        <v>29</v>
      </c>
      <c r="D1007" s="2" t="s">
        <v>50</v>
      </c>
      <c r="E1007" s="2" t="s">
        <v>31</v>
      </c>
      <c r="F1007" s="2" t="s">
        <v>128</v>
      </c>
      <c r="G1007" s="2" t="s">
        <v>80</v>
      </c>
      <c r="H1007" s="2" t="s">
        <v>62</v>
      </c>
      <c r="I1007" s="2" t="s">
        <v>24</v>
      </c>
      <c r="J1007" s="2" t="s">
        <v>275</v>
      </c>
      <c r="K1007" s="2" t="s">
        <v>4135</v>
      </c>
      <c r="L1007">
        <v>6</v>
      </c>
      <c r="M1007" s="1">
        <v>488000</v>
      </c>
      <c r="N1007">
        <v>4.5</v>
      </c>
      <c r="O1007">
        <v>5</v>
      </c>
      <c r="P1007" s="2" t="s">
        <v>53</v>
      </c>
    </row>
    <row r="1008" spans="1:16" x14ac:dyDescent="0.25">
      <c r="A1008" s="2" t="s">
        <v>4136</v>
      </c>
      <c r="B1008" s="2" t="s">
        <v>962</v>
      </c>
      <c r="C1008" s="2" t="s">
        <v>18</v>
      </c>
      <c r="D1008" s="2" t="s">
        <v>43</v>
      </c>
      <c r="E1008" s="2" t="s">
        <v>20</v>
      </c>
      <c r="F1008" s="2" t="s">
        <v>21</v>
      </c>
      <c r="G1008" s="2" t="s">
        <v>22</v>
      </c>
      <c r="H1008" s="2" t="s">
        <v>23</v>
      </c>
      <c r="I1008" s="2" t="s">
        <v>24</v>
      </c>
      <c r="J1008" s="2" t="s">
        <v>3345</v>
      </c>
      <c r="K1008" s="2" t="s">
        <v>3054</v>
      </c>
      <c r="L1008">
        <v>5</v>
      </c>
      <c r="M1008" s="1">
        <v>714000</v>
      </c>
      <c r="N1008">
        <v>3.2</v>
      </c>
      <c r="O1008">
        <v>9</v>
      </c>
      <c r="P1008" s="2" t="s">
        <v>53</v>
      </c>
    </row>
    <row r="1009" spans="1:16" x14ac:dyDescent="0.25">
      <c r="A1009" s="2" t="s">
        <v>4141</v>
      </c>
      <c r="B1009" s="2" t="s">
        <v>4142</v>
      </c>
      <c r="C1009" s="2" t="s">
        <v>18</v>
      </c>
      <c r="D1009" s="2" t="s">
        <v>50</v>
      </c>
      <c r="E1009" s="2" t="s">
        <v>20</v>
      </c>
      <c r="F1009" s="2" t="s">
        <v>45</v>
      </c>
      <c r="G1009" s="2" t="s">
        <v>22</v>
      </c>
      <c r="H1009" s="2" t="s">
        <v>34</v>
      </c>
      <c r="I1009" s="2" t="s">
        <v>24</v>
      </c>
      <c r="J1009" s="2" t="s">
        <v>2443</v>
      </c>
      <c r="K1009" s="2" t="s">
        <v>2663</v>
      </c>
      <c r="L1009">
        <v>5</v>
      </c>
      <c r="M1009" s="1">
        <v>987000</v>
      </c>
      <c r="N1009">
        <v>3.5</v>
      </c>
      <c r="O1009">
        <v>14</v>
      </c>
      <c r="P1009" s="2" t="s">
        <v>53</v>
      </c>
    </row>
    <row r="1010" spans="1:16" x14ac:dyDescent="0.25">
      <c r="A1010" s="2" t="s">
        <v>4143</v>
      </c>
      <c r="B1010" s="2" t="s">
        <v>4144</v>
      </c>
      <c r="C1010" s="2" t="s">
        <v>18</v>
      </c>
      <c r="D1010" s="2" t="s">
        <v>79</v>
      </c>
      <c r="E1010" s="2" t="s">
        <v>20</v>
      </c>
      <c r="F1010" s="2" t="s">
        <v>32</v>
      </c>
      <c r="G1010" s="2" t="s">
        <v>80</v>
      </c>
      <c r="H1010" s="2" t="s">
        <v>34</v>
      </c>
      <c r="I1010" s="2" t="s">
        <v>57</v>
      </c>
      <c r="J1010" s="2" t="s">
        <v>3684</v>
      </c>
      <c r="K1010" s="2" t="s">
        <v>4145</v>
      </c>
      <c r="L1010">
        <v>6</v>
      </c>
      <c r="M1010" s="1">
        <v>313000</v>
      </c>
      <c r="N1010">
        <v>4.5</v>
      </c>
      <c r="O1010">
        <v>13</v>
      </c>
      <c r="P1010" s="2" t="s">
        <v>53</v>
      </c>
    </row>
    <row r="1011" spans="1:16" x14ac:dyDescent="0.25">
      <c r="A1011" s="2" t="s">
        <v>4147</v>
      </c>
      <c r="B1011" s="2" t="s">
        <v>2599</v>
      </c>
      <c r="C1011" s="2" t="s">
        <v>18</v>
      </c>
      <c r="D1011" s="2" t="s">
        <v>19</v>
      </c>
      <c r="E1011" s="2" t="s">
        <v>20</v>
      </c>
      <c r="F1011" s="2" t="s">
        <v>128</v>
      </c>
      <c r="G1011" s="2" t="s">
        <v>80</v>
      </c>
      <c r="H1011" s="2" t="s">
        <v>34</v>
      </c>
      <c r="I1011" s="2" t="s">
        <v>24</v>
      </c>
      <c r="J1011" s="2" t="s">
        <v>1464</v>
      </c>
      <c r="K1011" s="2" t="s">
        <v>4148</v>
      </c>
      <c r="L1011">
        <v>3</v>
      </c>
      <c r="M1011" s="1">
        <v>496000</v>
      </c>
      <c r="N1011">
        <v>4.4000000000000004</v>
      </c>
      <c r="O1011">
        <v>10</v>
      </c>
      <c r="P1011" s="2" t="s">
        <v>53</v>
      </c>
    </row>
    <row r="1012" spans="1:16" x14ac:dyDescent="0.25">
      <c r="A1012" s="2" t="s">
        <v>4149</v>
      </c>
      <c r="B1012" s="2" t="s">
        <v>4150</v>
      </c>
      <c r="C1012" s="2" t="s">
        <v>29</v>
      </c>
      <c r="D1012" s="2" t="s">
        <v>19</v>
      </c>
      <c r="E1012" s="2" t="s">
        <v>20</v>
      </c>
      <c r="F1012" s="2" t="s">
        <v>45</v>
      </c>
      <c r="G1012" s="2" t="s">
        <v>80</v>
      </c>
      <c r="H1012" s="2" t="s">
        <v>34</v>
      </c>
      <c r="I1012" s="2" t="s">
        <v>57</v>
      </c>
      <c r="J1012" s="2" t="s">
        <v>4151</v>
      </c>
      <c r="K1012" s="2" t="s">
        <v>2681</v>
      </c>
      <c r="L1012">
        <v>5</v>
      </c>
      <c r="M1012" s="1">
        <v>1959000</v>
      </c>
      <c r="N1012">
        <v>4.5999999999999996</v>
      </c>
      <c r="O1012">
        <v>5</v>
      </c>
      <c r="P1012" s="2" t="s">
        <v>26</v>
      </c>
    </row>
    <row r="1013" spans="1:16" x14ac:dyDescent="0.25">
      <c r="A1013" s="2" t="s">
        <v>4152</v>
      </c>
      <c r="B1013" s="2" t="s">
        <v>4153</v>
      </c>
      <c r="C1013" s="2" t="s">
        <v>18</v>
      </c>
      <c r="D1013" s="2" t="s">
        <v>50</v>
      </c>
      <c r="E1013" s="2" t="s">
        <v>31</v>
      </c>
      <c r="F1013" s="2" t="s">
        <v>21</v>
      </c>
      <c r="G1013" s="2" t="s">
        <v>80</v>
      </c>
      <c r="H1013" s="2" t="s">
        <v>34</v>
      </c>
      <c r="I1013" s="2" t="s">
        <v>75</v>
      </c>
      <c r="J1013" s="2" t="s">
        <v>1012</v>
      </c>
      <c r="K1013" s="2" t="s">
        <v>2681</v>
      </c>
      <c r="L1013">
        <v>4</v>
      </c>
      <c r="M1013" s="1">
        <v>835000</v>
      </c>
      <c r="N1013">
        <v>4.2</v>
      </c>
      <c r="O1013">
        <v>13</v>
      </c>
      <c r="P1013" s="2" t="s">
        <v>26</v>
      </c>
    </row>
    <row r="1014" spans="1:16" x14ac:dyDescent="0.25">
      <c r="A1014" s="2" t="s">
        <v>4154</v>
      </c>
      <c r="B1014" s="2" t="s">
        <v>1250</v>
      </c>
      <c r="C1014" s="2" t="s">
        <v>29</v>
      </c>
      <c r="D1014" s="2" t="s">
        <v>50</v>
      </c>
      <c r="E1014" s="2" t="s">
        <v>20</v>
      </c>
      <c r="F1014" s="2" t="s">
        <v>39</v>
      </c>
      <c r="G1014" s="2" t="s">
        <v>80</v>
      </c>
      <c r="H1014" s="2" t="s">
        <v>34</v>
      </c>
      <c r="I1014" s="2" t="s">
        <v>24</v>
      </c>
      <c r="J1014" s="2" t="s">
        <v>1779</v>
      </c>
      <c r="K1014" s="2" t="s">
        <v>2681</v>
      </c>
      <c r="L1014">
        <v>7</v>
      </c>
      <c r="M1014" s="1">
        <v>139000</v>
      </c>
      <c r="N1014">
        <v>4</v>
      </c>
      <c r="O1014">
        <v>8</v>
      </c>
      <c r="P1014" s="2" t="s">
        <v>53</v>
      </c>
    </row>
    <row r="1015" spans="1:16" x14ac:dyDescent="0.25">
      <c r="A1015" s="2" t="s">
        <v>4155</v>
      </c>
      <c r="B1015" s="2" t="s">
        <v>4156</v>
      </c>
      <c r="C1015" s="2" t="s">
        <v>18</v>
      </c>
      <c r="D1015" s="2" t="s">
        <v>79</v>
      </c>
      <c r="E1015" s="2" t="s">
        <v>31</v>
      </c>
      <c r="F1015" s="2" t="s">
        <v>21</v>
      </c>
      <c r="G1015" s="2" t="s">
        <v>80</v>
      </c>
      <c r="H1015" s="2" t="s">
        <v>34</v>
      </c>
      <c r="I1015" s="2" t="s">
        <v>57</v>
      </c>
      <c r="J1015" s="2" t="s">
        <v>2701</v>
      </c>
      <c r="K1015" s="2" t="s">
        <v>4060</v>
      </c>
      <c r="L1015">
        <v>3</v>
      </c>
      <c r="M1015" s="1">
        <v>677000</v>
      </c>
      <c r="N1015">
        <v>3.9</v>
      </c>
      <c r="O1015">
        <v>3</v>
      </c>
      <c r="P1015" s="2" t="s">
        <v>53</v>
      </c>
    </row>
    <row r="1016" spans="1:16" x14ac:dyDescent="0.25">
      <c r="A1016" s="2" t="s">
        <v>4157</v>
      </c>
      <c r="B1016" s="2" t="s">
        <v>4158</v>
      </c>
      <c r="C1016" s="2" t="s">
        <v>29</v>
      </c>
      <c r="D1016" s="2" t="s">
        <v>43</v>
      </c>
      <c r="E1016" s="2" t="s">
        <v>20</v>
      </c>
      <c r="F1016" s="2" t="s">
        <v>32</v>
      </c>
      <c r="G1016" s="2" t="s">
        <v>33</v>
      </c>
      <c r="H1016" s="2" t="s">
        <v>23</v>
      </c>
      <c r="I1016" s="2" t="s">
        <v>57</v>
      </c>
      <c r="J1016" s="2" t="s">
        <v>1857</v>
      </c>
      <c r="K1016" s="2" t="s">
        <v>2743</v>
      </c>
      <c r="L1016">
        <v>5</v>
      </c>
      <c r="M1016" s="1">
        <v>321000</v>
      </c>
      <c r="N1016">
        <v>3</v>
      </c>
      <c r="O1016">
        <v>10</v>
      </c>
      <c r="P1016" s="2" t="s">
        <v>53</v>
      </c>
    </row>
    <row r="1017" spans="1:16" x14ac:dyDescent="0.25">
      <c r="A1017" s="2" t="s">
        <v>4159</v>
      </c>
      <c r="B1017" s="2" t="s">
        <v>4160</v>
      </c>
      <c r="C1017" s="2" t="s">
        <v>29</v>
      </c>
      <c r="D1017" s="2" t="s">
        <v>43</v>
      </c>
      <c r="E1017" s="2" t="s">
        <v>20</v>
      </c>
      <c r="F1017" s="2" t="s">
        <v>21</v>
      </c>
      <c r="G1017" s="2" t="s">
        <v>69</v>
      </c>
      <c r="H1017" s="2" t="s">
        <v>23</v>
      </c>
      <c r="I1017" s="2" t="s">
        <v>24</v>
      </c>
      <c r="J1017" s="2" t="s">
        <v>4161</v>
      </c>
      <c r="K1017" s="2" t="s">
        <v>4177</v>
      </c>
      <c r="L1017">
        <v>6</v>
      </c>
      <c r="M1017" s="1">
        <v>600000</v>
      </c>
      <c r="N1017">
        <v>3.4</v>
      </c>
      <c r="O1017">
        <v>1</v>
      </c>
      <c r="P1017" s="2" t="s">
        <v>26</v>
      </c>
    </row>
    <row r="1018" spans="1:16" x14ac:dyDescent="0.25">
      <c r="A1018" s="2" t="s">
        <v>4162</v>
      </c>
      <c r="B1018" s="2" t="s">
        <v>4163</v>
      </c>
      <c r="C1018" s="2" t="s">
        <v>29</v>
      </c>
      <c r="D1018" s="2" t="s">
        <v>43</v>
      </c>
      <c r="E1018" s="2" t="s">
        <v>20</v>
      </c>
      <c r="F1018" s="2" t="s">
        <v>128</v>
      </c>
      <c r="G1018" s="2" t="s">
        <v>22</v>
      </c>
      <c r="H1018" s="2" t="s">
        <v>46</v>
      </c>
      <c r="I1018" s="2" t="s">
        <v>24</v>
      </c>
      <c r="J1018" s="2" t="s">
        <v>921</v>
      </c>
      <c r="K1018" s="2" t="s">
        <v>4177</v>
      </c>
      <c r="L1018">
        <v>2</v>
      </c>
      <c r="M1018" s="1">
        <v>407000</v>
      </c>
      <c r="N1018">
        <v>4.3</v>
      </c>
      <c r="O1018">
        <v>6</v>
      </c>
      <c r="P1018" s="2" t="s">
        <v>26</v>
      </c>
    </row>
    <row r="1019" spans="1:16" x14ac:dyDescent="0.25">
      <c r="A1019" s="2" t="s">
        <v>4164</v>
      </c>
      <c r="B1019" s="2" t="s">
        <v>4165</v>
      </c>
      <c r="C1019" s="2" t="s">
        <v>18</v>
      </c>
      <c r="D1019" s="2" t="s">
        <v>50</v>
      </c>
      <c r="E1019" s="2" t="s">
        <v>20</v>
      </c>
      <c r="F1019" s="2" t="s">
        <v>39</v>
      </c>
      <c r="G1019" s="2" t="s">
        <v>22</v>
      </c>
      <c r="H1019" s="2" t="s">
        <v>34</v>
      </c>
      <c r="I1019" s="2" t="s">
        <v>57</v>
      </c>
      <c r="J1019" s="2" t="s">
        <v>4166</v>
      </c>
      <c r="K1019" s="2" t="s">
        <v>4177</v>
      </c>
      <c r="L1019">
        <v>6</v>
      </c>
      <c r="M1019" s="1">
        <v>89000</v>
      </c>
      <c r="N1019">
        <v>4.8</v>
      </c>
      <c r="O1019">
        <v>13</v>
      </c>
      <c r="P1019" s="2" t="s">
        <v>26</v>
      </c>
    </row>
    <row r="1020" spans="1:16" x14ac:dyDescent="0.25">
      <c r="A1020" s="2" t="s">
        <v>4167</v>
      </c>
      <c r="B1020" s="2" t="s">
        <v>1259</v>
      </c>
      <c r="C1020" s="2" t="s">
        <v>29</v>
      </c>
      <c r="D1020" s="2" t="s">
        <v>30</v>
      </c>
      <c r="E1020" s="2" t="s">
        <v>20</v>
      </c>
      <c r="F1020" s="2" t="s">
        <v>39</v>
      </c>
      <c r="G1020" s="2" t="s">
        <v>80</v>
      </c>
      <c r="H1020" s="2" t="s">
        <v>23</v>
      </c>
      <c r="I1020" s="2" t="s">
        <v>35</v>
      </c>
      <c r="J1020" s="2" t="s">
        <v>3470</v>
      </c>
      <c r="K1020" s="2" t="s">
        <v>4177</v>
      </c>
      <c r="L1020">
        <v>3</v>
      </c>
      <c r="M1020" s="1">
        <v>100000</v>
      </c>
      <c r="N1020">
        <v>2.5</v>
      </c>
      <c r="O1020">
        <v>8</v>
      </c>
      <c r="P1020" s="2" t="s">
        <v>26</v>
      </c>
    </row>
    <row r="1021" spans="1:16" x14ac:dyDescent="0.25">
      <c r="A1021" s="2" t="s">
        <v>4170</v>
      </c>
      <c r="B1021" s="2" t="s">
        <v>4171</v>
      </c>
      <c r="C1021" s="2" t="s">
        <v>18</v>
      </c>
      <c r="D1021" s="2" t="s">
        <v>19</v>
      </c>
      <c r="E1021" s="2" t="s">
        <v>20</v>
      </c>
      <c r="F1021" s="2" t="s">
        <v>39</v>
      </c>
      <c r="G1021" s="2" t="s">
        <v>22</v>
      </c>
      <c r="H1021" s="2" t="s">
        <v>46</v>
      </c>
      <c r="I1021" s="2" t="s">
        <v>24</v>
      </c>
      <c r="J1021" s="2" t="s">
        <v>63</v>
      </c>
      <c r="K1021" s="2" t="s">
        <v>4177</v>
      </c>
      <c r="L1021">
        <v>6</v>
      </c>
      <c r="M1021" s="1">
        <v>171000</v>
      </c>
      <c r="N1021">
        <v>4.8</v>
      </c>
      <c r="O1021">
        <v>30</v>
      </c>
      <c r="P1021" s="2" t="s">
        <v>26</v>
      </c>
    </row>
    <row r="1022" spans="1:16" x14ac:dyDescent="0.25">
      <c r="A1022" s="2" t="s">
        <v>4172</v>
      </c>
      <c r="B1022" s="2" t="s">
        <v>4173</v>
      </c>
      <c r="C1022" s="2" t="s">
        <v>18</v>
      </c>
      <c r="D1022" s="2" t="s">
        <v>19</v>
      </c>
      <c r="E1022" s="2" t="s">
        <v>20</v>
      </c>
      <c r="F1022" s="2" t="s">
        <v>32</v>
      </c>
      <c r="G1022" s="2" t="s">
        <v>22</v>
      </c>
      <c r="H1022" s="2" t="s">
        <v>23</v>
      </c>
      <c r="I1022" s="2" t="s">
        <v>24</v>
      </c>
      <c r="J1022" s="2" t="s">
        <v>70</v>
      </c>
      <c r="K1022" s="2" t="s">
        <v>4177</v>
      </c>
      <c r="L1022">
        <v>2</v>
      </c>
      <c r="M1022" s="1">
        <v>266000</v>
      </c>
      <c r="N1022">
        <v>2.4</v>
      </c>
      <c r="O1022">
        <v>12</v>
      </c>
      <c r="P1022" s="2" t="s">
        <v>26</v>
      </c>
    </row>
    <row r="1023" spans="1:16" x14ac:dyDescent="0.25">
      <c r="A1023" s="2" t="s">
        <v>4174</v>
      </c>
      <c r="B1023" s="2" t="s">
        <v>4175</v>
      </c>
      <c r="C1023" s="2" t="s">
        <v>18</v>
      </c>
      <c r="D1023" s="2" t="s">
        <v>50</v>
      </c>
      <c r="E1023" s="2" t="s">
        <v>20</v>
      </c>
      <c r="F1023" s="2" t="s">
        <v>128</v>
      </c>
      <c r="G1023" s="2" t="s">
        <v>22</v>
      </c>
      <c r="H1023" s="2" t="s">
        <v>23</v>
      </c>
      <c r="I1023" s="2" t="s">
        <v>24</v>
      </c>
      <c r="J1023" s="2" t="s">
        <v>4176</v>
      </c>
      <c r="K1023" s="2" t="s">
        <v>4177</v>
      </c>
      <c r="L1023">
        <v>4</v>
      </c>
      <c r="M1023" s="1">
        <v>381000</v>
      </c>
      <c r="N1023">
        <v>2</v>
      </c>
      <c r="O1023">
        <v>17</v>
      </c>
      <c r="P1023" s="2" t="s">
        <v>53</v>
      </c>
    </row>
    <row r="1024" spans="1:16" x14ac:dyDescent="0.25">
      <c r="A1024" s="2" t="s">
        <v>4178</v>
      </c>
      <c r="B1024" s="2" t="s">
        <v>2602</v>
      </c>
      <c r="C1024" s="2" t="s">
        <v>18</v>
      </c>
      <c r="D1024" s="2" t="s">
        <v>30</v>
      </c>
      <c r="E1024" s="2" t="s">
        <v>20</v>
      </c>
      <c r="F1024" s="2" t="s">
        <v>39</v>
      </c>
      <c r="G1024" s="2" t="s">
        <v>33</v>
      </c>
      <c r="H1024" s="2" t="s">
        <v>34</v>
      </c>
      <c r="I1024" s="2" t="s">
        <v>57</v>
      </c>
      <c r="J1024" s="2" t="s">
        <v>3684</v>
      </c>
      <c r="K1024" s="2" t="s">
        <v>4190</v>
      </c>
      <c r="L1024">
        <v>6</v>
      </c>
      <c r="M1024" s="1">
        <v>142000</v>
      </c>
      <c r="N1024">
        <v>3.1</v>
      </c>
      <c r="O1024">
        <v>11</v>
      </c>
      <c r="P1024" s="2" t="s">
        <v>26</v>
      </c>
    </row>
    <row r="1025" spans="1:16" x14ac:dyDescent="0.25">
      <c r="A1025" s="2" t="s">
        <v>4182</v>
      </c>
      <c r="B1025" s="2" t="s">
        <v>1291</v>
      </c>
      <c r="C1025" s="2" t="s">
        <v>18</v>
      </c>
      <c r="D1025" s="2" t="s">
        <v>19</v>
      </c>
      <c r="E1025" s="2" t="s">
        <v>20</v>
      </c>
      <c r="F1025" s="2" t="s">
        <v>32</v>
      </c>
      <c r="G1025" s="2" t="s">
        <v>80</v>
      </c>
      <c r="H1025" s="2" t="s">
        <v>34</v>
      </c>
      <c r="I1025" s="2" t="s">
        <v>24</v>
      </c>
      <c r="J1025" s="2" t="s">
        <v>1779</v>
      </c>
      <c r="K1025" s="2" t="s">
        <v>4190</v>
      </c>
      <c r="L1025">
        <v>7</v>
      </c>
      <c r="M1025" s="1">
        <v>323000</v>
      </c>
      <c r="N1025">
        <v>4.3</v>
      </c>
      <c r="O1025">
        <v>7</v>
      </c>
      <c r="P1025" s="2" t="s">
        <v>26</v>
      </c>
    </row>
    <row r="1026" spans="1:16" x14ac:dyDescent="0.25">
      <c r="A1026" s="2" t="s">
        <v>4183</v>
      </c>
      <c r="B1026" s="2" t="s">
        <v>1352</v>
      </c>
      <c r="C1026" s="2" t="s">
        <v>18</v>
      </c>
      <c r="D1026" s="2" t="s">
        <v>30</v>
      </c>
      <c r="E1026" s="2" t="s">
        <v>31</v>
      </c>
      <c r="F1026" s="2" t="s">
        <v>21</v>
      </c>
      <c r="G1026" s="2" t="s">
        <v>22</v>
      </c>
      <c r="H1026" s="2" t="s">
        <v>46</v>
      </c>
      <c r="I1026" s="2" t="s">
        <v>24</v>
      </c>
      <c r="J1026" s="2" t="s">
        <v>4184</v>
      </c>
      <c r="K1026" s="2" t="s">
        <v>4190</v>
      </c>
      <c r="L1026">
        <v>3</v>
      </c>
      <c r="M1026" s="1">
        <v>935000</v>
      </c>
      <c r="N1026">
        <v>4.7</v>
      </c>
      <c r="O1026">
        <v>6</v>
      </c>
      <c r="P1026" s="2" t="s">
        <v>26</v>
      </c>
    </row>
    <row r="1027" spans="1:16" x14ac:dyDescent="0.25">
      <c r="A1027" s="2" t="s">
        <v>4188</v>
      </c>
      <c r="B1027" s="2" t="s">
        <v>836</v>
      </c>
      <c r="C1027" s="2" t="s">
        <v>18</v>
      </c>
      <c r="D1027" s="2" t="s">
        <v>79</v>
      </c>
      <c r="E1027" s="2" t="s">
        <v>20</v>
      </c>
      <c r="F1027" s="2" t="s">
        <v>39</v>
      </c>
      <c r="G1027" s="2" t="s">
        <v>80</v>
      </c>
      <c r="H1027" s="2" t="s">
        <v>62</v>
      </c>
      <c r="I1027" s="2" t="s">
        <v>57</v>
      </c>
      <c r="J1027" s="2" t="s">
        <v>4189</v>
      </c>
      <c r="K1027" s="2" t="s">
        <v>4190</v>
      </c>
      <c r="L1027">
        <v>6</v>
      </c>
      <c r="M1027" s="1">
        <v>124000</v>
      </c>
      <c r="N1027">
        <v>3.2</v>
      </c>
      <c r="O1027">
        <v>13</v>
      </c>
      <c r="P1027" s="2" t="s">
        <v>53</v>
      </c>
    </row>
    <row r="1028" spans="1:16" x14ac:dyDescent="0.25">
      <c r="A1028" s="2" t="s">
        <v>4194</v>
      </c>
      <c r="B1028" s="2" t="s">
        <v>4195</v>
      </c>
      <c r="C1028" s="2" t="s">
        <v>29</v>
      </c>
      <c r="D1028" s="2" t="s">
        <v>50</v>
      </c>
      <c r="E1028" s="2" t="s">
        <v>20</v>
      </c>
      <c r="F1028" s="2" t="s">
        <v>39</v>
      </c>
      <c r="G1028" s="2" t="s">
        <v>22</v>
      </c>
      <c r="H1028" s="2" t="s">
        <v>23</v>
      </c>
      <c r="I1028" s="2" t="s">
        <v>75</v>
      </c>
      <c r="J1028" s="2" t="s">
        <v>4041</v>
      </c>
      <c r="K1028" s="2" t="s">
        <v>4198</v>
      </c>
      <c r="L1028">
        <v>2</v>
      </c>
      <c r="M1028" s="1">
        <v>132000</v>
      </c>
      <c r="N1028">
        <v>4.5</v>
      </c>
      <c r="O1028">
        <v>2</v>
      </c>
      <c r="P1028" s="2" t="s">
        <v>26</v>
      </c>
    </row>
    <row r="1029" spans="1:16" x14ac:dyDescent="0.25">
      <c r="A1029" s="2" t="s">
        <v>4196</v>
      </c>
      <c r="B1029" s="2" t="s">
        <v>4197</v>
      </c>
      <c r="C1029" s="2" t="s">
        <v>29</v>
      </c>
      <c r="D1029" s="2" t="s">
        <v>30</v>
      </c>
      <c r="E1029" s="2" t="s">
        <v>20</v>
      </c>
      <c r="F1029" s="2" t="s">
        <v>32</v>
      </c>
      <c r="G1029" s="2" t="s">
        <v>69</v>
      </c>
      <c r="H1029" s="2" t="s">
        <v>23</v>
      </c>
      <c r="I1029" s="2" t="s">
        <v>35</v>
      </c>
      <c r="J1029" s="2" t="s">
        <v>2662</v>
      </c>
      <c r="K1029" s="2" t="s">
        <v>4198</v>
      </c>
      <c r="L1029">
        <v>4</v>
      </c>
      <c r="M1029" s="1">
        <v>277000</v>
      </c>
      <c r="N1029">
        <v>3.1</v>
      </c>
      <c r="O1029">
        <v>9</v>
      </c>
      <c r="P1029" s="2" t="s">
        <v>53</v>
      </c>
    </row>
    <row r="1030" spans="1:16" x14ac:dyDescent="0.25">
      <c r="A1030" s="2" t="s">
        <v>4199</v>
      </c>
      <c r="B1030" s="2" t="s">
        <v>4200</v>
      </c>
      <c r="C1030" s="2" t="s">
        <v>29</v>
      </c>
      <c r="D1030" s="2" t="s">
        <v>79</v>
      </c>
      <c r="E1030" s="2" t="s">
        <v>44</v>
      </c>
      <c r="F1030" s="2" t="s">
        <v>128</v>
      </c>
      <c r="G1030" s="2" t="s">
        <v>22</v>
      </c>
      <c r="H1030" s="2" t="s">
        <v>34</v>
      </c>
      <c r="I1030" s="2" t="s">
        <v>75</v>
      </c>
      <c r="J1030" s="2" t="s">
        <v>4201</v>
      </c>
      <c r="K1030" s="2" t="s">
        <v>1022</v>
      </c>
      <c r="L1030">
        <v>6</v>
      </c>
      <c r="M1030" s="1">
        <v>530000</v>
      </c>
      <c r="N1030">
        <v>3.5</v>
      </c>
      <c r="O1030">
        <v>0</v>
      </c>
      <c r="P1030" s="2" t="s">
        <v>26</v>
      </c>
    </row>
    <row r="1031" spans="1:16" x14ac:dyDescent="0.25">
      <c r="A1031" s="2" t="s">
        <v>4202</v>
      </c>
      <c r="B1031" s="2" t="s">
        <v>4203</v>
      </c>
      <c r="C1031" s="2" t="s">
        <v>18</v>
      </c>
      <c r="D1031" s="2" t="s">
        <v>79</v>
      </c>
      <c r="E1031" s="2" t="s">
        <v>20</v>
      </c>
      <c r="F1031" s="2" t="s">
        <v>39</v>
      </c>
      <c r="G1031" s="2" t="s">
        <v>22</v>
      </c>
      <c r="H1031" s="2" t="s">
        <v>46</v>
      </c>
      <c r="I1031" s="2" t="s">
        <v>57</v>
      </c>
      <c r="J1031" s="2" t="s">
        <v>1779</v>
      </c>
      <c r="K1031" s="2" t="s">
        <v>1022</v>
      </c>
      <c r="L1031">
        <v>7</v>
      </c>
      <c r="M1031" s="1">
        <v>94000</v>
      </c>
      <c r="N1031">
        <v>2.4</v>
      </c>
      <c r="O1031">
        <v>9</v>
      </c>
      <c r="P1031" s="2" t="s">
        <v>26</v>
      </c>
    </row>
    <row r="1032" spans="1:16" x14ac:dyDescent="0.25">
      <c r="A1032" s="2" t="s">
        <v>4204</v>
      </c>
      <c r="B1032" s="2" t="s">
        <v>3361</v>
      </c>
      <c r="C1032" s="2" t="s">
        <v>29</v>
      </c>
      <c r="D1032" s="2" t="s">
        <v>79</v>
      </c>
      <c r="E1032" s="2" t="s">
        <v>44</v>
      </c>
      <c r="F1032" s="2" t="s">
        <v>32</v>
      </c>
      <c r="G1032" s="2" t="s">
        <v>80</v>
      </c>
      <c r="H1032" s="2" t="s">
        <v>46</v>
      </c>
      <c r="I1032" s="2" t="s">
        <v>24</v>
      </c>
      <c r="J1032" s="2" t="s">
        <v>2547</v>
      </c>
      <c r="K1032" s="2" t="s">
        <v>1022</v>
      </c>
      <c r="L1032">
        <v>4</v>
      </c>
      <c r="M1032" s="1">
        <v>252000</v>
      </c>
      <c r="N1032">
        <v>2.6</v>
      </c>
      <c r="O1032">
        <v>12</v>
      </c>
      <c r="P1032" s="2" t="s">
        <v>26</v>
      </c>
    </row>
    <row r="1033" spans="1:16" x14ac:dyDescent="0.25">
      <c r="A1033" s="2" t="s">
        <v>4205</v>
      </c>
      <c r="B1033" s="2" t="s">
        <v>4206</v>
      </c>
      <c r="C1033" s="2" t="s">
        <v>29</v>
      </c>
      <c r="D1033" s="2" t="s">
        <v>79</v>
      </c>
      <c r="E1033" s="2" t="s">
        <v>31</v>
      </c>
      <c r="F1033" s="2" t="s">
        <v>21</v>
      </c>
      <c r="G1033" s="2" t="s">
        <v>80</v>
      </c>
      <c r="H1033" s="2" t="s">
        <v>46</v>
      </c>
      <c r="I1033" s="2" t="s">
        <v>57</v>
      </c>
      <c r="J1033" s="2" t="s">
        <v>3545</v>
      </c>
      <c r="K1033" s="2" t="s">
        <v>1022</v>
      </c>
      <c r="L1033">
        <v>2</v>
      </c>
      <c r="M1033" s="1">
        <v>811000</v>
      </c>
      <c r="N1033">
        <v>4</v>
      </c>
      <c r="O1033">
        <v>9</v>
      </c>
      <c r="P1033" s="2" t="s">
        <v>26</v>
      </c>
    </row>
    <row r="1034" spans="1:16" x14ac:dyDescent="0.25">
      <c r="A1034" s="2" t="s">
        <v>4209</v>
      </c>
      <c r="B1034" s="2" t="s">
        <v>4210</v>
      </c>
      <c r="C1034" s="2" t="s">
        <v>29</v>
      </c>
      <c r="D1034" s="2" t="s">
        <v>30</v>
      </c>
      <c r="E1034" s="2" t="s">
        <v>31</v>
      </c>
      <c r="F1034" s="2" t="s">
        <v>32</v>
      </c>
      <c r="G1034" s="2" t="s">
        <v>69</v>
      </c>
      <c r="H1034" s="2" t="s">
        <v>23</v>
      </c>
      <c r="I1034" s="2" t="s">
        <v>35</v>
      </c>
      <c r="J1034" s="2" t="s">
        <v>1513</v>
      </c>
      <c r="K1034" s="2" t="s">
        <v>1022</v>
      </c>
      <c r="L1034">
        <v>5</v>
      </c>
      <c r="M1034" s="1">
        <v>242000</v>
      </c>
      <c r="N1034">
        <v>2.4</v>
      </c>
      <c r="O1034">
        <v>10</v>
      </c>
      <c r="P1034" s="2" t="s">
        <v>114</v>
      </c>
    </row>
    <row r="1035" spans="1:16" x14ac:dyDescent="0.25">
      <c r="A1035" s="2" t="s">
        <v>4213</v>
      </c>
      <c r="B1035" s="2" t="s">
        <v>1374</v>
      </c>
      <c r="C1035" s="2" t="s">
        <v>18</v>
      </c>
      <c r="D1035" s="2" t="s">
        <v>30</v>
      </c>
      <c r="E1035" s="2" t="s">
        <v>31</v>
      </c>
      <c r="F1035" s="2" t="s">
        <v>21</v>
      </c>
      <c r="G1035" s="2" t="s">
        <v>22</v>
      </c>
      <c r="H1035" s="2" t="s">
        <v>46</v>
      </c>
      <c r="I1035" s="2" t="s">
        <v>24</v>
      </c>
      <c r="J1035" s="2" t="s">
        <v>3104</v>
      </c>
      <c r="K1035" s="2" t="s">
        <v>4214</v>
      </c>
      <c r="L1035">
        <v>6</v>
      </c>
      <c r="M1035" s="1">
        <v>708000</v>
      </c>
      <c r="N1035">
        <v>4.9000000000000004</v>
      </c>
      <c r="O1035">
        <v>12</v>
      </c>
      <c r="P1035" s="2" t="s">
        <v>53</v>
      </c>
    </row>
    <row r="1036" spans="1:16" x14ac:dyDescent="0.25">
      <c r="A1036" s="2" t="s">
        <v>4215</v>
      </c>
      <c r="B1036" s="2" t="s">
        <v>4216</v>
      </c>
      <c r="C1036" s="2" t="s">
        <v>18</v>
      </c>
      <c r="D1036" s="2" t="s">
        <v>43</v>
      </c>
      <c r="E1036" s="2" t="s">
        <v>20</v>
      </c>
      <c r="F1036" s="2" t="s">
        <v>39</v>
      </c>
      <c r="G1036" s="2" t="s">
        <v>22</v>
      </c>
      <c r="H1036" s="2" t="s">
        <v>62</v>
      </c>
      <c r="I1036" s="2" t="s">
        <v>24</v>
      </c>
      <c r="J1036" s="2" t="s">
        <v>2687</v>
      </c>
      <c r="K1036" s="2" t="s">
        <v>3257</v>
      </c>
      <c r="L1036">
        <v>2</v>
      </c>
      <c r="M1036" s="1">
        <v>105000</v>
      </c>
      <c r="N1036">
        <v>4.2</v>
      </c>
      <c r="O1036">
        <v>2</v>
      </c>
      <c r="P1036" s="2" t="s">
        <v>26</v>
      </c>
    </row>
    <row r="1037" spans="1:16" x14ac:dyDescent="0.25">
      <c r="A1037" s="2" t="s">
        <v>4217</v>
      </c>
      <c r="B1037" s="2" t="s">
        <v>3760</v>
      </c>
      <c r="C1037" s="2" t="s">
        <v>29</v>
      </c>
      <c r="D1037" s="2" t="s">
        <v>30</v>
      </c>
      <c r="E1037" s="2" t="s">
        <v>20</v>
      </c>
      <c r="F1037" s="2" t="s">
        <v>39</v>
      </c>
      <c r="G1037" s="2" t="s">
        <v>22</v>
      </c>
      <c r="H1037" s="2" t="s">
        <v>46</v>
      </c>
      <c r="I1037" s="2" t="s">
        <v>35</v>
      </c>
      <c r="J1037" s="2" t="s">
        <v>2385</v>
      </c>
      <c r="K1037" s="2" t="s">
        <v>3257</v>
      </c>
      <c r="L1037">
        <v>2</v>
      </c>
      <c r="M1037" s="1">
        <v>145000</v>
      </c>
      <c r="N1037">
        <v>2.5</v>
      </c>
      <c r="O1037">
        <v>10</v>
      </c>
      <c r="P1037" s="2" t="s">
        <v>72</v>
      </c>
    </row>
    <row r="1038" spans="1:16" x14ac:dyDescent="0.25">
      <c r="A1038" s="2" t="s">
        <v>4223</v>
      </c>
      <c r="B1038" s="2" t="s">
        <v>2750</v>
      </c>
      <c r="C1038" s="2" t="s">
        <v>18</v>
      </c>
      <c r="D1038" s="2" t="s">
        <v>50</v>
      </c>
      <c r="E1038" s="2" t="s">
        <v>20</v>
      </c>
      <c r="F1038" s="2" t="s">
        <v>45</v>
      </c>
      <c r="G1038" s="2" t="s">
        <v>33</v>
      </c>
      <c r="H1038" s="2" t="s">
        <v>34</v>
      </c>
      <c r="I1038" s="2" t="s">
        <v>24</v>
      </c>
      <c r="J1038" s="2" t="s">
        <v>158</v>
      </c>
      <c r="K1038" s="2" t="s">
        <v>4231</v>
      </c>
      <c r="L1038">
        <v>3</v>
      </c>
      <c r="M1038" s="1">
        <v>1516000</v>
      </c>
      <c r="N1038">
        <v>4.4000000000000004</v>
      </c>
      <c r="O1038">
        <v>7</v>
      </c>
      <c r="P1038" s="2" t="s">
        <v>26</v>
      </c>
    </row>
    <row r="1039" spans="1:16" x14ac:dyDescent="0.25">
      <c r="A1039" s="2" t="s">
        <v>4226</v>
      </c>
      <c r="B1039" s="2" t="s">
        <v>4227</v>
      </c>
      <c r="C1039" s="2" t="s">
        <v>18</v>
      </c>
      <c r="D1039" s="2" t="s">
        <v>79</v>
      </c>
      <c r="E1039" s="2" t="s">
        <v>31</v>
      </c>
      <c r="F1039" s="2" t="s">
        <v>32</v>
      </c>
      <c r="G1039" s="2" t="s">
        <v>80</v>
      </c>
      <c r="H1039" s="2" t="s">
        <v>46</v>
      </c>
      <c r="I1039" s="2" t="s">
        <v>24</v>
      </c>
      <c r="J1039" s="2" t="s">
        <v>2666</v>
      </c>
      <c r="K1039" s="2" t="s">
        <v>4231</v>
      </c>
      <c r="L1039">
        <v>5</v>
      </c>
      <c r="M1039" s="1">
        <v>250000</v>
      </c>
      <c r="N1039">
        <v>4.5999999999999996</v>
      </c>
      <c r="O1039">
        <v>16</v>
      </c>
      <c r="P1039" s="2" t="s">
        <v>26</v>
      </c>
    </row>
    <row r="1040" spans="1:16" x14ac:dyDescent="0.25">
      <c r="A1040" s="2" t="s">
        <v>4230</v>
      </c>
      <c r="B1040" s="2" t="s">
        <v>2829</v>
      </c>
      <c r="C1040" s="2" t="s">
        <v>29</v>
      </c>
      <c r="D1040" s="2" t="s">
        <v>19</v>
      </c>
      <c r="E1040" s="2" t="s">
        <v>20</v>
      </c>
      <c r="F1040" s="2" t="s">
        <v>32</v>
      </c>
      <c r="G1040" s="2" t="s">
        <v>80</v>
      </c>
      <c r="H1040" s="2" t="s">
        <v>34</v>
      </c>
      <c r="I1040" s="2" t="s">
        <v>24</v>
      </c>
      <c r="J1040" s="2" t="s">
        <v>1620</v>
      </c>
      <c r="K1040" s="2" t="s">
        <v>4231</v>
      </c>
      <c r="L1040">
        <v>2</v>
      </c>
      <c r="M1040" s="1">
        <v>301000</v>
      </c>
      <c r="N1040">
        <v>2.5</v>
      </c>
      <c r="O1040">
        <v>0</v>
      </c>
      <c r="P1040" s="2" t="s">
        <v>53</v>
      </c>
    </row>
    <row r="1041" spans="1:16" x14ac:dyDescent="0.25">
      <c r="A1041" s="2" t="s">
        <v>4232</v>
      </c>
      <c r="B1041" s="2" t="s">
        <v>728</v>
      </c>
      <c r="C1041" s="2" t="s">
        <v>29</v>
      </c>
      <c r="D1041" s="2" t="s">
        <v>19</v>
      </c>
      <c r="E1041" s="2" t="s">
        <v>44</v>
      </c>
      <c r="F1041" s="2" t="s">
        <v>32</v>
      </c>
      <c r="G1041" s="2" t="s">
        <v>33</v>
      </c>
      <c r="H1041" s="2" t="s">
        <v>34</v>
      </c>
      <c r="I1041" s="2" t="s">
        <v>35</v>
      </c>
      <c r="J1041" s="2" t="s">
        <v>4233</v>
      </c>
      <c r="K1041" s="2" t="s">
        <v>3758</v>
      </c>
      <c r="L1041">
        <v>4</v>
      </c>
      <c r="M1041" s="1">
        <v>244000</v>
      </c>
      <c r="N1041">
        <v>2.8</v>
      </c>
      <c r="O1041">
        <v>6</v>
      </c>
      <c r="P1041" s="2" t="s">
        <v>72</v>
      </c>
    </row>
    <row r="1042" spans="1:16" x14ac:dyDescent="0.25">
      <c r="A1042" s="2" t="s">
        <v>4234</v>
      </c>
      <c r="B1042" s="2" t="s">
        <v>4235</v>
      </c>
      <c r="C1042" s="2" t="s">
        <v>18</v>
      </c>
      <c r="D1042" s="2" t="s">
        <v>30</v>
      </c>
      <c r="E1042" s="2" t="s">
        <v>20</v>
      </c>
      <c r="F1042" s="2" t="s">
        <v>128</v>
      </c>
      <c r="G1042" s="2" t="s">
        <v>22</v>
      </c>
      <c r="H1042" s="2" t="s">
        <v>23</v>
      </c>
      <c r="I1042" s="2" t="s">
        <v>24</v>
      </c>
      <c r="J1042" s="2" t="s">
        <v>3273</v>
      </c>
      <c r="K1042" s="2" t="s">
        <v>4236</v>
      </c>
      <c r="L1042">
        <v>3</v>
      </c>
      <c r="M1042" s="1">
        <v>398000</v>
      </c>
      <c r="N1042">
        <v>2.8</v>
      </c>
      <c r="O1042">
        <v>20</v>
      </c>
      <c r="P1042" s="2" t="s">
        <v>53</v>
      </c>
    </row>
    <row r="1043" spans="1:16" x14ac:dyDescent="0.25">
      <c r="A1043" s="2" t="s">
        <v>4239</v>
      </c>
      <c r="B1043" s="2" t="s">
        <v>1233</v>
      </c>
      <c r="C1043" s="2" t="s">
        <v>29</v>
      </c>
      <c r="D1043" s="2" t="s">
        <v>50</v>
      </c>
      <c r="E1043" s="2" t="s">
        <v>20</v>
      </c>
      <c r="F1043" s="2" t="s">
        <v>32</v>
      </c>
      <c r="G1043" s="2" t="s">
        <v>80</v>
      </c>
      <c r="H1043" s="2" t="s">
        <v>34</v>
      </c>
      <c r="I1043" s="2" t="s">
        <v>75</v>
      </c>
      <c r="J1043" s="2" t="s">
        <v>3117</v>
      </c>
      <c r="K1043" s="2" t="s">
        <v>4245</v>
      </c>
      <c r="L1043">
        <v>2</v>
      </c>
      <c r="M1043" s="1">
        <v>192000</v>
      </c>
      <c r="N1043">
        <v>2.2000000000000002</v>
      </c>
      <c r="O1043">
        <v>4</v>
      </c>
      <c r="P1043" s="2" t="s">
        <v>26</v>
      </c>
    </row>
    <row r="1044" spans="1:16" x14ac:dyDescent="0.25">
      <c r="A1044" s="2" t="s">
        <v>4240</v>
      </c>
      <c r="B1044" s="2" t="s">
        <v>2238</v>
      </c>
      <c r="C1044" s="2" t="s">
        <v>29</v>
      </c>
      <c r="D1044" s="2" t="s">
        <v>30</v>
      </c>
      <c r="E1044" s="2" t="s">
        <v>20</v>
      </c>
      <c r="F1044" s="2" t="s">
        <v>39</v>
      </c>
      <c r="G1044" s="2" t="s">
        <v>33</v>
      </c>
      <c r="H1044" s="2" t="s">
        <v>46</v>
      </c>
      <c r="I1044" s="2" t="s">
        <v>24</v>
      </c>
      <c r="J1044" s="2" t="s">
        <v>560</v>
      </c>
      <c r="K1044" s="2" t="s">
        <v>4245</v>
      </c>
      <c r="L1044">
        <v>2</v>
      </c>
      <c r="M1044" s="1">
        <v>130000</v>
      </c>
      <c r="N1044">
        <v>3.2</v>
      </c>
      <c r="O1044">
        <v>16</v>
      </c>
      <c r="P1044" s="2" t="s">
        <v>26</v>
      </c>
    </row>
    <row r="1045" spans="1:16" x14ac:dyDescent="0.25">
      <c r="A1045" s="2" t="s">
        <v>4241</v>
      </c>
      <c r="B1045" s="2" t="s">
        <v>1088</v>
      </c>
      <c r="C1045" s="2" t="s">
        <v>29</v>
      </c>
      <c r="D1045" s="2" t="s">
        <v>30</v>
      </c>
      <c r="E1045" s="2" t="s">
        <v>20</v>
      </c>
      <c r="F1045" s="2" t="s">
        <v>32</v>
      </c>
      <c r="G1045" s="2" t="s">
        <v>22</v>
      </c>
      <c r="H1045" s="2" t="s">
        <v>62</v>
      </c>
      <c r="I1045" s="2" t="s">
        <v>24</v>
      </c>
      <c r="J1045" s="2" t="s">
        <v>4242</v>
      </c>
      <c r="K1045" s="2" t="s">
        <v>4245</v>
      </c>
      <c r="L1045">
        <v>2</v>
      </c>
      <c r="M1045" s="1">
        <v>290000</v>
      </c>
      <c r="N1045">
        <v>4.4000000000000004</v>
      </c>
      <c r="O1045">
        <v>13</v>
      </c>
      <c r="P1045" s="2" t="s">
        <v>26</v>
      </c>
    </row>
    <row r="1046" spans="1:16" x14ac:dyDescent="0.25">
      <c r="A1046" s="2" t="s">
        <v>4244</v>
      </c>
      <c r="B1046" s="2" t="s">
        <v>3428</v>
      </c>
      <c r="C1046" s="2" t="s">
        <v>18</v>
      </c>
      <c r="D1046" s="2" t="s">
        <v>43</v>
      </c>
      <c r="E1046" s="2" t="s">
        <v>44</v>
      </c>
      <c r="F1046" s="2" t="s">
        <v>128</v>
      </c>
      <c r="G1046" s="2" t="s">
        <v>33</v>
      </c>
      <c r="H1046" s="2" t="s">
        <v>34</v>
      </c>
      <c r="I1046" s="2" t="s">
        <v>57</v>
      </c>
      <c r="J1046" s="2" t="s">
        <v>1479</v>
      </c>
      <c r="K1046" s="2" t="s">
        <v>4245</v>
      </c>
      <c r="L1046">
        <v>3</v>
      </c>
      <c r="M1046" s="1">
        <v>412000</v>
      </c>
      <c r="N1046">
        <v>4.4000000000000004</v>
      </c>
      <c r="O1046">
        <v>2</v>
      </c>
      <c r="P1046" s="2" t="s">
        <v>53</v>
      </c>
    </row>
    <row r="1047" spans="1:16" x14ac:dyDescent="0.25">
      <c r="A1047" s="2" t="s">
        <v>4246</v>
      </c>
      <c r="B1047" s="2" t="s">
        <v>4247</v>
      </c>
      <c r="C1047" s="2" t="s">
        <v>18</v>
      </c>
      <c r="D1047" s="2" t="s">
        <v>79</v>
      </c>
      <c r="E1047" s="2" t="s">
        <v>31</v>
      </c>
      <c r="F1047" s="2" t="s">
        <v>128</v>
      </c>
      <c r="G1047" s="2" t="s">
        <v>22</v>
      </c>
      <c r="H1047" s="2" t="s">
        <v>46</v>
      </c>
      <c r="I1047" s="2" t="s">
        <v>24</v>
      </c>
      <c r="J1047" s="2" t="s">
        <v>1220</v>
      </c>
      <c r="K1047" s="2" t="s">
        <v>412</v>
      </c>
      <c r="L1047">
        <v>3</v>
      </c>
      <c r="M1047" s="1">
        <v>580000</v>
      </c>
      <c r="N1047">
        <v>2.7</v>
      </c>
      <c r="O1047">
        <v>28</v>
      </c>
      <c r="P1047" s="2" t="s">
        <v>53</v>
      </c>
    </row>
    <row r="1048" spans="1:16" x14ac:dyDescent="0.25">
      <c r="A1048" s="2" t="s">
        <v>4248</v>
      </c>
      <c r="B1048" s="2" t="s">
        <v>2446</v>
      </c>
      <c r="C1048" s="2" t="s">
        <v>29</v>
      </c>
      <c r="D1048" s="2" t="s">
        <v>30</v>
      </c>
      <c r="E1048" s="2" t="s">
        <v>20</v>
      </c>
      <c r="F1048" s="2" t="s">
        <v>128</v>
      </c>
      <c r="G1048" s="2" t="s">
        <v>22</v>
      </c>
      <c r="H1048" s="2" t="s">
        <v>62</v>
      </c>
      <c r="I1048" s="2" t="s">
        <v>24</v>
      </c>
      <c r="J1048" s="2" t="s">
        <v>4249</v>
      </c>
      <c r="K1048" s="2" t="s">
        <v>425</v>
      </c>
      <c r="L1048">
        <v>6</v>
      </c>
      <c r="M1048" s="1">
        <v>398000</v>
      </c>
      <c r="N1048">
        <v>5</v>
      </c>
      <c r="O1048">
        <v>5</v>
      </c>
      <c r="P1048" s="2" t="s">
        <v>26</v>
      </c>
    </row>
    <row r="1049" spans="1:16" x14ac:dyDescent="0.25">
      <c r="A1049" s="2" t="s">
        <v>4250</v>
      </c>
      <c r="B1049" s="2" t="s">
        <v>2123</v>
      </c>
      <c r="C1049" s="2" t="s">
        <v>29</v>
      </c>
      <c r="D1049" s="2" t="s">
        <v>19</v>
      </c>
      <c r="E1049" s="2" t="s">
        <v>20</v>
      </c>
      <c r="F1049" s="2" t="s">
        <v>39</v>
      </c>
      <c r="G1049" s="2" t="s">
        <v>33</v>
      </c>
      <c r="H1049" s="2" t="s">
        <v>62</v>
      </c>
      <c r="I1049" s="2" t="s">
        <v>57</v>
      </c>
      <c r="J1049" s="2" t="s">
        <v>3348</v>
      </c>
      <c r="K1049" s="2" t="s">
        <v>425</v>
      </c>
      <c r="L1049">
        <v>4</v>
      </c>
      <c r="M1049" s="1">
        <v>119000</v>
      </c>
      <c r="N1049">
        <v>4.7</v>
      </c>
      <c r="O1049">
        <v>12</v>
      </c>
      <c r="P1049" s="2" t="s">
        <v>26</v>
      </c>
    </row>
    <row r="1050" spans="1:16" x14ac:dyDescent="0.25">
      <c r="A1050" s="2" t="s">
        <v>4252</v>
      </c>
      <c r="B1050" s="2" t="s">
        <v>4253</v>
      </c>
      <c r="C1050" s="2" t="s">
        <v>18</v>
      </c>
      <c r="D1050" s="2" t="s">
        <v>30</v>
      </c>
      <c r="E1050" s="2" t="s">
        <v>20</v>
      </c>
      <c r="F1050" s="2" t="s">
        <v>32</v>
      </c>
      <c r="G1050" s="2" t="s">
        <v>69</v>
      </c>
      <c r="H1050" s="2" t="s">
        <v>46</v>
      </c>
      <c r="I1050" s="2" t="s">
        <v>171</v>
      </c>
      <c r="J1050" s="2" t="s">
        <v>4254</v>
      </c>
      <c r="K1050" s="2" t="s">
        <v>425</v>
      </c>
      <c r="L1050">
        <v>6</v>
      </c>
      <c r="M1050" s="1">
        <v>318000</v>
      </c>
      <c r="N1050">
        <v>2.8</v>
      </c>
      <c r="O1050">
        <v>14</v>
      </c>
      <c r="P1050" s="2" t="s">
        <v>114</v>
      </c>
    </row>
    <row r="1051" spans="1:16" x14ac:dyDescent="0.25">
      <c r="A1051" s="2" t="s">
        <v>4255</v>
      </c>
      <c r="B1051" s="2" t="s">
        <v>919</v>
      </c>
      <c r="C1051" s="2" t="s">
        <v>29</v>
      </c>
      <c r="D1051" s="2" t="s">
        <v>30</v>
      </c>
      <c r="E1051" s="2" t="s">
        <v>31</v>
      </c>
      <c r="F1051" s="2" t="s">
        <v>39</v>
      </c>
      <c r="G1051" s="2" t="s">
        <v>22</v>
      </c>
      <c r="H1051" s="2" t="s">
        <v>34</v>
      </c>
      <c r="I1051" s="2" t="s">
        <v>35</v>
      </c>
      <c r="J1051" s="2" t="s">
        <v>1240</v>
      </c>
      <c r="K1051" s="2" t="s">
        <v>3726</v>
      </c>
      <c r="L1051">
        <v>3</v>
      </c>
      <c r="M1051" s="1">
        <v>123000</v>
      </c>
      <c r="N1051">
        <v>1.6</v>
      </c>
      <c r="O1051">
        <v>28</v>
      </c>
      <c r="P1051" s="2" t="s">
        <v>26</v>
      </c>
    </row>
    <row r="1052" spans="1:16" x14ac:dyDescent="0.25">
      <c r="A1052" s="2" t="s">
        <v>4259</v>
      </c>
      <c r="B1052" s="2" t="s">
        <v>4260</v>
      </c>
      <c r="C1052" s="2" t="s">
        <v>29</v>
      </c>
      <c r="D1052" s="2" t="s">
        <v>19</v>
      </c>
      <c r="E1052" s="2" t="s">
        <v>20</v>
      </c>
      <c r="F1052" s="2" t="s">
        <v>128</v>
      </c>
      <c r="G1052" s="2" t="s">
        <v>69</v>
      </c>
      <c r="H1052" s="2" t="s">
        <v>46</v>
      </c>
      <c r="I1052" s="2" t="s">
        <v>57</v>
      </c>
      <c r="J1052" s="2" t="s">
        <v>2505</v>
      </c>
      <c r="K1052" s="2" t="s">
        <v>3726</v>
      </c>
      <c r="L1052">
        <v>3</v>
      </c>
      <c r="M1052" s="1">
        <v>619000</v>
      </c>
      <c r="N1052">
        <v>4.5999999999999996</v>
      </c>
      <c r="O1052">
        <v>1</v>
      </c>
      <c r="P1052" s="2" t="s">
        <v>26</v>
      </c>
    </row>
    <row r="1053" spans="1:16" x14ac:dyDescent="0.25">
      <c r="A1053" s="2" t="s">
        <v>4263</v>
      </c>
      <c r="B1053" s="2" t="s">
        <v>3482</v>
      </c>
      <c r="C1053" s="2" t="s">
        <v>18</v>
      </c>
      <c r="D1053" s="2" t="s">
        <v>79</v>
      </c>
      <c r="E1053" s="2" t="s">
        <v>44</v>
      </c>
      <c r="F1053" s="2" t="s">
        <v>128</v>
      </c>
      <c r="G1053" s="2" t="s">
        <v>33</v>
      </c>
      <c r="H1053" s="2" t="s">
        <v>23</v>
      </c>
      <c r="I1053" s="2" t="s">
        <v>75</v>
      </c>
      <c r="J1053" s="2" t="s">
        <v>4264</v>
      </c>
      <c r="K1053" s="2" t="s">
        <v>3726</v>
      </c>
      <c r="L1053">
        <v>6</v>
      </c>
      <c r="M1053" s="1">
        <v>517000</v>
      </c>
      <c r="N1053">
        <v>2.8</v>
      </c>
      <c r="O1053">
        <v>12</v>
      </c>
      <c r="P1053" s="2" t="s">
        <v>53</v>
      </c>
    </row>
    <row r="1054" spans="1:16" x14ac:dyDescent="0.25">
      <c r="A1054" s="2" t="s">
        <v>4265</v>
      </c>
      <c r="B1054" s="2" t="s">
        <v>4266</v>
      </c>
      <c r="C1054" s="2" t="s">
        <v>18</v>
      </c>
      <c r="D1054" s="2" t="s">
        <v>79</v>
      </c>
      <c r="E1054" s="2" t="s">
        <v>20</v>
      </c>
      <c r="F1054" s="2" t="s">
        <v>45</v>
      </c>
      <c r="G1054" s="2" t="s">
        <v>22</v>
      </c>
      <c r="H1054" s="2" t="s">
        <v>46</v>
      </c>
      <c r="I1054" s="2" t="s">
        <v>35</v>
      </c>
      <c r="J1054" s="2" t="s">
        <v>1098</v>
      </c>
      <c r="K1054" s="2" t="s">
        <v>4289</v>
      </c>
      <c r="L1054">
        <v>4</v>
      </c>
      <c r="M1054" s="1">
        <v>1697000</v>
      </c>
      <c r="N1054">
        <v>4.2</v>
      </c>
      <c r="O1054">
        <v>11</v>
      </c>
      <c r="P1054" s="2" t="s">
        <v>26</v>
      </c>
    </row>
    <row r="1055" spans="1:16" x14ac:dyDescent="0.25">
      <c r="A1055" s="2" t="s">
        <v>4267</v>
      </c>
      <c r="B1055" s="2" t="s">
        <v>4268</v>
      </c>
      <c r="C1055" s="2" t="s">
        <v>18</v>
      </c>
      <c r="D1055" s="2" t="s">
        <v>19</v>
      </c>
      <c r="E1055" s="2" t="s">
        <v>20</v>
      </c>
      <c r="F1055" s="2" t="s">
        <v>32</v>
      </c>
      <c r="G1055" s="2" t="s">
        <v>33</v>
      </c>
      <c r="H1055" s="2" t="s">
        <v>23</v>
      </c>
      <c r="I1055" s="2" t="s">
        <v>24</v>
      </c>
      <c r="J1055" s="2" t="s">
        <v>4269</v>
      </c>
      <c r="K1055" s="2" t="s">
        <v>4289</v>
      </c>
      <c r="L1055">
        <v>3</v>
      </c>
      <c r="M1055" s="1">
        <v>369000</v>
      </c>
      <c r="N1055">
        <v>2.5</v>
      </c>
      <c r="O1055">
        <v>1</v>
      </c>
      <c r="P1055" s="2" t="s">
        <v>26</v>
      </c>
    </row>
    <row r="1056" spans="1:16" x14ac:dyDescent="0.25">
      <c r="A1056" s="2" t="s">
        <v>4272</v>
      </c>
      <c r="B1056" s="2" t="s">
        <v>4273</v>
      </c>
      <c r="C1056" s="2" t="s">
        <v>29</v>
      </c>
      <c r="D1056" s="2" t="s">
        <v>79</v>
      </c>
      <c r="E1056" s="2" t="s">
        <v>44</v>
      </c>
      <c r="F1056" s="2" t="s">
        <v>39</v>
      </c>
      <c r="G1056" s="2" t="s">
        <v>33</v>
      </c>
      <c r="H1056" s="2" t="s">
        <v>62</v>
      </c>
      <c r="I1056" s="2" t="s">
        <v>24</v>
      </c>
      <c r="J1056" s="2" t="s">
        <v>4085</v>
      </c>
      <c r="K1056" s="2" t="s">
        <v>4289</v>
      </c>
      <c r="L1056">
        <v>6</v>
      </c>
      <c r="M1056" s="1">
        <v>167000</v>
      </c>
      <c r="N1056">
        <v>4.3</v>
      </c>
      <c r="O1056">
        <v>0</v>
      </c>
      <c r="P1056" s="2" t="s">
        <v>26</v>
      </c>
    </row>
    <row r="1057" spans="1:16" x14ac:dyDescent="0.25">
      <c r="A1057" s="2" t="s">
        <v>4274</v>
      </c>
      <c r="B1057" s="2" t="s">
        <v>4275</v>
      </c>
      <c r="C1057" s="2" t="s">
        <v>29</v>
      </c>
      <c r="D1057" s="2" t="s">
        <v>43</v>
      </c>
      <c r="E1057" s="2" t="s">
        <v>20</v>
      </c>
      <c r="F1057" s="2" t="s">
        <v>128</v>
      </c>
      <c r="G1057" s="2" t="s">
        <v>80</v>
      </c>
      <c r="H1057" s="2" t="s">
        <v>62</v>
      </c>
      <c r="I1057" s="2" t="s">
        <v>35</v>
      </c>
      <c r="J1057" s="2" t="s">
        <v>289</v>
      </c>
      <c r="K1057" s="2" t="s">
        <v>4289</v>
      </c>
      <c r="L1057">
        <v>5</v>
      </c>
      <c r="M1057" s="1">
        <v>486000</v>
      </c>
      <c r="N1057">
        <v>3.3</v>
      </c>
      <c r="O1057">
        <v>14</v>
      </c>
      <c r="P1057" s="2" t="s">
        <v>26</v>
      </c>
    </row>
    <row r="1058" spans="1:16" x14ac:dyDescent="0.25">
      <c r="A1058" s="2" t="s">
        <v>4286</v>
      </c>
      <c r="B1058" s="2" t="s">
        <v>4287</v>
      </c>
      <c r="C1058" s="2" t="s">
        <v>18</v>
      </c>
      <c r="D1058" s="2" t="s">
        <v>19</v>
      </c>
      <c r="E1058" s="2" t="s">
        <v>20</v>
      </c>
      <c r="F1058" s="2" t="s">
        <v>32</v>
      </c>
      <c r="G1058" s="2" t="s">
        <v>22</v>
      </c>
      <c r="H1058" s="2" t="s">
        <v>23</v>
      </c>
      <c r="I1058" s="2" t="s">
        <v>57</v>
      </c>
      <c r="J1058" s="2" t="s">
        <v>4288</v>
      </c>
      <c r="K1058" s="2" t="s">
        <v>4289</v>
      </c>
      <c r="L1058">
        <v>5</v>
      </c>
      <c r="M1058" s="1">
        <v>279000</v>
      </c>
      <c r="N1058">
        <v>2.8</v>
      </c>
      <c r="O1058">
        <v>8</v>
      </c>
      <c r="P1058" s="2" t="s">
        <v>72</v>
      </c>
    </row>
    <row r="1059" spans="1:16" x14ac:dyDescent="0.25">
      <c r="A1059" s="2" t="s">
        <v>4290</v>
      </c>
      <c r="B1059" s="2" t="s">
        <v>4291</v>
      </c>
      <c r="C1059" s="2" t="s">
        <v>18</v>
      </c>
      <c r="D1059" s="2" t="s">
        <v>43</v>
      </c>
      <c r="E1059" s="2" t="s">
        <v>20</v>
      </c>
      <c r="F1059" s="2" t="s">
        <v>32</v>
      </c>
      <c r="G1059" s="2" t="s">
        <v>80</v>
      </c>
      <c r="H1059" s="2" t="s">
        <v>46</v>
      </c>
      <c r="I1059" s="2" t="s">
        <v>24</v>
      </c>
      <c r="J1059" s="2" t="s">
        <v>4249</v>
      </c>
      <c r="K1059" s="2" t="s">
        <v>1709</v>
      </c>
      <c r="L1059">
        <v>6</v>
      </c>
      <c r="M1059" s="1">
        <v>279000</v>
      </c>
      <c r="N1059">
        <v>2.1</v>
      </c>
      <c r="O1059">
        <v>1</v>
      </c>
      <c r="P1059" s="2" t="s">
        <v>26</v>
      </c>
    </row>
    <row r="1060" spans="1:16" x14ac:dyDescent="0.25">
      <c r="A1060" s="2" t="s">
        <v>4292</v>
      </c>
      <c r="B1060" s="2" t="s">
        <v>2485</v>
      </c>
      <c r="C1060" s="2" t="s">
        <v>18</v>
      </c>
      <c r="D1060" s="2" t="s">
        <v>43</v>
      </c>
      <c r="E1060" s="2" t="s">
        <v>20</v>
      </c>
      <c r="F1060" s="2" t="s">
        <v>39</v>
      </c>
      <c r="G1060" s="2" t="s">
        <v>33</v>
      </c>
      <c r="H1060" s="2" t="s">
        <v>62</v>
      </c>
      <c r="I1060" s="2" t="s">
        <v>57</v>
      </c>
      <c r="J1060" s="2" t="s">
        <v>3945</v>
      </c>
      <c r="K1060" s="2" t="s">
        <v>1709</v>
      </c>
      <c r="L1060">
        <v>6</v>
      </c>
      <c r="M1060" s="1">
        <v>137000</v>
      </c>
      <c r="N1060">
        <v>4.8</v>
      </c>
      <c r="O1060">
        <v>26</v>
      </c>
      <c r="P1060" s="2" t="s">
        <v>53</v>
      </c>
    </row>
    <row r="1061" spans="1:16" x14ac:dyDescent="0.25">
      <c r="A1061" s="2" t="s">
        <v>4294</v>
      </c>
      <c r="B1061" s="2" t="s">
        <v>1144</v>
      </c>
      <c r="C1061" s="2" t="s">
        <v>18</v>
      </c>
      <c r="D1061" s="2" t="s">
        <v>43</v>
      </c>
      <c r="E1061" s="2" t="s">
        <v>20</v>
      </c>
      <c r="F1061" s="2" t="s">
        <v>128</v>
      </c>
      <c r="G1061" s="2" t="s">
        <v>33</v>
      </c>
      <c r="H1061" s="2" t="s">
        <v>34</v>
      </c>
      <c r="I1061" s="2" t="s">
        <v>24</v>
      </c>
      <c r="J1061" s="2" t="s">
        <v>4295</v>
      </c>
      <c r="K1061" s="2" t="s">
        <v>4314</v>
      </c>
      <c r="L1061">
        <v>6</v>
      </c>
      <c r="M1061" s="1">
        <v>503000</v>
      </c>
      <c r="N1061">
        <v>4.3</v>
      </c>
      <c r="O1061">
        <v>3</v>
      </c>
      <c r="P1061" s="2" t="s">
        <v>26</v>
      </c>
    </row>
    <row r="1062" spans="1:16" x14ac:dyDescent="0.25">
      <c r="A1062" s="2" t="s">
        <v>4298</v>
      </c>
      <c r="B1062" s="2" t="s">
        <v>4299</v>
      </c>
      <c r="C1062" s="2" t="s">
        <v>18</v>
      </c>
      <c r="D1062" s="2" t="s">
        <v>50</v>
      </c>
      <c r="E1062" s="2" t="s">
        <v>20</v>
      </c>
      <c r="F1062" s="2" t="s">
        <v>39</v>
      </c>
      <c r="G1062" s="2" t="s">
        <v>80</v>
      </c>
      <c r="H1062" s="2" t="s">
        <v>34</v>
      </c>
      <c r="I1062" s="2" t="s">
        <v>57</v>
      </c>
      <c r="J1062" s="2" t="s">
        <v>165</v>
      </c>
      <c r="K1062" s="2" t="s">
        <v>4314</v>
      </c>
      <c r="L1062">
        <v>2</v>
      </c>
      <c r="M1062" s="1">
        <v>172000</v>
      </c>
      <c r="N1062">
        <v>3.3</v>
      </c>
      <c r="O1062">
        <v>2</v>
      </c>
      <c r="P1062" s="2" t="s">
        <v>26</v>
      </c>
    </row>
    <row r="1063" spans="1:16" x14ac:dyDescent="0.25">
      <c r="A1063" s="2" t="s">
        <v>4300</v>
      </c>
      <c r="B1063" s="2" t="s">
        <v>4301</v>
      </c>
      <c r="C1063" s="2" t="s">
        <v>29</v>
      </c>
      <c r="D1063" s="2" t="s">
        <v>19</v>
      </c>
      <c r="E1063" s="2" t="s">
        <v>20</v>
      </c>
      <c r="F1063" s="2" t="s">
        <v>128</v>
      </c>
      <c r="G1063" s="2" t="s">
        <v>33</v>
      </c>
      <c r="H1063" s="2" t="s">
        <v>34</v>
      </c>
      <c r="I1063" s="2" t="s">
        <v>24</v>
      </c>
      <c r="J1063" s="2" t="s">
        <v>4302</v>
      </c>
      <c r="K1063" s="2" t="s">
        <v>4314</v>
      </c>
      <c r="L1063">
        <v>4</v>
      </c>
      <c r="M1063" s="1">
        <v>423000</v>
      </c>
      <c r="N1063">
        <v>3.5</v>
      </c>
      <c r="O1063">
        <v>1</v>
      </c>
      <c r="P1063" s="2" t="s">
        <v>26</v>
      </c>
    </row>
    <row r="1064" spans="1:16" x14ac:dyDescent="0.25">
      <c r="A1064" s="2" t="s">
        <v>4303</v>
      </c>
      <c r="B1064" s="2" t="s">
        <v>4304</v>
      </c>
      <c r="C1064" s="2" t="s">
        <v>18</v>
      </c>
      <c r="D1064" s="2" t="s">
        <v>79</v>
      </c>
      <c r="E1064" s="2" t="s">
        <v>20</v>
      </c>
      <c r="F1064" s="2" t="s">
        <v>128</v>
      </c>
      <c r="G1064" s="2" t="s">
        <v>22</v>
      </c>
      <c r="H1064" s="2" t="s">
        <v>62</v>
      </c>
      <c r="I1064" s="2" t="s">
        <v>24</v>
      </c>
      <c r="J1064" s="2" t="s">
        <v>2802</v>
      </c>
      <c r="K1064" s="2" t="s">
        <v>4314</v>
      </c>
      <c r="L1064">
        <v>7</v>
      </c>
      <c r="M1064" s="1">
        <v>354000</v>
      </c>
      <c r="N1064">
        <v>2</v>
      </c>
      <c r="O1064">
        <v>3</v>
      </c>
      <c r="P1064" s="2" t="s">
        <v>26</v>
      </c>
    </row>
    <row r="1065" spans="1:16" x14ac:dyDescent="0.25">
      <c r="A1065" s="2" t="s">
        <v>4308</v>
      </c>
      <c r="B1065" s="2" t="s">
        <v>451</v>
      </c>
      <c r="C1065" s="2" t="s">
        <v>29</v>
      </c>
      <c r="D1065" s="2" t="s">
        <v>43</v>
      </c>
      <c r="E1065" s="2" t="s">
        <v>20</v>
      </c>
      <c r="F1065" s="2" t="s">
        <v>45</v>
      </c>
      <c r="G1065" s="2" t="s">
        <v>80</v>
      </c>
      <c r="H1065" s="2" t="s">
        <v>23</v>
      </c>
      <c r="I1065" s="2" t="s">
        <v>75</v>
      </c>
      <c r="J1065" s="2" t="s">
        <v>4309</v>
      </c>
      <c r="K1065" s="2" t="s">
        <v>4314</v>
      </c>
      <c r="L1065">
        <v>4</v>
      </c>
      <c r="M1065" s="1">
        <v>1703000</v>
      </c>
      <c r="N1065">
        <v>4.2</v>
      </c>
      <c r="O1065">
        <v>2</v>
      </c>
      <c r="P1065" s="2" t="s">
        <v>26</v>
      </c>
    </row>
    <row r="1066" spans="1:16" x14ac:dyDescent="0.25">
      <c r="A1066" s="2" t="s">
        <v>4310</v>
      </c>
      <c r="B1066" s="2" t="s">
        <v>1859</v>
      </c>
      <c r="C1066" s="2" t="s">
        <v>29</v>
      </c>
      <c r="D1066" s="2" t="s">
        <v>43</v>
      </c>
      <c r="E1066" s="2" t="s">
        <v>31</v>
      </c>
      <c r="F1066" s="2" t="s">
        <v>128</v>
      </c>
      <c r="G1066" s="2" t="s">
        <v>33</v>
      </c>
      <c r="H1066" s="2" t="s">
        <v>62</v>
      </c>
      <c r="I1066" s="2" t="s">
        <v>57</v>
      </c>
      <c r="J1066" s="2" t="s">
        <v>1671</v>
      </c>
      <c r="K1066" s="2" t="s">
        <v>4314</v>
      </c>
      <c r="L1066">
        <v>5</v>
      </c>
      <c r="M1066" s="1">
        <v>355000</v>
      </c>
      <c r="N1066">
        <v>2.2000000000000002</v>
      </c>
      <c r="O1066">
        <v>6</v>
      </c>
      <c r="P1066" s="2" t="s">
        <v>26</v>
      </c>
    </row>
    <row r="1067" spans="1:16" x14ac:dyDescent="0.25">
      <c r="A1067" s="2" t="s">
        <v>4311</v>
      </c>
      <c r="B1067" s="2" t="s">
        <v>4312</v>
      </c>
      <c r="C1067" s="2" t="s">
        <v>18</v>
      </c>
      <c r="D1067" s="2" t="s">
        <v>30</v>
      </c>
      <c r="E1067" s="2" t="s">
        <v>20</v>
      </c>
      <c r="F1067" s="2" t="s">
        <v>39</v>
      </c>
      <c r="G1067" s="2" t="s">
        <v>22</v>
      </c>
      <c r="H1067" s="2" t="s">
        <v>23</v>
      </c>
      <c r="I1067" s="2" t="s">
        <v>24</v>
      </c>
      <c r="J1067" s="2" t="s">
        <v>4313</v>
      </c>
      <c r="K1067" s="2" t="s">
        <v>4314</v>
      </c>
      <c r="L1067">
        <v>6</v>
      </c>
      <c r="M1067" s="1">
        <v>152000</v>
      </c>
      <c r="N1067">
        <v>1.7</v>
      </c>
      <c r="O1067">
        <v>0</v>
      </c>
      <c r="P1067" s="2" t="s">
        <v>53</v>
      </c>
    </row>
    <row r="1068" spans="1:16" x14ac:dyDescent="0.25">
      <c r="A1068" s="2" t="s">
        <v>4320</v>
      </c>
      <c r="B1068" s="2" t="s">
        <v>4321</v>
      </c>
      <c r="C1068" s="2" t="s">
        <v>18</v>
      </c>
      <c r="D1068" s="2" t="s">
        <v>50</v>
      </c>
      <c r="E1068" s="2" t="s">
        <v>20</v>
      </c>
      <c r="F1068" s="2" t="s">
        <v>39</v>
      </c>
      <c r="G1068" s="2" t="s">
        <v>22</v>
      </c>
      <c r="H1068" s="2" t="s">
        <v>23</v>
      </c>
      <c r="I1068" s="2" t="s">
        <v>24</v>
      </c>
      <c r="J1068" s="2" t="s">
        <v>4322</v>
      </c>
      <c r="K1068" s="2" t="s">
        <v>266</v>
      </c>
      <c r="L1068">
        <v>4</v>
      </c>
      <c r="M1068" s="1">
        <v>163000</v>
      </c>
      <c r="N1068">
        <v>3.7</v>
      </c>
      <c r="O1068">
        <v>26</v>
      </c>
      <c r="P1068" s="2" t="s">
        <v>26</v>
      </c>
    </row>
    <row r="1069" spans="1:16" x14ac:dyDescent="0.25">
      <c r="A1069" s="2" t="s">
        <v>4325</v>
      </c>
      <c r="B1069" s="2" t="s">
        <v>2774</v>
      </c>
      <c r="C1069" s="2" t="s">
        <v>29</v>
      </c>
      <c r="D1069" s="2" t="s">
        <v>19</v>
      </c>
      <c r="E1069" s="2" t="s">
        <v>44</v>
      </c>
      <c r="F1069" s="2" t="s">
        <v>128</v>
      </c>
      <c r="G1069" s="2" t="s">
        <v>33</v>
      </c>
      <c r="H1069" s="2" t="s">
        <v>46</v>
      </c>
      <c r="I1069" s="2" t="s">
        <v>24</v>
      </c>
      <c r="J1069" s="2" t="s">
        <v>4326</v>
      </c>
      <c r="K1069" s="2" t="s">
        <v>266</v>
      </c>
      <c r="L1069">
        <v>3</v>
      </c>
      <c r="M1069" s="1">
        <v>630000</v>
      </c>
      <c r="N1069">
        <v>4.8</v>
      </c>
      <c r="O1069">
        <v>14</v>
      </c>
      <c r="P1069" s="2" t="s">
        <v>26</v>
      </c>
    </row>
    <row r="1070" spans="1:16" x14ac:dyDescent="0.25">
      <c r="A1070" s="2" t="s">
        <v>4327</v>
      </c>
      <c r="B1070" s="2" t="s">
        <v>4328</v>
      </c>
      <c r="C1070" s="2" t="s">
        <v>29</v>
      </c>
      <c r="D1070" s="2" t="s">
        <v>43</v>
      </c>
      <c r="E1070" s="2" t="s">
        <v>31</v>
      </c>
      <c r="F1070" s="2" t="s">
        <v>128</v>
      </c>
      <c r="G1070" s="2" t="s">
        <v>69</v>
      </c>
      <c r="H1070" s="2" t="s">
        <v>46</v>
      </c>
      <c r="I1070" s="2" t="s">
        <v>57</v>
      </c>
      <c r="J1070" s="2" t="s">
        <v>2216</v>
      </c>
      <c r="K1070" s="2" t="s">
        <v>266</v>
      </c>
      <c r="L1070">
        <v>2</v>
      </c>
      <c r="M1070" s="1">
        <v>516000</v>
      </c>
      <c r="N1070">
        <v>3.2</v>
      </c>
      <c r="O1070">
        <v>5</v>
      </c>
      <c r="P1070" s="2" t="s">
        <v>26</v>
      </c>
    </row>
    <row r="1071" spans="1:16" x14ac:dyDescent="0.25">
      <c r="A1071" s="2" t="s">
        <v>4334</v>
      </c>
      <c r="B1071" s="2" t="s">
        <v>980</v>
      </c>
      <c r="C1071" s="2" t="s">
        <v>18</v>
      </c>
      <c r="D1071" s="2" t="s">
        <v>30</v>
      </c>
      <c r="E1071" s="2" t="s">
        <v>44</v>
      </c>
      <c r="F1071" s="2" t="s">
        <v>21</v>
      </c>
      <c r="G1071" s="2" t="s">
        <v>80</v>
      </c>
      <c r="H1071" s="2" t="s">
        <v>23</v>
      </c>
      <c r="I1071" s="2" t="s">
        <v>24</v>
      </c>
      <c r="J1071" s="2" t="s">
        <v>1350</v>
      </c>
      <c r="K1071" s="2" t="s">
        <v>266</v>
      </c>
      <c r="L1071">
        <v>4</v>
      </c>
      <c r="M1071" s="1">
        <v>674000</v>
      </c>
      <c r="N1071">
        <v>3.2</v>
      </c>
      <c r="O1071">
        <v>7</v>
      </c>
      <c r="P1071" s="2" t="s">
        <v>26</v>
      </c>
    </row>
    <row r="1072" spans="1:16" x14ac:dyDescent="0.25">
      <c r="A1072" s="2" t="s">
        <v>4335</v>
      </c>
      <c r="B1072" s="2" t="s">
        <v>4336</v>
      </c>
      <c r="C1072" s="2" t="s">
        <v>29</v>
      </c>
      <c r="D1072" s="2" t="s">
        <v>50</v>
      </c>
      <c r="E1072" s="2" t="s">
        <v>20</v>
      </c>
      <c r="F1072" s="2" t="s">
        <v>39</v>
      </c>
      <c r="G1072" s="2" t="s">
        <v>80</v>
      </c>
      <c r="H1072" s="2" t="s">
        <v>23</v>
      </c>
      <c r="I1072" s="2" t="s">
        <v>171</v>
      </c>
      <c r="J1072" s="2" t="s">
        <v>466</v>
      </c>
      <c r="K1072" s="2" t="s">
        <v>266</v>
      </c>
      <c r="L1072">
        <v>4</v>
      </c>
      <c r="M1072" s="1">
        <v>152000</v>
      </c>
      <c r="N1072">
        <v>3.5</v>
      </c>
      <c r="O1072">
        <v>11</v>
      </c>
      <c r="P1072" s="2" t="s">
        <v>26</v>
      </c>
    </row>
    <row r="1073" spans="1:16" x14ac:dyDescent="0.25">
      <c r="A1073" s="2" t="s">
        <v>4337</v>
      </c>
      <c r="B1073" s="2" t="s">
        <v>4338</v>
      </c>
      <c r="C1073" s="2" t="s">
        <v>29</v>
      </c>
      <c r="D1073" s="2" t="s">
        <v>30</v>
      </c>
      <c r="E1073" s="2" t="s">
        <v>44</v>
      </c>
      <c r="F1073" s="2" t="s">
        <v>39</v>
      </c>
      <c r="G1073" s="2" t="s">
        <v>33</v>
      </c>
      <c r="H1073" s="2" t="s">
        <v>23</v>
      </c>
      <c r="I1073" s="2" t="s">
        <v>24</v>
      </c>
      <c r="J1073" s="2" t="s">
        <v>4339</v>
      </c>
      <c r="K1073" s="2" t="s">
        <v>266</v>
      </c>
      <c r="L1073">
        <v>6</v>
      </c>
      <c r="M1073" s="1">
        <v>141000</v>
      </c>
      <c r="N1073">
        <v>1.7</v>
      </c>
      <c r="O1073">
        <v>35</v>
      </c>
      <c r="P1073" s="2" t="s">
        <v>53</v>
      </c>
    </row>
    <row r="1074" spans="1:16" x14ac:dyDescent="0.25">
      <c r="A1074" s="2" t="s">
        <v>4340</v>
      </c>
      <c r="B1074" s="2" t="s">
        <v>4341</v>
      </c>
      <c r="C1074" s="2" t="s">
        <v>18</v>
      </c>
      <c r="D1074" s="2" t="s">
        <v>30</v>
      </c>
      <c r="E1074" s="2" t="s">
        <v>20</v>
      </c>
      <c r="F1074" s="2" t="s">
        <v>32</v>
      </c>
      <c r="G1074" s="2" t="s">
        <v>80</v>
      </c>
      <c r="H1074" s="2" t="s">
        <v>23</v>
      </c>
      <c r="I1074" s="2" t="s">
        <v>57</v>
      </c>
      <c r="J1074" s="2" t="s">
        <v>2350</v>
      </c>
      <c r="K1074" s="2" t="s">
        <v>4347</v>
      </c>
      <c r="L1074">
        <v>7</v>
      </c>
      <c r="M1074" s="1">
        <v>300000</v>
      </c>
      <c r="N1074">
        <v>4.0999999999999996</v>
      </c>
      <c r="O1074">
        <v>5</v>
      </c>
      <c r="P1074" s="2" t="s">
        <v>26</v>
      </c>
    </row>
    <row r="1075" spans="1:16" x14ac:dyDescent="0.25">
      <c r="A1075" s="2" t="s">
        <v>4342</v>
      </c>
      <c r="B1075" s="2" t="s">
        <v>2591</v>
      </c>
      <c r="C1075" s="2" t="s">
        <v>29</v>
      </c>
      <c r="D1075" s="2" t="s">
        <v>50</v>
      </c>
      <c r="E1075" s="2" t="s">
        <v>20</v>
      </c>
      <c r="F1075" s="2" t="s">
        <v>32</v>
      </c>
      <c r="G1075" s="2" t="s">
        <v>80</v>
      </c>
      <c r="H1075" s="2" t="s">
        <v>46</v>
      </c>
      <c r="I1075" s="2" t="s">
        <v>35</v>
      </c>
      <c r="J1075" s="2" t="s">
        <v>1392</v>
      </c>
      <c r="K1075" s="2" t="s">
        <v>4347</v>
      </c>
      <c r="L1075">
        <v>3</v>
      </c>
      <c r="M1075" s="1">
        <v>315000</v>
      </c>
      <c r="N1075">
        <v>2.1</v>
      </c>
      <c r="O1075">
        <v>4</v>
      </c>
      <c r="P1075" s="2" t="s">
        <v>26</v>
      </c>
    </row>
    <row r="1076" spans="1:16" x14ac:dyDescent="0.25">
      <c r="A1076" s="2" t="s">
        <v>4343</v>
      </c>
      <c r="B1076" s="2" t="s">
        <v>4118</v>
      </c>
      <c r="C1076" s="2" t="s">
        <v>18</v>
      </c>
      <c r="D1076" s="2" t="s">
        <v>50</v>
      </c>
      <c r="E1076" s="2" t="s">
        <v>20</v>
      </c>
      <c r="F1076" s="2" t="s">
        <v>39</v>
      </c>
      <c r="G1076" s="2" t="s">
        <v>22</v>
      </c>
      <c r="H1076" s="2" t="s">
        <v>62</v>
      </c>
      <c r="I1076" s="2" t="s">
        <v>171</v>
      </c>
      <c r="J1076" s="2" t="s">
        <v>4026</v>
      </c>
      <c r="K1076" s="2" t="s">
        <v>4347</v>
      </c>
      <c r="L1076">
        <v>6</v>
      </c>
      <c r="M1076" s="1">
        <v>168000</v>
      </c>
      <c r="N1076">
        <v>2.8</v>
      </c>
      <c r="O1076">
        <v>7</v>
      </c>
      <c r="P1076" s="2" t="s">
        <v>26</v>
      </c>
    </row>
    <row r="1077" spans="1:16" x14ac:dyDescent="0.25">
      <c r="A1077" s="2" t="s">
        <v>4344</v>
      </c>
      <c r="B1077" s="2" t="s">
        <v>3742</v>
      </c>
      <c r="C1077" s="2" t="s">
        <v>29</v>
      </c>
      <c r="D1077" s="2" t="s">
        <v>30</v>
      </c>
      <c r="E1077" s="2" t="s">
        <v>31</v>
      </c>
      <c r="F1077" s="2" t="s">
        <v>39</v>
      </c>
      <c r="G1077" s="2" t="s">
        <v>69</v>
      </c>
      <c r="H1077" s="2" t="s">
        <v>46</v>
      </c>
      <c r="I1077" s="2" t="s">
        <v>75</v>
      </c>
      <c r="J1077" s="2" t="s">
        <v>3921</v>
      </c>
      <c r="K1077" s="2" t="s">
        <v>4347</v>
      </c>
      <c r="L1077">
        <v>4</v>
      </c>
      <c r="M1077" s="1">
        <v>87000</v>
      </c>
      <c r="N1077">
        <v>3.5</v>
      </c>
      <c r="O1077">
        <v>0</v>
      </c>
      <c r="P1077" s="2" t="s">
        <v>26</v>
      </c>
    </row>
    <row r="1078" spans="1:16" x14ac:dyDescent="0.25">
      <c r="A1078" s="2" t="s">
        <v>4345</v>
      </c>
      <c r="B1078" s="2" t="s">
        <v>833</v>
      </c>
      <c r="C1078" s="2" t="s">
        <v>18</v>
      </c>
      <c r="D1078" s="2" t="s">
        <v>30</v>
      </c>
      <c r="E1078" s="2" t="s">
        <v>44</v>
      </c>
      <c r="F1078" s="2" t="s">
        <v>39</v>
      </c>
      <c r="G1078" s="2" t="s">
        <v>22</v>
      </c>
      <c r="H1078" s="2" t="s">
        <v>46</v>
      </c>
      <c r="I1078" s="2" t="s">
        <v>24</v>
      </c>
      <c r="J1078" s="2" t="s">
        <v>4346</v>
      </c>
      <c r="K1078" s="2" t="s">
        <v>4347</v>
      </c>
      <c r="L1078">
        <v>7</v>
      </c>
      <c r="M1078" s="1">
        <v>151000</v>
      </c>
      <c r="N1078">
        <v>2.6</v>
      </c>
      <c r="O1078">
        <v>9</v>
      </c>
      <c r="P1078" s="2" t="s">
        <v>72</v>
      </c>
    </row>
    <row r="1079" spans="1:16" x14ac:dyDescent="0.25">
      <c r="A1079" s="2" t="s">
        <v>4348</v>
      </c>
      <c r="B1079" s="2" t="s">
        <v>4349</v>
      </c>
      <c r="C1079" s="2" t="s">
        <v>29</v>
      </c>
      <c r="D1079" s="2" t="s">
        <v>79</v>
      </c>
      <c r="E1079" s="2" t="s">
        <v>31</v>
      </c>
      <c r="F1079" s="2" t="s">
        <v>39</v>
      </c>
      <c r="G1079" s="2" t="s">
        <v>33</v>
      </c>
      <c r="H1079" s="2" t="s">
        <v>23</v>
      </c>
      <c r="I1079" s="2" t="s">
        <v>24</v>
      </c>
      <c r="J1079" s="2" t="s">
        <v>275</v>
      </c>
      <c r="K1079" s="2" t="s">
        <v>4355</v>
      </c>
      <c r="L1079">
        <v>6</v>
      </c>
      <c r="M1079" s="1">
        <v>92000</v>
      </c>
      <c r="N1079">
        <v>4.2</v>
      </c>
      <c r="O1079">
        <v>6</v>
      </c>
      <c r="P1079" s="2" t="s">
        <v>26</v>
      </c>
    </row>
    <row r="1080" spans="1:16" x14ac:dyDescent="0.25">
      <c r="A1080" s="2" t="s">
        <v>4353</v>
      </c>
      <c r="B1080" s="2" t="s">
        <v>4354</v>
      </c>
      <c r="C1080" s="2" t="s">
        <v>29</v>
      </c>
      <c r="D1080" s="2" t="s">
        <v>30</v>
      </c>
      <c r="E1080" s="2" t="s">
        <v>44</v>
      </c>
      <c r="F1080" s="2" t="s">
        <v>32</v>
      </c>
      <c r="G1080" s="2" t="s">
        <v>22</v>
      </c>
      <c r="H1080" s="2" t="s">
        <v>23</v>
      </c>
      <c r="I1080" s="2" t="s">
        <v>24</v>
      </c>
      <c r="J1080" s="2" t="s">
        <v>219</v>
      </c>
      <c r="K1080" s="2" t="s">
        <v>4355</v>
      </c>
      <c r="L1080">
        <v>3</v>
      </c>
      <c r="M1080" s="1">
        <v>292000</v>
      </c>
      <c r="N1080">
        <v>3</v>
      </c>
      <c r="O1080">
        <v>1</v>
      </c>
      <c r="P1080" s="2" t="s">
        <v>53</v>
      </c>
    </row>
    <row r="1081" spans="1:16" x14ac:dyDescent="0.25">
      <c r="A1081" s="2" t="s">
        <v>4357</v>
      </c>
      <c r="B1081" s="2" t="s">
        <v>1862</v>
      </c>
      <c r="C1081" s="2" t="s">
        <v>29</v>
      </c>
      <c r="D1081" s="2" t="s">
        <v>79</v>
      </c>
      <c r="E1081" s="2" t="s">
        <v>44</v>
      </c>
      <c r="F1081" s="2" t="s">
        <v>21</v>
      </c>
      <c r="G1081" s="2" t="s">
        <v>69</v>
      </c>
      <c r="H1081" s="2" t="s">
        <v>46</v>
      </c>
      <c r="I1081" s="2" t="s">
        <v>75</v>
      </c>
      <c r="J1081" s="2" t="s">
        <v>4358</v>
      </c>
      <c r="K1081" s="2" t="s">
        <v>2689</v>
      </c>
      <c r="L1081">
        <v>6</v>
      </c>
      <c r="M1081" s="1">
        <v>804000</v>
      </c>
      <c r="N1081">
        <v>3.8</v>
      </c>
      <c r="O1081">
        <v>2</v>
      </c>
      <c r="P1081" s="2" t="s">
        <v>53</v>
      </c>
    </row>
    <row r="1082" spans="1:16" x14ac:dyDescent="0.25">
      <c r="A1082" s="2" t="s">
        <v>4359</v>
      </c>
      <c r="B1082" s="2" t="s">
        <v>977</v>
      </c>
      <c r="C1082" s="2" t="s">
        <v>18</v>
      </c>
      <c r="D1082" s="2" t="s">
        <v>50</v>
      </c>
      <c r="E1082" s="2" t="s">
        <v>20</v>
      </c>
      <c r="F1082" s="2" t="s">
        <v>32</v>
      </c>
      <c r="G1082" s="2" t="s">
        <v>22</v>
      </c>
      <c r="H1082" s="2" t="s">
        <v>34</v>
      </c>
      <c r="I1082" s="2" t="s">
        <v>24</v>
      </c>
      <c r="J1082" s="2" t="s">
        <v>4360</v>
      </c>
      <c r="K1082" s="2" t="s">
        <v>4361</v>
      </c>
      <c r="L1082">
        <v>3</v>
      </c>
      <c r="M1082" s="1">
        <v>349000</v>
      </c>
      <c r="N1082">
        <v>2.2999999999999998</v>
      </c>
      <c r="O1082">
        <v>7</v>
      </c>
      <c r="P1082" s="2" t="s">
        <v>53</v>
      </c>
    </row>
    <row r="1083" spans="1:16" x14ac:dyDescent="0.25">
      <c r="A1083" s="2" t="s">
        <v>4362</v>
      </c>
      <c r="B1083" s="2" t="s">
        <v>4363</v>
      </c>
      <c r="C1083" s="2" t="s">
        <v>18</v>
      </c>
      <c r="D1083" s="2" t="s">
        <v>19</v>
      </c>
      <c r="E1083" s="2" t="s">
        <v>20</v>
      </c>
      <c r="F1083" s="2" t="s">
        <v>39</v>
      </c>
      <c r="G1083" s="2" t="s">
        <v>22</v>
      </c>
      <c r="H1083" s="2" t="s">
        <v>34</v>
      </c>
      <c r="I1083" s="2" t="s">
        <v>24</v>
      </c>
      <c r="J1083" s="2" t="s">
        <v>1392</v>
      </c>
      <c r="K1083" s="2" t="s">
        <v>4316</v>
      </c>
      <c r="L1083">
        <v>3</v>
      </c>
      <c r="M1083" s="1">
        <v>161000</v>
      </c>
      <c r="N1083">
        <v>3</v>
      </c>
      <c r="O1083">
        <v>12</v>
      </c>
      <c r="P1083" s="2" t="s">
        <v>26</v>
      </c>
    </row>
    <row r="1084" spans="1:16" x14ac:dyDescent="0.25">
      <c r="A1084" s="2" t="s">
        <v>4369</v>
      </c>
      <c r="B1084" s="2" t="s">
        <v>4370</v>
      </c>
      <c r="C1084" s="2" t="s">
        <v>18</v>
      </c>
      <c r="D1084" s="2" t="s">
        <v>79</v>
      </c>
      <c r="E1084" s="2" t="s">
        <v>20</v>
      </c>
      <c r="F1084" s="2" t="s">
        <v>21</v>
      </c>
      <c r="G1084" s="2" t="s">
        <v>22</v>
      </c>
      <c r="H1084" s="2" t="s">
        <v>34</v>
      </c>
      <c r="I1084" s="2" t="s">
        <v>171</v>
      </c>
      <c r="J1084" s="2" t="s">
        <v>1360</v>
      </c>
      <c r="K1084" s="2" t="s">
        <v>4316</v>
      </c>
      <c r="L1084">
        <v>6</v>
      </c>
      <c r="M1084" s="1">
        <v>741000</v>
      </c>
      <c r="N1084">
        <v>3.1</v>
      </c>
      <c r="O1084">
        <v>9</v>
      </c>
      <c r="P1084" s="2" t="s">
        <v>26</v>
      </c>
    </row>
    <row r="1085" spans="1:16" x14ac:dyDescent="0.25">
      <c r="A1085" s="2" t="s">
        <v>4374</v>
      </c>
      <c r="B1085" s="2" t="s">
        <v>4375</v>
      </c>
      <c r="C1085" s="2" t="s">
        <v>29</v>
      </c>
      <c r="D1085" s="2" t="s">
        <v>50</v>
      </c>
      <c r="E1085" s="2" t="s">
        <v>20</v>
      </c>
      <c r="F1085" s="2" t="s">
        <v>32</v>
      </c>
      <c r="G1085" s="2" t="s">
        <v>33</v>
      </c>
      <c r="H1085" s="2" t="s">
        <v>23</v>
      </c>
      <c r="I1085" s="2" t="s">
        <v>24</v>
      </c>
      <c r="J1085" s="2" t="s">
        <v>1059</v>
      </c>
      <c r="K1085" s="2" t="s">
        <v>4316</v>
      </c>
      <c r="L1085">
        <v>3</v>
      </c>
      <c r="M1085" s="1">
        <v>212000</v>
      </c>
      <c r="N1085">
        <v>4.7</v>
      </c>
      <c r="O1085">
        <v>2</v>
      </c>
      <c r="P1085" s="2" t="s">
        <v>53</v>
      </c>
    </row>
    <row r="1086" spans="1:16" x14ac:dyDescent="0.25">
      <c r="A1086" s="2" t="s">
        <v>4376</v>
      </c>
      <c r="B1086" s="2" t="s">
        <v>4377</v>
      </c>
      <c r="C1086" s="2" t="s">
        <v>18</v>
      </c>
      <c r="D1086" s="2" t="s">
        <v>30</v>
      </c>
      <c r="E1086" s="2" t="s">
        <v>20</v>
      </c>
      <c r="F1086" s="2" t="s">
        <v>32</v>
      </c>
      <c r="G1086" s="2" t="s">
        <v>33</v>
      </c>
      <c r="H1086" s="2" t="s">
        <v>23</v>
      </c>
      <c r="I1086" s="2" t="s">
        <v>75</v>
      </c>
      <c r="J1086" s="2" t="s">
        <v>3163</v>
      </c>
      <c r="K1086" s="2" t="s">
        <v>3568</v>
      </c>
      <c r="L1086">
        <v>5</v>
      </c>
      <c r="M1086" s="1">
        <v>264000</v>
      </c>
      <c r="N1086">
        <v>4.7</v>
      </c>
      <c r="O1086">
        <v>33</v>
      </c>
      <c r="P1086" s="2" t="s">
        <v>26</v>
      </c>
    </row>
    <row r="1087" spans="1:16" x14ac:dyDescent="0.25">
      <c r="A1087" s="2" t="s">
        <v>4378</v>
      </c>
      <c r="B1087" s="2" t="s">
        <v>3336</v>
      </c>
      <c r="C1087" s="2" t="s">
        <v>18</v>
      </c>
      <c r="D1087" s="2" t="s">
        <v>43</v>
      </c>
      <c r="E1087" s="2" t="s">
        <v>20</v>
      </c>
      <c r="F1087" s="2" t="s">
        <v>32</v>
      </c>
      <c r="G1087" s="2" t="s">
        <v>22</v>
      </c>
      <c r="H1087" s="2" t="s">
        <v>34</v>
      </c>
      <c r="I1087" s="2" t="s">
        <v>75</v>
      </c>
      <c r="J1087" s="2" t="s">
        <v>4379</v>
      </c>
      <c r="K1087" s="2" t="s">
        <v>3568</v>
      </c>
      <c r="L1087">
        <v>5</v>
      </c>
      <c r="M1087" s="1">
        <v>180000</v>
      </c>
      <c r="N1087">
        <v>3.3</v>
      </c>
      <c r="O1087">
        <v>0</v>
      </c>
      <c r="P1087" s="2" t="s">
        <v>26</v>
      </c>
    </row>
    <row r="1088" spans="1:16" x14ac:dyDescent="0.25">
      <c r="A1088" s="2" t="s">
        <v>4391</v>
      </c>
      <c r="B1088" s="2" t="s">
        <v>2039</v>
      </c>
      <c r="C1088" s="2" t="s">
        <v>29</v>
      </c>
      <c r="D1088" s="2" t="s">
        <v>19</v>
      </c>
      <c r="E1088" s="2" t="s">
        <v>31</v>
      </c>
      <c r="F1088" s="2" t="s">
        <v>39</v>
      </c>
      <c r="G1088" s="2" t="s">
        <v>80</v>
      </c>
      <c r="H1088" s="2" t="s">
        <v>34</v>
      </c>
      <c r="I1088" s="2" t="s">
        <v>171</v>
      </c>
      <c r="J1088" s="2" t="s">
        <v>4187</v>
      </c>
      <c r="K1088" s="2" t="s">
        <v>3568</v>
      </c>
      <c r="L1088">
        <v>6</v>
      </c>
      <c r="M1088" s="1">
        <v>174000</v>
      </c>
      <c r="N1088">
        <v>2.2999999999999998</v>
      </c>
      <c r="O1088">
        <v>39</v>
      </c>
      <c r="P1088" s="2" t="s">
        <v>72</v>
      </c>
    </row>
    <row r="1089" spans="1:16" x14ac:dyDescent="0.25">
      <c r="A1089" s="2" t="s">
        <v>4392</v>
      </c>
      <c r="B1089" s="2" t="s">
        <v>3633</v>
      </c>
      <c r="C1089" s="2" t="s">
        <v>18</v>
      </c>
      <c r="D1089" s="2" t="s">
        <v>79</v>
      </c>
      <c r="E1089" s="2" t="s">
        <v>20</v>
      </c>
      <c r="F1089" s="2" t="s">
        <v>32</v>
      </c>
      <c r="G1089" s="2" t="s">
        <v>22</v>
      </c>
      <c r="H1089" s="2" t="s">
        <v>34</v>
      </c>
      <c r="I1089" s="2" t="s">
        <v>35</v>
      </c>
      <c r="J1089" s="2" t="s">
        <v>1003</v>
      </c>
      <c r="K1089" s="2" t="s">
        <v>4400</v>
      </c>
      <c r="L1089">
        <v>3</v>
      </c>
      <c r="M1089" s="1">
        <v>196000</v>
      </c>
      <c r="N1089">
        <v>2.8</v>
      </c>
      <c r="O1089">
        <v>14</v>
      </c>
      <c r="P1089" s="2" t="s">
        <v>26</v>
      </c>
    </row>
    <row r="1090" spans="1:16" x14ac:dyDescent="0.25">
      <c r="A1090" s="2" t="s">
        <v>4395</v>
      </c>
      <c r="B1090" s="2" t="s">
        <v>3968</v>
      </c>
      <c r="C1090" s="2" t="s">
        <v>18</v>
      </c>
      <c r="D1090" s="2" t="s">
        <v>50</v>
      </c>
      <c r="E1090" s="2" t="s">
        <v>31</v>
      </c>
      <c r="F1090" s="2" t="s">
        <v>32</v>
      </c>
      <c r="G1090" s="2" t="s">
        <v>22</v>
      </c>
      <c r="H1090" s="2" t="s">
        <v>46</v>
      </c>
      <c r="I1090" s="2" t="s">
        <v>57</v>
      </c>
      <c r="J1090" s="2" t="s">
        <v>3348</v>
      </c>
      <c r="K1090" s="2" t="s">
        <v>4400</v>
      </c>
      <c r="L1090">
        <v>4</v>
      </c>
      <c r="M1090" s="1">
        <v>248000</v>
      </c>
      <c r="N1090">
        <v>3.8</v>
      </c>
      <c r="O1090">
        <v>15</v>
      </c>
      <c r="P1090" s="2" t="s">
        <v>26</v>
      </c>
    </row>
    <row r="1091" spans="1:16" x14ac:dyDescent="0.25">
      <c r="A1091" s="2" t="s">
        <v>4396</v>
      </c>
      <c r="B1091" s="2" t="s">
        <v>1639</v>
      </c>
      <c r="C1091" s="2" t="s">
        <v>18</v>
      </c>
      <c r="D1091" s="2" t="s">
        <v>43</v>
      </c>
      <c r="E1091" s="2" t="s">
        <v>20</v>
      </c>
      <c r="F1091" s="2" t="s">
        <v>32</v>
      </c>
      <c r="G1091" s="2" t="s">
        <v>22</v>
      </c>
      <c r="H1091" s="2" t="s">
        <v>23</v>
      </c>
      <c r="I1091" s="2" t="s">
        <v>24</v>
      </c>
      <c r="J1091" s="2" t="s">
        <v>1372</v>
      </c>
      <c r="K1091" s="2" t="s">
        <v>4400</v>
      </c>
      <c r="L1091">
        <v>3</v>
      </c>
      <c r="M1091" s="1">
        <v>269000</v>
      </c>
      <c r="N1091">
        <v>3.1</v>
      </c>
      <c r="O1091">
        <v>8</v>
      </c>
      <c r="P1091" s="2" t="s">
        <v>26</v>
      </c>
    </row>
    <row r="1092" spans="1:16" x14ac:dyDescent="0.25">
      <c r="A1092" s="2" t="s">
        <v>4397</v>
      </c>
      <c r="B1092" s="2" t="s">
        <v>4398</v>
      </c>
      <c r="C1092" s="2" t="s">
        <v>18</v>
      </c>
      <c r="D1092" s="2" t="s">
        <v>19</v>
      </c>
      <c r="E1092" s="2" t="s">
        <v>20</v>
      </c>
      <c r="F1092" s="2" t="s">
        <v>128</v>
      </c>
      <c r="G1092" s="2" t="s">
        <v>80</v>
      </c>
      <c r="H1092" s="2" t="s">
        <v>23</v>
      </c>
      <c r="I1092" s="2" t="s">
        <v>75</v>
      </c>
      <c r="J1092" s="2" t="s">
        <v>4399</v>
      </c>
      <c r="K1092" s="2" t="s">
        <v>4400</v>
      </c>
      <c r="L1092">
        <v>6</v>
      </c>
      <c r="M1092" s="1">
        <v>544000</v>
      </c>
      <c r="N1092">
        <v>3.8</v>
      </c>
      <c r="O1092">
        <v>9</v>
      </c>
      <c r="P1092" s="2" t="s">
        <v>53</v>
      </c>
    </row>
    <row r="1093" spans="1:16" x14ac:dyDescent="0.25">
      <c r="A1093" s="2" t="s">
        <v>4401</v>
      </c>
      <c r="B1093" s="2" t="s">
        <v>3259</v>
      </c>
      <c r="C1093" s="2" t="s">
        <v>18</v>
      </c>
      <c r="D1093" s="2" t="s">
        <v>79</v>
      </c>
      <c r="E1093" s="2" t="s">
        <v>20</v>
      </c>
      <c r="F1093" s="2" t="s">
        <v>32</v>
      </c>
      <c r="G1093" s="2" t="s">
        <v>80</v>
      </c>
      <c r="H1093" s="2" t="s">
        <v>23</v>
      </c>
      <c r="I1093" s="2" t="s">
        <v>75</v>
      </c>
      <c r="J1093" s="2" t="s">
        <v>1313</v>
      </c>
      <c r="K1093" s="2" t="s">
        <v>3506</v>
      </c>
      <c r="L1093">
        <v>2</v>
      </c>
      <c r="M1093" s="1">
        <v>271000</v>
      </c>
      <c r="N1093">
        <v>2</v>
      </c>
      <c r="O1093">
        <v>36</v>
      </c>
      <c r="P1093" s="2" t="s">
        <v>26</v>
      </c>
    </row>
    <row r="1094" spans="1:16" x14ac:dyDescent="0.25">
      <c r="A1094" s="2" t="s">
        <v>4402</v>
      </c>
      <c r="B1094" s="2" t="s">
        <v>4403</v>
      </c>
      <c r="C1094" s="2" t="s">
        <v>29</v>
      </c>
      <c r="D1094" s="2" t="s">
        <v>30</v>
      </c>
      <c r="E1094" s="2" t="s">
        <v>44</v>
      </c>
      <c r="F1094" s="2" t="s">
        <v>21</v>
      </c>
      <c r="G1094" s="2" t="s">
        <v>22</v>
      </c>
      <c r="H1094" s="2" t="s">
        <v>34</v>
      </c>
      <c r="I1094" s="2" t="s">
        <v>171</v>
      </c>
      <c r="J1094" s="2" t="s">
        <v>4404</v>
      </c>
      <c r="K1094" s="2" t="s">
        <v>3506</v>
      </c>
      <c r="L1094">
        <v>3</v>
      </c>
      <c r="M1094" s="1">
        <v>777000</v>
      </c>
      <c r="N1094">
        <v>3.2</v>
      </c>
      <c r="O1094">
        <v>12</v>
      </c>
      <c r="P1094" s="2" t="s">
        <v>26</v>
      </c>
    </row>
    <row r="1095" spans="1:16" x14ac:dyDescent="0.25">
      <c r="A1095" s="2" t="s">
        <v>4405</v>
      </c>
      <c r="B1095" s="2" t="s">
        <v>4406</v>
      </c>
      <c r="C1095" s="2" t="s">
        <v>18</v>
      </c>
      <c r="D1095" s="2" t="s">
        <v>50</v>
      </c>
      <c r="E1095" s="2" t="s">
        <v>44</v>
      </c>
      <c r="F1095" s="2" t="s">
        <v>39</v>
      </c>
      <c r="G1095" s="2" t="s">
        <v>22</v>
      </c>
      <c r="H1095" s="2" t="s">
        <v>34</v>
      </c>
      <c r="I1095" s="2" t="s">
        <v>24</v>
      </c>
      <c r="J1095" s="2" t="s">
        <v>3881</v>
      </c>
      <c r="K1095" s="2" t="s">
        <v>3506</v>
      </c>
      <c r="L1095">
        <v>5</v>
      </c>
      <c r="M1095" s="1">
        <v>147000</v>
      </c>
      <c r="N1095">
        <v>3.3</v>
      </c>
      <c r="O1095">
        <v>7</v>
      </c>
      <c r="P1095" s="2" t="s">
        <v>53</v>
      </c>
    </row>
    <row r="1096" spans="1:16" x14ac:dyDescent="0.25">
      <c r="A1096" s="2" t="s">
        <v>4412</v>
      </c>
      <c r="B1096" s="2" t="s">
        <v>4413</v>
      </c>
      <c r="C1096" s="2" t="s">
        <v>29</v>
      </c>
      <c r="D1096" s="2" t="s">
        <v>43</v>
      </c>
      <c r="E1096" s="2" t="s">
        <v>44</v>
      </c>
      <c r="F1096" s="2" t="s">
        <v>128</v>
      </c>
      <c r="G1096" s="2" t="s">
        <v>33</v>
      </c>
      <c r="H1096" s="2" t="s">
        <v>34</v>
      </c>
      <c r="I1096" s="2" t="s">
        <v>24</v>
      </c>
      <c r="J1096" s="2" t="s">
        <v>4414</v>
      </c>
      <c r="K1096" s="2" t="s">
        <v>4065</v>
      </c>
      <c r="L1096">
        <v>3</v>
      </c>
      <c r="M1096" s="1">
        <v>384000</v>
      </c>
      <c r="N1096">
        <v>3.4</v>
      </c>
      <c r="O1096">
        <v>5</v>
      </c>
      <c r="P1096" s="2" t="s">
        <v>26</v>
      </c>
    </row>
    <row r="1097" spans="1:16" x14ac:dyDescent="0.25">
      <c r="A1097" s="2" t="s">
        <v>4415</v>
      </c>
      <c r="B1097" s="2" t="s">
        <v>1284</v>
      </c>
      <c r="C1097" s="2" t="s">
        <v>18</v>
      </c>
      <c r="D1097" s="2" t="s">
        <v>50</v>
      </c>
      <c r="E1097" s="2" t="s">
        <v>31</v>
      </c>
      <c r="F1097" s="2" t="s">
        <v>32</v>
      </c>
      <c r="G1097" s="2" t="s">
        <v>80</v>
      </c>
      <c r="H1097" s="2" t="s">
        <v>34</v>
      </c>
      <c r="I1097" s="2" t="s">
        <v>24</v>
      </c>
      <c r="J1097" s="2" t="s">
        <v>4416</v>
      </c>
      <c r="K1097" s="2" t="s">
        <v>4065</v>
      </c>
      <c r="L1097">
        <v>6</v>
      </c>
      <c r="M1097" s="1">
        <v>235000</v>
      </c>
      <c r="N1097">
        <v>3.8</v>
      </c>
      <c r="O1097">
        <v>24</v>
      </c>
      <c r="P1097" s="2" t="s">
        <v>26</v>
      </c>
    </row>
    <row r="1098" spans="1:16" x14ac:dyDescent="0.25">
      <c r="A1098" s="2" t="s">
        <v>4417</v>
      </c>
      <c r="B1098" s="2" t="s">
        <v>4418</v>
      </c>
      <c r="C1098" s="2" t="s">
        <v>18</v>
      </c>
      <c r="D1098" s="2" t="s">
        <v>79</v>
      </c>
      <c r="E1098" s="2" t="s">
        <v>20</v>
      </c>
      <c r="F1098" s="2" t="s">
        <v>39</v>
      </c>
      <c r="G1098" s="2" t="s">
        <v>33</v>
      </c>
      <c r="H1098" s="2" t="s">
        <v>34</v>
      </c>
      <c r="I1098" s="2" t="s">
        <v>35</v>
      </c>
      <c r="J1098" s="2" t="s">
        <v>4419</v>
      </c>
      <c r="K1098" s="2" t="s">
        <v>4065</v>
      </c>
      <c r="L1098">
        <v>6</v>
      </c>
      <c r="M1098" s="1">
        <v>131000</v>
      </c>
      <c r="N1098">
        <v>4.2</v>
      </c>
      <c r="O1098">
        <v>30</v>
      </c>
      <c r="P1098" s="2" t="s">
        <v>53</v>
      </c>
    </row>
    <row r="1099" spans="1:16" x14ac:dyDescent="0.25">
      <c r="A1099" s="2" t="s">
        <v>4422</v>
      </c>
      <c r="B1099" s="2" t="s">
        <v>4423</v>
      </c>
      <c r="C1099" s="2" t="s">
        <v>29</v>
      </c>
      <c r="D1099" s="2" t="s">
        <v>50</v>
      </c>
      <c r="E1099" s="2" t="s">
        <v>20</v>
      </c>
      <c r="F1099" s="2" t="s">
        <v>39</v>
      </c>
      <c r="G1099" s="2" t="s">
        <v>33</v>
      </c>
      <c r="H1099" s="2" t="s">
        <v>23</v>
      </c>
      <c r="I1099" s="2" t="s">
        <v>24</v>
      </c>
      <c r="J1099" s="2" t="s">
        <v>1550</v>
      </c>
      <c r="K1099" s="2" t="s">
        <v>4430</v>
      </c>
      <c r="L1099">
        <v>3</v>
      </c>
      <c r="M1099" s="1">
        <v>159000</v>
      </c>
      <c r="N1099">
        <v>2.2999999999999998</v>
      </c>
      <c r="O1099">
        <v>11</v>
      </c>
      <c r="P1099" s="2" t="s">
        <v>26</v>
      </c>
    </row>
    <row r="1100" spans="1:16" x14ac:dyDescent="0.25">
      <c r="A1100" s="2" t="s">
        <v>4426</v>
      </c>
      <c r="B1100" s="2" t="s">
        <v>4427</v>
      </c>
      <c r="C1100" s="2" t="s">
        <v>18</v>
      </c>
      <c r="D1100" s="2" t="s">
        <v>19</v>
      </c>
      <c r="E1100" s="2" t="s">
        <v>20</v>
      </c>
      <c r="F1100" s="2" t="s">
        <v>32</v>
      </c>
      <c r="G1100" s="2" t="s">
        <v>69</v>
      </c>
      <c r="H1100" s="2" t="s">
        <v>23</v>
      </c>
      <c r="I1100" s="2" t="s">
        <v>24</v>
      </c>
      <c r="J1100" s="2" t="s">
        <v>1526</v>
      </c>
      <c r="K1100" s="2" t="s">
        <v>4430</v>
      </c>
      <c r="L1100">
        <v>4</v>
      </c>
      <c r="M1100" s="1">
        <v>318000</v>
      </c>
      <c r="N1100">
        <v>3.4</v>
      </c>
      <c r="O1100">
        <v>21</v>
      </c>
      <c r="P1100" s="2" t="s">
        <v>26</v>
      </c>
    </row>
    <row r="1101" spans="1:16" x14ac:dyDescent="0.25">
      <c r="A1101" s="2" t="s">
        <v>4428</v>
      </c>
      <c r="B1101" s="2" t="s">
        <v>4429</v>
      </c>
      <c r="C1101" s="2" t="s">
        <v>29</v>
      </c>
      <c r="D1101" s="2" t="s">
        <v>50</v>
      </c>
      <c r="E1101" s="2" t="s">
        <v>20</v>
      </c>
      <c r="F1101" s="2" t="s">
        <v>32</v>
      </c>
      <c r="G1101" s="2" t="s">
        <v>33</v>
      </c>
      <c r="H1101" s="2" t="s">
        <v>62</v>
      </c>
      <c r="I1101" s="2" t="s">
        <v>75</v>
      </c>
      <c r="J1101" s="2" t="s">
        <v>1743</v>
      </c>
      <c r="K1101" s="2" t="s">
        <v>4430</v>
      </c>
      <c r="L1101">
        <v>2</v>
      </c>
      <c r="M1101" s="1">
        <v>311000</v>
      </c>
      <c r="N1101">
        <v>4.8</v>
      </c>
      <c r="O1101">
        <v>14</v>
      </c>
      <c r="P1101" s="2" t="s">
        <v>53</v>
      </c>
    </row>
    <row r="1102" spans="1:16" x14ac:dyDescent="0.25">
      <c r="A1102" s="2" t="s">
        <v>4431</v>
      </c>
      <c r="B1102" s="2" t="s">
        <v>4432</v>
      </c>
      <c r="C1102" s="2" t="s">
        <v>18</v>
      </c>
      <c r="D1102" s="2" t="s">
        <v>30</v>
      </c>
      <c r="E1102" s="2" t="s">
        <v>20</v>
      </c>
      <c r="F1102" s="2" t="s">
        <v>32</v>
      </c>
      <c r="G1102" s="2" t="s">
        <v>33</v>
      </c>
      <c r="H1102" s="2" t="s">
        <v>46</v>
      </c>
      <c r="I1102" s="2" t="s">
        <v>57</v>
      </c>
      <c r="J1102" s="2" t="s">
        <v>2344</v>
      </c>
      <c r="K1102" s="2" t="s">
        <v>2810</v>
      </c>
      <c r="L1102">
        <v>3</v>
      </c>
      <c r="M1102" s="1">
        <v>230000</v>
      </c>
      <c r="N1102">
        <v>2.7</v>
      </c>
      <c r="O1102">
        <v>0</v>
      </c>
      <c r="P1102" s="2" t="s">
        <v>26</v>
      </c>
    </row>
    <row r="1103" spans="1:16" x14ac:dyDescent="0.25">
      <c r="A1103" s="2" t="s">
        <v>4433</v>
      </c>
      <c r="B1103" s="2" t="s">
        <v>4434</v>
      </c>
      <c r="C1103" s="2" t="s">
        <v>18</v>
      </c>
      <c r="D1103" s="2" t="s">
        <v>79</v>
      </c>
      <c r="E1103" s="2" t="s">
        <v>20</v>
      </c>
      <c r="F1103" s="2" t="s">
        <v>32</v>
      </c>
      <c r="G1103" s="2" t="s">
        <v>22</v>
      </c>
      <c r="H1103" s="2" t="s">
        <v>23</v>
      </c>
      <c r="I1103" s="2" t="s">
        <v>35</v>
      </c>
      <c r="J1103" s="2" t="s">
        <v>1671</v>
      </c>
      <c r="K1103" s="2" t="s">
        <v>2810</v>
      </c>
      <c r="L1103">
        <v>5</v>
      </c>
      <c r="M1103" s="1">
        <v>349000</v>
      </c>
      <c r="N1103">
        <v>3.6</v>
      </c>
      <c r="O1103">
        <v>9</v>
      </c>
      <c r="P1103" s="2" t="s">
        <v>72</v>
      </c>
    </row>
    <row r="1104" spans="1:16" x14ac:dyDescent="0.25">
      <c r="A1104" s="2" t="s">
        <v>4435</v>
      </c>
      <c r="B1104" s="2" t="s">
        <v>4436</v>
      </c>
      <c r="C1104" s="2" t="s">
        <v>18</v>
      </c>
      <c r="D1104" s="2" t="s">
        <v>79</v>
      </c>
      <c r="E1104" s="2" t="s">
        <v>44</v>
      </c>
      <c r="F1104" s="2" t="s">
        <v>128</v>
      </c>
      <c r="G1104" s="2" t="s">
        <v>22</v>
      </c>
      <c r="H1104" s="2" t="s">
        <v>46</v>
      </c>
      <c r="I1104" s="2" t="s">
        <v>24</v>
      </c>
      <c r="J1104" s="2" t="s">
        <v>4437</v>
      </c>
      <c r="K1104" s="2" t="s">
        <v>4452</v>
      </c>
      <c r="L1104">
        <v>6</v>
      </c>
      <c r="M1104" s="1">
        <v>592000</v>
      </c>
      <c r="N1104">
        <v>3.5</v>
      </c>
      <c r="O1104">
        <v>7</v>
      </c>
      <c r="P1104" s="2" t="s">
        <v>26</v>
      </c>
    </row>
    <row r="1105" spans="1:16" x14ac:dyDescent="0.25">
      <c r="A1105" s="2" t="s">
        <v>4440</v>
      </c>
      <c r="B1105" s="2" t="s">
        <v>4441</v>
      </c>
      <c r="C1105" s="2" t="s">
        <v>18</v>
      </c>
      <c r="D1105" s="2" t="s">
        <v>43</v>
      </c>
      <c r="E1105" s="2" t="s">
        <v>20</v>
      </c>
      <c r="F1105" s="2" t="s">
        <v>32</v>
      </c>
      <c r="G1105" s="2" t="s">
        <v>22</v>
      </c>
      <c r="H1105" s="2" t="s">
        <v>23</v>
      </c>
      <c r="I1105" s="2" t="s">
        <v>24</v>
      </c>
      <c r="J1105" s="2" t="s">
        <v>1993</v>
      </c>
      <c r="K1105" s="2" t="s">
        <v>4452</v>
      </c>
      <c r="L1105">
        <v>6</v>
      </c>
      <c r="M1105" s="1">
        <v>263000</v>
      </c>
      <c r="N1105">
        <v>4.5</v>
      </c>
      <c r="O1105">
        <v>13</v>
      </c>
      <c r="P1105" s="2" t="s">
        <v>26</v>
      </c>
    </row>
    <row r="1106" spans="1:16" x14ac:dyDescent="0.25">
      <c r="A1106" s="2" t="s">
        <v>4444</v>
      </c>
      <c r="B1106" s="2" t="s">
        <v>4445</v>
      </c>
      <c r="C1106" s="2" t="s">
        <v>18</v>
      </c>
      <c r="D1106" s="2" t="s">
        <v>19</v>
      </c>
      <c r="E1106" s="2" t="s">
        <v>31</v>
      </c>
      <c r="F1106" s="2" t="s">
        <v>32</v>
      </c>
      <c r="G1106" s="2" t="s">
        <v>80</v>
      </c>
      <c r="H1106" s="2" t="s">
        <v>46</v>
      </c>
      <c r="I1106" s="2" t="s">
        <v>35</v>
      </c>
      <c r="J1106" s="2" t="s">
        <v>3606</v>
      </c>
      <c r="K1106" s="2" t="s">
        <v>4452</v>
      </c>
      <c r="L1106">
        <v>2</v>
      </c>
      <c r="M1106" s="1">
        <v>358000</v>
      </c>
      <c r="N1106">
        <v>2.6</v>
      </c>
      <c r="O1106">
        <v>24</v>
      </c>
      <c r="P1106" s="2" t="s">
        <v>26</v>
      </c>
    </row>
    <row r="1107" spans="1:16" x14ac:dyDescent="0.25">
      <c r="A1107" s="2" t="s">
        <v>4450</v>
      </c>
      <c r="B1107" s="2" t="s">
        <v>4451</v>
      </c>
      <c r="C1107" s="2" t="s">
        <v>18</v>
      </c>
      <c r="D1107" s="2" t="s">
        <v>19</v>
      </c>
      <c r="E1107" s="2" t="s">
        <v>20</v>
      </c>
      <c r="F1107" s="2" t="s">
        <v>128</v>
      </c>
      <c r="G1107" s="2" t="s">
        <v>80</v>
      </c>
      <c r="H1107" s="2" t="s">
        <v>46</v>
      </c>
      <c r="I1107" s="2" t="s">
        <v>24</v>
      </c>
      <c r="J1107" s="2" t="s">
        <v>3634</v>
      </c>
      <c r="K1107" s="2" t="s">
        <v>4452</v>
      </c>
      <c r="L1107">
        <v>5</v>
      </c>
      <c r="M1107" s="1">
        <v>441000</v>
      </c>
      <c r="N1107">
        <v>4.2</v>
      </c>
      <c r="O1107">
        <v>1</v>
      </c>
      <c r="P1107" s="2" t="s">
        <v>114</v>
      </c>
    </row>
    <row r="1108" spans="1:16" x14ac:dyDescent="0.25">
      <c r="A1108" s="2" t="s">
        <v>4455</v>
      </c>
      <c r="B1108" s="2" t="s">
        <v>4456</v>
      </c>
      <c r="C1108" s="2" t="s">
        <v>18</v>
      </c>
      <c r="D1108" s="2" t="s">
        <v>50</v>
      </c>
      <c r="E1108" s="2" t="s">
        <v>20</v>
      </c>
      <c r="F1108" s="2" t="s">
        <v>39</v>
      </c>
      <c r="G1108" s="2" t="s">
        <v>22</v>
      </c>
      <c r="H1108" s="2" t="s">
        <v>23</v>
      </c>
      <c r="I1108" s="2" t="s">
        <v>24</v>
      </c>
      <c r="J1108" s="2" t="s">
        <v>1738</v>
      </c>
      <c r="K1108" s="2" t="s">
        <v>824</v>
      </c>
      <c r="L1108">
        <v>3</v>
      </c>
      <c r="M1108" s="1">
        <v>86000</v>
      </c>
      <c r="N1108">
        <v>3.6</v>
      </c>
      <c r="O1108">
        <v>1</v>
      </c>
      <c r="P1108" s="2" t="s">
        <v>26</v>
      </c>
    </row>
    <row r="1109" spans="1:16" x14ac:dyDescent="0.25">
      <c r="A1109" s="2" t="s">
        <v>4464</v>
      </c>
      <c r="B1109" s="2" t="s">
        <v>333</v>
      </c>
      <c r="C1109" s="2" t="s">
        <v>18</v>
      </c>
      <c r="D1109" s="2" t="s">
        <v>30</v>
      </c>
      <c r="E1109" s="2" t="s">
        <v>20</v>
      </c>
      <c r="F1109" s="2" t="s">
        <v>39</v>
      </c>
      <c r="G1109" s="2" t="s">
        <v>22</v>
      </c>
      <c r="H1109" s="2" t="s">
        <v>46</v>
      </c>
      <c r="I1109" s="2" t="s">
        <v>35</v>
      </c>
      <c r="J1109" s="2" t="s">
        <v>2589</v>
      </c>
      <c r="K1109" s="2" t="s">
        <v>824</v>
      </c>
      <c r="L1109">
        <v>6</v>
      </c>
      <c r="M1109" s="1">
        <v>95000</v>
      </c>
      <c r="N1109">
        <v>2.5</v>
      </c>
      <c r="O1109">
        <v>15</v>
      </c>
      <c r="P1109" s="2" t="s">
        <v>53</v>
      </c>
    </row>
    <row r="1110" spans="1:16" x14ac:dyDescent="0.25">
      <c r="A1110" s="2" t="s">
        <v>4465</v>
      </c>
      <c r="B1110" s="2" t="s">
        <v>4466</v>
      </c>
      <c r="C1110" s="2" t="s">
        <v>18</v>
      </c>
      <c r="D1110" s="2" t="s">
        <v>79</v>
      </c>
      <c r="E1110" s="2" t="s">
        <v>20</v>
      </c>
      <c r="F1110" s="2" t="s">
        <v>21</v>
      </c>
      <c r="G1110" s="2" t="s">
        <v>22</v>
      </c>
      <c r="H1110" s="2" t="s">
        <v>34</v>
      </c>
      <c r="I1110" s="2" t="s">
        <v>57</v>
      </c>
      <c r="J1110" s="2" t="s">
        <v>4166</v>
      </c>
      <c r="K1110" s="2" t="s">
        <v>3120</v>
      </c>
      <c r="L1110">
        <v>6</v>
      </c>
      <c r="M1110" s="1">
        <v>871000</v>
      </c>
      <c r="N1110">
        <v>3.2</v>
      </c>
      <c r="O1110">
        <v>35</v>
      </c>
      <c r="P1110" s="2" t="s">
        <v>26</v>
      </c>
    </row>
    <row r="1111" spans="1:16" x14ac:dyDescent="0.25">
      <c r="A1111" s="2" t="s">
        <v>4470</v>
      </c>
      <c r="B1111" s="2" t="s">
        <v>2137</v>
      </c>
      <c r="C1111" s="2" t="s">
        <v>18</v>
      </c>
      <c r="D1111" s="2" t="s">
        <v>30</v>
      </c>
      <c r="E1111" s="2" t="s">
        <v>44</v>
      </c>
      <c r="F1111" s="2" t="s">
        <v>39</v>
      </c>
      <c r="G1111" s="2" t="s">
        <v>22</v>
      </c>
      <c r="H1111" s="2" t="s">
        <v>23</v>
      </c>
      <c r="I1111" s="2" t="s">
        <v>57</v>
      </c>
      <c r="J1111" s="2" t="s">
        <v>1347</v>
      </c>
      <c r="K1111" s="2" t="s">
        <v>3120</v>
      </c>
      <c r="L1111">
        <v>5</v>
      </c>
      <c r="M1111" s="1">
        <v>174000</v>
      </c>
      <c r="N1111">
        <v>1.8</v>
      </c>
      <c r="O1111">
        <v>10</v>
      </c>
      <c r="P1111" s="2" t="s">
        <v>26</v>
      </c>
    </row>
    <row r="1112" spans="1:16" x14ac:dyDescent="0.25">
      <c r="A1112" s="2" t="s">
        <v>4471</v>
      </c>
      <c r="B1112" s="2" t="s">
        <v>4472</v>
      </c>
      <c r="C1112" s="2" t="s">
        <v>18</v>
      </c>
      <c r="D1112" s="2" t="s">
        <v>50</v>
      </c>
      <c r="E1112" s="2" t="s">
        <v>20</v>
      </c>
      <c r="F1112" s="2" t="s">
        <v>128</v>
      </c>
      <c r="G1112" s="2" t="s">
        <v>22</v>
      </c>
      <c r="H1112" s="2" t="s">
        <v>23</v>
      </c>
      <c r="I1112" s="2" t="s">
        <v>24</v>
      </c>
      <c r="J1112" s="2" t="s">
        <v>1567</v>
      </c>
      <c r="K1112" s="2" t="s">
        <v>3120</v>
      </c>
      <c r="L1112">
        <v>4</v>
      </c>
      <c r="M1112" s="1">
        <v>366000</v>
      </c>
      <c r="N1112">
        <v>4.3</v>
      </c>
      <c r="O1112">
        <v>6</v>
      </c>
      <c r="P1112" s="2" t="s">
        <v>26</v>
      </c>
    </row>
    <row r="1113" spans="1:16" x14ac:dyDescent="0.25">
      <c r="A1113" s="2" t="s">
        <v>4477</v>
      </c>
      <c r="B1113" s="2" t="s">
        <v>599</v>
      </c>
      <c r="C1113" s="2" t="s">
        <v>29</v>
      </c>
      <c r="D1113" s="2" t="s">
        <v>30</v>
      </c>
      <c r="E1113" s="2" t="s">
        <v>44</v>
      </c>
      <c r="F1113" s="2" t="s">
        <v>21</v>
      </c>
      <c r="G1113" s="2" t="s">
        <v>80</v>
      </c>
      <c r="H1113" s="2" t="s">
        <v>23</v>
      </c>
      <c r="I1113" s="2" t="s">
        <v>24</v>
      </c>
      <c r="J1113" s="2" t="s">
        <v>4339</v>
      </c>
      <c r="K1113" s="2" t="s">
        <v>3120</v>
      </c>
      <c r="L1113">
        <v>6</v>
      </c>
      <c r="M1113" s="1">
        <v>944000</v>
      </c>
      <c r="N1113">
        <v>4</v>
      </c>
      <c r="O1113">
        <v>0</v>
      </c>
      <c r="P1113" s="2" t="s">
        <v>53</v>
      </c>
    </row>
    <row r="1114" spans="1:16" x14ac:dyDescent="0.25">
      <c r="A1114" s="2" t="s">
        <v>4478</v>
      </c>
      <c r="B1114" s="2" t="s">
        <v>3844</v>
      </c>
      <c r="C1114" s="2" t="s">
        <v>18</v>
      </c>
      <c r="D1114" s="2" t="s">
        <v>30</v>
      </c>
      <c r="E1114" s="2" t="s">
        <v>20</v>
      </c>
      <c r="F1114" s="2" t="s">
        <v>32</v>
      </c>
      <c r="G1114" s="2" t="s">
        <v>22</v>
      </c>
      <c r="H1114" s="2" t="s">
        <v>46</v>
      </c>
      <c r="I1114" s="2" t="s">
        <v>35</v>
      </c>
      <c r="J1114" s="2" t="s">
        <v>654</v>
      </c>
      <c r="K1114" s="2" t="s">
        <v>3453</v>
      </c>
      <c r="L1114">
        <v>3</v>
      </c>
      <c r="M1114" s="1">
        <v>186000</v>
      </c>
      <c r="N1114">
        <v>3.4</v>
      </c>
      <c r="O1114">
        <v>11</v>
      </c>
      <c r="P1114" s="2" t="s">
        <v>26</v>
      </c>
    </row>
    <row r="1115" spans="1:16" x14ac:dyDescent="0.25">
      <c r="A1115" s="2" t="s">
        <v>4481</v>
      </c>
      <c r="B1115" s="2" t="s">
        <v>4482</v>
      </c>
      <c r="C1115" s="2" t="s">
        <v>29</v>
      </c>
      <c r="D1115" s="2" t="s">
        <v>79</v>
      </c>
      <c r="E1115" s="2" t="s">
        <v>20</v>
      </c>
      <c r="F1115" s="2" t="s">
        <v>39</v>
      </c>
      <c r="G1115" s="2" t="s">
        <v>69</v>
      </c>
      <c r="H1115" s="2" t="s">
        <v>46</v>
      </c>
      <c r="I1115" s="2" t="s">
        <v>24</v>
      </c>
      <c r="J1115" s="2" t="s">
        <v>4483</v>
      </c>
      <c r="K1115" s="2" t="s">
        <v>3453</v>
      </c>
      <c r="L1115">
        <v>7</v>
      </c>
      <c r="M1115" s="1">
        <v>99000</v>
      </c>
      <c r="N1115">
        <v>4.7</v>
      </c>
      <c r="O1115">
        <v>31</v>
      </c>
      <c r="P1115" s="2" t="s">
        <v>26</v>
      </c>
    </row>
    <row r="1116" spans="1:16" x14ac:dyDescent="0.25">
      <c r="A1116" s="2" t="s">
        <v>4484</v>
      </c>
      <c r="B1116" s="2" t="s">
        <v>3387</v>
      </c>
      <c r="C1116" s="2" t="s">
        <v>29</v>
      </c>
      <c r="D1116" s="2" t="s">
        <v>30</v>
      </c>
      <c r="E1116" s="2" t="s">
        <v>20</v>
      </c>
      <c r="F1116" s="2" t="s">
        <v>32</v>
      </c>
      <c r="G1116" s="2" t="s">
        <v>22</v>
      </c>
      <c r="H1116" s="2" t="s">
        <v>46</v>
      </c>
      <c r="I1116" s="2" t="s">
        <v>24</v>
      </c>
      <c r="J1116" s="2" t="s">
        <v>1216</v>
      </c>
      <c r="K1116" s="2" t="s">
        <v>3453</v>
      </c>
      <c r="L1116">
        <v>3</v>
      </c>
      <c r="M1116" s="1">
        <v>295000</v>
      </c>
      <c r="N1116">
        <v>4.5</v>
      </c>
      <c r="O1116">
        <v>12</v>
      </c>
      <c r="P1116" s="2" t="s">
        <v>53</v>
      </c>
    </row>
    <row r="1117" spans="1:16" x14ac:dyDescent="0.25">
      <c r="A1117" s="2" t="s">
        <v>4485</v>
      </c>
      <c r="B1117" s="2" t="s">
        <v>4486</v>
      </c>
      <c r="C1117" s="2" t="s">
        <v>18</v>
      </c>
      <c r="D1117" s="2" t="s">
        <v>79</v>
      </c>
      <c r="E1117" s="2" t="s">
        <v>20</v>
      </c>
      <c r="F1117" s="2" t="s">
        <v>32</v>
      </c>
      <c r="G1117" s="2" t="s">
        <v>22</v>
      </c>
      <c r="H1117" s="2" t="s">
        <v>23</v>
      </c>
      <c r="I1117" s="2" t="s">
        <v>24</v>
      </c>
      <c r="J1117" s="2" t="s">
        <v>4487</v>
      </c>
      <c r="K1117" s="2" t="s">
        <v>1372</v>
      </c>
      <c r="L1117">
        <v>5</v>
      </c>
      <c r="M1117" s="1">
        <v>317000</v>
      </c>
      <c r="N1117">
        <v>3.3</v>
      </c>
      <c r="O1117">
        <v>11</v>
      </c>
      <c r="P1117" s="2" t="s">
        <v>26</v>
      </c>
    </row>
    <row r="1118" spans="1:16" x14ac:dyDescent="0.25">
      <c r="A1118" s="2" t="s">
        <v>4488</v>
      </c>
      <c r="B1118" s="2" t="s">
        <v>4489</v>
      </c>
      <c r="C1118" s="2" t="s">
        <v>18</v>
      </c>
      <c r="D1118" s="2" t="s">
        <v>19</v>
      </c>
      <c r="E1118" s="2" t="s">
        <v>31</v>
      </c>
      <c r="F1118" s="2" t="s">
        <v>45</v>
      </c>
      <c r="G1118" s="2" t="s">
        <v>33</v>
      </c>
      <c r="H1118" s="2" t="s">
        <v>23</v>
      </c>
      <c r="I1118" s="2" t="s">
        <v>24</v>
      </c>
      <c r="J1118" s="2" t="s">
        <v>4490</v>
      </c>
      <c r="K1118" s="2" t="s">
        <v>1372</v>
      </c>
      <c r="L1118">
        <v>4</v>
      </c>
      <c r="M1118" s="1">
        <v>1141000</v>
      </c>
      <c r="N1118">
        <v>4.8</v>
      </c>
      <c r="O1118">
        <v>8</v>
      </c>
      <c r="P1118" s="2" t="s">
        <v>26</v>
      </c>
    </row>
    <row r="1119" spans="1:16" x14ac:dyDescent="0.25">
      <c r="A1119" s="2" t="s">
        <v>4497</v>
      </c>
      <c r="B1119" s="2" t="s">
        <v>4498</v>
      </c>
      <c r="C1119" s="2" t="s">
        <v>29</v>
      </c>
      <c r="D1119" s="2" t="s">
        <v>50</v>
      </c>
      <c r="E1119" s="2" t="s">
        <v>20</v>
      </c>
      <c r="F1119" s="2" t="s">
        <v>32</v>
      </c>
      <c r="G1119" s="2" t="s">
        <v>33</v>
      </c>
      <c r="H1119" s="2" t="s">
        <v>23</v>
      </c>
      <c r="I1119" s="2" t="s">
        <v>57</v>
      </c>
      <c r="J1119" s="2" t="s">
        <v>4166</v>
      </c>
      <c r="K1119" s="2" t="s">
        <v>1372</v>
      </c>
      <c r="L1119">
        <v>6</v>
      </c>
      <c r="M1119" s="1">
        <v>208000</v>
      </c>
      <c r="N1119">
        <v>2.7</v>
      </c>
      <c r="O1119">
        <v>0</v>
      </c>
      <c r="P1119" s="2" t="s">
        <v>72</v>
      </c>
    </row>
    <row r="1120" spans="1:16" x14ac:dyDescent="0.25">
      <c r="A1120" s="2" t="s">
        <v>4501</v>
      </c>
      <c r="B1120" s="2" t="s">
        <v>4502</v>
      </c>
      <c r="C1120" s="2" t="s">
        <v>18</v>
      </c>
      <c r="D1120" s="2" t="s">
        <v>43</v>
      </c>
      <c r="E1120" s="2" t="s">
        <v>44</v>
      </c>
      <c r="F1120" s="2" t="s">
        <v>39</v>
      </c>
      <c r="G1120" s="2" t="s">
        <v>80</v>
      </c>
      <c r="H1120" s="2" t="s">
        <v>46</v>
      </c>
      <c r="I1120" s="2" t="s">
        <v>75</v>
      </c>
      <c r="J1120" s="2" t="s">
        <v>4503</v>
      </c>
      <c r="K1120" s="2" t="s">
        <v>478</v>
      </c>
      <c r="L1120">
        <v>2</v>
      </c>
      <c r="M1120" s="1">
        <v>129000</v>
      </c>
      <c r="N1120">
        <v>3.4</v>
      </c>
      <c r="O1120">
        <v>13</v>
      </c>
      <c r="P1120" s="2" t="s">
        <v>26</v>
      </c>
    </row>
    <row r="1121" spans="1:16" x14ac:dyDescent="0.25">
      <c r="A1121" s="2" t="s">
        <v>4504</v>
      </c>
      <c r="B1121" s="2" t="s">
        <v>4505</v>
      </c>
      <c r="C1121" s="2" t="s">
        <v>18</v>
      </c>
      <c r="D1121" s="2" t="s">
        <v>30</v>
      </c>
      <c r="E1121" s="2" t="s">
        <v>20</v>
      </c>
      <c r="F1121" s="2" t="s">
        <v>39</v>
      </c>
      <c r="G1121" s="2" t="s">
        <v>22</v>
      </c>
      <c r="H1121" s="2" t="s">
        <v>46</v>
      </c>
      <c r="I1121" s="2" t="s">
        <v>57</v>
      </c>
      <c r="J1121" s="2" t="s">
        <v>4506</v>
      </c>
      <c r="K1121" s="2" t="s">
        <v>478</v>
      </c>
      <c r="L1121">
        <v>7</v>
      </c>
      <c r="M1121" s="1">
        <v>86000</v>
      </c>
      <c r="N1121">
        <v>2</v>
      </c>
      <c r="O1121">
        <v>21</v>
      </c>
      <c r="P1121" s="2" t="s">
        <v>26</v>
      </c>
    </row>
    <row r="1122" spans="1:16" x14ac:dyDescent="0.25">
      <c r="A1122" s="2" t="s">
        <v>4507</v>
      </c>
      <c r="B1122" s="2" t="s">
        <v>4508</v>
      </c>
      <c r="C1122" s="2" t="s">
        <v>29</v>
      </c>
      <c r="D1122" s="2" t="s">
        <v>43</v>
      </c>
      <c r="E1122" s="2" t="s">
        <v>44</v>
      </c>
      <c r="F1122" s="2" t="s">
        <v>32</v>
      </c>
      <c r="G1122" s="2" t="s">
        <v>33</v>
      </c>
      <c r="H1122" s="2" t="s">
        <v>34</v>
      </c>
      <c r="I1122" s="2" t="s">
        <v>24</v>
      </c>
      <c r="J1122" s="2" t="s">
        <v>3690</v>
      </c>
      <c r="K1122" s="2" t="s">
        <v>478</v>
      </c>
      <c r="L1122">
        <v>2</v>
      </c>
      <c r="M1122" s="1">
        <v>235000</v>
      </c>
      <c r="N1122">
        <v>3.4</v>
      </c>
      <c r="O1122">
        <v>3</v>
      </c>
      <c r="P1122" s="2" t="s">
        <v>53</v>
      </c>
    </row>
    <row r="1123" spans="1:16" x14ac:dyDescent="0.25">
      <c r="A1123" s="2" t="s">
        <v>4509</v>
      </c>
      <c r="B1123" s="2" t="s">
        <v>1415</v>
      </c>
      <c r="C1123" s="2" t="s">
        <v>29</v>
      </c>
      <c r="D1123" s="2" t="s">
        <v>30</v>
      </c>
      <c r="E1123" s="2" t="s">
        <v>20</v>
      </c>
      <c r="F1123" s="2" t="s">
        <v>39</v>
      </c>
      <c r="G1123" s="2" t="s">
        <v>22</v>
      </c>
      <c r="H1123" s="2" t="s">
        <v>62</v>
      </c>
      <c r="I1123" s="2" t="s">
        <v>35</v>
      </c>
      <c r="J1123" s="2" t="s">
        <v>1890</v>
      </c>
      <c r="K1123" s="2" t="s">
        <v>4513</v>
      </c>
      <c r="L1123">
        <v>4</v>
      </c>
      <c r="M1123" s="1">
        <v>130000</v>
      </c>
      <c r="N1123">
        <v>3.1</v>
      </c>
      <c r="O1123">
        <v>5</v>
      </c>
      <c r="P1123" s="2" t="s">
        <v>26</v>
      </c>
    </row>
    <row r="1124" spans="1:16" x14ac:dyDescent="0.25">
      <c r="A1124" s="2" t="s">
        <v>4512</v>
      </c>
      <c r="B1124" s="2" t="s">
        <v>1676</v>
      </c>
      <c r="C1124" s="2" t="s">
        <v>29</v>
      </c>
      <c r="D1124" s="2" t="s">
        <v>50</v>
      </c>
      <c r="E1124" s="2" t="s">
        <v>20</v>
      </c>
      <c r="F1124" s="2" t="s">
        <v>39</v>
      </c>
      <c r="G1124" s="2" t="s">
        <v>22</v>
      </c>
      <c r="H1124" s="2" t="s">
        <v>34</v>
      </c>
      <c r="I1124" s="2" t="s">
        <v>24</v>
      </c>
      <c r="J1124" s="2" t="s">
        <v>1760</v>
      </c>
      <c r="K1124" s="2" t="s">
        <v>4513</v>
      </c>
      <c r="L1124">
        <v>5</v>
      </c>
      <c r="M1124" s="1">
        <v>122000</v>
      </c>
      <c r="N1124">
        <v>4.3</v>
      </c>
      <c r="O1124">
        <v>0</v>
      </c>
      <c r="P1124" s="2" t="s">
        <v>53</v>
      </c>
    </row>
    <row r="1125" spans="1:16" x14ac:dyDescent="0.25">
      <c r="A1125" s="2" t="s">
        <v>4514</v>
      </c>
      <c r="B1125" s="2" t="s">
        <v>4515</v>
      </c>
      <c r="C1125" s="2" t="s">
        <v>18</v>
      </c>
      <c r="D1125" s="2" t="s">
        <v>50</v>
      </c>
      <c r="E1125" s="2" t="s">
        <v>20</v>
      </c>
      <c r="F1125" s="2" t="s">
        <v>32</v>
      </c>
      <c r="G1125" s="2" t="s">
        <v>22</v>
      </c>
      <c r="H1125" s="2" t="s">
        <v>34</v>
      </c>
      <c r="I1125" s="2" t="s">
        <v>75</v>
      </c>
      <c r="J1125" s="2" t="s">
        <v>2937</v>
      </c>
      <c r="K1125" s="2" t="s">
        <v>1963</v>
      </c>
      <c r="L1125">
        <v>3</v>
      </c>
      <c r="M1125" s="1">
        <v>185000</v>
      </c>
      <c r="N1125">
        <v>2.5</v>
      </c>
      <c r="O1125">
        <v>5</v>
      </c>
      <c r="P1125" s="2" t="s">
        <v>26</v>
      </c>
    </row>
    <row r="1126" spans="1:16" x14ac:dyDescent="0.25">
      <c r="A1126" s="2" t="s">
        <v>4516</v>
      </c>
      <c r="B1126" s="2" t="s">
        <v>4517</v>
      </c>
      <c r="C1126" s="2" t="s">
        <v>29</v>
      </c>
      <c r="D1126" s="2" t="s">
        <v>79</v>
      </c>
      <c r="E1126" s="2" t="s">
        <v>31</v>
      </c>
      <c r="F1126" s="2" t="s">
        <v>45</v>
      </c>
      <c r="G1126" s="2" t="s">
        <v>33</v>
      </c>
      <c r="H1126" s="2" t="s">
        <v>34</v>
      </c>
      <c r="I1126" s="2" t="s">
        <v>24</v>
      </c>
      <c r="J1126" s="2" t="s">
        <v>4518</v>
      </c>
      <c r="K1126" s="2" t="s">
        <v>1963</v>
      </c>
      <c r="L1126">
        <v>5</v>
      </c>
      <c r="M1126" s="1">
        <v>1356000</v>
      </c>
      <c r="N1126">
        <v>4</v>
      </c>
      <c r="O1126">
        <v>16</v>
      </c>
      <c r="P1126" s="2" t="s">
        <v>26</v>
      </c>
    </row>
    <row r="1127" spans="1:16" x14ac:dyDescent="0.25">
      <c r="A1127" s="2" t="s">
        <v>4521</v>
      </c>
      <c r="B1127" s="2" t="s">
        <v>4522</v>
      </c>
      <c r="C1127" s="2" t="s">
        <v>29</v>
      </c>
      <c r="D1127" s="2" t="s">
        <v>19</v>
      </c>
      <c r="E1127" s="2" t="s">
        <v>20</v>
      </c>
      <c r="F1127" s="2" t="s">
        <v>21</v>
      </c>
      <c r="G1127" s="2" t="s">
        <v>22</v>
      </c>
      <c r="H1127" s="2" t="s">
        <v>46</v>
      </c>
      <c r="I1127" s="2" t="s">
        <v>35</v>
      </c>
      <c r="J1127" s="2" t="s">
        <v>4523</v>
      </c>
      <c r="K1127" s="2" t="s">
        <v>1963</v>
      </c>
      <c r="L1127">
        <v>4</v>
      </c>
      <c r="M1127" s="1">
        <v>1029000</v>
      </c>
      <c r="N1127">
        <v>3.5</v>
      </c>
      <c r="O1127">
        <v>28</v>
      </c>
      <c r="P1127" s="2" t="s">
        <v>26</v>
      </c>
    </row>
    <row r="1128" spans="1:16" x14ac:dyDescent="0.25">
      <c r="A1128" s="2" t="s">
        <v>4526</v>
      </c>
      <c r="B1128" s="2" t="s">
        <v>4527</v>
      </c>
      <c r="C1128" s="2" t="s">
        <v>18</v>
      </c>
      <c r="D1128" s="2" t="s">
        <v>79</v>
      </c>
      <c r="E1128" s="2" t="s">
        <v>20</v>
      </c>
      <c r="F1128" s="2" t="s">
        <v>45</v>
      </c>
      <c r="G1128" s="2" t="s">
        <v>22</v>
      </c>
      <c r="H1128" s="2" t="s">
        <v>46</v>
      </c>
      <c r="I1128" s="2" t="s">
        <v>75</v>
      </c>
      <c r="J1128" s="2" t="s">
        <v>2347</v>
      </c>
      <c r="K1128" s="2" t="s">
        <v>1963</v>
      </c>
      <c r="L1128">
        <v>6</v>
      </c>
      <c r="M1128" s="1">
        <v>1072000</v>
      </c>
      <c r="N1128">
        <v>4.5999999999999996</v>
      </c>
      <c r="O1128">
        <v>12</v>
      </c>
      <c r="P1128" s="2" t="s">
        <v>26</v>
      </c>
    </row>
    <row r="1129" spans="1:16" x14ac:dyDescent="0.25">
      <c r="A1129" s="2" t="s">
        <v>4528</v>
      </c>
      <c r="B1129" s="2" t="s">
        <v>657</v>
      </c>
      <c r="C1129" s="2" t="s">
        <v>18</v>
      </c>
      <c r="D1129" s="2" t="s">
        <v>43</v>
      </c>
      <c r="E1129" s="2" t="s">
        <v>31</v>
      </c>
      <c r="F1129" s="2" t="s">
        <v>128</v>
      </c>
      <c r="G1129" s="2" t="s">
        <v>80</v>
      </c>
      <c r="H1129" s="2" t="s">
        <v>23</v>
      </c>
      <c r="I1129" s="2" t="s">
        <v>24</v>
      </c>
      <c r="J1129" s="2" t="s">
        <v>3396</v>
      </c>
      <c r="K1129" s="2" t="s">
        <v>1963</v>
      </c>
      <c r="L1129">
        <v>3</v>
      </c>
      <c r="M1129" s="1">
        <v>350000</v>
      </c>
      <c r="N1129">
        <v>4.2</v>
      </c>
      <c r="O1129">
        <v>1</v>
      </c>
      <c r="P1129" s="2" t="s">
        <v>26</v>
      </c>
    </row>
    <row r="1130" spans="1:16" x14ac:dyDescent="0.25">
      <c r="A1130" s="2" t="s">
        <v>4530</v>
      </c>
      <c r="B1130" s="2" t="s">
        <v>4531</v>
      </c>
      <c r="C1130" s="2" t="s">
        <v>18</v>
      </c>
      <c r="D1130" s="2" t="s">
        <v>30</v>
      </c>
      <c r="E1130" s="2" t="s">
        <v>31</v>
      </c>
      <c r="F1130" s="2" t="s">
        <v>32</v>
      </c>
      <c r="G1130" s="2" t="s">
        <v>22</v>
      </c>
      <c r="H1130" s="2" t="s">
        <v>23</v>
      </c>
      <c r="I1130" s="2" t="s">
        <v>24</v>
      </c>
      <c r="J1130" s="2" t="s">
        <v>3593</v>
      </c>
      <c r="K1130" s="2" t="s">
        <v>1963</v>
      </c>
      <c r="L1130">
        <v>6</v>
      </c>
      <c r="M1130" s="1">
        <v>204000</v>
      </c>
      <c r="N1130">
        <v>2.1</v>
      </c>
      <c r="O1130">
        <v>5</v>
      </c>
      <c r="P1130" s="2" t="s">
        <v>114</v>
      </c>
    </row>
    <row r="1131" spans="1:16" x14ac:dyDescent="0.25">
      <c r="A1131" s="2" t="s">
        <v>4532</v>
      </c>
      <c r="B1131" s="2" t="s">
        <v>4533</v>
      </c>
      <c r="C1131" s="2" t="s">
        <v>29</v>
      </c>
      <c r="D1131" s="2" t="s">
        <v>43</v>
      </c>
      <c r="E1131" s="2" t="s">
        <v>20</v>
      </c>
      <c r="F1131" s="2" t="s">
        <v>39</v>
      </c>
      <c r="G1131" s="2" t="s">
        <v>69</v>
      </c>
      <c r="H1131" s="2" t="s">
        <v>34</v>
      </c>
      <c r="I1131" s="2" t="s">
        <v>24</v>
      </c>
      <c r="J1131" s="2" t="s">
        <v>3890</v>
      </c>
      <c r="K1131" s="2" t="s">
        <v>3925</v>
      </c>
      <c r="L1131">
        <v>3</v>
      </c>
      <c r="M1131" s="1">
        <v>102000</v>
      </c>
      <c r="N1131">
        <v>4.8</v>
      </c>
      <c r="O1131">
        <v>0</v>
      </c>
      <c r="P1131" s="2" t="s">
        <v>26</v>
      </c>
    </row>
    <row r="1132" spans="1:16" x14ac:dyDescent="0.25">
      <c r="A1132" s="2" t="s">
        <v>4536</v>
      </c>
      <c r="B1132" s="2" t="s">
        <v>4537</v>
      </c>
      <c r="C1132" s="2" t="s">
        <v>18</v>
      </c>
      <c r="D1132" s="2" t="s">
        <v>19</v>
      </c>
      <c r="E1132" s="2" t="s">
        <v>20</v>
      </c>
      <c r="F1132" s="2" t="s">
        <v>39</v>
      </c>
      <c r="G1132" s="2" t="s">
        <v>33</v>
      </c>
      <c r="H1132" s="2" t="s">
        <v>46</v>
      </c>
      <c r="I1132" s="2" t="s">
        <v>24</v>
      </c>
      <c r="J1132" s="2" t="s">
        <v>2633</v>
      </c>
      <c r="K1132" s="2" t="s">
        <v>3925</v>
      </c>
      <c r="L1132">
        <v>4</v>
      </c>
      <c r="M1132" s="1">
        <v>197000</v>
      </c>
      <c r="N1132">
        <v>2.5</v>
      </c>
      <c r="O1132">
        <v>13</v>
      </c>
      <c r="P1132" s="2" t="s">
        <v>26</v>
      </c>
    </row>
    <row r="1133" spans="1:16" x14ac:dyDescent="0.25">
      <c r="A1133" s="2" t="s">
        <v>4544</v>
      </c>
      <c r="B1133" s="2" t="s">
        <v>4545</v>
      </c>
      <c r="C1133" s="2" t="s">
        <v>29</v>
      </c>
      <c r="D1133" s="2" t="s">
        <v>30</v>
      </c>
      <c r="E1133" s="2" t="s">
        <v>20</v>
      </c>
      <c r="F1133" s="2" t="s">
        <v>39</v>
      </c>
      <c r="G1133" s="2" t="s">
        <v>80</v>
      </c>
      <c r="H1133" s="2" t="s">
        <v>23</v>
      </c>
      <c r="I1133" s="2" t="s">
        <v>24</v>
      </c>
      <c r="J1133" s="2" t="s">
        <v>168</v>
      </c>
      <c r="K1133" s="2" t="s">
        <v>3925</v>
      </c>
      <c r="L1133">
        <v>2</v>
      </c>
      <c r="M1133" s="1">
        <v>88000</v>
      </c>
      <c r="N1133">
        <v>3.5</v>
      </c>
      <c r="O1133">
        <v>14</v>
      </c>
      <c r="P1133" s="2" t="s">
        <v>26</v>
      </c>
    </row>
    <row r="1134" spans="1:16" x14ac:dyDescent="0.25">
      <c r="A1134" s="2" t="s">
        <v>4547</v>
      </c>
      <c r="B1134" s="2" t="s">
        <v>1308</v>
      </c>
      <c r="C1134" s="2" t="s">
        <v>18</v>
      </c>
      <c r="D1134" s="2" t="s">
        <v>43</v>
      </c>
      <c r="E1134" s="2" t="s">
        <v>20</v>
      </c>
      <c r="F1134" s="2" t="s">
        <v>128</v>
      </c>
      <c r="G1134" s="2" t="s">
        <v>22</v>
      </c>
      <c r="H1134" s="2" t="s">
        <v>23</v>
      </c>
      <c r="I1134" s="2" t="s">
        <v>35</v>
      </c>
      <c r="J1134" s="2" t="s">
        <v>4548</v>
      </c>
      <c r="K1134" s="2" t="s">
        <v>3925</v>
      </c>
      <c r="L1134">
        <v>5</v>
      </c>
      <c r="M1134" s="1">
        <v>446000</v>
      </c>
      <c r="N1134">
        <v>3.1</v>
      </c>
      <c r="O1134">
        <v>5</v>
      </c>
      <c r="P1134" s="2" t="s">
        <v>26</v>
      </c>
    </row>
    <row r="1135" spans="1:16" x14ac:dyDescent="0.25">
      <c r="A1135" s="2" t="s">
        <v>4549</v>
      </c>
      <c r="B1135" s="2" t="s">
        <v>4550</v>
      </c>
      <c r="C1135" s="2" t="s">
        <v>18</v>
      </c>
      <c r="D1135" s="2" t="s">
        <v>50</v>
      </c>
      <c r="E1135" s="2" t="s">
        <v>20</v>
      </c>
      <c r="F1135" s="2" t="s">
        <v>128</v>
      </c>
      <c r="G1135" s="2" t="s">
        <v>22</v>
      </c>
      <c r="H1135" s="2" t="s">
        <v>62</v>
      </c>
      <c r="I1135" s="2" t="s">
        <v>24</v>
      </c>
      <c r="J1135" s="2" t="s">
        <v>1864</v>
      </c>
      <c r="K1135" s="2" t="s">
        <v>3925</v>
      </c>
      <c r="L1135">
        <v>6</v>
      </c>
      <c r="M1135" s="1">
        <v>365000</v>
      </c>
      <c r="N1135">
        <v>2.5</v>
      </c>
      <c r="O1135">
        <v>4</v>
      </c>
      <c r="P1135" s="2" t="s">
        <v>114</v>
      </c>
    </row>
    <row r="1136" spans="1:16" x14ac:dyDescent="0.25">
      <c r="A1136" s="2" t="s">
        <v>4551</v>
      </c>
      <c r="B1136" s="2" t="s">
        <v>1144</v>
      </c>
      <c r="C1136" s="2" t="s">
        <v>18</v>
      </c>
      <c r="D1136" s="2" t="s">
        <v>50</v>
      </c>
      <c r="E1136" s="2" t="s">
        <v>31</v>
      </c>
      <c r="F1136" s="2" t="s">
        <v>21</v>
      </c>
      <c r="G1136" s="2" t="s">
        <v>22</v>
      </c>
      <c r="H1136" s="2" t="s">
        <v>62</v>
      </c>
      <c r="I1136" s="2" t="s">
        <v>57</v>
      </c>
      <c r="J1136" s="2" t="s">
        <v>1651</v>
      </c>
      <c r="K1136" s="2" t="s">
        <v>4578</v>
      </c>
      <c r="L1136">
        <v>7</v>
      </c>
      <c r="M1136" s="1">
        <v>870000</v>
      </c>
      <c r="N1136">
        <v>4</v>
      </c>
      <c r="O1136">
        <v>8</v>
      </c>
      <c r="P1136" s="2" t="s">
        <v>26</v>
      </c>
    </row>
    <row r="1137" spans="1:16" x14ac:dyDescent="0.25">
      <c r="A1137" s="2" t="s">
        <v>4552</v>
      </c>
      <c r="B1137" s="2" t="s">
        <v>4553</v>
      </c>
      <c r="C1137" s="2" t="s">
        <v>29</v>
      </c>
      <c r="D1137" s="2" t="s">
        <v>30</v>
      </c>
      <c r="E1137" s="2" t="s">
        <v>20</v>
      </c>
      <c r="F1137" s="2" t="s">
        <v>32</v>
      </c>
      <c r="G1137" s="2" t="s">
        <v>22</v>
      </c>
      <c r="H1137" s="2" t="s">
        <v>34</v>
      </c>
      <c r="I1137" s="2" t="s">
        <v>35</v>
      </c>
      <c r="J1137" s="2" t="s">
        <v>4554</v>
      </c>
      <c r="K1137" s="2" t="s">
        <v>4578</v>
      </c>
      <c r="L1137">
        <v>3</v>
      </c>
      <c r="M1137" s="1">
        <v>186000</v>
      </c>
      <c r="N1137">
        <v>1.5</v>
      </c>
      <c r="O1137">
        <v>13</v>
      </c>
      <c r="P1137" s="2" t="s">
        <v>26</v>
      </c>
    </row>
    <row r="1138" spans="1:16" x14ac:dyDescent="0.25">
      <c r="A1138" s="2" t="s">
        <v>4557</v>
      </c>
      <c r="B1138" s="2" t="s">
        <v>992</v>
      </c>
      <c r="C1138" s="2" t="s">
        <v>29</v>
      </c>
      <c r="D1138" s="2" t="s">
        <v>19</v>
      </c>
      <c r="E1138" s="2" t="s">
        <v>20</v>
      </c>
      <c r="F1138" s="2" t="s">
        <v>32</v>
      </c>
      <c r="G1138" s="2" t="s">
        <v>22</v>
      </c>
      <c r="H1138" s="2" t="s">
        <v>34</v>
      </c>
      <c r="I1138" s="2" t="s">
        <v>24</v>
      </c>
      <c r="J1138" s="2" t="s">
        <v>564</v>
      </c>
      <c r="K1138" s="2" t="s">
        <v>4578</v>
      </c>
      <c r="L1138">
        <v>7</v>
      </c>
      <c r="M1138" s="1">
        <v>283000</v>
      </c>
      <c r="N1138">
        <v>4.2</v>
      </c>
      <c r="O1138">
        <v>12</v>
      </c>
      <c r="P1138" s="2" t="s">
        <v>26</v>
      </c>
    </row>
    <row r="1139" spans="1:16" x14ac:dyDescent="0.25">
      <c r="A1139" s="2" t="s">
        <v>4562</v>
      </c>
      <c r="B1139" s="2" t="s">
        <v>4486</v>
      </c>
      <c r="C1139" s="2" t="s">
        <v>18</v>
      </c>
      <c r="D1139" s="2" t="s">
        <v>43</v>
      </c>
      <c r="E1139" s="2" t="s">
        <v>20</v>
      </c>
      <c r="F1139" s="2" t="s">
        <v>32</v>
      </c>
      <c r="G1139" s="2" t="s">
        <v>22</v>
      </c>
      <c r="H1139" s="2" t="s">
        <v>23</v>
      </c>
      <c r="I1139" s="2" t="s">
        <v>24</v>
      </c>
      <c r="J1139" s="2" t="s">
        <v>2103</v>
      </c>
      <c r="K1139" s="2" t="s">
        <v>4578</v>
      </c>
      <c r="L1139">
        <v>2</v>
      </c>
      <c r="M1139" s="1">
        <v>213000</v>
      </c>
      <c r="N1139">
        <v>4.7</v>
      </c>
      <c r="O1139">
        <v>23</v>
      </c>
      <c r="P1139" s="2" t="s">
        <v>26</v>
      </c>
    </row>
    <row r="1140" spans="1:16" x14ac:dyDescent="0.25">
      <c r="A1140" s="2" t="s">
        <v>4563</v>
      </c>
      <c r="B1140" s="2" t="s">
        <v>4564</v>
      </c>
      <c r="C1140" s="2" t="s">
        <v>29</v>
      </c>
      <c r="D1140" s="2" t="s">
        <v>43</v>
      </c>
      <c r="E1140" s="2" t="s">
        <v>31</v>
      </c>
      <c r="F1140" s="2" t="s">
        <v>21</v>
      </c>
      <c r="G1140" s="2" t="s">
        <v>69</v>
      </c>
      <c r="H1140" s="2" t="s">
        <v>34</v>
      </c>
      <c r="I1140" s="2" t="s">
        <v>57</v>
      </c>
      <c r="J1140" s="2" t="s">
        <v>411</v>
      </c>
      <c r="K1140" s="2" t="s">
        <v>4578</v>
      </c>
      <c r="L1140">
        <v>4</v>
      </c>
      <c r="M1140" s="1">
        <v>651000</v>
      </c>
      <c r="N1140">
        <v>4.9000000000000004</v>
      </c>
      <c r="O1140">
        <v>0</v>
      </c>
      <c r="P1140" s="2" t="s">
        <v>26</v>
      </c>
    </row>
    <row r="1141" spans="1:16" x14ac:dyDescent="0.25">
      <c r="A1141" s="2" t="s">
        <v>4565</v>
      </c>
      <c r="B1141" s="2" t="s">
        <v>4566</v>
      </c>
      <c r="C1141" s="2" t="s">
        <v>18</v>
      </c>
      <c r="D1141" s="2" t="s">
        <v>50</v>
      </c>
      <c r="E1141" s="2" t="s">
        <v>20</v>
      </c>
      <c r="F1141" s="2" t="s">
        <v>32</v>
      </c>
      <c r="G1141" s="2" t="s">
        <v>22</v>
      </c>
      <c r="H1141" s="2" t="s">
        <v>23</v>
      </c>
      <c r="I1141" s="2" t="s">
        <v>24</v>
      </c>
      <c r="J1141" s="2" t="s">
        <v>4567</v>
      </c>
      <c r="K1141" s="2" t="s">
        <v>4578</v>
      </c>
      <c r="L1141">
        <v>5</v>
      </c>
      <c r="M1141" s="1">
        <v>226000</v>
      </c>
      <c r="N1141">
        <v>2.8</v>
      </c>
      <c r="O1141">
        <v>14</v>
      </c>
      <c r="P1141" s="2" t="s">
        <v>26</v>
      </c>
    </row>
    <row r="1142" spans="1:16" x14ac:dyDescent="0.25">
      <c r="A1142" s="2" t="s">
        <v>4570</v>
      </c>
      <c r="B1142" s="2" t="s">
        <v>4571</v>
      </c>
      <c r="C1142" s="2" t="s">
        <v>18</v>
      </c>
      <c r="D1142" s="2" t="s">
        <v>79</v>
      </c>
      <c r="E1142" s="2" t="s">
        <v>31</v>
      </c>
      <c r="F1142" s="2" t="s">
        <v>32</v>
      </c>
      <c r="G1142" s="2" t="s">
        <v>80</v>
      </c>
      <c r="H1142" s="2" t="s">
        <v>23</v>
      </c>
      <c r="I1142" s="2" t="s">
        <v>24</v>
      </c>
      <c r="J1142" s="2" t="s">
        <v>2589</v>
      </c>
      <c r="K1142" s="2" t="s">
        <v>4578</v>
      </c>
      <c r="L1142">
        <v>6</v>
      </c>
      <c r="M1142" s="1">
        <v>214000</v>
      </c>
      <c r="N1142">
        <v>4.5</v>
      </c>
      <c r="O1142">
        <v>6</v>
      </c>
      <c r="P1142" s="2" t="s">
        <v>26</v>
      </c>
    </row>
    <row r="1143" spans="1:16" x14ac:dyDescent="0.25">
      <c r="A1143" s="2" t="s">
        <v>4572</v>
      </c>
      <c r="B1143" s="2" t="s">
        <v>4573</v>
      </c>
      <c r="C1143" s="2" t="s">
        <v>18</v>
      </c>
      <c r="D1143" s="2" t="s">
        <v>19</v>
      </c>
      <c r="E1143" s="2" t="s">
        <v>44</v>
      </c>
      <c r="F1143" s="2" t="s">
        <v>39</v>
      </c>
      <c r="G1143" s="2" t="s">
        <v>33</v>
      </c>
      <c r="H1143" s="2" t="s">
        <v>23</v>
      </c>
      <c r="I1143" s="2" t="s">
        <v>57</v>
      </c>
      <c r="J1143" s="2" t="s">
        <v>4319</v>
      </c>
      <c r="K1143" s="2" t="s">
        <v>4578</v>
      </c>
      <c r="L1143">
        <v>3</v>
      </c>
      <c r="M1143" s="1">
        <v>170000</v>
      </c>
      <c r="N1143">
        <v>3.1</v>
      </c>
      <c r="O1143">
        <v>1</v>
      </c>
      <c r="P1143" s="2" t="s">
        <v>26</v>
      </c>
    </row>
    <row r="1144" spans="1:16" x14ac:dyDescent="0.25">
      <c r="A1144" s="2" t="s">
        <v>4574</v>
      </c>
      <c r="B1144" s="2" t="s">
        <v>4575</v>
      </c>
      <c r="C1144" s="2" t="s">
        <v>18</v>
      </c>
      <c r="D1144" s="2" t="s">
        <v>50</v>
      </c>
      <c r="E1144" s="2" t="s">
        <v>44</v>
      </c>
      <c r="F1144" s="2" t="s">
        <v>32</v>
      </c>
      <c r="G1144" s="2" t="s">
        <v>22</v>
      </c>
      <c r="H1144" s="2" t="s">
        <v>34</v>
      </c>
      <c r="I1144" s="2" t="s">
        <v>57</v>
      </c>
      <c r="J1144" s="2" t="s">
        <v>2414</v>
      </c>
      <c r="K1144" s="2" t="s">
        <v>4578</v>
      </c>
      <c r="L1144">
        <v>4</v>
      </c>
      <c r="M1144" s="1">
        <v>266000</v>
      </c>
      <c r="N1144">
        <v>3.5</v>
      </c>
      <c r="O1144">
        <v>4</v>
      </c>
      <c r="P1144" s="2" t="s">
        <v>26</v>
      </c>
    </row>
    <row r="1145" spans="1:16" x14ac:dyDescent="0.25">
      <c r="A1145" s="2" t="s">
        <v>4576</v>
      </c>
      <c r="B1145" s="2" t="s">
        <v>4577</v>
      </c>
      <c r="C1145" s="2" t="s">
        <v>18</v>
      </c>
      <c r="D1145" s="2" t="s">
        <v>30</v>
      </c>
      <c r="E1145" s="2" t="s">
        <v>44</v>
      </c>
      <c r="F1145" s="2" t="s">
        <v>32</v>
      </c>
      <c r="G1145" s="2" t="s">
        <v>22</v>
      </c>
      <c r="H1145" s="2" t="s">
        <v>23</v>
      </c>
      <c r="I1145" s="2" t="s">
        <v>35</v>
      </c>
      <c r="J1145" s="2" t="s">
        <v>3390</v>
      </c>
      <c r="K1145" s="2" t="s">
        <v>4578</v>
      </c>
      <c r="L1145">
        <v>3</v>
      </c>
      <c r="M1145" s="1">
        <v>323000</v>
      </c>
      <c r="N1145">
        <v>3.9</v>
      </c>
      <c r="O1145">
        <v>7</v>
      </c>
      <c r="P1145" s="2" t="s">
        <v>53</v>
      </c>
    </row>
    <row r="1146" spans="1:16" x14ac:dyDescent="0.25">
      <c r="A1146" s="2" t="s">
        <v>4579</v>
      </c>
      <c r="B1146" s="2" t="s">
        <v>4580</v>
      </c>
      <c r="C1146" s="2" t="s">
        <v>18</v>
      </c>
      <c r="D1146" s="2" t="s">
        <v>30</v>
      </c>
      <c r="E1146" s="2" t="s">
        <v>20</v>
      </c>
      <c r="F1146" s="2" t="s">
        <v>39</v>
      </c>
      <c r="G1146" s="2" t="s">
        <v>22</v>
      </c>
      <c r="H1146" s="2" t="s">
        <v>34</v>
      </c>
      <c r="I1146" s="2" t="s">
        <v>24</v>
      </c>
      <c r="J1146" s="2" t="s">
        <v>4281</v>
      </c>
      <c r="K1146" s="2" t="s">
        <v>453</v>
      </c>
      <c r="L1146">
        <v>2</v>
      </c>
      <c r="M1146" s="1">
        <v>157000</v>
      </c>
      <c r="N1146">
        <v>1.9</v>
      </c>
      <c r="O1146">
        <v>38</v>
      </c>
      <c r="P1146" s="2" t="s">
        <v>72</v>
      </c>
    </row>
    <row r="1147" spans="1:16" x14ac:dyDescent="0.25">
      <c r="A1147" s="2" t="s">
        <v>4583</v>
      </c>
      <c r="B1147" s="2" t="s">
        <v>4584</v>
      </c>
      <c r="C1147" s="2" t="s">
        <v>29</v>
      </c>
      <c r="D1147" s="2" t="s">
        <v>50</v>
      </c>
      <c r="E1147" s="2" t="s">
        <v>20</v>
      </c>
      <c r="F1147" s="2" t="s">
        <v>32</v>
      </c>
      <c r="G1147" s="2" t="s">
        <v>80</v>
      </c>
      <c r="H1147" s="2" t="s">
        <v>23</v>
      </c>
      <c r="I1147" s="2" t="s">
        <v>24</v>
      </c>
      <c r="J1147" s="2" t="s">
        <v>4400</v>
      </c>
      <c r="K1147" s="2" t="s">
        <v>4588</v>
      </c>
      <c r="L1147">
        <v>4</v>
      </c>
      <c r="M1147" s="1">
        <v>331000</v>
      </c>
      <c r="N1147">
        <v>4.5</v>
      </c>
      <c r="O1147">
        <v>0</v>
      </c>
      <c r="P1147" s="2" t="s">
        <v>26</v>
      </c>
    </row>
    <row r="1148" spans="1:16" x14ac:dyDescent="0.25">
      <c r="A1148" s="2" t="s">
        <v>4585</v>
      </c>
      <c r="B1148" s="2" t="s">
        <v>4564</v>
      </c>
      <c r="C1148" s="2" t="s">
        <v>29</v>
      </c>
      <c r="D1148" s="2" t="s">
        <v>79</v>
      </c>
      <c r="E1148" s="2" t="s">
        <v>44</v>
      </c>
      <c r="F1148" s="2" t="s">
        <v>32</v>
      </c>
      <c r="G1148" s="2" t="s">
        <v>22</v>
      </c>
      <c r="H1148" s="2" t="s">
        <v>23</v>
      </c>
      <c r="I1148" s="2" t="s">
        <v>24</v>
      </c>
      <c r="J1148" s="2" t="s">
        <v>1842</v>
      </c>
      <c r="K1148" s="2" t="s">
        <v>4588</v>
      </c>
      <c r="L1148">
        <v>4</v>
      </c>
      <c r="M1148" s="1">
        <v>284000</v>
      </c>
      <c r="N1148">
        <v>4.8</v>
      </c>
      <c r="O1148">
        <v>11</v>
      </c>
      <c r="P1148" s="2" t="s">
        <v>26</v>
      </c>
    </row>
    <row r="1149" spans="1:16" x14ac:dyDescent="0.25">
      <c r="A1149" s="2" t="s">
        <v>4586</v>
      </c>
      <c r="B1149" s="2" t="s">
        <v>1639</v>
      </c>
      <c r="C1149" s="2" t="s">
        <v>18</v>
      </c>
      <c r="D1149" s="2" t="s">
        <v>30</v>
      </c>
      <c r="E1149" s="2" t="s">
        <v>20</v>
      </c>
      <c r="F1149" s="2" t="s">
        <v>32</v>
      </c>
      <c r="G1149" s="2" t="s">
        <v>80</v>
      </c>
      <c r="H1149" s="2" t="s">
        <v>23</v>
      </c>
      <c r="I1149" s="2" t="s">
        <v>171</v>
      </c>
      <c r="J1149" s="2" t="s">
        <v>4587</v>
      </c>
      <c r="K1149" s="2" t="s">
        <v>4588</v>
      </c>
      <c r="L1149">
        <v>2</v>
      </c>
      <c r="M1149" s="1">
        <v>185000</v>
      </c>
      <c r="N1149">
        <v>2.8</v>
      </c>
      <c r="O1149">
        <v>9</v>
      </c>
      <c r="P1149" s="2" t="s">
        <v>72</v>
      </c>
    </row>
    <row r="1150" spans="1:16" x14ac:dyDescent="0.25">
      <c r="A1150" s="2" t="s">
        <v>4589</v>
      </c>
      <c r="B1150" s="2" t="s">
        <v>3550</v>
      </c>
      <c r="C1150" s="2" t="s">
        <v>29</v>
      </c>
      <c r="D1150" s="2" t="s">
        <v>50</v>
      </c>
      <c r="E1150" s="2" t="s">
        <v>20</v>
      </c>
      <c r="F1150" s="2" t="s">
        <v>39</v>
      </c>
      <c r="G1150" s="2" t="s">
        <v>22</v>
      </c>
      <c r="H1150" s="2" t="s">
        <v>23</v>
      </c>
      <c r="I1150" s="2" t="s">
        <v>35</v>
      </c>
      <c r="J1150" s="2" t="s">
        <v>858</v>
      </c>
      <c r="K1150" s="2" t="s">
        <v>4595</v>
      </c>
      <c r="L1150">
        <v>3</v>
      </c>
      <c r="M1150" s="1">
        <v>145000</v>
      </c>
      <c r="N1150">
        <v>2.2000000000000002</v>
      </c>
      <c r="O1150">
        <v>6</v>
      </c>
      <c r="P1150" s="2" t="s">
        <v>26</v>
      </c>
    </row>
    <row r="1151" spans="1:16" x14ac:dyDescent="0.25">
      <c r="A1151" s="2" t="s">
        <v>4590</v>
      </c>
      <c r="B1151" s="2" t="s">
        <v>4591</v>
      </c>
      <c r="C1151" s="2" t="s">
        <v>29</v>
      </c>
      <c r="D1151" s="2" t="s">
        <v>50</v>
      </c>
      <c r="E1151" s="2" t="s">
        <v>20</v>
      </c>
      <c r="F1151" s="2" t="s">
        <v>39</v>
      </c>
      <c r="G1151" s="2" t="s">
        <v>80</v>
      </c>
      <c r="H1151" s="2" t="s">
        <v>62</v>
      </c>
      <c r="I1151" s="2" t="s">
        <v>57</v>
      </c>
      <c r="J1151" s="2" t="s">
        <v>1803</v>
      </c>
      <c r="K1151" s="2" t="s">
        <v>4595</v>
      </c>
      <c r="L1151">
        <v>6</v>
      </c>
      <c r="M1151" s="1">
        <v>117000</v>
      </c>
      <c r="N1151">
        <v>2.8</v>
      </c>
      <c r="O1151">
        <v>0</v>
      </c>
      <c r="P1151" s="2" t="s">
        <v>26</v>
      </c>
    </row>
    <row r="1152" spans="1:16" x14ac:dyDescent="0.25">
      <c r="A1152" s="2" t="s">
        <v>4592</v>
      </c>
      <c r="B1152" s="2" t="s">
        <v>4593</v>
      </c>
      <c r="C1152" s="2" t="s">
        <v>29</v>
      </c>
      <c r="D1152" s="2" t="s">
        <v>50</v>
      </c>
      <c r="E1152" s="2" t="s">
        <v>31</v>
      </c>
      <c r="F1152" s="2" t="s">
        <v>128</v>
      </c>
      <c r="G1152" s="2" t="s">
        <v>69</v>
      </c>
      <c r="H1152" s="2" t="s">
        <v>34</v>
      </c>
      <c r="I1152" s="2" t="s">
        <v>24</v>
      </c>
      <c r="J1152" s="2" t="s">
        <v>235</v>
      </c>
      <c r="K1152" s="2" t="s">
        <v>4595</v>
      </c>
      <c r="L1152">
        <v>3</v>
      </c>
      <c r="M1152" s="1">
        <v>524000</v>
      </c>
      <c r="N1152">
        <v>4.4000000000000004</v>
      </c>
      <c r="O1152">
        <v>6</v>
      </c>
      <c r="P1152" s="2" t="s">
        <v>26</v>
      </c>
    </row>
    <row r="1153" spans="1:16" x14ac:dyDescent="0.25">
      <c r="A1153" s="2" t="s">
        <v>4594</v>
      </c>
      <c r="B1153" s="2" t="s">
        <v>3052</v>
      </c>
      <c r="C1153" s="2" t="s">
        <v>18</v>
      </c>
      <c r="D1153" s="2" t="s">
        <v>30</v>
      </c>
      <c r="E1153" s="2" t="s">
        <v>44</v>
      </c>
      <c r="F1153" s="2" t="s">
        <v>32</v>
      </c>
      <c r="G1153" s="2" t="s">
        <v>33</v>
      </c>
      <c r="H1153" s="2" t="s">
        <v>23</v>
      </c>
      <c r="I1153" s="2" t="s">
        <v>24</v>
      </c>
      <c r="J1153" s="2" t="s">
        <v>1251</v>
      </c>
      <c r="K1153" s="2" t="s">
        <v>4595</v>
      </c>
      <c r="L1153">
        <v>5</v>
      </c>
      <c r="M1153" s="1">
        <v>345000</v>
      </c>
      <c r="N1153">
        <v>2.4</v>
      </c>
      <c r="O1153">
        <v>7</v>
      </c>
      <c r="P1153" s="2" t="s">
        <v>53</v>
      </c>
    </row>
    <row r="1154" spans="1:16" x14ac:dyDescent="0.25">
      <c r="A1154" s="2" t="s">
        <v>4599</v>
      </c>
      <c r="B1154" s="2" t="s">
        <v>4600</v>
      </c>
      <c r="C1154" s="2" t="s">
        <v>29</v>
      </c>
      <c r="D1154" s="2" t="s">
        <v>30</v>
      </c>
      <c r="E1154" s="2" t="s">
        <v>44</v>
      </c>
      <c r="F1154" s="2" t="s">
        <v>39</v>
      </c>
      <c r="G1154" s="2" t="s">
        <v>22</v>
      </c>
      <c r="H1154" s="2" t="s">
        <v>46</v>
      </c>
      <c r="I1154" s="2" t="s">
        <v>57</v>
      </c>
      <c r="J1154" s="2" t="s">
        <v>1038</v>
      </c>
      <c r="K1154" s="2" t="s">
        <v>4601</v>
      </c>
      <c r="L1154">
        <v>4</v>
      </c>
      <c r="M1154" s="1">
        <v>138000</v>
      </c>
      <c r="N1154">
        <v>3.3</v>
      </c>
      <c r="O1154">
        <v>10</v>
      </c>
      <c r="P1154" s="2" t="s">
        <v>53</v>
      </c>
    </row>
    <row r="1155" spans="1:16" x14ac:dyDescent="0.25">
      <c r="A1155" s="2" t="s">
        <v>4603</v>
      </c>
      <c r="B1155" s="2" t="s">
        <v>4604</v>
      </c>
      <c r="C1155" s="2" t="s">
        <v>29</v>
      </c>
      <c r="D1155" s="2" t="s">
        <v>50</v>
      </c>
      <c r="E1155" s="2" t="s">
        <v>20</v>
      </c>
      <c r="F1155" s="2" t="s">
        <v>39</v>
      </c>
      <c r="G1155" s="2" t="s">
        <v>22</v>
      </c>
      <c r="H1155" s="2" t="s">
        <v>23</v>
      </c>
      <c r="I1155" s="2" t="s">
        <v>57</v>
      </c>
      <c r="J1155" s="2" t="s">
        <v>4605</v>
      </c>
      <c r="K1155" s="2" t="s">
        <v>3581</v>
      </c>
      <c r="L1155">
        <v>2</v>
      </c>
      <c r="M1155" s="1">
        <v>163000</v>
      </c>
      <c r="N1155">
        <v>4.5</v>
      </c>
      <c r="O1155">
        <v>37</v>
      </c>
      <c r="P1155" s="2" t="s">
        <v>53</v>
      </c>
    </row>
    <row r="1156" spans="1:16" x14ac:dyDescent="0.25">
      <c r="A1156" s="2" t="s">
        <v>4606</v>
      </c>
      <c r="B1156" s="2" t="s">
        <v>440</v>
      </c>
      <c r="C1156" s="2" t="s">
        <v>18</v>
      </c>
      <c r="D1156" s="2" t="s">
        <v>30</v>
      </c>
      <c r="E1156" s="2" t="s">
        <v>44</v>
      </c>
      <c r="F1156" s="2" t="s">
        <v>32</v>
      </c>
      <c r="G1156" s="2" t="s">
        <v>22</v>
      </c>
      <c r="H1156" s="2" t="s">
        <v>34</v>
      </c>
      <c r="I1156" s="2" t="s">
        <v>35</v>
      </c>
      <c r="J1156" s="2" t="s">
        <v>2686</v>
      </c>
      <c r="K1156" s="2" t="s">
        <v>4607</v>
      </c>
      <c r="L1156">
        <v>6</v>
      </c>
      <c r="M1156" s="1">
        <v>293000</v>
      </c>
      <c r="N1156">
        <v>3.3</v>
      </c>
      <c r="O1156">
        <v>11</v>
      </c>
      <c r="P1156" s="2" t="s">
        <v>53</v>
      </c>
    </row>
    <row r="1157" spans="1:16" x14ac:dyDescent="0.25">
      <c r="A1157" s="2" t="s">
        <v>4610</v>
      </c>
      <c r="B1157" s="2" t="s">
        <v>3263</v>
      </c>
      <c r="C1157" s="2" t="s">
        <v>18</v>
      </c>
      <c r="D1157" s="2" t="s">
        <v>50</v>
      </c>
      <c r="E1157" s="2" t="s">
        <v>20</v>
      </c>
      <c r="F1157" s="2" t="s">
        <v>39</v>
      </c>
      <c r="G1157" s="2" t="s">
        <v>22</v>
      </c>
      <c r="H1157" s="2" t="s">
        <v>46</v>
      </c>
      <c r="I1157" s="2" t="s">
        <v>24</v>
      </c>
      <c r="J1157" s="2" t="s">
        <v>530</v>
      </c>
      <c r="K1157" s="2" t="s">
        <v>4611</v>
      </c>
      <c r="L1157">
        <v>3</v>
      </c>
      <c r="M1157" s="1">
        <v>169000</v>
      </c>
      <c r="N1157">
        <v>2.1</v>
      </c>
      <c r="O1157">
        <v>4</v>
      </c>
      <c r="P1157" s="2" t="s">
        <v>72</v>
      </c>
    </row>
    <row r="1158" spans="1:16" x14ac:dyDescent="0.25">
      <c r="A1158" s="2" t="s">
        <v>4612</v>
      </c>
      <c r="B1158" s="2" t="s">
        <v>1371</v>
      </c>
      <c r="C1158" s="2" t="s">
        <v>29</v>
      </c>
      <c r="D1158" s="2" t="s">
        <v>19</v>
      </c>
      <c r="E1158" s="2" t="s">
        <v>20</v>
      </c>
      <c r="F1158" s="2" t="s">
        <v>32</v>
      </c>
      <c r="G1158" s="2" t="s">
        <v>33</v>
      </c>
      <c r="H1158" s="2" t="s">
        <v>34</v>
      </c>
      <c r="I1158" s="2" t="s">
        <v>57</v>
      </c>
      <c r="J1158" s="2" t="s">
        <v>3470</v>
      </c>
      <c r="K1158" s="2" t="s">
        <v>216</v>
      </c>
      <c r="L1158">
        <v>3</v>
      </c>
      <c r="M1158" s="1">
        <v>385000</v>
      </c>
      <c r="N1158">
        <v>3.2</v>
      </c>
      <c r="O1158">
        <v>13</v>
      </c>
      <c r="P1158" s="2" t="s">
        <v>26</v>
      </c>
    </row>
    <row r="1159" spans="1:16" x14ac:dyDescent="0.25">
      <c r="A1159" s="2" t="s">
        <v>4510</v>
      </c>
      <c r="B1159" s="2" t="s">
        <v>4511</v>
      </c>
      <c r="C1159" s="2" t="s">
        <v>18</v>
      </c>
      <c r="D1159" s="2" t="s">
        <v>30</v>
      </c>
      <c r="E1159" s="2" t="s">
        <v>20</v>
      </c>
      <c r="F1159" s="2" t="s">
        <v>32</v>
      </c>
      <c r="G1159" s="2" t="s">
        <v>80</v>
      </c>
      <c r="H1159" s="2" t="s">
        <v>34</v>
      </c>
      <c r="I1159" s="2" t="s">
        <v>24</v>
      </c>
      <c r="J1159" s="2" t="s">
        <v>3931</v>
      </c>
      <c r="K1159" s="2" t="s">
        <v>216</v>
      </c>
      <c r="L1159">
        <v>4</v>
      </c>
      <c r="M1159" s="1">
        <v>333000</v>
      </c>
      <c r="N1159">
        <v>4.4000000000000004</v>
      </c>
      <c r="O1159">
        <v>10</v>
      </c>
      <c r="P1159" s="2" t="s">
        <v>26</v>
      </c>
    </row>
    <row r="1160" spans="1:16" x14ac:dyDescent="0.25">
      <c r="A1160" s="2" t="s">
        <v>4615</v>
      </c>
      <c r="B1160" s="2" t="s">
        <v>1737</v>
      </c>
      <c r="C1160" s="2" t="s">
        <v>18</v>
      </c>
      <c r="D1160" s="2" t="s">
        <v>43</v>
      </c>
      <c r="E1160" s="2" t="s">
        <v>20</v>
      </c>
      <c r="F1160" s="2" t="s">
        <v>39</v>
      </c>
      <c r="G1160" s="2" t="s">
        <v>22</v>
      </c>
      <c r="H1160" s="2" t="s">
        <v>62</v>
      </c>
      <c r="I1160" s="2" t="s">
        <v>57</v>
      </c>
      <c r="J1160" s="2" t="s">
        <v>1629</v>
      </c>
      <c r="K1160" s="2" t="s">
        <v>216</v>
      </c>
      <c r="L1160">
        <v>4</v>
      </c>
      <c r="M1160" s="1">
        <v>97000</v>
      </c>
      <c r="N1160">
        <v>3.4</v>
      </c>
      <c r="O1160">
        <v>7</v>
      </c>
      <c r="P1160" s="2" t="s">
        <v>26</v>
      </c>
    </row>
    <row r="1161" spans="1:16" x14ac:dyDescent="0.25">
      <c r="A1161" s="2" t="s">
        <v>4616</v>
      </c>
      <c r="B1161" s="2" t="s">
        <v>4617</v>
      </c>
      <c r="C1161" s="2" t="s">
        <v>29</v>
      </c>
      <c r="D1161" s="2" t="s">
        <v>79</v>
      </c>
      <c r="E1161" s="2" t="s">
        <v>20</v>
      </c>
      <c r="F1161" s="2" t="s">
        <v>32</v>
      </c>
      <c r="G1161" s="2" t="s">
        <v>33</v>
      </c>
      <c r="H1161" s="2" t="s">
        <v>34</v>
      </c>
      <c r="I1161" s="2" t="s">
        <v>35</v>
      </c>
      <c r="J1161" s="2" t="s">
        <v>4108</v>
      </c>
      <c r="K1161" s="2" t="s">
        <v>216</v>
      </c>
      <c r="L1161">
        <v>4</v>
      </c>
      <c r="M1161" s="1">
        <v>233000</v>
      </c>
      <c r="N1161">
        <v>2.4</v>
      </c>
      <c r="O1161">
        <v>1</v>
      </c>
      <c r="P1161" s="2" t="s">
        <v>26</v>
      </c>
    </row>
    <row r="1162" spans="1:16" x14ac:dyDescent="0.25">
      <c r="A1162" s="2" t="s">
        <v>4618</v>
      </c>
      <c r="B1162" s="2" t="s">
        <v>4619</v>
      </c>
      <c r="C1162" s="2" t="s">
        <v>18</v>
      </c>
      <c r="D1162" s="2" t="s">
        <v>30</v>
      </c>
      <c r="E1162" s="2" t="s">
        <v>20</v>
      </c>
      <c r="F1162" s="2" t="s">
        <v>39</v>
      </c>
      <c r="G1162" s="2" t="s">
        <v>80</v>
      </c>
      <c r="H1162" s="2" t="s">
        <v>23</v>
      </c>
      <c r="I1162" s="2" t="s">
        <v>24</v>
      </c>
      <c r="J1162" s="2" t="s">
        <v>1709</v>
      </c>
      <c r="K1162" s="2" t="s">
        <v>216</v>
      </c>
      <c r="L1162">
        <v>5</v>
      </c>
      <c r="M1162" s="1">
        <v>86000</v>
      </c>
      <c r="N1162">
        <v>2.9</v>
      </c>
      <c r="O1162">
        <v>4</v>
      </c>
      <c r="P1162" s="2" t="s">
        <v>53</v>
      </c>
    </row>
    <row r="1163" spans="1:16" x14ac:dyDescent="0.25">
      <c r="A1163" s="2" t="s">
        <v>4622</v>
      </c>
      <c r="B1163" s="2" t="s">
        <v>2485</v>
      </c>
      <c r="C1163" s="2" t="s">
        <v>18</v>
      </c>
      <c r="D1163" s="2" t="s">
        <v>30</v>
      </c>
      <c r="E1163" s="2" t="s">
        <v>20</v>
      </c>
      <c r="F1163" s="2" t="s">
        <v>32</v>
      </c>
      <c r="G1163" s="2" t="s">
        <v>22</v>
      </c>
      <c r="H1163" s="2" t="s">
        <v>23</v>
      </c>
      <c r="I1163" s="2" t="s">
        <v>24</v>
      </c>
      <c r="J1163" s="2" t="s">
        <v>533</v>
      </c>
      <c r="K1163" s="2" t="s">
        <v>2447</v>
      </c>
      <c r="L1163">
        <v>4</v>
      </c>
      <c r="M1163" s="1">
        <v>225000</v>
      </c>
      <c r="N1163">
        <v>1.8</v>
      </c>
      <c r="O1163">
        <v>0</v>
      </c>
      <c r="P1163" s="2" t="s">
        <v>26</v>
      </c>
    </row>
    <row r="1164" spans="1:16" x14ac:dyDescent="0.25">
      <c r="A1164" s="2" t="s">
        <v>4629</v>
      </c>
      <c r="B1164" s="2" t="s">
        <v>4630</v>
      </c>
      <c r="C1164" s="2" t="s">
        <v>18</v>
      </c>
      <c r="D1164" s="2" t="s">
        <v>79</v>
      </c>
      <c r="E1164" s="2" t="s">
        <v>20</v>
      </c>
      <c r="F1164" s="2" t="s">
        <v>21</v>
      </c>
      <c r="G1164" s="2" t="s">
        <v>22</v>
      </c>
      <c r="H1164" s="2" t="s">
        <v>46</v>
      </c>
      <c r="I1164" s="2" t="s">
        <v>75</v>
      </c>
      <c r="J1164" s="2" t="s">
        <v>4631</v>
      </c>
      <c r="K1164" s="2" t="s">
        <v>2447</v>
      </c>
      <c r="L1164">
        <v>4</v>
      </c>
      <c r="M1164" s="1">
        <v>705000</v>
      </c>
      <c r="N1164">
        <v>4.5</v>
      </c>
      <c r="O1164">
        <v>8</v>
      </c>
      <c r="P1164" s="2" t="s">
        <v>26</v>
      </c>
    </row>
    <row r="1165" spans="1:16" x14ac:dyDescent="0.25">
      <c r="A1165" s="2" t="s">
        <v>4634</v>
      </c>
      <c r="B1165" s="2" t="s">
        <v>3287</v>
      </c>
      <c r="C1165" s="2" t="s">
        <v>18</v>
      </c>
      <c r="D1165" s="2" t="s">
        <v>79</v>
      </c>
      <c r="E1165" s="2" t="s">
        <v>44</v>
      </c>
      <c r="F1165" s="2" t="s">
        <v>128</v>
      </c>
      <c r="G1165" s="2" t="s">
        <v>22</v>
      </c>
      <c r="H1165" s="2" t="s">
        <v>23</v>
      </c>
      <c r="I1165" s="2" t="s">
        <v>24</v>
      </c>
      <c r="J1165" s="2" t="s">
        <v>4635</v>
      </c>
      <c r="K1165" s="2" t="s">
        <v>2447</v>
      </c>
      <c r="L1165">
        <v>5</v>
      </c>
      <c r="M1165" s="1">
        <v>359000</v>
      </c>
      <c r="N1165">
        <v>4</v>
      </c>
      <c r="O1165">
        <v>8</v>
      </c>
      <c r="P1165" s="2" t="s">
        <v>72</v>
      </c>
    </row>
    <row r="1166" spans="1:16" x14ac:dyDescent="0.25">
      <c r="A1166" s="2" t="s">
        <v>4640</v>
      </c>
      <c r="B1166" s="2" t="s">
        <v>4641</v>
      </c>
      <c r="C1166" s="2" t="s">
        <v>18</v>
      </c>
      <c r="D1166" s="2" t="s">
        <v>30</v>
      </c>
      <c r="E1166" s="2" t="s">
        <v>20</v>
      </c>
      <c r="F1166" s="2" t="s">
        <v>39</v>
      </c>
      <c r="G1166" s="2" t="s">
        <v>80</v>
      </c>
      <c r="H1166" s="2" t="s">
        <v>62</v>
      </c>
      <c r="I1166" s="2" t="s">
        <v>171</v>
      </c>
      <c r="J1166" s="2" t="s">
        <v>4642</v>
      </c>
      <c r="K1166" s="2" t="s">
        <v>4648</v>
      </c>
      <c r="L1166">
        <v>5</v>
      </c>
      <c r="M1166" s="1">
        <v>153000</v>
      </c>
      <c r="N1166">
        <v>3.5</v>
      </c>
      <c r="O1166">
        <v>2</v>
      </c>
      <c r="P1166" s="2" t="s">
        <v>26</v>
      </c>
    </row>
    <row r="1167" spans="1:16" x14ac:dyDescent="0.25">
      <c r="A1167" s="2" t="s">
        <v>4647</v>
      </c>
      <c r="B1167" s="2" t="s">
        <v>1417</v>
      </c>
      <c r="C1167" s="2" t="s">
        <v>18</v>
      </c>
      <c r="D1167" s="2" t="s">
        <v>79</v>
      </c>
      <c r="E1167" s="2" t="s">
        <v>31</v>
      </c>
      <c r="F1167" s="2" t="s">
        <v>32</v>
      </c>
      <c r="G1167" s="2" t="s">
        <v>69</v>
      </c>
      <c r="H1167" s="2" t="s">
        <v>46</v>
      </c>
      <c r="I1167" s="2" t="s">
        <v>24</v>
      </c>
      <c r="J1167" s="2" t="s">
        <v>1015</v>
      </c>
      <c r="K1167" s="2" t="s">
        <v>4648</v>
      </c>
      <c r="L1167">
        <v>2</v>
      </c>
      <c r="M1167" s="1">
        <v>323000</v>
      </c>
      <c r="N1167">
        <v>3.3</v>
      </c>
      <c r="O1167">
        <v>3</v>
      </c>
      <c r="P1167" s="2" t="s">
        <v>72</v>
      </c>
    </row>
    <row r="1168" spans="1:16" x14ac:dyDescent="0.25">
      <c r="A1168" s="2" t="s">
        <v>4649</v>
      </c>
      <c r="B1168" s="2" t="s">
        <v>4650</v>
      </c>
      <c r="C1168" s="2" t="s">
        <v>18</v>
      </c>
      <c r="D1168" s="2" t="s">
        <v>19</v>
      </c>
      <c r="E1168" s="2" t="s">
        <v>31</v>
      </c>
      <c r="F1168" s="2" t="s">
        <v>32</v>
      </c>
      <c r="G1168" s="2" t="s">
        <v>22</v>
      </c>
      <c r="H1168" s="2" t="s">
        <v>62</v>
      </c>
      <c r="I1168" s="2" t="s">
        <v>24</v>
      </c>
      <c r="J1168" s="2" t="s">
        <v>4651</v>
      </c>
      <c r="K1168" s="2" t="s">
        <v>1610</v>
      </c>
      <c r="L1168">
        <v>3</v>
      </c>
      <c r="M1168" s="1">
        <v>341000</v>
      </c>
      <c r="N1168">
        <v>2.4</v>
      </c>
      <c r="O1168">
        <v>3</v>
      </c>
      <c r="P1168" s="2" t="s">
        <v>53</v>
      </c>
    </row>
    <row r="1169" spans="1:16" x14ac:dyDescent="0.25">
      <c r="A1169" s="2" t="s">
        <v>4652</v>
      </c>
      <c r="B1169" s="2" t="s">
        <v>666</v>
      </c>
      <c r="C1169" s="2" t="s">
        <v>18</v>
      </c>
      <c r="D1169" s="2" t="s">
        <v>50</v>
      </c>
      <c r="E1169" s="2" t="s">
        <v>44</v>
      </c>
      <c r="F1169" s="2" t="s">
        <v>32</v>
      </c>
      <c r="G1169" s="2" t="s">
        <v>22</v>
      </c>
      <c r="H1169" s="2" t="s">
        <v>34</v>
      </c>
      <c r="I1169" s="2" t="s">
        <v>57</v>
      </c>
      <c r="J1169" s="2" t="s">
        <v>4653</v>
      </c>
      <c r="K1169" s="2" t="s">
        <v>3860</v>
      </c>
      <c r="L1169">
        <v>6</v>
      </c>
      <c r="M1169" s="1">
        <v>320000</v>
      </c>
      <c r="N1169">
        <v>2.4</v>
      </c>
      <c r="O1169">
        <v>5</v>
      </c>
      <c r="P1169" s="2" t="s">
        <v>26</v>
      </c>
    </row>
    <row r="1170" spans="1:16" x14ac:dyDescent="0.25">
      <c r="A1170" s="2" t="s">
        <v>4654</v>
      </c>
      <c r="B1170" s="2" t="s">
        <v>4655</v>
      </c>
      <c r="C1170" s="2" t="s">
        <v>29</v>
      </c>
      <c r="D1170" s="2" t="s">
        <v>30</v>
      </c>
      <c r="E1170" s="2" t="s">
        <v>20</v>
      </c>
      <c r="F1170" s="2" t="s">
        <v>32</v>
      </c>
      <c r="G1170" s="2" t="s">
        <v>80</v>
      </c>
      <c r="H1170" s="2" t="s">
        <v>62</v>
      </c>
      <c r="I1170" s="2" t="s">
        <v>24</v>
      </c>
      <c r="J1170" s="2" t="s">
        <v>1439</v>
      </c>
      <c r="K1170" s="2" t="s">
        <v>3860</v>
      </c>
      <c r="L1170">
        <v>2</v>
      </c>
      <c r="M1170" s="1">
        <v>243000</v>
      </c>
      <c r="N1170">
        <v>2</v>
      </c>
      <c r="O1170">
        <v>7</v>
      </c>
      <c r="P1170" s="2" t="s">
        <v>26</v>
      </c>
    </row>
    <row r="1171" spans="1:16" x14ac:dyDescent="0.25">
      <c r="A1171" s="2" t="s">
        <v>4656</v>
      </c>
      <c r="B1171" s="2" t="s">
        <v>4657</v>
      </c>
      <c r="C1171" s="2" t="s">
        <v>29</v>
      </c>
      <c r="D1171" s="2" t="s">
        <v>19</v>
      </c>
      <c r="E1171" s="2" t="s">
        <v>20</v>
      </c>
      <c r="F1171" s="2" t="s">
        <v>32</v>
      </c>
      <c r="G1171" s="2" t="s">
        <v>80</v>
      </c>
      <c r="H1171" s="2" t="s">
        <v>34</v>
      </c>
      <c r="I1171" s="2" t="s">
        <v>24</v>
      </c>
      <c r="J1171" s="2" t="s">
        <v>4658</v>
      </c>
      <c r="K1171" s="2" t="s">
        <v>3860</v>
      </c>
      <c r="L1171">
        <v>6</v>
      </c>
      <c r="M1171" s="1">
        <v>314000</v>
      </c>
      <c r="N1171">
        <v>2.1</v>
      </c>
      <c r="O1171">
        <v>23</v>
      </c>
      <c r="P1171" s="2" t="s">
        <v>72</v>
      </c>
    </row>
    <row r="1172" spans="1:16" x14ac:dyDescent="0.25">
      <c r="A1172" s="2" t="s">
        <v>4660</v>
      </c>
      <c r="B1172" s="2" t="s">
        <v>4661</v>
      </c>
      <c r="C1172" s="2" t="s">
        <v>29</v>
      </c>
      <c r="D1172" s="2" t="s">
        <v>2782</v>
      </c>
      <c r="E1172" s="2" t="s">
        <v>20</v>
      </c>
      <c r="F1172" s="2" t="s">
        <v>128</v>
      </c>
      <c r="G1172" s="2" t="s">
        <v>80</v>
      </c>
      <c r="H1172" s="2" t="s">
        <v>34</v>
      </c>
      <c r="I1172" s="2" t="s">
        <v>35</v>
      </c>
      <c r="J1172" s="2" t="s">
        <v>2031</v>
      </c>
      <c r="K1172" s="2" t="s">
        <v>3548</v>
      </c>
      <c r="L1172">
        <v>5</v>
      </c>
      <c r="M1172" s="1">
        <v>501000</v>
      </c>
      <c r="N1172">
        <v>4.3</v>
      </c>
      <c r="O1172">
        <v>12</v>
      </c>
      <c r="P1172" s="2" t="s">
        <v>26</v>
      </c>
    </row>
    <row r="1173" spans="1:16" x14ac:dyDescent="0.25">
      <c r="A1173" s="2" t="s">
        <v>4662</v>
      </c>
      <c r="B1173" s="2" t="s">
        <v>4663</v>
      </c>
      <c r="C1173" s="2" t="s">
        <v>18</v>
      </c>
      <c r="D1173" s="2" t="s">
        <v>30</v>
      </c>
      <c r="E1173" s="2" t="s">
        <v>20</v>
      </c>
      <c r="F1173" s="2" t="s">
        <v>39</v>
      </c>
      <c r="G1173" s="2" t="s">
        <v>80</v>
      </c>
      <c r="H1173" s="2" t="s">
        <v>34</v>
      </c>
      <c r="I1173" s="2" t="s">
        <v>24</v>
      </c>
      <c r="J1173" s="2" t="s">
        <v>2200</v>
      </c>
      <c r="K1173" s="2" t="s">
        <v>3548</v>
      </c>
      <c r="L1173">
        <v>2</v>
      </c>
      <c r="M1173" s="1">
        <v>87000</v>
      </c>
      <c r="N1173">
        <v>2.1</v>
      </c>
      <c r="O1173">
        <v>3</v>
      </c>
      <c r="P1173" s="2" t="s">
        <v>26</v>
      </c>
    </row>
    <row r="1174" spans="1:16" x14ac:dyDescent="0.25">
      <c r="A1174" s="2" t="s">
        <v>4664</v>
      </c>
      <c r="B1174" s="2" t="s">
        <v>3155</v>
      </c>
      <c r="C1174" s="2" t="s">
        <v>18</v>
      </c>
      <c r="D1174" s="2" t="s">
        <v>30</v>
      </c>
      <c r="E1174" s="2" t="s">
        <v>20</v>
      </c>
      <c r="F1174" s="2" t="s">
        <v>39</v>
      </c>
      <c r="G1174" s="2" t="s">
        <v>22</v>
      </c>
      <c r="H1174" s="2" t="s">
        <v>23</v>
      </c>
      <c r="I1174" s="2" t="s">
        <v>57</v>
      </c>
      <c r="J1174" s="2" t="s">
        <v>4665</v>
      </c>
      <c r="K1174" s="2" t="s">
        <v>3548</v>
      </c>
      <c r="L1174">
        <v>5</v>
      </c>
      <c r="M1174" s="1">
        <v>160000</v>
      </c>
      <c r="N1174">
        <v>2.8</v>
      </c>
      <c r="O1174">
        <v>4</v>
      </c>
      <c r="P1174" s="2" t="s">
        <v>26</v>
      </c>
    </row>
    <row r="1175" spans="1:16" x14ac:dyDescent="0.25">
      <c r="A1175" s="2" t="s">
        <v>4666</v>
      </c>
      <c r="B1175" s="2" t="s">
        <v>440</v>
      </c>
      <c r="C1175" s="2" t="s">
        <v>18</v>
      </c>
      <c r="D1175" s="2" t="s">
        <v>19</v>
      </c>
      <c r="E1175" s="2" t="s">
        <v>20</v>
      </c>
      <c r="F1175" s="2" t="s">
        <v>39</v>
      </c>
      <c r="G1175" s="2" t="s">
        <v>22</v>
      </c>
      <c r="H1175" s="2" t="s">
        <v>23</v>
      </c>
      <c r="I1175" s="2" t="s">
        <v>24</v>
      </c>
      <c r="J1175" s="2" t="s">
        <v>2453</v>
      </c>
      <c r="K1175" s="2" t="s">
        <v>3548</v>
      </c>
      <c r="L1175">
        <v>2</v>
      </c>
      <c r="M1175" s="1">
        <v>192000</v>
      </c>
      <c r="N1175">
        <v>2.8</v>
      </c>
      <c r="O1175">
        <v>5</v>
      </c>
      <c r="P1175" s="2" t="s">
        <v>72</v>
      </c>
    </row>
    <row r="1176" spans="1:16" x14ac:dyDescent="0.25">
      <c r="A1176" s="2" t="s">
        <v>1211</v>
      </c>
      <c r="B1176" s="2" t="s">
        <v>1212</v>
      </c>
      <c r="C1176" s="2" t="s">
        <v>29</v>
      </c>
      <c r="D1176" s="2" t="s">
        <v>19</v>
      </c>
      <c r="E1176" s="2" t="s">
        <v>44</v>
      </c>
      <c r="F1176" s="2" t="s">
        <v>128</v>
      </c>
      <c r="G1176" s="2" t="s">
        <v>33</v>
      </c>
      <c r="H1176" s="2" t="s">
        <v>62</v>
      </c>
      <c r="I1176" s="2" t="s">
        <v>57</v>
      </c>
      <c r="J1176" s="2" t="s">
        <v>1213</v>
      </c>
      <c r="K1176" s="2" t="s">
        <v>2453</v>
      </c>
      <c r="L1176">
        <v>6</v>
      </c>
      <c r="M1176" s="1">
        <v>463000</v>
      </c>
      <c r="N1176">
        <v>3.8</v>
      </c>
      <c r="O1176">
        <v>10</v>
      </c>
      <c r="P1176" s="2" t="s">
        <v>26</v>
      </c>
    </row>
    <row r="1177" spans="1:16" x14ac:dyDescent="0.25">
      <c r="A1177" s="2" t="s">
        <v>4667</v>
      </c>
      <c r="B1177" s="2" t="s">
        <v>3608</v>
      </c>
      <c r="C1177" s="2" t="s">
        <v>18</v>
      </c>
      <c r="D1177" s="2" t="s">
        <v>19</v>
      </c>
      <c r="E1177" s="2" t="s">
        <v>20</v>
      </c>
      <c r="F1177" s="2" t="s">
        <v>128</v>
      </c>
      <c r="G1177" s="2" t="s">
        <v>22</v>
      </c>
      <c r="H1177" s="2" t="s">
        <v>46</v>
      </c>
      <c r="I1177" s="2" t="s">
        <v>24</v>
      </c>
      <c r="J1177" s="2" t="s">
        <v>4668</v>
      </c>
      <c r="K1177" s="2" t="s">
        <v>2453</v>
      </c>
      <c r="L1177">
        <v>3</v>
      </c>
      <c r="M1177" s="1">
        <v>598000</v>
      </c>
      <c r="N1177">
        <v>3.4</v>
      </c>
      <c r="O1177">
        <v>2</v>
      </c>
      <c r="P1177" s="2" t="s">
        <v>72</v>
      </c>
    </row>
    <row r="1178" spans="1:16" x14ac:dyDescent="0.25">
      <c r="A1178" s="2" t="s">
        <v>4669</v>
      </c>
      <c r="B1178" s="2" t="s">
        <v>4670</v>
      </c>
      <c r="C1178" s="2" t="s">
        <v>18</v>
      </c>
      <c r="D1178" s="2" t="s">
        <v>30</v>
      </c>
      <c r="E1178" s="2" t="s">
        <v>20</v>
      </c>
      <c r="F1178" s="2" t="s">
        <v>128</v>
      </c>
      <c r="G1178" s="2" t="s">
        <v>22</v>
      </c>
      <c r="H1178" s="2" t="s">
        <v>23</v>
      </c>
      <c r="I1178" s="2" t="s">
        <v>24</v>
      </c>
      <c r="J1178" s="2" t="s">
        <v>1970</v>
      </c>
      <c r="K1178" s="2" t="s">
        <v>542</v>
      </c>
      <c r="L1178">
        <v>7</v>
      </c>
      <c r="M1178" s="1">
        <v>355000</v>
      </c>
      <c r="N1178">
        <v>3.2</v>
      </c>
      <c r="O1178">
        <v>8</v>
      </c>
      <c r="P1178" s="2" t="s">
        <v>26</v>
      </c>
    </row>
    <row r="1179" spans="1:16" x14ac:dyDescent="0.25">
      <c r="A1179" s="2" t="s">
        <v>4671</v>
      </c>
      <c r="B1179" s="2" t="s">
        <v>4672</v>
      </c>
      <c r="C1179" s="2" t="s">
        <v>18</v>
      </c>
      <c r="D1179" s="2" t="s">
        <v>43</v>
      </c>
      <c r="E1179" s="2" t="s">
        <v>31</v>
      </c>
      <c r="F1179" s="2" t="s">
        <v>32</v>
      </c>
      <c r="G1179" s="2" t="s">
        <v>33</v>
      </c>
      <c r="H1179" s="2" t="s">
        <v>23</v>
      </c>
      <c r="I1179" s="2" t="s">
        <v>57</v>
      </c>
      <c r="J1179" s="2" t="s">
        <v>1203</v>
      </c>
      <c r="K1179" s="2" t="s">
        <v>542</v>
      </c>
      <c r="L1179">
        <v>5</v>
      </c>
      <c r="M1179" s="1">
        <v>298000</v>
      </c>
      <c r="N1179">
        <v>2.5</v>
      </c>
      <c r="O1179">
        <v>29</v>
      </c>
      <c r="P1179" s="2" t="s">
        <v>26</v>
      </c>
    </row>
    <row r="1180" spans="1:16" x14ac:dyDescent="0.25">
      <c r="A1180" s="2" t="s">
        <v>4673</v>
      </c>
      <c r="B1180" s="2" t="s">
        <v>4674</v>
      </c>
      <c r="C1180" s="2" t="s">
        <v>18</v>
      </c>
      <c r="D1180" s="2" t="s">
        <v>50</v>
      </c>
      <c r="E1180" s="2" t="s">
        <v>44</v>
      </c>
      <c r="F1180" s="2" t="s">
        <v>32</v>
      </c>
      <c r="G1180" s="2" t="s">
        <v>33</v>
      </c>
      <c r="H1180" s="2" t="s">
        <v>23</v>
      </c>
      <c r="I1180" s="2" t="s">
        <v>57</v>
      </c>
      <c r="J1180" s="2" t="s">
        <v>2094</v>
      </c>
      <c r="K1180" s="2" t="s">
        <v>542</v>
      </c>
      <c r="L1180">
        <v>5</v>
      </c>
      <c r="M1180" s="1">
        <v>222000</v>
      </c>
      <c r="N1180">
        <v>3.9</v>
      </c>
      <c r="O1180">
        <v>2</v>
      </c>
      <c r="P1180" s="2" t="s">
        <v>53</v>
      </c>
    </row>
    <row r="1181" spans="1:16" x14ac:dyDescent="0.25">
      <c r="A1181" s="2" t="s">
        <v>4675</v>
      </c>
      <c r="B1181" s="2" t="s">
        <v>4676</v>
      </c>
      <c r="C1181" s="2" t="s">
        <v>29</v>
      </c>
      <c r="D1181" s="2" t="s">
        <v>79</v>
      </c>
      <c r="E1181" s="2" t="s">
        <v>44</v>
      </c>
      <c r="F1181" s="2" t="s">
        <v>32</v>
      </c>
      <c r="G1181" s="2" t="s">
        <v>22</v>
      </c>
      <c r="H1181" s="2" t="s">
        <v>23</v>
      </c>
      <c r="I1181" s="2" t="s">
        <v>35</v>
      </c>
      <c r="J1181" s="2" t="s">
        <v>3919</v>
      </c>
      <c r="K1181" s="2" t="s">
        <v>2440</v>
      </c>
      <c r="L1181">
        <v>6</v>
      </c>
      <c r="M1181" s="1">
        <v>230000</v>
      </c>
      <c r="N1181">
        <v>3.4</v>
      </c>
      <c r="O1181">
        <v>11</v>
      </c>
      <c r="P1181" s="2" t="s">
        <v>53</v>
      </c>
    </row>
    <row r="1182" spans="1:16" x14ac:dyDescent="0.25">
      <c r="A1182" s="2" t="s">
        <v>4679</v>
      </c>
      <c r="B1182" s="2" t="s">
        <v>4680</v>
      </c>
      <c r="C1182" s="2" t="s">
        <v>29</v>
      </c>
      <c r="D1182" s="2" t="s">
        <v>30</v>
      </c>
      <c r="E1182" s="2" t="s">
        <v>20</v>
      </c>
      <c r="F1182" s="2" t="s">
        <v>128</v>
      </c>
      <c r="G1182" s="2" t="s">
        <v>69</v>
      </c>
      <c r="H1182" s="2" t="s">
        <v>46</v>
      </c>
      <c r="I1182" s="2" t="s">
        <v>75</v>
      </c>
      <c r="J1182" s="2" t="s">
        <v>4681</v>
      </c>
      <c r="K1182" s="2" t="s">
        <v>2329</v>
      </c>
      <c r="L1182">
        <v>3</v>
      </c>
      <c r="M1182" s="1">
        <v>592000</v>
      </c>
      <c r="N1182">
        <v>2.4</v>
      </c>
      <c r="O1182">
        <v>7</v>
      </c>
      <c r="P1182" s="2" t="s">
        <v>53</v>
      </c>
    </row>
    <row r="1183" spans="1:16" x14ac:dyDescent="0.25">
      <c r="A1183" s="2" t="s">
        <v>4682</v>
      </c>
      <c r="B1183" s="2" t="s">
        <v>4683</v>
      </c>
      <c r="C1183" s="2" t="s">
        <v>29</v>
      </c>
      <c r="D1183" s="2" t="s">
        <v>79</v>
      </c>
      <c r="E1183" s="2" t="s">
        <v>20</v>
      </c>
      <c r="F1183" s="2" t="s">
        <v>128</v>
      </c>
      <c r="G1183" s="2" t="s">
        <v>80</v>
      </c>
      <c r="H1183" s="2" t="s">
        <v>34</v>
      </c>
      <c r="I1183" s="2" t="s">
        <v>57</v>
      </c>
      <c r="J1183" s="2" t="s">
        <v>4684</v>
      </c>
      <c r="K1183" s="2" t="s">
        <v>3805</v>
      </c>
      <c r="L1183">
        <v>5</v>
      </c>
      <c r="M1183" s="1">
        <v>571000</v>
      </c>
      <c r="N1183">
        <v>4.5999999999999996</v>
      </c>
      <c r="O1183">
        <v>16</v>
      </c>
      <c r="P1183" s="2" t="s">
        <v>26</v>
      </c>
    </row>
    <row r="1184" spans="1:16" x14ac:dyDescent="0.25">
      <c r="A1184" s="2" t="s">
        <v>4686</v>
      </c>
      <c r="B1184" s="2" t="s">
        <v>4687</v>
      </c>
      <c r="C1184" s="2" t="s">
        <v>29</v>
      </c>
      <c r="D1184" s="2" t="s">
        <v>79</v>
      </c>
      <c r="E1184" s="2" t="s">
        <v>20</v>
      </c>
      <c r="F1184" s="2" t="s">
        <v>128</v>
      </c>
      <c r="G1184" s="2" t="s">
        <v>22</v>
      </c>
      <c r="H1184" s="2" t="s">
        <v>46</v>
      </c>
      <c r="I1184" s="2" t="s">
        <v>75</v>
      </c>
      <c r="J1184" s="2" t="s">
        <v>327</v>
      </c>
      <c r="K1184" s="2" t="s">
        <v>3805</v>
      </c>
      <c r="L1184">
        <v>4</v>
      </c>
      <c r="M1184" s="1">
        <v>445000</v>
      </c>
      <c r="N1184">
        <v>3.6</v>
      </c>
      <c r="O1184">
        <v>2</v>
      </c>
      <c r="P1184" s="2" t="s">
        <v>26</v>
      </c>
    </row>
    <row r="1185" spans="1:16" x14ac:dyDescent="0.25">
      <c r="A1185" s="2" t="s">
        <v>4690</v>
      </c>
      <c r="B1185" s="2" t="s">
        <v>3770</v>
      </c>
      <c r="C1185" s="2" t="s">
        <v>18</v>
      </c>
      <c r="D1185" s="2" t="s">
        <v>79</v>
      </c>
      <c r="E1185" s="2" t="s">
        <v>20</v>
      </c>
      <c r="F1185" s="2" t="s">
        <v>128</v>
      </c>
      <c r="G1185" s="2" t="s">
        <v>22</v>
      </c>
      <c r="H1185" s="2" t="s">
        <v>23</v>
      </c>
      <c r="I1185" s="2" t="s">
        <v>57</v>
      </c>
      <c r="J1185" s="2" t="s">
        <v>2417</v>
      </c>
      <c r="K1185" s="2" t="s">
        <v>3805</v>
      </c>
      <c r="L1185">
        <v>3</v>
      </c>
      <c r="M1185" s="1">
        <v>395000</v>
      </c>
      <c r="N1185">
        <v>2</v>
      </c>
      <c r="O1185">
        <v>4</v>
      </c>
      <c r="P1185" s="2" t="s">
        <v>26</v>
      </c>
    </row>
    <row r="1186" spans="1:16" x14ac:dyDescent="0.25">
      <c r="A1186" s="2" t="s">
        <v>4691</v>
      </c>
      <c r="B1186" s="2" t="s">
        <v>4692</v>
      </c>
      <c r="C1186" s="2" t="s">
        <v>18</v>
      </c>
      <c r="D1186" s="2" t="s">
        <v>30</v>
      </c>
      <c r="E1186" s="2" t="s">
        <v>20</v>
      </c>
      <c r="F1186" s="2" t="s">
        <v>32</v>
      </c>
      <c r="G1186" s="2" t="s">
        <v>69</v>
      </c>
      <c r="H1186" s="2" t="s">
        <v>46</v>
      </c>
      <c r="I1186" s="2" t="s">
        <v>35</v>
      </c>
      <c r="J1186" s="2" t="s">
        <v>3345</v>
      </c>
      <c r="K1186" s="2" t="s">
        <v>3805</v>
      </c>
      <c r="L1186">
        <v>5</v>
      </c>
      <c r="M1186" s="1">
        <v>221000</v>
      </c>
      <c r="N1186">
        <v>2.7</v>
      </c>
      <c r="O1186">
        <v>14</v>
      </c>
      <c r="P1186" s="2" t="s">
        <v>26</v>
      </c>
    </row>
    <row r="1187" spans="1:16" x14ac:dyDescent="0.25">
      <c r="A1187" s="2" t="s">
        <v>4695</v>
      </c>
      <c r="B1187" s="2" t="s">
        <v>4696</v>
      </c>
      <c r="C1187" s="2" t="s">
        <v>29</v>
      </c>
      <c r="D1187" s="2" t="s">
        <v>4697</v>
      </c>
      <c r="E1187" s="2" t="s">
        <v>20</v>
      </c>
      <c r="F1187" s="2" t="s">
        <v>39</v>
      </c>
      <c r="G1187" s="2" t="s">
        <v>80</v>
      </c>
      <c r="H1187" s="2" t="s">
        <v>34</v>
      </c>
      <c r="I1187" s="2" t="s">
        <v>75</v>
      </c>
      <c r="J1187" s="2" t="s">
        <v>1025</v>
      </c>
      <c r="K1187" s="2" t="s">
        <v>3805</v>
      </c>
      <c r="L1187">
        <v>5</v>
      </c>
      <c r="M1187" s="1">
        <v>130000</v>
      </c>
      <c r="N1187">
        <v>3.5</v>
      </c>
      <c r="O1187">
        <v>6</v>
      </c>
      <c r="P1187" s="2" t="s">
        <v>26</v>
      </c>
    </row>
    <row r="1188" spans="1:16" x14ac:dyDescent="0.25">
      <c r="A1188" s="2" t="s">
        <v>4698</v>
      </c>
      <c r="B1188" s="2" t="s">
        <v>4699</v>
      </c>
      <c r="C1188" s="2" t="s">
        <v>29</v>
      </c>
      <c r="D1188" s="2" t="s">
        <v>50</v>
      </c>
      <c r="E1188" s="2" t="s">
        <v>20</v>
      </c>
      <c r="F1188" s="2" t="s">
        <v>39</v>
      </c>
      <c r="G1188" s="2" t="s">
        <v>33</v>
      </c>
      <c r="H1188" s="2" t="s">
        <v>46</v>
      </c>
      <c r="I1188" s="2" t="s">
        <v>24</v>
      </c>
      <c r="J1188" s="2" t="s">
        <v>709</v>
      </c>
      <c r="K1188" s="2" t="s">
        <v>3805</v>
      </c>
      <c r="L1188">
        <v>3</v>
      </c>
      <c r="M1188" s="1">
        <v>111000</v>
      </c>
      <c r="N1188">
        <v>3.1</v>
      </c>
      <c r="O1188">
        <v>2</v>
      </c>
      <c r="P1188" s="2" t="s">
        <v>53</v>
      </c>
    </row>
    <row r="1189" spans="1:16" x14ac:dyDescent="0.25">
      <c r="A1189" s="2" t="s">
        <v>4700</v>
      </c>
      <c r="B1189" s="2" t="s">
        <v>4701</v>
      </c>
      <c r="C1189" s="2" t="s">
        <v>18</v>
      </c>
      <c r="D1189" s="2" t="s">
        <v>30</v>
      </c>
      <c r="E1189" s="2" t="s">
        <v>20</v>
      </c>
      <c r="F1189" s="2" t="s">
        <v>21</v>
      </c>
      <c r="G1189" s="2" t="s">
        <v>22</v>
      </c>
      <c r="H1189" s="2" t="s">
        <v>46</v>
      </c>
      <c r="I1189" s="2" t="s">
        <v>24</v>
      </c>
      <c r="J1189" s="2" t="s">
        <v>84</v>
      </c>
      <c r="K1189" s="2" t="s">
        <v>4705</v>
      </c>
      <c r="L1189">
        <v>3</v>
      </c>
      <c r="M1189" s="1">
        <v>930000</v>
      </c>
      <c r="N1189">
        <v>3.3</v>
      </c>
      <c r="O1189">
        <v>4</v>
      </c>
      <c r="P1189" s="2" t="s">
        <v>26</v>
      </c>
    </row>
    <row r="1190" spans="1:16" x14ac:dyDescent="0.25">
      <c r="A1190" s="2" t="s">
        <v>4702</v>
      </c>
      <c r="B1190" s="2" t="s">
        <v>4703</v>
      </c>
      <c r="C1190" s="2" t="s">
        <v>18</v>
      </c>
      <c r="D1190" s="2" t="s">
        <v>79</v>
      </c>
      <c r="E1190" s="2" t="s">
        <v>20</v>
      </c>
      <c r="F1190" s="2" t="s">
        <v>39</v>
      </c>
      <c r="G1190" s="2" t="s">
        <v>22</v>
      </c>
      <c r="H1190" s="2" t="s">
        <v>23</v>
      </c>
      <c r="I1190" s="2" t="s">
        <v>24</v>
      </c>
      <c r="J1190" s="2" t="s">
        <v>1696</v>
      </c>
      <c r="K1190" s="2" t="s">
        <v>4705</v>
      </c>
      <c r="L1190">
        <v>6</v>
      </c>
      <c r="M1190" s="1">
        <v>119000</v>
      </c>
      <c r="N1190">
        <v>3.8</v>
      </c>
      <c r="O1190">
        <v>0</v>
      </c>
      <c r="P1190" s="2" t="s">
        <v>26</v>
      </c>
    </row>
    <row r="1191" spans="1:16" x14ac:dyDescent="0.25">
      <c r="A1191" s="2" t="s">
        <v>4704</v>
      </c>
      <c r="B1191" s="2" t="s">
        <v>1024</v>
      </c>
      <c r="C1191" s="2" t="s">
        <v>29</v>
      </c>
      <c r="D1191" s="2" t="s">
        <v>30</v>
      </c>
      <c r="E1191" s="2" t="s">
        <v>20</v>
      </c>
      <c r="F1191" s="2" t="s">
        <v>32</v>
      </c>
      <c r="G1191" s="2" t="s">
        <v>80</v>
      </c>
      <c r="H1191" s="2" t="s">
        <v>34</v>
      </c>
      <c r="I1191" s="2" t="s">
        <v>24</v>
      </c>
      <c r="J1191" s="2" t="s">
        <v>1857</v>
      </c>
      <c r="K1191" s="2" t="s">
        <v>4705</v>
      </c>
      <c r="L1191">
        <v>5</v>
      </c>
      <c r="M1191" s="1">
        <v>243000</v>
      </c>
      <c r="N1191">
        <v>2.2999999999999998</v>
      </c>
      <c r="O1191">
        <v>40</v>
      </c>
      <c r="P1191" s="2" t="s">
        <v>72</v>
      </c>
    </row>
    <row r="1192" spans="1:16" x14ac:dyDescent="0.25">
      <c r="A1192" s="2" t="s">
        <v>4707</v>
      </c>
      <c r="B1192" s="2" t="s">
        <v>4708</v>
      </c>
      <c r="C1192" s="2" t="s">
        <v>18</v>
      </c>
      <c r="D1192" s="2" t="s">
        <v>79</v>
      </c>
      <c r="E1192" s="2" t="s">
        <v>20</v>
      </c>
      <c r="F1192" s="2" t="s">
        <v>39</v>
      </c>
      <c r="G1192" s="2" t="s">
        <v>69</v>
      </c>
      <c r="H1192" s="2" t="s">
        <v>34</v>
      </c>
      <c r="I1192" s="2" t="s">
        <v>57</v>
      </c>
      <c r="J1192" s="2" t="s">
        <v>1091</v>
      </c>
      <c r="K1192" s="2" t="s">
        <v>1894</v>
      </c>
      <c r="L1192">
        <v>4</v>
      </c>
      <c r="M1192" s="1">
        <v>107000</v>
      </c>
      <c r="N1192">
        <v>2.8</v>
      </c>
      <c r="O1192">
        <v>13</v>
      </c>
      <c r="P1192" s="2" t="s">
        <v>26</v>
      </c>
    </row>
    <row r="1193" spans="1:16" x14ac:dyDescent="0.25">
      <c r="A1193" s="2" t="s">
        <v>4718</v>
      </c>
      <c r="B1193" s="2" t="s">
        <v>4719</v>
      </c>
      <c r="C1193" s="2" t="s">
        <v>29</v>
      </c>
      <c r="D1193" s="2" t="s">
        <v>79</v>
      </c>
      <c r="E1193" s="2" t="s">
        <v>20</v>
      </c>
      <c r="F1193" s="2" t="s">
        <v>32</v>
      </c>
      <c r="G1193" s="2" t="s">
        <v>22</v>
      </c>
      <c r="H1193" s="2" t="s">
        <v>46</v>
      </c>
      <c r="I1193" s="2" t="s">
        <v>75</v>
      </c>
      <c r="J1193" s="2" t="s">
        <v>2233</v>
      </c>
      <c r="K1193" s="2" t="s">
        <v>1894</v>
      </c>
      <c r="L1193">
        <v>3</v>
      </c>
      <c r="M1193" s="1">
        <v>307000</v>
      </c>
      <c r="N1193">
        <v>4.7</v>
      </c>
      <c r="O1193">
        <v>6</v>
      </c>
      <c r="P1193" s="2" t="s">
        <v>26</v>
      </c>
    </row>
    <row r="1194" spans="1:16" x14ac:dyDescent="0.25">
      <c r="A1194" s="2" t="s">
        <v>4722</v>
      </c>
      <c r="B1194" s="2" t="s">
        <v>4723</v>
      </c>
      <c r="C1194" s="2" t="s">
        <v>18</v>
      </c>
      <c r="D1194" s="2" t="s">
        <v>19</v>
      </c>
      <c r="E1194" s="2" t="s">
        <v>20</v>
      </c>
      <c r="F1194" s="2" t="s">
        <v>21</v>
      </c>
      <c r="G1194" s="2" t="s">
        <v>22</v>
      </c>
      <c r="H1194" s="2" t="s">
        <v>23</v>
      </c>
      <c r="I1194" s="2" t="s">
        <v>24</v>
      </c>
      <c r="J1194" s="2" t="s">
        <v>741</v>
      </c>
      <c r="K1194" s="2" t="s">
        <v>1894</v>
      </c>
      <c r="L1194">
        <v>4</v>
      </c>
      <c r="M1194" s="1">
        <v>865000</v>
      </c>
      <c r="N1194">
        <v>4.3</v>
      </c>
      <c r="O1194">
        <v>11</v>
      </c>
      <c r="P1194" s="2" t="s">
        <v>26</v>
      </c>
    </row>
    <row r="1195" spans="1:16" x14ac:dyDescent="0.25">
      <c r="A1195" s="2" t="s">
        <v>4724</v>
      </c>
      <c r="B1195" s="2" t="s">
        <v>1174</v>
      </c>
      <c r="C1195" s="2" t="s">
        <v>18</v>
      </c>
      <c r="D1195" s="2" t="s">
        <v>79</v>
      </c>
      <c r="E1195" s="2" t="s">
        <v>20</v>
      </c>
      <c r="F1195" s="2" t="s">
        <v>32</v>
      </c>
      <c r="G1195" s="2" t="s">
        <v>22</v>
      </c>
      <c r="H1195" s="2" t="s">
        <v>23</v>
      </c>
      <c r="I1195" s="2" t="s">
        <v>75</v>
      </c>
      <c r="J1195" s="2" t="s">
        <v>411</v>
      </c>
      <c r="K1195" s="2" t="s">
        <v>1894</v>
      </c>
      <c r="L1195">
        <v>4</v>
      </c>
      <c r="M1195" s="1">
        <v>286000</v>
      </c>
      <c r="N1195">
        <v>3.4</v>
      </c>
      <c r="O1195">
        <v>14</v>
      </c>
      <c r="P1195" s="2" t="s">
        <v>26</v>
      </c>
    </row>
    <row r="1196" spans="1:16" x14ac:dyDescent="0.25">
      <c r="A1196" s="2" t="s">
        <v>4725</v>
      </c>
      <c r="B1196" s="2" t="s">
        <v>4726</v>
      </c>
      <c r="C1196" s="2" t="s">
        <v>18</v>
      </c>
      <c r="D1196" s="2" t="s">
        <v>19</v>
      </c>
      <c r="E1196" s="2" t="s">
        <v>20</v>
      </c>
      <c r="F1196" s="2" t="s">
        <v>39</v>
      </c>
      <c r="G1196" s="2" t="s">
        <v>33</v>
      </c>
      <c r="H1196" s="2" t="s">
        <v>46</v>
      </c>
      <c r="I1196" s="2" t="s">
        <v>35</v>
      </c>
      <c r="J1196" s="2" t="s">
        <v>3619</v>
      </c>
      <c r="K1196" s="2" t="s">
        <v>1894</v>
      </c>
      <c r="L1196">
        <v>3</v>
      </c>
      <c r="M1196" s="1">
        <v>144000</v>
      </c>
      <c r="N1196">
        <v>4.2</v>
      </c>
      <c r="O1196">
        <v>3</v>
      </c>
      <c r="P1196" s="2" t="s">
        <v>26</v>
      </c>
    </row>
    <row r="1197" spans="1:16" x14ac:dyDescent="0.25">
      <c r="A1197" s="2" t="s">
        <v>4727</v>
      </c>
      <c r="B1197" s="2" t="s">
        <v>4728</v>
      </c>
      <c r="C1197" s="2" t="s">
        <v>18</v>
      </c>
      <c r="D1197" s="2" t="s">
        <v>30</v>
      </c>
      <c r="E1197" s="2" t="s">
        <v>20</v>
      </c>
      <c r="F1197" s="2" t="s">
        <v>32</v>
      </c>
      <c r="G1197" s="2" t="s">
        <v>22</v>
      </c>
      <c r="H1197" s="2" t="s">
        <v>23</v>
      </c>
      <c r="I1197" s="2" t="s">
        <v>35</v>
      </c>
      <c r="J1197" s="2" t="s">
        <v>4729</v>
      </c>
      <c r="K1197" s="2" t="s">
        <v>1894</v>
      </c>
      <c r="L1197">
        <v>3</v>
      </c>
      <c r="M1197" s="1">
        <v>194000</v>
      </c>
      <c r="N1197">
        <v>2.9</v>
      </c>
      <c r="O1197">
        <v>0</v>
      </c>
      <c r="P1197" s="2" t="s">
        <v>53</v>
      </c>
    </row>
    <row r="1198" spans="1:16" x14ac:dyDescent="0.25">
      <c r="A1198" s="2" t="s">
        <v>4732</v>
      </c>
      <c r="B1198" s="2" t="s">
        <v>4733</v>
      </c>
      <c r="C1198" s="2" t="s">
        <v>29</v>
      </c>
      <c r="D1198" s="2" t="s">
        <v>30</v>
      </c>
      <c r="E1198" s="2" t="s">
        <v>20</v>
      </c>
      <c r="F1198" s="2" t="s">
        <v>39</v>
      </c>
      <c r="G1198" s="2" t="s">
        <v>33</v>
      </c>
      <c r="H1198" s="2" t="s">
        <v>34</v>
      </c>
      <c r="I1198" s="2" t="s">
        <v>75</v>
      </c>
      <c r="J1198" s="2" t="s">
        <v>3688</v>
      </c>
      <c r="K1198" s="2" t="s">
        <v>2548</v>
      </c>
      <c r="L1198">
        <v>4</v>
      </c>
      <c r="M1198" s="1">
        <v>85000</v>
      </c>
      <c r="N1198">
        <v>2.2000000000000002</v>
      </c>
      <c r="O1198">
        <v>5</v>
      </c>
      <c r="P1198" s="2" t="s">
        <v>114</v>
      </c>
    </row>
    <row r="1199" spans="1:16" x14ac:dyDescent="0.25">
      <c r="A1199" s="2" t="s">
        <v>4734</v>
      </c>
      <c r="B1199" s="2" t="s">
        <v>4735</v>
      </c>
      <c r="C1199" s="2" t="s">
        <v>29</v>
      </c>
      <c r="D1199" s="2" t="s">
        <v>50</v>
      </c>
      <c r="E1199" s="2" t="s">
        <v>20</v>
      </c>
      <c r="F1199" s="2" t="s">
        <v>21</v>
      </c>
      <c r="G1199" s="2" t="s">
        <v>22</v>
      </c>
      <c r="H1199" s="2" t="s">
        <v>23</v>
      </c>
      <c r="I1199" s="2" t="s">
        <v>57</v>
      </c>
      <c r="J1199" s="2" t="s">
        <v>3158</v>
      </c>
      <c r="K1199" s="2" t="s">
        <v>235</v>
      </c>
      <c r="L1199">
        <v>5</v>
      </c>
      <c r="M1199" s="1">
        <v>795000</v>
      </c>
      <c r="N1199">
        <v>4</v>
      </c>
      <c r="O1199">
        <v>3</v>
      </c>
      <c r="P1199" s="2" t="s">
        <v>53</v>
      </c>
    </row>
    <row r="1200" spans="1:16" x14ac:dyDescent="0.25">
      <c r="A1200" s="2" t="s">
        <v>4736</v>
      </c>
      <c r="B1200" s="2" t="s">
        <v>4716</v>
      </c>
      <c r="C1200" s="2" t="s">
        <v>29</v>
      </c>
      <c r="D1200" s="2" t="s">
        <v>19</v>
      </c>
      <c r="E1200" s="2" t="s">
        <v>20</v>
      </c>
      <c r="F1200" s="2" t="s">
        <v>39</v>
      </c>
      <c r="G1200" s="2" t="s">
        <v>80</v>
      </c>
      <c r="H1200" s="2" t="s">
        <v>23</v>
      </c>
      <c r="I1200" s="2" t="s">
        <v>57</v>
      </c>
      <c r="J1200" s="2" t="s">
        <v>4737</v>
      </c>
      <c r="K1200" s="2" t="s">
        <v>2473</v>
      </c>
      <c r="L1200">
        <v>5</v>
      </c>
      <c r="M1200" s="1">
        <v>114000</v>
      </c>
      <c r="N1200">
        <v>2.9</v>
      </c>
      <c r="O1200">
        <v>10</v>
      </c>
      <c r="P1200" s="2" t="s">
        <v>53</v>
      </c>
    </row>
    <row r="1201" spans="1:16" x14ac:dyDescent="0.25">
      <c r="A1201" s="2" t="s">
        <v>4743</v>
      </c>
      <c r="B1201" s="2" t="s">
        <v>4744</v>
      </c>
      <c r="C1201" s="2" t="s">
        <v>29</v>
      </c>
      <c r="D1201" s="2" t="s">
        <v>19</v>
      </c>
      <c r="E1201" s="2" t="s">
        <v>20</v>
      </c>
      <c r="F1201" s="2" t="s">
        <v>32</v>
      </c>
      <c r="G1201" s="2" t="s">
        <v>22</v>
      </c>
      <c r="H1201" s="2" t="s">
        <v>23</v>
      </c>
      <c r="I1201" s="2" t="s">
        <v>57</v>
      </c>
      <c r="J1201" s="2" t="s">
        <v>1817</v>
      </c>
      <c r="K1201" s="2" t="s">
        <v>4745</v>
      </c>
      <c r="L1201">
        <v>5</v>
      </c>
      <c r="M1201" s="1">
        <v>276000</v>
      </c>
      <c r="N1201">
        <v>2.2999999999999998</v>
      </c>
      <c r="O1201">
        <v>6</v>
      </c>
      <c r="P1201" s="2" t="s">
        <v>53</v>
      </c>
    </row>
    <row r="1202" spans="1:16" x14ac:dyDescent="0.25">
      <c r="A1202" s="2" t="s">
        <v>4749</v>
      </c>
      <c r="B1202" s="2" t="s">
        <v>3460</v>
      </c>
      <c r="C1202" s="2" t="s">
        <v>18</v>
      </c>
      <c r="D1202" s="2" t="s">
        <v>43</v>
      </c>
      <c r="E1202" s="2" t="s">
        <v>20</v>
      </c>
      <c r="F1202" s="2" t="s">
        <v>32</v>
      </c>
      <c r="G1202" s="2" t="s">
        <v>22</v>
      </c>
      <c r="H1202" s="2" t="s">
        <v>46</v>
      </c>
      <c r="I1202" s="2" t="s">
        <v>57</v>
      </c>
      <c r="J1202" s="2" t="s">
        <v>4750</v>
      </c>
      <c r="K1202" s="2" t="s">
        <v>4757</v>
      </c>
      <c r="L1202">
        <v>6</v>
      </c>
      <c r="M1202" s="1">
        <v>282000</v>
      </c>
      <c r="N1202">
        <v>4.3</v>
      </c>
      <c r="O1202">
        <v>6</v>
      </c>
      <c r="P1202" s="2" t="s">
        <v>26</v>
      </c>
    </row>
    <row r="1203" spans="1:16" x14ac:dyDescent="0.25">
      <c r="A1203" s="2" t="s">
        <v>4751</v>
      </c>
      <c r="B1203" s="2" t="s">
        <v>3096</v>
      </c>
      <c r="C1203" s="2" t="s">
        <v>29</v>
      </c>
      <c r="D1203" s="2" t="s">
        <v>43</v>
      </c>
      <c r="E1203" s="2" t="s">
        <v>20</v>
      </c>
      <c r="F1203" s="2" t="s">
        <v>128</v>
      </c>
      <c r="G1203" s="2" t="s">
        <v>22</v>
      </c>
      <c r="H1203" s="2" t="s">
        <v>34</v>
      </c>
      <c r="I1203" s="2" t="s">
        <v>24</v>
      </c>
      <c r="J1203" s="2" t="s">
        <v>4752</v>
      </c>
      <c r="K1203" s="2" t="s">
        <v>4757</v>
      </c>
      <c r="L1203">
        <v>6</v>
      </c>
      <c r="M1203" s="1">
        <v>427000</v>
      </c>
      <c r="N1203">
        <v>4.7</v>
      </c>
      <c r="O1203">
        <v>2</v>
      </c>
      <c r="P1203" s="2" t="s">
        <v>26</v>
      </c>
    </row>
    <row r="1204" spans="1:16" x14ac:dyDescent="0.25">
      <c r="A1204" s="2" t="s">
        <v>4755</v>
      </c>
      <c r="B1204" s="2" t="s">
        <v>4756</v>
      </c>
      <c r="C1204" s="2" t="s">
        <v>18</v>
      </c>
      <c r="D1204" s="2" t="s">
        <v>79</v>
      </c>
      <c r="E1204" s="2" t="s">
        <v>20</v>
      </c>
      <c r="F1204" s="2" t="s">
        <v>128</v>
      </c>
      <c r="G1204" s="2" t="s">
        <v>22</v>
      </c>
      <c r="H1204" s="2" t="s">
        <v>34</v>
      </c>
      <c r="I1204" s="2" t="s">
        <v>35</v>
      </c>
      <c r="J1204" s="2" t="s">
        <v>1774</v>
      </c>
      <c r="K1204" s="2" t="s">
        <v>4757</v>
      </c>
      <c r="L1204">
        <v>7</v>
      </c>
      <c r="M1204" s="1">
        <v>411000</v>
      </c>
      <c r="N1204">
        <v>2.9</v>
      </c>
      <c r="O1204">
        <v>26</v>
      </c>
      <c r="P1204" s="2" t="s">
        <v>72</v>
      </c>
    </row>
    <row r="1205" spans="1:16" x14ac:dyDescent="0.25">
      <c r="A1205" s="2" t="s">
        <v>4758</v>
      </c>
      <c r="B1205" s="2" t="s">
        <v>4759</v>
      </c>
      <c r="C1205" s="2" t="s">
        <v>18</v>
      </c>
      <c r="D1205" s="2" t="s">
        <v>43</v>
      </c>
      <c r="E1205" s="2" t="s">
        <v>20</v>
      </c>
      <c r="F1205" s="2" t="s">
        <v>128</v>
      </c>
      <c r="G1205" s="2" t="s">
        <v>80</v>
      </c>
      <c r="H1205" s="2" t="s">
        <v>46</v>
      </c>
      <c r="I1205" s="2" t="s">
        <v>57</v>
      </c>
      <c r="J1205" s="2" t="s">
        <v>4409</v>
      </c>
      <c r="K1205" s="2" t="s">
        <v>4760</v>
      </c>
      <c r="L1205">
        <v>3</v>
      </c>
      <c r="M1205" s="1">
        <v>480000</v>
      </c>
      <c r="N1205">
        <v>2.5</v>
      </c>
      <c r="O1205">
        <v>7</v>
      </c>
      <c r="P1205" s="2" t="s">
        <v>53</v>
      </c>
    </row>
    <row r="1206" spans="1:16" x14ac:dyDescent="0.25">
      <c r="A1206" s="2" t="s">
        <v>4761</v>
      </c>
      <c r="B1206" s="2" t="s">
        <v>4531</v>
      </c>
      <c r="C1206" s="2" t="s">
        <v>18</v>
      </c>
      <c r="D1206" s="2" t="s">
        <v>19</v>
      </c>
      <c r="E1206" s="2" t="s">
        <v>20</v>
      </c>
      <c r="F1206" s="2" t="s">
        <v>32</v>
      </c>
      <c r="G1206" s="2" t="s">
        <v>80</v>
      </c>
      <c r="H1206" s="2" t="s">
        <v>62</v>
      </c>
      <c r="I1206" s="2" t="s">
        <v>35</v>
      </c>
      <c r="J1206" s="2" t="s">
        <v>366</v>
      </c>
      <c r="K1206" s="2" t="s">
        <v>3713</v>
      </c>
      <c r="L1206">
        <v>3</v>
      </c>
      <c r="M1206" s="1">
        <v>278000</v>
      </c>
      <c r="N1206">
        <v>3.3</v>
      </c>
      <c r="O1206">
        <v>4</v>
      </c>
      <c r="P1206" s="2" t="s">
        <v>72</v>
      </c>
    </row>
    <row r="1207" spans="1:16" x14ac:dyDescent="0.25">
      <c r="A1207" s="2" t="s">
        <v>4765</v>
      </c>
      <c r="B1207" s="2" t="s">
        <v>4766</v>
      </c>
      <c r="C1207" s="2" t="s">
        <v>18</v>
      </c>
      <c r="D1207" s="2" t="s">
        <v>19</v>
      </c>
      <c r="E1207" s="2" t="s">
        <v>20</v>
      </c>
      <c r="F1207" s="2" t="s">
        <v>39</v>
      </c>
      <c r="G1207" s="2" t="s">
        <v>22</v>
      </c>
      <c r="H1207" s="2" t="s">
        <v>34</v>
      </c>
      <c r="I1207" s="2" t="s">
        <v>57</v>
      </c>
      <c r="J1207" s="2" t="s">
        <v>4767</v>
      </c>
      <c r="K1207" s="2" t="s">
        <v>1313</v>
      </c>
      <c r="L1207">
        <v>4</v>
      </c>
      <c r="M1207" s="1">
        <v>178000</v>
      </c>
      <c r="N1207">
        <v>3.9</v>
      </c>
      <c r="O1207">
        <v>13</v>
      </c>
      <c r="P1207" s="2" t="s">
        <v>53</v>
      </c>
    </row>
    <row r="1208" spans="1:16" x14ac:dyDescent="0.25">
      <c r="A1208" s="2" t="s">
        <v>4768</v>
      </c>
      <c r="B1208" s="2" t="s">
        <v>4769</v>
      </c>
      <c r="C1208" s="2" t="s">
        <v>18</v>
      </c>
      <c r="D1208" s="2" t="s">
        <v>79</v>
      </c>
      <c r="E1208" s="2" t="s">
        <v>20</v>
      </c>
      <c r="F1208" s="2" t="s">
        <v>39</v>
      </c>
      <c r="G1208" s="2" t="s">
        <v>33</v>
      </c>
      <c r="H1208" s="2" t="s">
        <v>46</v>
      </c>
      <c r="I1208" s="2" t="s">
        <v>24</v>
      </c>
      <c r="J1208" s="2" t="s">
        <v>1477</v>
      </c>
      <c r="K1208" s="2" t="s">
        <v>2299</v>
      </c>
      <c r="L1208">
        <v>6</v>
      </c>
      <c r="M1208" s="1">
        <v>110000</v>
      </c>
      <c r="N1208">
        <v>3.6</v>
      </c>
      <c r="O1208">
        <v>8</v>
      </c>
      <c r="P1208" s="2" t="s">
        <v>53</v>
      </c>
    </row>
    <row r="1209" spans="1:16" x14ac:dyDescent="0.25">
      <c r="A1209" s="2" t="s">
        <v>4773</v>
      </c>
      <c r="B1209" s="2" t="s">
        <v>4774</v>
      </c>
      <c r="C1209" s="2" t="s">
        <v>18</v>
      </c>
      <c r="D1209" s="2" t="s">
        <v>79</v>
      </c>
      <c r="E1209" s="2" t="s">
        <v>44</v>
      </c>
      <c r="F1209" s="2" t="s">
        <v>32</v>
      </c>
      <c r="G1209" s="2" t="s">
        <v>22</v>
      </c>
      <c r="H1209" s="2" t="s">
        <v>23</v>
      </c>
      <c r="I1209" s="2" t="s">
        <v>24</v>
      </c>
      <c r="J1209" s="2" t="s">
        <v>4775</v>
      </c>
      <c r="K1209" s="2" t="s">
        <v>4808</v>
      </c>
      <c r="L1209">
        <v>5</v>
      </c>
      <c r="M1209" s="1">
        <v>275000</v>
      </c>
      <c r="N1209">
        <v>3.7</v>
      </c>
      <c r="O1209">
        <v>8</v>
      </c>
      <c r="P1209" s="2" t="s">
        <v>26</v>
      </c>
    </row>
    <row r="1210" spans="1:16" x14ac:dyDescent="0.25">
      <c r="A1210" s="2" t="s">
        <v>4779</v>
      </c>
      <c r="B1210" s="2" t="s">
        <v>319</v>
      </c>
      <c r="C1210" s="2" t="s">
        <v>18</v>
      </c>
      <c r="D1210" s="2" t="s">
        <v>79</v>
      </c>
      <c r="E1210" s="2" t="s">
        <v>20</v>
      </c>
      <c r="F1210" s="2" t="s">
        <v>45</v>
      </c>
      <c r="G1210" s="2" t="s">
        <v>80</v>
      </c>
      <c r="H1210" s="2" t="s">
        <v>46</v>
      </c>
      <c r="I1210" s="2" t="s">
        <v>24</v>
      </c>
      <c r="J1210" s="2" t="s">
        <v>507</v>
      </c>
      <c r="K1210" s="2" t="s">
        <v>4808</v>
      </c>
      <c r="L1210">
        <v>5</v>
      </c>
      <c r="M1210" s="1">
        <v>1278000</v>
      </c>
      <c r="N1210">
        <v>3.3</v>
      </c>
      <c r="O1210">
        <v>39</v>
      </c>
      <c r="P1210" s="2" t="s">
        <v>26</v>
      </c>
    </row>
    <row r="1211" spans="1:16" x14ac:dyDescent="0.25">
      <c r="A1211" s="2" t="s">
        <v>4782</v>
      </c>
      <c r="B1211" s="2" t="s">
        <v>4542</v>
      </c>
      <c r="C1211" s="2" t="s">
        <v>18</v>
      </c>
      <c r="D1211" s="2" t="s">
        <v>50</v>
      </c>
      <c r="E1211" s="2" t="s">
        <v>31</v>
      </c>
      <c r="F1211" s="2" t="s">
        <v>39</v>
      </c>
      <c r="G1211" s="2" t="s">
        <v>22</v>
      </c>
      <c r="H1211" s="2" t="s">
        <v>34</v>
      </c>
      <c r="I1211" s="2" t="s">
        <v>35</v>
      </c>
      <c r="J1211" s="2" t="s">
        <v>4783</v>
      </c>
      <c r="K1211" s="2" t="s">
        <v>4808</v>
      </c>
      <c r="L1211">
        <v>6</v>
      </c>
      <c r="M1211" s="1">
        <v>159000</v>
      </c>
      <c r="N1211">
        <v>2.1</v>
      </c>
      <c r="O1211">
        <v>4</v>
      </c>
      <c r="P1211" s="2" t="s">
        <v>26</v>
      </c>
    </row>
    <row r="1212" spans="1:16" x14ac:dyDescent="0.25">
      <c r="A1212" s="2" t="s">
        <v>4784</v>
      </c>
      <c r="B1212" s="2" t="s">
        <v>4785</v>
      </c>
      <c r="C1212" s="2" t="s">
        <v>18</v>
      </c>
      <c r="D1212" s="2" t="s">
        <v>19</v>
      </c>
      <c r="E1212" s="2" t="s">
        <v>20</v>
      </c>
      <c r="F1212" s="2" t="s">
        <v>32</v>
      </c>
      <c r="G1212" s="2" t="s">
        <v>22</v>
      </c>
      <c r="H1212" s="2" t="s">
        <v>34</v>
      </c>
      <c r="I1212" s="2" t="s">
        <v>75</v>
      </c>
      <c r="J1212" s="2" t="s">
        <v>4786</v>
      </c>
      <c r="K1212" s="2" t="s">
        <v>4808</v>
      </c>
      <c r="L1212">
        <v>2</v>
      </c>
      <c r="M1212" s="1">
        <v>336000</v>
      </c>
      <c r="N1212">
        <v>2.4</v>
      </c>
      <c r="O1212">
        <v>8</v>
      </c>
      <c r="P1212" s="2" t="s">
        <v>26</v>
      </c>
    </row>
    <row r="1213" spans="1:16" x14ac:dyDescent="0.25">
      <c r="A1213" s="2" t="s">
        <v>4788</v>
      </c>
      <c r="B1213" s="2" t="s">
        <v>4789</v>
      </c>
      <c r="C1213" s="2" t="s">
        <v>18</v>
      </c>
      <c r="D1213" s="2" t="s">
        <v>43</v>
      </c>
      <c r="E1213" s="2" t="s">
        <v>44</v>
      </c>
      <c r="F1213" s="2" t="s">
        <v>128</v>
      </c>
      <c r="G1213" s="2" t="s">
        <v>22</v>
      </c>
      <c r="H1213" s="2" t="s">
        <v>46</v>
      </c>
      <c r="I1213" s="2" t="s">
        <v>57</v>
      </c>
      <c r="J1213" s="2" t="s">
        <v>4790</v>
      </c>
      <c r="K1213" s="2" t="s">
        <v>4808</v>
      </c>
      <c r="L1213">
        <v>3</v>
      </c>
      <c r="M1213" s="1">
        <v>350000</v>
      </c>
      <c r="N1213">
        <v>3</v>
      </c>
      <c r="O1213">
        <v>14</v>
      </c>
      <c r="P1213" s="2" t="s">
        <v>26</v>
      </c>
    </row>
    <row r="1214" spans="1:16" x14ac:dyDescent="0.25">
      <c r="A1214" s="2" t="s">
        <v>4791</v>
      </c>
      <c r="B1214" s="2" t="s">
        <v>4792</v>
      </c>
      <c r="C1214" s="2" t="s">
        <v>18</v>
      </c>
      <c r="D1214" s="2" t="s">
        <v>30</v>
      </c>
      <c r="E1214" s="2" t="s">
        <v>31</v>
      </c>
      <c r="F1214" s="2" t="s">
        <v>21</v>
      </c>
      <c r="G1214" s="2" t="s">
        <v>33</v>
      </c>
      <c r="H1214" s="2" t="s">
        <v>34</v>
      </c>
      <c r="I1214" s="2" t="s">
        <v>24</v>
      </c>
      <c r="J1214" s="2" t="s">
        <v>4793</v>
      </c>
      <c r="K1214" s="2" t="s">
        <v>4808</v>
      </c>
      <c r="L1214">
        <v>7</v>
      </c>
      <c r="M1214" s="1">
        <v>922000</v>
      </c>
      <c r="N1214">
        <v>4.5</v>
      </c>
      <c r="O1214">
        <v>18</v>
      </c>
      <c r="P1214" s="2" t="s">
        <v>26</v>
      </c>
    </row>
    <row r="1215" spans="1:16" x14ac:dyDescent="0.25">
      <c r="A1215" s="2" t="s">
        <v>4794</v>
      </c>
      <c r="B1215" s="2" t="s">
        <v>4795</v>
      </c>
      <c r="C1215" s="2" t="s">
        <v>18</v>
      </c>
      <c r="D1215" s="2" t="s">
        <v>19</v>
      </c>
      <c r="E1215" s="2" t="s">
        <v>20</v>
      </c>
      <c r="F1215" s="2" t="s">
        <v>39</v>
      </c>
      <c r="G1215" s="2" t="s">
        <v>22</v>
      </c>
      <c r="H1215" s="2" t="s">
        <v>23</v>
      </c>
      <c r="I1215" s="2" t="s">
        <v>57</v>
      </c>
      <c r="J1215" s="2" t="s">
        <v>4796</v>
      </c>
      <c r="K1215" s="2" t="s">
        <v>4808</v>
      </c>
      <c r="L1215">
        <v>6</v>
      </c>
      <c r="M1215" s="1">
        <v>133000</v>
      </c>
      <c r="N1215">
        <v>4.8</v>
      </c>
      <c r="O1215">
        <v>9</v>
      </c>
      <c r="P1215" s="2" t="s">
        <v>26</v>
      </c>
    </row>
    <row r="1216" spans="1:16" x14ac:dyDescent="0.25">
      <c r="A1216" s="2" t="s">
        <v>4797</v>
      </c>
      <c r="B1216" s="2" t="s">
        <v>4798</v>
      </c>
      <c r="C1216" s="2" t="s">
        <v>29</v>
      </c>
      <c r="D1216" s="2" t="s">
        <v>43</v>
      </c>
      <c r="E1216" s="2" t="s">
        <v>44</v>
      </c>
      <c r="F1216" s="2" t="s">
        <v>32</v>
      </c>
      <c r="G1216" s="2" t="s">
        <v>22</v>
      </c>
      <c r="H1216" s="2" t="s">
        <v>23</v>
      </c>
      <c r="I1216" s="2" t="s">
        <v>57</v>
      </c>
      <c r="J1216" s="2" t="s">
        <v>3565</v>
      </c>
      <c r="K1216" s="2" t="s">
        <v>4808</v>
      </c>
      <c r="L1216">
        <v>4</v>
      </c>
      <c r="M1216" s="1">
        <v>230000</v>
      </c>
      <c r="N1216">
        <v>2.9</v>
      </c>
      <c r="O1216">
        <v>26</v>
      </c>
      <c r="P1216" s="2" t="s">
        <v>26</v>
      </c>
    </row>
    <row r="1217" spans="1:16" x14ac:dyDescent="0.25">
      <c r="A1217" s="2" t="s">
        <v>4799</v>
      </c>
      <c r="B1217" s="2" t="s">
        <v>4800</v>
      </c>
      <c r="C1217" s="2" t="s">
        <v>29</v>
      </c>
      <c r="D1217" s="2" t="s">
        <v>30</v>
      </c>
      <c r="E1217" s="2" t="s">
        <v>31</v>
      </c>
      <c r="F1217" s="2" t="s">
        <v>128</v>
      </c>
      <c r="G1217" s="2" t="s">
        <v>33</v>
      </c>
      <c r="H1217" s="2" t="s">
        <v>46</v>
      </c>
      <c r="I1217" s="2" t="s">
        <v>57</v>
      </c>
      <c r="J1217" s="2" t="s">
        <v>3161</v>
      </c>
      <c r="K1217" s="2" t="s">
        <v>4808</v>
      </c>
      <c r="L1217">
        <v>5</v>
      </c>
      <c r="M1217" s="1">
        <v>431000</v>
      </c>
      <c r="N1217">
        <v>3.6</v>
      </c>
      <c r="O1217">
        <v>0</v>
      </c>
      <c r="P1217" s="2" t="s">
        <v>26</v>
      </c>
    </row>
    <row r="1218" spans="1:16" x14ac:dyDescent="0.25">
      <c r="A1218" s="2" t="s">
        <v>4803</v>
      </c>
      <c r="B1218" s="2" t="s">
        <v>4804</v>
      </c>
      <c r="C1218" s="2" t="s">
        <v>29</v>
      </c>
      <c r="D1218" s="2" t="s">
        <v>79</v>
      </c>
      <c r="E1218" s="2" t="s">
        <v>20</v>
      </c>
      <c r="F1218" s="2" t="s">
        <v>32</v>
      </c>
      <c r="G1218" s="2" t="s">
        <v>80</v>
      </c>
      <c r="H1218" s="2" t="s">
        <v>23</v>
      </c>
      <c r="I1218" s="2" t="s">
        <v>57</v>
      </c>
      <c r="J1218" s="2" t="s">
        <v>4805</v>
      </c>
      <c r="K1218" s="2" t="s">
        <v>4808</v>
      </c>
      <c r="L1218">
        <v>6</v>
      </c>
      <c r="M1218" s="1">
        <v>251000</v>
      </c>
      <c r="N1218">
        <v>3.3</v>
      </c>
      <c r="O1218">
        <v>10</v>
      </c>
      <c r="P1218" s="2" t="s">
        <v>26</v>
      </c>
    </row>
    <row r="1219" spans="1:16" x14ac:dyDescent="0.25">
      <c r="A1219" s="2" t="s">
        <v>4806</v>
      </c>
      <c r="B1219" s="2" t="s">
        <v>4807</v>
      </c>
      <c r="C1219" s="2" t="s">
        <v>29</v>
      </c>
      <c r="D1219" s="2" t="s">
        <v>79</v>
      </c>
      <c r="E1219" s="2" t="s">
        <v>31</v>
      </c>
      <c r="F1219" s="2" t="s">
        <v>21</v>
      </c>
      <c r="G1219" s="2" t="s">
        <v>22</v>
      </c>
      <c r="H1219" s="2" t="s">
        <v>23</v>
      </c>
      <c r="I1219" s="2" t="s">
        <v>35</v>
      </c>
      <c r="J1219" s="2" t="s">
        <v>1391</v>
      </c>
      <c r="K1219" s="2" t="s">
        <v>4808</v>
      </c>
      <c r="L1219">
        <v>4</v>
      </c>
      <c r="M1219" s="1">
        <v>779000</v>
      </c>
      <c r="N1219">
        <v>3.5</v>
      </c>
      <c r="O1219">
        <v>6</v>
      </c>
      <c r="P1219" s="2" t="s">
        <v>53</v>
      </c>
    </row>
    <row r="1220" spans="1:16" x14ac:dyDescent="0.25">
      <c r="A1220" s="2" t="s">
        <v>4809</v>
      </c>
      <c r="B1220" s="2" t="s">
        <v>3531</v>
      </c>
      <c r="C1220" s="2" t="s">
        <v>18</v>
      </c>
      <c r="D1220" s="2" t="s">
        <v>43</v>
      </c>
      <c r="E1220" s="2" t="s">
        <v>31</v>
      </c>
      <c r="F1220" s="2" t="s">
        <v>21</v>
      </c>
      <c r="G1220" s="2" t="s">
        <v>22</v>
      </c>
      <c r="H1220" s="2" t="s">
        <v>62</v>
      </c>
      <c r="I1220" s="2" t="s">
        <v>75</v>
      </c>
      <c r="J1220" s="2" t="s">
        <v>99</v>
      </c>
      <c r="K1220" s="2" t="s">
        <v>3042</v>
      </c>
      <c r="L1220">
        <v>3</v>
      </c>
      <c r="M1220" s="1">
        <v>635000</v>
      </c>
      <c r="N1220">
        <v>3.7</v>
      </c>
      <c r="O1220">
        <v>8</v>
      </c>
      <c r="P1220" s="2" t="s">
        <v>53</v>
      </c>
    </row>
    <row r="1221" spans="1:16" x14ac:dyDescent="0.25">
      <c r="A1221" s="2" t="s">
        <v>4811</v>
      </c>
      <c r="B1221" s="2" t="s">
        <v>3272</v>
      </c>
      <c r="C1221" s="2" t="s">
        <v>29</v>
      </c>
      <c r="D1221" s="2" t="s">
        <v>19</v>
      </c>
      <c r="E1221" s="2" t="s">
        <v>44</v>
      </c>
      <c r="F1221" s="2" t="s">
        <v>32</v>
      </c>
      <c r="G1221" s="2" t="s">
        <v>22</v>
      </c>
      <c r="H1221" s="2" t="s">
        <v>23</v>
      </c>
      <c r="I1221" s="2" t="s">
        <v>57</v>
      </c>
      <c r="J1221" s="2" t="s">
        <v>4258</v>
      </c>
      <c r="K1221" s="2" t="s">
        <v>4812</v>
      </c>
      <c r="L1221">
        <v>5</v>
      </c>
      <c r="M1221" s="1">
        <v>298000</v>
      </c>
      <c r="N1221">
        <v>3</v>
      </c>
      <c r="O1221">
        <v>13</v>
      </c>
      <c r="P1221" s="2" t="s">
        <v>53</v>
      </c>
    </row>
    <row r="1222" spans="1:16" x14ac:dyDescent="0.25">
      <c r="A1222" s="2" t="s">
        <v>4814</v>
      </c>
      <c r="B1222" s="2" t="s">
        <v>4815</v>
      </c>
      <c r="C1222" s="2" t="s">
        <v>18</v>
      </c>
      <c r="D1222" s="2" t="s">
        <v>43</v>
      </c>
      <c r="E1222" s="2" t="s">
        <v>20</v>
      </c>
      <c r="F1222" s="2" t="s">
        <v>32</v>
      </c>
      <c r="G1222" s="2" t="s">
        <v>80</v>
      </c>
      <c r="H1222" s="2" t="s">
        <v>34</v>
      </c>
      <c r="I1222" s="2" t="s">
        <v>35</v>
      </c>
      <c r="J1222" s="2" t="s">
        <v>3062</v>
      </c>
      <c r="K1222" s="2" t="s">
        <v>4856</v>
      </c>
      <c r="L1222">
        <v>3</v>
      </c>
      <c r="M1222" s="1">
        <v>182000</v>
      </c>
      <c r="N1222">
        <v>3.3</v>
      </c>
      <c r="O1222">
        <v>4</v>
      </c>
      <c r="P1222" s="2" t="s">
        <v>26</v>
      </c>
    </row>
    <row r="1223" spans="1:16" x14ac:dyDescent="0.25">
      <c r="A1223" s="2" t="s">
        <v>4816</v>
      </c>
      <c r="B1223" s="2" t="s">
        <v>4817</v>
      </c>
      <c r="C1223" s="2" t="s">
        <v>29</v>
      </c>
      <c r="D1223" s="2" t="s">
        <v>19</v>
      </c>
      <c r="E1223" s="2" t="s">
        <v>44</v>
      </c>
      <c r="F1223" s="2" t="s">
        <v>32</v>
      </c>
      <c r="G1223" s="2" t="s">
        <v>33</v>
      </c>
      <c r="H1223" s="2" t="s">
        <v>34</v>
      </c>
      <c r="I1223" s="2" t="s">
        <v>24</v>
      </c>
      <c r="J1223" s="2" t="s">
        <v>546</v>
      </c>
      <c r="K1223" s="2" t="s">
        <v>4856</v>
      </c>
      <c r="L1223">
        <v>4</v>
      </c>
      <c r="M1223" s="1">
        <v>267000</v>
      </c>
      <c r="N1223">
        <v>4.8</v>
      </c>
      <c r="O1223">
        <v>7</v>
      </c>
      <c r="P1223" s="2" t="s">
        <v>26</v>
      </c>
    </row>
    <row r="1224" spans="1:16" x14ac:dyDescent="0.25">
      <c r="A1224" s="2" t="s">
        <v>4820</v>
      </c>
      <c r="B1224" s="2" t="s">
        <v>4821</v>
      </c>
      <c r="C1224" s="2" t="s">
        <v>29</v>
      </c>
      <c r="D1224" s="2" t="s">
        <v>79</v>
      </c>
      <c r="E1224" s="2" t="s">
        <v>44</v>
      </c>
      <c r="F1224" s="2" t="s">
        <v>32</v>
      </c>
      <c r="G1224" s="2" t="s">
        <v>22</v>
      </c>
      <c r="H1224" s="2" t="s">
        <v>62</v>
      </c>
      <c r="I1224" s="2" t="s">
        <v>57</v>
      </c>
      <c r="J1224" s="2" t="s">
        <v>4822</v>
      </c>
      <c r="K1224" s="2" t="s">
        <v>4856</v>
      </c>
      <c r="L1224">
        <v>4</v>
      </c>
      <c r="M1224" s="1">
        <v>190000</v>
      </c>
      <c r="N1224">
        <v>3</v>
      </c>
      <c r="O1224">
        <v>2</v>
      </c>
      <c r="P1224" s="2" t="s">
        <v>26</v>
      </c>
    </row>
    <row r="1225" spans="1:16" x14ac:dyDescent="0.25">
      <c r="A1225" s="2" t="s">
        <v>4824</v>
      </c>
      <c r="B1225" s="2" t="s">
        <v>4825</v>
      </c>
      <c r="C1225" s="2" t="s">
        <v>29</v>
      </c>
      <c r="D1225" s="2" t="s">
        <v>43</v>
      </c>
      <c r="E1225" s="2" t="s">
        <v>20</v>
      </c>
      <c r="F1225" s="2" t="s">
        <v>39</v>
      </c>
      <c r="G1225" s="2" t="s">
        <v>33</v>
      </c>
      <c r="H1225" s="2" t="s">
        <v>62</v>
      </c>
      <c r="I1225" s="2" t="s">
        <v>24</v>
      </c>
      <c r="J1225" s="2" t="s">
        <v>4826</v>
      </c>
      <c r="K1225" s="2" t="s">
        <v>4856</v>
      </c>
      <c r="L1225">
        <v>2</v>
      </c>
      <c r="M1225" s="1">
        <v>149000</v>
      </c>
      <c r="N1225">
        <v>3</v>
      </c>
      <c r="O1225">
        <v>8</v>
      </c>
      <c r="P1225" s="2" t="s">
        <v>26</v>
      </c>
    </row>
    <row r="1226" spans="1:16" x14ac:dyDescent="0.25">
      <c r="A1226" s="2" t="s">
        <v>4827</v>
      </c>
      <c r="B1226" s="2" t="s">
        <v>4828</v>
      </c>
      <c r="C1226" s="2" t="s">
        <v>18</v>
      </c>
      <c r="D1226" s="2" t="s">
        <v>79</v>
      </c>
      <c r="E1226" s="2" t="s">
        <v>20</v>
      </c>
      <c r="F1226" s="2" t="s">
        <v>32</v>
      </c>
      <c r="G1226" s="2" t="s">
        <v>22</v>
      </c>
      <c r="H1226" s="2" t="s">
        <v>34</v>
      </c>
      <c r="I1226" s="2" t="s">
        <v>35</v>
      </c>
      <c r="J1226" s="2" t="s">
        <v>199</v>
      </c>
      <c r="K1226" s="2" t="s">
        <v>4856</v>
      </c>
      <c r="L1226">
        <v>5</v>
      </c>
      <c r="M1226" s="1">
        <v>192000</v>
      </c>
      <c r="N1226">
        <v>3.8</v>
      </c>
      <c r="O1226">
        <v>3</v>
      </c>
      <c r="P1226" s="2" t="s">
        <v>26</v>
      </c>
    </row>
    <row r="1227" spans="1:16" x14ac:dyDescent="0.25">
      <c r="A1227" s="2" t="s">
        <v>4833</v>
      </c>
      <c r="B1227" s="2" t="s">
        <v>207</v>
      </c>
      <c r="C1227" s="2" t="s">
        <v>29</v>
      </c>
      <c r="D1227" s="2" t="s">
        <v>30</v>
      </c>
      <c r="E1227" s="2" t="s">
        <v>20</v>
      </c>
      <c r="F1227" s="2" t="s">
        <v>39</v>
      </c>
      <c r="G1227" s="2" t="s">
        <v>22</v>
      </c>
      <c r="H1227" s="2" t="s">
        <v>23</v>
      </c>
      <c r="I1227" s="2" t="s">
        <v>57</v>
      </c>
      <c r="J1227" s="2" t="s">
        <v>4834</v>
      </c>
      <c r="K1227" s="2" t="s">
        <v>4856</v>
      </c>
      <c r="L1227">
        <v>5</v>
      </c>
      <c r="M1227" s="1">
        <v>161000</v>
      </c>
      <c r="N1227">
        <v>3.1</v>
      </c>
      <c r="O1227">
        <v>11</v>
      </c>
      <c r="P1227" s="2" t="s">
        <v>26</v>
      </c>
    </row>
    <row r="1228" spans="1:16" x14ac:dyDescent="0.25">
      <c r="A1228" s="2" t="s">
        <v>4835</v>
      </c>
      <c r="B1228" s="2" t="s">
        <v>4836</v>
      </c>
      <c r="C1228" s="2" t="s">
        <v>29</v>
      </c>
      <c r="D1228" s="2" t="s">
        <v>43</v>
      </c>
      <c r="E1228" s="2" t="s">
        <v>44</v>
      </c>
      <c r="F1228" s="2" t="s">
        <v>128</v>
      </c>
      <c r="G1228" s="2" t="s">
        <v>22</v>
      </c>
      <c r="H1228" s="2" t="s">
        <v>23</v>
      </c>
      <c r="I1228" s="2" t="s">
        <v>24</v>
      </c>
      <c r="J1228" s="2" t="s">
        <v>4837</v>
      </c>
      <c r="K1228" s="2" t="s">
        <v>4856</v>
      </c>
      <c r="L1228">
        <v>2</v>
      </c>
      <c r="M1228" s="1">
        <v>389000</v>
      </c>
      <c r="N1228">
        <v>2</v>
      </c>
      <c r="O1228">
        <v>7</v>
      </c>
      <c r="P1228" s="2" t="s">
        <v>26</v>
      </c>
    </row>
    <row r="1229" spans="1:16" x14ac:dyDescent="0.25">
      <c r="A1229" s="2" t="s">
        <v>4838</v>
      </c>
      <c r="B1229" s="2" t="s">
        <v>4839</v>
      </c>
      <c r="C1229" s="2" t="s">
        <v>29</v>
      </c>
      <c r="D1229" s="2" t="s">
        <v>79</v>
      </c>
      <c r="E1229" s="2" t="s">
        <v>44</v>
      </c>
      <c r="F1229" s="2" t="s">
        <v>39</v>
      </c>
      <c r="G1229" s="2" t="s">
        <v>22</v>
      </c>
      <c r="H1229" s="2" t="s">
        <v>62</v>
      </c>
      <c r="I1229" s="2" t="s">
        <v>24</v>
      </c>
      <c r="J1229" s="2" t="s">
        <v>4840</v>
      </c>
      <c r="K1229" s="2" t="s">
        <v>4856</v>
      </c>
      <c r="L1229">
        <v>5</v>
      </c>
      <c r="M1229" s="1">
        <v>100000</v>
      </c>
      <c r="N1229">
        <v>2.7</v>
      </c>
      <c r="O1229">
        <v>6</v>
      </c>
      <c r="P1229" s="2" t="s">
        <v>26</v>
      </c>
    </row>
    <row r="1230" spans="1:16" x14ac:dyDescent="0.25">
      <c r="A1230" s="2" t="s">
        <v>4841</v>
      </c>
      <c r="B1230" s="2" t="s">
        <v>4842</v>
      </c>
      <c r="C1230" s="2" t="s">
        <v>29</v>
      </c>
      <c r="D1230" s="2" t="s">
        <v>19</v>
      </c>
      <c r="E1230" s="2" t="s">
        <v>20</v>
      </c>
      <c r="F1230" s="2" t="s">
        <v>32</v>
      </c>
      <c r="G1230" s="2" t="s">
        <v>22</v>
      </c>
      <c r="H1230" s="2" t="s">
        <v>34</v>
      </c>
      <c r="I1230" s="2" t="s">
        <v>24</v>
      </c>
      <c r="J1230" s="2" t="s">
        <v>794</v>
      </c>
      <c r="K1230" s="2" t="s">
        <v>4856</v>
      </c>
      <c r="L1230">
        <v>3</v>
      </c>
      <c r="M1230" s="1">
        <v>237000</v>
      </c>
      <c r="N1230">
        <v>2.9</v>
      </c>
      <c r="O1230">
        <v>7</v>
      </c>
      <c r="P1230" s="2" t="s">
        <v>26</v>
      </c>
    </row>
    <row r="1231" spans="1:16" x14ac:dyDescent="0.25">
      <c r="A1231" s="2" t="s">
        <v>4843</v>
      </c>
      <c r="B1231" s="2" t="s">
        <v>4844</v>
      </c>
      <c r="C1231" s="2" t="s">
        <v>29</v>
      </c>
      <c r="D1231" s="2" t="s">
        <v>79</v>
      </c>
      <c r="E1231" s="2" t="s">
        <v>20</v>
      </c>
      <c r="F1231" s="2" t="s">
        <v>45</v>
      </c>
      <c r="G1231" s="2" t="s">
        <v>22</v>
      </c>
      <c r="H1231" s="2" t="s">
        <v>23</v>
      </c>
      <c r="I1231" s="2" t="s">
        <v>57</v>
      </c>
      <c r="J1231" s="2" t="s">
        <v>4845</v>
      </c>
      <c r="K1231" s="2" t="s">
        <v>4856</v>
      </c>
      <c r="L1231">
        <v>5</v>
      </c>
      <c r="M1231" s="1">
        <v>1594000</v>
      </c>
      <c r="N1231">
        <v>3.9</v>
      </c>
      <c r="O1231">
        <v>13</v>
      </c>
      <c r="P1231" s="2" t="s">
        <v>26</v>
      </c>
    </row>
    <row r="1232" spans="1:16" x14ac:dyDescent="0.25">
      <c r="A1232" s="2" t="s">
        <v>4846</v>
      </c>
      <c r="B1232" s="2" t="s">
        <v>4847</v>
      </c>
      <c r="C1232" s="2" t="s">
        <v>29</v>
      </c>
      <c r="D1232" s="2" t="s">
        <v>30</v>
      </c>
      <c r="E1232" s="2" t="s">
        <v>31</v>
      </c>
      <c r="F1232" s="2" t="s">
        <v>32</v>
      </c>
      <c r="G1232" s="2" t="s">
        <v>80</v>
      </c>
      <c r="H1232" s="2" t="s">
        <v>62</v>
      </c>
      <c r="I1232" s="2" t="s">
        <v>24</v>
      </c>
      <c r="J1232" s="2" t="s">
        <v>2600</v>
      </c>
      <c r="K1232" s="2" t="s">
        <v>4856</v>
      </c>
      <c r="L1232">
        <v>3</v>
      </c>
      <c r="M1232" s="1">
        <v>216000</v>
      </c>
      <c r="N1232">
        <v>2.8</v>
      </c>
      <c r="O1232">
        <v>40</v>
      </c>
      <c r="P1232" s="2" t="s">
        <v>26</v>
      </c>
    </row>
    <row r="1233" spans="1:16" x14ac:dyDescent="0.25">
      <c r="A1233" s="2" t="s">
        <v>4848</v>
      </c>
      <c r="B1233" s="2" t="s">
        <v>4130</v>
      </c>
      <c r="C1233" s="2" t="s">
        <v>18</v>
      </c>
      <c r="D1233" s="2" t="s">
        <v>79</v>
      </c>
      <c r="E1233" s="2" t="s">
        <v>44</v>
      </c>
      <c r="F1233" s="2" t="s">
        <v>21</v>
      </c>
      <c r="G1233" s="2" t="s">
        <v>69</v>
      </c>
      <c r="H1233" s="2" t="s">
        <v>62</v>
      </c>
      <c r="I1233" s="2" t="s">
        <v>35</v>
      </c>
      <c r="J1233" s="2" t="s">
        <v>4169</v>
      </c>
      <c r="K1233" s="2" t="s">
        <v>4856</v>
      </c>
      <c r="L1233">
        <v>6</v>
      </c>
      <c r="M1233" s="1">
        <v>797000</v>
      </c>
      <c r="N1233">
        <v>3.8</v>
      </c>
      <c r="O1233">
        <v>13</v>
      </c>
      <c r="P1233" s="2" t="s">
        <v>26</v>
      </c>
    </row>
    <row r="1234" spans="1:16" x14ac:dyDescent="0.25">
      <c r="A1234" s="2" t="s">
        <v>4855</v>
      </c>
      <c r="B1234" s="2" t="s">
        <v>2245</v>
      </c>
      <c r="C1234" s="2" t="s">
        <v>18</v>
      </c>
      <c r="D1234" s="2" t="s">
        <v>79</v>
      </c>
      <c r="E1234" s="2" t="s">
        <v>20</v>
      </c>
      <c r="F1234" s="2" t="s">
        <v>32</v>
      </c>
      <c r="G1234" s="2" t="s">
        <v>22</v>
      </c>
      <c r="H1234" s="2" t="s">
        <v>46</v>
      </c>
      <c r="I1234" s="2" t="s">
        <v>24</v>
      </c>
      <c r="J1234" s="2" t="s">
        <v>3565</v>
      </c>
      <c r="K1234" s="2" t="s">
        <v>4856</v>
      </c>
      <c r="L1234">
        <v>4</v>
      </c>
      <c r="M1234" s="1">
        <v>243000</v>
      </c>
      <c r="N1234">
        <v>5</v>
      </c>
      <c r="O1234">
        <v>2</v>
      </c>
      <c r="P1234" s="2" t="s">
        <v>53</v>
      </c>
    </row>
    <row r="1235" spans="1:16" x14ac:dyDescent="0.25">
      <c r="A1235" s="2" t="s">
        <v>4858</v>
      </c>
      <c r="B1235" s="2" t="s">
        <v>4859</v>
      </c>
      <c r="C1235" s="2" t="s">
        <v>18</v>
      </c>
      <c r="D1235" s="2" t="s">
        <v>30</v>
      </c>
      <c r="E1235" s="2" t="s">
        <v>44</v>
      </c>
      <c r="F1235" s="2" t="s">
        <v>39</v>
      </c>
      <c r="G1235" s="2" t="s">
        <v>33</v>
      </c>
      <c r="H1235" s="2" t="s">
        <v>46</v>
      </c>
      <c r="I1235" s="2" t="s">
        <v>24</v>
      </c>
      <c r="J1235" s="2" t="s">
        <v>1534</v>
      </c>
      <c r="K1235" s="2" t="s">
        <v>4860</v>
      </c>
      <c r="L1235">
        <v>6</v>
      </c>
      <c r="M1235" s="1">
        <v>89000</v>
      </c>
      <c r="N1235">
        <v>2.4</v>
      </c>
      <c r="O1235">
        <v>2</v>
      </c>
      <c r="P1235" s="2" t="s">
        <v>53</v>
      </c>
    </row>
    <row r="1236" spans="1:16" x14ac:dyDescent="0.25">
      <c r="A1236" s="2" t="s">
        <v>4861</v>
      </c>
      <c r="B1236" s="2" t="s">
        <v>1979</v>
      </c>
      <c r="C1236" s="2" t="s">
        <v>29</v>
      </c>
      <c r="D1236" s="2" t="s">
        <v>19</v>
      </c>
      <c r="E1236" s="2" t="s">
        <v>31</v>
      </c>
      <c r="F1236" s="2" t="s">
        <v>39</v>
      </c>
      <c r="G1236" s="2" t="s">
        <v>22</v>
      </c>
      <c r="H1236" s="2" t="s">
        <v>23</v>
      </c>
      <c r="I1236" s="2" t="s">
        <v>57</v>
      </c>
      <c r="J1236" s="2" t="s">
        <v>1803</v>
      </c>
      <c r="K1236" s="2" t="s">
        <v>4875</v>
      </c>
      <c r="L1236">
        <v>6</v>
      </c>
      <c r="M1236" s="1">
        <v>194000</v>
      </c>
      <c r="N1236">
        <v>2.8</v>
      </c>
      <c r="O1236">
        <v>8</v>
      </c>
      <c r="P1236" s="2" t="s">
        <v>26</v>
      </c>
    </row>
    <row r="1237" spans="1:16" x14ac:dyDescent="0.25">
      <c r="A1237" s="2" t="s">
        <v>4863</v>
      </c>
      <c r="B1237" s="2" t="s">
        <v>4864</v>
      </c>
      <c r="C1237" s="2" t="s">
        <v>29</v>
      </c>
      <c r="D1237" s="2" t="s">
        <v>50</v>
      </c>
      <c r="E1237" s="2" t="s">
        <v>31</v>
      </c>
      <c r="F1237" s="2" t="s">
        <v>39</v>
      </c>
      <c r="G1237" s="2" t="s">
        <v>69</v>
      </c>
      <c r="H1237" s="2" t="s">
        <v>23</v>
      </c>
      <c r="I1237" s="2" t="s">
        <v>57</v>
      </c>
      <c r="J1237" s="2" t="s">
        <v>4865</v>
      </c>
      <c r="K1237" s="2" t="s">
        <v>4875</v>
      </c>
      <c r="L1237">
        <v>5</v>
      </c>
      <c r="M1237" s="1">
        <v>89000</v>
      </c>
      <c r="N1237">
        <v>4.5</v>
      </c>
      <c r="O1237">
        <v>2</v>
      </c>
      <c r="P1237" s="2" t="s">
        <v>26</v>
      </c>
    </row>
    <row r="1238" spans="1:16" x14ac:dyDescent="0.25">
      <c r="A1238" s="2" t="s">
        <v>4866</v>
      </c>
      <c r="B1238" s="2" t="s">
        <v>4867</v>
      </c>
      <c r="C1238" s="2" t="s">
        <v>18</v>
      </c>
      <c r="D1238" s="2" t="s">
        <v>30</v>
      </c>
      <c r="E1238" s="2" t="s">
        <v>20</v>
      </c>
      <c r="F1238" s="2" t="s">
        <v>128</v>
      </c>
      <c r="G1238" s="2" t="s">
        <v>80</v>
      </c>
      <c r="H1238" s="2" t="s">
        <v>23</v>
      </c>
      <c r="I1238" s="2" t="s">
        <v>57</v>
      </c>
      <c r="J1238" s="2" t="s">
        <v>4868</v>
      </c>
      <c r="K1238" s="2" t="s">
        <v>4875</v>
      </c>
      <c r="L1238">
        <v>7</v>
      </c>
      <c r="M1238" s="1">
        <v>394000</v>
      </c>
      <c r="N1238">
        <v>2.6</v>
      </c>
      <c r="O1238">
        <v>10</v>
      </c>
      <c r="P1238" s="2" t="s">
        <v>26</v>
      </c>
    </row>
    <row r="1239" spans="1:16" x14ac:dyDescent="0.25">
      <c r="A1239" s="2" t="s">
        <v>4869</v>
      </c>
      <c r="B1239" s="2" t="s">
        <v>4870</v>
      </c>
      <c r="C1239" s="2" t="s">
        <v>29</v>
      </c>
      <c r="D1239" s="2" t="s">
        <v>43</v>
      </c>
      <c r="E1239" s="2" t="s">
        <v>20</v>
      </c>
      <c r="F1239" s="2" t="s">
        <v>32</v>
      </c>
      <c r="G1239" s="2" t="s">
        <v>33</v>
      </c>
      <c r="H1239" s="2" t="s">
        <v>62</v>
      </c>
      <c r="I1239" s="2" t="s">
        <v>57</v>
      </c>
      <c r="J1239" s="2" t="s">
        <v>904</v>
      </c>
      <c r="K1239" s="2" t="s">
        <v>4875</v>
      </c>
      <c r="L1239">
        <v>4</v>
      </c>
      <c r="M1239" s="1">
        <v>180000</v>
      </c>
      <c r="N1239">
        <v>3.1</v>
      </c>
      <c r="O1239">
        <v>0</v>
      </c>
      <c r="P1239" s="2" t="s">
        <v>26</v>
      </c>
    </row>
    <row r="1240" spans="1:16" x14ac:dyDescent="0.25">
      <c r="A1240" s="2" t="s">
        <v>4873</v>
      </c>
      <c r="B1240" s="2" t="s">
        <v>4874</v>
      </c>
      <c r="C1240" s="2" t="s">
        <v>18</v>
      </c>
      <c r="D1240" s="2" t="s">
        <v>79</v>
      </c>
      <c r="E1240" s="2" t="s">
        <v>20</v>
      </c>
      <c r="F1240" s="2" t="s">
        <v>128</v>
      </c>
      <c r="G1240" s="2" t="s">
        <v>80</v>
      </c>
      <c r="H1240" s="2" t="s">
        <v>46</v>
      </c>
      <c r="I1240" s="2" t="s">
        <v>24</v>
      </c>
      <c r="J1240" s="2" t="s">
        <v>921</v>
      </c>
      <c r="K1240" s="2" t="s">
        <v>4875</v>
      </c>
      <c r="L1240">
        <v>2</v>
      </c>
      <c r="M1240" s="1">
        <v>393000</v>
      </c>
      <c r="N1240">
        <v>4.4000000000000004</v>
      </c>
      <c r="O1240">
        <v>5</v>
      </c>
      <c r="P1240" s="2" t="s">
        <v>53</v>
      </c>
    </row>
    <row r="1241" spans="1:16" x14ac:dyDescent="0.25">
      <c r="A1241" s="2" t="s">
        <v>4878</v>
      </c>
      <c r="B1241" s="2" t="s">
        <v>4879</v>
      </c>
      <c r="C1241" s="2" t="s">
        <v>18</v>
      </c>
      <c r="D1241" s="2" t="s">
        <v>79</v>
      </c>
      <c r="E1241" s="2" t="s">
        <v>20</v>
      </c>
      <c r="F1241" s="2" t="s">
        <v>32</v>
      </c>
      <c r="G1241" s="2" t="s">
        <v>33</v>
      </c>
      <c r="H1241" s="2" t="s">
        <v>23</v>
      </c>
      <c r="I1241" s="2" t="s">
        <v>57</v>
      </c>
      <c r="J1241" s="2" t="s">
        <v>4880</v>
      </c>
      <c r="K1241" s="2" t="s">
        <v>4400</v>
      </c>
      <c r="L1241">
        <v>7</v>
      </c>
      <c r="M1241" s="1">
        <v>263000</v>
      </c>
      <c r="N1241">
        <v>4.5999999999999996</v>
      </c>
      <c r="O1241">
        <v>7</v>
      </c>
      <c r="P1241" s="2" t="s">
        <v>53</v>
      </c>
    </row>
    <row r="1242" spans="1:16" x14ac:dyDescent="0.25">
      <c r="A1242" s="2" t="s">
        <v>4884</v>
      </c>
      <c r="B1242" s="2" t="s">
        <v>4885</v>
      </c>
      <c r="C1242" s="2" t="s">
        <v>29</v>
      </c>
      <c r="D1242" s="2" t="s">
        <v>30</v>
      </c>
      <c r="E1242" s="2" t="s">
        <v>44</v>
      </c>
      <c r="F1242" s="2" t="s">
        <v>128</v>
      </c>
      <c r="G1242" s="2" t="s">
        <v>22</v>
      </c>
      <c r="H1242" s="2" t="s">
        <v>34</v>
      </c>
      <c r="I1242" s="2" t="s">
        <v>24</v>
      </c>
      <c r="J1242" s="2" t="s">
        <v>872</v>
      </c>
      <c r="K1242" s="2" t="s">
        <v>4611</v>
      </c>
      <c r="L1242">
        <v>4</v>
      </c>
      <c r="M1242" s="1">
        <v>536000</v>
      </c>
      <c r="N1242">
        <v>4</v>
      </c>
      <c r="O1242">
        <v>10</v>
      </c>
      <c r="P1242" s="2" t="s">
        <v>26</v>
      </c>
    </row>
    <row r="1243" spans="1:16" x14ac:dyDescent="0.25">
      <c r="A1243" s="2" t="s">
        <v>4886</v>
      </c>
      <c r="B1243" s="2" t="s">
        <v>4661</v>
      </c>
      <c r="C1243" s="2" t="s">
        <v>29</v>
      </c>
      <c r="D1243" s="2" t="s">
        <v>79</v>
      </c>
      <c r="E1243" s="2" t="s">
        <v>44</v>
      </c>
      <c r="F1243" s="2" t="s">
        <v>39</v>
      </c>
      <c r="G1243" s="2" t="s">
        <v>33</v>
      </c>
      <c r="H1243" s="2" t="s">
        <v>34</v>
      </c>
      <c r="I1243" s="2" t="s">
        <v>35</v>
      </c>
      <c r="J1243" s="2" t="s">
        <v>3150</v>
      </c>
      <c r="K1243" s="2" t="s">
        <v>4611</v>
      </c>
      <c r="L1243">
        <v>5</v>
      </c>
      <c r="M1243" s="1">
        <v>118000</v>
      </c>
      <c r="N1243">
        <v>2.5</v>
      </c>
      <c r="O1243">
        <v>36</v>
      </c>
      <c r="P1243" s="2" t="s">
        <v>26</v>
      </c>
    </row>
    <row r="1244" spans="1:16" x14ac:dyDescent="0.25">
      <c r="A1244" s="2" t="s">
        <v>4889</v>
      </c>
      <c r="B1244" s="2" t="s">
        <v>1673</v>
      </c>
      <c r="C1244" s="2" t="s">
        <v>18</v>
      </c>
      <c r="D1244" s="2" t="s">
        <v>79</v>
      </c>
      <c r="E1244" s="2" t="s">
        <v>20</v>
      </c>
      <c r="F1244" s="2" t="s">
        <v>45</v>
      </c>
      <c r="G1244" s="2" t="s">
        <v>33</v>
      </c>
      <c r="H1244" s="2" t="s">
        <v>46</v>
      </c>
      <c r="I1244" s="2" t="s">
        <v>57</v>
      </c>
      <c r="J1244" s="2" t="s">
        <v>249</v>
      </c>
      <c r="K1244" s="2" t="s">
        <v>4611</v>
      </c>
      <c r="L1244">
        <v>6</v>
      </c>
      <c r="M1244" s="1">
        <v>1439000</v>
      </c>
      <c r="N1244">
        <v>4.0999999999999996</v>
      </c>
      <c r="O1244">
        <v>1</v>
      </c>
      <c r="P1244" s="2" t="s">
        <v>26</v>
      </c>
    </row>
    <row r="1245" spans="1:16" x14ac:dyDescent="0.25">
      <c r="A1245" s="2" t="s">
        <v>4890</v>
      </c>
      <c r="B1245" s="2" t="s">
        <v>3859</v>
      </c>
      <c r="C1245" s="2" t="s">
        <v>18</v>
      </c>
      <c r="D1245" s="2" t="s">
        <v>43</v>
      </c>
      <c r="E1245" s="2" t="s">
        <v>31</v>
      </c>
      <c r="F1245" s="2" t="s">
        <v>32</v>
      </c>
      <c r="G1245" s="2" t="s">
        <v>80</v>
      </c>
      <c r="H1245" s="2" t="s">
        <v>23</v>
      </c>
      <c r="I1245" s="2" t="s">
        <v>24</v>
      </c>
      <c r="J1245" s="2" t="s">
        <v>4891</v>
      </c>
      <c r="K1245" s="2" t="s">
        <v>4611</v>
      </c>
      <c r="L1245">
        <v>5</v>
      </c>
      <c r="M1245" s="1">
        <v>180000</v>
      </c>
      <c r="N1245">
        <v>2.9</v>
      </c>
      <c r="O1245">
        <v>14</v>
      </c>
      <c r="P1245" s="2" t="s">
        <v>53</v>
      </c>
    </row>
    <row r="1246" spans="1:16" x14ac:dyDescent="0.25">
      <c r="A1246" s="2" t="s">
        <v>4893</v>
      </c>
      <c r="B1246" s="2" t="s">
        <v>2734</v>
      </c>
      <c r="C1246" s="2" t="s">
        <v>18</v>
      </c>
      <c r="D1246" s="2" t="s">
        <v>79</v>
      </c>
      <c r="E1246" s="2" t="s">
        <v>20</v>
      </c>
      <c r="F1246" s="2" t="s">
        <v>39</v>
      </c>
      <c r="G1246" s="2" t="s">
        <v>80</v>
      </c>
      <c r="H1246" s="2" t="s">
        <v>34</v>
      </c>
      <c r="I1246" s="2" t="s">
        <v>24</v>
      </c>
      <c r="J1246" s="2" t="s">
        <v>4894</v>
      </c>
      <c r="K1246" s="2" t="s">
        <v>3169</v>
      </c>
      <c r="L1246">
        <v>5</v>
      </c>
      <c r="M1246" s="1">
        <v>117000</v>
      </c>
      <c r="N1246">
        <v>3.5</v>
      </c>
      <c r="O1246">
        <v>12</v>
      </c>
      <c r="P1246" s="2" t="s">
        <v>53</v>
      </c>
    </row>
    <row r="1247" spans="1:16" x14ac:dyDescent="0.25">
      <c r="A1247" s="2" t="s">
        <v>4895</v>
      </c>
      <c r="B1247" s="2" t="s">
        <v>2139</v>
      </c>
      <c r="C1247" s="2" t="s">
        <v>18</v>
      </c>
      <c r="D1247" s="2" t="s">
        <v>43</v>
      </c>
      <c r="E1247" s="2" t="s">
        <v>20</v>
      </c>
      <c r="F1247" s="2" t="s">
        <v>39</v>
      </c>
      <c r="G1247" s="2" t="s">
        <v>69</v>
      </c>
      <c r="H1247" s="2" t="s">
        <v>46</v>
      </c>
      <c r="I1247" s="2" t="s">
        <v>24</v>
      </c>
      <c r="J1247" s="2" t="s">
        <v>2402</v>
      </c>
      <c r="K1247" s="2" t="s">
        <v>1029</v>
      </c>
      <c r="L1247">
        <v>2</v>
      </c>
      <c r="M1247" s="1">
        <v>114000</v>
      </c>
      <c r="N1247">
        <v>2.1</v>
      </c>
      <c r="O1247">
        <v>11</v>
      </c>
      <c r="P1247" s="2" t="s">
        <v>26</v>
      </c>
    </row>
    <row r="1248" spans="1:16" x14ac:dyDescent="0.25">
      <c r="A1248" s="2" t="s">
        <v>4900</v>
      </c>
      <c r="B1248" s="2" t="s">
        <v>4901</v>
      </c>
      <c r="C1248" s="2" t="s">
        <v>29</v>
      </c>
      <c r="D1248" s="2" t="s">
        <v>43</v>
      </c>
      <c r="E1248" s="2" t="s">
        <v>20</v>
      </c>
      <c r="F1248" s="2" t="s">
        <v>32</v>
      </c>
      <c r="G1248" s="2" t="s">
        <v>22</v>
      </c>
      <c r="H1248" s="2" t="s">
        <v>46</v>
      </c>
      <c r="I1248" s="2" t="s">
        <v>35</v>
      </c>
      <c r="J1248" s="2" t="s">
        <v>4902</v>
      </c>
      <c r="K1248" s="2" t="s">
        <v>1029</v>
      </c>
      <c r="L1248">
        <v>3</v>
      </c>
      <c r="M1248" s="1">
        <v>224000</v>
      </c>
      <c r="N1248">
        <v>4.8</v>
      </c>
      <c r="O1248">
        <v>2</v>
      </c>
      <c r="P1248" s="2" t="s">
        <v>26</v>
      </c>
    </row>
    <row r="1249" spans="1:16" x14ac:dyDescent="0.25">
      <c r="A1249" s="2" t="s">
        <v>4903</v>
      </c>
      <c r="B1249" s="2" t="s">
        <v>4904</v>
      </c>
      <c r="C1249" s="2" t="s">
        <v>18</v>
      </c>
      <c r="D1249" s="2" t="s">
        <v>30</v>
      </c>
      <c r="E1249" s="2" t="s">
        <v>20</v>
      </c>
      <c r="F1249" s="2" t="s">
        <v>39</v>
      </c>
      <c r="G1249" s="2" t="s">
        <v>80</v>
      </c>
      <c r="H1249" s="2" t="s">
        <v>34</v>
      </c>
      <c r="I1249" s="2" t="s">
        <v>57</v>
      </c>
      <c r="J1249" s="2" t="s">
        <v>4905</v>
      </c>
      <c r="K1249" s="2" t="s">
        <v>1029</v>
      </c>
      <c r="L1249">
        <v>7</v>
      </c>
      <c r="M1249" s="1">
        <v>154000</v>
      </c>
      <c r="N1249">
        <v>2.2000000000000002</v>
      </c>
      <c r="O1249">
        <v>0</v>
      </c>
      <c r="P1249" s="2" t="s">
        <v>26</v>
      </c>
    </row>
    <row r="1250" spans="1:16" x14ac:dyDescent="0.25">
      <c r="A1250" s="2" t="s">
        <v>4908</v>
      </c>
      <c r="B1250" s="2" t="s">
        <v>4909</v>
      </c>
      <c r="C1250" s="2" t="s">
        <v>18</v>
      </c>
      <c r="D1250" s="2" t="s">
        <v>43</v>
      </c>
      <c r="E1250" s="2" t="s">
        <v>20</v>
      </c>
      <c r="F1250" s="2" t="s">
        <v>128</v>
      </c>
      <c r="G1250" s="2" t="s">
        <v>22</v>
      </c>
      <c r="H1250" s="2" t="s">
        <v>23</v>
      </c>
      <c r="I1250" s="2" t="s">
        <v>57</v>
      </c>
      <c r="J1250" s="2" t="s">
        <v>3195</v>
      </c>
      <c r="K1250" s="2" t="s">
        <v>1029</v>
      </c>
      <c r="L1250">
        <v>6</v>
      </c>
      <c r="M1250" s="1">
        <v>352000</v>
      </c>
      <c r="N1250">
        <v>3.5</v>
      </c>
      <c r="O1250">
        <v>14</v>
      </c>
      <c r="P1250" s="2" t="s">
        <v>26</v>
      </c>
    </row>
    <row r="1251" spans="1:16" x14ac:dyDescent="0.25">
      <c r="A1251" s="2" t="s">
        <v>4912</v>
      </c>
      <c r="B1251" s="2" t="s">
        <v>4913</v>
      </c>
      <c r="C1251" s="2" t="s">
        <v>29</v>
      </c>
      <c r="D1251" s="2" t="s">
        <v>50</v>
      </c>
      <c r="E1251" s="2" t="s">
        <v>44</v>
      </c>
      <c r="F1251" s="2" t="s">
        <v>39</v>
      </c>
      <c r="G1251" s="2" t="s">
        <v>69</v>
      </c>
      <c r="H1251" s="2" t="s">
        <v>62</v>
      </c>
      <c r="I1251" s="2" t="s">
        <v>35</v>
      </c>
      <c r="J1251" s="2" t="s">
        <v>609</v>
      </c>
      <c r="K1251" s="2" t="s">
        <v>1029</v>
      </c>
      <c r="L1251">
        <v>5</v>
      </c>
      <c r="M1251" s="1">
        <v>149000</v>
      </c>
      <c r="N1251">
        <v>3.7</v>
      </c>
      <c r="O1251">
        <v>8</v>
      </c>
      <c r="P1251" s="2" t="s">
        <v>26</v>
      </c>
    </row>
    <row r="1252" spans="1:16" x14ac:dyDescent="0.25">
      <c r="A1252" s="2" t="s">
        <v>4918</v>
      </c>
      <c r="B1252" s="2" t="s">
        <v>954</v>
      </c>
      <c r="C1252" s="2" t="s">
        <v>18</v>
      </c>
      <c r="D1252" s="2" t="s">
        <v>79</v>
      </c>
      <c r="E1252" s="2" t="s">
        <v>20</v>
      </c>
      <c r="F1252" s="2" t="s">
        <v>128</v>
      </c>
      <c r="G1252" s="2" t="s">
        <v>80</v>
      </c>
      <c r="H1252" s="2" t="s">
        <v>34</v>
      </c>
      <c r="I1252" s="2" t="s">
        <v>57</v>
      </c>
      <c r="J1252" s="2" t="s">
        <v>949</v>
      </c>
      <c r="K1252" s="2" t="s">
        <v>1029</v>
      </c>
      <c r="L1252">
        <v>4</v>
      </c>
      <c r="M1252" s="1">
        <v>475000</v>
      </c>
      <c r="N1252">
        <v>4.8</v>
      </c>
      <c r="O1252">
        <v>6</v>
      </c>
      <c r="P1252" s="2" t="s">
        <v>26</v>
      </c>
    </row>
    <row r="1253" spans="1:16" x14ac:dyDescent="0.25">
      <c r="A1253" s="2" t="s">
        <v>4919</v>
      </c>
      <c r="B1253" s="2" t="s">
        <v>4920</v>
      </c>
      <c r="C1253" s="2" t="s">
        <v>18</v>
      </c>
      <c r="D1253" s="2" t="s">
        <v>79</v>
      </c>
      <c r="E1253" s="2" t="s">
        <v>31</v>
      </c>
      <c r="F1253" s="2" t="s">
        <v>32</v>
      </c>
      <c r="G1253" s="2" t="s">
        <v>80</v>
      </c>
      <c r="H1253" s="2" t="s">
        <v>34</v>
      </c>
      <c r="I1253" s="2" t="s">
        <v>24</v>
      </c>
      <c r="J1253" s="2" t="s">
        <v>1738</v>
      </c>
      <c r="K1253" s="2" t="s">
        <v>1029</v>
      </c>
      <c r="L1253">
        <v>3</v>
      </c>
      <c r="M1253" s="1">
        <v>332000</v>
      </c>
      <c r="N1253">
        <v>4.5</v>
      </c>
      <c r="O1253">
        <v>1</v>
      </c>
      <c r="P1253" s="2" t="s">
        <v>26</v>
      </c>
    </row>
    <row r="1254" spans="1:16" x14ac:dyDescent="0.25">
      <c r="A1254" s="2" t="s">
        <v>4921</v>
      </c>
      <c r="B1254" s="2" t="s">
        <v>4922</v>
      </c>
      <c r="C1254" s="2" t="s">
        <v>18</v>
      </c>
      <c r="D1254" s="2" t="s">
        <v>19</v>
      </c>
      <c r="E1254" s="2" t="s">
        <v>20</v>
      </c>
      <c r="F1254" s="2" t="s">
        <v>128</v>
      </c>
      <c r="G1254" s="2" t="s">
        <v>22</v>
      </c>
      <c r="H1254" s="2" t="s">
        <v>23</v>
      </c>
      <c r="I1254" s="2" t="s">
        <v>57</v>
      </c>
      <c r="J1254" s="2" t="s">
        <v>4923</v>
      </c>
      <c r="K1254" s="2" t="s">
        <v>1029</v>
      </c>
      <c r="L1254">
        <v>6</v>
      </c>
      <c r="M1254" s="1">
        <v>534000</v>
      </c>
      <c r="N1254">
        <v>5</v>
      </c>
      <c r="O1254">
        <v>13</v>
      </c>
      <c r="P1254" s="2" t="s">
        <v>72</v>
      </c>
    </row>
    <row r="1255" spans="1:16" x14ac:dyDescent="0.25">
      <c r="A1255" s="2" t="s">
        <v>4924</v>
      </c>
      <c r="B1255" s="2" t="s">
        <v>380</v>
      </c>
      <c r="C1255" s="2" t="s">
        <v>29</v>
      </c>
      <c r="D1255" s="2" t="s">
        <v>30</v>
      </c>
      <c r="E1255" s="2" t="s">
        <v>20</v>
      </c>
      <c r="F1255" s="2" t="s">
        <v>39</v>
      </c>
      <c r="G1255" s="2" t="s">
        <v>33</v>
      </c>
      <c r="H1255" s="2" t="s">
        <v>62</v>
      </c>
      <c r="I1255" s="2" t="s">
        <v>24</v>
      </c>
      <c r="J1255" s="2" t="s">
        <v>1954</v>
      </c>
      <c r="K1255" s="2" t="s">
        <v>4214</v>
      </c>
      <c r="L1255">
        <v>4</v>
      </c>
      <c r="M1255" s="1">
        <v>178000</v>
      </c>
      <c r="N1255">
        <v>2</v>
      </c>
      <c r="O1255">
        <v>39</v>
      </c>
      <c r="P1255" s="2" t="s">
        <v>72</v>
      </c>
    </row>
    <row r="1256" spans="1:16" x14ac:dyDescent="0.25">
      <c r="A1256" s="2" t="s">
        <v>4925</v>
      </c>
      <c r="B1256" s="2" t="s">
        <v>4926</v>
      </c>
      <c r="C1256" s="2" t="s">
        <v>29</v>
      </c>
      <c r="D1256" s="2" t="s">
        <v>79</v>
      </c>
      <c r="E1256" s="2" t="s">
        <v>20</v>
      </c>
      <c r="F1256" s="2" t="s">
        <v>128</v>
      </c>
      <c r="G1256" s="2" t="s">
        <v>80</v>
      </c>
      <c r="H1256" s="2" t="s">
        <v>46</v>
      </c>
      <c r="I1256" s="2" t="s">
        <v>24</v>
      </c>
      <c r="J1256" s="2" t="s">
        <v>4927</v>
      </c>
      <c r="K1256" s="2" t="s">
        <v>4933</v>
      </c>
      <c r="L1256">
        <v>4</v>
      </c>
      <c r="M1256" s="1">
        <v>385000</v>
      </c>
      <c r="N1256">
        <v>3.4</v>
      </c>
      <c r="O1256">
        <v>3</v>
      </c>
      <c r="P1256" s="2" t="s">
        <v>26</v>
      </c>
    </row>
    <row r="1257" spans="1:16" x14ac:dyDescent="0.25">
      <c r="A1257" s="2" t="s">
        <v>4928</v>
      </c>
      <c r="B1257" s="2" t="s">
        <v>2312</v>
      </c>
      <c r="C1257" s="2" t="s">
        <v>29</v>
      </c>
      <c r="D1257" s="2" t="s">
        <v>19</v>
      </c>
      <c r="E1257" s="2" t="s">
        <v>20</v>
      </c>
      <c r="F1257" s="2" t="s">
        <v>45</v>
      </c>
      <c r="G1257" s="2" t="s">
        <v>80</v>
      </c>
      <c r="H1257" s="2" t="s">
        <v>34</v>
      </c>
      <c r="I1257" s="2" t="s">
        <v>24</v>
      </c>
      <c r="J1257" s="2" t="s">
        <v>3764</v>
      </c>
      <c r="K1257" s="2" t="s">
        <v>4933</v>
      </c>
      <c r="L1257">
        <v>5</v>
      </c>
      <c r="M1257" s="1">
        <v>1956000</v>
      </c>
      <c r="N1257">
        <v>4.5999999999999996</v>
      </c>
      <c r="O1257">
        <v>12</v>
      </c>
      <c r="P1257" s="2" t="s">
        <v>26</v>
      </c>
    </row>
    <row r="1258" spans="1:16" x14ac:dyDescent="0.25">
      <c r="A1258" s="2" t="s">
        <v>4929</v>
      </c>
      <c r="B1258" s="2" t="s">
        <v>4930</v>
      </c>
      <c r="C1258" s="2" t="s">
        <v>29</v>
      </c>
      <c r="D1258" s="2" t="s">
        <v>19</v>
      </c>
      <c r="E1258" s="2" t="s">
        <v>20</v>
      </c>
      <c r="F1258" s="2" t="s">
        <v>32</v>
      </c>
      <c r="G1258" s="2" t="s">
        <v>22</v>
      </c>
      <c r="H1258" s="2" t="s">
        <v>62</v>
      </c>
      <c r="I1258" s="2" t="s">
        <v>57</v>
      </c>
      <c r="J1258" s="2" t="s">
        <v>1596</v>
      </c>
      <c r="K1258" s="2" t="s">
        <v>4933</v>
      </c>
      <c r="L1258">
        <v>5</v>
      </c>
      <c r="M1258" s="1">
        <v>340000</v>
      </c>
      <c r="N1258">
        <v>4.9000000000000004</v>
      </c>
      <c r="O1258">
        <v>2</v>
      </c>
      <c r="P1258" s="2" t="s">
        <v>26</v>
      </c>
    </row>
    <row r="1259" spans="1:16" x14ac:dyDescent="0.25">
      <c r="A1259" s="2" t="s">
        <v>4931</v>
      </c>
      <c r="B1259" s="2" t="s">
        <v>4932</v>
      </c>
      <c r="C1259" s="2" t="s">
        <v>18</v>
      </c>
      <c r="D1259" s="2" t="s">
        <v>30</v>
      </c>
      <c r="E1259" s="2" t="s">
        <v>44</v>
      </c>
      <c r="F1259" s="2" t="s">
        <v>39</v>
      </c>
      <c r="G1259" s="2" t="s">
        <v>33</v>
      </c>
      <c r="H1259" s="2" t="s">
        <v>23</v>
      </c>
      <c r="I1259" s="2" t="s">
        <v>24</v>
      </c>
      <c r="J1259" s="2" t="s">
        <v>904</v>
      </c>
      <c r="K1259" s="2" t="s">
        <v>4933</v>
      </c>
      <c r="L1259">
        <v>4</v>
      </c>
      <c r="M1259" s="1">
        <v>101000</v>
      </c>
      <c r="N1259">
        <v>2.5</v>
      </c>
      <c r="O1259">
        <v>26</v>
      </c>
      <c r="P1259" s="2" t="s">
        <v>72</v>
      </c>
    </row>
    <row r="1260" spans="1:16" x14ac:dyDescent="0.25">
      <c r="A1260" s="2" t="s">
        <v>4940</v>
      </c>
      <c r="B1260" s="2" t="s">
        <v>4941</v>
      </c>
      <c r="C1260" s="2" t="s">
        <v>29</v>
      </c>
      <c r="D1260" s="2" t="s">
        <v>43</v>
      </c>
      <c r="E1260" s="2" t="s">
        <v>44</v>
      </c>
      <c r="F1260" s="2" t="s">
        <v>32</v>
      </c>
      <c r="G1260" s="2" t="s">
        <v>22</v>
      </c>
      <c r="H1260" s="2" t="s">
        <v>34</v>
      </c>
      <c r="I1260" s="2" t="s">
        <v>57</v>
      </c>
      <c r="J1260" s="2" t="s">
        <v>1141</v>
      </c>
      <c r="K1260" s="2" t="s">
        <v>911</v>
      </c>
      <c r="L1260">
        <v>6</v>
      </c>
      <c r="M1260" s="1">
        <v>298000</v>
      </c>
      <c r="N1260">
        <v>3.7</v>
      </c>
      <c r="O1260">
        <v>5</v>
      </c>
      <c r="P1260" s="2" t="s">
        <v>114</v>
      </c>
    </row>
    <row r="1261" spans="1:16" x14ac:dyDescent="0.25">
      <c r="A1261" s="2" t="s">
        <v>4942</v>
      </c>
      <c r="B1261" s="2" t="s">
        <v>4943</v>
      </c>
      <c r="C1261" s="2" t="s">
        <v>18</v>
      </c>
      <c r="D1261" s="2" t="s">
        <v>30</v>
      </c>
      <c r="E1261" s="2" t="s">
        <v>31</v>
      </c>
      <c r="F1261" s="2" t="s">
        <v>39</v>
      </c>
      <c r="G1261" s="2" t="s">
        <v>80</v>
      </c>
      <c r="H1261" s="2" t="s">
        <v>34</v>
      </c>
      <c r="I1261" s="2" t="s">
        <v>24</v>
      </c>
      <c r="J1261" s="2" t="s">
        <v>1037</v>
      </c>
      <c r="K1261" s="2" t="s">
        <v>4956</v>
      </c>
      <c r="L1261">
        <v>4</v>
      </c>
      <c r="M1261" s="1">
        <v>174000</v>
      </c>
      <c r="N1261">
        <v>2.5</v>
      </c>
      <c r="O1261">
        <v>14</v>
      </c>
      <c r="P1261" s="2" t="s">
        <v>26</v>
      </c>
    </row>
    <row r="1262" spans="1:16" x14ac:dyDescent="0.25">
      <c r="A1262" s="2" t="s">
        <v>4944</v>
      </c>
      <c r="B1262" s="2" t="s">
        <v>4945</v>
      </c>
      <c r="C1262" s="2" t="s">
        <v>18</v>
      </c>
      <c r="D1262" s="2" t="s">
        <v>30</v>
      </c>
      <c r="E1262" s="2" t="s">
        <v>20</v>
      </c>
      <c r="F1262" s="2" t="s">
        <v>39</v>
      </c>
      <c r="G1262" s="2" t="s">
        <v>22</v>
      </c>
      <c r="H1262" s="2" t="s">
        <v>46</v>
      </c>
      <c r="I1262" s="2" t="s">
        <v>75</v>
      </c>
      <c r="J1262" s="2" t="s">
        <v>2612</v>
      </c>
      <c r="K1262" s="2" t="s">
        <v>4956</v>
      </c>
      <c r="L1262">
        <v>7</v>
      </c>
      <c r="M1262" s="1">
        <v>174000</v>
      </c>
      <c r="N1262">
        <v>3.1</v>
      </c>
      <c r="O1262">
        <v>14</v>
      </c>
      <c r="P1262" s="2" t="s">
        <v>26</v>
      </c>
    </row>
    <row r="1263" spans="1:16" x14ac:dyDescent="0.25">
      <c r="A1263" s="2" t="s">
        <v>4946</v>
      </c>
      <c r="B1263" s="2" t="s">
        <v>4443</v>
      </c>
      <c r="C1263" s="2" t="s">
        <v>18</v>
      </c>
      <c r="D1263" s="2" t="s">
        <v>30</v>
      </c>
      <c r="E1263" s="2" t="s">
        <v>31</v>
      </c>
      <c r="F1263" s="2" t="s">
        <v>21</v>
      </c>
      <c r="G1263" s="2" t="s">
        <v>69</v>
      </c>
      <c r="H1263" s="2" t="s">
        <v>23</v>
      </c>
      <c r="I1263" s="2" t="s">
        <v>57</v>
      </c>
      <c r="J1263" s="2" t="s">
        <v>4947</v>
      </c>
      <c r="K1263" s="2" t="s">
        <v>4956</v>
      </c>
      <c r="L1263">
        <v>3</v>
      </c>
      <c r="M1263" s="1">
        <v>733000</v>
      </c>
      <c r="N1263">
        <v>3.7</v>
      </c>
      <c r="O1263">
        <v>5</v>
      </c>
      <c r="P1263" s="2" t="s">
        <v>26</v>
      </c>
    </row>
    <row r="1264" spans="1:16" x14ac:dyDescent="0.25">
      <c r="A1264" s="2" t="s">
        <v>4951</v>
      </c>
      <c r="B1264" s="2" t="s">
        <v>2053</v>
      </c>
      <c r="C1264" s="2" t="s">
        <v>18</v>
      </c>
      <c r="D1264" s="2" t="s">
        <v>43</v>
      </c>
      <c r="E1264" s="2" t="s">
        <v>20</v>
      </c>
      <c r="F1264" s="2" t="s">
        <v>128</v>
      </c>
      <c r="G1264" s="2" t="s">
        <v>22</v>
      </c>
      <c r="H1264" s="2" t="s">
        <v>23</v>
      </c>
      <c r="I1264" s="2" t="s">
        <v>57</v>
      </c>
      <c r="J1264" s="2" t="s">
        <v>4952</v>
      </c>
      <c r="K1264" s="2" t="s">
        <v>4956</v>
      </c>
      <c r="L1264">
        <v>4</v>
      </c>
      <c r="M1264" s="1">
        <v>437000</v>
      </c>
      <c r="N1264">
        <v>3.8</v>
      </c>
      <c r="O1264">
        <v>0</v>
      </c>
      <c r="P1264" s="2" t="s">
        <v>26</v>
      </c>
    </row>
    <row r="1265" spans="1:16" x14ac:dyDescent="0.25">
      <c r="A1265" s="2" t="s">
        <v>4954</v>
      </c>
      <c r="B1265" s="2" t="s">
        <v>1972</v>
      </c>
      <c r="C1265" s="2" t="s">
        <v>29</v>
      </c>
      <c r="D1265" s="2" t="s">
        <v>79</v>
      </c>
      <c r="E1265" s="2" t="s">
        <v>20</v>
      </c>
      <c r="F1265" s="2" t="s">
        <v>21</v>
      </c>
      <c r="G1265" s="2" t="s">
        <v>80</v>
      </c>
      <c r="H1265" s="2" t="s">
        <v>23</v>
      </c>
      <c r="I1265" s="2" t="s">
        <v>35</v>
      </c>
      <c r="J1265" s="2" t="s">
        <v>135</v>
      </c>
      <c r="K1265" s="2" t="s">
        <v>4956</v>
      </c>
      <c r="L1265">
        <v>5</v>
      </c>
      <c r="M1265" s="1">
        <v>655000</v>
      </c>
      <c r="N1265">
        <v>3.6</v>
      </c>
      <c r="O1265">
        <v>8</v>
      </c>
      <c r="P1265" s="2" t="s">
        <v>26</v>
      </c>
    </row>
    <row r="1266" spans="1:16" x14ac:dyDescent="0.25">
      <c r="A1266" s="2" t="s">
        <v>4955</v>
      </c>
      <c r="B1266" s="2" t="s">
        <v>1487</v>
      </c>
      <c r="C1266" s="2" t="s">
        <v>18</v>
      </c>
      <c r="D1266" s="2" t="s">
        <v>19</v>
      </c>
      <c r="E1266" s="2" t="s">
        <v>20</v>
      </c>
      <c r="F1266" s="2" t="s">
        <v>21</v>
      </c>
      <c r="G1266" s="2" t="s">
        <v>22</v>
      </c>
      <c r="H1266" s="2" t="s">
        <v>34</v>
      </c>
      <c r="I1266" s="2" t="s">
        <v>75</v>
      </c>
      <c r="J1266" s="2" t="s">
        <v>175</v>
      </c>
      <c r="K1266" s="2" t="s">
        <v>4956</v>
      </c>
      <c r="L1266">
        <v>6</v>
      </c>
      <c r="M1266" s="1">
        <v>902000</v>
      </c>
      <c r="N1266">
        <v>4.0999999999999996</v>
      </c>
      <c r="O1266">
        <v>7</v>
      </c>
      <c r="P1266" s="2" t="s">
        <v>53</v>
      </c>
    </row>
    <row r="1267" spans="1:16" x14ac:dyDescent="0.25">
      <c r="A1267" s="2" t="s">
        <v>4957</v>
      </c>
      <c r="B1267" s="2" t="s">
        <v>3981</v>
      </c>
      <c r="C1267" s="2" t="s">
        <v>18</v>
      </c>
      <c r="D1267" s="2" t="s">
        <v>19</v>
      </c>
      <c r="E1267" s="2" t="s">
        <v>20</v>
      </c>
      <c r="F1267" s="2" t="s">
        <v>128</v>
      </c>
      <c r="G1267" s="2" t="s">
        <v>33</v>
      </c>
      <c r="H1267" s="2" t="s">
        <v>23</v>
      </c>
      <c r="I1267" s="2" t="s">
        <v>24</v>
      </c>
      <c r="J1267" s="2" t="s">
        <v>1504</v>
      </c>
      <c r="K1267" s="2" t="s">
        <v>823</v>
      </c>
      <c r="L1267">
        <v>2</v>
      </c>
      <c r="M1267" s="1">
        <v>554000</v>
      </c>
      <c r="N1267">
        <v>5</v>
      </c>
      <c r="O1267">
        <v>10</v>
      </c>
      <c r="P1267" s="2" t="s">
        <v>26</v>
      </c>
    </row>
    <row r="1268" spans="1:16" x14ac:dyDescent="0.25">
      <c r="A1268" s="2" t="s">
        <v>4958</v>
      </c>
      <c r="B1268" s="2" t="s">
        <v>4959</v>
      </c>
      <c r="C1268" s="2" t="s">
        <v>18</v>
      </c>
      <c r="D1268" s="2" t="s">
        <v>43</v>
      </c>
      <c r="E1268" s="2" t="s">
        <v>20</v>
      </c>
      <c r="F1268" s="2" t="s">
        <v>32</v>
      </c>
      <c r="G1268" s="2" t="s">
        <v>80</v>
      </c>
      <c r="H1268" s="2" t="s">
        <v>23</v>
      </c>
      <c r="I1268" s="2" t="s">
        <v>24</v>
      </c>
      <c r="J1268" s="2" t="s">
        <v>2977</v>
      </c>
      <c r="K1268" s="2" t="s">
        <v>823</v>
      </c>
      <c r="L1268">
        <v>5</v>
      </c>
      <c r="M1268" s="1">
        <v>180000</v>
      </c>
      <c r="N1268">
        <v>3</v>
      </c>
      <c r="O1268">
        <v>4</v>
      </c>
      <c r="P1268" s="2" t="s">
        <v>26</v>
      </c>
    </row>
    <row r="1269" spans="1:16" x14ac:dyDescent="0.25">
      <c r="A1269" s="2" t="s">
        <v>4960</v>
      </c>
      <c r="B1269" s="2" t="s">
        <v>4961</v>
      </c>
      <c r="C1269" s="2" t="s">
        <v>29</v>
      </c>
      <c r="D1269" s="2" t="s">
        <v>50</v>
      </c>
      <c r="E1269" s="2" t="s">
        <v>44</v>
      </c>
      <c r="F1269" s="2" t="s">
        <v>39</v>
      </c>
      <c r="G1269" s="2" t="s">
        <v>22</v>
      </c>
      <c r="H1269" s="2" t="s">
        <v>34</v>
      </c>
      <c r="I1269" s="2" t="s">
        <v>35</v>
      </c>
      <c r="J1269" s="2" t="s">
        <v>4474</v>
      </c>
      <c r="K1269" s="2" t="s">
        <v>823</v>
      </c>
      <c r="L1269">
        <v>3</v>
      </c>
      <c r="M1269" s="1">
        <v>123000</v>
      </c>
      <c r="N1269">
        <v>4.0999999999999996</v>
      </c>
      <c r="O1269">
        <v>33</v>
      </c>
      <c r="P1269" s="2" t="s">
        <v>26</v>
      </c>
    </row>
    <row r="1270" spans="1:16" x14ac:dyDescent="0.25">
      <c r="A1270" s="2" t="s">
        <v>4962</v>
      </c>
      <c r="B1270" s="2" t="s">
        <v>4963</v>
      </c>
      <c r="C1270" s="2" t="s">
        <v>18</v>
      </c>
      <c r="D1270" s="2" t="s">
        <v>43</v>
      </c>
      <c r="E1270" s="2" t="s">
        <v>20</v>
      </c>
      <c r="F1270" s="2" t="s">
        <v>128</v>
      </c>
      <c r="G1270" s="2" t="s">
        <v>33</v>
      </c>
      <c r="H1270" s="2" t="s">
        <v>34</v>
      </c>
      <c r="I1270" s="2" t="s">
        <v>171</v>
      </c>
      <c r="J1270" s="2" t="s">
        <v>4029</v>
      </c>
      <c r="K1270" s="2" t="s">
        <v>823</v>
      </c>
      <c r="L1270">
        <v>5</v>
      </c>
      <c r="M1270" s="1">
        <v>466000</v>
      </c>
      <c r="N1270">
        <v>4.9000000000000004</v>
      </c>
      <c r="O1270">
        <v>10</v>
      </c>
      <c r="P1270" s="2" t="s">
        <v>26</v>
      </c>
    </row>
    <row r="1271" spans="1:16" x14ac:dyDescent="0.25">
      <c r="A1271" s="2" t="s">
        <v>4964</v>
      </c>
      <c r="B1271" s="2" t="s">
        <v>4965</v>
      </c>
      <c r="C1271" s="2" t="s">
        <v>18</v>
      </c>
      <c r="D1271" s="2" t="s">
        <v>50</v>
      </c>
      <c r="E1271" s="2" t="s">
        <v>31</v>
      </c>
      <c r="F1271" s="2" t="s">
        <v>128</v>
      </c>
      <c r="G1271" s="2" t="s">
        <v>22</v>
      </c>
      <c r="H1271" s="2" t="s">
        <v>23</v>
      </c>
      <c r="I1271" s="2" t="s">
        <v>75</v>
      </c>
      <c r="J1271" s="2" t="s">
        <v>1333</v>
      </c>
      <c r="K1271" s="2" t="s">
        <v>823</v>
      </c>
      <c r="L1271">
        <v>5</v>
      </c>
      <c r="M1271" s="1">
        <v>383000</v>
      </c>
      <c r="N1271">
        <v>2.9</v>
      </c>
      <c r="O1271">
        <v>1</v>
      </c>
      <c r="P1271" s="2" t="s">
        <v>26</v>
      </c>
    </row>
    <row r="1272" spans="1:16" x14ac:dyDescent="0.25">
      <c r="A1272" s="2" t="s">
        <v>4966</v>
      </c>
      <c r="B1272" s="2" t="s">
        <v>786</v>
      </c>
      <c r="C1272" s="2" t="s">
        <v>18</v>
      </c>
      <c r="D1272" s="2" t="s">
        <v>30</v>
      </c>
      <c r="E1272" s="2" t="s">
        <v>20</v>
      </c>
      <c r="F1272" s="2" t="s">
        <v>39</v>
      </c>
      <c r="G1272" s="2" t="s">
        <v>80</v>
      </c>
      <c r="H1272" s="2" t="s">
        <v>34</v>
      </c>
      <c r="I1272" s="2" t="s">
        <v>24</v>
      </c>
      <c r="J1272" s="2" t="s">
        <v>1785</v>
      </c>
      <c r="K1272" s="2" t="s">
        <v>823</v>
      </c>
      <c r="L1272">
        <v>4</v>
      </c>
      <c r="M1272" s="1">
        <v>134000</v>
      </c>
      <c r="N1272">
        <v>2.1</v>
      </c>
      <c r="O1272">
        <v>1</v>
      </c>
      <c r="P1272" s="2" t="s">
        <v>26</v>
      </c>
    </row>
    <row r="1273" spans="1:16" x14ac:dyDescent="0.25">
      <c r="A1273" s="2" t="s">
        <v>4973</v>
      </c>
      <c r="B1273" s="2" t="s">
        <v>4974</v>
      </c>
      <c r="C1273" s="2" t="s">
        <v>18</v>
      </c>
      <c r="D1273" s="2" t="s">
        <v>30</v>
      </c>
      <c r="E1273" s="2" t="s">
        <v>20</v>
      </c>
      <c r="F1273" s="2" t="s">
        <v>32</v>
      </c>
      <c r="G1273" s="2" t="s">
        <v>80</v>
      </c>
      <c r="H1273" s="2" t="s">
        <v>62</v>
      </c>
      <c r="I1273" s="2" t="s">
        <v>57</v>
      </c>
      <c r="J1273" s="2" t="s">
        <v>4404</v>
      </c>
      <c r="K1273" s="2" t="s">
        <v>823</v>
      </c>
      <c r="L1273">
        <v>3</v>
      </c>
      <c r="M1273" s="1">
        <v>348000</v>
      </c>
      <c r="N1273">
        <v>3.3</v>
      </c>
      <c r="O1273">
        <v>34</v>
      </c>
      <c r="P1273" s="2" t="s">
        <v>72</v>
      </c>
    </row>
    <row r="1274" spans="1:16" x14ac:dyDescent="0.25">
      <c r="A1274" s="2" t="s">
        <v>4975</v>
      </c>
      <c r="B1274" s="2" t="s">
        <v>4976</v>
      </c>
      <c r="C1274" s="2" t="s">
        <v>29</v>
      </c>
      <c r="D1274" s="2" t="s">
        <v>30</v>
      </c>
      <c r="E1274" s="2" t="s">
        <v>20</v>
      </c>
      <c r="F1274" s="2" t="s">
        <v>32</v>
      </c>
      <c r="G1274" s="2" t="s">
        <v>22</v>
      </c>
      <c r="H1274" s="2" t="s">
        <v>34</v>
      </c>
      <c r="I1274" s="2" t="s">
        <v>75</v>
      </c>
      <c r="J1274" s="2" t="s">
        <v>1333</v>
      </c>
      <c r="K1274" s="2" t="s">
        <v>4977</v>
      </c>
      <c r="L1274">
        <v>5</v>
      </c>
      <c r="M1274" s="1">
        <v>227000</v>
      </c>
      <c r="N1274">
        <v>1.7</v>
      </c>
      <c r="O1274">
        <v>21</v>
      </c>
      <c r="P1274" s="2" t="s">
        <v>53</v>
      </c>
    </row>
    <row r="1275" spans="1:16" x14ac:dyDescent="0.25">
      <c r="A1275" s="2" t="s">
        <v>4984</v>
      </c>
      <c r="B1275" s="2" t="s">
        <v>4621</v>
      </c>
      <c r="C1275" s="2" t="s">
        <v>18</v>
      </c>
      <c r="D1275" s="2" t="s">
        <v>30</v>
      </c>
      <c r="E1275" s="2" t="s">
        <v>20</v>
      </c>
      <c r="F1275" s="2" t="s">
        <v>39</v>
      </c>
      <c r="G1275" s="2" t="s">
        <v>22</v>
      </c>
      <c r="H1275" s="2" t="s">
        <v>23</v>
      </c>
      <c r="I1275" s="2" t="s">
        <v>57</v>
      </c>
      <c r="J1275" s="2" t="s">
        <v>3396</v>
      </c>
      <c r="K1275" s="2" t="s">
        <v>4985</v>
      </c>
      <c r="L1275">
        <v>3</v>
      </c>
      <c r="M1275" s="1">
        <v>178000</v>
      </c>
      <c r="N1275">
        <v>2.6</v>
      </c>
      <c r="O1275">
        <v>22</v>
      </c>
      <c r="P1275" s="2" t="s">
        <v>72</v>
      </c>
    </row>
    <row r="1276" spans="1:16" x14ac:dyDescent="0.25">
      <c r="A1276" s="2" t="s">
        <v>4986</v>
      </c>
      <c r="B1276" s="2" t="s">
        <v>4987</v>
      </c>
      <c r="C1276" s="2" t="s">
        <v>18</v>
      </c>
      <c r="D1276" s="2" t="s">
        <v>43</v>
      </c>
      <c r="E1276" s="2" t="s">
        <v>31</v>
      </c>
      <c r="F1276" s="2" t="s">
        <v>32</v>
      </c>
      <c r="G1276" s="2" t="s">
        <v>80</v>
      </c>
      <c r="H1276" s="2" t="s">
        <v>34</v>
      </c>
      <c r="I1276" s="2" t="s">
        <v>57</v>
      </c>
      <c r="J1276" s="2" t="s">
        <v>2233</v>
      </c>
      <c r="K1276" s="2" t="s">
        <v>2182</v>
      </c>
      <c r="L1276">
        <v>3</v>
      </c>
      <c r="M1276" s="1">
        <v>241000</v>
      </c>
      <c r="N1276">
        <v>3.4</v>
      </c>
      <c r="O1276">
        <v>3</v>
      </c>
      <c r="P1276" s="2" t="s">
        <v>26</v>
      </c>
    </row>
    <row r="1277" spans="1:16" x14ac:dyDescent="0.25">
      <c r="A1277" s="2" t="s">
        <v>4988</v>
      </c>
      <c r="B1277" s="2" t="s">
        <v>4989</v>
      </c>
      <c r="C1277" s="2" t="s">
        <v>29</v>
      </c>
      <c r="D1277" s="2" t="s">
        <v>30</v>
      </c>
      <c r="E1277" s="2" t="s">
        <v>20</v>
      </c>
      <c r="F1277" s="2" t="s">
        <v>32</v>
      </c>
      <c r="G1277" s="2" t="s">
        <v>22</v>
      </c>
      <c r="H1277" s="2" t="s">
        <v>23</v>
      </c>
      <c r="I1277" s="2" t="s">
        <v>24</v>
      </c>
      <c r="J1277" s="2" t="s">
        <v>432</v>
      </c>
      <c r="K1277" s="2" t="s">
        <v>2182</v>
      </c>
      <c r="L1277">
        <v>6</v>
      </c>
      <c r="M1277" s="1">
        <v>328000</v>
      </c>
      <c r="N1277">
        <v>4.2</v>
      </c>
      <c r="O1277">
        <v>8</v>
      </c>
      <c r="P1277" s="2" t="s">
        <v>26</v>
      </c>
    </row>
    <row r="1278" spans="1:16" x14ac:dyDescent="0.25">
      <c r="A1278" s="2" t="s">
        <v>4990</v>
      </c>
      <c r="B1278" s="2" t="s">
        <v>4991</v>
      </c>
      <c r="C1278" s="2" t="s">
        <v>18</v>
      </c>
      <c r="D1278" s="2" t="s">
        <v>50</v>
      </c>
      <c r="E1278" s="2" t="s">
        <v>20</v>
      </c>
      <c r="F1278" s="2" t="s">
        <v>32</v>
      </c>
      <c r="G1278" s="2" t="s">
        <v>80</v>
      </c>
      <c r="H1278" s="2" t="s">
        <v>34</v>
      </c>
      <c r="I1278" s="2" t="s">
        <v>171</v>
      </c>
      <c r="J1278" s="2" t="s">
        <v>4992</v>
      </c>
      <c r="K1278" s="2" t="s">
        <v>2182</v>
      </c>
      <c r="L1278">
        <v>3</v>
      </c>
      <c r="M1278" s="1">
        <v>196000</v>
      </c>
      <c r="N1278">
        <v>2.8</v>
      </c>
      <c r="O1278">
        <v>18</v>
      </c>
      <c r="P1278" s="2" t="s">
        <v>26</v>
      </c>
    </row>
    <row r="1279" spans="1:16" x14ac:dyDescent="0.25">
      <c r="A1279" s="2" t="s">
        <v>4993</v>
      </c>
      <c r="B1279" s="2" t="s">
        <v>3526</v>
      </c>
      <c r="C1279" s="2" t="s">
        <v>29</v>
      </c>
      <c r="D1279" s="2" t="s">
        <v>50</v>
      </c>
      <c r="E1279" s="2" t="s">
        <v>31</v>
      </c>
      <c r="F1279" s="2" t="s">
        <v>39</v>
      </c>
      <c r="G1279" s="2" t="s">
        <v>33</v>
      </c>
      <c r="H1279" s="2" t="s">
        <v>23</v>
      </c>
      <c r="I1279" s="2" t="s">
        <v>35</v>
      </c>
      <c r="J1279" s="2" t="s">
        <v>4994</v>
      </c>
      <c r="K1279" s="2" t="s">
        <v>2182</v>
      </c>
      <c r="L1279">
        <v>4</v>
      </c>
      <c r="M1279" s="1">
        <v>168000</v>
      </c>
      <c r="N1279">
        <v>3.7</v>
      </c>
      <c r="O1279">
        <v>20</v>
      </c>
      <c r="P1279" s="2" t="s">
        <v>26</v>
      </c>
    </row>
    <row r="1280" spans="1:16" x14ac:dyDescent="0.25">
      <c r="A1280" s="2" t="s">
        <v>4995</v>
      </c>
      <c r="B1280" s="2" t="s">
        <v>2515</v>
      </c>
      <c r="C1280" s="2" t="s">
        <v>18</v>
      </c>
      <c r="D1280" s="2" t="s">
        <v>79</v>
      </c>
      <c r="E1280" s="2" t="s">
        <v>44</v>
      </c>
      <c r="F1280" s="2" t="s">
        <v>32</v>
      </c>
      <c r="G1280" s="2" t="s">
        <v>22</v>
      </c>
      <c r="H1280" s="2" t="s">
        <v>34</v>
      </c>
      <c r="I1280" s="2" t="s">
        <v>75</v>
      </c>
      <c r="J1280" s="2" t="s">
        <v>112</v>
      </c>
      <c r="K1280" s="2" t="s">
        <v>2182</v>
      </c>
      <c r="L1280">
        <v>3</v>
      </c>
      <c r="M1280" s="1">
        <v>214000</v>
      </c>
      <c r="N1280">
        <v>3.1</v>
      </c>
      <c r="O1280">
        <v>0</v>
      </c>
      <c r="P1280" s="2" t="s">
        <v>114</v>
      </c>
    </row>
    <row r="1281" spans="1:16" x14ac:dyDescent="0.25">
      <c r="A1281" s="2" t="s">
        <v>4998</v>
      </c>
      <c r="B1281" s="2" t="s">
        <v>4999</v>
      </c>
      <c r="C1281" s="2" t="s">
        <v>29</v>
      </c>
      <c r="D1281" s="2" t="s">
        <v>79</v>
      </c>
      <c r="E1281" s="2" t="s">
        <v>20</v>
      </c>
      <c r="F1281" s="2" t="s">
        <v>32</v>
      </c>
      <c r="G1281" s="2" t="s">
        <v>22</v>
      </c>
      <c r="H1281" s="2" t="s">
        <v>23</v>
      </c>
      <c r="I1281" s="2" t="s">
        <v>24</v>
      </c>
      <c r="J1281" s="2" t="s">
        <v>1046</v>
      </c>
      <c r="K1281" s="2" t="s">
        <v>5003</v>
      </c>
      <c r="L1281">
        <v>2</v>
      </c>
      <c r="M1281" s="1">
        <v>298000</v>
      </c>
      <c r="N1281">
        <v>4.4000000000000004</v>
      </c>
      <c r="O1281">
        <v>12</v>
      </c>
      <c r="P1281" s="2" t="s">
        <v>26</v>
      </c>
    </row>
    <row r="1282" spans="1:16" x14ac:dyDescent="0.25">
      <c r="A1282" s="2" t="s">
        <v>5001</v>
      </c>
      <c r="B1282" s="2" t="s">
        <v>5002</v>
      </c>
      <c r="C1282" s="2" t="s">
        <v>18</v>
      </c>
      <c r="D1282" s="2" t="s">
        <v>50</v>
      </c>
      <c r="E1282" s="2" t="s">
        <v>44</v>
      </c>
      <c r="F1282" s="2" t="s">
        <v>39</v>
      </c>
      <c r="G1282" s="2" t="s">
        <v>22</v>
      </c>
      <c r="H1282" s="2" t="s">
        <v>23</v>
      </c>
      <c r="I1282" s="2" t="s">
        <v>24</v>
      </c>
      <c r="J1282" s="2" t="s">
        <v>1439</v>
      </c>
      <c r="K1282" s="2" t="s">
        <v>5003</v>
      </c>
      <c r="L1282">
        <v>2</v>
      </c>
      <c r="M1282" s="1">
        <v>148000</v>
      </c>
      <c r="N1282">
        <v>3.9</v>
      </c>
      <c r="O1282">
        <v>5</v>
      </c>
      <c r="P1282" s="2" t="s">
        <v>72</v>
      </c>
    </row>
    <row r="1283" spans="1:16" x14ac:dyDescent="0.25">
      <c r="A1283" s="2" t="s">
        <v>5004</v>
      </c>
      <c r="B1283" s="2" t="s">
        <v>434</v>
      </c>
      <c r="C1283" s="2" t="s">
        <v>29</v>
      </c>
      <c r="D1283" s="2" t="s">
        <v>19</v>
      </c>
      <c r="E1283" s="2" t="s">
        <v>20</v>
      </c>
      <c r="F1283" s="2" t="s">
        <v>128</v>
      </c>
      <c r="G1283" s="2" t="s">
        <v>80</v>
      </c>
      <c r="H1283" s="2" t="s">
        <v>34</v>
      </c>
      <c r="I1283" s="2" t="s">
        <v>75</v>
      </c>
      <c r="J1283" s="2" t="s">
        <v>2766</v>
      </c>
      <c r="K1283" s="2" t="s">
        <v>1392</v>
      </c>
      <c r="L1283">
        <v>5</v>
      </c>
      <c r="M1283" s="1">
        <v>660000</v>
      </c>
      <c r="N1283">
        <v>3.3</v>
      </c>
      <c r="O1283">
        <v>14</v>
      </c>
      <c r="P1283" s="2" t="s">
        <v>26</v>
      </c>
    </row>
    <row r="1284" spans="1:16" x14ac:dyDescent="0.25">
      <c r="A1284" s="2" t="s">
        <v>5005</v>
      </c>
      <c r="B1284" s="2" t="s">
        <v>337</v>
      </c>
      <c r="C1284" s="2" t="s">
        <v>29</v>
      </c>
      <c r="D1284" s="2" t="s">
        <v>50</v>
      </c>
      <c r="E1284" s="2" t="s">
        <v>20</v>
      </c>
      <c r="F1284" s="2" t="s">
        <v>32</v>
      </c>
      <c r="G1284" s="2" t="s">
        <v>22</v>
      </c>
      <c r="H1284" s="2" t="s">
        <v>23</v>
      </c>
      <c r="I1284" s="2" t="s">
        <v>24</v>
      </c>
      <c r="J1284" s="2" t="s">
        <v>5006</v>
      </c>
      <c r="K1284" s="2" t="s">
        <v>1392</v>
      </c>
      <c r="L1284">
        <v>5</v>
      </c>
      <c r="M1284" s="1">
        <v>181000</v>
      </c>
      <c r="N1284">
        <v>4.0999999999999996</v>
      </c>
      <c r="O1284">
        <v>17</v>
      </c>
      <c r="P1284" s="2" t="s">
        <v>72</v>
      </c>
    </row>
    <row r="1285" spans="1:16" x14ac:dyDescent="0.25">
      <c r="A1285" s="2" t="s">
        <v>5007</v>
      </c>
      <c r="B1285" s="2" t="s">
        <v>5008</v>
      </c>
      <c r="C1285" s="2" t="s">
        <v>29</v>
      </c>
      <c r="D1285" s="2" t="s">
        <v>43</v>
      </c>
      <c r="E1285" s="2" t="s">
        <v>20</v>
      </c>
      <c r="F1285" s="2" t="s">
        <v>128</v>
      </c>
      <c r="G1285" s="2" t="s">
        <v>80</v>
      </c>
      <c r="H1285" s="2" t="s">
        <v>46</v>
      </c>
      <c r="I1285" s="2" t="s">
        <v>24</v>
      </c>
      <c r="J1285" s="2" t="s">
        <v>5009</v>
      </c>
      <c r="K1285" s="2" t="s">
        <v>894</v>
      </c>
      <c r="L1285">
        <v>5</v>
      </c>
      <c r="M1285" s="1">
        <v>480000</v>
      </c>
      <c r="N1285">
        <v>4</v>
      </c>
      <c r="O1285">
        <v>1</v>
      </c>
      <c r="P1285" s="2" t="s">
        <v>26</v>
      </c>
    </row>
    <row r="1286" spans="1:16" x14ac:dyDescent="0.25">
      <c r="A1286" s="2" t="s">
        <v>5010</v>
      </c>
      <c r="B1286" s="2" t="s">
        <v>2976</v>
      </c>
      <c r="C1286" s="2" t="s">
        <v>18</v>
      </c>
      <c r="D1286" s="2" t="s">
        <v>30</v>
      </c>
      <c r="E1286" s="2" t="s">
        <v>20</v>
      </c>
      <c r="F1286" s="2" t="s">
        <v>32</v>
      </c>
      <c r="G1286" s="2" t="s">
        <v>22</v>
      </c>
      <c r="H1286" s="2" t="s">
        <v>23</v>
      </c>
      <c r="I1286" s="2" t="s">
        <v>24</v>
      </c>
      <c r="J1286" s="2" t="s">
        <v>2110</v>
      </c>
      <c r="K1286" s="2" t="s">
        <v>894</v>
      </c>
      <c r="L1286">
        <v>6</v>
      </c>
      <c r="M1286" s="1">
        <v>289000</v>
      </c>
      <c r="N1286">
        <v>4.5999999999999996</v>
      </c>
      <c r="O1286">
        <v>25</v>
      </c>
      <c r="P1286" s="2" t="s">
        <v>53</v>
      </c>
    </row>
    <row r="1287" spans="1:16" x14ac:dyDescent="0.25">
      <c r="A1287" s="2" t="s">
        <v>5014</v>
      </c>
      <c r="B1287" s="2" t="s">
        <v>5015</v>
      </c>
      <c r="C1287" s="2" t="s">
        <v>29</v>
      </c>
      <c r="D1287" s="2" t="s">
        <v>30</v>
      </c>
      <c r="E1287" s="2" t="s">
        <v>20</v>
      </c>
      <c r="F1287" s="2" t="s">
        <v>39</v>
      </c>
      <c r="G1287" s="2" t="s">
        <v>22</v>
      </c>
      <c r="H1287" s="2" t="s">
        <v>34</v>
      </c>
      <c r="I1287" s="2" t="s">
        <v>24</v>
      </c>
      <c r="J1287" s="2" t="s">
        <v>5016</v>
      </c>
      <c r="K1287" s="2" t="s">
        <v>5017</v>
      </c>
      <c r="L1287">
        <v>2</v>
      </c>
      <c r="M1287" s="1">
        <v>176000</v>
      </c>
      <c r="N1287">
        <v>2.6</v>
      </c>
      <c r="O1287">
        <v>7</v>
      </c>
      <c r="P1287" s="2" t="s">
        <v>53</v>
      </c>
    </row>
    <row r="1288" spans="1:16" x14ac:dyDescent="0.25">
      <c r="A1288" s="2" t="s">
        <v>5018</v>
      </c>
      <c r="B1288" s="2" t="s">
        <v>5019</v>
      </c>
      <c r="C1288" s="2" t="s">
        <v>18</v>
      </c>
      <c r="D1288" s="2" t="s">
        <v>50</v>
      </c>
      <c r="E1288" s="2" t="s">
        <v>20</v>
      </c>
      <c r="F1288" s="2" t="s">
        <v>32</v>
      </c>
      <c r="G1288" s="2" t="s">
        <v>80</v>
      </c>
      <c r="H1288" s="2" t="s">
        <v>23</v>
      </c>
      <c r="I1288" s="2" t="s">
        <v>35</v>
      </c>
      <c r="J1288" s="2" t="s">
        <v>4714</v>
      </c>
      <c r="K1288" s="2" t="s">
        <v>4681</v>
      </c>
      <c r="L1288">
        <v>4</v>
      </c>
      <c r="M1288" s="1">
        <v>185000</v>
      </c>
      <c r="N1288">
        <v>2.4</v>
      </c>
      <c r="O1288">
        <v>6</v>
      </c>
      <c r="P1288" s="2" t="s">
        <v>53</v>
      </c>
    </row>
    <row r="1289" spans="1:16" x14ac:dyDescent="0.25">
      <c r="A1289" s="2" t="s">
        <v>5021</v>
      </c>
      <c r="B1289" s="2" t="s">
        <v>1014</v>
      </c>
      <c r="C1289" s="2" t="s">
        <v>18</v>
      </c>
      <c r="D1289" s="2" t="s">
        <v>50</v>
      </c>
      <c r="E1289" s="2" t="s">
        <v>31</v>
      </c>
      <c r="F1289" s="2" t="s">
        <v>32</v>
      </c>
      <c r="G1289" s="2" t="s">
        <v>33</v>
      </c>
      <c r="H1289" s="2" t="s">
        <v>23</v>
      </c>
      <c r="I1289" s="2" t="s">
        <v>171</v>
      </c>
      <c r="J1289" s="2" t="s">
        <v>5022</v>
      </c>
      <c r="K1289" s="2" t="s">
        <v>2458</v>
      </c>
      <c r="L1289">
        <v>6</v>
      </c>
      <c r="M1289" s="1">
        <v>320000</v>
      </c>
      <c r="N1289">
        <v>4.5999999999999996</v>
      </c>
      <c r="O1289">
        <v>8</v>
      </c>
      <c r="P1289" s="2" t="s">
        <v>26</v>
      </c>
    </row>
    <row r="1290" spans="1:16" x14ac:dyDescent="0.25">
      <c r="A1290" s="2" t="s">
        <v>5026</v>
      </c>
      <c r="B1290" s="2" t="s">
        <v>1281</v>
      </c>
      <c r="C1290" s="2" t="s">
        <v>29</v>
      </c>
      <c r="D1290" s="2" t="s">
        <v>50</v>
      </c>
      <c r="E1290" s="2" t="s">
        <v>44</v>
      </c>
      <c r="F1290" s="2" t="s">
        <v>39</v>
      </c>
      <c r="G1290" s="2" t="s">
        <v>80</v>
      </c>
      <c r="H1290" s="2" t="s">
        <v>46</v>
      </c>
      <c r="I1290" s="2" t="s">
        <v>35</v>
      </c>
      <c r="J1290" s="2" t="s">
        <v>791</v>
      </c>
      <c r="K1290" s="2" t="s">
        <v>2458</v>
      </c>
      <c r="L1290">
        <v>6</v>
      </c>
      <c r="M1290" s="1">
        <v>165000</v>
      </c>
      <c r="N1290">
        <v>3.4</v>
      </c>
      <c r="O1290">
        <v>11</v>
      </c>
      <c r="P1290" s="2" t="s">
        <v>53</v>
      </c>
    </row>
    <row r="1291" spans="1:16" x14ac:dyDescent="0.25">
      <c r="A1291" s="2" t="s">
        <v>5027</v>
      </c>
      <c r="B1291" s="2" t="s">
        <v>2785</v>
      </c>
      <c r="C1291" s="2" t="s">
        <v>29</v>
      </c>
      <c r="D1291" s="2" t="s">
        <v>50</v>
      </c>
      <c r="E1291" s="2" t="s">
        <v>44</v>
      </c>
      <c r="F1291" s="2" t="s">
        <v>128</v>
      </c>
      <c r="G1291" s="2" t="s">
        <v>22</v>
      </c>
      <c r="H1291" s="2" t="s">
        <v>23</v>
      </c>
      <c r="I1291" s="2" t="s">
        <v>75</v>
      </c>
      <c r="J1291" s="2" t="s">
        <v>3081</v>
      </c>
      <c r="K1291" s="2" t="s">
        <v>5039</v>
      </c>
      <c r="L1291">
        <v>6</v>
      </c>
      <c r="M1291" s="1">
        <v>449000</v>
      </c>
      <c r="N1291">
        <v>2.9</v>
      </c>
      <c r="O1291">
        <v>3</v>
      </c>
      <c r="P1291" s="2" t="s">
        <v>26</v>
      </c>
    </row>
    <row r="1292" spans="1:16" x14ac:dyDescent="0.25">
      <c r="A1292" s="2" t="s">
        <v>5031</v>
      </c>
      <c r="B1292" s="2" t="s">
        <v>653</v>
      </c>
      <c r="C1292" s="2" t="s">
        <v>29</v>
      </c>
      <c r="D1292" s="2" t="s">
        <v>30</v>
      </c>
      <c r="E1292" s="2" t="s">
        <v>20</v>
      </c>
      <c r="F1292" s="2" t="s">
        <v>21</v>
      </c>
      <c r="G1292" s="2" t="s">
        <v>22</v>
      </c>
      <c r="H1292" s="2" t="s">
        <v>23</v>
      </c>
      <c r="I1292" s="2" t="s">
        <v>57</v>
      </c>
      <c r="J1292" s="2" t="s">
        <v>5032</v>
      </c>
      <c r="K1292" s="2" t="s">
        <v>5039</v>
      </c>
      <c r="L1292">
        <v>4</v>
      </c>
      <c r="M1292" s="1">
        <v>906000</v>
      </c>
      <c r="N1292">
        <v>4.9000000000000004</v>
      </c>
      <c r="O1292">
        <v>13</v>
      </c>
      <c r="P1292" s="2" t="s">
        <v>26</v>
      </c>
    </row>
    <row r="1293" spans="1:16" x14ac:dyDescent="0.25">
      <c r="A1293" s="2" t="s">
        <v>5033</v>
      </c>
      <c r="B1293" s="2" t="s">
        <v>5034</v>
      </c>
      <c r="C1293" s="2" t="s">
        <v>18</v>
      </c>
      <c r="D1293" s="2" t="s">
        <v>79</v>
      </c>
      <c r="E1293" s="2" t="s">
        <v>20</v>
      </c>
      <c r="F1293" s="2" t="s">
        <v>32</v>
      </c>
      <c r="G1293" s="2" t="s">
        <v>80</v>
      </c>
      <c r="H1293" s="2" t="s">
        <v>34</v>
      </c>
      <c r="I1293" s="2" t="s">
        <v>35</v>
      </c>
      <c r="J1293" s="2" t="s">
        <v>5035</v>
      </c>
      <c r="K1293" s="2" t="s">
        <v>5039</v>
      </c>
      <c r="L1293">
        <v>4</v>
      </c>
      <c r="M1293" s="1">
        <v>238000</v>
      </c>
      <c r="N1293">
        <v>2.5</v>
      </c>
      <c r="O1293">
        <v>6</v>
      </c>
      <c r="P1293" s="2" t="s">
        <v>26</v>
      </c>
    </row>
    <row r="1294" spans="1:16" x14ac:dyDescent="0.25">
      <c r="A1294" s="2" t="s">
        <v>5036</v>
      </c>
      <c r="B1294" s="2" t="s">
        <v>1873</v>
      </c>
      <c r="C1294" s="2" t="s">
        <v>18</v>
      </c>
      <c r="D1294" s="2" t="s">
        <v>43</v>
      </c>
      <c r="E1294" s="2" t="s">
        <v>20</v>
      </c>
      <c r="F1294" s="2" t="s">
        <v>128</v>
      </c>
      <c r="G1294" s="2" t="s">
        <v>69</v>
      </c>
      <c r="H1294" s="2" t="s">
        <v>62</v>
      </c>
      <c r="I1294" s="2" t="s">
        <v>24</v>
      </c>
      <c r="J1294" s="2" t="s">
        <v>2223</v>
      </c>
      <c r="K1294" s="2" t="s">
        <v>5039</v>
      </c>
      <c r="L1294">
        <v>5</v>
      </c>
      <c r="M1294" s="1">
        <v>434000</v>
      </c>
      <c r="N1294">
        <v>2.2000000000000002</v>
      </c>
      <c r="O1294">
        <v>6</v>
      </c>
      <c r="P1294" s="2" t="s">
        <v>26</v>
      </c>
    </row>
    <row r="1295" spans="1:16" x14ac:dyDescent="0.25">
      <c r="A1295" s="2" t="s">
        <v>5037</v>
      </c>
      <c r="B1295" s="2" t="s">
        <v>5038</v>
      </c>
      <c r="C1295" s="2" t="s">
        <v>18</v>
      </c>
      <c r="D1295" s="2" t="s">
        <v>30</v>
      </c>
      <c r="E1295" s="2" t="s">
        <v>20</v>
      </c>
      <c r="F1295" s="2" t="s">
        <v>39</v>
      </c>
      <c r="G1295" s="2" t="s">
        <v>22</v>
      </c>
      <c r="H1295" s="2" t="s">
        <v>23</v>
      </c>
      <c r="I1295" s="2" t="s">
        <v>35</v>
      </c>
      <c r="J1295" s="2" t="s">
        <v>2997</v>
      </c>
      <c r="K1295" s="2" t="s">
        <v>5039</v>
      </c>
      <c r="L1295">
        <v>3</v>
      </c>
      <c r="M1295" s="1">
        <v>152000</v>
      </c>
      <c r="N1295">
        <v>1.9</v>
      </c>
      <c r="O1295">
        <v>2</v>
      </c>
      <c r="P1295" s="2" t="s">
        <v>53</v>
      </c>
    </row>
    <row r="1296" spans="1:16" x14ac:dyDescent="0.25">
      <c r="A1296" s="2" t="s">
        <v>5042</v>
      </c>
      <c r="B1296" s="2" t="s">
        <v>4432</v>
      </c>
      <c r="C1296" s="2" t="s">
        <v>18</v>
      </c>
      <c r="D1296" s="2" t="s">
        <v>30</v>
      </c>
      <c r="E1296" s="2" t="s">
        <v>20</v>
      </c>
      <c r="F1296" s="2" t="s">
        <v>32</v>
      </c>
      <c r="G1296" s="2" t="s">
        <v>80</v>
      </c>
      <c r="H1296" s="2" t="s">
        <v>23</v>
      </c>
      <c r="I1296" s="2" t="s">
        <v>35</v>
      </c>
      <c r="J1296" s="2" t="s">
        <v>3544</v>
      </c>
      <c r="K1296" s="2" t="s">
        <v>172</v>
      </c>
      <c r="L1296">
        <v>3</v>
      </c>
      <c r="M1296" s="1">
        <v>289000</v>
      </c>
      <c r="N1296">
        <v>3</v>
      </c>
      <c r="O1296">
        <v>2</v>
      </c>
      <c r="P1296" s="2" t="s">
        <v>26</v>
      </c>
    </row>
    <row r="1297" spans="1:16" x14ac:dyDescent="0.25">
      <c r="A1297" s="2" t="s">
        <v>5043</v>
      </c>
      <c r="B1297" s="2" t="s">
        <v>4935</v>
      </c>
      <c r="C1297" s="2" t="s">
        <v>29</v>
      </c>
      <c r="D1297" s="2" t="s">
        <v>79</v>
      </c>
      <c r="E1297" s="2" t="s">
        <v>20</v>
      </c>
      <c r="F1297" s="2" t="s">
        <v>32</v>
      </c>
      <c r="G1297" s="2" t="s">
        <v>22</v>
      </c>
      <c r="H1297" s="2" t="s">
        <v>23</v>
      </c>
      <c r="I1297" s="2" t="s">
        <v>24</v>
      </c>
      <c r="J1297" s="2" t="s">
        <v>2879</v>
      </c>
      <c r="K1297" s="2" t="s">
        <v>172</v>
      </c>
      <c r="L1297">
        <v>5</v>
      </c>
      <c r="M1297" s="1">
        <v>341000</v>
      </c>
      <c r="N1297">
        <v>3.8</v>
      </c>
      <c r="O1297">
        <v>1</v>
      </c>
      <c r="P1297" s="2" t="s">
        <v>26</v>
      </c>
    </row>
    <row r="1298" spans="1:16" x14ac:dyDescent="0.25">
      <c r="A1298" s="2" t="s">
        <v>5048</v>
      </c>
      <c r="B1298" s="2" t="s">
        <v>5049</v>
      </c>
      <c r="C1298" s="2" t="s">
        <v>29</v>
      </c>
      <c r="D1298" s="2" t="s">
        <v>79</v>
      </c>
      <c r="E1298" s="2" t="s">
        <v>44</v>
      </c>
      <c r="F1298" s="2" t="s">
        <v>128</v>
      </c>
      <c r="G1298" s="2" t="s">
        <v>22</v>
      </c>
      <c r="H1298" s="2" t="s">
        <v>46</v>
      </c>
      <c r="I1298" s="2" t="s">
        <v>24</v>
      </c>
      <c r="J1298" s="2" t="s">
        <v>1353</v>
      </c>
      <c r="K1298" s="2" t="s">
        <v>172</v>
      </c>
      <c r="L1298">
        <v>24</v>
      </c>
      <c r="M1298" s="1">
        <v>557000</v>
      </c>
      <c r="N1298">
        <v>2.1</v>
      </c>
      <c r="O1298">
        <v>1</v>
      </c>
      <c r="P1298" s="2" t="s">
        <v>26</v>
      </c>
    </row>
    <row r="1299" spans="1:16" x14ac:dyDescent="0.25">
      <c r="A1299" s="2" t="s">
        <v>5050</v>
      </c>
      <c r="B1299" s="2" t="s">
        <v>5051</v>
      </c>
      <c r="C1299" s="2" t="s">
        <v>29</v>
      </c>
      <c r="D1299" s="2" t="s">
        <v>43</v>
      </c>
      <c r="E1299" s="2" t="s">
        <v>20</v>
      </c>
      <c r="F1299" s="2" t="s">
        <v>32</v>
      </c>
      <c r="G1299" s="2" t="s">
        <v>22</v>
      </c>
      <c r="H1299" s="2" t="s">
        <v>62</v>
      </c>
      <c r="I1299" s="2" t="s">
        <v>24</v>
      </c>
      <c r="J1299" s="2" t="s">
        <v>5052</v>
      </c>
      <c r="K1299" s="2" t="s">
        <v>172</v>
      </c>
      <c r="L1299">
        <v>6</v>
      </c>
      <c r="M1299" s="1">
        <v>267000</v>
      </c>
      <c r="N1299">
        <v>5</v>
      </c>
      <c r="O1299">
        <v>8</v>
      </c>
      <c r="P1299" s="2" t="s">
        <v>26</v>
      </c>
    </row>
    <row r="1300" spans="1:16" x14ac:dyDescent="0.25">
      <c r="A1300" s="2" t="s">
        <v>5053</v>
      </c>
      <c r="B1300" s="2" t="s">
        <v>5054</v>
      </c>
      <c r="C1300" s="2" t="s">
        <v>29</v>
      </c>
      <c r="D1300" s="2" t="s">
        <v>19</v>
      </c>
      <c r="E1300" s="2" t="s">
        <v>44</v>
      </c>
      <c r="F1300" s="2" t="s">
        <v>32</v>
      </c>
      <c r="G1300" s="2" t="s">
        <v>80</v>
      </c>
      <c r="H1300" s="2" t="s">
        <v>23</v>
      </c>
      <c r="I1300" s="2" t="s">
        <v>24</v>
      </c>
      <c r="J1300" s="2" t="s">
        <v>5055</v>
      </c>
      <c r="K1300" s="2" t="s">
        <v>172</v>
      </c>
      <c r="L1300">
        <v>5</v>
      </c>
      <c r="M1300" s="1">
        <v>323000</v>
      </c>
      <c r="N1300">
        <v>3.5</v>
      </c>
      <c r="O1300">
        <v>0</v>
      </c>
      <c r="P1300" s="2" t="s">
        <v>26</v>
      </c>
    </row>
    <row r="1301" spans="1:16" x14ac:dyDescent="0.25">
      <c r="A1301" s="2" t="s">
        <v>5056</v>
      </c>
      <c r="B1301" s="2" t="s">
        <v>5057</v>
      </c>
      <c r="C1301" s="2" t="s">
        <v>29</v>
      </c>
      <c r="D1301" s="2" t="s">
        <v>30</v>
      </c>
      <c r="E1301" s="2" t="s">
        <v>20</v>
      </c>
      <c r="F1301" s="2" t="s">
        <v>32</v>
      </c>
      <c r="G1301" s="2" t="s">
        <v>33</v>
      </c>
      <c r="H1301" s="2" t="s">
        <v>34</v>
      </c>
      <c r="I1301" s="2" t="s">
        <v>24</v>
      </c>
      <c r="J1301" s="2" t="s">
        <v>4026</v>
      </c>
      <c r="K1301" s="2" t="s">
        <v>172</v>
      </c>
      <c r="L1301">
        <v>6</v>
      </c>
      <c r="M1301" s="1">
        <v>230000</v>
      </c>
      <c r="N1301">
        <v>2.9</v>
      </c>
      <c r="O1301">
        <v>9</v>
      </c>
      <c r="P1301" s="2" t="s">
        <v>26</v>
      </c>
    </row>
    <row r="1302" spans="1:16" x14ac:dyDescent="0.25">
      <c r="A1302" s="2" t="s">
        <v>5060</v>
      </c>
      <c r="B1302" s="2" t="s">
        <v>1625</v>
      </c>
      <c r="C1302" s="2" t="s">
        <v>29</v>
      </c>
      <c r="D1302" s="2" t="s">
        <v>50</v>
      </c>
      <c r="E1302" s="2" t="s">
        <v>20</v>
      </c>
      <c r="F1302" s="2" t="s">
        <v>21</v>
      </c>
      <c r="G1302" s="2" t="s">
        <v>69</v>
      </c>
      <c r="H1302" s="2" t="s">
        <v>23</v>
      </c>
      <c r="I1302" s="2" t="s">
        <v>24</v>
      </c>
      <c r="J1302" s="2" t="s">
        <v>1175</v>
      </c>
      <c r="K1302" s="2" t="s">
        <v>172</v>
      </c>
      <c r="L1302">
        <v>6</v>
      </c>
      <c r="M1302" s="1">
        <v>844000</v>
      </c>
      <c r="N1302">
        <v>3.2</v>
      </c>
      <c r="O1302">
        <v>18</v>
      </c>
      <c r="P1302" s="2" t="s">
        <v>26</v>
      </c>
    </row>
    <row r="1303" spans="1:16" x14ac:dyDescent="0.25">
      <c r="A1303" s="2" t="s">
        <v>5061</v>
      </c>
      <c r="B1303" s="2" t="s">
        <v>4171</v>
      </c>
      <c r="C1303" s="2" t="s">
        <v>18</v>
      </c>
      <c r="D1303" s="2" t="s">
        <v>50</v>
      </c>
      <c r="E1303" s="2" t="s">
        <v>44</v>
      </c>
      <c r="F1303" s="2" t="s">
        <v>128</v>
      </c>
      <c r="G1303" s="2" t="s">
        <v>22</v>
      </c>
      <c r="H1303" s="2" t="s">
        <v>23</v>
      </c>
      <c r="I1303" s="2" t="s">
        <v>35</v>
      </c>
      <c r="J1303" s="2" t="s">
        <v>1339</v>
      </c>
      <c r="K1303" s="2" t="s">
        <v>172</v>
      </c>
      <c r="L1303">
        <v>3</v>
      </c>
      <c r="M1303" s="1">
        <v>568000</v>
      </c>
      <c r="N1303">
        <v>2.5</v>
      </c>
      <c r="O1303">
        <v>12</v>
      </c>
      <c r="P1303" s="2" t="s">
        <v>26</v>
      </c>
    </row>
    <row r="1304" spans="1:16" x14ac:dyDescent="0.25">
      <c r="A1304" s="2" t="s">
        <v>5068</v>
      </c>
      <c r="B1304" s="2" t="s">
        <v>5069</v>
      </c>
      <c r="C1304" s="2" t="s">
        <v>18</v>
      </c>
      <c r="D1304" s="2" t="s">
        <v>50</v>
      </c>
      <c r="E1304" s="2" t="s">
        <v>20</v>
      </c>
      <c r="F1304" s="2" t="s">
        <v>32</v>
      </c>
      <c r="G1304" s="2" t="s">
        <v>22</v>
      </c>
      <c r="H1304" s="2" t="s">
        <v>34</v>
      </c>
      <c r="I1304" s="2" t="s">
        <v>24</v>
      </c>
      <c r="J1304" s="2" t="s">
        <v>5070</v>
      </c>
      <c r="K1304" s="2" t="s">
        <v>172</v>
      </c>
      <c r="L1304">
        <v>6</v>
      </c>
      <c r="M1304" s="1">
        <v>228000</v>
      </c>
      <c r="N1304">
        <v>4</v>
      </c>
      <c r="O1304">
        <v>10</v>
      </c>
      <c r="P1304" s="2" t="s">
        <v>26</v>
      </c>
    </row>
    <row r="1305" spans="1:16" x14ac:dyDescent="0.25">
      <c r="A1305" s="2" t="s">
        <v>5075</v>
      </c>
      <c r="B1305" s="2" t="s">
        <v>5076</v>
      </c>
      <c r="C1305" s="2" t="s">
        <v>18</v>
      </c>
      <c r="D1305" s="2" t="s">
        <v>79</v>
      </c>
      <c r="E1305" s="2" t="s">
        <v>31</v>
      </c>
      <c r="F1305" s="2" t="s">
        <v>128</v>
      </c>
      <c r="G1305" s="2" t="s">
        <v>33</v>
      </c>
      <c r="H1305" s="2" t="s">
        <v>46</v>
      </c>
      <c r="I1305" s="2" t="s">
        <v>24</v>
      </c>
      <c r="J1305" s="2" t="s">
        <v>5077</v>
      </c>
      <c r="K1305" s="2" t="s">
        <v>172</v>
      </c>
      <c r="L1305">
        <v>6</v>
      </c>
      <c r="M1305" s="1">
        <v>472000</v>
      </c>
      <c r="N1305">
        <v>2.5</v>
      </c>
      <c r="O1305">
        <v>36</v>
      </c>
      <c r="P1305" s="2" t="s">
        <v>53</v>
      </c>
    </row>
    <row r="1306" spans="1:16" x14ac:dyDescent="0.25">
      <c r="A1306" s="2" t="s">
        <v>5081</v>
      </c>
      <c r="B1306" s="2" t="s">
        <v>3710</v>
      </c>
      <c r="C1306" s="2" t="s">
        <v>29</v>
      </c>
      <c r="D1306" s="2" t="s">
        <v>50</v>
      </c>
      <c r="E1306" s="2" t="s">
        <v>31</v>
      </c>
      <c r="F1306" s="2" t="s">
        <v>39</v>
      </c>
      <c r="G1306" s="2" t="s">
        <v>22</v>
      </c>
      <c r="H1306" s="2" t="s">
        <v>34</v>
      </c>
      <c r="I1306" s="2" t="s">
        <v>24</v>
      </c>
      <c r="J1306" s="2" t="s">
        <v>4713</v>
      </c>
      <c r="K1306" s="2" t="s">
        <v>2968</v>
      </c>
      <c r="L1306">
        <v>6</v>
      </c>
      <c r="M1306" s="1">
        <v>119000</v>
      </c>
      <c r="N1306">
        <v>2.5</v>
      </c>
      <c r="O1306">
        <v>7</v>
      </c>
      <c r="P1306" s="2" t="s">
        <v>26</v>
      </c>
    </row>
    <row r="1307" spans="1:16" x14ac:dyDescent="0.25">
      <c r="A1307" s="2" t="s">
        <v>5082</v>
      </c>
      <c r="B1307" s="2" t="s">
        <v>4559</v>
      </c>
      <c r="C1307" s="2" t="s">
        <v>18</v>
      </c>
      <c r="D1307" s="2" t="s">
        <v>19</v>
      </c>
      <c r="E1307" s="2" t="s">
        <v>20</v>
      </c>
      <c r="F1307" s="2" t="s">
        <v>39</v>
      </c>
      <c r="G1307" s="2" t="s">
        <v>22</v>
      </c>
      <c r="H1307" s="2" t="s">
        <v>34</v>
      </c>
      <c r="I1307" s="2" t="s">
        <v>35</v>
      </c>
      <c r="J1307" s="2" t="s">
        <v>827</v>
      </c>
      <c r="K1307" s="2" t="s">
        <v>2968</v>
      </c>
      <c r="L1307">
        <v>5</v>
      </c>
      <c r="M1307" s="1">
        <v>185000</v>
      </c>
      <c r="N1307">
        <v>2.8</v>
      </c>
      <c r="O1307">
        <v>7</v>
      </c>
      <c r="P1307" s="2" t="s">
        <v>26</v>
      </c>
    </row>
    <row r="1308" spans="1:16" x14ac:dyDescent="0.25">
      <c r="A1308" s="2" t="s">
        <v>5083</v>
      </c>
      <c r="B1308" s="2" t="s">
        <v>5084</v>
      </c>
      <c r="C1308" s="2" t="s">
        <v>18</v>
      </c>
      <c r="D1308" s="2" t="s">
        <v>30</v>
      </c>
      <c r="E1308" s="2" t="s">
        <v>44</v>
      </c>
      <c r="F1308" s="2" t="s">
        <v>39</v>
      </c>
      <c r="G1308" s="2" t="s">
        <v>22</v>
      </c>
      <c r="H1308" s="2" t="s">
        <v>34</v>
      </c>
      <c r="I1308" s="2" t="s">
        <v>35</v>
      </c>
      <c r="J1308" s="2" t="s">
        <v>3590</v>
      </c>
      <c r="K1308" s="2" t="s">
        <v>2968</v>
      </c>
      <c r="L1308">
        <v>6</v>
      </c>
      <c r="M1308" s="1">
        <v>113000</v>
      </c>
      <c r="N1308">
        <v>2.6</v>
      </c>
      <c r="O1308">
        <v>8</v>
      </c>
      <c r="P1308" s="2" t="s">
        <v>26</v>
      </c>
    </row>
    <row r="1309" spans="1:16" x14ac:dyDescent="0.25">
      <c r="A1309" s="2" t="s">
        <v>5089</v>
      </c>
      <c r="B1309" s="2" t="s">
        <v>5090</v>
      </c>
      <c r="C1309" s="2" t="s">
        <v>29</v>
      </c>
      <c r="D1309" s="2" t="s">
        <v>79</v>
      </c>
      <c r="E1309" s="2" t="s">
        <v>31</v>
      </c>
      <c r="F1309" s="2" t="s">
        <v>32</v>
      </c>
      <c r="G1309" s="2" t="s">
        <v>80</v>
      </c>
      <c r="H1309" s="2" t="s">
        <v>23</v>
      </c>
      <c r="I1309" s="2" t="s">
        <v>171</v>
      </c>
      <c r="J1309" s="2" t="s">
        <v>5091</v>
      </c>
      <c r="K1309" s="2" t="s">
        <v>2968</v>
      </c>
      <c r="L1309">
        <v>3</v>
      </c>
      <c r="M1309" s="1">
        <v>302000</v>
      </c>
      <c r="N1309">
        <v>4.2</v>
      </c>
      <c r="O1309">
        <v>12</v>
      </c>
      <c r="P1309" s="2" t="s">
        <v>26</v>
      </c>
    </row>
    <row r="1310" spans="1:16" x14ac:dyDescent="0.25">
      <c r="A1310" s="2" t="s">
        <v>5092</v>
      </c>
      <c r="B1310" s="2" t="s">
        <v>5093</v>
      </c>
      <c r="C1310" s="2" t="s">
        <v>18</v>
      </c>
      <c r="D1310" s="2" t="s">
        <v>50</v>
      </c>
      <c r="E1310" s="2" t="s">
        <v>44</v>
      </c>
      <c r="F1310" s="2" t="s">
        <v>128</v>
      </c>
      <c r="G1310" s="2" t="s">
        <v>22</v>
      </c>
      <c r="H1310" s="2" t="s">
        <v>46</v>
      </c>
      <c r="I1310" s="2" t="s">
        <v>24</v>
      </c>
      <c r="J1310" s="2" t="s">
        <v>3848</v>
      </c>
      <c r="K1310" s="2" t="s">
        <v>2968</v>
      </c>
      <c r="L1310">
        <v>3</v>
      </c>
      <c r="M1310" s="1">
        <v>412000</v>
      </c>
      <c r="N1310">
        <v>4.2</v>
      </c>
      <c r="O1310">
        <v>5</v>
      </c>
      <c r="P1310" s="2" t="s">
        <v>72</v>
      </c>
    </row>
    <row r="1311" spans="1:16" x14ac:dyDescent="0.25">
      <c r="A1311" s="2" t="s">
        <v>5094</v>
      </c>
      <c r="B1311" s="2" t="s">
        <v>5095</v>
      </c>
      <c r="C1311" s="2" t="s">
        <v>18</v>
      </c>
      <c r="D1311" s="2" t="s">
        <v>50</v>
      </c>
      <c r="E1311" s="2" t="s">
        <v>44</v>
      </c>
      <c r="F1311" s="2" t="s">
        <v>39</v>
      </c>
      <c r="G1311" s="2" t="s">
        <v>80</v>
      </c>
      <c r="H1311" s="2" t="s">
        <v>34</v>
      </c>
      <c r="I1311" s="2" t="s">
        <v>35</v>
      </c>
      <c r="J1311" s="2" t="s">
        <v>4309</v>
      </c>
      <c r="K1311" s="2" t="s">
        <v>1119</v>
      </c>
      <c r="L1311">
        <v>4</v>
      </c>
      <c r="M1311" s="1">
        <v>106000</v>
      </c>
      <c r="N1311">
        <v>4.2</v>
      </c>
      <c r="O1311">
        <v>12</v>
      </c>
      <c r="P1311" s="2" t="s">
        <v>72</v>
      </c>
    </row>
    <row r="1312" spans="1:16" x14ac:dyDescent="0.25">
      <c r="A1312" s="2" t="s">
        <v>5096</v>
      </c>
      <c r="B1312" s="2" t="s">
        <v>5097</v>
      </c>
      <c r="C1312" s="2" t="s">
        <v>18</v>
      </c>
      <c r="D1312" s="2" t="s">
        <v>79</v>
      </c>
      <c r="E1312" s="2" t="s">
        <v>20</v>
      </c>
      <c r="F1312" s="2" t="s">
        <v>32</v>
      </c>
      <c r="G1312" s="2" t="s">
        <v>22</v>
      </c>
      <c r="H1312" s="2" t="s">
        <v>23</v>
      </c>
      <c r="I1312" s="2" t="s">
        <v>35</v>
      </c>
      <c r="J1312" s="2" t="s">
        <v>539</v>
      </c>
      <c r="K1312" s="2" t="s">
        <v>812</v>
      </c>
      <c r="L1312">
        <v>3</v>
      </c>
      <c r="M1312" s="1">
        <v>292000</v>
      </c>
      <c r="N1312">
        <v>2.8</v>
      </c>
      <c r="O1312">
        <v>5</v>
      </c>
      <c r="P1312" s="2" t="s">
        <v>72</v>
      </c>
    </row>
    <row r="1313" spans="1:16" x14ac:dyDescent="0.25">
      <c r="A1313" s="2" t="s">
        <v>5098</v>
      </c>
      <c r="B1313" s="2" t="s">
        <v>2226</v>
      </c>
      <c r="C1313" s="2" t="s">
        <v>29</v>
      </c>
      <c r="D1313" s="2" t="s">
        <v>43</v>
      </c>
      <c r="E1313" s="2" t="s">
        <v>20</v>
      </c>
      <c r="F1313" s="2" t="s">
        <v>128</v>
      </c>
      <c r="G1313" s="2" t="s">
        <v>22</v>
      </c>
      <c r="H1313" s="2" t="s">
        <v>23</v>
      </c>
      <c r="I1313" s="2" t="s">
        <v>24</v>
      </c>
      <c r="J1313" s="2" t="s">
        <v>338</v>
      </c>
      <c r="K1313" s="2" t="s">
        <v>1684</v>
      </c>
      <c r="L1313">
        <v>5</v>
      </c>
      <c r="M1313" s="1">
        <v>350000</v>
      </c>
      <c r="N1313">
        <v>4.4000000000000004</v>
      </c>
      <c r="O1313">
        <v>4</v>
      </c>
      <c r="P1313" s="2" t="s">
        <v>26</v>
      </c>
    </row>
    <row r="1314" spans="1:16" x14ac:dyDescent="0.25">
      <c r="A1314" s="2" t="s">
        <v>5099</v>
      </c>
      <c r="B1314" s="2" t="s">
        <v>5100</v>
      </c>
      <c r="C1314" s="2" t="s">
        <v>29</v>
      </c>
      <c r="D1314" s="2" t="s">
        <v>43</v>
      </c>
      <c r="E1314" s="2" t="s">
        <v>20</v>
      </c>
      <c r="F1314" s="2" t="s">
        <v>32</v>
      </c>
      <c r="G1314" s="2" t="s">
        <v>22</v>
      </c>
      <c r="H1314" s="2" t="s">
        <v>46</v>
      </c>
      <c r="I1314" s="2" t="s">
        <v>75</v>
      </c>
      <c r="J1314" s="2" t="s">
        <v>351</v>
      </c>
      <c r="K1314" s="2" t="s">
        <v>1684</v>
      </c>
      <c r="L1314">
        <v>6</v>
      </c>
      <c r="M1314" s="1">
        <v>250000</v>
      </c>
      <c r="N1314">
        <v>4.4000000000000004</v>
      </c>
      <c r="O1314">
        <v>14</v>
      </c>
      <c r="P1314" s="2" t="s">
        <v>26</v>
      </c>
    </row>
    <row r="1315" spans="1:16" x14ac:dyDescent="0.25">
      <c r="A1315" s="2" t="s">
        <v>5102</v>
      </c>
      <c r="B1315" s="2" t="s">
        <v>2990</v>
      </c>
      <c r="C1315" s="2" t="s">
        <v>18</v>
      </c>
      <c r="D1315" s="2" t="s">
        <v>79</v>
      </c>
      <c r="E1315" s="2" t="s">
        <v>44</v>
      </c>
      <c r="F1315" s="2" t="s">
        <v>128</v>
      </c>
      <c r="G1315" s="2" t="s">
        <v>33</v>
      </c>
      <c r="H1315" s="2" t="s">
        <v>34</v>
      </c>
      <c r="I1315" s="2" t="s">
        <v>35</v>
      </c>
      <c r="J1315" s="2" t="s">
        <v>2402</v>
      </c>
      <c r="K1315" s="2" t="s">
        <v>1684</v>
      </c>
      <c r="L1315">
        <v>2</v>
      </c>
      <c r="M1315" s="1">
        <v>556000</v>
      </c>
      <c r="N1315">
        <v>4.8</v>
      </c>
      <c r="O1315">
        <v>7</v>
      </c>
      <c r="P1315" s="2" t="s">
        <v>53</v>
      </c>
    </row>
    <row r="1316" spans="1:16" x14ac:dyDescent="0.25">
      <c r="A1316" s="2" t="s">
        <v>5103</v>
      </c>
      <c r="B1316" s="2" t="s">
        <v>5104</v>
      </c>
      <c r="C1316" s="2" t="s">
        <v>18</v>
      </c>
      <c r="D1316" s="2" t="s">
        <v>30</v>
      </c>
      <c r="E1316" s="2" t="s">
        <v>20</v>
      </c>
      <c r="F1316" s="2" t="s">
        <v>39</v>
      </c>
      <c r="G1316" s="2" t="s">
        <v>22</v>
      </c>
      <c r="H1316" s="2" t="s">
        <v>34</v>
      </c>
      <c r="I1316" s="2" t="s">
        <v>35</v>
      </c>
      <c r="J1316" s="2" t="s">
        <v>2285</v>
      </c>
      <c r="K1316" s="2" t="s">
        <v>1375</v>
      </c>
      <c r="L1316">
        <v>2</v>
      </c>
      <c r="M1316" s="1">
        <v>169000</v>
      </c>
      <c r="N1316">
        <v>2.8</v>
      </c>
      <c r="O1316">
        <v>7</v>
      </c>
      <c r="P1316" s="2" t="s">
        <v>26</v>
      </c>
    </row>
    <row r="1317" spans="1:16" x14ac:dyDescent="0.25">
      <c r="A1317" s="2" t="s">
        <v>5105</v>
      </c>
      <c r="B1317" s="2" t="s">
        <v>5106</v>
      </c>
      <c r="C1317" s="2" t="s">
        <v>18</v>
      </c>
      <c r="D1317" s="2" t="s">
        <v>79</v>
      </c>
      <c r="E1317" s="2" t="s">
        <v>20</v>
      </c>
      <c r="F1317" s="2" t="s">
        <v>128</v>
      </c>
      <c r="G1317" s="2" t="s">
        <v>22</v>
      </c>
      <c r="H1317" s="2" t="s">
        <v>34</v>
      </c>
      <c r="I1317" s="2" t="s">
        <v>75</v>
      </c>
      <c r="J1317" s="2" t="s">
        <v>5107</v>
      </c>
      <c r="K1317" s="2" t="s">
        <v>1375</v>
      </c>
      <c r="L1317">
        <v>5</v>
      </c>
      <c r="M1317" s="1">
        <v>369000</v>
      </c>
      <c r="N1317">
        <v>4.7</v>
      </c>
      <c r="O1317">
        <v>7</v>
      </c>
      <c r="P1317" s="2" t="s">
        <v>53</v>
      </c>
    </row>
    <row r="1318" spans="1:16" x14ac:dyDescent="0.25">
      <c r="A1318" s="2" t="s">
        <v>5108</v>
      </c>
      <c r="B1318" s="2" t="s">
        <v>5109</v>
      </c>
      <c r="C1318" s="2" t="s">
        <v>29</v>
      </c>
      <c r="D1318" s="2" t="s">
        <v>19</v>
      </c>
      <c r="E1318" s="2" t="s">
        <v>44</v>
      </c>
      <c r="F1318" s="2" t="s">
        <v>32</v>
      </c>
      <c r="G1318" s="2" t="s">
        <v>69</v>
      </c>
      <c r="H1318" s="2" t="s">
        <v>23</v>
      </c>
      <c r="I1318" s="2" t="s">
        <v>57</v>
      </c>
      <c r="J1318" s="2" t="s">
        <v>5110</v>
      </c>
      <c r="K1318" s="2" t="s">
        <v>560</v>
      </c>
      <c r="L1318">
        <v>5</v>
      </c>
      <c r="M1318" s="1">
        <v>385000</v>
      </c>
      <c r="N1318">
        <v>4.9000000000000004</v>
      </c>
      <c r="O1318">
        <v>21</v>
      </c>
      <c r="P1318" s="2" t="s">
        <v>26</v>
      </c>
    </row>
    <row r="1319" spans="1:16" x14ac:dyDescent="0.25">
      <c r="A1319" s="2" t="s">
        <v>5113</v>
      </c>
      <c r="B1319" s="2" t="s">
        <v>2090</v>
      </c>
      <c r="C1319" s="2" t="s">
        <v>29</v>
      </c>
      <c r="D1319" s="2" t="s">
        <v>50</v>
      </c>
      <c r="E1319" s="2" t="s">
        <v>20</v>
      </c>
      <c r="F1319" s="2" t="s">
        <v>32</v>
      </c>
      <c r="G1319" s="2" t="s">
        <v>22</v>
      </c>
      <c r="H1319" s="2" t="s">
        <v>46</v>
      </c>
      <c r="I1319" s="2" t="s">
        <v>24</v>
      </c>
      <c r="J1319" s="2" t="s">
        <v>1534</v>
      </c>
      <c r="K1319" s="2" t="s">
        <v>560</v>
      </c>
      <c r="L1319">
        <v>6</v>
      </c>
      <c r="M1319" s="1">
        <v>196000</v>
      </c>
      <c r="N1319">
        <v>4.2</v>
      </c>
      <c r="O1319">
        <v>6</v>
      </c>
      <c r="P1319" s="2" t="s">
        <v>26</v>
      </c>
    </row>
    <row r="1320" spans="1:16" x14ac:dyDescent="0.25">
      <c r="A1320" s="2" t="s">
        <v>5114</v>
      </c>
      <c r="B1320" s="2" t="s">
        <v>3924</v>
      </c>
      <c r="C1320" s="2" t="s">
        <v>18</v>
      </c>
      <c r="D1320" s="2" t="s">
        <v>79</v>
      </c>
      <c r="E1320" s="2" t="s">
        <v>20</v>
      </c>
      <c r="F1320" s="2" t="s">
        <v>32</v>
      </c>
      <c r="G1320" s="2" t="s">
        <v>22</v>
      </c>
      <c r="H1320" s="2" t="s">
        <v>23</v>
      </c>
      <c r="I1320" s="2" t="s">
        <v>35</v>
      </c>
      <c r="J1320" s="2" t="s">
        <v>5115</v>
      </c>
      <c r="K1320" s="2" t="s">
        <v>560</v>
      </c>
      <c r="L1320">
        <v>4</v>
      </c>
      <c r="M1320" s="1">
        <v>331000</v>
      </c>
      <c r="N1320">
        <v>3.2</v>
      </c>
      <c r="O1320">
        <v>12</v>
      </c>
      <c r="P1320" s="2" t="s">
        <v>26</v>
      </c>
    </row>
    <row r="1321" spans="1:16" x14ac:dyDescent="0.25">
      <c r="A1321" s="2" t="s">
        <v>5118</v>
      </c>
      <c r="B1321" s="2" t="s">
        <v>5100</v>
      </c>
      <c r="C1321" s="2" t="s">
        <v>29</v>
      </c>
      <c r="D1321" s="2" t="s">
        <v>50</v>
      </c>
      <c r="E1321" s="2" t="s">
        <v>20</v>
      </c>
      <c r="F1321" s="2" t="s">
        <v>32</v>
      </c>
      <c r="G1321" s="2" t="s">
        <v>69</v>
      </c>
      <c r="H1321" s="2" t="s">
        <v>34</v>
      </c>
      <c r="I1321" s="2" t="s">
        <v>24</v>
      </c>
      <c r="J1321" s="2" t="s">
        <v>4729</v>
      </c>
      <c r="K1321" s="2" t="s">
        <v>560</v>
      </c>
      <c r="L1321">
        <v>3</v>
      </c>
      <c r="M1321" s="1">
        <v>276000</v>
      </c>
      <c r="N1321">
        <v>4.5999999999999996</v>
      </c>
      <c r="O1321">
        <v>6</v>
      </c>
      <c r="P1321" s="2" t="s">
        <v>26</v>
      </c>
    </row>
    <row r="1322" spans="1:16" x14ac:dyDescent="0.25">
      <c r="A1322" s="2" t="s">
        <v>5119</v>
      </c>
      <c r="B1322" s="2" t="s">
        <v>3083</v>
      </c>
      <c r="C1322" s="2" t="s">
        <v>18</v>
      </c>
      <c r="D1322" s="2" t="s">
        <v>79</v>
      </c>
      <c r="E1322" s="2" t="s">
        <v>20</v>
      </c>
      <c r="F1322" s="2" t="s">
        <v>39</v>
      </c>
      <c r="G1322" s="2" t="s">
        <v>22</v>
      </c>
      <c r="H1322" s="2" t="s">
        <v>46</v>
      </c>
      <c r="I1322" s="2" t="s">
        <v>35</v>
      </c>
      <c r="J1322" s="2" t="s">
        <v>263</v>
      </c>
      <c r="K1322" s="2" t="s">
        <v>560</v>
      </c>
      <c r="L1322">
        <v>5</v>
      </c>
      <c r="M1322" s="1">
        <v>178000</v>
      </c>
      <c r="N1322">
        <v>4</v>
      </c>
      <c r="O1322">
        <v>13</v>
      </c>
      <c r="P1322" s="2" t="s">
        <v>26</v>
      </c>
    </row>
    <row r="1323" spans="1:16" x14ac:dyDescent="0.25">
      <c r="A1323" s="2" t="s">
        <v>5120</v>
      </c>
      <c r="B1323" s="2" t="s">
        <v>2131</v>
      </c>
      <c r="C1323" s="2" t="s">
        <v>29</v>
      </c>
      <c r="D1323" s="2" t="s">
        <v>79</v>
      </c>
      <c r="E1323" s="2" t="s">
        <v>31</v>
      </c>
      <c r="F1323" s="2" t="s">
        <v>128</v>
      </c>
      <c r="G1323" s="2" t="s">
        <v>22</v>
      </c>
      <c r="H1323" s="2" t="s">
        <v>34</v>
      </c>
      <c r="I1323" s="2" t="s">
        <v>24</v>
      </c>
      <c r="J1323" s="2" t="s">
        <v>1834</v>
      </c>
      <c r="K1323" s="2" t="s">
        <v>560</v>
      </c>
      <c r="L1323">
        <v>2</v>
      </c>
      <c r="M1323" s="1">
        <v>545000</v>
      </c>
      <c r="N1323">
        <v>3.4</v>
      </c>
      <c r="O1323">
        <v>10</v>
      </c>
      <c r="P1323" s="2" t="s">
        <v>26</v>
      </c>
    </row>
    <row r="1324" spans="1:16" x14ac:dyDescent="0.25">
      <c r="A1324" s="2" t="s">
        <v>5121</v>
      </c>
      <c r="B1324" s="2" t="s">
        <v>5122</v>
      </c>
      <c r="C1324" s="2" t="s">
        <v>18</v>
      </c>
      <c r="D1324" s="2" t="s">
        <v>50</v>
      </c>
      <c r="E1324" s="2" t="s">
        <v>20</v>
      </c>
      <c r="F1324" s="2" t="s">
        <v>32</v>
      </c>
      <c r="G1324" s="2" t="s">
        <v>22</v>
      </c>
      <c r="H1324" s="2" t="s">
        <v>23</v>
      </c>
      <c r="I1324" s="2" t="s">
        <v>75</v>
      </c>
      <c r="J1324" s="2" t="s">
        <v>5123</v>
      </c>
      <c r="K1324" s="2" t="s">
        <v>560</v>
      </c>
      <c r="L1324">
        <v>3</v>
      </c>
      <c r="M1324" s="1">
        <v>264000</v>
      </c>
      <c r="N1324">
        <v>2.2000000000000002</v>
      </c>
      <c r="O1324">
        <v>7</v>
      </c>
      <c r="P1324" s="2" t="s">
        <v>72</v>
      </c>
    </row>
    <row r="1325" spans="1:16" x14ac:dyDescent="0.25">
      <c r="A1325" s="2" t="s">
        <v>5126</v>
      </c>
      <c r="B1325" s="2" t="s">
        <v>3781</v>
      </c>
      <c r="C1325" s="2" t="s">
        <v>18</v>
      </c>
      <c r="D1325" s="2" t="s">
        <v>43</v>
      </c>
      <c r="E1325" s="2" t="s">
        <v>20</v>
      </c>
      <c r="F1325" s="2" t="s">
        <v>39</v>
      </c>
      <c r="G1325" s="2" t="s">
        <v>80</v>
      </c>
      <c r="H1325" s="2" t="s">
        <v>46</v>
      </c>
      <c r="I1325" s="2" t="s">
        <v>24</v>
      </c>
      <c r="J1325" s="2" t="s">
        <v>4151</v>
      </c>
      <c r="K1325" s="2" t="s">
        <v>2807</v>
      </c>
      <c r="L1325">
        <v>5</v>
      </c>
      <c r="M1325" s="1">
        <v>130000</v>
      </c>
      <c r="N1325">
        <v>4.0999999999999996</v>
      </c>
      <c r="O1325">
        <v>4</v>
      </c>
      <c r="P1325" s="2" t="s">
        <v>26</v>
      </c>
    </row>
    <row r="1326" spans="1:16" x14ac:dyDescent="0.25">
      <c r="A1326" s="2" t="s">
        <v>5127</v>
      </c>
      <c r="B1326" s="2" t="s">
        <v>3916</v>
      </c>
      <c r="C1326" s="2" t="s">
        <v>18</v>
      </c>
      <c r="D1326" s="2" t="s">
        <v>19</v>
      </c>
      <c r="E1326" s="2" t="s">
        <v>20</v>
      </c>
      <c r="F1326" s="2" t="s">
        <v>21</v>
      </c>
      <c r="G1326" s="2" t="s">
        <v>80</v>
      </c>
      <c r="H1326" s="2" t="s">
        <v>34</v>
      </c>
      <c r="I1326" s="2" t="s">
        <v>35</v>
      </c>
      <c r="J1326" s="2" t="s">
        <v>5128</v>
      </c>
      <c r="K1326" s="2" t="s">
        <v>2807</v>
      </c>
      <c r="L1326">
        <v>6</v>
      </c>
      <c r="M1326" s="1">
        <v>1045000</v>
      </c>
      <c r="N1326">
        <v>4</v>
      </c>
      <c r="O1326">
        <v>30</v>
      </c>
      <c r="P1326" s="2" t="s">
        <v>53</v>
      </c>
    </row>
    <row r="1327" spans="1:16" x14ac:dyDescent="0.25">
      <c r="A1327" s="2" t="s">
        <v>5129</v>
      </c>
      <c r="B1327" s="2" t="s">
        <v>5130</v>
      </c>
      <c r="C1327" s="2" t="s">
        <v>29</v>
      </c>
      <c r="D1327" s="2" t="s">
        <v>79</v>
      </c>
      <c r="E1327" s="2" t="s">
        <v>20</v>
      </c>
      <c r="F1327" s="2" t="s">
        <v>128</v>
      </c>
      <c r="G1327" s="2" t="s">
        <v>33</v>
      </c>
      <c r="H1327" s="2" t="s">
        <v>34</v>
      </c>
      <c r="I1327" s="2" t="s">
        <v>24</v>
      </c>
      <c r="J1327" s="2" t="s">
        <v>4249</v>
      </c>
      <c r="K1327" s="2" t="s">
        <v>5138</v>
      </c>
      <c r="L1327">
        <v>6</v>
      </c>
      <c r="M1327" s="1">
        <v>479000</v>
      </c>
      <c r="N1327">
        <v>2.5</v>
      </c>
      <c r="O1327">
        <v>4</v>
      </c>
      <c r="P1327" s="2" t="s">
        <v>26</v>
      </c>
    </row>
    <row r="1328" spans="1:16" x14ac:dyDescent="0.25">
      <c r="A1328" s="2" t="s">
        <v>5135</v>
      </c>
      <c r="B1328" s="2" t="s">
        <v>5136</v>
      </c>
      <c r="C1328" s="2" t="s">
        <v>29</v>
      </c>
      <c r="D1328" s="2" t="s">
        <v>50</v>
      </c>
      <c r="E1328" s="2" t="s">
        <v>20</v>
      </c>
      <c r="F1328" s="2" t="s">
        <v>128</v>
      </c>
      <c r="G1328" s="2" t="s">
        <v>22</v>
      </c>
      <c r="H1328" s="2" t="s">
        <v>62</v>
      </c>
      <c r="I1328" s="2" t="s">
        <v>57</v>
      </c>
      <c r="J1328" s="2" t="s">
        <v>5137</v>
      </c>
      <c r="K1328" s="2" t="s">
        <v>5138</v>
      </c>
      <c r="L1328">
        <v>7</v>
      </c>
      <c r="M1328" s="1">
        <v>514000</v>
      </c>
      <c r="N1328">
        <v>3</v>
      </c>
      <c r="O1328">
        <v>0</v>
      </c>
      <c r="P1328" s="2" t="s">
        <v>53</v>
      </c>
    </row>
    <row r="1329" spans="1:16" x14ac:dyDescent="0.25">
      <c r="A1329" s="2" t="s">
        <v>5139</v>
      </c>
      <c r="B1329" s="2" t="s">
        <v>5140</v>
      </c>
      <c r="C1329" s="2" t="s">
        <v>18</v>
      </c>
      <c r="D1329" s="2" t="s">
        <v>30</v>
      </c>
      <c r="E1329" s="2" t="s">
        <v>44</v>
      </c>
      <c r="F1329" s="2" t="s">
        <v>128</v>
      </c>
      <c r="G1329" s="2" t="s">
        <v>69</v>
      </c>
      <c r="H1329" s="2" t="s">
        <v>23</v>
      </c>
      <c r="I1329" s="2" t="s">
        <v>24</v>
      </c>
      <c r="J1329" s="2" t="s">
        <v>2344</v>
      </c>
      <c r="K1329" s="2" t="s">
        <v>5143</v>
      </c>
      <c r="L1329">
        <v>3</v>
      </c>
      <c r="M1329" s="1">
        <v>532000</v>
      </c>
      <c r="N1329">
        <v>4.9000000000000004</v>
      </c>
      <c r="O1329">
        <v>2</v>
      </c>
      <c r="P1329" s="2" t="s">
        <v>26</v>
      </c>
    </row>
    <row r="1330" spans="1:16" x14ac:dyDescent="0.25">
      <c r="A1330" s="2" t="s">
        <v>5142</v>
      </c>
      <c r="B1330" s="2" t="s">
        <v>5059</v>
      </c>
      <c r="C1330" s="2" t="s">
        <v>29</v>
      </c>
      <c r="D1330" s="2" t="s">
        <v>19</v>
      </c>
      <c r="E1330" s="2" t="s">
        <v>20</v>
      </c>
      <c r="F1330" s="2" t="s">
        <v>21</v>
      </c>
      <c r="G1330" s="2" t="s">
        <v>22</v>
      </c>
      <c r="H1330" s="2" t="s">
        <v>23</v>
      </c>
      <c r="I1330" s="2" t="s">
        <v>24</v>
      </c>
      <c r="J1330" s="2" t="s">
        <v>1763</v>
      </c>
      <c r="K1330" s="2" t="s">
        <v>5143</v>
      </c>
      <c r="L1330">
        <v>3</v>
      </c>
      <c r="M1330" s="1">
        <v>838000</v>
      </c>
      <c r="N1330">
        <v>3.2</v>
      </c>
      <c r="O1330">
        <v>5</v>
      </c>
      <c r="P1330" s="2" t="s">
        <v>53</v>
      </c>
    </row>
    <row r="1331" spans="1:16" x14ac:dyDescent="0.25">
      <c r="A1331" s="2" t="s">
        <v>5145</v>
      </c>
      <c r="B1331" s="2" t="s">
        <v>5146</v>
      </c>
      <c r="C1331" s="2" t="s">
        <v>18</v>
      </c>
      <c r="D1331" s="2" t="s">
        <v>19</v>
      </c>
      <c r="E1331" s="2" t="s">
        <v>31</v>
      </c>
      <c r="F1331" s="2" t="s">
        <v>39</v>
      </c>
      <c r="G1331" s="2" t="s">
        <v>22</v>
      </c>
      <c r="H1331" s="2" t="s">
        <v>34</v>
      </c>
      <c r="I1331" s="2" t="s">
        <v>24</v>
      </c>
      <c r="J1331" s="2" t="s">
        <v>920</v>
      </c>
      <c r="K1331" s="2" t="s">
        <v>1545</v>
      </c>
      <c r="L1331">
        <v>5</v>
      </c>
      <c r="M1331" s="1">
        <v>198000</v>
      </c>
      <c r="N1331">
        <v>2.7</v>
      </c>
      <c r="O1331">
        <v>0</v>
      </c>
      <c r="P1331" s="2" t="s">
        <v>114</v>
      </c>
    </row>
    <row r="1332" spans="1:16" x14ac:dyDescent="0.25">
      <c r="A1332" s="2" t="s">
        <v>5147</v>
      </c>
      <c r="B1332" s="2" t="s">
        <v>5148</v>
      </c>
      <c r="C1332" s="2" t="s">
        <v>29</v>
      </c>
      <c r="D1332" s="2" t="s">
        <v>19</v>
      </c>
      <c r="E1332" s="2" t="s">
        <v>20</v>
      </c>
      <c r="F1332" s="2" t="s">
        <v>39</v>
      </c>
      <c r="G1332" s="2" t="s">
        <v>80</v>
      </c>
      <c r="H1332" s="2" t="s">
        <v>23</v>
      </c>
      <c r="I1332" s="2" t="s">
        <v>35</v>
      </c>
      <c r="J1332" s="2" t="s">
        <v>2375</v>
      </c>
      <c r="K1332" s="2" t="s">
        <v>1690</v>
      </c>
      <c r="L1332">
        <v>4</v>
      </c>
      <c r="M1332" s="1">
        <v>176000</v>
      </c>
      <c r="N1332">
        <v>3.8</v>
      </c>
      <c r="O1332">
        <v>1</v>
      </c>
      <c r="P1332" s="2" t="s">
        <v>26</v>
      </c>
    </row>
    <row r="1333" spans="1:16" x14ac:dyDescent="0.25">
      <c r="A1333" s="2" t="s">
        <v>5156</v>
      </c>
      <c r="B1333" s="2" t="s">
        <v>5157</v>
      </c>
      <c r="C1333" s="2" t="s">
        <v>29</v>
      </c>
      <c r="D1333" s="2" t="s">
        <v>30</v>
      </c>
      <c r="E1333" s="2" t="s">
        <v>20</v>
      </c>
      <c r="F1333" s="2" t="s">
        <v>128</v>
      </c>
      <c r="G1333" s="2" t="s">
        <v>69</v>
      </c>
      <c r="H1333" s="2" t="s">
        <v>23</v>
      </c>
      <c r="I1333" s="2" t="s">
        <v>35</v>
      </c>
      <c r="J1333" s="2" t="s">
        <v>1571</v>
      </c>
      <c r="K1333" s="2" t="s">
        <v>1690</v>
      </c>
      <c r="L1333">
        <v>4</v>
      </c>
      <c r="M1333" s="1">
        <v>545000</v>
      </c>
      <c r="N1333">
        <v>2.2999999999999998</v>
      </c>
      <c r="O1333">
        <v>35</v>
      </c>
      <c r="P1333" s="2" t="s">
        <v>114</v>
      </c>
    </row>
    <row r="1334" spans="1:16" x14ac:dyDescent="0.25">
      <c r="A1334" s="2" t="s">
        <v>5168</v>
      </c>
      <c r="B1334" s="2" t="s">
        <v>5169</v>
      </c>
      <c r="C1334" s="2" t="s">
        <v>29</v>
      </c>
      <c r="D1334" s="2" t="s">
        <v>43</v>
      </c>
      <c r="E1334" s="2" t="s">
        <v>20</v>
      </c>
      <c r="F1334" s="2" t="s">
        <v>32</v>
      </c>
      <c r="G1334" s="2" t="s">
        <v>80</v>
      </c>
      <c r="H1334" s="2" t="s">
        <v>34</v>
      </c>
      <c r="I1334" s="2" t="s">
        <v>24</v>
      </c>
      <c r="J1334" s="2" t="s">
        <v>5170</v>
      </c>
      <c r="K1334" s="2" t="s">
        <v>47</v>
      </c>
      <c r="L1334">
        <v>5</v>
      </c>
      <c r="M1334" s="1">
        <v>296000</v>
      </c>
      <c r="N1334">
        <v>4.8</v>
      </c>
      <c r="O1334">
        <v>1</v>
      </c>
      <c r="P1334" s="2" t="s">
        <v>26</v>
      </c>
    </row>
    <row r="1335" spans="1:16" x14ac:dyDescent="0.25">
      <c r="A1335" s="2" t="s">
        <v>5171</v>
      </c>
      <c r="B1335" s="2" t="s">
        <v>886</v>
      </c>
      <c r="C1335" s="2" t="s">
        <v>18</v>
      </c>
      <c r="D1335" s="2" t="s">
        <v>30</v>
      </c>
      <c r="E1335" s="2" t="s">
        <v>20</v>
      </c>
      <c r="F1335" s="2" t="s">
        <v>39</v>
      </c>
      <c r="G1335" s="2" t="s">
        <v>80</v>
      </c>
      <c r="H1335" s="2" t="s">
        <v>23</v>
      </c>
      <c r="I1335" s="2" t="s">
        <v>35</v>
      </c>
      <c r="J1335" s="2" t="s">
        <v>2487</v>
      </c>
      <c r="K1335" s="2" t="s">
        <v>47</v>
      </c>
      <c r="L1335">
        <v>2</v>
      </c>
      <c r="M1335" s="1">
        <v>139000</v>
      </c>
      <c r="N1335">
        <v>1.6</v>
      </c>
      <c r="O1335">
        <v>13</v>
      </c>
      <c r="P1335" s="2" t="s">
        <v>26</v>
      </c>
    </row>
    <row r="1336" spans="1:16" x14ac:dyDescent="0.25">
      <c r="A1336" s="2" t="s">
        <v>1870</v>
      </c>
      <c r="B1336" s="2" t="s">
        <v>1871</v>
      </c>
      <c r="C1336" s="2" t="s">
        <v>18</v>
      </c>
      <c r="D1336" s="2" t="s">
        <v>43</v>
      </c>
      <c r="E1336" s="2" t="s">
        <v>20</v>
      </c>
      <c r="F1336" s="2" t="s">
        <v>21</v>
      </c>
      <c r="G1336" s="2" t="s">
        <v>80</v>
      </c>
      <c r="H1336" s="2" t="s">
        <v>34</v>
      </c>
      <c r="I1336" s="2" t="s">
        <v>57</v>
      </c>
      <c r="J1336" s="2" t="s">
        <v>1044</v>
      </c>
      <c r="K1336" s="2" t="s">
        <v>47</v>
      </c>
      <c r="L1336">
        <v>6</v>
      </c>
      <c r="M1336" s="1">
        <v>600000</v>
      </c>
      <c r="N1336">
        <v>3.9</v>
      </c>
      <c r="O1336">
        <v>11</v>
      </c>
      <c r="P1336" s="2" t="s">
        <v>26</v>
      </c>
    </row>
    <row r="1337" spans="1:16" x14ac:dyDescent="0.25">
      <c r="A1337" s="2" t="s">
        <v>5174</v>
      </c>
      <c r="B1337" s="2" t="s">
        <v>4418</v>
      </c>
      <c r="C1337" s="2" t="s">
        <v>18</v>
      </c>
      <c r="D1337" s="2" t="s">
        <v>79</v>
      </c>
      <c r="E1337" s="2" t="s">
        <v>44</v>
      </c>
      <c r="F1337" s="2" t="s">
        <v>128</v>
      </c>
      <c r="G1337" s="2" t="s">
        <v>80</v>
      </c>
      <c r="H1337" s="2" t="s">
        <v>46</v>
      </c>
      <c r="I1337" s="2" t="s">
        <v>75</v>
      </c>
      <c r="J1337" s="2" t="s">
        <v>5175</v>
      </c>
      <c r="K1337" s="2" t="s">
        <v>47</v>
      </c>
      <c r="L1337">
        <v>4</v>
      </c>
      <c r="M1337" s="1">
        <v>498000</v>
      </c>
      <c r="N1337">
        <v>2.2000000000000002</v>
      </c>
      <c r="O1337">
        <v>11</v>
      </c>
      <c r="P1337" s="2" t="s">
        <v>26</v>
      </c>
    </row>
    <row r="1338" spans="1:16" x14ac:dyDescent="0.25">
      <c r="A1338" s="2" t="s">
        <v>5177</v>
      </c>
      <c r="B1338" s="2" t="s">
        <v>5178</v>
      </c>
      <c r="C1338" s="2" t="s">
        <v>18</v>
      </c>
      <c r="D1338" s="2" t="s">
        <v>43</v>
      </c>
      <c r="E1338" s="2" t="s">
        <v>31</v>
      </c>
      <c r="F1338" s="2" t="s">
        <v>45</v>
      </c>
      <c r="G1338" s="2" t="s">
        <v>33</v>
      </c>
      <c r="H1338" s="2" t="s">
        <v>34</v>
      </c>
      <c r="I1338" s="2" t="s">
        <v>24</v>
      </c>
      <c r="J1338" s="2" t="s">
        <v>863</v>
      </c>
      <c r="K1338" s="2" t="s">
        <v>47</v>
      </c>
      <c r="L1338">
        <v>6</v>
      </c>
      <c r="M1338" s="1">
        <v>1346000</v>
      </c>
      <c r="N1338">
        <v>3.1</v>
      </c>
      <c r="O1338">
        <v>11</v>
      </c>
      <c r="P1338" s="2" t="s">
        <v>72</v>
      </c>
    </row>
    <row r="1339" spans="1:16" x14ac:dyDescent="0.25">
      <c r="A1339" s="2" t="s">
        <v>5179</v>
      </c>
      <c r="B1339" s="2" t="s">
        <v>3939</v>
      </c>
      <c r="C1339" s="2" t="s">
        <v>18</v>
      </c>
      <c r="D1339" s="2" t="s">
        <v>50</v>
      </c>
      <c r="E1339" s="2" t="s">
        <v>20</v>
      </c>
      <c r="F1339" s="2" t="s">
        <v>39</v>
      </c>
      <c r="G1339" s="2" t="s">
        <v>22</v>
      </c>
      <c r="H1339" s="2" t="s">
        <v>23</v>
      </c>
      <c r="I1339" s="2" t="s">
        <v>57</v>
      </c>
      <c r="J1339" s="2" t="s">
        <v>5067</v>
      </c>
      <c r="K1339" s="2" t="s">
        <v>2135</v>
      </c>
      <c r="L1339">
        <v>6</v>
      </c>
      <c r="M1339" s="1">
        <v>116000</v>
      </c>
      <c r="N1339">
        <v>3.7</v>
      </c>
      <c r="O1339">
        <v>4</v>
      </c>
      <c r="P1339" s="2" t="s">
        <v>53</v>
      </c>
    </row>
    <row r="1340" spans="1:16" x14ac:dyDescent="0.25">
      <c r="A1340" s="2" t="s">
        <v>5184</v>
      </c>
      <c r="B1340" s="2" t="s">
        <v>3586</v>
      </c>
      <c r="C1340" s="2" t="s">
        <v>18</v>
      </c>
      <c r="D1340" s="2" t="s">
        <v>30</v>
      </c>
      <c r="E1340" s="2" t="s">
        <v>20</v>
      </c>
      <c r="F1340" s="2" t="s">
        <v>32</v>
      </c>
      <c r="G1340" s="2" t="s">
        <v>80</v>
      </c>
      <c r="H1340" s="2" t="s">
        <v>34</v>
      </c>
      <c r="I1340" s="2" t="s">
        <v>57</v>
      </c>
      <c r="J1340" s="2" t="s">
        <v>2031</v>
      </c>
      <c r="K1340" s="2" t="s">
        <v>2941</v>
      </c>
      <c r="L1340">
        <v>5</v>
      </c>
      <c r="M1340" s="1">
        <v>315000</v>
      </c>
      <c r="N1340">
        <v>3</v>
      </c>
      <c r="O1340">
        <v>14</v>
      </c>
      <c r="P1340" s="2" t="s">
        <v>53</v>
      </c>
    </row>
    <row r="1341" spans="1:16" x14ac:dyDescent="0.25">
      <c r="A1341" s="2" t="s">
        <v>5185</v>
      </c>
      <c r="B1341" s="2" t="s">
        <v>5186</v>
      </c>
      <c r="C1341" s="2" t="s">
        <v>29</v>
      </c>
      <c r="D1341" s="2" t="s">
        <v>30</v>
      </c>
      <c r="E1341" s="2" t="s">
        <v>44</v>
      </c>
      <c r="F1341" s="2" t="s">
        <v>39</v>
      </c>
      <c r="G1341" s="2" t="s">
        <v>22</v>
      </c>
      <c r="H1341" s="2" t="s">
        <v>34</v>
      </c>
      <c r="I1341" s="2" t="s">
        <v>35</v>
      </c>
      <c r="J1341" s="2" t="s">
        <v>3179</v>
      </c>
      <c r="K1341" s="2" t="s">
        <v>5187</v>
      </c>
      <c r="L1341">
        <v>7</v>
      </c>
      <c r="M1341" s="1">
        <v>137000</v>
      </c>
      <c r="N1341">
        <v>2.2999999999999998</v>
      </c>
      <c r="O1341">
        <v>11</v>
      </c>
      <c r="P1341" s="2" t="s">
        <v>53</v>
      </c>
    </row>
    <row r="1342" spans="1:16" x14ac:dyDescent="0.25">
      <c r="A1342" s="2" t="s">
        <v>5188</v>
      </c>
      <c r="B1342" s="2" t="s">
        <v>2677</v>
      </c>
      <c r="C1342" s="2" t="s">
        <v>18</v>
      </c>
      <c r="D1342" s="2" t="s">
        <v>50</v>
      </c>
      <c r="E1342" s="2" t="s">
        <v>44</v>
      </c>
      <c r="F1342" s="2" t="s">
        <v>128</v>
      </c>
      <c r="G1342" s="2" t="s">
        <v>80</v>
      </c>
      <c r="H1342" s="2" t="s">
        <v>34</v>
      </c>
      <c r="I1342" s="2" t="s">
        <v>35</v>
      </c>
      <c r="J1342" s="2" t="s">
        <v>5189</v>
      </c>
      <c r="K1342" s="2" t="s">
        <v>1210</v>
      </c>
      <c r="L1342">
        <v>4</v>
      </c>
      <c r="M1342" s="1">
        <v>393000</v>
      </c>
      <c r="N1342">
        <v>3.8</v>
      </c>
      <c r="O1342">
        <v>0</v>
      </c>
      <c r="P1342" s="2" t="s">
        <v>53</v>
      </c>
    </row>
    <row r="1343" spans="1:16" x14ac:dyDescent="0.25">
      <c r="A1343" s="2" t="s">
        <v>5190</v>
      </c>
      <c r="B1343" s="2" t="s">
        <v>3583</v>
      </c>
      <c r="C1343" s="2" t="s">
        <v>29</v>
      </c>
      <c r="D1343" s="2" t="s">
        <v>30</v>
      </c>
      <c r="E1343" s="2" t="s">
        <v>20</v>
      </c>
      <c r="F1343" s="2" t="s">
        <v>32</v>
      </c>
      <c r="G1343" s="2" t="s">
        <v>33</v>
      </c>
      <c r="H1343" s="2" t="s">
        <v>23</v>
      </c>
      <c r="I1343" s="2" t="s">
        <v>35</v>
      </c>
      <c r="J1343" s="2" t="s">
        <v>2997</v>
      </c>
      <c r="K1343" s="2" t="s">
        <v>5195</v>
      </c>
      <c r="L1343">
        <v>3</v>
      </c>
      <c r="M1343" s="1">
        <v>235000</v>
      </c>
      <c r="N1343">
        <v>2.4</v>
      </c>
      <c r="O1343">
        <v>8</v>
      </c>
      <c r="P1343" s="2" t="s">
        <v>26</v>
      </c>
    </row>
    <row r="1344" spans="1:16" x14ac:dyDescent="0.25">
      <c r="A1344" s="2" t="s">
        <v>5193</v>
      </c>
      <c r="B1344" s="2" t="s">
        <v>5194</v>
      </c>
      <c r="C1344" s="2" t="s">
        <v>18</v>
      </c>
      <c r="D1344" s="2" t="s">
        <v>30</v>
      </c>
      <c r="E1344" s="2" t="s">
        <v>20</v>
      </c>
      <c r="F1344" s="2" t="s">
        <v>39</v>
      </c>
      <c r="G1344" s="2" t="s">
        <v>22</v>
      </c>
      <c r="H1344" s="2" t="s">
        <v>23</v>
      </c>
      <c r="I1344" s="2" t="s">
        <v>57</v>
      </c>
      <c r="J1344" s="2" t="s">
        <v>1273</v>
      </c>
      <c r="K1344" s="2" t="s">
        <v>5195</v>
      </c>
      <c r="L1344">
        <v>2</v>
      </c>
      <c r="M1344" s="1">
        <v>177000</v>
      </c>
      <c r="N1344">
        <v>2.2000000000000002</v>
      </c>
      <c r="O1344">
        <v>4</v>
      </c>
      <c r="P1344" s="2" t="s">
        <v>53</v>
      </c>
    </row>
    <row r="1345" spans="1:16" x14ac:dyDescent="0.25">
      <c r="A1345" s="2" t="s">
        <v>5196</v>
      </c>
      <c r="B1345" s="2" t="s">
        <v>4110</v>
      </c>
      <c r="C1345" s="2" t="s">
        <v>18</v>
      </c>
      <c r="D1345" s="2" t="s">
        <v>50</v>
      </c>
      <c r="E1345" s="2" t="s">
        <v>20</v>
      </c>
      <c r="F1345" s="2" t="s">
        <v>32</v>
      </c>
      <c r="G1345" s="2" t="s">
        <v>22</v>
      </c>
      <c r="H1345" s="2" t="s">
        <v>62</v>
      </c>
      <c r="I1345" s="2" t="s">
        <v>24</v>
      </c>
      <c r="J1345" s="2" t="s">
        <v>2914</v>
      </c>
      <c r="K1345" s="2" t="s">
        <v>2223</v>
      </c>
      <c r="L1345">
        <v>3</v>
      </c>
      <c r="M1345" s="1">
        <v>324000</v>
      </c>
      <c r="N1345">
        <v>2.1</v>
      </c>
      <c r="O1345">
        <v>40</v>
      </c>
      <c r="P1345" s="2" t="s">
        <v>26</v>
      </c>
    </row>
    <row r="1346" spans="1:16" x14ac:dyDescent="0.25">
      <c r="A1346" s="2" t="s">
        <v>5197</v>
      </c>
      <c r="B1346" s="2" t="s">
        <v>5198</v>
      </c>
      <c r="C1346" s="2" t="s">
        <v>29</v>
      </c>
      <c r="D1346" s="2" t="s">
        <v>50</v>
      </c>
      <c r="E1346" s="2" t="s">
        <v>31</v>
      </c>
      <c r="F1346" s="2" t="s">
        <v>39</v>
      </c>
      <c r="G1346" s="2" t="s">
        <v>22</v>
      </c>
      <c r="H1346" s="2" t="s">
        <v>46</v>
      </c>
      <c r="I1346" s="2" t="s">
        <v>24</v>
      </c>
      <c r="J1346" s="2" t="s">
        <v>564</v>
      </c>
      <c r="K1346" s="2" t="s">
        <v>2223</v>
      </c>
      <c r="L1346">
        <v>7</v>
      </c>
      <c r="M1346" s="1">
        <v>114000</v>
      </c>
      <c r="N1346">
        <v>2.2999999999999998</v>
      </c>
      <c r="O1346">
        <v>7</v>
      </c>
      <c r="P1346" s="2" t="s">
        <v>53</v>
      </c>
    </row>
    <row r="1347" spans="1:16" x14ac:dyDescent="0.25">
      <c r="A1347" s="2" t="s">
        <v>5201</v>
      </c>
      <c r="B1347" s="2" t="s">
        <v>5202</v>
      </c>
      <c r="C1347" s="2" t="s">
        <v>29</v>
      </c>
      <c r="D1347" s="2" t="s">
        <v>43</v>
      </c>
      <c r="E1347" s="2" t="s">
        <v>20</v>
      </c>
      <c r="F1347" s="2" t="s">
        <v>128</v>
      </c>
      <c r="G1347" s="2" t="s">
        <v>69</v>
      </c>
      <c r="H1347" s="2" t="s">
        <v>23</v>
      </c>
      <c r="I1347" s="2" t="s">
        <v>24</v>
      </c>
      <c r="J1347" s="2" t="s">
        <v>5203</v>
      </c>
      <c r="K1347" s="2" t="s">
        <v>5219</v>
      </c>
      <c r="L1347">
        <v>5</v>
      </c>
      <c r="M1347" s="1">
        <v>407000</v>
      </c>
      <c r="N1347">
        <v>2.9</v>
      </c>
      <c r="O1347">
        <v>11</v>
      </c>
      <c r="P1347" s="2" t="s">
        <v>26</v>
      </c>
    </row>
    <row r="1348" spans="1:16" x14ac:dyDescent="0.25">
      <c r="A1348" s="2" t="s">
        <v>5204</v>
      </c>
      <c r="B1348" s="2" t="s">
        <v>5205</v>
      </c>
      <c r="C1348" s="2" t="s">
        <v>29</v>
      </c>
      <c r="D1348" s="2" t="s">
        <v>79</v>
      </c>
      <c r="E1348" s="2" t="s">
        <v>44</v>
      </c>
      <c r="F1348" s="2" t="s">
        <v>128</v>
      </c>
      <c r="G1348" s="2" t="s">
        <v>69</v>
      </c>
      <c r="H1348" s="2" t="s">
        <v>34</v>
      </c>
      <c r="I1348" s="2" t="s">
        <v>24</v>
      </c>
      <c r="J1348" s="2" t="s">
        <v>1330</v>
      </c>
      <c r="K1348" s="2" t="s">
        <v>5219</v>
      </c>
      <c r="L1348">
        <v>2</v>
      </c>
      <c r="M1348" s="1">
        <v>582000</v>
      </c>
      <c r="N1348">
        <v>4.4000000000000004</v>
      </c>
      <c r="O1348">
        <v>10</v>
      </c>
      <c r="P1348" s="2" t="s">
        <v>26</v>
      </c>
    </row>
    <row r="1349" spans="1:16" x14ac:dyDescent="0.25">
      <c r="A1349" s="2" t="s">
        <v>5214</v>
      </c>
      <c r="B1349" s="2" t="s">
        <v>4839</v>
      </c>
      <c r="C1349" s="2" t="s">
        <v>29</v>
      </c>
      <c r="D1349" s="2" t="s">
        <v>30</v>
      </c>
      <c r="E1349" s="2" t="s">
        <v>20</v>
      </c>
      <c r="F1349" s="2" t="s">
        <v>39</v>
      </c>
      <c r="G1349" s="2" t="s">
        <v>22</v>
      </c>
      <c r="H1349" s="2" t="s">
        <v>23</v>
      </c>
      <c r="I1349" s="2" t="s">
        <v>75</v>
      </c>
      <c r="J1349" s="2" t="s">
        <v>3719</v>
      </c>
      <c r="K1349" s="2" t="s">
        <v>5219</v>
      </c>
      <c r="L1349">
        <v>4</v>
      </c>
      <c r="M1349" s="1">
        <v>123000</v>
      </c>
      <c r="N1349">
        <v>2.7</v>
      </c>
      <c r="O1349">
        <v>0</v>
      </c>
      <c r="P1349" s="2" t="s">
        <v>26</v>
      </c>
    </row>
    <row r="1350" spans="1:16" x14ac:dyDescent="0.25">
      <c r="A1350" s="2" t="s">
        <v>5215</v>
      </c>
      <c r="B1350" s="2" t="s">
        <v>3252</v>
      </c>
      <c r="C1350" s="2" t="s">
        <v>29</v>
      </c>
      <c r="D1350" s="2" t="s">
        <v>79</v>
      </c>
      <c r="E1350" s="2" t="s">
        <v>20</v>
      </c>
      <c r="F1350" s="2" t="s">
        <v>128</v>
      </c>
      <c r="G1350" s="2" t="s">
        <v>69</v>
      </c>
      <c r="H1350" s="2" t="s">
        <v>46</v>
      </c>
      <c r="I1350" s="2" t="s">
        <v>24</v>
      </c>
      <c r="J1350" s="2" t="s">
        <v>3288</v>
      </c>
      <c r="K1350" s="2" t="s">
        <v>5219</v>
      </c>
      <c r="L1350">
        <v>4</v>
      </c>
      <c r="M1350" s="1">
        <v>361000</v>
      </c>
      <c r="N1350">
        <v>3.2</v>
      </c>
      <c r="O1350">
        <v>11</v>
      </c>
      <c r="P1350" s="2" t="s">
        <v>26</v>
      </c>
    </row>
    <row r="1351" spans="1:16" x14ac:dyDescent="0.25">
      <c r="A1351" s="2" t="s">
        <v>5217</v>
      </c>
      <c r="B1351" s="2" t="s">
        <v>5218</v>
      </c>
      <c r="C1351" s="2" t="s">
        <v>18</v>
      </c>
      <c r="D1351" s="2" t="s">
        <v>79</v>
      </c>
      <c r="E1351" s="2" t="s">
        <v>20</v>
      </c>
      <c r="F1351" s="2" t="s">
        <v>32</v>
      </c>
      <c r="G1351" s="2" t="s">
        <v>22</v>
      </c>
      <c r="H1351" s="2" t="s">
        <v>46</v>
      </c>
      <c r="I1351" s="2" t="s">
        <v>35</v>
      </c>
      <c r="J1351" s="2" t="s">
        <v>946</v>
      </c>
      <c r="K1351" s="2" t="s">
        <v>5219</v>
      </c>
      <c r="L1351">
        <v>6</v>
      </c>
      <c r="M1351" s="1">
        <v>297000</v>
      </c>
      <c r="N1351">
        <v>3.7</v>
      </c>
      <c r="O1351">
        <v>6</v>
      </c>
      <c r="P1351" s="2" t="s">
        <v>72</v>
      </c>
    </row>
    <row r="1352" spans="1:16" x14ac:dyDescent="0.25">
      <c r="A1352" s="2" t="s">
        <v>5220</v>
      </c>
      <c r="B1352" s="2" t="s">
        <v>5221</v>
      </c>
      <c r="C1352" s="2" t="s">
        <v>18</v>
      </c>
      <c r="D1352" s="2" t="s">
        <v>50</v>
      </c>
      <c r="E1352" s="2" t="s">
        <v>44</v>
      </c>
      <c r="F1352" s="2" t="s">
        <v>39</v>
      </c>
      <c r="G1352" s="2" t="s">
        <v>33</v>
      </c>
      <c r="H1352" s="2" t="s">
        <v>46</v>
      </c>
      <c r="I1352" s="2" t="s">
        <v>24</v>
      </c>
      <c r="J1352" s="2" t="s">
        <v>844</v>
      </c>
      <c r="K1352" s="2" t="s">
        <v>1357</v>
      </c>
      <c r="L1352">
        <v>5</v>
      </c>
      <c r="M1352" s="1">
        <v>93000</v>
      </c>
      <c r="N1352">
        <v>4.2</v>
      </c>
      <c r="O1352">
        <v>4</v>
      </c>
      <c r="P1352" s="2" t="s">
        <v>26</v>
      </c>
    </row>
    <row r="1353" spans="1:16" x14ac:dyDescent="0.25">
      <c r="A1353" s="2" t="s">
        <v>5222</v>
      </c>
      <c r="B1353" s="2" t="s">
        <v>2659</v>
      </c>
      <c r="C1353" s="2" t="s">
        <v>29</v>
      </c>
      <c r="D1353" s="2" t="s">
        <v>19</v>
      </c>
      <c r="E1353" s="2" t="s">
        <v>20</v>
      </c>
      <c r="F1353" s="2" t="s">
        <v>39</v>
      </c>
      <c r="G1353" s="2" t="s">
        <v>33</v>
      </c>
      <c r="H1353" s="2" t="s">
        <v>23</v>
      </c>
      <c r="I1353" s="2" t="s">
        <v>171</v>
      </c>
      <c r="J1353" s="2" t="s">
        <v>1827</v>
      </c>
      <c r="K1353" s="2" t="s">
        <v>1357</v>
      </c>
      <c r="L1353">
        <v>4</v>
      </c>
      <c r="M1353" s="1">
        <v>134000</v>
      </c>
      <c r="N1353">
        <v>4.0999999999999996</v>
      </c>
      <c r="O1353">
        <v>0</v>
      </c>
      <c r="P1353" s="2" t="s">
        <v>53</v>
      </c>
    </row>
    <row r="1354" spans="1:16" x14ac:dyDescent="0.25">
      <c r="A1354" s="2" t="s">
        <v>5224</v>
      </c>
      <c r="B1354" s="2" t="s">
        <v>1806</v>
      </c>
      <c r="C1354" s="2" t="s">
        <v>29</v>
      </c>
      <c r="D1354" s="2" t="s">
        <v>19</v>
      </c>
      <c r="E1354" s="2" t="s">
        <v>20</v>
      </c>
      <c r="F1354" s="2" t="s">
        <v>128</v>
      </c>
      <c r="G1354" s="2" t="s">
        <v>33</v>
      </c>
      <c r="H1354" s="2" t="s">
        <v>23</v>
      </c>
      <c r="I1354" s="2" t="s">
        <v>75</v>
      </c>
      <c r="J1354" s="2" t="s">
        <v>5225</v>
      </c>
      <c r="K1354" s="2" t="s">
        <v>2675</v>
      </c>
      <c r="L1354">
        <v>5</v>
      </c>
      <c r="M1354" s="1">
        <v>504000</v>
      </c>
      <c r="N1354">
        <v>4</v>
      </c>
      <c r="O1354">
        <v>9</v>
      </c>
      <c r="P1354" s="2" t="s">
        <v>26</v>
      </c>
    </row>
    <row r="1355" spans="1:16" x14ac:dyDescent="0.25">
      <c r="A1355" s="2" t="s">
        <v>5226</v>
      </c>
      <c r="B1355" s="2" t="s">
        <v>5227</v>
      </c>
      <c r="C1355" s="2" t="s">
        <v>29</v>
      </c>
      <c r="D1355" s="2" t="s">
        <v>50</v>
      </c>
      <c r="E1355" s="2" t="s">
        <v>20</v>
      </c>
      <c r="F1355" s="2" t="s">
        <v>21</v>
      </c>
      <c r="G1355" s="2" t="s">
        <v>22</v>
      </c>
      <c r="H1355" s="2" t="s">
        <v>34</v>
      </c>
      <c r="I1355" s="2" t="s">
        <v>24</v>
      </c>
      <c r="J1355" s="2" t="s">
        <v>5228</v>
      </c>
      <c r="K1355" s="2" t="s">
        <v>2675</v>
      </c>
      <c r="L1355">
        <v>6</v>
      </c>
      <c r="M1355" s="1">
        <v>752000</v>
      </c>
      <c r="N1355">
        <v>4.0999999999999996</v>
      </c>
      <c r="O1355">
        <v>11</v>
      </c>
      <c r="P1355" s="2" t="s">
        <v>26</v>
      </c>
    </row>
    <row r="1356" spans="1:16" x14ac:dyDescent="0.25">
      <c r="A1356" s="2" t="s">
        <v>5229</v>
      </c>
      <c r="B1356" s="2" t="s">
        <v>5230</v>
      </c>
      <c r="C1356" s="2" t="s">
        <v>29</v>
      </c>
      <c r="D1356" s="2" t="s">
        <v>19</v>
      </c>
      <c r="E1356" s="2" t="s">
        <v>44</v>
      </c>
      <c r="F1356" s="2" t="s">
        <v>32</v>
      </c>
      <c r="G1356" s="2" t="s">
        <v>22</v>
      </c>
      <c r="H1356" s="2" t="s">
        <v>23</v>
      </c>
      <c r="I1356" s="2" t="s">
        <v>171</v>
      </c>
      <c r="J1356" s="2" t="s">
        <v>5231</v>
      </c>
      <c r="K1356" s="2" t="s">
        <v>2675</v>
      </c>
      <c r="L1356">
        <v>4</v>
      </c>
      <c r="M1356" s="1">
        <v>305000</v>
      </c>
      <c r="N1356">
        <v>3</v>
      </c>
      <c r="O1356">
        <v>36</v>
      </c>
      <c r="P1356" s="2" t="s">
        <v>26</v>
      </c>
    </row>
    <row r="1357" spans="1:16" x14ac:dyDescent="0.25">
      <c r="A1357" s="2" t="s">
        <v>5234</v>
      </c>
      <c r="B1357" s="2" t="s">
        <v>3047</v>
      </c>
      <c r="C1357" s="2" t="s">
        <v>18</v>
      </c>
      <c r="D1357" s="2" t="s">
        <v>19</v>
      </c>
      <c r="E1357" s="2" t="s">
        <v>44</v>
      </c>
      <c r="F1357" s="2" t="s">
        <v>21</v>
      </c>
      <c r="G1357" s="2" t="s">
        <v>22</v>
      </c>
      <c r="H1357" s="2" t="s">
        <v>46</v>
      </c>
      <c r="I1357" s="2" t="s">
        <v>75</v>
      </c>
      <c r="J1357" s="2" t="s">
        <v>4007</v>
      </c>
      <c r="K1357" s="2" t="s">
        <v>2675</v>
      </c>
      <c r="L1357">
        <v>6</v>
      </c>
      <c r="M1357" s="1">
        <v>1045000</v>
      </c>
      <c r="N1357">
        <v>3.5</v>
      </c>
      <c r="O1357">
        <v>5</v>
      </c>
      <c r="P1357" s="2" t="s">
        <v>53</v>
      </c>
    </row>
    <row r="1358" spans="1:16" x14ac:dyDescent="0.25">
      <c r="A1358" s="2" t="s">
        <v>5239</v>
      </c>
      <c r="B1358" s="2" t="s">
        <v>1297</v>
      </c>
      <c r="C1358" s="2" t="s">
        <v>29</v>
      </c>
      <c r="D1358" s="2" t="s">
        <v>50</v>
      </c>
      <c r="E1358" s="2" t="s">
        <v>20</v>
      </c>
      <c r="F1358" s="2" t="s">
        <v>39</v>
      </c>
      <c r="G1358" s="2" t="s">
        <v>33</v>
      </c>
      <c r="H1358" s="2" t="s">
        <v>46</v>
      </c>
      <c r="I1358" s="2" t="s">
        <v>57</v>
      </c>
      <c r="J1358" s="2" t="s">
        <v>1392</v>
      </c>
      <c r="K1358" s="2" t="s">
        <v>1594</v>
      </c>
      <c r="L1358">
        <v>3</v>
      </c>
      <c r="M1358" s="1">
        <v>138000</v>
      </c>
      <c r="N1358">
        <v>3.9</v>
      </c>
      <c r="O1358">
        <v>24</v>
      </c>
      <c r="P1358" s="2" t="s">
        <v>26</v>
      </c>
    </row>
    <row r="1359" spans="1:16" x14ac:dyDescent="0.25">
      <c r="A1359" s="2" t="s">
        <v>5240</v>
      </c>
      <c r="B1359" s="2" t="s">
        <v>4943</v>
      </c>
      <c r="C1359" s="2" t="s">
        <v>18</v>
      </c>
      <c r="D1359" s="2" t="s">
        <v>50</v>
      </c>
      <c r="E1359" s="2" t="s">
        <v>20</v>
      </c>
      <c r="F1359" s="2" t="s">
        <v>128</v>
      </c>
      <c r="G1359" s="2" t="s">
        <v>22</v>
      </c>
      <c r="H1359" s="2" t="s">
        <v>34</v>
      </c>
      <c r="I1359" s="2" t="s">
        <v>57</v>
      </c>
      <c r="J1359" s="2" t="s">
        <v>3064</v>
      </c>
      <c r="K1359" s="2" t="s">
        <v>1594</v>
      </c>
      <c r="L1359">
        <v>2</v>
      </c>
      <c r="M1359" s="1">
        <v>546000</v>
      </c>
      <c r="N1359">
        <v>2.7</v>
      </c>
      <c r="O1359">
        <v>3</v>
      </c>
      <c r="P1359" s="2" t="s">
        <v>72</v>
      </c>
    </row>
    <row r="1360" spans="1:16" x14ac:dyDescent="0.25">
      <c r="A1360" s="2" t="s">
        <v>5241</v>
      </c>
      <c r="B1360" s="2" t="s">
        <v>5086</v>
      </c>
      <c r="C1360" s="2" t="s">
        <v>29</v>
      </c>
      <c r="D1360" s="2" t="s">
        <v>50</v>
      </c>
      <c r="E1360" s="2" t="s">
        <v>31</v>
      </c>
      <c r="F1360" s="2" t="s">
        <v>39</v>
      </c>
      <c r="G1360" s="2" t="s">
        <v>80</v>
      </c>
      <c r="H1360" s="2" t="s">
        <v>23</v>
      </c>
      <c r="I1360" s="2" t="s">
        <v>35</v>
      </c>
      <c r="J1360" s="2" t="s">
        <v>5242</v>
      </c>
      <c r="K1360" s="2" t="s">
        <v>5244</v>
      </c>
      <c r="L1360">
        <v>3</v>
      </c>
      <c r="M1360" s="1">
        <v>127000</v>
      </c>
      <c r="N1360">
        <v>2</v>
      </c>
      <c r="O1360">
        <v>14</v>
      </c>
      <c r="P1360" s="2" t="s">
        <v>26</v>
      </c>
    </row>
    <row r="1361" spans="1:16" x14ac:dyDescent="0.25">
      <c r="A1361" s="2" t="s">
        <v>5243</v>
      </c>
      <c r="B1361" s="2" t="s">
        <v>1698</v>
      </c>
      <c r="C1361" s="2" t="s">
        <v>29</v>
      </c>
      <c r="D1361" s="2" t="s">
        <v>30</v>
      </c>
      <c r="E1361" s="2" t="s">
        <v>44</v>
      </c>
      <c r="F1361" s="2" t="s">
        <v>39</v>
      </c>
      <c r="G1361" s="2" t="s">
        <v>80</v>
      </c>
      <c r="H1361" s="2" t="s">
        <v>34</v>
      </c>
      <c r="I1361" s="2" t="s">
        <v>24</v>
      </c>
      <c r="J1361" s="2" t="s">
        <v>1494</v>
      </c>
      <c r="K1361" s="2" t="s">
        <v>5244</v>
      </c>
      <c r="L1361">
        <v>3</v>
      </c>
      <c r="M1361" s="1">
        <v>93000</v>
      </c>
      <c r="N1361">
        <v>2.4</v>
      </c>
      <c r="O1361">
        <v>37</v>
      </c>
      <c r="P1361" s="2" t="s">
        <v>53</v>
      </c>
    </row>
    <row r="1362" spans="1:16" x14ac:dyDescent="0.25">
      <c r="A1362" s="2" t="s">
        <v>5245</v>
      </c>
      <c r="B1362" s="2" t="s">
        <v>5246</v>
      </c>
      <c r="C1362" s="2" t="s">
        <v>29</v>
      </c>
      <c r="D1362" s="2" t="s">
        <v>79</v>
      </c>
      <c r="E1362" s="2" t="s">
        <v>31</v>
      </c>
      <c r="F1362" s="2" t="s">
        <v>32</v>
      </c>
      <c r="G1362" s="2" t="s">
        <v>80</v>
      </c>
      <c r="H1362" s="2" t="s">
        <v>34</v>
      </c>
      <c r="I1362" s="2" t="s">
        <v>75</v>
      </c>
      <c r="J1362" s="2" t="s">
        <v>1056</v>
      </c>
      <c r="K1362" s="2" t="s">
        <v>1464</v>
      </c>
      <c r="L1362">
        <v>5</v>
      </c>
      <c r="M1362" s="1">
        <v>207000</v>
      </c>
      <c r="N1362">
        <v>4.3</v>
      </c>
      <c r="O1362">
        <v>10</v>
      </c>
      <c r="P1362" s="2" t="s">
        <v>26</v>
      </c>
    </row>
    <row r="1363" spans="1:16" x14ac:dyDescent="0.25">
      <c r="A1363" s="2" t="s">
        <v>5247</v>
      </c>
      <c r="B1363" s="2" t="s">
        <v>5248</v>
      </c>
      <c r="C1363" s="2" t="s">
        <v>18</v>
      </c>
      <c r="D1363" s="2" t="s">
        <v>30</v>
      </c>
      <c r="E1363" s="2" t="s">
        <v>31</v>
      </c>
      <c r="F1363" s="2" t="s">
        <v>128</v>
      </c>
      <c r="G1363" s="2" t="s">
        <v>80</v>
      </c>
      <c r="H1363" s="2" t="s">
        <v>46</v>
      </c>
      <c r="I1363" s="2" t="s">
        <v>24</v>
      </c>
      <c r="J1363" s="2" t="s">
        <v>2197</v>
      </c>
      <c r="K1363" s="2" t="s">
        <v>1464</v>
      </c>
      <c r="L1363">
        <v>6</v>
      </c>
      <c r="M1363" s="1">
        <v>559000</v>
      </c>
      <c r="N1363">
        <v>2.9</v>
      </c>
      <c r="O1363">
        <v>3</v>
      </c>
      <c r="P1363" s="2" t="s">
        <v>53</v>
      </c>
    </row>
    <row r="1364" spans="1:16" x14ac:dyDescent="0.25">
      <c r="A1364" s="2" t="s">
        <v>5249</v>
      </c>
      <c r="B1364" s="2" t="s">
        <v>1374</v>
      </c>
      <c r="C1364" s="2" t="s">
        <v>18</v>
      </c>
      <c r="D1364" s="2" t="s">
        <v>79</v>
      </c>
      <c r="E1364" s="2" t="s">
        <v>20</v>
      </c>
      <c r="F1364" s="2" t="s">
        <v>39</v>
      </c>
      <c r="G1364" s="2" t="s">
        <v>22</v>
      </c>
      <c r="H1364" s="2" t="s">
        <v>23</v>
      </c>
      <c r="I1364" s="2" t="s">
        <v>24</v>
      </c>
      <c r="J1364" s="2" t="s">
        <v>5250</v>
      </c>
      <c r="K1364" s="2" t="s">
        <v>3049</v>
      </c>
      <c r="L1364">
        <v>7</v>
      </c>
      <c r="M1364" s="1">
        <v>132000</v>
      </c>
      <c r="N1364">
        <v>2.6</v>
      </c>
      <c r="O1364">
        <v>13</v>
      </c>
      <c r="P1364" s="2" t="s">
        <v>26</v>
      </c>
    </row>
    <row r="1365" spans="1:16" x14ac:dyDescent="0.25">
      <c r="A1365" s="2" t="s">
        <v>5251</v>
      </c>
      <c r="B1365" s="2" t="s">
        <v>5059</v>
      </c>
      <c r="C1365" s="2" t="s">
        <v>29</v>
      </c>
      <c r="D1365" s="2" t="s">
        <v>79</v>
      </c>
      <c r="E1365" s="2" t="s">
        <v>20</v>
      </c>
      <c r="F1365" s="2" t="s">
        <v>45</v>
      </c>
      <c r="G1365" s="2" t="s">
        <v>22</v>
      </c>
      <c r="H1365" s="2" t="s">
        <v>46</v>
      </c>
      <c r="I1365" s="2" t="s">
        <v>57</v>
      </c>
      <c r="J1365" s="2" t="s">
        <v>5252</v>
      </c>
      <c r="K1365" s="2" t="s">
        <v>3049</v>
      </c>
      <c r="L1365">
        <v>5</v>
      </c>
      <c r="M1365" s="1">
        <v>1240000</v>
      </c>
      <c r="N1365">
        <v>3.9</v>
      </c>
      <c r="O1365">
        <v>9</v>
      </c>
      <c r="P1365" s="2" t="s">
        <v>26</v>
      </c>
    </row>
    <row r="1366" spans="1:16" x14ac:dyDescent="0.25">
      <c r="A1366" s="2" t="s">
        <v>5253</v>
      </c>
      <c r="B1366" s="2" t="s">
        <v>5254</v>
      </c>
      <c r="C1366" s="2" t="s">
        <v>18</v>
      </c>
      <c r="D1366" s="2" t="s">
        <v>79</v>
      </c>
      <c r="E1366" s="2" t="s">
        <v>31</v>
      </c>
      <c r="F1366" s="2" t="s">
        <v>32</v>
      </c>
      <c r="G1366" s="2" t="s">
        <v>33</v>
      </c>
      <c r="H1366" s="2" t="s">
        <v>62</v>
      </c>
      <c r="I1366" s="2" t="s">
        <v>24</v>
      </c>
      <c r="J1366" s="2" t="s">
        <v>3224</v>
      </c>
      <c r="K1366" s="2" t="s">
        <v>3049</v>
      </c>
      <c r="L1366">
        <v>4</v>
      </c>
      <c r="M1366" s="1">
        <v>283000</v>
      </c>
      <c r="N1366">
        <v>3.3</v>
      </c>
      <c r="O1366">
        <v>19</v>
      </c>
      <c r="P1366" s="2" t="s">
        <v>26</v>
      </c>
    </row>
    <row r="1367" spans="1:16" x14ac:dyDescent="0.25">
      <c r="A1367" s="2" t="s">
        <v>5259</v>
      </c>
      <c r="B1367" s="2" t="s">
        <v>4909</v>
      </c>
      <c r="C1367" s="2" t="s">
        <v>18</v>
      </c>
      <c r="D1367" s="2" t="s">
        <v>30</v>
      </c>
      <c r="E1367" s="2" t="s">
        <v>20</v>
      </c>
      <c r="F1367" s="2" t="s">
        <v>39</v>
      </c>
      <c r="G1367" s="2" t="s">
        <v>22</v>
      </c>
      <c r="H1367" s="2" t="s">
        <v>34</v>
      </c>
      <c r="I1367" s="2" t="s">
        <v>171</v>
      </c>
      <c r="J1367" s="2" t="s">
        <v>1857</v>
      </c>
      <c r="K1367" s="2" t="s">
        <v>3049</v>
      </c>
      <c r="L1367">
        <v>5</v>
      </c>
      <c r="M1367" s="1">
        <v>165000</v>
      </c>
      <c r="N1367">
        <v>2.2999999999999998</v>
      </c>
      <c r="O1367">
        <v>10</v>
      </c>
      <c r="P1367" s="2" t="s">
        <v>26</v>
      </c>
    </row>
    <row r="1368" spans="1:16" x14ac:dyDescent="0.25">
      <c r="A1368" s="2" t="s">
        <v>5261</v>
      </c>
      <c r="B1368" s="2" t="s">
        <v>396</v>
      </c>
      <c r="C1368" s="2" t="s">
        <v>29</v>
      </c>
      <c r="D1368" s="2" t="s">
        <v>50</v>
      </c>
      <c r="E1368" s="2" t="s">
        <v>31</v>
      </c>
      <c r="F1368" s="2" t="s">
        <v>32</v>
      </c>
      <c r="G1368" s="2" t="s">
        <v>80</v>
      </c>
      <c r="H1368" s="2" t="s">
        <v>34</v>
      </c>
      <c r="I1368" s="2" t="s">
        <v>24</v>
      </c>
      <c r="J1368" s="2" t="s">
        <v>5262</v>
      </c>
      <c r="K1368" s="2" t="s">
        <v>3049</v>
      </c>
      <c r="L1368">
        <v>5</v>
      </c>
      <c r="M1368" s="1">
        <v>290000</v>
      </c>
      <c r="N1368">
        <v>2.8</v>
      </c>
      <c r="O1368">
        <v>4</v>
      </c>
      <c r="P1368" s="2" t="s">
        <v>26</v>
      </c>
    </row>
    <row r="1369" spans="1:16" x14ac:dyDescent="0.25">
      <c r="A1369" s="2" t="s">
        <v>5265</v>
      </c>
      <c r="B1369" s="2" t="s">
        <v>5266</v>
      </c>
      <c r="C1369" s="2" t="s">
        <v>29</v>
      </c>
      <c r="D1369" s="2" t="s">
        <v>50</v>
      </c>
      <c r="E1369" s="2" t="s">
        <v>44</v>
      </c>
      <c r="F1369" s="2" t="s">
        <v>32</v>
      </c>
      <c r="G1369" s="2" t="s">
        <v>69</v>
      </c>
      <c r="H1369" s="2" t="s">
        <v>34</v>
      </c>
      <c r="I1369" s="2" t="s">
        <v>57</v>
      </c>
      <c r="J1369" s="2" t="s">
        <v>2116</v>
      </c>
      <c r="K1369" s="2" t="s">
        <v>3049</v>
      </c>
      <c r="L1369">
        <v>4</v>
      </c>
      <c r="M1369" s="1">
        <v>260000</v>
      </c>
      <c r="N1369">
        <v>2.2000000000000002</v>
      </c>
      <c r="O1369">
        <v>4</v>
      </c>
      <c r="P1369" s="2" t="s">
        <v>53</v>
      </c>
    </row>
    <row r="1370" spans="1:16" x14ac:dyDescent="0.25">
      <c r="A1370" s="2" t="s">
        <v>5267</v>
      </c>
      <c r="B1370" s="2" t="s">
        <v>5268</v>
      </c>
      <c r="C1370" s="2" t="s">
        <v>18</v>
      </c>
      <c r="D1370" s="2" t="s">
        <v>19</v>
      </c>
      <c r="E1370" s="2" t="s">
        <v>44</v>
      </c>
      <c r="F1370" s="2" t="s">
        <v>39</v>
      </c>
      <c r="G1370" s="2" t="s">
        <v>22</v>
      </c>
      <c r="H1370" s="2" t="s">
        <v>62</v>
      </c>
      <c r="I1370" s="2" t="s">
        <v>35</v>
      </c>
      <c r="J1370" s="2" t="s">
        <v>5269</v>
      </c>
      <c r="K1370" s="2" t="s">
        <v>1119</v>
      </c>
      <c r="L1370">
        <v>5</v>
      </c>
      <c r="M1370" s="1">
        <v>190000</v>
      </c>
      <c r="N1370">
        <v>4.7</v>
      </c>
      <c r="O1370">
        <v>13</v>
      </c>
      <c r="P1370" s="2" t="s">
        <v>26</v>
      </c>
    </row>
    <row r="1371" spans="1:16" x14ac:dyDescent="0.25">
      <c r="A1371" s="2" t="s">
        <v>5270</v>
      </c>
      <c r="B1371" s="2" t="s">
        <v>5271</v>
      </c>
      <c r="C1371" s="2" t="s">
        <v>18</v>
      </c>
      <c r="D1371" s="2" t="s">
        <v>50</v>
      </c>
      <c r="E1371" s="2" t="s">
        <v>44</v>
      </c>
      <c r="F1371" s="2" t="s">
        <v>39</v>
      </c>
      <c r="G1371" s="2" t="s">
        <v>22</v>
      </c>
      <c r="H1371" s="2" t="s">
        <v>46</v>
      </c>
      <c r="I1371" s="2" t="s">
        <v>57</v>
      </c>
      <c r="J1371" s="2" t="s">
        <v>3568</v>
      </c>
      <c r="K1371" s="2" t="s">
        <v>1119</v>
      </c>
      <c r="L1371">
        <v>2</v>
      </c>
      <c r="M1371" s="1">
        <v>126000</v>
      </c>
      <c r="N1371">
        <v>4</v>
      </c>
      <c r="O1371">
        <v>6</v>
      </c>
      <c r="P1371" s="2" t="s">
        <v>26</v>
      </c>
    </row>
    <row r="1372" spans="1:16" x14ac:dyDescent="0.25">
      <c r="A1372" s="2" t="s">
        <v>5273</v>
      </c>
      <c r="B1372" s="2" t="s">
        <v>5274</v>
      </c>
      <c r="C1372" s="2" t="s">
        <v>18</v>
      </c>
      <c r="D1372" s="2" t="s">
        <v>30</v>
      </c>
      <c r="E1372" s="2" t="s">
        <v>44</v>
      </c>
      <c r="F1372" s="2" t="s">
        <v>39</v>
      </c>
      <c r="G1372" s="2" t="s">
        <v>80</v>
      </c>
      <c r="H1372" s="2" t="s">
        <v>34</v>
      </c>
      <c r="I1372" s="2" t="s">
        <v>57</v>
      </c>
      <c r="J1372" s="2" t="s">
        <v>3532</v>
      </c>
      <c r="K1372" s="2" t="s">
        <v>1119</v>
      </c>
      <c r="L1372">
        <v>6</v>
      </c>
      <c r="M1372" s="1">
        <v>129000</v>
      </c>
      <c r="N1372">
        <v>3.2</v>
      </c>
      <c r="O1372">
        <v>5</v>
      </c>
      <c r="P1372" s="2" t="s">
        <v>53</v>
      </c>
    </row>
    <row r="1373" spans="1:16" x14ac:dyDescent="0.25">
      <c r="A1373" s="2" t="s">
        <v>5278</v>
      </c>
      <c r="B1373" s="2" t="s">
        <v>2529</v>
      </c>
      <c r="C1373" s="2" t="s">
        <v>18</v>
      </c>
      <c r="D1373" s="2" t="s">
        <v>43</v>
      </c>
      <c r="E1373" s="2" t="s">
        <v>20</v>
      </c>
      <c r="F1373" s="2" t="s">
        <v>128</v>
      </c>
      <c r="G1373" s="2" t="s">
        <v>80</v>
      </c>
      <c r="H1373" s="2" t="s">
        <v>46</v>
      </c>
      <c r="I1373" s="2" t="s">
        <v>24</v>
      </c>
      <c r="J1373" s="2" t="s">
        <v>2518</v>
      </c>
      <c r="K1373" s="2" t="s">
        <v>1119</v>
      </c>
      <c r="L1373">
        <v>4</v>
      </c>
      <c r="M1373" s="1">
        <v>406000</v>
      </c>
      <c r="N1373">
        <v>3.7</v>
      </c>
      <c r="O1373">
        <v>15</v>
      </c>
      <c r="P1373" s="2" t="s">
        <v>26</v>
      </c>
    </row>
    <row r="1374" spans="1:16" x14ac:dyDescent="0.25">
      <c r="A1374" s="2" t="s">
        <v>5279</v>
      </c>
      <c r="B1374" s="2" t="s">
        <v>1540</v>
      </c>
      <c r="C1374" s="2" t="s">
        <v>18</v>
      </c>
      <c r="D1374" s="2" t="s">
        <v>50</v>
      </c>
      <c r="E1374" s="2" t="s">
        <v>31</v>
      </c>
      <c r="F1374" s="2" t="s">
        <v>32</v>
      </c>
      <c r="G1374" s="2" t="s">
        <v>33</v>
      </c>
      <c r="H1374" s="2" t="s">
        <v>23</v>
      </c>
      <c r="I1374" s="2" t="s">
        <v>35</v>
      </c>
      <c r="J1374" s="2" t="s">
        <v>5280</v>
      </c>
      <c r="K1374" s="2" t="s">
        <v>1119</v>
      </c>
      <c r="L1374">
        <v>4</v>
      </c>
      <c r="M1374" s="1">
        <v>230000</v>
      </c>
      <c r="N1374">
        <v>3.5</v>
      </c>
      <c r="O1374">
        <v>6</v>
      </c>
      <c r="P1374" s="2" t="s">
        <v>26</v>
      </c>
    </row>
    <row r="1375" spans="1:16" x14ac:dyDescent="0.25">
      <c r="A1375" s="2" t="s">
        <v>5283</v>
      </c>
      <c r="B1375" s="2" t="s">
        <v>4842</v>
      </c>
      <c r="C1375" s="2" t="s">
        <v>29</v>
      </c>
      <c r="D1375" s="2" t="s">
        <v>30</v>
      </c>
      <c r="E1375" s="2" t="s">
        <v>20</v>
      </c>
      <c r="F1375" s="2" t="s">
        <v>32</v>
      </c>
      <c r="G1375" s="2" t="s">
        <v>22</v>
      </c>
      <c r="H1375" s="2" t="s">
        <v>34</v>
      </c>
      <c r="I1375" s="2" t="s">
        <v>57</v>
      </c>
      <c r="J1375" s="2" t="s">
        <v>4837</v>
      </c>
      <c r="K1375" s="2" t="s">
        <v>1119</v>
      </c>
      <c r="L1375">
        <v>2</v>
      </c>
      <c r="M1375" s="1">
        <v>246000</v>
      </c>
      <c r="N1375">
        <v>2.9</v>
      </c>
      <c r="O1375">
        <v>9</v>
      </c>
      <c r="P1375" s="2" t="s">
        <v>26</v>
      </c>
    </row>
    <row r="1376" spans="1:16" x14ac:dyDescent="0.25">
      <c r="A1376" s="2" t="s">
        <v>5284</v>
      </c>
      <c r="B1376" s="2" t="s">
        <v>131</v>
      </c>
      <c r="C1376" s="2" t="s">
        <v>29</v>
      </c>
      <c r="D1376" s="2" t="s">
        <v>43</v>
      </c>
      <c r="E1376" s="2" t="s">
        <v>20</v>
      </c>
      <c r="F1376" s="2" t="s">
        <v>21</v>
      </c>
      <c r="G1376" s="2" t="s">
        <v>22</v>
      </c>
      <c r="H1376" s="2" t="s">
        <v>46</v>
      </c>
      <c r="I1376" s="2" t="s">
        <v>24</v>
      </c>
      <c r="J1376" s="2" t="s">
        <v>1890</v>
      </c>
      <c r="K1376" s="2" t="s">
        <v>1119</v>
      </c>
      <c r="L1376">
        <v>4</v>
      </c>
      <c r="M1376" s="1">
        <v>600000</v>
      </c>
      <c r="N1376">
        <v>3.6</v>
      </c>
      <c r="O1376">
        <v>10</v>
      </c>
      <c r="P1376" s="2" t="s">
        <v>26</v>
      </c>
    </row>
    <row r="1377" spans="1:16" x14ac:dyDescent="0.25">
      <c r="A1377" s="2" t="s">
        <v>5287</v>
      </c>
      <c r="B1377" s="2" t="s">
        <v>3989</v>
      </c>
      <c r="C1377" s="2" t="s">
        <v>29</v>
      </c>
      <c r="D1377" s="2" t="s">
        <v>30</v>
      </c>
      <c r="E1377" s="2" t="s">
        <v>44</v>
      </c>
      <c r="F1377" s="2" t="s">
        <v>32</v>
      </c>
      <c r="G1377" s="2" t="s">
        <v>69</v>
      </c>
      <c r="H1377" s="2" t="s">
        <v>34</v>
      </c>
      <c r="I1377" s="2" t="s">
        <v>57</v>
      </c>
      <c r="J1377" s="2" t="s">
        <v>3818</v>
      </c>
      <c r="K1377" s="2" t="s">
        <v>1119</v>
      </c>
      <c r="L1377">
        <v>4</v>
      </c>
      <c r="M1377" s="1">
        <v>242000</v>
      </c>
      <c r="N1377">
        <v>2.5</v>
      </c>
      <c r="O1377">
        <v>10</v>
      </c>
      <c r="P1377" s="2" t="s">
        <v>114</v>
      </c>
    </row>
    <row r="1378" spans="1:16" x14ac:dyDescent="0.25">
      <c r="A1378" s="2" t="s">
        <v>5293</v>
      </c>
      <c r="B1378" s="2" t="s">
        <v>1111</v>
      </c>
      <c r="C1378" s="2" t="s">
        <v>29</v>
      </c>
      <c r="D1378" s="2" t="s">
        <v>50</v>
      </c>
      <c r="E1378" s="2" t="s">
        <v>20</v>
      </c>
      <c r="F1378" s="2" t="s">
        <v>32</v>
      </c>
      <c r="G1378" s="2" t="s">
        <v>69</v>
      </c>
      <c r="H1378" s="2" t="s">
        <v>23</v>
      </c>
      <c r="I1378" s="2" t="s">
        <v>35</v>
      </c>
      <c r="J1378" s="2" t="s">
        <v>5294</v>
      </c>
      <c r="K1378" s="2" t="s">
        <v>4361</v>
      </c>
      <c r="L1378">
        <v>5</v>
      </c>
      <c r="M1378" s="1">
        <v>327000</v>
      </c>
      <c r="N1378">
        <v>3</v>
      </c>
      <c r="O1378">
        <v>9</v>
      </c>
      <c r="P1378" s="2" t="s">
        <v>26</v>
      </c>
    </row>
    <row r="1379" spans="1:16" x14ac:dyDescent="0.25">
      <c r="A1379" s="2" t="s">
        <v>5297</v>
      </c>
      <c r="B1379" s="2" t="s">
        <v>3663</v>
      </c>
      <c r="C1379" s="2" t="s">
        <v>29</v>
      </c>
      <c r="D1379" s="2" t="s">
        <v>43</v>
      </c>
      <c r="E1379" s="2" t="s">
        <v>31</v>
      </c>
      <c r="F1379" s="2" t="s">
        <v>39</v>
      </c>
      <c r="G1379" s="2" t="s">
        <v>80</v>
      </c>
      <c r="H1379" s="2" t="s">
        <v>34</v>
      </c>
      <c r="I1379" s="2" t="s">
        <v>24</v>
      </c>
      <c r="J1379" s="2" t="s">
        <v>5298</v>
      </c>
      <c r="K1379" s="2" t="s">
        <v>4361</v>
      </c>
      <c r="L1379">
        <v>4</v>
      </c>
      <c r="M1379" s="1">
        <v>151000</v>
      </c>
      <c r="N1379">
        <v>4.2</v>
      </c>
      <c r="O1379">
        <v>7</v>
      </c>
      <c r="P1379" s="2" t="s">
        <v>26</v>
      </c>
    </row>
    <row r="1380" spans="1:16" x14ac:dyDescent="0.25">
      <c r="A1380" s="2" t="s">
        <v>5299</v>
      </c>
      <c r="B1380" s="2" t="s">
        <v>4351</v>
      </c>
      <c r="C1380" s="2" t="s">
        <v>29</v>
      </c>
      <c r="D1380" s="2" t="s">
        <v>79</v>
      </c>
      <c r="E1380" s="2" t="s">
        <v>20</v>
      </c>
      <c r="F1380" s="2" t="s">
        <v>128</v>
      </c>
      <c r="G1380" s="2" t="s">
        <v>33</v>
      </c>
      <c r="H1380" s="2" t="s">
        <v>23</v>
      </c>
      <c r="I1380" s="2" t="s">
        <v>24</v>
      </c>
      <c r="J1380" s="2" t="s">
        <v>3253</v>
      </c>
      <c r="K1380" s="2" t="s">
        <v>4361</v>
      </c>
      <c r="L1380">
        <v>3</v>
      </c>
      <c r="M1380" s="1">
        <v>354000</v>
      </c>
      <c r="N1380">
        <v>2.4</v>
      </c>
      <c r="O1380">
        <v>1</v>
      </c>
      <c r="P1380" s="2" t="s">
        <v>26</v>
      </c>
    </row>
    <row r="1381" spans="1:16" x14ac:dyDescent="0.25">
      <c r="A1381" s="2" t="s">
        <v>5300</v>
      </c>
      <c r="B1381" s="2" t="s">
        <v>5301</v>
      </c>
      <c r="C1381" s="2" t="s">
        <v>29</v>
      </c>
      <c r="D1381" s="2" t="s">
        <v>79</v>
      </c>
      <c r="E1381" s="2" t="s">
        <v>20</v>
      </c>
      <c r="F1381" s="2" t="s">
        <v>21</v>
      </c>
      <c r="G1381" s="2" t="s">
        <v>22</v>
      </c>
      <c r="H1381" s="2" t="s">
        <v>23</v>
      </c>
      <c r="I1381" s="2" t="s">
        <v>24</v>
      </c>
      <c r="J1381" s="2" t="s">
        <v>5302</v>
      </c>
      <c r="K1381" s="2" t="s">
        <v>4361</v>
      </c>
      <c r="L1381">
        <v>3</v>
      </c>
      <c r="M1381" s="1">
        <v>874000</v>
      </c>
      <c r="N1381">
        <v>3.2</v>
      </c>
      <c r="O1381">
        <v>10</v>
      </c>
      <c r="P1381" s="2" t="s">
        <v>26</v>
      </c>
    </row>
    <row r="1382" spans="1:16" x14ac:dyDescent="0.25">
      <c r="A1382" s="2" t="s">
        <v>5303</v>
      </c>
      <c r="B1382" s="2" t="s">
        <v>281</v>
      </c>
      <c r="C1382" s="2" t="s">
        <v>29</v>
      </c>
      <c r="D1382" s="2" t="s">
        <v>30</v>
      </c>
      <c r="E1382" s="2" t="s">
        <v>20</v>
      </c>
      <c r="F1382" s="2" t="s">
        <v>39</v>
      </c>
      <c r="G1382" s="2" t="s">
        <v>22</v>
      </c>
      <c r="H1382" s="2" t="s">
        <v>62</v>
      </c>
      <c r="I1382" s="2" t="s">
        <v>24</v>
      </c>
      <c r="J1382" s="2" t="s">
        <v>3855</v>
      </c>
      <c r="K1382" s="2" t="s">
        <v>4361</v>
      </c>
      <c r="L1382">
        <v>2</v>
      </c>
      <c r="M1382" s="1">
        <v>92000</v>
      </c>
      <c r="N1382">
        <v>1.9</v>
      </c>
      <c r="O1382">
        <v>8</v>
      </c>
      <c r="P1382" s="2" t="s">
        <v>53</v>
      </c>
    </row>
    <row r="1383" spans="1:16" x14ac:dyDescent="0.25">
      <c r="A1383" s="2" t="s">
        <v>5304</v>
      </c>
      <c r="B1383" s="2" t="s">
        <v>5305</v>
      </c>
      <c r="C1383" s="2" t="s">
        <v>18</v>
      </c>
      <c r="D1383" s="2" t="s">
        <v>43</v>
      </c>
      <c r="E1383" s="2" t="s">
        <v>31</v>
      </c>
      <c r="F1383" s="2" t="s">
        <v>39</v>
      </c>
      <c r="G1383" s="2" t="s">
        <v>22</v>
      </c>
      <c r="H1383" s="2" t="s">
        <v>34</v>
      </c>
      <c r="I1383" s="2" t="s">
        <v>57</v>
      </c>
      <c r="J1383" s="2" t="s">
        <v>4181</v>
      </c>
      <c r="K1383" s="2" t="s">
        <v>5309</v>
      </c>
      <c r="L1383">
        <v>2</v>
      </c>
      <c r="M1383" s="1">
        <v>119000</v>
      </c>
      <c r="N1383">
        <v>2.5</v>
      </c>
      <c r="O1383">
        <v>6</v>
      </c>
      <c r="P1383" s="2" t="s">
        <v>26</v>
      </c>
    </row>
    <row r="1384" spans="1:16" x14ac:dyDescent="0.25">
      <c r="A1384" s="2" t="s">
        <v>5307</v>
      </c>
      <c r="B1384" s="2" t="s">
        <v>2979</v>
      </c>
      <c r="C1384" s="2" t="s">
        <v>29</v>
      </c>
      <c r="D1384" s="2" t="s">
        <v>79</v>
      </c>
      <c r="E1384" s="2" t="s">
        <v>31</v>
      </c>
      <c r="F1384" s="2" t="s">
        <v>21</v>
      </c>
      <c r="G1384" s="2" t="s">
        <v>33</v>
      </c>
      <c r="H1384" s="2" t="s">
        <v>34</v>
      </c>
      <c r="I1384" s="2" t="s">
        <v>24</v>
      </c>
      <c r="J1384" s="2" t="s">
        <v>1237</v>
      </c>
      <c r="K1384" s="2" t="s">
        <v>5309</v>
      </c>
      <c r="L1384">
        <v>2</v>
      </c>
      <c r="M1384" s="1">
        <v>840000</v>
      </c>
      <c r="N1384">
        <v>4.0999999999999996</v>
      </c>
      <c r="O1384">
        <v>7</v>
      </c>
      <c r="P1384" s="2" t="s">
        <v>26</v>
      </c>
    </row>
    <row r="1385" spans="1:16" x14ac:dyDescent="0.25">
      <c r="A1385" s="2" t="s">
        <v>5308</v>
      </c>
      <c r="B1385" s="2" t="s">
        <v>3109</v>
      </c>
      <c r="C1385" s="2" t="s">
        <v>29</v>
      </c>
      <c r="D1385" s="2" t="s">
        <v>30</v>
      </c>
      <c r="E1385" s="2" t="s">
        <v>20</v>
      </c>
      <c r="F1385" s="2" t="s">
        <v>39</v>
      </c>
      <c r="G1385" s="2" t="s">
        <v>22</v>
      </c>
      <c r="H1385" s="2" t="s">
        <v>34</v>
      </c>
      <c r="I1385" s="2" t="s">
        <v>35</v>
      </c>
      <c r="J1385" s="2" t="s">
        <v>2274</v>
      </c>
      <c r="K1385" s="2" t="s">
        <v>5309</v>
      </c>
      <c r="L1385">
        <v>6</v>
      </c>
      <c r="M1385" s="1">
        <v>99000</v>
      </c>
      <c r="N1385">
        <v>1.9</v>
      </c>
      <c r="O1385">
        <v>38</v>
      </c>
      <c r="P1385" s="2" t="s">
        <v>53</v>
      </c>
    </row>
    <row r="1386" spans="1:16" x14ac:dyDescent="0.25">
      <c r="A1386" s="2" t="s">
        <v>5310</v>
      </c>
      <c r="B1386" s="2" t="s">
        <v>1335</v>
      </c>
      <c r="C1386" s="2" t="s">
        <v>29</v>
      </c>
      <c r="D1386" s="2" t="s">
        <v>79</v>
      </c>
      <c r="E1386" s="2" t="s">
        <v>20</v>
      </c>
      <c r="F1386" s="2" t="s">
        <v>32</v>
      </c>
      <c r="G1386" s="2" t="s">
        <v>69</v>
      </c>
      <c r="H1386" s="2" t="s">
        <v>34</v>
      </c>
      <c r="I1386" s="2" t="s">
        <v>35</v>
      </c>
      <c r="J1386" s="2" t="s">
        <v>1620</v>
      </c>
      <c r="K1386" s="2" t="s">
        <v>2491</v>
      </c>
      <c r="L1386">
        <v>2</v>
      </c>
      <c r="M1386" s="1">
        <v>182000</v>
      </c>
      <c r="N1386">
        <v>2.5</v>
      </c>
      <c r="O1386">
        <v>4</v>
      </c>
      <c r="P1386" s="2" t="s">
        <v>72</v>
      </c>
    </row>
    <row r="1387" spans="1:16" x14ac:dyDescent="0.25">
      <c r="A1387" s="2" t="s">
        <v>5317</v>
      </c>
      <c r="B1387" s="2" t="s">
        <v>2284</v>
      </c>
      <c r="C1387" s="2" t="s">
        <v>18</v>
      </c>
      <c r="D1387" s="2" t="s">
        <v>30</v>
      </c>
      <c r="E1387" s="2" t="s">
        <v>20</v>
      </c>
      <c r="F1387" s="2" t="s">
        <v>39</v>
      </c>
      <c r="G1387" s="2" t="s">
        <v>80</v>
      </c>
      <c r="H1387" s="2" t="s">
        <v>23</v>
      </c>
      <c r="I1387" s="2" t="s">
        <v>171</v>
      </c>
      <c r="J1387" s="2" t="s">
        <v>2124</v>
      </c>
      <c r="K1387" s="2" t="s">
        <v>4119</v>
      </c>
      <c r="L1387">
        <v>3</v>
      </c>
      <c r="M1387" s="1">
        <v>171000</v>
      </c>
      <c r="N1387">
        <v>2.2000000000000002</v>
      </c>
      <c r="O1387">
        <v>26</v>
      </c>
      <c r="P1387" s="2" t="s">
        <v>72</v>
      </c>
    </row>
    <row r="1388" spans="1:16" x14ac:dyDescent="0.25">
      <c r="A1388" s="2" t="s">
        <v>5318</v>
      </c>
      <c r="B1388" s="2" t="s">
        <v>4655</v>
      </c>
      <c r="C1388" s="2" t="s">
        <v>29</v>
      </c>
      <c r="D1388" s="2" t="s">
        <v>30</v>
      </c>
      <c r="E1388" s="2" t="s">
        <v>20</v>
      </c>
      <c r="F1388" s="2" t="s">
        <v>128</v>
      </c>
      <c r="G1388" s="2" t="s">
        <v>22</v>
      </c>
      <c r="H1388" s="2" t="s">
        <v>23</v>
      </c>
      <c r="I1388" s="2" t="s">
        <v>171</v>
      </c>
      <c r="J1388" s="2" t="s">
        <v>1098</v>
      </c>
      <c r="K1388" s="2" t="s">
        <v>550</v>
      </c>
      <c r="L1388">
        <v>4</v>
      </c>
      <c r="M1388" s="1">
        <v>567000</v>
      </c>
      <c r="N1388">
        <v>3.6</v>
      </c>
      <c r="O1388">
        <v>8</v>
      </c>
      <c r="P1388" s="2" t="s">
        <v>114</v>
      </c>
    </row>
    <row r="1389" spans="1:16" x14ac:dyDescent="0.25">
      <c r="A1389" s="2" t="s">
        <v>5320</v>
      </c>
      <c r="B1389" s="2" t="s">
        <v>5321</v>
      </c>
      <c r="C1389" s="2" t="s">
        <v>18</v>
      </c>
      <c r="D1389" s="2" t="s">
        <v>79</v>
      </c>
      <c r="E1389" s="2" t="s">
        <v>20</v>
      </c>
      <c r="F1389" s="2" t="s">
        <v>21</v>
      </c>
      <c r="G1389" s="2" t="s">
        <v>69</v>
      </c>
      <c r="H1389" s="2" t="s">
        <v>46</v>
      </c>
      <c r="I1389" s="2" t="s">
        <v>24</v>
      </c>
      <c r="J1389" s="2" t="s">
        <v>2210</v>
      </c>
      <c r="K1389" s="2" t="s">
        <v>905</v>
      </c>
      <c r="L1389">
        <v>4</v>
      </c>
      <c r="M1389" s="1">
        <v>919000</v>
      </c>
      <c r="N1389">
        <v>4.0999999999999996</v>
      </c>
      <c r="O1389">
        <v>4</v>
      </c>
      <c r="P1389" s="2" t="s">
        <v>114</v>
      </c>
    </row>
    <row r="1390" spans="1:16" x14ac:dyDescent="0.25">
      <c r="A1390" s="2" t="s">
        <v>5324</v>
      </c>
      <c r="B1390" s="2" t="s">
        <v>1352</v>
      </c>
      <c r="C1390" s="2" t="s">
        <v>29</v>
      </c>
      <c r="D1390" s="2" t="s">
        <v>50</v>
      </c>
      <c r="E1390" s="2" t="s">
        <v>20</v>
      </c>
      <c r="F1390" s="2" t="s">
        <v>39</v>
      </c>
      <c r="G1390" s="2" t="s">
        <v>80</v>
      </c>
      <c r="H1390" s="2" t="s">
        <v>46</v>
      </c>
      <c r="I1390" s="2" t="s">
        <v>24</v>
      </c>
      <c r="J1390" s="2" t="s">
        <v>2257</v>
      </c>
      <c r="K1390" s="2" t="s">
        <v>5326</v>
      </c>
      <c r="L1390">
        <v>4</v>
      </c>
      <c r="M1390" s="1">
        <v>118000</v>
      </c>
      <c r="N1390">
        <v>4.8</v>
      </c>
      <c r="O1390">
        <v>14</v>
      </c>
      <c r="P1390" s="2" t="s">
        <v>26</v>
      </c>
    </row>
    <row r="1391" spans="1:16" x14ac:dyDescent="0.25">
      <c r="A1391" s="2" t="s">
        <v>5325</v>
      </c>
      <c r="B1391" s="2" t="s">
        <v>989</v>
      </c>
      <c r="C1391" s="2" t="s">
        <v>29</v>
      </c>
      <c r="D1391" s="2" t="s">
        <v>43</v>
      </c>
      <c r="E1391" s="2" t="s">
        <v>20</v>
      </c>
      <c r="F1391" s="2" t="s">
        <v>32</v>
      </c>
      <c r="G1391" s="2" t="s">
        <v>33</v>
      </c>
      <c r="H1391" s="2" t="s">
        <v>23</v>
      </c>
      <c r="I1391" s="2" t="s">
        <v>57</v>
      </c>
      <c r="J1391" s="2" t="s">
        <v>748</v>
      </c>
      <c r="K1391" s="2" t="s">
        <v>5326</v>
      </c>
      <c r="L1391">
        <v>5</v>
      </c>
      <c r="M1391" s="1">
        <v>289000</v>
      </c>
      <c r="N1391">
        <v>3.1</v>
      </c>
      <c r="O1391">
        <v>1</v>
      </c>
      <c r="P1391" s="2" t="s">
        <v>114</v>
      </c>
    </row>
    <row r="1392" spans="1:16" x14ac:dyDescent="0.25">
      <c r="A1392" s="2" t="s">
        <v>5327</v>
      </c>
      <c r="B1392" s="2" t="s">
        <v>5328</v>
      </c>
      <c r="C1392" s="2" t="s">
        <v>29</v>
      </c>
      <c r="D1392" s="2" t="s">
        <v>79</v>
      </c>
      <c r="E1392" s="2" t="s">
        <v>20</v>
      </c>
      <c r="F1392" s="2" t="s">
        <v>32</v>
      </c>
      <c r="G1392" s="2" t="s">
        <v>22</v>
      </c>
      <c r="H1392" s="2" t="s">
        <v>34</v>
      </c>
      <c r="I1392" s="2" t="s">
        <v>24</v>
      </c>
      <c r="J1392" s="2" t="s">
        <v>5329</v>
      </c>
      <c r="K1392" s="2" t="s">
        <v>2983</v>
      </c>
      <c r="L1392">
        <v>4</v>
      </c>
      <c r="M1392" s="1">
        <v>212000</v>
      </c>
      <c r="N1392">
        <v>2.8</v>
      </c>
      <c r="O1392">
        <v>0</v>
      </c>
      <c r="P1392" s="2" t="s">
        <v>26</v>
      </c>
    </row>
    <row r="1393" spans="1:16" x14ac:dyDescent="0.25">
      <c r="A1393" s="2" t="s">
        <v>5332</v>
      </c>
      <c r="B1393" s="2" t="s">
        <v>5333</v>
      </c>
      <c r="C1393" s="2" t="s">
        <v>18</v>
      </c>
      <c r="D1393" s="2" t="s">
        <v>30</v>
      </c>
      <c r="E1393" s="2" t="s">
        <v>44</v>
      </c>
      <c r="F1393" s="2" t="s">
        <v>32</v>
      </c>
      <c r="G1393" s="2" t="s">
        <v>80</v>
      </c>
      <c r="H1393" s="2" t="s">
        <v>34</v>
      </c>
      <c r="I1393" s="2" t="s">
        <v>57</v>
      </c>
      <c r="J1393" s="2" t="s">
        <v>2920</v>
      </c>
      <c r="K1393" s="2" t="s">
        <v>2983</v>
      </c>
      <c r="L1393">
        <v>4</v>
      </c>
      <c r="M1393" s="1">
        <v>201000</v>
      </c>
      <c r="N1393">
        <v>1.5</v>
      </c>
      <c r="O1393">
        <v>11</v>
      </c>
      <c r="P1393" s="2" t="s">
        <v>53</v>
      </c>
    </row>
    <row r="1394" spans="1:16" x14ac:dyDescent="0.25">
      <c r="A1394" s="2" t="s">
        <v>5334</v>
      </c>
      <c r="B1394" s="2" t="s">
        <v>5335</v>
      </c>
      <c r="C1394" s="2" t="s">
        <v>18</v>
      </c>
      <c r="D1394" s="2" t="s">
        <v>79</v>
      </c>
      <c r="E1394" s="2" t="s">
        <v>20</v>
      </c>
      <c r="F1394" s="2" t="s">
        <v>32</v>
      </c>
      <c r="G1394" s="2" t="s">
        <v>69</v>
      </c>
      <c r="H1394" s="2" t="s">
        <v>34</v>
      </c>
      <c r="I1394" s="2" t="s">
        <v>24</v>
      </c>
      <c r="J1394" s="2" t="s">
        <v>4184</v>
      </c>
      <c r="K1394" s="2" t="s">
        <v>5337</v>
      </c>
      <c r="L1394">
        <v>3</v>
      </c>
      <c r="M1394" s="1">
        <v>225000</v>
      </c>
      <c r="N1394">
        <v>4.7</v>
      </c>
      <c r="O1394">
        <v>2</v>
      </c>
      <c r="P1394" s="2" t="s">
        <v>26</v>
      </c>
    </row>
    <row r="1395" spans="1:16" x14ac:dyDescent="0.25">
      <c r="A1395" s="2" t="s">
        <v>5336</v>
      </c>
      <c r="B1395" s="2" t="s">
        <v>1125</v>
      </c>
      <c r="C1395" s="2" t="s">
        <v>18</v>
      </c>
      <c r="D1395" s="2" t="s">
        <v>50</v>
      </c>
      <c r="E1395" s="2" t="s">
        <v>20</v>
      </c>
      <c r="F1395" s="2" t="s">
        <v>21</v>
      </c>
      <c r="G1395" s="2" t="s">
        <v>33</v>
      </c>
      <c r="H1395" s="2" t="s">
        <v>62</v>
      </c>
      <c r="I1395" s="2" t="s">
        <v>24</v>
      </c>
      <c r="J1395" s="2" t="s">
        <v>4651</v>
      </c>
      <c r="K1395" s="2" t="s">
        <v>5337</v>
      </c>
      <c r="L1395">
        <v>3</v>
      </c>
      <c r="M1395" s="1">
        <v>890000</v>
      </c>
      <c r="N1395">
        <v>3.2</v>
      </c>
      <c r="O1395">
        <v>0</v>
      </c>
      <c r="P1395" s="2" t="s">
        <v>72</v>
      </c>
    </row>
    <row r="1396" spans="1:16" x14ac:dyDescent="0.25">
      <c r="A1396" s="2" t="s">
        <v>5340</v>
      </c>
      <c r="B1396" s="2" t="s">
        <v>5341</v>
      </c>
      <c r="C1396" s="2" t="s">
        <v>29</v>
      </c>
      <c r="D1396" s="2" t="s">
        <v>30</v>
      </c>
      <c r="E1396" s="2" t="s">
        <v>20</v>
      </c>
      <c r="F1396" s="2" t="s">
        <v>39</v>
      </c>
      <c r="G1396" s="2" t="s">
        <v>33</v>
      </c>
      <c r="H1396" s="2" t="s">
        <v>46</v>
      </c>
      <c r="I1396" s="2" t="s">
        <v>171</v>
      </c>
      <c r="J1396" s="2" t="s">
        <v>2559</v>
      </c>
      <c r="K1396" s="2" t="s">
        <v>2600</v>
      </c>
      <c r="L1396">
        <v>5</v>
      </c>
      <c r="M1396" s="1">
        <v>149000</v>
      </c>
      <c r="N1396">
        <v>2.9</v>
      </c>
      <c r="O1396">
        <v>5</v>
      </c>
      <c r="P1396" s="2" t="s">
        <v>53</v>
      </c>
    </row>
    <row r="1397" spans="1:16" x14ac:dyDescent="0.25">
      <c r="A1397" s="2" t="s">
        <v>5342</v>
      </c>
      <c r="B1397" s="2" t="s">
        <v>5343</v>
      </c>
      <c r="C1397" s="2" t="s">
        <v>29</v>
      </c>
      <c r="D1397" s="2" t="s">
        <v>30</v>
      </c>
      <c r="E1397" s="2" t="s">
        <v>31</v>
      </c>
      <c r="F1397" s="2" t="s">
        <v>32</v>
      </c>
      <c r="G1397" s="2" t="s">
        <v>22</v>
      </c>
      <c r="H1397" s="2" t="s">
        <v>34</v>
      </c>
      <c r="I1397" s="2" t="s">
        <v>35</v>
      </c>
      <c r="J1397" s="2" t="s">
        <v>859</v>
      </c>
      <c r="K1397" s="2" t="s">
        <v>638</v>
      </c>
      <c r="L1397">
        <v>2</v>
      </c>
      <c r="M1397" s="1">
        <v>190000</v>
      </c>
      <c r="N1397">
        <v>1.6</v>
      </c>
      <c r="O1397">
        <v>2</v>
      </c>
      <c r="P1397" s="2" t="s">
        <v>53</v>
      </c>
    </row>
    <row r="1398" spans="1:16" x14ac:dyDescent="0.25">
      <c r="A1398" s="2" t="s">
        <v>5344</v>
      </c>
      <c r="B1398" s="2" t="s">
        <v>5236</v>
      </c>
      <c r="C1398" s="2" t="s">
        <v>18</v>
      </c>
      <c r="D1398" s="2" t="s">
        <v>50</v>
      </c>
      <c r="E1398" s="2" t="s">
        <v>20</v>
      </c>
      <c r="F1398" s="2" t="s">
        <v>32</v>
      </c>
      <c r="G1398" s="2" t="s">
        <v>22</v>
      </c>
      <c r="H1398" s="2" t="s">
        <v>46</v>
      </c>
      <c r="I1398" s="2" t="s">
        <v>171</v>
      </c>
      <c r="J1398" s="2" t="s">
        <v>1614</v>
      </c>
      <c r="K1398" s="2" t="s">
        <v>3748</v>
      </c>
      <c r="L1398">
        <v>3</v>
      </c>
      <c r="M1398" s="1">
        <v>212000</v>
      </c>
      <c r="N1398">
        <v>3.4</v>
      </c>
      <c r="O1398">
        <v>35</v>
      </c>
      <c r="P1398" s="2" t="s">
        <v>26</v>
      </c>
    </row>
    <row r="1399" spans="1:16" x14ac:dyDescent="0.25">
      <c r="A1399" s="2" t="s">
        <v>5345</v>
      </c>
      <c r="B1399" s="2" t="s">
        <v>5346</v>
      </c>
      <c r="C1399" s="2" t="s">
        <v>18</v>
      </c>
      <c r="D1399" s="2" t="s">
        <v>50</v>
      </c>
      <c r="E1399" s="2" t="s">
        <v>44</v>
      </c>
      <c r="F1399" s="2" t="s">
        <v>21</v>
      </c>
      <c r="G1399" s="2" t="s">
        <v>22</v>
      </c>
      <c r="H1399" s="2" t="s">
        <v>46</v>
      </c>
      <c r="I1399" s="2" t="s">
        <v>57</v>
      </c>
      <c r="J1399" s="2" t="s">
        <v>4373</v>
      </c>
      <c r="K1399" s="2" t="s">
        <v>3748</v>
      </c>
      <c r="L1399">
        <v>4</v>
      </c>
      <c r="M1399" s="1">
        <v>732000</v>
      </c>
      <c r="N1399">
        <v>3.9</v>
      </c>
      <c r="O1399">
        <v>6</v>
      </c>
      <c r="P1399" s="2" t="s">
        <v>26</v>
      </c>
    </row>
    <row r="1400" spans="1:16" x14ac:dyDescent="0.25">
      <c r="A1400" s="2" t="s">
        <v>5347</v>
      </c>
      <c r="B1400" s="2" t="s">
        <v>5348</v>
      </c>
      <c r="C1400" s="2" t="s">
        <v>29</v>
      </c>
      <c r="D1400" s="2" t="s">
        <v>79</v>
      </c>
      <c r="E1400" s="2" t="s">
        <v>20</v>
      </c>
      <c r="F1400" s="2" t="s">
        <v>32</v>
      </c>
      <c r="G1400" s="2" t="s">
        <v>22</v>
      </c>
      <c r="H1400" s="2" t="s">
        <v>34</v>
      </c>
      <c r="I1400" s="2" t="s">
        <v>35</v>
      </c>
      <c r="J1400" s="2" t="s">
        <v>2375</v>
      </c>
      <c r="K1400" s="2" t="s">
        <v>3748</v>
      </c>
      <c r="L1400">
        <v>4</v>
      </c>
      <c r="M1400" s="1">
        <v>263000</v>
      </c>
      <c r="N1400">
        <v>5</v>
      </c>
      <c r="O1400">
        <v>14</v>
      </c>
      <c r="P1400" s="2" t="s">
        <v>26</v>
      </c>
    </row>
    <row r="1401" spans="1:16" x14ac:dyDescent="0.25">
      <c r="A1401" s="2" t="s">
        <v>5352</v>
      </c>
      <c r="B1401" s="2" t="s">
        <v>1588</v>
      </c>
      <c r="C1401" s="2" t="s">
        <v>29</v>
      </c>
      <c r="D1401" s="2" t="s">
        <v>30</v>
      </c>
      <c r="E1401" s="2" t="s">
        <v>20</v>
      </c>
      <c r="F1401" s="2" t="s">
        <v>21</v>
      </c>
      <c r="G1401" s="2" t="s">
        <v>80</v>
      </c>
      <c r="H1401" s="2" t="s">
        <v>23</v>
      </c>
      <c r="I1401" s="2" t="s">
        <v>24</v>
      </c>
      <c r="J1401" s="2" t="s">
        <v>1537</v>
      </c>
      <c r="K1401" s="2" t="s">
        <v>3748</v>
      </c>
      <c r="L1401">
        <v>4</v>
      </c>
      <c r="M1401" s="1">
        <v>806000</v>
      </c>
      <c r="N1401">
        <v>4</v>
      </c>
      <c r="O1401">
        <v>4</v>
      </c>
      <c r="P1401" s="2" t="s">
        <v>53</v>
      </c>
    </row>
    <row r="1402" spans="1:16" x14ac:dyDescent="0.25">
      <c r="A1402" s="2" t="s">
        <v>5353</v>
      </c>
      <c r="B1402" s="2" t="s">
        <v>2039</v>
      </c>
      <c r="C1402" s="2" t="s">
        <v>29</v>
      </c>
      <c r="D1402" s="2" t="s">
        <v>79</v>
      </c>
      <c r="E1402" s="2" t="s">
        <v>31</v>
      </c>
      <c r="F1402" s="2" t="s">
        <v>32</v>
      </c>
      <c r="G1402" s="2" t="s">
        <v>33</v>
      </c>
      <c r="H1402" s="2" t="s">
        <v>62</v>
      </c>
      <c r="I1402" s="2" t="s">
        <v>35</v>
      </c>
      <c r="J1402" s="2" t="s">
        <v>112</v>
      </c>
      <c r="K1402" s="2" t="s">
        <v>5362</v>
      </c>
      <c r="L1402">
        <v>3</v>
      </c>
      <c r="M1402" s="1">
        <v>253000</v>
      </c>
      <c r="N1402">
        <v>3.6</v>
      </c>
      <c r="O1402">
        <v>14</v>
      </c>
      <c r="P1402" s="2" t="s">
        <v>26</v>
      </c>
    </row>
    <row r="1403" spans="1:16" x14ac:dyDescent="0.25">
      <c r="A1403" s="2" t="s">
        <v>5357</v>
      </c>
      <c r="B1403" s="2" t="s">
        <v>5358</v>
      </c>
      <c r="C1403" s="2" t="s">
        <v>18</v>
      </c>
      <c r="D1403" s="2" t="s">
        <v>19</v>
      </c>
      <c r="E1403" s="2" t="s">
        <v>44</v>
      </c>
      <c r="F1403" s="2" t="s">
        <v>39</v>
      </c>
      <c r="G1403" s="2" t="s">
        <v>22</v>
      </c>
      <c r="H1403" s="2" t="s">
        <v>46</v>
      </c>
      <c r="I1403" s="2" t="s">
        <v>24</v>
      </c>
      <c r="J1403" s="2" t="s">
        <v>1814</v>
      </c>
      <c r="K1403" s="2" t="s">
        <v>5362</v>
      </c>
      <c r="L1403">
        <v>6</v>
      </c>
      <c r="M1403" s="1">
        <v>159000</v>
      </c>
      <c r="N1403">
        <v>4.0999999999999996</v>
      </c>
      <c r="O1403">
        <v>13</v>
      </c>
      <c r="P1403" s="2" t="s">
        <v>26</v>
      </c>
    </row>
    <row r="1404" spans="1:16" x14ac:dyDescent="0.25">
      <c r="A1404" s="2" t="s">
        <v>5359</v>
      </c>
      <c r="B1404" s="2" t="s">
        <v>5360</v>
      </c>
      <c r="C1404" s="2" t="s">
        <v>29</v>
      </c>
      <c r="D1404" s="2" t="s">
        <v>50</v>
      </c>
      <c r="E1404" s="2" t="s">
        <v>31</v>
      </c>
      <c r="F1404" s="2" t="s">
        <v>128</v>
      </c>
      <c r="G1404" s="2" t="s">
        <v>80</v>
      </c>
      <c r="H1404" s="2" t="s">
        <v>46</v>
      </c>
      <c r="I1404" s="2" t="s">
        <v>57</v>
      </c>
      <c r="J1404" s="2" t="s">
        <v>5361</v>
      </c>
      <c r="K1404" s="2" t="s">
        <v>5362</v>
      </c>
      <c r="L1404">
        <v>5</v>
      </c>
      <c r="M1404" s="1">
        <v>580000</v>
      </c>
      <c r="N1404">
        <v>3.6</v>
      </c>
      <c r="O1404">
        <v>12</v>
      </c>
      <c r="P1404" s="2" t="s">
        <v>53</v>
      </c>
    </row>
    <row r="1405" spans="1:16" x14ac:dyDescent="0.25">
      <c r="A1405" s="2" t="s">
        <v>5363</v>
      </c>
      <c r="B1405" s="2" t="s">
        <v>3874</v>
      </c>
      <c r="C1405" s="2" t="s">
        <v>29</v>
      </c>
      <c r="D1405" s="2" t="s">
        <v>50</v>
      </c>
      <c r="E1405" s="2" t="s">
        <v>20</v>
      </c>
      <c r="F1405" s="2" t="s">
        <v>39</v>
      </c>
      <c r="G1405" s="2" t="s">
        <v>33</v>
      </c>
      <c r="H1405" s="2" t="s">
        <v>23</v>
      </c>
      <c r="I1405" s="2" t="s">
        <v>57</v>
      </c>
      <c r="J1405" s="2" t="s">
        <v>5364</v>
      </c>
      <c r="K1405" s="2" t="s">
        <v>5372</v>
      </c>
      <c r="L1405">
        <v>6</v>
      </c>
      <c r="M1405" s="1">
        <v>87000</v>
      </c>
      <c r="N1405">
        <v>2.1</v>
      </c>
      <c r="O1405">
        <v>0</v>
      </c>
      <c r="P1405" s="2" t="s">
        <v>26</v>
      </c>
    </row>
    <row r="1406" spans="1:16" x14ac:dyDescent="0.25">
      <c r="A1406" s="2" t="s">
        <v>5365</v>
      </c>
      <c r="B1406" s="2" t="s">
        <v>5366</v>
      </c>
      <c r="C1406" s="2" t="s">
        <v>29</v>
      </c>
      <c r="D1406" s="2" t="s">
        <v>30</v>
      </c>
      <c r="E1406" s="2" t="s">
        <v>20</v>
      </c>
      <c r="F1406" s="2" t="s">
        <v>32</v>
      </c>
      <c r="G1406" s="2" t="s">
        <v>33</v>
      </c>
      <c r="H1406" s="2" t="s">
        <v>46</v>
      </c>
      <c r="I1406" s="2" t="s">
        <v>24</v>
      </c>
      <c r="J1406" s="2" t="s">
        <v>5367</v>
      </c>
      <c r="K1406" s="2" t="s">
        <v>5372</v>
      </c>
      <c r="L1406">
        <v>6</v>
      </c>
      <c r="M1406" s="1">
        <v>275000</v>
      </c>
      <c r="N1406">
        <v>4.3</v>
      </c>
      <c r="O1406">
        <v>0</v>
      </c>
      <c r="P1406" s="2" t="s">
        <v>26</v>
      </c>
    </row>
    <row r="1407" spans="1:16" x14ac:dyDescent="0.25">
      <c r="A1407" s="2" t="s">
        <v>5368</v>
      </c>
      <c r="B1407" s="2" t="s">
        <v>5369</v>
      </c>
      <c r="C1407" s="2" t="s">
        <v>29</v>
      </c>
      <c r="D1407" s="2" t="s">
        <v>79</v>
      </c>
      <c r="E1407" s="2" t="s">
        <v>44</v>
      </c>
      <c r="F1407" s="2" t="s">
        <v>32</v>
      </c>
      <c r="G1407" s="2" t="s">
        <v>22</v>
      </c>
      <c r="H1407" s="2" t="s">
        <v>34</v>
      </c>
      <c r="I1407" s="2" t="s">
        <v>35</v>
      </c>
      <c r="J1407" s="2" t="s">
        <v>5370</v>
      </c>
      <c r="K1407" s="2" t="s">
        <v>5372</v>
      </c>
      <c r="L1407">
        <v>6</v>
      </c>
      <c r="M1407" s="1">
        <v>297000</v>
      </c>
      <c r="N1407">
        <v>4.9000000000000004</v>
      </c>
      <c r="O1407">
        <v>30</v>
      </c>
      <c r="P1407" s="2" t="s">
        <v>26</v>
      </c>
    </row>
    <row r="1408" spans="1:16" x14ac:dyDescent="0.25">
      <c r="A1408" s="2" t="s">
        <v>5371</v>
      </c>
      <c r="B1408" s="2" t="s">
        <v>191</v>
      </c>
      <c r="C1408" s="2" t="s">
        <v>18</v>
      </c>
      <c r="D1408" s="2" t="s">
        <v>43</v>
      </c>
      <c r="E1408" s="2" t="s">
        <v>31</v>
      </c>
      <c r="F1408" s="2" t="s">
        <v>32</v>
      </c>
      <c r="G1408" s="2" t="s">
        <v>80</v>
      </c>
      <c r="H1408" s="2" t="s">
        <v>23</v>
      </c>
      <c r="I1408" s="2" t="s">
        <v>24</v>
      </c>
      <c r="J1408" s="2" t="s">
        <v>4020</v>
      </c>
      <c r="K1408" s="2" t="s">
        <v>5372</v>
      </c>
      <c r="L1408">
        <v>5</v>
      </c>
      <c r="M1408" s="1">
        <v>180000</v>
      </c>
      <c r="N1408">
        <v>4.5999999999999996</v>
      </c>
      <c r="O1408">
        <v>25</v>
      </c>
      <c r="P1408" s="2" t="s">
        <v>72</v>
      </c>
    </row>
    <row r="1409" spans="1:16" x14ac:dyDescent="0.25">
      <c r="A1409" s="2" t="s">
        <v>5373</v>
      </c>
      <c r="B1409" s="2" t="s">
        <v>5374</v>
      </c>
      <c r="C1409" s="2" t="s">
        <v>29</v>
      </c>
      <c r="D1409" s="2" t="s">
        <v>19</v>
      </c>
      <c r="E1409" s="2" t="s">
        <v>20</v>
      </c>
      <c r="F1409" s="2" t="s">
        <v>39</v>
      </c>
      <c r="G1409" s="2" t="s">
        <v>33</v>
      </c>
      <c r="H1409" s="2" t="s">
        <v>23</v>
      </c>
      <c r="I1409" s="2" t="s">
        <v>57</v>
      </c>
      <c r="J1409" s="2" t="s">
        <v>2233</v>
      </c>
      <c r="K1409" s="2" t="s">
        <v>1744</v>
      </c>
      <c r="L1409">
        <v>3</v>
      </c>
      <c r="M1409" s="1">
        <v>116000</v>
      </c>
      <c r="N1409">
        <v>3.4</v>
      </c>
      <c r="O1409">
        <v>0</v>
      </c>
      <c r="P1409" s="2" t="s">
        <v>26</v>
      </c>
    </row>
    <row r="1410" spans="1:16" x14ac:dyDescent="0.25">
      <c r="A1410" s="2" t="s">
        <v>5375</v>
      </c>
      <c r="B1410" s="2" t="s">
        <v>1680</v>
      </c>
      <c r="C1410" s="2" t="s">
        <v>29</v>
      </c>
      <c r="D1410" s="2" t="s">
        <v>50</v>
      </c>
      <c r="E1410" s="2" t="s">
        <v>20</v>
      </c>
      <c r="F1410" s="2" t="s">
        <v>39</v>
      </c>
      <c r="G1410" s="2" t="s">
        <v>69</v>
      </c>
      <c r="H1410" s="2" t="s">
        <v>23</v>
      </c>
      <c r="I1410" s="2" t="s">
        <v>57</v>
      </c>
      <c r="J1410" s="2" t="s">
        <v>5376</v>
      </c>
      <c r="K1410" s="2" t="s">
        <v>1744</v>
      </c>
      <c r="L1410">
        <v>6</v>
      </c>
      <c r="M1410" s="1">
        <v>99000</v>
      </c>
      <c r="N1410">
        <v>4.3</v>
      </c>
      <c r="O1410">
        <v>12</v>
      </c>
      <c r="P1410" s="2" t="s">
        <v>53</v>
      </c>
    </row>
    <row r="1411" spans="1:16" x14ac:dyDescent="0.25">
      <c r="A1411" s="2" t="s">
        <v>5377</v>
      </c>
      <c r="B1411" s="2" t="s">
        <v>4763</v>
      </c>
      <c r="C1411" s="2" t="s">
        <v>29</v>
      </c>
      <c r="D1411" s="2" t="s">
        <v>30</v>
      </c>
      <c r="E1411" s="2" t="s">
        <v>20</v>
      </c>
      <c r="F1411" s="2" t="s">
        <v>39</v>
      </c>
      <c r="G1411" s="2" t="s">
        <v>22</v>
      </c>
      <c r="H1411" s="2" t="s">
        <v>23</v>
      </c>
      <c r="I1411" s="2" t="s">
        <v>57</v>
      </c>
      <c r="J1411" s="2" t="s">
        <v>3117</v>
      </c>
      <c r="K1411" s="2" t="s">
        <v>4578</v>
      </c>
      <c r="L1411">
        <v>2</v>
      </c>
      <c r="M1411" s="1">
        <v>120000</v>
      </c>
      <c r="N1411">
        <v>2.8</v>
      </c>
      <c r="O1411">
        <v>4</v>
      </c>
      <c r="P1411" s="2" t="s">
        <v>53</v>
      </c>
    </row>
    <row r="1412" spans="1:16" x14ac:dyDescent="0.25">
      <c r="A1412" s="2" t="s">
        <v>5378</v>
      </c>
      <c r="B1412" s="2" t="s">
        <v>131</v>
      </c>
      <c r="C1412" s="2" t="s">
        <v>29</v>
      </c>
      <c r="D1412" s="2" t="s">
        <v>50</v>
      </c>
      <c r="E1412" s="2" t="s">
        <v>20</v>
      </c>
      <c r="F1412" s="2" t="s">
        <v>32</v>
      </c>
      <c r="G1412" s="2" t="s">
        <v>33</v>
      </c>
      <c r="H1412" s="2" t="s">
        <v>23</v>
      </c>
      <c r="I1412" s="2" t="s">
        <v>57</v>
      </c>
      <c r="J1412" s="2" t="s">
        <v>4748</v>
      </c>
      <c r="K1412" s="2" t="s">
        <v>2024</v>
      </c>
      <c r="L1412">
        <v>3</v>
      </c>
      <c r="M1412" s="1">
        <v>245000</v>
      </c>
      <c r="N1412">
        <v>4.5999999999999996</v>
      </c>
      <c r="O1412">
        <v>5</v>
      </c>
      <c r="P1412" s="2" t="s">
        <v>53</v>
      </c>
    </row>
    <row r="1413" spans="1:16" x14ac:dyDescent="0.25">
      <c r="A1413" s="2" t="s">
        <v>5379</v>
      </c>
      <c r="B1413" s="2" t="s">
        <v>5380</v>
      </c>
      <c r="C1413" s="2" t="s">
        <v>29</v>
      </c>
      <c r="D1413" s="2" t="s">
        <v>50</v>
      </c>
      <c r="E1413" s="2" t="s">
        <v>20</v>
      </c>
      <c r="F1413" s="2" t="s">
        <v>128</v>
      </c>
      <c r="G1413" s="2" t="s">
        <v>22</v>
      </c>
      <c r="H1413" s="2" t="s">
        <v>46</v>
      </c>
      <c r="I1413" s="2" t="s">
        <v>24</v>
      </c>
      <c r="J1413" s="2" t="s">
        <v>2584</v>
      </c>
      <c r="K1413" s="2" t="s">
        <v>1109</v>
      </c>
      <c r="L1413">
        <v>3</v>
      </c>
      <c r="M1413" s="1">
        <v>595000</v>
      </c>
      <c r="N1413">
        <v>4</v>
      </c>
      <c r="O1413">
        <v>10</v>
      </c>
      <c r="P1413" s="2" t="s">
        <v>26</v>
      </c>
    </row>
    <row r="1414" spans="1:16" x14ac:dyDescent="0.25">
      <c r="A1414" s="2" t="s">
        <v>5381</v>
      </c>
      <c r="B1414" s="2" t="s">
        <v>4577</v>
      </c>
      <c r="C1414" s="2" t="s">
        <v>18</v>
      </c>
      <c r="D1414" s="2" t="s">
        <v>79</v>
      </c>
      <c r="E1414" s="2" t="s">
        <v>44</v>
      </c>
      <c r="F1414" s="2" t="s">
        <v>128</v>
      </c>
      <c r="G1414" s="2" t="s">
        <v>22</v>
      </c>
      <c r="H1414" s="2" t="s">
        <v>34</v>
      </c>
      <c r="I1414" s="2" t="s">
        <v>171</v>
      </c>
      <c r="J1414" s="2" t="s">
        <v>5382</v>
      </c>
      <c r="K1414" s="2" t="s">
        <v>1109</v>
      </c>
      <c r="L1414">
        <v>6</v>
      </c>
      <c r="M1414" s="1">
        <v>497000</v>
      </c>
      <c r="N1414">
        <v>2.5</v>
      </c>
      <c r="O1414">
        <v>2</v>
      </c>
      <c r="P1414" s="2" t="s">
        <v>26</v>
      </c>
    </row>
    <row r="1415" spans="1:16" x14ac:dyDescent="0.25">
      <c r="A1415" s="2" t="s">
        <v>5383</v>
      </c>
      <c r="B1415" s="2" t="s">
        <v>763</v>
      </c>
      <c r="C1415" s="2" t="s">
        <v>29</v>
      </c>
      <c r="D1415" s="2" t="s">
        <v>19</v>
      </c>
      <c r="E1415" s="2" t="s">
        <v>20</v>
      </c>
      <c r="F1415" s="2" t="s">
        <v>128</v>
      </c>
      <c r="G1415" s="2" t="s">
        <v>80</v>
      </c>
      <c r="H1415" s="2" t="s">
        <v>23</v>
      </c>
      <c r="I1415" s="2" t="s">
        <v>57</v>
      </c>
      <c r="J1415" s="2" t="s">
        <v>891</v>
      </c>
      <c r="K1415" s="2" t="s">
        <v>1109</v>
      </c>
      <c r="L1415">
        <v>5</v>
      </c>
      <c r="M1415" s="1">
        <v>461000</v>
      </c>
      <c r="N1415">
        <v>3.8</v>
      </c>
      <c r="O1415">
        <v>40</v>
      </c>
      <c r="P1415" s="2" t="s">
        <v>53</v>
      </c>
    </row>
    <row r="1416" spans="1:16" x14ac:dyDescent="0.25">
      <c r="A1416" s="2" t="s">
        <v>5386</v>
      </c>
      <c r="B1416" s="2" t="s">
        <v>5387</v>
      </c>
      <c r="C1416" s="2" t="s">
        <v>18</v>
      </c>
      <c r="D1416" s="2" t="s">
        <v>30</v>
      </c>
      <c r="E1416" s="2" t="s">
        <v>44</v>
      </c>
      <c r="F1416" s="2" t="s">
        <v>39</v>
      </c>
      <c r="G1416" s="2" t="s">
        <v>33</v>
      </c>
      <c r="H1416" s="2" t="s">
        <v>46</v>
      </c>
      <c r="I1416" s="2" t="s">
        <v>35</v>
      </c>
      <c r="J1416" s="2" t="s">
        <v>129</v>
      </c>
      <c r="K1416" s="2" t="s">
        <v>5388</v>
      </c>
      <c r="L1416">
        <v>2</v>
      </c>
      <c r="M1416" s="1">
        <v>120000</v>
      </c>
      <c r="N1416">
        <v>2.8</v>
      </c>
      <c r="O1416">
        <v>31</v>
      </c>
      <c r="P1416" s="2" t="s">
        <v>53</v>
      </c>
    </row>
    <row r="1417" spans="1:16" x14ac:dyDescent="0.25">
      <c r="A1417" s="2" t="s">
        <v>5389</v>
      </c>
      <c r="B1417" s="2" t="s">
        <v>5390</v>
      </c>
      <c r="C1417" s="2" t="s">
        <v>18</v>
      </c>
      <c r="D1417" s="2" t="s">
        <v>50</v>
      </c>
      <c r="E1417" s="2" t="s">
        <v>20</v>
      </c>
      <c r="F1417" s="2" t="s">
        <v>39</v>
      </c>
      <c r="G1417" s="2" t="s">
        <v>22</v>
      </c>
      <c r="H1417" s="2" t="s">
        <v>34</v>
      </c>
      <c r="I1417" s="2" t="s">
        <v>24</v>
      </c>
      <c r="J1417" s="2" t="s">
        <v>3101</v>
      </c>
      <c r="K1417" s="2" t="s">
        <v>5393</v>
      </c>
      <c r="L1417">
        <v>3</v>
      </c>
      <c r="M1417" s="1">
        <v>137000</v>
      </c>
      <c r="N1417">
        <v>4.5</v>
      </c>
      <c r="O1417">
        <v>13</v>
      </c>
      <c r="P1417" s="2" t="s">
        <v>26</v>
      </c>
    </row>
    <row r="1418" spans="1:16" x14ac:dyDescent="0.25">
      <c r="A1418" s="2" t="s">
        <v>5392</v>
      </c>
      <c r="B1418" s="2" t="s">
        <v>5173</v>
      </c>
      <c r="C1418" s="2" t="s">
        <v>18</v>
      </c>
      <c r="D1418" s="2" t="s">
        <v>79</v>
      </c>
      <c r="E1418" s="2" t="s">
        <v>31</v>
      </c>
      <c r="F1418" s="2" t="s">
        <v>39</v>
      </c>
      <c r="G1418" s="2" t="s">
        <v>80</v>
      </c>
      <c r="H1418" s="2" t="s">
        <v>34</v>
      </c>
      <c r="I1418" s="2" t="s">
        <v>35</v>
      </c>
      <c r="J1418" s="2" t="s">
        <v>815</v>
      </c>
      <c r="K1418" s="2" t="s">
        <v>5393</v>
      </c>
      <c r="L1418">
        <v>2</v>
      </c>
      <c r="M1418" s="1">
        <v>150000</v>
      </c>
      <c r="N1418">
        <v>4.9000000000000004</v>
      </c>
      <c r="O1418">
        <v>7</v>
      </c>
      <c r="P1418" s="2" t="s">
        <v>53</v>
      </c>
    </row>
    <row r="1419" spans="1:16" x14ac:dyDescent="0.25">
      <c r="A1419" s="2" t="s">
        <v>5394</v>
      </c>
      <c r="B1419" s="2" t="s">
        <v>5395</v>
      </c>
      <c r="C1419" s="2" t="s">
        <v>18</v>
      </c>
      <c r="D1419" s="2" t="s">
        <v>30</v>
      </c>
      <c r="E1419" s="2" t="s">
        <v>20</v>
      </c>
      <c r="F1419" s="2" t="s">
        <v>32</v>
      </c>
      <c r="G1419" s="2" t="s">
        <v>22</v>
      </c>
      <c r="H1419" s="2" t="s">
        <v>23</v>
      </c>
      <c r="I1419" s="2" t="s">
        <v>57</v>
      </c>
      <c r="J1419" s="2" t="s">
        <v>2265</v>
      </c>
      <c r="K1419" s="2" t="s">
        <v>113</v>
      </c>
      <c r="L1419">
        <v>4</v>
      </c>
      <c r="M1419" s="1">
        <v>327000</v>
      </c>
      <c r="N1419">
        <v>3.5</v>
      </c>
      <c r="O1419">
        <v>0</v>
      </c>
      <c r="P1419" s="2" t="s">
        <v>53</v>
      </c>
    </row>
    <row r="1420" spans="1:16" x14ac:dyDescent="0.25">
      <c r="A1420" s="2" t="s">
        <v>5396</v>
      </c>
      <c r="B1420" s="2" t="s">
        <v>5397</v>
      </c>
      <c r="C1420" s="2" t="s">
        <v>29</v>
      </c>
      <c r="D1420" s="2" t="s">
        <v>30</v>
      </c>
      <c r="E1420" s="2" t="s">
        <v>44</v>
      </c>
      <c r="F1420" s="2" t="s">
        <v>128</v>
      </c>
      <c r="G1420" s="2" t="s">
        <v>22</v>
      </c>
      <c r="H1420" s="2" t="s">
        <v>46</v>
      </c>
      <c r="I1420" s="2" t="s">
        <v>35</v>
      </c>
      <c r="J1420" s="2" t="s">
        <v>4658</v>
      </c>
      <c r="K1420" s="2" t="s">
        <v>1046</v>
      </c>
      <c r="L1420">
        <v>6</v>
      </c>
      <c r="M1420" s="1">
        <v>590000</v>
      </c>
      <c r="N1420">
        <v>3.5</v>
      </c>
      <c r="O1420">
        <v>19</v>
      </c>
      <c r="P1420" s="2" t="s">
        <v>26</v>
      </c>
    </row>
    <row r="1421" spans="1:16" x14ac:dyDescent="0.25">
      <c r="A1421" s="2" t="s">
        <v>5398</v>
      </c>
      <c r="B1421" s="2" t="s">
        <v>1506</v>
      </c>
      <c r="C1421" s="2" t="s">
        <v>29</v>
      </c>
      <c r="D1421" s="2" t="s">
        <v>50</v>
      </c>
      <c r="E1421" s="2" t="s">
        <v>20</v>
      </c>
      <c r="F1421" s="2" t="s">
        <v>32</v>
      </c>
      <c r="G1421" s="2" t="s">
        <v>22</v>
      </c>
      <c r="H1421" s="2" t="s">
        <v>34</v>
      </c>
      <c r="I1421" s="2" t="s">
        <v>57</v>
      </c>
      <c r="J1421" s="2" t="s">
        <v>4992</v>
      </c>
      <c r="K1421" s="2" t="s">
        <v>1046</v>
      </c>
      <c r="L1421">
        <v>3</v>
      </c>
      <c r="M1421" s="1">
        <v>182000</v>
      </c>
      <c r="N1421">
        <v>4.0999999999999996</v>
      </c>
      <c r="O1421">
        <v>39</v>
      </c>
      <c r="P1421" s="2" t="s">
        <v>26</v>
      </c>
    </row>
    <row r="1422" spans="1:16" x14ac:dyDescent="0.25">
      <c r="A1422" s="2" t="s">
        <v>5399</v>
      </c>
      <c r="B1422" s="2" t="s">
        <v>4036</v>
      </c>
      <c r="C1422" s="2" t="s">
        <v>18</v>
      </c>
      <c r="D1422" s="2" t="s">
        <v>30</v>
      </c>
      <c r="E1422" s="2" t="s">
        <v>20</v>
      </c>
      <c r="F1422" s="2" t="s">
        <v>128</v>
      </c>
      <c r="G1422" s="2" t="s">
        <v>80</v>
      </c>
      <c r="H1422" s="2" t="s">
        <v>34</v>
      </c>
      <c r="I1422" s="2" t="s">
        <v>57</v>
      </c>
      <c r="J1422" s="2" t="s">
        <v>1392</v>
      </c>
      <c r="K1422" s="2" t="s">
        <v>1046</v>
      </c>
      <c r="L1422">
        <v>3</v>
      </c>
      <c r="M1422" s="1">
        <v>545000</v>
      </c>
      <c r="N1422">
        <v>5</v>
      </c>
      <c r="O1422">
        <v>28</v>
      </c>
      <c r="P1422" s="2" t="s">
        <v>114</v>
      </c>
    </row>
    <row r="1423" spans="1:16" x14ac:dyDescent="0.25">
      <c r="A1423" s="2" t="s">
        <v>5400</v>
      </c>
      <c r="B1423" s="2" t="s">
        <v>5401</v>
      </c>
      <c r="C1423" s="2" t="s">
        <v>18</v>
      </c>
      <c r="D1423" s="2" t="s">
        <v>50</v>
      </c>
      <c r="E1423" s="2" t="s">
        <v>20</v>
      </c>
      <c r="F1423" s="2" t="s">
        <v>21</v>
      </c>
      <c r="G1423" s="2" t="s">
        <v>22</v>
      </c>
      <c r="H1423" s="2" t="s">
        <v>46</v>
      </c>
      <c r="I1423" s="2" t="s">
        <v>24</v>
      </c>
      <c r="J1423" s="2" t="s">
        <v>560</v>
      </c>
      <c r="K1423" s="2" t="s">
        <v>723</v>
      </c>
      <c r="L1423">
        <v>2</v>
      </c>
      <c r="M1423" s="1">
        <v>779000</v>
      </c>
      <c r="N1423">
        <v>5</v>
      </c>
      <c r="O1423">
        <v>11</v>
      </c>
      <c r="P1423" s="2" t="s">
        <v>26</v>
      </c>
    </row>
    <row r="1424" spans="1:16" x14ac:dyDescent="0.25">
      <c r="A1424" s="2" t="s">
        <v>5402</v>
      </c>
      <c r="B1424" s="2" t="s">
        <v>954</v>
      </c>
      <c r="C1424" s="2" t="s">
        <v>18</v>
      </c>
      <c r="D1424" s="2" t="s">
        <v>79</v>
      </c>
      <c r="E1424" s="2" t="s">
        <v>44</v>
      </c>
      <c r="F1424" s="2" t="s">
        <v>32</v>
      </c>
      <c r="G1424" s="2" t="s">
        <v>22</v>
      </c>
      <c r="H1424" s="2" t="s">
        <v>46</v>
      </c>
      <c r="I1424" s="2" t="s">
        <v>35</v>
      </c>
      <c r="J1424" s="2" t="s">
        <v>2965</v>
      </c>
      <c r="K1424" s="2" t="s">
        <v>723</v>
      </c>
      <c r="L1424">
        <v>6</v>
      </c>
      <c r="M1424" s="1">
        <v>219000</v>
      </c>
      <c r="N1424">
        <v>4.9000000000000004</v>
      </c>
      <c r="O1424">
        <v>4</v>
      </c>
      <c r="P1424" s="2" t="s">
        <v>26</v>
      </c>
    </row>
    <row r="1425" spans="1:16" x14ac:dyDescent="0.25">
      <c r="A1425" s="2" t="s">
        <v>5407</v>
      </c>
      <c r="B1425" s="2" t="s">
        <v>5408</v>
      </c>
      <c r="C1425" s="2" t="s">
        <v>29</v>
      </c>
      <c r="D1425" s="2" t="s">
        <v>50</v>
      </c>
      <c r="E1425" s="2" t="s">
        <v>31</v>
      </c>
      <c r="F1425" s="2" t="s">
        <v>128</v>
      </c>
      <c r="G1425" s="2" t="s">
        <v>22</v>
      </c>
      <c r="H1425" s="2" t="s">
        <v>23</v>
      </c>
      <c r="I1425" s="2" t="s">
        <v>57</v>
      </c>
      <c r="J1425" s="2" t="s">
        <v>5409</v>
      </c>
      <c r="K1425" s="2" t="s">
        <v>723</v>
      </c>
      <c r="L1425">
        <v>3</v>
      </c>
      <c r="M1425" s="1">
        <v>450000</v>
      </c>
      <c r="N1425">
        <v>4.5</v>
      </c>
      <c r="O1425">
        <v>8</v>
      </c>
      <c r="P1425" s="2" t="s">
        <v>26</v>
      </c>
    </row>
    <row r="1426" spans="1:16" x14ac:dyDescent="0.25">
      <c r="A1426" s="2" t="s">
        <v>5413</v>
      </c>
      <c r="B1426" s="2" t="s">
        <v>237</v>
      </c>
      <c r="C1426" s="2" t="s">
        <v>18</v>
      </c>
      <c r="D1426" s="2" t="s">
        <v>30</v>
      </c>
      <c r="E1426" s="2" t="s">
        <v>20</v>
      </c>
      <c r="F1426" s="2" t="s">
        <v>32</v>
      </c>
      <c r="G1426" s="2" t="s">
        <v>22</v>
      </c>
      <c r="H1426" s="2" t="s">
        <v>23</v>
      </c>
      <c r="I1426" s="2" t="s">
        <v>24</v>
      </c>
      <c r="J1426" s="2" t="s">
        <v>98</v>
      </c>
      <c r="K1426" s="2" t="s">
        <v>723</v>
      </c>
      <c r="L1426">
        <v>7</v>
      </c>
      <c r="M1426" s="1">
        <v>319000</v>
      </c>
      <c r="N1426">
        <v>4.3</v>
      </c>
      <c r="O1426">
        <v>40</v>
      </c>
      <c r="P1426" s="2" t="s">
        <v>26</v>
      </c>
    </row>
    <row r="1427" spans="1:16" x14ac:dyDescent="0.25">
      <c r="A1427" s="2" t="s">
        <v>5414</v>
      </c>
      <c r="B1427" s="2" t="s">
        <v>5415</v>
      </c>
      <c r="C1427" s="2" t="s">
        <v>29</v>
      </c>
      <c r="D1427" s="2" t="s">
        <v>50</v>
      </c>
      <c r="E1427" s="2" t="s">
        <v>31</v>
      </c>
      <c r="F1427" s="2" t="s">
        <v>39</v>
      </c>
      <c r="G1427" s="2" t="s">
        <v>80</v>
      </c>
      <c r="H1427" s="2" t="s">
        <v>34</v>
      </c>
      <c r="I1427" s="2" t="s">
        <v>35</v>
      </c>
      <c r="J1427" s="2" t="s">
        <v>5416</v>
      </c>
      <c r="K1427" s="2" t="s">
        <v>723</v>
      </c>
      <c r="L1427">
        <v>6</v>
      </c>
      <c r="M1427" s="1">
        <v>180000</v>
      </c>
      <c r="N1427">
        <v>4.9000000000000004</v>
      </c>
      <c r="O1427">
        <v>9</v>
      </c>
      <c r="P1427" s="2" t="s">
        <v>26</v>
      </c>
    </row>
    <row r="1428" spans="1:16" x14ac:dyDescent="0.25">
      <c r="A1428" s="2" t="s">
        <v>5417</v>
      </c>
      <c r="B1428" s="2" t="s">
        <v>4200</v>
      </c>
      <c r="C1428" s="2" t="s">
        <v>29</v>
      </c>
      <c r="D1428" s="2" t="s">
        <v>50</v>
      </c>
      <c r="E1428" s="2" t="s">
        <v>20</v>
      </c>
      <c r="F1428" s="2" t="s">
        <v>39</v>
      </c>
      <c r="G1428" s="2" t="s">
        <v>22</v>
      </c>
      <c r="H1428" s="2" t="s">
        <v>23</v>
      </c>
      <c r="I1428" s="2" t="s">
        <v>57</v>
      </c>
      <c r="J1428" s="2" t="s">
        <v>5418</v>
      </c>
      <c r="K1428" s="2" t="s">
        <v>723</v>
      </c>
      <c r="L1428">
        <v>6</v>
      </c>
      <c r="M1428" s="1">
        <v>118000</v>
      </c>
      <c r="N1428">
        <v>4.5999999999999996</v>
      </c>
      <c r="O1428">
        <v>6</v>
      </c>
      <c r="P1428" s="2" t="s">
        <v>26</v>
      </c>
    </row>
    <row r="1429" spans="1:16" x14ac:dyDescent="0.25">
      <c r="A1429" s="2" t="s">
        <v>5419</v>
      </c>
      <c r="B1429" s="2" t="s">
        <v>2142</v>
      </c>
      <c r="C1429" s="2" t="s">
        <v>18</v>
      </c>
      <c r="D1429" s="2" t="s">
        <v>50</v>
      </c>
      <c r="E1429" s="2" t="s">
        <v>20</v>
      </c>
      <c r="F1429" s="2" t="s">
        <v>128</v>
      </c>
      <c r="G1429" s="2" t="s">
        <v>22</v>
      </c>
      <c r="H1429" s="2" t="s">
        <v>62</v>
      </c>
      <c r="I1429" s="2" t="s">
        <v>35</v>
      </c>
      <c r="J1429" s="2" t="s">
        <v>3443</v>
      </c>
      <c r="K1429" s="2" t="s">
        <v>723</v>
      </c>
      <c r="L1429">
        <v>5</v>
      </c>
      <c r="M1429" s="1">
        <v>420000</v>
      </c>
      <c r="N1429">
        <v>2.6</v>
      </c>
      <c r="O1429">
        <v>9</v>
      </c>
      <c r="P1429" s="2" t="s">
        <v>26</v>
      </c>
    </row>
    <row r="1430" spans="1:16" x14ac:dyDescent="0.25">
      <c r="A1430" s="2" t="s">
        <v>5420</v>
      </c>
      <c r="B1430" s="2" t="s">
        <v>5274</v>
      </c>
      <c r="C1430" s="2" t="s">
        <v>18</v>
      </c>
      <c r="D1430" s="2" t="s">
        <v>50</v>
      </c>
      <c r="E1430" s="2" t="s">
        <v>20</v>
      </c>
      <c r="F1430" s="2" t="s">
        <v>39</v>
      </c>
      <c r="G1430" s="2" t="s">
        <v>22</v>
      </c>
      <c r="H1430" s="2" t="s">
        <v>46</v>
      </c>
      <c r="I1430" s="2" t="s">
        <v>57</v>
      </c>
      <c r="J1430" s="2" t="s">
        <v>1282</v>
      </c>
      <c r="K1430" s="2" t="s">
        <v>723</v>
      </c>
      <c r="L1430">
        <v>2</v>
      </c>
      <c r="M1430" s="1">
        <v>119000</v>
      </c>
      <c r="N1430">
        <v>3.8</v>
      </c>
      <c r="O1430">
        <v>5</v>
      </c>
      <c r="P1430" s="2" t="s">
        <v>53</v>
      </c>
    </row>
    <row r="1431" spans="1:16" x14ac:dyDescent="0.25">
      <c r="A1431" s="2" t="s">
        <v>5421</v>
      </c>
      <c r="B1431" s="2" t="s">
        <v>5422</v>
      </c>
      <c r="C1431" s="2" t="s">
        <v>18</v>
      </c>
      <c r="D1431" s="2" t="s">
        <v>50</v>
      </c>
      <c r="E1431" s="2" t="s">
        <v>31</v>
      </c>
      <c r="F1431" s="2" t="s">
        <v>32</v>
      </c>
      <c r="G1431" s="2" t="s">
        <v>33</v>
      </c>
      <c r="H1431" s="2" t="s">
        <v>46</v>
      </c>
      <c r="I1431" s="2" t="s">
        <v>24</v>
      </c>
      <c r="J1431" s="2" t="s">
        <v>1471</v>
      </c>
      <c r="K1431" s="2" t="s">
        <v>603</v>
      </c>
      <c r="L1431">
        <v>2</v>
      </c>
      <c r="M1431" s="1">
        <v>218000</v>
      </c>
      <c r="N1431">
        <v>3.7</v>
      </c>
      <c r="O1431">
        <v>8</v>
      </c>
      <c r="P1431" s="2" t="s">
        <v>26</v>
      </c>
    </row>
    <row r="1432" spans="1:16" x14ac:dyDescent="0.25">
      <c r="A1432" s="2" t="s">
        <v>5423</v>
      </c>
      <c r="B1432" s="2" t="s">
        <v>4721</v>
      </c>
      <c r="C1432" s="2" t="s">
        <v>29</v>
      </c>
      <c r="D1432" s="2" t="s">
        <v>79</v>
      </c>
      <c r="E1432" s="2" t="s">
        <v>20</v>
      </c>
      <c r="F1432" s="2" t="s">
        <v>39</v>
      </c>
      <c r="G1432" s="2" t="s">
        <v>33</v>
      </c>
      <c r="H1432" s="2" t="s">
        <v>46</v>
      </c>
      <c r="I1432" s="2" t="s">
        <v>57</v>
      </c>
      <c r="J1432" s="2" t="s">
        <v>5424</v>
      </c>
      <c r="K1432" s="2" t="s">
        <v>603</v>
      </c>
      <c r="L1432">
        <v>5</v>
      </c>
      <c r="M1432" s="1">
        <v>97000</v>
      </c>
      <c r="N1432">
        <v>3.3</v>
      </c>
      <c r="O1432">
        <v>26</v>
      </c>
      <c r="P1432" s="2" t="s">
        <v>114</v>
      </c>
    </row>
    <row r="1433" spans="1:16" x14ac:dyDescent="0.25">
      <c r="A1433" s="2" t="s">
        <v>5425</v>
      </c>
      <c r="B1433" s="2" t="s">
        <v>5426</v>
      </c>
      <c r="C1433" s="2" t="s">
        <v>18</v>
      </c>
      <c r="D1433" s="2" t="s">
        <v>19</v>
      </c>
      <c r="E1433" s="2" t="s">
        <v>44</v>
      </c>
      <c r="F1433" s="2" t="s">
        <v>32</v>
      </c>
      <c r="G1433" s="2" t="s">
        <v>33</v>
      </c>
      <c r="H1433" s="2" t="s">
        <v>46</v>
      </c>
      <c r="I1433" s="2" t="s">
        <v>57</v>
      </c>
      <c r="J1433" s="2" t="s">
        <v>960</v>
      </c>
      <c r="K1433" s="2" t="s">
        <v>1029</v>
      </c>
      <c r="L1433">
        <v>6</v>
      </c>
      <c r="M1433" s="1">
        <v>270000</v>
      </c>
      <c r="N1433">
        <v>4.7</v>
      </c>
      <c r="O1433">
        <v>6</v>
      </c>
      <c r="P1433" s="2" t="s">
        <v>72</v>
      </c>
    </row>
    <row r="1434" spans="1:16" x14ac:dyDescent="0.25">
      <c r="A1434" s="2" t="s">
        <v>5427</v>
      </c>
      <c r="B1434" s="2" t="s">
        <v>5428</v>
      </c>
      <c r="C1434" s="2" t="s">
        <v>29</v>
      </c>
      <c r="D1434" s="2" t="s">
        <v>50</v>
      </c>
      <c r="E1434" s="2" t="s">
        <v>44</v>
      </c>
      <c r="F1434" s="2" t="s">
        <v>21</v>
      </c>
      <c r="G1434" s="2" t="s">
        <v>80</v>
      </c>
      <c r="H1434" s="2" t="s">
        <v>23</v>
      </c>
      <c r="I1434" s="2" t="s">
        <v>24</v>
      </c>
      <c r="J1434" s="2" t="s">
        <v>2822</v>
      </c>
      <c r="K1434" s="2" t="s">
        <v>5437</v>
      </c>
      <c r="L1434">
        <v>3</v>
      </c>
      <c r="M1434" s="1">
        <v>918000</v>
      </c>
      <c r="N1434">
        <v>3.6</v>
      </c>
      <c r="O1434">
        <v>1</v>
      </c>
      <c r="P1434" s="2" t="s">
        <v>26</v>
      </c>
    </row>
    <row r="1435" spans="1:16" x14ac:dyDescent="0.25">
      <c r="A1435" s="2" t="s">
        <v>5432</v>
      </c>
      <c r="B1435" s="2" t="s">
        <v>5433</v>
      </c>
      <c r="C1435" s="2" t="s">
        <v>18</v>
      </c>
      <c r="D1435" s="2" t="s">
        <v>19</v>
      </c>
      <c r="E1435" s="2" t="s">
        <v>44</v>
      </c>
      <c r="F1435" s="2" t="s">
        <v>39</v>
      </c>
      <c r="G1435" s="2" t="s">
        <v>22</v>
      </c>
      <c r="H1435" s="2" t="s">
        <v>34</v>
      </c>
      <c r="I1435" s="2" t="s">
        <v>24</v>
      </c>
      <c r="J1435" s="2" t="s">
        <v>3011</v>
      </c>
      <c r="K1435" s="2" t="s">
        <v>5437</v>
      </c>
      <c r="L1435">
        <v>6</v>
      </c>
      <c r="M1435" s="1">
        <v>160000</v>
      </c>
      <c r="N1435">
        <v>3.6</v>
      </c>
      <c r="O1435">
        <v>10</v>
      </c>
      <c r="P1435" s="2" t="s">
        <v>26</v>
      </c>
    </row>
    <row r="1436" spans="1:16" x14ac:dyDescent="0.25">
      <c r="A1436" s="2" t="s">
        <v>5434</v>
      </c>
      <c r="B1436" s="2" t="s">
        <v>5435</v>
      </c>
      <c r="C1436" s="2" t="s">
        <v>29</v>
      </c>
      <c r="D1436" s="2" t="s">
        <v>79</v>
      </c>
      <c r="E1436" s="2" t="s">
        <v>20</v>
      </c>
      <c r="F1436" s="2" t="s">
        <v>32</v>
      </c>
      <c r="G1436" s="2" t="s">
        <v>33</v>
      </c>
      <c r="H1436" s="2" t="s">
        <v>34</v>
      </c>
      <c r="I1436" s="2" t="s">
        <v>24</v>
      </c>
      <c r="J1436" s="2" t="s">
        <v>2617</v>
      </c>
      <c r="K1436" s="2" t="s">
        <v>5437</v>
      </c>
      <c r="L1436">
        <v>3</v>
      </c>
      <c r="M1436" s="1">
        <v>343000</v>
      </c>
      <c r="N1436">
        <v>4.0999999999999996</v>
      </c>
      <c r="O1436">
        <v>8</v>
      </c>
      <c r="P1436" s="2" t="s">
        <v>26</v>
      </c>
    </row>
    <row r="1437" spans="1:16" x14ac:dyDescent="0.25">
      <c r="A1437" s="2" t="s">
        <v>5436</v>
      </c>
      <c r="B1437" s="2" t="s">
        <v>4053</v>
      </c>
      <c r="C1437" s="2" t="s">
        <v>18</v>
      </c>
      <c r="D1437" s="2" t="s">
        <v>50</v>
      </c>
      <c r="E1437" s="2" t="s">
        <v>20</v>
      </c>
      <c r="F1437" s="2" t="s">
        <v>128</v>
      </c>
      <c r="G1437" s="2" t="s">
        <v>80</v>
      </c>
      <c r="H1437" s="2" t="s">
        <v>23</v>
      </c>
      <c r="I1437" s="2" t="s">
        <v>35</v>
      </c>
      <c r="J1437" s="2" t="s">
        <v>2571</v>
      </c>
      <c r="K1437" s="2" t="s">
        <v>5437</v>
      </c>
      <c r="L1437">
        <v>4</v>
      </c>
      <c r="M1437" s="1">
        <v>457000</v>
      </c>
      <c r="N1437">
        <v>4.2</v>
      </c>
      <c r="O1437">
        <v>5</v>
      </c>
      <c r="P1437" s="2" t="s">
        <v>53</v>
      </c>
    </row>
    <row r="1438" spans="1:16" x14ac:dyDescent="0.25">
      <c r="A1438" s="2" t="s">
        <v>5438</v>
      </c>
      <c r="B1438" s="2" t="s">
        <v>1067</v>
      </c>
      <c r="C1438" s="2" t="s">
        <v>29</v>
      </c>
      <c r="D1438" s="2" t="s">
        <v>19</v>
      </c>
      <c r="E1438" s="2" t="s">
        <v>20</v>
      </c>
      <c r="F1438" s="2" t="s">
        <v>32</v>
      </c>
      <c r="G1438" s="2" t="s">
        <v>33</v>
      </c>
      <c r="H1438" s="2" t="s">
        <v>23</v>
      </c>
      <c r="I1438" s="2" t="s">
        <v>35</v>
      </c>
      <c r="J1438" s="2" t="s">
        <v>196</v>
      </c>
      <c r="K1438" s="2" t="s">
        <v>5445</v>
      </c>
      <c r="L1438">
        <v>3</v>
      </c>
      <c r="M1438" s="1">
        <v>330000</v>
      </c>
      <c r="N1438">
        <v>4.5999999999999996</v>
      </c>
      <c r="O1438">
        <v>13</v>
      </c>
      <c r="P1438" s="2" t="s">
        <v>26</v>
      </c>
    </row>
    <row r="1439" spans="1:16" x14ac:dyDescent="0.25">
      <c r="A1439" s="2" t="s">
        <v>5439</v>
      </c>
      <c r="B1439" s="2" t="s">
        <v>5440</v>
      </c>
      <c r="C1439" s="2" t="s">
        <v>29</v>
      </c>
      <c r="D1439" s="2" t="s">
        <v>79</v>
      </c>
      <c r="E1439" s="2" t="s">
        <v>31</v>
      </c>
      <c r="F1439" s="2" t="s">
        <v>39</v>
      </c>
      <c r="G1439" s="2" t="s">
        <v>33</v>
      </c>
      <c r="H1439" s="2" t="s">
        <v>34</v>
      </c>
      <c r="I1439" s="2" t="s">
        <v>24</v>
      </c>
      <c r="J1439" s="2" t="s">
        <v>5441</v>
      </c>
      <c r="K1439" s="2" t="s">
        <v>5445</v>
      </c>
      <c r="L1439">
        <v>3</v>
      </c>
      <c r="M1439" s="1">
        <v>121000</v>
      </c>
      <c r="N1439">
        <v>2.2000000000000002</v>
      </c>
      <c r="O1439">
        <v>2</v>
      </c>
      <c r="P1439" s="2" t="s">
        <v>26</v>
      </c>
    </row>
    <row r="1440" spans="1:16" x14ac:dyDescent="0.25">
      <c r="A1440" s="2" t="s">
        <v>5442</v>
      </c>
      <c r="B1440" s="2" t="s">
        <v>5443</v>
      </c>
      <c r="C1440" s="2" t="s">
        <v>18</v>
      </c>
      <c r="D1440" s="2" t="s">
        <v>43</v>
      </c>
      <c r="E1440" s="2" t="s">
        <v>20</v>
      </c>
      <c r="F1440" s="2" t="s">
        <v>39</v>
      </c>
      <c r="G1440" s="2" t="s">
        <v>22</v>
      </c>
      <c r="H1440" s="2" t="s">
        <v>46</v>
      </c>
      <c r="I1440" s="2" t="s">
        <v>35</v>
      </c>
      <c r="J1440" s="2" t="s">
        <v>5444</v>
      </c>
      <c r="K1440" s="2" t="s">
        <v>5445</v>
      </c>
      <c r="L1440">
        <v>6</v>
      </c>
      <c r="M1440" s="1">
        <v>128000</v>
      </c>
      <c r="N1440">
        <v>4.3</v>
      </c>
      <c r="O1440">
        <v>1</v>
      </c>
      <c r="P1440" s="2" t="s">
        <v>114</v>
      </c>
    </row>
    <row r="1441" spans="1:16" x14ac:dyDescent="0.25">
      <c r="A1441" s="2" t="s">
        <v>5446</v>
      </c>
      <c r="B1441" s="2" t="s">
        <v>4997</v>
      </c>
      <c r="C1441" s="2" t="s">
        <v>18</v>
      </c>
      <c r="D1441" s="2" t="s">
        <v>79</v>
      </c>
      <c r="E1441" s="2" t="s">
        <v>20</v>
      </c>
      <c r="F1441" s="2" t="s">
        <v>39</v>
      </c>
      <c r="G1441" s="2" t="s">
        <v>80</v>
      </c>
      <c r="H1441" s="2" t="s">
        <v>23</v>
      </c>
      <c r="I1441" s="2" t="s">
        <v>57</v>
      </c>
      <c r="J1441" s="2" t="s">
        <v>5055</v>
      </c>
      <c r="K1441" s="2" t="s">
        <v>3986</v>
      </c>
      <c r="L1441">
        <v>5</v>
      </c>
      <c r="M1441" s="1">
        <v>167000</v>
      </c>
      <c r="N1441">
        <v>4.8</v>
      </c>
      <c r="O1441">
        <v>12</v>
      </c>
      <c r="P1441" s="2" t="s">
        <v>26</v>
      </c>
    </row>
    <row r="1442" spans="1:16" x14ac:dyDescent="0.25">
      <c r="A1442" s="2" t="s">
        <v>5447</v>
      </c>
      <c r="B1442" s="2" t="s">
        <v>5448</v>
      </c>
      <c r="C1442" s="2" t="s">
        <v>29</v>
      </c>
      <c r="D1442" s="2" t="s">
        <v>79</v>
      </c>
      <c r="E1442" s="2" t="s">
        <v>31</v>
      </c>
      <c r="F1442" s="2" t="s">
        <v>128</v>
      </c>
      <c r="G1442" s="2" t="s">
        <v>22</v>
      </c>
      <c r="H1442" s="2" t="s">
        <v>23</v>
      </c>
      <c r="I1442" s="2" t="s">
        <v>57</v>
      </c>
      <c r="J1442" s="2" t="s">
        <v>5449</v>
      </c>
      <c r="K1442" s="2" t="s">
        <v>3986</v>
      </c>
      <c r="L1442">
        <v>2</v>
      </c>
      <c r="M1442" s="1">
        <v>423000</v>
      </c>
      <c r="N1442">
        <v>4.5999999999999996</v>
      </c>
      <c r="O1442">
        <v>6</v>
      </c>
      <c r="P1442" s="2" t="s">
        <v>114</v>
      </c>
    </row>
    <row r="1443" spans="1:16" x14ac:dyDescent="0.25">
      <c r="A1443" s="2" t="s">
        <v>5450</v>
      </c>
      <c r="B1443" s="2" t="s">
        <v>1593</v>
      </c>
      <c r="C1443" s="2" t="s">
        <v>18</v>
      </c>
      <c r="D1443" s="2" t="s">
        <v>79</v>
      </c>
      <c r="E1443" s="2" t="s">
        <v>44</v>
      </c>
      <c r="F1443" s="2" t="s">
        <v>128</v>
      </c>
      <c r="G1443" s="2" t="s">
        <v>80</v>
      </c>
      <c r="H1443" s="2" t="s">
        <v>23</v>
      </c>
      <c r="I1443" s="2" t="s">
        <v>35</v>
      </c>
      <c r="J1443" s="2" t="s">
        <v>2252</v>
      </c>
      <c r="K1443" s="2" t="s">
        <v>1394</v>
      </c>
      <c r="L1443">
        <v>3</v>
      </c>
      <c r="M1443" s="1">
        <v>591000</v>
      </c>
      <c r="N1443">
        <v>4.2</v>
      </c>
      <c r="O1443">
        <v>14</v>
      </c>
      <c r="P1443" s="2" t="s">
        <v>26</v>
      </c>
    </row>
    <row r="1444" spans="1:16" x14ac:dyDescent="0.25">
      <c r="A1444" s="2" t="s">
        <v>5451</v>
      </c>
      <c r="B1444" s="2" t="s">
        <v>2018</v>
      </c>
      <c r="C1444" s="2" t="s">
        <v>18</v>
      </c>
      <c r="D1444" s="2" t="s">
        <v>79</v>
      </c>
      <c r="E1444" s="2" t="s">
        <v>44</v>
      </c>
      <c r="F1444" s="2" t="s">
        <v>32</v>
      </c>
      <c r="G1444" s="2" t="s">
        <v>22</v>
      </c>
      <c r="H1444" s="2" t="s">
        <v>23</v>
      </c>
      <c r="I1444" s="2" t="s">
        <v>24</v>
      </c>
      <c r="J1444" s="2" t="s">
        <v>5452</v>
      </c>
      <c r="K1444" s="2" t="s">
        <v>1394</v>
      </c>
      <c r="L1444">
        <v>3</v>
      </c>
      <c r="M1444" s="1">
        <v>225000</v>
      </c>
      <c r="N1444">
        <v>3.9</v>
      </c>
      <c r="O1444">
        <v>7</v>
      </c>
      <c r="P1444" s="2" t="s">
        <v>53</v>
      </c>
    </row>
    <row r="1445" spans="1:16" x14ac:dyDescent="0.25">
      <c r="A1445" s="2" t="s">
        <v>5453</v>
      </c>
      <c r="B1445" s="2" t="s">
        <v>5454</v>
      </c>
      <c r="C1445" s="2" t="s">
        <v>18</v>
      </c>
      <c r="D1445" s="2" t="s">
        <v>43</v>
      </c>
      <c r="E1445" s="2" t="s">
        <v>31</v>
      </c>
      <c r="F1445" s="2" t="s">
        <v>128</v>
      </c>
      <c r="G1445" s="2" t="s">
        <v>33</v>
      </c>
      <c r="H1445" s="2" t="s">
        <v>62</v>
      </c>
      <c r="I1445" s="2" t="s">
        <v>57</v>
      </c>
      <c r="J1445" s="2" t="s">
        <v>920</v>
      </c>
      <c r="K1445" s="2" t="s">
        <v>1768</v>
      </c>
      <c r="L1445">
        <v>5</v>
      </c>
      <c r="M1445" s="1">
        <v>450000</v>
      </c>
      <c r="N1445">
        <v>3.7</v>
      </c>
      <c r="O1445">
        <v>7</v>
      </c>
      <c r="P1445" s="2" t="s">
        <v>53</v>
      </c>
    </row>
    <row r="1446" spans="1:16" x14ac:dyDescent="0.25">
      <c r="A1446" s="2" t="s">
        <v>5459</v>
      </c>
      <c r="B1446" s="2" t="s">
        <v>5460</v>
      </c>
      <c r="C1446" s="2" t="s">
        <v>29</v>
      </c>
      <c r="D1446" s="2" t="s">
        <v>50</v>
      </c>
      <c r="E1446" s="2" t="s">
        <v>20</v>
      </c>
      <c r="F1446" s="2" t="s">
        <v>39</v>
      </c>
      <c r="G1446" s="2" t="s">
        <v>22</v>
      </c>
      <c r="H1446" s="2" t="s">
        <v>34</v>
      </c>
      <c r="I1446" s="2" t="s">
        <v>35</v>
      </c>
      <c r="J1446" s="2" t="s">
        <v>1273</v>
      </c>
      <c r="K1446" s="2" t="s">
        <v>4648</v>
      </c>
      <c r="L1446">
        <v>2</v>
      </c>
      <c r="M1446" s="1">
        <v>89000</v>
      </c>
      <c r="N1446">
        <v>3.5</v>
      </c>
      <c r="O1446">
        <v>10</v>
      </c>
      <c r="P1446" s="2" t="s">
        <v>26</v>
      </c>
    </row>
    <row r="1447" spans="1:16" x14ac:dyDescent="0.25">
      <c r="A1447" s="2" t="s">
        <v>5466</v>
      </c>
      <c r="B1447" s="2" t="s">
        <v>5467</v>
      </c>
      <c r="C1447" s="2" t="s">
        <v>29</v>
      </c>
      <c r="D1447" s="2" t="s">
        <v>19</v>
      </c>
      <c r="E1447" s="2" t="s">
        <v>31</v>
      </c>
      <c r="F1447" s="2" t="s">
        <v>128</v>
      </c>
      <c r="G1447" s="2" t="s">
        <v>80</v>
      </c>
      <c r="H1447" s="2" t="s">
        <v>62</v>
      </c>
      <c r="I1447" s="2" t="s">
        <v>24</v>
      </c>
      <c r="J1447" s="2" t="s">
        <v>5468</v>
      </c>
      <c r="K1447" s="2" t="s">
        <v>4648</v>
      </c>
      <c r="L1447">
        <v>6</v>
      </c>
      <c r="M1447" s="1">
        <v>549000</v>
      </c>
      <c r="N1447">
        <v>5</v>
      </c>
      <c r="O1447">
        <v>11</v>
      </c>
      <c r="P1447" s="2" t="s">
        <v>26</v>
      </c>
    </row>
    <row r="1448" spans="1:16" x14ac:dyDescent="0.25">
      <c r="A1448" s="2" t="s">
        <v>5471</v>
      </c>
      <c r="B1448" s="2" t="s">
        <v>2352</v>
      </c>
      <c r="C1448" s="2" t="s">
        <v>29</v>
      </c>
      <c r="D1448" s="2" t="s">
        <v>43</v>
      </c>
      <c r="E1448" s="2" t="s">
        <v>20</v>
      </c>
      <c r="F1448" s="2" t="s">
        <v>128</v>
      </c>
      <c r="G1448" s="2" t="s">
        <v>33</v>
      </c>
      <c r="H1448" s="2" t="s">
        <v>34</v>
      </c>
      <c r="I1448" s="2" t="s">
        <v>57</v>
      </c>
      <c r="J1448" s="2" t="s">
        <v>4933</v>
      </c>
      <c r="K1448" s="2" t="s">
        <v>4648</v>
      </c>
      <c r="L1448">
        <v>3</v>
      </c>
      <c r="M1448" s="1">
        <v>467000</v>
      </c>
      <c r="N1448">
        <v>4.5999999999999996</v>
      </c>
      <c r="O1448">
        <v>1</v>
      </c>
      <c r="P1448" s="2" t="s">
        <v>26</v>
      </c>
    </row>
    <row r="1449" spans="1:16" x14ac:dyDescent="0.25">
      <c r="A1449" s="2" t="s">
        <v>5473</v>
      </c>
      <c r="B1449" s="2" t="s">
        <v>1104</v>
      </c>
      <c r="C1449" s="2" t="s">
        <v>18</v>
      </c>
      <c r="D1449" s="2" t="s">
        <v>43</v>
      </c>
      <c r="E1449" s="2" t="s">
        <v>20</v>
      </c>
      <c r="F1449" s="2" t="s">
        <v>32</v>
      </c>
      <c r="G1449" s="2" t="s">
        <v>80</v>
      </c>
      <c r="H1449" s="2" t="s">
        <v>46</v>
      </c>
      <c r="I1449" s="2" t="s">
        <v>171</v>
      </c>
      <c r="J1449" s="2" t="s">
        <v>2626</v>
      </c>
      <c r="K1449" s="2" t="s">
        <v>4648</v>
      </c>
      <c r="L1449">
        <v>3</v>
      </c>
      <c r="M1449" s="1">
        <v>251000</v>
      </c>
      <c r="N1449">
        <v>4.7</v>
      </c>
      <c r="O1449">
        <v>11</v>
      </c>
      <c r="P1449" s="2" t="s">
        <v>53</v>
      </c>
    </row>
    <row r="1450" spans="1:16" x14ac:dyDescent="0.25">
      <c r="A1450" s="2" t="s">
        <v>5476</v>
      </c>
      <c r="B1450" s="2" t="s">
        <v>2655</v>
      </c>
      <c r="C1450" s="2" t="s">
        <v>18</v>
      </c>
      <c r="D1450" s="2" t="s">
        <v>50</v>
      </c>
      <c r="E1450" s="2" t="s">
        <v>20</v>
      </c>
      <c r="F1450" s="2" t="s">
        <v>39</v>
      </c>
      <c r="G1450" s="2" t="s">
        <v>22</v>
      </c>
      <c r="H1450" s="2" t="s">
        <v>34</v>
      </c>
      <c r="I1450" s="2" t="s">
        <v>57</v>
      </c>
      <c r="J1450" s="2" t="s">
        <v>4840</v>
      </c>
      <c r="K1450" s="2" t="s">
        <v>1713</v>
      </c>
      <c r="L1450">
        <v>5</v>
      </c>
      <c r="M1450" s="1">
        <v>179000</v>
      </c>
      <c r="N1450">
        <v>4.9000000000000004</v>
      </c>
      <c r="O1450">
        <v>25</v>
      </c>
      <c r="P1450" s="2" t="s">
        <v>26</v>
      </c>
    </row>
    <row r="1451" spans="1:16" x14ac:dyDescent="0.25">
      <c r="A1451" s="2" t="s">
        <v>5479</v>
      </c>
      <c r="B1451" s="2" t="s">
        <v>5480</v>
      </c>
      <c r="C1451" s="2" t="s">
        <v>29</v>
      </c>
      <c r="D1451" s="2" t="s">
        <v>50</v>
      </c>
      <c r="E1451" s="2" t="s">
        <v>44</v>
      </c>
      <c r="F1451" s="2" t="s">
        <v>128</v>
      </c>
      <c r="G1451" s="2" t="s">
        <v>33</v>
      </c>
      <c r="H1451" s="2" t="s">
        <v>23</v>
      </c>
      <c r="I1451" s="2" t="s">
        <v>57</v>
      </c>
      <c r="J1451" s="2" t="s">
        <v>3809</v>
      </c>
      <c r="K1451" s="2" t="s">
        <v>1713</v>
      </c>
      <c r="L1451">
        <v>5</v>
      </c>
      <c r="M1451" s="1">
        <v>486000</v>
      </c>
      <c r="N1451">
        <v>4</v>
      </c>
      <c r="O1451">
        <v>7</v>
      </c>
      <c r="P1451" s="2" t="s">
        <v>26</v>
      </c>
    </row>
    <row r="1452" spans="1:16" x14ac:dyDescent="0.25">
      <c r="A1452" s="2" t="s">
        <v>5481</v>
      </c>
      <c r="B1452" s="2" t="s">
        <v>2515</v>
      </c>
      <c r="C1452" s="2" t="s">
        <v>18</v>
      </c>
      <c r="D1452" s="2" t="s">
        <v>19</v>
      </c>
      <c r="E1452" s="2" t="s">
        <v>20</v>
      </c>
      <c r="F1452" s="2" t="s">
        <v>39</v>
      </c>
      <c r="G1452" s="2" t="s">
        <v>22</v>
      </c>
      <c r="H1452" s="2" t="s">
        <v>34</v>
      </c>
      <c r="I1452" s="2" t="s">
        <v>57</v>
      </c>
      <c r="J1452" s="2" t="s">
        <v>253</v>
      </c>
      <c r="K1452" s="2" t="s">
        <v>1713</v>
      </c>
      <c r="L1452">
        <v>4</v>
      </c>
      <c r="M1452" s="1">
        <v>191000</v>
      </c>
      <c r="N1452">
        <v>2.4</v>
      </c>
      <c r="O1452">
        <v>8</v>
      </c>
      <c r="P1452" s="2" t="s">
        <v>26</v>
      </c>
    </row>
    <row r="1453" spans="1:16" x14ac:dyDescent="0.25">
      <c r="A1453" s="2" t="s">
        <v>5482</v>
      </c>
      <c r="B1453" s="2" t="s">
        <v>1962</v>
      </c>
      <c r="C1453" s="2" t="s">
        <v>29</v>
      </c>
      <c r="D1453" s="2" t="s">
        <v>30</v>
      </c>
      <c r="E1453" s="2" t="s">
        <v>20</v>
      </c>
      <c r="F1453" s="2" t="s">
        <v>32</v>
      </c>
      <c r="G1453" s="2" t="s">
        <v>33</v>
      </c>
      <c r="H1453" s="2" t="s">
        <v>62</v>
      </c>
      <c r="I1453" s="2" t="s">
        <v>35</v>
      </c>
      <c r="J1453" s="2" t="s">
        <v>5483</v>
      </c>
      <c r="K1453" s="2" t="s">
        <v>1713</v>
      </c>
      <c r="L1453">
        <v>2</v>
      </c>
      <c r="M1453" s="1">
        <v>300000</v>
      </c>
      <c r="N1453">
        <v>2.1</v>
      </c>
      <c r="O1453">
        <v>13</v>
      </c>
      <c r="P1453" s="2" t="s">
        <v>72</v>
      </c>
    </row>
    <row r="1454" spans="1:16" x14ac:dyDescent="0.25">
      <c r="A1454" s="2" t="s">
        <v>5484</v>
      </c>
      <c r="B1454" s="2" t="s">
        <v>5221</v>
      </c>
      <c r="C1454" s="2" t="s">
        <v>18</v>
      </c>
      <c r="D1454" s="2" t="s">
        <v>19</v>
      </c>
      <c r="E1454" s="2" t="s">
        <v>20</v>
      </c>
      <c r="F1454" s="2" t="s">
        <v>32</v>
      </c>
      <c r="G1454" s="2" t="s">
        <v>22</v>
      </c>
      <c r="H1454" s="2" t="s">
        <v>23</v>
      </c>
      <c r="I1454" s="2" t="s">
        <v>35</v>
      </c>
      <c r="J1454" s="2" t="s">
        <v>5485</v>
      </c>
      <c r="K1454" s="2" t="s">
        <v>442</v>
      </c>
      <c r="L1454">
        <v>3</v>
      </c>
      <c r="M1454" s="1">
        <v>336000</v>
      </c>
      <c r="N1454">
        <v>2.8</v>
      </c>
      <c r="O1454">
        <v>8</v>
      </c>
      <c r="P1454" s="2" t="s">
        <v>53</v>
      </c>
    </row>
    <row r="1455" spans="1:16" x14ac:dyDescent="0.25">
      <c r="A1455" s="2" t="s">
        <v>5486</v>
      </c>
      <c r="B1455" s="2" t="s">
        <v>2655</v>
      </c>
      <c r="C1455" s="2" t="s">
        <v>18</v>
      </c>
      <c r="D1455" s="2" t="s">
        <v>19</v>
      </c>
      <c r="E1455" s="2" t="s">
        <v>31</v>
      </c>
      <c r="F1455" s="2" t="s">
        <v>128</v>
      </c>
      <c r="G1455" s="2" t="s">
        <v>22</v>
      </c>
      <c r="H1455" s="2" t="s">
        <v>62</v>
      </c>
      <c r="I1455" s="2" t="s">
        <v>57</v>
      </c>
      <c r="J1455" s="2" t="s">
        <v>4307</v>
      </c>
      <c r="K1455" s="2" t="s">
        <v>5493</v>
      </c>
      <c r="L1455">
        <v>4</v>
      </c>
      <c r="M1455" s="1">
        <v>429000</v>
      </c>
      <c r="N1455">
        <v>2.8</v>
      </c>
      <c r="O1455">
        <v>1</v>
      </c>
      <c r="P1455" s="2" t="s">
        <v>26</v>
      </c>
    </row>
    <row r="1456" spans="1:16" x14ac:dyDescent="0.25">
      <c r="A1456" s="2" t="s">
        <v>5487</v>
      </c>
      <c r="B1456" s="2" t="s">
        <v>2899</v>
      </c>
      <c r="C1456" s="2" t="s">
        <v>18</v>
      </c>
      <c r="D1456" s="2" t="s">
        <v>19</v>
      </c>
      <c r="E1456" s="2" t="s">
        <v>44</v>
      </c>
      <c r="F1456" s="2" t="s">
        <v>32</v>
      </c>
      <c r="G1456" s="2" t="s">
        <v>80</v>
      </c>
      <c r="H1456" s="2" t="s">
        <v>34</v>
      </c>
      <c r="I1456" s="2" t="s">
        <v>75</v>
      </c>
      <c r="J1456" s="2" t="s">
        <v>5488</v>
      </c>
      <c r="K1456" s="2" t="s">
        <v>5493</v>
      </c>
      <c r="L1456">
        <v>4</v>
      </c>
      <c r="M1456" s="1">
        <v>333000</v>
      </c>
      <c r="N1456">
        <v>4.2</v>
      </c>
      <c r="O1456">
        <v>5</v>
      </c>
      <c r="P1456" s="2" t="s">
        <v>26</v>
      </c>
    </row>
    <row r="1457" spans="1:16" x14ac:dyDescent="0.25">
      <c r="A1457" s="2" t="s">
        <v>5491</v>
      </c>
      <c r="B1457" s="2" t="s">
        <v>5492</v>
      </c>
      <c r="C1457" s="2" t="s">
        <v>29</v>
      </c>
      <c r="D1457" s="2" t="s">
        <v>50</v>
      </c>
      <c r="E1457" s="2" t="s">
        <v>31</v>
      </c>
      <c r="F1457" s="2" t="s">
        <v>128</v>
      </c>
      <c r="G1457" s="2" t="s">
        <v>22</v>
      </c>
      <c r="H1457" s="2" t="s">
        <v>23</v>
      </c>
      <c r="I1457" s="2" t="s">
        <v>57</v>
      </c>
      <c r="J1457" s="2" t="s">
        <v>984</v>
      </c>
      <c r="K1457" s="2" t="s">
        <v>5493</v>
      </c>
      <c r="L1457">
        <v>5</v>
      </c>
      <c r="M1457" s="1">
        <v>368000</v>
      </c>
      <c r="N1457">
        <v>4.5</v>
      </c>
      <c r="O1457">
        <v>1</v>
      </c>
      <c r="P1457" s="2" t="s">
        <v>53</v>
      </c>
    </row>
    <row r="1458" spans="1:16" x14ac:dyDescent="0.25">
      <c r="A1458" s="2" t="s">
        <v>5495</v>
      </c>
      <c r="B1458" s="2" t="s">
        <v>4874</v>
      </c>
      <c r="C1458" s="2" t="s">
        <v>18</v>
      </c>
      <c r="D1458" s="2" t="s">
        <v>79</v>
      </c>
      <c r="E1458" s="2" t="s">
        <v>20</v>
      </c>
      <c r="F1458" s="2" t="s">
        <v>128</v>
      </c>
      <c r="G1458" s="2" t="s">
        <v>22</v>
      </c>
      <c r="H1458" s="2" t="s">
        <v>23</v>
      </c>
      <c r="I1458" s="2" t="s">
        <v>35</v>
      </c>
      <c r="J1458" s="2" t="s">
        <v>5496</v>
      </c>
      <c r="K1458" s="2" t="s">
        <v>1785</v>
      </c>
      <c r="L1458">
        <v>5</v>
      </c>
      <c r="M1458" s="1">
        <v>393000</v>
      </c>
      <c r="N1458">
        <v>2.9</v>
      </c>
      <c r="O1458">
        <v>8</v>
      </c>
      <c r="P1458" s="2" t="s">
        <v>26</v>
      </c>
    </row>
    <row r="1459" spans="1:16" x14ac:dyDescent="0.25">
      <c r="A1459" s="2" t="s">
        <v>5497</v>
      </c>
      <c r="B1459" s="2" t="s">
        <v>1245</v>
      </c>
      <c r="C1459" s="2" t="s">
        <v>18</v>
      </c>
      <c r="D1459" s="2" t="s">
        <v>30</v>
      </c>
      <c r="E1459" s="2" t="s">
        <v>20</v>
      </c>
      <c r="F1459" s="2" t="s">
        <v>32</v>
      </c>
      <c r="G1459" s="2" t="s">
        <v>69</v>
      </c>
      <c r="H1459" s="2" t="s">
        <v>62</v>
      </c>
      <c r="I1459" s="2" t="s">
        <v>57</v>
      </c>
      <c r="J1459" s="2" t="s">
        <v>3785</v>
      </c>
      <c r="K1459" s="2" t="s">
        <v>1785</v>
      </c>
      <c r="L1459">
        <v>6</v>
      </c>
      <c r="M1459" s="1">
        <v>349000</v>
      </c>
      <c r="N1459">
        <v>4.9000000000000004</v>
      </c>
      <c r="O1459">
        <v>8</v>
      </c>
      <c r="P1459" s="2" t="s">
        <v>53</v>
      </c>
    </row>
    <row r="1460" spans="1:16" x14ac:dyDescent="0.25">
      <c r="A1460" s="2" t="s">
        <v>5498</v>
      </c>
      <c r="B1460" s="2" t="s">
        <v>1329</v>
      </c>
      <c r="C1460" s="2" t="s">
        <v>29</v>
      </c>
      <c r="D1460" s="2" t="s">
        <v>79</v>
      </c>
      <c r="E1460" s="2" t="s">
        <v>20</v>
      </c>
      <c r="F1460" s="2" t="s">
        <v>39</v>
      </c>
      <c r="G1460" s="2" t="s">
        <v>33</v>
      </c>
      <c r="H1460" s="2" t="s">
        <v>46</v>
      </c>
      <c r="I1460" s="2" t="s">
        <v>24</v>
      </c>
      <c r="J1460" s="2" t="s">
        <v>435</v>
      </c>
      <c r="K1460" s="2" t="s">
        <v>3073</v>
      </c>
      <c r="L1460">
        <v>6</v>
      </c>
      <c r="M1460" s="1">
        <v>171000</v>
      </c>
      <c r="N1460">
        <v>4.8</v>
      </c>
      <c r="O1460">
        <v>3</v>
      </c>
      <c r="P1460" s="2" t="s">
        <v>26</v>
      </c>
    </row>
    <row r="1461" spans="1:16" x14ac:dyDescent="0.25">
      <c r="A1461" s="2" t="s">
        <v>5500</v>
      </c>
      <c r="B1461" s="2" t="s">
        <v>1349</v>
      </c>
      <c r="C1461" s="2" t="s">
        <v>18</v>
      </c>
      <c r="D1461" s="2" t="s">
        <v>50</v>
      </c>
      <c r="E1461" s="2" t="s">
        <v>20</v>
      </c>
      <c r="F1461" s="2" t="s">
        <v>32</v>
      </c>
      <c r="G1461" s="2" t="s">
        <v>22</v>
      </c>
      <c r="H1461" s="2" t="s">
        <v>34</v>
      </c>
      <c r="I1461" s="2" t="s">
        <v>35</v>
      </c>
      <c r="J1461" s="2" t="s">
        <v>3350</v>
      </c>
      <c r="K1461" s="2" t="s">
        <v>3073</v>
      </c>
      <c r="L1461">
        <v>6</v>
      </c>
      <c r="M1461" s="1">
        <v>326000</v>
      </c>
      <c r="N1461">
        <v>2.4</v>
      </c>
      <c r="O1461">
        <v>11</v>
      </c>
      <c r="P1461" s="2" t="s">
        <v>26</v>
      </c>
    </row>
    <row r="1462" spans="1:16" x14ac:dyDescent="0.25">
      <c r="A1462" s="2" t="s">
        <v>5504</v>
      </c>
      <c r="B1462" s="2" t="s">
        <v>5505</v>
      </c>
      <c r="C1462" s="2" t="s">
        <v>18</v>
      </c>
      <c r="D1462" s="2" t="s">
        <v>30</v>
      </c>
      <c r="E1462" s="2" t="s">
        <v>20</v>
      </c>
      <c r="F1462" s="2" t="s">
        <v>128</v>
      </c>
      <c r="G1462" s="2" t="s">
        <v>22</v>
      </c>
      <c r="H1462" s="2" t="s">
        <v>34</v>
      </c>
      <c r="I1462" s="2" t="s">
        <v>24</v>
      </c>
      <c r="J1462" s="2" t="s">
        <v>1379</v>
      </c>
      <c r="K1462" s="2" t="s">
        <v>3073</v>
      </c>
      <c r="L1462">
        <v>2</v>
      </c>
      <c r="M1462" s="1">
        <v>441000</v>
      </c>
      <c r="N1462">
        <v>3.3</v>
      </c>
      <c r="O1462">
        <v>16</v>
      </c>
      <c r="P1462" s="2" t="s">
        <v>26</v>
      </c>
    </row>
    <row r="1463" spans="1:16" x14ac:dyDescent="0.25">
      <c r="A1463" s="2" t="s">
        <v>5508</v>
      </c>
      <c r="B1463" s="2" t="s">
        <v>5509</v>
      </c>
      <c r="C1463" s="2" t="s">
        <v>18</v>
      </c>
      <c r="D1463" s="2" t="s">
        <v>30</v>
      </c>
      <c r="E1463" s="2" t="s">
        <v>20</v>
      </c>
      <c r="F1463" s="2" t="s">
        <v>39</v>
      </c>
      <c r="G1463" s="2" t="s">
        <v>22</v>
      </c>
      <c r="H1463" s="2" t="s">
        <v>46</v>
      </c>
      <c r="I1463" s="2" t="s">
        <v>24</v>
      </c>
      <c r="J1463" s="2" t="s">
        <v>5510</v>
      </c>
      <c r="K1463" s="2" t="s">
        <v>3073</v>
      </c>
      <c r="L1463">
        <v>4</v>
      </c>
      <c r="M1463" s="1">
        <v>95000</v>
      </c>
      <c r="N1463">
        <v>2</v>
      </c>
      <c r="O1463">
        <v>11</v>
      </c>
      <c r="P1463" s="2" t="s">
        <v>26</v>
      </c>
    </row>
    <row r="1464" spans="1:16" x14ac:dyDescent="0.25">
      <c r="A1464" s="2" t="s">
        <v>5511</v>
      </c>
      <c r="B1464" s="2" t="s">
        <v>5512</v>
      </c>
      <c r="C1464" s="2" t="s">
        <v>18</v>
      </c>
      <c r="D1464" s="2" t="s">
        <v>30</v>
      </c>
      <c r="E1464" s="2" t="s">
        <v>31</v>
      </c>
      <c r="F1464" s="2" t="s">
        <v>32</v>
      </c>
      <c r="G1464" s="2" t="s">
        <v>22</v>
      </c>
      <c r="H1464" s="2" t="s">
        <v>23</v>
      </c>
      <c r="I1464" s="2" t="s">
        <v>57</v>
      </c>
      <c r="J1464" s="2" t="s">
        <v>405</v>
      </c>
      <c r="K1464" s="2" t="s">
        <v>3073</v>
      </c>
      <c r="L1464">
        <v>5</v>
      </c>
      <c r="M1464" s="1">
        <v>265000</v>
      </c>
      <c r="N1464">
        <v>3.4</v>
      </c>
      <c r="O1464">
        <v>5</v>
      </c>
      <c r="P1464" s="2" t="s">
        <v>26</v>
      </c>
    </row>
    <row r="1465" spans="1:16" x14ac:dyDescent="0.25">
      <c r="A1465" s="2" t="s">
        <v>5513</v>
      </c>
      <c r="B1465" s="2" t="s">
        <v>2357</v>
      </c>
      <c r="C1465" s="2" t="s">
        <v>29</v>
      </c>
      <c r="D1465" s="2" t="s">
        <v>43</v>
      </c>
      <c r="E1465" s="2" t="s">
        <v>31</v>
      </c>
      <c r="F1465" s="2" t="s">
        <v>39</v>
      </c>
      <c r="G1465" s="2" t="s">
        <v>80</v>
      </c>
      <c r="H1465" s="2" t="s">
        <v>34</v>
      </c>
      <c r="I1465" s="2" t="s">
        <v>24</v>
      </c>
      <c r="J1465" s="2" t="s">
        <v>2768</v>
      </c>
      <c r="K1465" s="2" t="s">
        <v>3073</v>
      </c>
      <c r="L1465">
        <v>4</v>
      </c>
      <c r="M1465" s="1">
        <v>85000</v>
      </c>
      <c r="N1465">
        <v>4.9000000000000004</v>
      </c>
      <c r="O1465">
        <v>1</v>
      </c>
      <c r="P1465" s="2" t="s">
        <v>26</v>
      </c>
    </row>
    <row r="1466" spans="1:16" x14ac:dyDescent="0.25">
      <c r="A1466" s="2" t="s">
        <v>5516</v>
      </c>
      <c r="B1466" s="2" t="s">
        <v>4013</v>
      </c>
      <c r="C1466" s="2" t="s">
        <v>29</v>
      </c>
      <c r="D1466" s="2" t="s">
        <v>79</v>
      </c>
      <c r="E1466" s="2" t="s">
        <v>20</v>
      </c>
      <c r="F1466" s="2" t="s">
        <v>21</v>
      </c>
      <c r="G1466" s="2" t="s">
        <v>22</v>
      </c>
      <c r="H1466" s="2" t="s">
        <v>23</v>
      </c>
      <c r="I1466" s="2" t="s">
        <v>75</v>
      </c>
      <c r="J1466" s="2" t="s">
        <v>4540</v>
      </c>
      <c r="K1466" s="2" t="s">
        <v>3073</v>
      </c>
      <c r="L1466">
        <v>5</v>
      </c>
      <c r="M1466" s="1">
        <v>842000</v>
      </c>
      <c r="N1466">
        <v>4</v>
      </c>
      <c r="O1466">
        <v>11</v>
      </c>
      <c r="P1466" s="2" t="s">
        <v>114</v>
      </c>
    </row>
    <row r="1467" spans="1:16" x14ac:dyDescent="0.25">
      <c r="A1467" s="2" t="s">
        <v>5520</v>
      </c>
      <c r="B1467" s="2" t="s">
        <v>3893</v>
      </c>
      <c r="C1467" s="2" t="s">
        <v>29</v>
      </c>
      <c r="D1467" s="2" t="s">
        <v>79</v>
      </c>
      <c r="E1467" s="2" t="s">
        <v>31</v>
      </c>
      <c r="F1467" s="2" t="s">
        <v>128</v>
      </c>
      <c r="G1467" s="2" t="s">
        <v>69</v>
      </c>
      <c r="H1467" s="2" t="s">
        <v>34</v>
      </c>
      <c r="I1467" s="2" t="s">
        <v>24</v>
      </c>
      <c r="J1467" s="2" t="s">
        <v>935</v>
      </c>
      <c r="K1467" s="2" t="s">
        <v>2797</v>
      </c>
      <c r="L1467">
        <v>5</v>
      </c>
      <c r="M1467" s="1">
        <v>495000</v>
      </c>
      <c r="N1467">
        <v>4.3</v>
      </c>
      <c r="O1467">
        <v>2</v>
      </c>
      <c r="P1467" s="2" t="s">
        <v>26</v>
      </c>
    </row>
    <row r="1468" spans="1:16" x14ac:dyDescent="0.25">
      <c r="A1468" s="2" t="s">
        <v>5521</v>
      </c>
      <c r="B1468" s="2" t="s">
        <v>5522</v>
      </c>
      <c r="C1468" s="2" t="s">
        <v>29</v>
      </c>
      <c r="D1468" s="2" t="s">
        <v>79</v>
      </c>
      <c r="E1468" s="2" t="s">
        <v>31</v>
      </c>
      <c r="F1468" s="2" t="s">
        <v>39</v>
      </c>
      <c r="G1468" s="2" t="s">
        <v>22</v>
      </c>
      <c r="H1468" s="2" t="s">
        <v>34</v>
      </c>
      <c r="I1468" s="2" t="s">
        <v>57</v>
      </c>
      <c r="J1468" s="2" t="s">
        <v>517</v>
      </c>
      <c r="K1468" s="2" t="s">
        <v>2797</v>
      </c>
      <c r="L1468">
        <v>4</v>
      </c>
      <c r="M1468" s="1">
        <v>150000</v>
      </c>
      <c r="N1468">
        <v>4.7</v>
      </c>
      <c r="O1468">
        <v>18</v>
      </c>
      <c r="P1468" s="2" t="s">
        <v>26</v>
      </c>
    </row>
    <row r="1469" spans="1:16" x14ac:dyDescent="0.25">
      <c r="A1469" s="2" t="s">
        <v>5525</v>
      </c>
      <c r="B1469" s="2" t="s">
        <v>5526</v>
      </c>
      <c r="C1469" s="2" t="s">
        <v>18</v>
      </c>
      <c r="D1469" s="2" t="s">
        <v>50</v>
      </c>
      <c r="E1469" s="2" t="s">
        <v>20</v>
      </c>
      <c r="F1469" s="2" t="s">
        <v>32</v>
      </c>
      <c r="G1469" s="2" t="s">
        <v>80</v>
      </c>
      <c r="H1469" s="2" t="s">
        <v>34</v>
      </c>
      <c r="I1469" s="2" t="s">
        <v>57</v>
      </c>
      <c r="J1469" s="2" t="s">
        <v>3266</v>
      </c>
      <c r="K1469" s="2" t="s">
        <v>2797</v>
      </c>
      <c r="L1469">
        <v>6</v>
      </c>
      <c r="M1469" s="1">
        <v>183000</v>
      </c>
      <c r="N1469">
        <v>4.7</v>
      </c>
      <c r="O1469">
        <v>6</v>
      </c>
      <c r="P1469" s="2" t="s">
        <v>26</v>
      </c>
    </row>
    <row r="1470" spans="1:16" x14ac:dyDescent="0.25">
      <c r="A1470" s="2" t="s">
        <v>5529</v>
      </c>
      <c r="B1470" s="2" t="s">
        <v>5530</v>
      </c>
      <c r="C1470" s="2" t="s">
        <v>18</v>
      </c>
      <c r="D1470" s="2" t="s">
        <v>50</v>
      </c>
      <c r="E1470" s="2" t="s">
        <v>31</v>
      </c>
      <c r="F1470" s="2" t="s">
        <v>32</v>
      </c>
      <c r="G1470" s="2" t="s">
        <v>80</v>
      </c>
      <c r="H1470" s="2" t="s">
        <v>34</v>
      </c>
      <c r="I1470" s="2" t="s">
        <v>75</v>
      </c>
      <c r="J1470" s="2" t="s">
        <v>5531</v>
      </c>
      <c r="K1470" s="2" t="s">
        <v>2797</v>
      </c>
      <c r="L1470">
        <v>4</v>
      </c>
      <c r="M1470" s="1">
        <v>336000</v>
      </c>
      <c r="N1470">
        <v>3</v>
      </c>
      <c r="O1470">
        <v>4</v>
      </c>
      <c r="P1470" s="2" t="s">
        <v>72</v>
      </c>
    </row>
    <row r="1471" spans="1:16" x14ac:dyDescent="0.25">
      <c r="A1471" s="2" t="s">
        <v>5532</v>
      </c>
      <c r="B1471" s="2" t="s">
        <v>5136</v>
      </c>
      <c r="C1471" s="2" t="s">
        <v>29</v>
      </c>
      <c r="D1471" s="2" t="s">
        <v>19</v>
      </c>
      <c r="E1471" s="2" t="s">
        <v>20</v>
      </c>
      <c r="F1471" s="2" t="s">
        <v>128</v>
      </c>
      <c r="G1471" s="2" t="s">
        <v>22</v>
      </c>
      <c r="H1471" s="2" t="s">
        <v>23</v>
      </c>
      <c r="I1471" s="2" t="s">
        <v>24</v>
      </c>
      <c r="J1471" s="2" t="s">
        <v>863</v>
      </c>
      <c r="K1471" s="2" t="s">
        <v>3558</v>
      </c>
      <c r="L1471">
        <v>6</v>
      </c>
      <c r="M1471" s="1">
        <v>470000</v>
      </c>
      <c r="N1471">
        <v>3.2</v>
      </c>
      <c r="O1471">
        <v>10</v>
      </c>
      <c r="P1471" s="2" t="s">
        <v>26</v>
      </c>
    </row>
    <row r="1472" spans="1:16" x14ac:dyDescent="0.25">
      <c r="A1472" s="2" t="s">
        <v>5533</v>
      </c>
      <c r="B1472" s="2" t="s">
        <v>3122</v>
      </c>
      <c r="C1472" s="2" t="s">
        <v>29</v>
      </c>
      <c r="D1472" s="2" t="s">
        <v>30</v>
      </c>
      <c r="E1472" s="2" t="s">
        <v>20</v>
      </c>
      <c r="F1472" s="2" t="s">
        <v>32</v>
      </c>
      <c r="G1472" s="2" t="s">
        <v>22</v>
      </c>
      <c r="H1472" s="2" t="s">
        <v>46</v>
      </c>
      <c r="I1472" s="2" t="s">
        <v>75</v>
      </c>
      <c r="J1472" s="2" t="s">
        <v>1497</v>
      </c>
      <c r="K1472" s="2" t="s">
        <v>3558</v>
      </c>
      <c r="L1472">
        <v>2</v>
      </c>
      <c r="M1472" s="1">
        <v>201000</v>
      </c>
      <c r="N1472">
        <v>3.2</v>
      </c>
      <c r="O1472">
        <v>7</v>
      </c>
      <c r="P1472" s="2" t="s">
        <v>26</v>
      </c>
    </row>
    <row r="1473" spans="1:16" x14ac:dyDescent="0.25">
      <c r="A1473" s="2" t="s">
        <v>5534</v>
      </c>
      <c r="B1473" s="2" t="s">
        <v>2046</v>
      </c>
      <c r="C1473" s="2" t="s">
        <v>29</v>
      </c>
      <c r="D1473" s="2" t="s">
        <v>79</v>
      </c>
      <c r="E1473" s="2" t="s">
        <v>31</v>
      </c>
      <c r="F1473" s="2" t="s">
        <v>128</v>
      </c>
      <c r="G1473" s="2" t="s">
        <v>22</v>
      </c>
      <c r="H1473" s="2" t="s">
        <v>46</v>
      </c>
      <c r="I1473" s="2" t="s">
        <v>24</v>
      </c>
      <c r="J1473" s="2" t="s">
        <v>1729</v>
      </c>
      <c r="K1473" s="2" t="s">
        <v>3558</v>
      </c>
      <c r="L1473">
        <v>3</v>
      </c>
      <c r="M1473" s="1">
        <v>462000</v>
      </c>
      <c r="N1473">
        <v>2.4</v>
      </c>
      <c r="O1473">
        <v>4</v>
      </c>
      <c r="P1473" s="2" t="s">
        <v>26</v>
      </c>
    </row>
    <row r="1474" spans="1:16" x14ac:dyDescent="0.25">
      <c r="A1474" s="2" t="s">
        <v>5535</v>
      </c>
      <c r="B1474" s="2" t="s">
        <v>3537</v>
      </c>
      <c r="C1474" s="2" t="s">
        <v>18</v>
      </c>
      <c r="D1474" s="2" t="s">
        <v>79</v>
      </c>
      <c r="E1474" s="2" t="s">
        <v>44</v>
      </c>
      <c r="F1474" s="2" t="s">
        <v>128</v>
      </c>
      <c r="G1474" s="2" t="s">
        <v>22</v>
      </c>
      <c r="H1474" s="2" t="s">
        <v>23</v>
      </c>
      <c r="I1474" s="2" t="s">
        <v>57</v>
      </c>
      <c r="J1474" s="2" t="s">
        <v>1921</v>
      </c>
      <c r="K1474" s="2" t="s">
        <v>3558</v>
      </c>
      <c r="L1474">
        <v>7</v>
      </c>
      <c r="M1474" s="1">
        <v>359000</v>
      </c>
      <c r="N1474">
        <v>3.4</v>
      </c>
      <c r="O1474">
        <v>12</v>
      </c>
      <c r="P1474" s="2" t="s">
        <v>26</v>
      </c>
    </row>
    <row r="1475" spans="1:16" x14ac:dyDescent="0.25">
      <c r="A1475" s="2" t="s">
        <v>5536</v>
      </c>
      <c r="B1475" s="2" t="s">
        <v>3918</v>
      </c>
      <c r="C1475" s="2" t="s">
        <v>18</v>
      </c>
      <c r="D1475" s="2" t="s">
        <v>30</v>
      </c>
      <c r="E1475" s="2" t="s">
        <v>44</v>
      </c>
      <c r="F1475" s="2" t="s">
        <v>39</v>
      </c>
      <c r="G1475" s="2" t="s">
        <v>22</v>
      </c>
      <c r="H1475" s="2" t="s">
        <v>23</v>
      </c>
      <c r="I1475" s="2" t="s">
        <v>35</v>
      </c>
      <c r="J1475" s="2" t="s">
        <v>4319</v>
      </c>
      <c r="K1475" s="2" t="s">
        <v>3558</v>
      </c>
      <c r="L1475">
        <v>3</v>
      </c>
      <c r="M1475" s="1">
        <v>142000</v>
      </c>
      <c r="N1475">
        <v>2.8</v>
      </c>
      <c r="O1475">
        <v>4</v>
      </c>
      <c r="P1475" s="2" t="s">
        <v>53</v>
      </c>
    </row>
    <row r="1476" spans="1:16" x14ac:dyDescent="0.25">
      <c r="A1476" s="2" t="s">
        <v>5537</v>
      </c>
      <c r="B1476" s="2" t="s">
        <v>1040</v>
      </c>
      <c r="C1476" s="2" t="s">
        <v>29</v>
      </c>
      <c r="D1476" s="2" t="s">
        <v>30</v>
      </c>
      <c r="E1476" s="2" t="s">
        <v>20</v>
      </c>
      <c r="F1476" s="2" t="s">
        <v>39</v>
      </c>
      <c r="G1476" s="2" t="s">
        <v>22</v>
      </c>
      <c r="H1476" s="2" t="s">
        <v>46</v>
      </c>
      <c r="I1476" s="2" t="s">
        <v>24</v>
      </c>
      <c r="J1476" s="2" t="s">
        <v>5538</v>
      </c>
      <c r="K1476" s="2" t="s">
        <v>788</v>
      </c>
      <c r="L1476">
        <v>6</v>
      </c>
      <c r="M1476" s="1">
        <v>150000</v>
      </c>
      <c r="N1476">
        <v>1.9</v>
      </c>
      <c r="O1476">
        <v>1</v>
      </c>
      <c r="P1476" s="2" t="s">
        <v>72</v>
      </c>
    </row>
    <row r="1477" spans="1:16" x14ac:dyDescent="0.25">
      <c r="A1477" s="2" t="s">
        <v>5539</v>
      </c>
      <c r="B1477" s="2" t="s">
        <v>1509</v>
      </c>
      <c r="C1477" s="2" t="s">
        <v>29</v>
      </c>
      <c r="D1477" s="2" t="s">
        <v>19</v>
      </c>
      <c r="E1477" s="2" t="s">
        <v>20</v>
      </c>
      <c r="F1477" s="2" t="s">
        <v>32</v>
      </c>
      <c r="G1477" s="2" t="s">
        <v>22</v>
      </c>
      <c r="H1477" s="2" t="s">
        <v>46</v>
      </c>
      <c r="I1477" s="2" t="s">
        <v>24</v>
      </c>
      <c r="J1477" s="2" t="s">
        <v>2687</v>
      </c>
      <c r="K1477" s="2" t="s">
        <v>5543</v>
      </c>
      <c r="L1477">
        <v>2</v>
      </c>
      <c r="M1477" s="1">
        <v>294000</v>
      </c>
      <c r="N1477">
        <v>4.2</v>
      </c>
      <c r="O1477">
        <v>4</v>
      </c>
      <c r="P1477" s="2" t="s">
        <v>26</v>
      </c>
    </row>
    <row r="1478" spans="1:16" x14ac:dyDescent="0.25">
      <c r="A1478" s="2" t="s">
        <v>5540</v>
      </c>
      <c r="B1478" s="2" t="s">
        <v>5541</v>
      </c>
      <c r="C1478" s="2" t="s">
        <v>18</v>
      </c>
      <c r="D1478" s="2" t="s">
        <v>61</v>
      </c>
      <c r="E1478" s="2" t="s">
        <v>20</v>
      </c>
      <c r="F1478" s="2" t="s">
        <v>32</v>
      </c>
      <c r="G1478" s="2" t="s">
        <v>80</v>
      </c>
      <c r="H1478" s="2" t="s">
        <v>46</v>
      </c>
      <c r="I1478" s="2" t="s">
        <v>57</v>
      </c>
      <c r="J1478" s="2" t="s">
        <v>5542</v>
      </c>
      <c r="K1478" s="2" t="s">
        <v>5543</v>
      </c>
      <c r="L1478">
        <v>6</v>
      </c>
      <c r="M1478" s="1">
        <v>337000</v>
      </c>
      <c r="N1478">
        <v>3.7</v>
      </c>
      <c r="O1478">
        <v>10</v>
      </c>
      <c r="P1478" s="2" t="s">
        <v>53</v>
      </c>
    </row>
    <row r="1479" spans="1:16" x14ac:dyDescent="0.25">
      <c r="A1479" s="2" t="s">
        <v>5544</v>
      </c>
      <c r="B1479" s="2" t="s">
        <v>5545</v>
      </c>
      <c r="C1479" s="2" t="s">
        <v>29</v>
      </c>
      <c r="D1479" s="2" t="s">
        <v>79</v>
      </c>
      <c r="E1479" s="2" t="s">
        <v>20</v>
      </c>
      <c r="F1479" s="2" t="s">
        <v>128</v>
      </c>
      <c r="G1479" s="2" t="s">
        <v>22</v>
      </c>
      <c r="H1479" s="2" t="s">
        <v>23</v>
      </c>
      <c r="I1479" s="2" t="s">
        <v>35</v>
      </c>
      <c r="J1479" s="2" t="s">
        <v>5546</v>
      </c>
      <c r="K1479" s="2" t="s">
        <v>4781</v>
      </c>
      <c r="L1479">
        <v>5</v>
      </c>
      <c r="M1479" s="1">
        <v>591000</v>
      </c>
      <c r="N1479">
        <v>2.8</v>
      </c>
      <c r="O1479">
        <v>7</v>
      </c>
      <c r="P1479" s="2" t="s">
        <v>26</v>
      </c>
    </row>
    <row r="1480" spans="1:16" x14ac:dyDescent="0.25">
      <c r="A1480" s="2" t="s">
        <v>5547</v>
      </c>
      <c r="B1480" s="2" t="s">
        <v>5548</v>
      </c>
      <c r="C1480" s="2" t="s">
        <v>29</v>
      </c>
      <c r="D1480" s="2" t="s">
        <v>79</v>
      </c>
      <c r="E1480" s="2" t="s">
        <v>20</v>
      </c>
      <c r="F1480" s="2" t="s">
        <v>32</v>
      </c>
      <c r="G1480" s="2" t="s">
        <v>69</v>
      </c>
      <c r="H1480" s="2" t="s">
        <v>23</v>
      </c>
      <c r="I1480" s="2" t="s">
        <v>57</v>
      </c>
      <c r="J1480" s="2" t="s">
        <v>688</v>
      </c>
      <c r="K1480" s="2" t="s">
        <v>4781</v>
      </c>
      <c r="L1480">
        <v>6</v>
      </c>
      <c r="M1480" s="1">
        <v>323000</v>
      </c>
      <c r="N1480">
        <v>2</v>
      </c>
      <c r="O1480">
        <v>14</v>
      </c>
      <c r="P1480" s="2" t="s">
        <v>26</v>
      </c>
    </row>
    <row r="1481" spans="1:16" x14ac:dyDescent="0.25">
      <c r="A1481" s="2" t="s">
        <v>5549</v>
      </c>
      <c r="B1481" s="2" t="s">
        <v>5550</v>
      </c>
      <c r="C1481" s="2" t="s">
        <v>18</v>
      </c>
      <c r="D1481" s="2" t="s">
        <v>79</v>
      </c>
      <c r="E1481" s="2" t="s">
        <v>20</v>
      </c>
      <c r="F1481" s="2" t="s">
        <v>128</v>
      </c>
      <c r="G1481" s="2" t="s">
        <v>33</v>
      </c>
      <c r="H1481" s="2" t="s">
        <v>23</v>
      </c>
      <c r="I1481" s="2" t="s">
        <v>171</v>
      </c>
      <c r="J1481" s="2" t="s">
        <v>216</v>
      </c>
      <c r="K1481" s="2" t="s">
        <v>4781</v>
      </c>
      <c r="L1481">
        <v>5</v>
      </c>
      <c r="M1481" s="1">
        <v>515000</v>
      </c>
      <c r="N1481">
        <v>3.3</v>
      </c>
      <c r="O1481">
        <v>4</v>
      </c>
      <c r="P1481" s="2" t="s">
        <v>26</v>
      </c>
    </row>
    <row r="1482" spans="1:16" x14ac:dyDescent="0.25">
      <c r="A1482" s="2" t="s">
        <v>5551</v>
      </c>
      <c r="B1482" s="2" t="s">
        <v>5552</v>
      </c>
      <c r="C1482" s="2" t="s">
        <v>29</v>
      </c>
      <c r="D1482" s="2" t="s">
        <v>19</v>
      </c>
      <c r="E1482" s="2" t="s">
        <v>31</v>
      </c>
      <c r="F1482" s="2" t="s">
        <v>39</v>
      </c>
      <c r="G1482" s="2" t="s">
        <v>80</v>
      </c>
      <c r="H1482" s="2" t="s">
        <v>34</v>
      </c>
      <c r="I1482" s="2" t="s">
        <v>35</v>
      </c>
      <c r="J1482" s="2" t="s">
        <v>4737</v>
      </c>
      <c r="K1482" s="2" t="s">
        <v>4781</v>
      </c>
      <c r="L1482">
        <v>5</v>
      </c>
      <c r="M1482" s="1">
        <v>113000</v>
      </c>
      <c r="N1482">
        <v>4.8</v>
      </c>
      <c r="O1482">
        <v>9</v>
      </c>
      <c r="P1482" s="2" t="s">
        <v>26</v>
      </c>
    </row>
    <row r="1483" spans="1:16" x14ac:dyDescent="0.25">
      <c r="A1483" s="2" t="s">
        <v>5553</v>
      </c>
      <c r="B1483" s="2" t="s">
        <v>1862</v>
      </c>
      <c r="C1483" s="2" t="s">
        <v>29</v>
      </c>
      <c r="D1483" s="2" t="s">
        <v>19</v>
      </c>
      <c r="E1483" s="2" t="s">
        <v>44</v>
      </c>
      <c r="F1483" s="2" t="s">
        <v>128</v>
      </c>
      <c r="G1483" s="2" t="s">
        <v>80</v>
      </c>
      <c r="H1483" s="2" t="s">
        <v>46</v>
      </c>
      <c r="I1483" s="2" t="s">
        <v>57</v>
      </c>
      <c r="J1483" s="2" t="s">
        <v>4523</v>
      </c>
      <c r="K1483" s="2" t="s">
        <v>4781</v>
      </c>
      <c r="L1483">
        <v>4</v>
      </c>
      <c r="M1483" s="1">
        <v>656000</v>
      </c>
      <c r="N1483">
        <v>2.7</v>
      </c>
      <c r="O1483">
        <v>36</v>
      </c>
      <c r="P1483" s="2" t="s">
        <v>53</v>
      </c>
    </row>
    <row r="1484" spans="1:16" x14ac:dyDescent="0.25">
      <c r="A1484" s="2" t="s">
        <v>5554</v>
      </c>
      <c r="B1484" s="2" t="s">
        <v>5555</v>
      </c>
      <c r="C1484" s="2" t="s">
        <v>18</v>
      </c>
      <c r="D1484" s="2" t="s">
        <v>50</v>
      </c>
      <c r="E1484" s="2" t="s">
        <v>44</v>
      </c>
      <c r="F1484" s="2" t="s">
        <v>21</v>
      </c>
      <c r="G1484" s="2" t="s">
        <v>22</v>
      </c>
      <c r="H1484" s="2" t="s">
        <v>34</v>
      </c>
      <c r="I1484" s="2" t="s">
        <v>24</v>
      </c>
      <c r="J1484" s="2" t="s">
        <v>5556</v>
      </c>
      <c r="K1484" s="2" t="s">
        <v>1491</v>
      </c>
      <c r="L1484">
        <v>6</v>
      </c>
      <c r="M1484" s="1">
        <v>914000</v>
      </c>
      <c r="N1484">
        <v>4.5</v>
      </c>
      <c r="O1484">
        <v>5</v>
      </c>
      <c r="P1484" s="2" t="s">
        <v>26</v>
      </c>
    </row>
    <row r="1485" spans="1:16" x14ac:dyDescent="0.25">
      <c r="A1485" s="2" t="s">
        <v>5560</v>
      </c>
      <c r="B1485" s="2" t="s">
        <v>5561</v>
      </c>
      <c r="C1485" s="2" t="s">
        <v>29</v>
      </c>
      <c r="D1485" s="2" t="s">
        <v>50</v>
      </c>
      <c r="E1485" s="2" t="s">
        <v>44</v>
      </c>
      <c r="F1485" s="2" t="s">
        <v>39</v>
      </c>
      <c r="G1485" s="2" t="s">
        <v>33</v>
      </c>
      <c r="H1485" s="2" t="s">
        <v>46</v>
      </c>
      <c r="I1485" s="2" t="s">
        <v>24</v>
      </c>
      <c r="J1485" s="2" t="s">
        <v>4316</v>
      </c>
      <c r="K1485" s="2" t="s">
        <v>1491</v>
      </c>
      <c r="L1485">
        <v>2</v>
      </c>
      <c r="M1485" s="1">
        <v>125000</v>
      </c>
      <c r="N1485">
        <v>2.4</v>
      </c>
      <c r="O1485">
        <v>32</v>
      </c>
      <c r="P1485" s="2" t="s">
        <v>53</v>
      </c>
    </row>
    <row r="1486" spans="1:16" x14ac:dyDescent="0.25">
      <c r="A1486" s="2" t="s">
        <v>5565</v>
      </c>
      <c r="B1486" s="2" t="s">
        <v>989</v>
      </c>
      <c r="C1486" s="2" t="s">
        <v>29</v>
      </c>
      <c r="D1486" s="2" t="s">
        <v>50</v>
      </c>
      <c r="E1486" s="2" t="s">
        <v>20</v>
      </c>
      <c r="F1486" s="2" t="s">
        <v>32</v>
      </c>
      <c r="G1486" s="2" t="s">
        <v>22</v>
      </c>
      <c r="H1486" s="2" t="s">
        <v>46</v>
      </c>
      <c r="I1486" s="2" t="s">
        <v>57</v>
      </c>
      <c r="J1486" s="2" t="s">
        <v>2687</v>
      </c>
      <c r="K1486" s="2" t="s">
        <v>5573</v>
      </c>
      <c r="L1486">
        <v>2</v>
      </c>
      <c r="M1486" s="1">
        <v>238000</v>
      </c>
      <c r="N1486">
        <v>4.9000000000000004</v>
      </c>
      <c r="O1486">
        <v>7</v>
      </c>
      <c r="P1486" s="2" t="s">
        <v>26</v>
      </c>
    </row>
    <row r="1487" spans="1:16" x14ac:dyDescent="0.25">
      <c r="A1487" s="2" t="s">
        <v>5568</v>
      </c>
      <c r="B1487" s="2" t="s">
        <v>5569</v>
      </c>
      <c r="C1487" s="2" t="s">
        <v>29</v>
      </c>
      <c r="D1487" s="2" t="s">
        <v>50</v>
      </c>
      <c r="E1487" s="2" t="s">
        <v>20</v>
      </c>
      <c r="F1487" s="2" t="s">
        <v>32</v>
      </c>
      <c r="G1487" s="2" t="s">
        <v>22</v>
      </c>
      <c r="H1487" s="2" t="s">
        <v>23</v>
      </c>
      <c r="I1487" s="2" t="s">
        <v>24</v>
      </c>
      <c r="J1487" s="2" t="s">
        <v>419</v>
      </c>
      <c r="K1487" s="2" t="s">
        <v>5573</v>
      </c>
      <c r="L1487">
        <v>7</v>
      </c>
      <c r="M1487" s="1">
        <v>204000</v>
      </c>
      <c r="N1487">
        <v>2.2000000000000002</v>
      </c>
      <c r="O1487">
        <v>10</v>
      </c>
      <c r="P1487" s="2" t="s">
        <v>26</v>
      </c>
    </row>
    <row r="1488" spans="1:16" x14ac:dyDescent="0.25">
      <c r="A1488" s="2" t="s">
        <v>5571</v>
      </c>
      <c r="B1488" s="2" t="s">
        <v>3126</v>
      </c>
      <c r="C1488" s="2" t="s">
        <v>29</v>
      </c>
      <c r="D1488" s="2" t="s">
        <v>30</v>
      </c>
      <c r="E1488" s="2" t="s">
        <v>20</v>
      </c>
      <c r="F1488" s="2" t="s">
        <v>32</v>
      </c>
      <c r="G1488" s="2" t="s">
        <v>22</v>
      </c>
      <c r="H1488" s="2" t="s">
        <v>23</v>
      </c>
      <c r="I1488" s="2" t="s">
        <v>24</v>
      </c>
      <c r="J1488" s="2" t="s">
        <v>2219</v>
      </c>
      <c r="K1488" s="2" t="s">
        <v>5573</v>
      </c>
      <c r="L1488">
        <v>6</v>
      </c>
      <c r="M1488" s="1">
        <v>248000</v>
      </c>
      <c r="N1488">
        <v>3.4</v>
      </c>
      <c r="O1488">
        <v>3</v>
      </c>
      <c r="P1488" s="2" t="s">
        <v>26</v>
      </c>
    </row>
    <row r="1489" spans="1:16" x14ac:dyDescent="0.25">
      <c r="A1489" s="2" t="s">
        <v>5572</v>
      </c>
      <c r="B1489" s="2" t="s">
        <v>599</v>
      </c>
      <c r="C1489" s="2" t="s">
        <v>29</v>
      </c>
      <c r="D1489" s="2" t="s">
        <v>30</v>
      </c>
      <c r="E1489" s="2" t="s">
        <v>20</v>
      </c>
      <c r="F1489" s="2" t="s">
        <v>39</v>
      </c>
      <c r="G1489" s="2" t="s">
        <v>33</v>
      </c>
      <c r="H1489" s="2" t="s">
        <v>23</v>
      </c>
      <c r="I1489" s="2" t="s">
        <v>24</v>
      </c>
      <c r="J1489" s="2" t="s">
        <v>1029</v>
      </c>
      <c r="K1489" s="2" t="s">
        <v>5573</v>
      </c>
      <c r="L1489">
        <v>4</v>
      </c>
      <c r="M1489" s="1">
        <v>146000</v>
      </c>
      <c r="N1489">
        <v>3.2</v>
      </c>
      <c r="O1489">
        <v>10</v>
      </c>
      <c r="P1489" s="2" t="s">
        <v>53</v>
      </c>
    </row>
    <row r="1490" spans="1:16" x14ac:dyDescent="0.25">
      <c r="A1490" s="2" t="s">
        <v>5578</v>
      </c>
      <c r="B1490" s="2" t="s">
        <v>4222</v>
      </c>
      <c r="C1490" s="2" t="s">
        <v>29</v>
      </c>
      <c r="D1490" s="2" t="s">
        <v>79</v>
      </c>
      <c r="E1490" s="2" t="s">
        <v>44</v>
      </c>
      <c r="F1490" s="2" t="s">
        <v>128</v>
      </c>
      <c r="G1490" s="2" t="s">
        <v>22</v>
      </c>
      <c r="H1490" s="2" t="s">
        <v>62</v>
      </c>
      <c r="I1490" s="2" t="s">
        <v>24</v>
      </c>
      <c r="J1490" s="2" t="s">
        <v>5579</v>
      </c>
      <c r="K1490" s="2" t="s">
        <v>5003</v>
      </c>
      <c r="L1490">
        <v>4</v>
      </c>
      <c r="M1490" s="1">
        <v>496000</v>
      </c>
      <c r="N1490">
        <v>4.7</v>
      </c>
      <c r="O1490">
        <v>38</v>
      </c>
      <c r="P1490" s="2" t="s">
        <v>72</v>
      </c>
    </row>
    <row r="1491" spans="1:16" x14ac:dyDescent="0.25">
      <c r="A1491" s="2" t="s">
        <v>5581</v>
      </c>
      <c r="B1491" s="2" t="s">
        <v>5582</v>
      </c>
      <c r="C1491" s="2" t="s">
        <v>29</v>
      </c>
      <c r="D1491" s="2" t="s">
        <v>30</v>
      </c>
      <c r="E1491" s="2" t="s">
        <v>20</v>
      </c>
      <c r="F1491" s="2" t="s">
        <v>32</v>
      </c>
      <c r="G1491" s="2" t="s">
        <v>22</v>
      </c>
      <c r="H1491" s="2" t="s">
        <v>34</v>
      </c>
      <c r="I1491" s="2" t="s">
        <v>57</v>
      </c>
      <c r="J1491" s="2" t="s">
        <v>921</v>
      </c>
      <c r="K1491" s="2" t="s">
        <v>189</v>
      </c>
      <c r="L1491">
        <v>2</v>
      </c>
      <c r="M1491" s="1">
        <v>340000</v>
      </c>
      <c r="N1491">
        <v>4.5</v>
      </c>
      <c r="O1491">
        <v>7</v>
      </c>
      <c r="P1491" s="2" t="s">
        <v>26</v>
      </c>
    </row>
    <row r="1492" spans="1:16" x14ac:dyDescent="0.25">
      <c r="A1492" s="2" t="s">
        <v>5586</v>
      </c>
      <c r="B1492" s="2" t="s">
        <v>3296</v>
      </c>
      <c r="C1492" s="2" t="s">
        <v>29</v>
      </c>
      <c r="D1492" s="2" t="s">
        <v>79</v>
      </c>
      <c r="E1492" s="2" t="s">
        <v>20</v>
      </c>
      <c r="F1492" s="2" t="s">
        <v>32</v>
      </c>
      <c r="G1492" s="2" t="s">
        <v>80</v>
      </c>
      <c r="H1492" s="2" t="s">
        <v>46</v>
      </c>
      <c r="I1492" s="2" t="s">
        <v>35</v>
      </c>
      <c r="J1492" s="2" t="s">
        <v>5587</v>
      </c>
      <c r="K1492" s="2" t="s">
        <v>189</v>
      </c>
      <c r="L1492">
        <v>4</v>
      </c>
      <c r="M1492" s="1">
        <v>327000</v>
      </c>
      <c r="N1492">
        <v>2.6</v>
      </c>
      <c r="O1492">
        <v>11</v>
      </c>
      <c r="P1492" s="2" t="s">
        <v>26</v>
      </c>
    </row>
    <row r="1493" spans="1:16" x14ac:dyDescent="0.25">
      <c r="A1493" s="2" t="s">
        <v>5588</v>
      </c>
      <c r="B1493" s="2" t="s">
        <v>2462</v>
      </c>
      <c r="C1493" s="2" t="s">
        <v>18</v>
      </c>
      <c r="D1493" s="2" t="s">
        <v>79</v>
      </c>
      <c r="E1493" s="2" t="s">
        <v>44</v>
      </c>
      <c r="F1493" s="2" t="s">
        <v>21</v>
      </c>
      <c r="G1493" s="2" t="s">
        <v>69</v>
      </c>
      <c r="H1493" s="2" t="s">
        <v>34</v>
      </c>
      <c r="I1493" s="2" t="s">
        <v>24</v>
      </c>
      <c r="J1493" s="2" t="s">
        <v>5208</v>
      </c>
      <c r="K1493" s="2" t="s">
        <v>189</v>
      </c>
      <c r="L1493">
        <v>3</v>
      </c>
      <c r="M1493" s="1">
        <v>766000</v>
      </c>
      <c r="N1493">
        <v>3.9</v>
      </c>
      <c r="O1493">
        <v>9</v>
      </c>
      <c r="P1493" s="2" t="s">
        <v>26</v>
      </c>
    </row>
    <row r="1494" spans="1:16" x14ac:dyDescent="0.25">
      <c r="A1494" s="2" t="s">
        <v>5589</v>
      </c>
      <c r="B1494" s="2" t="s">
        <v>4138</v>
      </c>
      <c r="C1494" s="2" t="s">
        <v>29</v>
      </c>
      <c r="D1494" s="2" t="s">
        <v>30</v>
      </c>
      <c r="E1494" s="2" t="s">
        <v>44</v>
      </c>
      <c r="F1494" s="2" t="s">
        <v>32</v>
      </c>
      <c r="G1494" s="2" t="s">
        <v>80</v>
      </c>
      <c r="H1494" s="2" t="s">
        <v>34</v>
      </c>
      <c r="I1494" s="2" t="s">
        <v>171</v>
      </c>
      <c r="J1494" s="2" t="s">
        <v>1545</v>
      </c>
      <c r="K1494" s="2" t="s">
        <v>189</v>
      </c>
      <c r="L1494">
        <v>4</v>
      </c>
      <c r="M1494" s="1">
        <v>335000</v>
      </c>
      <c r="N1494">
        <v>4.5</v>
      </c>
      <c r="O1494">
        <v>3</v>
      </c>
      <c r="P1494" s="2" t="s">
        <v>53</v>
      </c>
    </row>
    <row r="1495" spans="1:16" x14ac:dyDescent="0.25">
      <c r="A1495" s="2" t="s">
        <v>5591</v>
      </c>
      <c r="B1495" s="2" t="s">
        <v>3375</v>
      </c>
      <c r="C1495" s="2" t="s">
        <v>18</v>
      </c>
      <c r="D1495" s="2" t="s">
        <v>30</v>
      </c>
      <c r="E1495" s="2" t="s">
        <v>20</v>
      </c>
      <c r="F1495" s="2" t="s">
        <v>128</v>
      </c>
      <c r="G1495" s="2" t="s">
        <v>33</v>
      </c>
      <c r="H1495" s="2" t="s">
        <v>34</v>
      </c>
      <c r="I1495" s="2" t="s">
        <v>24</v>
      </c>
      <c r="J1495" s="2" t="s">
        <v>5592</v>
      </c>
      <c r="K1495" s="2" t="s">
        <v>1062</v>
      </c>
      <c r="L1495">
        <v>6</v>
      </c>
      <c r="M1495" s="1">
        <v>464000</v>
      </c>
      <c r="N1495">
        <v>2.5</v>
      </c>
      <c r="O1495">
        <v>33</v>
      </c>
      <c r="P1495" s="2" t="s">
        <v>72</v>
      </c>
    </row>
    <row r="1496" spans="1:16" x14ac:dyDescent="0.25">
      <c r="A1496" s="2" t="s">
        <v>5593</v>
      </c>
      <c r="B1496" s="2" t="s">
        <v>3729</v>
      </c>
      <c r="C1496" s="2" t="s">
        <v>29</v>
      </c>
      <c r="D1496" s="2" t="s">
        <v>30</v>
      </c>
      <c r="E1496" s="2" t="s">
        <v>20</v>
      </c>
      <c r="F1496" s="2" t="s">
        <v>128</v>
      </c>
      <c r="G1496" s="2" t="s">
        <v>22</v>
      </c>
      <c r="H1496" s="2" t="s">
        <v>46</v>
      </c>
      <c r="I1496" s="2" t="s">
        <v>57</v>
      </c>
      <c r="J1496" s="2" t="s">
        <v>4201</v>
      </c>
      <c r="K1496" s="2" t="s">
        <v>5612</v>
      </c>
      <c r="L1496">
        <v>6</v>
      </c>
      <c r="M1496" s="1">
        <v>563000</v>
      </c>
      <c r="N1496">
        <v>3.1</v>
      </c>
      <c r="O1496">
        <v>3</v>
      </c>
      <c r="P1496" s="2" t="s">
        <v>26</v>
      </c>
    </row>
    <row r="1497" spans="1:16" x14ac:dyDescent="0.25">
      <c r="A1497" s="2" t="s">
        <v>5599</v>
      </c>
      <c r="B1497" s="2" t="s">
        <v>2178</v>
      </c>
      <c r="C1497" s="2" t="s">
        <v>18</v>
      </c>
      <c r="D1497" s="2" t="s">
        <v>19</v>
      </c>
      <c r="E1497" s="2" t="s">
        <v>20</v>
      </c>
      <c r="F1497" s="2" t="s">
        <v>39</v>
      </c>
      <c r="G1497" s="2" t="s">
        <v>22</v>
      </c>
      <c r="H1497" s="2" t="s">
        <v>23</v>
      </c>
      <c r="I1497" s="2" t="s">
        <v>57</v>
      </c>
      <c r="J1497" s="2" t="s">
        <v>211</v>
      </c>
      <c r="K1497" s="2" t="s">
        <v>5612</v>
      </c>
      <c r="L1497">
        <v>3</v>
      </c>
      <c r="M1497" s="1">
        <v>181000</v>
      </c>
      <c r="N1497">
        <v>3.8</v>
      </c>
      <c r="O1497">
        <v>3</v>
      </c>
      <c r="P1497" s="2" t="s">
        <v>26</v>
      </c>
    </row>
    <row r="1498" spans="1:16" x14ac:dyDescent="0.25">
      <c r="A1498" s="2" t="s">
        <v>5603</v>
      </c>
      <c r="B1498" s="2" t="s">
        <v>3610</v>
      </c>
      <c r="C1498" s="2" t="s">
        <v>18</v>
      </c>
      <c r="D1498" s="2" t="s">
        <v>30</v>
      </c>
      <c r="E1498" s="2" t="s">
        <v>44</v>
      </c>
      <c r="F1498" s="2" t="s">
        <v>128</v>
      </c>
      <c r="G1498" s="2" t="s">
        <v>80</v>
      </c>
      <c r="H1498" s="2" t="s">
        <v>34</v>
      </c>
      <c r="I1498" s="2" t="s">
        <v>24</v>
      </c>
      <c r="J1498" s="2" t="s">
        <v>2476</v>
      </c>
      <c r="K1498" s="2" t="s">
        <v>5612</v>
      </c>
      <c r="L1498">
        <v>4</v>
      </c>
      <c r="M1498" s="1">
        <v>522000</v>
      </c>
      <c r="N1498">
        <v>4.4000000000000004</v>
      </c>
      <c r="O1498">
        <v>1</v>
      </c>
      <c r="P1498" s="2" t="s">
        <v>26</v>
      </c>
    </row>
    <row r="1499" spans="1:16" x14ac:dyDescent="0.25">
      <c r="A1499" s="2" t="s">
        <v>5610</v>
      </c>
      <c r="B1499" s="2" t="s">
        <v>5611</v>
      </c>
      <c r="C1499" s="2" t="s">
        <v>18</v>
      </c>
      <c r="D1499" s="2" t="s">
        <v>50</v>
      </c>
      <c r="E1499" s="2" t="s">
        <v>44</v>
      </c>
      <c r="F1499" s="2" t="s">
        <v>39</v>
      </c>
      <c r="G1499" s="2" t="s">
        <v>33</v>
      </c>
      <c r="H1499" s="2" t="s">
        <v>62</v>
      </c>
      <c r="I1499" s="2" t="s">
        <v>75</v>
      </c>
      <c r="J1499" s="2" t="s">
        <v>1504</v>
      </c>
      <c r="K1499" s="2" t="s">
        <v>5612</v>
      </c>
      <c r="L1499">
        <v>2</v>
      </c>
      <c r="M1499" s="1">
        <v>90000</v>
      </c>
      <c r="N1499">
        <v>4.2</v>
      </c>
      <c r="O1499">
        <v>12</v>
      </c>
      <c r="P1499" s="2" t="s">
        <v>53</v>
      </c>
    </row>
    <row r="1500" spans="1:16" x14ac:dyDescent="0.25">
      <c r="A1500" s="2" t="s">
        <v>5613</v>
      </c>
      <c r="B1500" s="2" t="s">
        <v>5614</v>
      </c>
      <c r="C1500" s="2" t="s">
        <v>18</v>
      </c>
      <c r="D1500" s="2" t="s">
        <v>50</v>
      </c>
      <c r="E1500" s="2" t="s">
        <v>20</v>
      </c>
      <c r="F1500" s="2" t="s">
        <v>39</v>
      </c>
      <c r="G1500" s="2" t="s">
        <v>69</v>
      </c>
      <c r="H1500" s="2" t="s">
        <v>23</v>
      </c>
      <c r="I1500" s="2" t="s">
        <v>57</v>
      </c>
      <c r="J1500" s="2" t="s">
        <v>3245</v>
      </c>
      <c r="K1500" s="2" t="s">
        <v>4060</v>
      </c>
      <c r="L1500">
        <v>5</v>
      </c>
      <c r="M1500" s="1">
        <v>168000</v>
      </c>
      <c r="N1500">
        <v>3.6</v>
      </c>
      <c r="O1500">
        <v>2</v>
      </c>
      <c r="P1500" s="2" t="s">
        <v>72</v>
      </c>
    </row>
    <row r="1501" spans="1:16" x14ac:dyDescent="0.25">
      <c r="A1501" s="2" t="s">
        <v>5615</v>
      </c>
      <c r="B1501" s="2" t="s">
        <v>980</v>
      </c>
      <c r="C1501" s="2" t="s">
        <v>18</v>
      </c>
      <c r="D1501" s="2" t="s">
        <v>19</v>
      </c>
      <c r="E1501" s="2" t="s">
        <v>31</v>
      </c>
      <c r="F1501" s="2" t="s">
        <v>39</v>
      </c>
      <c r="G1501" s="2" t="s">
        <v>33</v>
      </c>
      <c r="H1501" s="2" t="s">
        <v>34</v>
      </c>
      <c r="I1501" s="2" t="s">
        <v>75</v>
      </c>
      <c r="J1501" s="2" t="s">
        <v>2886</v>
      </c>
      <c r="K1501" s="2" t="s">
        <v>5621</v>
      </c>
      <c r="L1501">
        <v>3</v>
      </c>
      <c r="M1501" s="1">
        <v>178000</v>
      </c>
      <c r="N1501">
        <v>3</v>
      </c>
      <c r="O1501">
        <v>13</v>
      </c>
      <c r="P1501" s="2" t="s">
        <v>26</v>
      </c>
    </row>
    <row r="1502" spans="1:16" x14ac:dyDescent="0.25">
      <c r="A1502" s="2" t="s">
        <v>5616</v>
      </c>
      <c r="B1502" s="2" t="s">
        <v>5617</v>
      </c>
      <c r="C1502" s="2" t="s">
        <v>29</v>
      </c>
      <c r="D1502" s="2" t="s">
        <v>43</v>
      </c>
      <c r="E1502" s="2" t="s">
        <v>20</v>
      </c>
      <c r="F1502" s="2" t="s">
        <v>32</v>
      </c>
      <c r="G1502" s="2" t="s">
        <v>33</v>
      </c>
      <c r="H1502" s="2" t="s">
        <v>23</v>
      </c>
      <c r="I1502" s="2" t="s">
        <v>57</v>
      </c>
      <c r="J1502" s="2" t="s">
        <v>2402</v>
      </c>
      <c r="K1502" s="2" t="s">
        <v>5621</v>
      </c>
      <c r="L1502">
        <v>2</v>
      </c>
      <c r="M1502" s="1">
        <v>263000</v>
      </c>
      <c r="N1502">
        <v>2.7</v>
      </c>
      <c r="O1502">
        <v>14</v>
      </c>
      <c r="P1502" s="2" t="s">
        <v>26</v>
      </c>
    </row>
    <row r="1503" spans="1:16" x14ac:dyDescent="0.25">
      <c r="A1503" s="2" t="s">
        <v>5620</v>
      </c>
      <c r="B1503" s="2" t="s">
        <v>5595</v>
      </c>
      <c r="C1503" s="2" t="s">
        <v>29</v>
      </c>
      <c r="D1503" s="2" t="s">
        <v>30</v>
      </c>
      <c r="E1503" s="2" t="s">
        <v>20</v>
      </c>
      <c r="F1503" s="2" t="s">
        <v>39</v>
      </c>
      <c r="G1503" s="2" t="s">
        <v>22</v>
      </c>
      <c r="H1503" s="2" t="s">
        <v>23</v>
      </c>
      <c r="I1503" s="2" t="s">
        <v>35</v>
      </c>
      <c r="J1503" s="2" t="s">
        <v>4556</v>
      </c>
      <c r="K1503" s="2" t="s">
        <v>5621</v>
      </c>
      <c r="L1503">
        <v>7</v>
      </c>
      <c r="M1503" s="1">
        <v>93000</v>
      </c>
      <c r="N1503">
        <v>1.9</v>
      </c>
      <c r="O1503">
        <v>1</v>
      </c>
      <c r="P1503" s="2" t="s">
        <v>53</v>
      </c>
    </row>
    <row r="1504" spans="1:16" x14ac:dyDescent="0.25">
      <c r="A1504" s="2" t="s">
        <v>5622</v>
      </c>
      <c r="B1504" s="2" t="s">
        <v>3136</v>
      </c>
      <c r="C1504" s="2" t="s">
        <v>29</v>
      </c>
      <c r="D1504" s="2" t="s">
        <v>43</v>
      </c>
      <c r="E1504" s="2" t="s">
        <v>20</v>
      </c>
      <c r="F1504" s="2" t="s">
        <v>32</v>
      </c>
      <c r="G1504" s="2" t="s">
        <v>33</v>
      </c>
      <c r="H1504" s="2" t="s">
        <v>34</v>
      </c>
      <c r="I1504" s="2" t="s">
        <v>57</v>
      </c>
      <c r="J1504" s="2" t="s">
        <v>5623</v>
      </c>
      <c r="K1504" s="2" t="s">
        <v>4193</v>
      </c>
      <c r="L1504">
        <v>7</v>
      </c>
      <c r="M1504" s="1">
        <v>221000</v>
      </c>
      <c r="N1504">
        <v>3.4</v>
      </c>
      <c r="O1504">
        <v>5</v>
      </c>
      <c r="P1504" s="2" t="s">
        <v>26</v>
      </c>
    </row>
    <row r="1505" spans="1:16" x14ac:dyDescent="0.25">
      <c r="A1505" s="2" t="s">
        <v>5627</v>
      </c>
      <c r="B1505" s="2" t="s">
        <v>5628</v>
      </c>
      <c r="C1505" s="2" t="s">
        <v>29</v>
      </c>
      <c r="D1505" s="2" t="s">
        <v>30</v>
      </c>
      <c r="E1505" s="2" t="s">
        <v>44</v>
      </c>
      <c r="F1505" s="2" t="s">
        <v>32</v>
      </c>
      <c r="G1505" s="2" t="s">
        <v>33</v>
      </c>
      <c r="H1505" s="2" t="s">
        <v>23</v>
      </c>
      <c r="I1505" s="2" t="s">
        <v>35</v>
      </c>
      <c r="J1505" s="2" t="s">
        <v>5629</v>
      </c>
      <c r="K1505" s="2" t="s">
        <v>4193</v>
      </c>
      <c r="L1505">
        <v>3</v>
      </c>
      <c r="M1505" s="1">
        <v>299000</v>
      </c>
      <c r="N1505">
        <v>3.9</v>
      </c>
      <c r="O1505">
        <v>10</v>
      </c>
      <c r="P1505" s="2" t="s">
        <v>53</v>
      </c>
    </row>
    <row r="1506" spans="1:16" x14ac:dyDescent="0.25">
      <c r="A1506" s="2" t="s">
        <v>5631</v>
      </c>
      <c r="B1506" s="2" t="s">
        <v>5632</v>
      </c>
      <c r="C1506" s="2" t="s">
        <v>29</v>
      </c>
      <c r="D1506" s="2" t="s">
        <v>79</v>
      </c>
      <c r="E1506" s="2" t="s">
        <v>20</v>
      </c>
      <c r="F1506" s="2" t="s">
        <v>128</v>
      </c>
      <c r="G1506" s="2" t="s">
        <v>69</v>
      </c>
      <c r="H1506" s="2" t="s">
        <v>62</v>
      </c>
      <c r="I1506" s="2" t="s">
        <v>24</v>
      </c>
      <c r="J1506" s="2" t="s">
        <v>342</v>
      </c>
      <c r="K1506" s="2" t="s">
        <v>5634</v>
      </c>
      <c r="L1506">
        <v>4</v>
      </c>
      <c r="M1506" s="1">
        <v>465000</v>
      </c>
      <c r="N1506">
        <v>2.4</v>
      </c>
      <c r="O1506">
        <v>11</v>
      </c>
      <c r="P1506" s="2" t="s">
        <v>26</v>
      </c>
    </row>
    <row r="1507" spans="1:16" x14ac:dyDescent="0.25">
      <c r="A1507" s="2" t="s">
        <v>5633</v>
      </c>
      <c r="B1507" s="2" t="s">
        <v>3402</v>
      </c>
      <c r="C1507" s="2" t="s">
        <v>18</v>
      </c>
      <c r="D1507" s="2" t="s">
        <v>19</v>
      </c>
      <c r="E1507" s="2" t="s">
        <v>20</v>
      </c>
      <c r="F1507" s="2" t="s">
        <v>128</v>
      </c>
      <c r="G1507" s="2" t="s">
        <v>22</v>
      </c>
      <c r="H1507" s="2" t="s">
        <v>23</v>
      </c>
      <c r="I1507" s="2" t="s">
        <v>35</v>
      </c>
      <c r="J1507" s="2" t="s">
        <v>4281</v>
      </c>
      <c r="K1507" s="2" t="s">
        <v>5634</v>
      </c>
      <c r="L1507">
        <v>2</v>
      </c>
      <c r="M1507" s="1">
        <v>523000</v>
      </c>
      <c r="N1507">
        <v>5</v>
      </c>
      <c r="O1507">
        <v>6</v>
      </c>
      <c r="P1507" s="2" t="s">
        <v>53</v>
      </c>
    </row>
    <row r="1508" spans="1:16" x14ac:dyDescent="0.25">
      <c r="A1508" s="2" t="s">
        <v>5635</v>
      </c>
      <c r="B1508" s="2" t="s">
        <v>5636</v>
      </c>
      <c r="C1508" s="2" t="s">
        <v>18</v>
      </c>
      <c r="D1508" s="2" t="s">
        <v>43</v>
      </c>
      <c r="E1508" s="2" t="s">
        <v>44</v>
      </c>
      <c r="F1508" s="2" t="s">
        <v>128</v>
      </c>
      <c r="G1508" s="2" t="s">
        <v>22</v>
      </c>
      <c r="H1508" s="2" t="s">
        <v>34</v>
      </c>
      <c r="I1508" s="2" t="s">
        <v>57</v>
      </c>
      <c r="J1508" s="2" t="s">
        <v>1854</v>
      </c>
      <c r="K1508" s="2" t="s">
        <v>3169</v>
      </c>
      <c r="L1508">
        <v>5</v>
      </c>
      <c r="M1508" s="1">
        <v>404000</v>
      </c>
      <c r="N1508">
        <v>4.8</v>
      </c>
      <c r="O1508">
        <v>10</v>
      </c>
      <c r="P1508" s="2" t="s">
        <v>26</v>
      </c>
    </row>
    <row r="1509" spans="1:16" x14ac:dyDescent="0.25">
      <c r="A1509" s="2" t="s">
        <v>5637</v>
      </c>
      <c r="B1509" s="2" t="s">
        <v>4332</v>
      </c>
      <c r="C1509" s="2" t="s">
        <v>18</v>
      </c>
      <c r="D1509" s="2" t="s">
        <v>19</v>
      </c>
      <c r="E1509" s="2" t="s">
        <v>20</v>
      </c>
      <c r="F1509" s="2" t="s">
        <v>32</v>
      </c>
      <c r="G1509" s="2" t="s">
        <v>33</v>
      </c>
      <c r="H1509" s="2" t="s">
        <v>34</v>
      </c>
      <c r="I1509" s="2" t="s">
        <v>57</v>
      </c>
      <c r="J1509" s="2" t="s">
        <v>3214</v>
      </c>
      <c r="K1509" s="2" t="s">
        <v>3169</v>
      </c>
      <c r="L1509">
        <v>3</v>
      </c>
      <c r="M1509" s="1">
        <v>243000</v>
      </c>
      <c r="N1509">
        <v>3</v>
      </c>
      <c r="O1509">
        <v>12</v>
      </c>
      <c r="P1509" s="2" t="s">
        <v>26</v>
      </c>
    </row>
    <row r="1510" spans="1:16" x14ac:dyDescent="0.25">
      <c r="A1510" s="2" t="s">
        <v>5638</v>
      </c>
      <c r="B1510" s="2" t="s">
        <v>4915</v>
      </c>
      <c r="C1510" s="2" t="s">
        <v>18</v>
      </c>
      <c r="D1510" s="2" t="s">
        <v>50</v>
      </c>
      <c r="E1510" s="2" t="s">
        <v>44</v>
      </c>
      <c r="F1510" s="2" t="s">
        <v>39</v>
      </c>
      <c r="G1510" s="2" t="s">
        <v>22</v>
      </c>
      <c r="H1510" s="2" t="s">
        <v>34</v>
      </c>
      <c r="I1510" s="2" t="s">
        <v>24</v>
      </c>
      <c r="J1510" s="2" t="s">
        <v>3801</v>
      </c>
      <c r="K1510" s="2" t="s">
        <v>3169</v>
      </c>
      <c r="L1510">
        <v>3</v>
      </c>
      <c r="M1510" s="1">
        <v>98000</v>
      </c>
      <c r="N1510">
        <v>2.9</v>
      </c>
      <c r="O1510">
        <v>7</v>
      </c>
      <c r="P1510" s="2" t="s">
        <v>26</v>
      </c>
    </row>
    <row r="1511" spans="1:16" x14ac:dyDescent="0.25">
      <c r="A1511" s="2" t="s">
        <v>5639</v>
      </c>
      <c r="B1511" s="2" t="s">
        <v>5339</v>
      </c>
      <c r="C1511" s="2" t="s">
        <v>18</v>
      </c>
      <c r="D1511" s="2" t="s">
        <v>79</v>
      </c>
      <c r="E1511" s="2" t="s">
        <v>20</v>
      </c>
      <c r="F1511" s="2" t="s">
        <v>32</v>
      </c>
      <c r="G1511" s="2" t="s">
        <v>80</v>
      </c>
      <c r="H1511" s="2" t="s">
        <v>23</v>
      </c>
      <c r="I1511" s="2" t="s">
        <v>24</v>
      </c>
      <c r="J1511" s="2" t="s">
        <v>5640</v>
      </c>
      <c r="K1511" s="2" t="s">
        <v>3169</v>
      </c>
      <c r="L1511">
        <v>5</v>
      </c>
      <c r="M1511" s="1">
        <v>285000</v>
      </c>
      <c r="N1511">
        <v>4.5</v>
      </c>
      <c r="O1511">
        <v>2</v>
      </c>
      <c r="P1511" s="2" t="s">
        <v>26</v>
      </c>
    </row>
    <row r="1512" spans="1:16" x14ac:dyDescent="0.25">
      <c r="A1512" s="2" t="s">
        <v>5641</v>
      </c>
      <c r="B1512" s="2" t="s">
        <v>3998</v>
      </c>
      <c r="C1512" s="2" t="s">
        <v>29</v>
      </c>
      <c r="D1512" s="2" t="s">
        <v>79</v>
      </c>
      <c r="E1512" s="2" t="s">
        <v>20</v>
      </c>
      <c r="F1512" s="2" t="s">
        <v>32</v>
      </c>
      <c r="G1512" s="2" t="s">
        <v>33</v>
      </c>
      <c r="H1512" s="2" t="s">
        <v>34</v>
      </c>
      <c r="I1512" s="2" t="s">
        <v>24</v>
      </c>
      <c r="J1512" s="2" t="s">
        <v>5642</v>
      </c>
      <c r="K1512" s="2" t="s">
        <v>3169</v>
      </c>
      <c r="L1512">
        <v>5</v>
      </c>
      <c r="M1512" s="1">
        <v>256000</v>
      </c>
      <c r="N1512">
        <v>2.5</v>
      </c>
      <c r="O1512">
        <v>3</v>
      </c>
      <c r="P1512" s="2" t="s">
        <v>26</v>
      </c>
    </row>
    <row r="1513" spans="1:16" x14ac:dyDescent="0.25">
      <c r="A1513" s="2" t="s">
        <v>5645</v>
      </c>
      <c r="B1513" s="2" t="s">
        <v>3010</v>
      </c>
      <c r="C1513" s="2" t="s">
        <v>18</v>
      </c>
      <c r="D1513" s="2" t="s">
        <v>30</v>
      </c>
      <c r="E1513" s="2" t="s">
        <v>20</v>
      </c>
      <c r="F1513" s="2" t="s">
        <v>21</v>
      </c>
      <c r="G1513" s="2" t="s">
        <v>22</v>
      </c>
      <c r="H1513" s="2" t="s">
        <v>46</v>
      </c>
      <c r="I1513" s="2" t="s">
        <v>24</v>
      </c>
      <c r="J1513" s="2" t="s">
        <v>545</v>
      </c>
      <c r="K1513" s="2" t="s">
        <v>3169</v>
      </c>
      <c r="L1513">
        <v>5</v>
      </c>
      <c r="M1513" s="1">
        <v>779000</v>
      </c>
      <c r="N1513">
        <v>3.8</v>
      </c>
      <c r="O1513">
        <v>2</v>
      </c>
      <c r="P1513" s="2" t="s">
        <v>26</v>
      </c>
    </row>
    <row r="1514" spans="1:16" x14ac:dyDescent="0.25">
      <c r="A1514" s="2" t="s">
        <v>5646</v>
      </c>
      <c r="B1514" s="2" t="s">
        <v>5647</v>
      </c>
      <c r="C1514" s="2" t="s">
        <v>29</v>
      </c>
      <c r="D1514" s="2" t="s">
        <v>43</v>
      </c>
      <c r="E1514" s="2" t="s">
        <v>44</v>
      </c>
      <c r="F1514" s="2" t="s">
        <v>39</v>
      </c>
      <c r="G1514" s="2" t="s">
        <v>22</v>
      </c>
      <c r="H1514" s="2" t="s">
        <v>62</v>
      </c>
      <c r="I1514" s="2" t="s">
        <v>57</v>
      </c>
      <c r="J1514" s="2" t="s">
        <v>2850</v>
      </c>
      <c r="K1514" s="2" t="s">
        <v>3169</v>
      </c>
      <c r="L1514">
        <v>5</v>
      </c>
      <c r="M1514" s="1">
        <v>85000</v>
      </c>
      <c r="N1514">
        <v>4.5</v>
      </c>
      <c r="O1514">
        <v>14</v>
      </c>
      <c r="P1514" s="2" t="s">
        <v>26</v>
      </c>
    </row>
    <row r="1515" spans="1:16" x14ac:dyDescent="0.25">
      <c r="A1515" s="2" t="s">
        <v>5650</v>
      </c>
      <c r="B1515" s="2" t="s">
        <v>1150</v>
      </c>
      <c r="C1515" s="2" t="s">
        <v>18</v>
      </c>
      <c r="D1515" s="2" t="s">
        <v>43</v>
      </c>
      <c r="E1515" s="2" t="s">
        <v>44</v>
      </c>
      <c r="F1515" s="2" t="s">
        <v>32</v>
      </c>
      <c r="G1515" s="2" t="s">
        <v>80</v>
      </c>
      <c r="H1515" s="2" t="s">
        <v>62</v>
      </c>
      <c r="I1515" s="2" t="s">
        <v>24</v>
      </c>
      <c r="J1515" s="2" t="s">
        <v>3315</v>
      </c>
      <c r="K1515" s="2" t="s">
        <v>3169</v>
      </c>
      <c r="L1515">
        <v>5</v>
      </c>
      <c r="M1515" s="1">
        <v>190000</v>
      </c>
      <c r="N1515">
        <v>3.9</v>
      </c>
      <c r="O1515">
        <v>10</v>
      </c>
      <c r="P1515" s="2" t="s">
        <v>26</v>
      </c>
    </row>
    <row r="1516" spans="1:16" x14ac:dyDescent="0.25">
      <c r="A1516" s="2" t="s">
        <v>5651</v>
      </c>
      <c r="B1516" s="2" t="s">
        <v>5652</v>
      </c>
      <c r="C1516" s="2" t="s">
        <v>29</v>
      </c>
      <c r="D1516" s="2" t="s">
        <v>50</v>
      </c>
      <c r="E1516" s="2" t="s">
        <v>20</v>
      </c>
      <c r="F1516" s="2" t="s">
        <v>32</v>
      </c>
      <c r="G1516" s="2" t="s">
        <v>33</v>
      </c>
      <c r="H1516" s="2" t="s">
        <v>23</v>
      </c>
      <c r="I1516" s="2" t="s">
        <v>35</v>
      </c>
      <c r="J1516" s="2" t="s">
        <v>3969</v>
      </c>
      <c r="K1516" s="2" t="s">
        <v>3169</v>
      </c>
      <c r="L1516">
        <v>3</v>
      </c>
      <c r="M1516" s="1">
        <v>268000</v>
      </c>
      <c r="N1516">
        <v>4.4000000000000004</v>
      </c>
      <c r="O1516">
        <v>5</v>
      </c>
      <c r="P1516" s="2" t="s">
        <v>26</v>
      </c>
    </row>
    <row r="1517" spans="1:16" x14ac:dyDescent="0.25">
      <c r="A1517" s="2" t="s">
        <v>5655</v>
      </c>
      <c r="B1517" s="2" t="s">
        <v>5656</v>
      </c>
      <c r="C1517" s="2" t="s">
        <v>29</v>
      </c>
      <c r="D1517" s="2" t="s">
        <v>50</v>
      </c>
      <c r="E1517" s="2" t="s">
        <v>20</v>
      </c>
      <c r="F1517" s="2" t="s">
        <v>39</v>
      </c>
      <c r="G1517" s="2" t="s">
        <v>33</v>
      </c>
      <c r="H1517" s="2" t="s">
        <v>34</v>
      </c>
      <c r="I1517" s="2" t="s">
        <v>24</v>
      </c>
      <c r="J1517" s="2" t="s">
        <v>5657</v>
      </c>
      <c r="K1517" s="2" t="s">
        <v>3169</v>
      </c>
      <c r="L1517">
        <v>5</v>
      </c>
      <c r="M1517" s="1">
        <v>95000</v>
      </c>
      <c r="N1517">
        <v>4.3</v>
      </c>
      <c r="O1517">
        <v>6</v>
      </c>
      <c r="P1517" s="2" t="s">
        <v>26</v>
      </c>
    </row>
    <row r="1518" spans="1:16" x14ac:dyDescent="0.25">
      <c r="A1518" s="2" t="s">
        <v>5658</v>
      </c>
      <c r="B1518" s="2" t="s">
        <v>5659</v>
      </c>
      <c r="C1518" s="2" t="s">
        <v>18</v>
      </c>
      <c r="D1518" s="2" t="s">
        <v>30</v>
      </c>
      <c r="E1518" s="2" t="s">
        <v>20</v>
      </c>
      <c r="F1518" s="2" t="s">
        <v>128</v>
      </c>
      <c r="G1518" s="2" t="s">
        <v>22</v>
      </c>
      <c r="H1518" s="2" t="s">
        <v>23</v>
      </c>
      <c r="I1518" s="2" t="s">
        <v>57</v>
      </c>
      <c r="J1518" s="2" t="s">
        <v>5660</v>
      </c>
      <c r="K1518" s="2" t="s">
        <v>3169</v>
      </c>
      <c r="L1518">
        <v>6</v>
      </c>
      <c r="M1518" s="1">
        <v>516000</v>
      </c>
      <c r="N1518">
        <v>4.5</v>
      </c>
      <c r="O1518">
        <v>0</v>
      </c>
      <c r="P1518" s="2" t="s">
        <v>53</v>
      </c>
    </row>
    <row r="1519" spans="1:16" x14ac:dyDescent="0.25">
      <c r="A1519" s="2" t="s">
        <v>5666</v>
      </c>
      <c r="B1519" s="2" t="s">
        <v>3893</v>
      </c>
      <c r="C1519" s="2" t="s">
        <v>29</v>
      </c>
      <c r="D1519" s="2" t="s">
        <v>19</v>
      </c>
      <c r="E1519" s="2" t="s">
        <v>44</v>
      </c>
      <c r="F1519" s="2" t="s">
        <v>32</v>
      </c>
      <c r="G1519" s="2" t="s">
        <v>33</v>
      </c>
      <c r="H1519" s="2" t="s">
        <v>23</v>
      </c>
      <c r="I1519" s="2" t="s">
        <v>75</v>
      </c>
      <c r="J1519" s="2" t="s">
        <v>3053</v>
      </c>
      <c r="K1519" s="2" t="s">
        <v>5676</v>
      </c>
      <c r="L1519">
        <v>2</v>
      </c>
      <c r="M1519" s="1">
        <v>226000</v>
      </c>
      <c r="N1519">
        <v>4.2</v>
      </c>
      <c r="O1519">
        <v>31</v>
      </c>
      <c r="P1519" s="2" t="s">
        <v>26</v>
      </c>
    </row>
    <row r="1520" spans="1:16" x14ac:dyDescent="0.25">
      <c r="A1520" s="2" t="s">
        <v>5667</v>
      </c>
      <c r="B1520" s="2" t="s">
        <v>4394</v>
      </c>
      <c r="C1520" s="2" t="s">
        <v>18</v>
      </c>
      <c r="D1520" s="2" t="s">
        <v>43</v>
      </c>
      <c r="E1520" s="2" t="s">
        <v>20</v>
      </c>
      <c r="F1520" s="2" t="s">
        <v>32</v>
      </c>
      <c r="G1520" s="2" t="s">
        <v>69</v>
      </c>
      <c r="H1520" s="2" t="s">
        <v>46</v>
      </c>
      <c r="I1520" s="2" t="s">
        <v>75</v>
      </c>
      <c r="J1520" s="2" t="s">
        <v>2458</v>
      </c>
      <c r="K1520" s="2" t="s">
        <v>5676</v>
      </c>
      <c r="L1520">
        <v>3</v>
      </c>
      <c r="M1520" s="1">
        <v>180000</v>
      </c>
      <c r="N1520">
        <v>5</v>
      </c>
      <c r="O1520">
        <v>7</v>
      </c>
      <c r="P1520" s="2" t="s">
        <v>26</v>
      </c>
    </row>
    <row r="1521" spans="1:16" x14ac:dyDescent="0.25">
      <c r="A1521" s="2" t="s">
        <v>5668</v>
      </c>
      <c r="B1521" s="2" t="s">
        <v>5669</v>
      </c>
      <c r="C1521" s="2" t="s">
        <v>18</v>
      </c>
      <c r="D1521" s="2" t="s">
        <v>79</v>
      </c>
      <c r="E1521" s="2" t="s">
        <v>44</v>
      </c>
      <c r="F1521" s="2" t="s">
        <v>39</v>
      </c>
      <c r="G1521" s="2" t="s">
        <v>69</v>
      </c>
      <c r="H1521" s="2" t="s">
        <v>46</v>
      </c>
      <c r="I1521" s="2" t="s">
        <v>57</v>
      </c>
      <c r="J1521" s="2" t="s">
        <v>5670</v>
      </c>
      <c r="K1521" s="2" t="s">
        <v>5676</v>
      </c>
      <c r="L1521">
        <v>4</v>
      </c>
      <c r="M1521" s="1">
        <v>175000</v>
      </c>
      <c r="N1521">
        <v>3.4</v>
      </c>
      <c r="O1521">
        <v>7</v>
      </c>
      <c r="P1521" s="2" t="s">
        <v>26</v>
      </c>
    </row>
    <row r="1522" spans="1:16" x14ac:dyDescent="0.25">
      <c r="A1522" s="2" t="s">
        <v>5671</v>
      </c>
      <c r="B1522" s="2" t="s">
        <v>2398</v>
      </c>
      <c r="C1522" s="2" t="s">
        <v>18</v>
      </c>
      <c r="D1522" s="2" t="s">
        <v>19</v>
      </c>
      <c r="E1522" s="2" t="s">
        <v>44</v>
      </c>
      <c r="F1522" s="2" t="s">
        <v>32</v>
      </c>
      <c r="G1522" s="2" t="s">
        <v>80</v>
      </c>
      <c r="H1522" s="2" t="s">
        <v>34</v>
      </c>
      <c r="I1522" s="2" t="s">
        <v>75</v>
      </c>
      <c r="J1522" s="2" t="s">
        <v>847</v>
      </c>
      <c r="K1522" s="2" t="s">
        <v>5676</v>
      </c>
      <c r="L1522">
        <v>3</v>
      </c>
      <c r="M1522" s="1">
        <v>327000</v>
      </c>
      <c r="N1522">
        <v>4.7</v>
      </c>
      <c r="O1522">
        <v>9</v>
      </c>
      <c r="P1522" s="2" t="s">
        <v>26</v>
      </c>
    </row>
    <row r="1523" spans="1:16" x14ac:dyDescent="0.25">
      <c r="A1523" s="2" t="s">
        <v>5672</v>
      </c>
      <c r="B1523" s="2" t="s">
        <v>5673</v>
      </c>
      <c r="C1523" s="2" t="s">
        <v>29</v>
      </c>
      <c r="D1523" s="2" t="s">
        <v>19</v>
      </c>
      <c r="E1523" s="2" t="s">
        <v>20</v>
      </c>
      <c r="F1523" s="2" t="s">
        <v>32</v>
      </c>
      <c r="G1523" s="2" t="s">
        <v>80</v>
      </c>
      <c r="H1523" s="2" t="s">
        <v>46</v>
      </c>
      <c r="I1523" s="2" t="s">
        <v>24</v>
      </c>
      <c r="J1523" s="2" t="s">
        <v>2473</v>
      </c>
      <c r="K1523" s="2" t="s">
        <v>5676</v>
      </c>
      <c r="L1523">
        <v>2</v>
      </c>
      <c r="M1523" s="1">
        <v>260000</v>
      </c>
      <c r="N1523">
        <v>2.9</v>
      </c>
      <c r="O1523">
        <v>11</v>
      </c>
      <c r="P1523" s="2" t="s">
        <v>26</v>
      </c>
    </row>
    <row r="1524" spans="1:16" x14ac:dyDescent="0.25">
      <c r="A1524" s="2" t="s">
        <v>5674</v>
      </c>
      <c r="B1524" s="2" t="s">
        <v>5675</v>
      </c>
      <c r="C1524" s="2" t="s">
        <v>29</v>
      </c>
      <c r="D1524" s="2" t="s">
        <v>30</v>
      </c>
      <c r="E1524" s="2" t="s">
        <v>20</v>
      </c>
      <c r="F1524" s="2" t="s">
        <v>32</v>
      </c>
      <c r="G1524" s="2" t="s">
        <v>80</v>
      </c>
      <c r="H1524" s="2" t="s">
        <v>62</v>
      </c>
      <c r="I1524" s="2" t="s">
        <v>57</v>
      </c>
      <c r="J1524" s="2" t="s">
        <v>1798</v>
      </c>
      <c r="K1524" s="2" t="s">
        <v>5676</v>
      </c>
      <c r="L1524">
        <v>6</v>
      </c>
      <c r="M1524" s="1">
        <v>219000</v>
      </c>
      <c r="N1524">
        <v>2.9</v>
      </c>
      <c r="O1524">
        <v>0</v>
      </c>
      <c r="P1524" s="2" t="s">
        <v>53</v>
      </c>
    </row>
    <row r="1525" spans="1:16" x14ac:dyDescent="0.25">
      <c r="A1525" s="2" t="s">
        <v>5677</v>
      </c>
      <c r="B1525" s="2" t="s">
        <v>5678</v>
      </c>
      <c r="C1525" s="2" t="s">
        <v>18</v>
      </c>
      <c r="D1525" s="2" t="s">
        <v>30</v>
      </c>
      <c r="E1525" s="2" t="s">
        <v>20</v>
      </c>
      <c r="F1525" s="2" t="s">
        <v>39</v>
      </c>
      <c r="G1525" s="2" t="s">
        <v>80</v>
      </c>
      <c r="H1525" s="2" t="s">
        <v>34</v>
      </c>
      <c r="I1525" s="2" t="s">
        <v>171</v>
      </c>
      <c r="J1525" s="2" t="s">
        <v>5679</v>
      </c>
      <c r="K1525" s="2" t="s">
        <v>2071</v>
      </c>
      <c r="L1525">
        <v>3</v>
      </c>
      <c r="M1525" s="1">
        <v>142000</v>
      </c>
      <c r="N1525">
        <v>1.5</v>
      </c>
      <c r="O1525">
        <v>4</v>
      </c>
      <c r="P1525" s="2" t="s">
        <v>72</v>
      </c>
    </row>
    <row r="1526" spans="1:16" x14ac:dyDescent="0.25">
      <c r="A1526" s="2" t="s">
        <v>5680</v>
      </c>
      <c r="B1526" s="2" t="s">
        <v>5681</v>
      </c>
      <c r="C1526" s="2" t="s">
        <v>18</v>
      </c>
      <c r="D1526" s="2" t="s">
        <v>19</v>
      </c>
      <c r="E1526" s="2" t="s">
        <v>20</v>
      </c>
      <c r="F1526" s="2" t="s">
        <v>32</v>
      </c>
      <c r="G1526" s="2" t="s">
        <v>22</v>
      </c>
      <c r="H1526" s="2" t="s">
        <v>23</v>
      </c>
      <c r="I1526" s="2" t="s">
        <v>24</v>
      </c>
      <c r="J1526" s="2" t="s">
        <v>5682</v>
      </c>
      <c r="K1526" s="2" t="s">
        <v>5686</v>
      </c>
      <c r="L1526">
        <v>2</v>
      </c>
      <c r="M1526" s="1">
        <v>300000</v>
      </c>
      <c r="N1526">
        <v>4.7</v>
      </c>
      <c r="O1526">
        <v>19</v>
      </c>
      <c r="P1526" s="2" t="s">
        <v>26</v>
      </c>
    </row>
    <row r="1527" spans="1:16" x14ac:dyDescent="0.25">
      <c r="A1527" s="2" t="s">
        <v>5683</v>
      </c>
      <c r="B1527" s="2" t="s">
        <v>5684</v>
      </c>
      <c r="C1527" s="2" t="s">
        <v>29</v>
      </c>
      <c r="D1527" s="2" t="s">
        <v>50</v>
      </c>
      <c r="E1527" s="2" t="s">
        <v>31</v>
      </c>
      <c r="F1527" s="2" t="s">
        <v>39</v>
      </c>
      <c r="G1527" s="2" t="s">
        <v>22</v>
      </c>
      <c r="H1527" s="2" t="s">
        <v>23</v>
      </c>
      <c r="I1527" s="2" t="s">
        <v>57</v>
      </c>
      <c r="J1527" s="2" t="s">
        <v>1056</v>
      </c>
      <c r="K1527" s="2" t="s">
        <v>5686</v>
      </c>
      <c r="L1527">
        <v>5</v>
      </c>
      <c r="M1527" s="1">
        <v>112000</v>
      </c>
      <c r="N1527">
        <v>4.3</v>
      </c>
      <c r="O1527">
        <v>14</v>
      </c>
      <c r="P1527" s="2" t="s">
        <v>26</v>
      </c>
    </row>
    <row r="1528" spans="1:16" x14ac:dyDescent="0.25">
      <c r="A1528" s="2" t="s">
        <v>5685</v>
      </c>
      <c r="B1528" s="2" t="s">
        <v>4006</v>
      </c>
      <c r="C1528" s="2" t="s">
        <v>18</v>
      </c>
      <c r="D1528" s="2" t="s">
        <v>79</v>
      </c>
      <c r="E1528" s="2" t="s">
        <v>20</v>
      </c>
      <c r="F1528" s="2" t="s">
        <v>21</v>
      </c>
      <c r="G1528" s="2" t="s">
        <v>80</v>
      </c>
      <c r="H1528" s="2" t="s">
        <v>34</v>
      </c>
      <c r="I1528" s="2" t="s">
        <v>57</v>
      </c>
      <c r="J1528" s="2" t="s">
        <v>99</v>
      </c>
      <c r="K1528" s="2" t="s">
        <v>5686</v>
      </c>
      <c r="L1528">
        <v>3</v>
      </c>
      <c r="M1528" s="1">
        <v>939000</v>
      </c>
      <c r="N1528">
        <v>3.2</v>
      </c>
      <c r="O1528">
        <v>2</v>
      </c>
      <c r="P1528" s="2" t="s">
        <v>114</v>
      </c>
    </row>
    <row r="1529" spans="1:16" x14ac:dyDescent="0.25">
      <c r="A1529" s="2" t="s">
        <v>5687</v>
      </c>
      <c r="B1529" s="2" t="s">
        <v>5688</v>
      </c>
      <c r="C1529" s="2" t="s">
        <v>18</v>
      </c>
      <c r="D1529" s="2" t="s">
        <v>79</v>
      </c>
      <c r="E1529" s="2" t="s">
        <v>31</v>
      </c>
      <c r="F1529" s="2" t="s">
        <v>128</v>
      </c>
      <c r="G1529" s="2" t="s">
        <v>22</v>
      </c>
      <c r="H1529" s="2" t="s">
        <v>46</v>
      </c>
      <c r="I1529" s="2" t="s">
        <v>35</v>
      </c>
      <c r="J1529" s="2" t="s">
        <v>1732</v>
      </c>
      <c r="K1529" s="2" t="s">
        <v>1554</v>
      </c>
      <c r="L1529">
        <v>6</v>
      </c>
      <c r="M1529" s="1">
        <v>502000</v>
      </c>
      <c r="N1529">
        <v>2.4</v>
      </c>
      <c r="O1529">
        <v>11</v>
      </c>
      <c r="P1529" s="2" t="s">
        <v>26</v>
      </c>
    </row>
    <row r="1530" spans="1:16" x14ac:dyDescent="0.25">
      <c r="A1530" s="2" t="s">
        <v>5689</v>
      </c>
      <c r="B1530" s="2" t="s">
        <v>2650</v>
      </c>
      <c r="C1530" s="2" t="s">
        <v>18</v>
      </c>
      <c r="D1530" s="2" t="s">
        <v>2782</v>
      </c>
      <c r="E1530" s="2" t="s">
        <v>20</v>
      </c>
      <c r="F1530" s="2" t="s">
        <v>21</v>
      </c>
      <c r="G1530" s="2" t="s">
        <v>22</v>
      </c>
      <c r="H1530" s="2" t="s">
        <v>34</v>
      </c>
      <c r="I1530" s="2" t="s">
        <v>24</v>
      </c>
      <c r="J1530" s="2" t="s">
        <v>722</v>
      </c>
      <c r="K1530" s="2" t="s">
        <v>1554</v>
      </c>
      <c r="L1530">
        <v>4</v>
      </c>
      <c r="M1530" s="1">
        <v>780000</v>
      </c>
      <c r="N1530">
        <v>3.1</v>
      </c>
      <c r="O1530">
        <v>7</v>
      </c>
      <c r="P1530" s="2" t="s">
        <v>26</v>
      </c>
    </row>
    <row r="1531" spans="1:16" x14ac:dyDescent="0.25">
      <c r="A1531" s="2" t="s">
        <v>5690</v>
      </c>
      <c r="B1531" s="2" t="s">
        <v>3781</v>
      </c>
      <c r="C1531" s="2" t="s">
        <v>18</v>
      </c>
      <c r="D1531" s="2" t="s">
        <v>30</v>
      </c>
      <c r="E1531" s="2" t="s">
        <v>20</v>
      </c>
      <c r="F1531" s="2" t="s">
        <v>39</v>
      </c>
      <c r="G1531" s="2" t="s">
        <v>33</v>
      </c>
      <c r="H1531" s="2" t="s">
        <v>46</v>
      </c>
      <c r="I1531" s="2" t="s">
        <v>35</v>
      </c>
      <c r="J1531" s="2" t="s">
        <v>713</v>
      </c>
      <c r="K1531" s="2" t="s">
        <v>1554</v>
      </c>
      <c r="L1531">
        <v>3</v>
      </c>
      <c r="M1531" s="1">
        <v>90000</v>
      </c>
      <c r="N1531">
        <v>2.1</v>
      </c>
      <c r="O1531">
        <v>9</v>
      </c>
      <c r="P1531" s="2" t="s">
        <v>26</v>
      </c>
    </row>
    <row r="1532" spans="1:16" x14ac:dyDescent="0.25">
      <c r="A1532" s="2" t="s">
        <v>5693</v>
      </c>
      <c r="B1532" s="2" t="s">
        <v>3968</v>
      </c>
      <c r="C1532" s="2" t="s">
        <v>18</v>
      </c>
      <c r="D1532" s="2" t="s">
        <v>19</v>
      </c>
      <c r="E1532" s="2" t="s">
        <v>44</v>
      </c>
      <c r="F1532" s="2" t="s">
        <v>32</v>
      </c>
      <c r="G1532" s="2" t="s">
        <v>22</v>
      </c>
      <c r="H1532" s="2" t="s">
        <v>46</v>
      </c>
      <c r="I1532" s="2" t="s">
        <v>75</v>
      </c>
      <c r="J1532" s="2" t="s">
        <v>3234</v>
      </c>
      <c r="K1532" s="2" t="s">
        <v>1554</v>
      </c>
      <c r="L1532">
        <v>2</v>
      </c>
      <c r="M1532" s="1">
        <v>260000</v>
      </c>
      <c r="N1532">
        <v>2.6</v>
      </c>
      <c r="O1532">
        <v>13</v>
      </c>
      <c r="P1532" s="2" t="s">
        <v>26</v>
      </c>
    </row>
    <row r="1533" spans="1:16" x14ac:dyDescent="0.25">
      <c r="A1533" s="2" t="s">
        <v>5694</v>
      </c>
      <c r="B1533" s="2" t="s">
        <v>5695</v>
      </c>
      <c r="C1533" s="2" t="s">
        <v>29</v>
      </c>
      <c r="D1533" s="2" t="s">
        <v>79</v>
      </c>
      <c r="E1533" s="2" t="s">
        <v>44</v>
      </c>
      <c r="F1533" s="2" t="s">
        <v>32</v>
      </c>
      <c r="G1533" s="2" t="s">
        <v>69</v>
      </c>
      <c r="H1533" s="2" t="s">
        <v>23</v>
      </c>
      <c r="I1533" s="2" t="s">
        <v>57</v>
      </c>
      <c r="J1533" s="2" t="s">
        <v>1617</v>
      </c>
      <c r="K1533" s="2" t="s">
        <v>1554</v>
      </c>
      <c r="L1533">
        <v>6</v>
      </c>
      <c r="M1533" s="1">
        <v>213000</v>
      </c>
      <c r="N1533">
        <v>4.0999999999999996</v>
      </c>
      <c r="O1533">
        <v>13</v>
      </c>
      <c r="P1533" s="2" t="s">
        <v>26</v>
      </c>
    </row>
    <row r="1534" spans="1:16" x14ac:dyDescent="0.25">
      <c r="A1534" s="2" t="s">
        <v>5696</v>
      </c>
      <c r="B1534" s="2" t="s">
        <v>2734</v>
      </c>
      <c r="C1534" s="2" t="s">
        <v>18</v>
      </c>
      <c r="D1534" s="2" t="s">
        <v>43</v>
      </c>
      <c r="E1534" s="2" t="s">
        <v>20</v>
      </c>
      <c r="F1534" s="2" t="s">
        <v>128</v>
      </c>
      <c r="G1534" s="2" t="s">
        <v>22</v>
      </c>
      <c r="H1534" s="2" t="s">
        <v>34</v>
      </c>
      <c r="I1534" s="2" t="s">
        <v>35</v>
      </c>
      <c r="J1534" s="2" t="s">
        <v>4845</v>
      </c>
      <c r="K1534" s="2" t="s">
        <v>1554</v>
      </c>
      <c r="L1534">
        <v>5</v>
      </c>
      <c r="M1534" s="1">
        <v>350000</v>
      </c>
      <c r="N1534">
        <v>4.2</v>
      </c>
      <c r="O1534">
        <v>14</v>
      </c>
      <c r="P1534" s="2" t="s">
        <v>72</v>
      </c>
    </row>
    <row r="1535" spans="1:16" x14ac:dyDescent="0.25">
      <c r="A1535" s="2" t="s">
        <v>5697</v>
      </c>
      <c r="B1535" s="2" t="s">
        <v>5140</v>
      </c>
      <c r="C1535" s="2" t="s">
        <v>18</v>
      </c>
      <c r="D1535" s="2" t="s">
        <v>50</v>
      </c>
      <c r="E1535" s="2" t="s">
        <v>20</v>
      </c>
      <c r="F1535" s="2" t="s">
        <v>32</v>
      </c>
      <c r="G1535" s="2" t="s">
        <v>22</v>
      </c>
      <c r="H1535" s="2" t="s">
        <v>34</v>
      </c>
      <c r="I1535" s="2" t="s">
        <v>57</v>
      </c>
      <c r="J1535" s="2" t="s">
        <v>3224</v>
      </c>
      <c r="K1535" s="2" t="s">
        <v>2799</v>
      </c>
      <c r="L1535">
        <v>4</v>
      </c>
      <c r="M1535" s="1">
        <v>181000</v>
      </c>
      <c r="N1535">
        <v>2.2999999999999998</v>
      </c>
      <c r="O1535">
        <v>14</v>
      </c>
      <c r="P1535" s="2" t="s">
        <v>53</v>
      </c>
    </row>
    <row r="1536" spans="1:16" x14ac:dyDescent="0.25">
      <c r="A1536" s="2" t="s">
        <v>5698</v>
      </c>
      <c r="B1536" s="2" t="s">
        <v>5699</v>
      </c>
      <c r="C1536" s="2" t="s">
        <v>29</v>
      </c>
      <c r="D1536" s="2" t="s">
        <v>30</v>
      </c>
      <c r="E1536" s="2" t="s">
        <v>31</v>
      </c>
      <c r="F1536" s="2" t="s">
        <v>128</v>
      </c>
      <c r="G1536" s="2" t="s">
        <v>22</v>
      </c>
      <c r="H1536" s="2" t="s">
        <v>23</v>
      </c>
      <c r="I1536" s="2" t="s">
        <v>57</v>
      </c>
      <c r="J1536" s="2" t="s">
        <v>1558</v>
      </c>
      <c r="K1536" s="2" t="s">
        <v>5686</v>
      </c>
      <c r="L1536">
        <v>4</v>
      </c>
      <c r="M1536" s="1">
        <v>354000</v>
      </c>
      <c r="N1536">
        <v>4.8</v>
      </c>
      <c r="O1536">
        <v>10</v>
      </c>
      <c r="P1536" s="2" t="s">
        <v>53</v>
      </c>
    </row>
    <row r="1537" spans="1:16" x14ac:dyDescent="0.25">
      <c r="A1537" s="2" t="s">
        <v>5701</v>
      </c>
      <c r="B1537" s="2" t="s">
        <v>2614</v>
      </c>
      <c r="C1537" s="2" t="s">
        <v>18</v>
      </c>
      <c r="D1537" s="2" t="s">
        <v>50</v>
      </c>
      <c r="E1537" s="2" t="s">
        <v>20</v>
      </c>
      <c r="F1537" s="2" t="s">
        <v>21</v>
      </c>
      <c r="G1537" s="2" t="s">
        <v>22</v>
      </c>
      <c r="H1537" s="2" t="s">
        <v>34</v>
      </c>
      <c r="I1537" s="2" t="s">
        <v>24</v>
      </c>
      <c r="J1537" s="2" t="s">
        <v>5702</v>
      </c>
      <c r="K1537" s="2" t="s">
        <v>5706</v>
      </c>
      <c r="L1537">
        <v>3</v>
      </c>
      <c r="M1537" s="1">
        <v>828000</v>
      </c>
      <c r="N1537">
        <v>4.9000000000000004</v>
      </c>
      <c r="O1537">
        <v>6</v>
      </c>
      <c r="P1537" s="2" t="s">
        <v>26</v>
      </c>
    </row>
    <row r="1538" spans="1:16" x14ac:dyDescent="0.25">
      <c r="A1538" s="2" t="s">
        <v>5703</v>
      </c>
      <c r="B1538" s="2" t="s">
        <v>5704</v>
      </c>
      <c r="C1538" s="2" t="s">
        <v>29</v>
      </c>
      <c r="D1538" s="2" t="s">
        <v>19</v>
      </c>
      <c r="E1538" s="2" t="s">
        <v>31</v>
      </c>
      <c r="F1538" s="2" t="s">
        <v>128</v>
      </c>
      <c r="G1538" s="2" t="s">
        <v>22</v>
      </c>
      <c r="H1538" s="2" t="s">
        <v>46</v>
      </c>
      <c r="I1538" s="2" t="s">
        <v>24</v>
      </c>
      <c r="J1538" s="2" t="s">
        <v>5705</v>
      </c>
      <c r="K1538" s="2" t="s">
        <v>5706</v>
      </c>
      <c r="L1538">
        <v>2</v>
      </c>
      <c r="M1538" s="1">
        <v>541000</v>
      </c>
      <c r="N1538">
        <v>4.3</v>
      </c>
      <c r="O1538">
        <v>13</v>
      </c>
      <c r="P1538" s="2" t="s">
        <v>114</v>
      </c>
    </row>
    <row r="1539" spans="1:16" x14ac:dyDescent="0.25">
      <c r="A1539" s="2" t="s">
        <v>5710</v>
      </c>
      <c r="B1539" s="2" t="s">
        <v>5711</v>
      </c>
      <c r="C1539" s="2" t="s">
        <v>18</v>
      </c>
      <c r="D1539" s="2" t="s">
        <v>30</v>
      </c>
      <c r="E1539" s="2" t="s">
        <v>20</v>
      </c>
      <c r="F1539" s="2" t="s">
        <v>128</v>
      </c>
      <c r="G1539" s="2" t="s">
        <v>80</v>
      </c>
      <c r="H1539" s="2" t="s">
        <v>34</v>
      </c>
      <c r="I1539" s="2" t="s">
        <v>35</v>
      </c>
      <c r="J1539" s="2" t="s">
        <v>613</v>
      </c>
      <c r="K1539" s="2" t="s">
        <v>5715</v>
      </c>
      <c r="L1539">
        <v>4</v>
      </c>
      <c r="M1539" s="1">
        <v>557000</v>
      </c>
      <c r="N1539">
        <v>2</v>
      </c>
      <c r="O1539">
        <v>15</v>
      </c>
      <c r="P1539" s="2" t="s">
        <v>26</v>
      </c>
    </row>
    <row r="1540" spans="1:16" x14ac:dyDescent="0.25">
      <c r="A1540" s="2" t="s">
        <v>5712</v>
      </c>
      <c r="B1540" s="2" t="s">
        <v>5713</v>
      </c>
      <c r="C1540" s="2" t="s">
        <v>18</v>
      </c>
      <c r="D1540" s="2" t="s">
        <v>43</v>
      </c>
      <c r="E1540" s="2" t="s">
        <v>20</v>
      </c>
      <c r="F1540" s="2" t="s">
        <v>128</v>
      </c>
      <c r="G1540" s="2" t="s">
        <v>33</v>
      </c>
      <c r="H1540" s="2" t="s">
        <v>34</v>
      </c>
      <c r="I1540" s="2" t="s">
        <v>35</v>
      </c>
      <c r="J1540" s="2" t="s">
        <v>5714</v>
      </c>
      <c r="K1540" s="2" t="s">
        <v>5715</v>
      </c>
      <c r="L1540">
        <v>2</v>
      </c>
      <c r="M1540" s="1">
        <v>478000</v>
      </c>
      <c r="N1540">
        <v>5</v>
      </c>
      <c r="O1540">
        <v>7</v>
      </c>
      <c r="P1540" s="2" t="s">
        <v>53</v>
      </c>
    </row>
    <row r="1541" spans="1:16" x14ac:dyDescent="0.25">
      <c r="A1541" s="2" t="s">
        <v>5716</v>
      </c>
      <c r="B1541" s="2" t="s">
        <v>1569</v>
      </c>
      <c r="C1541" s="2" t="s">
        <v>18</v>
      </c>
      <c r="D1541" s="2" t="s">
        <v>43</v>
      </c>
      <c r="E1541" s="2" t="s">
        <v>31</v>
      </c>
      <c r="F1541" s="2" t="s">
        <v>39</v>
      </c>
      <c r="G1541" s="2" t="s">
        <v>80</v>
      </c>
      <c r="H1541" s="2" t="s">
        <v>23</v>
      </c>
      <c r="I1541" s="2" t="s">
        <v>24</v>
      </c>
      <c r="J1541" s="2" t="s">
        <v>312</v>
      </c>
      <c r="K1541" s="2" t="s">
        <v>2963</v>
      </c>
      <c r="L1541">
        <v>5</v>
      </c>
      <c r="M1541" s="1">
        <v>109000</v>
      </c>
      <c r="N1541">
        <v>2</v>
      </c>
      <c r="O1541">
        <v>5</v>
      </c>
      <c r="P1541" s="2" t="s">
        <v>26</v>
      </c>
    </row>
    <row r="1542" spans="1:16" x14ac:dyDescent="0.25">
      <c r="A1542" s="2" t="s">
        <v>5717</v>
      </c>
      <c r="B1542" s="2" t="s">
        <v>4859</v>
      </c>
      <c r="C1542" s="2" t="s">
        <v>18</v>
      </c>
      <c r="D1542" s="2" t="s">
        <v>50</v>
      </c>
      <c r="E1542" s="2" t="s">
        <v>20</v>
      </c>
      <c r="F1542" s="2" t="s">
        <v>128</v>
      </c>
      <c r="G1542" s="2" t="s">
        <v>33</v>
      </c>
      <c r="H1542" s="2" t="s">
        <v>46</v>
      </c>
      <c r="I1542" s="2" t="s">
        <v>24</v>
      </c>
      <c r="J1542" s="2" t="s">
        <v>95</v>
      </c>
      <c r="K1542" s="2" t="s">
        <v>2963</v>
      </c>
      <c r="L1542">
        <v>3</v>
      </c>
      <c r="M1542" s="1">
        <v>362000</v>
      </c>
      <c r="N1542">
        <v>3.3</v>
      </c>
      <c r="O1542">
        <v>3</v>
      </c>
      <c r="P1542" s="2" t="s">
        <v>26</v>
      </c>
    </row>
    <row r="1543" spans="1:16" x14ac:dyDescent="0.25">
      <c r="A1543" s="2" t="s">
        <v>5722</v>
      </c>
      <c r="B1543" s="2" t="s">
        <v>5723</v>
      </c>
      <c r="C1543" s="2" t="s">
        <v>18</v>
      </c>
      <c r="D1543" s="2" t="s">
        <v>50</v>
      </c>
      <c r="E1543" s="2" t="s">
        <v>44</v>
      </c>
      <c r="F1543" s="2" t="s">
        <v>39</v>
      </c>
      <c r="G1543" s="2" t="s">
        <v>22</v>
      </c>
      <c r="H1543" s="2" t="s">
        <v>34</v>
      </c>
      <c r="I1543" s="2" t="s">
        <v>35</v>
      </c>
      <c r="J1543" s="2" t="s">
        <v>493</v>
      </c>
      <c r="K1543" s="2" t="s">
        <v>2963</v>
      </c>
      <c r="L1543">
        <v>2</v>
      </c>
      <c r="M1543" s="1">
        <v>130000</v>
      </c>
      <c r="N1543">
        <v>2.7</v>
      </c>
      <c r="O1543">
        <v>23</v>
      </c>
      <c r="P1543" s="2" t="s">
        <v>26</v>
      </c>
    </row>
    <row r="1544" spans="1:16" x14ac:dyDescent="0.25">
      <c r="A1544" s="2" t="s">
        <v>5724</v>
      </c>
      <c r="B1544" s="2" t="s">
        <v>5725</v>
      </c>
      <c r="C1544" s="2" t="s">
        <v>18</v>
      </c>
      <c r="D1544" s="2" t="s">
        <v>50</v>
      </c>
      <c r="E1544" s="2" t="s">
        <v>20</v>
      </c>
      <c r="F1544" s="2" t="s">
        <v>21</v>
      </c>
      <c r="G1544" s="2" t="s">
        <v>80</v>
      </c>
      <c r="H1544" s="2" t="s">
        <v>62</v>
      </c>
      <c r="I1544" s="2" t="s">
        <v>24</v>
      </c>
      <c r="J1544" s="2" t="s">
        <v>1738</v>
      </c>
      <c r="K1544" s="2" t="s">
        <v>2963</v>
      </c>
      <c r="L1544">
        <v>3</v>
      </c>
      <c r="M1544" s="1">
        <v>740000</v>
      </c>
      <c r="N1544">
        <v>4.4000000000000004</v>
      </c>
      <c r="O1544">
        <v>3</v>
      </c>
      <c r="P1544" s="2" t="s">
        <v>53</v>
      </c>
    </row>
    <row r="1545" spans="1:16" x14ac:dyDescent="0.25">
      <c r="A1545" s="2" t="s">
        <v>5726</v>
      </c>
      <c r="B1545" s="2" t="s">
        <v>333</v>
      </c>
      <c r="C1545" s="2" t="s">
        <v>18</v>
      </c>
      <c r="D1545" s="2" t="s">
        <v>50</v>
      </c>
      <c r="E1545" s="2" t="s">
        <v>44</v>
      </c>
      <c r="F1545" s="2" t="s">
        <v>32</v>
      </c>
      <c r="G1545" s="2" t="s">
        <v>22</v>
      </c>
      <c r="H1545" s="2" t="s">
        <v>34</v>
      </c>
      <c r="I1545" s="2" t="s">
        <v>57</v>
      </c>
      <c r="J1545" s="2" t="s">
        <v>600</v>
      </c>
      <c r="K1545" s="2" t="s">
        <v>2262</v>
      </c>
      <c r="L1545">
        <v>2</v>
      </c>
      <c r="M1545" s="1">
        <v>219000</v>
      </c>
      <c r="N1545">
        <v>4.3</v>
      </c>
      <c r="O1545">
        <v>2</v>
      </c>
      <c r="P1545" s="2" t="s">
        <v>26</v>
      </c>
    </row>
    <row r="1546" spans="1:16" x14ac:dyDescent="0.25">
      <c r="A1546" s="2" t="s">
        <v>5727</v>
      </c>
      <c r="B1546" s="2" t="s">
        <v>4963</v>
      </c>
      <c r="C1546" s="2" t="s">
        <v>18</v>
      </c>
      <c r="D1546" s="2" t="s">
        <v>79</v>
      </c>
      <c r="E1546" s="2" t="s">
        <v>20</v>
      </c>
      <c r="F1546" s="2" t="s">
        <v>39</v>
      </c>
      <c r="G1546" s="2" t="s">
        <v>80</v>
      </c>
      <c r="H1546" s="2" t="s">
        <v>23</v>
      </c>
      <c r="I1546" s="2" t="s">
        <v>171</v>
      </c>
      <c r="J1546" s="2" t="s">
        <v>600</v>
      </c>
      <c r="K1546" s="2" t="s">
        <v>2262</v>
      </c>
      <c r="L1546">
        <v>2</v>
      </c>
      <c r="M1546" s="1">
        <v>125000</v>
      </c>
      <c r="N1546">
        <v>3.8</v>
      </c>
      <c r="O1546">
        <v>12</v>
      </c>
      <c r="P1546" s="2" t="s">
        <v>26</v>
      </c>
    </row>
    <row r="1547" spans="1:16" x14ac:dyDescent="0.25">
      <c r="A1547" s="2" t="s">
        <v>5728</v>
      </c>
      <c r="B1547" s="2" t="s">
        <v>2133</v>
      </c>
      <c r="C1547" s="2" t="s">
        <v>18</v>
      </c>
      <c r="D1547" s="2" t="s">
        <v>43</v>
      </c>
      <c r="E1547" s="2" t="s">
        <v>20</v>
      </c>
      <c r="F1547" s="2" t="s">
        <v>128</v>
      </c>
      <c r="G1547" s="2" t="s">
        <v>33</v>
      </c>
      <c r="H1547" s="2" t="s">
        <v>23</v>
      </c>
      <c r="I1547" s="2" t="s">
        <v>24</v>
      </c>
      <c r="J1547" s="2" t="s">
        <v>192</v>
      </c>
      <c r="K1547" s="2" t="s">
        <v>2262</v>
      </c>
      <c r="L1547">
        <v>3</v>
      </c>
      <c r="M1547" s="1">
        <v>440000</v>
      </c>
      <c r="N1547">
        <v>2.2000000000000002</v>
      </c>
      <c r="O1547">
        <v>1</v>
      </c>
      <c r="P1547" s="2" t="s">
        <v>72</v>
      </c>
    </row>
    <row r="1548" spans="1:16" x14ac:dyDescent="0.25">
      <c r="A1548" s="2" t="s">
        <v>5729</v>
      </c>
      <c r="B1548" s="2" t="s">
        <v>5730</v>
      </c>
      <c r="C1548" s="2" t="s">
        <v>29</v>
      </c>
      <c r="D1548" s="2" t="s">
        <v>30</v>
      </c>
      <c r="E1548" s="2" t="s">
        <v>20</v>
      </c>
      <c r="F1548" s="2" t="s">
        <v>32</v>
      </c>
      <c r="G1548" s="2" t="s">
        <v>22</v>
      </c>
      <c r="H1548" s="2" t="s">
        <v>34</v>
      </c>
      <c r="I1548" s="2" t="s">
        <v>24</v>
      </c>
      <c r="J1548" s="2" t="s">
        <v>1413</v>
      </c>
      <c r="K1548" s="2" t="s">
        <v>5738</v>
      </c>
      <c r="L1548">
        <v>3</v>
      </c>
      <c r="M1548" s="1">
        <v>184000</v>
      </c>
      <c r="N1548">
        <v>2.2000000000000002</v>
      </c>
      <c r="O1548">
        <v>1</v>
      </c>
      <c r="P1548" s="2" t="s">
        <v>26</v>
      </c>
    </row>
    <row r="1549" spans="1:16" x14ac:dyDescent="0.25">
      <c r="A1549" s="2" t="s">
        <v>5731</v>
      </c>
      <c r="B1549" s="2" t="s">
        <v>2875</v>
      </c>
      <c r="C1549" s="2" t="s">
        <v>18</v>
      </c>
      <c r="D1549" s="2" t="s">
        <v>79</v>
      </c>
      <c r="E1549" s="2" t="s">
        <v>31</v>
      </c>
      <c r="F1549" s="2" t="s">
        <v>128</v>
      </c>
      <c r="G1549" s="2" t="s">
        <v>69</v>
      </c>
      <c r="H1549" s="2" t="s">
        <v>46</v>
      </c>
      <c r="I1549" s="2" t="s">
        <v>35</v>
      </c>
      <c r="J1549" s="2" t="s">
        <v>2603</v>
      </c>
      <c r="K1549" s="2" t="s">
        <v>5738</v>
      </c>
      <c r="L1549">
        <v>3</v>
      </c>
      <c r="M1549" s="1">
        <v>577000</v>
      </c>
      <c r="N1549">
        <v>2.2999999999999998</v>
      </c>
      <c r="O1549">
        <v>14</v>
      </c>
      <c r="P1549" s="2" t="s">
        <v>26</v>
      </c>
    </row>
    <row r="1550" spans="1:16" x14ac:dyDescent="0.25">
      <c r="A1550" s="2" t="s">
        <v>5737</v>
      </c>
      <c r="B1550" s="2" t="s">
        <v>3592</v>
      </c>
      <c r="C1550" s="2" t="s">
        <v>29</v>
      </c>
      <c r="D1550" s="2" t="s">
        <v>30</v>
      </c>
      <c r="E1550" s="2" t="s">
        <v>20</v>
      </c>
      <c r="F1550" s="2" t="s">
        <v>21</v>
      </c>
      <c r="G1550" s="2" t="s">
        <v>22</v>
      </c>
      <c r="H1550" s="2" t="s">
        <v>34</v>
      </c>
      <c r="I1550" s="2" t="s">
        <v>171</v>
      </c>
      <c r="J1550" s="2" t="s">
        <v>2510</v>
      </c>
      <c r="K1550" s="2" t="s">
        <v>5738</v>
      </c>
      <c r="L1550">
        <v>3</v>
      </c>
      <c r="M1550" s="1">
        <v>731000</v>
      </c>
      <c r="N1550">
        <v>3.2</v>
      </c>
      <c r="O1550">
        <v>13</v>
      </c>
      <c r="P1550" s="2" t="s">
        <v>53</v>
      </c>
    </row>
    <row r="1551" spans="1:16" x14ac:dyDescent="0.25">
      <c r="A1551" s="2" t="s">
        <v>5739</v>
      </c>
      <c r="B1551" s="2" t="s">
        <v>5740</v>
      </c>
      <c r="C1551" s="2" t="s">
        <v>29</v>
      </c>
      <c r="D1551" s="2" t="s">
        <v>19</v>
      </c>
      <c r="E1551" s="2" t="s">
        <v>20</v>
      </c>
      <c r="F1551" s="2" t="s">
        <v>39</v>
      </c>
      <c r="G1551" s="2" t="s">
        <v>33</v>
      </c>
      <c r="H1551" s="2" t="s">
        <v>62</v>
      </c>
      <c r="I1551" s="2" t="s">
        <v>24</v>
      </c>
      <c r="J1551" s="2" t="s">
        <v>5741</v>
      </c>
      <c r="K1551" s="2" t="s">
        <v>5751</v>
      </c>
      <c r="L1551">
        <v>5</v>
      </c>
      <c r="M1551" s="1">
        <v>187000</v>
      </c>
      <c r="N1551">
        <v>4.8</v>
      </c>
      <c r="O1551">
        <v>6</v>
      </c>
      <c r="P1551" s="2" t="s">
        <v>26</v>
      </c>
    </row>
    <row r="1552" spans="1:16" x14ac:dyDescent="0.25">
      <c r="A1552" s="2" t="s">
        <v>5745</v>
      </c>
      <c r="B1552" s="2" t="s">
        <v>170</v>
      </c>
      <c r="C1552" s="2" t="s">
        <v>18</v>
      </c>
      <c r="D1552" s="2" t="s">
        <v>30</v>
      </c>
      <c r="E1552" s="2" t="s">
        <v>20</v>
      </c>
      <c r="F1552" s="2" t="s">
        <v>128</v>
      </c>
      <c r="G1552" s="2" t="s">
        <v>22</v>
      </c>
      <c r="H1552" s="2" t="s">
        <v>62</v>
      </c>
      <c r="I1552" s="2" t="s">
        <v>57</v>
      </c>
      <c r="J1552" s="2" t="s">
        <v>5746</v>
      </c>
      <c r="K1552" s="2" t="s">
        <v>5751</v>
      </c>
      <c r="L1552">
        <v>5</v>
      </c>
      <c r="M1552" s="1">
        <v>550000</v>
      </c>
      <c r="N1552">
        <v>3.6</v>
      </c>
      <c r="O1552">
        <v>3</v>
      </c>
      <c r="P1552" s="2" t="s">
        <v>26</v>
      </c>
    </row>
    <row r="1553" spans="1:16" x14ac:dyDescent="0.25">
      <c r="A1553" s="2" t="s">
        <v>5749</v>
      </c>
      <c r="B1553" s="2" t="s">
        <v>5750</v>
      </c>
      <c r="C1553" s="2" t="s">
        <v>29</v>
      </c>
      <c r="D1553" s="2" t="s">
        <v>43</v>
      </c>
      <c r="E1553" s="2" t="s">
        <v>31</v>
      </c>
      <c r="F1553" s="2" t="s">
        <v>128</v>
      </c>
      <c r="G1553" s="2" t="s">
        <v>33</v>
      </c>
      <c r="H1553" s="2" t="s">
        <v>23</v>
      </c>
      <c r="I1553" s="2" t="s">
        <v>35</v>
      </c>
      <c r="J1553" s="2" t="s">
        <v>3958</v>
      </c>
      <c r="K1553" s="2" t="s">
        <v>5751</v>
      </c>
      <c r="L1553">
        <v>7</v>
      </c>
      <c r="M1553" s="1">
        <v>350000</v>
      </c>
      <c r="N1553">
        <v>3.7</v>
      </c>
      <c r="O1553">
        <v>24</v>
      </c>
      <c r="P1553" s="2" t="s">
        <v>53</v>
      </c>
    </row>
    <row r="1554" spans="1:16" x14ac:dyDescent="0.25">
      <c r="A1554" s="2" t="s">
        <v>5752</v>
      </c>
      <c r="B1554" s="2" t="s">
        <v>5753</v>
      </c>
      <c r="C1554" s="2" t="s">
        <v>29</v>
      </c>
      <c r="D1554" s="2" t="s">
        <v>50</v>
      </c>
      <c r="E1554" s="2" t="s">
        <v>31</v>
      </c>
      <c r="F1554" s="2" t="s">
        <v>21</v>
      </c>
      <c r="G1554" s="2" t="s">
        <v>69</v>
      </c>
      <c r="H1554" s="2" t="s">
        <v>34</v>
      </c>
      <c r="I1554" s="2" t="s">
        <v>57</v>
      </c>
      <c r="J1554" s="2" t="s">
        <v>2107</v>
      </c>
      <c r="K1554" s="2" t="s">
        <v>5754</v>
      </c>
      <c r="L1554">
        <v>2</v>
      </c>
      <c r="M1554" s="1">
        <v>712000</v>
      </c>
      <c r="N1554">
        <v>3.9</v>
      </c>
      <c r="O1554">
        <v>8</v>
      </c>
      <c r="P1554" s="2" t="s">
        <v>72</v>
      </c>
    </row>
    <row r="1555" spans="1:16" x14ac:dyDescent="0.25">
      <c r="A1555" s="2" t="s">
        <v>5757</v>
      </c>
      <c r="B1555" s="2" t="s">
        <v>647</v>
      </c>
      <c r="C1555" s="2" t="s">
        <v>29</v>
      </c>
      <c r="D1555" s="2" t="s">
        <v>50</v>
      </c>
      <c r="E1555" s="2" t="s">
        <v>20</v>
      </c>
      <c r="F1555" s="2" t="s">
        <v>39</v>
      </c>
      <c r="G1555" s="2" t="s">
        <v>22</v>
      </c>
      <c r="H1555" s="2" t="s">
        <v>23</v>
      </c>
      <c r="I1555" s="2" t="s">
        <v>35</v>
      </c>
      <c r="J1555" s="2" t="s">
        <v>818</v>
      </c>
      <c r="K1555" s="2" t="s">
        <v>908</v>
      </c>
      <c r="L1555">
        <v>3</v>
      </c>
      <c r="M1555" s="1">
        <v>141000</v>
      </c>
      <c r="N1555">
        <v>3.2</v>
      </c>
      <c r="O1555">
        <v>12</v>
      </c>
      <c r="P1555" s="2" t="s">
        <v>53</v>
      </c>
    </row>
    <row r="1556" spans="1:16" x14ac:dyDescent="0.25">
      <c r="A1556" s="2" t="s">
        <v>5758</v>
      </c>
      <c r="B1556" s="2" t="s">
        <v>5759</v>
      </c>
      <c r="C1556" s="2" t="s">
        <v>29</v>
      </c>
      <c r="D1556" s="2" t="s">
        <v>43</v>
      </c>
      <c r="E1556" s="2" t="s">
        <v>44</v>
      </c>
      <c r="F1556" s="2" t="s">
        <v>32</v>
      </c>
      <c r="G1556" s="2" t="s">
        <v>80</v>
      </c>
      <c r="H1556" s="2" t="s">
        <v>62</v>
      </c>
      <c r="I1556" s="2" t="s">
        <v>57</v>
      </c>
      <c r="J1556" s="2" t="s">
        <v>5760</v>
      </c>
      <c r="K1556" s="2" t="s">
        <v>5761</v>
      </c>
      <c r="L1556">
        <v>3</v>
      </c>
      <c r="M1556" s="1">
        <v>276000</v>
      </c>
      <c r="N1556">
        <v>3.8</v>
      </c>
      <c r="O1556">
        <v>10</v>
      </c>
      <c r="P1556" s="2" t="s">
        <v>53</v>
      </c>
    </row>
    <row r="1557" spans="1:16" x14ac:dyDescent="0.25">
      <c r="A1557" s="2" t="s">
        <v>5762</v>
      </c>
      <c r="B1557" s="2" t="s">
        <v>83</v>
      </c>
      <c r="C1557" s="2" t="s">
        <v>29</v>
      </c>
      <c r="D1557" s="2" t="s">
        <v>30</v>
      </c>
      <c r="E1557" s="2" t="s">
        <v>31</v>
      </c>
      <c r="F1557" s="2" t="s">
        <v>39</v>
      </c>
      <c r="G1557" s="2" t="s">
        <v>22</v>
      </c>
      <c r="H1557" s="2" t="s">
        <v>34</v>
      </c>
      <c r="I1557" s="2" t="s">
        <v>24</v>
      </c>
      <c r="J1557" s="2" t="s">
        <v>3841</v>
      </c>
      <c r="K1557" s="2" t="s">
        <v>2000</v>
      </c>
      <c r="L1557">
        <v>6</v>
      </c>
      <c r="M1557" s="1">
        <v>108000</v>
      </c>
      <c r="N1557">
        <v>1.8</v>
      </c>
      <c r="O1557">
        <v>1</v>
      </c>
      <c r="P1557" s="2" t="s">
        <v>53</v>
      </c>
    </row>
    <row r="1558" spans="1:16" x14ac:dyDescent="0.25">
      <c r="A1558" s="2" t="s">
        <v>5763</v>
      </c>
      <c r="B1558" s="2" t="s">
        <v>2099</v>
      </c>
      <c r="C1558" s="2" t="s">
        <v>18</v>
      </c>
      <c r="D1558" s="2" t="s">
        <v>79</v>
      </c>
      <c r="E1558" s="2" t="s">
        <v>20</v>
      </c>
      <c r="F1558" s="2" t="s">
        <v>39</v>
      </c>
      <c r="G1558" s="2" t="s">
        <v>33</v>
      </c>
      <c r="H1558" s="2" t="s">
        <v>23</v>
      </c>
      <c r="I1558" s="2" t="s">
        <v>24</v>
      </c>
      <c r="J1558" s="2" t="s">
        <v>5764</v>
      </c>
      <c r="K1558" s="2" t="s">
        <v>2434</v>
      </c>
      <c r="L1558">
        <v>5</v>
      </c>
      <c r="M1558" s="1">
        <v>103000</v>
      </c>
      <c r="N1558">
        <v>3.6</v>
      </c>
      <c r="O1558">
        <v>3</v>
      </c>
      <c r="P1558" s="2" t="s">
        <v>26</v>
      </c>
    </row>
    <row r="1559" spans="1:16" x14ac:dyDescent="0.25">
      <c r="A1559" s="2" t="s">
        <v>5765</v>
      </c>
      <c r="B1559" s="2" t="s">
        <v>1256</v>
      </c>
      <c r="C1559" s="2" t="s">
        <v>29</v>
      </c>
      <c r="D1559" s="2" t="s">
        <v>50</v>
      </c>
      <c r="E1559" s="2" t="s">
        <v>20</v>
      </c>
      <c r="F1559" s="2" t="s">
        <v>39</v>
      </c>
      <c r="G1559" s="2" t="s">
        <v>22</v>
      </c>
      <c r="H1559" s="2" t="s">
        <v>23</v>
      </c>
      <c r="I1559" s="2" t="s">
        <v>24</v>
      </c>
      <c r="J1559" s="2" t="s">
        <v>3889</v>
      </c>
      <c r="K1559" s="2" t="s">
        <v>2434</v>
      </c>
      <c r="L1559">
        <v>6</v>
      </c>
      <c r="M1559" s="1">
        <v>166000</v>
      </c>
      <c r="N1559">
        <v>3.3</v>
      </c>
      <c r="O1559">
        <v>7</v>
      </c>
      <c r="P1559" s="2" t="s">
        <v>26</v>
      </c>
    </row>
    <row r="1560" spans="1:16" x14ac:dyDescent="0.25">
      <c r="A1560" s="2" t="s">
        <v>5766</v>
      </c>
      <c r="B1560" s="2" t="s">
        <v>1374</v>
      </c>
      <c r="C1560" s="2" t="s">
        <v>18</v>
      </c>
      <c r="D1560" s="2" t="s">
        <v>19</v>
      </c>
      <c r="E1560" s="2" t="s">
        <v>31</v>
      </c>
      <c r="F1560" s="2" t="s">
        <v>39</v>
      </c>
      <c r="G1560" s="2" t="s">
        <v>22</v>
      </c>
      <c r="H1560" s="2" t="s">
        <v>23</v>
      </c>
      <c r="I1560" s="2" t="s">
        <v>35</v>
      </c>
      <c r="J1560" s="2" t="s">
        <v>1893</v>
      </c>
      <c r="K1560" s="2" t="s">
        <v>2434</v>
      </c>
      <c r="L1560">
        <v>4</v>
      </c>
      <c r="M1560" s="1">
        <v>113000</v>
      </c>
      <c r="N1560">
        <v>4.5999999999999996</v>
      </c>
      <c r="O1560">
        <v>6</v>
      </c>
      <c r="P1560" s="2" t="s">
        <v>53</v>
      </c>
    </row>
    <row r="1561" spans="1:16" x14ac:dyDescent="0.25">
      <c r="A1561" s="2" t="s">
        <v>5767</v>
      </c>
      <c r="B1561" s="2" t="s">
        <v>244</v>
      </c>
      <c r="C1561" s="2" t="s">
        <v>29</v>
      </c>
      <c r="D1561" s="2" t="s">
        <v>19</v>
      </c>
      <c r="E1561" s="2" t="s">
        <v>44</v>
      </c>
      <c r="F1561" s="2" t="s">
        <v>39</v>
      </c>
      <c r="G1561" s="2" t="s">
        <v>22</v>
      </c>
      <c r="H1561" s="2" t="s">
        <v>34</v>
      </c>
      <c r="I1561" s="2" t="s">
        <v>57</v>
      </c>
      <c r="J1561" s="2" t="s">
        <v>1158</v>
      </c>
      <c r="K1561" s="2" t="s">
        <v>2666</v>
      </c>
      <c r="L1561">
        <v>3</v>
      </c>
      <c r="M1561" s="1">
        <v>139000</v>
      </c>
      <c r="N1561">
        <v>4.0999999999999996</v>
      </c>
      <c r="O1561">
        <v>31</v>
      </c>
      <c r="P1561" s="2" t="s">
        <v>26</v>
      </c>
    </row>
    <row r="1562" spans="1:16" x14ac:dyDescent="0.25">
      <c r="A1562" s="2" t="s">
        <v>5769</v>
      </c>
      <c r="B1562" s="2" t="s">
        <v>5770</v>
      </c>
      <c r="C1562" s="2" t="s">
        <v>29</v>
      </c>
      <c r="D1562" s="2" t="s">
        <v>19</v>
      </c>
      <c r="E1562" s="2" t="s">
        <v>20</v>
      </c>
      <c r="F1562" s="2" t="s">
        <v>32</v>
      </c>
      <c r="G1562" s="2" t="s">
        <v>80</v>
      </c>
      <c r="H1562" s="2" t="s">
        <v>23</v>
      </c>
      <c r="I1562" s="2" t="s">
        <v>24</v>
      </c>
      <c r="J1562" s="2" t="s">
        <v>1109</v>
      </c>
      <c r="K1562" s="2" t="s">
        <v>2666</v>
      </c>
      <c r="L1562">
        <v>4</v>
      </c>
      <c r="M1562" s="1">
        <v>369000</v>
      </c>
      <c r="N1562">
        <v>2</v>
      </c>
      <c r="O1562">
        <v>0</v>
      </c>
      <c r="P1562" s="2" t="s">
        <v>26</v>
      </c>
    </row>
    <row r="1563" spans="1:16" x14ac:dyDescent="0.25">
      <c r="A1563" s="2" t="s">
        <v>5776</v>
      </c>
      <c r="B1563" s="2" t="s">
        <v>1816</v>
      </c>
      <c r="C1563" s="2" t="s">
        <v>29</v>
      </c>
      <c r="D1563" s="2" t="s">
        <v>79</v>
      </c>
      <c r="E1563" s="2" t="s">
        <v>20</v>
      </c>
      <c r="F1563" s="2" t="s">
        <v>32</v>
      </c>
      <c r="G1563" s="2" t="s">
        <v>22</v>
      </c>
      <c r="H1563" s="2" t="s">
        <v>46</v>
      </c>
      <c r="I1563" s="2" t="s">
        <v>57</v>
      </c>
      <c r="J1563" s="2" t="s">
        <v>2236</v>
      </c>
      <c r="K1563" s="2" t="s">
        <v>2666</v>
      </c>
      <c r="L1563">
        <v>3</v>
      </c>
      <c r="M1563" s="1">
        <v>188000</v>
      </c>
      <c r="N1563">
        <v>4.0999999999999996</v>
      </c>
      <c r="O1563">
        <v>36</v>
      </c>
      <c r="P1563" s="2" t="s">
        <v>26</v>
      </c>
    </row>
    <row r="1564" spans="1:16" x14ac:dyDescent="0.25">
      <c r="A1564" s="2" t="s">
        <v>5777</v>
      </c>
      <c r="B1564" s="2" t="s">
        <v>3287</v>
      </c>
      <c r="C1564" s="2" t="s">
        <v>18</v>
      </c>
      <c r="D1564" s="2" t="s">
        <v>79</v>
      </c>
      <c r="E1564" s="2" t="s">
        <v>20</v>
      </c>
      <c r="F1564" s="2" t="s">
        <v>32</v>
      </c>
      <c r="G1564" s="2" t="s">
        <v>33</v>
      </c>
      <c r="H1564" s="2" t="s">
        <v>23</v>
      </c>
      <c r="I1564" s="2" t="s">
        <v>35</v>
      </c>
      <c r="J1564" s="2" t="s">
        <v>5055</v>
      </c>
      <c r="K1564" s="2" t="s">
        <v>2666</v>
      </c>
      <c r="L1564">
        <v>5</v>
      </c>
      <c r="M1564" s="1">
        <v>236000</v>
      </c>
      <c r="N1564">
        <v>4.2</v>
      </c>
      <c r="O1564">
        <v>4</v>
      </c>
      <c r="P1564" s="2" t="s">
        <v>26</v>
      </c>
    </row>
    <row r="1565" spans="1:16" x14ac:dyDescent="0.25">
      <c r="A1565" s="2" t="s">
        <v>5779</v>
      </c>
      <c r="B1565" s="2" t="s">
        <v>38</v>
      </c>
      <c r="C1565" s="2" t="s">
        <v>18</v>
      </c>
      <c r="D1565" s="2" t="s">
        <v>30</v>
      </c>
      <c r="E1565" s="2" t="s">
        <v>20</v>
      </c>
      <c r="F1565" s="2" t="s">
        <v>21</v>
      </c>
      <c r="G1565" s="2" t="s">
        <v>22</v>
      </c>
      <c r="H1565" s="2" t="s">
        <v>34</v>
      </c>
      <c r="I1565" s="2" t="s">
        <v>75</v>
      </c>
      <c r="J1565" s="2" t="s">
        <v>2726</v>
      </c>
      <c r="K1565" s="2" t="s">
        <v>2666</v>
      </c>
      <c r="L1565">
        <v>6</v>
      </c>
      <c r="M1565" s="1">
        <v>886000</v>
      </c>
      <c r="N1565">
        <v>3.8</v>
      </c>
      <c r="O1565">
        <v>13</v>
      </c>
      <c r="P1565" s="2" t="s">
        <v>53</v>
      </c>
    </row>
    <row r="1566" spans="1:16" x14ac:dyDescent="0.25">
      <c r="A1566" s="2" t="s">
        <v>5780</v>
      </c>
      <c r="B1566" s="2" t="s">
        <v>5781</v>
      </c>
      <c r="C1566" s="2" t="s">
        <v>18</v>
      </c>
      <c r="D1566" s="2" t="s">
        <v>30</v>
      </c>
      <c r="E1566" s="2" t="s">
        <v>44</v>
      </c>
      <c r="F1566" s="2" t="s">
        <v>128</v>
      </c>
      <c r="G1566" s="2" t="s">
        <v>80</v>
      </c>
      <c r="H1566" s="2" t="s">
        <v>23</v>
      </c>
      <c r="I1566" s="2" t="s">
        <v>24</v>
      </c>
      <c r="J1566" s="2" t="s">
        <v>5782</v>
      </c>
      <c r="K1566" s="2" t="s">
        <v>838</v>
      </c>
      <c r="L1566">
        <v>2</v>
      </c>
      <c r="M1566" s="1">
        <v>382000</v>
      </c>
      <c r="N1566">
        <v>3</v>
      </c>
      <c r="O1566">
        <v>8</v>
      </c>
      <c r="P1566" s="2" t="s">
        <v>72</v>
      </c>
    </row>
    <row r="1567" spans="1:16" x14ac:dyDescent="0.25">
      <c r="A1567" s="2" t="s">
        <v>5783</v>
      </c>
      <c r="B1567" s="2" t="s">
        <v>4885</v>
      </c>
      <c r="C1567" s="2" t="s">
        <v>29</v>
      </c>
      <c r="D1567" s="2" t="s">
        <v>43</v>
      </c>
      <c r="E1567" s="2" t="s">
        <v>31</v>
      </c>
      <c r="F1567" s="2" t="s">
        <v>128</v>
      </c>
      <c r="G1567" s="2" t="s">
        <v>33</v>
      </c>
      <c r="H1567" s="2" t="s">
        <v>23</v>
      </c>
      <c r="I1567" s="2" t="s">
        <v>171</v>
      </c>
      <c r="J1567" s="2" t="s">
        <v>5431</v>
      </c>
      <c r="K1567" s="2" t="s">
        <v>1480</v>
      </c>
      <c r="L1567">
        <v>6</v>
      </c>
      <c r="M1567" s="1">
        <v>399000</v>
      </c>
      <c r="N1567">
        <v>2.8</v>
      </c>
      <c r="O1567">
        <v>4</v>
      </c>
      <c r="P1567" s="2" t="s">
        <v>114</v>
      </c>
    </row>
    <row r="1568" spans="1:16" x14ac:dyDescent="0.25">
      <c r="A1568" s="2" t="s">
        <v>5784</v>
      </c>
      <c r="B1568" s="2" t="s">
        <v>5785</v>
      </c>
      <c r="C1568" s="2" t="s">
        <v>18</v>
      </c>
      <c r="D1568" s="2" t="s">
        <v>79</v>
      </c>
      <c r="E1568" s="2" t="s">
        <v>20</v>
      </c>
      <c r="F1568" s="2" t="s">
        <v>128</v>
      </c>
      <c r="G1568" s="2" t="s">
        <v>80</v>
      </c>
      <c r="H1568" s="2" t="s">
        <v>46</v>
      </c>
      <c r="I1568" s="2" t="s">
        <v>35</v>
      </c>
      <c r="J1568" s="2" t="s">
        <v>981</v>
      </c>
      <c r="K1568" s="2" t="s">
        <v>5801</v>
      </c>
      <c r="L1568">
        <v>5</v>
      </c>
      <c r="M1568" s="1">
        <v>541000</v>
      </c>
      <c r="N1568">
        <v>2.5</v>
      </c>
      <c r="O1568">
        <v>6</v>
      </c>
      <c r="P1568" s="2" t="s">
        <v>26</v>
      </c>
    </row>
    <row r="1569" spans="1:16" x14ac:dyDescent="0.25">
      <c r="A1569" s="2" t="s">
        <v>5786</v>
      </c>
      <c r="B1569" s="2" t="s">
        <v>1144</v>
      </c>
      <c r="C1569" s="2" t="s">
        <v>18</v>
      </c>
      <c r="D1569" s="2" t="s">
        <v>43</v>
      </c>
      <c r="E1569" s="2" t="s">
        <v>44</v>
      </c>
      <c r="F1569" s="2" t="s">
        <v>128</v>
      </c>
      <c r="G1569" s="2" t="s">
        <v>33</v>
      </c>
      <c r="H1569" s="2" t="s">
        <v>34</v>
      </c>
      <c r="I1569" s="2" t="s">
        <v>35</v>
      </c>
      <c r="J1569" s="2" t="s">
        <v>5787</v>
      </c>
      <c r="K1569" s="2" t="s">
        <v>5801</v>
      </c>
      <c r="L1569">
        <v>3</v>
      </c>
      <c r="M1569" s="1">
        <v>350000</v>
      </c>
      <c r="N1569">
        <v>3.8</v>
      </c>
      <c r="O1569">
        <v>0</v>
      </c>
      <c r="P1569" s="2" t="s">
        <v>26</v>
      </c>
    </row>
    <row r="1570" spans="1:16" x14ac:dyDescent="0.25">
      <c r="A1570" s="2" t="s">
        <v>5791</v>
      </c>
      <c r="B1570" s="2" t="s">
        <v>2561</v>
      </c>
      <c r="C1570" s="2" t="s">
        <v>29</v>
      </c>
      <c r="D1570" s="2" t="s">
        <v>19</v>
      </c>
      <c r="E1570" s="2" t="s">
        <v>20</v>
      </c>
      <c r="F1570" s="2" t="s">
        <v>39</v>
      </c>
      <c r="G1570" s="2" t="s">
        <v>22</v>
      </c>
      <c r="H1570" s="2" t="s">
        <v>23</v>
      </c>
      <c r="I1570" s="2" t="s">
        <v>35</v>
      </c>
      <c r="J1570" s="2" t="s">
        <v>2867</v>
      </c>
      <c r="K1570" s="2" t="s">
        <v>5801</v>
      </c>
      <c r="L1570">
        <v>2</v>
      </c>
      <c r="M1570" s="1">
        <v>198000</v>
      </c>
      <c r="N1570">
        <v>4.7</v>
      </c>
      <c r="O1570">
        <v>12</v>
      </c>
      <c r="P1570" s="2" t="s">
        <v>26</v>
      </c>
    </row>
    <row r="1571" spans="1:16" x14ac:dyDescent="0.25">
      <c r="A1571" s="2" t="s">
        <v>5792</v>
      </c>
      <c r="B1571" s="2" t="s">
        <v>5793</v>
      </c>
      <c r="C1571" s="2" t="s">
        <v>29</v>
      </c>
      <c r="D1571" s="2" t="s">
        <v>79</v>
      </c>
      <c r="E1571" s="2" t="s">
        <v>44</v>
      </c>
      <c r="F1571" s="2" t="s">
        <v>32</v>
      </c>
      <c r="G1571" s="2" t="s">
        <v>69</v>
      </c>
      <c r="H1571" s="2" t="s">
        <v>46</v>
      </c>
      <c r="I1571" s="2" t="s">
        <v>57</v>
      </c>
      <c r="J1571" s="2" t="s">
        <v>5794</v>
      </c>
      <c r="K1571" s="2" t="s">
        <v>5801</v>
      </c>
      <c r="L1571">
        <v>2</v>
      </c>
      <c r="M1571" s="1">
        <v>298000</v>
      </c>
      <c r="N1571">
        <v>3.7</v>
      </c>
      <c r="O1571">
        <v>14</v>
      </c>
      <c r="P1571" s="2" t="s">
        <v>26</v>
      </c>
    </row>
    <row r="1572" spans="1:16" x14ac:dyDescent="0.25">
      <c r="A1572" s="2" t="s">
        <v>5795</v>
      </c>
      <c r="B1572" s="2" t="s">
        <v>5150</v>
      </c>
      <c r="C1572" s="2" t="s">
        <v>18</v>
      </c>
      <c r="D1572" s="2" t="s">
        <v>43</v>
      </c>
      <c r="E1572" s="2" t="s">
        <v>31</v>
      </c>
      <c r="F1572" s="2" t="s">
        <v>39</v>
      </c>
      <c r="G1572" s="2" t="s">
        <v>22</v>
      </c>
      <c r="H1572" s="2" t="s">
        <v>46</v>
      </c>
      <c r="I1572" s="2" t="s">
        <v>24</v>
      </c>
      <c r="J1572" s="2" t="s">
        <v>5796</v>
      </c>
      <c r="K1572" s="2" t="s">
        <v>5801</v>
      </c>
      <c r="L1572">
        <v>4</v>
      </c>
      <c r="M1572" s="1">
        <v>134000</v>
      </c>
      <c r="N1572">
        <v>3.8</v>
      </c>
      <c r="O1572">
        <v>11</v>
      </c>
      <c r="P1572" s="2" t="s">
        <v>26</v>
      </c>
    </row>
    <row r="1573" spans="1:16" x14ac:dyDescent="0.25">
      <c r="A1573" s="2" t="s">
        <v>5799</v>
      </c>
      <c r="B1573" s="2" t="s">
        <v>5800</v>
      </c>
      <c r="C1573" s="2" t="s">
        <v>18</v>
      </c>
      <c r="D1573" s="2" t="s">
        <v>19</v>
      </c>
      <c r="E1573" s="2" t="s">
        <v>20</v>
      </c>
      <c r="F1573" s="2" t="s">
        <v>128</v>
      </c>
      <c r="G1573" s="2" t="s">
        <v>69</v>
      </c>
      <c r="H1573" s="2" t="s">
        <v>23</v>
      </c>
      <c r="I1573" s="2" t="s">
        <v>24</v>
      </c>
      <c r="J1573" s="2" t="s">
        <v>3664</v>
      </c>
      <c r="K1573" s="2" t="s">
        <v>5801</v>
      </c>
      <c r="L1573">
        <v>4</v>
      </c>
      <c r="M1573" s="1">
        <v>660000</v>
      </c>
      <c r="N1573">
        <v>3</v>
      </c>
      <c r="O1573">
        <v>2</v>
      </c>
      <c r="P1573" s="2" t="s">
        <v>53</v>
      </c>
    </row>
    <row r="1574" spans="1:16" x14ac:dyDescent="0.25">
      <c r="A1574" s="2" t="s">
        <v>5802</v>
      </c>
      <c r="B1574" s="2" t="s">
        <v>2199</v>
      </c>
      <c r="C1574" s="2" t="s">
        <v>18</v>
      </c>
      <c r="D1574" s="2" t="s">
        <v>19</v>
      </c>
      <c r="E1574" s="2" t="s">
        <v>20</v>
      </c>
      <c r="F1574" s="2" t="s">
        <v>32</v>
      </c>
      <c r="G1574" s="2" t="s">
        <v>22</v>
      </c>
      <c r="H1574" s="2" t="s">
        <v>34</v>
      </c>
      <c r="I1574" s="2" t="s">
        <v>24</v>
      </c>
      <c r="J1574" s="2" t="s">
        <v>1709</v>
      </c>
      <c r="K1574" s="2" t="s">
        <v>5039</v>
      </c>
      <c r="L1574">
        <v>5</v>
      </c>
      <c r="M1574" s="1">
        <v>257000</v>
      </c>
      <c r="N1574">
        <v>4</v>
      </c>
      <c r="O1574">
        <v>37</v>
      </c>
      <c r="P1574" s="2" t="s">
        <v>26</v>
      </c>
    </row>
    <row r="1575" spans="1:16" x14ac:dyDescent="0.25">
      <c r="A1575" s="2" t="s">
        <v>5803</v>
      </c>
      <c r="B1575" s="2" t="s">
        <v>4747</v>
      </c>
      <c r="C1575" s="2" t="s">
        <v>18</v>
      </c>
      <c r="D1575" s="2" t="s">
        <v>79</v>
      </c>
      <c r="E1575" s="2" t="s">
        <v>20</v>
      </c>
      <c r="F1575" s="2" t="s">
        <v>128</v>
      </c>
      <c r="G1575" s="2" t="s">
        <v>22</v>
      </c>
      <c r="H1575" s="2" t="s">
        <v>23</v>
      </c>
      <c r="I1575" s="2" t="s">
        <v>24</v>
      </c>
      <c r="J1575" s="2" t="s">
        <v>5804</v>
      </c>
      <c r="K1575" s="2" t="s">
        <v>5039</v>
      </c>
      <c r="L1575">
        <v>6</v>
      </c>
      <c r="M1575" s="1">
        <v>449000</v>
      </c>
      <c r="N1575">
        <v>4.5999999999999996</v>
      </c>
      <c r="O1575">
        <v>0</v>
      </c>
      <c r="P1575" s="2" t="s">
        <v>26</v>
      </c>
    </row>
    <row r="1576" spans="1:16" x14ac:dyDescent="0.25">
      <c r="A1576" s="2" t="s">
        <v>5805</v>
      </c>
      <c r="B1576" s="2" t="s">
        <v>4591</v>
      </c>
      <c r="C1576" s="2" t="s">
        <v>29</v>
      </c>
      <c r="D1576" s="2" t="s">
        <v>30</v>
      </c>
      <c r="E1576" s="2" t="s">
        <v>20</v>
      </c>
      <c r="F1576" s="2" t="s">
        <v>39</v>
      </c>
      <c r="G1576" s="2" t="s">
        <v>22</v>
      </c>
      <c r="H1576" s="2" t="s">
        <v>34</v>
      </c>
      <c r="I1576" s="2" t="s">
        <v>24</v>
      </c>
      <c r="J1576" s="2" t="s">
        <v>5806</v>
      </c>
      <c r="K1576" s="2" t="s">
        <v>5039</v>
      </c>
      <c r="L1576">
        <v>4</v>
      </c>
      <c r="M1576" s="1">
        <v>133000</v>
      </c>
      <c r="N1576">
        <v>3.3</v>
      </c>
      <c r="O1576">
        <v>9</v>
      </c>
      <c r="P1576" s="2" t="s">
        <v>26</v>
      </c>
    </row>
    <row r="1577" spans="1:16" x14ac:dyDescent="0.25">
      <c r="A1577" s="2" t="s">
        <v>5810</v>
      </c>
      <c r="B1577" s="2" t="s">
        <v>5811</v>
      </c>
      <c r="C1577" s="2" t="s">
        <v>18</v>
      </c>
      <c r="D1577" s="2" t="s">
        <v>19</v>
      </c>
      <c r="E1577" s="2" t="s">
        <v>20</v>
      </c>
      <c r="F1577" s="2" t="s">
        <v>32</v>
      </c>
      <c r="G1577" s="2" t="s">
        <v>22</v>
      </c>
      <c r="H1577" s="2" t="s">
        <v>23</v>
      </c>
      <c r="I1577" s="2" t="s">
        <v>24</v>
      </c>
      <c r="J1577" s="2" t="s">
        <v>2916</v>
      </c>
      <c r="K1577" s="2" t="s">
        <v>5039</v>
      </c>
      <c r="L1577">
        <v>5</v>
      </c>
      <c r="M1577" s="1">
        <v>228000</v>
      </c>
      <c r="N1577">
        <v>4.9000000000000004</v>
      </c>
      <c r="O1577">
        <v>14</v>
      </c>
      <c r="P1577" s="2" t="s">
        <v>26</v>
      </c>
    </row>
    <row r="1578" spans="1:16" x14ac:dyDescent="0.25">
      <c r="A1578" s="2" t="s">
        <v>5812</v>
      </c>
      <c r="B1578" s="2" t="s">
        <v>3361</v>
      </c>
      <c r="C1578" s="2" t="s">
        <v>29</v>
      </c>
      <c r="D1578" s="2" t="s">
        <v>30</v>
      </c>
      <c r="E1578" s="2" t="s">
        <v>44</v>
      </c>
      <c r="F1578" s="2" t="s">
        <v>21</v>
      </c>
      <c r="G1578" s="2" t="s">
        <v>22</v>
      </c>
      <c r="H1578" s="2" t="s">
        <v>23</v>
      </c>
      <c r="I1578" s="2" t="s">
        <v>24</v>
      </c>
      <c r="J1578" s="2" t="s">
        <v>5277</v>
      </c>
      <c r="K1578" s="2" t="s">
        <v>5039</v>
      </c>
      <c r="L1578">
        <v>4</v>
      </c>
      <c r="M1578" s="1">
        <v>726000</v>
      </c>
      <c r="N1578">
        <v>3.7</v>
      </c>
      <c r="O1578">
        <v>13</v>
      </c>
      <c r="P1578" s="2" t="s">
        <v>53</v>
      </c>
    </row>
    <row r="1579" spans="1:16" x14ac:dyDescent="0.25">
      <c r="A1579" s="2" t="s">
        <v>5815</v>
      </c>
      <c r="B1579" s="2" t="s">
        <v>5816</v>
      </c>
      <c r="C1579" s="2" t="s">
        <v>29</v>
      </c>
      <c r="D1579" s="2" t="s">
        <v>79</v>
      </c>
      <c r="E1579" s="2" t="s">
        <v>44</v>
      </c>
      <c r="F1579" s="2" t="s">
        <v>128</v>
      </c>
      <c r="G1579" s="2" t="s">
        <v>69</v>
      </c>
      <c r="H1579" s="2" t="s">
        <v>62</v>
      </c>
      <c r="I1579" s="2" t="s">
        <v>171</v>
      </c>
      <c r="J1579" s="2" t="s">
        <v>2965</v>
      </c>
      <c r="K1579" s="2" t="s">
        <v>4883</v>
      </c>
      <c r="L1579">
        <v>6</v>
      </c>
      <c r="M1579" s="1">
        <v>428000</v>
      </c>
      <c r="N1579">
        <v>3</v>
      </c>
      <c r="O1579">
        <v>1</v>
      </c>
      <c r="P1579" s="2" t="s">
        <v>26</v>
      </c>
    </row>
    <row r="1580" spans="1:16" x14ac:dyDescent="0.25">
      <c r="A1580" s="2" t="s">
        <v>5817</v>
      </c>
      <c r="B1580" s="2" t="s">
        <v>4904</v>
      </c>
      <c r="C1580" s="2" t="s">
        <v>18</v>
      </c>
      <c r="D1580" s="2" t="s">
        <v>79</v>
      </c>
      <c r="E1580" s="2" t="s">
        <v>20</v>
      </c>
      <c r="F1580" s="2" t="s">
        <v>39</v>
      </c>
      <c r="G1580" s="2" t="s">
        <v>33</v>
      </c>
      <c r="H1580" s="2" t="s">
        <v>62</v>
      </c>
      <c r="I1580" s="2" t="s">
        <v>75</v>
      </c>
      <c r="J1580" s="2" t="s">
        <v>1905</v>
      </c>
      <c r="K1580" s="2" t="s">
        <v>4883</v>
      </c>
      <c r="L1580">
        <v>3</v>
      </c>
      <c r="M1580" s="1">
        <v>171000</v>
      </c>
      <c r="N1580">
        <v>3.7</v>
      </c>
      <c r="O1580">
        <v>14</v>
      </c>
      <c r="P1580" s="2" t="s">
        <v>26</v>
      </c>
    </row>
    <row r="1581" spans="1:16" x14ac:dyDescent="0.25">
      <c r="A1581" s="2" t="s">
        <v>5818</v>
      </c>
      <c r="B1581" s="2" t="s">
        <v>461</v>
      </c>
      <c r="C1581" s="2" t="s">
        <v>29</v>
      </c>
      <c r="D1581" s="2" t="s">
        <v>50</v>
      </c>
      <c r="E1581" s="2" t="s">
        <v>20</v>
      </c>
      <c r="F1581" s="2" t="s">
        <v>32</v>
      </c>
      <c r="G1581" s="2" t="s">
        <v>69</v>
      </c>
      <c r="H1581" s="2" t="s">
        <v>34</v>
      </c>
      <c r="I1581" s="2" t="s">
        <v>35</v>
      </c>
      <c r="J1581" s="2" t="s">
        <v>3590</v>
      </c>
      <c r="K1581" s="2" t="s">
        <v>4883</v>
      </c>
      <c r="L1581">
        <v>6</v>
      </c>
      <c r="M1581" s="1">
        <v>257000</v>
      </c>
      <c r="N1581">
        <v>2.4</v>
      </c>
      <c r="O1581">
        <v>10</v>
      </c>
      <c r="P1581" s="2" t="s">
        <v>53</v>
      </c>
    </row>
    <row r="1582" spans="1:16" x14ac:dyDescent="0.25">
      <c r="A1582" s="2" t="s">
        <v>5821</v>
      </c>
      <c r="B1582" s="2" t="s">
        <v>5822</v>
      </c>
      <c r="C1582" s="2" t="s">
        <v>18</v>
      </c>
      <c r="D1582" s="2" t="s">
        <v>30</v>
      </c>
      <c r="E1582" s="2" t="s">
        <v>20</v>
      </c>
      <c r="F1582" s="2" t="s">
        <v>21</v>
      </c>
      <c r="G1582" s="2" t="s">
        <v>80</v>
      </c>
      <c r="H1582" s="2" t="s">
        <v>23</v>
      </c>
      <c r="I1582" s="2" t="s">
        <v>35</v>
      </c>
      <c r="J1582" s="2" t="s">
        <v>1175</v>
      </c>
      <c r="K1582" s="2" t="s">
        <v>3569</v>
      </c>
      <c r="L1582">
        <v>6</v>
      </c>
      <c r="M1582" s="1">
        <v>673000</v>
      </c>
      <c r="N1582">
        <v>4.4000000000000004</v>
      </c>
      <c r="O1582">
        <v>35</v>
      </c>
      <c r="P1582" s="2" t="s">
        <v>114</v>
      </c>
    </row>
    <row r="1583" spans="1:16" x14ac:dyDescent="0.25">
      <c r="A1583" s="2" t="s">
        <v>5830</v>
      </c>
      <c r="B1583" s="2" t="s">
        <v>2538</v>
      </c>
      <c r="C1583" s="2" t="s">
        <v>18</v>
      </c>
      <c r="D1583" s="2" t="s">
        <v>79</v>
      </c>
      <c r="E1583" s="2" t="s">
        <v>31</v>
      </c>
      <c r="F1583" s="2" t="s">
        <v>39</v>
      </c>
      <c r="G1583" s="2" t="s">
        <v>69</v>
      </c>
      <c r="H1583" s="2" t="s">
        <v>62</v>
      </c>
      <c r="I1583" s="2" t="s">
        <v>35</v>
      </c>
      <c r="J1583" s="2" t="s">
        <v>1537</v>
      </c>
      <c r="K1583" s="2" t="s">
        <v>3726</v>
      </c>
      <c r="L1583">
        <v>4</v>
      </c>
      <c r="M1583" s="1">
        <v>137000</v>
      </c>
      <c r="N1583">
        <v>3.2</v>
      </c>
      <c r="O1583">
        <v>7</v>
      </c>
      <c r="P1583" s="2" t="s">
        <v>26</v>
      </c>
    </row>
    <row r="1584" spans="1:16" x14ac:dyDescent="0.25">
      <c r="A1584" s="2" t="s">
        <v>5831</v>
      </c>
      <c r="B1584" s="2" t="s">
        <v>68</v>
      </c>
      <c r="C1584" s="2" t="s">
        <v>18</v>
      </c>
      <c r="D1584" s="2" t="s">
        <v>19</v>
      </c>
      <c r="E1584" s="2" t="s">
        <v>20</v>
      </c>
      <c r="F1584" s="2" t="s">
        <v>128</v>
      </c>
      <c r="G1584" s="2" t="s">
        <v>80</v>
      </c>
      <c r="H1584" s="2" t="s">
        <v>23</v>
      </c>
      <c r="I1584" s="2" t="s">
        <v>24</v>
      </c>
      <c r="J1584" s="2" t="s">
        <v>4289</v>
      </c>
      <c r="K1584" s="2" t="s">
        <v>3726</v>
      </c>
      <c r="L1584">
        <v>4</v>
      </c>
      <c r="M1584" s="1">
        <v>544000</v>
      </c>
      <c r="N1584">
        <v>3.4</v>
      </c>
      <c r="O1584">
        <v>6</v>
      </c>
      <c r="P1584" s="2" t="s">
        <v>53</v>
      </c>
    </row>
    <row r="1585" spans="1:16" x14ac:dyDescent="0.25">
      <c r="A1585" s="2" t="s">
        <v>5832</v>
      </c>
      <c r="B1585" s="2" t="s">
        <v>468</v>
      </c>
      <c r="C1585" s="2" t="s">
        <v>29</v>
      </c>
      <c r="D1585" s="2" t="s">
        <v>43</v>
      </c>
      <c r="E1585" s="2" t="s">
        <v>31</v>
      </c>
      <c r="F1585" s="2" t="s">
        <v>39</v>
      </c>
      <c r="G1585" s="2" t="s">
        <v>33</v>
      </c>
      <c r="H1585" s="2" t="s">
        <v>34</v>
      </c>
      <c r="I1585" s="2" t="s">
        <v>24</v>
      </c>
      <c r="J1585" s="2" t="s">
        <v>3064</v>
      </c>
      <c r="K1585" s="2" t="s">
        <v>412</v>
      </c>
      <c r="L1585">
        <v>2</v>
      </c>
      <c r="M1585" s="1">
        <v>110000</v>
      </c>
      <c r="N1585">
        <v>2.1</v>
      </c>
      <c r="O1585">
        <v>17</v>
      </c>
      <c r="P1585" s="2" t="s">
        <v>26</v>
      </c>
    </row>
    <row r="1586" spans="1:16" x14ac:dyDescent="0.25">
      <c r="A1586" s="2" t="s">
        <v>5833</v>
      </c>
      <c r="B1586" s="2" t="s">
        <v>2391</v>
      </c>
      <c r="C1586" s="2" t="s">
        <v>29</v>
      </c>
      <c r="D1586" s="2" t="s">
        <v>30</v>
      </c>
      <c r="E1586" s="2" t="s">
        <v>20</v>
      </c>
      <c r="F1586" s="2" t="s">
        <v>128</v>
      </c>
      <c r="G1586" s="2" t="s">
        <v>80</v>
      </c>
      <c r="H1586" s="2" t="s">
        <v>23</v>
      </c>
      <c r="I1586" s="2" t="s">
        <v>24</v>
      </c>
      <c r="J1586" s="2" t="s">
        <v>1671</v>
      </c>
      <c r="K1586" s="2" t="s">
        <v>412</v>
      </c>
      <c r="L1586">
        <v>5</v>
      </c>
      <c r="M1586" s="1">
        <v>399000</v>
      </c>
      <c r="N1586">
        <v>2.5</v>
      </c>
      <c r="O1586">
        <v>0</v>
      </c>
      <c r="P1586" s="2" t="s">
        <v>26</v>
      </c>
    </row>
    <row r="1587" spans="1:16" x14ac:dyDescent="0.25">
      <c r="A1587" s="2" t="s">
        <v>5834</v>
      </c>
      <c r="B1587" s="2" t="s">
        <v>4712</v>
      </c>
      <c r="C1587" s="2" t="s">
        <v>18</v>
      </c>
      <c r="D1587" s="2" t="s">
        <v>43</v>
      </c>
      <c r="E1587" s="2" t="s">
        <v>44</v>
      </c>
      <c r="F1587" s="2" t="s">
        <v>39</v>
      </c>
      <c r="G1587" s="2" t="s">
        <v>80</v>
      </c>
      <c r="H1587" s="2" t="s">
        <v>34</v>
      </c>
      <c r="I1587" s="2" t="s">
        <v>24</v>
      </c>
      <c r="J1587" s="2" t="s">
        <v>4002</v>
      </c>
      <c r="K1587" s="2" t="s">
        <v>412</v>
      </c>
      <c r="L1587">
        <v>5</v>
      </c>
      <c r="M1587" s="1">
        <v>144000</v>
      </c>
      <c r="N1587">
        <v>4.4000000000000004</v>
      </c>
      <c r="O1587">
        <v>6</v>
      </c>
      <c r="P1587" s="2" t="s">
        <v>26</v>
      </c>
    </row>
    <row r="1588" spans="1:16" x14ac:dyDescent="0.25">
      <c r="A1588" s="2" t="s">
        <v>5835</v>
      </c>
      <c r="B1588" s="2" t="s">
        <v>5836</v>
      </c>
      <c r="C1588" s="2" t="s">
        <v>18</v>
      </c>
      <c r="D1588" s="2" t="s">
        <v>79</v>
      </c>
      <c r="E1588" s="2" t="s">
        <v>31</v>
      </c>
      <c r="F1588" s="2" t="s">
        <v>45</v>
      </c>
      <c r="G1588" s="2" t="s">
        <v>69</v>
      </c>
      <c r="H1588" s="2" t="s">
        <v>23</v>
      </c>
      <c r="I1588" s="2" t="s">
        <v>35</v>
      </c>
      <c r="J1588" s="2" t="s">
        <v>5837</v>
      </c>
      <c r="K1588" s="2" t="s">
        <v>412</v>
      </c>
      <c r="L1588">
        <v>4</v>
      </c>
      <c r="M1588" s="1">
        <v>1427000</v>
      </c>
      <c r="N1588">
        <v>4.9000000000000004</v>
      </c>
      <c r="O1588">
        <v>4</v>
      </c>
      <c r="P1588" s="2" t="s">
        <v>26</v>
      </c>
    </row>
    <row r="1589" spans="1:16" x14ac:dyDescent="0.25">
      <c r="A1589" s="2" t="s">
        <v>5838</v>
      </c>
      <c r="B1589" s="2" t="s">
        <v>5839</v>
      </c>
      <c r="C1589" s="2" t="s">
        <v>29</v>
      </c>
      <c r="D1589" s="2" t="s">
        <v>30</v>
      </c>
      <c r="E1589" s="2" t="s">
        <v>31</v>
      </c>
      <c r="F1589" s="2" t="s">
        <v>32</v>
      </c>
      <c r="G1589" s="2" t="s">
        <v>22</v>
      </c>
      <c r="H1589" s="2" t="s">
        <v>34</v>
      </c>
      <c r="I1589" s="2" t="s">
        <v>24</v>
      </c>
      <c r="J1589" s="2" t="s">
        <v>5840</v>
      </c>
      <c r="K1589" s="2" t="s">
        <v>412</v>
      </c>
      <c r="L1589">
        <v>4</v>
      </c>
      <c r="M1589" s="1">
        <v>267000</v>
      </c>
      <c r="N1589">
        <v>3.4</v>
      </c>
      <c r="O1589">
        <v>6</v>
      </c>
      <c r="P1589" s="2" t="s">
        <v>26</v>
      </c>
    </row>
    <row r="1590" spans="1:16" x14ac:dyDescent="0.25">
      <c r="A1590" s="2" t="s">
        <v>5841</v>
      </c>
      <c r="B1590" s="2" t="s">
        <v>5842</v>
      </c>
      <c r="C1590" s="2" t="s">
        <v>18</v>
      </c>
      <c r="D1590" s="2" t="s">
        <v>19</v>
      </c>
      <c r="E1590" s="2" t="s">
        <v>20</v>
      </c>
      <c r="F1590" s="2" t="s">
        <v>39</v>
      </c>
      <c r="G1590" s="2" t="s">
        <v>22</v>
      </c>
      <c r="H1590" s="2" t="s">
        <v>23</v>
      </c>
      <c r="I1590" s="2" t="s">
        <v>57</v>
      </c>
      <c r="J1590" s="2" t="s">
        <v>967</v>
      </c>
      <c r="K1590" s="2" t="s">
        <v>412</v>
      </c>
      <c r="L1590">
        <v>2</v>
      </c>
      <c r="M1590" s="1">
        <v>178000</v>
      </c>
      <c r="N1590">
        <v>4.7</v>
      </c>
      <c r="O1590">
        <v>4</v>
      </c>
      <c r="P1590" s="2" t="s">
        <v>114</v>
      </c>
    </row>
    <row r="1591" spans="1:16" x14ac:dyDescent="0.25">
      <c r="A1591" s="2" t="s">
        <v>5843</v>
      </c>
      <c r="B1591" s="2" t="s">
        <v>5844</v>
      </c>
      <c r="C1591" s="2" t="s">
        <v>18</v>
      </c>
      <c r="D1591" s="2" t="s">
        <v>43</v>
      </c>
      <c r="E1591" s="2" t="s">
        <v>20</v>
      </c>
      <c r="F1591" s="2" t="s">
        <v>21</v>
      </c>
      <c r="G1591" s="2" t="s">
        <v>80</v>
      </c>
      <c r="H1591" s="2" t="s">
        <v>23</v>
      </c>
      <c r="I1591" s="2" t="s">
        <v>24</v>
      </c>
      <c r="J1591" s="2" t="s">
        <v>5845</v>
      </c>
      <c r="K1591" s="2" t="s">
        <v>246</v>
      </c>
      <c r="L1591">
        <v>5</v>
      </c>
      <c r="M1591" s="1">
        <v>810000</v>
      </c>
      <c r="N1591">
        <v>3.6</v>
      </c>
      <c r="O1591">
        <v>28</v>
      </c>
      <c r="P1591" s="2" t="s">
        <v>26</v>
      </c>
    </row>
    <row r="1592" spans="1:16" x14ac:dyDescent="0.25">
      <c r="A1592" s="2" t="s">
        <v>5846</v>
      </c>
      <c r="B1592" s="2" t="s">
        <v>4144</v>
      </c>
      <c r="C1592" s="2" t="s">
        <v>18</v>
      </c>
      <c r="D1592" s="2" t="s">
        <v>79</v>
      </c>
      <c r="E1592" s="2" t="s">
        <v>20</v>
      </c>
      <c r="F1592" s="2" t="s">
        <v>32</v>
      </c>
      <c r="G1592" s="2" t="s">
        <v>22</v>
      </c>
      <c r="H1592" s="2" t="s">
        <v>62</v>
      </c>
      <c r="I1592" s="2" t="s">
        <v>24</v>
      </c>
      <c r="J1592" s="2" t="s">
        <v>546</v>
      </c>
      <c r="K1592" s="2" t="s">
        <v>246</v>
      </c>
      <c r="L1592">
        <v>4</v>
      </c>
      <c r="M1592" s="1">
        <v>331000</v>
      </c>
      <c r="N1592">
        <v>4</v>
      </c>
      <c r="O1592">
        <v>4</v>
      </c>
      <c r="P1592" s="2" t="s">
        <v>26</v>
      </c>
    </row>
    <row r="1593" spans="1:16" x14ac:dyDescent="0.25">
      <c r="A1593" s="2" t="s">
        <v>5847</v>
      </c>
      <c r="B1593" s="2" t="s">
        <v>4644</v>
      </c>
      <c r="C1593" s="2" t="s">
        <v>18</v>
      </c>
      <c r="D1593" s="2" t="s">
        <v>19</v>
      </c>
      <c r="E1593" s="2" t="s">
        <v>20</v>
      </c>
      <c r="F1593" s="2" t="s">
        <v>32</v>
      </c>
      <c r="G1593" s="2" t="s">
        <v>22</v>
      </c>
      <c r="H1593" s="2" t="s">
        <v>62</v>
      </c>
      <c r="I1593" s="2" t="s">
        <v>24</v>
      </c>
      <c r="J1593" s="2" t="s">
        <v>2797</v>
      </c>
      <c r="K1593" s="2" t="s">
        <v>246</v>
      </c>
      <c r="L1593">
        <v>4</v>
      </c>
      <c r="M1593" s="1">
        <v>219000</v>
      </c>
      <c r="N1593">
        <v>3.6</v>
      </c>
      <c r="O1593">
        <v>32</v>
      </c>
      <c r="P1593" s="2" t="s">
        <v>72</v>
      </c>
    </row>
    <row r="1594" spans="1:16" x14ac:dyDescent="0.25">
      <c r="A1594" s="2" t="s">
        <v>5848</v>
      </c>
      <c r="B1594" s="2" t="s">
        <v>636</v>
      </c>
      <c r="C1594" s="2" t="s">
        <v>18</v>
      </c>
      <c r="D1594" s="2" t="s">
        <v>50</v>
      </c>
      <c r="E1594" s="2" t="s">
        <v>44</v>
      </c>
      <c r="F1594" s="2" t="s">
        <v>39</v>
      </c>
      <c r="G1594" s="2" t="s">
        <v>33</v>
      </c>
      <c r="H1594" s="2" t="s">
        <v>23</v>
      </c>
      <c r="I1594" s="2" t="s">
        <v>24</v>
      </c>
      <c r="J1594" s="2" t="s">
        <v>5203</v>
      </c>
      <c r="K1594" s="2" t="s">
        <v>610</v>
      </c>
      <c r="L1594">
        <v>5</v>
      </c>
      <c r="M1594" s="1">
        <v>117000</v>
      </c>
      <c r="N1594">
        <v>2.2000000000000002</v>
      </c>
      <c r="O1594">
        <v>9</v>
      </c>
      <c r="P1594" s="2" t="s">
        <v>26</v>
      </c>
    </row>
    <row r="1595" spans="1:16" x14ac:dyDescent="0.25">
      <c r="A1595" s="2" t="s">
        <v>5849</v>
      </c>
      <c r="B1595" s="2" t="s">
        <v>2815</v>
      </c>
      <c r="C1595" s="2" t="s">
        <v>29</v>
      </c>
      <c r="D1595" s="2" t="s">
        <v>30</v>
      </c>
      <c r="E1595" s="2" t="s">
        <v>44</v>
      </c>
      <c r="F1595" s="2" t="s">
        <v>128</v>
      </c>
      <c r="G1595" s="2" t="s">
        <v>33</v>
      </c>
      <c r="H1595" s="2" t="s">
        <v>46</v>
      </c>
      <c r="I1595" s="2" t="s">
        <v>24</v>
      </c>
      <c r="J1595" s="2" t="s">
        <v>1869</v>
      </c>
      <c r="K1595" s="2" t="s">
        <v>610</v>
      </c>
      <c r="L1595">
        <v>4</v>
      </c>
      <c r="M1595" s="1">
        <v>476000</v>
      </c>
      <c r="N1595">
        <v>3.5</v>
      </c>
      <c r="O1595">
        <v>28</v>
      </c>
      <c r="P1595" s="2" t="s">
        <v>26</v>
      </c>
    </row>
    <row r="1596" spans="1:16" x14ac:dyDescent="0.25">
      <c r="A1596" s="2" t="s">
        <v>5852</v>
      </c>
      <c r="B1596" s="2" t="s">
        <v>5853</v>
      </c>
      <c r="C1596" s="2" t="s">
        <v>29</v>
      </c>
      <c r="D1596" s="2" t="s">
        <v>862</v>
      </c>
      <c r="E1596" s="2" t="s">
        <v>20</v>
      </c>
      <c r="F1596" s="2" t="s">
        <v>39</v>
      </c>
      <c r="G1596" s="2" t="s">
        <v>22</v>
      </c>
      <c r="H1596" s="2" t="s">
        <v>34</v>
      </c>
      <c r="I1596" s="2" t="s">
        <v>24</v>
      </c>
      <c r="J1596" s="2" t="s">
        <v>5854</v>
      </c>
      <c r="K1596" s="2" t="s">
        <v>610</v>
      </c>
      <c r="L1596">
        <v>7</v>
      </c>
      <c r="M1596" s="1">
        <v>153000</v>
      </c>
      <c r="N1596">
        <v>1.8</v>
      </c>
      <c r="O1596">
        <v>5</v>
      </c>
      <c r="P1596" s="2" t="s">
        <v>26</v>
      </c>
    </row>
    <row r="1597" spans="1:16" x14ac:dyDescent="0.25">
      <c r="A1597" s="2" t="s">
        <v>5856</v>
      </c>
      <c r="B1597" s="2" t="s">
        <v>5857</v>
      </c>
      <c r="C1597" s="2" t="s">
        <v>29</v>
      </c>
      <c r="D1597" s="2" t="s">
        <v>43</v>
      </c>
      <c r="E1597" s="2" t="s">
        <v>44</v>
      </c>
      <c r="F1597" s="2" t="s">
        <v>128</v>
      </c>
      <c r="G1597" s="2" t="s">
        <v>22</v>
      </c>
      <c r="H1597" s="2" t="s">
        <v>34</v>
      </c>
      <c r="I1597" s="2" t="s">
        <v>35</v>
      </c>
      <c r="J1597" s="2" t="s">
        <v>189</v>
      </c>
      <c r="K1597" s="2" t="s">
        <v>610</v>
      </c>
      <c r="L1597">
        <v>2</v>
      </c>
      <c r="M1597" s="1">
        <v>523000</v>
      </c>
      <c r="N1597">
        <v>4.5</v>
      </c>
      <c r="O1597">
        <v>5</v>
      </c>
      <c r="P1597" s="2" t="s">
        <v>26</v>
      </c>
    </row>
    <row r="1598" spans="1:16" x14ac:dyDescent="0.25">
      <c r="A1598" s="2" t="s">
        <v>5858</v>
      </c>
      <c r="B1598" s="2" t="s">
        <v>5859</v>
      </c>
      <c r="C1598" s="2" t="s">
        <v>29</v>
      </c>
      <c r="D1598" s="2" t="s">
        <v>43</v>
      </c>
      <c r="E1598" s="2" t="s">
        <v>31</v>
      </c>
      <c r="F1598" s="2" t="s">
        <v>128</v>
      </c>
      <c r="G1598" s="2" t="s">
        <v>69</v>
      </c>
      <c r="H1598" s="2" t="s">
        <v>34</v>
      </c>
      <c r="I1598" s="2" t="s">
        <v>57</v>
      </c>
      <c r="J1598" s="2" t="s">
        <v>5860</v>
      </c>
      <c r="K1598" s="2" t="s">
        <v>610</v>
      </c>
      <c r="L1598">
        <v>2</v>
      </c>
      <c r="M1598" s="1">
        <v>399000</v>
      </c>
      <c r="N1598">
        <v>3.1</v>
      </c>
      <c r="O1598">
        <v>7</v>
      </c>
      <c r="P1598" s="2" t="s">
        <v>26</v>
      </c>
    </row>
    <row r="1599" spans="1:16" x14ac:dyDescent="0.25">
      <c r="A1599" s="2" t="s">
        <v>5863</v>
      </c>
      <c r="B1599" s="2" t="s">
        <v>5864</v>
      </c>
      <c r="C1599" s="2" t="s">
        <v>29</v>
      </c>
      <c r="D1599" s="2" t="s">
        <v>30</v>
      </c>
      <c r="E1599" s="2" t="s">
        <v>20</v>
      </c>
      <c r="F1599" s="2" t="s">
        <v>128</v>
      </c>
      <c r="G1599" s="2" t="s">
        <v>22</v>
      </c>
      <c r="H1599" s="2" t="s">
        <v>34</v>
      </c>
      <c r="I1599" s="2" t="s">
        <v>24</v>
      </c>
      <c r="J1599" s="2" t="s">
        <v>3643</v>
      </c>
      <c r="K1599" s="2" t="s">
        <v>610</v>
      </c>
      <c r="L1599">
        <v>6</v>
      </c>
      <c r="M1599" s="1">
        <v>457000</v>
      </c>
      <c r="N1599">
        <v>3.8</v>
      </c>
      <c r="O1599">
        <v>16</v>
      </c>
      <c r="P1599" s="2" t="s">
        <v>26</v>
      </c>
    </row>
    <row r="1600" spans="1:16" x14ac:dyDescent="0.25">
      <c r="A1600" s="2" t="s">
        <v>5866</v>
      </c>
      <c r="B1600" s="2" t="s">
        <v>509</v>
      </c>
      <c r="C1600" s="2" t="s">
        <v>29</v>
      </c>
      <c r="D1600" s="2" t="s">
        <v>79</v>
      </c>
      <c r="E1600" s="2" t="s">
        <v>20</v>
      </c>
      <c r="F1600" s="2" t="s">
        <v>32</v>
      </c>
      <c r="G1600" s="2" t="s">
        <v>22</v>
      </c>
      <c r="H1600" s="2" t="s">
        <v>23</v>
      </c>
      <c r="I1600" s="2" t="s">
        <v>24</v>
      </c>
      <c r="J1600" s="2" t="s">
        <v>3143</v>
      </c>
      <c r="K1600" s="2" t="s">
        <v>610</v>
      </c>
      <c r="L1600">
        <v>4</v>
      </c>
      <c r="M1600" s="1">
        <v>323000</v>
      </c>
      <c r="N1600">
        <v>3.7</v>
      </c>
      <c r="O1600">
        <v>0</v>
      </c>
      <c r="P1600" s="2" t="s">
        <v>26</v>
      </c>
    </row>
    <row r="1601" spans="1:16" x14ac:dyDescent="0.25">
      <c r="A1601" s="2" t="s">
        <v>5867</v>
      </c>
      <c r="B1601" s="2" t="s">
        <v>3787</v>
      </c>
      <c r="C1601" s="2" t="s">
        <v>18</v>
      </c>
      <c r="D1601" s="2" t="s">
        <v>79</v>
      </c>
      <c r="E1601" s="2" t="s">
        <v>20</v>
      </c>
      <c r="F1601" s="2" t="s">
        <v>128</v>
      </c>
      <c r="G1601" s="2" t="s">
        <v>33</v>
      </c>
      <c r="H1601" s="2" t="s">
        <v>34</v>
      </c>
      <c r="I1601" s="2" t="s">
        <v>57</v>
      </c>
      <c r="J1601" s="2" t="s">
        <v>4897</v>
      </c>
      <c r="K1601" s="2" t="s">
        <v>610</v>
      </c>
      <c r="L1601">
        <v>6</v>
      </c>
      <c r="M1601" s="1">
        <v>481000</v>
      </c>
      <c r="N1601">
        <v>3.2</v>
      </c>
      <c r="O1601">
        <v>8</v>
      </c>
      <c r="P1601" s="2" t="s">
        <v>26</v>
      </c>
    </row>
    <row r="1602" spans="1:16" x14ac:dyDescent="0.25">
      <c r="A1602" s="2" t="s">
        <v>5868</v>
      </c>
      <c r="B1602" s="2" t="s">
        <v>5869</v>
      </c>
      <c r="C1602" s="2" t="s">
        <v>18</v>
      </c>
      <c r="D1602" s="2" t="s">
        <v>43</v>
      </c>
      <c r="E1602" s="2" t="s">
        <v>20</v>
      </c>
      <c r="F1602" s="2" t="s">
        <v>32</v>
      </c>
      <c r="G1602" s="2" t="s">
        <v>80</v>
      </c>
      <c r="H1602" s="2" t="s">
        <v>34</v>
      </c>
      <c r="I1602" s="2" t="s">
        <v>75</v>
      </c>
      <c r="J1602" s="2" t="s">
        <v>560</v>
      </c>
      <c r="K1602" s="2" t="s">
        <v>610</v>
      </c>
      <c r="L1602">
        <v>2</v>
      </c>
      <c r="M1602" s="1">
        <v>208000</v>
      </c>
      <c r="N1602">
        <v>4</v>
      </c>
      <c r="O1602">
        <v>30</v>
      </c>
      <c r="P1602" s="2" t="s">
        <v>26</v>
      </c>
    </row>
    <row r="1603" spans="1:16" x14ac:dyDescent="0.25">
      <c r="A1603" s="2" t="s">
        <v>5872</v>
      </c>
      <c r="B1603" s="2" t="s">
        <v>5873</v>
      </c>
      <c r="C1603" s="2" t="s">
        <v>18</v>
      </c>
      <c r="D1603" s="2" t="s">
        <v>30</v>
      </c>
      <c r="E1603" s="2" t="s">
        <v>20</v>
      </c>
      <c r="F1603" s="2" t="s">
        <v>39</v>
      </c>
      <c r="G1603" s="2" t="s">
        <v>22</v>
      </c>
      <c r="H1603" s="2" t="s">
        <v>34</v>
      </c>
      <c r="I1603" s="2" t="s">
        <v>24</v>
      </c>
      <c r="J1603" s="2" t="s">
        <v>155</v>
      </c>
      <c r="K1603" s="2" t="s">
        <v>610</v>
      </c>
      <c r="L1603">
        <v>4</v>
      </c>
      <c r="M1603" s="1">
        <v>137000</v>
      </c>
      <c r="N1603">
        <v>2.8</v>
      </c>
      <c r="O1603">
        <v>14</v>
      </c>
      <c r="P1603" s="2" t="s">
        <v>114</v>
      </c>
    </row>
    <row r="1604" spans="1:16" x14ac:dyDescent="0.25">
      <c r="A1604" s="2" t="s">
        <v>5874</v>
      </c>
      <c r="B1604" s="2" t="s">
        <v>1544</v>
      </c>
      <c r="C1604" s="2" t="s">
        <v>18</v>
      </c>
      <c r="D1604" s="2" t="s">
        <v>50</v>
      </c>
      <c r="E1604" s="2" t="s">
        <v>20</v>
      </c>
      <c r="F1604" s="2" t="s">
        <v>128</v>
      </c>
      <c r="G1604" s="2" t="s">
        <v>22</v>
      </c>
      <c r="H1604" s="2" t="s">
        <v>23</v>
      </c>
      <c r="I1604" s="2" t="s">
        <v>57</v>
      </c>
      <c r="J1604" s="2" t="s">
        <v>549</v>
      </c>
      <c r="K1604" s="2" t="s">
        <v>2384</v>
      </c>
      <c r="L1604">
        <v>5</v>
      </c>
      <c r="M1604" s="1">
        <v>456000</v>
      </c>
      <c r="N1604">
        <v>2.5</v>
      </c>
      <c r="O1604">
        <v>7</v>
      </c>
      <c r="P1604" s="2" t="s">
        <v>53</v>
      </c>
    </row>
    <row r="1605" spans="1:16" x14ac:dyDescent="0.25">
      <c r="A1605" s="2" t="s">
        <v>5875</v>
      </c>
      <c r="B1605" s="2" t="s">
        <v>1734</v>
      </c>
      <c r="C1605" s="2" t="s">
        <v>18</v>
      </c>
      <c r="D1605" s="2" t="s">
        <v>30</v>
      </c>
      <c r="E1605" s="2" t="s">
        <v>44</v>
      </c>
      <c r="F1605" s="2" t="s">
        <v>39</v>
      </c>
      <c r="G1605" s="2" t="s">
        <v>22</v>
      </c>
      <c r="H1605" s="2" t="s">
        <v>46</v>
      </c>
      <c r="I1605" s="2" t="s">
        <v>57</v>
      </c>
      <c r="J1605" s="2" t="s">
        <v>5876</v>
      </c>
      <c r="K1605" s="2" t="s">
        <v>867</v>
      </c>
      <c r="L1605">
        <v>5</v>
      </c>
      <c r="M1605" s="1">
        <v>99000</v>
      </c>
      <c r="N1605">
        <v>2.6</v>
      </c>
      <c r="O1605">
        <v>1</v>
      </c>
      <c r="P1605" s="2" t="s">
        <v>53</v>
      </c>
    </row>
    <row r="1606" spans="1:16" x14ac:dyDescent="0.25">
      <c r="A1606" s="2" t="s">
        <v>5878</v>
      </c>
      <c r="B1606" s="2" t="s">
        <v>5879</v>
      </c>
      <c r="C1606" s="2" t="s">
        <v>29</v>
      </c>
      <c r="D1606" s="2" t="s">
        <v>50</v>
      </c>
      <c r="E1606" s="2" t="s">
        <v>44</v>
      </c>
      <c r="F1606" s="2" t="s">
        <v>39</v>
      </c>
      <c r="G1606" s="2" t="s">
        <v>69</v>
      </c>
      <c r="H1606" s="2" t="s">
        <v>46</v>
      </c>
      <c r="I1606" s="2" t="s">
        <v>24</v>
      </c>
      <c r="J1606" s="2" t="s">
        <v>2107</v>
      </c>
      <c r="K1606" s="2" t="s">
        <v>3574</v>
      </c>
      <c r="L1606">
        <v>2</v>
      </c>
      <c r="M1606" s="1">
        <v>170000</v>
      </c>
      <c r="N1606">
        <v>4.5999999999999996</v>
      </c>
      <c r="O1606">
        <v>12</v>
      </c>
      <c r="P1606" s="2" t="s">
        <v>72</v>
      </c>
    </row>
    <row r="1607" spans="1:16" x14ac:dyDescent="0.25">
      <c r="A1607" s="2" t="s">
        <v>5885</v>
      </c>
      <c r="B1607" s="2" t="s">
        <v>5266</v>
      </c>
      <c r="C1607" s="2" t="s">
        <v>29</v>
      </c>
      <c r="D1607" s="2" t="s">
        <v>43</v>
      </c>
      <c r="E1607" s="2" t="s">
        <v>20</v>
      </c>
      <c r="F1607" s="2" t="s">
        <v>32</v>
      </c>
      <c r="G1607" s="2" t="s">
        <v>80</v>
      </c>
      <c r="H1607" s="2" t="s">
        <v>23</v>
      </c>
      <c r="I1607" s="2" t="s">
        <v>35</v>
      </c>
      <c r="J1607" s="2" t="s">
        <v>3792</v>
      </c>
      <c r="K1607" s="2" t="s">
        <v>3948</v>
      </c>
      <c r="L1607">
        <v>4</v>
      </c>
      <c r="M1607" s="1">
        <v>238000</v>
      </c>
      <c r="N1607">
        <v>4</v>
      </c>
      <c r="O1607">
        <v>38</v>
      </c>
      <c r="P1607" s="2" t="s">
        <v>114</v>
      </c>
    </row>
    <row r="1608" spans="1:16" x14ac:dyDescent="0.25">
      <c r="A1608" s="2" t="s">
        <v>5887</v>
      </c>
      <c r="B1608" s="2" t="s">
        <v>2707</v>
      </c>
      <c r="C1608" s="2" t="s">
        <v>29</v>
      </c>
      <c r="D1608" s="2" t="s">
        <v>19</v>
      </c>
      <c r="E1608" s="2" t="s">
        <v>20</v>
      </c>
      <c r="F1608" s="2" t="s">
        <v>128</v>
      </c>
      <c r="G1608" s="2" t="s">
        <v>33</v>
      </c>
      <c r="H1608" s="2" t="s">
        <v>34</v>
      </c>
      <c r="I1608" s="2" t="s">
        <v>57</v>
      </c>
      <c r="J1608" s="2" t="s">
        <v>1360</v>
      </c>
      <c r="K1608" s="2" t="s">
        <v>4060</v>
      </c>
      <c r="L1608">
        <v>6</v>
      </c>
      <c r="M1608" s="1">
        <v>648000</v>
      </c>
      <c r="N1608">
        <v>2.9</v>
      </c>
      <c r="O1608">
        <v>3</v>
      </c>
      <c r="P1608" s="2" t="s">
        <v>26</v>
      </c>
    </row>
    <row r="1609" spans="1:16" x14ac:dyDescent="0.25">
      <c r="A1609" s="2" t="s">
        <v>5888</v>
      </c>
      <c r="B1609" s="2" t="s">
        <v>5889</v>
      </c>
      <c r="C1609" s="2" t="s">
        <v>18</v>
      </c>
      <c r="D1609" s="2" t="s">
        <v>19</v>
      </c>
      <c r="E1609" s="2" t="s">
        <v>31</v>
      </c>
      <c r="F1609" s="2" t="s">
        <v>39</v>
      </c>
      <c r="G1609" s="2" t="s">
        <v>33</v>
      </c>
      <c r="H1609" s="2" t="s">
        <v>23</v>
      </c>
      <c r="I1609" s="2" t="s">
        <v>75</v>
      </c>
      <c r="J1609" s="2" t="s">
        <v>637</v>
      </c>
      <c r="K1609" s="2" t="s">
        <v>4060</v>
      </c>
      <c r="L1609">
        <v>4</v>
      </c>
      <c r="M1609" s="1">
        <v>163000</v>
      </c>
      <c r="N1609">
        <v>2.2000000000000002</v>
      </c>
      <c r="O1609">
        <v>6</v>
      </c>
      <c r="P1609" s="2" t="s">
        <v>26</v>
      </c>
    </row>
    <row r="1610" spans="1:16" x14ac:dyDescent="0.25">
      <c r="A1610" s="2" t="s">
        <v>5890</v>
      </c>
      <c r="B1610" s="2" t="s">
        <v>1673</v>
      </c>
      <c r="C1610" s="2" t="s">
        <v>18</v>
      </c>
      <c r="D1610" s="2" t="s">
        <v>79</v>
      </c>
      <c r="E1610" s="2" t="s">
        <v>20</v>
      </c>
      <c r="F1610" s="2" t="s">
        <v>32</v>
      </c>
      <c r="G1610" s="2" t="s">
        <v>80</v>
      </c>
      <c r="H1610" s="2" t="s">
        <v>46</v>
      </c>
      <c r="I1610" s="2" t="s">
        <v>57</v>
      </c>
      <c r="J1610" s="2" t="s">
        <v>1743</v>
      </c>
      <c r="K1610" s="2" t="s">
        <v>4060</v>
      </c>
      <c r="L1610">
        <v>2</v>
      </c>
      <c r="M1610" s="1">
        <v>213000</v>
      </c>
      <c r="N1610">
        <v>2.4</v>
      </c>
      <c r="O1610">
        <v>7</v>
      </c>
      <c r="P1610" s="2" t="s">
        <v>114</v>
      </c>
    </row>
    <row r="1611" spans="1:16" x14ac:dyDescent="0.25">
      <c r="A1611" s="2" t="s">
        <v>5893</v>
      </c>
      <c r="B1611" s="2" t="s">
        <v>5034</v>
      </c>
      <c r="C1611" s="2" t="s">
        <v>18</v>
      </c>
      <c r="D1611" s="2" t="s">
        <v>50</v>
      </c>
      <c r="E1611" s="2" t="s">
        <v>20</v>
      </c>
      <c r="F1611" s="2" t="s">
        <v>32</v>
      </c>
      <c r="G1611" s="2" t="s">
        <v>80</v>
      </c>
      <c r="H1611" s="2" t="s">
        <v>62</v>
      </c>
      <c r="I1611" s="2" t="s">
        <v>24</v>
      </c>
      <c r="J1611" s="2" t="s">
        <v>5546</v>
      </c>
      <c r="K1611" s="2" t="s">
        <v>1597</v>
      </c>
      <c r="L1611">
        <v>5</v>
      </c>
      <c r="M1611" s="1">
        <v>303000</v>
      </c>
      <c r="N1611">
        <v>4</v>
      </c>
      <c r="O1611">
        <v>2</v>
      </c>
      <c r="P1611" s="2" t="s">
        <v>114</v>
      </c>
    </row>
    <row r="1612" spans="1:16" x14ac:dyDescent="0.25">
      <c r="A1612" s="2" t="s">
        <v>5894</v>
      </c>
      <c r="B1612" s="2" t="s">
        <v>3899</v>
      </c>
      <c r="C1612" s="2" t="s">
        <v>18</v>
      </c>
      <c r="D1612" s="2" t="s">
        <v>50</v>
      </c>
      <c r="E1612" s="2" t="s">
        <v>31</v>
      </c>
      <c r="F1612" s="2" t="s">
        <v>21</v>
      </c>
      <c r="G1612" s="2" t="s">
        <v>22</v>
      </c>
      <c r="H1612" s="2" t="s">
        <v>34</v>
      </c>
      <c r="I1612" s="2" t="s">
        <v>24</v>
      </c>
      <c r="J1612" s="2" t="s">
        <v>5895</v>
      </c>
      <c r="K1612" s="2" t="s">
        <v>533</v>
      </c>
      <c r="L1612">
        <v>5</v>
      </c>
      <c r="M1612" s="1">
        <v>742000</v>
      </c>
      <c r="N1612">
        <v>4.3</v>
      </c>
      <c r="O1612">
        <v>22</v>
      </c>
      <c r="P1612" s="2" t="s">
        <v>26</v>
      </c>
    </row>
    <row r="1613" spans="1:16" x14ac:dyDescent="0.25">
      <c r="A1613" s="2" t="s">
        <v>5903</v>
      </c>
      <c r="B1613" s="2" t="s">
        <v>5904</v>
      </c>
      <c r="C1613" s="2" t="s">
        <v>29</v>
      </c>
      <c r="D1613" s="2" t="s">
        <v>30</v>
      </c>
      <c r="E1613" s="2" t="s">
        <v>20</v>
      </c>
      <c r="F1613" s="2" t="s">
        <v>39</v>
      </c>
      <c r="G1613" s="2" t="s">
        <v>33</v>
      </c>
      <c r="H1613" s="2" t="s">
        <v>23</v>
      </c>
      <c r="I1613" s="2" t="s">
        <v>35</v>
      </c>
      <c r="J1613" s="2" t="s">
        <v>90</v>
      </c>
      <c r="K1613" s="2" t="s">
        <v>533</v>
      </c>
      <c r="L1613">
        <v>5</v>
      </c>
      <c r="M1613" s="1">
        <v>86000</v>
      </c>
      <c r="N1613">
        <v>3.5</v>
      </c>
      <c r="O1613">
        <v>11</v>
      </c>
      <c r="P1613" s="2" t="s">
        <v>53</v>
      </c>
    </row>
    <row r="1614" spans="1:16" x14ac:dyDescent="0.25">
      <c r="A1614" s="2" t="s">
        <v>5905</v>
      </c>
      <c r="B1614" s="2" t="s">
        <v>2704</v>
      </c>
      <c r="C1614" s="2" t="s">
        <v>18</v>
      </c>
      <c r="D1614" s="2" t="s">
        <v>43</v>
      </c>
      <c r="E1614" s="2" t="s">
        <v>20</v>
      </c>
      <c r="F1614" s="2" t="s">
        <v>32</v>
      </c>
      <c r="G1614" s="2" t="s">
        <v>22</v>
      </c>
      <c r="H1614" s="2" t="s">
        <v>34</v>
      </c>
      <c r="I1614" s="2" t="s">
        <v>24</v>
      </c>
      <c r="J1614" s="2" t="s">
        <v>1321</v>
      </c>
      <c r="K1614" s="2" t="s">
        <v>2540</v>
      </c>
      <c r="L1614">
        <v>4</v>
      </c>
      <c r="M1614" s="1">
        <v>194000</v>
      </c>
      <c r="N1614">
        <v>2.4</v>
      </c>
      <c r="O1614">
        <v>11</v>
      </c>
      <c r="P1614" s="2" t="s">
        <v>26</v>
      </c>
    </row>
    <row r="1615" spans="1:16" x14ac:dyDescent="0.25">
      <c r="A1615" s="2" t="s">
        <v>5906</v>
      </c>
      <c r="B1615" s="2" t="s">
        <v>5907</v>
      </c>
      <c r="C1615" s="2" t="s">
        <v>29</v>
      </c>
      <c r="D1615" s="2" t="s">
        <v>30</v>
      </c>
      <c r="E1615" s="2" t="s">
        <v>44</v>
      </c>
      <c r="F1615" s="2" t="s">
        <v>39</v>
      </c>
      <c r="G1615" s="2" t="s">
        <v>69</v>
      </c>
      <c r="H1615" s="2" t="s">
        <v>23</v>
      </c>
      <c r="I1615" s="2" t="s">
        <v>24</v>
      </c>
      <c r="J1615" s="2" t="s">
        <v>5908</v>
      </c>
      <c r="K1615" s="2" t="s">
        <v>2540</v>
      </c>
      <c r="L1615">
        <v>5</v>
      </c>
      <c r="M1615" s="1">
        <v>119000</v>
      </c>
      <c r="N1615">
        <v>2</v>
      </c>
      <c r="O1615">
        <v>0</v>
      </c>
      <c r="P1615" s="2" t="s">
        <v>26</v>
      </c>
    </row>
    <row r="1616" spans="1:16" x14ac:dyDescent="0.25">
      <c r="A1616" s="2" t="s">
        <v>5909</v>
      </c>
      <c r="B1616" s="2" t="s">
        <v>4789</v>
      </c>
      <c r="C1616" s="2" t="s">
        <v>18</v>
      </c>
      <c r="D1616" s="2" t="s">
        <v>19</v>
      </c>
      <c r="E1616" s="2" t="s">
        <v>20</v>
      </c>
      <c r="F1616" s="2" t="s">
        <v>32</v>
      </c>
      <c r="G1616" s="2" t="s">
        <v>33</v>
      </c>
      <c r="H1616" s="2" t="s">
        <v>62</v>
      </c>
      <c r="I1616" s="2" t="s">
        <v>24</v>
      </c>
      <c r="J1616" s="2" t="s">
        <v>2893</v>
      </c>
      <c r="K1616" s="2" t="s">
        <v>2540</v>
      </c>
      <c r="L1616">
        <v>6</v>
      </c>
      <c r="M1616" s="1">
        <v>289000</v>
      </c>
      <c r="N1616">
        <v>3.3</v>
      </c>
      <c r="O1616">
        <v>11</v>
      </c>
      <c r="P1616" s="2" t="s">
        <v>26</v>
      </c>
    </row>
    <row r="1617" spans="1:16" x14ac:dyDescent="0.25">
      <c r="A1617" s="2" t="s">
        <v>5910</v>
      </c>
      <c r="B1617" s="2" t="s">
        <v>1281</v>
      </c>
      <c r="C1617" s="2" t="s">
        <v>29</v>
      </c>
      <c r="D1617" s="2" t="s">
        <v>50</v>
      </c>
      <c r="E1617" s="2" t="s">
        <v>20</v>
      </c>
      <c r="F1617" s="2" t="s">
        <v>39</v>
      </c>
      <c r="G1617" s="2" t="s">
        <v>33</v>
      </c>
      <c r="H1617" s="2" t="s">
        <v>23</v>
      </c>
      <c r="I1617" s="2" t="s">
        <v>24</v>
      </c>
      <c r="J1617" s="2" t="s">
        <v>523</v>
      </c>
      <c r="K1617" s="2" t="s">
        <v>2540</v>
      </c>
      <c r="L1617">
        <v>5</v>
      </c>
      <c r="M1617" s="1">
        <v>150000</v>
      </c>
      <c r="N1617">
        <v>2.2999999999999998</v>
      </c>
      <c r="O1617">
        <v>11</v>
      </c>
      <c r="P1617" s="2" t="s">
        <v>26</v>
      </c>
    </row>
    <row r="1618" spans="1:16" x14ac:dyDescent="0.25">
      <c r="A1618" s="2" t="s">
        <v>5911</v>
      </c>
      <c r="B1618" s="2" t="s">
        <v>4058</v>
      </c>
      <c r="C1618" s="2" t="s">
        <v>18</v>
      </c>
      <c r="D1618" s="2" t="s">
        <v>30</v>
      </c>
      <c r="E1618" s="2" t="s">
        <v>44</v>
      </c>
      <c r="F1618" s="2" t="s">
        <v>39</v>
      </c>
      <c r="G1618" s="2" t="s">
        <v>22</v>
      </c>
      <c r="H1618" s="2" t="s">
        <v>23</v>
      </c>
      <c r="I1618" s="2" t="s">
        <v>35</v>
      </c>
      <c r="J1618" s="2" t="s">
        <v>898</v>
      </c>
      <c r="K1618" s="2" t="s">
        <v>2540</v>
      </c>
      <c r="L1618">
        <v>3</v>
      </c>
      <c r="M1618" s="1">
        <v>115000</v>
      </c>
      <c r="N1618">
        <v>3.4</v>
      </c>
      <c r="O1618">
        <v>9</v>
      </c>
      <c r="P1618" s="2" t="s">
        <v>53</v>
      </c>
    </row>
    <row r="1619" spans="1:16" x14ac:dyDescent="0.25">
      <c r="A1619" s="2" t="s">
        <v>5912</v>
      </c>
      <c r="B1619" s="2" t="s">
        <v>2583</v>
      </c>
      <c r="C1619" s="2" t="s">
        <v>18</v>
      </c>
      <c r="D1619" s="2" t="s">
        <v>30</v>
      </c>
      <c r="E1619" s="2" t="s">
        <v>20</v>
      </c>
      <c r="F1619" s="2" t="s">
        <v>39</v>
      </c>
      <c r="G1619" s="2" t="s">
        <v>33</v>
      </c>
      <c r="H1619" s="2" t="s">
        <v>46</v>
      </c>
      <c r="I1619" s="2" t="s">
        <v>75</v>
      </c>
      <c r="J1619" s="2" t="s">
        <v>2653</v>
      </c>
      <c r="K1619" s="2" t="s">
        <v>5913</v>
      </c>
      <c r="L1619">
        <v>5</v>
      </c>
      <c r="M1619" s="1">
        <v>115000</v>
      </c>
      <c r="N1619">
        <v>1.5</v>
      </c>
      <c r="O1619">
        <v>2</v>
      </c>
      <c r="P1619" s="2" t="s">
        <v>53</v>
      </c>
    </row>
    <row r="1620" spans="1:16" x14ac:dyDescent="0.25">
      <c r="A1620" s="2" t="s">
        <v>5914</v>
      </c>
      <c r="B1620" s="2" t="s">
        <v>5915</v>
      </c>
      <c r="C1620" s="2" t="s">
        <v>29</v>
      </c>
      <c r="D1620" s="2" t="s">
        <v>30</v>
      </c>
      <c r="E1620" s="2" t="s">
        <v>31</v>
      </c>
      <c r="F1620" s="2" t="s">
        <v>21</v>
      </c>
      <c r="G1620" s="2" t="s">
        <v>33</v>
      </c>
      <c r="H1620" s="2" t="s">
        <v>62</v>
      </c>
      <c r="I1620" s="2" t="s">
        <v>57</v>
      </c>
      <c r="J1620" s="2" t="s">
        <v>2551</v>
      </c>
      <c r="K1620" s="2" t="s">
        <v>5920</v>
      </c>
      <c r="L1620">
        <v>5</v>
      </c>
      <c r="M1620" s="1">
        <v>873000</v>
      </c>
      <c r="N1620">
        <v>3.3</v>
      </c>
      <c r="O1620">
        <v>11</v>
      </c>
      <c r="P1620" s="2" t="s">
        <v>26</v>
      </c>
    </row>
    <row r="1621" spans="1:16" x14ac:dyDescent="0.25">
      <c r="A1621" s="2" t="s">
        <v>5919</v>
      </c>
      <c r="B1621" s="2" t="s">
        <v>2184</v>
      </c>
      <c r="C1621" s="2" t="s">
        <v>18</v>
      </c>
      <c r="D1621" s="2" t="s">
        <v>30</v>
      </c>
      <c r="E1621" s="2" t="s">
        <v>20</v>
      </c>
      <c r="F1621" s="2" t="s">
        <v>32</v>
      </c>
      <c r="G1621" s="2" t="s">
        <v>22</v>
      </c>
      <c r="H1621" s="2" t="s">
        <v>46</v>
      </c>
      <c r="I1621" s="2" t="s">
        <v>57</v>
      </c>
      <c r="J1621" s="2" t="s">
        <v>761</v>
      </c>
      <c r="K1621" s="2" t="s">
        <v>5920</v>
      </c>
      <c r="L1621">
        <v>2</v>
      </c>
      <c r="M1621" s="1">
        <v>313000</v>
      </c>
      <c r="N1621">
        <v>4</v>
      </c>
      <c r="O1621">
        <v>34</v>
      </c>
      <c r="P1621" s="2" t="s">
        <v>53</v>
      </c>
    </row>
    <row r="1622" spans="1:16" x14ac:dyDescent="0.25">
      <c r="A1622" s="2" t="s">
        <v>5923</v>
      </c>
      <c r="B1622" s="2" t="s">
        <v>3385</v>
      </c>
      <c r="C1622" s="2" t="s">
        <v>18</v>
      </c>
      <c r="D1622" s="2" t="s">
        <v>30</v>
      </c>
      <c r="E1622" s="2" t="s">
        <v>20</v>
      </c>
      <c r="F1622" s="2" t="s">
        <v>128</v>
      </c>
      <c r="G1622" s="2" t="s">
        <v>69</v>
      </c>
      <c r="H1622" s="2" t="s">
        <v>34</v>
      </c>
      <c r="I1622" s="2" t="s">
        <v>24</v>
      </c>
      <c r="J1622" s="2" t="s">
        <v>5924</v>
      </c>
      <c r="K1622" s="2" t="s">
        <v>1018</v>
      </c>
      <c r="L1622">
        <v>6</v>
      </c>
      <c r="M1622" s="1">
        <v>575000</v>
      </c>
      <c r="N1622">
        <v>4.4000000000000004</v>
      </c>
      <c r="O1622">
        <v>8</v>
      </c>
      <c r="P1622" s="2" t="s">
        <v>72</v>
      </c>
    </row>
    <row r="1623" spans="1:16" x14ac:dyDescent="0.25">
      <c r="A1623" s="2" t="s">
        <v>5931</v>
      </c>
      <c r="B1623" s="2" t="s">
        <v>5932</v>
      </c>
      <c r="C1623" s="2" t="s">
        <v>29</v>
      </c>
      <c r="D1623" s="2" t="s">
        <v>50</v>
      </c>
      <c r="E1623" s="2" t="s">
        <v>20</v>
      </c>
      <c r="F1623" s="2" t="s">
        <v>21</v>
      </c>
      <c r="G1623" s="2" t="s">
        <v>69</v>
      </c>
      <c r="H1623" s="2" t="s">
        <v>34</v>
      </c>
      <c r="I1623" s="2" t="s">
        <v>24</v>
      </c>
      <c r="J1623" s="2" t="s">
        <v>3654</v>
      </c>
      <c r="K1623" s="2" t="s">
        <v>2329</v>
      </c>
      <c r="L1623">
        <v>6</v>
      </c>
      <c r="M1623" s="1">
        <v>666000</v>
      </c>
      <c r="N1623">
        <v>3.4</v>
      </c>
      <c r="O1623">
        <v>11</v>
      </c>
      <c r="P1623" s="2" t="s">
        <v>26</v>
      </c>
    </row>
    <row r="1624" spans="1:16" x14ac:dyDescent="0.25">
      <c r="A1624" s="2" t="s">
        <v>5933</v>
      </c>
      <c r="B1624" s="2" t="s">
        <v>5934</v>
      </c>
      <c r="C1624" s="2" t="s">
        <v>29</v>
      </c>
      <c r="D1624" s="2" t="s">
        <v>30</v>
      </c>
      <c r="E1624" s="2" t="s">
        <v>31</v>
      </c>
      <c r="F1624" s="2" t="s">
        <v>32</v>
      </c>
      <c r="G1624" s="2" t="s">
        <v>80</v>
      </c>
      <c r="H1624" s="2" t="s">
        <v>23</v>
      </c>
      <c r="I1624" s="2" t="s">
        <v>57</v>
      </c>
      <c r="J1624" s="2" t="s">
        <v>1321</v>
      </c>
      <c r="K1624" s="2" t="s">
        <v>2329</v>
      </c>
      <c r="L1624">
        <v>4</v>
      </c>
      <c r="M1624" s="1">
        <v>252000</v>
      </c>
      <c r="N1624">
        <v>3.9</v>
      </c>
      <c r="O1624">
        <v>12</v>
      </c>
      <c r="P1624" s="2" t="s">
        <v>72</v>
      </c>
    </row>
    <row r="1625" spans="1:16" x14ac:dyDescent="0.25">
      <c r="A1625" s="2" t="s">
        <v>5935</v>
      </c>
      <c r="B1625" s="2" t="s">
        <v>5936</v>
      </c>
      <c r="C1625" s="2" t="s">
        <v>18</v>
      </c>
      <c r="D1625" s="2" t="s">
        <v>43</v>
      </c>
      <c r="E1625" s="2" t="s">
        <v>20</v>
      </c>
      <c r="F1625" s="2" t="s">
        <v>128</v>
      </c>
      <c r="G1625" s="2" t="s">
        <v>22</v>
      </c>
      <c r="H1625" s="2" t="s">
        <v>62</v>
      </c>
      <c r="I1625" s="2" t="s">
        <v>75</v>
      </c>
      <c r="J1625" s="2" t="s">
        <v>5937</v>
      </c>
      <c r="K1625" s="2" t="s">
        <v>1558</v>
      </c>
      <c r="L1625">
        <v>5</v>
      </c>
      <c r="M1625" s="1">
        <v>464000</v>
      </c>
      <c r="N1625">
        <v>3.3</v>
      </c>
      <c r="O1625">
        <v>6</v>
      </c>
      <c r="P1625" s="2" t="s">
        <v>26</v>
      </c>
    </row>
    <row r="1626" spans="1:16" x14ac:dyDescent="0.25">
      <c r="A1626" s="2" t="s">
        <v>5938</v>
      </c>
      <c r="B1626" s="2" t="s">
        <v>5266</v>
      </c>
      <c r="C1626" s="2" t="s">
        <v>29</v>
      </c>
      <c r="D1626" s="2" t="s">
        <v>50</v>
      </c>
      <c r="E1626" s="2" t="s">
        <v>20</v>
      </c>
      <c r="F1626" s="2" t="s">
        <v>39</v>
      </c>
      <c r="G1626" s="2" t="s">
        <v>80</v>
      </c>
      <c r="H1626" s="2" t="s">
        <v>46</v>
      </c>
      <c r="I1626" s="2" t="s">
        <v>57</v>
      </c>
      <c r="J1626" s="2" t="s">
        <v>4868</v>
      </c>
      <c r="K1626" s="2" t="s">
        <v>1558</v>
      </c>
      <c r="L1626">
        <v>7</v>
      </c>
      <c r="M1626" s="1">
        <v>159000</v>
      </c>
      <c r="N1626">
        <v>2.5</v>
      </c>
      <c r="O1626">
        <v>39</v>
      </c>
      <c r="P1626" s="2" t="s">
        <v>72</v>
      </c>
    </row>
    <row r="1627" spans="1:16" x14ac:dyDescent="0.25">
      <c r="A1627" s="2" t="s">
        <v>5939</v>
      </c>
      <c r="B1627" s="2" t="s">
        <v>5940</v>
      </c>
      <c r="C1627" s="2" t="s">
        <v>29</v>
      </c>
      <c r="D1627" s="2" t="s">
        <v>30</v>
      </c>
      <c r="E1627" s="2" t="s">
        <v>31</v>
      </c>
      <c r="F1627" s="2" t="s">
        <v>39</v>
      </c>
      <c r="G1627" s="2" t="s">
        <v>22</v>
      </c>
      <c r="H1627" s="2" t="s">
        <v>46</v>
      </c>
      <c r="I1627" s="2" t="s">
        <v>57</v>
      </c>
      <c r="J1627" s="2" t="s">
        <v>5941</v>
      </c>
      <c r="K1627" s="2" t="s">
        <v>2100</v>
      </c>
      <c r="L1627">
        <v>2</v>
      </c>
      <c r="M1627" s="1">
        <v>120000</v>
      </c>
      <c r="N1627">
        <v>1.9</v>
      </c>
      <c r="O1627">
        <v>27</v>
      </c>
      <c r="P1627" s="2" t="s">
        <v>26</v>
      </c>
    </row>
    <row r="1628" spans="1:16" x14ac:dyDescent="0.25">
      <c r="A1628" s="2" t="s">
        <v>5942</v>
      </c>
      <c r="B1628" s="2" t="s">
        <v>5943</v>
      </c>
      <c r="C1628" s="2" t="s">
        <v>29</v>
      </c>
      <c r="D1628" s="2" t="s">
        <v>19</v>
      </c>
      <c r="E1628" s="2" t="s">
        <v>20</v>
      </c>
      <c r="F1628" s="2" t="s">
        <v>128</v>
      </c>
      <c r="G1628" s="2" t="s">
        <v>80</v>
      </c>
      <c r="H1628" s="2" t="s">
        <v>23</v>
      </c>
      <c r="I1628" s="2" t="s">
        <v>24</v>
      </c>
      <c r="J1628" s="2" t="s">
        <v>1878</v>
      </c>
      <c r="K1628" s="2" t="s">
        <v>2100</v>
      </c>
      <c r="L1628">
        <v>2</v>
      </c>
      <c r="M1628" s="1">
        <v>556000</v>
      </c>
      <c r="N1628">
        <v>2.8</v>
      </c>
      <c r="O1628">
        <v>9</v>
      </c>
      <c r="P1628" s="2" t="s">
        <v>26</v>
      </c>
    </row>
    <row r="1629" spans="1:16" x14ac:dyDescent="0.25">
      <c r="A1629" s="2" t="s">
        <v>5944</v>
      </c>
      <c r="B1629" s="2" t="s">
        <v>1410</v>
      </c>
      <c r="C1629" s="2" t="s">
        <v>29</v>
      </c>
      <c r="D1629" s="2" t="s">
        <v>50</v>
      </c>
      <c r="E1629" s="2" t="s">
        <v>20</v>
      </c>
      <c r="F1629" s="2" t="s">
        <v>32</v>
      </c>
      <c r="G1629" s="2" t="s">
        <v>33</v>
      </c>
      <c r="H1629" s="2" t="s">
        <v>46</v>
      </c>
      <c r="I1629" s="2" t="s">
        <v>171</v>
      </c>
      <c r="J1629" s="2" t="s">
        <v>1240</v>
      </c>
      <c r="K1629" s="2" t="s">
        <v>2100</v>
      </c>
      <c r="L1629">
        <v>3</v>
      </c>
      <c r="M1629" s="1">
        <v>321000</v>
      </c>
      <c r="N1629">
        <v>2.7</v>
      </c>
      <c r="O1629">
        <v>3</v>
      </c>
      <c r="P1629" s="2" t="s">
        <v>114</v>
      </c>
    </row>
    <row r="1630" spans="1:16" x14ac:dyDescent="0.25">
      <c r="A1630" s="2" t="s">
        <v>5945</v>
      </c>
      <c r="B1630" s="2" t="s">
        <v>5946</v>
      </c>
      <c r="C1630" s="2" t="s">
        <v>29</v>
      </c>
      <c r="D1630" s="2" t="s">
        <v>30</v>
      </c>
      <c r="E1630" s="2" t="s">
        <v>31</v>
      </c>
      <c r="F1630" s="2" t="s">
        <v>32</v>
      </c>
      <c r="G1630" s="2" t="s">
        <v>22</v>
      </c>
      <c r="H1630" s="2" t="s">
        <v>34</v>
      </c>
      <c r="I1630" s="2" t="s">
        <v>24</v>
      </c>
      <c r="J1630" s="2" t="s">
        <v>1251</v>
      </c>
      <c r="K1630" s="2" t="s">
        <v>5951</v>
      </c>
      <c r="L1630">
        <v>5</v>
      </c>
      <c r="M1630" s="1">
        <v>278000</v>
      </c>
      <c r="N1630">
        <v>3.5</v>
      </c>
      <c r="O1630">
        <v>7</v>
      </c>
      <c r="P1630" s="2" t="s">
        <v>26</v>
      </c>
    </row>
    <row r="1631" spans="1:16" x14ac:dyDescent="0.25">
      <c r="A1631" s="2" t="s">
        <v>5949</v>
      </c>
      <c r="B1631" s="2" t="s">
        <v>5950</v>
      </c>
      <c r="C1631" s="2" t="s">
        <v>18</v>
      </c>
      <c r="D1631" s="2" t="s">
        <v>43</v>
      </c>
      <c r="E1631" s="2" t="s">
        <v>20</v>
      </c>
      <c r="F1631" s="2" t="s">
        <v>32</v>
      </c>
      <c r="G1631" s="2" t="s">
        <v>69</v>
      </c>
      <c r="H1631" s="2" t="s">
        <v>34</v>
      </c>
      <c r="I1631" s="2" t="s">
        <v>75</v>
      </c>
      <c r="J1631" s="2" t="s">
        <v>4840</v>
      </c>
      <c r="K1631" s="2" t="s">
        <v>5951</v>
      </c>
      <c r="L1631">
        <v>5</v>
      </c>
      <c r="M1631" s="1">
        <v>225000</v>
      </c>
      <c r="N1631">
        <v>2.8</v>
      </c>
      <c r="O1631">
        <v>9</v>
      </c>
      <c r="P1631" s="2" t="s">
        <v>53</v>
      </c>
    </row>
    <row r="1632" spans="1:16" x14ac:dyDescent="0.25">
      <c r="A1632" s="2" t="s">
        <v>5962</v>
      </c>
      <c r="B1632" s="2" t="s">
        <v>5963</v>
      </c>
      <c r="C1632" s="2" t="s">
        <v>29</v>
      </c>
      <c r="D1632" s="2" t="s">
        <v>30</v>
      </c>
      <c r="E1632" s="2" t="s">
        <v>20</v>
      </c>
      <c r="F1632" s="2" t="s">
        <v>39</v>
      </c>
      <c r="G1632" s="2" t="s">
        <v>33</v>
      </c>
      <c r="H1632" s="2" t="s">
        <v>34</v>
      </c>
      <c r="I1632" s="2" t="s">
        <v>57</v>
      </c>
      <c r="J1632" s="2" t="s">
        <v>1477</v>
      </c>
      <c r="K1632" s="2" t="s">
        <v>755</v>
      </c>
      <c r="L1632">
        <v>6</v>
      </c>
      <c r="M1632" s="1">
        <v>100000</v>
      </c>
      <c r="N1632">
        <v>3.1</v>
      </c>
      <c r="O1632">
        <v>12</v>
      </c>
      <c r="P1632" s="2" t="s">
        <v>26</v>
      </c>
    </row>
    <row r="1633" spans="1:16" x14ac:dyDescent="0.25">
      <c r="A1633" s="2" t="s">
        <v>5964</v>
      </c>
      <c r="B1633" s="2" t="s">
        <v>2815</v>
      </c>
      <c r="C1633" s="2" t="s">
        <v>29</v>
      </c>
      <c r="D1633" s="2" t="s">
        <v>19</v>
      </c>
      <c r="E1633" s="2" t="s">
        <v>44</v>
      </c>
      <c r="F1633" s="2" t="s">
        <v>39</v>
      </c>
      <c r="G1633" s="2" t="s">
        <v>80</v>
      </c>
      <c r="H1633" s="2" t="s">
        <v>46</v>
      </c>
      <c r="I1633" s="2" t="s">
        <v>57</v>
      </c>
      <c r="J1633" s="2" t="s">
        <v>5965</v>
      </c>
      <c r="K1633" s="2" t="s">
        <v>755</v>
      </c>
      <c r="L1633">
        <v>6</v>
      </c>
      <c r="M1633" s="1">
        <v>177000</v>
      </c>
      <c r="N1633">
        <v>4.3</v>
      </c>
      <c r="O1633">
        <v>8</v>
      </c>
      <c r="P1633" s="2" t="s">
        <v>53</v>
      </c>
    </row>
    <row r="1634" spans="1:16" x14ac:dyDescent="0.25">
      <c r="A1634" s="2" t="s">
        <v>5967</v>
      </c>
      <c r="B1634" s="2" t="s">
        <v>5968</v>
      </c>
      <c r="C1634" s="2" t="s">
        <v>18</v>
      </c>
      <c r="D1634" s="2" t="s">
        <v>30</v>
      </c>
      <c r="E1634" s="2" t="s">
        <v>31</v>
      </c>
      <c r="F1634" s="2" t="s">
        <v>39</v>
      </c>
      <c r="G1634" s="2" t="s">
        <v>33</v>
      </c>
      <c r="H1634" s="2" t="s">
        <v>62</v>
      </c>
      <c r="I1634" s="2" t="s">
        <v>35</v>
      </c>
      <c r="J1634" s="2" t="s">
        <v>4786</v>
      </c>
      <c r="K1634" s="2" t="s">
        <v>745</v>
      </c>
      <c r="L1634">
        <v>2</v>
      </c>
      <c r="M1634" s="1">
        <v>148000</v>
      </c>
      <c r="N1634">
        <v>2.1</v>
      </c>
      <c r="O1634">
        <v>3</v>
      </c>
      <c r="P1634" s="2" t="s">
        <v>53</v>
      </c>
    </row>
    <row r="1635" spans="1:16" x14ac:dyDescent="0.25">
      <c r="A1635" s="2" t="s">
        <v>5972</v>
      </c>
      <c r="B1635" s="2" t="s">
        <v>161</v>
      </c>
      <c r="C1635" s="2" t="s">
        <v>18</v>
      </c>
      <c r="D1635" s="2" t="s">
        <v>79</v>
      </c>
      <c r="E1635" s="2" t="s">
        <v>31</v>
      </c>
      <c r="F1635" s="2" t="s">
        <v>32</v>
      </c>
      <c r="G1635" s="2" t="s">
        <v>33</v>
      </c>
      <c r="H1635" s="2" t="s">
        <v>46</v>
      </c>
      <c r="I1635" s="2" t="s">
        <v>75</v>
      </c>
      <c r="J1635" s="2" t="s">
        <v>5585</v>
      </c>
      <c r="K1635" s="2" t="s">
        <v>5973</v>
      </c>
      <c r="L1635">
        <v>5</v>
      </c>
      <c r="M1635" s="1">
        <v>333000</v>
      </c>
      <c r="N1635">
        <v>2.8</v>
      </c>
      <c r="O1635">
        <v>10</v>
      </c>
      <c r="P1635" s="2" t="s">
        <v>72</v>
      </c>
    </row>
    <row r="1636" spans="1:16" x14ac:dyDescent="0.25">
      <c r="A1636" s="2" t="s">
        <v>5974</v>
      </c>
      <c r="B1636" s="2" t="s">
        <v>5975</v>
      </c>
      <c r="C1636" s="2" t="s">
        <v>18</v>
      </c>
      <c r="D1636" s="2" t="s">
        <v>50</v>
      </c>
      <c r="E1636" s="2" t="s">
        <v>31</v>
      </c>
      <c r="F1636" s="2" t="s">
        <v>39</v>
      </c>
      <c r="G1636" s="2" t="s">
        <v>22</v>
      </c>
      <c r="H1636" s="2" t="s">
        <v>34</v>
      </c>
      <c r="I1636" s="2" t="s">
        <v>75</v>
      </c>
      <c r="J1636" s="2" t="s">
        <v>5091</v>
      </c>
      <c r="K1636" s="2" t="s">
        <v>5982</v>
      </c>
      <c r="L1636">
        <v>3</v>
      </c>
      <c r="M1636" s="1">
        <v>142000</v>
      </c>
      <c r="N1636">
        <v>2.4</v>
      </c>
      <c r="O1636">
        <v>10</v>
      </c>
      <c r="P1636" s="2" t="s">
        <v>26</v>
      </c>
    </row>
    <row r="1637" spans="1:16" x14ac:dyDescent="0.25">
      <c r="A1637" s="2" t="s">
        <v>5976</v>
      </c>
      <c r="B1637" s="2" t="s">
        <v>5038</v>
      </c>
      <c r="C1637" s="2" t="s">
        <v>18</v>
      </c>
      <c r="D1637" s="2" t="s">
        <v>79</v>
      </c>
      <c r="E1637" s="2" t="s">
        <v>44</v>
      </c>
      <c r="F1637" s="2" t="s">
        <v>39</v>
      </c>
      <c r="G1637" s="2" t="s">
        <v>22</v>
      </c>
      <c r="H1637" s="2" t="s">
        <v>62</v>
      </c>
      <c r="I1637" s="2" t="s">
        <v>57</v>
      </c>
      <c r="J1637" s="2" t="s">
        <v>5977</v>
      </c>
      <c r="K1637" s="2" t="s">
        <v>5982</v>
      </c>
      <c r="L1637">
        <v>5</v>
      </c>
      <c r="M1637" s="1">
        <v>90000</v>
      </c>
      <c r="N1637">
        <v>3.3</v>
      </c>
      <c r="O1637">
        <v>6</v>
      </c>
      <c r="P1637" s="2" t="s">
        <v>26</v>
      </c>
    </row>
    <row r="1638" spans="1:16" x14ac:dyDescent="0.25">
      <c r="A1638" s="2" t="s">
        <v>5979</v>
      </c>
      <c r="B1638" s="2" t="s">
        <v>350</v>
      </c>
      <c r="C1638" s="2" t="s">
        <v>29</v>
      </c>
      <c r="D1638" s="2" t="s">
        <v>50</v>
      </c>
      <c r="E1638" s="2" t="s">
        <v>20</v>
      </c>
      <c r="F1638" s="2" t="s">
        <v>45</v>
      </c>
      <c r="G1638" s="2" t="s">
        <v>22</v>
      </c>
      <c r="H1638" s="2" t="s">
        <v>23</v>
      </c>
      <c r="I1638" s="2" t="s">
        <v>171</v>
      </c>
      <c r="J1638" s="2" t="s">
        <v>2239</v>
      </c>
      <c r="K1638" s="2" t="s">
        <v>5982</v>
      </c>
      <c r="L1638">
        <v>6</v>
      </c>
      <c r="M1638" s="1">
        <v>1302000</v>
      </c>
      <c r="N1638">
        <v>3.1</v>
      </c>
      <c r="O1638">
        <v>12</v>
      </c>
      <c r="P1638" s="2" t="s">
        <v>26</v>
      </c>
    </row>
    <row r="1639" spans="1:16" x14ac:dyDescent="0.25">
      <c r="A1639" s="2" t="s">
        <v>5981</v>
      </c>
      <c r="B1639" s="2" t="s">
        <v>4277</v>
      </c>
      <c r="C1639" s="2" t="s">
        <v>18</v>
      </c>
      <c r="D1639" s="2" t="s">
        <v>43</v>
      </c>
      <c r="E1639" s="2" t="s">
        <v>44</v>
      </c>
      <c r="F1639" s="2" t="s">
        <v>21</v>
      </c>
      <c r="G1639" s="2" t="s">
        <v>80</v>
      </c>
      <c r="H1639" s="2" t="s">
        <v>34</v>
      </c>
      <c r="I1639" s="2" t="s">
        <v>35</v>
      </c>
      <c r="J1639" s="2" t="s">
        <v>192</v>
      </c>
      <c r="K1639" s="2" t="s">
        <v>5982</v>
      </c>
      <c r="L1639">
        <v>3</v>
      </c>
      <c r="M1639" s="1">
        <v>600000</v>
      </c>
      <c r="N1639">
        <v>3.6</v>
      </c>
      <c r="O1639">
        <v>8</v>
      </c>
      <c r="P1639" s="2" t="s">
        <v>53</v>
      </c>
    </row>
    <row r="1640" spans="1:16" x14ac:dyDescent="0.25">
      <c r="A1640" s="2" t="s">
        <v>5983</v>
      </c>
      <c r="B1640" s="2" t="s">
        <v>5984</v>
      </c>
      <c r="C1640" s="2" t="s">
        <v>18</v>
      </c>
      <c r="D1640" s="2" t="s">
        <v>79</v>
      </c>
      <c r="E1640" s="2" t="s">
        <v>20</v>
      </c>
      <c r="F1640" s="2" t="s">
        <v>128</v>
      </c>
      <c r="G1640" s="2" t="s">
        <v>80</v>
      </c>
      <c r="H1640" s="2" t="s">
        <v>23</v>
      </c>
      <c r="I1640" s="2" t="s">
        <v>24</v>
      </c>
      <c r="J1640" s="2" t="s">
        <v>1993</v>
      </c>
      <c r="K1640" s="2" t="s">
        <v>84</v>
      </c>
      <c r="L1640">
        <v>6</v>
      </c>
      <c r="M1640" s="1">
        <v>473000</v>
      </c>
      <c r="N1640">
        <v>2.2000000000000002</v>
      </c>
      <c r="O1640">
        <v>8</v>
      </c>
      <c r="P1640" s="2" t="s">
        <v>26</v>
      </c>
    </row>
    <row r="1641" spans="1:16" x14ac:dyDescent="0.25">
      <c r="A1641" s="2" t="s">
        <v>5985</v>
      </c>
      <c r="B1641" s="2" t="s">
        <v>2371</v>
      </c>
      <c r="C1641" s="2" t="s">
        <v>29</v>
      </c>
      <c r="D1641" s="2" t="s">
        <v>30</v>
      </c>
      <c r="E1641" s="2" t="s">
        <v>31</v>
      </c>
      <c r="F1641" s="2" t="s">
        <v>21</v>
      </c>
      <c r="G1641" s="2" t="s">
        <v>69</v>
      </c>
      <c r="H1641" s="2" t="s">
        <v>34</v>
      </c>
      <c r="I1641" s="2" t="s">
        <v>24</v>
      </c>
      <c r="J1641" s="2" t="s">
        <v>3129</v>
      </c>
      <c r="K1641" s="2" t="s">
        <v>84</v>
      </c>
      <c r="L1641">
        <v>5</v>
      </c>
      <c r="M1641" s="1">
        <v>894000</v>
      </c>
      <c r="N1641">
        <v>5</v>
      </c>
      <c r="O1641">
        <v>9</v>
      </c>
      <c r="P1641" s="2" t="s">
        <v>114</v>
      </c>
    </row>
    <row r="1642" spans="1:16" x14ac:dyDescent="0.25">
      <c r="A1642" s="2" t="s">
        <v>5986</v>
      </c>
      <c r="B1642" s="2" t="s">
        <v>4082</v>
      </c>
      <c r="C1642" s="2" t="s">
        <v>29</v>
      </c>
      <c r="D1642" s="2" t="s">
        <v>19</v>
      </c>
      <c r="E1642" s="2" t="s">
        <v>20</v>
      </c>
      <c r="F1642" s="2" t="s">
        <v>32</v>
      </c>
      <c r="G1642" s="2" t="s">
        <v>80</v>
      </c>
      <c r="H1642" s="2" t="s">
        <v>34</v>
      </c>
      <c r="I1642" s="2" t="s">
        <v>75</v>
      </c>
      <c r="J1642" s="2" t="s">
        <v>5987</v>
      </c>
      <c r="K1642" s="2" t="s">
        <v>3158</v>
      </c>
      <c r="L1642">
        <v>6</v>
      </c>
      <c r="M1642" s="1">
        <v>334000</v>
      </c>
      <c r="N1642">
        <v>3.5</v>
      </c>
      <c r="O1642">
        <v>11</v>
      </c>
      <c r="P1642" s="2" t="s">
        <v>72</v>
      </c>
    </row>
    <row r="1643" spans="1:16" x14ac:dyDescent="0.25">
      <c r="A1643" s="2" t="s">
        <v>5993</v>
      </c>
      <c r="B1643" s="2" t="s">
        <v>5994</v>
      </c>
      <c r="C1643" s="2" t="s">
        <v>29</v>
      </c>
      <c r="D1643" s="2" t="s">
        <v>43</v>
      </c>
      <c r="E1643" s="2" t="s">
        <v>44</v>
      </c>
      <c r="F1643" s="2" t="s">
        <v>32</v>
      </c>
      <c r="G1643" s="2" t="s">
        <v>22</v>
      </c>
      <c r="H1643" s="2" t="s">
        <v>23</v>
      </c>
      <c r="I1643" s="2" t="s">
        <v>24</v>
      </c>
      <c r="J1643" s="2" t="s">
        <v>2686</v>
      </c>
      <c r="K1643" s="2" t="s">
        <v>5997</v>
      </c>
      <c r="L1643">
        <v>6</v>
      </c>
      <c r="M1643" s="1">
        <v>322000</v>
      </c>
      <c r="N1643">
        <v>3.4</v>
      </c>
      <c r="O1643">
        <v>34</v>
      </c>
      <c r="P1643" s="2" t="s">
        <v>26</v>
      </c>
    </row>
    <row r="1644" spans="1:16" x14ac:dyDescent="0.25">
      <c r="A1644" s="2" t="s">
        <v>5995</v>
      </c>
      <c r="B1644" s="2" t="s">
        <v>5996</v>
      </c>
      <c r="C1644" s="2" t="s">
        <v>18</v>
      </c>
      <c r="D1644" s="2" t="s">
        <v>30</v>
      </c>
      <c r="E1644" s="2" t="s">
        <v>20</v>
      </c>
      <c r="F1644" s="2" t="s">
        <v>32</v>
      </c>
      <c r="G1644" s="2" t="s">
        <v>22</v>
      </c>
      <c r="H1644" s="2" t="s">
        <v>46</v>
      </c>
      <c r="I1644" s="2" t="s">
        <v>57</v>
      </c>
      <c r="J1644" s="2" t="s">
        <v>2600</v>
      </c>
      <c r="K1644" s="2" t="s">
        <v>5997</v>
      </c>
      <c r="L1644">
        <v>3</v>
      </c>
      <c r="M1644" s="1">
        <v>292000</v>
      </c>
      <c r="N1644">
        <v>2.5</v>
      </c>
      <c r="O1644">
        <v>19</v>
      </c>
      <c r="P1644" s="2" t="s">
        <v>114</v>
      </c>
    </row>
    <row r="1645" spans="1:16" x14ac:dyDescent="0.25">
      <c r="A1645" s="2" t="s">
        <v>6000</v>
      </c>
      <c r="B1645" s="2" t="s">
        <v>3578</v>
      </c>
      <c r="C1645" s="2" t="s">
        <v>18</v>
      </c>
      <c r="D1645" s="2" t="s">
        <v>30</v>
      </c>
      <c r="E1645" s="2" t="s">
        <v>20</v>
      </c>
      <c r="F1645" s="2" t="s">
        <v>39</v>
      </c>
      <c r="G1645" s="2" t="s">
        <v>33</v>
      </c>
      <c r="H1645" s="2" t="s">
        <v>46</v>
      </c>
      <c r="I1645" s="2" t="s">
        <v>24</v>
      </c>
      <c r="J1645" s="2" t="s">
        <v>3647</v>
      </c>
      <c r="K1645" s="2" t="s">
        <v>4014</v>
      </c>
      <c r="L1645">
        <v>2</v>
      </c>
      <c r="M1645" s="1">
        <v>162000</v>
      </c>
      <c r="N1645">
        <v>2.5</v>
      </c>
      <c r="O1645">
        <v>40</v>
      </c>
      <c r="P1645" s="2" t="s">
        <v>114</v>
      </c>
    </row>
    <row r="1646" spans="1:16" x14ac:dyDescent="0.25">
      <c r="A1646" s="2" t="s">
        <v>6007</v>
      </c>
      <c r="B1646" s="2" t="s">
        <v>6008</v>
      </c>
      <c r="C1646" s="2" t="s">
        <v>29</v>
      </c>
      <c r="D1646" s="2" t="s">
        <v>30</v>
      </c>
      <c r="E1646" s="2" t="s">
        <v>20</v>
      </c>
      <c r="F1646" s="2" t="s">
        <v>21</v>
      </c>
      <c r="G1646" s="2" t="s">
        <v>22</v>
      </c>
      <c r="H1646" s="2" t="s">
        <v>46</v>
      </c>
      <c r="I1646" s="2" t="s">
        <v>35</v>
      </c>
      <c r="J1646" s="2" t="s">
        <v>888</v>
      </c>
      <c r="K1646" s="2" t="s">
        <v>1119</v>
      </c>
      <c r="L1646">
        <v>3</v>
      </c>
      <c r="M1646" s="1">
        <v>668000</v>
      </c>
      <c r="N1646">
        <v>4.5999999999999996</v>
      </c>
      <c r="O1646">
        <v>7</v>
      </c>
      <c r="P1646" s="2" t="s">
        <v>72</v>
      </c>
    </row>
    <row r="1647" spans="1:16" x14ac:dyDescent="0.25">
      <c r="A1647" s="2" t="s">
        <v>6016</v>
      </c>
      <c r="B1647" s="2" t="s">
        <v>65</v>
      </c>
      <c r="C1647" s="2" t="s">
        <v>18</v>
      </c>
      <c r="D1647" s="2" t="s">
        <v>30</v>
      </c>
      <c r="E1647" s="2" t="s">
        <v>20</v>
      </c>
      <c r="F1647" s="2" t="s">
        <v>32</v>
      </c>
      <c r="G1647" s="2" t="s">
        <v>80</v>
      </c>
      <c r="H1647" s="2" t="s">
        <v>34</v>
      </c>
      <c r="I1647" s="2" t="s">
        <v>35</v>
      </c>
      <c r="J1647" s="2" t="s">
        <v>4880</v>
      </c>
      <c r="K1647" s="2" t="s">
        <v>1795</v>
      </c>
      <c r="L1647">
        <v>7</v>
      </c>
      <c r="M1647" s="1">
        <v>229000</v>
      </c>
      <c r="N1647">
        <v>2.7</v>
      </c>
      <c r="O1647">
        <v>27</v>
      </c>
      <c r="P1647" s="2" t="s">
        <v>26</v>
      </c>
    </row>
    <row r="1648" spans="1:16" x14ac:dyDescent="0.25">
      <c r="A1648" s="2" t="s">
        <v>6017</v>
      </c>
      <c r="B1648" s="2" t="s">
        <v>5881</v>
      </c>
      <c r="C1648" s="2" t="s">
        <v>18</v>
      </c>
      <c r="D1648" s="2" t="s">
        <v>50</v>
      </c>
      <c r="E1648" s="2" t="s">
        <v>20</v>
      </c>
      <c r="F1648" s="2" t="s">
        <v>32</v>
      </c>
      <c r="G1648" s="2" t="s">
        <v>22</v>
      </c>
      <c r="H1648" s="2" t="s">
        <v>62</v>
      </c>
      <c r="I1648" s="2" t="s">
        <v>35</v>
      </c>
      <c r="J1648" s="2" t="s">
        <v>6018</v>
      </c>
      <c r="K1648" s="2" t="s">
        <v>1795</v>
      </c>
      <c r="L1648">
        <v>7</v>
      </c>
      <c r="M1648" s="1">
        <v>343000</v>
      </c>
      <c r="N1648">
        <v>3.7</v>
      </c>
      <c r="O1648">
        <v>4</v>
      </c>
      <c r="P1648" s="2" t="s">
        <v>53</v>
      </c>
    </row>
    <row r="1649" spans="1:16" x14ac:dyDescent="0.25">
      <c r="A1649" s="2" t="s">
        <v>6019</v>
      </c>
      <c r="B1649" s="2" t="s">
        <v>6020</v>
      </c>
      <c r="C1649" s="2" t="s">
        <v>18</v>
      </c>
      <c r="D1649" s="2" t="s">
        <v>30</v>
      </c>
      <c r="E1649" s="2" t="s">
        <v>44</v>
      </c>
      <c r="F1649" s="2" t="s">
        <v>39</v>
      </c>
      <c r="G1649" s="2" t="s">
        <v>22</v>
      </c>
      <c r="H1649" s="2" t="s">
        <v>34</v>
      </c>
      <c r="I1649" s="2" t="s">
        <v>35</v>
      </c>
      <c r="J1649" s="2" t="s">
        <v>1115</v>
      </c>
      <c r="K1649" s="2" t="s">
        <v>2024</v>
      </c>
      <c r="L1649">
        <v>3</v>
      </c>
      <c r="M1649" s="1">
        <v>103000</v>
      </c>
      <c r="N1649">
        <v>2.9</v>
      </c>
      <c r="O1649">
        <v>3</v>
      </c>
      <c r="P1649" s="2" t="s">
        <v>72</v>
      </c>
    </row>
    <row r="1650" spans="1:16" x14ac:dyDescent="0.25">
      <c r="A1650" s="2" t="s">
        <v>6023</v>
      </c>
      <c r="B1650" s="2" t="s">
        <v>966</v>
      </c>
      <c r="C1650" s="2" t="s">
        <v>18</v>
      </c>
      <c r="D1650" s="2" t="s">
        <v>50</v>
      </c>
      <c r="E1650" s="2" t="s">
        <v>20</v>
      </c>
      <c r="F1650" s="2" t="s">
        <v>39</v>
      </c>
      <c r="G1650" s="2" t="s">
        <v>22</v>
      </c>
      <c r="H1650" s="2" t="s">
        <v>34</v>
      </c>
      <c r="I1650" s="2" t="s">
        <v>57</v>
      </c>
      <c r="J1650" s="2" t="s">
        <v>148</v>
      </c>
      <c r="K1650" s="2" t="s">
        <v>452</v>
      </c>
      <c r="L1650">
        <v>6</v>
      </c>
      <c r="M1650" s="1">
        <v>179000</v>
      </c>
      <c r="N1650">
        <v>4.0999999999999996</v>
      </c>
      <c r="O1650">
        <v>40</v>
      </c>
      <c r="P1650" s="2" t="s">
        <v>53</v>
      </c>
    </row>
    <row r="1651" spans="1:16" x14ac:dyDescent="0.25">
      <c r="A1651" s="2" t="s">
        <v>6025</v>
      </c>
      <c r="B1651" s="2" t="s">
        <v>6026</v>
      </c>
      <c r="C1651" s="2" t="s">
        <v>18</v>
      </c>
      <c r="D1651" s="2" t="s">
        <v>50</v>
      </c>
      <c r="E1651" s="2" t="s">
        <v>20</v>
      </c>
      <c r="F1651" s="2" t="s">
        <v>32</v>
      </c>
      <c r="G1651" s="2" t="s">
        <v>80</v>
      </c>
      <c r="H1651" s="2" t="s">
        <v>46</v>
      </c>
      <c r="I1651" s="2" t="s">
        <v>171</v>
      </c>
      <c r="J1651" s="2" t="s">
        <v>5329</v>
      </c>
      <c r="K1651" s="2" t="s">
        <v>2548</v>
      </c>
      <c r="L1651">
        <v>4</v>
      </c>
      <c r="M1651" s="1">
        <v>223000</v>
      </c>
      <c r="N1651">
        <v>4.7</v>
      </c>
      <c r="O1651">
        <v>1</v>
      </c>
      <c r="P1651" s="2" t="s">
        <v>72</v>
      </c>
    </row>
    <row r="1652" spans="1:16" x14ac:dyDescent="0.25">
      <c r="A1652" s="2" t="s">
        <v>6027</v>
      </c>
      <c r="B1652" s="2" t="s">
        <v>4150</v>
      </c>
      <c r="C1652" s="2" t="s">
        <v>29</v>
      </c>
      <c r="D1652" s="2" t="s">
        <v>43</v>
      </c>
      <c r="E1652" s="2" t="s">
        <v>31</v>
      </c>
      <c r="F1652" s="2" t="s">
        <v>39</v>
      </c>
      <c r="G1652" s="2" t="s">
        <v>22</v>
      </c>
      <c r="H1652" s="2" t="s">
        <v>46</v>
      </c>
      <c r="I1652" s="2" t="s">
        <v>57</v>
      </c>
      <c r="J1652" s="2" t="s">
        <v>6028</v>
      </c>
      <c r="K1652" s="2" t="s">
        <v>3568</v>
      </c>
      <c r="L1652">
        <v>5</v>
      </c>
      <c r="M1652" s="1">
        <v>93000</v>
      </c>
      <c r="N1652">
        <v>2.6</v>
      </c>
      <c r="O1652">
        <v>7</v>
      </c>
      <c r="P1652" s="2" t="s">
        <v>26</v>
      </c>
    </row>
    <row r="1653" spans="1:16" x14ac:dyDescent="0.25">
      <c r="A1653" s="2" t="s">
        <v>6029</v>
      </c>
      <c r="B1653" s="2" t="s">
        <v>2070</v>
      </c>
      <c r="C1653" s="2" t="s">
        <v>18</v>
      </c>
      <c r="D1653" s="2" t="s">
        <v>30</v>
      </c>
      <c r="E1653" s="2" t="s">
        <v>20</v>
      </c>
      <c r="F1653" s="2" t="s">
        <v>32</v>
      </c>
      <c r="G1653" s="2" t="s">
        <v>33</v>
      </c>
      <c r="H1653" s="2" t="s">
        <v>34</v>
      </c>
      <c r="I1653" s="2" t="s">
        <v>75</v>
      </c>
      <c r="J1653" s="2" t="s">
        <v>387</v>
      </c>
      <c r="K1653" s="2" t="s">
        <v>3568</v>
      </c>
      <c r="L1653">
        <v>5</v>
      </c>
      <c r="M1653" s="1">
        <v>221000</v>
      </c>
      <c r="N1653">
        <v>3</v>
      </c>
      <c r="O1653">
        <v>8</v>
      </c>
      <c r="P1653" s="2" t="s">
        <v>26</v>
      </c>
    </row>
    <row r="1654" spans="1:16" x14ac:dyDescent="0.25">
      <c r="A1654" s="2" t="s">
        <v>6030</v>
      </c>
      <c r="B1654" s="2" t="s">
        <v>6031</v>
      </c>
      <c r="C1654" s="2" t="s">
        <v>29</v>
      </c>
      <c r="D1654" s="2" t="s">
        <v>79</v>
      </c>
      <c r="E1654" s="2" t="s">
        <v>20</v>
      </c>
      <c r="F1654" s="2" t="s">
        <v>21</v>
      </c>
      <c r="G1654" s="2" t="s">
        <v>80</v>
      </c>
      <c r="H1654" s="2" t="s">
        <v>34</v>
      </c>
      <c r="I1654" s="2" t="s">
        <v>24</v>
      </c>
      <c r="J1654" s="2" t="s">
        <v>2606</v>
      </c>
      <c r="K1654" s="2" t="s">
        <v>3568</v>
      </c>
      <c r="L1654">
        <v>2</v>
      </c>
      <c r="M1654" s="1">
        <v>937000</v>
      </c>
      <c r="N1654">
        <v>5</v>
      </c>
      <c r="O1654">
        <v>12</v>
      </c>
      <c r="P1654" s="2" t="s">
        <v>26</v>
      </c>
    </row>
    <row r="1655" spans="1:16" x14ac:dyDescent="0.25">
      <c r="A1655" s="2" t="s">
        <v>6034</v>
      </c>
      <c r="B1655" s="2" t="s">
        <v>6035</v>
      </c>
      <c r="C1655" s="2" t="s">
        <v>29</v>
      </c>
      <c r="D1655" s="2" t="s">
        <v>30</v>
      </c>
      <c r="E1655" s="2" t="s">
        <v>31</v>
      </c>
      <c r="F1655" s="2" t="s">
        <v>39</v>
      </c>
      <c r="G1655" s="2" t="s">
        <v>22</v>
      </c>
      <c r="H1655" s="2" t="s">
        <v>46</v>
      </c>
      <c r="I1655" s="2" t="s">
        <v>57</v>
      </c>
      <c r="J1655" s="2" t="s">
        <v>2426</v>
      </c>
      <c r="K1655" s="2" t="s">
        <v>3568</v>
      </c>
      <c r="L1655">
        <v>6</v>
      </c>
      <c r="M1655" s="1">
        <v>105000</v>
      </c>
      <c r="N1655">
        <v>3.4</v>
      </c>
      <c r="O1655">
        <v>5</v>
      </c>
      <c r="P1655" s="2" t="s">
        <v>26</v>
      </c>
    </row>
    <row r="1656" spans="1:16" x14ac:dyDescent="0.25">
      <c r="A1656" s="2" t="s">
        <v>6039</v>
      </c>
      <c r="B1656" s="2" t="s">
        <v>6040</v>
      </c>
      <c r="C1656" s="2" t="s">
        <v>18</v>
      </c>
      <c r="D1656" s="2" t="s">
        <v>19</v>
      </c>
      <c r="E1656" s="2" t="s">
        <v>20</v>
      </c>
      <c r="F1656" s="2" t="s">
        <v>32</v>
      </c>
      <c r="G1656" s="2" t="s">
        <v>22</v>
      </c>
      <c r="H1656" s="2" t="s">
        <v>34</v>
      </c>
      <c r="I1656" s="2" t="s">
        <v>57</v>
      </c>
      <c r="J1656" s="2" t="s">
        <v>5006</v>
      </c>
      <c r="K1656" s="2" t="s">
        <v>3568</v>
      </c>
      <c r="L1656">
        <v>5</v>
      </c>
      <c r="M1656" s="1">
        <v>259000</v>
      </c>
      <c r="N1656">
        <v>3.8</v>
      </c>
      <c r="O1656">
        <v>10</v>
      </c>
      <c r="P1656" s="2" t="s">
        <v>26</v>
      </c>
    </row>
    <row r="1657" spans="1:16" x14ac:dyDescent="0.25">
      <c r="A1657" s="2" t="s">
        <v>6043</v>
      </c>
      <c r="B1657" s="2" t="s">
        <v>1915</v>
      </c>
      <c r="C1657" s="2" t="s">
        <v>29</v>
      </c>
      <c r="D1657" s="2" t="s">
        <v>79</v>
      </c>
      <c r="E1657" s="2" t="s">
        <v>44</v>
      </c>
      <c r="F1657" s="2" t="s">
        <v>128</v>
      </c>
      <c r="G1657" s="2" t="s">
        <v>22</v>
      </c>
      <c r="H1657" s="2" t="s">
        <v>62</v>
      </c>
      <c r="I1657" s="2" t="s">
        <v>75</v>
      </c>
      <c r="J1657" s="2" t="s">
        <v>1488</v>
      </c>
      <c r="K1657" s="2" t="s">
        <v>3568</v>
      </c>
      <c r="L1657">
        <v>3</v>
      </c>
      <c r="M1657" s="1">
        <v>517000</v>
      </c>
      <c r="N1657">
        <v>4.2</v>
      </c>
      <c r="O1657">
        <v>16</v>
      </c>
      <c r="P1657" s="2" t="s">
        <v>26</v>
      </c>
    </row>
    <row r="1658" spans="1:16" x14ac:dyDescent="0.25">
      <c r="A1658" s="2" t="s">
        <v>6045</v>
      </c>
      <c r="B1658" s="2" t="s">
        <v>2493</v>
      </c>
      <c r="C1658" s="2" t="s">
        <v>18</v>
      </c>
      <c r="D1658" s="2" t="s">
        <v>50</v>
      </c>
      <c r="E1658" s="2" t="s">
        <v>20</v>
      </c>
      <c r="F1658" s="2" t="s">
        <v>128</v>
      </c>
      <c r="G1658" s="2" t="s">
        <v>33</v>
      </c>
      <c r="H1658" s="2" t="s">
        <v>23</v>
      </c>
      <c r="I1658" s="2" t="s">
        <v>171</v>
      </c>
      <c r="J1658" s="2" t="s">
        <v>6046</v>
      </c>
      <c r="K1658" s="2" t="s">
        <v>3568</v>
      </c>
      <c r="L1658">
        <v>4</v>
      </c>
      <c r="M1658" s="1">
        <v>508000</v>
      </c>
      <c r="N1658">
        <v>4.2</v>
      </c>
      <c r="O1658">
        <v>5</v>
      </c>
      <c r="P1658" s="2" t="s">
        <v>53</v>
      </c>
    </row>
    <row r="1659" spans="1:16" x14ac:dyDescent="0.25">
      <c r="A1659" s="2" t="s">
        <v>6047</v>
      </c>
      <c r="B1659" s="2" t="s">
        <v>582</v>
      </c>
      <c r="C1659" s="2" t="s">
        <v>18</v>
      </c>
      <c r="D1659" s="2" t="s">
        <v>50</v>
      </c>
      <c r="E1659" s="2" t="s">
        <v>31</v>
      </c>
      <c r="F1659" s="2" t="s">
        <v>21</v>
      </c>
      <c r="G1659" s="2" t="s">
        <v>22</v>
      </c>
      <c r="H1659" s="2" t="s">
        <v>23</v>
      </c>
      <c r="I1659" s="2" t="s">
        <v>57</v>
      </c>
      <c r="J1659" s="2" t="s">
        <v>6048</v>
      </c>
      <c r="K1659" s="2" t="s">
        <v>2381</v>
      </c>
      <c r="L1659">
        <v>5</v>
      </c>
      <c r="M1659" s="1">
        <v>632000</v>
      </c>
      <c r="N1659">
        <v>4.2</v>
      </c>
      <c r="O1659">
        <v>11</v>
      </c>
      <c r="P1659" s="2" t="s">
        <v>26</v>
      </c>
    </row>
    <row r="1660" spans="1:16" x14ac:dyDescent="0.25">
      <c r="A1660" s="2" t="s">
        <v>6049</v>
      </c>
      <c r="B1660" s="2" t="s">
        <v>2011</v>
      </c>
      <c r="C1660" s="2" t="s">
        <v>18</v>
      </c>
      <c r="D1660" s="2" t="s">
        <v>43</v>
      </c>
      <c r="E1660" s="2" t="s">
        <v>20</v>
      </c>
      <c r="F1660" s="2" t="s">
        <v>21</v>
      </c>
      <c r="G1660" s="2" t="s">
        <v>80</v>
      </c>
      <c r="H1660" s="2" t="s">
        <v>34</v>
      </c>
      <c r="I1660" s="2" t="s">
        <v>24</v>
      </c>
      <c r="J1660" s="2" t="s">
        <v>231</v>
      </c>
      <c r="K1660" s="2" t="s">
        <v>2381</v>
      </c>
      <c r="L1660">
        <v>6</v>
      </c>
      <c r="M1660" s="1">
        <v>799000</v>
      </c>
      <c r="N1660">
        <v>4.7</v>
      </c>
      <c r="O1660">
        <v>12</v>
      </c>
      <c r="P1660" s="2" t="s">
        <v>114</v>
      </c>
    </row>
    <row r="1661" spans="1:16" x14ac:dyDescent="0.25">
      <c r="A1661" s="2" t="s">
        <v>6053</v>
      </c>
      <c r="B1661" s="2" t="s">
        <v>6054</v>
      </c>
      <c r="C1661" s="2" t="s">
        <v>18</v>
      </c>
      <c r="D1661" s="2" t="s">
        <v>30</v>
      </c>
      <c r="E1661" s="2" t="s">
        <v>20</v>
      </c>
      <c r="F1661" s="2" t="s">
        <v>32</v>
      </c>
      <c r="G1661" s="2" t="s">
        <v>80</v>
      </c>
      <c r="H1661" s="2" t="s">
        <v>23</v>
      </c>
      <c r="I1661" s="2" t="s">
        <v>57</v>
      </c>
      <c r="J1661" s="2" t="s">
        <v>6055</v>
      </c>
      <c r="K1661" s="2" t="s">
        <v>1471</v>
      </c>
      <c r="L1661">
        <v>3</v>
      </c>
      <c r="M1661" s="1">
        <v>263000</v>
      </c>
      <c r="N1661">
        <v>2.7</v>
      </c>
      <c r="O1661">
        <v>2</v>
      </c>
      <c r="P1661" s="2" t="s">
        <v>26</v>
      </c>
    </row>
    <row r="1662" spans="1:16" x14ac:dyDescent="0.25">
      <c r="A1662" s="2" t="s">
        <v>6060</v>
      </c>
      <c r="B1662" s="2" t="s">
        <v>6061</v>
      </c>
      <c r="C1662" s="2" t="s">
        <v>18</v>
      </c>
      <c r="D1662" s="2" t="s">
        <v>79</v>
      </c>
      <c r="E1662" s="2" t="s">
        <v>20</v>
      </c>
      <c r="F1662" s="2" t="s">
        <v>32</v>
      </c>
      <c r="G1662" s="2" t="s">
        <v>22</v>
      </c>
      <c r="H1662" s="2" t="s">
        <v>23</v>
      </c>
      <c r="I1662" s="2" t="s">
        <v>35</v>
      </c>
      <c r="J1662" s="2" t="s">
        <v>673</v>
      </c>
      <c r="K1662" s="2" t="s">
        <v>1471</v>
      </c>
      <c r="L1662">
        <v>5</v>
      </c>
      <c r="M1662" s="1">
        <v>242000</v>
      </c>
      <c r="N1662">
        <v>3.5</v>
      </c>
      <c r="O1662">
        <v>11</v>
      </c>
      <c r="P1662" s="2" t="s">
        <v>53</v>
      </c>
    </row>
    <row r="1663" spans="1:16" x14ac:dyDescent="0.25">
      <c r="A1663" s="2" t="s">
        <v>6062</v>
      </c>
      <c r="B1663" s="2" t="s">
        <v>3069</v>
      </c>
      <c r="C1663" s="2" t="s">
        <v>29</v>
      </c>
      <c r="D1663" s="2" t="s">
        <v>79</v>
      </c>
      <c r="E1663" s="2" t="s">
        <v>20</v>
      </c>
      <c r="F1663" s="2" t="s">
        <v>45</v>
      </c>
      <c r="G1663" s="2" t="s">
        <v>33</v>
      </c>
      <c r="H1663" s="2" t="s">
        <v>23</v>
      </c>
      <c r="I1663" s="2" t="s">
        <v>75</v>
      </c>
      <c r="J1663" s="2" t="s">
        <v>568</v>
      </c>
      <c r="K1663" s="2" t="s">
        <v>872</v>
      </c>
      <c r="L1663">
        <v>5</v>
      </c>
      <c r="M1663" s="1">
        <v>1596000</v>
      </c>
      <c r="N1663">
        <v>4.0999999999999996</v>
      </c>
      <c r="O1663">
        <v>13</v>
      </c>
      <c r="P1663" s="2" t="s">
        <v>114</v>
      </c>
    </row>
    <row r="1664" spans="1:16" x14ac:dyDescent="0.25">
      <c r="A1664" s="2" t="s">
        <v>3388</v>
      </c>
      <c r="B1664" s="2" t="s">
        <v>3389</v>
      </c>
      <c r="C1664" s="2" t="s">
        <v>18</v>
      </c>
      <c r="D1664" s="2" t="s">
        <v>50</v>
      </c>
      <c r="E1664" s="2" t="s">
        <v>20</v>
      </c>
      <c r="F1664" s="2" t="s">
        <v>128</v>
      </c>
      <c r="G1664" s="2" t="s">
        <v>22</v>
      </c>
      <c r="H1664" s="2" t="s">
        <v>23</v>
      </c>
      <c r="I1664" s="2" t="s">
        <v>24</v>
      </c>
      <c r="J1664" s="2" t="s">
        <v>2751</v>
      </c>
      <c r="K1664" s="2" t="s">
        <v>3390</v>
      </c>
      <c r="L1664">
        <v>4</v>
      </c>
      <c r="M1664" s="1">
        <v>521000</v>
      </c>
      <c r="N1664">
        <v>3.1</v>
      </c>
      <c r="O1664">
        <v>4</v>
      </c>
      <c r="P1664" s="2" t="s">
        <v>114</v>
      </c>
    </row>
    <row r="1665" spans="1:16" x14ac:dyDescent="0.25">
      <c r="A1665" s="2" t="s">
        <v>6066</v>
      </c>
      <c r="B1665" s="2" t="s">
        <v>2294</v>
      </c>
      <c r="C1665" s="2" t="s">
        <v>29</v>
      </c>
      <c r="D1665" s="2" t="s">
        <v>79</v>
      </c>
      <c r="E1665" s="2" t="s">
        <v>20</v>
      </c>
      <c r="F1665" s="2" t="s">
        <v>128</v>
      </c>
      <c r="G1665" s="2" t="s">
        <v>33</v>
      </c>
      <c r="H1665" s="2" t="s">
        <v>62</v>
      </c>
      <c r="I1665" s="2" t="s">
        <v>57</v>
      </c>
      <c r="J1665" s="2" t="s">
        <v>3104</v>
      </c>
      <c r="K1665" s="2" t="s">
        <v>2554</v>
      </c>
      <c r="L1665">
        <v>6</v>
      </c>
      <c r="M1665" s="1">
        <v>393000</v>
      </c>
      <c r="N1665">
        <v>2.7</v>
      </c>
      <c r="O1665">
        <v>9</v>
      </c>
      <c r="P1665" s="2" t="s">
        <v>26</v>
      </c>
    </row>
    <row r="1666" spans="1:16" x14ac:dyDescent="0.25">
      <c r="A1666" s="2" t="s">
        <v>6068</v>
      </c>
      <c r="B1666" s="2" t="s">
        <v>6069</v>
      </c>
      <c r="C1666" s="2" t="s">
        <v>29</v>
      </c>
      <c r="D1666" s="2" t="s">
        <v>19</v>
      </c>
      <c r="E1666" s="2" t="s">
        <v>20</v>
      </c>
      <c r="F1666" s="2" t="s">
        <v>128</v>
      </c>
      <c r="G1666" s="2" t="s">
        <v>69</v>
      </c>
      <c r="H1666" s="2" t="s">
        <v>62</v>
      </c>
      <c r="I1666" s="2" t="s">
        <v>57</v>
      </c>
      <c r="J1666" s="2" t="s">
        <v>3782</v>
      </c>
      <c r="K1666" s="2" t="s">
        <v>2554</v>
      </c>
      <c r="L1666">
        <v>2</v>
      </c>
      <c r="M1666" s="1">
        <v>528000</v>
      </c>
      <c r="N1666">
        <v>3.2</v>
      </c>
      <c r="O1666">
        <v>38</v>
      </c>
      <c r="P1666" s="2" t="s">
        <v>53</v>
      </c>
    </row>
    <row r="1667" spans="1:16" x14ac:dyDescent="0.25">
      <c r="A1667" s="2" t="s">
        <v>6074</v>
      </c>
      <c r="B1667" s="2" t="s">
        <v>6075</v>
      </c>
      <c r="C1667" s="2" t="s">
        <v>18</v>
      </c>
      <c r="D1667" s="2" t="s">
        <v>79</v>
      </c>
      <c r="E1667" s="2" t="s">
        <v>20</v>
      </c>
      <c r="F1667" s="2" t="s">
        <v>39</v>
      </c>
      <c r="G1667" s="2" t="s">
        <v>22</v>
      </c>
      <c r="H1667" s="2" t="s">
        <v>23</v>
      </c>
      <c r="I1667" s="2" t="s">
        <v>24</v>
      </c>
      <c r="J1667" s="2" t="s">
        <v>3499</v>
      </c>
      <c r="K1667" s="2" t="s">
        <v>6078</v>
      </c>
      <c r="L1667">
        <v>2</v>
      </c>
      <c r="M1667" s="1">
        <v>112000</v>
      </c>
      <c r="N1667">
        <v>4</v>
      </c>
      <c r="O1667">
        <v>0</v>
      </c>
      <c r="P1667" s="2" t="s">
        <v>26</v>
      </c>
    </row>
    <row r="1668" spans="1:16" x14ac:dyDescent="0.25">
      <c r="A1668" s="2" t="s">
        <v>6076</v>
      </c>
      <c r="B1668" s="2" t="s">
        <v>4609</v>
      </c>
      <c r="C1668" s="2" t="s">
        <v>29</v>
      </c>
      <c r="D1668" s="2" t="s">
        <v>43</v>
      </c>
      <c r="E1668" s="2" t="s">
        <v>44</v>
      </c>
      <c r="F1668" s="2" t="s">
        <v>128</v>
      </c>
      <c r="G1668" s="2" t="s">
        <v>22</v>
      </c>
      <c r="H1668" s="2" t="s">
        <v>46</v>
      </c>
      <c r="I1668" s="2" t="s">
        <v>57</v>
      </c>
      <c r="J1668" s="2" t="s">
        <v>1795</v>
      </c>
      <c r="K1668" s="2" t="s">
        <v>6078</v>
      </c>
      <c r="L1668">
        <v>4</v>
      </c>
      <c r="M1668" s="1">
        <v>548000</v>
      </c>
      <c r="N1668">
        <v>4.4000000000000004</v>
      </c>
      <c r="O1668">
        <v>8</v>
      </c>
      <c r="P1668" s="2" t="s">
        <v>26</v>
      </c>
    </row>
    <row r="1669" spans="1:16" x14ac:dyDescent="0.25">
      <c r="A1669" s="2" t="s">
        <v>6077</v>
      </c>
      <c r="B1669" s="2" t="s">
        <v>4744</v>
      </c>
      <c r="C1669" s="2" t="s">
        <v>29</v>
      </c>
      <c r="D1669" s="2" t="s">
        <v>50</v>
      </c>
      <c r="E1669" s="2" t="s">
        <v>20</v>
      </c>
      <c r="F1669" s="2" t="s">
        <v>32</v>
      </c>
      <c r="G1669" s="2" t="s">
        <v>22</v>
      </c>
      <c r="H1669" s="2" t="s">
        <v>34</v>
      </c>
      <c r="I1669" s="2" t="s">
        <v>35</v>
      </c>
      <c r="J1669" s="2" t="s">
        <v>5657</v>
      </c>
      <c r="K1669" s="2" t="s">
        <v>6078</v>
      </c>
      <c r="L1669">
        <v>5</v>
      </c>
      <c r="M1669" s="1">
        <v>301000</v>
      </c>
      <c r="N1669">
        <v>2.6</v>
      </c>
      <c r="O1669">
        <v>22</v>
      </c>
      <c r="P1669" s="2" t="s">
        <v>114</v>
      </c>
    </row>
    <row r="1670" spans="1:16" x14ac:dyDescent="0.25">
      <c r="A1670" s="2" t="s">
        <v>6080</v>
      </c>
      <c r="B1670" s="2" t="s">
        <v>4482</v>
      </c>
      <c r="C1670" s="2" t="s">
        <v>29</v>
      </c>
      <c r="D1670" s="2" t="s">
        <v>30</v>
      </c>
      <c r="E1670" s="2" t="s">
        <v>31</v>
      </c>
      <c r="F1670" s="2" t="s">
        <v>32</v>
      </c>
      <c r="G1670" s="2" t="s">
        <v>22</v>
      </c>
      <c r="H1670" s="2" t="s">
        <v>23</v>
      </c>
      <c r="I1670" s="2" t="s">
        <v>24</v>
      </c>
      <c r="J1670" s="2" t="s">
        <v>3532</v>
      </c>
      <c r="K1670" s="2" t="s">
        <v>6081</v>
      </c>
      <c r="L1670">
        <v>6</v>
      </c>
      <c r="M1670" s="1">
        <v>298000</v>
      </c>
      <c r="N1670">
        <v>2.1</v>
      </c>
      <c r="O1670">
        <v>9</v>
      </c>
      <c r="P1670" s="2" t="s">
        <v>53</v>
      </c>
    </row>
    <row r="1671" spans="1:16" x14ac:dyDescent="0.25">
      <c r="A1671" s="2" t="s">
        <v>6082</v>
      </c>
      <c r="B1671" s="2" t="s">
        <v>1374</v>
      </c>
      <c r="C1671" s="2" t="s">
        <v>18</v>
      </c>
      <c r="D1671" s="2" t="s">
        <v>30</v>
      </c>
      <c r="E1671" s="2" t="s">
        <v>20</v>
      </c>
      <c r="F1671" s="2" t="s">
        <v>32</v>
      </c>
      <c r="G1671" s="2" t="s">
        <v>33</v>
      </c>
      <c r="H1671" s="2" t="s">
        <v>46</v>
      </c>
      <c r="I1671" s="2" t="s">
        <v>171</v>
      </c>
      <c r="J1671" s="2" t="s">
        <v>4166</v>
      </c>
      <c r="K1671" s="2" t="s">
        <v>3953</v>
      </c>
      <c r="L1671">
        <v>6</v>
      </c>
      <c r="M1671" s="1">
        <v>289000</v>
      </c>
      <c r="N1671">
        <v>3.2</v>
      </c>
      <c r="O1671">
        <v>12</v>
      </c>
      <c r="P1671" s="2" t="s">
        <v>53</v>
      </c>
    </row>
    <row r="1672" spans="1:16" x14ac:dyDescent="0.25">
      <c r="A1672" s="2" t="s">
        <v>6083</v>
      </c>
      <c r="B1672" s="2" t="s">
        <v>4542</v>
      </c>
      <c r="C1672" s="2" t="s">
        <v>18</v>
      </c>
      <c r="D1672" s="2" t="s">
        <v>79</v>
      </c>
      <c r="E1672" s="2" t="s">
        <v>20</v>
      </c>
      <c r="F1672" s="2" t="s">
        <v>39</v>
      </c>
      <c r="G1672" s="2" t="s">
        <v>22</v>
      </c>
      <c r="H1672" s="2" t="s">
        <v>46</v>
      </c>
      <c r="I1672" s="2" t="s">
        <v>57</v>
      </c>
      <c r="J1672" s="2" t="s">
        <v>2809</v>
      </c>
      <c r="K1672" s="2" t="s">
        <v>5826</v>
      </c>
      <c r="L1672">
        <v>2</v>
      </c>
      <c r="M1672" s="1">
        <v>137000</v>
      </c>
      <c r="N1672">
        <v>4</v>
      </c>
      <c r="O1672">
        <v>8</v>
      </c>
      <c r="P1672" s="2" t="s">
        <v>26</v>
      </c>
    </row>
    <row r="1673" spans="1:16" x14ac:dyDescent="0.25">
      <c r="A1673" s="2" t="s">
        <v>6084</v>
      </c>
      <c r="B1673" s="2" t="s">
        <v>6085</v>
      </c>
      <c r="C1673" s="2" t="s">
        <v>29</v>
      </c>
      <c r="D1673" s="2" t="s">
        <v>43</v>
      </c>
      <c r="E1673" s="2" t="s">
        <v>20</v>
      </c>
      <c r="F1673" s="2" t="s">
        <v>128</v>
      </c>
      <c r="G1673" s="2" t="s">
        <v>80</v>
      </c>
      <c r="H1673" s="2" t="s">
        <v>23</v>
      </c>
      <c r="I1673" s="2" t="s">
        <v>24</v>
      </c>
      <c r="J1673" s="2" t="s">
        <v>6086</v>
      </c>
      <c r="K1673" s="2" t="s">
        <v>5826</v>
      </c>
      <c r="L1673">
        <v>2</v>
      </c>
      <c r="M1673" s="1">
        <v>464000</v>
      </c>
      <c r="N1673">
        <v>2.2000000000000002</v>
      </c>
      <c r="O1673">
        <v>36</v>
      </c>
      <c r="P1673" s="2" t="s">
        <v>53</v>
      </c>
    </row>
    <row r="1674" spans="1:16" x14ac:dyDescent="0.25">
      <c r="A1674" s="2" t="s">
        <v>6087</v>
      </c>
      <c r="B1674" s="2" t="s">
        <v>6088</v>
      </c>
      <c r="C1674" s="2" t="s">
        <v>18</v>
      </c>
      <c r="D1674" s="2" t="s">
        <v>30</v>
      </c>
      <c r="E1674" s="2" t="s">
        <v>20</v>
      </c>
      <c r="F1674" s="2" t="s">
        <v>32</v>
      </c>
      <c r="G1674" s="2" t="s">
        <v>33</v>
      </c>
      <c r="H1674" s="2" t="s">
        <v>46</v>
      </c>
      <c r="I1674" s="2" t="s">
        <v>75</v>
      </c>
      <c r="J1674" s="2" t="s">
        <v>487</v>
      </c>
      <c r="K1674" s="2" t="s">
        <v>6089</v>
      </c>
      <c r="L1674">
        <v>2</v>
      </c>
      <c r="M1674" s="1">
        <v>194000</v>
      </c>
      <c r="N1674">
        <v>3.3</v>
      </c>
      <c r="O1674">
        <v>3</v>
      </c>
      <c r="P1674" s="2" t="s">
        <v>53</v>
      </c>
    </row>
    <row r="1675" spans="1:16" x14ac:dyDescent="0.25">
      <c r="A1675" s="2" t="s">
        <v>6090</v>
      </c>
      <c r="B1675" s="2" t="s">
        <v>2996</v>
      </c>
      <c r="C1675" s="2" t="s">
        <v>18</v>
      </c>
      <c r="D1675" s="2" t="s">
        <v>50</v>
      </c>
      <c r="E1675" s="2" t="s">
        <v>44</v>
      </c>
      <c r="F1675" s="2" t="s">
        <v>32</v>
      </c>
      <c r="G1675" s="2" t="s">
        <v>33</v>
      </c>
      <c r="H1675" s="2" t="s">
        <v>34</v>
      </c>
      <c r="I1675" s="2" t="s">
        <v>35</v>
      </c>
      <c r="J1675" s="2" t="s">
        <v>208</v>
      </c>
      <c r="K1675" s="2" t="s">
        <v>202</v>
      </c>
      <c r="L1675">
        <v>6</v>
      </c>
      <c r="M1675" s="1">
        <v>260000</v>
      </c>
      <c r="N1675">
        <v>3.9</v>
      </c>
      <c r="O1675">
        <v>39</v>
      </c>
      <c r="P1675" s="2" t="s">
        <v>53</v>
      </c>
    </row>
    <row r="1676" spans="1:16" x14ac:dyDescent="0.25">
      <c r="A1676" s="2" t="s">
        <v>6094</v>
      </c>
      <c r="B1676" s="2" t="s">
        <v>2665</v>
      </c>
      <c r="C1676" s="2" t="s">
        <v>29</v>
      </c>
      <c r="D1676" s="2" t="s">
        <v>50</v>
      </c>
      <c r="E1676" s="2" t="s">
        <v>44</v>
      </c>
      <c r="F1676" s="2" t="s">
        <v>32</v>
      </c>
      <c r="G1676" s="2" t="s">
        <v>80</v>
      </c>
      <c r="H1676" s="2" t="s">
        <v>34</v>
      </c>
      <c r="I1676" s="2" t="s">
        <v>57</v>
      </c>
      <c r="J1676" s="2" t="s">
        <v>5714</v>
      </c>
      <c r="K1676" s="2" t="s">
        <v>5326</v>
      </c>
      <c r="L1676">
        <v>2</v>
      </c>
      <c r="M1676" s="1">
        <v>210000</v>
      </c>
      <c r="N1676">
        <v>3.6</v>
      </c>
      <c r="O1676">
        <v>12</v>
      </c>
      <c r="P1676" s="2" t="s">
        <v>53</v>
      </c>
    </row>
    <row r="1677" spans="1:16" x14ac:dyDescent="0.25">
      <c r="A1677" s="2" t="s">
        <v>6095</v>
      </c>
      <c r="B1677" s="2" t="s">
        <v>6096</v>
      </c>
      <c r="C1677" s="2" t="s">
        <v>29</v>
      </c>
      <c r="D1677" s="2" t="s">
        <v>30</v>
      </c>
      <c r="E1677" s="2" t="s">
        <v>31</v>
      </c>
      <c r="F1677" s="2" t="s">
        <v>39</v>
      </c>
      <c r="G1677" s="2" t="s">
        <v>22</v>
      </c>
      <c r="H1677" s="2" t="s">
        <v>23</v>
      </c>
      <c r="I1677" s="2" t="s">
        <v>24</v>
      </c>
      <c r="J1677" s="2" t="s">
        <v>2300</v>
      </c>
      <c r="K1677" s="2" t="s">
        <v>4781</v>
      </c>
      <c r="L1677">
        <v>3</v>
      </c>
      <c r="M1677" s="1">
        <v>105000</v>
      </c>
      <c r="N1677">
        <v>2</v>
      </c>
      <c r="O1677">
        <v>7</v>
      </c>
      <c r="P1677" s="2" t="s">
        <v>26</v>
      </c>
    </row>
    <row r="1678" spans="1:16" x14ac:dyDescent="0.25">
      <c r="A1678" s="2" t="s">
        <v>6097</v>
      </c>
      <c r="B1678" s="2" t="s">
        <v>1728</v>
      </c>
      <c r="C1678" s="2" t="s">
        <v>18</v>
      </c>
      <c r="D1678" s="2" t="s">
        <v>30</v>
      </c>
      <c r="E1678" s="2" t="s">
        <v>20</v>
      </c>
      <c r="F1678" s="2" t="s">
        <v>39</v>
      </c>
      <c r="G1678" s="2" t="s">
        <v>22</v>
      </c>
      <c r="H1678" s="2" t="s">
        <v>23</v>
      </c>
      <c r="I1678" s="2" t="s">
        <v>57</v>
      </c>
      <c r="J1678" s="2" t="s">
        <v>6098</v>
      </c>
      <c r="K1678" s="2" t="s">
        <v>4781</v>
      </c>
      <c r="L1678">
        <v>3</v>
      </c>
      <c r="M1678" s="1">
        <v>166000</v>
      </c>
      <c r="N1678">
        <v>3</v>
      </c>
      <c r="O1678">
        <v>4</v>
      </c>
      <c r="P1678" s="2" t="s">
        <v>53</v>
      </c>
    </row>
    <row r="1679" spans="1:16" x14ac:dyDescent="0.25">
      <c r="A1679" s="2" t="s">
        <v>6100</v>
      </c>
      <c r="B1679" s="2" t="s">
        <v>5460</v>
      </c>
      <c r="C1679" s="2" t="s">
        <v>29</v>
      </c>
      <c r="D1679" s="2" t="s">
        <v>30</v>
      </c>
      <c r="E1679" s="2" t="s">
        <v>31</v>
      </c>
      <c r="F1679" s="2" t="s">
        <v>39</v>
      </c>
      <c r="G1679" s="2" t="s">
        <v>33</v>
      </c>
      <c r="H1679" s="2" t="s">
        <v>23</v>
      </c>
      <c r="I1679" s="2" t="s">
        <v>24</v>
      </c>
      <c r="J1679" s="2" t="s">
        <v>4518</v>
      </c>
      <c r="K1679" s="2" t="s">
        <v>3305</v>
      </c>
      <c r="L1679">
        <v>5</v>
      </c>
      <c r="M1679" s="1">
        <v>171000</v>
      </c>
      <c r="N1679">
        <v>2.7</v>
      </c>
      <c r="O1679">
        <v>11</v>
      </c>
      <c r="P1679" s="2" t="s">
        <v>26</v>
      </c>
    </row>
    <row r="1680" spans="1:16" x14ac:dyDescent="0.25">
      <c r="A1680" s="2" t="s">
        <v>6102</v>
      </c>
      <c r="B1680" s="2" t="s">
        <v>6103</v>
      </c>
      <c r="C1680" s="2" t="s">
        <v>18</v>
      </c>
      <c r="D1680" s="2" t="s">
        <v>50</v>
      </c>
      <c r="E1680" s="2" t="s">
        <v>20</v>
      </c>
      <c r="F1680" s="2" t="s">
        <v>39</v>
      </c>
      <c r="G1680" s="2" t="s">
        <v>33</v>
      </c>
      <c r="H1680" s="2" t="s">
        <v>23</v>
      </c>
      <c r="I1680" s="2" t="s">
        <v>24</v>
      </c>
      <c r="J1680" s="2" t="s">
        <v>5961</v>
      </c>
      <c r="K1680" s="2" t="s">
        <v>3305</v>
      </c>
      <c r="L1680">
        <v>6</v>
      </c>
      <c r="M1680" s="1">
        <v>162000</v>
      </c>
      <c r="N1680">
        <v>2.9</v>
      </c>
      <c r="O1680">
        <v>9</v>
      </c>
      <c r="P1680" s="2" t="s">
        <v>26</v>
      </c>
    </row>
    <row r="1681" spans="1:16" x14ac:dyDescent="0.25">
      <c r="A1681" s="2" t="s">
        <v>6104</v>
      </c>
      <c r="B1681" s="2" t="s">
        <v>6105</v>
      </c>
      <c r="C1681" s="2" t="s">
        <v>18</v>
      </c>
      <c r="D1681" s="2" t="s">
        <v>50</v>
      </c>
      <c r="E1681" s="2" t="s">
        <v>20</v>
      </c>
      <c r="F1681" s="2" t="s">
        <v>32</v>
      </c>
      <c r="G1681" s="2" t="s">
        <v>80</v>
      </c>
      <c r="H1681" s="2" t="s">
        <v>23</v>
      </c>
      <c r="I1681" s="2" t="s">
        <v>35</v>
      </c>
      <c r="J1681" s="2" t="s">
        <v>3496</v>
      </c>
      <c r="K1681" s="2" t="s">
        <v>3305</v>
      </c>
      <c r="L1681">
        <v>6</v>
      </c>
      <c r="M1681" s="1">
        <v>244000</v>
      </c>
      <c r="N1681">
        <v>2.4</v>
      </c>
      <c r="O1681">
        <v>7</v>
      </c>
      <c r="P1681" s="2" t="s">
        <v>72</v>
      </c>
    </row>
    <row r="1682" spans="1:16" x14ac:dyDescent="0.25">
      <c r="A1682" s="2" t="s">
        <v>6106</v>
      </c>
      <c r="B1682" s="2" t="s">
        <v>2291</v>
      </c>
      <c r="C1682" s="2" t="s">
        <v>29</v>
      </c>
      <c r="D1682" s="2" t="s">
        <v>50</v>
      </c>
      <c r="E1682" s="2" t="s">
        <v>20</v>
      </c>
      <c r="F1682" s="2" t="s">
        <v>128</v>
      </c>
      <c r="G1682" s="2" t="s">
        <v>22</v>
      </c>
      <c r="H1682" s="2" t="s">
        <v>34</v>
      </c>
      <c r="I1682" s="2" t="s">
        <v>24</v>
      </c>
      <c r="J1682" s="2" t="s">
        <v>1243</v>
      </c>
      <c r="K1682" s="2" t="s">
        <v>4543</v>
      </c>
      <c r="L1682">
        <v>2</v>
      </c>
      <c r="M1682" s="1">
        <v>430000</v>
      </c>
      <c r="N1682">
        <v>2.7</v>
      </c>
      <c r="O1682">
        <v>24</v>
      </c>
      <c r="P1682" s="2" t="s">
        <v>26</v>
      </c>
    </row>
    <row r="1683" spans="1:16" x14ac:dyDescent="0.25">
      <c r="A1683" s="2" t="s">
        <v>6107</v>
      </c>
      <c r="B1683" s="2" t="s">
        <v>4674</v>
      </c>
      <c r="C1683" s="2" t="s">
        <v>18</v>
      </c>
      <c r="D1683" s="2" t="s">
        <v>50</v>
      </c>
      <c r="E1683" s="2" t="s">
        <v>20</v>
      </c>
      <c r="F1683" s="2" t="s">
        <v>39</v>
      </c>
      <c r="G1683" s="2" t="s">
        <v>33</v>
      </c>
      <c r="H1683" s="2" t="s">
        <v>46</v>
      </c>
      <c r="I1683" s="2" t="s">
        <v>24</v>
      </c>
      <c r="J1683" s="2" t="s">
        <v>5091</v>
      </c>
      <c r="K1683" s="2" t="s">
        <v>4543</v>
      </c>
      <c r="L1683">
        <v>3</v>
      </c>
      <c r="M1683" s="1">
        <v>118000</v>
      </c>
      <c r="N1683">
        <v>3.8</v>
      </c>
      <c r="O1683">
        <v>20</v>
      </c>
      <c r="P1683" s="2" t="s">
        <v>26</v>
      </c>
    </row>
    <row r="1684" spans="1:16" x14ac:dyDescent="0.25">
      <c r="A1684" s="2" t="s">
        <v>6108</v>
      </c>
      <c r="B1684" s="2" t="s">
        <v>1094</v>
      </c>
      <c r="C1684" s="2" t="s">
        <v>18</v>
      </c>
      <c r="D1684" s="2" t="s">
        <v>19</v>
      </c>
      <c r="E1684" s="2" t="s">
        <v>44</v>
      </c>
      <c r="F1684" s="2" t="s">
        <v>21</v>
      </c>
      <c r="G1684" s="2" t="s">
        <v>69</v>
      </c>
      <c r="H1684" s="2" t="s">
        <v>23</v>
      </c>
      <c r="I1684" s="2" t="s">
        <v>24</v>
      </c>
      <c r="J1684" s="2" t="s">
        <v>911</v>
      </c>
      <c r="K1684" s="2" t="s">
        <v>4543</v>
      </c>
      <c r="L1684">
        <v>3</v>
      </c>
      <c r="M1684" s="1">
        <v>941000</v>
      </c>
      <c r="N1684">
        <v>3.8</v>
      </c>
      <c r="O1684">
        <v>11</v>
      </c>
      <c r="P1684" s="2" t="s">
        <v>26</v>
      </c>
    </row>
    <row r="1685" spans="1:16" x14ac:dyDescent="0.25">
      <c r="A1685" s="2" t="s">
        <v>6109</v>
      </c>
      <c r="B1685" s="2" t="s">
        <v>6110</v>
      </c>
      <c r="C1685" s="2" t="s">
        <v>29</v>
      </c>
      <c r="D1685" s="2" t="s">
        <v>19</v>
      </c>
      <c r="E1685" s="2" t="s">
        <v>31</v>
      </c>
      <c r="F1685" s="2" t="s">
        <v>32</v>
      </c>
      <c r="G1685" s="2" t="s">
        <v>69</v>
      </c>
      <c r="H1685" s="2" t="s">
        <v>23</v>
      </c>
      <c r="I1685" s="2" t="s">
        <v>24</v>
      </c>
      <c r="J1685" s="2" t="s">
        <v>6111</v>
      </c>
      <c r="K1685" s="2" t="s">
        <v>4543</v>
      </c>
      <c r="L1685">
        <v>5</v>
      </c>
      <c r="M1685" s="1">
        <v>225000</v>
      </c>
      <c r="N1685">
        <v>3.5</v>
      </c>
      <c r="O1685">
        <v>3</v>
      </c>
      <c r="P1685" s="2" t="s">
        <v>72</v>
      </c>
    </row>
    <row r="1686" spans="1:16" x14ac:dyDescent="0.25">
      <c r="A1686" s="2" t="s">
        <v>6112</v>
      </c>
      <c r="B1686" s="2" t="s">
        <v>3406</v>
      </c>
      <c r="C1686" s="2" t="s">
        <v>18</v>
      </c>
      <c r="D1686" s="2" t="s">
        <v>19</v>
      </c>
      <c r="E1686" s="2" t="s">
        <v>20</v>
      </c>
      <c r="F1686" s="2" t="s">
        <v>128</v>
      </c>
      <c r="G1686" s="2" t="s">
        <v>22</v>
      </c>
      <c r="H1686" s="2" t="s">
        <v>46</v>
      </c>
      <c r="I1686" s="2" t="s">
        <v>35</v>
      </c>
      <c r="J1686" s="2" t="s">
        <v>6113</v>
      </c>
      <c r="K1686" s="2" t="s">
        <v>738</v>
      </c>
      <c r="L1686">
        <v>3</v>
      </c>
      <c r="M1686" s="1">
        <v>562000</v>
      </c>
      <c r="N1686">
        <v>3.2</v>
      </c>
      <c r="O1686">
        <v>0</v>
      </c>
      <c r="P1686" s="2" t="s">
        <v>26</v>
      </c>
    </row>
    <row r="1687" spans="1:16" x14ac:dyDescent="0.25">
      <c r="A1687" s="2" t="s">
        <v>6114</v>
      </c>
      <c r="B1687" s="2" t="s">
        <v>6115</v>
      </c>
      <c r="C1687" s="2" t="s">
        <v>29</v>
      </c>
      <c r="D1687" s="2" t="s">
        <v>30</v>
      </c>
      <c r="E1687" s="2" t="s">
        <v>20</v>
      </c>
      <c r="F1687" s="2" t="s">
        <v>39</v>
      </c>
      <c r="G1687" s="2" t="s">
        <v>22</v>
      </c>
      <c r="H1687" s="2" t="s">
        <v>23</v>
      </c>
      <c r="I1687" s="2" t="s">
        <v>35</v>
      </c>
      <c r="J1687" s="2" t="s">
        <v>1461</v>
      </c>
      <c r="K1687" s="2" t="s">
        <v>738</v>
      </c>
      <c r="L1687">
        <v>7</v>
      </c>
      <c r="M1687" s="1">
        <v>113000</v>
      </c>
      <c r="N1687">
        <v>1.9</v>
      </c>
      <c r="O1687">
        <v>24</v>
      </c>
      <c r="P1687" s="2" t="s">
        <v>53</v>
      </c>
    </row>
    <row r="1688" spans="1:16" x14ac:dyDescent="0.25">
      <c r="A1688" s="2" t="s">
        <v>6118</v>
      </c>
      <c r="B1688" s="2" t="s">
        <v>6119</v>
      </c>
      <c r="C1688" s="2" t="s">
        <v>18</v>
      </c>
      <c r="D1688" s="2" t="s">
        <v>30</v>
      </c>
      <c r="E1688" s="2" t="s">
        <v>20</v>
      </c>
      <c r="F1688" s="2" t="s">
        <v>32</v>
      </c>
      <c r="G1688" s="2" t="s">
        <v>80</v>
      </c>
      <c r="H1688" s="2" t="s">
        <v>23</v>
      </c>
      <c r="I1688" s="2" t="s">
        <v>57</v>
      </c>
      <c r="J1688" s="2" t="s">
        <v>6120</v>
      </c>
      <c r="K1688" s="2" t="s">
        <v>520</v>
      </c>
      <c r="L1688">
        <v>4</v>
      </c>
      <c r="M1688" s="1">
        <v>277000</v>
      </c>
      <c r="N1688">
        <v>2.2999999999999998</v>
      </c>
      <c r="O1688">
        <v>0</v>
      </c>
      <c r="P1688" s="2" t="s">
        <v>53</v>
      </c>
    </row>
    <row r="1689" spans="1:16" x14ac:dyDescent="0.25">
      <c r="A1689" s="2" t="s">
        <v>6125</v>
      </c>
      <c r="B1689" s="2" t="s">
        <v>6126</v>
      </c>
      <c r="C1689" s="2" t="s">
        <v>29</v>
      </c>
      <c r="D1689" s="2" t="s">
        <v>50</v>
      </c>
      <c r="E1689" s="2" t="s">
        <v>20</v>
      </c>
      <c r="F1689" s="2" t="s">
        <v>39</v>
      </c>
      <c r="G1689" s="2" t="s">
        <v>22</v>
      </c>
      <c r="H1689" s="2" t="s">
        <v>62</v>
      </c>
      <c r="I1689" s="2" t="s">
        <v>24</v>
      </c>
      <c r="J1689" s="2" t="s">
        <v>1336</v>
      </c>
      <c r="K1689" s="2" t="s">
        <v>5543</v>
      </c>
      <c r="L1689">
        <v>3</v>
      </c>
      <c r="M1689" s="1">
        <v>116000</v>
      </c>
      <c r="N1689">
        <v>2.2000000000000002</v>
      </c>
      <c r="O1689">
        <v>1</v>
      </c>
      <c r="P1689" s="2" t="s">
        <v>26</v>
      </c>
    </row>
    <row r="1690" spans="1:16" x14ac:dyDescent="0.25">
      <c r="A1690" s="2" t="s">
        <v>6127</v>
      </c>
      <c r="B1690" s="2" t="s">
        <v>6128</v>
      </c>
      <c r="C1690" s="2" t="s">
        <v>18</v>
      </c>
      <c r="D1690" s="2" t="s">
        <v>50</v>
      </c>
      <c r="E1690" s="2" t="s">
        <v>20</v>
      </c>
      <c r="F1690" s="2" t="s">
        <v>128</v>
      </c>
      <c r="G1690" s="2" t="s">
        <v>22</v>
      </c>
      <c r="H1690" s="2" t="s">
        <v>34</v>
      </c>
      <c r="I1690" s="2" t="s">
        <v>24</v>
      </c>
      <c r="J1690" s="2" t="s">
        <v>3953</v>
      </c>
      <c r="K1690" s="2" t="s">
        <v>5543</v>
      </c>
      <c r="L1690">
        <v>3</v>
      </c>
      <c r="M1690" s="1">
        <v>421000</v>
      </c>
      <c r="N1690">
        <v>3.7</v>
      </c>
      <c r="O1690">
        <v>4</v>
      </c>
      <c r="P1690" s="2" t="s">
        <v>26</v>
      </c>
    </row>
    <row r="1691" spans="1:16" x14ac:dyDescent="0.25">
      <c r="A1691" s="2" t="s">
        <v>6131</v>
      </c>
      <c r="B1691" s="2" t="s">
        <v>6132</v>
      </c>
      <c r="C1691" s="2" t="s">
        <v>18</v>
      </c>
      <c r="D1691" s="2" t="s">
        <v>43</v>
      </c>
      <c r="E1691" s="2" t="s">
        <v>20</v>
      </c>
      <c r="F1691" s="2" t="s">
        <v>39</v>
      </c>
      <c r="G1691" s="2" t="s">
        <v>80</v>
      </c>
      <c r="H1691" s="2" t="s">
        <v>34</v>
      </c>
      <c r="I1691" s="2" t="s">
        <v>24</v>
      </c>
      <c r="J1691" s="2" t="s">
        <v>2612</v>
      </c>
      <c r="K1691" s="2" t="s">
        <v>5543</v>
      </c>
      <c r="L1691">
        <v>7</v>
      </c>
      <c r="M1691" s="1">
        <v>111000</v>
      </c>
      <c r="N1691">
        <v>2.2000000000000002</v>
      </c>
      <c r="O1691">
        <v>6</v>
      </c>
      <c r="P1691" s="2" t="s">
        <v>26</v>
      </c>
    </row>
    <row r="1692" spans="1:16" x14ac:dyDescent="0.25">
      <c r="A1692" s="2" t="s">
        <v>6136</v>
      </c>
      <c r="B1692" s="2" t="s">
        <v>3378</v>
      </c>
      <c r="C1692" s="2" t="s">
        <v>18</v>
      </c>
      <c r="D1692" s="2" t="s">
        <v>50</v>
      </c>
      <c r="E1692" s="2" t="s">
        <v>31</v>
      </c>
      <c r="F1692" s="2" t="s">
        <v>128</v>
      </c>
      <c r="G1692" s="2" t="s">
        <v>22</v>
      </c>
      <c r="H1692" s="2" t="s">
        <v>46</v>
      </c>
      <c r="I1692" s="2" t="s">
        <v>24</v>
      </c>
      <c r="J1692" s="2" t="s">
        <v>560</v>
      </c>
      <c r="K1692" s="2" t="s">
        <v>5543</v>
      </c>
      <c r="L1692">
        <v>2</v>
      </c>
      <c r="M1692" s="1">
        <v>540000</v>
      </c>
      <c r="N1692">
        <v>4.4000000000000004</v>
      </c>
      <c r="O1692">
        <v>10</v>
      </c>
      <c r="P1692" s="2" t="s">
        <v>53</v>
      </c>
    </row>
    <row r="1693" spans="1:16" x14ac:dyDescent="0.25">
      <c r="A1693" s="2" t="s">
        <v>6138</v>
      </c>
      <c r="B1693" s="2" t="s">
        <v>1958</v>
      </c>
      <c r="C1693" s="2" t="s">
        <v>18</v>
      </c>
      <c r="D1693" s="2" t="s">
        <v>19</v>
      </c>
      <c r="E1693" s="2" t="s">
        <v>20</v>
      </c>
      <c r="F1693" s="2" t="s">
        <v>128</v>
      </c>
      <c r="G1693" s="2" t="s">
        <v>22</v>
      </c>
      <c r="H1693" s="2" t="s">
        <v>34</v>
      </c>
      <c r="I1693" s="2" t="s">
        <v>35</v>
      </c>
      <c r="J1693" s="2" t="s">
        <v>769</v>
      </c>
      <c r="K1693" s="2" t="s">
        <v>2135</v>
      </c>
      <c r="L1693">
        <v>4</v>
      </c>
      <c r="M1693" s="1">
        <v>512000</v>
      </c>
      <c r="N1693">
        <v>3.8</v>
      </c>
      <c r="O1693">
        <v>5</v>
      </c>
      <c r="P1693" s="2" t="s">
        <v>26</v>
      </c>
    </row>
    <row r="1694" spans="1:16" x14ac:dyDescent="0.25">
      <c r="A1694" s="2" t="s">
        <v>6141</v>
      </c>
      <c r="B1694" s="2" t="s">
        <v>2367</v>
      </c>
      <c r="C1694" s="2" t="s">
        <v>29</v>
      </c>
      <c r="D1694" s="2" t="s">
        <v>79</v>
      </c>
      <c r="E1694" s="2" t="s">
        <v>20</v>
      </c>
      <c r="F1694" s="2" t="s">
        <v>32</v>
      </c>
      <c r="G1694" s="2" t="s">
        <v>22</v>
      </c>
      <c r="H1694" s="2" t="s">
        <v>46</v>
      </c>
      <c r="I1694" s="2" t="s">
        <v>57</v>
      </c>
      <c r="J1694" s="2" t="s">
        <v>6142</v>
      </c>
      <c r="K1694" s="2" t="s">
        <v>2135</v>
      </c>
      <c r="L1694">
        <v>6</v>
      </c>
      <c r="M1694" s="1">
        <v>263000</v>
      </c>
      <c r="N1694">
        <v>4</v>
      </c>
      <c r="O1694">
        <v>9</v>
      </c>
      <c r="P1694" s="2" t="s">
        <v>114</v>
      </c>
    </row>
    <row r="1695" spans="1:16" x14ac:dyDescent="0.25">
      <c r="A1695" s="2" t="s">
        <v>6143</v>
      </c>
      <c r="B1695" s="2" t="s">
        <v>980</v>
      </c>
      <c r="C1695" s="2" t="s">
        <v>18</v>
      </c>
      <c r="D1695" s="2" t="s">
        <v>79</v>
      </c>
      <c r="E1695" s="2" t="s">
        <v>20</v>
      </c>
      <c r="F1695" s="2" t="s">
        <v>128</v>
      </c>
      <c r="G1695" s="2" t="s">
        <v>22</v>
      </c>
      <c r="H1695" s="2" t="s">
        <v>34</v>
      </c>
      <c r="I1695" s="2" t="s">
        <v>24</v>
      </c>
      <c r="J1695" s="2" t="s">
        <v>1732</v>
      </c>
      <c r="K1695" s="2" t="s">
        <v>4729</v>
      </c>
      <c r="L1695">
        <v>6</v>
      </c>
      <c r="M1695" s="1">
        <v>352000</v>
      </c>
      <c r="N1695">
        <v>4.8</v>
      </c>
      <c r="O1695">
        <v>0</v>
      </c>
      <c r="P1695" s="2" t="s">
        <v>26</v>
      </c>
    </row>
    <row r="1696" spans="1:16" x14ac:dyDescent="0.25">
      <c r="A1696" s="2" t="s">
        <v>6144</v>
      </c>
      <c r="B1696" s="2" t="s">
        <v>5079</v>
      </c>
      <c r="C1696" s="2" t="s">
        <v>29</v>
      </c>
      <c r="D1696" s="2" t="s">
        <v>30</v>
      </c>
      <c r="E1696" s="2" t="s">
        <v>20</v>
      </c>
      <c r="F1696" s="2" t="s">
        <v>32</v>
      </c>
      <c r="G1696" s="2" t="s">
        <v>80</v>
      </c>
      <c r="H1696" s="2" t="s">
        <v>46</v>
      </c>
      <c r="I1696" s="2" t="s">
        <v>24</v>
      </c>
      <c r="J1696" s="2" t="s">
        <v>2129</v>
      </c>
      <c r="K1696" s="2" t="s">
        <v>4729</v>
      </c>
      <c r="L1696">
        <v>2</v>
      </c>
      <c r="M1696" s="1">
        <v>348000</v>
      </c>
      <c r="N1696">
        <v>3</v>
      </c>
      <c r="O1696">
        <v>35</v>
      </c>
      <c r="P1696" s="2" t="s">
        <v>26</v>
      </c>
    </row>
    <row r="1697" spans="1:16" x14ac:dyDescent="0.25">
      <c r="A1697" s="2" t="s">
        <v>6145</v>
      </c>
      <c r="B1697" s="2" t="s">
        <v>2581</v>
      </c>
      <c r="C1697" s="2" t="s">
        <v>18</v>
      </c>
      <c r="D1697" s="2" t="s">
        <v>43</v>
      </c>
      <c r="E1697" s="2" t="s">
        <v>31</v>
      </c>
      <c r="F1697" s="2" t="s">
        <v>128</v>
      </c>
      <c r="G1697" s="2" t="s">
        <v>33</v>
      </c>
      <c r="H1697" s="2" t="s">
        <v>23</v>
      </c>
      <c r="I1697" s="2" t="s">
        <v>35</v>
      </c>
      <c r="J1697" s="2" t="s">
        <v>1497</v>
      </c>
      <c r="K1697" s="2" t="s">
        <v>4729</v>
      </c>
      <c r="L1697">
        <v>2</v>
      </c>
      <c r="M1697" s="1">
        <v>556000</v>
      </c>
      <c r="N1697">
        <v>3.1</v>
      </c>
      <c r="O1697">
        <v>14</v>
      </c>
      <c r="P1697" s="2" t="s">
        <v>26</v>
      </c>
    </row>
    <row r="1698" spans="1:16" x14ac:dyDescent="0.25">
      <c r="A1698" s="2" t="s">
        <v>6146</v>
      </c>
      <c r="B1698" s="2" t="s">
        <v>4001</v>
      </c>
      <c r="C1698" s="2" t="s">
        <v>18</v>
      </c>
      <c r="D1698" s="2" t="s">
        <v>19</v>
      </c>
      <c r="E1698" s="2" t="s">
        <v>20</v>
      </c>
      <c r="F1698" s="2" t="s">
        <v>32</v>
      </c>
      <c r="G1698" s="2" t="s">
        <v>80</v>
      </c>
      <c r="H1698" s="2" t="s">
        <v>46</v>
      </c>
      <c r="I1698" s="2" t="s">
        <v>35</v>
      </c>
      <c r="J1698" s="2" t="s">
        <v>4096</v>
      </c>
      <c r="K1698" s="2" t="s">
        <v>4729</v>
      </c>
      <c r="L1698">
        <v>7</v>
      </c>
      <c r="M1698" s="1">
        <v>216000</v>
      </c>
      <c r="N1698">
        <v>3.2</v>
      </c>
      <c r="O1698">
        <v>6</v>
      </c>
      <c r="P1698" s="2" t="s">
        <v>53</v>
      </c>
    </row>
    <row r="1699" spans="1:16" x14ac:dyDescent="0.25">
      <c r="A1699" s="2" t="s">
        <v>6147</v>
      </c>
      <c r="B1699" s="2" t="s">
        <v>6148</v>
      </c>
      <c r="C1699" s="2" t="s">
        <v>18</v>
      </c>
      <c r="D1699" s="2" t="s">
        <v>19</v>
      </c>
      <c r="E1699" s="2" t="s">
        <v>20</v>
      </c>
      <c r="F1699" s="2" t="s">
        <v>32</v>
      </c>
      <c r="G1699" s="2" t="s">
        <v>22</v>
      </c>
      <c r="H1699" s="2" t="s">
        <v>62</v>
      </c>
      <c r="I1699" s="2" t="s">
        <v>57</v>
      </c>
      <c r="J1699" s="2" t="s">
        <v>5642</v>
      </c>
      <c r="K1699" s="2" t="s">
        <v>1285</v>
      </c>
      <c r="L1699">
        <v>5</v>
      </c>
      <c r="M1699" s="1">
        <v>325000</v>
      </c>
      <c r="N1699">
        <v>2</v>
      </c>
      <c r="O1699">
        <v>7</v>
      </c>
      <c r="P1699" s="2" t="s">
        <v>26</v>
      </c>
    </row>
    <row r="1700" spans="1:16" x14ac:dyDescent="0.25">
      <c r="A1700" s="2" t="s">
        <v>6151</v>
      </c>
      <c r="B1700" s="2" t="s">
        <v>5569</v>
      </c>
      <c r="C1700" s="2" t="s">
        <v>29</v>
      </c>
      <c r="D1700" s="2" t="s">
        <v>79</v>
      </c>
      <c r="E1700" s="2" t="s">
        <v>20</v>
      </c>
      <c r="F1700" s="2" t="s">
        <v>32</v>
      </c>
      <c r="G1700" s="2" t="s">
        <v>22</v>
      </c>
      <c r="H1700" s="2" t="s">
        <v>23</v>
      </c>
      <c r="I1700" s="2" t="s">
        <v>24</v>
      </c>
      <c r="J1700" s="2" t="s">
        <v>2681</v>
      </c>
      <c r="K1700" s="2" t="s">
        <v>1285</v>
      </c>
      <c r="L1700">
        <v>2</v>
      </c>
      <c r="M1700" s="1">
        <v>255000</v>
      </c>
      <c r="N1700">
        <v>3.8</v>
      </c>
      <c r="O1700">
        <v>2</v>
      </c>
      <c r="P1700" s="2" t="s">
        <v>26</v>
      </c>
    </row>
    <row r="1701" spans="1:16" x14ac:dyDescent="0.25">
      <c r="A1701" s="2" t="s">
        <v>6152</v>
      </c>
      <c r="B1701" s="2" t="s">
        <v>3187</v>
      </c>
      <c r="C1701" s="2" t="s">
        <v>29</v>
      </c>
      <c r="D1701" s="2" t="s">
        <v>79</v>
      </c>
      <c r="E1701" s="2" t="s">
        <v>20</v>
      </c>
      <c r="F1701" s="2" t="s">
        <v>128</v>
      </c>
      <c r="G1701" s="2" t="s">
        <v>22</v>
      </c>
      <c r="H1701" s="2" t="s">
        <v>46</v>
      </c>
      <c r="I1701" s="2" t="s">
        <v>24</v>
      </c>
      <c r="J1701" s="2" t="s">
        <v>3256</v>
      </c>
      <c r="K1701" s="2" t="s">
        <v>1285</v>
      </c>
      <c r="L1701">
        <v>3</v>
      </c>
      <c r="M1701" s="1">
        <v>547000</v>
      </c>
      <c r="N1701">
        <v>3.6</v>
      </c>
      <c r="O1701">
        <v>10</v>
      </c>
      <c r="P1701" s="2" t="s">
        <v>53</v>
      </c>
    </row>
    <row r="1702" spans="1:16" x14ac:dyDescent="0.25">
      <c r="A1702" s="2" t="s">
        <v>6153</v>
      </c>
      <c r="B1702" s="2" t="s">
        <v>6154</v>
      </c>
      <c r="C1702" s="2" t="s">
        <v>29</v>
      </c>
      <c r="D1702" s="2" t="s">
        <v>43</v>
      </c>
      <c r="E1702" s="2" t="s">
        <v>20</v>
      </c>
      <c r="F1702" s="2" t="s">
        <v>32</v>
      </c>
      <c r="G1702" s="2" t="s">
        <v>22</v>
      </c>
      <c r="H1702" s="2" t="s">
        <v>23</v>
      </c>
      <c r="I1702" s="2" t="s">
        <v>24</v>
      </c>
      <c r="J1702" s="2" t="s">
        <v>4595</v>
      </c>
      <c r="K1702" s="2" t="s">
        <v>2449</v>
      </c>
      <c r="L1702">
        <v>2</v>
      </c>
      <c r="M1702" s="1">
        <v>262000</v>
      </c>
      <c r="N1702">
        <v>2.2999999999999998</v>
      </c>
      <c r="O1702">
        <v>7</v>
      </c>
      <c r="P1702" s="2" t="s">
        <v>26</v>
      </c>
    </row>
    <row r="1703" spans="1:16" x14ac:dyDescent="0.25">
      <c r="A1703" s="2" t="s">
        <v>6155</v>
      </c>
      <c r="B1703" s="2" t="s">
        <v>6156</v>
      </c>
      <c r="C1703" s="2" t="s">
        <v>29</v>
      </c>
      <c r="D1703" s="2" t="s">
        <v>30</v>
      </c>
      <c r="E1703" s="2" t="s">
        <v>20</v>
      </c>
      <c r="F1703" s="2" t="s">
        <v>39</v>
      </c>
      <c r="G1703" s="2" t="s">
        <v>80</v>
      </c>
      <c r="H1703" s="2" t="s">
        <v>34</v>
      </c>
      <c r="I1703" s="2" t="s">
        <v>24</v>
      </c>
      <c r="J1703" s="2" t="s">
        <v>3539</v>
      </c>
      <c r="K1703" s="2" t="s">
        <v>2449</v>
      </c>
      <c r="L1703">
        <v>2</v>
      </c>
      <c r="M1703" s="1">
        <v>119000</v>
      </c>
      <c r="N1703">
        <v>3.5</v>
      </c>
      <c r="O1703">
        <v>4</v>
      </c>
      <c r="P1703" s="2" t="s">
        <v>26</v>
      </c>
    </row>
    <row r="1704" spans="1:16" x14ac:dyDescent="0.25">
      <c r="A1704" s="2" t="s">
        <v>6159</v>
      </c>
      <c r="B1704" s="2" t="s">
        <v>980</v>
      </c>
      <c r="C1704" s="2" t="s">
        <v>18</v>
      </c>
      <c r="D1704" s="2" t="s">
        <v>30</v>
      </c>
      <c r="E1704" s="2" t="s">
        <v>44</v>
      </c>
      <c r="F1704" s="2" t="s">
        <v>39</v>
      </c>
      <c r="G1704" s="2" t="s">
        <v>22</v>
      </c>
      <c r="H1704" s="2" t="s">
        <v>23</v>
      </c>
      <c r="I1704" s="2" t="s">
        <v>35</v>
      </c>
      <c r="J1704" s="2" t="s">
        <v>6160</v>
      </c>
      <c r="K1704" s="2" t="s">
        <v>2449</v>
      </c>
      <c r="L1704">
        <v>3</v>
      </c>
      <c r="M1704" s="1">
        <v>112000</v>
      </c>
      <c r="N1704">
        <v>1.8</v>
      </c>
      <c r="O1704">
        <v>4</v>
      </c>
      <c r="P1704" s="2" t="s">
        <v>53</v>
      </c>
    </row>
    <row r="1705" spans="1:16" x14ac:dyDescent="0.25">
      <c r="A1705" s="2" t="s">
        <v>6164</v>
      </c>
      <c r="B1705" s="2" t="s">
        <v>6165</v>
      </c>
      <c r="C1705" s="2" t="s">
        <v>29</v>
      </c>
      <c r="D1705" s="2" t="s">
        <v>19</v>
      </c>
      <c r="E1705" s="2" t="s">
        <v>44</v>
      </c>
      <c r="F1705" s="2" t="s">
        <v>128</v>
      </c>
      <c r="G1705" s="2" t="s">
        <v>33</v>
      </c>
      <c r="H1705" s="2" t="s">
        <v>23</v>
      </c>
      <c r="I1705" s="2" t="s">
        <v>35</v>
      </c>
      <c r="J1705" s="2" t="s">
        <v>1098</v>
      </c>
      <c r="K1705" s="2" t="s">
        <v>4513</v>
      </c>
      <c r="L1705">
        <v>4</v>
      </c>
      <c r="M1705" s="1">
        <v>591000</v>
      </c>
      <c r="N1705">
        <v>4.0999999999999996</v>
      </c>
      <c r="O1705">
        <v>1</v>
      </c>
      <c r="P1705" s="2" t="s">
        <v>53</v>
      </c>
    </row>
    <row r="1706" spans="1:16" x14ac:dyDescent="0.25">
      <c r="A1706" s="2" t="s">
        <v>6166</v>
      </c>
      <c r="B1706" s="2" t="s">
        <v>6167</v>
      </c>
      <c r="C1706" s="2" t="s">
        <v>18</v>
      </c>
      <c r="D1706" s="2" t="s">
        <v>30</v>
      </c>
      <c r="E1706" s="2" t="s">
        <v>20</v>
      </c>
      <c r="F1706" s="2" t="s">
        <v>39</v>
      </c>
      <c r="G1706" s="2" t="s">
        <v>69</v>
      </c>
      <c r="H1706" s="2" t="s">
        <v>23</v>
      </c>
      <c r="I1706" s="2" t="s">
        <v>57</v>
      </c>
      <c r="J1706" s="2" t="s">
        <v>4595</v>
      </c>
      <c r="K1706" s="2" t="s">
        <v>6170</v>
      </c>
      <c r="L1706">
        <v>2</v>
      </c>
      <c r="M1706" s="1">
        <v>106000</v>
      </c>
      <c r="N1706">
        <v>2.5</v>
      </c>
      <c r="O1706">
        <v>12</v>
      </c>
      <c r="P1706" s="2" t="s">
        <v>26</v>
      </c>
    </row>
    <row r="1707" spans="1:16" x14ac:dyDescent="0.25">
      <c r="A1707" s="2" t="s">
        <v>6168</v>
      </c>
      <c r="B1707" s="2" t="s">
        <v>218</v>
      </c>
      <c r="C1707" s="2" t="s">
        <v>18</v>
      </c>
      <c r="D1707" s="2" t="s">
        <v>19</v>
      </c>
      <c r="E1707" s="2" t="s">
        <v>31</v>
      </c>
      <c r="F1707" s="2" t="s">
        <v>39</v>
      </c>
      <c r="G1707" s="2" t="s">
        <v>22</v>
      </c>
      <c r="H1707" s="2" t="s">
        <v>46</v>
      </c>
      <c r="I1707" s="2" t="s">
        <v>57</v>
      </c>
      <c r="J1707" s="2" t="s">
        <v>6169</v>
      </c>
      <c r="K1707" s="2" t="s">
        <v>6170</v>
      </c>
      <c r="L1707">
        <v>5</v>
      </c>
      <c r="M1707" s="1">
        <v>181000</v>
      </c>
      <c r="N1707">
        <v>2.1</v>
      </c>
      <c r="O1707">
        <v>4</v>
      </c>
      <c r="P1707" s="2" t="s">
        <v>72</v>
      </c>
    </row>
    <row r="1708" spans="1:16" x14ac:dyDescent="0.25">
      <c r="A1708" s="2" t="s">
        <v>6171</v>
      </c>
      <c r="B1708" s="2" t="s">
        <v>4262</v>
      </c>
      <c r="C1708" s="2" t="s">
        <v>29</v>
      </c>
      <c r="D1708" s="2" t="s">
        <v>79</v>
      </c>
      <c r="E1708" s="2" t="s">
        <v>20</v>
      </c>
      <c r="F1708" s="2" t="s">
        <v>128</v>
      </c>
      <c r="G1708" s="2" t="s">
        <v>22</v>
      </c>
      <c r="H1708" s="2" t="s">
        <v>23</v>
      </c>
      <c r="I1708" s="2" t="s">
        <v>57</v>
      </c>
      <c r="J1708" s="2" t="s">
        <v>4026</v>
      </c>
      <c r="K1708" s="2" t="s">
        <v>3837</v>
      </c>
      <c r="L1708">
        <v>6</v>
      </c>
      <c r="M1708" s="1">
        <v>484000</v>
      </c>
      <c r="N1708">
        <v>2.7</v>
      </c>
      <c r="O1708">
        <v>9</v>
      </c>
      <c r="P1708" s="2" t="s">
        <v>114</v>
      </c>
    </row>
    <row r="1709" spans="1:16" x14ac:dyDescent="0.25">
      <c r="A1709" s="2" t="s">
        <v>6172</v>
      </c>
      <c r="B1709" s="2" t="s">
        <v>6173</v>
      </c>
      <c r="C1709" s="2" t="s">
        <v>29</v>
      </c>
      <c r="D1709" s="2" t="s">
        <v>79</v>
      </c>
      <c r="E1709" s="2" t="s">
        <v>20</v>
      </c>
      <c r="F1709" s="2" t="s">
        <v>128</v>
      </c>
      <c r="G1709" s="2" t="s">
        <v>33</v>
      </c>
      <c r="H1709" s="2" t="s">
        <v>23</v>
      </c>
      <c r="I1709" s="2" t="s">
        <v>24</v>
      </c>
      <c r="J1709" s="2" t="s">
        <v>1646</v>
      </c>
      <c r="K1709" s="2" t="s">
        <v>2200</v>
      </c>
      <c r="L1709">
        <v>4</v>
      </c>
      <c r="M1709" s="1">
        <v>408000</v>
      </c>
      <c r="N1709">
        <v>4.3</v>
      </c>
      <c r="O1709">
        <v>34</v>
      </c>
      <c r="P1709" s="2" t="s">
        <v>114</v>
      </c>
    </row>
    <row r="1710" spans="1:16" x14ac:dyDescent="0.25">
      <c r="A1710" s="2" t="s">
        <v>6174</v>
      </c>
      <c r="B1710" s="2" t="s">
        <v>624</v>
      </c>
      <c r="C1710" s="2" t="s">
        <v>18</v>
      </c>
      <c r="D1710" s="2" t="s">
        <v>79</v>
      </c>
      <c r="E1710" s="2" t="s">
        <v>20</v>
      </c>
      <c r="F1710" s="2" t="s">
        <v>128</v>
      </c>
      <c r="G1710" s="2" t="s">
        <v>22</v>
      </c>
      <c r="H1710" s="2" t="s">
        <v>23</v>
      </c>
      <c r="I1710" s="2" t="s">
        <v>57</v>
      </c>
      <c r="J1710" s="2" t="s">
        <v>165</v>
      </c>
      <c r="K1710" s="2" t="s">
        <v>6185</v>
      </c>
      <c r="L1710">
        <v>2</v>
      </c>
      <c r="M1710" s="1">
        <v>551000</v>
      </c>
      <c r="N1710">
        <v>3.4</v>
      </c>
      <c r="O1710">
        <v>7</v>
      </c>
      <c r="P1710" s="2" t="s">
        <v>26</v>
      </c>
    </row>
    <row r="1711" spans="1:16" x14ac:dyDescent="0.25">
      <c r="A1711" s="2" t="s">
        <v>6177</v>
      </c>
      <c r="B1711" s="2" t="s">
        <v>251</v>
      </c>
      <c r="C1711" s="2" t="s">
        <v>18</v>
      </c>
      <c r="D1711" s="2" t="s">
        <v>79</v>
      </c>
      <c r="E1711" s="2" t="s">
        <v>20</v>
      </c>
      <c r="F1711" s="2" t="s">
        <v>45</v>
      </c>
      <c r="G1711" s="2" t="s">
        <v>33</v>
      </c>
      <c r="H1711" s="2" t="s">
        <v>34</v>
      </c>
      <c r="I1711" s="2" t="s">
        <v>35</v>
      </c>
      <c r="J1711" s="2" t="s">
        <v>6178</v>
      </c>
      <c r="K1711" s="2" t="s">
        <v>6185</v>
      </c>
      <c r="L1711">
        <v>6</v>
      </c>
      <c r="M1711" s="1">
        <v>1478000</v>
      </c>
      <c r="N1711">
        <v>3.1</v>
      </c>
      <c r="O1711">
        <v>0</v>
      </c>
      <c r="P1711" s="2" t="s">
        <v>26</v>
      </c>
    </row>
    <row r="1712" spans="1:16" x14ac:dyDescent="0.25">
      <c r="A1712" s="2" t="s">
        <v>6179</v>
      </c>
      <c r="B1712" s="2" t="s">
        <v>1384</v>
      </c>
      <c r="C1712" s="2" t="s">
        <v>29</v>
      </c>
      <c r="D1712" s="2" t="s">
        <v>30</v>
      </c>
      <c r="E1712" s="2" t="s">
        <v>20</v>
      </c>
      <c r="F1712" s="2" t="s">
        <v>32</v>
      </c>
      <c r="G1712" s="2" t="s">
        <v>22</v>
      </c>
      <c r="H1712" s="2" t="s">
        <v>23</v>
      </c>
      <c r="I1712" s="2" t="s">
        <v>35</v>
      </c>
      <c r="J1712" s="2" t="s">
        <v>6180</v>
      </c>
      <c r="K1712" s="2" t="s">
        <v>6185</v>
      </c>
      <c r="L1712">
        <v>2</v>
      </c>
      <c r="M1712" s="1">
        <v>197000</v>
      </c>
      <c r="N1712">
        <v>2.8</v>
      </c>
      <c r="O1712">
        <v>7</v>
      </c>
      <c r="P1712" s="2" t="s">
        <v>26</v>
      </c>
    </row>
    <row r="1713" spans="1:16" x14ac:dyDescent="0.25">
      <c r="A1713" s="2" t="s">
        <v>6183</v>
      </c>
      <c r="B1713" s="2" t="s">
        <v>4349</v>
      </c>
      <c r="C1713" s="2" t="s">
        <v>29</v>
      </c>
      <c r="D1713" s="2" t="s">
        <v>19</v>
      </c>
      <c r="E1713" s="2" t="s">
        <v>20</v>
      </c>
      <c r="F1713" s="2" t="s">
        <v>39</v>
      </c>
      <c r="G1713" s="2" t="s">
        <v>33</v>
      </c>
      <c r="H1713" s="2" t="s">
        <v>34</v>
      </c>
      <c r="I1713" s="2" t="s">
        <v>57</v>
      </c>
      <c r="J1713" s="2" t="s">
        <v>6184</v>
      </c>
      <c r="K1713" s="2" t="s">
        <v>6185</v>
      </c>
      <c r="L1713">
        <v>4</v>
      </c>
      <c r="M1713" s="1">
        <v>118000</v>
      </c>
      <c r="N1713">
        <v>3.8</v>
      </c>
      <c r="O1713">
        <v>15</v>
      </c>
      <c r="P1713" s="2" t="s">
        <v>53</v>
      </c>
    </row>
    <row r="1714" spans="1:16" x14ac:dyDescent="0.25">
      <c r="A1714" s="2" t="s">
        <v>6189</v>
      </c>
      <c r="B1714" s="2" t="s">
        <v>5567</v>
      </c>
      <c r="C1714" s="2" t="s">
        <v>18</v>
      </c>
      <c r="D1714" s="2" t="s">
        <v>19</v>
      </c>
      <c r="E1714" s="2" t="s">
        <v>44</v>
      </c>
      <c r="F1714" s="2" t="s">
        <v>21</v>
      </c>
      <c r="G1714" s="2" t="s">
        <v>33</v>
      </c>
      <c r="H1714" s="2" t="s">
        <v>23</v>
      </c>
      <c r="I1714" s="2" t="s">
        <v>24</v>
      </c>
      <c r="J1714" s="2" t="s">
        <v>5496</v>
      </c>
      <c r="K1714" s="2" t="s">
        <v>5208</v>
      </c>
      <c r="L1714">
        <v>5</v>
      </c>
      <c r="M1714" s="1">
        <v>678000</v>
      </c>
      <c r="N1714">
        <v>4.2</v>
      </c>
      <c r="O1714">
        <v>9</v>
      </c>
      <c r="P1714" s="2" t="s">
        <v>26</v>
      </c>
    </row>
    <row r="1715" spans="1:16" x14ac:dyDescent="0.25">
      <c r="A1715" s="2" t="s">
        <v>6190</v>
      </c>
      <c r="B1715" s="2" t="s">
        <v>519</v>
      </c>
      <c r="C1715" s="2" t="s">
        <v>29</v>
      </c>
      <c r="D1715" s="2" t="s">
        <v>30</v>
      </c>
      <c r="E1715" s="2" t="s">
        <v>44</v>
      </c>
      <c r="F1715" s="2" t="s">
        <v>39</v>
      </c>
      <c r="G1715" s="2" t="s">
        <v>69</v>
      </c>
      <c r="H1715" s="2" t="s">
        <v>23</v>
      </c>
      <c r="I1715" s="2" t="s">
        <v>24</v>
      </c>
      <c r="J1715" s="2" t="s">
        <v>6191</v>
      </c>
      <c r="K1715" s="2" t="s">
        <v>5208</v>
      </c>
      <c r="L1715">
        <v>3</v>
      </c>
      <c r="M1715" s="1">
        <v>147000</v>
      </c>
      <c r="N1715">
        <v>2.8</v>
      </c>
      <c r="O1715">
        <v>0</v>
      </c>
      <c r="P1715" s="2" t="s">
        <v>26</v>
      </c>
    </row>
    <row r="1716" spans="1:16" x14ac:dyDescent="0.25">
      <c r="A1716" s="2" t="s">
        <v>6192</v>
      </c>
      <c r="B1716" s="2" t="s">
        <v>6193</v>
      </c>
      <c r="C1716" s="2" t="s">
        <v>29</v>
      </c>
      <c r="D1716" s="2" t="s">
        <v>79</v>
      </c>
      <c r="E1716" s="2" t="s">
        <v>20</v>
      </c>
      <c r="F1716" s="2" t="s">
        <v>45</v>
      </c>
      <c r="G1716" s="2" t="s">
        <v>80</v>
      </c>
      <c r="H1716" s="2" t="s">
        <v>62</v>
      </c>
      <c r="I1716" s="2" t="s">
        <v>35</v>
      </c>
      <c r="J1716" s="2" t="s">
        <v>5424</v>
      </c>
      <c r="K1716" s="2" t="s">
        <v>5208</v>
      </c>
      <c r="L1716">
        <v>5</v>
      </c>
      <c r="M1716" s="1">
        <v>1142000</v>
      </c>
      <c r="N1716">
        <v>4.0999999999999996</v>
      </c>
      <c r="O1716">
        <v>13</v>
      </c>
      <c r="P1716" s="2" t="s">
        <v>26</v>
      </c>
    </row>
    <row r="1717" spans="1:16" x14ac:dyDescent="0.25">
      <c r="A1717" s="2" t="s">
        <v>6194</v>
      </c>
      <c r="B1717" s="2" t="s">
        <v>6195</v>
      </c>
      <c r="C1717" s="2" t="s">
        <v>18</v>
      </c>
      <c r="D1717" s="2" t="s">
        <v>50</v>
      </c>
      <c r="E1717" s="2" t="s">
        <v>20</v>
      </c>
      <c r="F1717" s="2" t="s">
        <v>32</v>
      </c>
      <c r="G1717" s="2" t="s">
        <v>80</v>
      </c>
      <c r="H1717" s="2" t="s">
        <v>46</v>
      </c>
      <c r="I1717" s="2" t="s">
        <v>75</v>
      </c>
      <c r="J1717" s="2" t="s">
        <v>6196</v>
      </c>
      <c r="K1717" s="2" t="s">
        <v>5208</v>
      </c>
      <c r="L1717">
        <v>4</v>
      </c>
      <c r="M1717" s="1">
        <v>286000</v>
      </c>
      <c r="N1717">
        <v>4.8</v>
      </c>
      <c r="O1717">
        <v>0</v>
      </c>
      <c r="P1717" s="2" t="s">
        <v>53</v>
      </c>
    </row>
    <row r="1718" spans="1:16" x14ac:dyDescent="0.25">
      <c r="A1718" s="2" t="s">
        <v>6197</v>
      </c>
      <c r="B1718" s="2" t="s">
        <v>4423</v>
      </c>
      <c r="C1718" s="2" t="s">
        <v>29</v>
      </c>
      <c r="D1718" s="2" t="s">
        <v>30</v>
      </c>
      <c r="E1718" s="2" t="s">
        <v>20</v>
      </c>
      <c r="F1718" s="2" t="s">
        <v>39</v>
      </c>
      <c r="G1718" s="2" t="s">
        <v>22</v>
      </c>
      <c r="H1718" s="2" t="s">
        <v>34</v>
      </c>
      <c r="I1718" s="2" t="s">
        <v>171</v>
      </c>
      <c r="J1718" s="2" t="s">
        <v>6178</v>
      </c>
      <c r="K1718" s="2" t="s">
        <v>5187</v>
      </c>
      <c r="L1718">
        <v>6</v>
      </c>
      <c r="M1718" s="1">
        <v>103000</v>
      </c>
      <c r="N1718">
        <v>3.2</v>
      </c>
      <c r="O1718">
        <v>1</v>
      </c>
      <c r="P1718" s="2" t="s">
        <v>53</v>
      </c>
    </row>
    <row r="1719" spans="1:16" x14ac:dyDescent="0.25">
      <c r="A1719" s="2" t="s">
        <v>6198</v>
      </c>
      <c r="B1719" s="2" t="s">
        <v>4945</v>
      </c>
      <c r="C1719" s="2" t="s">
        <v>18</v>
      </c>
      <c r="D1719" s="2" t="s">
        <v>79</v>
      </c>
      <c r="E1719" s="2" t="s">
        <v>44</v>
      </c>
      <c r="F1719" s="2" t="s">
        <v>39</v>
      </c>
      <c r="G1719" s="2" t="s">
        <v>22</v>
      </c>
      <c r="H1719" s="2" t="s">
        <v>46</v>
      </c>
      <c r="I1719" s="2" t="s">
        <v>35</v>
      </c>
      <c r="J1719" s="2" t="s">
        <v>1303</v>
      </c>
      <c r="K1719" s="2" t="s">
        <v>6207</v>
      </c>
      <c r="L1719">
        <v>6</v>
      </c>
      <c r="M1719" s="1">
        <v>88000</v>
      </c>
      <c r="N1719">
        <v>3.9</v>
      </c>
      <c r="O1719">
        <v>7</v>
      </c>
      <c r="P1719" s="2" t="s">
        <v>26</v>
      </c>
    </row>
    <row r="1720" spans="1:16" x14ac:dyDescent="0.25">
      <c r="A1720" s="2" t="s">
        <v>6199</v>
      </c>
      <c r="B1720" s="2" t="s">
        <v>6200</v>
      </c>
      <c r="C1720" s="2" t="s">
        <v>29</v>
      </c>
      <c r="D1720" s="2" t="s">
        <v>19</v>
      </c>
      <c r="E1720" s="2" t="s">
        <v>20</v>
      </c>
      <c r="F1720" s="2" t="s">
        <v>128</v>
      </c>
      <c r="G1720" s="2" t="s">
        <v>33</v>
      </c>
      <c r="H1720" s="2" t="s">
        <v>23</v>
      </c>
      <c r="I1720" s="2" t="s">
        <v>57</v>
      </c>
      <c r="J1720" s="2" t="s">
        <v>6201</v>
      </c>
      <c r="K1720" s="2" t="s">
        <v>6207</v>
      </c>
      <c r="L1720">
        <v>2</v>
      </c>
      <c r="M1720" s="1">
        <v>539000</v>
      </c>
      <c r="N1720">
        <v>4.5999999999999996</v>
      </c>
      <c r="O1720">
        <v>12</v>
      </c>
      <c r="P1720" s="2" t="s">
        <v>26</v>
      </c>
    </row>
    <row r="1721" spans="1:16" x14ac:dyDescent="0.25">
      <c r="A1721" s="2" t="s">
        <v>6205</v>
      </c>
      <c r="B1721" s="2" t="s">
        <v>6206</v>
      </c>
      <c r="C1721" s="2" t="s">
        <v>29</v>
      </c>
      <c r="D1721" s="2" t="s">
        <v>30</v>
      </c>
      <c r="E1721" s="2" t="s">
        <v>44</v>
      </c>
      <c r="F1721" s="2" t="s">
        <v>32</v>
      </c>
      <c r="G1721" s="2" t="s">
        <v>33</v>
      </c>
      <c r="H1721" s="2" t="s">
        <v>23</v>
      </c>
      <c r="I1721" s="2" t="s">
        <v>24</v>
      </c>
      <c r="J1721" s="2" t="s">
        <v>459</v>
      </c>
      <c r="K1721" s="2" t="s">
        <v>6207</v>
      </c>
      <c r="L1721">
        <v>6</v>
      </c>
      <c r="M1721" s="1">
        <v>323000</v>
      </c>
      <c r="N1721">
        <v>3.4</v>
      </c>
      <c r="O1721">
        <v>4</v>
      </c>
      <c r="P1721" s="2" t="s">
        <v>53</v>
      </c>
    </row>
    <row r="1722" spans="1:16" x14ac:dyDescent="0.25">
      <c r="A1722" s="2" t="s">
        <v>6214</v>
      </c>
      <c r="B1722" s="2" t="s">
        <v>2707</v>
      </c>
      <c r="C1722" s="2" t="s">
        <v>29</v>
      </c>
      <c r="D1722" s="2" t="s">
        <v>30</v>
      </c>
      <c r="E1722" s="2" t="s">
        <v>20</v>
      </c>
      <c r="F1722" s="2" t="s">
        <v>21</v>
      </c>
      <c r="G1722" s="2" t="s">
        <v>22</v>
      </c>
      <c r="H1722" s="2" t="s">
        <v>46</v>
      </c>
      <c r="I1722" s="2" t="s">
        <v>57</v>
      </c>
      <c r="J1722" s="2" t="s">
        <v>1105</v>
      </c>
      <c r="K1722" s="2" t="s">
        <v>2189</v>
      </c>
      <c r="L1722">
        <v>7</v>
      </c>
      <c r="M1722" s="1">
        <v>758000</v>
      </c>
      <c r="N1722">
        <v>4.8</v>
      </c>
      <c r="O1722">
        <v>2</v>
      </c>
      <c r="P1722" s="2" t="s">
        <v>26</v>
      </c>
    </row>
    <row r="1723" spans="1:16" x14ac:dyDescent="0.25">
      <c r="A1723" s="2" t="s">
        <v>6220</v>
      </c>
      <c r="B1723" s="2" t="s">
        <v>6221</v>
      </c>
      <c r="C1723" s="2" t="s">
        <v>18</v>
      </c>
      <c r="D1723" s="2" t="s">
        <v>79</v>
      </c>
      <c r="E1723" s="2" t="s">
        <v>20</v>
      </c>
      <c r="F1723" s="2" t="s">
        <v>128</v>
      </c>
      <c r="G1723" s="2" t="s">
        <v>22</v>
      </c>
      <c r="H1723" s="2" t="s">
        <v>23</v>
      </c>
      <c r="I1723" s="2" t="s">
        <v>24</v>
      </c>
      <c r="J1723" s="2" t="s">
        <v>2547</v>
      </c>
      <c r="K1723" s="2" t="s">
        <v>2189</v>
      </c>
      <c r="L1723">
        <v>4</v>
      </c>
      <c r="M1723" s="1">
        <v>453000</v>
      </c>
      <c r="N1723">
        <v>3</v>
      </c>
      <c r="O1723">
        <v>5</v>
      </c>
      <c r="P1723" s="2" t="s">
        <v>26</v>
      </c>
    </row>
    <row r="1724" spans="1:16" x14ac:dyDescent="0.25">
      <c r="A1724" s="2" t="s">
        <v>6224</v>
      </c>
      <c r="B1724" s="2" t="s">
        <v>6225</v>
      </c>
      <c r="C1724" s="2" t="s">
        <v>18</v>
      </c>
      <c r="D1724" s="2" t="s">
        <v>43</v>
      </c>
      <c r="E1724" s="2" t="s">
        <v>20</v>
      </c>
      <c r="F1724" s="2" t="s">
        <v>128</v>
      </c>
      <c r="G1724" s="2" t="s">
        <v>80</v>
      </c>
      <c r="H1724" s="2" t="s">
        <v>23</v>
      </c>
      <c r="I1724" s="2" t="s">
        <v>24</v>
      </c>
      <c r="J1724" s="2" t="s">
        <v>1135</v>
      </c>
      <c r="K1724" s="2" t="s">
        <v>2189</v>
      </c>
      <c r="L1724">
        <v>5</v>
      </c>
      <c r="M1724" s="1">
        <v>350000</v>
      </c>
      <c r="N1724">
        <v>5</v>
      </c>
      <c r="O1724">
        <v>10</v>
      </c>
      <c r="P1724" s="2" t="s">
        <v>26</v>
      </c>
    </row>
    <row r="1725" spans="1:16" x14ac:dyDescent="0.25">
      <c r="A1725" s="2" t="s">
        <v>6226</v>
      </c>
      <c r="B1725" s="2" t="s">
        <v>6227</v>
      </c>
      <c r="C1725" s="2" t="s">
        <v>29</v>
      </c>
      <c r="D1725" s="2" t="s">
        <v>30</v>
      </c>
      <c r="E1725" s="2" t="s">
        <v>44</v>
      </c>
      <c r="F1725" s="2" t="s">
        <v>39</v>
      </c>
      <c r="G1725" s="2" t="s">
        <v>22</v>
      </c>
      <c r="H1725" s="2" t="s">
        <v>34</v>
      </c>
      <c r="I1725" s="2" t="s">
        <v>24</v>
      </c>
      <c r="J1725" s="2" t="s">
        <v>3198</v>
      </c>
      <c r="K1725" s="2" t="s">
        <v>2189</v>
      </c>
      <c r="L1725">
        <v>6</v>
      </c>
      <c r="M1725" s="1">
        <v>130000</v>
      </c>
      <c r="N1725">
        <v>2.8</v>
      </c>
      <c r="O1725">
        <v>13</v>
      </c>
      <c r="P1725" s="2" t="s">
        <v>53</v>
      </c>
    </row>
    <row r="1726" spans="1:16" x14ac:dyDescent="0.25">
      <c r="A1726" s="2" t="s">
        <v>6228</v>
      </c>
      <c r="B1726" s="2" t="s">
        <v>6229</v>
      </c>
      <c r="C1726" s="2" t="s">
        <v>29</v>
      </c>
      <c r="D1726" s="2" t="s">
        <v>19</v>
      </c>
      <c r="E1726" s="2" t="s">
        <v>44</v>
      </c>
      <c r="F1726" s="2" t="s">
        <v>39</v>
      </c>
      <c r="G1726" s="2" t="s">
        <v>22</v>
      </c>
      <c r="H1726" s="2" t="s">
        <v>62</v>
      </c>
      <c r="I1726" s="2" t="s">
        <v>24</v>
      </c>
      <c r="J1726" s="2" t="s">
        <v>6230</v>
      </c>
      <c r="K1726" s="2" t="s">
        <v>4628</v>
      </c>
      <c r="L1726">
        <v>5</v>
      </c>
      <c r="M1726" s="1">
        <v>136000</v>
      </c>
      <c r="N1726">
        <v>4.5</v>
      </c>
      <c r="O1726">
        <v>1</v>
      </c>
      <c r="P1726" s="2" t="s">
        <v>26</v>
      </c>
    </row>
    <row r="1727" spans="1:16" x14ac:dyDescent="0.25">
      <c r="A1727" s="2" t="s">
        <v>6231</v>
      </c>
      <c r="B1727" s="2" t="s">
        <v>6232</v>
      </c>
      <c r="C1727" s="2" t="s">
        <v>18</v>
      </c>
      <c r="D1727" s="2" t="s">
        <v>43</v>
      </c>
      <c r="E1727" s="2" t="s">
        <v>20</v>
      </c>
      <c r="F1727" s="2" t="s">
        <v>39</v>
      </c>
      <c r="G1727" s="2" t="s">
        <v>33</v>
      </c>
      <c r="H1727" s="2" t="s">
        <v>23</v>
      </c>
      <c r="I1727" s="2" t="s">
        <v>24</v>
      </c>
      <c r="J1727" s="2" t="s">
        <v>6233</v>
      </c>
      <c r="K1727" s="2" t="s">
        <v>4628</v>
      </c>
      <c r="L1727">
        <v>3</v>
      </c>
      <c r="M1727" s="1">
        <v>141000</v>
      </c>
      <c r="N1727">
        <v>4.5</v>
      </c>
      <c r="O1727">
        <v>9</v>
      </c>
      <c r="P1727" s="2" t="s">
        <v>26</v>
      </c>
    </row>
    <row r="1728" spans="1:16" x14ac:dyDescent="0.25">
      <c r="A1728" s="2" t="s">
        <v>6236</v>
      </c>
      <c r="B1728" s="2" t="s">
        <v>1268</v>
      </c>
      <c r="C1728" s="2" t="s">
        <v>29</v>
      </c>
      <c r="D1728" s="2" t="s">
        <v>19</v>
      </c>
      <c r="E1728" s="2" t="s">
        <v>20</v>
      </c>
      <c r="F1728" s="2" t="s">
        <v>32</v>
      </c>
      <c r="G1728" s="2" t="s">
        <v>80</v>
      </c>
      <c r="H1728" s="2" t="s">
        <v>46</v>
      </c>
      <c r="I1728" s="2" t="s">
        <v>57</v>
      </c>
      <c r="J1728" s="2" t="s">
        <v>1423</v>
      </c>
      <c r="K1728" s="2" t="s">
        <v>4628</v>
      </c>
      <c r="L1728">
        <v>5</v>
      </c>
      <c r="M1728" s="1">
        <v>321000</v>
      </c>
      <c r="N1728">
        <v>2.5</v>
      </c>
      <c r="O1728">
        <v>4</v>
      </c>
      <c r="P1728" s="2" t="s">
        <v>26</v>
      </c>
    </row>
    <row r="1729" spans="1:16" x14ac:dyDescent="0.25">
      <c r="A1729" s="2" t="s">
        <v>6237</v>
      </c>
      <c r="B1729" s="2" t="s">
        <v>3296</v>
      </c>
      <c r="C1729" s="2" t="s">
        <v>18</v>
      </c>
      <c r="D1729" s="2" t="s">
        <v>79</v>
      </c>
      <c r="E1729" s="2" t="s">
        <v>20</v>
      </c>
      <c r="F1729" s="2" t="s">
        <v>39</v>
      </c>
      <c r="G1729" s="2" t="s">
        <v>80</v>
      </c>
      <c r="H1729" s="2" t="s">
        <v>46</v>
      </c>
      <c r="I1729" s="2" t="s">
        <v>24</v>
      </c>
      <c r="J1729" s="2" t="s">
        <v>693</v>
      </c>
      <c r="K1729" s="2" t="s">
        <v>4628</v>
      </c>
      <c r="L1729">
        <v>2</v>
      </c>
      <c r="M1729" s="1">
        <v>150000</v>
      </c>
      <c r="N1729">
        <v>4.5</v>
      </c>
      <c r="O1729">
        <v>3</v>
      </c>
      <c r="P1729" s="2" t="s">
        <v>26</v>
      </c>
    </row>
    <row r="1730" spans="1:16" x14ac:dyDescent="0.25">
      <c r="A1730" s="2" t="s">
        <v>6238</v>
      </c>
      <c r="B1730" s="2" t="s">
        <v>42</v>
      </c>
      <c r="C1730" s="2" t="s">
        <v>18</v>
      </c>
      <c r="D1730" s="2" t="s">
        <v>30</v>
      </c>
      <c r="E1730" s="2" t="s">
        <v>20</v>
      </c>
      <c r="F1730" s="2" t="s">
        <v>32</v>
      </c>
      <c r="G1730" s="2" t="s">
        <v>80</v>
      </c>
      <c r="H1730" s="2" t="s">
        <v>34</v>
      </c>
      <c r="I1730" s="2" t="s">
        <v>75</v>
      </c>
      <c r="J1730" s="2" t="s">
        <v>328</v>
      </c>
      <c r="K1730" s="2" t="s">
        <v>4628</v>
      </c>
      <c r="L1730">
        <v>2</v>
      </c>
      <c r="M1730" s="1">
        <v>342000</v>
      </c>
      <c r="N1730">
        <v>3.7</v>
      </c>
      <c r="O1730">
        <v>18</v>
      </c>
      <c r="P1730" s="2" t="s">
        <v>26</v>
      </c>
    </row>
    <row r="1731" spans="1:16" x14ac:dyDescent="0.25">
      <c r="A1731" s="2" t="s">
        <v>6239</v>
      </c>
      <c r="B1731" s="2" t="s">
        <v>101</v>
      </c>
      <c r="C1731" s="2" t="s">
        <v>18</v>
      </c>
      <c r="D1731" s="2" t="s">
        <v>43</v>
      </c>
      <c r="E1731" s="2" t="s">
        <v>20</v>
      </c>
      <c r="F1731" s="2" t="s">
        <v>32</v>
      </c>
      <c r="G1731" s="2" t="s">
        <v>22</v>
      </c>
      <c r="H1731" s="2" t="s">
        <v>34</v>
      </c>
      <c r="I1731" s="2" t="s">
        <v>24</v>
      </c>
      <c r="J1731" s="2" t="s">
        <v>616</v>
      </c>
      <c r="K1731" s="2" t="s">
        <v>4628</v>
      </c>
      <c r="L1731">
        <v>5</v>
      </c>
      <c r="M1731" s="1">
        <v>194000</v>
      </c>
      <c r="N1731">
        <v>2.8</v>
      </c>
      <c r="O1731">
        <v>8</v>
      </c>
      <c r="P1731" s="2" t="s">
        <v>26</v>
      </c>
    </row>
    <row r="1732" spans="1:16" x14ac:dyDescent="0.25">
      <c r="A1732" s="2" t="s">
        <v>6251</v>
      </c>
      <c r="B1732" s="2" t="s">
        <v>6252</v>
      </c>
      <c r="C1732" s="2" t="s">
        <v>18</v>
      </c>
      <c r="D1732" s="2" t="s">
        <v>19</v>
      </c>
      <c r="E1732" s="2" t="s">
        <v>44</v>
      </c>
      <c r="F1732" s="2" t="s">
        <v>128</v>
      </c>
      <c r="G1732" s="2" t="s">
        <v>33</v>
      </c>
      <c r="H1732" s="2" t="s">
        <v>23</v>
      </c>
      <c r="I1732" s="2" t="s">
        <v>24</v>
      </c>
      <c r="J1732" s="2" t="s">
        <v>452</v>
      </c>
      <c r="K1732" s="2" t="s">
        <v>4628</v>
      </c>
      <c r="L1732">
        <v>4</v>
      </c>
      <c r="M1732" s="1">
        <v>483000</v>
      </c>
      <c r="N1732">
        <v>3.9</v>
      </c>
      <c r="O1732">
        <v>35</v>
      </c>
      <c r="P1732" s="2" t="s">
        <v>53</v>
      </c>
    </row>
    <row r="1733" spans="1:16" x14ac:dyDescent="0.25">
      <c r="A1733" s="2" t="s">
        <v>6253</v>
      </c>
      <c r="B1733" s="2" t="s">
        <v>5076</v>
      </c>
      <c r="C1733" s="2" t="s">
        <v>18</v>
      </c>
      <c r="D1733" s="2" t="s">
        <v>50</v>
      </c>
      <c r="E1733" s="2" t="s">
        <v>20</v>
      </c>
      <c r="F1733" s="2" t="s">
        <v>32</v>
      </c>
      <c r="G1733" s="2" t="s">
        <v>33</v>
      </c>
      <c r="H1733" s="2" t="s">
        <v>23</v>
      </c>
      <c r="I1733" s="2" t="s">
        <v>24</v>
      </c>
      <c r="J1733" s="2" t="s">
        <v>6254</v>
      </c>
      <c r="K1733" s="2" t="s">
        <v>6262</v>
      </c>
      <c r="L1733">
        <v>6</v>
      </c>
      <c r="M1733" s="1">
        <v>212000</v>
      </c>
      <c r="N1733">
        <v>2.2999999999999998</v>
      </c>
      <c r="O1733">
        <v>12</v>
      </c>
      <c r="P1733" s="2" t="s">
        <v>26</v>
      </c>
    </row>
    <row r="1734" spans="1:16" x14ac:dyDescent="0.25">
      <c r="A1734" s="2" t="s">
        <v>6257</v>
      </c>
      <c r="B1734" s="2" t="s">
        <v>1469</v>
      </c>
      <c r="C1734" s="2" t="s">
        <v>18</v>
      </c>
      <c r="D1734" s="2" t="s">
        <v>50</v>
      </c>
      <c r="E1734" s="2" t="s">
        <v>44</v>
      </c>
      <c r="F1734" s="2" t="s">
        <v>39</v>
      </c>
      <c r="G1734" s="2" t="s">
        <v>80</v>
      </c>
      <c r="H1734" s="2" t="s">
        <v>34</v>
      </c>
      <c r="I1734" s="2" t="s">
        <v>75</v>
      </c>
      <c r="J1734" s="2" t="s">
        <v>6258</v>
      </c>
      <c r="K1734" s="2" t="s">
        <v>6262</v>
      </c>
      <c r="L1734">
        <v>2</v>
      </c>
      <c r="M1734" s="1">
        <v>107000</v>
      </c>
      <c r="N1734">
        <v>3.5</v>
      </c>
      <c r="O1734">
        <v>12</v>
      </c>
      <c r="P1734" s="2" t="s">
        <v>26</v>
      </c>
    </row>
    <row r="1735" spans="1:16" x14ac:dyDescent="0.25">
      <c r="A1735" s="2" t="s">
        <v>6261</v>
      </c>
      <c r="B1735" s="2" t="s">
        <v>5236</v>
      </c>
      <c r="C1735" s="2" t="s">
        <v>18</v>
      </c>
      <c r="D1735" s="2" t="s">
        <v>30</v>
      </c>
      <c r="E1735" s="2" t="s">
        <v>20</v>
      </c>
      <c r="F1735" s="2" t="s">
        <v>128</v>
      </c>
      <c r="G1735" s="2" t="s">
        <v>22</v>
      </c>
      <c r="H1735" s="2" t="s">
        <v>23</v>
      </c>
      <c r="I1735" s="2" t="s">
        <v>75</v>
      </c>
      <c r="J1735" s="2" t="s">
        <v>3945</v>
      </c>
      <c r="K1735" s="2" t="s">
        <v>6262</v>
      </c>
      <c r="L1735">
        <v>6</v>
      </c>
      <c r="M1735" s="1">
        <v>381000</v>
      </c>
      <c r="N1735">
        <v>3.3</v>
      </c>
      <c r="O1735">
        <v>6</v>
      </c>
      <c r="P1735" s="2" t="s">
        <v>53</v>
      </c>
    </row>
    <row r="1736" spans="1:16" x14ac:dyDescent="0.25">
      <c r="A1736" s="2" t="s">
        <v>6265</v>
      </c>
      <c r="B1736" s="2" t="s">
        <v>6266</v>
      </c>
      <c r="C1736" s="2" t="s">
        <v>18</v>
      </c>
      <c r="D1736" s="2" t="s">
        <v>43</v>
      </c>
      <c r="E1736" s="2" t="s">
        <v>31</v>
      </c>
      <c r="F1736" s="2" t="s">
        <v>32</v>
      </c>
      <c r="G1736" s="2" t="s">
        <v>22</v>
      </c>
      <c r="H1736" s="2" t="s">
        <v>23</v>
      </c>
      <c r="I1736" s="2" t="s">
        <v>171</v>
      </c>
      <c r="J1736" s="2" t="s">
        <v>6267</v>
      </c>
      <c r="K1736" s="2" t="s">
        <v>5829</v>
      </c>
      <c r="L1736">
        <v>5</v>
      </c>
      <c r="M1736" s="1">
        <v>194000</v>
      </c>
      <c r="N1736">
        <v>3.2</v>
      </c>
      <c r="O1736">
        <v>13</v>
      </c>
      <c r="P1736" s="2" t="s">
        <v>53</v>
      </c>
    </row>
    <row r="1737" spans="1:16" x14ac:dyDescent="0.25">
      <c r="A1737" s="2" t="s">
        <v>6268</v>
      </c>
      <c r="B1737" s="2" t="s">
        <v>3336</v>
      </c>
      <c r="C1737" s="2" t="s">
        <v>18</v>
      </c>
      <c r="D1737" s="2" t="s">
        <v>30</v>
      </c>
      <c r="E1737" s="2" t="s">
        <v>20</v>
      </c>
      <c r="F1737" s="2" t="s">
        <v>32</v>
      </c>
      <c r="G1737" s="2" t="s">
        <v>22</v>
      </c>
      <c r="H1737" s="2" t="s">
        <v>23</v>
      </c>
      <c r="I1737" s="2" t="s">
        <v>57</v>
      </c>
      <c r="J1737" s="2" t="s">
        <v>967</v>
      </c>
      <c r="K1737" s="2" t="s">
        <v>6207</v>
      </c>
      <c r="L1737">
        <v>2</v>
      </c>
      <c r="M1737" s="1">
        <v>223000</v>
      </c>
      <c r="N1737">
        <v>2.5</v>
      </c>
      <c r="O1737">
        <v>3</v>
      </c>
      <c r="P1737" s="2" t="s">
        <v>26</v>
      </c>
    </row>
    <row r="1738" spans="1:16" x14ac:dyDescent="0.25">
      <c r="A1738" s="2" t="s">
        <v>6271</v>
      </c>
      <c r="B1738" s="2" t="s">
        <v>5889</v>
      </c>
      <c r="C1738" s="2" t="s">
        <v>18</v>
      </c>
      <c r="D1738" s="2" t="s">
        <v>79</v>
      </c>
      <c r="E1738" s="2" t="s">
        <v>31</v>
      </c>
      <c r="F1738" s="2" t="s">
        <v>39</v>
      </c>
      <c r="G1738" s="2" t="s">
        <v>33</v>
      </c>
      <c r="H1738" s="2" t="s">
        <v>23</v>
      </c>
      <c r="I1738" s="2" t="s">
        <v>75</v>
      </c>
      <c r="J1738" s="2" t="s">
        <v>5764</v>
      </c>
      <c r="K1738" s="2" t="s">
        <v>6207</v>
      </c>
      <c r="L1738">
        <v>5</v>
      </c>
      <c r="M1738" s="1">
        <v>173000</v>
      </c>
      <c r="N1738">
        <v>2.2999999999999998</v>
      </c>
      <c r="O1738">
        <v>2</v>
      </c>
      <c r="P1738" s="2" t="s">
        <v>26</v>
      </c>
    </row>
    <row r="1739" spans="1:16" x14ac:dyDescent="0.25">
      <c r="A1739" s="2" t="s">
        <v>6273</v>
      </c>
      <c r="B1739" s="2" t="s">
        <v>5522</v>
      </c>
      <c r="C1739" s="2" t="s">
        <v>29</v>
      </c>
      <c r="D1739" s="2" t="s">
        <v>79</v>
      </c>
      <c r="E1739" s="2" t="s">
        <v>20</v>
      </c>
      <c r="F1739" s="2" t="s">
        <v>39</v>
      </c>
      <c r="G1739" s="2" t="s">
        <v>33</v>
      </c>
      <c r="H1739" s="2" t="s">
        <v>34</v>
      </c>
      <c r="I1739" s="2" t="s">
        <v>35</v>
      </c>
      <c r="J1739" s="2" t="s">
        <v>564</v>
      </c>
      <c r="K1739" s="2" t="s">
        <v>6207</v>
      </c>
      <c r="L1739">
        <v>7</v>
      </c>
      <c r="M1739" s="1">
        <v>159000</v>
      </c>
      <c r="N1739">
        <v>3.9</v>
      </c>
      <c r="O1739">
        <v>14</v>
      </c>
      <c r="P1739" s="2" t="s">
        <v>26</v>
      </c>
    </row>
    <row r="1740" spans="1:16" x14ac:dyDescent="0.25">
      <c r="A1740" s="2" t="s">
        <v>6275</v>
      </c>
      <c r="B1740" s="2" t="s">
        <v>6276</v>
      </c>
      <c r="C1740" s="2" t="s">
        <v>29</v>
      </c>
      <c r="D1740" s="2" t="s">
        <v>30</v>
      </c>
      <c r="E1740" s="2" t="s">
        <v>20</v>
      </c>
      <c r="F1740" s="2" t="s">
        <v>39</v>
      </c>
      <c r="G1740" s="2" t="s">
        <v>22</v>
      </c>
      <c r="H1740" s="2" t="s">
        <v>46</v>
      </c>
      <c r="I1740" s="2" t="s">
        <v>35</v>
      </c>
      <c r="J1740" s="2" t="s">
        <v>238</v>
      </c>
      <c r="K1740" s="2" t="s">
        <v>6207</v>
      </c>
      <c r="L1740">
        <v>3</v>
      </c>
      <c r="M1740" s="1">
        <v>140000</v>
      </c>
      <c r="N1740">
        <v>3.2</v>
      </c>
      <c r="O1740">
        <v>0</v>
      </c>
      <c r="P1740" s="2" t="s">
        <v>114</v>
      </c>
    </row>
    <row r="1741" spans="1:16" x14ac:dyDescent="0.25">
      <c r="A1741" s="2" t="s">
        <v>6282</v>
      </c>
      <c r="B1741" s="2" t="s">
        <v>6283</v>
      </c>
      <c r="C1741" s="2" t="s">
        <v>29</v>
      </c>
      <c r="D1741" s="2" t="s">
        <v>30</v>
      </c>
      <c r="E1741" s="2" t="s">
        <v>20</v>
      </c>
      <c r="F1741" s="2" t="s">
        <v>21</v>
      </c>
      <c r="G1741" s="2" t="s">
        <v>33</v>
      </c>
      <c r="H1741" s="2" t="s">
        <v>34</v>
      </c>
      <c r="I1741" s="2" t="s">
        <v>171</v>
      </c>
      <c r="J1741" s="2" t="s">
        <v>1257</v>
      </c>
      <c r="K1741" s="2" t="s">
        <v>2480</v>
      </c>
      <c r="L1741">
        <v>5</v>
      </c>
      <c r="M1741" s="1">
        <v>885000</v>
      </c>
      <c r="N1741">
        <v>4.8</v>
      </c>
      <c r="O1741">
        <v>29</v>
      </c>
      <c r="P1741" s="2" t="s">
        <v>72</v>
      </c>
    </row>
    <row r="1742" spans="1:16" x14ac:dyDescent="0.25">
      <c r="A1742" s="2" t="s">
        <v>6284</v>
      </c>
      <c r="B1742" s="2" t="s">
        <v>5662</v>
      </c>
      <c r="C1742" s="2" t="s">
        <v>18</v>
      </c>
      <c r="D1742" s="2" t="s">
        <v>50</v>
      </c>
      <c r="E1742" s="2" t="s">
        <v>44</v>
      </c>
      <c r="F1742" s="2" t="s">
        <v>32</v>
      </c>
      <c r="G1742" s="2" t="s">
        <v>33</v>
      </c>
      <c r="H1742" s="2" t="s">
        <v>23</v>
      </c>
      <c r="I1742" s="2" t="s">
        <v>24</v>
      </c>
      <c r="J1742" s="2" t="s">
        <v>3057</v>
      </c>
      <c r="K1742" s="2" t="s">
        <v>189</v>
      </c>
      <c r="L1742">
        <v>6</v>
      </c>
      <c r="M1742" s="1">
        <v>347000</v>
      </c>
      <c r="N1742">
        <v>4.2</v>
      </c>
      <c r="O1742">
        <v>8</v>
      </c>
      <c r="P1742" s="2" t="s">
        <v>26</v>
      </c>
    </row>
    <row r="1743" spans="1:16" x14ac:dyDescent="0.25">
      <c r="A1743" s="2" t="s">
        <v>6285</v>
      </c>
      <c r="B1743" s="2" t="s">
        <v>934</v>
      </c>
      <c r="C1743" s="2" t="s">
        <v>18</v>
      </c>
      <c r="D1743" s="2" t="s">
        <v>30</v>
      </c>
      <c r="E1743" s="2" t="s">
        <v>20</v>
      </c>
      <c r="F1743" s="2" t="s">
        <v>32</v>
      </c>
      <c r="G1743" s="2" t="s">
        <v>22</v>
      </c>
      <c r="H1743" s="2" t="s">
        <v>34</v>
      </c>
      <c r="I1743" s="2" t="s">
        <v>57</v>
      </c>
      <c r="J1743" s="2" t="s">
        <v>6286</v>
      </c>
      <c r="K1743" s="2" t="s">
        <v>189</v>
      </c>
      <c r="L1743">
        <v>5</v>
      </c>
      <c r="M1743" s="1">
        <v>270000</v>
      </c>
      <c r="N1743">
        <v>2.8</v>
      </c>
      <c r="O1743">
        <v>13</v>
      </c>
      <c r="P1743" s="2" t="s">
        <v>26</v>
      </c>
    </row>
    <row r="1744" spans="1:16" x14ac:dyDescent="0.25">
      <c r="A1744" s="2" t="s">
        <v>6287</v>
      </c>
      <c r="B1744" s="2" t="s">
        <v>3564</v>
      </c>
      <c r="C1744" s="2" t="s">
        <v>29</v>
      </c>
      <c r="D1744" s="2" t="s">
        <v>30</v>
      </c>
      <c r="E1744" s="2" t="s">
        <v>20</v>
      </c>
      <c r="F1744" s="2" t="s">
        <v>32</v>
      </c>
      <c r="G1744" s="2" t="s">
        <v>22</v>
      </c>
      <c r="H1744" s="2" t="s">
        <v>34</v>
      </c>
      <c r="I1744" s="2" t="s">
        <v>24</v>
      </c>
      <c r="J1744" s="2" t="s">
        <v>6288</v>
      </c>
      <c r="K1744" s="2" t="s">
        <v>189</v>
      </c>
      <c r="L1744">
        <v>3</v>
      </c>
      <c r="M1744" s="1">
        <v>280000</v>
      </c>
      <c r="N1744">
        <v>4.5999999999999996</v>
      </c>
      <c r="O1744">
        <v>5</v>
      </c>
      <c r="P1744" s="2" t="s">
        <v>26</v>
      </c>
    </row>
    <row r="1745" spans="1:16" x14ac:dyDescent="0.25">
      <c r="A1745" s="2" t="s">
        <v>6289</v>
      </c>
      <c r="B1745" s="2" t="s">
        <v>311</v>
      </c>
      <c r="C1745" s="2" t="s">
        <v>29</v>
      </c>
      <c r="D1745" s="2" t="s">
        <v>30</v>
      </c>
      <c r="E1745" s="2" t="s">
        <v>31</v>
      </c>
      <c r="F1745" s="2" t="s">
        <v>128</v>
      </c>
      <c r="G1745" s="2" t="s">
        <v>33</v>
      </c>
      <c r="H1745" s="2" t="s">
        <v>46</v>
      </c>
      <c r="I1745" s="2" t="s">
        <v>24</v>
      </c>
      <c r="J1745" s="2" t="s">
        <v>1451</v>
      </c>
      <c r="K1745" s="2" t="s">
        <v>189</v>
      </c>
      <c r="L1745">
        <v>4</v>
      </c>
      <c r="M1745" s="1">
        <v>570000</v>
      </c>
      <c r="N1745">
        <v>4.8</v>
      </c>
      <c r="O1745">
        <v>13</v>
      </c>
      <c r="P1745" s="2" t="s">
        <v>114</v>
      </c>
    </row>
    <row r="1746" spans="1:16" x14ac:dyDescent="0.25">
      <c r="A1746" s="2" t="s">
        <v>6290</v>
      </c>
      <c r="B1746" s="2" t="s">
        <v>6291</v>
      </c>
      <c r="C1746" s="2" t="s">
        <v>18</v>
      </c>
      <c r="D1746" s="2" t="s">
        <v>79</v>
      </c>
      <c r="E1746" s="2" t="s">
        <v>20</v>
      </c>
      <c r="F1746" s="2" t="s">
        <v>32</v>
      </c>
      <c r="G1746" s="2" t="s">
        <v>22</v>
      </c>
      <c r="H1746" s="2" t="s">
        <v>34</v>
      </c>
      <c r="I1746" s="2" t="s">
        <v>35</v>
      </c>
      <c r="J1746" s="2" t="s">
        <v>1959</v>
      </c>
      <c r="K1746" s="2" t="s">
        <v>6298</v>
      </c>
      <c r="L1746">
        <v>5</v>
      </c>
      <c r="M1746" s="1">
        <v>343000</v>
      </c>
      <c r="N1746">
        <v>4.9000000000000004</v>
      </c>
      <c r="O1746">
        <v>12</v>
      </c>
      <c r="P1746" s="2" t="s">
        <v>26</v>
      </c>
    </row>
    <row r="1747" spans="1:16" x14ac:dyDescent="0.25">
      <c r="A1747" s="2" t="s">
        <v>6296</v>
      </c>
      <c r="B1747" s="2" t="s">
        <v>6297</v>
      </c>
      <c r="C1747" s="2" t="s">
        <v>18</v>
      </c>
      <c r="D1747" s="2" t="s">
        <v>30</v>
      </c>
      <c r="E1747" s="2" t="s">
        <v>44</v>
      </c>
      <c r="F1747" s="2" t="s">
        <v>39</v>
      </c>
      <c r="G1747" s="2" t="s">
        <v>80</v>
      </c>
      <c r="H1747" s="2" t="s">
        <v>23</v>
      </c>
      <c r="I1747" s="2" t="s">
        <v>24</v>
      </c>
      <c r="J1747" s="2" t="s">
        <v>2182</v>
      </c>
      <c r="K1747" s="2" t="s">
        <v>6298</v>
      </c>
      <c r="L1747">
        <v>2</v>
      </c>
      <c r="M1747" s="1">
        <v>108000</v>
      </c>
      <c r="N1747">
        <v>2.6</v>
      </c>
      <c r="O1747">
        <v>4</v>
      </c>
      <c r="P1747" s="2" t="s">
        <v>53</v>
      </c>
    </row>
    <row r="1748" spans="1:16" x14ac:dyDescent="0.25">
      <c r="A1748" s="2" t="s">
        <v>6302</v>
      </c>
      <c r="B1748" s="2" t="s">
        <v>6297</v>
      </c>
      <c r="C1748" s="2" t="s">
        <v>18</v>
      </c>
      <c r="D1748" s="2" t="s">
        <v>30</v>
      </c>
      <c r="E1748" s="2" t="s">
        <v>44</v>
      </c>
      <c r="F1748" s="2" t="s">
        <v>32</v>
      </c>
      <c r="G1748" s="2" t="s">
        <v>22</v>
      </c>
      <c r="H1748" s="2" t="s">
        <v>34</v>
      </c>
      <c r="I1748" s="2" t="s">
        <v>24</v>
      </c>
      <c r="J1748" s="2" t="s">
        <v>3085</v>
      </c>
      <c r="K1748" s="2" t="s">
        <v>3758</v>
      </c>
      <c r="L1748">
        <v>5</v>
      </c>
      <c r="M1748" s="1">
        <v>189000</v>
      </c>
      <c r="N1748">
        <v>2.9</v>
      </c>
      <c r="O1748">
        <v>8</v>
      </c>
      <c r="P1748" s="2" t="s">
        <v>26</v>
      </c>
    </row>
    <row r="1749" spans="1:16" x14ac:dyDescent="0.25">
      <c r="A1749" s="2" t="s">
        <v>6303</v>
      </c>
      <c r="B1749" s="2" t="s">
        <v>6304</v>
      </c>
      <c r="C1749" s="2" t="s">
        <v>18</v>
      </c>
      <c r="D1749" s="2" t="s">
        <v>30</v>
      </c>
      <c r="E1749" s="2" t="s">
        <v>20</v>
      </c>
      <c r="F1749" s="2" t="s">
        <v>128</v>
      </c>
      <c r="G1749" s="2" t="s">
        <v>22</v>
      </c>
      <c r="H1749" s="2" t="s">
        <v>46</v>
      </c>
      <c r="I1749" s="2" t="s">
        <v>24</v>
      </c>
      <c r="J1749" s="2" t="s">
        <v>3376</v>
      </c>
      <c r="K1749" s="2" t="s">
        <v>3758</v>
      </c>
      <c r="L1749">
        <v>2</v>
      </c>
      <c r="M1749" s="1">
        <v>425000</v>
      </c>
      <c r="N1749">
        <v>4</v>
      </c>
      <c r="O1749">
        <v>6</v>
      </c>
      <c r="P1749" s="2" t="s">
        <v>26</v>
      </c>
    </row>
    <row r="1750" spans="1:16" x14ac:dyDescent="0.25">
      <c r="A1750" s="2" t="s">
        <v>6305</v>
      </c>
      <c r="B1750" s="2" t="s">
        <v>2242</v>
      </c>
      <c r="C1750" s="2" t="s">
        <v>29</v>
      </c>
      <c r="D1750" s="2" t="s">
        <v>43</v>
      </c>
      <c r="E1750" s="2" t="s">
        <v>31</v>
      </c>
      <c r="F1750" s="2" t="s">
        <v>128</v>
      </c>
      <c r="G1750" s="2" t="s">
        <v>22</v>
      </c>
      <c r="H1750" s="2" t="s">
        <v>34</v>
      </c>
      <c r="I1750" s="2" t="s">
        <v>35</v>
      </c>
      <c r="J1750" s="2" t="s">
        <v>5302</v>
      </c>
      <c r="K1750" s="2" t="s">
        <v>3758</v>
      </c>
      <c r="L1750">
        <v>3</v>
      </c>
      <c r="M1750" s="1">
        <v>378000</v>
      </c>
      <c r="N1750">
        <v>2.7</v>
      </c>
      <c r="O1750">
        <v>10</v>
      </c>
      <c r="P1750" s="2" t="s">
        <v>26</v>
      </c>
    </row>
    <row r="1751" spans="1:16" x14ac:dyDescent="0.25">
      <c r="A1751" s="2" t="s">
        <v>6308</v>
      </c>
      <c r="B1751" s="2" t="s">
        <v>4874</v>
      </c>
      <c r="C1751" s="2" t="s">
        <v>18</v>
      </c>
      <c r="D1751" s="2" t="s">
        <v>43</v>
      </c>
      <c r="E1751" s="2" t="s">
        <v>44</v>
      </c>
      <c r="F1751" s="2" t="s">
        <v>32</v>
      </c>
      <c r="G1751" s="2" t="s">
        <v>22</v>
      </c>
      <c r="H1751" s="2" t="s">
        <v>34</v>
      </c>
      <c r="I1751" s="2" t="s">
        <v>35</v>
      </c>
      <c r="J1751" s="2" t="s">
        <v>6162</v>
      </c>
      <c r="K1751" s="2" t="s">
        <v>3758</v>
      </c>
      <c r="L1751">
        <v>5</v>
      </c>
      <c r="M1751" s="1">
        <v>180000</v>
      </c>
      <c r="N1751">
        <v>3.9</v>
      </c>
      <c r="O1751">
        <v>0</v>
      </c>
      <c r="P1751" s="2" t="s">
        <v>53</v>
      </c>
    </row>
    <row r="1752" spans="1:16" x14ac:dyDescent="0.25">
      <c r="A1752" s="2" t="s">
        <v>6309</v>
      </c>
      <c r="B1752" s="2" t="s">
        <v>60</v>
      </c>
      <c r="C1752" s="2" t="s">
        <v>18</v>
      </c>
      <c r="D1752" s="2" t="s">
        <v>30</v>
      </c>
      <c r="E1752" s="2" t="s">
        <v>20</v>
      </c>
      <c r="F1752" s="2" t="s">
        <v>32</v>
      </c>
      <c r="G1752" s="2" t="s">
        <v>33</v>
      </c>
      <c r="H1752" s="2" t="s">
        <v>46</v>
      </c>
      <c r="I1752" s="2" t="s">
        <v>35</v>
      </c>
      <c r="J1752" s="2" t="s">
        <v>533</v>
      </c>
      <c r="K1752" s="2" t="s">
        <v>2216</v>
      </c>
      <c r="L1752">
        <v>4</v>
      </c>
      <c r="M1752" s="1">
        <v>308000</v>
      </c>
      <c r="N1752">
        <v>4.5</v>
      </c>
      <c r="O1752">
        <v>5</v>
      </c>
      <c r="P1752" s="2" t="s">
        <v>53</v>
      </c>
    </row>
    <row r="1753" spans="1:16" x14ac:dyDescent="0.25">
      <c r="A1753" s="2" t="s">
        <v>6314</v>
      </c>
      <c r="B1753" s="2" t="s">
        <v>6315</v>
      </c>
      <c r="C1753" s="2" t="s">
        <v>18</v>
      </c>
      <c r="D1753" s="2" t="s">
        <v>43</v>
      </c>
      <c r="E1753" s="2" t="s">
        <v>20</v>
      </c>
      <c r="F1753" s="2" t="s">
        <v>21</v>
      </c>
      <c r="G1753" s="2" t="s">
        <v>80</v>
      </c>
      <c r="H1753" s="2" t="s">
        <v>34</v>
      </c>
      <c r="I1753" s="2" t="s">
        <v>24</v>
      </c>
      <c r="J1753" s="2" t="s">
        <v>292</v>
      </c>
      <c r="K1753" s="2" t="s">
        <v>2120</v>
      </c>
      <c r="L1753">
        <v>3</v>
      </c>
      <c r="M1753" s="1">
        <v>600000</v>
      </c>
      <c r="N1753">
        <v>4.9000000000000004</v>
      </c>
      <c r="O1753">
        <v>0</v>
      </c>
      <c r="P1753" s="2" t="s">
        <v>26</v>
      </c>
    </row>
    <row r="1754" spans="1:16" x14ac:dyDescent="0.25">
      <c r="A1754" s="2" t="s">
        <v>6316</v>
      </c>
      <c r="B1754" s="2" t="s">
        <v>2279</v>
      </c>
      <c r="C1754" s="2" t="s">
        <v>18</v>
      </c>
      <c r="D1754" s="2" t="s">
        <v>79</v>
      </c>
      <c r="E1754" s="2" t="s">
        <v>20</v>
      </c>
      <c r="F1754" s="2" t="s">
        <v>39</v>
      </c>
      <c r="G1754" s="2" t="s">
        <v>33</v>
      </c>
      <c r="H1754" s="2" t="s">
        <v>23</v>
      </c>
      <c r="I1754" s="2" t="s">
        <v>57</v>
      </c>
      <c r="J1754" s="2" t="s">
        <v>5682</v>
      </c>
      <c r="K1754" s="2" t="s">
        <v>2120</v>
      </c>
      <c r="L1754">
        <v>2</v>
      </c>
      <c r="M1754" s="1">
        <v>127000</v>
      </c>
      <c r="N1754">
        <v>2.2999999999999998</v>
      </c>
      <c r="O1754">
        <v>5</v>
      </c>
      <c r="P1754" s="2" t="s">
        <v>53</v>
      </c>
    </row>
    <row r="1755" spans="1:16" x14ac:dyDescent="0.25">
      <c r="A1755" s="2" t="s">
        <v>6317</v>
      </c>
      <c r="B1755" s="2" t="s">
        <v>6318</v>
      </c>
      <c r="C1755" s="2" t="s">
        <v>18</v>
      </c>
      <c r="D1755" s="2" t="s">
        <v>43</v>
      </c>
      <c r="E1755" s="2" t="s">
        <v>20</v>
      </c>
      <c r="F1755" s="2" t="s">
        <v>32</v>
      </c>
      <c r="G1755" s="2" t="s">
        <v>33</v>
      </c>
      <c r="H1755" s="2" t="s">
        <v>46</v>
      </c>
      <c r="I1755" s="2" t="s">
        <v>24</v>
      </c>
      <c r="J1755" s="2" t="s">
        <v>5035</v>
      </c>
      <c r="K1755" s="2" t="s">
        <v>412</v>
      </c>
      <c r="L1755">
        <v>4</v>
      </c>
      <c r="M1755" s="1">
        <v>218000</v>
      </c>
      <c r="N1755">
        <v>2.1</v>
      </c>
      <c r="O1755">
        <v>8</v>
      </c>
      <c r="P1755" s="2" t="s">
        <v>53</v>
      </c>
    </row>
    <row r="1756" spans="1:16" x14ac:dyDescent="0.25">
      <c r="A1756" s="2" t="s">
        <v>6319</v>
      </c>
      <c r="B1756" s="2" t="s">
        <v>6320</v>
      </c>
      <c r="C1756" s="2" t="s">
        <v>29</v>
      </c>
      <c r="D1756" s="2" t="s">
        <v>50</v>
      </c>
      <c r="E1756" s="2" t="s">
        <v>20</v>
      </c>
      <c r="F1756" s="2" t="s">
        <v>21</v>
      </c>
      <c r="G1756" s="2" t="s">
        <v>69</v>
      </c>
      <c r="H1756" s="2" t="s">
        <v>23</v>
      </c>
      <c r="I1756" s="2" t="s">
        <v>57</v>
      </c>
      <c r="J1756" s="2" t="s">
        <v>1382</v>
      </c>
      <c r="K1756" s="2" t="s">
        <v>5409</v>
      </c>
      <c r="L1756">
        <v>6</v>
      </c>
      <c r="M1756" s="1">
        <v>703000</v>
      </c>
      <c r="N1756">
        <v>4.9000000000000004</v>
      </c>
      <c r="O1756">
        <v>6</v>
      </c>
      <c r="P1756" s="2" t="s">
        <v>114</v>
      </c>
    </row>
    <row r="1757" spans="1:16" x14ac:dyDescent="0.25">
      <c r="A1757" s="2" t="s">
        <v>6328</v>
      </c>
      <c r="B1757" s="2" t="s">
        <v>6329</v>
      </c>
      <c r="C1757" s="2" t="s">
        <v>18</v>
      </c>
      <c r="D1757" s="2" t="s">
        <v>50</v>
      </c>
      <c r="E1757" s="2" t="s">
        <v>20</v>
      </c>
      <c r="F1757" s="2" t="s">
        <v>39</v>
      </c>
      <c r="G1757" s="2" t="s">
        <v>80</v>
      </c>
      <c r="H1757" s="2" t="s">
        <v>34</v>
      </c>
      <c r="I1757" s="2" t="s">
        <v>24</v>
      </c>
      <c r="J1757" s="2" t="s">
        <v>1210</v>
      </c>
      <c r="K1757" s="2" t="s">
        <v>1735</v>
      </c>
      <c r="L1757">
        <v>2</v>
      </c>
      <c r="M1757" s="1">
        <v>141000</v>
      </c>
      <c r="N1757">
        <v>4.7</v>
      </c>
      <c r="O1757">
        <v>0</v>
      </c>
      <c r="P1757" s="2" t="s">
        <v>26</v>
      </c>
    </row>
    <row r="1758" spans="1:16" x14ac:dyDescent="0.25">
      <c r="A1758" s="2" t="s">
        <v>6330</v>
      </c>
      <c r="B1758" s="2" t="s">
        <v>6331</v>
      </c>
      <c r="C1758" s="2" t="s">
        <v>29</v>
      </c>
      <c r="D1758" s="2" t="s">
        <v>79</v>
      </c>
      <c r="E1758" s="2" t="s">
        <v>44</v>
      </c>
      <c r="F1758" s="2" t="s">
        <v>128</v>
      </c>
      <c r="G1758" s="2" t="s">
        <v>22</v>
      </c>
      <c r="H1758" s="2" t="s">
        <v>34</v>
      </c>
      <c r="I1758" s="2" t="s">
        <v>75</v>
      </c>
      <c r="J1758" s="2" t="s">
        <v>6332</v>
      </c>
      <c r="K1758" s="2" t="s">
        <v>1735</v>
      </c>
      <c r="L1758">
        <v>3</v>
      </c>
      <c r="M1758" s="1">
        <v>576000</v>
      </c>
      <c r="N1758">
        <v>4.5</v>
      </c>
      <c r="O1758">
        <v>3</v>
      </c>
      <c r="P1758" s="2" t="s">
        <v>53</v>
      </c>
    </row>
    <row r="1759" spans="1:16" x14ac:dyDescent="0.25">
      <c r="A1759" s="2" t="s">
        <v>6333</v>
      </c>
      <c r="B1759" s="2" t="s">
        <v>2131</v>
      </c>
      <c r="C1759" s="2" t="s">
        <v>29</v>
      </c>
      <c r="D1759" s="2" t="s">
        <v>50</v>
      </c>
      <c r="E1759" s="2" t="s">
        <v>20</v>
      </c>
      <c r="F1759" s="2" t="s">
        <v>39</v>
      </c>
      <c r="G1759" s="2" t="s">
        <v>80</v>
      </c>
      <c r="H1759" s="2" t="s">
        <v>46</v>
      </c>
      <c r="I1759" s="2" t="s">
        <v>171</v>
      </c>
      <c r="J1759" s="2" t="s">
        <v>1712</v>
      </c>
      <c r="K1759" s="2" t="s">
        <v>6350</v>
      </c>
      <c r="L1759">
        <v>2</v>
      </c>
      <c r="M1759" s="1">
        <v>165000</v>
      </c>
      <c r="N1759">
        <v>2.8</v>
      </c>
      <c r="O1759">
        <v>5</v>
      </c>
      <c r="P1759" s="2" t="s">
        <v>26</v>
      </c>
    </row>
    <row r="1760" spans="1:16" x14ac:dyDescent="0.25">
      <c r="A1760" s="2" t="s">
        <v>6334</v>
      </c>
      <c r="B1760" s="2" t="s">
        <v>6335</v>
      </c>
      <c r="C1760" s="2" t="s">
        <v>29</v>
      </c>
      <c r="D1760" s="2" t="s">
        <v>50</v>
      </c>
      <c r="E1760" s="2" t="s">
        <v>20</v>
      </c>
      <c r="F1760" s="2" t="s">
        <v>21</v>
      </c>
      <c r="G1760" s="2" t="s">
        <v>80</v>
      </c>
      <c r="H1760" s="2" t="s">
        <v>62</v>
      </c>
      <c r="I1760" s="2" t="s">
        <v>24</v>
      </c>
      <c r="J1760" s="2" t="s">
        <v>3690</v>
      </c>
      <c r="K1760" s="2" t="s">
        <v>6350</v>
      </c>
      <c r="L1760">
        <v>2</v>
      </c>
      <c r="M1760" s="1">
        <v>931000</v>
      </c>
      <c r="N1760">
        <v>3.8</v>
      </c>
      <c r="O1760">
        <v>4</v>
      </c>
      <c r="P1760" s="2" t="s">
        <v>26</v>
      </c>
    </row>
    <row r="1761" spans="1:16" x14ac:dyDescent="0.25">
      <c r="A1761" s="2" t="s">
        <v>6338</v>
      </c>
      <c r="B1761" s="2" t="s">
        <v>2829</v>
      </c>
      <c r="C1761" s="2" t="s">
        <v>29</v>
      </c>
      <c r="D1761" s="2" t="s">
        <v>79</v>
      </c>
      <c r="E1761" s="2" t="s">
        <v>20</v>
      </c>
      <c r="F1761" s="2" t="s">
        <v>128</v>
      </c>
      <c r="G1761" s="2" t="s">
        <v>80</v>
      </c>
      <c r="H1761" s="2" t="s">
        <v>34</v>
      </c>
      <c r="I1761" s="2" t="s">
        <v>24</v>
      </c>
      <c r="J1761" s="2" t="s">
        <v>2210</v>
      </c>
      <c r="K1761" s="2" t="s">
        <v>6350</v>
      </c>
      <c r="L1761">
        <v>4</v>
      </c>
      <c r="M1761" s="1">
        <v>571000</v>
      </c>
      <c r="N1761">
        <v>3</v>
      </c>
      <c r="O1761">
        <v>17</v>
      </c>
      <c r="P1761" s="2" t="s">
        <v>26</v>
      </c>
    </row>
    <row r="1762" spans="1:16" x14ac:dyDescent="0.25">
      <c r="A1762" s="2" t="s">
        <v>6339</v>
      </c>
      <c r="B1762" s="2" t="s">
        <v>6340</v>
      </c>
      <c r="C1762" s="2" t="s">
        <v>29</v>
      </c>
      <c r="D1762" s="2" t="s">
        <v>30</v>
      </c>
      <c r="E1762" s="2" t="s">
        <v>20</v>
      </c>
      <c r="F1762" s="2" t="s">
        <v>32</v>
      </c>
      <c r="G1762" s="2" t="s">
        <v>33</v>
      </c>
      <c r="H1762" s="2" t="s">
        <v>34</v>
      </c>
      <c r="I1762" s="2" t="s">
        <v>24</v>
      </c>
      <c r="J1762" s="2" t="s">
        <v>2100</v>
      </c>
      <c r="K1762" s="2" t="s">
        <v>6350</v>
      </c>
      <c r="L1762">
        <v>2</v>
      </c>
      <c r="M1762" s="1">
        <v>241000</v>
      </c>
      <c r="N1762">
        <v>3.3</v>
      </c>
      <c r="O1762">
        <v>0</v>
      </c>
      <c r="P1762" s="2" t="s">
        <v>26</v>
      </c>
    </row>
    <row r="1763" spans="1:16" x14ac:dyDescent="0.25">
      <c r="A1763" s="2" t="s">
        <v>6343</v>
      </c>
      <c r="B1763" s="2" t="s">
        <v>1201</v>
      </c>
      <c r="C1763" s="2" t="s">
        <v>29</v>
      </c>
      <c r="D1763" s="2" t="s">
        <v>50</v>
      </c>
      <c r="E1763" s="2" t="s">
        <v>20</v>
      </c>
      <c r="F1763" s="2" t="s">
        <v>39</v>
      </c>
      <c r="G1763" s="2" t="s">
        <v>22</v>
      </c>
      <c r="H1763" s="2" t="s">
        <v>23</v>
      </c>
      <c r="I1763" s="2" t="s">
        <v>24</v>
      </c>
      <c r="J1763" s="2" t="s">
        <v>700</v>
      </c>
      <c r="K1763" s="2" t="s">
        <v>6350</v>
      </c>
      <c r="L1763">
        <v>3</v>
      </c>
      <c r="M1763" s="1">
        <v>96000</v>
      </c>
      <c r="N1763">
        <v>3.8</v>
      </c>
      <c r="O1763">
        <v>0</v>
      </c>
      <c r="P1763" s="2" t="s">
        <v>26</v>
      </c>
    </row>
    <row r="1764" spans="1:16" x14ac:dyDescent="0.25">
      <c r="A1764" s="2" t="s">
        <v>6348</v>
      </c>
      <c r="B1764" s="2" t="s">
        <v>6349</v>
      </c>
      <c r="C1764" s="2" t="s">
        <v>29</v>
      </c>
      <c r="D1764" s="2" t="s">
        <v>50</v>
      </c>
      <c r="E1764" s="2" t="s">
        <v>20</v>
      </c>
      <c r="F1764" s="2" t="s">
        <v>128</v>
      </c>
      <c r="G1764" s="2" t="s">
        <v>22</v>
      </c>
      <c r="H1764" s="2" t="s">
        <v>34</v>
      </c>
      <c r="I1764" s="2" t="s">
        <v>24</v>
      </c>
      <c r="J1764" s="2" t="s">
        <v>2681</v>
      </c>
      <c r="K1764" s="2" t="s">
        <v>6350</v>
      </c>
      <c r="L1764">
        <v>2</v>
      </c>
      <c r="M1764" s="1">
        <v>352000</v>
      </c>
      <c r="N1764">
        <v>3.6</v>
      </c>
      <c r="O1764">
        <v>12</v>
      </c>
      <c r="P1764" s="2" t="s">
        <v>53</v>
      </c>
    </row>
    <row r="1765" spans="1:16" x14ac:dyDescent="0.25">
      <c r="A1765" s="2" t="s">
        <v>6353</v>
      </c>
      <c r="B1765" s="2" t="s">
        <v>6354</v>
      </c>
      <c r="C1765" s="2" t="s">
        <v>18</v>
      </c>
      <c r="D1765" s="2" t="s">
        <v>862</v>
      </c>
      <c r="E1765" s="2" t="s">
        <v>44</v>
      </c>
      <c r="F1765" s="2" t="s">
        <v>32</v>
      </c>
      <c r="G1765" s="2" t="s">
        <v>22</v>
      </c>
      <c r="H1765" s="2" t="s">
        <v>46</v>
      </c>
      <c r="I1765" s="2" t="s">
        <v>24</v>
      </c>
      <c r="J1765" s="2" t="s">
        <v>4493</v>
      </c>
      <c r="K1765" s="2" t="s">
        <v>6355</v>
      </c>
      <c r="L1765">
        <v>6</v>
      </c>
      <c r="M1765" s="1">
        <v>328000</v>
      </c>
      <c r="N1765">
        <v>4.3</v>
      </c>
      <c r="O1765">
        <v>14</v>
      </c>
      <c r="P1765" s="2" t="s">
        <v>53</v>
      </c>
    </row>
    <row r="1766" spans="1:16" x14ac:dyDescent="0.25">
      <c r="A1766" s="2" t="s">
        <v>6361</v>
      </c>
      <c r="B1766" s="2" t="s">
        <v>6362</v>
      </c>
      <c r="C1766" s="2" t="s">
        <v>18</v>
      </c>
      <c r="D1766" s="2" t="s">
        <v>43</v>
      </c>
      <c r="E1766" s="2" t="s">
        <v>31</v>
      </c>
      <c r="F1766" s="2" t="s">
        <v>39</v>
      </c>
      <c r="G1766" s="2" t="s">
        <v>80</v>
      </c>
      <c r="H1766" s="2" t="s">
        <v>46</v>
      </c>
      <c r="I1766" s="2" t="s">
        <v>35</v>
      </c>
      <c r="J1766" s="2" t="s">
        <v>1683</v>
      </c>
      <c r="K1766" s="2" t="s">
        <v>1894</v>
      </c>
      <c r="L1766">
        <v>2</v>
      </c>
      <c r="M1766" s="1">
        <v>119000</v>
      </c>
      <c r="N1766">
        <v>2.4</v>
      </c>
      <c r="O1766">
        <v>11</v>
      </c>
      <c r="P1766" s="2" t="s">
        <v>53</v>
      </c>
    </row>
    <row r="1767" spans="1:16" x14ac:dyDescent="0.25">
      <c r="A1767" s="2" t="s">
        <v>6363</v>
      </c>
      <c r="B1767" s="2" t="s">
        <v>6364</v>
      </c>
      <c r="C1767" s="2" t="s">
        <v>29</v>
      </c>
      <c r="D1767" s="2" t="s">
        <v>79</v>
      </c>
      <c r="E1767" s="2" t="s">
        <v>20</v>
      </c>
      <c r="F1767" s="2" t="s">
        <v>39</v>
      </c>
      <c r="G1767" s="2" t="s">
        <v>80</v>
      </c>
      <c r="H1767" s="2" t="s">
        <v>46</v>
      </c>
      <c r="I1767" s="2" t="s">
        <v>35</v>
      </c>
      <c r="J1767" s="2" t="s">
        <v>6052</v>
      </c>
      <c r="K1767" s="2" t="s">
        <v>1021</v>
      </c>
      <c r="L1767">
        <v>4</v>
      </c>
      <c r="M1767" s="1">
        <v>113000</v>
      </c>
      <c r="N1767">
        <v>3.1</v>
      </c>
      <c r="O1767">
        <v>9</v>
      </c>
      <c r="P1767" s="2" t="s">
        <v>26</v>
      </c>
    </row>
    <row r="1768" spans="1:16" x14ac:dyDescent="0.25">
      <c r="A1768" s="2" t="s">
        <v>6365</v>
      </c>
      <c r="B1768" s="2" t="s">
        <v>3524</v>
      </c>
      <c r="C1768" s="2" t="s">
        <v>29</v>
      </c>
      <c r="D1768" s="2" t="s">
        <v>79</v>
      </c>
      <c r="E1768" s="2" t="s">
        <v>20</v>
      </c>
      <c r="F1768" s="2" t="s">
        <v>32</v>
      </c>
      <c r="G1768" s="2" t="s">
        <v>69</v>
      </c>
      <c r="H1768" s="2" t="s">
        <v>46</v>
      </c>
      <c r="I1768" s="2" t="s">
        <v>171</v>
      </c>
      <c r="J1768" s="2" t="s">
        <v>1662</v>
      </c>
      <c r="K1768" s="2" t="s">
        <v>1021</v>
      </c>
      <c r="L1768">
        <v>6</v>
      </c>
      <c r="M1768" s="1">
        <v>188000</v>
      </c>
      <c r="N1768">
        <v>3.3</v>
      </c>
      <c r="O1768">
        <v>1</v>
      </c>
      <c r="P1768" s="2" t="s">
        <v>26</v>
      </c>
    </row>
    <row r="1769" spans="1:16" x14ac:dyDescent="0.25">
      <c r="A1769" s="2" t="s">
        <v>6369</v>
      </c>
      <c r="B1769" s="2" t="s">
        <v>4870</v>
      </c>
      <c r="C1769" s="2" t="s">
        <v>29</v>
      </c>
      <c r="D1769" s="2" t="s">
        <v>43</v>
      </c>
      <c r="E1769" s="2" t="s">
        <v>20</v>
      </c>
      <c r="F1769" s="2" t="s">
        <v>32</v>
      </c>
      <c r="G1769" s="2" t="s">
        <v>22</v>
      </c>
      <c r="H1769" s="2" t="s">
        <v>62</v>
      </c>
      <c r="I1769" s="2" t="s">
        <v>57</v>
      </c>
      <c r="J1769" s="2" t="s">
        <v>5660</v>
      </c>
      <c r="K1769" s="2" t="s">
        <v>1021</v>
      </c>
      <c r="L1769">
        <v>6</v>
      </c>
      <c r="M1769" s="1">
        <v>182000</v>
      </c>
      <c r="N1769">
        <v>4</v>
      </c>
      <c r="O1769">
        <v>27</v>
      </c>
      <c r="P1769" s="2" t="s">
        <v>53</v>
      </c>
    </row>
    <row r="1770" spans="1:16" x14ac:dyDescent="0.25">
      <c r="A1770" s="2" t="s">
        <v>6370</v>
      </c>
      <c r="B1770" s="2" t="s">
        <v>4913</v>
      </c>
      <c r="C1770" s="2" t="s">
        <v>29</v>
      </c>
      <c r="D1770" s="2" t="s">
        <v>30</v>
      </c>
      <c r="E1770" s="2" t="s">
        <v>44</v>
      </c>
      <c r="F1770" s="2" t="s">
        <v>39</v>
      </c>
      <c r="G1770" s="2" t="s">
        <v>33</v>
      </c>
      <c r="H1770" s="2" t="s">
        <v>23</v>
      </c>
      <c r="I1770" s="2" t="s">
        <v>171</v>
      </c>
      <c r="J1770" s="2" t="s">
        <v>3195</v>
      </c>
      <c r="K1770" s="2" t="s">
        <v>1591</v>
      </c>
      <c r="L1770">
        <v>6</v>
      </c>
      <c r="M1770" s="1">
        <v>153000</v>
      </c>
      <c r="N1770">
        <v>1.8</v>
      </c>
      <c r="O1770">
        <v>6</v>
      </c>
      <c r="P1770" s="2" t="s">
        <v>53</v>
      </c>
    </row>
    <row r="1771" spans="1:16" x14ac:dyDescent="0.25">
      <c r="A1771" s="2" t="s">
        <v>6371</v>
      </c>
      <c r="B1771" s="2" t="s">
        <v>2339</v>
      </c>
      <c r="C1771" s="2" t="s">
        <v>29</v>
      </c>
      <c r="D1771" s="2" t="s">
        <v>79</v>
      </c>
      <c r="E1771" s="2" t="s">
        <v>31</v>
      </c>
      <c r="F1771" s="2" t="s">
        <v>128</v>
      </c>
      <c r="G1771" s="2" t="s">
        <v>33</v>
      </c>
      <c r="H1771" s="2" t="s">
        <v>23</v>
      </c>
      <c r="I1771" s="2" t="s">
        <v>57</v>
      </c>
      <c r="J1771" s="2" t="s">
        <v>3036</v>
      </c>
      <c r="K1771" s="2" t="s">
        <v>4373</v>
      </c>
      <c r="L1771">
        <v>6</v>
      </c>
      <c r="M1771" s="1">
        <v>519000</v>
      </c>
      <c r="N1771">
        <v>2.7</v>
      </c>
      <c r="O1771">
        <v>22</v>
      </c>
      <c r="P1771" s="2" t="s">
        <v>72</v>
      </c>
    </row>
    <row r="1772" spans="1:16" x14ac:dyDescent="0.25">
      <c r="A1772" s="2" t="s">
        <v>6372</v>
      </c>
      <c r="B1772" s="2" t="s">
        <v>6373</v>
      </c>
      <c r="C1772" s="2" t="s">
        <v>18</v>
      </c>
      <c r="D1772" s="2" t="s">
        <v>50</v>
      </c>
      <c r="E1772" s="2" t="s">
        <v>20</v>
      </c>
      <c r="F1772" s="2" t="s">
        <v>39</v>
      </c>
      <c r="G1772" s="2" t="s">
        <v>22</v>
      </c>
      <c r="H1772" s="2" t="s">
        <v>23</v>
      </c>
      <c r="I1772" s="2" t="s">
        <v>57</v>
      </c>
      <c r="J1772" s="2" t="s">
        <v>3031</v>
      </c>
      <c r="K1772" s="2" t="s">
        <v>220</v>
      </c>
      <c r="L1772">
        <v>3</v>
      </c>
      <c r="M1772" s="1">
        <v>107000</v>
      </c>
      <c r="N1772">
        <v>3.7</v>
      </c>
      <c r="O1772">
        <v>10</v>
      </c>
      <c r="P1772" s="2" t="s">
        <v>26</v>
      </c>
    </row>
    <row r="1773" spans="1:16" x14ac:dyDescent="0.25">
      <c r="A1773" s="2" t="s">
        <v>6376</v>
      </c>
      <c r="B1773" s="2" t="s">
        <v>6377</v>
      </c>
      <c r="C1773" s="2" t="s">
        <v>18</v>
      </c>
      <c r="D1773" s="2" t="s">
        <v>79</v>
      </c>
      <c r="E1773" s="2" t="s">
        <v>44</v>
      </c>
      <c r="F1773" s="2" t="s">
        <v>32</v>
      </c>
      <c r="G1773" s="2" t="s">
        <v>22</v>
      </c>
      <c r="H1773" s="2" t="s">
        <v>23</v>
      </c>
      <c r="I1773" s="2" t="s">
        <v>35</v>
      </c>
      <c r="J1773" s="2" t="s">
        <v>4936</v>
      </c>
      <c r="K1773" s="2" t="s">
        <v>220</v>
      </c>
      <c r="L1773">
        <v>6</v>
      </c>
      <c r="M1773" s="1">
        <v>224000</v>
      </c>
      <c r="N1773">
        <v>2.7</v>
      </c>
      <c r="O1773">
        <v>7</v>
      </c>
      <c r="P1773" s="2" t="s">
        <v>26</v>
      </c>
    </row>
    <row r="1774" spans="1:16" x14ac:dyDescent="0.25">
      <c r="A1774" s="2" t="s">
        <v>6380</v>
      </c>
      <c r="B1774" s="2" t="s">
        <v>2507</v>
      </c>
      <c r="C1774" s="2" t="s">
        <v>29</v>
      </c>
      <c r="D1774" s="2" t="s">
        <v>30</v>
      </c>
      <c r="E1774" s="2" t="s">
        <v>20</v>
      </c>
      <c r="F1774" s="2" t="s">
        <v>128</v>
      </c>
      <c r="G1774" s="2" t="s">
        <v>22</v>
      </c>
      <c r="H1774" s="2" t="s">
        <v>62</v>
      </c>
      <c r="I1774" s="2" t="s">
        <v>24</v>
      </c>
      <c r="J1774" s="2" t="s">
        <v>3872</v>
      </c>
      <c r="K1774" s="2" t="s">
        <v>220</v>
      </c>
      <c r="L1774">
        <v>3</v>
      </c>
      <c r="M1774" s="1">
        <v>523000</v>
      </c>
      <c r="N1774">
        <v>4</v>
      </c>
      <c r="O1774">
        <v>9</v>
      </c>
      <c r="P1774" s="2" t="s">
        <v>26</v>
      </c>
    </row>
    <row r="1775" spans="1:16" x14ac:dyDescent="0.25">
      <c r="A1775" s="2" t="s">
        <v>6381</v>
      </c>
      <c r="B1775" s="2" t="s">
        <v>4423</v>
      </c>
      <c r="C1775" s="2" t="s">
        <v>29</v>
      </c>
      <c r="D1775" s="2" t="s">
        <v>50</v>
      </c>
      <c r="E1775" s="2" t="s">
        <v>44</v>
      </c>
      <c r="F1775" s="2" t="s">
        <v>128</v>
      </c>
      <c r="G1775" s="2" t="s">
        <v>33</v>
      </c>
      <c r="H1775" s="2" t="s">
        <v>34</v>
      </c>
      <c r="I1775" s="2" t="s">
        <v>57</v>
      </c>
      <c r="J1775" s="2" t="s">
        <v>5155</v>
      </c>
      <c r="K1775" s="2" t="s">
        <v>220</v>
      </c>
      <c r="L1775">
        <v>7</v>
      </c>
      <c r="M1775" s="1">
        <v>437000</v>
      </c>
      <c r="N1775">
        <v>2.2000000000000002</v>
      </c>
      <c r="O1775">
        <v>12</v>
      </c>
      <c r="P1775" s="2" t="s">
        <v>72</v>
      </c>
    </row>
    <row r="1776" spans="1:16" x14ac:dyDescent="0.25">
      <c r="A1776" s="2" t="s">
        <v>6383</v>
      </c>
      <c r="B1776" s="2" t="s">
        <v>6130</v>
      </c>
      <c r="C1776" s="2" t="s">
        <v>18</v>
      </c>
      <c r="D1776" s="2" t="s">
        <v>30</v>
      </c>
      <c r="E1776" s="2" t="s">
        <v>20</v>
      </c>
      <c r="F1776" s="2" t="s">
        <v>39</v>
      </c>
      <c r="G1776" s="2" t="s">
        <v>69</v>
      </c>
      <c r="H1776" s="2" t="s">
        <v>34</v>
      </c>
      <c r="I1776" s="2" t="s">
        <v>57</v>
      </c>
      <c r="J1776" s="2" t="s">
        <v>3905</v>
      </c>
      <c r="K1776" s="2" t="s">
        <v>2953</v>
      </c>
      <c r="L1776">
        <v>2</v>
      </c>
      <c r="M1776" s="1">
        <v>122000</v>
      </c>
      <c r="N1776">
        <v>2.2000000000000002</v>
      </c>
      <c r="O1776">
        <v>6</v>
      </c>
      <c r="P1776" s="2" t="s">
        <v>26</v>
      </c>
    </row>
    <row r="1777" spans="1:16" x14ac:dyDescent="0.25">
      <c r="A1777" s="2" t="s">
        <v>6384</v>
      </c>
      <c r="B1777" s="2" t="s">
        <v>6385</v>
      </c>
      <c r="C1777" s="2" t="s">
        <v>29</v>
      </c>
      <c r="D1777" s="2" t="s">
        <v>50</v>
      </c>
      <c r="E1777" s="2" t="s">
        <v>20</v>
      </c>
      <c r="F1777" s="2" t="s">
        <v>32</v>
      </c>
      <c r="G1777" s="2" t="s">
        <v>80</v>
      </c>
      <c r="H1777" s="2" t="s">
        <v>34</v>
      </c>
      <c r="I1777" s="2" t="s">
        <v>75</v>
      </c>
      <c r="J1777" s="2" t="s">
        <v>5609</v>
      </c>
      <c r="K1777" s="2" t="s">
        <v>2953</v>
      </c>
      <c r="L1777">
        <v>4</v>
      </c>
      <c r="M1777" s="1">
        <v>209000</v>
      </c>
      <c r="N1777">
        <v>4.2</v>
      </c>
      <c r="O1777">
        <v>7</v>
      </c>
      <c r="P1777" s="2" t="s">
        <v>26</v>
      </c>
    </row>
    <row r="1778" spans="1:16" x14ac:dyDescent="0.25">
      <c r="A1778" s="2" t="s">
        <v>6386</v>
      </c>
      <c r="B1778" s="2" t="s">
        <v>6387</v>
      </c>
      <c r="C1778" s="2" t="s">
        <v>29</v>
      </c>
      <c r="D1778" s="2" t="s">
        <v>19</v>
      </c>
      <c r="E1778" s="2" t="s">
        <v>20</v>
      </c>
      <c r="F1778" s="2" t="s">
        <v>128</v>
      </c>
      <c r="G1778" s="2" t="s">
        <v>33</v>
      </c>
      <c r="H1778" s="2" t="s">
        <v>34</v>
      </c>
      <c r="I1778" s="2" t="s">
        <v>24</v>
      </c>
      <c r="J1778" s="2" t="s">
        <v>1525</v>
      </c>
      <c r="K1778" s="2" t="s">
        <v>2953</v>
      </c>
      <c r="L1778">
        <v>5</v>
      </c>
      <c r="M1778" s="1">
        <v>469000</v>
      </c>
      <c r="N1778">
        <v>3.3</v>
      </c>
      <c r="O1778">
        <v>21</v>
      </c>
      <c r="P1778" s="2" t="s">
        <v>53</v>
      </c>
    </row>
    <row r="1779" spans="1:16" x14ac:dyDescent="0.25">
      <c r="A1779" s="2" t="s">
        <v>6388</v>
      </c>
      <c r="B1779" s="2" t="s">
        <v>4798</v>
      </c>
      <c r="C1779" s="2" t="s">
        <v>29</v>
      </c>
      <c r="D1779" s="2" t="s">
        <v>43</v>
      </c>
      <c r="E1779" s="2" t="s">
        <v>20</v>
      </c>
      <c r="F1779" s="2" t="s">
        <v>32</v>
      </c>
      <c r="G1779" s="2" t="s">
        <v>69</v>
      </c>
      <c r="H1779" s="2" t="s">
        <v>23</v>
      </c>
      <c r="I1779" s="2" t="s">
        <v>75</v>
      </c>
      <c r="J1779" s="2" t="s">
        <v>4096</v>
      </c>
      <c r="K1779" s="2" t="s">
        <v>6400</v>
      </c>
      <c r="L1779">
        <v>7</v>
      </c>
      <c r="M1779" s="1">
        <v>318000</v>
      </c>
      <c r="N1779">
        <v>3.9</v>
      </c>
      <c r="O1779">
        <v>12</v>
      </c>
      <c r="P1779" s="2" t="s">
        <v>26</v>
      </c>
    </row>
    <row r="1780" spans="1:16" x14ac:dyDescent="0.25">
      <c r="A1780" s="2" t="s">
        <v>6389</v>
      </c>
      <c r="B1780" s="2" t="s">
        <v>337</v>
      </c>
      <c r="C1780" s="2" t="s">
        <v>29</v>
      </c>
      <c r="D1780" s="2" t="s">
        <v>79</v>
      </c>
      <c r="E1780" s="2" t="s">
        <v>44</v>
      </c>
      <c r="F1780" s="2" t="s">
        <v>39</v>
      </c>
      <c r="G1780" s="2" t="s">
        <v>80</v>
      </c>
      <c r="H1780" s="2" t="s">
        <v>62</v>
      </c>
      <c r="I1780" s="2" t="s">
        <v>57</v>
      </c>
      <c r="J1780" s="2" t="s">
        <v>3855</v>
      </c>
      <c r="K1780" s="2" t="s">
        <v>6400</v>
      </c>
      <c r="L1780">
        <v>2</v>
      </c>
      <c r="M1780" s="1">
        <v>102000</v>
      </c>
      <c r="N1780">
        <v>2.9</v>
      </c>
      <c r="O1780">
        <v>2</v>
      </c>
      <c r="P1780" s="2" t="s">
        <v>26</v>
      </c>
    </row>
    <row r="1781" spans="1:16" x14ac:dyDescent="0.25">
      <c r="A1781" s="2" t="s">
        <v>6390</v>
      </c>
      <c r="B1781" s="2" t="s">
        <v>6357</v>
      </c>
      <c r="C1781" s="2" t="s">
        <v>29</v>
      </c>
      <c r="D1781" s="2" t="s">
        <v>43</v>
      </c>
      <c r="E1781" s="2" t="s">
        <v>20</v>
      </c>
      <c r="F1781" s="2" t="s">
        <v>39</v>
      </c>
      <c r="G1781" s="2" t="s">
        <v>22</v>
      </c>
      <c r="H1781" s="2" t="s">
        <v>23</v>
      </c>
      <c r="I1781" s="2" t="s">
        <v>24</v>
      </c>
      <c r="J1781" s="2" t="s">
        <v>159</v>
      </c>
      <c r="K1781" s="2" t="s">
        <v>6400</v>
      </c>
      <c r="L1781">
        <v>2</v>
      </c>
      <c r="M1781" s="1">
        <v>150000</v>
      </c>
      <c r="N1781">
        <v>3.8</v>
      </c>
      <c r="O1781">
        <v>12</v>
      </c>
      <c r="P1781" s="2" t="s">
        <v>26</v>
      </c>
    </row>
    <row r="1782" spans="1:16" x14ac:dyDescent="0.25">
      <c r="A1782" s="2" t="s">
        <v>6391</v>
      </c>
      <c r="B1782" s="2" t="s">
        <v>451</v>
      </c>
      <c r="C1782" s="2" t="s">
        <v>29</v>
      </c>
      <c r="D1782" s="2" t="s">
        <v>79</v>
      </c>
      <c r="E1782" s="2" t="s">
        <v>44</v>
      </c>
      <c r="F1782" s="2" t="s">
        <v>39</v>
      </c>
      <c r="G1782" s="2" t="s">
        <v>22</v>
      </c>
      <c r="H1782" s="2" t="s">
        <v>23</v>
      </c>
      <c r="I1782" s="2" t="s">
        <v>24</v>
      </c>
      <c r="J1782" s="2" t="s">
        <v>6392</v>
      </c>
      <c r="K1782" s="2" t="s">
        <v>6400</v>
      </c>
      <c r="L1782">
        <v>7</v>
      </c>
      <c r="M1782" s="1">
        <v>171000</v>
      </c>
      <c r="N1782">
        <v>5</v>
      </c>
      <c r="O1782">
        <v>1</v>
      </c>
      <c r="P1782" s="2" t="s">
        <v>26</v>
      </c>
    </row>
    <row r="1783" spans="1:16" x14ac:dyDescent="0.25">
      <c r="A1783" s="2" t="s">
        <v>6393</v>
      </c>
      <c r="B1783" s="2" t="s">
        <v>552</v>
      </c>
      <c r="C1783" s="2" t="s">
        <v>18</v>
      </c>
      <c r="D1783" s="2" t="s">
        <v>50</v>
      </c>
      <c r="E1783" s="2" t="s">
        <v>20</v>
      </c>
      <c r="F1783" s="2" t="s">
        <v>21</v>
      </c>
      <c r="G1783" s="2" t="s">
        <v>22</v>
      </c>
      <c r="H1783" s="2" t="s">
        <v>23</v>
      </c>
      <c r="I1783" s="2" t="s">
        <v>24</v>
      </c>
      <c r="J1783" s="2" t="s">
        <v>6394</v>
      </c>
      <c r="K1783" s="2" t="s">
        <v>6400</v>
      </c>
      <c r="L1783">
        <v>3</v>
      </c>
      <c r="M1783" s="1">
        <v>843000</v>
      </c>
      <c r="N1783">
        <v>4.4000000000000004</v>
      </c>
      <c r="O1783">
        <v>3</v>
      </c>
      <c r="P1783" s="2" t="s">
        <v>26</v>
      </c>
    </row>
    <row r="1784" spans="1:16" x14ac:dyDescent="0.25">
      <c r="A1784" s="2" t="s">
        <v>6395</v>
      </c>
      <c r="B1784" s="2" t="s">
        <v>6396</v>
      </c>
      <c r="C1784" s="2" t="s">
        <v>29</v>
      </c>
      <c r="D1784" s="2" t="s">
        <v>79</v>
      </c>
      <c r="E1784" s="2" t="s">
        <v>20</v>
      </c>
      <c r="F1784" s="2" t="s">
        <v>128</v>
      </c>
      <c r="G1784" s="2" t="s">
        <v>22</v>
      </c>
      <c r="H1784" s="2" t="s">
        <v>34</v>
      </c>
      <c r="I1784" s="2" t="s">
        <v>24</v>
      </c>
      <c r="J1784" s="2" t="s">
        <v>6397</v>
      </c>
      <c r="K1784" s="2" t="s">
        <v>6400</v>
      </c>
      <c r="L1784">
        <v>6</v>
      </c>
      <c r="M1784" s="1">
        <v>484000</v>
      </c>
      <c r="N1784">
        <v>3</v>
      </c>
      <c r="O1784">
        <v>13</v>
      </c>
      <c r="P1784" s="2" t="s">
        <v>26</v>
      </c>
    </row>
    <row r="1785" spans="1:16" x14ac:dyDescent="0.25">
      <c r="A1785" s="2" t="s">
        <v>6398</v>
      </c>
      <c r="B1785" s="2" t="s">
        <v>2249</v>
      </c>
      <c r="C1785" s="2" t="s">
        <v>29</v>
      </c>
      <c r="D1785" s="2" t="s">
        <v>43</v>
      </c>
      <c r="E1785" s="2" t="s">
        <v>44</v>
      </c>
      <c r="F1785" s="2" t="s">
        <v>32</v>
      </c>
      <c r="G1785" s="2" t="s">
        <v>80</v>
      </c>
      <c r="H1785" s="2" t="s">
        <v>23</v>
      </c>
      <c r="I1785" s="2" t="s">
        <v>75</v>
      </c>
      <c r="J1785" s="2" t="s">
        <v>6399</v>
      </c>
      <c r="K1785" s="2" t="s">
        <v>6400</v>
      </c>
      <c r="L1785">
        <v>3</v>
      </c>
      <c r="M1785" s="1">
        <v>197000</v>
      </c>
      <c r="N1785">
        <v>4.2</v>
      </c>
      <c r="O1785">
        <v>0</v>
      </c>
      <c r="P1785" s="2" t="s">
        <v>53</v>
      </c>
    </row>
    <row r="1786" spans="1:16" x14ac:dyDescent="0.25">
      <c r="A1786" s="2" t="s">
        <v>6402</v>
      </c>
      <c r="B1786" s="2" t="s">
        <v>4349</v>
      </c>
      <c r="C1786" s="2" t="s">
        <v>29</v>
      </c>
      <c r="D1786" s="2" t="s">
        <v>79</v>
      </c>
      <c r="E1786" s="2" t="s">
        <v>20</v>
      </c>
      <c r="F1786" s="2" t="s">
        <v>128</v>
      </c>
      <c r="G1786" s="2" t="s">
        <v>22</v>
      </c>
      <c r="H1786" s="2" t="s">
        <v>46</v>
      </c>
      <c r="I1786" s="2" t="s">
        <v>35</v>
      </c>
      <c r="J1786" s="2" t="s">
        <v>2487</v>
      </c>
      <c r="K1786" s="2" t="s">
        <v>1821</v>
      </c>
      <c r="L1786">
        <v>2</v>
      </c>
      <c r="M1786" s="1">
        <v>420000</v>
      </c>
      <c r="N1786">
        <v>4.8</v>
      </c>
      <c r="O1786">
        <v>8</v>
      </c>
      <c r="P1786" s="2" t="s">
        <v>26</v>
      </c>
    </row>
    <row r="1787" spans="1:16" x14ac:dyDescent="0.25">
      <c r="A1787" s="2" t="s">
        <v>6403</v>
      </c>
      <c r="B1787" s="2" t="s">
        <v>6404</v>
      </c>
      <c r="C1787" s="2" t="s">
        <v>29</v>
      </c>
      <c r="D1787" s="2" t="s">
        <v>30</v>
      </c>
      <c r="E1787" s="2" t="s">
        <v>44</v>
      </c>
      <c r="F1787" s="2" t="s">
        <v>39</v>
      </c>
      <c r="G1787" s="2" t="s">
        <v>80</v>
      </c>
      <c r="H1787" s="2" t="s">
        <v>23</v>
      </c>
      <c r="I1787" s="2" t="s">
        <v>24</v>
      </c>
      <c r="J1787" s="2" t="s">
        <v>2385</v>
      </c>
      <c r="K1787" s="2" t="s">
        <v>1821</v>
      </c>
      <c r="L1787">
        <v>2</v>
      </c>
      <c r="M1787" s="1">
        <v>152000</v>
      </c>
      <c r="N1787">
        <v>2.4</v>
      </c>
      <c r="O1787">
        <v>18</v>
      </c>
      <c r="P1787" s="2" t="s">
        <v>53</v>
      </c>
    </row>
    <row r="1788" spans="1:16" x14ac:dyDescent="0.25">
      <c r="A1788" s="2" t="s">
        <v>6405</v>
      </c>
      <c r="B1788" s="2" t="s">
        <v>6406</v>
      </c>
      <c r="C1788" s="2" t="s">
        <v>29</v>
      </c>
      <c r="D1788" s="2" t="s">
        <v>30</v>
      </c>
      <c r="E1788" s="2" t="s">
        <v>44</v>
      </c>
      <c r="F1788" s="2" t="s">
        <v>39</v>
      </c>
      <c r="G1788" s="2" t="s">
        <v>33</v>
      </c>
      <c r="H1788" s="2" t="s">
        <v>23</v>
      </c>
      <c r="I1788" s="2" t="s">
        <v>57</v>
      </c>
      <c r="J1788" s="2" t="s">
        <v>6048</v>
      </c>
      <c r="K1788" s="2" t="s">
        <v>6120</v>
      </c>
      <c r="L1788">
        <v>5</v>
      </c>
      <c r="M1788" s="1">
        <v>167000</v>
      </c>
      <c r="N1788">
        <v>3.3</v>
      </c>
      <c r="O1788">
        <v>14</v>
      </c>
      <c r="P1788" s="2" t="s">
        <v>26</v>
      </c>
    </row>
    <row r="1789" spans="1:16" x14ac:dyDescent="0.25">
      <c r="A1789" s="2" t="s">
        <v>6407</v>
      </c>
      <c r="B1789" s="2" t="s">
        <v>2383</v>
      </c>
      <c r="C1789" s="2" t="s">
        <v>29</v>
      </c>
      <c r="D1789" s="2" t="s">
        <v>43</v>
      </c>
      <c r="E1789" s="2" t="s">
        <v>20</v>
      </c>
      <c r="F1789" s="2" t="s">
        <v>39</v>
      </c>
      <c r="G1789" s="2" t="s">
        <v>22</v>
      </c>
      <c r="H1789" s="2" t="s">
        <v>34</v>
      </c>
      <c r="I1789" s="2" t="s">
        <v>35</v>
      </c>
      <c r="J1789" s="2" t="s">
        <v>6408</v>
      </c>
      <c r="K1789" s="2" t="s">
        <v>6120</v>
      </c>
      <c r="L1789">
        <v>6</v>
      </c>
      <c r="M1789" s="1">
        <v>85000</v>
      </c>
      <c r="N1789">
        <v>3</v>
      </c>
      <c r="O1789">
        <v>31</v>
      </c>
      <c r="P1789" s="2" t="s">
        <v>53</v>
      </c>
    </row>
    <row r="1790" spans="1:16" x14ac:dyDescent="0.25">
      <c r="A1790" s="2" t="s">
        <v>6410</v>
      </c>
      <c r="B1790" s="2" t="s">
        <v>3909</v>
      </c>
      <c r="C1790" s="2" t="s">
        <v>18</v>
      </c>
      <c r="D1790" s="2" t="s">
        <v>50</v>
      </c>
      <c r="E1790" s="2" t="s">
        <v>31</v>
      </c>
      <c r="F1790" s="2" t="s">
        <v>39</v>
      </c>
      <c r="G1790" s="2" t="s">
        <v>22</v>
      </c>
      <c r="H1790" s="2" t="s">
        <v>23</v>
      </c>
      <c r="I1790" s="2" t="s">
        <v>57</v>
      </c>
      <c r="J1790" s="2" t="s">
        <v>5538</v>
      </c>
      <c r="K1790" s="2" t="s">
        <v>1379</v>
      </c>
      <c r="L1790">
        <v>6</v>
      </c>
      <c r="M1790" s="1">
        <v>96000</v>
      </c>
      <c r="N1790">
        <v>4.7</v>
      </c>
      <c r="O1790">
        <v>27</v>
      </c>
      <c r="P1790" s="2" t="s">
        <v>26</v>
      </c>
    </row>
    <row r="1791" spans="1:16" x14ac:dyDescent="0.25">
      <c r="A1791" s="2" t="s">
        <v>6411</v>
      </c>
      <c r="B1791" s="2" t="s">
        <v>6412</v>
      </c>
      <c r="C1791" s="2" t="s">
        <v>18</v>
      </c>
      <c r="D1791" s="2" t="s">
        <v>50</v>
      </c>
      <c r="E1791" s="2" t="s">
        <v>44</v>
      </c>
      <c r="F1791" s="2" t="s">
        <v>39</v>
      </c>
      <c r="G1791" s="2" t="s">
        <v>22</v>
      </c>
      <c r="H1791" s="2" t="s">
        <v>23</v>
      </c>
      <c r="I1791" s="2" t="s">
        <v>35</v>
      </c>
      <c r="J1791" s="2" t="s">
        <v>3161</v>
      </c>
      <c r="K1791" s="2" t="s">
        <v>1379</v>
      </c>
      <c r="L1791">
        <v>5</v>
      </c>
      <c r="M1791" s="1">
        <v>154000</v>
      </c>
      <c r="N1791">
        <v>2</v>
      </c>
      <c r="O1791">
        <v>5</v>
      </c>
      <c r="P1791" s="2" t="s">
        <v>53</v>
      </c>
    </row>
    <row r="1792" spans="1:16" x14ac:dyDescent="0.25">
      <c r="A1792" s="2" t="s">
        <v>6414</v>
      </c>
      <c r="B1792" s="2" t="s">
        <v>6415</v>
      </c>
      <c r="C1792" s="2" t="s">
        <v>18</v>
      </c>
      <c r="D1792" s="2" t="s">
        <v>30</v>
      </c>
      <c r="E1792" s="2" t="s">
        <v>20</v>
      </c>
      <c r="F1792" s="2" t="s">
        <v>32</v>
      </c>
      <c r="G1792" s="2" t="s">
        <v>80</v>
      </c>
      <c r="H1792" s="2" t="s">
        <v>46</v>
      </c>
      <c r="I1792" s="2" t="s">
        <v>24</v>
      </c>
      <c r="J1792" s="2" t="s">
        <v>2988</v>
      </c>
      <c r="K1792" s="2" t="s">
        <v>1065</v>
      </c>
      <c r="L1792">
        <v>5</v>
      </c>
      <c r="M1792" s="1">
        <v>305000</v>
      </c>
      <c r="N1792">
        <v>2.7</v>
      </c>
      <c r="O1792">
        <v>8</v>
      </c>
      <c r="P1792" s="2" t="s">
        <v>114</v>
      </c>
    </row>
    <row r="1793" spans="1:16" x14ac:dyDescent="0.25">
      <c r="A1793" s="2" t="s">
        <v>6416</v>
      </c>
      <c r="B1793" s="2" t="s">
        <v>6417</v>
      </c>
      <c r="C1793" s="2" t="s">
        <v>18</v>
      </c>
      <c r="D1793" s="2" t="s">
        <v>30</v>
      </c>
      <c r="E1793" s="2" t="s">
        <v>44</v>
      </c>
      <c r="F1793" s="2" t="s">
        <v>128</v>
      </c>
      <c r="G1793" s="2" t="s">
        <v>22</v>
      </c>
      <c r="H1793" s="2" t="s">
        <v>34</v>
      </c>
      <c r="I1793" s="2" t="s">
        <v>24</v>
      </c>
      <c r="J1793" s="2" t="s">
        <v>4454</v>
      </c>
      <c r="K1793" s="2" t="s">
        <v>1199</v>
      </c>
      <c r="L1793">
        <v>4</v>
      </c>
      <c r="M1793" s="1">
        <v>360000</v>
      </c>
      <c r="N1793">
        <v>2.8</v>
      </c>
      <c r="O1793">
        <v>4</v>
      </c>
      <c r="P1793" s="2" t="s">
        <v>53</v>
      </c>
    </row>
    <row r="1794" spans="1:16" x14ac:dyDescent="0.25">
      <c r="A1794" s="2" t="s">
        <v>6418</v>
      </c>
      <c r="B1794" s="2" t="s">
        <v>2955</v>
      </c>
      <c r="C1794" s="2" t="s">
        <v>18</v>
      </c>
      <c r="D1794" s="2" t="s">
        <v>30</v>
      </c>
      <c r="E1794" s="2" t="s">
        <v>44</v>
      </c>
      <c r="F1794" s="2" t="s">
        <v>32</v>
      </c>
      <c r="G1794" s="2" t="s">
        <v>22</v>
      </c>
      <c r="H1794" s="2" t="s">
        <v>46</v>
      </c>
      <c r="I1794" s="2" t="s">
        <v>57</v>
      </c>
      <c r="J1794" s="2" t="s">
        <v>6419</v>
      </c>
      <c r="K1794" s="2" t="s">
        <v>6420</v>
      </c>
      <c r="L1794">
        <v>3</v>
      </c>
      <c r="M1794" s="1">
        <v>245000</v>
      </c>
      <c r="N1794">
        <v>3.3</v>
      </c>
      <c r="O1794">
        <v>12</v>
      </c>
      <c r="P1794" s="2" t="s">
        <v>53</v>
      </c>
    </row>
    <row r="1795" spans="1:16" x14ac:dyDescent="0.25">
      <c r="A1795" s="2" t="s">
        <v>6421</v>
      </c>
      <c r="B1795" s="2" t="s">
        <v>5844</v>
      </c>
      <c r="C1795" s="2" t="s">
        <v>18</v>
      </c>
      <c r="D1795" s="2" t="s">
        <v>50</v>
      </c>
      <c r="E1795" s="2" t="s">
        <v>20</v>
      </c>
      <c r="F1795" s="2" t="s">
        <v>32</v>
      </c>
      <c r="G1795" s="2" t="s">
        <v>80</v>
      </c>
      <c r="H1795" s="2" t="s">
        <v>34</v>
      </c>
      <c r="I1795" s="2" t="s">
        <v>57</v>
      </c>
      <c r="J1795" s="2" t="s">
        <v>422</v>
      </c>
      <c r="K1795" s="2" t="s">
        <v>6422</v>
      </c>
      <c r="L1795">
        <v>4</v>
      </c>
      <c r="M1795" s="1">
        <v>224000</v>
      </c>
      <c r="N1795">
        <v>3.8</v>
      </c>
      <c r="O1795">
        <v>3</v>
      </c>
      <c r="P1795" s="2" t="s">
        <v>53</v>
      </c>
    </row>
    <row r="1796" spans="1:16" x14ac:dyDescent="0.25">
      <c r="A1796" s="2" t="s">
        <v>6425</v>
      </c>
      <c r="B1796" s="2" t="s">
        <v>6426</v>
      </c>
      <c r="C1796" s="2" t="s">
        <v>29</v>
      </c>
      <c r="D1796" s="2" t="s">
        <v>79</v>
      </c>
      <c r="E1796" s="2" t="s">
        <v>44</v>
      </c>
      <c r="F1796" s="2" t="s">
        <v>32</v>
      </c>
      <c r="G1796" s="2" t="s">
        <v>22</v>
      </c>
      <c r="H1796" s="2" t="s">
        <v>34</v>
      </c>
      <c r="I1796" s="2" t="s">
        <v>75</v>
      </c>
      <c r="J1796" s="2" t="s">
        <v>2135</v>
      </c>
      <c r="K1796" s="2" t="s">
        <v>6435</v>
      </c>
      <c r="L1796">
        <v>2</v>
      </c>
      <c r="M1796" s="1">
        <v>236000</v>
      </c>
      <c r="N1796">
        <v>2.4</v>
      </c>
      <c r="O1796">
        <v>2</v>
      </c>
      <c r="P1796" s="2" t="s">
        <v>26</v>
      </c>
    </row>
    <row r="1797" spans="1:16" x14ac:dyDescent="0.25">
      <c r="A1797" s="2" t="s">
        <v>6431</v>
      </c>
      <c r="B1797" s="2" t="s">
        <v>474</v>
      </c>
      <c r="C1797" s="2" t="s">
        <v>29</v>
      </c>
      <c r="D1797" s="2" t="s">
        <v>79</v>
      </c>
      <c r="E1797" s="2" t="s">
        <v>44</v>
      </c>
      <c r="F1797" s="2" t="s">
        <v>128</v>
      </c>
      <c r="G1797" s="2" t="s">
        <v>80</v>
      </c>
      <c r="H1797" s="2" t="s">
        <v>34</v>
      </c>
      <c r="I1797" s="2" t="s">
        <v>24</v>
      </c>
      <c r="J1797" s="2" t="s">
        <v>466</v>
      </c>
      <c r="K1797" s="2" t="s">
        <v>6435</v>
      </c>
      <c r="L1797">
        <v>4</v>
      </c>
      <c r="M1797" s="1">
        <v>561000</v>
      </c>
      <c r="N1797">
        <v>2.8</v>
      </c>
      <c r="O1797">
        <v>9</v>
      </c>
      <c r="P1797" s="2" t="s">
        <v>26</v>
      </c>
    </row>
    <row r="1798" spans="1:16" x14ac:dyDescent="0.25">
      <c r="A1798" s="2" t="s">
        <v>6432</v>
      </c>
      <c r="B1798" s="2" t="s">
        <v>1813</v>
      </c>
      <c r="C1798" s="2" t="s">
        <v>18</v>
      </c>
      <c r="D1798" s="2" t="s">
        <v>43</v>
      </c>
      <c r="E1798" s="2" t="s">
        <v>20</v>
      </c>
      <c r="F1798" s="2" t="s">
        <v>21</v>
      </c>
      <c r="G1798" s="2" t="s">
        <v>33</v>
      </c>
      <c r="H1798" s="2" t="s">
        <v>34</v>
      </c>
      <c r="I1798" s="2" t="s">
        <v>57</v>
      </c>
      <c r="J1798" s="2" t="s">
        <v>4094</v>
      </c>
      <c r="K1798" s="2" t="s">
        <v>6435</v>
      </c>
      <c r="L1798">
        <v>6</v>
      </c>
      <c r="M1798" s="1">
        <v>753000</v>
      </c>
      <c r="N1798">
        <v>3.4</v>
      </c>
      <c r="O1798">
        <v>1</v>
      </c>
      <c r="P1798" s="2" t="s">
        <v>26</v>
      </c>
    </row>
    <row r="1799" spans="1:16" x14ac:dyDescent="0.25">
      <c r="A1799" s="2" t="s">
        <v>6433</v>
      </c>
      <c r="B1799" s="2" t="s">
        <v>6434</v>
      </c>
      <c r="C1799" s="2" t="s">
        <v>18</v>
      </c>
      <c r="D1799" s="2" t="s">
        <v>30</v>
      </c>
      <c r="E1799" s="2" t="s">
        <v>31</v>
      </c>
      <c r="F1799" s="2" t="s">
        <v>21</v>
      </c>
      <c r="G1799" s="2" t="s">
        <v>80</v>
      </c>
      <c r="H1799" s="2" t="s">
        <v>34</v>
      </c>
      <c r="I1799" s="2" t="s">
        <v>75</v>
      </c>
      <c r="J1799" s="2" t="s">
        <v>1313</v>
      </c>
      <c r="K1799" s="2" t="s">
        <v>6435</v>
      </c>
      <c r="L1799">
        <v>2</v>
      </c>
      <c r="M1799" s="1">
        <v>847000</v>
      </c>
      <c r="N1799">
        <v>3.5</v>
      </c>
      <c r="O1799">
        <v>40</v>
      </c>
      <c r="P1799" s="2" t="s">
        <v>53</v>
      </c>
    </row>
    <row r="1800" spans="1:16" x14ac:dyDescent="0.25">
      <c r="A1800" s="2" t="s">
        <v>6439</v>
      </c>
      <c r="B1800" s="2" t="s">
        <v>6440</v>
      </c>
      <c r="C1800" s="2" t="s">
        <v>18</v>
      </c>
      <c r="D1800" s="2" t="s">
        <v>43</v>
      </c>
      <c r="E1800" s="2" t="s">
        <v>44</v>
      </c>
      <c r="F1800" s="2" t="s">
        <v>39</v>
      </c>
      <c r="G1800" s="2" t="s">
        <v>69</v>
      </c>
      <c r="H1800" s="2" t="s">
        <v>46</v>
      </c>
      <c r="I1800" s="2" t="s">
        <v>35</v>
      </c>
      <c r="J1800" s="2" t="s">
        <v>6441</v>
      </c>
      <c r="K1800" s="2" t="s">
        <v>6442</v>
      </c>
      <c r="L1800">
        <v>3</v>
      </c>
      <c r="M1800" s="1">
        <v>85000</v>
      </c>
      <c r="N1800">
        <v>3.6</v>
      </c>
      <c r="O1800">
        <v>1</v>
      </c>
      <c r="P1800" s="2" t="s">
        <v>53</v>
      </c>
    </row>
    <row r="1801" spans="1:16" x14ac:dyDescent="0.25">
      <c r="A1801" s="2" t="s">
        <v>6443</v>
      </c>
      <c r="B1801" s="2" t="s">
        <v>6444</v>
      </c>
      <c r="C1801" s="2" t="s">
        <v>18</v>
      </c>
      <c r="D1801" s="2" t="s">
        <v>79</v>
      </c>
      <c r="E1801" s="2" t="s">
        <v>44</v>
      </c>
      <c r="F1801" s="2" t="s">
        <v>21</v>
      </c>
      <c r="G1801" s="2" t="s">
        <v>80</v>
      </c>
      <c r="H1801" s="2" t="s">
        <v>23</v>
      </c>
      <c r="I1801" s="2" t="s">
        <v>24</v>
      </c>
      <c r="J1801" s="2" t="s">
        <v>5642</v>
      </c>
      <c r="K1801" s="2" t="s">
        <v>2960</v>
      </c>
      <c r="L1801">
        <v>5</v>
      </c>
      <c r="M1801" s="1">
        <v>687000</v>
      </c>
      <c r="N1801">
        <v>3.9</v>
      </c>
      <c r="O1801">
        <v>4</v>
      </c>
      <c r="P1801" s="2" t="s">
        <v>26</v>
      </c>
    </row>
    <row r="1802" spans="1:16" x14ac:dyDescent="0.25">
      <c r="A1802" s="2" t="s">
        <v>6445</v>
      </c>
      <c r="B1802" s="2" t="s">
        <v>6446</v>
      </c>
      <c r="C1802" s="2" t="s">
        <v>29</v>
      </c>
      <c r="D1802" s="2" t="s">
        <v>30</v>
      </c>
      <c r="E1802" s="2" t="s">
        <v>20</v>
      </c>
      <c r="F1802" s="2" t="s">
        <v>45</v>
      </c>
      <c r="G1802" s="2" t="s">
        <v>80</v>
      </c>
      <c r="H1802" s="2" t="s">
        <v>62</v>
      </c>
      <c r="I1802" s="2" t="s">
        <v>57</v>
      </c>
      <c r="J1802" s="2" t="s">
        <v>3684</v>
      </c>
      <c r="K1802" s="2" t="s">
        <v>2960</v>
      </c>
      <c r="L1802">
        <v>6</v>
      </c>
      <c r="M1802" s="1">
        <v>1850000</v>
      </c>
      <c r="N1802">
        <v>4.5999999999999996</v>
      </c>
      <c r="O1802">
        <v>30</v>
      </c>
      <c r="P1802" s="2" t="s">
        <v>26</v>
      </c>
    </row>
    <row r="1803" spans="1:16" x14ac:dyDescent="0.25">
      <c r="A1803" s="2" t="s">
        <v>6447</v>
      </c>
      <c r="B1803" s="2" t="s">
        <v>28</v>
      </c>
      <c r="C1803" s="2" t="s">
        <v>29</v>
      </c>
      <c r="D1803" s="2" t="s">
        <v>50</v>
      </c>
      <c r="E1803" s="2" t="s">
        <v>20</v>
      </c>
      <c r="F1803" s="2" t="s">
        <v>39</v>
      </c>
      <c r="G1803" s="2" t="s">
        <v>33</v>
      </c>
      <c r="H1803" s="2" t="s">
        <v>23</v>
      </c>
      <c r="I1803" s="2" t="s">
        <v>57</v>
      </c>
      <c r="J1803" s="2" t="s">
        <v>4132</v>
      </c>
      <c r="K1803" s="2" t="s">
        <v>2960</v>
      </c>
      <c r="L1803">
        <v>6</v>
      </c>
      <c r="M1803" s="1">
        <v>172000</v>
      </c>
      <c r="N1803">
        <v>4.5</v>
      </c>
      <c r="O1803">
        <v>17</v>
      </c>
      <c r="P1803" s="2" t="s">
        <v>26</v>
      </c>
    </row>
    <row r="1804" spans="1:16" x14ac:dyDescent="0.25">
      <c r="A1804" s="2" t="s">
        <v>6450</v>
      </c>
      <c r="B1804" s="2" t="s">
        <v>6451</v>
      </c>
      <c r="C1804" s="2" t="s">
        <v>18</v>
      </c>
      <c r="D1804" s="2" t="s">
        <v>79</v>
      </c>
      <c r="E1804" s="2" t="s">
        <v>31</v>
      </c>
      <c r="F1804" s="2" t="s">
        <v>32</v>
      </c>
      <c r="G1804" s="2" t="s">
        <v>22</v>
      </c>
      <c r="H1804" s="2" t="s">
        <v>46</v>
      </c>
      <c r="I1804" s="2" t="s">
        <v>35</v>
      </c>
      <c r="J1804" s="2" t="s">
        <v>1817</v>
      </c>
      <c r="K1804" s="2" t="s">
        <v>2960</v>
      </c>
      <c r="L1804">
        <v>5</v>
      </c>
      <c r="M1804" s="1">
        <v>214000</v>
      </c>
      <c r="N1804">
        <v>2.7</v>
      </c>
      <c r="O1804">
        <v>10</v>
      </c>
      <c r="P1804" s="2" t="s">
        <v>26</v>
      </c>
    </row>
    <row r="1805" spans="1:16" x14ac:dyDescent="0.25">
      <c r="A1805" s="2" t="s">
        <v>6454</v>
      </c>
      <c r="B1805" s="2" t="s">
        <v>2575</v>
      </c>
      <c r="C1805" s="2" t="s">
        <v>18</v>
      </c>
      <c r="D1805" s="2" t="s">
        <v>30</v>
      </c>
      <c r="E1805" s="2" t="s">
        <v>20</v>
      </c>
      <c r="F1805" s="2" t="s">
        <v>32</v>
      </c>
      <c r="G1805" s="2" t="s">
        <v>80</v>
      </c>
      <c r="H1805" s="2" t="s">
        <v>62</v>
      </c>
      <c r="I1805" s="2" t="s">
        <v>75</v>
      </c>
      <c r="J1805" s="2" t="s">
        <v>3488</v>
      </c>
      <c r="K1805" s="2" t="s">
        <v>2960</v>
      </c>
      <c r="L1805">
        <v>4</v>
      </c>
      <c r="M1805" s="1">
        <v>268000</v>
      </c>
      <c r="N1805">
        <v>3.6</v>
      </c>
      <c r="O1805">
        <v>3</v>
      </c>
      <c r="P1805" s="2" t="s">
        <v>26</v>
      </c>
    </row>
    <row r="1806" spans="1:16" x14ac:dyDescent="0.25">
      <c r="A1806" s="2" t="s">
        <v>6457</v>
      </c>
      <c r="B1806" s="2" t="s">
        <v>6458</v>
      </c>
      <c r="C1806" s="2" t="s">
        <v>18</v>
      </c>
      <c r="D1806" s="2" t="s">
        <v>50</v>
      </c>
      <c r="E1806" s="2" t="s">
        <v>20</v>
      </c>
      <c r="F1806" s="2" t="s">
        <v>32</v>
      </c>
      <c r="G1806" s="2" t="s">
        <v>80</v>
      </c>
      <c r="H1806" s="2" t="s">
        <v>46</v>
      </c>
      <c r="I1806" s="2" t="s">
        <v>35</v>
      </c>
      <c r="J1806" s="2" t="s">
        <v>645</v>
      </c>
      <c r="K1806" s="2" t="s">
        <v>2960</v>
      </c>
      <c r="L1806">
        <v>2</v>
      </c>
      <c r="M1806" s="1">
        <v>202000</v>
      </c>
      <c r="N1806">
        <v>2.5</v>
      </c>
      <c r="O1806">
        <v>35</v>
      </c>
      <c r="P1806" s="2" t="s">
        <v>53</v>
      </c>
    </row>
    <row r="1807" spans="1:16" x14ac:dyDescent="0.25">
      <c r="A1807" s="2" t="s">
        <v>6459</v>
      </c>
      <c r="B1807" s="2" t="s">
        <v>6460</v>
      </c>
      <c r="C1807" s="2" t="s">
        <v>18</v>
      </c>
      <c r="D1807" s="2" t="s">
        <v>43</v>
      </c>
      <c r="E1807" s="2" t="s">
        <v>20</v>
      </c>
      <c r="F1807" s="2" t="s">
        <v>128</v>
      </c>
      <c r="G1807" s="2" t="s">
        <v>22</v>
      </c>
      <c r="H1807" s="2" t="s">
        <v>62</v>
      </c>
      <c r="I1807" s="2" t="s">
        <v>35</v>
      </c>
      <c r="J1807" s="2" t="s">
        <v>2653</v>
      </c>
      <c r="K1807" s="2" t="s">
        <v>6461</v>
      </c>
      <c r="L1807">
        <v>5</v>
      </c>
      <c r="M1807" s="1">
        <v>369000</v>
      </c>
      <c r="N1807">
        <v>3.3</v>
      </c>
      <c r="O1807">
        <v>13</v>
      </c>
      <c r="P1807" s="2" t="s">
        <v>53</v>
      </c>
    </row>
    <row r="1808" spans="1:16" x14ac:dyDescent="0.25">
      <c r="A1808" s="2" t="s">
        <v>6463</v>
      </c>
      <c r="B1808" s="2" t="s">
        <v>4370</v>
      </c>
      <c r="C1808" s="2" t="s">
        <v>18</v>
      </c>
      <c r="D1808" s="2" t="s">
        <v>50</v>
      </c>
      <c r="E1808" s="2" t="s">
        <v>44</v>
      </c>
      <c r="F1808" s="2" t="s">
        <v>39</v>
      </c>
      <c r="G1808" s="2" t="s">
        <v>69</v>
      </c>
      <c r="H1808" s="2" t="s">
        <v>23</v>
      </c>
      <c r="I1808" s="2" t="s">
        <v>24</v>
      </c>
      <c r="J1808" s="2" t="s">
        <v>4387</v>
      </c>
      <c r="K1808" s="2" t="s">
        <v>5676</v>
      </c>
      <c r="L1808">
        <v>5</v>
      </c>
      <c r="M1808" s="1">
        <v>87000</v>
      </c>
      <c r="N1808">
        <v>4</v>
      </c>
      <c r="O1808">
        <v>10</v>
      </c>
      <c r="P1808" s="2" t="s">
        <v>53</v>
      </c>
    </row>
    <row r="1809" spans="1:16" x14ac:dyDescent="0.25">
      <c r="A1809" s="2" t="s">
        <v>6464</v>
      </c>
      <c r="B1809" s="2" t="s">
        <v>6465</v>
      </c>
      <c r="C1809" s="2" t="s">
        <v>29</v>
      </c>
      <c r="D1809" s="2" t="s">
        <v>30</v>
      </c>
      <c r="E1809" s="2" t="s">
        <v>31</v>
      </c>
      <c r="F1809" s="2" t="s">
        <v>32</v>
      </c>
      <c r="G1809" s="2" t="s">
        <v>33</v>
      </c>
      <c r="H1809" s="2" t="s">
        <v>62</v>
      </c>
      <c r="I1809" s="2" t="s">
        <v>24</v>
      </c>
      <c r="J1809" s="2" t="s">
        <v>3544</v>
      </c>
      <c r="K1809" s="2" t="s">
        <v>1605</v>
      </c>
      <c r="L1809">
        <v>3</v>
      </c>
      <c r="M1809" s="1">
        <v>312000</v>
      </c>
      <c r="N1809">
        <v>2.2999999999999998</v>
      </c>
      <c r="O1809">
        <v>6</v>
      </c>
      <c r="P1809" s="2" t="s">
        <v>26</v>
      </c>
    </row>
    <row r="1810" spans="1:16" x14ac:dyDescent="0.25">
      <c r="A1810" s="2" t="s">
        <v>6467</v>
      </c>
      <c r="B1810" s="2" t="s">
        <v>3361</v>
      </c>
      <c r="C1810" s="2" t="s">
        <v>29</v>
      </c>
      <c r="D1810" s="2" t="s">
        <v>30</v>
      </c>
      <c r="E1810" s="2" t="s">
        <v>44</v>
      </c>
      <c r="F1810" s="2" t="s">
        <v>39</v>
      </c>
      <c r="G1810" s="2" t="s">
        <v>80</v>
      </c>
      <c r="H1810" s="2" t="s">
        <v>34</v>
      </c>
      <c r="I1810" s="2" t="s">
        <v>57</v>
      </c>
      <c r="J1810" s="2" t="s">
        <v>90</v>
      </c>
      <c r="K1810" s="2" t="s">
        <v>1605</v>
      </c>
      <c r="L1810">
        <v>5</v>
      </c>
      <c r="M1810" s="1">
        <v>121000</v>
      </c>
      <c r="N1810">
        <v>3.1</v>
      </c>
      <c r="O1810">
        <v>9</v>
      </c>
      <c r="P1810" s="2" t="s">
        <v>53</v>
      </c>
    </row>
    <row r="1811" spans="1:16" x14ac:dyDescent="0.25">
      <c r="A1811" s="2" t="s">
        <v>6468</v>
      </c>
      <c r="B1811" s="2" t="s">
        <v>6469</v>
      </c>
      <c r="C1811" s="2" t="s">
        <v>29</v>
      </c>
      <c r="D1811" s="2" t="s">
        <v>30</v>
      </c>
      <c r="E1811" s="2" t="s">
        <v>44</v>
      </c>
      <c r="F1811" s="2" t="s">
        <v>128</v>
      </c>
      <c r="G1811" s="2" t="s">
        <v>80</v>
      </c>
      <c r="H1811" s="2" t="s">
        <v>23</v>
      </c>
      <c r="I1811" s="2" t="s">
        <v>24</v>
      </c>
      <c r="J1811" s="2" t="s">
        <v>4400</v>
      </c>
      <c r="K1811" s="2" t="s">
        <v>6470</v>
      </c>
      <c r="L1811">
        <v>4</v>
      </c>
      <c r="M1811" s="1">
        <v>428000</v>
      </c>
      <c r="N1811">
        <v>3.2</v>
      </c>
      <c r="O1811">
        <v>7</v>
      </c>
      <c r="P1811" s="2" t="s">
        <v>72</v>
      </c>
    </row>
    <row r="1812" spans="1:16" x14ac:dyDescent="0.25">
      <c r="A1812" s="2" t="s">
        <v>6471</v>
      </c>
      <c r="B1812" s="2" t="s">
        <v>4408</v>
      </c>
      <c r="C1812" s="2" t="s">
        <v>18</v>
      </c>
      <c r="D1812" s="2" t="s">
        <v>19</v>
      </c>
      <c r="E1812" s="2" t="s">
        <v>20</v>
      </c>
      <c r="F1812" s="2" t="s">
        <v>21</v>
      </c>
      <c r="G1812" s="2" t="s">
        <v>69</v>
      </c>
      <c r="H1812" s="2" t="s">
        <v>34</v>
      </c>
      <c r="I1812" s="2" t="s">
        <v>24</v>
      </c>
      <c r="J1812" s="2" t="s">
        <v>4051</v>
      </c>
      <c r="K1812" s="2" t="s">
        <v>2104</v>
      </c>
      <c r="L1812">
        <v>2</v>
      </c>
      <c r="M1812" s="1">
        <v>789000</v>
      </c>
      <c r="N1812">
        <v>4.0999999999999996</v>
      </c>
      <c r="O1812">
        <v>16</v>
      </c>
      <c r="P1812" s="2" t="s">
        <v>72</v>
      </c>
    </row>
    <row r="1813" spans="1:16" x14ac:dyDescent="0.25">
      <c r="A1813" s="2" t="s">
        <v>6472</v>
      </c>
      <c r="B1813" s="2" t="s">
        <v>939</v>
      </c>
      <c r="C1813" s="2" t="s">
        <v>18</v>
      </c>
      <c r="D1813" s="2" t="s">
        <v>43</v>
      </c>
      <c r="E1813" s="2" t="s">
        <v>44</v>
      </c>
      <c r="F1813" s="2" t="s">
        <v>128</v>
      </c>
      <c r="G1813" s="2" t="s">
        <v>22</v>
      </c>
      <c r="H1813" s="2" t="s">
        <v>23</v>
      </c>
      <c r="I1813" s="2" t="s">
        <v>24</v>
      </c>
      <c r="J1813" s="2" t="s">
        <v>572</v>
      </c>
      <c r="K1813" s="2" t="s">
        <v>905</v>
      </c>
      <c r="L1813">
        <v>5</v>
      </c>
      <c r="M1813" s="1">
        <v>350000</v>
      </c>
      <c r="N1813">
        <v>5</v>
      </c>
      <c r="O1813">
        <v>8</v>
      </c>
      <c r="P1813" s="2" t="s">
        <v>53</v>
      </c>
    </row>
    <row r="1814" spans="1:16" x14ac:dyDescent="0.25">
      <c r="A1814" s="2" t="s">
        <v>6473</v>
      </c>
      <c r="B1814" s="2" t="s">
        <v>6474</v>
      </c>
      <c r="C1814" s="2" t="s">
        <v>18</v>
      </c>
      <c r="D1814" s="2" t="s">
        <v>50</v>
      </c>
      <c r="E1814" s="2" t="s">
        <v>20</v>
      </c>
      <c r="F1814" s="2" t="s">
        <v>32</v>
      </c>
      <c r="G1814" s="2" t="s">
        <v>80</v>
      </c>
      <c r="H1814" s="2" t="s">
        <v>46</v>
      </c>
      <c r="I1814" s="2" t="s">
        <v>57</v>
      </c>
      <c r="J1814" s="2" t="s">
        <v>520</v>
      </c>
      <c r="K1814" s="2" t="s">
        <v>1956</v>
      </c>
      <c r="L1814">
        <v>2</v>
      </c>
      <c r="M1814" s="1">
        <v>219000</v>
      </c>
      <c r="N1814">
        <v>4</v>
      </c>
      <c r="O1814">
        <v>15</v>
      </c>
      <c r="P1814" s="2" t="s">
        <v>26</v>
      </c>
    </row>
    <row r="1815" spans="1:16" x14ac:dyDescent="0.25">
      <c r="A1815" s="2" t="s">
        <v>6475</v>
      </c>
      <c r="B1815" s="2" t="s">
        <v>4180</v>
      </c>
      <c r="C1815" s="2" t="s">
        <v>29</v>
      </c>
      <c r="D1815" s="2" t="s">
        <v>30</v>
      </c>
      <c r="E1815" s="2" t="s">
        <v>20</v>
      </c>
      <c r="F1815" s="2" t="s">
        <v>32</v>
      </c>
      <c r="G1815" s="2" t="s">
        <v>33</v>
      </c>
      <c r="H1815" s="2" t="s">
        <v>34</v>
      </c>
      <c r="I1815" s="2" t="s">
        <v>57</v>
      </c>
      <c r="J1815" s="2" t="s">
        <v>850</v>
      </c>
      <c r="K1815" s="2" t="s">
        <v>1956</v>
      </c>
      <c r="L1815">
        <v>3</v>
      </c>
      <c r="M1815" s="1">
        <v>184000</v>
      </c>
      <c r="N1815">
        <v>2.5</v>
      </c>
      <c r="O1815">
        <v>4</v>
      </c>
      <c r="P1815" s="2" t="s">
        <v>53</v>
      </c>
    </row>
    <row r="1816" spans="1:16" x14ac:dyDescent="0.25">
      <c r="A1816" s="2" t="s">
        <v>6476</v>
      </c>
      <c r="B1816" s="2" t="s">
        <v>6304</v>
      </c>
      <c r="C1816" s="2" t="s">
        <v>18</v>
      </c>
      <c r="D1816" s="2" t="s">
        <v>43</v>
      </c>
      <c r="E1816" s="2" t="s">
        <v>20</v>
      </c>
      <c r="F1816" s="2" t="s">
        <v>32</v>
      </c>
      <c r="G1816" s="2" t="s">
        <v>22</v>
      </c>
      <c r="H1816" s="2" t="s">
        <v>34</v>
      </c>
      <c r="I1816" s="2" t="s">
        <v>75</v>
      </c>
      <c r="J1816" s="2" t="s">
        <v>4490</v>
      </c>
      <c r="K1816" s="2" t="s">
        <v>6485</v>
      </c>
      <c r="L1816">
        <v>4</v>
      </c>
      <c r="M1816" s="1">
        <v>315000</v>
      </c>
      <c r="N1816">
        <v>2.8</v>
      </c>
      <c r="O1816">
        <v>3</v>
      </c>
      <c r="P1816" s="2" t="s">
        <v>26</v>
      </c>
    </row>
    <row r="1817" spans="1:16" x14ac:dyDescent="0.25">
      <c r="A1817" s="2" t="s">
        <v>6479</v>
      </c>
      <c r="B1817" s="2" t="s">
        <v>6480</v>
      </c>
      <c r="C1817" s="2" t="s">
        <v>18</v>
      </c>
      <c r="D1817" s="2" t="s">
        <v>19</v>
      </c>
      <c r="E1817" s="2" t="s">
        <v>31</v>
      </c>
      <c r="F1817" s="2" t="s">
        <v>39</v>
      </c>
      <c r="G1817" s="2" t="s">
        <v>22</v>
      </c>
      <c r="H1817" s="2" t="s">
        <v>34</v>
      </c>
      <c r="I1817" s="2" t="s">
        <v>24</v>
      </c>
      <c r="J1817" s="2" t="s">
        <v>769</v>
      </c>
      <c r="K1817" s="2" t="s">
        <v>6485</v>
      </c>
      <c r="L1817">
        <v>4</v>
      </c>
      <c r="M1817" s="1">
        <v>155000</v>
      </c>
      <c r="N1817">
        <v>2.2000000000000002</v>
      </c>
      <c r="O1817">
        <v>2</v>
      </c>
      <c r="P1817" s="2" t="s">
        <v>26</v>
      </c>
    </row>
    <row r="1818" spans="1:16" x14ac:dyDescent="0.25">
      <c r="A1818" s="2" t="s">
        <v>6481</v>
      </c>
      <c r="B1818" s="2" t="s">
        <v>684</v>
      </c>
      <c r="C1818" s="2" t="s">
        <v>29</v>
      </c>
      <c r="D1818" s="2" t="s">
        <v>50</v>
      </c>
      <c r="E1818" s="2" t="s">
        <v>31</v>
      </c>
      <c r="F1818" s="2" t="s">
        <v>128</v>
      </c>
      <c r="G1818" s="2" t="s">
        <v>80</v>
      </c>
      <c r="H1818" s="2" t="s">
        <v>34</v>
      </c>
      <c r="I1818" s="2" t="s">
        <v>24</v>
      </c>
      <c r="J1818" s="2" t="s">
        <v>6449</v>
      </c>
      <c r="K1818" s="2" t="s">
        <v>6485</v>
      </c>
      <c r="L1818">
        <v>6</v>
      </c>
      <c r="M1818" s="1">
        <v>498000</v>
      </c>
      <c r="N1818">
        <v>3.3</v>
      </c>
      <c r="O1818">
        <v>14</v>
      </c>
      <c r="P1818" s="2" t="s">
        <v>26</v>
      </c>
    </row>
    <row r="1819" spans="1:16" x14ac:dyDescent="0.25">
      <c r="A1819" s="2" t="s">
        <v>6484</v>
      </c>
      <c r="B1819" s="2" t="s">
        <v>3984</v>
      </c>
      <c r="C1819" s="2" t="s">
        <v>18</v>
      </c>
      <c r="D1819" s="2" t="s">
        <v>43</v>
      </c>
      <c r="E1819" s="2" t="s">
        <v>44</v>
      </c>
      <c r="F1819" s="2" t="s">
        <v>128</v>
      </c>
      <c r="G1819" s="2" t="s">
        <v>80</v>
      </c>
      <c r="H1819" s="2" t="s">
        <v>46</v>
      </c>
      <c r="I1819" s="2" t="s">
        <v>24</v>
      </c>
      <c r="J1819" s="2" t="s">
        <v>3551</v>
      </c>
      <c r="K1819" s="2" t="s">
        <v>6485</v>
      </c>
      <c r="L1819">
        <v>5</v>
      </c>
      <c r="M1819" s="1">
        <v>377000</v>
      </c>
      <c r="N1819">
        <v>2.7</v>
      </c>
      <c r="O1819">
        <v>8</v>
      </c>
      <c r="P1819" s="2" t="s">
        <v>53</v>
      </c>
    </row>
    <row r="1820" spans="1:16" x14ac:dyDescent="0.25">
      <c r="A1820" s="2" t="s">
        <v>6486</v>
      </c>
      <c r="B1820" s="2" t="s">
        <v>3610</v>
      </c>
      <c r="C1820" s="2" t="s">
        <v>18</v>
      </c>
      <c r="D1820" s="2" t="s">
        <v>50</v>
      </c>
      <c r="E1820" s="2" t="s">
        <v>20</v>
      </c>
      <c r="F1820" s="2" t="s">
        <v>39</v>
      </c>
      <c r="G1820" s="2" t="s">
        <v>22</v>
      </c>
      <c r="H1820" s="2" t="s">
        <v>23</v>
      </c>
      <c r="I1820" s="2" t="s">
        <v>24</v>
      </c>
      <c r="J1820" s="2" t="s">
        <v>6180</v>
      </c>
      <c r="K1820" s="2" t="s">
        <v>6489</v>
      </c>
      <c r="L1820">
        <v>2</v>
      </c>
      <c r="M1820" s="1">
        <v>157000</v>
      </c>
      <c r="N1820">
        <v>4.0999999999999996</v>
      </c>
      <c r="O1820">
        <v>13</v>
      </c>
      <c r="P1820" s="2" t="s">
        <v>26</v>
      </c>
    </row>
    <row r="1821" spans="1:16" x14ac:dyDescent="0.25">
      <c r="A1821" s="2" t="s">
        <v>6487</v>
      </c>
      <c r="B1821" s="2" t="s">
        <v>6488</v>
      </c>
      <c r="C1821" s="2" t="s">
        <v>29</v>
      </c>
      <c r="D1821" s="2" t="s">
        <v>79</v>
      </c>
      <c r="E1821" s="2" t="s">
        <v>20</v>
      </c>
      <c r="F1821" s="2" t="s">
        <v>39</v>
      </c>
      <c r="G1821" s="2" t="s">
        <v>22</v>
      </c>
      <c r="H1821" s="2" t="s">
        <v>34</v>
      </c>
      <c r="I1821" s="2" t="s">
        <v>24</v>
      </c>
      <c r="J1821" s="2" t="s">
        <v>5143</v>
      </c>
      <c r="K1821" s="2" t="s">
        <v>6489</v>
      </c>
      <c r="L1821">
        <v>2</v>
      </c>
      <c r="M1821" s="1">
        <v>146000</v>
      </c>
      <c r="N1821">
        <v>3.2</v>
      </c>
      <c r="O1821">
        <v>13</v>
      </c>
      <c r="P1821" s="2" t="s">
        <v>53</v>
      </c>
    </row>
    <row r="1822" spans="1:16" x14ac:dyDescent="0.25">
      <c r="A1822" s="2" t="s">
        <v>6493</v>
      </c>
      <c r="B1822" s="2" t="s">
        <v>1996</v>
      </c>
      <c r="C1822" s="2" t="s">
        <v>18</v>
      </c>
      <c r="D1822" s="2" t="s">
        <v>50</v>
      </c>
      <c r="E1822" s="2" t="s">
        <v>44</v>
      </c>
      <c r="F1822" s="2" t="s">
        <v>39</v>
      </c>
      <c r="G1822" s="2" t="s">
        <v>33</v>
      </c>
      <c r="H1822" s="2" t="s">
        <v>46</v>
      </c>
      <c r="I1822" s="2" t="s">
        <v>35</v>
      </c>
      <c r="J1822" s="2" t="s">
        <v>1497</v>
      </c>
      <c r="K1822" s="2" t="s">
        <v>6501</v>
      </c>
      <c r="L1822">
        <v>2</v>
      </c>
      <c r="M1822" s="1">
        <v>145000</v>
      </c>
      <c r="N1822">
        <v>2.9</v>
      </c>
      <c r="O1822">
        <v>10</v>
      </c>
      <c r="P1822" s="2" t="s">
        <v>26</v>
      </c>
    </row>
    <row r="1823" spans="1:16" x14ac:dyDescent="0.25">
      <c r="A1823" s="2" t="s">
        <v>6494</v>
      </c>
      <c r="B1823" s="2" t="s">
        <v>6495</v>
      </c>
      <c r="C1823" s="2" t="s">
        <v>18</v>
      </c>
      <c r="D1823" s="2" t="s">
        <v>19</v>
      </c>
      <c r="E1823" s="2" t="s">
        <v>20</v>
      </c>
      <c r="F1823" s="2" t="s">
        <v>21</v>
      </c>
      <c r="G1823" s="2" t="s">
        <v>33</v>
      </c>
      <c r="H1823" s="2" t="s">
        <v>34</v>
      </c>
      <c r="I1823" s="2" t="s">
        <v>24</v>
      </c>
      <c r="J1823" s="2" t="s">
        <v>6496</v>
      </c>
      <c r="K1823" s="2" t="s">
        <v>6501</v>
      </c>
      <c r="L1823">
        <v>2</v>
      </c>
      <c r="M1823" s="1">
        <v>742000</v>
      </c>
      <c r="N1823">
        <v>3.5</v>
      </c>
      <c r="O1823">
        <v>7</v>
      </c>
      <c r="P1823" s="2" t="s">
        <v>26</v>
      </c>
    </row>
    <row r="1824" spans="1:16" x14ac:dyDescent="0.25">
      <c r="A1824" s="2" t="s">
        <v>6497</v>
      </c>
      <c r="B1824" s="2" t="s">
        <v>5122</v>
      </c>
      <c r="C1824" s="2" t="s">
        <v>18</v>
      </c>
      <c r="D1824" s="2" t="s">
        <v>43</v>
      </c>
      <c r="E1824" s="2" t="s">
        <v>20</v>
      </c>
      <c r="F1824" s="2" t="s">
        <v>32</v>
      </c>
      <c r="G1824" s="2" t="s">
        <v>22</v>
      </c>
      <c r="H1824" s="2" t="s">
        <v>62</v>
      </c>
      <c r="I1824" s="2" t="s">
        <v>75</v>
      </c>
      <c r="J1824" s="2" t="s">
        <v>3107</v>
      </c>
      <c r="K1824" s="2" t="s">
        <v>6501</v>
      </c>
      <c r="L1824">
        <v>3</v>
      </c>
      <c r="M1824" s="1">
        <v>296000</v>
      </c>
      <c r="N1824">
        <v>2.9</v>
      </c>
      <c r="O1824">
        <v>1</v>
      </c>
      <c r="P1824" s="2" t="s">
        <v>26</v>
      </c>
    </row>
    <row r="1825" spans="1:16" x14ac:dyDescent="0.25">
      <c r="A1825" s="2" t="s">
        <v>6500</v>
      </c>
      <c r="B1825" s="2" t="s">
        <v>4203</v>
      </c>
      <c r="C1825" s="2" t="s">
        <v>18</v>
      </c>
      <c r="D1825" s="2" t="s">
        <v>43</v>
      </c>
      <c r="E1825" s="2" t="s">
        <v>44</v>
      </c>
      <c r="F1825" s="2" t="s">
        <v>32</v>
      </c>
      <c r="G1825" s="2" t="s">
        <v>80</v>
      </c>
      <c r="H1825" s="2" t="s">
        <v>46</v>
      </c>
      <c r="I1825" s="2" t="s">
        <v>24</v>
      </c>
      <c r="J1825" s="2" t="s">
        <v>4775</v>
      </c>
      <c r="K1825" s="2" t="s">
        <v>6501</v>
      </c>
      <c r="L1825">
        <v>5</v>
      </c>
      <c r="M1825" s="1">
        <v>201000</v>
      </c>
      <c r="N1825">
        <v>4.8</v>
      </c>
      <c r="O1825">
        <v>11</v>
      </c>
      <c r="P1825" s="2" t="s">
        <v>72</v>
      </c>
    </row>
    <row r="1826" spans="1:16" x14ac:dyDescent="0.25">
      <c r="A1826" s="2" t="s">
        <v>6502</v>
      </c>
      <c r="B1826" s="2" t="s">
        <v>4979</v>
      </c>
      <c r="C1826" s="2" t="s">
        <v>18</v>
      </c>
      <c r="D1826" s="2" t="s">
        <v>79</v>
      </c>
      <c r="E1826" s="2" t="s">
        <v>31</v>
      </c>
      <c r="F1826" s="2" t="s">
        <v>45</v>
      </c>
      <c r="G1826" s="2" t="s">
        <v>33</v>
      </c>
      <c r="H1826" s="2" t="s">
        <v>34</v>
      </c>
      <c r="I1826" s="2" t="s">
        <v>35</v>
      </c>
      <c r="J1826" s="2" t="s">
        <v>6503</v>
      </c>
      <c r="K1826" s="2" t="s">
        <v>964</v>
      </c>
      <c r="L1826">
        <v>2</v>
      </c>
      <c r="M1826" s="1">
        <v>1631000</v>
      </c>
      <c r="N1826">
        <v>4.7</v>
      </c>
      <c r="O1826">
        <v>38</v>
      </c>
      <c r="P1826" s="2" t="s">
        <v>26</v>
      </c>
    </row>
    <row r="1827" spans="1:16" x14ac:dyDescent="0.25">
      <c r="A1827" s="2" t="s">
        <v>6504</v>
      </c>
      <c r="B1827" s="2" t="s">
        <v>6505</v>
      </c>
      <c r="C1827" s="2" t="s">
        <v>18</v>
      </c>
      <c r="D1827" s="2" t="s">
        <v>79</v>
      </c>
      <c r="E1827" s="2" t="s">
        <v>44</v>
      </c>
      <c r="F1827" s="2" t="s">
        <v>128</v>
      </c>
      <c r="G1827" s="2" t="s">
        <v>33</v>
      </c>
      <c r="H1827" s="2" t="s">
        <v>23</v>
      </c>
      <c r="I1827" s="2" t="s">
        <v>57</v>
      </c>
      <c r="J1827" s="2" t="s">
        <v>6506</v>
      </c>
      <c r="K1827" s="2" t="s">
        <v>964</v>
      </c>
      <c r="L1827">
        <v>5</v>
      </c>
      <c r="M1827" s="1">
        <v>455000</v>
      </c>
      <c r="N1827">
        <v>4.4000000000000004</v>
      </c>
      <c r="O1827">
        <v>8</v>
      </c>
      <c r="P1827" s="2" t="s">
        <v>26</v>
      </c>
    </row>
    <row r="1828" spans="1:16" x14ac:dyDescent="0.25">
      <c r="A1828" s="2" t="s">
        <v>6512</v>
      </c>
      <c r="B1828" s="2" t="s">
        <v>6266</v>
      </c>
      <c r="C1828" s="2" t="s">
        <v>18</v>
      </c>
      <c r="D1828" s="2" t="s">
        <v>79</v>
      </c>
      <c r="E1828" s="2" t="s">
        <v>44</v>
      </c>
      <c r="F1828" s="2" t="s">
        <v>128</v>
      </c>
      <c r="G1828" s="2" t="s">
        <v>22</v>
      </c>
      <c r="H1828" s="2" t="s">
        <v>34</v>
      </c>
      <c r="I1828" s="2" t="s">
        <v>57</v>
      </c>
      <c r="J1828" s="2" t="s">
        <v>4540</v>
      </c>
      <c r="K1828" s="2" t="s">
        <v>964</v>
      </c>
      <c r="L1828">
        <v>5</v>
      </c>
      <c r="M1828" s="1">
        <v>390000</v>
      </c>
      <c r="N1828">
        <v>3.2</v>
      </c>
      <c r="O1828">
        <v>5</v>
      </c>
      <c r="P1828" s="2" t="s">
        <v>26</v>
      </c>
    </row>
    <row r="1829" spans="1:16" x14ac:dyDescent="0.25">
      <c r="A1829" s="2" t="s">
        <v>6513</v>
      </c>
      <c r="B1829" s="2" t="s">
        <v>3859</v>
      </c>
      <c r="C1829" s="2" t="s">
        <v>18</v>
      </c>
      <c r="D1829" s="2" t="s">
        <v>50</v>
      </c>
      <c r="E1829" s="2" t="s">
        <v>20</v>
      </c>
      <c r="F1829" s="2" t="s">
        <v>32</v>
      </c>
      <c r="G1829" s="2" t="s">
        <v>22</v>
      </c>
      <c r="H1829" s="2" t="s">
        <v>62</v>
      </c>
      <c r="I1829" s="2" t="s">
        <v>35</v>
      </c>
      <c r="J1829" s="2" t="s">
        <v>6514</v>
      </c>
      <c r="K1829" s="2" t="s">
        <v>964</v>
      </c>
      <c r="L1829">
        <v>6</v>
      </c>
      <c r="M1829" s="1">
        <v>347000</v>
      </c>
      <c r="N1829">
        <v>2.6</v>
      </c>
      <c r="O1829">
        <v>14</v>
      </c>
      <c r="P1829" s="2" t="s">
        <v>72</v>
      </c>
    </row>
    <row r="1830" spans="1:16" x14ac:dyDescent="0.25">
      <c r="A1830" s="2" t="s">
        <v>6515</v>
      </c>
      <c r="B1830" s="2" t="s">
        <v>6516</v>
      </c>
      <c r="C1830" s="2" t="s">
        <v>18</v>
      </c>
      <c r="D1830" s="2" t="s">
        <v>79</v>
      </c>
      <c r="E1830" s="2" t="s">
        <v>20</v>
      </c>
      <c r="F1830" s="2" t="s">
        <v>128</v>
      </c>
      <c r="G1830" s="2" t="s">
        <v>80</v>
      </c>
      <c r="H1830" s="2" t="s">
        <v>34</v>
      </c>
      <c r="I1830" s="2" t="s">
        <v>57</v>
      </c>
      <c r="J1830" s="2" t="s">
        <v>791</v>
      </c>
      <c r="K1830" s="2" t="s">
        <v>4032</v>
      </c>
      <c r="L1830">
        <v>6</v>
      </c>
      <c r="M1830" s="1">
        <v>424000</v>
      </c>
      <c r="N1830">
        <v>3.4</v>
      </c>
      <c r="O1830">
        <v>9</v>
      </c>
      <c r="P1830" s="2" t="s">
        <v>26</v>
      </c>
    </row>
    <row r="1831" spans="1:16" x14ac:dyDescent="0.25">
      <c r="A1831" s="2" t="s">
        <v>6517</v>
      </c>
      <c r="B1831" s="2" t="s">
        <v>4721</v>
      </c>
      <c r="C1831" s="2" t="s">
        <v>29</v>
      </c>
      <c r="D1831" s="2" t="s">
        <v>19</v>
      </c>
      <c r="E1831" s="2" t="s">
        <v>20</v>
      </c>
      <c r="F1831" s="2" t="s">
        <v>32</v>
      </c>
      <c r="G1831" s="2" t="s">
        <v>33</v>
      </c>
      <c r="H1831" s="2" t="s">
        <v>34</v>
      </c>
      <c r="I1831" s="2" t="s">
        <v>24</v>
      </c>
      <c r="J1831" s="2" t="s">
        <v>4065</v>
      </c>
      <c r="K1831" s="2" t="s">
        <v>4032</v>
      </c>
      <c r="L1831">
        <v>4</v>
      </c>
      <c r="M1831" s="1">
        <v>318000</v>
      </c>
      <c r="N1831">
        <v>4.5999999999999996</v>
      </c>
      <c r="O1831">
        <v>14</v>
      </c>
      <c r="P1831" s="2" t="s">
        <v>26</v>
      </c>
    </row>
    <row r="1832" spans="1:16" x14ac:dyDescent="0.25">
      <c r="A1832" s="2" t="s">
        <v>6520</v>
      </c>
      <c r="B1832" s="2" t="s">
        <v>2532</v>
      </c>
      <c r="C1832" s="2" t="s">
        <v>18</v>
      </c>
      <c r="D1832" s="2" t="s">
        <v>43</v>
      </c>
      <c r="E1832" s="2" t="s">
        <v>20</v>
      </c>
      <c r="F1832" s="2" t="s">
        <v>39</v>
      </c>
      <c r="G1832" s="2" t="s">
        <v>22</v>
      </c>
      <c r="H1832" s="2" t="s">
        <v>34</v>
      </c>
      <c r="I1832" s="2" t="s">
        <v>57</v>
      </c>
      <c r="J1832" s="2" t="s">
        <v>2443</v>
      </c>
      <c r="K1832" s="2" t="s">
        <v>4032</v>
      </c>
      <c r="L1832">
        <v>5</v>
      </c>
      <c r="M1832" s="1">
        <v>144000</v>
      </c>
      <c r="N1832">
        <v>2.6</v>
      </c>
      <c r="O1832">
        <v>2</v>
      </c>
      <c r="P1832" s="2" t="s">
        <v>26</v>
      </c>
    </row>
    <row r="1833" spans="1:16" x14ac:dyDescent="0.25">
      <c r="A1833" s="2" t="s">
        <v>6524</v>
      </c>
      <c r="B1833" s="2" t="s">
        <v>766</v>
      </c>
      <c r="C1833" s="2" t="s">
        <v>18</v>
      </c>
      <c r="D1833" s="2" t="s">
        <v>50</v>
      </c>
      <c r="E1833" s="2" t="s">
        <v>31</v>
      </c>
      <c r="F1833" s="2" t="s">
        <v>39</v>
      </c>
      <c r="G1833" s="2" t="s">
        <v>80</v>
      </c>
      <c r="H1833" s="2" t="s">
        <v>34</v>
      </c>
      <c r="I1833" s="2" t="s">
        <v>24</v>
      </c>
      <c r="J1833" s="2" t="s">
        <v>4796</v>
      </c>
      <c r="K1833" s="2" t="s">
        <v>4032</v>
      </c>
      <c r="L1833">
        <v>6</v>
      </c>
      <c r="M1833" s="1">
        <v>85000</v>
      </c>
      <c r="N1833">
        <v>2</v>
      </c>
      <c r="O1833">
        <v>21</v>
      </c>
      <c r="P1833" s="2" t="s">
        <v>26</v>
      </c>
    </row>
    <row r="1834" spans="1:16" x14ac:dyDescent="0.25">
      <c r="A1834" s="2" t="s">
        <v>6525</v>
      </c>
      <c r="B1834" s="2" t="s">
        <v>6526</v>
      </c>
      <c r="C1834" s="2" t="s">
        <v>18</v>
      </c>
      <c r="D1834" s="2" t="s">
        <v>30</v>
      </c>
      <c r="E1834" s="2" t="s">
        <v>20</v>
      </c>
      <c r="F1834" s="2" t="s">
        <v>21</v>
      </c>
      <c r="G1834" s="2" t="s">
        <v>22</v>
      </c>
      <c r="H1834" s="2" t="s">
        <v>46</v>
      </c>
      <c r="I1834" s="2" t="s">
        <v>57</v>
      </c>
      <c r="J1834" s="2" t="s">
        <v>4764</v>
      </c>
      <c r="K1834" s="2" t="s">
        <v>4032</v>
      </c>
      <c r="L1834">
        <v>26</v>
      </c>
      <c r="M1834" s="1">
        <v>755000</v>
      </c>
      <c r="N1834">
        <v>4.3</v>
      </c>
      <c r="O1834">
        <v>1</v>
      </c>
      <c r="P1834" s="2" t="s">
        <v>26</v>
      </c>
    </row>
    <row r="1835" spans="1:16" x14ac:dyDescent="0.25">
      <c r="A1835" s="2" t="s">
        <v>6527</v>
      </c>
      <c r="B1835" s="2" t="s">
        <v>6528</v>
      </c>
      <c r="C1835" s="2" t="s">
        <v>29</v>
      </c>
      <c r="D1835" s="2" t="s">
        <v>30</v>
      </c>
      <c r="E1835" s="2" t="s">
        <v>31</v>
      </c>
      <c r="F1835" s="2" t="s">
        <v>32</v>
      </c>
      <c r="G1835" s="2" t="s">
        <v>80</v>
      </c>
      <c r="H1835" s="2" t="s">
        <v>34</v>
      </c>
      <c r="I1835" s="2" t="s">
        <v>35</v>
      </c>
      <c r="J1835" s="2" t="s">
        <v>3736</v>
      </c>
      <c r="K1835" s="2" t="s">
        <v>4032</v>
      </c>
      <c r="L1835">
        <v>5</v>
      </c>
      <c r="M1835" s="1">
        <v>196000</v>
      </c>
      <c r="N1835">
        <v>3.3</v>
      </c>
      <c r="O1835">
        <v>11</v>
      </c>
      <c r="P1835" s="2" t="s">
        <v>26</v>
      </c>
    </row>
    <row r="1836" spans="1:16" x14ac:dyDescent="0.25">
      <c r="A1836" s="2" t="s">
        <v>6533</v>
      </c>
      <c r="B1836" s="2" t="s">
        <v>5183</v>
      </c>
      <c r="C1836" s="2" t="s">
        <v>29</v>
      </c>
      <c r="D1836" s="2" t="s">
        <v>30</v>
      </c>
      <c r="E1836" s="2" t="s">
        <v>20</v>
      </c>
      <c r="F1836" s="2" t="s">
        <v>39</v>
      </c>
      <c r="G1836" s="2" t="s">
        <v>80</v>
      </c>
      <c r="H1836" s="2" t="s">
        <v>23</v>
      </c>
      <c r="I1836" s="2" t="s">
        <v>57</v>
      </c>
      <c r="J1836" s="2" t="s">
        <v>1187</v>
      </c>
      <c r="K1836" s="2" t="s">
        <v>4032</v>
      </c>
      <c r="L1836">
        <v>4</v>
      </c>
      <c r="M1836" s="1">
        <v>86000</v>
      </c>
      <c r="N1836">
        <v>2.5</v>
      </c>
      <c r="O1836">
        <v>14</v>
      </c>
      <c r="P1836" s="2" t="s">
        <v>26</v>
      </c>
    </row>
    <row r="1837" spans="1:16" x14ac:dyDescent="0.25">
      <c r="A1837" s="2" t="s">
        <v>6534</v>
      </c>
      <c r="B1837" s="2" t="s">
        <v>6535</v>
      </c>
      <c r="C1837" s="2" t="s">
        <v>29</v>
      </c>
      <c r="D1837" s="2" t="s">
        <v>19</v>
      </c>
      <c r="E1837" s="2" t="s">
        <v>31</v>
      </c>
      <c r="F1837" s="2" t="s">
        <v>32</v>
      </c>
      <c r="G1837" s="2" t="s">
        <v>33</v>
      </c>
      <c r="H1837" s="2" t="s">
        <v>34</v>
      </c>
      <c r="I1837" s="2" t="s">
        <v>57</v>
      </c>
      <c r="J1837" s="2" t="s">
        <v>5692</v>
      </c>
      <c r="K1837" s="2" t="s">
        <v>4032</v>
      </c>
      <c r="L1837">
        <v>6</v>
      </c>
      <c r="M1837" s="1">
        <v>385000</v>
      </c>
      <c r="N1837">
        <v>2.7</v>
      </c>
      <c r="O1837">
        <v>37</v>
      </c>
      <c r="P1837" s="2" t="s">
        <v>26</v>
      </c>
    </row>
    <row r="1838" spans="1:16" x14ac:dyDescent="0.25">
      <c r="A1838" s="2" t="s">
        <v>6537</v>
      </c>
      <c r="B1838" s="2" t="s">
        <v>4118</v>
      </c>
      <c r="C1838" s="2" t="s">
        <v>18</v>
      </c>
      <c r="D1838" s="2" t="s">
        <v>19</v>
      </c>
      <c r="E1838" s="2" t="s">
        <v>20</v>
      </c>
      <c r="F1838" s="2" t="s">
        <v>128</v>
      </c>
      <c r="G1838" s="2" t="s">
        <v>22</v>
      </c>
      <c r="H1838" s="2" t="s">
        <v>46</v>
      </c>
      <c r="I1838" s="2" t="s">
        <v>24</v>
      </c>
      <c r="J1838" s="2" t="s">
        <v>339</v>
      </c>
      <c r="K1838" s="2" t="s">
        <v>4032</v>
      </c>
      <c r="L1838">
        <v>3</v>
      </c>
      <c r="M1838" s="1">
        <v>552000</v>
      </c>
      <c r="N1838">
        <v>3.4</v>
      </c>
      <c r="O1838">
        <v>10</v>
      </c>
      <c r="P1838" s="2" t="s">
        <v>26</v>
      </c>
    </row>
    <row r="1839" spans="1:16" x14ac:dyDescent="0.25">
      <c r="A1839" s="2" t="s">
        <v>6540</v>
      </c>
      <c r="B1839" s="2" t="s">
        <v>6541</v>
      </c>
      <c r="C1839" s="2" t="s">
        <v>18</v>
      </c>
      <c r="D1839" s="2" t="s">
        <v>30</v>
      </c>
      <c r="E1839" s="2" t="s">
        <v>20</v>
      </c>
      <c r="F1839" s="2" t="s">
        <v>32</v>
      </c>
      <c r="G1839" s="2" t="s">
        <v>22</v>
      </c>
      <c r="H1839" s="2" t="s">
        <v>34</v>
      </c>
      <c r="I1839" s="2" t="s">
        <v>75</v>
      </c>
      <c r="J1839" s="2" t="s">
        <v>2678</v>
      </c>
      <c r="K1839" s="2" t="s">
        <v>4032</v>
      </c>
      <c r="L1839">
        <v>4</v>
      </c>
      <c r="M1839" s="1">
        <v>197000</v>
      </c>
      <c r="N1839">
        <v>1.8</v>
      </c>
      <c r="O1839">
        <v>6</v>
      </c>
      <c r="P1839" s="2" t="s">
        <v>53</v>
      </c>
    </row>
    <row r="1840" spans="1:16" x14ac:dyDescent="0.25">
      <c r="A1840" s="2" t="s">
        <v>6542</v>
      </c>
      <c r="B1840" s="2" t="s">
        <v>6543</v>
      </c>
      <c r="C1840" s="2" t="s">
        <v>18</v>
      </c>
      <c r="D1840" s="2" t="s">
        <v>43</v>
      </c>
      <c r="E1840" s="2" t="s">
        <v>20</v>
      </c>
      <c r="F1840" s="2" t="s">
        <v>39</v>
      </c>
      <c r="G1840" s="2" t="s">
        <v>22</v>
      </c>
      <c r="H1840" s="2" t="s">
        <v>34</v>
      </c>
      <c r="I1840" s="2" t="s">
        <v>24</v>
      </c>
      <c r="J1840" s="2" t="s">
        <v>3075</v>
      </c>
      <c r="K1840" s="2" t="s">
        <v>4231</v>
      </c>
      <c r="L1840">
        <v>6</v>
      </c>
      <c r="M1840" s="1">
        <v>117000</v>
      </c>
      <c r="N1840">
        <v>2.2000000000000002</v>
      </c>
      <c r="O1840">
        <v>3</v>
      </c>
      <c r="P1840" s="2" t="s">
        <v>26</v>
      </c>
    </row>
    <row r="1841" spans="1:16" x14ac:dyDescent="0.25">
      <c r="A1841" s="2" t="s">
        <v>6547</v>
      </c>
      <c r="B1841" s="2" t="s">
        <v>718</v>
      </c>
      <c r="C1841" s="2" t="s">
        <v>18</v>
      </c>
      <c r="D1841" s="2" t="s">
        <v>79</v>
      </c>
      <c r="E1841" s="2" t="s">
        <v>20</v>
      </c>
      <c r="F1841" s="2" t="s">
        <v>39</v>
      </c>
      <c r="G1841" s="2" t="s">
        <v>22</v>
      </c>
      <c r="H1841" s="2" t="s">
        <v>23</v>
      </c>
      <c r="I1841" s="2" t="s">
        <v>75</v>
      </c>
      <c r="J1841" s="2" t="s">
        <v>3719</v>
      </c>
      <c r="K1841" s="2" t="s">
        <v>4231</v>
      </c>
      <c r="L1841">
        <v>4</v>
      </c>
      <c r="M1841" s="1">
        <v>176000</v>
      </c>
      <c r="N1841">
        <v>3.8</v>
      </c>
      <c r="O1841">
        <v>0</v>
      </c>
      <c r="P1841" s="2" t="s">
        <v>53</v>
      </c>
    </row>
    <row r="1842" spans="1:16" x14ac:dyDescent="0.25">
      <c r="A1842" s="2" t="s">
        <v>6548</v>
      </c>
      <c r="B1842" s="2" t="s">
        <v>3328</v>
      </c>
      <c r="C1842" s="2" t="s">
        <v>29</v>
      </c>
      <c r="D1842" s="2" t="s">
        <v>50</v>
      </c>
      <c r="E1842" s="2" t="s">
        <v>20</v>
      </c>
      <c r="F1842" s="2" t="s">
        <v>39</v>
      </c>
      <c r="G1842" s="2" t="s">
        <v>33</v>
      </c>
      <c r="H1842" s="2" t="s">
        <v>23</v>
      </c>
      <c r="I1842" s="2" t="s">
        <v>35</v>
      </c>
      <c r="J1842" s="2" t="s">
        <v>1516</v>
      </c>
      <c r="K1842" s="2" t="s">
        <v>2271</v>
      </c>
      <c r="L1842">
        <v>4</v>
      </c>
      <c r="M1842" s="1">
        <v>147000</v>
      </c>
      <c r="N1842">
        <v>2.6</v>
      </c>
      <c r="O1842">
        <v>2</v>
      </c>
      <c r="P1842" s="2" t="s">
        <v>53</v>
      </c>
    </row>
    <row r="1843" spans="1:16" x14ac:dyDescent="0.25">
      <c r="A1843" s="2" t="s">
        <v>6549</v>
      </c>
      <c r="B1843" s="2" t="s">
        <v>6550</v>
      </c>
      <c r="C1843" s="2" t="s">
        <v>18</v>
      </c>
      <c r="D1843" s="2" t="s">
        <v>79</v>
      </c>
      <c r="E1843" s="2" t="s">
        <v>31</v>
      </c>
      <c r="F1843" s="2" t="s">
        <v>32</v>
      </c>
      <c r="G1843" s="2" t="s">
        <v>22</v>
      </c>
      <c r="H1843" s="2" t="s">
        <v>23</v>
      </c>
      <c r="I1843" s="2" t="s">
        <v>75</v>
      </c>
      <c r="J1843" s="2" t="s">
        <v>4556</v>
      </c>
      <c r="K1843" s="2" t="s">
        <v>5003</v>
      </c>
      <c r="L1843">
        <v>7</v>
      </c>
      <c r="M1843" s="1">
        <v>206000</v>
      </c>
      <c r="N1843">
        <v>3.5</v>
      </c>
      <c r="O1843">
        <v>0</v>
      </c>
      <c r="P1843" s="2" t="s">
        <v>26</v>
      </c>
    </row>
    <row r="1844" spans="1:16" x14ac:dyDescent="0.25">
      <c r="A1844" s="2" t="s">
        <v>6551</v>
      </c>
      <c r="B1844" s="2" t="s">
        <v>6552</v>
      </c>
      <c r="C1844" s="2" t="s">
        <v>29</v>
      </c>
      <c r="D1844" s="2" t="s">
        <v>79</v>
      </c>
      <c r="E1844" s="2" t="s">
        <v>20</v>
      </c>
      <c r="F1844" s="2" t="s">
        <v>39</v>
      </c>
      <c r="G1844" s="2" t="s">
        <v>22</v>
      </c>
      <c r="H1844" s="2" t="s">
        <v>46</v>
      </c>
      <c r="I1844" s="2" t="s">
        <v>171</v>
      </c>
      <c r="J1844" s="2" t="s">
        <v>5463</v>
      </c>
      <c r="K1844" s="2" t="s">
        <v>5003</v>
      </c>
      <c r="L1844">
        <v>3</v>
      </c>
      <c r="M1844" s="1">
        <v>131000</v>
      </c>
      <c r="N1844">
        <v>4.0999999999999996</v>
      </c>
      <c r="O1844">
        <v>7</v>
      </c>
      <c r="P1844" s="2" t="s">
        <v>26</v>
      </c>
    </row>
    <row r="1845" spans="1:16" x14ac:dyDescent="0.25">
      <c r="A1845" s="2" t="s">
        <v>6553</v>
      </c>
      <c r="B1845" s="2" t="s">
        <v>1033</v>
      </c>
      <c r="C1845" s="2" t="s">
        <v>29</v>
      </c>
      <c r="D1845" s="2" t="s">
        <v>30</v>
      </c>
      <c r="E1845" s="2" t="s">
        <v>20</v>
      </c>
      <c r="F1845" s="2" t="s">
        <v>32</v>
      </c>
      <c r="G1845" s="2" t="s">
        <v>80</v>
      </c>
      <c r="H1845" s="2" t="s">
        <v>23</v>
      </c>
      <c r="I1845" s="2" t="s">
        <v>24</v>
      </c>
      <c r="J1845" s="2" t="s">
        <v>1551</v>
      </c>
      <c r="K1845" s="2" t="s">
        <v>5003</v>
      </c>
      <c r="L1845">
        <v>2</v>
      </c>
      <c r="M1845" s="1">
        <v>315000</v>
      </c>
      <c r="N1845">
        <v>2.2000000000000002</v>
      </c>
      <c r="O1845">
        <v>1</v>
      </c>
      <c r="P1845" s="2" t="s">
        <v>53</v>
      </c>
    </row>
    <row r="1846" spans="1:16" x14ac:dyDescent="0.25">
      <c r="A1846" s="2" t="s">
        <v>6554</v>
      </c>
      <c r="B1846" s="2" t="s">
        <v>6555</v>
      </c>
      <c r="C1846" s="2" t="s">
        <v>18</v>
      </c>
      <c r="D1846" s="2" t="s">
        <v>30</v>
      </c>
      <c r="E1846" s="2" t="s">
        <v>20</v>
      </c>
      <c r="F1846" s="2" t="s">
        <v>128</v>
      </c>
      <c r="G1846" s="2" t="s">
        <v>22</v>
      </c>
      <c r="H1846" s="2" t="s">
        <v>34</v>
      </c>
      <c r="I1846" s="2" t="s">
        <v>35</v>
      </c>
      <c r="J1846" s="2" t="s">
        <v>2870</v>
      </c>
      <c r="K1846" s="2" t="s">
        <v>6558</v>
      </c>
      <c r="L1846">
        <v>4</v>
      </c>
      <c r="M1846" s="1">
        <v>513000</v>
      </c>
      <c r="N1846">
        <v>4.5999999999999996</v>
      </c>
      <c r="O1846">
        <v>1</v>
      </c>
      <c r="P1846" s="2" t="s">
        <v>26</v>
      </c>
    </row>
    <row r="1847" spans="1:16" x14ac:dyDescent="0.25">
      <c r="A1847" s="2" t="s">
        <v>6556</v>
      </c>
      <c r="B1847" s="2" t="s">
        <v>2924</v>
      </c>
      <c r="C1847" s="2" t="s">
        <v>18</v>
      </c>
      <c r="D1847" s="2" t="s">
        <v>79</v>
      </c>
      <c r="E1847" s="2" t="s">
        <v>20</v>
      </c>
      <c r="F1847" s="2" t="s">
        <v>128</v>
      </c>
      <c r="G1847" s="2" t="s">
        <v>33</v>
      </c>
      <c r="H1847" s="2" t="s">
        <v>23</v>
      </c>
      <c r="I1847" s="2" t="s">
        <v>24</v>
      </c>
      <c r="J1847" s="2" t="s">
        <v>6557</v>
      </c>
      <c r="K1847" s="2" t="s">
        <v>6558</v>
      </c>
      <c r="L1847">
        <v>6</v>
      </c>
      <c r="M1847" s="1">
        <v>481000</v>
      </c>
      <c r="N1847">
        <v>3.5</v>
      </c>
      <c r="O1847">
        <v>3</v>
      </c>
      <c r="P1847" s="2" t="s">
        <v>53</v>
      </c>
    </row>
    <row r="1848" spans="1:16" x14ac:dyDescent="0.25">
      <c r="A1848" s="2" t="s">
        <v>6559</v>
      </c>
      <c r="B1848" s="2" t="s">
        <v>6560</v>
      </c>
      <c r="C1848" s="2" t="s">
        <v>29</v>
      </c>
      <c r="D1848" s="2" t="s">
        <v>79</v>
      </c>
      <c r="E1848" s="2" t="s">
        <v>31</v>
      </c>
      <c r="F1848" s="2" t="s">
        <v>39</v>
      </c>
      <c r="G1848" s="2" t="s">
        <v>22</v>
      </c>
      <c r="H1848" s="2" t="s">
        <v>23</v>
      </c>
      <c r="I1848" s="2" t="s">
        <v>75</v>
      </c>
      <c r="J1848" s="2" t="s">
        <v>3421</v>
      </c>
      <c r="K1848" s="2" t="s">
        <v>784</v>
      </c>
      <c r="L1848">
        <v>6</v>
      </c>
      <c r="M1848" s="1">
        <v>142000</v>
      </c>
      <c r="N1848">
        <v>3.3</v>
      </c>
      <c r="O1848">
        <v>10</v>
      </c>
      <c r="P1848" s="2" t="s">
        <v>26</v>
      </c>
    </row>
    <row r="1849" spans="1:16" x14ac:dyDescent="0.25">
      <c r="A1849" s="2" t="s">
        <v>6561</v>
      </c>
      <c r="B1849" s="2" t="s">
        <v>5146</v>
      </c>
      <c r="C1849" s="2" t="s">
        <v>18</v>
      </c>
      <c r="D1849" s="2" t="s">
        <v>19</v>
      </c>
      <c r="E1849" s="2" t="s">
        <v>20</v>
      </c>
      <c r="F1849" s="2" t="s">
        <v>39</v>
      </c>
      <c r="G1849" s="2" t="s">
        <v>22</v>
      </c>
      <c r="H1849" s="2" t="s">
        <v>23</v>
      </c>
      <c r="I1849" s="2" t="s">
        <v>57</v>
      </c>
      <c r="J1849" s="2" t="s">
        <v>2277</v>
      </c>
      <c r="K1849" s="2" t="s">
        <v>784</v>
      </c>
      <c r="L1849">
        <v>2</v>
      </c>
      <c r="M1849" s="1">
        <v>198000</v>
      </c>
      <c r="N1849">
        <v>3</v>
      </c>
      <c r="O1849">
        <v>2</v>
      </c>
      <c r="P1849" s="2" t="s">
        <v>72</v>
      </c>
    </row>
    <row r="1850" spans="1:16" x14ac:dyDescent="0.25">
      <c r="A1850" s="2" t="s">
        <v>6562</v>
      </c>
      <c r="B1850" s="2" t="s">
        <v>6563</v>
      </c>
      <c r="C1850" s="2" t="s">
        <v>18</v>
      </c>
      <c r="D1850" s="2" t="s">
        <v>50</v>
      </c>
      <c r="E1850" s="2" t="s">
        <v>20</v>
      </c>
      <c r="F1850" s="2" t="s">
        <v>39</v>
      </c>
      <c r="G1850" s="2" t="s">
        <v>33</v>
      </c>
      <c r="H1850" s="2" t="s">
        <v>23</v>
      </c>
      <c r="I1850" s="2" t="s">
        <v>24</v>
      </c>
      <c r="J1850" s="2" t="s">
        <v>6564</v>
      </c>
      <c r="K1850" s="2" t="s">
        <v>5302</v>
      </c>
      <c r="L1850">
        <v>5</v>
      </c>
      <c r="M1850" s="1">
        <v>119000</v>
      </c>
      <c r="N1850">
        <v>2.9</v>
      </c>
      <c r="O1850">
        <v>1</v>
      </c>
      <c r="P1850" s="2" t="s">
        <v>53</v>
      </c>
    </row>
    <row r="1851" spans="1:16" x14ac:dyDescent="0.25">
      <c r="A1851" s="2" t="s">
        <v>6565</v>
      </c>
      <c r="B1851" s="2" t="s">
        <v>444</v>
      </c>
      <c r="C1851" s="2" t="s">
        <v>29</v>
      </c>
      <c r="D1851" s="2" t="s">
        <v>30</v>
      </c>
      <c r="E1851" s="2" t="s">
        <v>31</v>
      </c>
      <c r="F1851" s="2" t="s">
        <v>39</v>
      </c>
      <c r="G1851" s="2" t="s">
        <v>22</v>
      </c>
      <c r="H1851" s="2" t="s">
        <v>46</v>
      </c>
      <c r="I1851" s="2" t="s">
        <v>24</v>
      </c>
      <c r="J1851" s="2" t="s">
        <v>6566</v>
      </c>
      <c r="K1851" s="2" t="s">
        <v>975</v>
      </c>
      <c r="L1851">
        <v>3</v>
      </c>
      <c r="M1851" s="1">
        <v>100000</v>
      </c>
      <c r="N1851">
        <v>2.7</v>
      </c>
      <c r="O1851">
        <v>1</v>
      </c>
      <c r="P1851" s="2" t="s">
        <v>53</v>
      </c>
    </row>
    <row r="1852" spans="1:16" x14ac:dyDescent="0.25">
      <c r="A1852" s="2" t="s">
        <v>6569</v>
      </c>
      <c r="B1852" s="2" t="s">
        <v>6495</v>
      </c>
      <c r="C1852" s="2" t="s">
        <v>18</v>
      </c>
      <c r="D1852" s="2" t="s">
        <v>79</v>
      </c>
      <c r="E1852" s="2" t="s">
        <v>31</v>
      </c>
      <c r="F1852" s="2" t="s">
        <v>32</v>
      </c>
      <c r="G1852" s="2" t="s">
        <v>80</v>
      </c>
      <c r="H1852" s="2" t="s">
        <v>46</v>
      </c>
      <c r="I1852" s="2" t="s">
        <v>57</v>
      </c>
      <c r="J1852" s="2" t="s">
        <v>6570</v>
      </c>
      <c r="K1852" s="2" t="s">
        <v>5016</v>
      </c>
      <c r="L1852">
        <v>5</v>
      </c>
      <c r="M1852" s="1">
        <v>196000</v>
      </c>
      <c r="N1852">
        <v>4.9000000000000004</v>
      </c>
      <c r="O1852">
        <v>14</v>
      </c>
      <c r="P1852" s="2" t="s">
        <v>26</v>
      </c>
    </row>
    <row r="1853" spans="1:16" x14ac:dyDescent="0.25">
      <c r="A1853" s="2" t="s">
        <v>6571</v>
      </c>
      <c r="B1853" s="2" t="s">
        <v>6572</v>
      </c>
      <c r="C1853" s="2" t="s">
        <v>29</v>
      </c>
      <c r="D1853" s="2" t="s">
        <v>30</v>
      </c>
      <c r="E1853" s="2" t="s">
        <v>44</v>
      </c>
      <c r="F1853" s="2" t="s">
        <v>39</v>
      </c>
      <c r="G1853" s="2" t="s">
        <v>22</v>
      </c>
      <c r="H1853" s="2" t="s">
        <v>23</v>
      </c>
      <c r="I1853" s="2" t="s">
        <v>75</v>
      </c>
      <c r="J1853" s="2" t="s">
        <v>285</v>
      </c>
      <c r="K1853" s="2" t="s">
        <v>5016</v>
      </c>
      <c r="L1853">
        <v>5</v>
      </c>
      <c r="M1853" s="1">
        <v>169000</v>
      </c>
      <c r="N1853">
        <v>2.4</v>
      </c>
      <c r="O1853">
        <v>7</v>
      </c>
      <c r="P1853" s="2" t="s">
        <v>53</v>
      </c>
    </row>
    <row r="1854" spans="1:16" x14ac:dyDescent="0.25">
      <c r="A1854" s="2" t="s">
        <v>6573</v>
      </c>
      <c r="B1854" s="2" t="s">
        <v>2096</v>
      </c>
      <c r="C1854" s="2" t="s">
        <v>18</v>
      </c>
      <c r="D1854" s="2" t="s">
        <v>30</v>
      </c>
      <c r="E1854" s="2" t="s">
        <v>20</v>
      </c>
      <c r="F1854" s="2" t="s">
        <v>32</v>
      </c>
      <c r="G1854" s="2" t="s">
        <v>33</v>
      </c>
      <c r="H1854" s="2" t="s">
        <v>23</v>
      </c>
      <c r="I1854" s="2" t="s">
        <v>75</v>
      </c>
      <c r="J1854" s="2" t="s">
        <v>6430</v>
      </c>
      <c r="K1854" s="2" t="s">
        <v>797</v>
      </c>
      <c r="L1854">
        <v>6</v>
      </c>
      <c r="M1854" s="1">
        <v>237000</v>
      </c>
      <c r="N1854">
        <v>1.7</v>
      </c>
      <c r="O1854">
        <v>13</v>
      </c>
      <c r="P1854" s="2" t="s">
        <v>26</v>
      </c>
    </row>
    <row r="1855" spans="1:16" x14ac:dyDescent="0.25">
      <c r="A1855" s="2" t="s">
        <v>6576</v>
      </c>
      <c r="B1855" s="2" t="s">
        <v>1500</v>
      </c>
      <c r="C1855" s="2" t="s">
        <v>18</v>
      </c>
      <c r="D1855" s="2" t="s">
        <v>79</v>
      </c>
      <c r="E1855" s="2" t="s">
        <v>20</v>
      </c>
      <c r="F1855" s="2" t="s">
        <v>32</v>
      </c>
      <c r="G1855" s="2" t="s">
        <v>33</v>
      </c>
      <c r="H1855" s="2" t="s">
        <v>23</v>
      </c>
      <c r="I1855" s="2" t="s">
        <v>24</v>
      </c>
      <c r="J1855" s="2" t="s">
        <v>149</v>
      </c>
      <c r="K1855" s="2" t="s">
        <v>797</v>
      </c>
      <c r="L1855">
        <v>3</v>
      </c>
      <c r="M1855" s="1">
        <v>234000</v>
      </c>
      <c r="N1855">
        <v>2.8</v>
      </c>
      <c r="O1855">
        <v>0</v>
      </c>
      <c r="P1855" s="2" t="s">
        <v>26</v>
      </c>
    </row>
    <row r="1856" spans="1:16" x14ac:dyDescent="0.25">
      <c r="A1856" s="2" t="s">
        <v>6577</v>
      </c>
      <c r="B1856" s="2" t="s">
        <v>4418</v>
      </c>
      <c r="C1856" s="2" t="s">
        <v>18</v>
      </c>
      <c r="D1856" s="2" t="s">
        <v>79</v>
      </c>
      <c r="E1856" s="2" t="s">
        <v>31</v>
      </c>
      <c r="F1856" s="2" t="s">
        <v>32</v>
      </c>
      <c r="G1856" s="2" t="s">
        <v>22</v>
      </c>
      <c r="H1856" s="2" t="s">
        <v>23</v>
      </c>
      <c r="I1856" s="2" t="s">
        <v>24</v>
      </c>
      <c r="J1856" s="2" t="s">
        <v>6578</v>
      </c>
      <c r="K1856" s="2" t="s">
        <v>797</v>
      </c>
      <c r="L1856">
        <v>4</v>
      </c>
      <c r="M1856" s="1">
        <v>333000</v>
      </c>
      <c r="N1856">
        <v>2.5</v>
      </c>
      <c r="O1856">
        <v>40</v>
      </c>
      <c r="P1856" s="2" t="s">
        <v>53</v>
      </c>
    </row>
    <row r="1857" spans="1:16" x14ac:dyDescent="0.25">
      <c r="A1857" s="2" t="s">
        <v>6579</v>
      </c>
      <c r="B1857" s="2" t="s">
        <v>4219</v>
      </c>
      <c r="C1857" s="2" t="s">
        <v>29</v>
      </c>
      <c r="D1857" s="2" t="s">
        <v>79</v>
      </c>
      <c r="E1857" s="2" t="s">
        <v>44</v>
      </c>
      <c r="F1857" s="2" t="s">
        <v>128</v>
      </c>
      <c r="G1857" s="2" t="s">
        <v>22</v>
      </c>
      <c r="H1857" s="2" t="s">
        <v>34</v>
      </c>
      <c r="I1857" s="2" t="s">
        <v>57</v>
      </c>
      <c r="J1857" s="2" t="s">
        <v>1126</v>
      </c>
      <c r="K1857" s="2" t="s">
        <v>3357</v>
      </c>
      <c r="L1857">
        <v>5</v>
      </c>
      <c r="M1857" s="1">
        <v>416000</v>
      </c>
      <c r="N1857">
        <v>3.6</v>
      </c>
      <c r="O1857">
        <v>4</v>
      </c>
      <c r="P1857" s="2" t="s">
        <v>53</v>
      </c>
    </row>
    <row r="1858" spans="1:16" x14ac:dyDescent="0.25">
      <c r="A1858" s="2" t="s">
        <v>6580</v>
      </c>
      <c r="B1858" s="2" t="s">
        <v>6581</v>
      </c>
      <c r="C1858" s="2" t="s">
        <v>29</v>
      </c>
      <c r="D1858" s="2" t="s">
        <v>50</v>
      </c>
      <c r="E1858" s="2" t="s">
        <v>44</v>
      </c>
      <c r="F1858" s="2" t="s">
        <v>39</v>
      </c>
      <c r="G1858" s="2" t="s">
        <v>33</v>
      </c>
      <c r="H1858" s="2" t="s">
        <v>34</v>
      </c>
      <c r="I1858" s="2" t="s">
        <v>24</v>
      </c>
      <c r="J1858" s="2" t="s">
        <v>1172</v>
      </c>
      <c r="K1858" s="2" t="s">
        <v>6582</v>
      </c>
      <c r="L1858">
        <v>5</v>
      </c>
      <c r="M1858" s="1">
        <v>90000</v>
      </c>
      <c r="N1858">
        <v>3.7</v>
      </c>
      <c r="O1858">
        <v>2</v>
      </c>
      <c r="P1858" s="2" t="s">
        <v>53</v>
      </c>
    </row>
    <row r="1859" spans="1:16" x14ac:dyDescent="0.25">
      <c r="A1859" s="2" t="s">
        <v>6583</v>
      </c>
      <c r="B1859" s="2" t="s">
        <v>6584</v>
      </c>
      <c r="C1859" s="2" t="s">
        <v>29</v>
      </c>
      <c r="D1859" s="2" t="s">
        <v>43</v>
      </c>
      <c r="E1859" s="2" t="s">
        <v>44</v>
      </c>
      <c r="F1859" s="2" t="s">
        <v>39</v>
      </c>
      <c r="G1859" s="2" t="s">
        <v>33</v>
      </c>
      <c r="H1859" s="2" t="s">
        <v>23</v>
      </c>
      <c r="I1859" s="2" t="s">
        <v>35</v>
      </c>
      <c r="J1859" s="2" t="s">
        <v>6585</v>
      </c>
      <c r="K1859" s="2" t="s">
        <v>6596</v>
      </c>
      <c r="L1859">
        <v>4</v>
      </c>
      <c r="M1859" s="1">
        <v>142000</v>
      </c>
      <c r="N1859">
        <v>3.3</v>
      </c>
      <c r="O1859">
        <v>2</v>
      </c>
      <c r="P1859" s="2" t="s">
        <v>26</v>
      </c>
    </row>
    <row r="1860" spans="1:16" x14ac:dyDescent="0.25">
      <c r="A1860" s="2" t="s">
        <v>6594</v>
      </c>
      <c r="B1860" s="2" t="s">
        <v>6595</v>
      </c>
      <c r="C1860" s="2" t="s">
        <v>18</v>
      </c>
      <c r="D1860" s="2" t="s">
        <v>50</v>
      </c>
      <c r="E1860" s="2" t="s">
        <v>20</v>
      </c>
      <c r="F1860" s="2" t="s">
        <v>32</v>
      </c>
      <c r="G1860" s="2" t="s">
        <v>33</v>
      </c>
      <c r="H1860" s="2" t="s">
        <v>34</v>
      </c>
      <c r="I1860" s="2" t="s">
        <v>35</v>
      </c>
      <c r="J1860" s="2" t="s">
        <v>5192</v>
      </c>
      <c r="K1860" s="2" t="s">
        <v>6596</v>
      </c>
      <c r="L1860">
        <v>3</v>
      </c>
      <c r="M1860" s="1">
        <v>321000</v>
      </c>
      <c r="N1860">
        <v>4.2</v>
      </c>
      <c r="O1860">
        <v>0</v>
      </c>
      <c r="P1860" s="2" t="s">
        <v>72</v>
      </c>
    </row>
    <row r="1861" spans="1:16" x14ac:dyDescent="0.25">
      <c r="A1861" s="2" t="s">
        <v>6597</v>
      </c>
      <c r="B1861" s="2" t="s">
        <v>3176</v>
      </c>
      <c r="C1861" s="2" t="s">
        <v>29</v>
      </c>
      <c r="D1861" s="2" t="s">
        <v>79</v>
      </c>
      <c r="E1861" s="2" t="s">
        <v>20</v>
      </c>
      <c r="F1861" s="2" t="s">
        <v>21</v>
      </c>
      <c r="G1861" s="2" t="s">
        <v>33</v>
      </c>
      <c r="H1861" s="2" t="s">
        <v>62</v>
      </c>
      <c r="I1861" s="2" t="s">
        <v>75</v>
      </c>
      <c r="J1861" s="2" t="s">
        <v>2320</v>
      </c>
      <c r="K1861" s="2" t="s">
        <v>3857</v>
      </c>
      <c r="L1861">
        <v>6</v>
      </c>
      <c r="M1861" s="1">
        <v>725000</v>
      </c>
      <c r="N1861">
        <v>4.2</v>
      </c>
      <c r="O1861">
        <v>9</v>
      </c>
      <c r="P1861" s="2" t="s">
        <v>26</v>
      </c>
    </row>
    <row r="1862" spans="1:16" x14ac:dyDescent="0.25">
      <c r="A1862" s="2" t="s">
        <v>6598</v>
      </c>
      <c r="B1862" s="2" t="s">
        <v>3128</v>
      </c>
      <c r="C1862" s="2" t="s">
        <v>29</v>
      </c>
      <c r="D1862" s="2" t="s">
        <v>30</v>
      </c>
      <c r="E1862" s="2" t="s">
        <v>20</v>
      </c>
      <c r="F1862" s="2" t="s">
        <v>39</v>
      </c>
      <c r="G1862" s="2" t="s">
        <v>69</v>
      </c>
      <c r="H1862" s="2" t="s">
        <v>34</v>
      </c>
      <c r="I1862" s="2" t="s">
        <v>171</v>
      </c>
      <c r="J1862" s="2" t="s">
        <v>1678</v>
      </c>
      <c r="K1862" s="2" t="s">
        <v>3857</v>
      </c>
      <c r="L1862">
        <v>5</v>
      </c>
      <c r="M1862" s="1">
        <v>162000</v>
      </c>
      <c r="N1862">
        <v>2.2000000000000002</v>
      </c>
      <c r="O1862">
        <v>14</v>
      </c>
      <c r="P1862" s="2" t="s">
        <v>26</v>
      </c>
    </row>
    <row r="1863" spans="1:16" x14ac:dyDescent="0.25">
      <c r="A1863" s="2" t="s">
        <v>6599</v>
      </c>
      <c r="B1863" s="2" t="s">
        <v>5202</v>
      </c>
      <c r="C1863" s="2" t="s">
        <v>29</v>
      </c>
      <c r="D1863" s="2" t="s">
        <v>50</v>
      </c>
      <c r="E1863" s="2" t="s">
        <v>20</v>
      </c>
      <c r="F1863" s="2" t="s">
        <v>32</v>
      </c>
      <c r="G1863" s="2" t="s">
        <v>33</v>
      </c>
      <c r="H1863" s="2" t="s">
        <v>62</v>
      </c>
      <c r="I1863" s="2" t="s">
        <v>24</v>
      </c>
      <c r="J1863" s="2" t="s">
        <v>6600</v>
      </c>
      <c r="K1863" s="2" t="s">
        <v>3857</v>
      </c>
      <c r="L1863">
        <v>7</v>
      </c>
      <c r="M1863" s="1">
        <v>263000</v>
      </c>
      <c r="N1863">
        <v>2.7</v>
      </c>
      <c r="O1863">
        <v>9</v>
      </c>
      <c r="P1863" s="2" t="s">
        <v>26</v>
      </c>
    </row>
    <row r="1864" spans="1:16" x14ac:dyDescent="0.25">
      <c r="A1864" s="2" t="s">
        <v>6601</v>
      </c>
      <c r="B1864" s="2" t="s">
        <v>6602</v>
      </c>
      <c r="C1864" s="2" t="s">
        <v>29</v>
      </c>
      <c r="D1864" s="2" t="s">
        <v>19</v>
      </c>
      <c r="E1864" s="2" t="s">
        <v>20</v>
      </c>
      <c r="F1864" s="2" t="s">
        <v>128</v>
      </c>
      <c r="G1864" s="2" t="s">
        <v>22</v>
      </c>
      <c r="H1864" s="2" t="s">
        <v>62</v>
      </c>
      <c r="I1864" s="2" t="s">
        <v>24</v>
      </c>
      <c r="J1864" s="2" t="s">
        <v>3532</v>
      </c>
      <c r="K1864" s="2" t="s">
        <v>3857</v>
      </c>
      <c r="L1864">
        <v>6</v>
      </c>
      <c r="M1864" s="1">
        <v>597000</v>
      </c>
      <c r="N1864">
        <v>2.2999999999999998</v>
      </c>
      <c r="O1864">
        <v>13</v>
      </c>
      <c r="P1864" s="2" t="s">
        <v>26</v>
      </c>
    </row>
    <row r="1865" spans="1:16" x14ac:dyDescent="0.25">
      <c r="A1865" s="2" t="s">
        <v>6603</v>
      </c>
      <c r="B1865" s="2" t="s">
        <v>633</v>
      </c>
      <c r="C1865" s="2" t="s">
        <v>29</v>
      </c>
      <c r="D1865" s="2" t="s">
        <v>50</v>
      </c>
      <c r="E1865" s="2" t="s">
        <v>20</v>
      </c>
      <c r="F1865" s="2" t="s">
        <v>39</v>
      </c>
      <c r="G1865" s="2" t="s">
        <v>22</v>
      </c>
      <c r="H1865" s="2" t="s">
        <v>34</v>
      </c>
      <c r="I1865" s="2" t="s">
        <v>24</v>
      </c>
      <c r="J1865" s="2" t="s">
        <v>1260</v>
      </c>
      <c r="K1865" s="2" t="s">
        <v>3857</v>
      </c>
      <c r="L1865">
        <v>3</v>
      </c>
      <c r="M1865" s="1">
        <v>164000</v>
      </c>
      <c r="N1865">
        <v>4.8</v>
      </c>
      <c r="O1865">
        <v>18</v>
      </c>
      <c r="P1865" s="2" t="s">
        <v>53</v>
      </c>
    </row>
    <row r="1866" spans="1:16" x14ac:dyDescent="0.25">
      <c r="A1866" s="2" t="s">
        <v>6604</v>
      </c>
      <c r="B1866" s="2" t="s">
        <v>6605</v>
      </c>
      <c r="C1866" s="2" t="s">
        <v>29</v>
      </c>
      <c r="D1866" s="2" t="s">
        <v>79</v>
      </c>
      <c r="E1866" s="2" t="s">
        <v>44</v>
      </c>
      <c r="F1866" s="2" t="s">
        <v>39</v>
      </c>
      <c r="G1866" s="2" t="s">
        <v>33</v>
      </c>
      <c r="H1866" s="2" t="s">
        <v>34</v>
      </c>
      <c r="I1866" s="2" t="s">
        <v>35</v>
      </c>
      <c r="J1866" s="2" t="s">
        <v>6606</v>
      </c>
      <c r="K1866" s="2" t="s">
        <v>3804</v>
      </c>
      <c r="L1866">
        <v>5</v>
      </c>
      <c r="M1866" s="1">
        <v>146000</v>
      </c>
      <c r="N1866">
        <v>4.5999999999999996</v>
      </c>
      <c r="O1866">
        <v>6</v>
      </c>
      <c r="P1866" s="2" t="s">
        <v>26</v>
      </c>
    </row>
    <row r="1867" spans="1:16" x14ac:dyDescent="0.25">
      <c r="A1867" s="2" t="s">
        <v>6608</v>
      </c>
      <c r="B1867" s="2" t="s">
        <v>6609</v>
      </c>
      <c r="C1867" s="2" t="s">
        <v>29</v>
      </c>
      <c r="D1867" s="2" t="s">
        <v>19</v>
      </c>
      <c r="E1867" s="2" t="s">
        <v>20</v>
      </c>
      <c r="F1867" s="2" t="s">
        <v>128</v>
      </c>
      <c r="G1867" s="2" t="s">
        <v>22</v>
      </c>
      <c r="H1867" s="2" t="s">
        <v>34</v>
      </c>
      <c r="I1867" s="2" t="s">
        <v>24</v>
      </c>
      <c r="J1867" s="2" t="s">
        <v>6610</v>
      </c>
      <c r="K1867" s="2" t="s">
        <v>3804</v>
      </c>
      <c r="L1867">
        <v>5</v>
      </c>
      <c r="M1867" s="1">
        <v>484000</v>
      </c>
      <c r="N1867">
        <v>4.8</v>
      </c>
      <c r="O1867">
        <v>22</v>
      </c>
      <c r="P1867" s="2" t="s">
        <v>53</v>
      </c>
    </row>
    <row r="1868" spans="1:16" x14ac:dyDescent="0.25">
      <c r="A1868" s="2" t="s">
        <v>6611</v>
      </c>
      <c r="B1868" s="2" t="s">
        <v>5387</v>
      </c>
      <c r="C1868" s="2" t="s">
        <v>18</v>
      </c>
      <c r="D1868" s="2" t="s">
        <v>43</v>
      </c>
      <c r="E1868" s="2" t="s">
        <v>20</v>
      </c>
      <c r="F1868" s="2" t="s">
        <v>21</v>
      </c>
      <c r="G1868" s="2" t="s">
        <v>33</v>
      </c>
      <c r="H1868" s="2" t="s">
        <v>23</v>
      </c>
      <c r="I1868" s="2" t="s">
        <v>57</v>
      </c>
      <c r="J1868" s="2" t="s">
        <v>6612</v>
      </c>
      <c r="K1868" s="2" t="s">
        <v>1464</v>
      </c>
      <c r="L1868">
        <v>6</v>
      </c>
      <c r="M1868" s="1">
        <v>726000</v>
      </c>
      <c r="N1868">
        <v>4.0999999999999996</v>
      </c>
      <c r="O1868">
        <v>10</v>
      </c>
      <c r="P1868" s="2" t="s">
        <v>53</v>
      </c>
    </row>
    <row r="1869" spans="1:16" x14ac:dyDescent="0.25">
      <c r="A1869" s="2" t="s">
        <v>6613</v>
      </c>
      <c r="B1869" s="2" t="s">
        <v>6614</v>
      </c>
      <c r="C1869" s="2" t="s">
        <v>29</v>
      </c>
      <c r="D1869" s="2" t="s">
        <v>19</v>
      </c>
      <c r="E1869" s="2" t="s">
        <v>31</v>
      </c>
      <c r="F1869" s="2" t="s">
        <v>39</v>
      </c>
      <c r="G1869" s="2" t="s">
        <v>22</v>
      </c>
      <c r="H1869" s="2" t="s">
        <v>23</v>
      </c>
      <c r="I1869" s="2" t="s">
        <v>57</v>
      </c>
      <c r="J1869" s="2" t="s">
        <v>1317</v>
      </c>
      <c r="K1869" s="2" t="s">
        <v>6216</v>
      </c>
      <c r="L1869">
        <v>5</v>
      </c>
      <c r="M1869" s="1">
        <v>150000</v>
      </c>
      <c r="N1869">
        <v>2.5</v>
      </c>
      <c r="O1869">
        <v>8</v>
      </c>
      <c r="P1869" s="2" t="s">
        <v>53</v>
      </c>
    </row>
    <row r="1870" spans="1:16" x14ac:dyDescent="0.25">
      <c r="A1870" s="2" t="s">
        <v>6615</v>
      </c>
      <c r="B1870" s="2" t="s">
        <v>1800</v>
      </c>
      <c r="C1870" s="2" t="s">
        <v>18</v>
      </c>
      <c r="D1870" s="2" t="s">
        <v>43</v>
      </c>
      <c r="E1870" s="2" t="s">
        <v>31</v>
      </c>
      <c r="F1870" s="2" t="s">
        <v>39</v>
      </c>
      <c r="G1870" s="2" t="s">
        <v>22</v>
      </c>
      <c r="H1870" s="2" t="s">
        <v>23</v>
      </c>
      <c r="I1870" s="2" t="s">
        <v>57</v>
      </c>
      <c r="J1870" s="2" t="s">
        <v>5112</v>
      </c>
      <c r="K1870" s="2" t="s">
        <v>452</v>
      </c>
      <c r="L1870">
        <v>3</v>
      </c>
      <c r="M1870" s="1">
        <v>148000</v>
      </c>
      <c r="N1870">
        <v>2.2000000000000002</v>
      </c>
      <c r="O1870">
        <v>7</v>
      </c>
      <c r="P1870" s="2" t="s">
        <v>26</v>
      </c>
    </row>
    <row r="1871" spans="1:16" x14ac:dyDescent="0.25">
      <c r="A1871" s="2" t="s">
        <v>6617</v>
      </c>
      <c r="B1871" s="2" t="s">
        <v>1293</v>
      </c>
      <c r="C1871" s="2" t="s">
        <v>29</v>
      </c>
      <c r="D1871" s="2" t="s">
        <v>79</v>
      </c>
      <c r="E1871" s="2" t="s">
        <v>20</v>
      </c>
      <c r="F1871" s="2" t="s">
        <v>128</v>
      </c>
      <c r="G1871" s="2" t="s">
        <v>80</v>
      </c>
      <c r="H1871" s="2" t="s">
        <v>62</v>
      </c>
      <c r="I1871" s="2" t="s">
        <v>24</v>
      </c>
      <c r="J1871" s="2" t="s">
        <v>231</v>
      </c>
      <c r="K1871" s="2" t="s">
        <v>452</v>
      </c>
      <c r="L1871">
        <v>6</v>
      </c>
      <c r="M1871" s="1">
        <v>357000</v>
      </c>
      <c r="N1871">
        <v>3.9</v>
      </c>
      <c r="O1871">
        <v>11</v>
      </c>
      <c r="P1871" s="2" t="s">
        <v>26</v>
      </c>
    </row>
    <row r="1872" spans="1:16" x14ac:dyDescent="0.25">
      <c r="A1872" s="2" t="s">
        <v>6620</v>
      </c>
      <c r="B1872" s="2" t="s">
        <v>5173</v>
      </c>
      <c r="C1872" s="2" t="s">
        <v>18</v>
      </c>
      <c r="D1872" s="2" t="s">
        <v>50</v>
      </c>
      <c r="E1872" s="2" t="s">
        <v>20</v>
      </c>
      <c r="F1872" s="2" t="s">
        <v>21</v>
      </c>
      <c r="G1872" s="2" t="s">
        <v>80</v>
      </c>
      <c r="H1872" s="2" t="s">
        <v>46</v>
      </c>
      <c r="I1872" s="2" t="s">
        <v>75</v>
      </c>
      <c r="J1872" s="2" t="s">
        <v>52</v>
      </c>
      <c r="K1872" s="2" t="s">
        <v>452</v>
      </c>
      <c r="L1872">
        <v>3</v>
      </c>
      <c r="M1872" s="1">
        <v>943000</v>
      </c>
      <c r="N1872">
        <v>3.3</v>
      </c>
      <c r="O1872">
        <v>11</v>
      </c>
      <c r="P1872" s="2" t="s">
        <v>26</v>
      </c>
    </row>
    <row r="1873" spans="1:16" x14ac:dyDescent="0.25">
      <c r="A1873" s="2" t="s">
        <v>6622</v>
      </c>
      <c r="B1873" s="2" t="s">
        <v>1639</v>
      </c>
      <c r="C1873" s="2" t="s">
        <v>18</v>
      </c>
      <c r="D1873" s="2" t="s">
        <v>30</v>
      </c>
      <c r="E1873" s="2" t="s">
        <v>44</v>
      </c>
      <c r="F1873" s="2" t="s">
        <v>32</v>
      </c>
      <c r="G1873" s="2" t="s">
        <v>33</v>
      </c>
      <c r="H1873" s="2" t="s">
        <v>23</v>
      </c>
      <c r="I1873" s="2" t="s">
        <v>24</v>
      </c>
      <c r="J1873" s="2" t="s">
        <v>4229</v>
      </c>
      <c r="K1873" s="2" t="s">
        <v>452</v>
      </c>
      <c r="L1873">
        <v>4</v>
      </c>
      <c r="M1873" s="1">
        <v>275000</v>
      </c>
      <c r="N1873">
        <v>2.1</v>
      </c>
      <c r="O1873">
        <v>0</v>
      </c>
      <c r="P1873" s="2" t="s">
        <v>26</v>
      </c>
    </row>
    <row r="1874" spans="1:16" x14ac:dyDescent="0.25">
      <c r="A1874" s="2" t="s">
        <v>6623</v>
      </c>
      <c r="B1874" s="2" t="s">
        <v>458</v>
      </c>
      <c r="C1874" s="2" t="s">
        <v>18</v>
      </c>
      <c r="D1874" s="2" t="s">
        <v>50</v>
      </c>
      <c r="E1874" s="2" t="s">
        <v>44</v>
      </c>
      <c r="F1874" s="2" t="s">
        <v>32</v>
      </c>
      <c r="G1874" s="2" t="s">
        <v>80</v>
      </c>
      <c r="H1874" s="2" t="s">
        <v>46</v>
      </c>
      <c r="I1874" s="2" t="s">
        <v>57</v>
      </c>
      <c r="J1874" s="2" t="s">
        <v>901</v>
      </c>
      <c r="K1874" s="2" t="s">
        <v>452</v>
      </c>
      <c r="L1874">
        <v>6</v>
      </c>
      <c r="M1874" s="1">
        <v>275000</v>
      </c>
      <c r="N1874">
        <v>3.2</v>
      </c>
      <c r="O1874">
        <v>6</v>
      </c>
      <c r="P1874" s="2" t="s">
        <v>53</v>
      </c>
    </row>
    <row r="1875" spans="1:16" x14ac:dyDescent="0.25">
      <c r="A1875" s="2" t="s">
        <v>6624</v>
      </c>
      <c r="B1875" s="2" t="s">
        <v>6625</v>
      </c>
      <c r="C1875" s="2" t="s">
        <v>18</v>
      </c>
      <c r="D1875" s="2" t="s">
        <v>50</v>
      </c>
      <c r="E1875" s="2" t="s">
        <v>20</v>
      </c>
      <c r="F1875" s="2" t="s">
        <v>32</v>
      </c>
      <c r="G1875" s="2" t="s">
        <v>33</v>
      </c>
      <c r="H1875" s="2" t="s">
        <v>23</v>
      </c>
      <c r="I1875" s="2" t="s">
        <v>24</v>
      </c>
      <c r="J1875" s="2" t="s">
        <v>5039</v>
      </c>
      <c r="K1875" s="2" t="s">
        <v>1782</v>
      </c>
      <c r="L1875">
        <v>2</v>
      </c>
      <c r="M1875" s="1">
        <v>272000</v>
      </c>
      <c r="N1875">
        <v>4</v>
      </c>
      <c r="O1875">
        <v>5</v>
      </c>
      <c r="P1875" s="2" t="s">
        <v>26</v>
      </c>
    </row>
    <row r="1876" spans="1:16" x14ac:dyDescent="0.25">
      <c r="A1876" s="2" t="s">
        <v>6626</v>
      </c>
      <c r="B1876" s="2" t="s">
        <v>4847</v>
      </c>
      <c r="C1876" s="2" t="s">
        <v>29</v>
      </c>
      <c r="D1876" s="2" t="s">
        <v>50</v>
      </c>
      <c r="E1876" s="2" t="s">
        <v>20</v>
      </c>
      <c r="F1876" s="2" t="s">
        <v>39</v>
      </c>
      <c r="G1876" s="2" t="s">
        <v>22</v>
      </c>
      <c r="H1876" s="2" t="s">
        <v>46</v>
      </c>
      <c r="I1876" s="2" t="s">
        <v>24</v>
      </c>
      <c r="J1876" s="2" t="s">
        <v>2991</v>
      </c>
      <c r="K1876" s="2" t="s">
        <v>1782</v>
      </c>
      <c r="L1876">
        <v>3</v>
      </c>
      <c r="M1876" s="1">
        <v>106000</v>
      </c>
      <c r="N1876">
        <v>3.5</v>
      </c>
      <c r="O1876">
        <v>13</v>
      </c>
      <c r="P1876" s="2" t="s">
        <v>26</v>
      </c>
    </row>
    <row r="1877" spans="1:16" x14ac:dyDescent="0.25">
      <c r="A1877" s="2" t="s">
        <v>6627</v>
      </c>
      <c r="B1877" s="2" t="s">
        <v>6628</v>
      </c>
      <c r="C1877" s="2" t="s">
        <v>18</v>
      </c>
      <c r="D1877" s="2" t="s">
        <v>43</v>
      </c>
      <c r="E1877" s="2" t="s">
        <v>31</v>
      </c>
      <c r="F1877" s="2" t="s">
        <v>45</v>
      </c>
      <c r="G1877" s="2" t="s">
        <v>22</v>
      </c>
      <c r="H1877" s="2" t="s">
        <v>46</v>
      </c>
      <c r="I1877" s="2" t="s">
        <v>35</v>
      </c>
      <c r="J1877" s="2" t="s">
        <v>4365</v>
      </c>
      <c r="K1877" s="2" t="s">
        <v>1782</v>
      </c>
      <c r="L1877">
        <v>2</v>
      </c>
      <c r="M1877" s="1">
        <v>1184000</v>
      </c>
      <c r="N1877">
        <v>4.5999999999999996</v>
      </c>
      <c r="O1877">
        <v>8</v>
      </c>
      <c r="P1877" s="2" t="s">
        <v>53</v>
      </c>
    </row>
    <row r="1878" spans="1:16" x14ac:dyDescent="0.25">
      <c r="A1878" s="2" t="s">
        <v>6631</v>
      </c>
      <c r="B1878" s="2" t="s">
        <v>4341</v>
      </c>
      <c r="C1878" s="2" t="s">
        <v>18</v>
      </c>
      <c r="D1878" s="2" t="s">
        <v>79</v>
      </c>
      <c r="E1878" s="2" t="s">
        <v>31</v>
      </c>
      <c r="F1878" s="2" t="s">
        <v>128</v>
      </c>
      <c r="G1878" s="2" t="s">
        <v>22</v>
      </c>
      <c r="H1878" s="2" t="s">
        <v>46</v>
      </c>
      <c r="I1878" s="2" t="s">
        <v>171</v>
      </c>
      <c r="J1878" s="2" t="s">
        <v>3139</v>
      </c>
      <c r="K1878" s="2" t="s">
        <v>3054</v>
      </c>
      <c r="L1878">
        <v>2</v>
      </c>
      <c r="M1878" s="1">
        <v>386000</v>
      </c>
      <c r="N1878">
        <v>4</v>
      </c>
      <c r="O1878">
        <v>10</v>
      </c>
      <c r="P1878" s="2" t="s">
        <v>26</v>
      </c>
    </row>
    <row r="1879" spans="1:16" x14ac:dyDescent="0.25">
      <c r="A1879" s="2" t="s">
        <v>6632</v>
      </c>
      <c r="B1879" s="2" t="s">
        <v>1250</v>
      </c>
      <c r="C1879" s="2" t="s">
        <v>29</v>
      </c>
      <c r="D1879" s="2" t="s">
        <v>50</v>
      </c>
      <c r="E1879" s="2" t="s">
        <v>44</v>
      </c>
      <c r="F1879" s="2" t="s">
        <v>32</v>
      </c>
      <c r="G1879" s="2" t="s">
        <v>22</v>
      </c>
      <c r="H1879" s="2" t="s">
        <v>23</v>
      </c>
      <c r="I1879" s="2" t="s">
        <v>35</v>
      </c>
      <c r="J1879" s="2" t="s">
        <v>328</v>
      </c>
      <c r="K1879" s="2" t="s">
        <v>3054</v>
      </c>
      <c r="L1879">
        <v>2</v>
      </c>
      <c r="M1879" s="1">
        <v>350000</v>
      </c>
      <c r="N1879">
        <v>4.3</v>
      </c>
      <c r="O1879">
        <v>0</v>
      </c>
      <c r="P1879" s="2" t="s">
        <v>53</v>
      </c>
    </row>
    <row r="1880" spans="1:16" x14ac:dyDescent="0.25">
      <c r="A1880" s="2" t="s">
        <v>6633</v>
      </c>
      <c r="B1880" s="2" t="s">
        <v>6634</v>
      </c>
      <c r="C1880" s="2" t="s">
        <v>18</v>
      </c>
      <c r="D1880" s="2" t="s">
        <v>50</v>
      </c>
      <c r="E1880" s="2" t="s">
        <v>20</v>
      </c>
      <c r="F1880" s="2" t="s">
        <v>39</v>
      </c>
      <c r="G1880" s="2" t="s">
        <v>22</v>
      </c>
      <c r="H1880" s="2" t="s">
        <v>46</v>
      </c>
      <c r="I1880" s="2" t="s">
        <v>24</v>
      </c>
      <c r="J1880" s="2" t="s">
        <v>6635</v>
      </c>
      <c r="K1880" s="2" t="s">
        <v>2960</v>
      </c>
      <c r="L1880">
        <v>6</v>
      </c>
      <c r="M1880" s="1">
        <v>95000</v>
      </c>
      <c r="N1880">
        <v>3.5</v>
      </c>
      <c r="O1880">
        <v>3</v>
      </c>
      <c r="P1880" s="2" t="s">
        <v>26</v>
      </c>
    </row>
    <row r="1881" spans="1:16" x14ac:dyDescent="0.25">
      <c r="A1881" s="2" t="s">
        <v>6636</v>
      </c>
      <c r="B1881" s="2" t="s">
        <v>6637</v>
      </c>
      <c r="C1881" s="2" t="s">
        <v>29</v>
      </c>
      <c r="D1881" s="2" t="s">
        <v>19</v>
      </c>
      <c r="E1881" s="2" t="s">
        <v>20</v>
      </c>
      <c r="F1881" s="2" t="s">
        <v>128</v>
      </c>
      <c r="G1881" s="2" t="s">
        <v>69</v>
      </c>
      <c r="H1881" s="2" t="s">
        <v>34</v>
      </c>
      <c r="I1881" s="2" t="s">
        <v>24</v>
      </c>
      <c r="J1881" s="2" t="s">
        <v>6582</v>
      </c>
      <c r="K1881" s="2" t="s">
        <v>2960</v>
      </c>
      <c r="L1881">
        <v>4</v>
      </c>
      <c r="M1881" s="1">
        <v>472000</v>
      </c>
      <c r="N1881">
        <v>4.5999999999999996</v>
      </c>
      <c r="O1881">
        <v>12</v>
      </c>
      <c r="P1881" s="2" t="s">
        <v>53</v>
      </c>
    </row>
    <row r="1882" spans="1:16" x14ac:dyDescent="0.25">
      <c r="A1882" s="2" t="s">
        <v>6638</v>
      </c>
      <c r="B1882" s="2" t="s">
        <v>6639</v>
      </c>
      <c r="C1882" s="2" t="s">
        <v>18</v>
      </c>
      <c r="D1882" s="2" t="s">
        <v>30</v>
      </c>
      <c r="E1882" s="2" t="s">
        <v>31</v>
      </c>
      <c r="F1882" s="2" t="s">
        <v>32</v>
      </c>
      <c r="G1882" s="2" t="s">
        <v>80</v>
      </c>
      <c r="H1882" s="2" t="s">
        <v>62</v>
      </c>
      <c r="I1882" s="2" t="s">
        <v>24</v>
      </c>
      <c r="J1882" s="2" t="s">
        <v>520</v>
      </c>
      <c r="K1882" s="2" t="s">
        <v>4145</v>
      </c>
      <c r="L1882">
        <v>2</v>
      </c>
      <c r="M1882" s="1">
        <v>198000</v>
      </c>
      <c r="N1882">
        <v>2.7</v>
      </c>
      <c r="O1882">
        <v>6</v>
      </c>
      <c r="P1882" s="2" t="s">
        <v>53</v>
      </c>
    </row>
    <row r="1883" spans="1:16" x14ac:dyDescent="0.25">
      <c r="A1883" s="2" t="s">
        <v>6646</v>
      </c>
      <c r="B1883" s="2" t="s">
        <v>5625</v>
      </c>
      <c r="C1883" s="2" t="s">
        <v>18</v>
      </c>
      <c r="D1883" s="2" t="s">
        <v>30</v>
      </c>
      <c r="E1883" s="2" t="s">
        <v>20</v>
      </c>
      <c r="F1883" s="2" t="s">
        <v>39</v>
      </c>
      <c r="G1883" s="2" t="s">
        <v>22</v>
      </c>
      <c r="H1883" s="2" t="s">
        <v>34</v>
      </c>
      <c r="I1883" s="2" t="s">
        <v>24</v>
      </c>
      <c r="J1883" s="2" t="s">
        <v>4122</v>
      </c>
      <c r="K1883" s="2" t="s">
        <v>6652</v>
      </c>
      <c r="L1883">
        <v>2</v>
      </c>
      <c r="M1883" s="1">
        <v>118000</v>
      </c>
      <c r="N1883">
        <v>3</v>
      </c>
      <c r="O1883">
        <v>6</v>
      </c>
      <c r="P1883" s="2" t="s">
        <v>26</v>
      </c>
    </row>
    <row r="1884" spans="1:16" x14ac:dyDescent="0.25">
      <c r="A1884" s="2" t="s">
        <v>6647</v>
      </c>
      <c r="B1884" s="2" t="s">
        <v>6648</v>
      </c>
      <c r="C1884" s="2" t="s">
        <v>29</v>
      </c>
      <c r="D1884" s="2" t="s">
        <v>30</v>
      </c>
      <c r="E1884" s="2" t="s">
        <v>44</v>
      </c>
      <c r="F1884" s="2" t="s">
        <v>39</v>
      </c>
      <c r="G1884" s="2" t="s">
        <v>69</v>
      </c>
      <c r="H1884" s="2" t="s">
        <v>34</v>
      </c>
      <c r="I1884" s="2" t="s">
        <v>57</v>
      </c>
      <c r="J1884" s="2" t="s">
        <v>6649</v>
      </c>
      <c r="K1884" s="2" t="s">
        <v>6652</v>
      </c>
      <c r="L1884">
        <v>6</v>
      </c>
      <c r="M1884" s="1">
        <v>109000</v>
      </c>
      <c r="N1884">
        <v>2.8</v>
      </c>
      <c r="O1884">
        <v>14</v>
      </c>
      <c r="P1884" s="2" t="s">
        <v>26</v>
      </c>
    </row>
    <row r="1885" spans="1:16" x14ac:dyDescent="0.25">
      <c r="A1885" s="2" t="s">
        <v>6650</v>
      </c>
      <c r="B1885" s="2" t="s">
        <v>6651</v>
      </c>
      <c r="C1885" s="2" t="s">
        <v>29</v>
      </c>
      <c r="D1885" s="2" t="s">
        <v>79</v>
      </c>
      <c r="E1885" s="2" t="s">
        <v>44</v>
      </c>
      <c r="F1885" s="2" t="s">
        <v>32</v>
      </c>
      <c r="G1885" s="2" t="s">
        <v>80</v>
      </c>
      <c r="H1885" s="2" t="s">
        <v>23</v>
      </c>
      <c r="I1885" s="2" t="s">
        <v>24</v>
      </c>
      <c r="J1885" s="2" t="s">
        <v>679</v>
      </c>
      <c r="K1885" s="2" t="s">
        <v>6652</v>
      </c>
      <c r="L1885">
        <v>4</v>
      </c>
      <c r="M1885" s="1">
        <v>220000</v>
      </c>
      <c r="N1885">
        <v>4.9000000000000004</v>
      </c>
      <c r="O1885">
        <v>10</v>
      </c>
      <c r="P1885" s="2" t="s">
        <v>53</v>
      </c>
    </row>
    <row r="1886" spans="1:16" x14ac:dyDescent="0.25">
      <c r="A1886" s="2" t="s">
        <v>6653</v>
      </c>
      <c r="B1886" s="2" t="s">
        <v>6654</v>
      </c>
      <c r="C1886" s="2" t="s">
        <v>18</v>
      </c>
      <c r="D1886" s="2" t="s">
        <v>43</v>
      </c>
      <c r="E1886" s="2" t="s">
        <v>20</v>
      </c>
      <c r="F1886" s="2" t="s">
        <v>32</v>
      </c>
      <c r="G1886" s="2" t="s">
        <v>80</v>
      </c>
      <c r="H1886" s="2" t="s">
        <v>62</v>
      </c>
      <c r="I1886" s="2" t="s">
        <v>35</v>
      </c>
      <c r="J1886" s="2" t="s">
        <v>6655</v>
      </c>
      <c r="K1886" s="2" t="s">
        <v>561</v>
      </c>
      <c r="L1886">
        <v>5</v>
      </c>
      <c r="M1886" s="1">
        <v>275000</v>
      </c>
      <c r="N1886">
        <v>3.6</v>
      </c>
      <c r="O1886">
        <v>14</v>
      </c>
      <c r="P1886" s="2" t="s">
        <v>53</v>
      </c>
    </row>
    <row r="1887" spans="1:16" x14ac:dyDescent="0.25">
      <c r="A1887" s="2" t="s">
        <v>6656</v>
      </c>
      <c r="B1887" s="2" t="s">
        <v>6657</v>
      </c>
      <c r="C1887" s="2" t="s">
        <v>29</v>
      </c>
      <c r="D1887" s="2" t="s">
        <v>50</v>
      </c>
      <c r="E1887" s="2" t="s">
        <v>20</v>
      </c>
      <c r="F1887" s="2" t="s">
        <v>39</v>
      </c>
      <c r="G1887" s="2" t="s">
        <v>69</v>
      </c>
      <c r="H1887" s="2" t="s">
        <v>23</v>
      </c>
      <c r="I1887" s="2" t="s">
        <v>75</v>
      </c>
      <c r="J1887" s="2" t="s">
        <v>3472</v>
      </c>
      <c r="K1887" s="2" t="s">
        <v>95</v>
      </c>
      <c r="L1887">
        <v>4</v>
      </c>
      <c r="M1887" s="1">
        <v>167000</v>
      </c>
      <c r="N1887">
        <v>3.2</v>
      </c>
      <c r="O1887">
        <v>14</v>
      </c>
      <c r="P1887" s="2" t="s">
        <v>26</v>
      </c>
    </row>
    <row r="1888" spans="1:16" x14ac:dyDescent="0.25">
      <c r="A1888" s="2" t="s">
        <v>6661</v>
      </c>
      <c r="B1888" s="2" t="s">
        <v>6662</v>
      </c>
      <c r="C1888" s="2" t="s">
        <v>29</v>
      </c>
      <c r="D1888" s="2" t="s">
        <v>30</v>
      </c>
      <c r="E1888" s="2" t="s">
        <v>20</v>
      </c>
      <c r="F1888" s="2" t="s">
        <v>32</v>
      </c>
      <c r="G1888" s="2" t="s">
        <v>33</v>
      </c>
      <c r="H1888" s="2" t="s">
        <v>23</v>
      </c>
      <c r="I1888" s="2" t="s">
        <v>35</v>
      </c>
      <c r="J1888" s="2" t="s">
        <v>6663</v>
      </c>
      <c r="K1888" s="2" t="s">
        <v>95</v>
      </c>
      <c r="L1888">
        <v>5</v>
      </c>
      <c r="M1888" s="1">
        <v>286000</v>
      </c>
      <c r="N1888">
        <v>2.4</v>
      </c>
      <c r="O1888">
        <v>3</v>
      </c>
      <c r="P1888" s="2" t="s">
        <v>53</v>
      </c>
    </row>
    <row r="1889" spans="1:16" x14ac:dyDescent="0.25">
      <c r="A1889" s="2" t="s">
        <v>6665</v>
      </c>
      <c r="B1889" s="2" t="s">
        <v>3361</v>
      </c>
      <c r="C1889" s="2" t="s">
        <v>29</v>
      </c>
      <c r="D1889" s="2" t="s">
        <v>50</v>
      </c>
      <c r="E1889" s="2" t="s">
        <v>20</v>
      </c>
      <c r="F1889" s="2" t="s">
        <v>32</v>
      </c>
      <c r="G1889" s="2" t="s">
        <v>22</v>
      </c>
      <c r="H1889" s="2" t="s">
        <v>34</v>
      </c>
      <c r="I1889" s="2" t="s">
        <v>35</v>
      </c>
      <c r="J1889" s="2" t="s">
        <v>6503</v>
      </c>
      <c r="K1889" s="2" t="s">
        <v>4525</v>
      </c>
      <c r="L1889">
        <v>2</v>
      </c>
      <c r="M1889" s="1">
        <v>189000</v>
      </c>
      <c r="N1889">
        <v>3.4</v>
      </c>
      <c r="O1889">
        <v>18</v>
      </c>
      <c r="P1889" s="2" t="s">
        <v>26</v>
      </c>
    </row>
    <row r="1890" spans="1:16" x14ac:dyDescent="0.25">
      <c r="A1890" s="2" t="s">
        <v>6666</v>
      </c>
      <c r="B1890" s="2" t="s">
        <v>6667</v>
      </c>
      <c r="C1890" s="2" t="s">
        <v>29</v>
      </c>
      <c r="D1890" s="2" t="s">
        <v>30</v>
      </c>
      <c r="E1890" s="2" t="s">
        <v>31</v>
      </c>
      <c r="F1890" s="2" t="s">
        <v>39</v>
      </c>
      <c r="G1890" s="2" t="s">
        <v>22</v>
      </c>
      <c r="H1890" s="2" t="s">
        <v>23</v>
      </c>
      <c r="I1890" s="2" t="s">
        <v>24</v>
      </c>
      <c r="J1890" s="2" t="s">
        <v>6668</v>
      </c>
      <c r="K1890" s="2" t="s">
        <v>4525</v>
      </c>
      <c r="L1890">
        <v>6</v>
      </c>
      <c r="M1890" s="1">
        <v>127000</v>
      </c>
      <c r="N1890">
        <v>1.8</v>
      </c>
      <c r="O1890">
        <v>14</v>
      </c>
      <c r="P1890" s="2" t="s">
        <v>72</v>
      </c>
    </row>
    <row r="1891" spans="1:16" x14ac:dyDescent="0.25">
      <c r="A1891" s="2" t="s">
        <v>6669</v>
      </c>
      <c r="B1891" s="2" t="s">
        <v>6670</v>
      </c>
      <c r="C1891" s="2" t="s">
        <v>18</v>
      </c>
      <c r="D1891" s="2" t="s">
        <v>30</v>
      </c>
      <c r="E1891" s="2" t="s">
        <v>20</v>
      </c>
      <c r="F1891" s="2" t="s">
        <v>32</v>
      </c>
      <c r="G1891" s="2" t="s">
        <v>80</v>
      </c>
      <c r="H1891" s="2" t="s">
        <v>23</v>
      </c>
      <c r="I1891" s="2" t="s">
        <v>75</v>
      </c>
      <c r="J1891" s="2" t="s">
        <v>4419</v>
      </c>
      <c r="K1891" s="2" t="s">
        <v>2335</v>
      </c>
      <c r="L1891">
        <v>6</v>
      </c>
      <c r="M1891" s="1">
        <v>205000</v>
      </c>
      <c r="N1891">
        <v>2.2000000000000002</v>
      </c>
      <c r="O1891">
        <v>12</v>
      </c>
      <c r="P1891" s="2" t="s">
        <v>26</v>
      </c>
    </row>
    <row r="1892" spans="1:16" x14ac:dyDescent="0.25">
      <c r="A1892" s="2" t="s">
        <v>6671</v>
      </c>
      <c r="B1892" s="2" t="s">
        <v>6672</v>
      </c>
      <c r="C1892" s="2" t="s">
        <v>18</v>
      </c>
      <c r="D1892" s="2" t="s">
        <v>30</v>
      </c>
      <c r="E1892" s="2" t="s">
        <v>20</v>
      </c>
      <c r="F1892" s="2" t="s">
        <v>45</v>
      </c>
      <c r="G1892" s="2" t="s">
        <v>33</v>
      </c>
      <c r="H1892" s="2" t="s">
        <v>23</v>
      </c>
      <c r="I1892" s="2" t="s">
        <v>57</v>
      </c>
      <c r="J1892" s="2" t="s">
        <v>3158</v>
      </c>
      <c r="K1892" s="2" t="s">
        <v>2335</v>
      </c>
      <c r="L1892">
        <v>5</v>
      </c>
      <c r="M1892" s="1">
        <v>1747000</v>
      </c>
      <c r="N1892">
        <v>4.9000000000000004</v>
      </c>
      <c r="O1892">
        <v>13</v>
      </c>
      <c r="P1892" s="2" t="s">
        <v>53</v>
      </c>
    </row>
    <row r="1893" spans="1:16" x14ac:dyDescent="0.25">
      <c r="A1893" s="2" t="s">
        <v>6677</v>
      </c>
      <c r="B1893" s="2" t="s">
        <v>6678</v>
      </c>
      <c r="C1893" s="2" t="s">
        <v>18</v>
      </c>
      <c r="D1893" s="2" t="s">
        <v>30</v>
      </c>
      <c r="E1893" s="2" t="s">
        <v>20</v>
      </c>
      <c r="F1893" s="2" t="s">
        <v>21</v>
      </c>
      <c r="G1893" s="2" t="s">
        <v>22</v>
      </c>
      <c r="H1893" s="2" t="s">
        <v>23</v>
      </c>
      <c r="I1893" s="2" t="s">
        <v>35</v>
      </c>
      <c r="J1893" s="2" t="s">
        <v>4108</v>
      </c>
      <c r="K1893" s="2" t="s">
        <v>6419</v>
      </c>
      <c r="L1893">
        <v>4</v>
      </c>
      <c r="M1893" s="1">
        <v>601000</v>
      </c>
      <c r="N1893">
        <v>3.7</v>
      </c>
      <c r="O1893">
        <v>2</v>
      </c>
      <c r="P1893" s="2" t="s">
        <v>53</v>
      </c>
    </row>
    <row r="1894" spans="1:16" x14ac:dyDescent="0.25">
      <c r="A1894" s="2" t="s">
        <v>6679</v>
      </c>
      <c r="B1894" s="2" t="s">
        <v>2319</v>
      </c>
      <c r="C1894" s="2" t="s">
        <v>18</v>
      </c>
      <c r="D1894" s="2" t="s">
        <v>30</v>
      </c>
      <c r="E1894" s="2" t="s">
        <v>31</v>
      </c>
      <c r="F1894" s="2" t="s">
        <v>39</v>
      </c>
      <c r="G1894" s="2" t="s">
        <v>22</v>
      </c>
      <c r="H1894" s="2" t="s">
        <v>23</v>
      </c>
      <c r="I1894" s="2" t="s">
        <v>24</v>
      </c>
      <c r="J1894" s="2" t="s">
        <v>3474</v>
      </c>
      <c r="K1894" s="2" t="s">
        <v>6707</v>
      </c>
      <c r="L1894">
        <v>3</v>
      </c>
      <c r="M1894" s="1">
        <v>158000</v>
      </c>
      <c r="N1894">
        <v>2.6</v>
      </c>
      <c r="O1894">
        <v>9</v>
      </c>
      <c r="P1894" s="2" t="s">
        <v>26</v>
      </c>
    </row>
    <row r="1895" spans="1:16" x14ac:dyDescent="0.25">
      <c r="A1895" s="2" t="s">
        <v>6680</v>
      </c>
      <c r="B1895" s="2" t="s">
        <v>6681</v>
      </c>
      <c r="C1895" s="2" t="s">
        <v>18</v>
      </c>
      <c r="D1895" s="2" t="s">
        <v>79</v>
      </c>
      <c r="E1895" s="2" t="s">
        <v>20</v>
      </c>
      <c r="F1895" s="2" t="s">
        <v>128</v>
      </c>
      <c r="G1895" s="2" t="s">
        <v>33</v>
      </c>
      <c r="H1895" s="2" t="s">
        <v>34</v>
      </c>
      <c r="I1895" s="2" t="s">
        <v>75</v>
      </c>
      <c r="J1895" s="2" t="s">
        <v>5965</v>
      </c>
      <c r="K1895" s="2" t="s">
        <v>6707</v>
      </c>
      <c r="L1895">
        <v>6</v>
      </c>
      <c r="M1895" s="1">
        <v>552000</v>
      </c>
      <c r="N1895">
        <v>3.9</v>
      </c>
      <c r="O1895">
        <v>7</v>
      </c>
      <c r="P1895" s="2" t="s">
        <v>26</v>
      </c>
    </row>
    <row r="1896" spans="1:16" x14ac:dyDescent="0.25">
      <c r="A1896" s="2" t="s">
        <v>6684</v>
      </c>
      <c r="B1896" s="2" t="s">
        <v>4907</v>
      </c>
      <c r="C1896" s="2" t="s">
        <v>18</v>
      </c>
      <c r="D1896" s="2" t="s">
        <v>50</v>
      </c>
      <c r="E1896" s="2" t="s">
        <v>20</v>
      </c>
      <c r="F1896" s="2" t="s">
        <v>32</v>
      </c>
      <c r="G1896" s="2" t="s">
        <v>80</v>
      </c>
      <c r="H1896" s="2" t="s">
        <v>46</v>
      </c>
      <c r="I1896" s="2" t="s">
        <v>35</v>
      </c>
      <c r="J1896" s="2" t="s">
        <v>3654</v>
      </c>
      <c r="K1896" s="2" t="s">
        <v>6707</v>
      </c>
      <c r="L1896">
        <v>6</v>
      </c>
      <c r="M1896" s="1">
        <v>221000</v>
      </c>
      <c r="N1896">
        <v>4.8</v>
      </c>
      <c r="O1896">
        <v>10</v>
      </c>
      <c r="P1896" s="2" t="s">
        <v>26</v>
      </c>
    </row>
    <row r="1897" spans="1:16" x14ac:dyDescent="0.25">
      <c r="A1897" s="2" t="s">
        <v>6687</v>
      </c>
      <c r="B1897" s="2" t="s">
        <v>4870</v>
      </c>
      <c r="C1897" s="2" t="s">
        <v>29</v>
      </c>
      <c r="D1897" s="2" t="s">
        <v>50</v>
      </c>
      <c r="E1897" s="2" t="s">
        <v>20</v>
      </c>
      <c r="F1897" s="2" t="s">
        <v>128</v>
      </c>
      <c r="G1897" s="2" t="s">
        <v>22</v>
      </c>
      <c r="H1897" s="2" t="s">
        <v>46</v>
      </c>
      <c r="I1897" s="2" t="s">
        <v>24</v>
      </c>
      <c r="J1897" s="2" t="s">
        <v>6169</v>
      </c>
      <c r="K1897" s="2" t="s">
        <v>6707</v>
      </c>
      <c r="L1897">
        <v>5</v>
      </c>
      <c r="M1897" s="1">
        <v>552000</v>
      </c>
      <c r="N1897">
        <v>3.2</v>
      </c>
      <c r="O1897">
        <v>14</v>
      </c>
      <c r="P1897" s="2" t="s">
        <v>26</v>
      </c>
    </row>
    <row r="1898" spans="1:16" x14ac:dyDescent="0.25">
      <c r="A1898" s="2" t="s">
        <v>6689</v>
      </c>
      <c r="B1898" s="2" t="s">
        <v>2009</v>
      </c>
      <c r="C1898" s="2" t="s">
        <v>18</v>
      </c>
      <c r="D1898" s="2" t="s">
        <v>43</v>
      </c>
      <c r="E1898" s="2" t="s">
        <v>20</v>
      </c>
      <c r="F1898" s="2" t="s">
        <v>128</v>
      </c>
      <c r="G1898" s="2" t="s">
        <v>22</v>
      </c>
      <c r="H1898" s="2" t="s">
        <v>23</v>
      </c>
      <c r="I1898" s="2" t="s">
        <v>24</v>
      </c>
      <c r="J1898" s="2" t="s">
        <v>4737</v>
      </c>
      <c r="K1898" s="2" t="s">
        <v>6707</v>
      </c>
      <c r="L1898">
        <v>5</v>
      </c>
      <c r="M1898" s="1">
        <v>424000</v>
      </c>
      <c r="N1898">
        <v>2.1</v>
      </c>
      <c r="O1898">
        <v>22</v>
      </c>
      <c r="P1898" s="2" t="s">
        <v>26</v>
      </c>
    </row>
    <row r="1899" spans="1:16" x14ac:dyDescent="0.25">
      <c r="A1899" s="2" t="s">
        <v>6690</v>
      </c>
      <c r="B1899" s="2" t="s">
        <v>6691</v>
      </c>
      <c r="C1899" s="2" t="s">
        <v>18</v>
      </c>
      <c r="D1899" s="2" t="s">
        <v>79</v>
      </c>
      <c r="E1899" s="2" t="s">
        <v>20</v>
      </c>
      <c r="F1899" s="2" t="s">
        <v>32</v>
      </c>
      <c r="G1899" s="2" t="s">
        <v>22</v>
      </c>
      <c r="H1899" s="2" t="s">
        <v>23</v>
      </c>
      <c r="I1899" s="2" t="s">
        <v>24</v>
      </c>
      <c r="J1899" s="2" t="s">
        <v>6692</v>
      </c>
      <c r="K1899" s="2" t="s">
        <v>6707</v>
      </c>
      <c r="L1899">
        <v>5</v>
      </c>
      <c r="M1899" s="1">
        <v>262000</v>
      </c>
      <c r="N1899">
        <v>4.5</v>
      </c>
      <c r="O1899">
        <v>0</v>
      </c>
      <c r="P1899" s="2" t="s">
        <v>26</v>
      </c>
    </row>
    <row r="1900" spans="1:16" x14ac:dyDescent="0.25">
      <c r="A1900" s="2" t="s">
        <v>6695</v>
      </c>
      <c r="B1900" s="2" t="s">
        <v>6696</v>
      </c>
      <c r="C1900" s="2" t="s">
        <v>29</v>
      </c>
      <c r="D1900" s="2" t="s">
        <v>50</v>
      </c>
      <c r="E1900" s="2" t="s">
        <v>44</v>
      </c>
      <c r="F1900" s="2" t="s">
        <v>39</v>
      </c>
      <c r="G1900" s="2" t="s">
        <v>22</v>
      </c>
      <c r="H1900" s="2" t="s">
        <v>62</v>
      </c>
      <c r="I1900" s="2" t="s">
        <v>24</v>
      </c>
      <c r="J1900" s="2" t="s">
        <v>932</v>
      </c>
      <c r="K1900" s="2" t="s">
        <v>6707</v>
      </c>
      <c r="L1900">
        <v>4</v>
      </c>
      <c r="M1900" s="1">
        <v>150000</v>
      </c>
      <c r="N1900">
        <v>2.1</v>
      </c>
      <c r="O1900">
        <v>10</v>
      </c>
      <c r="P1900" s="2" t="s">
        <v>26</v>
      </c>
    </row>
    <row r="1901" spans="1:16" x14ac:dyDescent="0.25">
      <c r="A1901" s="2" t="s">
        <v>6697</v>
      </c>
      <c r="B1901" s="2" t="s">
        <v>6698</v>
      </c>
      <c r="C1901" s="2" t="s">
        <v>18</v>
      </c>
      <c r="D1901" s="2" t="s">
        <v>79</v>
      </c>
      <c r="E1901" s="2" t="s">
        <v>44</v>
      </c>
      <c r="F1901" s="2" t="s">
        <v>39</v>
      </c>
      <c r="G1901" s="2" t="s">
        <v>33</v>
      </c>
      <c r="H1901" s="2" t="s">
        <v>23</v>
      </c>
      <c r="I1901" s="2" t="s">
        <v>24</v>
      </c>
      <c r="J1901" s="2" t="s">
        <v>2261</v>
      </c>
      <c r="K1901" s="2" t="s">
        <v>6707</v>
      </c>
      <c r="L1901">
        <v>6</v>
      </c>
      <c r="M1901" s="1">
        <v>162000</v>
      </c>
      <c r="N1901">
        <v>4.3</v>
      </c>
      <c r="O1901">
        <v>2</v>
      </c>
      <c r="P1901" s="2" t="s">
        <v>26</v>
      </c>
    </row>
    <row r="1902" spans="1:16" x14ac:dyDescent="0.25">
      <c r="A1902" s="2" t="s">
        <v>6701</v>
      </c>
      <c r="B1902" s="2" t="s">
        <v>5146</v>
      </c>
      <c r="C1902" s="2" t="s">
        <v>18</v>
      </c>
      <c r="D1902" s="2" t="s">
        <v>50</v>
      </c>
      <c r="E1902" s="2" t="s">
        <v>44</v>
      </c>
      <c r="F1902" s="2" t="s">
        <v>45</v>
      </c>
      <c r="G1902" s="2" t="s">
        <v>80</v>
      </c>
      <c r="H1902" s="2" t="s">
        <v>46</v>
      </c>
      <c r="I1902" s="2" t="s">
        <v>57</v>
      </c>
      <c r="J1902" s="2" t="s">
        <v>3031</v>
      </c>
      <c r="K1902" s="2" t="s">
        <v>6707</v>
      </c>
      <c r="L1902">
        <v>3</v>
      </c>
      <c r="M1902" s="1">
        <v>1277000</v>
      </c>
      <c r="N1902">
        <v>4.5999999999999996</v>
      </c>
      <c r="O1902">
        <v>34</v>
      </c>
      <c r="P1902" s="2" t="s">
        <v>26</v>
      </c>
    </row>
    <row r="1903" spans="1:16" x14ac:dyDescent="0.25">
      <c r="A1903" s="2" t="s">
        <v>6702</v>
      </c>
      <c r="B1903" s="2" t="s">
        <v>3598</v>
      </c>
      <c r="C1903" s="2" t="s">
        <v>18</v>
      </c>
      <c r="D1903" s="2" t="s">
        <v>50</v>
      </c>
      <c r="E1903" s="2" t="s">
        <v>44</v>
      </c>
      <c r="F1903" s="2" t="s">
        <v>32</v>
      </c>
      <c r="G1903" s="2" t="s">
        <v>22</v>
      </c>
      <c r="H1903" s="2" t="s">
        <v>23</v>
      </c>
      <c r="I1903" s="2" t="s">
        <v>35</v>
      </c>
      <c r="J1903" s="2" t="s">
        <v>6703</v>
      </c>
      <c r="K1903" s="2" t="s">
        <v>6707</v>
      </c>
      <c r="L1903">
        <v>4</v>
      </c>
      <c r="M1903" s="1">
        <v>198000</v>
      </c>
      <c r="N1903">
        <v>2.7</v>
      </c>
      <c r="O1903">
        <v>8</v>
      </c>
      <c r="P1903" s="2" t="s">
        <v>26</v>
      </c>
    </row>
    <row r="1904" spans="1:16" x14ac:dyDescent="0.25">
      <c r="A1904" s="2" t="s">
        <v>6706</v>
      </c>
      <c r="B1904" s="2" t="s">
        <v>6347</v>
      </c>
      <c r="C1904" s="2" t="s">
        <v>18</v>
      </c>
      <c r="D1904" s="2" t="s">
        <v>43</v>
      </c>
      <c r="E1904" s="2" t="s">
        <v>31</v>
      </c>
      <c r="F1904" s="2" t="s">
        <v>128</v>
      </c>
      <c r="G1904" s="2" t="s">
        <v>33</v>
      </c>
      <c r="H1904" s="2" t="s">
        <v>62</v>
      </c>
      <c r="I1904" s="2" t="s">
        <v>24</v>
      </c>
      <c r="J1904" s="2" t="s">
        <v>2510</v>
      </c>
      <c r="K1904" s="2" t="s">
        <v>6707</v>
      </c>
      <c r="L1904">
        <v>3</v>
      </c>
      <c r="M1904" s="1">
        <v>507000</v>
      </c>
      <c r="N1904">
        <v>3</v>
      </c>
      <c r="O1904">
        <v>12</v>
      </c>
      <c r="P1904" s="2" t="s">
        <v>53</v>
      </c>
    </row>
    <row r="1905" spans="1:16" x14ac:dyDescent="0.25">
      <c r="A1905" s="2" t="s">
        <v>6709</v>
      </c>
      <c r="B1905" s="2" t="s">
        <v>6710</v>
      </c>
      <c r="C1905" s="2" t="s">
        <v>29</v>
      </c>
      <c r="D1905" s="2" t="s">
        <v>79</v>
      </c>
      <c r="E1905" s="2" t="s">
        <v>31</v>
      </c>
      <c r="F1905" s="2" t="s">
        <v>128</v>
      </c>
      <c r="G1905" s="2" t="s">
        <v>69</v>
      </c>
      <c r="H1905" s="2" t="s">
        <v>34</v>
      </c>
      <c r="I1905" s="2" t="s">
        <v>35</v>
      </c>
      <c r="J1905" s="2" t="s">
        <v>1059</v>
      </c>
      <c r="K1905" s="2" t="s">
        <v>4812</v>
      </c>
      <c r="L1905">
        <v>3</v>
      </c>
      <c r="M1905" s="1">
        <v>500000</v>
      </c>
      <c r="N1905">
        <v>4.8</v>
      </c>
      <c r="O1905">
        <v>15</v>
      </c>
      <c r="P1905" s="2" t="s">
        <v>72</v>
      </c>
    </row>
    <row r="1906" spans="1:16" x14ac:dyDescent="0.25">
      <c r="A1906" s="2" t="s">
        <v>6711</v>
      </c>
      <c r="B1906" s="2" t="s">
        <v>6712</v>
      </c>
      <c r="C1906" s="2" t="s">
        <v>18</v>
      </c>
      <c r="D1906" s="2" t="s">
        <v>19</v>
      </c>
      <c r="E1906" s="2" t="s">
        <v>20</v>
      </c>
      <c r="F1906" s="2" t="s">
        <v>21</v>
      </c>
      <c r="G1906" s="2" t="s">
        <v>22</v>
      </c>
      <c r="H1906" s="2" t="s">
        <v>23</v>
      </c>
      <c r="I1906" s="2" t="s">
        <v>57</v>
      </c>
      <c r="J1906" s="2" t="s">
        <v>6408</v>
      </c>
      <c r="K1906" s="2" t="s">
        <v>2499</v>
      </c>
      <c r="L1906">
        <v>6</v>
      </c>
      <c r="M1906" s="1">
        <v>1045000</v>
      </c>
      <c r="N1906">
        <v>3.8</v>
      </c>
      <c r="O1906">
        <v>1</v>
      </c>
      <c r="P1906" s="2" t="s">
        <v>26</v>
      </c>
    </row>
    <row r="1907" spans="1:16" x14ac:dyDescent="0.25">
      <c r="A1907" s="2" t="s">
        <v>6715</v>
      </c>
      <c r="B1907" s="2" t="s">
        <v>6716</v>
      </c>
      <c r="C1907" s="2" t="s">
        <v>18</v>
      </c>
      <c r="D1907" s="2" t="s">
        <v>79</v>
      </c>
      <c r="E1907" s="2" t="s">
        <v>20</v>
      </c>
      <c r="F1907" s="2" t="s">
        <v>128</v>
      </c>
      <c r="G1907" s="2" t="s">
        <v>22</v>
      </c>
      <c r="H1907" s="2" t="s">
        <v>46</v>
      </c>
      <c r="I1907" s="2" t="s">
        <v>24</v>
      </c>
      <c r="J1907" s="2" t="s">
        <v>2695</v>
      </c>
      <c r="K1907" s="2" t="s">
        <v>2499</v>
      </c>
      <c r="L1907">
        <v>6</v>
      </c>
      <c r="M1907" s="1">
        <v>374000</v>
      </c>
      <c r="N1907">
        <v>2.2999999999999998</v>
      </c>
      <c r="O1907">
        <v>0</v>
      </c>
      <c r="P1907" s="2" t="s">
        <v>72</v>
      </c>
    </row>
    <row r="1908" spans="1:16" x14ac:dyDescent="0.25">
      <c r="A1908" s="2" t="s">
        <v>6717</v>
      </c>
      <c r="B1908" s="2" t="s">
        <v>6718</v>
      </c>
      <c r="C1908" s="2" t="s">
        <v>18</v>
      </c>
      <c r="D1908" s="2" t="s">
        <v>79</v>
      </c>
      <c r="E1908" s="2" t="s">
        <v>20</v>
      </c>
      <c r="F1908" s="2" t="s">
        <v>128</v>
      </c>
      <c r="G1908" s="2" t="s">
        <v>33</v>
      </c>
      <c r="H1908" s="2" t="s">
        <v>23</v>
      </c>
      <c r="I1908" s="2" t="s">
        <v>75</v>
      </c>
      <c r="J1908" s="2" t="s">
        <v>484</v>
      </c>
      <c r="K1908" s="2" t="s">
        <v>6719</v>
      </c>
      <c r="L1908">
        <v>5</v>
      </c>
      <c r="M1908" s="1">
        <v>426000</v>
      </c>
      <c r="N1908">
        <v>5</v>
      </c>
      <c r="O1908">
        <v>6</v>
      </c>
      <c r="P1908" s="2" t="s">
        <v>114</v>
      </c>
    </row>
    <row r="1909" spans="1:16" x14ac:dyDescent="0.25">
      <c r="A1909" s="2" t="s">
        <v>6720</v>
      </c>
      <c r="B1909" s="2" t="s">
        <v>2517</v>
      </c>
      <c r="C1909" s="2" t="s">
        <v>18</v>
      </c>
      <c r="D1909" s="2" t="s">
        <v>30</v>
      </c>
      <c r="E1909" s="2" t="s">
        <v>44</v>
      </c>
      <c r="F1909" s="2" t="s">
        <v>32</v>
      </c>
      <c r="G1909" s="2" t="s">
        <v>22</v>
      </c>
      <c r="H1909" s="2" t="s">
        <v>34</v>
      </c>
      <c r="I1909" s="2" t="s">
        <v>24</v>
      </c>
      <c r="J1909" s="2" t="s">
        <v>98</v>
      </c>
      <c r="K1909" s="2" t="s">
        <v>1439</v>
      </c>
      <c r="L1909">
        <v>7</v>
      </c>
      <c r="M1909" s="1">
        <v>322000</v>
      </c>
      <c r="N1909">
        <v>2.1</v>
      </c>
      <c r="O1909">
        <v>12</v>
      </c>
      <c r="P1909" s="2" t="s">
        <v>53</v>
      </c>
    </row>
    <row r="1910" spans="1:16" x14ac:dyDescent="0.25">
      <c r="A1910" s="2" t="s">
        <v>6721</v>
      </c>
      <c r="B1910" s="2" t="s">
        <v>3462</v>
      </c>
      <c r="C1910" s="2" t="s">
        <v>29</v>
      </c>
      <c r="D1910" s="2" t="s">
        <v>43</v>
      </c>
      <c r="E1910" s="2" t="s">
        <v>20</v>
      </c>
      <c r="F1910" s="2" t="s">
        <v>32</v>
      </c>
      <c r="G1910" s="2" t="s">
        <v>22</v>
      </c>
      <c r="H1910" s="2" t="s">
        <v>23</v>
      </c>
      <c r="I1910" s="2" t="s">
        <v>75</v>
      </c>
      <c r="J1910" s="2" t="s">
        <v>3664</v>
      </c>
      <c r="K1910" s="2" t="s">
        <v>1046</v>
      </c>
      <c r="L1910">
        <v>4</v>
      </c>
      <c r="M1910" s="1">
        <v>252000</v>
      </c>
      <c r="N1910">
        <v>2.6</v>
      </c>
      <c r="O1910">
        <v>8</v>
      </c>
      <c r="P1910" s="2" t="s">
        <v>114</v>
      </c>
    </row>
    <row r="1911" spans="1:16" x14ac:dyDescent="0.25">
      <c r="A1911" s="2" t="s">
        <v>6722</v>
      </c>
      <c r="B1911" s="2" t="s">
        <v>5462</v>
      </c>
      <c r="C1911" s="2" t="s">
        <v>18</v>
      </c>
      <c r="D1911" s="2" t="s">
        <v>19</v>
      </c>
      <c r="E1911" s="2" t="s">
        <v>31</v>
      </c>
      <c r="F1911" s="2" t="s">
        <v>39</v>
      </c>
      <c r="G1911" s="2" t="s">
        <v>80</v>
      </c>
      <c r="H1911" s="2" t="s">
        <v>23</v>
      </c>
      <c r="I1911" s="2" t="s">
        <v>35</v>
      </c>
      <c r="J1911" s="2" t="s">
        <v>3622</v>
      </c>
      <c r="K1911" s="2" t="s">
        <v>3568</v>
      </c>
      <c r="L1911">
        <v>4</v>
      </c>
      <c r="M1911" s="1">
        <v>198000</v>
      </c>
      <c r="N1911">
        <v>4.0999999999999996</v>
      </c>
      <c r="O1911">
        <v>5</v>
      </c>
      <c r="P1911" s="2" t="s">
        <v>72</v>
      </c>
    </row>
    <row r="1912" spans="1:16" x14ac:dyDescent="0.25">
      <c r="A1912" s="2" t="s">
        <v>6723</v>
      </c>
      <c r="B1912" s="2" t="s">
        <v>1242</v>
      </c>
      <c r="C1912" s="2" t="s">
        <v>18</v>
      </c>
      <c r="D1912" s="2" t="s">
        <v>50</v>
      </c>
      <c r="E1912" s="2" t="s">
        <v>20</v>
      </c>
      <c r="F1912" s="2" t="s">
        <v>32</v>
      </c>
      <c r="G1912" s="2" t="s">
        <v>22</v>
      </c>
      <c r="H1912" s="2" t="s">
        <v>62</v>
      </c>
      <c r="I1912" s="2" t="s">
        <v>57</v>
      </c>
      <c r="J1912" s="2" t="s">
        <v>6724</v>
      </c>
      <c r="K1912" s="2" t="s">
        <v>6461</v>
      </c>
      <c r="L1912">
        <v>2</v>
      </c>
      <c r="M1912" s="1">
        <v>185000</v>
      </c>
      <c r="N1912">
        <v>4.2</v>
      </c>
      <c r="O1912">
        <v>11</v>
      </c>
      <c r="P1912" s="2" t="s">
        <v>53</v>
      </c>
    </row>
    <row r="1913" spans="1:16" x14ac:dyDescent="0.25">
      <c r="A1913" s="2" t="s">
        <v>6725</v>
      </c>
      <c r="B1913" s="2" t="s">
        <v>1242</v>
      </c>
      <c r="C1913" s="2" t="s">
        <v>18</v>
      </c>
      <c r="D1913" s="2" t="s">
        <v>50</v>
      </c>
      <c r="E1913" s="2" t="s">
        <v>20</v>
      </c>
      <c r="F1913" s="2" t="s">
        <v>32</v>
      </c>
      <c r="G1913" s="2" t="s">
        <v>33</v>
      </c>
      <c r="H1913" s="2" t="s">
        <v>46</v>
      </c>
      <c r="I1913" s="2" t="s">
        <v>35</v>
      </c>
      <c r="J1913" s="2" t="s">
        <v>5957</v>
      </c>
      <c r="K1913" s="2" t="s">
        <v>2518</v>
      </c>
      <c r="L1913">
        <v>5</v>
      </c>
      <c r="M1913" s="1">
        <v>268000</v>
      </c>
      <c r="N1913">
        <v>2</v>
      </c>
      <c r="O1913">
        <v>16</v>
      </c>
      <c r="P1913" s="2" t="s">
        <v>72</v>
      </c>
    </row>
    <row r="1914" spans="1:16" x14ac:dyDescent="0.25">
      <c r="A1914" s="2" t="s">
        <v>6727</v>
      </c>
      <c r="B1914" s="2" t="s">
        <v>6572</v>
      </c>
      <c r="C1914" s="2" t="s">
        <v>29</v>
      </c>
      <c r="D1914" s="2" t="s">
        <v>30</v>
      </c>
      <c r="E1914" s="2" t="s">
        <v>20</v>
      </c>
      <c r="F1914" s="2" t="s">
        <v>39</v>
      </c>
      <c r="G1914" s="2" t="s">
        <v>22</v>
      </c>
      <c r="H1914" s="2" t="s">
        <v>34</v>
      </c>
      <c r="I1914" s="2" t="s">
        <v>57</v>
      </c>
      <c r="J1914" s="2" t="s">
        <v>6728</v>
      </c>
      <c r="K1914" s="2" t="s">
        <v>6086</v>
      </c>
      <c r="L1914">
        <v>7</v>
      </c>
      <c r="M1914" s="1">
        <v>134000</v>
      </c>
      <c r="N1914">
        <v>3</v>
      </c>
      <c r="O1914">
        <v>9</v>
      </c>
      <c r="P1914" s="2" t="s">
        <v>26</v>
      </c>
    </row>
    <row r="1915" spans="1:16" x14ac:dyDescent="0.25">
      <c r="A1915" s="2" t="s">
        <v>6729</v>
      </c>
      <c r="B1915" s="2" t="s">
        <v>2630</v>
      </c>
      <c r="C1915" s="2" t="s">
        <v>29</v>
      </c>
      <c r="D1915" s="2" t="s">
        <v>19</v>
      </c>
      <c r="E1915" s="2" t="s">
        <v>44</v>
      </c>
      <c r="F1915" s="2" t="s">
        <v>39</v>
      </c>
      <c r="G1915" s="2" t="s">
        <v>80</v>
      </c>
      <c r="H1915" s="2" t="s">
        <v>46</v>
      </c>
      <c r="I1915" s="2" t="s">
        <v>35</v>
      </c>
      <c r="J1915" s="2" t="s">
        <v>6730</v>
      </c>
      <c r="K1915" s="2" t="s">
        <v>6086</v>
      </c>
      <c r="L1915">
        <v>6</v>
      </c>
      <c r="M1915" s="1">
        <v>144000</v>
      </c>
      <c r="N1915">
        <v>4.3</v>
      </c>
      <c r="O1915">
        <v>13</v>
      </c>
      <c r="P1915" s="2" t="s">
        <v>72</v>
      </c>
    </row>
    <row r="1916" spans="1:16" x14ac:dyDescent="0.25">
      <c r="A1916" s="2" t="s">
        <v>6733</v>
      </c>
      <c r="B1916" s="2" t="s">
        <v>6734</v>
      </c>
      <c r="C1916" s="2" t="s">
        <v>29</v>
      </c>
      <c r="D1916" s="2" t="s">
        <v>50</v>
      </c>
      <c r="E1916" s="2" t="s">
        <v>20</v>
      </c>
      <c r="F1916" s="2" t="s">
        <v>39</v>
      </c>
      <c r="G1916" s="2" t="s">
        <v>69</v>
      </c>
      <c r="H1916" s="2" t="s">
        <v>23</v>
      </c>
      <c r="I1916" s="2" t="s">
        <v>57</v>
      </c>
      <c r="J1916" s="2" t="s">
        <v>5496</v>
      </c>
      <c r="K1916" s="2" t="s">
        <v>5924</v>
      </c>
      <c r="L1916">
        <v>5</v>
      </c>
      <c r="M1916" s="1">
        <v>178000</v>
      </c>
      <c r="N1916">
        <v>4.9000000000000004</v>
      </c>
      <c r="O1916">
        <v>14</v>
      </c>
      <c r="P1916" s="2" t="s">
        <v>26</v>
      </c>
    </row>
    <row r="1917" spans="1:16" x14ac:dyDescent="0.25">
      <c r="A1917" s="2" t="s">
        <v>6735</v>
      </c>
      <c r="B1917" s="2" t="s">
        <v>6736</v>
      </c>
      <c r="C1917" s="2" t="s">
        <v>29</v>
      </c>
      <c r="D1917" s="2" t="s">
        <v>79</v>
      </c>
      <c r="E1917" s="2" t="s">
        <v>20</v>
      </c>
      <c r="F1917" s="2" t="s">
        <v>39</v>
      </c>
      <c r="G1917" s="2" t="s">
        <v>80</v>
      </c>
      <c r="H1917" s="2" t="s">
        <v>23</v>
      </c>
      <c r="I1917" s="2" t="s">
        <v>35</v>
      </c>
      <c r="J1917" s="2" t="s">
        <v>3305</v>
      </c>
      <c r="K1917" s="2" t="s">
        <v>5924</v>
      </c>
      <c r="L1917">
        <v>5</v>
      </c>
      <c r="M1917" s="1">
        <v>108000</v>
      </c>
      <c r="N1917">
        <v>4.8</v>
      </c>
      <c r="O1917">
        <v>5</v>
      </c>
      <c r="P1917" s="2" t="s">
        <v>26</v>
      </c>
    </row>
    <row r="1918" spans="1:16" x14ac:dyDescent="0.25">
      <c r="A1918" s="2" t="s">
        <v>6737</v>
      </c>
      <c r="B1918" s="2" t="s">
        <v>6738</v>
      </c>
      <c r="C1918" s="2" t="s">
        <v>29</v>
      </c>
      <c r="D1918" s="2" t="s">
        <v>79</v>
      </c>
      <c r="E1918" s="2" t="s">
        <v>20</v>
      </c>
      <c r="F1918" s="2" t="s">
        <v>32</v>
      </c>
      <c r="G1918" s="2" t="s">
        <v>69</v>
      </c>
      <c r="H1918" s="2" t="s">
        <v>34</v>
      </c>
      <c r="I1918" s="2" t="s">
        <v>57</v>
      </c>
      <c r="J1918" s="2" t="s">
        <v>6739</v>
      </c>
      <c r="K1918" s="2" t="s">
        <v>5924</v>
      </c>
      <c r="L1918">
        <v>2</v>
      </c>
      <c r="M1918" s="1">
        <v>280000</v>
      </c>
      <c r="N1918">
        <v>3.1</v>
      </c>
      <c r="O1918">
        <v>10</v>
      </c>
      <c r="P1918" s="2" t="s">
        <v>26</v>
      </c>
    </row>
    <row r="1919" spans="1:16" x14ac:dyDescent="0.25">
      <c r="A1919" s="2" t="s">
        <v>6740</v>
      </c>
      <c r="B1919" s="2" t="s">
        <v>6741</v>
      </c>
      <c r="C1919" s="2" t="s">
        <v>29</v>
      </c>
      <c r="D1919" s="2" t="s">
        <v>50</v>
      </c>
      <c r="E1919" s="2" t="s">
        <v>20</v>
      </c>
      <c r="F1919" s="2" t="s">
        <v>32</v>
      </c>
      <c r="G1919" s="2" t="s">
        <v>33</v>
      </c>
      <c r="H1919" s="2" t="s">
        <v>34</v>
      </c>
      <c r="I1919" s="2" t="s">
        <v>57</v>
      </c>
      <c r="J1919" s="2" t="s">
        <v>5764</v>
      </c>
      <c r="K1919" s="2" t="s">
        <v>5924</v>
      </c>
      <c r="L1919">
        <v>5</v>
      </c>
      <c r="M1919" s="1">
        <v>233000</v>
      </c>
      <c r="N1919">
        <v>4.5</v>
      </c>
      <c r="O1919">
        <v>13</v>
      </c>
      <c r="P1919" s="2" t="s">
        <v>26</v>
      </c>
    </row>
    <row r="1920" spans="1:16" x14ac:dyDescent="0.25">
      <c r="A1920" s="2" t="s">
        <v>6744</v>
      </c>
      <c r="B1920" s="2" t="s">
        <v>6745</v>
      </c>
      <c r="C1920" s="2" t="s">
        <v>29</v>
      </c>
      <c r="D1920" s="2" t="s">
        <v>79</v>
      </c>
      <c r="E1920" s="2" t="s">
        <v>20</v>
      </c>
      <c r="F1920" s="2" t="s">
        <v>32</v>
      </c>
      <c r="G1920" s="2" t="s">
        <v>22</v>
      </c>
      <c r="H1920" s="2" t="s">
        <v>46</v>
      </c>
      <c r="I1920" s="2" t="s">
        <v>57</v>
      </c>
      <c r="J1920" s="2" t="s">
        <v>6746</v>
      </c>
      <c r="K1920" s="2" t="s">
        <v>5924</v>
      </c>
      <c r="L1920">
        <v>6</v>
      </c>
      <c r="M1920" s="1">
        <v>213000</v>
      </c>
      <c r="N1920">
        <v>2.2999999999999998</v>
      </c>
      <c r="O1920">
        <v>0</v>
      </c>
      <c r="P1920" s="2" t="s">
        <v>72</v>
      </c>
    </row>
    <row r="1921" spans="1:16" x14ac:dyDescent="0.25">
      <c r="A1921" s="2" t="s">
        <v>6749</v>
      </c>
      <c r="B1921" s="2" t="s">
        <v>6750</v>
      </c>
      <c r="C1921" s="2" t="s">
        <v>29</v>
      </c>
      <c r="D1921" s="2" t="s">
        <v>79</v>
      </c>
      <c r="E1921" s="2" t="s">
        <v>20</v>
      </c>
      <c r="F1921" s="2" t="s">
        <v>128</v>
      </c>
      <c r="G1921" s="2" t="s">
        <v>80</v>
      </c>
      <c r="H1921" s="2" t="s">
        <v>23</v>
      </c>
      <c r="I1921" s="2" t="s">
        <v>57</v>
      </c>
      <c r="J1921" s="2" t="s">
        <v>2490</v>
      </c>
      <c r="K1921" s="2" t="s">
        <v>1464</v>
      </c>
      <c r="L1921">
        <v>6</v>
      </c>
      <c r="M1921" s="1">
        <v>393000</v>
      </c>
      <c r="N1921">
        <v>3.9</v>
      </c>
      <c r="O1921">
        <v>5</v>
      </c>
      <c r="P1921" s="2" t="s">
        <v>26</v>
      </c>
    </row>
    <row r="1922" spans="1:16" x14ac:dyDescent="0.25">
      <c r="A1922" s="2" t="s">
        <v>6756</v>
      </c>
      <c r="B1922" s="2" t="s">
        <v>6757</v>
      </c>
      <c r="C1922" s="2" t="s">
        <v>29</v>
      </c>
      <c r="D1922" s="2" t="s">
        <v>19</v>
      </c>
      <c r="E1922" s="2" t="s">
        <v>31</v>
      </c>
      <c r="F1922" s="2" t="s">
        <v>39</v>
      </c>
      <c r="G1922" s="2" t="s">
        <v>80</v>
      </c>
      <c r="H1922" s="2" t="s">
        <v>34</v>
      </c>
      <c r="I1922" s="2" t="s">
        <v>24</v>
      </c>
      <c r="J1922" s="2" t="s">
        <v>6758</v>
      </c>
      <c r="K1922" s="2" t="s">
        <v>1464</v>
      </c>
      <c r="L1922">
        <v>6</v>
      </c>
      <c r="M1922" s="1">
        <v>198000</v>
      </c>
      <c r="N1922">
        <v>3.5</v>
      </c>
      <c r="O1922">
        <v>12</v>
      </c>
      <c r="P1922" s="2" t="s">
        <v>114</v>
      </c>
    </row>
    <row r="1923" spans="1:16" x14ac:dyDescent="0.25">
      <c r="A1923" s="2" t="s">
        <v>6759</v>
      </c>
      <c r="B1923" s="2" t="s">
        <v>1750</v>
      </c>
      <c r="C1923" s="2" t="s">
        <v>18</v>
      </c>
      <c r="D1923" s="2" t="s">
        <v>19</v>
      </c>
      <c r="E1923" s="2" t="s">
        <v>20</v>
      </c>
      <c r="F1923" s="2" t="s">
        <v>39</v>
      </c>
      <c r="G1923" s="2" t="s">
        <v>22</v>
      </c>
      <c r="H1923" s="2" t="s">
        <v>34</v>
      </c>
      <c r="I1923" s="2" t="s">
        <v>24</v>
      </c>
      <c r="J1923" s="2" t="s">
        <v>5468</v>
      </c>
      <c r="K1923" s="2" t="s">
        <v>5971</v>
      </c>
      <c r="L1923">
        <v>6</v>
      </c>
      <c r="M1923" s="1">
        <v>109000</v>
      </c>
      <c r="N1923">
        <v>4.0999999999999996</v>
      </c>
      <c r="O1923">
        <v>12</v>
      </c>
      <c r="P1923" s="2" t="s">
        <v>26</v>
      </c>
    </row>
    <row r="1924" spans="1:16" x14ac:dyDescent="0.25">
      <c r="A1924" s="2" t="s">
        <v>6763</v>
      </c>
      <c r="B1924" s="2" t="s">
        <v>6764</v>
      </c>
      <c r="C1924" s="2" t="s">
        <v>29</v>
      </c>
      <c r="D1924" s="2" t="s">
        <v>30</v>
      </c>
      <c r="E1924" s="2" t="s">
        <v>20</v>
      </c>
      <c r="F1924" s="2" t="s">
        <v>128</v>
      </c>
      <c r="G1924" s="2" t="s">
        <v>69</v>
      </c>
      <c r="H1924" s="2" t="s">
        <v>46</v>
      </c>
      <c r="I1924" s="2" t="s">
        <v>24</v>
      </c>
      <c r="J1924" s="2" t="s">
        <v>6765</v>
      </c>
      <c r="K1924" s="2" t="s">
        <v>5971</v>
      </c>
      <c r="L1924">
        <v>3</v>
      </c>
      <c r="M1924" s="1">
        <v>492000</v>
      </c>
      <c r="N1924">
        <v>4.3</v>
      </c>
      <c r="O1924">
        <v>2</v>
      </c>
      <c r="P1924" s="2" t="s">
        <v>26</v>
      </c>
    </row>
    <row r="1925" spans="1:16" x14ac:dyDescent="0.25">
      <c r="A1925" s="2" t="s">
        <v>6768</v>
      </c>
      <c r="B1925" s="2" t="s">
        <v>5836</v>
      </c>
      <c r="C1925" s="2" t="s">
        <v>18</v>
      </c>
      <c r="D1925" s="2" t="s">
        <v>30</v>
      </c>
      <c r="E1925" s="2" t="s">
        <v>20</v>
      </c>
      <c r="F1925" s="2" t="s">
        <v>39</v>
      </c>
      <c r="G1925" s="2" t="s">
        <v>80</v>
      </c>
      <c r="H1925" s="2" t="s">
        <v>46</v>
      </c>
      <c r="I1925" s="2" t="s">
        <v>57</v>
      </c>
      <c r="J1925" s="2" t="s">
        <v>3828</v>
      </c>
      <c r="K1925" s="2" t="s">
        <v>5971</v>
      </c>
      <c r="L1925">
        <v>3</v>
      </c>
      <c r="M1925" s="1">
        <v>148000</v>
      </c>
      <c r="N1925">
        <v>2.2000000000000002</v>
      </c>
      <c r="O1925">
        <v>3</v>
      </c>
      <c r="P1925" s="2" t="s">
        <v>26</v>
      </c>
    </row>
    <row r="1926" spans="1:16" x14ac:dyDescent="0.25">
      <c r="A1926" s="2" t="s">
        <v>6771</v>
      </c>
      <c r="B1926" s="2" t="s">
        <v>6772</v>
      </c>
      <c r="C1926" s="2" t="s">
        <v>18</v>
      </c>
      <c r="D1926" s="2" t="s">
        <v>30</v>
      </c>
      <c r="E1926" s="2" t="s">
        <v>20</v>
      </c>
      <c r="F1926" s="2" t="s">
        <v>32</v>
      </c>
      <c r="G1926" s="2" t="s">
        <v>69</v>
      </c>
      <c r="H1926" s="2" t="s">
        <v>23</v>
      </c>
      <c r="I1926" s="2" t="s">
        <v>24</v>
      </c>
      <c r="J1926" s="2" t="s">
        <v>616</v>
      </c>
      <c r="K1926" s="2" t="s">
        <v>5971</v>
      </c>
      <c r="L1926">
        <v>5</v>
      </c>
      <c r="M1926" s="1">
        <v>183000</v>
      </c>
      <c r="N1926">
        <v>2.7</v>
      </c>
      <c r="O1926">
        <v>0</v>
      </c>
      <c r="P1926" s="2" t="s">
        <v>53</v>
      </c>
    </row>
    <row r="1927" spans="1:16" x14ac:dyDescent="0.25">
      <c r="A1927" s="2" t="s">
        <v>6773</v>
      </c>
      <c r="B1927" s="2" t="s">
        <v>5564</v>
      </c>
      <c r="C1927" s="2" t="s">
        <v>29</v>
      </c>
      <c r="D1927" s="2" t="s">
        <v>30</v>
      </c>
      <c r="E1927" s="2" t="s">
        <v>44</v>
      </c>
      <c r="F1927" s="2" t="s">
        <v>39</v>
      </c>
      <c r="G1927" s="2" t="s">
        <v>33</v>
      </c>
      <c r="H1927" s="2" t="s">
        <v>23</v>
      </c>
      <c r="I1927" s="2" t="s">
        <v>24</v>
      </c>
      <c r="J1927" s="2" t="s">
        <v>1210</v>
      </c>
      <c r="K1927" s="2" t="s">
        <v>6774</v>
      </c>
      <c r="L1927">
        <v>2</v>
      </c>
      <c r="M1927" s="1">
        <v>131000</v>
      </c>
      <c r="N1927">
        <v>1.6</v>
      </c>
      <c r="O1927">
        <v>28</v>
      </c>
      <c r="P1927" s="2" t="s">
        <v>53</v>
      </c>
    </row>
    <row r="1928" spans="1:16" x14ac:dyDescent="0.25">
      <c r="A1928" s="2" t="s">
        <v>6777</v>
      </c>
      <c r="B1928" s="2" t="s">
        <v>6778</v>
      </c>
      <c r="C1928" s="2" t="s">
        <v>18</v>
      </c>
      <c r="D1928" s="2" t="s">
        <v>50</v>
      </c>
      <c r="E1928" s="2" t="s">
        <v>20</v>
      </c>
      <c r="F1928" s="2" t="s">
        <v>128</v>
      </c>
      <c r="G1928" s="2" t="s">
        <v>22</v>
      </c>
      <c r="H1928" s="2" t="s">
        <v>23</v>
      </c>
      <c r="I1928" s="2" t="s">
        <v>35</v>
      </c>
      <c r="J1928" s="2" t="s">
        <v>3062</v>
      </c>
      <c r="K1928" s="2" t="s">
        <v>3279</v>
      </c>
      <c r="L1928">
        <v>3</v>
      </c>
      <c r="M1928" s="1">
        <v>445000</v>
      </c>
      <c r="N1928">
        <v>3.7</v>
      </c>
      <c r="O1928">
        <v>6</v>
      </c>
      <c r="P1928" s="2" t="s">
        <v>26</v>
      </c>
    </row>
    <row r="1929" spans="1:16" x14ac:dyDescent="0.25">
      <c r="A1929" s="2" t="s">
        <v>6779</v>
      </c>
      <c r="B1929" s="2" t="s">
        <v>6780</v>
      </c>
      <c r="C1929" s="2" t="s">
        <v>18</v>
      </c>
      <c r="D1929" s="2" t="s">
        <v>19</v>
      </c>
      <c r="E1929" s="2" t="s">
        <v>20</v>
      </c>
      <c r="F1929" s="2" t="s">
        <v>32</v>
      </c>
      <c r="G1929" s="2" t="s">
        <v>22</v>
      </c>
      <c r="H1929" s="2" t="s">
        <v>46</v>
      </c>
      <c r="I1929" s="2" t="s">
        <v>35</v>
      </c>
      <c r="J1929" s="2" t="s">
        <v>5298</v>
      </c>
      <c r="K1929" s="2" t="s">
        <v>3279</v>
      </c>
      <c r="L1929">
        <v>4</v>
      </c>
      <c r="M1929" s="1">
        <v>209000</v>
      </c>
      <c r="N1929">
        <v>4.7</v>
      </c>
      <c r="O1929">
        <v>3</v>
      </c>
      <c r="P1929" s="2" t="s">
        <v>26</v>
      </c>
    </row>
    <row r="1930" spans="1:16" x14ac:dyDescent="0.25">
      <c r="A1930" s="2" t="s">
        <v>6781</v>
      </c>
      <c r="B1930" s="2" t="s">
        <v>6782</v>
      </c>
      <c r="C1930" s="2" t="s">
        <v>29</v>
      </c>
      <c r="D1930" s="2" t="s">
        <v>30</v>
      </c>
      <c r="E1930" s="2" t="s">
        <v>20</v>
      </c>
      <c r="F1930" s="2" t="s">
        <v>39</v>
      </c>
      <c r="G1930" s="2" t="s">
        <v>69</v>
      </c>
      <c r="H1930" s="2" t="s">
        <v>34</v>
      </c>
      <c r="I1930" s="2" t="s">
        <v>24</v>
      </c>
      <c r="J1930" s="2" t="s">
        <v>987</v>
      </c>
      <c r="K1930" s="2" t="s">
        <v>3279</v>
      </c>
      <c r="L1930">
        <v>5</v>
      </c>
      <c r="M1930" s="1">
        <v>111000</v>
      </c>
      <c r="N1930">
        <v>2.1</v>
      </c>
      <c r="O1930">
        <v>13</v>
      </c>
      <c r="P1930" s="2" t="s">
        <v>53</v>
      </c>
    </row>
    <row r="1931" spans="1:16" x14ac:dyDescent="0.25">
      <c r="A1931" s="2" t="s">
        <v>6783</v>
      </c>
      <c r="B1931" s="2" t="s">
        <v>6784</v>
      </c>
      <c r="C1931" s="2" t="s">
        <v>29</v>
      </c>
      <c r="D1931" s="2" t="s">
        <v>50</v>
      </c>
      <c r="E1931" s="2" t="s">
        <v>20</v>
      </c>
      <c r="F1931" s="2" t="s">
        <v>32</v>
      </c>
      <c r="G1931" s="2" t="s">
        <v>80</v>
      </c>
      <c r="H1931" s="2" t="s">
        <v>34</v>
      </c>
      <c r="I1931" s="2" t="s">
        <v>24</v>
      </c>
      <c r="J1931" s="2" t="s">
        <v>3612</v>
      </c>
      <c r="K1931" s="2" t="s">
        <v>6785</v>
      </c>
      <c r="L1931">
        <v>5</v>
      </c>
      <c r="M1931" s="1">
        <v>299000</v>
      </c>
      <c r="N1931">
        <v>3.4</v>
      </c>
      <c r="O1931">
        <v>3</v>
      </c>
      <c r="P1931" s="2" t="s">
        <v>114</v>
      </c>
    </row>
    <row r="1932" spans="1:16" x14ac:dyDescent="0.25">
      <c r="A1932" s="2" t="s">
        <v>6786</v>
      </c>
      <c r="B1932" s="2" t="s">
        <v>1010</v>
      </c>
      <c r="C1932" s="2" t="s">
        <v>18</v>
      </c>
      <c r="D1932" s="2" t="s">
        <v>50</v>
      </c>
      <c r="E1932" s="2" t="s">
        <v>20</v>
      </c>
      <c r="F1932" s="2" t="s">
        <v>39</v>
      </c>
      <c r="G1932" s="2" t="s">
        <v>22</v>
      </c>
      <c r="H1932" s="2" t="s">
        <v>62</v>
      </c>
      <c r="I1932" s="2" t="s">
        <v>24</v>
      </c>
      <c r="J1932" s="2" t="s">
        <v>550</v>
      </c>
      <c r="K1932" s="2" t="s">
        <v>866</v>
      </c>
      <c r="L1932">
        <v>3</v>
      </c>
      <c r="M1932" s="1">
        <v>165000</v>
      </c>
      <c r="N1932">
        <v>3.8</v>
      </c>
      <c r="O1932">
        <v>10</v>
      </c>
      <c r="P1932" s="2" t="s">
        <v>114</v>
      </c>
    </row>
    <row r="1933" spans="1:16" x14ac:dyDescent="0.25">
      <c r="A1933" s="2" t="s">
        <v>6787</v>
      </c>
      <c r="B1933" s="2" t="s">
        <v>763</v>
      </c>
      <c r="C1933" s="2" t="s">
        <v>29</v>
      </c>
      <c r="D1933" s="2" t="s">
        <v>50</v>
      </c>
      <c r="E1933" s="2" t="s">
        <v>20</v>
      </c>
      <c r="F1933" s="2" t="s">
        <v>32</v>
      </c>
      <c r="G1933" s="2" t="s">
        <v>33</v>
      </c>
      <c r="H1933" s="2" t="s">
        <v>23</v>
      </c>
      <c r="I1933" s="2" t="s">
        <v>24</v>
      </c>
      <c r="J1933" s="2" t="s">
        <v>1994</v>
      </c>
      <c r="K1933" s="2" t="s">
        <v>2740</v>
      </c>
      <c r="L1933">
        <v>4</v>
      </c>
      <c r="M1933" s="1">
        <v>243000</v>
      </c>
      <c r="N1933">
        <v>2.2999999999999998</v>
      </c>
      <c r="O1933">
        <v>25</v>
      </c>
      <c r="P1933" s="2" t="s">
        <v>72</v>
      </c>
    </row>
    <row r="1934" spans="1:16" x14ac:dyDescent="0.25">
      <c r="A1934" s="2" t="s">
        <v>6792</v>
      </c>
      <c r="B1934" s="2" t="s">
        <v>2635</v>
      </c>
      <c r="C1934" s="2" t="s">
        <v>18</v>
      </c>
      <c r="D1934" s="2" t="s">
        <v>79</v>
      </c>
      <c r="E1934" s="2" t="s">
        <v>44</v>
      </c>
      <c r="F1934" s="2" t="s">
        <v>128</v>
      </c>
      <c r="G1934" s="2" t="s">
        <v>80</v>
      </c>
      <c r="H1934" s="2" t="s">
        <v>34</v>
      </c>
      <c r="I1934" s="2" t="s">
        <v>24</v>
      </c>
      <c r="J1934" s="2" t="s">
        <v>2843</v>
      </c>
      <c r="K1934" s="2" t="s">
        <v>908</v>
      </c>
      <c r="L1934">
        <v>3</v>
      </c>
      <c r="M1934" s="1">
        <v>558000</v>
      </c>
      <c r="N1934">
        <v>4.9000000000000004</v>
      </c>
      <c r="O1934">
        <v>5</v>
      </c>
      <c r="P1934" s="2" t="s">
        <v>53</v>
      </c>
    </row>
    <row r="1935" spans="1:16" x14ac:dyDescent="0.25">
      <c r="A1935" s="2" t="s">
        <v>6794</v>
      </c>
      <c r="B1935" s="2" t="s">
        <v>93</v>
      </c>
      <c r="C1935" s="2" t="s">
        <v>29</v>
      </c>
      <c r="D1935" s="2" t="s">
        <v>43</v>
      </c>
      <c r="E1935" s="2" t="s">
        <v>31</v>
      </c>
      <c r="F1935" s="2" t="s">
        <v>39</v>
      </c>
      <c r="G1935" s="2" t="s">
        <v>22</v>
      </c>
      <c r="H1935" s="2" t="s">
        <v>34</v>
      </c>
      <c r="I1935" s="2" t="s">
        <v>75</v>
      </c>
      <c r="J1935" s="2" t="s">
        <v>3964</v>
      </c>
      <c r="K1935" s="2" t="s">
        <v>565</v>
      </c>
      <c r="L1935">
        <v>5</v>
      </c>
      <c r="M1935" s="1">
        <v>125000</v>
      </c>
      <c r="N1935">
        <v>2.4</v>
      </c>
      <c r="O1935">
        <v>13</v>
      </c>
      <c r="P1935" s="2" t="s">
        <v>26</v>
      </c>
    </row>
    <row r="1936" spans="1:16" x14ac:dyDescent="0.25">
      <c r="A1936" s="2" t="s">
        <v>6797</v>
      </c>
      <c r="B1936" s="2" t="s">
        <v>6798</v>
      </c>
      <c r="C1936" s="2" t="s">
        <v>29</v>
      </c>
      <c r="D1936" s="2" t="s">
        <v>50</v>
      </c>
      <c r="E1936" s="2" t="s">
        <v>20</v>
      </c>
      <c r="F1936" s="2" t="s">
        <v>39</v>
      </c>
      <c r="G1936" s="2" t="s">
        <v>22</v>
      </c>
      <c r="H1936" s="2" t="s">
        <v>34</v>
      </c>
      <c r="I1936" s="2" t="s">
        <v>75</v>
      </c>
      <c r="J1936" s="2" t="s">
        <v>3470</v>
      </c>
      <c r="K1936" s="2" t="s">
        <v>565</v>
      </c>
      <c r="L1936">
        <v>3</v>
      </c>
      <c r="M1936" s="1">
        <v>91000</v>
      </c>
      <c r="N1936">
        <v>5</v>
      </c>
      <c r="O1936">
        <v>1</v>
      </c>
      <c r="P1936" s="2" t="s">
        <v>114</v>
      </c>
    </row>
    <row r="1937" spans="1:16" x14ac:dyDescent="0.25">
      <c r="A1937" s="2" t="s">
        <v>6799</v>
      </c>
      <c r="B1937" s="2" t="s">
        <v>2184</v>
      </c>
      <c r="C1937" s="2" t="s">
        <v>18</v>
      </c>
      <c r="D1937" s="2" t="s">
        <v>50</v>
      </c>
      <c r="E1937" s="2" t="s">
        <v>20</v>
      </c>
      <c r="F1937" s="2" t="s">
        <v>128</v>
      </c>
      <c r="G1937" s="2" t="s">
        <v>69</v>
      </c>
      <c r="H1937" s="2" t="s">
        <v>62</v>
      </c>
      <c r="I1937" s="2" t="s">
        <v>35</v>
      </c>
      <c r="J1937" s="2" t="s">
        <v>5208</v>
      </c>
      <c r="K1937" s="2" t="s">
        <v>1260</v>
      </c>
      <c r="L1937">
        <v>3</v>
      </c>
      <c r="M1937" s="1">
        <v>483000</v>
      </c>
      <c r="N1937">
        <v>4.2</v>
      </c>
      <c r="O1937">
        <v>10</v>
      </c>
      <c r="P1937" s="2" t="s">
        <v>26</v>
      </c>
    </row>
    <row r="1938" spans="1:16" x14ac:dyDescent="0.25">
      <c r="A1938" s="2" t="s">
        <v>6800</v>
      </c>
      <c r="B1938" s="2" t="s">
        <v>5227</v>
      </c>
      <c r="C1938" s="2" t="s">
        <v>29</v>
      </c>
      <c r="D1938" s="2" t="s">
        <v>30</v>
      </c>
      <c r="E1938" s="2" t="s">
        <v>20</v>
      </c>
      <c r="F1938" s="2" t="s">
        <v>32</v>
      </c>
      <c r="G1938" s="2" t="s">
        <v>69</v>
      </c>
      <c r="H1938" s="2" t="s">
        <v>23</v>
      </c>
      <c r="I1938" s="2" t="s">
        <v>35</v>
      </c>
      <c r="J1938" s="2" t="s">
        <v>58</v>
      </c>
      <c r="K1938" s="2" t="s">
        <v>1260</v>
      </c>
      <c r="L1938">
        <v>3</v>
      </c>
      <c r="M1938" s="1">
        <v>273000</v>
      </c>
      <c r="N1938">
        <v>2.2000000000000002</v>
      </c>
      <c r="O1938">
        <v>11</v>
      </c>
      <c r="P1938" s="2" t="s">
        <v>26</v>
      </c>
    </row>
    <row r="1939" spans="1:16" x14ac:dyDescent="0.25">
      <c r="A1939" s="2" t="s">
        <v>6801</v>
      </c>
      <c r="B1939" s="2" t="s">
        <v>6802</v>
      </c>
      <c r="C1939" s="2" t="s">
        <v>18</v>
      </c>
      <c r="D1939" s="2" t="s">
        <v>30</v>
      </c>
      <c r="E1939" s="2" t="s">
        <v>20</v>
      </c>
      <c r="F1939" s="2" t="s">
        <v>21</v>
      </c>
      <c r="G1939" s="2" t="s">
        <v>69</v>
      </c>
      <c r="H1939" s="2" t="s">
        <v>23</v>
      </c>
      <c r="I1939" s="2" t="s">
        <v>35</v>
      </c>
      <c r="J1939" s="2" t="s">
        <v>47</v>
      </c>
      <c r="K1939" s="2" t="s">
        <v>1260</v>
      </c>
      <c r="L1939">
        <v>3</v>
      </c>
      <c r="M1939" s="1">
        <v>686000</v>
      </c>
      <c r="N1939">
        <v>4.0999999999999996</v>
      </c>
      <c r="O1939">
        <v>2</v>
      </c>
      <c r="P1939" s="2" t="s">
        <v>72</v>
      </c>
    </row>
    <row r="1940" spans="1:16" x14ac:dyDescent="0.25">
      <c r="A1940" s="2" t="s">
        <v>6803</v>
      </c>
      <c r="B1940" s="2" t="s">
        <v>6252</v>
      </c>
      <c r="C1940" s="2" t="s">
        <v>18</v>
      </c>
      <c r="D1940" s="2" t="s">
        <v>19</v>
      </c>
      <c r="E1940" s="2" t="s">
        <v>20</v>
      </c>
      <c r="F1940" s="2" t="s">
        <v>39</v>
      </c>
      <c r="G1940" s="2" t="s">
        <v>80</v>
      </c>
      <c r="H1940" s="2" t="s">
        <v>23</v>
      </c>
      <c r="I1940" s="2" t="s">
        <v>35</v>
      </c>
      <c r="J1940" s="2" t="s">
        <v>334</v>
      </c>
      <c r="K1940" s="2" t="s">
        <v>1905</v>
      </c>
      <c r="L1940">
        <v>6</v>
      </c>
      <c r="M1940" s="1">
        <v>158000</v>
      </c>
      <c r="N1940">
        <v>2.7</v>
      </c>
      <c r="O1940">
        <v>1</v>
      </c>
      <c r="P1940" s="2" t="s">
        <v>72</v>
      </c>
    </row>
    <row r="1941" spans="1:16" x14ac:dyDescent="0.25">
      <c r="A1941" s="2" t="s">
        <v>6805</v>
      </c>
      <c r="B1941" s="2" t="s">
        <v>6806</v>
      </c>
      <c r="C1941" s="2" t="s">
        <v>18</v>
      </c>
      <c r="D1941" s="2" t="s">
        <v>30</v>
      </c>
      <c r="E1941" s="2" t="s">
        <v>20</v>
      </c>
      <c r="F1941" s="2" t="s">
        <v>32</v>
      </c>
      <c r="G1941" s="2" t="s">
        <v>22</v>
      </c>
      <c r="H1941" s="2" t="s">
        <v>62</v>
      </c>
      <c r="I1941" s="2" t="s">
        <v>24</v>
      </c>
      <c r="J1941" s="2" t="s">
        <v>189</v>
      </c>
      <c r="K1941" s="2" t="s">
        <v>3555</v>
      </c>
      <c r="L1941">
        <v>2</v>
      </c>
      <c r="M1941" s="1">
        <v>291000</v>
      </c>
      <c r="N1941">
        <v>4.3</v>
      </c>
      <c r="O1941">
        <v>34</v>
      </c>
      <c r="P1941" s="2" t="s">
        <v>26</v>
      </c>
    </row>
    <row r="1942" spans="1:16" x14ac:dyDescent="0.25">
      <c r="A1942" s="2" t="s">
        <v>6807</v>
      </c>
      <c r="B1942" s="2" t="s">
        <v>4584</v>
      </c>
      <c r="C1942" s="2" t="s">
        <v>29</v>
      </c>
      <c r="D1942" s="2" t="s">
        <v>19</v>
      </c>
      <c r="E1942" s="2" t="s">
        <v>44</v>
      </c>
      <c r="F1942" s="2" t="s">
        <v>45</v>
      </c>
      <c r="G1942" s="2" t="s">
        <v>33</v>
      </c>
      <c r="H1942" s="2" t="s">
        <v>46</v>
      </c>
      <c r="I1942" s="2" t="s">
        <v>57</v>
      </c>
      <c r="J1942" s="2" t="s">
        <v>3945</v>
      </c>
      <c r="K1942" s="2" t="s">
        <v>3555</v>
      </c>
      <c r="L1942">
        <v>6</v>
      </c>
      <c r="M1942" s="1">
        <v>2200000</v>
      </c>
      <c r="N1942">
        <v>4.7</v>
      </c>
      <c r="O1942">
        <v>6</v>
      </c>
      <c r="P1942" s="2" t="s">
        <v>26</v>
      </c>
    </row>
    <row r="1943" spans="1:16" x14ac:dyDescent="0.25">
      <c r="A1943" s="2" t="s">
        <v>6810</v>
      </c>
      <c r="B1943" s="2" t="s">
        <v>1253</v>
      </c>
      <c r="C1943" s="2" t="s">
        <v>29</v>
      </c>
      <c r="D1943" s="2" t="s">
        <v>79</v>
      </c>
      <c r="E1943" s="2" t="s">
        <v>20</v>
      </c>
      <c r="F1943" s="2" t="s">
        <v>32</v>
      </c>
      <c r="G1943" s="2" t="s">
        <v>22</v>
      </c>
      <c r="H1943" s="2" t="s">
        <v>23</v>
      </c>
      <c r="I1943" s="2" t="s">
        <v>57</v>
      </c>
      <c r="J1943" s="2" t="s">
        <v>2213</v>
      </c>
      <c r="K1943" s="2" t="s">
        <v>3555</v>
      </c>
      <c r="L1943">
        <v>3</v>
      </c>
      <c r="M1943" s="1">
        <v>195000</v>
      </c>
      <c r="N1943">
        <v>4.5</v>
      </c>
      <c r="O1943">
        <v>3</v>
      </c>
      <c r="P1943" s="2" t="s">
        <v>114</v>
      </c>
    </row>
    <row r="1944" spans="1:16" x14ac:dyDescent="0.25">
      <c r="A1944" s="2" t="s">
        <v>6811</v>
      </c>
      <c r="B1944" s="2" t="s">
        <v>4460</v>
      </c>
      <c r="C1944" s="2" t="s">
        <v>18</v>
      </c>
      <c r="D1944" s="2" t="s">
        <v>19</v>
      </c>
      <c r="E1944" s="2" t="s">
        <v>20</v>
      </c>
      <c r="F1944" s="2" t="s">
        <v>21</v>
      </c>
      <c r="G1944" s="2" t="s">
        <v>22</v>
      </c>
      <c r="H1944" s="2" t="s">
        <v>46</v>
      </c>
      <c r="I1944" s="2" t="s">
        <v>57</v>
      </c>
      <c r="J1944" s="2" t="s">
        <v>487</v>
      </c>
      <c r="K1944" s="2" t="s">
        <v>6815</v>
      </c>
      <c r="L1944">
        <v>2</v>
      </c>
      <c r="M1944" s="1">
        <v>873000</v>
      </c>
      <c r="N1944">
        <v>4</v>
      </c>
      <c r="O1944">
        <v>37</v>
      </c>
      <c r="P1944" s="2" t="s">
        <v>26</v>
      </c>
    </row>
    <row r="1945" spans="1:16" x14ac:dyDescent="0.25">
      <c r="A1945" s="2" t="s">
        <v>6813</v>
      </c>
      <c r="B1945" s="2" t="s">
        <v>6814</v>
      </c>
      <c r="C1945" s="2" t="s">
        <v>18</v>
      </c>
      <c r="D1945" s="2" t="s">
        <v>30</v>
      </c>
      <c r="E1945" s="2" t="s">
        <v>20</v>
      </c>
      <c r="F1945" s="2" t="s">
        <v>32</v>
      </c>
      <c r="G1945" s="2" t="s">
        <v>80</v>
      </c>
      <c r="H1945" s="2" t="s">
        <v>34</v>
      </c>
      <c r="I1945" s="2" t="s">
        <v>35</v>
      </c>
      <c r="J1945" s="2" t="s">
        <v>4605</v>
      </c>
      <c r="K1945" s="2" t="s">
        <v>6815</v>
      </c>
      <c r="L1945">
        <v>2</v>
      </c>
      <c r="M1945" s="1">
        <v>345000</v>
      </c>
      <c r="N1945">
        <v>2.2999999999999998</v>
      </c>
      <c r="O1945">
        <v>28</v>
      </c>
      <c r="P1945" s="2" t="s">
        <v>53</v>
      </c>
    </row>
    <row r="1946" spans="1:16" x14ac:dyDescent="0.25">
      <c r="A1946" s="2" t="s">
        <v>6816</v>
      </c>
      <c r="B1946" s="2" t="s">
        <v>1676</v>
      </c>
      <c r="C1946" s="2" t="s">
        <v>29</v>
      </c>
      <c r="D1946" s="2" t="s">
        <v>79</v>
      </c>
      <c r="E1946" s="2" t="s">
        <v>20</v>
      </c>
      <c r="F1946" s="2" t="s">
        <v>128</v>
      </c>
      <c r="G1946" s="2" t="s">
        <v>80</v>
      </c>
      <c r="H1946" s="2" t="s">
        <v>34</v>
      </c>
      <c r="I1946" s="2" t="s">
        <v>35</v>
      </c>
      <c r="J1946" s="2" t="s">
        <v>3472</v>
      </c>
      <c r="K1946" s="2" t="s">
        <v>6822</v>
      </c>
      <c r="L1946">
        <v>4</v>
      </c>
      <c r="M1946" s="1">
        <v>360000</v>
      </c>
      <c r="N1946">
        <v>4.4000000000000004</v>
      </c>
      <c r="O1946">
        <v>9</v>
      </c>
      <c r="P1946" s="2" t="s">
        <v>26</v>
      </c>
    </row>
    <row r="1947" spans="1:16" x14ac:dyDescent="0.25">
      <c r="A1947" s="2" t="s">
        <v>6818</v>
      </c>
      <c r="B1947" s="2" t="s">
        <v>6819</v>
      </c>
      <c r="C1947" s="2" t="s">
        <v>18</v>
      </c>
      <c r="D1947" s="2" t="s">
        <v>43</v>
      </c>
      <c r="E1947" s="2" t="s">
        <v>20</v>
      </c>
      <c r="F1947" s="2" t="s">
        <v>128</v>
      </c>
      <c r="G1947" s="2" t="s">
        <v>80</v>
      </c>
      <c r="H1947" s="2" t="s">
        <v>23</v>
      </c>
      <c r="I1947" s="2" t="s">
        <v>35</v>
      </c>
      <c r="J1947" s="2" t="s">
        <v>2230</v>
      </c>
      <c r="K1947" s="2" t="s">
        <v>6822</v>
      </c>
      <c r="L1947">
        <v>5</v>
      </c>
      <c r="M1947" s="1">
        <v>453000</v>
      </c>
      <c r="N1947">
        <v>3.2</v>
      </c>
      <c r="O1947">
        <v>19</v>
      </c>
      <c r="P1947" s="2" t="s">
        <v>26</v>
      </c>
    </row>
    <row r="1948" spans="1:16" x14ac:dyDescent="0.25">
      <c r="A1948" s="2" t="s">
        <v>6820</v>
      </c>
      <c r="B1948" s="2" t="s">
        <v>5073</v>
      </c>
      <c r="C1948" s="2" t="s">
        <v>29</v>
      </c>
      <c r="D1948" s="2" t="s">
        <v>50</v>
      </c>
      <c r="E1948" s="2" t="s">
        <v>20</v>
      </c>
      <c r="F1948" s="2" t="s">
        <v>32</v>
      </c>
      <c r="G1948" s="2" t="s">
        <v>80</v>
      </c>
      <c r="H1948" s="2" t="s">
        <v>62</v>
      </c>
      <c r="I1948" s="2" t="s">
        <v>57</v>
      </c>
      <c r="J1948" s="2" t="s">
        <v>6821</v>
      </c>
      <c r="K1948" s="2" t="s">
        <v>6822</v>
      </c>
      <c r="L1948">
        <v>4</v>
      </c>
      <c r="M1948" s="1">
        <v>234000</v>
      </c>
      <c r="N1948">
        <v>3.2</v>
      </c>
      <c r="O1948">
        <v>9</v>
      </c>
      <c r="P1948" s="2" t="s">
        <v>72</v>
      </c>
    </row>
    <row r="1949" spans="1:16" x14ac:dyDescent="0.25">
      <c r="A1949" s="2" t="s">
        <v>6823</v>
      </c>
      <c r="B1949" s="2" t="s">
        <v>5772</v>
      </c>
      <c r="C1949" s="2" t="s">
        <v>18</v>
      </c>
      <c r="D1949" s="2" t="s">
        <v>19</v>
      </c>
      <c r="E1949" s="2" t="s">
        <v>20</v>
      </c>
      <c r="F1949" s="2" t="s">
        <v>39</v>
      </c>
      <c r="G1949" s="2" t="s">
        <v>22</v>
      </c>
      <c r="H1949" s="2" t="s">
        <v>46</v>
      </c>
      <c r="I1949" s="2" t="s">
        <v>57</v>
      </c>
      <c r="J1949" s="2" t="s">
        <v>2551</v>
      </c>
      <c r="K1949" s="2" t="s">
        <v>239</v>
      </c>
      <c r="L1949">
        <v>5</v>
      </c>
      <c r="M1949" s="1">
        <v>163000</v>
      </c>
      <c r="N1949">
        <v>2.8</v>
      </c>
      <c r="O1949">
        <v>2</v>
      </c>
      <c r="P1949" s="2" t="s">
        <v>26</v>
      </c>
    </row>
    <row r="1950" spans="1:16" x14ac:dyDescent="0.25">
      <c r="A1950" s="2" t="s">
        <v>6826</v>
      </c>
      <c r="B1950" s="2" t="s">
        <v>6827</v>
      </c>
      <c r="C1950" s="2" t="s">
        <v>18</v>
      </c>
      <c r="D1950" s="2" t="s">
        <v>43</v>
      </c>
      <c r="E1950" s="2" t="s">
        <v>20</v>
      </c>
      <c r="F1950" s="2" t="s">
        <v>39</v>
      </c>
      <c r="G1950" s="2" t="s">
        <v>22</v>
      </c>
      <c r="H1950" s="2" t="s">
        <v>46</v>
      </c>
      <c r="I1950" s="2" t="s">
        <v>57</v>
      </c>
      <c r="J1950" s="2" t="s">
        <v>2433</v>
      </c>
      <c r="K1950" s="2" t="s">
        <v>239</v>
      </c>
      <c r="L1950">
        <v>4</v>
      </c>
      <c r="M1950" s="1">
        <v>142000</v>
      </c>
      <c r="N1950">
        <v>2.1</v>
      </c>
      <c r="O1950">
        <v>18</v>
      </c>
      <c r="P1950" s="2" t="s">
        <v>26</v>
      </c>
    </row>
    <row r="1951" spans="1:16" x14ac:dyDescent="0.25">
      <c r="A1951" s="2" t="s">
        <v>6828</v>
      </c>
      <c r="B1951" s="2" t="s">
        <v>1608</v>
      </c>
      <c r="C1951" s="2" t="s">
        <v>29</v>
      </c>
      <c r="D1951" s="2" t="s">
        <v>30</v>
      </c>
      <c r="E1951" s="2" t="s">
        <v>20</v>
      </c>
      <c r="F1951" s="2" t="s">
        <v>21</v>
      </c>
      <c r="G1951" s="2" t="s">
        <v>22</v>
      </c>
      <c r="H1951" s="2" t="s">
        <v>23</v>
      </c>
      <c r="I1951" s="2" t="s">
        <v>35</v>
      </c>
      <c r="J1951" s="2" t="s">
        <v>1997</v>
      </c>
      <c r="K1951" s="2" t="s">
        <v>239</v>
      </c>
      <c r="L1951">
        <v>3</v>
      </c>
      <c r="M1951" s="1">
        <v>923000</v>
      </c>
      <c r="N1951">
        <v>5</v>
      </c>
      <c r="O1951">
        <v>14</v>
      </c>
      <c r="P1951" s="2" t="s">
        <v>53</v>
      </c>
    </row>
    <row r="1952" spans="1:16" x14ac:dyDescent="0.25">
      <c r="A1952" s="2" t="s">
        <v>6831</v>
      </c>
      <c r="B1952" s="2" t="s">
        <v>6006</v>
      </c>
      <c r="C1952" s="2" t="s">
        <v>18</v>
      </c>
      <c r="D1952" s="2" t="s">
        <v>43</v>
      </c>
      <c r="E1952" s="2" t="s">
        <v>44</v>
      </c>
      <c r="F1952" s="2" t="s">
        <v>39</v>
      </c>
      <c r="G1952" s="2" t="s">
        <v>33</v>
      </c>
      <c r="H1952" s="2" t="s">
        <v>23</v>
      </c>
      <c r="I1952" s="2" t="s">
        <v>57</v>
      </c>
      <c r="J1952" s="2" t="s">
        <v>2189</v>
      </c>
      <c r="K1952" s="2" t="s">
        <v>6832</v>
      </c>
      <c r="L1952">
        <v>3</v>
      </c>
      <c r="M1952" s="1">
        <v>154000</v>
      </c>
      <c r="N1952">
        <v>3.4</v>
      </c>
      <c r="O1952">
        <v>34</v>
      </c>
      <c r="P1952" s="2" t="s">
        <v>72</v>
      </c>
    </row>
    <row r="1953" spans="1:16" x14ac:dyDescent="0.25">
      <c r="A1953" s="2" t="s">
        <v>6833</v>
      </c>
      <c r="B1953" s="2" t="s">
        <v>5369</v>
      </c>
      <c r="C1953" s="2" t="s">
        <v>29</v>
      </c>
      <c r="D1953" s="2" t="s">
        <v>50</v>
      </c>
      <c r="E1953" s="2" t="s">
        <v>20</v>
      </c>
      <c r="F1953" s="2" t="s">
        <v>39</v>
      </c>
      <c r="G1953" s="2" t="s">
        <v>22</v>
      </c>
      <c r="H1953" s="2" t="s">
        <v>34</v>
      </c>
      <c r="I1953" s="2" t="s">
        <v>24</v>
      </c>
      <c r="J1953" s="2" t="s">
        <v>748</v>
      </c>
      <c r="K1953" s="2" t="s">
        <v>411</v>
      </c>
      <c r="L1953">
        <v>5</v>
      </c>
      <c r="M1953" s="1">
        <v>113000</v>
      </c>
      <c r="N1953">
        <v>2.6</v>
      </c>
      <c r="O1953">
        <v>31</v>
      </c>
      <c r="P1953" s="2" t="s">
        <v>26</v>
      </c>
    </row>
    <row r="1954" spans="1:16" x14ac:dyDescent="0.25">
      <c r="A1954" s="2" t="s">
        <v>6834</v>
      </c>
      <c r="B1954" s="2" t="s">
        <v>4468</v>
      </c>
      <c r="C1954" s="2" t="s">
        <v>18</v>
      </c>
      <c r="D1954" s="2" t="s">
        <v>50</v>
      </c>
      <c r="E1954" s="2" t="s">
        <v>20</v>
      </c>
      <c r="F1954" s="2" t="s">
        <v>32</v>
      </c>
      <c r="G1954" s="2" t="s">
        <v>22</v>
      </c>
      <c r="H1954" s="2" t="s">
        <v>46</v>
      </c>
      <c r="I1954" s="2" t="s">
        <v>57</v>
      </c>
      <c r="J1954" s="2" t="s">
        <v>1003</v>
      </c>
      <c r="K1954" s="2" t="s">
        <v>411</v>
      </c>
      <c r="L1954">
        <v>3</v>
      </c>
      <c r="M1954" s="1">
        <v>345000</v>
      </c>
      <c r="N1954">
        <v>3</v>
      </c>
      <c r="O1954">
        <v>13</v>
      </c>
      <c r="P1954" s="2" t="s">
        <v>26</v>
      </c>
    </row>
    <row r="1955" spans="1:16" x14ac:dyDescent="0.25">
      <c r="A1955" s="2" t="s">
        <v>6838</v>
      </c>
      <c r="B1955" s="2" t="s">
        <v>2801</v>
      </c>
      <c r="C1955" s="2" t="s">
        <v>18</v>
      </c>
      <c r="D1955" s="2" t="s">
        <v>50</v>
      </c>
      <c r="E1955" s="2" t="s">
        <v>20</v>
      </c>
      <c r="F1955" s="2" t="s">
        <v>128</v>
      </c>
      <c r="G1955" s="2" t="s">
        <v>22</v>
      </c>
      <c r="H1955" s="2" t="s">
        <v>34</v>
      </c>
      <c r="I1955" s="2" t="s">
        <v>35</v>
      </c>
      <c r="J1955" s="2" t="s">
        <v>6514</v>
      </c>
      <c r="K1955" s="2" t="s">
        <v>411</v>
      </c>
      <c r="L1955">
        <v>6</v>
      </c>
      <c r="M1955" s="1">
        <v>429000</v>
      </c>
      <c r="N1955">
        <v>4.3</v>
      </c>
      <c r="O1955">
        <v>3</v>
      </c>
      <c r="P1955" s="2" t="s">
        <v>26</v>
      </c>
    </row>
    <row r="1956" spans="1:16" x14ac:dyDescent="0.25">
      <c r="A1956" s="2" t="s">
        <v>6839</v>
      </c>
      <c r="B1956" s="2" t="s">
        <v>1639</v>
      </c>
      <c r="C1956" s="2" t="s">
        <v>18</v>
      </c>
      <c r="D1956" s="2" t="s">
        <v>50</v>
      </c>
      <c r="E1956" s="2" t="s">
        <v>44</v>
      </c>
      <c r="F1956" s="2" t="s">
        <v>32</v>
      </c>
      <c r="G1956" s="2" t="s">
        <v>80</v>
      </c>
      <c r="H1956" s="2" t="s">
        <v>23</v>
      </c>
      <c r="I1956" s="2" t="s">
        <v>24</v>
      </c>
      <c r="J1956" s="2" t="s">
        <v>159</v>
      </c>
      <c r="K1956" s="2" t="s">
        <v>411</v>
      </c>
      <c r="L1956">
        <v>2</v>
      </c>
      <c r="M1956" s="1">
        <v>308000</v>
      </c>
      <c r="N1956">
        <v>3.5</v>
      </c>
      <c r="O1956">
        <v>3</v>
      </c>
      <c r="P1956" s="2" t="s">
        <v>26</v>
      </c>
    </row>
    <row r="1957" spans="1:16" x14ac:dyDescent="0.25">
      <c r="A1957" s="2" t="s">
        <v>6840</v>
      </c>
      <c r="B1957" s="2" t="s">
        <v>3934</v>
      </c>
      <c r="C1957" s="2" t="s">
        <v>29</v>
      </c>
      <c r="D1957" s="2" t="s">
        <v>50</v>
      </c>
      <c r="E1957" s="2" t="s">
        <v>20</v>
      </c>
      <c r="F1957" s="2" t="s">
        <v>39</v>
      </c>
      <c r="G1957" s="2" t="s">
        <v>33</v>
      </c>
      <c r="H1957" s="2" t="s">
        <v>34</v>
      </c>
      <c r="I1957" s="2" t="s">
        <v>75</v>
      </c>
      <c r="J1957" s="2" t="s">
        <v>3809</v>
      </c>
      <c r="K1957" s="2" t="s">
        <v>411</v>
      </c>
      <c r="L1957">
        <v>5</v>
      </c>
      <c r="M1957" s="1">
        <v>112000</v>
      </c>
      <c r="N1957">
        <v>2.2999999999999998</v>
      </c>
      <c r="O1957">
        <v>1</v>
      </c>
      <c r="P1957" s="2" t="s">
        <v>53</v>
      </c>
    </row>
    <row r="1958" spans="1:16" x14ac:dyDescent="0.25">
      <c r="A1958" s="2" t="s">
        <v>6841</v>
      </c>
      <c r="B1958" s="2" t="s">
        <v>2527</v>
      </c>
      <c r="C1958" s="2" t="s">
        <v>18</v>
      </c>
      <c r="D1958" s="2" t="s">
        <v>43</v>
      </c>
      <c r="E1958" s="2" t="s">
        <v>20</v>
      </c>
      <c r="F1958" s="2" t="s">
        <v>32</v>
      </c>
      <c r="G1958" s="2" t="s">
        <v>22</v>
      </c>
      <c r="H1958" s="2" t="s">
        <v>23</v>
      </c>
      <c r="I1958" s="2" t="s">
        <v>24</v>
      </c>
      <c r="J1958" s="2" t="s">
        <v>235</v>
      </c>
      <c r="K1958" s="2" t="s">
        <v>6843</v>
      </c>
      <c r="L1958">
        <v>3</v>
      </c>
      <c r="M1958" s="1">
        <v>237000</v>
      </c>
      <c r="N1958">
        <v>2.5</v>
      </c>
      <c r="O1958">
        <v>6</v>
      </c>
      <c r="P1958" s="2" t="s">
        <v>26</v>
      </c>
    </row>
    <row r="1959" spans="1:16" x14ac:dyDescent="0.25">
      <c r="A1959" s="2" t="s">
        <v>6842</v>
      </c>
      <c r="B1959" s="2" t="s">
        <v>4413</v>
      </c>
      <c r="C1959" s="2" t="s">
        <v>29</v>
      </c>
      <c r="D1959" s="2" t="s">
        <v>50</v>
      </c>
      <c r="E1959" s="2" t="s">
        <v>20</v>
      </c>
      <c r="F1959" s="2" t="s">
        <v>39</v>
      </c>
      <c r="G1959" s="2" t="s">
        <v>22</v>
      </c>
      <c r="H1959" s="2" t="s">
        <v>23</v>
      </c>
      <c r="I1959" s="2" t="s">
        <v>35</v>
      </c>
      <c r="J1959" s="2" t="s">
        <v>6011</v>
      </c>
      <c r="K1959" s="2" t="s">
        <v>6843</v>
      </c>
      <c r="L1959">
        <v>5</v>
      </c>
      <c r="M1959" s="1">
        <v>159000</v>
      </c>
      <c r="N1959">
        <v>3.9</v>
      </c>
      <c r="O1959">
        <v>7</v>
      </c>
      <c r="P1959" s="2" t="s">
        <v>72</v>
      </c>
    </row>
    <row r="1960" spans="1:16" x14ac:dyDescent="0.25">
      <c r="A1960" s="2" t="s">
        <v>6848</v>
      </c>
      <c r="B1960" s="2" t="s">
        <v>6849</v>
      </c>
      <c r="C1960" s="2" t="s">
        <v>18</v>
      </c>
      <c r="D1960" s="2" t="s">
        <v>50</v>
      </c>
      <c r="E1960" s="2" t="s">
        <v>20</v>
      </c>
      <c r="F1960" s="2" t="s">
        <v>39</v>
      </c>
      <c r="G1960" s="2" t="s">
        <v>22</v>
      </c>
      <c r="H1960" s="2" t="s">
        <v>46</v>
      </c>
      <c r="I1960" s="2" t="s">
        <v>24</v>
      </c>
      <c r="J1960" s="2" t="s">
        <v>6850</v>
      </c>
      <c r="K1960" s="2" t="s">
        <v>520</v>
      </c>
      <c r="L1960">
        <v>3</v>
      </c>
      <c r="M1960" s="1">
        <v>157000</v>
      </c>
      <c r="N1960">
        <v>4.8</v>
      </c>
      <c r="O1960">
        <v>10</v>
      </c>
      <c r="P1960" s="2" t="s">
        <v>114</v>
      </c>
    </row>
    <row r="1961" spans="1:16" x14ac:dyDescent="0.25">
      <c r="A1961" s="2" t="s">
        <v>6851</v>
      </c>
      <c r="B1961" s="2" t="s">
        <v>6852</v>
      </c>
      <c r="C1961" s="2" t="s">
        <v>29</v>
      </c>
      <c r="D1961" s="2" t="s">
        <v>79</v>
      </c>
      <c r="E1961" s="2" t="s">
        <v>31</v>
      </c>
      <c r="F1961" s="2" t="s">
        <v>128</v>
      </c>
      <c r="G1961" s="2" t="s">
        <v>33</v>
      </c>
      <c r="H1961" s="2" t="s">
        <v>23</v>
      </c>
      <c r="I1961" s="2" t="s">
        <v>57</v>
      </c>
      <c r="J1961" s="2" t="s">
        <v>411</v>
      </c>
      <c r="K1961" s="2" t="s">
        <v>2499</v>
      </c>
      <c r="L1961">
        <v>4</v>
      </c>
      <c r="M1961" s="1">
        <v>519000</v>
      </c>
      <c r="N1961">
        <v>2.2000000000000002</v>
      </c>
      <c r="O1961">
        <v>1</v>
      </c>
      <c r="P1961" s="2" t="s">
        <v>53</v>
      </c>
    </row>
    <row r="1962" spans="1:16" x14ac:dyDescent="0.25">
      <c r="A1962" s="2" t="s">
        <v>6853</v>
      </c>
      <c r="B1962" s="2" t="s">
        <v>2371</v>
      </c>
      <c r="C1962" s="2" t="s">
        <v>29</v>
      </c>
      <c r="D1962" s="2" t="s">
        <v>19</v>
      </c>
      <c r="E1962" s="2" t="s">
        <v>20</v>
      </c>
      <c r="F1962" s="2" t="s">
        <v>128</v>
      </c>
      <c r="G1962" s="2" t="s">
        <v>22</v>
      </c>
      <c r="H1962" s="2" t="s">
        <v>23</v>
      </c>
      <c r="I1962" s="2" t="s">
        <v>24</v>
      </c>
      <c r="J1962" s="2" t="s">
        <v>360</v>
      </c>
      <c r="K1962" s="2" t="s">
        <v>4595</v>
      </c>
      <c r="L1962">
        <v>2</v>
      </c>
      <c r="M1962" s="1">
        <v>493000</v>
      </c>
      <c r="N1962">
        <v>4.0999999999999996</v>
      </c>
      <c r="O1962">
        <v>32</v>
      </c>
      <c r="P1962" s="2" t="s">
        <v>26</v>
      </c>
    </row>
    <row r="1963" spans="1:16" x14ac:dyDescent="0.25">
      <c r="A1963" s="2" t="s">
        <v>6854</v>
      </c>
      <c r="B1963" s="2" t="s">
        <v>5569</v>
      </c>
      <c r="C1963" s="2" t="s">
        <v>29</v>
      </c>
      <c r="D1963" s="2" t="s">
        <v>30</v>
      </c>
      <c r="E1963" s="2" t="s">
        <v>20</v>
      </c>
      <c r="F1963" s="2" t="s">
        <v>39</v>
      </c>
      <c r="G1963" s="2" t="s">
        <v>22</v>
      </c>
      <c r="H1963" s="2" t="s">
        <v>23</v>
      </c>
      <c r="I1963" s="2" t="s">
        <v>35</v>
      </c>
      <c r="J1963" s="2" t="s">
        <v>3172</v>
      </c>
      <c r="K1963" s="2" t="s">
        <v>4595</v>
      </c>
      <c r="L1963">
        <v>2</v>
      </c>
      <c r="M1963" s="1">
        <v>89000</v>
      </c>
      <c r="N1963">
        <v>3.1</v>
      </c>
      <c r="O1963">
        <v>1</v>
      </c>
      <c r="P1963" s="2" t="s">
        <v>26</v>
      </c>
    </row>
    <row r="1964" spans="1:16" x14ac:dyDescent="0.25">
      <c r="A1964" s="2" t="s">
        <v>6855</v>
      </c>
      <c r="B1964" s="2" t="s">
        <v>6856</v>
      </c>
      <c r="C1964" s="2" t="s">
        <v>29</v>
      </c>
      <c r="D1964" s="2" t="s">
        <v>43</v>
      </c>
      <c r="E1964" s="2" t="s">
        <v>44</v>
      </c>
      <c r="F1964" s="2" t="s">
        <v>128</v>
      </c>
      <c r="G1964" s="2" t="s">
        <v>22</v>
      </c>
      <c r="H1964" s="2" t="s">
        <v>46</v>
      </c>
      <c r="I1964" s="2" t="s">
        <v>24</v>
      </c>
      <c r="J1964" s="2" t="s">
        <v>1550</v>
      </c>
      <c r="K1964" s="2" t="s">
        <v>4595</v>
      </c>
      <c r="L1964">
        <v>3</v>
      </c>
      <c r="M1964" s="1">
        <v>416000</v>
      </c>
      <c r="N1964">
        <v>2.1</v>
      </c>
      <c r="O1964">
        <v>6</v>
      </c>
      <c r="P1964" s="2" t="s">
        <v>72</v>
      </c>
    </row>
    <row r="1965" spans="1:16" x14ac:dyDescent="0.25">
      <c r="A1965" s="2" t="s">
        <v>6857</v>
      </c>
      <c r="B1965" s="2" t="s">
        <v>421</v>
      </c>
      <c r="C1965" s="2" t="s">
        <v>18</v>
      </c>
      <c r="D1965" s="2" t="s">
        <v>79</v>
      </c>
      <c r="E1965" s="2" t="s">
        <v>20</v>
      </c>
      <c r="F1965" s="2" t="s">
        <v>32</v>
      </c>
      <c r="G1965" s="2" t="s">
        <v>22</v>
      </c>
      <c r="H1965" s="2" t="s">
        <v>34</v>
      </c>
      <c r="I1965" s="2" t="s">
        <v>171</v>
      </c>
      <c r="J1965" s="2" t="s">
        <v>5382</v>
      </c>
      <c r="K1965" s="2" t="s">
        <v>3330</v>
      </c>
      <c r="L1965">
        <v>6</v>
      </c>
      <c r="M1965" s="1">
        <v>291000</v>
      </c>
      <c r="N1965">
        <v>4.7</v>
      </c>
      <c r="O1965">
        <v>7</v>
      </c>
      <c r="P1965" s="2" t="s">
        <v>72</v>
      </c>
    </row>
    <row r="1966" spans="1:16" x14ac:dyDescent="0.25">
      <c r="A1966" s="2" t="s">
        <v>6860</v>
      </c>
      <c r="B1966" s="2" t="s">
        <v>6861</v>
      </c>
      <c r="C1966" s="2" t="s">
        <v>29</v>
      </c>
      <c r="D1966" s="2" t="s">
        <v>50</v>
      </c>
      <c r="E1966" s="2" t="s">
        <v>20</v>
      </c>
      <c r="F1966" s="2" t="s">
        <v>21</v>
      </c>
      <c r="G1966" s="2" t="s">
        <v>80</v>
      </c>
      <c r="H1966" s="2" t="s">
        <v>34</v>
      </c>
      <c r="I1966" s="2" t="s">
        <v>35</v>
      </c>
      <c r="J1966" s="2" t="s">
        <v>2499</v>
      </c>
      <c r="K1966" s="2" t="s">
        <v>6877</v>
      </c>
      <c r="L1966">
        <v>3</v>
      </c>
      <c r="M1966" s="1">
        <v>926000</v>
      </c>
      <c r="N1966">
        <v>3.4</v>
      </c>
      <c r="O1966">
        <v>6</v>
      </c>
      <c r="P1966" s="2" t="s">
        <v>26</v>
      </c>
    </row>
    <row r="1967" spans="1:16" x14ac:dyDescent="0.25">
      <c r="A1967" s="2" t="s">
        <v>6865</v>
      </c>
      <c r="B1967" s="2" t="s">
        <v>2659</v>
      </c>
      <c r="C1967" s="2" t="s">
        <v>29</v>
      </c>
      <c r="D1967" s="2" t="s">
        <v>50</v>
      </c>
      <c r="E1967" s="2" t="s">
        <v>44</v>
      </c>
      <c r="F1967" s="2" t="s">
        <v>128</v>
      </c>
      <c r="G1967" s="2" t="s">
        <v>80</v>
      </c>
      <c r="H1967" s="2" t="s">
        <v>34</v>
      </c>
      <c r="I1967" s="2" t="s">
        <v>57</v>
      </c>
      <c r="J1967" s="2" t="s">
        <v>5954</v>
      </c>
      <c r="K1967" s="2" t="s">
        <v>6877</v>
      </c>
      <c r="L1967">
        <v>6</v>
      </c>
      <c r="M1967" s="1">
        <v>588000</v>
      </c>
      <c r="N1967">
        <v>2.4</v>
      </c>
      <c r="O1967">
        <v>4</v>
      </c>
      <c r="P1967" s="2" t="s">
        <v>26</v>
      </c>
    </row>
    <row r="1968" spans="1:16" x14ac:dyDescent="0.25">
      <c r="A1968" s="2" t="s">
        <v>6871</v>
      </c>
      <c r="B1968" s="2" t="s">
        <v>6872</v>
      </c>
      <c r="C1968" s="2" t="s">
        <v>18</v>
      </c>
      <c r="D1968" s="2" t="s">
        <v>19</v>
      </c>
      <c r="E1968" s="2" t="s">
        <v>20</v>
      </c>
      <c r="F1968" s="2" t="s">
        <v>39</v>
      </c>
      <c r="G1968" s="2" t="s">
        <v>80</v>
      </c>
      <c r="H1968" s="2" t="s">
        <v>23</v>
      </c>
      <c r="I1968" s="2" t="s">
        <v>75</v>
      </c>
      <c r="J1968" s="2" t="s">
        <v>2799</v>
      </c>
      <c r="K1968" s="2" t="s">
        <v>6877</v>
      </c>
      <c r="L1968">
        <v>3</v>
      </c>
      <c r="M1968" s="1">
        <v>98000</v>
      </c>
      <c r="N1968">
        <v>4.2</v>
      </c>
      <c r="O1968">
        <v>6</v>
      </c>
      <c r="P1968" s="2" t="s">
        <v>26</v>
      </c>
    </row>
    <row r="1969" spans="1:16" x14ac:dyDescent="0.25">
      <c r="A1969" s="2" t="s">
        <v>6875</v>
      </c>
      <c r="B1969" s="2" t="s">
        <v>3610</v>
      </c>
      <c r="C1969" s="2" t="s">
        <v>18</v>
      </c>
      <c r="D1969" s="2" t="s">
        <v>50</v>
      </c>
      <c r="E1969" s="2" t="s">
        <v>44</v>
      </c>
      <c r="F1969" s="2" t="s">
        <v>128</v>
      </c>
      <c r="G1969" s="2" t="s">
        <v>22</v>
      </c>
      <c r="H1969" s="2" t="s">
        <v>34</v>
      </c>
      <c r="I1969" s="2" t="s">
        <v>24</v>
      </c>
      <c r="J1969" s="2" t="s">
        <v>4192</v>
      </c>
      <c r="K1969" s="2" t="s">
        <v>6877</v>
      </c>
      <c r="L1969">
        <v>6</v>
      </c>
      <c r="M1969" s="1">
        <v>551000</v>
      </c>
      <c r="N1969">
        <v>4.9000000000000004</v>
      </c>
      <c r="O1969">
        <v>7</v>
      </c>
      <c r="P1969" s="2" t="s">
        <v>53</v>
      </c>
    </row>
    <row r="1970" spans="1:16" x14ac:dyDescent="0.25">
      <c r="A1970" s="2" t="s">
        <v>6876</v>
      </c>
      <c r="B1970" s="2" t="s">
        <v>2046</v>
      </c>
      <c r="C1970" s="2" t="s">
        <v>29</v>
      </c>
      <c r="D1970" s="2" t="s">
        <v>30</v>
      </c>
      <c r="E1970" s="2" t="s">
        <v>44</v>
      </c>
      <c r="F1970" s="2" t="s">
        <v>32</v>
      </c>
      <c r="G1970" s="2" t="s">
        <v>33</v>
      </c>
      <c r="H1970" s="2" t="s">
        <v>46</v>
      </c>
      <c r="I1970" s="2" t="s">
        <v>24</v>
      </c>
      <c r="J1970" s="2" t="s">
        <v>693</v>
      </c>
      <c r="K1970" s="2" t="s">
        <v>6877</v>
      </c>
      <c r="L1970">
        <v>2</v>
      </c>
      <c r="M1970" s="1">
        <v>274000</v>
      </c>
      <c r="N1970">
        <v>2.4</v>
      </c>
      <c r="O1970">
        <v>34</v>
      </c>
      <c r="P1970" s="2" t="s">
        <v>53</v>
      </c>
    </row>
    <row r="1971" spans="1:16" x14ac:dyDescent="0.25">
      <c r="A1971" s="2" t="s">
        <v>6879</v>
      </c>
      <c r="B1971" s="2" t="s">
        <v>6880</v>
      </c>
      <c r="C1971" s="2" t="s">
        <v>18</v>
      </c>
      <c r="D1971" s="2" t="s">
        <v>862</v>
      </c>
      <c r="E1971" s="2" t="s">
        <v>20</v>
      </c>
      <c r="F1971" s="2" t="s">
        <v>39</v>
      </c>
      <c r="G1971" s="2" t="s">
        <v>80</v>
      </c>
      <c r="H1971" s="2" t="s">
        <v>34</v>
      </c>
      <c r="I1971" s="2" t="s">
        <v>57</v>
      </c>
      <c r="J1971" s="2" t="s">
        <v>755</v>
      </c>
      <c r="K1971" s="2" t="s">
        <v>3048</v>
      </c>
      <c r="L1971">
        <v>3</v>
      </c>
      <c r="M1971" s="1">
        <v>164000</v>
      </c>
      <c r="N1971">
        <v>2.7</v>
      </c>
      <c r="O1971">
        <v>10</v>
      </c>
      <c r="P1971" s="2" t="s">
        <v>26</v>
      </c>
    </row>
    <row r="1972" spans="1:16" x14ac:dyDescent="0.25">
      <c r="A1972" s="2" t="s">
        <v>6881</v>
      </c>
      <c r="B1972" s="2" t="s">
        <v>38</v>
      </c>
      <c r="C1972" s="2" t="s">
        <v>18</v>
      </c>
      <c r="D1972" s="2" t="s">
        <v>30</v>
      </c>
      <c r="E1972" s="2" t="s">
        <v>20</v>
      </c>
      <c r="F1972" s="2" t="s">
        <v>32</v>
      </c>
      <c r="G1972" s="2" t="s">
        <v>22</v>
      </c>
      <c r="H1972" s="2" t="s">
        <v>62</v>
      </c>
      <c r="I1972" s="2" t="s">
        <v>35</v>
      </c>
      <c r="J1972" s="2" t="s">
        <v>1665</v>
      </c>
      <c r="K1972" s="2" t="s">
        <v>3048</v>
      </c>
      <c r="L1972">
        <v>3</v>
      </c>
      <c r="M1972" s="1">
        <v>220000</v>
      </c>
      <c r="N1972">
        <v>1.8</v>
      </c>
      <c r="O1972">
        <v>11</v>
      </c>
      <c r="P1972" s="2" t="s">
        <v>26</v>
      </c>
    </row>
    <row r="1973" spans="1:16" x14ac:dyDescent="0.25">
      <c r="A1973" s="2" t="s">
        <v>6885</v>
      </c>
      <c r="B1973" s="2" t="s">
        <v>6200</v>
      </c>
      <c r="C1973" s="2" t="s">
        <v>29</v>
      </c>
      <c r="D1973" s="2" t="s">
        <v>50</v>
      </c>
      <c r="E1973" s="2" t="s">
        <v>20</v>
      </c>
      <c r="F1973" s="2" t="s">
        <v>39</v>
      </c>
      <c r="G1973" s="2" t="s">
        <v>22</v>
      </c>
      <c r="H1973" s="2" t="s">
        <v>34</v>
      </c>
      <c r="I1973" s="2" t="s">
        <v>24</v>
      </c>
      <c r="J1973" s="2" t="s">
        <v>4543</v>
      </c>
      <c r="K1973" s="2" t="s">
        <v>3048</v>
      </c>
      <c r="L1973">
        <v>4</v>
      </c>
      <c r="M1973" s="1">
        <v>152000</v>
      </c>
      <c r="N1973">
        <v>3.6</v>
      </c>
      <c r="O1973">
        <v>3</v>
      </c>
      <c r="P1973" s="2" t="s">
        <v>26</v>
      </c>
    </row>
    <row r="1974" spans="1:16" x14ac:dyDescent="0.25">
      <c r="A1974" s="2" t="s">
        <v>6886</v>
      </c>
      <c r="B1974" s="2" t="s">
        <v>6117</v>
      </c>
      <c r="C1974" s="2" t="s">
        <v>18</v>
      </c>
      <c r="D1974" s="2" t="s">
        <v>79</v>
      </c>
      <c r="E1974" s="2" t="s">
        <v>20</v>
      </c>
      <c r="F1974" s="2" t="s">
        <v>39</v>
      </c>
      <c r="G1974" s="2" t="s">
        <v>80</v>
      </c>
      <c r="H1974" s="2" t="s">
        <v>23</v>
      </c>
      <c r="I1974" s="2" t="s">
        <v>35</v>
      </c>
      <c r="J1974" s="2" t="s">
        <v>5364</v>
      </c>
      <c r="K1974" s="2" t="s">
        <v>3048</v>
      </c>
      <c r="L1974">
        <v>6</v>
      </c>
      <c r="M1974" s="1">
        <v>90000</v>
      </c>
      <c r="N1974">
        <v>3.2</v>
      </c>
      <c r="O1974">
        <v>7</v>
      </c>
      <c r="P1974" s="2" t="s">
        <v>26</v>
      </c>
    </row>
    <row r="1975" spans="1:16" x14ac:dyDescent="0.25">
      <c r="A1975" s="2" t="s">
        <v>6887</v>
      </c>
      <c r="B1975" s="2" t="s">
        <v>6888</v>
      </c>
      <c r="C1975" s="2" t="s">
        <v>18</v>
      </c>
      <c r="D1975" s="2" t="s">
        <v>30</v>
      </c>
      <c r="E1975" s="2" t="s">
        <v>31</v>
      </c>
      <c r="F1975" s="2" t="s">
        <v>32</v>
      </c>
      <c r="G1975" s="2" t="s">
        <v>80</v>
      </c>
      <c r="H1975" s="2" t="s">
        <v>46</v>
      </c>
      <c r="I1975" s="2" t="s">
        <v>24</v>
      </c>
      <c r="J1975" s="2" t="s">
        <v>4750</v>
      </c>
      <c r="K1975" s="2" t="s">
        <v>3048</v>
      </c>
      <c r="L1975">
        <v>6</v>
      </c>
      <c r="M1975" s="1">
        <v>294000</v>
      </c>
      <c r="N1975">
        <v>3.7</v>
      </c>
      <c r="O1975">
        <v>8</v>
      </c>
      <c r="P1975" s="2" t="s">
        <v>26</v>
      </c>
    </row>
    <row r="1976" spans="1:16" x14ac:dyDescent="0.25">
      <c r="A1976" s="2" t="s">
        <v>6889</v>
      </c>
      <c r="B1976" s="2" t="s">
        <v>6890</v>
      </c>
      <c r="C1976" s="2" t="s">
        <v>29</v>
      </c>
      <c r="D1976" s="2" t="s">
        <v>19</v>
      </c>
      <c r="E1976" s="2" t="s">
        <v>31</v>
      </c>
      <c r="F1976" s="2" t="s">
        <v>39</v>
      </c>
      <c r="G1976" s="2" t="s">
        <v>80</v>
      </c>
      <c r="H1976" s="2" t="s">
        <v>62</v>
      </c>
      <c r="I1976" s="2" t="s">
        <v>75</v>
      </c>
      <c r="J1976" s="2" t="s">
        <v>1810</v>
      </c>
      <c r="K1976" s="2" t="s">
        <v>3048</v>
      </c>
      <c r="L1976">
        <v>3</v>
      </c>
      <c r="M1976" s="1">
        <v>192000</v>
      </c>
      <c r="N1976">
        <v>3.1</v>
      </c>
      <c r="O1976">
        <v>4</v>
      </c>
      <c r="P1976" s="2" t="s">
        <v>26</v>
      </c>
    </row>
    <row r="1977" spans="1:16" x14ac:dyDescent="0.25">
      <c r="A1977" s="2" t="s">
        <v>6891</v>
      </c>
      <c r="B1977" s="2" t="s">
        <v>1892</v>
      </c>
      <c r="C1977" s="2" t="s">
        <v>18</v>
      </c>
      <c r="D1977" s="2" t="s">
        <v>43</v>
      </c>
      <c r="E1977" s="2" t="s">
        <v>44</v>
      </c>
      <c r="F1977" s="2" t="s">
        <v>32</v>
      </c>
      <c r="G1977" s="2" t="s">
        <v>22</v>
      </c>
      <c r="H1977" s="2" t="s">
        <v>34</v>
      </c>
      <c r="I1977" s="2" t="s">
        <v>24</v>
      </c>
      <c r="J1977" s="2" t="s">
        <v>682</v>
      </c>
      <c r="K1977" s="2" t="s">
        <v>3048</v>
      </c>
      <c r="L1977">
        <v>4</v>
      </c>
      <c r="M1977" s="1">
        <v>204000</v>
      </c>
      <c r="N1977">
        <v>2.5</v>
      </c>
      <c r="O1977">
        <v>7</v>
      </c>
      <c r="P1977" s="2" t="s">
        <v>26</v>
      </c>
    </row>
    <row r="1978" spans="1:16" x14ac:dyDescent="0.25">
      <c r="A1978" s="2" t="s">
        <v>6892</v>
      </c>
      <c r="B1978" s="2" t="s">
        <v>6893</v>
      </c>
      <c r="C1978" s="2" t="s">
        <v>18</v>
      </c>
      <c r="D1978" s="2" t="s">
        <v>50</v>
      </c>
      <c r="E1978" s="2" t="s">
        <v>20</v>
      </c>
      <c r="F1978" s="2" t="s">
        <v>32</v>
      </c>
      <c r="G1978" s="2" t="s">
        <v>69</v>
      </c>
      <c r="H1978" s="2" t="s">
        <v>34</v>
      </c>
      <c r="I1978" s="2" t="s">
        <v>35</v>
      </c>
      <c r="J1978" s="2" t="s">
        <v>445</v>
      </c>
      <c r="K1978" s="2" t="s">
        <v>3048</v>
      </c>
      <c r="L1978">
        <v>2</v>
      </c>
      <c r="M1978" s="1">
        <v>233000</v>
      </c>
      <c r="N1978">
        <v>4.0999999999999996</v>
      </c>
      <c r="O1978">
        <v>29</v>
      </c>
      <c r="P1978" s="2" t="s">
        <v>26</v>
      </c>
    </row>
    <row r="1979" spans="1:16" x14ac:dyDescent="0.25">
      <c r="A1979" s="2" t="s">
        <v>6897</v>
      </c>
      <c r="B1979" s="2" t="s">
        <v>3738</v>
      </c>
      <c r="C1979" s="2" t="s">
        <v>29</v>
      </c>
      <c r="D1979" s="2" t="s">
        <v>50</v>
      </c>
      <c r="E1979" s="2" t="s">
        <v>20</v>
      </c>
      <c r="F1979" s="2" t="s">
        <v>32</v>
      </c>
      <c r="G1979" s="2" t="s">
        <v>22</v>
      </c>
      <c r="H1979" s="2" t="s">
        <v>46</v>
      </c>
      <c r="I1979" s="2" t="s">
        <v>24</v>
      </c>
      <c r="J1979" s="2" t="s">
        <v>641</v>
      </c>
      <c r="K1979" s="2" t="s">
        <v>3048</v>
      </c>
      <c r="L1979">
        <v>4</v>
      </c>
      <c r="M1979" s="1">
        <v>268000</v>
      </c>
      <c r="N1979">
        <v>5</v>
      </c>
      <c r="O1979">
        <v>14</v>
      </c>
      <c r="P1979" s="2" t="s">
        <v>26</v>
      </c>
    </row>
    <row r="1980" spans="1:16" x14ac:dyDescent="0.25">
      <c r="A1980" s="2" t="s">
        <v>6898</v>
      </c>
      <c r="B1980" s="2" t="s">
        <v>5851</v>
      </c>
      <c r="C1980" s="2" t="s">
        <v>18</v>
      </c>
      <c r="D1980" s="2" t="s">
        <v>43</v>
      </c>
      <c r="E1980" s="2" t="s">
        <v>20</v>
      </c>
      <c r="F1980" s="2" t="s">
        <v>39</v>
      </c>
      <c r="G1980" s="2" t="s">
        <v>33</v>
      </c>
      <c r="H1980" s="2" t="s">
        <v>62</v>
      </c>
      <c r="I1980" s="2" t="s">
        <v>57</v>
      </c>
      <c r="J1980" s="2" t="s">
        <v>3979</v>
      </c>
      <c r="K1980" s="2" t="s">
        <v>3048</v>
      </c>
      <c r="L1980">
        <v>5</v>
      </c>
      <c r="M1980" s="1">
        <v>120000</v>
      </c>
      <c r="N1980">
        <v>3.9</v>
      </c>
      <c r="O1980">
        <v>6</v>
      </c>
      <c r="P1980" s="2" t="s">
        <v>26</v>
      </c>
    </row>
    <row r="1981" spans="1:16" x14ac:dyDescent="0.25">
      <c r="A1981" s="2" t="s">
        <v>6899</v>
      </c>
      <c r="B1981" s="2" t="s">
        <v>6900</v>
      </c>
      <c r="C1981" s="2" t="s">
        <v>18</v>
      </c>
      <c r="D1981" s="2" t="s">
        <v>30</v>
      </c>
      <c r="E1981" s="2" t="s">
        <v>20</v>
      </c>
      <c r="F1981" s="2" t="s">
        <v>39</v>
      </c>
      <c r="G1981" s="2" t="s">
        <v>22</v>
      </c>
      <c r="H1981" s="2" t="s">
        <v>23</v>
      </c>
      <c r="I1981" s="2" t="s">
        <v>35</v>
      </c>
      <c r="J1981" s="2" t="s">
        <v>3098</v>
      </c>
      <c r="K1981" s="2" t="s">
        <v>3048</v>
      </c>
      <c r="L1981">
        <v>3</v>
      </c>
      <c r="M1981" s="1">
        <v>142000</v>
      </c>
      <c r="N1981">
        <v>3</v>
      </c>
      <c r="O1981">
        <v>11</v>
      </c>
      <c r="P1981" s="2" t="s">
        <v>26</v>
      </c>
    </row>
    <row r="1982" spans="1:16" x14ac:dyDescent="0.25">
      <c r="A1982" s="2" t="s">
        <v>6901</v>
      </c>
      <c r="B1982" s="2" t="s">
        <v>3787</v>
      </c>
      <c r="C1982" s="2" t="s">
        <v>18</v>
      </c>
      <c r="D1982" s="2" t="s">
        <v>50</v>
      </c>
      <c r="E1982" s="2" t="s">
        <v>20</v>
      </c>
      <c r="F1982" s="2" t="s">
        <v>32</v>
      </c>
      <c r="G1982" s="2" t="s">
        <v>33</v>
      </c>
      <c r="H1982" s="2" t="s">
        <v>23</v>
      </c>
      <c r="I1982" s="2" t="s">
        <v>24</v>
      </c>
      <c r="J1982" s="2" t="s">
        <v>5579</v>
      </c>
      <c r="K1982" s="2" t="s">
        <v>3048</v>
      </c>
      <c r="L1982">
        <v>4</v>
      </c>
      <c r="M1982" s="1">
        <v>309000</v>
      </c>
      <c r="N1982">
        <v>3.3</v>
      </c>
      <c r="O1982">
        <v>22</v>
      </c>
      <c r="P1982" s="2" t="s">
        <v>53</v>
      </c>
    </row>
    <row r="1983" spans="1:16" x14ac:dyDescent="0.25">
      <c r="A1983" s="2" t="s">
        <v>6902</v>
      </c>
      <c r="B1983" s="2" t="s">
        <v>4266</v>
      </c>
      <c r="C1983" s="2" t="s">
        <v>18</v>
      </c>
      <c r="D1983" s="2" t="s">
        <v>79</v>
      </c>
      <c r="E1983" s="2" t="s">
        <v>20</v>
      </c>
      <c r="F1983" s="2" t="s">
        <v>128</v>
      </c>
      <c r="G1983" s="2" t="s">
        <v>33</v>
      </c>
      <c r="H1983" s="2" t="s">
        <v>23</v>
      </c>
      <c r="I1983" s="2" t="s">
        <v>24</v>
      </c>
      <c r="J1983" s="2" t="s">
        <v>3587</v>
      </c>
      <c r="K1983" s="2" t="s">
        <v>1507</v>
      </c>
      <c r="L1983">
        <v>3</v>
      </c>
      <c r="M1983" s="1">
        <v>560000</v>
      </c>
      <c r="N1983">
        <v>3.9</v>
      </c>
      <c r="O1983">
        <v>1</v>
      </c>
      <c r="P1983" s="2" t="s">
        <v>26</v>
      </c>
    </row>
    <row r="1984" spans="1:16" x14ac:dyDescent="0.25">
      <c r="A1984" s="2" t="s">
        <v>6903</v>
      </c>
      <c r="B1984" s="2" t="s">
        <v>2996</v>
      </c>
      <c r="C1984" s="2" t="s">
        <v>18</v>
      </c>
      <c r="D1984" s="2" t="s">
        <v>50</v>
      </c>
      <c r="E1984" s="2" t="s">
        <v>44</v>
      </c>
      <c r="F1984" s="2" t="s">
        <v>32</v>
      </c>
      <c r="G1984" s="2" t="s">
        <v>33</v>
      </c>
      <c r="H1984" s="2" t="s">
        <v>46</v>
      </c>
      <c r="I1984" s="2" t="s">
        <v>35</v>
      </c>
      <c r="J1984" s="2" t="s">
        <v>1577</v>
      </c>
      <c r="K1984" s="2" t="s">
        <v>1507</v>
      </c>
      <c r="L1984">
        <v>6</v>
      </c>
      <c r="M1984" s="1">
        <v>188000</v>
      </c>
      <c r="N1984">
        <v>4.5</v>
      </c>
      <c r="O1984">
        <v>11</v>
      </c>
      <c r="P1984" s="2" t="s">
        <v>72</v>
      </c>
    </row>
    <row r="1985" spans="1:16" x14ac:dyDescent="0.25">
      <c r="A1985" s="2" t="s">
        <v>6908</v>
      </c>
      <c r="B1985" s="2" t="s">
        <v>5857</v>
      </c>
      <c r="C1985" s="2" t="s">
        <v>29</v>
      </c>
      <c r="D1985" s="2" t="s">
        <v>30</v>
      </c>
      <c r="E1985" s="2" t="s">
        <v>20</v>
      </c>
      <c r="F1985" s="2" t="s">
        <v>32</v>
      </c>
      <c r="G1985" s="2" t="s">
        <v>69</v>
      </c>
      <c r="H1985" s="2" t="s">
        <v>62</v>
      </c>
      <c r="I1985" s="2" t="s">
        <v>75</v>
      </c>
      <c r="J1985" s="2" t="s">
        <v>3659</v>
      </c>
      <c r="K1985" s="2" t="s">
        <v>1937</v>
      </c>
      <c r="L1985">
        <v>4</v>
      </c>
      <c r="M1985" s="1">
        <v>225000</v>
      </c>
      <c r="N1985">
        <v>2.4</v>
      </c>
      <c r="O1985">
        <v>9</v>
      </c>
      <c r="P1985" s="2" t="s">
        <v>72</v>
      </c>
    </row>
    <row r="1986" spans="1:16" x14ac:dyDescent="0.25">
      <c r="A1986" s="2" t="s">
        <v>6909</v>
      </c>
      <c r="B1986" s="2" t="s">
        <v>6910</v>
      </c>
      <c r="C1986" s="2" t="s">
        <v>18</v>
      </c>
      <c r="D1986" s="2" t="s">
        <v>43</v>
      </c>
      <c r="E1986" s="2" t="s">
        <v>31</v>
      </c>
      <c r="F1986" s="2" t="s">
        <v>39</v>
      </c>
      <c r="G1986" s="2" t="s">
        <v>80</v>
      </c>
      <c r="H1986" s="2" t="s">
        <v>34</v>
      </c>
      <c r="I1986" s="2" t="s">
        <v>24</v>
      </c>
      <c r="J1986" s="2" t="s">
        <v>5876</v>
      </c>
      <c r="K1986" s="2" t="s">
        <v>2908</v>
      </c>
      <c r="L1986">
        <v>5</v>
      </c>
      <c r="M1986" s="1">
        <v>151000</v>
      </c>
      <c r="N1986">
        <v>3.5</v>
      </c>
      <c r="O1986">
        <v>5</v>
      </c>
      <c r="P1986" s="2" t="s">
        <v>26</v>
      </c>
    </row>
    <row r="1987" spans="1:16" x14ac:dyDescent="0.25">
      <c r="A1987" s="2" t="s">
        <v>6911</v>
      </c>
      <c r="B1987" s="2" t="s">
        <v>6912</v>
      </c>
      <c r="C1987" s="2" t="s">
        <v>18</v>
      </c>
      <c r="D1987" s="2" t="s">
        <v>50</v>
      </c>
      <c r="E1987" s="2" t="s">
        <v>20</v>
      </c>
      <c r="F1987" s="2" t="s">
        <v>32</v>
      </c>
      <c r="G1987" s="2" t="s">
        <v>69</v>
      </c>
      <c r="H1987" s="2" t="s">
        <v>46</v>
      </c>
      <c r="I1987" s="2" t="s">
        <v>75</v>
      </c>
      <c r="J1987" s="2" t="s">
        <v>6746</v>
      </c>
      <c r="K1987" s="2" t="s">
        <v>2908</v>
      </c>
      <c r="L1987">
        <v>6</v>
      </c>
      <c r="M1987" s="1">
        <v>241000</v>
      </c>
      <c r="N1987">
        <v>2.5</v>
      </c>
      <c r="O1987">
        <v>6</v>
      </c>
      <c r="P1987" s="2" t="s">
        <v>26</v>
      </c>
    </row>
    <row r="1988" spans="1:16" x14ac:dyDescent="0.25">
      <c r="A1988" s="2" t="s">
        <v>6913</v>
      </c>
      <c r="B1988" s="2" t="s">
        <v>1536</v>
      </c>
      <c r="C1988" s="2" t="s">
        <v>18</v>
      </c>
      <c r="D1988" s="2" t="s">
        <v>50</v>
      </c>
      <c r="E1988" s="2" t="s">
        <v>20</v>
      </c>
      <c r="F1988" s="2" t="s">
        <v>32</v>
      </c>
      <c r="G1988" s="2" t="s">
        <v>33</v>
      </c>
      <c r="H1988" s="2" t="s">
        <v>46</v>
      </c>
      <c r="I1988" s="2" t="s">
        <v>24</v>
      </c>
      <c r="J1988" s="2" t="s">
        <v>2417</v>
      </c>
      <c r="K1988" s="2" t="s">
        <v>2908</v>
      </c>
      <c r="L1988">
        <v>3</v>
      </c>
      <c r="M1988" s="1">
        <v>193000</v>
      </c>
      <c r="N1988">
        <v>4.9000000000000004</v>
      </c>
      <c r="O1988">
        <v>0</v>
      </c>
      <c r="P1988" s="2" t="s">
        <v>26</v>
      </c>
    </row>
    <row r="1989" spans="1:16" x14ac:dyDescent="0.25">
      <c r="A1989" s="2" t="s">
        <v>6916</v>
      </c>
      <c r="B1989" s="2" t="s">
        <v>6444</v>
      </c>
      <c r="C1989" s="2" t="s">
        <v>18</v>
      </c>
      <c r="D1989" s="2" t="s">
        <v>79</v>
      </c>
      <c r="E1989" s="2" t="s">
        <v>31</v>
      </c>
      <c r="F1989" s="2" t="s">
        <v>32</v>
      </c>
      <c r="G1989" s="2" t="s">
        <v>33</v>
      </c>
      <c r="H1989" s="2" t="s">
        <v>46</v>
      </c>
      <c r="I1989" s="2" t="s">
        <v>24</v>
      </c>
      <c r="J1989" s="2" t="s">
        <v>1510</v>
      </c>
      <c r="K1989" s="2" t="s">
        <v>2908</v>
      </c>
      <c r="L1989">
        <v>2</v>
      </c>
      <c r="M1989" s="1">
        <v>185000</v>
      </c>
      <c r="N1989">
        <v>5</v>
      </c>
      <c r="O1989">
        <v>13</v>
      </c>
      <c r="P1989" s="2" t="s">
        <v>26</v>
      </c>
    </row>
    <row r="1990" spans="1:16" x14ac:dyDescent="0.25">
      <c r="A1990" s="2" t="s">
        <v>6920</v>
      </c>
      <c r="B1990" s="2" t="s">
        <v>6563</v>
      </c>
      <c r="C1990" s="2" t="s">
        <v>18</v>
      </c>
      <c r="D1990" s="2" t="s">
        <v>43</v>
      </c>
      <c r="E1990" s="2" t="s">
        <v>20</v>
      </c>
      <c r="F1990" s="2" t="s">
        <v>128</v>
      </c>
      <c r="G1990" s="2" t="s">
        <v>22</v>
      </c>
      <c r="H1990" s="2" t="s">
        <v>34</v>
      </c>
      <c r="I1990" s="2" t="s">
        <v>57</v>
      </c>
      <c r="J1990" s="2" t="s">
        <v>2718</v>
      </c>
      <c r="K1990" s="2" t="s">
        <v>2908</v>
      </c>
      <c r="L1990">
        <v>3</v>
      </c>
      <c r="M1990" s="1">
        <v>474000</v>
      </c>
      <c r="N1990">
        <v>4.2</v>
      </c>
      <c r="O1990">
        <v>14</v>
      </c>
      <c r="P1990" s="2" t="s">
        <v>26</v>
      </c>
    </row>
    <row r="1991" spans="1:16" x14ac:dyDescent="0.25">
      <c r="A1991" s="2" t="s">
        <v>6922</v>
      </c>
      <c r="B1991" s="2" t="s">
        <v>2126</v>
      </c>
      <c r="C1991" s="2" t="s">
        <v>18</v>
      </c>
      <c r="D1991" s="2" t="s">
        <v>19</v>
      </c>
      <c r="E1991" s="2" t="s">
        <v>20</v>
      </c>
      <c r="F1991" s="2" t="s">
        <v>32</v>
      </c>
      <c r="G1991" s="2" t="s">
        <v>69</v>
      </c>
      <c r="H1991" s="2" t="s">
        <v>34</v>
      </c>
      <c r="I1991" s="2" t="s">
        <v>24</v>
      </c>
      <c r="J1991" s="2" t="s">
        <v>5824</v>
      </c>
      <c r="K1991" s="2" t="s">
        <v>2908</v>
      </c>
      <c r="L1991">
        <v>2</v>
      </c>
      <c r="M1991" s="1">
        <v>276000</v>
      </c>
      <c r="N1991">
        <v>4.5999999999999996</v>
      </c>
      <c r="O1991">
        <v>9</v>
      </c>
      <c r="P1991" s="2" t="s">
        <v>26</v>
      </c>
    </row>
    <row r="1992" spans="1:16" x14ac:dyDescent="0.25">
      <c r="A1992" s="2" t="s">
        <v>6925</v>
      </c>
      <c r="B1992" s="2" t="s">
        <v>268</v>
      </c>
      <c r="C1992" s="2" t="s">
        <v>18</v>
      </c>
      <c r="D1992" s="2" t="s">
        <v>30</v>
      </c>
      <c r="E1992" s="2" t="s">
        <v>20</v>
      </c>
      <c r="F1992" s="2" t="s">
        <v>39</v>
      </c>
      <c r="G1992" s="2" t="s">
        <v>80</v>
      </c>
      <c r="H1992" s="2" t="s">
        <v>46</v>
      </c>
      <c r="I1992" s="2" t="s">
        <v>171</v>
      </c>
      <c r="J1992" s="2" t="s">
        <v>3088</v>
      </c>
      <c r="K1992" s="2" t="s">
        <v>2908</v>
      </c>
      <c r="L1992">
        <v>6</v>
      </c>
      <c r="M1992" s="1">
        <v>124000</v>
      </c>
      <c r="N1992">
        <v>1.5</v>
      </c>
      <c r="O1992">
        <v>13</v>
      </c>
      <c r="P1992" s="2" t="s">
        <v>53</v>
      </c>
    </row>
    <row r="1993" spans="1:16" x14ac:dyDescent="0.25">
      <c r="A1993" s="2" t="s">
        <v>6926</v>
      </c>
      <c r="B1993" s="2" t="s">
        <v>1792</v>
      </c>
      <c r="C1993" s="2" t="s">
        <v>18</v>
      </c>
      <c r="D1993" s="2" t="s">
        <v>30</v>
      </c>
      <c r="E1993" s="2" t="s">
        <v>20</v>
      </c>
      <c r="F1993" s="2" t="s">
        <v>39</v>
      </c>
      <c r="G1993" s="2" t="s">
        <v>22</v>
      </c>
      <c r="H1993" s="2" t="s">
        <v>34</v>
      </c>
      <c r="I1993" s="2" t="s">
        <v>35</v>
      </c>
      <c r="J1993" s="2" t="s">
        <v>1883</v>
      </c>
      <c r="K1993" s="2" t="s">
        <v>2678</v>
      </c>
      <c r="L1993">
        <v>6</v>
      </c>
      <c r="M1993" s="1">
        <v>85000</v>
      </c>
      <c r="N1993">
        <v>1.8</v>
      </c>
      <c r="O1993">
        <v>22</v>
      </c>
      <c r="P1993" s="2" t="s">
        <v>72</v>
      </c>
    </row>
    <row r="1994" spans="1:16" x14ac:dyDescent="0.25">
      <c r="A1994" s="2" t="s">
        <v>6928</v>
      </c>
      <c r="B1994" s="2" t="s">
        <v>1996</v>
      </c>
      <c r="C1994" s="2" t="s">
        <v>18</v>
      </c>
      <c r="D1994" s="2" t="s">
        <v>79</v>
      </c>
      <c r="E1994" s="2" t="s">
        <v>20</v>
      </c>
      <c r="F1994" s="2" t="s">
        <v>128</v>
      </c>
      <c r="G1994" s="2" t="s">
        <v>22</v>
      </c>
      <c r="H1994" s="2" t="s">
        <v>34</v>
      </c>
      <c r="I1994" s="2" t="s">
        <v>24</v>
      </c>
      <c r="J1994" s="2" t="s">
        <v>6929</v>
      </c>
      <c r="K1994" s="2" t="s">
        <v>52</v>
      </c>
      <c r="L1994">
        <v>4</v>
      </c>
      <c r="M1994" s="1">
        <v>469000</v>
      </c>
      <c r="N1994">
        <v>5</v>
      </c>
      <c r="O1994">
        <v>4</v>
      </c>
      <c r="P1994" s="2" t="s">
        <v>114</v>
      </c>
    </row>
    <row r="1995" spans="1:16" x14ac:dyDescent="0.25">
      <c r="A1995" s="2" t="s">
        <v>6931</v>
      </c>
      <c r="B1995" s="2" t="s">
        <v>6352</v>
      </c>
      <c r="C1995" s="2" t="s">
        <v>18</v>
      </c>
      <c r="D1995" s="2" t="s">
        <v>43</v>
      </c>
      <c r="E1995" s="2" t="s">
        <v>20</v>
      </c>
      <c r="F1995" s="2" t="s">
        <v>128</v>
      </c>
      <c r="G1995" s="2" t="s">
        <v>22</v>
      </c>
      <c r="H1995" s="2" t="s">
        <v>23</v>
      </c>
      <c r="I1995" s="2" t="s">
        <v>35</v>
      </c>
      <c r="J1995" s="2" t="s">
        <v>572</v>
      </c>
      <c r="K1995" s="2" t="s">
        <v>5612</v>
      </c>
      <c r="L1995">
        <v>5</v>
      </c>
      <c r="M1995" s="1">
        <v>544000</v>
      </c>
      <c r="N1995">
        <v>2.9</v>
      </c>
      <c r="O1995">
        <v>10</v>
      </c>
      <c r="P1995" s="2" t="s">
        <v>26</v>
      </c>
    </row>
    <row r="1996" spans="1:16" x14ac:dyDescent="0.25">
      <c r="A1996" s="2" t="s">
        <v>6932</v>
      </c>
      <c r="B1996" s="2" t="s">
        <v>541</v>
      </c>
      <c r="C1996" s="2" t="s">
        <v>29</v>
      </c>
      <c r="D1996" s="2" t="s">
        <v>19</v>
      </c>
      <c r="E1996" s="2" t="s">
        <v>31</v>
      </c>
      <c r="F1996" s="2" t="s">
        <v>21</v>
      </c>
      <c r="G1996" s="2" t="s">
        <v>22</v>
      </c>
      <c r="H1996" s="2" t="s">
        <v>34</v>
      </c>
      <c r="I1996" s="2" t="s">
        <v>24</v>
      </c>
      <c r="J1996" s="2" t="s">
        <v>2525</v>
      </c>
      <c r="K1996" s="2" t="s">
        <v>5612</v>
      </c>
      <c r="L1996">
        <v>2</v>
      </c>
      <c r="M1996" s="1">
        <v>1045000</v>
      </c>
      <c r="N1996">
        <v>4.7</v>
      </c>
      <c r="O1996">
        <v>10</v>
      </c>
      <c r="P1996" s="2" t="s">
        <v>26</v>
      </c>
    </row>
    <row r="1997" spans="1:16" x14ac:dyDescent="0.25">
      <c r="A1997" s="2" t="s">
        <v>6933</v>
      </c>
      <c r="B1997" s="2" t="s">
        <v>4299</v>
      </c>
      <c r="C1997" s="2" t="s">
        <v>18</v>
      </c>
      <c r="D1997" s="2" t="s">
        <v>43</v>
      </c>
      <c r="E1997" s="2" t="s">
        <v>20</v>
      </c>
      <c r="F1997" s="2" t="s">
        <v>39</v>
      </c>
      <c r="G1997" s="2" t="s">
        <v>22</v>
      </c>
      <c r="H1997" s="2" t="s">
        <v>34</v>
      </c>
      <c r="I1997" s="2" t="s">
        <v>35</v>
      </c>
      <c r="J1997" s="2" t="s">
        <v>4992</v>
      </c>
      <c r="K1997" s="2" t="s">
        <v>5612</v>
      </c>
      <c r="L1997">
        <v>3</v>
      </c>
      <c r="M1997" s="1">
        <v>159000</v>
      </c>
      <c r="N1997">
        <v>4.0999999999999996</v>
      </c>
      <c r="O1997">
        <v>10</v>
      </c>
      <c r="P1997" s="2" t="s">
        <v>26</v>
      </c>
    </row>
    <row r="1998" spans="1:16" x14ac:dyDescent="0.25">
      <c r="A1998" s="2" t="s">
        <v>6935</v>
      </c>
      <c r="B1998" s="2" t="s">
        <v>6936</v>
      </c>
      <c r="C1998" s="2" t="s">
        <v>29</v>
      </c>
      <c r="D1998" s="2" t="s">
        <v>50</v>
      </c>
      <c r="E1998" s="2" t="s">
        <v>44</v>
      </c>
      <c r="F1998" s="2" t="s">
        <v>39</v>
      </c>
      <c r="G1998" s="2" t="s">
        <v>80</v>
      </c>
      <c r="H1998" s="2" t="s">
        <v>46</v>
      </c>
      <c r="I1998" s="2" t="s">
        <v>35</v>
      </c>
      <c r="J1998" s="2" t="s">
        <v>4543</v>
      </c>
      <c r="K1998" s="2" t="s">
        <v>5612</v>
      </c>
      <c r="L1998">
        <v>4</v>
      </c>
      <c r="M1998" s="1">
        <v>146000</v>
      </c>
      <c r="N1998">
        <v>3.6</v>
      </c>
      <c r="O1998">
        <v>6</v>
      </c>
      <c r="P1998" s="2" t="s">
        <v>72</v>
      </c>
    </row>
    <row r="1999" spans="1:16" x14ac:dyDescent="0.25">
      <c r="A1999" s="2" t="s">
        <v>6937</v>
      </c>
      <c r="B1999" s="2" t="s">
        <v>6938</v>
      </c>
      <c r="C1999" s="2" t="s">
        <v>18</v>
      </c>
      <c r="D1999" s="2" t="s">
        <v>30</v>
      </c>
      <c r="E1999" s="2" t="s">
        <v>31</v>
      </c>
      <c r="F1999" s="2" t="s">
        <v>21</v>
      </c>
      <c r="G1999" s="2" t="s">
        <v>22</v>
      </c>
      <c r="H1999" s="2" t="s">
        <v>23</v>
      </c>
      <c r="I1999" s="2" t="s">
        <v>57</v>
      </c>
      <c r="J1999" s="2" t="s">
        <v>3330</v>
      </c>
      <c r="K1999" s="2" t="s">
        <v>1266</v>
      </c>
      <c r="L1999">
        <v>2</v>
      </c>
      <c r="M1999" s="1">
        <v>801000</v>
      </c>
      <c r="N1999">
        <v>3.1</v>
      </c>
      <c r="O1999">
        <v>10</v>
      </c>
      <c r="P1999" s="2" t="s">
        <v>26</v>
      </c>
    </row>
    <row r="2000" spans="1:16" x14ac:dyDescent="0.25">
      <c r="A2000" s="2" t="s">
        <v>6941</v>
      </c>
      <c r="B2000" s="2" t="s">
        <v>1374</v>
      </c>
      <c r="C2000" s="2" t="s">
        <v>18</v>
      </c>
      <c r="D2000" s="2" t="s">
        <v>43</v>
      </c>
      <c r="E2000" s="2" t="s">
        <v>44</v>
      </c>
      <c r="F2000" s="2" t="s">
        <v>39</v>
      </c>
      <c r="G2000" s="2" t="s">
        <v>22</v>
      </c>
      <c r="H2000" s="2" t="s">
        <v>34</v>
      </c>
      <c r="I2000" s="2" t="s">
        <v>35</v>
      </c>
      <c r="J2000" s="2" t="s">
        <v>2571</v>
      </c>
      <c r="K2000" s="2" t="s">
        <v>1266</v>
      </c>
      <c r="L2000">
        <v>4</v>
      </c>
      <c r="M2000" s="1">
        <v>140000</v>
      </c>
      <c r="N2000">
        <v>2.2000000000000002</v>
      </c>
      <c r="O2000">
        <v>12</v>
      </c>
      <c r="P2000" s="2" t="s">
        <v>26</v>
      </c>
    </row>
    <row r="2001" spans="1:16" x14ac:dyDescent="0.25">
      <c r="A2001" s="2" t="s">
        <v>6942</v>
      </c>
      <c r="B2001" s="2" t="s">
        <v>6943</v>
      </c>
      <c r="C2001" s="2" t="s">
        <v>29</v>
      </c>
      <c r="D2001" s="2" t="s">
        <v>79</v>
      </c>
      <c r="E2001" s="2" t="s">
        <v>44</v>
      </c>
      <c r="F2001" s="2" t="s">
        <v>21</v>
      </c>
      <c r="G2001" s="2" t="s">
        <v>22</v>
      </c>
      <c r="H2001" s="2" t="s">
        <v>34</v>
      </c>
      <c r="I2001" s="2" t="s">
        <v>57</v>
      </c>
      <c r="J2001" s="2" t="s">
        <v>441</v>
      </c>
      <c r="K2001" s="2" t="s">
        <v>1266</v>
      </c>
      <c r="L2001">
        <v>3</v>
      </c>
      <c r="M2001" s="1">
        <v>736000</v>
      </c>
      <c r="N2001">
        <v>4.7</v>
      </c>
      <c r="O2001">
        <v>6</v>
      </c>
      <c r="P2001" s="2" t="s">
        <v>26</v>
      </c>
    </row>
    <row r="2002" spans="1:16" x14ac:dyDescent="0.25">
      <c r="A2002" s="2" t="s">
        <v>6944</v>
      </c>
      <c r="B2002" s="2" t="s">
        <v>1820</v>
      </c>
      <c r="C2002" s="2" t="s">
        <v>18</v>
      </c>
      <c r="D2002" s="2" t="s">
        <v>79</v>
      </c>
      <c r="E2002" s="2" t="s">
        <v>44</v>
      </c>
      <c r="F2002" s="2" t="s">
        <v>39</v>
      </c>
      <c r="G2002" s="2" t="s">
        <v>22</v>
      </c>
      <c r="H2002" s="2" t="s">
        <v>34</v>
      </c>
      <c r="I2002" s="2" t="s">
        <v>57</v>
      </c>
      <c r="J2002" s="2" t="s">
        <v>5961</v>
      </c>
      <c r="K2002" s="2" t="s">
        <v>1266</v>
      </c>
      <c r="L2002">
        <v>6</v>
      </c>
      <c r="M2002" s="1">
        <v>109000</v>
      </c>
      <c r="N2002">
        <v>4.0999999999999996</v>
      </c>
      <c r="O2002">
        <v>11</v>
      </c>
      <c r="P2002" s="2" t="s">
        <v>26</v>
      </c>
    </row>
    <row r="2003" spans="1:16" x14ac:dyDescent="0.25">
      <c r="A2003" s="2" t="s">
        <v>6950</v>
      </c>
      <c r="B2003" s="2" t="s">
        <v>5704</v>
      </c>
      <c r="C2003" s="2" t="s">
        <v>29</v>
      </c>
      <c r="D2003" s="2" t="s">
        <v>50</v>
      </c>
      <c r="E2003" s="2" t="s">
        <v>31</v>
      </c>
      <c r="F2003" s="2" t="s">
        <v>32</v>
      </c>
      <c r="G2003" s="2" t="s">
        <v>22</v>
      </c>
      <c r="H2003" s="2" t="s">
        <v>34</v>
      </c>
      <c r="I2003" s="2" t="s">
        <v>75</v>
      </c>
      <c r="J2003" s="2" t="s">
        <v>1225</v>
      </c>
      <c r="K2003" s="2" t="s">
        <v>1266</v>
      </c>
      <c r="L2003">
        <v>5</v>
      </c>
      <c r="M2003" s="1">
        <v>287000</v>
      </c>
      <c r="N2003">
        <v>4.0999999999999996</v>
      </c>
      <c r="O2003">
        <v>9</v>
      </c>
      <c r="P2003" s="2" t="s">
        <v>114</v>
      </c>
    </row>
    <row r="2004" spans="1:16" x14ac:dyDescent="0.25">
      <c r="A2004" s="2" t="s">
        <v>6951</v>
      </c>
      <c r="B2004" s="2" t="s">
        <v>3192</v>
      </c>
      <c r="C2004" s="2" t="s">
        <v>29</v>
      </c>
      <c r="D2004" s="2" t="s">
        <v>50</v>
      </c>
      <c r="E2004" s="2" t="s">
        <v>31</v>
      </c>
      <c r="F2004" s="2" t="s">
        <v>39</v>
      </c>
      <c r="G2004" s="2" t="s">
        <v>22</v>
      </c>
      <c r="H2004" s="2" t="s">
        <v>46</v>
      </c>
      <c r="I2004" s="2" t="s">
        <v>24</v>
      </c>
      <c r="J2004" s="2" t="s">
        <v>3245</v>
      </c>
      <c r="K2004" s="2" t="s">
        <v>2326</v>
      </c>
      <c r="L2004">
        <v>5</v>
      </c>
      <c r="M2004" s="1">
        <v>116000</v>
      </c>
      <c r="N2004">
        <v>2.8</v>
      </c>
      <c r="O2004">
        <v>5</v>
      </c>
      <c r="P2004" s="2" t="s">
        <v>26</v>
      </c>
    </row>
    <row r="2005" spans="1:16" x14ac:dyDescent="0.25">
      <c r="A2005" s="2" t="s">
        <v>6952</v>
      </c>
      <c r="B2005" s="2" t="s">
        <v>6953</v>
      </c>
      <c r="C2005" s="2" t="s">
        <v>29</v>
      </c>
      <c r="D2005" s="2" t="s">
        <v>30</v>
      </c>
      <c r="E2005" s="2" t="s">
        <v>20</v>
      </c>
      <c r="F2005" s="2" t="s">
        <v>128</v>
      </c>
      <c r="G2005" s="2" t="s">
        <v>33</v>
      </c>
      <c r="H2005" s="2" t="s">
        <v>34</v>
      </c>
      <c r="I2005" s="2" t="s">
        <v>57</v>
      </c>
      <c r="J2005" s="2" t="s">
        <v>6724</v>
      </c>
      <c r="K2005" s="2" t="s">
        <v>2326</v>
      </c>
      <c r="L2005">
        <v>2</v>
      </c>
      <c r="M2005" s="1">
        <v>424000</v>
      </c>
      <c r="N2005">
        <v>4</v>
      </c>
      <c r="O2005">
        <v>11</v>
      </c>
      <c r="P2005" s="2" t="s">
        <v>26</v>
      </c>
    </row>
    <row r="2006" spans="1:16" x14ac:dyDescent="0.25">
      <c r="A2006" s="2" t="s">
        <v>6955</v>
      </c>
      <c r="B2006" s="2" t="s">
        <v>6956</v>
      </c>
      <c r="C2006" s="2" t="s">
        <v>18</v>
      </c>
      <c r="D2006" s="2" t="s">
        <v>50</v>
      </c>
      <c r="E2006" s="2" t="s">
        <v>20</v>
      </c>
      <c r="F2006" s="2" t="s">
        <v>21</v>
      </c>
      <c r="G2006" s="2" t="s">
        <v>22</v>
      </c>
      <c r="H2006" s="2" t="s">
        <v>23</v>
      </c>
      <c r="I2006" s="2" t="s">
        <v>35</v>
      </c>
      <c r="J2006" s="2" t="s">
        <v>4631</v>
      </c>
      <c r="K2006" s="2" t="s">
        <v>2326</v>
      </c>
      <c r="L2006">
        <v>4</v>
      </c>
      <c r="M2006" s="1">
        <v>853000</v>
      </c>
      <c r="N2006">
        <v>3.2</v>
      </c>
      <c r="O2006">
        <v>6</v>
      </c>
      <c r="P2006" s="2" t="s">
        <v>72</v>
      </c>
    </row>
    <row r="2007" spans="1:16" x14ac:dyDescent="0.25">
      <c r="A2007" s="2" t="s">
        <v>6957</v>
      </c>
      <c r="B2007" s="2" t="s">
        <v>1233</v>
      </c>
      <c r="C2007" s="2" t="s">
        <v>29</v>
      </c>
      <c r="D2007" s="2" t="s">
        <v>43</v>
      </c>
      <c r="E2007" s="2" t="s">
        <v>20</v>
      </c>
      <c r="F2007" s="2" t="s">
        <v>128</v>
      </c>
      <c r="G2007" s="2" t="s">
        <v>80</v>
      </c>
      <c r="H2007" s="2" t="s">
        <v>23</v>
      </c>
      <c r="I2007" s="2" t="s">
        <v>35</v>
      </c>
      <c r="J2007" s="2" t="s">
        <v>232</v>
      </c>
      <c r="K2007" s="2" t="s">
        <v>1483</v>
      </c>
      <c r="L2007">
        <v>4</v>
      </c>
      <c r="M2007" s="1">
        <v>511000</v>
      </c>
      <c r="N2007">
        <v>3.1</v>
      </c>
      <c r="O2007">
        <v>14</v>
      </c>
      <c r="P2007" s="2" t="s">
        <v>26</v>
      </c>
    </row>
    <row r="2008" spans="1:16" x14ac:dyDescent="0.25">
      <c r="A2008" s="2" t="s">
        <v>6958</v>
      </c>
      <c r="B2008" s="2" t="s">
        <v>6959</v>
      </c>
      <c r="C2008" s="2" t="s">
        <v>29</v>
      </c>
      <c r="D2008" s="2" t="s">
        <v>50</v>
      </c>
      <c r="E2008" s="2" t="s">
        <v>20</v>
      </c>
      <c r="F2008" s="2" t="s">
        <v>39</v>
      </c>
      <c r="G2008" s="2" t="s">
        <v>22</v>
      </c>
      <c r="H2008" s="2" t="s">
        <v>23</v>
      </c>
      <c r="I2008" s="2" t="s">
        <v>24</v>
      </c>
      <c r="J2008" s="2" t="s">
        <v>5692</v>
      </c>
      <c r="K2008" s="2" t="s">
        <v>1483</v>
      </c>
      <c r="L2008">
        <v>6</v>
      </c>
      <c r="M2008" s="1">
        <v>95000</v>
      </c>
      <c r="N2008">
        <v>4.9000000000000004</v>
      </c>
      <c r="O2008">
        <v>2</v>
      </c>
      <c r="P2008" s="2" t="s">
        <v>72</v>
      </c>
    </row>
    <row r="2009" spans="1:16" x14ac:dyDescent="0.25">
      <c r="A2009" s="2" t="s">
        <v>6960</v>
      </c>
      <c r="B2009" s="2" t="s">
        <v>1867</v>
      </c>
      <c r="C2009" s="2" t="s">
        <v>18</v>
      </c>
      <c r="D2009" s="2" t="s">
        <v>19</v>
      </c>
      <c r="E2009" s="2" t="s">
        <v>31</v>
      </c>
      <c r="F2009" s="2" t="s">
        <v>32</v>
      </c>
      <c r="G2009" s="2" t="s">
        <v>33</v>
      </c>
      <c r="H2009" s="2" t="s">
        <v>34</v>
      </c>
      <c r="I2009" s="2" t="s">
        <v>24</v>
      </c>
      <c r="J2009" s="2" t="s">
        <v>6961</v>
      </c>
      <c r="K2009" s="2" t="s">
        <v>4014</v>
      </c>
      <c r="L2009">
        <v>4</v>
      </c>
      <c r="M2009" s="1">
        <v>292000</v>
      </c>
      <c r="N2009">
        <v>4</v>
      </c>
      <c r="O2009">
        <v>5</v>
      </c>
      <c r="P2009" s="2" t="s">
        <v>53</v>
      </c>
    </row>
    <row r="2010" spans="1:16" x14ac:dyDescent="0.25">
      <c r="A2010" s="2" t="s">
        <v>6962</v>
      </c>
      <c r="B2010" s="2" t="s">
        <v>5839</v>
      </c>
      <c r="C2010" s="2" t="s">
        <v>29</v>
      </c>
      <c r="D2010" s="2" t="s">
        <v>19</v>
      </c>
      <c r="E2010" s="2" t="s">
        <v>20</v>
      </c>
      <c r="F2010" s="2" t="s">
        <v>128</v>
      </c>
      <c r="G2010" s="2" t="s">
        <v>33</v>
      </c>
      <c r="H2010" s="2" t="s">
        <v>23</v>
      </c>
      <c r="I2010" s="2" t="s">
        <v>35</v>
      </c>
      <c r="J2010" s="2" t="s">
        <v>2150</v>
      </c>
      <c r="K2010" s="2" t="s">
        <v>4748</v>
      </c>
      <c r="L2010">
        <v>6</v>
      </c>
      <c r="M2010" s="1">
        <v>497000</v>
      </c>
      <c r="N2010">
        <v>3.9</v>
      </c>
      <c r="O2010">
        <v>8</v>
      </c>
      <c r="P2010" s="2" t="s">
        <v>26</v>
      </c>
    </row>
    <row r="2011" spans="1:16" x14ac:dyDescent="0.25">
      <c r="A2011" s="2" t="s">
        <v>6968</v>
      </c>
      <c r="B2011" s="2" t="s">
        <v>6362</v>
      </c>
      <c r="C2011" s="2" t="s">
        <v>18</v>
      </c>
      <c r="D2011" s="2" t="s">
        <v>43</v>
      </c>
      <c r="E2011" s="2" t="s">
        <v>31</v>
      </c>
      <c r="F2011" s="2" t="s">
        <v>39</v>
      </c>
      <c r="G2011" s="2" t="s">
        <v>22</v>
      </c>
      <c r="H2011" s="2" t="s">
        <v>34</v>
      </c>
      <c r="I2011" s="2" t="s">
        <v>24</v>
      </c>
      <c r="J2011" s="2" t="s">
        <v>2464</v>
      </c>
      <c r="K2011" s="2" t="s">
        <v>4748</v>
      </c>
      <c r="L2011">
        <v>5</v>
      </c>
      <c r="M2011" s="1">
        <v>105000</v>
      </c>
      <c r="N2011">
        <v>5</v>
      </c>
      <c r="O2011">
        <v>37</v>
      </c>
      <c r="P2011" s="2" t="s">
        <v>53</v>
      </c>
    </row>
    <row r="2012" spans="1:16" x14ac:dyDescent="0.25">
      <c r="A2012" s="2" t="s">
        <v>6969</v>
      </c>
      <c r="B2012" s="2" t="s">
        <v>6970</v>
      </c>
      <c r="C2012" s="2" t="s">
        <v>18</v>
      </c>
      <c r="D2012" s="2" t="s">
        <v>50</v>
      </c>
      <c r="E2012" s="2" t="s">
        <v>44</v>
      </c>
      <c r="F2012" s="2" t="s">
        <v>32</v>
      </c>
      <c r="G2012" s="2" t="s">
        <v>80</v>
      </c>
      <c r="H2012" s="2" t="s">
        <v>34</v>
      </c>
      <c r="I2012" s="2" t="s">
        <v>57</v>
      </c>
      <c r="J2012" s="2" t="s">
        <v>3999</v>
      </c>
      <c r="K2012" s="2" t="s">
        <v>6971</v>
      </c>
      <c r="L2012">
        <v>3</v>
      </c>
      <c r="M2012" s="1">
        <v>285000</v>
      </c>
      <c r="N2012">
        <v>4.0999999999999996</v>
      </c>
      <c r="O2012">
        <v>9</v>
      </c>
      <c r="P2012" s="2" t="s">
        <v>53</v>
      </c>
    </row>
    <row r="2013" spans="1:16" x14ac:dyDescent="0.25">
      <c r="A2013" s="2" t="s">
        <v>6972</v>
      </c>
      <c r="B2013" s="2" t="s">
        <v>6973</v>
      </c>
      <c r="C2013" s="2" t="s">
        <v>29</v>
      </c>
      <c r="D2013" s="2" t="s">
        <v>50</v>
      </c>
      <c r="E2013" s="2" t="s">
        <v>31</v>
      </c>
      <c r="F2013" s="2" t="s">
        <v>128</v>
      </c>
      <c r="G2013" s="2" t="s">
        <v>22</v>
      </c>
      <c r="H2013" s="2" t="s">
        <v>46</v>
      </c>
      <c r="I2013" s="2" t="s">
        <v>24</v>
      </c>
      <c r="J2013" s="2" t="s">
        <v>1696</v>
      </c>
      <c r="K2013" s="2" t="s">
        <v>3993</v>
      </c>
      <c r="L2013">
        <v>6</v>
      </c>
      <c r="M2013" s="1">
        <v>494000</v>
      </c>
      <c r="N2013">
        <v>4.3</v>
      </c>
      <c r="O2013">
        <v>5</v>
      </c>
      <c r="P2013" s="2" t="s">
        <v>26</v>
      </c>
    </row>
    <row r="2014" spans="1:16" x14ac:dyDescent="0.25">
      <c r="A2014" s="2" t="s">
        <v>6981</v>
      </c>
      <c r="B2014" s="2" t="s">
        <v>525</v>
      </c>
      <c r="C2014" s="2" t="s">
        <v>18</v>
      </c>
      <c r="D2014" s="2" t="s">
        <v>50</v>
      </c>
      <c r="E2014" s="2" t="s">
        <v>20</v>
      </c>
      <c r="F2014" s="2" t="s">
        <v>39</v>
      </c>
      <c r="G2014" s="2" t="s">
        <v>33</v>
      </c>
      <c r="H2014" s="2" t="s">
        <v>23</v>
      </c>
      <c r="I2014" s="2" t="s">
        <v>35</v>
      </c>
      <c r="J2014" s="2" t="s">
        <v>3232</v>
      </c>
      <c r="K2014" s="2" t="s">
        <v>3993</v>
      </c>
      <c r="L2014">
        <v>5</v>
      </c>
      <c r="M2014" s="1">
        <v>119000</v>
      </c>
      <c r="N2014">
        <v>4.3</v>
      </c>
      <c r="O2014">
        <v>11</v>
      </c>
      <c r="P2014" s="2" t="s">
        <v>26</v>
      </c>
    </row>
    <row r="2015" spans="1:16" x14ac:dyDescent="0.25">
      <c r="A2015" s="2" t="s">
        <v>6982</v>
      </c>
      <c r="B2015" s="2" t="s">
        <v>6983</v>
      </c>
      <c r="C2015" s="2" t="s">
        <v>18</v>
      </c>
      <c r="D2015" s="2" t="s">
        <v>50</v>
      </c>
      <c r="E2015" s="2" t="s">
        <v>31</v>
      </c>
      <c r="F2015" s="2" t="s">
        <v>21</v>
      </c>
      <c r="G2015" s="2" t="s">
        <v>69</v>
      </c>
      <c r="H2015" s="2" t="s">
        <v>62</v>
      </c>
      <c r="I2015" s="2" t="s">
        <v>24</v>
      </c>
      <c r="J2015" s="2" t="s">
        <v>2310</v>
      </c>
      <c r="K2015" s="2" t="s">
        <v>3993</v>
      </c>
      <c r="L2015">
        <v>5</v>
      </c>
      <c r="M2015" s="1">
        <v>876000</v>
      </c>
      <c r="N2015">
        <v>3.7</v>
      </c>
      <c r="O2015">
        <v>12</v>
      </c>
      <c r="P2015" s="2" t="s">
        <v>72</v>
      </c>
    </row>
    <row r="2016" spans="1:16" x14ac:dyDescent="0.25">
      <c r="A2016" s="2" t="s">
        <v>6988</v>
      </c>
      <c r="B2016" s="2" t="s">
        <v>6989</v>
      </c>
      <c r="C2016" s="2" t="s">
        <v>18</v>
      </c>
      <c r="D2016" s="2" t="s">
        <v>30</v>
      </c>
      <c r="E2016" s="2" t="s">
        <v>20</v>
      </c>
      <c r="F2016" s="2" t="s">
        <v>39</v>
      </c>
      <c r="G2016" s="2" t="s">
        <v>80</v>
      </c>
      <c r="H2016" s="2" t="s">
        <v>34</v>
      </c>
      <c r="I2016" s="2" t="s">
        <v>24</v>
      </c>
      <c r="J2016" s="2" t="s">
        <v>2154</v>
      </c>
      <c r="K2016" s="2" t="s">
        <v>539</v>
      </c>
      <c r="L2016">
        <v>3</v>
      </c>
      <c r="M2016" s="1">
        <v>144000</v>
      </c>
      <c r="N2016">
        <v>3</v>
      </c>
      <c r="O2016">
        <v>3</v>
      </c>
      <c r="P2016" s="2" t="s">
        <v>26</v>
      </c>
    </row>
    <row r="2017" spans="1:16" x14ac:dyDescent="0.25">
      <c r="A2017" s="2" t="s">
        <v>6990</v>
      </c>
      <c r="B2017" s="2" t="s">
        <v>1256</v>
      </c>
      <c r="C2017" s="2" t="s">
        <v>29</v>
      </c>
      <c r="D2017" s="2" t="s">
        <v>79</v>
      </c>
      <c r="E2017" s="2" t="s">
        <v>31</v>
      </c>
      <c r="F2017" s="2" t="s">
        <v>128</v>
      </c>
      <c r="G2017" s="2" t="s">
        <v>22</v>
      </c>
      <c r="H2017" s="2" t="s">
        <v>23</v>
      </c>
      <c r="I2017" s="2" t="s">
        <v>24</v>
      </c>
      <c r="J2017" s="2" t="s">
        <v>3094</v>
      </c>
      <c r="K2017" s="2" t="s">
        <v>539</v>
      </c>
      <c r="L2017">
        <v>5</v>
      </c>
      <c r="M2017" s="1">
        <v>446000</v>
      </c>
      <c r="N2017">
        <v>2</v>
      </c>
      <c r="O2017">
        <v>10</v>
      </c>
      <c r="P2017" s="2" t="s">
        <v>26</v>
      </c>
    </row>
    <row r="2018" spans="1:16" x14ac:dyDescent="0.25">
      <c r="A2018" s="2" t="s">
        <v>6991</v>
      </c>
      <c r="B2018" s="2" t="s">
        <v>6992</v>
      </c>
      <c r="C2018" s="2" t="s">
        <v>29</v>
      </c>
      <c r="D2018" s="2" t="s">
        <v>79</v>
      </c>
      <c r="E2018" s="2" t="s">
        <v>31</v>
      </c>
      <c r="F2018" s="2" t="s">
        <v>32</v>
      </c>
      <c r="G2018" s="2" t="s">
        <v>33</v>
      </c>
      <c r="H2018" s="2" t="s">
        <v>34</v>
      </c>
      <c r="I2018" s="2" t="s">
        <v>75</v>
      </c>
      <c r="J2018" s="2" t="s">
        <v>1732</v>
      </c>
      <c r="K2018" s="2" t="s">
        <v>539</v>
      </c>
      <c r="L2018">
        <v>6</v>
      </c>
      <c r="M2018" s="1">
        <v>278000</v>
      </c>
      <c r="N2018">
        <v>3.1</v>
      </c>
      <c r="O2018">
        <v>0</v>
      </c>
      <c r="P2018" s="2" t="s">
        <v>26</v>
      </c>
    </row>
    <row r="2019" spans="1:16" x14ac:dyDescent="0.25">
      <c r="A2019" s="2" t="s">
        <v>6995</v>
      </c>
      <c r="B2019" s="2" t="s">
        <v>6996</v>
      </c>
      <c r="C2019" s="2" t="s">
        <v>29</v>
      </c>
      <c r="D2019" s="2" t="s">
        <v>43</v>
      </c>
      <c r="E2019" s="2" t="s">
        <v>20</v>
      </c>
      <c r="F2019" s="2" t="s">
        <v>39</v>
      </c>
      <c r="G2019" s="2" t="s">
        <v>22</v>
      </c>
      <c r="H2019" s="2" t="s">
        <v>46</v>
      </c>
      <c r="I2019" s="2" t="s">
        <v>171</v>
      </c>
      <c r="J2019" s="2" t="s">
        <v>2579</v>
      </c>
      <c r="K2019" s="2" t="s">
        <v>539</v>
      </c>
      <c r="L2019">
        <v>4</v>
      </c>
      <c r="M2019" s="1">
        <v>158000</v>
      </c>
      <c r="N2019">
        <v>3.6</v>
      </c>
      <c r="O2019">
        <v>2</v>
      </c>
      <c r="P2019" s="2" t="s">
        <v>53</v>
      </c>
    </row>
    <row r="2020" spans="1:16" x14ac:dyDescent="0.25">
      <c r="A2020" s="2" t="s">
        <v>6997</v>
      </c>
      <c r="B2020" s="2" t="s">
        <v>6998</v>
      </c>
      <c r="C2020" s="2" t="s">
        <v>29</v>
      </c>
      <c r="D2020" s="2" t="s">
        <v>50</v>
      </c>
      <c r="E2020" s="2" t="s">
        <v>20</v>
      </c>
      <c r="F2020" s="2" t="s">
        <v>39</v>
      </c>
      <c r="G2020" s="2" t="s">
        <v>22</v>
      </c>
      <c r="H2020" s="2" t="s">
        <v>34</v>
      </c>
      <c r="I2020" s="2" t="s">
        <v>171</v>
      </c>
      <c r="J2020" s="2" t="s">
        <v>306</v>
      </c>
      <c r="K2020" s="2" t="s">
        <v>2423</v>
      </c>
      <c r="L2020">
        <v>2</v>
      </c>
      <c r="M2020" s="1">
        <v>164000</v>
      </c>
      <c r="N2020">
        <v>2.8</v>
      </c>
      <c r="O2020">
        <v>7</v>
      </c>
      <c r="P2020" s="2" t="s">
        <v>26</v>
      </c>
    </row>
    <row r="2021" spans="1:16" x14ac:dyDescent="0.25">
      <c r="A2021" s="2" t="s">
        <v>6999</v>
      </c>
      <c r="B2021" s="2" t="s">
        <v>4646</v>
      </c>
      <c r="C2021" s="2" t="s">
        <v>29</v>
      </c>
      <c r="D2021" s="2" t="s">
        <v>30</v>
      </c>
      <c r="E2021" s="2" t="s">
        <v>31</v>
      </c>
      <c r="F2021" s="2" t="s">
        <v>128</v>
      </c>
      <c r="G2021" s="2" t="s">
        <v>33</v>
      </c>
      <c r="H2021" s="2" t="s">
        <v>46</v>
      </c>
      <c r="I2021" s="2" t="s">
        <v>24</v>
      </c>
      <c r="J2021" s="2" t="s">
        <v>3139</v>
      </c>
      <c r="K2021" s="2" t="s">
        <v>2423</v>
      </c>
      <c r="L2021">
        <v>2</v>
      </c>
      <c r="M2021" s="1">
        <v>442000</v>
      </c>
      <c r="N2021">
        <v>4.7</v>
      </c>
      <c r="O2021">
        <v>10</v>
      </c>
      <c r="P2021" s="2" t="s">
        <v>26</v>
      </c>
    </row>
    <row r="2022" spans="1:16" x14ac:dyDescent="0.25">
      <c r="A2022" s="2" t="s">
        <v>7000</v>
      </c>
      <c r="B2022" s="2" t="s">
        <v>1702</v>
      </c>
      <c r="C2022" s="2" t="s">
        <v>18</v>
      </c>
      <c r="D2022" s="2" t="s">
        <v>30</v>
      </c>
      <c r="E2022" s="2" t="s">
        <v>20</v>
      </c>
      <c r="F2022" s="2" t="s">
        <v>32</v>
      </c>
      <c r="G2022" s="2" t="s">
        <v>22</v>
      </c>
      <c r="H2022" s="2" t="s">
        <v>46</v>
      </c>
      <c r="I2022" s="2" t="s">
        <v>24</v>
      </c>
      <c r="J2022" s="2" t="s">
        <v>1184</v>
      </c>
      <c r="K2022" s="2" t="s">
        <v>2423</v>
      </c>
      <c r="L2022">
        <v>2</v>
      </c>
      <c r="M2022" s="1">
        <v>343000</v>
      </c>
      <c r="N2022">
        <v>3.1</v>
      </c>
      <c r="O2022">
        <v>6</v>
      </c>
      <c r="P2022" s="2" t="s">
        <v>53</v>
      </c>
    </row>
    <row r="2023" spans="1:16" x14ac:dyDescent="0.25">
      <c r="A2023" s="2" t="s">
        <v>7001</v>
      </c>
      <c r="B2023" s="2" t="s">
        <v>7002</v>
      </c>
      <c r="C2023" s="2" t="s">
        <v>29</v>
      </c>
      <c r="D2023" s="2" t="s">
        <v>50</v>
      </c>
      <c r="E2023" s="2" t="s">
        <v>20</v>
      </c>
      <c r="F2023" s="2" t="s">
        <v>21</v>
      </c>
      <c r="G2023" s="2" t="s">
        <v>22</v>
      </c>
      <c r="H2023" s="2" t="s">
        <v>62</v>
      </c>
      <c r="I2023" s="2" t="s">
        <v>75</v>
      </c>
      <c r="J2023" s="2" t="s">
        <v>2323</v>
      </c>
      <c r="K2023" s="2" t="s">
        <v>1562</v>
      </c>
      <c r="L2023">
        <v>2</v>
      </c>
      <c r="M2023" s="1">
        <v>932000</v>
      </c>
      <c r="N2023">
        <v>4</v>
      </c>
      <c r="O2023">
        <v>18</v>
      </c>
      <c r="P2023" s="2" t="s">
        <v>114</v>
      </c>
    </row>
    <row r="2024" spans="1:16" x14ac:dyDescent="0.25">
      <c r="A2024" s="2" t="s">
        <v>7003</v>
      </c>
      <c r="B2024" s="2" t="s">
        <v>2852</v>
      </c>
      <c r="C2024" s="2" t="s">
        <v>18</v>
      </c>
      <c r="D2024" s="2" t="s">
        <v>19</v>
      </c>
      <c r="E2024" s="2" t="s">
        <v>20</v>
      </c>
      <c r="F2024" s="2" t="s">
        <v>39</v>
      </c>
      <c r="G2024" s="2" t="s">
        <v>33</v>
      </c>
      <c r="H2024" s="2" t="s">
        <v>23</v>
      </c>
      <c r="I2024" s="2" t="s">
        <v>75</v>
      </c>
      <c r="J2024" s="2" t="s">
        <v>752</v>
      </c>
      <c r="K2024" s="2" t="s">
        <v>109</v>
      </c>
      <c r="L2024">
        <v>6</v>
      </c>
      <c r="M2024" s="1">
        <v>183000</v>
      </c>
      <c r="N2024">
        <v>4.2</v>
      </c>
      <c r="O2024">
        <v>12</v>
      </c>
      <c r="P2024" s="2" t="s">
        <v>26</v>
      </c>
    </row>
    <row r="2025" spans="1:16" x14ac:dyDescent="0.25">
      <c r="A2025" s="2" t="s">
        <v>7004</v>
      </c>
      <c r="B2025" s="2" t="s">
        <v>7005</v>
      </c>
      <c r="C2025" s="2" t="s">
        <v>18</v>
      </c>
      <c r="D2025" s="2" t="s">
        <v>79</v>
      </c>
      <c r="E2025" s="2" t="s">
        <v>20</v>
      </c>
      <c r="F2025" s="2" t="s">
        <v>128</v>
      </c>
      <c r="G2025" s="2" t="s">
        <v>22</v>
      </c>
      <c r="H2025" s="2" t="s">
        <v>34</v>
      </c>
      <c r="I2025" s="2" t="s">
        <v>24</v>
      </c>
      <c r="J2025" s="2" t="s">
        <v>2606</v>
      </c>
      <c r="K2025" s="2" t="s">
        <v>109</v>
      </c>
      <c r="L2025">
        <v>2</v>
      </c>
      <c r="M2025" s="1">
        <v>423000</v>
      </c>
      <c r="N2025">
        <v>2.6</v>
      </c>
      <c r="O2025">
        <v>0</v>
      </c>
      <c r="P2025" s="2" t="s">
        <v>26</v>
      </c>
    </row>
    <row r="2026" spans="1:16" x14ac:dyDescent="0.25">
      <c r="A2026" s="2" t="s">
        <v>7006</v>
      </c>
      <c r="B2026" s="2" t="s">
        <v>4456</v>
      </c>
      <c r="C2026" s="2" t="s">
        <v>18</v>
      </c>
      <c r="D2026" s="2" t="s">
        <v>79</v>
      </c>
      <c r="E2026" s="2" t="s">
        <v>44</v>
      </c>
      <c r="F2026" s="2" t="s">
        <v>128</v>
      </c>
      <c r="G2026" s="2" t="s">
        <v>33</v>
      </c>
      <c r="H2026" s="2" t="s">
        <v>46</v>
      </c>
      <c r="I2026" s="2" t="s">
        <v>35</v>
      </c>
      <c r="J2026" s="2" t="s">
        <v>4326</v>
      </c>
      <c r="K2026" s="2" t="s">
        <v>109</v>
      </c>
      <c r="L2026">
        <v>3</v>
      </c>
      <c r="M2026" s="1">
        <v>520000</v>
      </c>
      <c r="N2026">
        <v>3.5</v>
      </c>
      <c r="O2026">
        <v>29</v>
      </c>
      <c r="P2026" s="2" t="s">
        <v>26</v>
      </c>
    </row>
    <row r="2027" spans="1:16" x14ac:dyDescent="0.25">
      <c r="A2027" s="2" t="s">
        <v>7009</v>
      </c>
      <c r="B2027" s="2" t="s">
        <v>3733</v>
      </c>
      <c r="C2027" s="2" t="s">
        <v>18</v>
      </c>
      <c r="D2027" s="2" t="s">
        <v>30</v>
      </c>
      <c r="E2027" s="2" t="s">
        <v>20</v>
      </c>
      <c r="F2027" s="2" t="s">
        <v>39</v>
      </c>
      <c r="G2027" s="2" t="s">
        <v>22</v>
      </c>
      <c r="H2027" s="2" t="s">
        <v>23</v>
      </c>
      <c r="I2027" s="2" t="s">
        <v>24</v>
      </c>
      <c r="J2027" s="2" t="s">
        <v>2723</v>
      </c>
      <c r="K2027" s="2" t="s">
        <v>109</v>
      </c>
      <c r="L2027">
        <v>3</v>
      </c>
      <c r="M2027" s="1">
        <v>123000</v>
      </c>
      <c r="N2027">
        <v>3.3</v>
      </c>
      <c r="O2027">
        <v>4</v>
      </c>
      <c r="P2027" s="2" t="s">
        <v>26</v>
      </c>
    </row>
    <row r="2028" spans="1:16" x14ac:dyDescent="0.25">
      <c r="A2028" s="2" t="s">
        <v>7010</v>
      </c>
      <c r="B2028" s="2" t="s">
        <v>7011</v>
      </c>
      <c r="C2028" s="2" t="s">
        <v>18</v>
      </c>
      <c r="D2028" s="2" t="s">
        <v>30</v>
      </c>
      <c r="E2028" s="2" t="s">
        <v>20</v>
      </c>
      <c r="F2028" s="2" t="s">
        <v>39</v>
      </c>
      <c r="G2028" s="2" t="s">
        <v>80</v>
      </c>
      <c r="H2028" s="2" t="s">
        <v>46</v>
      </c>
      <c r="I2028" s="2" t="s">
        <v>24</v>
      </c>
      <c r="J2028" s="2" t="s">
        <v>6600</v>
      </c>
      <c r="K2028" s="2" t="s">
        <v>109</v>
      </c>
      <c r="L2028">
        <v>7</v>
      </c>
      <c r="M2028" s="1">
        <v>105000</v>
      </c>
      <c r="N2028">
        <v>2.7</v>
      </c>
      <c r="O2028">
        <v>3</v>
      </c>
      <c r="P2028" s="2" t="s">
        <v>53</v>
      </c>
    </row>
    <row r="2029" spans="1:16" x14ac:dyDescent="0.25">
      <c r="A2029" s="2" t="s">
        <v>7013</v>
      </c>
      <c r="B2029" s="2" t="s">
        <v>7014</v>
      </c>
      <c r="C2029" s="2" t="s">
        <v>18</v>
      </c>
      <c r="D2029" s="2" t="s">
        <v>19</v>
      </c>
      <c r="E2029" s="2" t="s">
        <v>44</v>
      </c>
      <c r="F2029" s="2" t="s">
        <v>128</v>
      </c>
      <c r="G2029" s="2" t="s">
        <v>33</v>
      </c>
      <c r="H2029" s="2" t="s">
        <v>46</v>
      </c>
      <c r="I2029" s="2" t="s">
        <v>57</v>
      </c>
      <c r="J2029" s="2" t="s">
        <v>7015</v>
      </c>
      <c r="K2029" s="2" t="s">
        <v>1310</v>
      </c>
      <c r="L2029">
        <v>3</v>
      </c>
      <c r="M2029" s="1">
        <v>504000</v>
      </c>
      <c r="N2029">
        <v>2.6</v>
      </c>
      <c r="O2029">
        <v>1</v>
      </c>
      <c r="P2029" s="2" t="s">
        <v>53</v>
      </c>
    </row>
    <row r="2030" spans="1:16" x14ac:dyDescent="0.25">
      <c r="A2030" s="2" t="s">
        <v>7018</v>
      </c>
      <c r="B2030" s="2" t="s">
        <v>7019</v>
      </c>
      <c r="C2030" s="2" t="s">
        <v>29</v>
      </c>
      <c r="D2030" s="2" t="s">
        <v>79</v>
      </c>
      <c r="E2030" s="2" t="s">
        <v>44</v>
      </c>
      <c r="F2030" s="2" t="s">
        <v>32</v>
      </c>
      <c r="G2030" s="2" t="s">
        <v>22</v>
      </c>
      <c r="H2030" s="2" t="s">
        <v>46</v>
      </c>
      <c r="I2030" s="2" t="s">
        <v>24</v>
      </c>
      <c r="J2030" s="2" t="s">
        <v>478</v>
      </c>
      <c r="K2030" s="2" t="s">
        <v>5003</v>
      </c>
      <c r="L2030">
        <v>2</v>
      </c>
      <c r="M2030" s="1">
        <v>236000</v>
      </c>
      <c r="N2030">
        <v>3.2</v>
      </c>
      <c r="O2030">
        <v>1</v>
      </c>
      <c r="P2030" s="2" t="s">
        <v>26</v>
      </c>
    </row>
    <row r="2031" spans="1:16" x14ac:dyDescent="0.25">
      <c r="A2031" s="2" t="s">
        <v>7021</v>
      </c>
      <c r="B2031" s="2" t="s">
        <v>7022</v>
      </c>
      <c r="C2031" s="2" t="s">
        <v>29</v>
      </c>
      <c r="D2031" s="2" t="s">
        <v>50</v>
      </c>
      <c r="E2031" s="2" t="s">
        <v>20</v>
      </c>
      <c r="F2031" s="2" t="s">
        <v>32</v>
      </c>
      <c r="G2031" s="2" t="s">
        <v>33</v>
      </c>
      <c r="H2031" s="2" t="s">
        <v>34</v>
      </c>
      <c r="I2031" s="2" t="s">
        <v>24</v>
      </c>
      <c r="J2031" s="2" t="s">
        <v>1391</v>
      </c>
      <c r="K2031" s="2" t="s">
        <v>5003</v>
      </c>
      <c r="L2031">
        <v>4</v>
      </c>
      <c r="M2031" s="1">
        <v>226000</v>
      </c>
      <c r="N2031">
        <v>3.6</v>
      </c>
      <c r="O2031">
        <v>16</v>
      </c>
      <c r="P2031" s="2" t="s">
        <v>26</v>
      </c>
    </row>
    <row r="2032" spans="1:16" x14ac:dyDescent="0.25">
      <c r="A2032" s="2" t="s">
        <v>7023</v>
      </c>
      <c r="B2032" s="2" t="s">
        <v>4766</v>
      </c>
      <c r="C2032" s="2" t="s">
        <v>18</v>
      </c>
      <c r="D2032" s="2" t="s">
        <v>50</v>
      </c>
      <c r="E2032" s="2" t="s">
        <v>20</v>
      </c>
      <c r="F2032" s="2" t="s">
        <v>128</v>
      </c>
      <c r="G2032" s="2" t="s">
        <v>33</v>
      </c>
      <c r="H2032" s="2" t="s">
        <v>23</v>
      </c>
      <c r="I2032" s="2" t="s">
        <v>57</v>
      </c>
      <c r="J2032" s="2" t="s">
        <v>360</v>
      </c>
      <c r="K2032" s="2" t="s">
        <v>5003</v>
      </c>
      <c r="L2032">
        <v>2</v>
      </c>
      <c r="M2032" s="1">
        <v>533000</v>
      </c>
      <c r="N2032">
        <v>3</v>
      </c>
      <c r="O2032">
        <v>0</v>
      </c>
      <c r="P2032" s="2" t="s">
        <v>72</v>
      </c>
    </row>
    <row r="2033" spans="1:16" x14ac:dyDescent="0.25">
      <c r="A2033" s="2" t="s">
        <v>7026</v>
      </c>
      <c r="B2033" s="2" t="s">
        <v>4260</v>
      </c>
      <c r="C2033" s="2" t="s">
        <v>29</v>
      </c>
      <c r="D2033" s="2" t="s">
        <v>43</v>
      </c>
      <c r="E2033" s="2" t="s">
        <v>20</v>
      </c>
      <c r="F2033" s="2" t="s">
        <v>32</v>
      </c>
      <c r="G2033" s="2" t="s">
        <v>22</v>
      </c>
      <c r="H2033" s="2" t="s">
        <v>23</v>
      </c>
      <c r="I2033" s="2" t="s">
        <v>75</v>
      </c>
      <c r="J2033" s="2" t="s">
        <v>145</v>
      </c>
      <c r="K2033" s="2" t="s">
        <v>591</v>
      </c>
      <c r="L2033">
        <v>2</v>
      </c>
      <c r="M2033" s="1">
        <v>180000</v>
      </c>
      <c r="N2033">
        <v>3.6</v>
      </c>
      <c r="O2033">
        <v>10</v>
      </c>
      <c r="P2033" s="2" t="s">
        <v>26</v>
      </c>
    </row>
    <row r="2034" spans="1:16" x14ac:dyDescent="0.25">
      <c r="A2034" s="2" t="s">
        <v>7027</v>
      </c>
      <c r="B2034" s="2" t="s">
        <v>7028</v>
      </c>
      <c r="C2034" s="2" t="s">
        <v>18</v>
      </c>
      <c r="D2034" s="2" t="s">
        <v>50</v>
      </c>
      <c r="E2034" s="2" t="s">
        <v>31</v>
      </c>
      <c r="F2034" s="2" t="s">
        <v>128</v>
      </c>
      <c r="G2034" s="2" t="s">
        <v>80</v>
      </c>
      <c r="H2034" s="2" t="s">
        <v>23</v>
      </c>
      <c r="I2034" s="2" t="s">
        <v>57</v>
      </c>
      <c r="J2034" s="2" t="s">
        <v>7029</v>
      </c>
      <c r="K2034" s="2" t="s">
        <v>591</v>
      </c>
      <c r="L2034">
        <v>5</v>
      </c>
      <c r="M2034" s="1">
        <v>598000</v>
      </c>
      <c r="N2034">
        <v>3.5</v>
      </c>
      <c r="O2034">
        <v>13</v>
      </c>
      <c r="P2034" s="2" t="s">
        <v>26</v>
      </c>
    </row>
    <row r="2035" spans="1:16" x14ac:dyDescent="0.25">
      <c r="A2035" s="2" t="s">
        <v>7030</v>
      </c>
      <c r="B2035" s="2" t="s">
        <v>184</v>
      </c>
      <c r="C2035" s="2" t="s">
        <v>29</v>
      </c>
      <c r="D2035" s="2" t="s">
        <v>30</v>
      </c>
      <c r="E2035" s="2" t="s">
        <v>44</v>
      </c>
      <c r="F2035" s="2" t="s">
        <v>39</v>
      </c>
      <c r="G2035" s="2" t="s">
        <v>22</v>
      </c>
      <c r="H2035" s="2" t="s">
        <v>34</v>
      </c>
      <c r="I2035" s="2" t="s">
        <v>75</v>
      </c>
      <c r="J2035" s="2" t="s">
        <v>7031</v>
      </c>
      <c r="K2035" s="2" t="s">
        <v>591</v>
      </c>
      <c r="L2035">
        <v>3</v>
      </c>
      <c r="M2035" s="1">
        <v>144000</v>
      </c>
      <c r="N2035">
        <v>2.9</v>
      </c>
      <c r="O2035">
        <v>3</v>
      </c>
      <c r="P2035" s="2" t="s">
        <v>53</v>
      </c>
    </row>
    <row r="2036" spans="1:16" x14ac:dyDescent="0.25">
      <c r="A2036" s="2" t="s">
        <v>7034</v>
      </c>
      <c r="B2036" s="2" t="s">
        <v>4920</v>
      </c>
      <c r="C2036" s="2" t="s">
        <v>18</v>
      </c>
      <c r="D2036" s="2" t="s">
        <v>30</v>
      </c>
      <c r="E2036" s="2" t="s">
        <v>20</v>
      </c>
      <c r="F2036" s="2" t="s">
        <v>32</v>
      </c>
      <c r="G2036" s="2" t="s">
        <v>22</v>
      </c>
      <c r="H2036" s="2" t="s">
        <v>34</v>
      </c>
      <c r="I2036" s="2" t="s">
        <v>57</v>
      </c>
      <c r="J2036" s="2" t="s">
        <v>4289</v>
      </c>
      <c r="K2036" s="2" t="s">
        <v>6501</v>
      </c>
      <c r="L2036">
        <v>4</v>
      </c>
      <c r="M2036" s="1">
        <v>307000</v>
      </c>
      <c r="N2036">
        <v>4.0999999999999996</v>
      </c>
      <c r="O2036">
        <v>7</v>
      </c>
      <c r="P2036" s="2" t="s">
        <v>114</v>
      </c>
    </row>
    <row r="2037" spans="1:16" x14ac:dyDescent="0.25">
      <c r="A2037" s="2" t="s">
        <v>7035</v>
      </c>
      <c r="B2037" s="2" t="s">
        <v>6973</v>
      </c>
      <c r="C2037" s="2" t="s">
        <v>29</v>
      </c>
      <c r="D2037" s="2" t="s">
        <v>43</v>
      </c>
      <c r="E2037" s="2" t="s">
        <v>44</v>
      </c>
      <c r="F2037" s="2" t="s">
        <v>128</v>
      </c>
      <c r="G2037" s="2" t="s">
        <v>22</v>
      </c>
      <c r="H2037" s="2" t="s">
        <v>23</v>
      </c>
      <c r="I2037" s="2" t="s">
        <v>35</v>
      </c>
      <c r="J2037" s="2" t="s">
        <v>1321</v>
      </c>
      <c r="K2037" s="2" t="s">
        <v>3294</v>
      </c>
      <c r="L2037">
        <v>4</v>
      </c>
      <c r="M2037" s="1">
        <v>423000</v>
      </c>
      <c r="N2037">
        <v>2.1</v>
      </c>
      <c r="O2037">
        <v>2</v>
      </c>
      <c r="P2037" s="2" t="s">
        <v>26</v>
      </c>
    </row>
    <row r="2038" spans="1:16" x14ac:dyDescent="0.25">
      <c r="A2038" s="2" t="s">
        <v>3292</v>
      </c>
      <c r="B2038" s="2" t="s">
        <v>3293</v>
      </c>
      <c r="C2038" s="2" t="s">
        <v>29</v>
      </c>
      <c r="D2038" s="2" t="s">
        <v>30</v>
      </c>
      <c r="E2038" s="2" t="s">
        <v>31</v>
      </c>
      <c r="F2038" s="2" t="s">
        <v>32</v>
      </c>
      <c r="G2038" s="2" t="s">
        <v>22</v>
      </c>
      <c r="H2038" s="2" t="s">
        <v>62</v>
      </c>
      <c r="I2038" s="2" t="s">
        <v>57</v>
      </c>
      <c r="J2038" s="2" t="s">
        <v>1429</v>
      </c>
      <c r="K2038" s="2" t="s">
        <v>3294</v>
      </c>
      <c r="L2038">
        <v>2</v>
      </c>
      <c r="M2038" s="1">
        <v>269000</v>
      </c>
      <c r="N2038">
        <v>4.5999999999999996</v>
      </c>
      <c r="O2038">
        <v>3</v>
      </c>
      <c r="P2038" s="2" t="s">
        <v>53</v>
      </c>
    </row>
    <row r="2039" spans="1:16" x14ac:dyDescent="0.25">
      <c r="A2039" s="2" t="s">
        <v>7040</v>
      </c>
      <c r="B2039" s="2" t="s">
        <v>1915</v>
      </c>
      <c r="C2039" s="2" t="s">
        <v>29</v>
      </c>
      <c r="D2039" s="2" t="s">
        <v>50</v>
      </c>
      <c r="E2039" s="2" t="s">
        <v>31</v>
      </c>
      <c r="F2039" s="2" t="s">
        <v>128</v>
      </c>
      <c r="G2039" s="2" t="s">
        <v>22</v>
      </c>
      <c r="H2039" s="2" t="s">
        <v>34</v>
      </c>
      <c r="I2039" s="2" t="s">
        <v>24</v>
      </c>
      <c r="J2039" s="2" t="s">
        <v>6230</v>
      </c>
      <c r="K2039" s="2" t="s">
        <v>219</v>
      </c>
      <c r="L2039">
        <v>5</v>
      </c>
      <c r="M2039" s="1">
        <v>497000</v>
      </c>
      <c r="N2039">
        <v>5</v>
      </c>
      <c r="O2039">
        <v>7</v>
      </c>
      <c r="P2039" s="2" t="s">
        <v>114</v>
      </c>
    </row>
    <row r="2040" spans="1:16" x14ac:dyDescent="0.25">
      <c r="A2040" s="2" t="s">
        <v>7041</v>
      </c>
      <c r="B2040" s="2" t="s">
        <v>715</v>
      </c>
      <c r="C2040" s="2" t="s">
        <v>29</v>
      </c>
      <c r="D2040" s="2" t="s">
        <v>43</v>
      </c>
      <c r="E2040" s="2" t="s">
        <v>20</v>
      </c>
      <c r="F2040" s="2" t="s">
        <v>128</v>
      </c>
      <c r="G2040" s="2" t="s">
        <v>69</v>
      </c>
      <c r="H2040" s="2" t="s">
        <v>46</v>
      </c>
      <c r="I2040" s="2" t="s">
        <v>35</v>
      </c>
      <c r="J2040" s="2" t="s">
        <v>4506</v>
      </c>
      <c r="K2040" s="2" t="s">
        <v>7042</v>
      </c>
      <c r="L2040">
        <v>7</v>
      </c>
      <c r="M2040" s="1">
        <v>474000</v>
      </c>
      <c r="N2040">
        <v>4</v>
      </c>
      <c r="O2040">
        <v>9</v>
      </c>
      <c r="P2040" s="2" t="s">
        <v>53</v>
      </c>
    </row>
    <row r="2041" spans="1:16" x14ac:dyDescent="0.25">
      <c r="A2041" s="2" t="s">
        <v>7043</v>
      </c>
      <c r="B2041" s="2" t="s">
        <v>7044</v>
      </c>
      <c r="C2041" s="2" t="s">
        <v>29</v>
      </c>
      <c r="D2041" s="2" t="s">
        <v>50</v>
      </c>
      <c r="E2041" s="2" t="s">
        <v>20</v>
      </c>
      <c r="F2041" s="2" t="s">
        <v>39</v>
      </c>
      <c r="G2041" s="2" t="s">
        <v>33</v>
      </c>
      <c r="H2041" s="2" t="s">
        <v>34</v>
      </c>
      <c r="I2041" s="2" t="s">
        <v>24</v>
      </c>
      <c r="J2041" s="2" t="s">
        <v>4834</v>
      </c>
      <c r="K2041" s="2" t="s">
        <v>5013</v>
      </c>
      <c r="L2041">
        <v>5</v>
      </c>
      <c r="M2041" s="1">
        <v>126000</v>
      </c>
      <c r="N2041">
        <v>3</v>
      </c>
      <c r="O2041">
        <v>13</v>
      </c>
      <c r="P2041" s="2" t="s">
        <v>26</v>
      </c>
    </row>
    <row r="2042" spans="1:16" x14ac:dyDescent="0.25">
      <c r="A2042" s="2" t="s">
        <v>7045</v>
      </c>
      <c r="B2042" s="2" t="s">
        <v>7046</v>
      </c>
      <c r="C2042" s="2" t="s">
        <v>18</v>
      </c>
      <c r="D2042" s="2" t="s">
        <v>43</v>
      </c>
      <c r="E2042" s="2" t="s">
        <v>44</v>
      </c>
      <c r="F2042" s="2" t="s">
        <v>32</v>
      </c>
      <c r="G2042" s="2" t="s">
        <v>22</v>
      </c>
      <c r="H2042" s="2" t="s">
        <v>34</v>
      </c>
      <c r="I2042" s="2" t="s">
        <v>57</v>
      </c>
      <c r="J2042" s="2" t="s">
        <v>7047</v>
      </c>
      <c r="K2042" s="2" t="s">
        <v>5013</v>
      </c>
      <c r="L2042">
        <v>4</v>
      </c>
      <c r="M2042" s="1">
        <v>313000</v>
      </c>
      <c r="N2042">
        <v>2.2999999999999998</v>
      </c>
      <c r="O2042">
        <v>13</v>
      </c>
      <c r="P2042" s="2" t="s">
        <v>26</v>
      </c>
    </row>
    <row r="2043" spans="1:16" x14ac:dyDescent="0.25">
      <c r="A2043" s="2" t="s">
        <v>7048</v>
      </c>
      <c r="B2043" s="2" t="s">
        <v>3252</v>
      </c>
      <c r="C2043" s="2" t="s">
        <v>29</v>
      </c>
      <c r="D2043" s="2" t="s">
        <v>50</v>
      </c>
      <c r="E2043" s="2" t="s">
        <v>44</v>
      </c>
      <c r="F2043" s="2" t="s">
        <v>39</v>
      </c>
      <c r="G2043" s="2" t="s">
        <v>69</v>
      </c>
      <c r="H2043" s="2" t="s">
        <v>46</v>
      </c>
      <c r="I2043" s="2" t="s">
        <v>57</v>
      </c>
      <c r="J2043" s="2" t="s">
        <v>1545</v>
      </c>
      <c r="K2043" s="2" t="s">
        <v>5013</v>
      </c>
      <c r="L2043">
        <v>4</v>
      </c>
      <c r="M2043" s="1">
        <v>120000</v>
      </c>
      <c r="N2043">
        <v>4.4000000000000004</v>
      </c>
      <c r="O2043">
        <v>7</v>
      </c>
      <c r="P2043" s="2" t="s">
        <v>26</v>
      </c>
    </row>
    <row r="2044" spans="1:16" x14ac:dyDescent="0.25">
      <c r="A2044" s="2" t="s">
        <v>7049</v>
      </c>
      <c r="B2044" s="2" t="s">
        <v>7050</v>
      </c>
      <c r="C2044" s="2" t="s">
        <v>29</v>
      </c>
      <c r="D2044" s="2" t="s">
        <v>30</v>
      </c>
      <c r="E2044" s="2" t="s">
        <v>44</v>
      </c>
      <c r="F2044" s="2" t="s">
        <v>128</v>
      </c>
      <c r="G2044" s="2" t="s">
        <v>33</v>
      </c>
      <c r="H2044" s="2" t="s">
        <v>46</v>
      </c>
      <c r="I2044" s="2" t="s">
        <v>24</v>
      </c>
      <c r="J2044" s="2" t="s">
        <v>192</v>
      </c>
      <c r="K2044" s="2" t="s">
        <v>5013</v>
      </c>
      <c r="L2044">
        <v>3</v>
      </c>
      <c r="M2044" s="1">
        <v>395000</v>
      </c>
      <c r="N2044">
        <v>2.4</v>
      </c>
      <c r="O2044">
        <v>7</v>
      </c>
      <c r="P2044" s="2" t="s">
        <v>53</v>
      </c>
    </row>
    <row r="2045" spans="1:16" x14ac:dyDescent="0.25">
      <c r="A2045" s="2" t="s">
        <v>7054</v>
      </c>
      <c r="B2045" s="2" t="s">
        <v>2913</v>
      </c>
      <c r="C2045" s="2" t="s">
        <v>18</v>
      </c>
      <c r="D2045" s="2" t="s">
        <v>50</v>
      </c>
      <c r="E2045" s="2" t="s">
        <v>20</v>
      </c>
      <c r="F2045" s="2" t="s">
        <v>32</v>
      </c>
      <c r="G2045" s="2" t="s">
        <v>22</v>
      </c>
      <c r="H2045" s="2" t="s">
        <v>46</v>
      </c>
      <c r="I2045" s="2" t="s">
        <v>57</v>
      </c>
      <c r="J2045" s="2" t="s">
        <v>2687</v>
      </c>
      <c r="K2045" s="2" t="s">
        <v>1260</v>
      </c>
      <c r="L2045">
        <v>2</v>
      </c>
      <c r="M2045" s="1">
        <v>350000</v>
      </c>
      <c r="N2045">
        <v>2</v>
      </c>
      <c r="O2045">
        <v>32</v>
      </c>
      <c r="P2045" s="2" t="s">
        <v>26</v>
      </c>
    </row>
    <row r="2046" spans="1:16" x14ac:dyDescent="0.25">
      <c r="A2046" s="2" t="s">
        <v>7055</v>
      </c>
      <c r="B2046" s="2" t="s">
        <v>7056</v>
      </c>
      <c r="C2046" s="2" t="s">
        <v>18</v>
      </c>
      <c r="D2046" s="2" t="s">
        <v>43</v>
      </c>
      <c r="E2046" s="2" t="s">
        <v>44</v>
      </c>
      <c r="F2046" s="2" t="s">
        <v>32</v>
      </c>
      <c r="G2046" s="2" t="s">
        <v>22</v>
      </c>
      <c r="H2046" s="2" t="s">
        <v>23</v>
      </c>
      <c r="I2046" s="2" t="s">
        <v>75</v>
      </c>
      <c r="J2046" s="2" t="s">
        <v>3488</v>
      </c>
      <c r="K2046" s="2" t="s">
        <v>1260</v>
      </c>
      <c r="L2046">
        <v>4</v>
      </c>
      <c r="M2046" s="1">
        <v>291000</v>
      </c>
      <c r="N2046">
        <v>4.4000000000000004</v>
      </c>
      <c r="O2046">
        <v>6</v>
      </c>
      <c r="P2046" s="2" t="s">
        <v>26</v>
      </c>
    </row>
    <row r="2047" spans="1:16" x14ac:dyDescent="0.25">
      <c r="A2047" s="2" t="s">
        <v>7057</v>
      </c>
      <c r="B2047" s="2" t="s">
        <v>6738</v>
      </c>
      <c r="C2047" s="2" t="s">
        <v>29</v>
      </c>
      <c r="D2047" s="2" t="s">
        <v>19</v>
      </c>
      <c r="E2047" s="2" t="s">
        <v>20</v>
      </c>
      <c r="F2047" s="2" t="s">
        <v>32</v>
      </c>
      <c r="G2047" s="2" t="s">
        <v>80</v>
      </c>
      <c r="H2047" s="2" t="s">
        <v>62</v>
      </c>
      <c r="I2047" s="2" t="s">
        <v>35</v>
      </c>
      <c r="J2047" s="2" t="s">
        <v>1537</v>
      </c>
      <c r="K2047" s="2" t="s">
        <v>1260</v>
      </c>
      <c r="L2047">
        <v>4</v>
      </c>
      <c r="M2047" s="1">
        <v>355000</v>
      </c>
      <c r="N2047">
        <v>3.3</v>
      </c>
      <c r="O2047">
        <v>23</v>
      </c>
      <c r="P2047" s="2" t="s">
        <v>72</v>
      </c>
    </row>
    <row r="2048" spans="1:16" x14ac:dyDescent="0.25">
      <c r="A2048" s="2" t="s">
        <v>7058</v>
      </c>
      <c r="B2048" s="2" t="s">
        <v>7059</v>
      </c>
      <c r="C2048" s="2" t="s">
        <v>18</v>
      </c>
      <c r="D2048" s="2" t="s">
        <v>30</v>
      </c>
      <c r="E2048" s="2" t="s">
        <v>20</v>
      </c>
      <c r="F2048" s="2" t="s">
        <v>32</v>
      </c>
      <c r="G2048" s="2" t="s">
        <v>22</v>
      </c>
      <c r="H2048" s="2" t="s">
        <v>62</v>
      </c>
      <c r="I2048" s="2" t="s">
        <v>35</v>
      </c>
      <c r="J2048" s="2" t="s">
        <v>7060</v>
      </c>
      <c r="K2048" s="2" t="s">
        <v>6400</v>
      </c>
      <c r="L2048">
        <v>6</v>
      </c>
      <c r="M2048" s="1">
        <v>237000</v>
      </c>
      <c r="N2048">
        <v>1.6</v>
      </c>
      <c r="O2048">
        <v>0</v>
      </c>
      <c r="P2048" s="2" t="s">
        <v>26</v>
      </c>
    </row>
    <row r="2049" spans="1:16" x14ac:dyDescent="0.25">
      <c r="A2049" s="2" t="s">
        <v>7062</v>
      </c>
      <c r="B2049" s="2" t="s">
        <v>7063</v>
      </c>
      <c r="C2049" s="2" t="s">
        <v>18</v>
      </c>
      <c r="D2049" s="2" t="s">
        <v>79</v>
      </c>
      <c r="E2049" s="2" t="s">
        <v>20</v>
      </c>
      <c r="F2049" s="2" t="s">
        <v>32</v>
      </c>
      <c r="G2049" s="2" t="s">
        <v>80</v>
      </c>
      <c r="H2049" s="2" t="s">
        <v>34</v>
      </c>
      <c r="I2049" s="2" t="s">
        <v>57</v>
      </c>
      <c r="J2049" s="2" t="s">
        <v>2381</v>
      </c>
      <c r="K2049" s="2" t="s">
        <v>6400</v>
      </c>
      <c r="L2049">
        <v>4</v>
      </c>
      <c r="M2049" s="1">
        <v>302000</v>
      </c>
      <c r="N2049">
        <v>2.5</v>
      </c>
      <c r="O2049">
        <v>4</v>
      </c>
      <c r="P2049" s="2" t="s">
        <v>26</v>
      </c>
    </row>
    <row r="2050" spans="1:16" x14ac:dyDescent="0.25">
      <c r="A2050" s="2" t="s">
        <v>7064</v>
      </c>
      <c r="B2050" s="2" t="s">
        <v>6293</v>
      </c>
      <c r="C2050" s="2" t="s">
        <v>18</v>
      </c>
      <c r="D2050" s="2" t="s">
        <v>43</v>
      </c>
      <c r="E2050" s="2" t="s">
        <v>20</v>
      </c>
      <c r="F2050" s="2" t="s">
        <v>39</v>
      </c>
      <c r="G2050" s="2" t="s">
        <v>22</v>
      </c>
      <c r="H2050" s="2" t="s">
        <v>34</v>
      </c>
      <c r="I2050" s="2" t="s">
        <v>24</v>
      </c>
      <c r="J2050" s="2" t="s">
        <v>3580</v>
      </c>
      <c r="K2050" s="2" t="s">
        <v>6400</v>
      </c>
      <c r="L2050">
        <v>2</v>
      </c>
      <c r="M2050" s="1">
        <v>95000</v>
      </c>
      <c r="N2050">
        <v>3.8</v>
      </c>
      <c r="O2050">
        <v>12</v>
      </c>
      <c r="P2050" s="2" t="s">
        <v>26</v>
      </c>
    </row>
    <row r="2051" spans="1:16" x14ac:dyDescent="0.25">
      <c r="A2051" s="2" t="s">
        <v>7065</v>
      </c>
      <c r="B2051" s="2" t="s">
        <v>7066</v>
      </c>
      <c r="C2051" s="2" t="s">
        <v>29</v>
      </c>
      <c r="D2051" s="2" t="s">
        <v>19</v>
      </c>
      <c r="E2051" s="2" t="s">
        <v>44</v>
      </c>
      <c r="F2051" s="2" t="s">
        <v>39</v>
      </c>
      <c r="G2051" s="2" t="s">
        <v>22</v>
      </c>
      <c r="H2051" s="2" t="s">
        <v>62</v>
      </c>
      <c r="I2051" s="2" t="s">
        <v>171</v>
      </c>
      <c r="J2051" s="2" t="s">
        <v>6286</v>
      </c>
      <c r="K2051" s="2" t="s">
        <v>6400</v>
      </c>
      <c r="L2051">
        <v>5</v>
      </c>
      <c r="M2051" s="1">
        <v>159000</v>
      </c>
      <c r="N2051">
        <v>2.1</v>
      </c>
      <c r="O2051">
        <v>6</v>
      </c>
      <c r="P2051" s="2" t="s">
        <v>26</v>
      </c>
    </row>
    <row r="2052" spans="1:16" x14ac:dyDescent="0.25">
      <c r="A2052" s="2" t="s">
        <v>7067</v>
      </c>
      <c r="B2052" s="2" t="s">
        <v>4418</v>
      </c>
      <c r="C2052" s="2" t="s">
        <v>18</v>
      </c>
      <c r="D2052" s="2" t="s">
        <v>79</v>
      </c>
      <c r="E2052" s="2" t="s">
        <v>20</v>
      </c>
      <c r="F2052" s="2" t="s">
        <v>32</v>
      </c>
      <c r="G2052" s="2" t="s">
        <v>22</v>
      </c>
      <c r="H2052" s="2" t="s">
        <v>46</v>
      </c>
      <c r="I2052" s="2" t="s">
        <v>35</v>
      </c>
      <c r="J2052" s="2" t="s">
        <v>263</v>
      </c>
      <c r="K2052" s="2" t="s">
        <v>6400</v>
      </c>
      <c r="L2052">
        <v>5</v>
      </c>
      <c r="M2052" s="1">
        <v>219000</v>
      </c>
      <c r="N2052">
        <v>2.4</v>
      </c>
      <c r="O2052">
        <v>13</v>
      </c>
      <c r="P2052" s="2" t="s">
        <v>26</v>
      </c>
    </row>
    <row r="2053" spans="1:16" x14ac:dyDescent="0.25">
      <c r="A2053" s="2" t="s">
        <v>7072</v>
      </c>
      <c r="B2053" s="2" t="s">
        <v>5564</v>
      </c>
      <c r="C2053" s="2" t="s">
        <v>29</v>
      </c>
      <c r="D2053" s="2" t="s">
        <v>43</v>
      </c>
      <c r="E2053" s="2" t="s">
        <v>31</v>
      </c>
      <c r="F2053" s="2" t="s">
        <v>128</v>
      </c>
      <c r="G2053" s="2" t="s">
        <v>22</v>
      </c>
      <c r="H2053" s="2" t="s">
        <v>23</v>
      </c>
      <c r="I2053" s="2" t="s">
        <v>35</v>
      </c>
      <c r="J2053" s="2" t="s">
        <v>5112</v>
      </c>
      <c r="K2053" s="2" t="s">
        <v>6400</v>
      </c>
      <c r="L2053">
        <v>3</v>
      </c>
      <c r="M2053" s="1">
        <v>357000</v>
      </c>
      <c r="N2053">
        <v>2.2000000000000002</v>
      </c>
      <c r="O2053">
        <v>25</v>
      </c>
      <c r="P2053" s="2" t="s">
        <v>26</v>
      </c>
    </row>
    <row r="2054" spans="1:16" x14ac:dyDescent="0.25">
      <c r="A2054" s="2" t="s">
        <v>7082</v>
      </c>
      <c r="B2054" s="2" t="s">
        <v>1776</v>
      </c>
      <c r="C2054" s="2" t="s">
        <v>29</v>
      </c>
      <c r="D2054" s="2" t="s">
        <v>43</v>
      </c>
      <c r="E2054" s="2" t="s">
        <v>31</v>
      </c>
      <c r="F2054" s="2" t="s">
        <v>32</v>
      </c>
      <c r="G2054" s="2" t="s">
        <v>80</v>
      </c>
      <c r="H2054" s="2" t="s">
        <v>23</v>
      </c>
      <c r="I2054" s="2" t="s">
        <v>24</v>
      </c>
      <c r="J2054" s="2" t="s">
        <v>4665</v>
      </c>
      <c r="K2054" s="2" t="s">
        <v>6400</v>
      </c>
      <c r="L2054">
        <v>5</v>
      </c>
      <c r="M2054" s="1">
        <v>213000</v>
      </c>
      <c r="N2054">
        <v>3.5</v>
      </c>
      <c r="O2054">
        <v>12</v>
      </c>
      <c r="P2054" s="2" t="s">
        <v>26</v>
      </c>
    </row>
    <row r="2055" spans="1:16" x14ac:dyDescent="0.25">
      <c r="A2055" s="2" t="s">
        <v>7083</v>
      </c>
      <c r="B2055" s="2" t="s">
        <v>6609</v>
      </c>
      <c r="C2055" s="2" t="s">
        <v>29</v>
      </c>
      <c r="D2055" s="2" t="s">
        <v>19</v>
      </c>
      <c r="E2055" s="2" t="s">
        <v>20</v>
      </c>
      <c r="F2055" s="2" t="s">
        <v>32</v>
      </c>
      <c r="G2055" s="2" t="s">
        <v>80</v>
      </c>
      <c r="H2055" s="2" t="s">
        <v>34</v>
      </c>
      <c r="I2055" s="2" t="s">
        <v>57</v>
      </c>
      <c r="J2055" s="2" t="s">
        <v>196</v>
      </c>
      <c r="K2055" s="2" t="s">
        <v>6400</v>
      </c>
      <c r="L2055">
        <v>3</v>
      </c>
      <c r="M2055" s="1">
        <v>354000</v>
      </c>
      <c r="N2055">
        <v>4</v>
      </c>
      <c r="O2055">
        <v>4</v>
      </c>
      <c r="P2055" s="2" t="s">
        <v>26</v>
      </c>
    </row>
    <row r="2056" spans="1:16" x14ac:dyDescent="0.25">
      <c r="A2056" s="2" t="s">
        <v>7084</v>
      </c>
      <c r="B2056" s="2" t="s">
        <v>7085</v>
      </c>
      <c r="C2056" s="2" t="s">
        <v>18</v>
      </c>
      <c r="D2056" s="2" t="s">
        <v>19</v>
      </c>
      <c r="E2056" s="2" t="s">
        <v>20</v>
      </c>
      <c r="F2056" s="2" t="s">
        <v>32</v>
      </c>
      <c r="G2056" s="2" t="s">
        <v>80</v>
      </c>
      <c r="H2056" s="2" t="s">
        <v>34</v>
      </c>
      <c r="I2056" s="2" t="s">
        <v>57</v>
      </c>
      <c r="J2056" s="2" t="s">
        <v>1426</v>
      </c>
      <c r="K2056" s="2" t="s">
        <v>6400</v>
      </c>
      <c r="L2056">
        <v>3</v>
      </c>
      <c r="M2056" s="1">
        <v>231000</v>
      </c>
      <c r="N2056">
        <v>2.8</v>
      </c>
      <c r="O2056">
        <v>17</v>
      </c>
      <c r="P2056" s="2" t="s">
        <v>26</v>
      </c>
    </row>
    <row r="2057" spans="1:16" x14ac:dyDescent="0.25">
      <c r="A2057" s="2" t="s">
        <v>7086</v>
      </c>
      <c r="B2057" s="2" t="s">
        <v>5704</v>
      </c>
      <c r="C2057" s="2" t="s">
        <v>29</v>
      </c>
      <c r="D2057" s="2" t="s">
        <v>19</v>
      </c>
      <c r="E2057" s="2" t="s">
        <v>20</v>
      </c>
      <c r="F2057" s="2" t="s">
        <v>39</v>
      </c>
      <c r="G2057" s="2" t="s">
        <v>22</v>
      </c>
      <c r="H2057" s="2" t="s">
        <v>23</v>
      </c>
      <c r="I2057" s="2" t="s">
        <v>57</v>
      </c>
      <c r="J2057" s="2" t="s">
        <v>3450</v>
      </c>
      <c r="K2057" s="2" t="s">
        <v>6400</v>
      </c>
      <c r="L2057">
        <v>3</v>
      </c>
      <c r="M2057" s="1">
        <v>121000</v>
      </c>
      <c r="N2057">
        <v>3.6</v>
      </c>
      <c r="O2057">
        <v>20</v>
      </c>
      <c r="P2057" s="2" t="s">
        <v>114</v>
      </c>
    </row>
    <row r="2058" spans="1:16" x14ac:dyDescent="0.25">
      <c r="A2058" s="2" t="s">
        <v>7087</v>
      </c>
      <c r="B2058" s="2" t="s">
        <v>6167</v>
      </c>
      <c r="C2058" s="2" t="s">
        <v>18</v>
      </c>
      <c r="D2058" s="2" t="s">
        <v>50</v>
      </c>
      <c r="E2058" s="2" t="s">
        <v>20</v>
      </c>
      <c r="F2058" s="2" t="s">
        <v>39</v>
      </c>
      <c r="G2058" s="2" t="s">
        <v>69</v>
      </c>
      <c r="H2058" s="2" t="s">
        <v>23</v>
      </c>
      <c r="I2058" s="2" t="s">
        <v>171</v>
      </c>
      <c r="J2058" s="2" t="s">
        <v>572</v>
      </c>
      <c r="K2058" s="2" t="s">
        <v>7095</v>
      </c>
      <c r="L2058">
        <v>5</v>
      </c>
      <c r="M2058" s="1">
        <v>163000</v>
      </c>
      <c r="N2058">
        <v>3.5</v>
      </c>
      <c r="O2058">
        <v>6</v>
      </c>
      <c r="P2058" s="2" t="s">
        <v>26</v>
      </c>
    </row>
    <row r="2059" spans="1:16" x14ac:dyDescent="0.25">
      <c r="A2059" s="2" t="s">
        <v>7088</v>
      </c>
      <c r="B2059" s="2" t="s">
        <v>1841</v>
      </c>
      <c r="C2059" s="2" t="s">
        <v>29</v>
      </c>
      <c r="D2059" s="2" t="s">
        <v>43</v>
      </c>
      <c r="E2059" s="2" t="s">
        <v>31</v>
      </c>
      <c r="F2059" s="2" t="s">
        <v>32</v>
      </c>
      <c r="G2059" s="2" t="s">
        <v>80</v>
      </c>
      <c r="H2059" s="2" t="s">
        <v>62</v>
      </c>
      <c r="I2059" s="2" t="s">
        <v>24</v>
      </c>
      <c r="J2059" s="2" t="s">
        <v>321</v>
      </c>
      <c r="K2059" s="2" t="s">
        <v>7095</v>
      </c>
      <c r="L2059">
        <v>5</v>
      </c>
      <c r="M2059" s="1">
        <v>236000</v>
      </c>
      <c r="N2059">
        <v>4.9000000000000004</v>
      </c>
      <c r="O2059">
        <v>16</v>
      </c>
      <c r="P2059" s="2" t="s">
        <v>26</v>
      </c>
    </row>
    <row r="2060" spans="1:16" x14ac:dyDescent="0.25">
      <c r="A2060" s="2" t="s">
        <v>7089</v>
      </c>
      <c r="B2060" s="2" t="s">
        <v>7090</v>
      </c>
      <c r="C2060" s="2" t="s">
        <v>18</v>
      </c>
      <c r="D2060" s="2" t="s">
        <v>43</v>
      </c>
      <c r="E2060" s="2" t="s">
        <v>20</v>
      </c>
      <c r="F2060" s="2" t="s">
        <v>32</v>
      </c>
      <c r="G2060" s="2" t="s">
        <v>22</v>
      </c>
      <c r="H2060" s="2" t="s">
        <v>46</v>
      </c>
      <c r="I2060" s="2" t="s">
        <v>24</v>
      </c>
      <c r="J2060" s="2" t="s">
        <v>1178</v>
      </c>
      <c r="K2060" s="2" t="s">
        <v>7095</v>
      </c>
      <c r="L2060">
        <v>5</v>
      </c>
      <c r="M2060" s="1">
        <v>189000</v>
      </c>
      <c r="N2060">
        <v>2.9</v>
      </c>
      <c r="O2060">
        <v>10</v>
      </c>
      <c r="P2060" s="2" t="s">
        <v>26</v>
      </c>
    </row>
    <row r="2061" spans="1:16" x14ac:dyDescent="0.25">
      <c r="A2061" s="2" t="s">
        <v>7091</v>
      </c>
      <c r="B2061" s="2" t="s">
        <v>2683</v>
      </c>
      <c r="C2061" s="2" t="s">
        <v>29</v>
      </c>
      <c r="D2061" s="2" t="s">
        <v>43</v>
      </c>
      <c r="E2061" s="2" t="s">
        <v>20</v>
      </c>
      <c r="F2061" s="2" t="s">
        <v>32</v>
      </c>
      <c r="G2061" s="2" t="s">
        <v>22</v>
      </c>
      <c r="H2061" s="2" t="s">
        <v>34</v>
      </c>
      <c r="I2061" s="2" t="s">
        <v>24</v>
      </c>
      <c r="J2061" s="2" t="s">
        <v>5559</v>
      </c>
      <c r="K2061" s="2" t="s">
        <v>7095</v>
      </c>
      <c r="L2061">
        <v>6</v>
      </c>
      <c r="M2061" s="1">
        <v>205000</v>
      </c>
      <c r="N2061">
        <v>2.7</v>
      </c>
      <c r="O2061">
        <v>2</v>
      </c>
      <c r="P2061" s="2" t="s">
        <v>26</v>
      </c>
    </row>
    <row r="2062" spans="1:16" x14ac:dyDescent="0.25">
      <c r="A2062" s="2" t="s">
        <v>7092</v>
      </c>
      <c r="B2062" s="2" t="s">
        <v>7093</v>
      </c>
      <c r="C2062" s="2" t="s">
        <v>29</v>
      </c>
      <c r="D2062" s="2" t="s">
        <v>30</v>
      </c>
      <c r="E2062" s="2" t="s">
        <v>20</v>
      </c>
      <c r="F2062" s="2" t="s">
        <v>32</v>
      </c>
      <c r="G2062" s="2" t="s">
        <v>33</v>
      </c>
      <c r="H2062" s="2" t="s">
        <v>34</v>
      </c>
      <c r="I2062" s="2" t="s">
        <v>24</v>
      </c>
      <c r="J2062" s="2" t="s">
        <v>1404</v>
      </c>
      <c r="K2062" s="2" t="s">
        <v>7095</v>
      </c>
      <c r="L2062">
        <v>5</v>
      </c>
      <c r="M2062" s="1">
        <v>345000</v>
      </c>
      <c r="N2062">
        <v>4.7</v>
      </c>
      <c r="O2062">
        <v>6</v>
      </c>
      <c r="P2062" s="2" t="s">
        <v>26</v>
      </c>
    </row>
    <row r="2063" spans="1:16" x14ac:dyDescent="0.25">
      <c r="A2063" s="2" t="s">
        <v>7094</v>
      </c>
      <c r="B2063" s="2" t="s">
        <v>3696</v>
      </c>
      <c r="C2063" s="2" t="s">
        <v>29</v>
      </c>
      <c r="D2063" s="2" t="s">
        <v>30</v>
      </c>
      <c r="E2063" s="2" t="s">
        <v>20</v>
      </c>
      <c r="F2063" s="2" t="s">
        <v>128</v>
      </c>
      <c r="G2063" s="2" t="s">
        <v>22</v>
      </c>
      <c r="H2063" s="2" t="s">
        <v>23</v>
      </c>
      <c r="I2063" s="2" t="s">
        <v>24</v>
      </c>
      <c r="J2063" s="2" t="s">
        <v>275</v>
      </c>
      <c r="K2063" s="2" t="s">
        <v>7095</v>
      </c>
      <c r="L2063">
        <v>6</v>
      </c>
      <c r="M2063" s="1">
        <v>438000</v>
      </c>
      <c r="N2063">
        <v>3.4</v>
      </c>
      <c r="O2063">
        <v>6</v>
      </c>
      <c r="P2063" s="2" t="s">
        <v>72</v>
      </c>
    </row>
    <row r="2064" spans="1:16" x14ac:dyDescent="0.25">
      <c r="A2064" s="2" t="s">
        <v>7096</v>
      </c>
      <c r="B2064" s="2" t="s">
        <v>954</v>
      </c>
      <c r="C2064" s="2" t="s">
        <v>18</v>
      </c>
      <c r="D2064" s="2" t="s">
        <v>79</v>
      </c>
      <c r="E2064" s="2" t="s">
        <v>20</v>
      </c>
      <c r="F2064" s="2" t="s">
        <v>45</v>
      </c>
      <c r="G2064" s="2" t="s">
        <v>80</v>
      </c>
      <c r="H2064" s="2" t="s">
        <v>46</v>
      </c>
      <c r="I2064" s="2" t="s">
        <v>24</v>
      </c>
      <c r="J2064" s="2" t="s">
        <v>3266</v>
      </c>
      <c r="K2064" s="2" t="s">
        <v>3813</v>
      </c>
      <c r="L2064">
        <v>6</v>
      </c>
      <c r="M2064" s="1">
        <v>1966000</v>
      </c>
      <c r="N2064">
        <v>4.3</v>
      </c>
      <c r="O2064">
        <v>6</v>
      </c>
      <c r="P2064" s="2" t="s">
        <v>72</v>
      </c>
    </row>
    <row r="2065" spans="1:16" x14ac:dyDescent="0.25">
      <c r="A2065" s="2" t="s">
        <v>7100</v>
      </c>
      <c r="B2065" s="2" t="s">
        <v>7101</v>
      </c>
      <c r="C2065" s="2" t="s">
        <v>18</v>
      </c>
      <c r="D2065" s="2" t="s">
        <v>50</v>
      </c>
      <c r="E2065" s="2" t="s">
        <v>20</v>
      </c>
      <c r="F2065" s="2" t="s">
        <v>39</v>
      </c>
      <c r="G2065" s="2" t="s">
        <v>80</v>
      </c>
      <c r="H2065" s="2" t="s">
        <v>23</v>
      </c>
      <c r="I2065" s="2" t="s">
        <v>24</v>
      </c>
      <c r="J2065" s="2" t="s">
        <v>6906</v>
      </c>
      <c r="K2065" s="2" t="s">
        <v>1674</v>
      </c>
      <c r="L2065">
        <v>2</v>
      </c>
      <c r="M2065" s="1">
        <v>107000</v>
      </c>
      <c r="N2065">
        <v>4.9000000000000004</v>
      </c>
      <c r="O2065">
        <v>14</v>
      </c>
      <c r="P2065" s="2" t="s">
        <v>26</v>
      </c>
    </row>
    <row r="2066" spans="1:16" x14ac:dyDescent="0.25">
      <c r="A2066" s="2" t="s">
        <v>7103</v>
      </c>
      <c r="B2066" s="2" t="s">
        <v>7104</v>
      </c>
      <c r="C2066" s="2" t="s">
        <v>29</v>
      </c>
      <c r="D2066" s="2" t="s">
        <v>43</v>
      </c>
      <c r="E2066" s="2" t="s">
        <v>44</v>
      </c>
      <c r="F2066" s="2" t="s">
        <v>32</v>
      </c>
      <c r="G2066" s="2" t="s">
        <v>22</v>
      </c>
      <c r="H2066" s="2" t="s">
        <v>46</v>
      </c>
      <c r="I2066" s="2" t="s">
        <v>35</v>
      </c>
      <c r="J2066" s="2" t="s">
        <v>7105</v>
      </c>
      <c r="K2066" s="2" t="s">
        <v>1674</v>
      </c>
      <c r="L2066">
        <v>6</v>
      </c>
      <c r="M2066" s="1">
        <v>265000</v>
      </c>
      <c r="N2066">
        <v>3.3</v>
      </c>
      <c r="O2066">
        <v>10</v>
      </c>
      <c r="P2066" s="2" t="s">
        <v>26</v>
      </c>
    </row>
    <row r="2067" spans="1:16" x14ac:dyDescent="0.25">
      <c r="A2067" s="2" t="s">
        <v>7106</v>
      </c>
      <c r="B2067" s="2" t="s">
        <v>437</v>
      </c>
      <c r="C2067" s="2" t="s">
        <v>29</v>
      </c>
      <c r="D2067" s="2" t="s">
        <v>30</v>
      </c>
      <c r="E2067" s="2" t="s">
        <v>20</v>
      </c>
      <c r="F2067" s="2" t="s">
        <v>21</v>
      </c>
      <c r="G2067" s="2" t="s">
        <v>69</v>
      </c>
      <c r="H2067" s="2" t="s">
        <v>23</v>
      </c>
      <c r="I2067" s="2" t="s">
        <v>24</v>
      </c>
      <c r="J2067" s="2" t="s">
        <v>266</v>
      </c>
      <c r="K2067" s="2" t="s">
        <v>1674</v>
      </c>
      <c r="L2067">
        <v>4</v>
      </c>
      <c r="M2067" s="1">
        <v>637000</v>
      </c>
      <c r="N2067">
        <v>3.6</v>
      </c>
      <c r="O2067">
        <v>10</v>
      </c>
      <c r="P2067" s="2" t="s">
        <v>26</v>
      </c>
    </row>
    <row r="2068" spans="1:16" x14ac:dyDescent="0.25">
      <c r="A2068" s="2" t="s">
        <v>7107</v>
      </c>
      <c r="B2068" s="2" t="s">
        <v>7108</v>
      </c>
      <c r="C2068" s="2" t="s">
        <v>29</v>
      </c>
      <c r="D2068" s="2" t="s">
        <v>30</v>
      </c>
      <c r="E2068" s="2" t="s">
        <v>31</v>
      </c>
      <c r="F2068" s="2" t="s">
        <v>39</v>
      </c>
      <c r="G2068" s="2" t="s">
        <v>33</v>
      </c>
      <c r="H2068" s="2" t="s">
        <v>23</v>
      </c>
      <c r="I2068" s="2" t="s">
        <v>75</v>
      </c>
      <c r="J2068" s="2" t="s">
        <v>2305</v>
      </c>
      <c r="K2068" s="2" t="s">
        <v>1674</v>
      </c>
      <c r="L2068">
        <v>5</v>
      </c>
      <c r="M2068" s="1">
        <v>106000</v>
      </c>
      <c r="N2068">
        <v>2.5</v>
      </c>
      <c r="O2068">
        <v>7</v>
      </c>
      <c r="P2068" s="2" t="s">
        <v>72</v>
      </c>
    </row>
    <row r="2069" spans="1:16" x14ac:dyDescent="0.25">
      <c r="A2069" s="2" t="s">
        <v>7111</v>
      </c>
      <c r="B2069" s="2" t="s">
        <v>7112</v>
      </c>
      <c r="C2069" s="2" t="s">
        <v>29</v>
      </c>
      <c r="D2069" s="2" t="s">
        <v>30</v>
      </c>
      <c r="E2069" s="2" t="s">
        <v>20</v>
      </c>
      <c r="F2069" s="2" t="s">
        <v>39</v>
      </c>
      <c r="G2069" s="2" t="s">
        <v>22</v>
      </c>
      <c r="H2069" s="2" t="s">
        <v>23</v>
      </c>
      <c r="I2069" s="2" t="s">
        <v>57</v>
      </c>
      <c r="J2069" s="2" t="s">
        <v>7113</v>
      </c>
      <c r="K2069" s="2" t="s">
        <v>1811</v>
      </c>
      <c r="L2069">
        <v>5</v>
      </c>
      <c r="M2069" s="1">
        <v>165000</v>
      </c>
      <c r="N2069">
        <v>2</v>
      </c>
      <c r="O2069">
        <v>8</v>
      </c>
      <c r="P2069" s="2" t="s">
        <v>26</v>
      </c>
    </row>
    <row r="2070" spans="1:16" x14ac:dyDescent="0.25">
      <c r="A2070" s="2" t="s">
        <v>7114</v>
      </c>
      <c r="B2070" s="2" t="s">
        <v>7115</v>
      </c>
      <c r="C2070" s="2" t="s">
        <v>18</v>
      </c>
      <c r="D2070" s="2" t="s">
        <v>30</v>
      </c>
      <c r="E2070" s="2" t="s">
        <v>20</v>
      </c>
      <c r="F2070" s="2" t="s">
        <v>39</v>
      </c>
      <c r="G2070" s="2" t="s">
        <v>80</v>
      </c>
      <c r="H2070" s="2" t="s">
        <v>23</v>
      </c>
      <c r="I2070" s="2" t="s">
        <v>24</v>
      </c>
      <c r="J2070" s="2" t="s">
        <v>1980</v>
      </c>
      <c r="K2070" s="2" t="s">
        <v>1811</v>
      </c>
      <c r="L2070">
        <v>6</v>
      </c>
      <c r="M2070" s="1">
        <v>92000</v>
      </c>
      <c r="N2070">
        <v>2.2999999999999998</v>
      </c>
      <c r="O2070">
        <v>8</v>
      </c>
      <c r="P2070" s="2" t="s">
        <v>26</v>
      </c>
    </row>
    <row r="2071" spans="1:16" x14ac:dyDescent="0.25">
      <c r="A2071" s="2" t="s">
        <v>7116</v>
      </c>
      <c r="B2071" s="2" t="s">
        <v>3168</v>
      </c>
      <c r="C2071" s="2" t="s">
        <v>18</v>
      </c>
      <c r="D2071" s="2" t="s">
        <v>79</v>
      </c>
      <c r="E2071" s="2" t="s">
        <v>20</v>
      </c>
      <c r="F2071" s="2" t="s">
        <v>32</v>
      </c>
      <c r="G2071" s="2" t="s">
        <v>69</v>
      </c>
      <c r="H2071" s="2" t="s">
        <v>62</v>
      </c>
      <c r="I2071" s="2" t="s">
        <v>35</v>
      </c>
      <c r="J2071" s="2" t="s">
        <v>6180</v>
      </c>
      <c r="K2071" s="2" t="s">
        <v>1811</v>
      </c>
      <c r="L2071">
        <v>2</v>
      </c>
      <c r="M2071" s="1">
        <v>328000</v>
      </c>
      <c r="N2071">
        <v>4.9000000000000004</v>
      </c>
      <c r="O2071">
        <v>33</v>
      </c>
      <c r="P2071" s="2" t="s">
        <v>26</v>
      </c>
    </row>
    <row r="2072" spans="1:16" x14ac:dyDescent="0.25">
      <c r="A2072" s="2" t="s">
        <v>7118</v>
      </c>
      <c r="B2072" s="2" t="s">
        <v>910</v>
      </c>
      <c r="C2072" s="2" t="s">
        <v>18</v>
      </c>
      <c r="D2072" s="2" t="s">
        <v>30</v>
      </c>
      <c r="E2072" s="2" t="s">
        <v>20</v>
      </c>
      <c r="F2072" s="2" t="s">
        <v>45</v>
      </c>
      <c r="G2072" s="2" t="s">
        <v>80</v>
      </c>
      <c r="H2072" s="2" t="s">
        <v>34</v>
      </c>
      <c r="I2072" s="2" t="s">
        <v>24</v>
      </c>
      <c r="J2072" s="2" t="s">
        <v>1046</v>
      </c>
      <c r="K2072" s="2" t="s">
        <v>1811</v>
      </c>
      <c r="L2072">
        <v>2</v>
      </c>
      <c r="M2072" s="1">
        <v>1644000</v>
      </c>
      <c r="N2072">
        <v>3.7</v>
      </c>
      <c r="O2072">
        <v>7</v>
      </c>
      <c r="P2072" s="2" t="s">
        <v>26</v>
      </c>
    </row>
    <row r="2073" spans="1:16" x14ac:dyDescent="0.25">
      <c r="A2073" s="2" t="s">
        <v>7119</v>
      </c>
      <c r="B2073" s="2" t="s">
        <v>5154</v>
      </c>
      <c r="C2073" s="2" t="s">
        <v>29</v>
      </c>
      <c r="D2073" s="2" t="s">
        <v>30</v>
      </c>
      <c r="E2073" s="2" t="s">
        <v>44</v>
      </c>
      <c r="F2073" s="2" t="s">
        <v>32</v>
      </c>
      <c r="G2073" s="2" t="s">
        <v>22</v>
      </c>
      <c r="H2073" s="2" t="s">
        <v>34</v>
      </c>
      <c r="I2073" s="2" t="s">
        <v>57</v>
      </c>
      <c r="J2073" s="2" t="s">
        <v>2977</v>
      </c>
      <c r="K2073" s="2" t="s">
        <v>1811</v>
      </c>
      <c r="L2073">
        <v>5</v>
      </c>
      <c r="M2073" s="1">
        <v>280000</v>
      </c>
      <c r="N2073">
        <v>4.5</v>
      </c>
      <c r="O2073">
        <v>22</v>
      </c>
      <c r="P2073" s="2" t="s">
        <v>26</v>
      </c>
    </row>
    <row r="2074" spans="1:16" x14ac:dyDescent="0.25">
      <c r="A2074" s="2" t="s">
        <v>7120</v>
      </c>
      <c r="B2074" s="2" t="s">
        <v>2527</v>
      </c>
      <c r="C2074" s="2" t="s">
        <v>18</v>
      </c>
      <c r="D2074" s="2" t="s">
        <v>30</v>
      </c>
      <c r="E2074" s="2" t="s">
        <v>20</v>
      </c>
      <c r="F2074" s="2" t="s">
        <v>128</v>
      </c>
      <c r="G2074" s="2" t="s">
        <v>69</v>
      </c>
      <c r="H2074" s="2" t="s">
        <v>34</v>
      </c>
      <c r="I2074" s="2" t="s">
        <v>24</v>
      </c>
      <c r="J2074" s="2" t="s">
        <v>6456</v>
      </c>
      <c r="K2074" s="2" t="s">
        <v>1811</v>
      </c>
      <c r="L2074">
        <v>2</v>
      </c>
      <c r="M2074" s="1">
        <v>521000</v>
      </c>
      <c r="N2074">
        <v>4</v>
      </c>
      <c r="O2074">
        <v>14</v>
      </c>
      <c r="P2074" s="2" t="s">
        <v>114</v>
      </c>
    </row>
    <row r="2075" spans="1:16" x14ac:dyDescent="0.25">
      <c r="A2075" s="2" t="s">
        <v>7122</v>
      </c>
      <c r="B2075" s="2" t="s">
        <v>3425</v>
      </c>
      <c r="C2075" s="2" t="s">
        <v>29</v>
      </c>
      <c r="D2075" s="2" t="s">
        <v>50</v>
      </c>
      <c r="E2075" s="2" t="s">
        <v>31</v>
      </c>
      <c r="F2075" s="2" t="s">
        <v>21</v>
      </c>
      <c r="G2075" s="2" t="s">
        <v>33</v>
      </c>
      <c r="H2075" s="2" t="s">
        <v>46</v>
      </c>
      <c r="I2075" s="2" t="s">
        <v>24</v>
      </c>
      <c r="J2075" s="2" t="s">
        <v>6325</v>
      </c>
      <c r="K2075" s="2" t="s">
        <v>550</v>
      </c>
      <c r="L2075">
        <v>2</v>
      </c>
      <c r="M2075" s="1">
        <v>698000</v>
      </c>
      <c r="N2075">
        <v>4.0999999999999996</v>
      </c>
      <c r="O2075">
        <v>11</v>
      </c>
      <c r="P2075" s="2" t="s">
        <v>26</v>
      </c>
    </row>
    <row r="2076" spans="1:16" x14ac:dyDescent="0.25">
      <c r="A2076" s="2" t="s">
        <v>7123</v>
      </c>
      <c r="B2076" s="2" t="s">
        <v>829</v>
      </c>
      <c r="C2076" s="2" t="s">
        <v>18</v>
      </c>
      <c r="D2076" s="2" t="s">
        <v>50</v>
      </c>
      <c r="E2076" s="2" t="s">
        <v>20</v>
      </c>
      <c r="F2076" s="2" t="s">
        <v>32</v>
      </c>
      <c r="G2076" s="2" t="s">
        <v>69</v>
      </c>
      <c r="H2076" s="2" t="s">
        <v>46</v>
      </c>
      <c r="I2076" s="2" t="s">
        <v>35</v>
      </c>
      <c r="J2076" s="2" t="s">
        <v>6456</v>
      </c>
      <c r="K2076" s="2" t="s">
        <v>550</v>
      </c>
      <c r="L2076">
        <v>2</v>
      </c>
      <c r="M2076" s="1">
        <v>265000</v>
      </c>
      <c r="N2076">
        <v>2.6</v>
      </c>
      <c r="O2076">
        <v>23</v>
      </c>
      <c r="P2076" s="2" t="s">
        <v>26</v>
      </c>
    </row>
    <row r="2077" spans="1:16" x14ac:dyDescent="0.25">
      <c r="A2077" s="2" t="s">
        <v>7124</v>
      </c>
      <c r="B2077" s="2" t="s">
        <v>7125</v>
      </c>
      <c r="C2077" s="2" t="s">
        <v>29</v>
      </c>
      <c r="D2077" s="2" t="s">
        <v>43</v>
      </c>
      <c r="E2077" s="2" t="s">
        <v>44</v>
      </c>
      <c r="F2077" s="2" t="s">
        <v>128</v>
      </c>
      <c r="G2077" s="2" t="s">
        <v>22</v>
      </c>
      <c r="H2077" s="2" t="s">
        <v>34</v>
      </c>
      <c r="I2077" s="2" t="s">
        <v>24</v>
      </c>
      <c r="J2077" s="2" t="s">
        <v>773</v>
      </c>
      <c r="K2077" s="2" t="s">
        <v>550</v>
      </c>
      <c r="L2077">
        <v>4</v>
      </c>
      <c r="M2077" s="1">
        <v>496000</v>
      </c>
      <c r="N2077">
        <v>2.6</v>
      </c>
      <c r="O2077">
        <v>1</v>
      </c>
      <c r="P2077" s="2" t="s">
        <v>26</v>
      </c>
    </row>
    <row r="2078" spans="1:16" x14ac:dyDescent="0.25">
      <c r="A2078" s="2" t="s">
        <v>7126</v>
      </c>
      <c r="B2078" s="2" t="s">
        <v>6581</v>
      </c>
      <c r="C2078" s="2" t="s">
        <v>29</v>
      </c>
      <c r="D2078" s="2" t="s">
        <v>79</v>
      </c>
      <c r="E2078" s="2" t="s">
        <v>20</v>
      </c>
      <c r="F2078" s="2" t="s">
        <v>128</v>
      </c>
      <c r="G2078" s="2" t="s">
        <v>22</v>
      </c>
      <c r="H2078" s="2" t="s">
        <v>23</v>
      </c>
      <c r="I2078" s="2" t="s">
        <v>75</v>
      </c>
      <c r="J2078" s="2" t="s">
        <v>3782</v>
      </c>
      <c r="K2078" s="2" t="s">
        <v>550</v>
      </c>
      <c r="L2078">
        <v>2</v>
      </c>
      <c r="M2078" s="1">
        <v>582000</v>
      </c>
      <c r="N2078">
        <v>3.7</v>
      </c>
      <c r="O2078">
        <v>18</v>
      </c>
      <c r="P2078" s="2" t="s">
        <v>26</v>
      </c>
    </row>
    <row r="2079" spans="1:16" x14ac:dyDescent="0.25">
      <c r="A2079" s="2" t="s">
        <v>7127</v>
      </c>
      <c r="B2079" s="2" t="s">
        <v>7128</v>
      </c>
      <c r="C2079" s="2" t="s">
        <v>18</v>
      </c>
      <c r="D2079" s="2" t="s">
        <v>43</v>
      </c>
      <c r="E2079" s="2" t="s">
        <v>44</v>
      </c>
      <c r="F2079" s="2" t="s">
        <v>32</v>
      </c>
      <c r="G2079" s="2" t="s">
        <v>69</v>
      </c>
      <c r="H2079" s="2" t="s">
        <v>34</v>
      </c>
      <c r="I2079" s="2" t="s">
        <v>75</v>
      </c>
      <c r="J2079" s="2" t="s">
        <v>744</v>
      </c>
      <c r="K2079" s="2" t="s">
        <v>550</v>
      </c>
      <c r="L2079">
        <v>4</v>
      </c>
      <c r="M2079" s="1">
        <v>284000</v>
      </c>
      <c r="N2079">
        <v>2.2999999999999998</v>
      </c>
      <c r="O2079">
        <v>10</v>
      </c>
      <c r="P2079" s="2" t="s">
        <v>26</v>
      </c>
    </row>
    <row r="2080" spans="1:16" x14ac:dyDescent="0.25">
      <c r="A2080" s="2" t="s">
        <v>7129</v>
      </c>
      <c r="B2080" s="2" t="s">
        <v>7130</v>
      </c>
      <c r="C2080" s="2" t="s">
        <v>18</v>
      </c>
      <c r="D2080" s="2" t="s">
        <v>79</v>
      </c>
      <c r="E2080" s="2" t="s">
        <v>31</v>
      </c>
      <c r="F2080" s="2" t="s">
        <v>39</v>
      </c>
      <c r="G2080" s="2" t="s">
        <v>22</v>
      </c>
      <c r="H2080" s="2" t="s">
        <v>23</v>
      </c>
      <c r="I2080" s="2" t="s">
        <v>57</v>
      </c>
      <c r="J2080" s="2" t="s">
        <v>3179</v>
      </c>
      <c r="K2080" s="2" t="s">
        <v>550</v>
      </c>
      <c r="L2080">
        <v>7</v>
      </c>
      <c r="M2080" s="1">
        <v>86000</v>
      </c>
      <c r="N2080">
        <v>4.5</v>
      </c>
      <c r="O2080">
        <v>12</v>
      </c>
      <c r="P2080" s="2" t="s">
        <v>26</v>
      </c>
    </row>
    <row r="2081" spans="1:16" x14ac:dyDescent="0.25">
      <c r="A2081" s="2" t="s">
        <v>7131</v>
      </c>
      <c r="B2081" s="2" t="s">
        <v>7132</v>
      </c>
      <c r="C2081" s="2" t="s">
        <v>29</v>
      </c>
      <c r="D2081" s="2" t="s">
        <v>43</v>
      </c>
      <c r="E2081" s="2" t="s">
        <v>20</v>
      </c>
      <c r="F2081" s="2" t="s">
        <v>32</v>
      </c>
      <c r="G2081" s="2" t="s">
        <v>80</v>
      </c>
      <c r="H2081" s="2" t="s">
        <v>23</v>
      </c>
      <c r="I2081" s="2" t="s">
        <v>57</v>
      </c>
      <c r="J2081" s="2" t="s">
        <v>5957</v>
      </c>
      <c r="K2081" s="2" t="s">
        <v>550</v>
      </c>
      <c r="L2081">
        <v>5</v>
      </c>
      <c r="M2081" s="1">
        <v>281000</v>
      </c>
      <c r="N2081">
        <v>2.8</v>
      </c>
      <c r="O2081">
        <v>2</v>
      </c>
      <c r="P2081" s="2" t="s">
        <v>72</v>
      </c>
    </row>
    <row r="2082" spans="1:16" x14ac:dyDescent="0.25">
      <c r="A2082" s="2" t="s">
        <v>7133</v>
      </c>
      <c r="B2082" s="2" t="s">
        <v>7134</v>
      </c>
      <c r="C2082" s="2" t="s">
        <v>18</v>
      </c>
      <c r="D2082" s="2" t="s">
        <v>79</v>
      </c>
      <c r="E2082" s="2" t="s">
        <v>20</v>
      </c>
      <c r="F2082" s="2" t="s">
        <v>32</v>
      </c>
      <c r="G2082" s="2" t="s">
        <v>22</v>
      </c>
      <c r="H2082" s="2" t="s">
        <v>46</v>
      </c>
      <c r="I2082" s="2" t="s">
        <v>24</v>
      </c>
      <c r="J2082" s="2" t="s">
        <v>2797</v>
      </c>
      <c r="K2082" s="2" t="s">
        <v>3453</v>
      </c>
      <c r="L2082">
        <v>4</v>
      </c>
      <c r="M2082" s="1">
        <v>211000</v>
      </c>
      <c r="N2082">
        <v>3.8</v>
      </c>
      <c r="O2082">
        <v>9</v>
      </c>
      <c r="P2082" s="2" t="s">
        <v>26</v>
      </c>
    </row>
    <row r="2083" spans="1:16" x14ac:dyDescent="0.25">
      <c r="A2083" s="2" t="s">
        <v>7136</v>
      </c>
      <c r="B2083" s="2" t="s">
        <v>7069</v>
      </c>
      <c r="C2083" s="2" t="s">
        <v>18</v>
      </c>
      <c r="D2083" s="2" t="s">
        <v>30</v>
      </c>
      <c r="E2083" s="2" t="s">
        <v>31</v>
      </c>
      <c r="F2083" s="2" t="s">
        <v>32</v>
      </c>
      <c r="G2083" s="2" t="s">
        <v>22</v>
      </c>
      <c r="H2083" s="2" t="s">
        <v>46</v>
      </c>
      <c r="I2083" s="2" t="s">
        <v>75</v>
      </c>
      <c r="J2083" s="2" t="s">
        <v>7099</v>
      </c>
      <c r="K2083" s="2" t="s">
        <v>3453</v>
      </c>
      <c r="L2083">
        <v>6</v>
      </c>
      <c r="M2083" s="1">
        <v>349000</v>
      </c>
      <c r="N2083">
        <v>2.9</v>
      </c>
      <c r="O2083">
        <v>12</v>
      </c>
      <c r="P2083" s="2" t="s">
        <v>72</v>
      </c>
    </row>
    <row r="2084" spans="1:16" x14ac:dyDescent="0.25">
      <c r="A2084" s="2" t="s">
        <v>7137</v>
      </c>
      <c r="B2084" s="2" t="s">
        <v>7138</v>
      </c>
      <c r="C2084" s="2" t="s">
        <v>18</v>
      </c>
      <c r="D2084" s="2" t="s">
        <v>79</v>
      </c>
      <c r="E2084" s="2" t="s">
        <v>31</v>
      </c>
      <c r="F2084" s="2" t="s">
        <v>21</v>
      </c>
      <c r="G2084" s="2" t="s">
        <v>22</v>
      </c>
      <c r="H2084" s="2" t="s">
        <v>34</v>
      </c>
      <c r="I2084" s="2" t="s">
        <v>57</v>
      </c>
      <c r="J2084" s="2" t="s">
        <v>2460</v>
      </c>
      <c r="K2084" s="2" t="s">
        <v>2513</v>
      </c>
      <c r="L2084">
        <v>4</v>
      </c>
      <c r="M2084" s="1">
        <v>947000</v>
      </c>
      <c r="N2084">
        <v>3.7</v>
      </c>
      <c r="O2084">
        <v>11</v>
      </c>
      <c r="P2084" s="2" t="s">
        <v>26</v>
      </c>
    </row>
    <row r="2085" spans="1:16" x14ac:dyDescent="0.25">
      <c r="A2085" s="2" t="s">
        <v>7139</v>
      </c>
      <c r="B2085" s="2" t="s">
        <v>7140</v>
      </c>
      <c r="C2085" s="2" t="s">
        <v>18</v>
      </c>
      <c r="D2085" s="2" t="s">
        <v>19</v>
      </c>
      <c r="E2085" s="2" t="s">
        <v>20</v>
      </c>
      <c r="F2085" s="2" t="s">
        <v>128</v>
      </c>
      <c r="G2085" s="2" t="s">
        <v>22</v>
      </c>
      <c r="H2085" s="2" t="s">
        <v>34</v>
      </c>
      <c r="I2085" s="2" t="s">
        <v>24</v>
      </c>
      <c r="J2085" s="2" t="s">
        <v>2361</v>
      </c>
      <c r="K2085" s="2" t="s">
        <v>2513</v>
      </c>
      <c r="L2085">
        <v>4</v>
      </c>
      <c r="M2085" s="1">
        <v>545000</v>
      </c>
      <c r="N2085">
        <v>4.0999999999999996</v>
      </c>
      <c r="O2085">
        <v>5</v>
      </c>
      <c r="P2085" s="2" t="s">
        <v>53</v>
      </c>
    </row>
    <row r="2086" spans="1:16" x14ac:dyDescent="0.25">
      <c r="A2086" s="2" t="s">
        <v>7141</v>
      </c>
      <c r="B2086" s="2" t="s">
        <v>3035</v>
      </c>
      <c r="C2086" s="2" t="s">
        <v>29</v>
      </c>
      <c r="D2086" s="2" t="s">
        <v>43</v>
      </c>
      <c r="E2086" s="2" t="s">
        <v>20</v>
      </c>
      <c r="F2086" s="2" t="s">
        <v>32</v>
      </c>
      <c r="G2086" s="2" t="s">
        <v>80</v>
      </c>
      <c r="H2086" s="2" t="s">
        <v>23</v>
      </c>
      <c r="I2086" s="2" t="s">
        <v>24</v>
      </c>
      <c r="J2086" s="2" t="s">
        <v>4169</v>
      </c>
      <c r="K2086" s="2" t="s">
        <v>4977</v>
      </c>
      <c r="L2086">
        <v>6</v>
      </c>
      <c r="M2086" s="1">
        <v>214000</v>
      </c>
      <c r="N2086">
        <v>4.3</v>
      </c>
      <c r="O2086">
        <v>10</v>
      </c>
      <c r="P2086" s="2" t="s">
        <v>26</v>
      </c>
    </row>
    <row r="2087" spans="1:16" x14ac:dyDescent="0.25">
      <c r="A2087" s="2" t="s">
        <v>7142</v>
      </c>
      <c r="B2087" s="2" t="s">
        <v>705</v>
      </c>
      <c r="C2087" s="2" t="s">
        <v>29</v>
      </c>
      <c r="D2087" s="2" t="s">
        <v>50</v>
      </c>
      <c r="E2087" s="2" t="s">
        <v>20</v>
      </c>
      <c r="F2087" s="2" t="s">
        <v>39</v>
      </c>
      <c r="G2087" s="2" t="s">
        <v>33</v>
      </c>
      <c r="H2087" s="2" t="s">
        <v>62</v>
      </c>
      <c r="I2087" s="2" t="s">
        <v>57</v>
      </c>
      <c r="J2087" s="2" t="s">
        <v>6160</v>
      </c>
      <c r="K2087" s="2" t="s">
        <v>4977</v>
      </c>
      <c r="L2087">
        <v>3</v>
      </c>
      <c r="M2087" s="1">
        <v>150000</v>
      </c>
      <c r="N2087">
        <v>2.1</v>
      </c>
      <c r="O2087">
        <v>0</v>
      </c>
      <c r="P2087" s="2" t="s">
        <v>26</v>
      </c>
    </row>
    <row r="2088" spans="1:16" x14ac:dyDescent="0.25">
      <c r="A2088" s="2" t="s">
        <v>7143</v>
      </c>
      <c r="B2088" s="2" t="s">
        <v>1787</v>
      </c>
      <c r="C2088" s="2" t="s">
        <v>18</v>
      </c>
      <c r="D2088" s="2" t="s">
        <v>43</v>
      </c>
      <c r="E2088" s="2" t="s">
        <v>20</v>
      </c>
      <c r="F2088" s="2" t="s">
        <v>32</v>
      </c>
      <c r="G2088" s="2" t="s">
        <v>22</v>
      </c>
      <c r="H2088" s="2" t="s">
        <v>46</v>
      </c>
      <c r="I2088" s="2" t="s">
        <v>57</v>
      </c>
      <c r="J2088" s="2" t="s">
        <v>1357</v>
      </c>
      <c r="K2088" s="2" t="s">
        <v>4977</v>
      </c>
      <c r="L2088">
        <v>2</v>
      </c>
      <c r="M2088" s="1">
        <v>180000</v>
      </c>
      <c r="N2088">
        <v>2.4</v>
      </c>
      <c r="O2088">
        <v>2</v>
      </c>
      <c r="P2088" s="2" t="s">
        <v>53</v>
      </c>
    </row>
    <row r="2089" spans="1:16" x14ac:dyDescent="0.25">
      <c r="A2089" s="2" t="s">
        <v>7147</v>
      </c>
      <c r="B2089" s="2" t="s">
        <v>4306</v>
      </c>
      <c r="C2089" s="2" t="s">
        <v>18</v>
      </c>
      <c r="D2089" s="2" t="s">
        <v>50</v>
      </c>
      <c r="E2089" s="2" t="s">
        <v>20</v>
      </c>
      <c r="F2089" s="2" t="s">
        <v>128</v>
      </c>
      <c r="G2089" s="2" t="s">
        <v>22</v>
      </c>
      <c r="H2089" s="2" t="s">
        <v>46</v>
      </c>
      <c r="I2089" s="2" t="s">
        <v>24</v>
      </c>
      <c r="J2089" s="2" t="s">
        <v>2210</v>
      </c>
      <c r="K2089" s="2" t="s">
        <v>4193</v>
      </c>
      <c r="L2089">
        <v>4</v>
      </c>
      <c r="M2089" s="1">
        <v>529000</v>
      </c>
      <c r="N2089">
        <v>2</v>
      </c>
      <c r="O2089">
        <v>10</v>
      </c>
      <c r="P2089" s="2" t="s">
        <v>26</v>
      </c>
    </row>
    <row r="2090" spans="1:16" x14ac:dyDescent="0.25">
      <c r="A2090" s="2" t="s">
        <v>7148</v>
      </c>
      <c r="B2090" s="2" t="s">
        <v>5800</v>
      </c>
      <c r="C2090" s="2" t="s">
        <v>18</v>
      </c>
      <c r="D2090" s="2" t="s">
        <v>19</v>
      </c>
      <c r="E2090" s="2" t="s">
        <v>20</v>
      </c>
      <c r="F2090" s="2" t="s">
        <v>32</v>
      </c>
      <c r="G2090" s="2" t="s">
        <v>33</v>
      </c>
      <c r="H2090" s="2" t="s">
        <v>46</v>
      </c>
      <c r="I2090" s="2" t="s">
        <v>35</v>
      </c>
      <c r="J2090" s="2" t="s">
        <v>1671</v>
      </c>
      <c r="K2090" s="2" t="s">
        <v>4193</v>
      </c>
      <c r="L2090">
        <v>5</v>
      </c>
      <c r="M2090" s="1">
        <v>383000</v>
      </c>
      <c r="N2090">
        <v>4.0999999999999996</v>
      </c>
      <c r="O2090">
        <v>19</v>
      </c>
      <c r="P2090" s="2" t="s">
        <v>26</v>
      </c>
    </row>
    <row r="2091" spans="1:16" x14ac:dyDescent="0.25">
      <c r="A2091" s="2" t="s">
        <v>7149</v>
      </c>
      <c r="B2091" s="2" t="s">
        <v>7150</v>
      </c>
      <c r="C2091" s="2" t="s">
        <v>29</v>
      </c>
      <c r="D2091" s="2" t="s">
        <v>43</v>
      </c>
      <c r="E2091" s="2" t="s">
        <v>31</v>
      </c>
      <c r="F2091" s="2" t="s">
        <v>32</v>
      </c>
      <c r="G2091" s="2" t="s">
        <v>33</v>
      </c>
      <c r="H2091" s="2" t="s">
        <v>34</v>
      </c>
      <c r="I2091" s="2" t="s">
        <v>75</v>
      </c>
      <c r="J2091" s="2" t="s">
        <v>606</v>
      </c>
      <c r="K2091" s="2" t="s">
        <v>4193</v>
      </c>
      <c r="L2091">
        <v>4</v>
      </c>
      <c r="M2091" s="1">
        <v>200000</v>
      </c>
      <c r="N2091">
        <v>4.4000000000000004</v>
      </c>
      <c r="O2091">
        <v>13</v>
      </c>
      <c r="P2091" s="2" t="s">
        <v>26</v>
      </c>
    </row>
    <row r="2092" spans="1:16" x14ac:dyDescent="0.25">
      <c r="A2092" s="2" t="s">
        <v>7151</v>
      </c>
      <c r="B2092" s="2" t="s">
        <v>2068</v>
      </c>
      <c r="C2092" s="2" t="s">
        <v>29</v>
      </c>
      <c r="D2092" s="2" t="s">
        <v>50</v>
      </c>
      <c r="E2092" s="2" t="s">
        <v>20</v>
      </c>
      <c r="F2092" s="2" t="s">
        <v>39</v>
      </c>
      <c r="G2092" s="2" t="s">
        <v>80</v>
      </c>
      <c r="H2092" s="2" t="s">
        <v>23</v>
      </c>
      <c r="I2092" s="2" t="s">
        <v>57</v>
      </c>
      <c r="J2092" s="2" t="s">
        <v>967</v>
      </c>
      <c r="K2092" s="2" t="s">
        <v>4193</v>
      </c>
      <c r="L2092">
        <v>2</v>
      </c>
      <c r="M2092" s="1">
        <v>168000</v>
      </c>
      <c r="N2092">
        <v>2.9</v>
      </c>
      <c r="O2092">
        <v>4</v>
      </c>
      <c r="P2092" s="2" t="s">
        <v>26</v>
      </c>
    </row>
    <row r="2093" spans="1:16" x14ac:dyDescent="0.25">
      <c r="A2093" s="2" t="s">
        <v>7152</v>
      </c>
      <c r="B2093" s="2" t="s">
        <v>6508</v>
      </c>
      <c r="C2093" s="2" t="s">
        <v>18</v>
      </c>
      <c r="D2093" s="2" t="s">
        <v>43</v>
      </c>
      <c r="E2093" s="2" t="s">
        <v>20</v>
      </c>
      <c r="F2093" s="2" t="s">
        <v>32</v>
      </c>
      <c r="G2093" s="2" t="s">
        <v>80</v>
      </c>
      <c r="H2093" s="2" t="s">
        <v>23</v>
      </c>
      <c r="I2093" s="2" t="s">
        <v>24</v>
      </c>
      <c r="J2093" s="2" t="s">
        <v>4764</v>
      </c>
      <c r="K2093" s="2" t="s">
        <v>4193</v>
      </c>
      <c r="L2093">
        <v>4</v>
      </c>
      <c r="M2093" s="1">
        <v>224000</v>
      </c>
      <c r="N2093">
        <v>4.8</v>
      </c>
      <c r="O2093">
        <v>10</v>
      </c>
      <c r="P2093" s="2" t="s">
        <v>26</v>
      </c>
    </row>
    <row r="2094" spans="1:16" x14ac:dyDescent="0.25">
      <c r="A2094" s="2" t="s">
        <v>4191</v>
      </c>
      <c r="B2094" s="2" t="s">
        <v>2462</v>
      </c>
      <c r="C2094" s="2" t="s">
        <v>18</v>
      </c>
      <c r="D2094" s="2" t="s">
        <v>19</v>
      </c>
      <c r="E2094" s="2" t="s">
        <v>20</v>
      </c>
      <c r="F2094" s="2" t="s">
        <v>32</v>
      </c>
      <c r="G2094" s="2" t="s">
        <v>33</v>
      </c>
      <c r="H2094" s="2" t="s">
        <v>34</v>
      </c>
      <c r="I2094" s="2" t="s">
        <v>24</v>
      </c>
      <c r="J2094" s="2" t="s">
        <v>4192</v>
      </c>
      <c r="K2094" s="2" t="s">
        <v>4193</v>
      </c>
      <c r="L2094">
        <v>6</v>
      </c>
      <c r="M2094" s="1">
        <v>384000</v>
      </c>
      <c r="N2094">
        <v>3</v>
      </c>
      <c r="O2094">
        <v>10</v>
      </c>
      <c r="P2094" s="2" t="s">
        <v>53</v>
      </c>
    </row>
    <row r="2095" spans="1:16" x14ac:dyDescent="0.25">
      <c r="A2095" s="2" t="s">
        <v>7158</v>
      </c>
      <c r="B2095" s="2" t="s">
        <v>865</v>
      </c>
      <c r="C2095" s="2" t="s">
        <v>18</v>
      </c>
      <c r="D2095" s="2" t="s">
        <v>50</v>
      </c>
      <c r="E2095" s="2" t="s">
        <v>20</v>
      </c>
      <c r="F2095" s="2" t="s">
        <v>128</v>
      </c>
      <c r="G2095" s="2" t="s">
        <v>33</v>
      </c>
      <c r="H2095" s="2" t="s">
        <v>34</v>
      </c>
      <c r="I2095" s="2" t="s">
        <v>24</v>
      </c>
      <c r="J2095" s="2" t="s">
        <v>4269</v>
      </c>
      <c r="K2095" s="2" t="s">
        <v>2663</v>
      </c>
      <c r="L2095">
        <v>3</v>
      </c>
      <c r="M2095" s="1">
        <v>362000</v>
      </c>
      <c r="N2095">
        <v>3.4</v>
      </c>
      <c r="O2095">
        <v>5</v>
      </c>
      <c r="P2095" s="2" t="s">
        <v>53</v>
      </c>
    </row>
    <row r="2096" spans="1:16" x14ac:dyDescent="0.25">
      <c r="A2096" s="2" t="s">
        <v>7159</v>
      </c>
      <c r="B2096" s="2" t="s">
        <v>7160</v>
      </c>
      <c r="C2096" s="2" t="s">
        <v>18</v>
      </c>
      <c r="D2096" s="2" t="s">
        <v>79</v>
      </c>
      <c r="E2096" s="2" t="s">
        <v>44</v>
      </c>
      <c r="F2096" s="2" t="s">
        <v>21</v>
      </c>
      <c r="G2096" s="2" t="s">
        <v>22</v>
      </c>
      <c r="H2096" s="2" t="s">
        <v>23</v>
      </c>
      <c r="I2096" s="2" t="s">
        <v>57</v>
      </c>
      <c r="J2096" s="2" t="s">
        <v>2044</v>
      </c>
      <c r="K2096" s="2" t="s">
        <v>168</v>
      </c>
      <c r="L2096">
        <v>5</v>
      </c>
      <c r="M2096" s="1">
        <v>897000</v>
      </c>
      <c r="N2096">
        <v>3.1</v>
      </c>
      <c r="O2096">
        <v>10</v>
      </c>
      <c r="P2096" s="2" t="s">
        <v>26</v>
      </c>
    </row>
    <row r="2097" spans="1:16" x14ac:dyDescent="0.25">
      <c r="A2097" s="2" t="s">
        <v>7161</v>
      </c>
      <c r="B2097" s="2" t="s">
        <v>7162</v>
      </c>
      <c r="C2097" s="2" t="s">
        <v>29</v>
      </c>
      <c r="D2097" s="2" t="s">
        <v>43</v>
      </c>
      <c r="E2097" s="2" t="s">
        <v>20</v>
      </c>
      <c r="F2097" s="2" t="s">
        <v>128</v>
      </c>
      <c r="G2097" s="2" t="s">
        <v>22</v>
      </c>
      <c r="H2097" s="2" t="s">
        <v>34</v>
      </c>
      <c r="I2097" s="2" t="s">
        <v>35</v>
      </c>
      <c r="J2097" s="2" t="s">
        <v>7163</v>
      </c>
      <c r="K2097" s="2" t="s">
        <v>168</v>
      </c>
      <c r="L2097">
        <v>6</v>
      </c>
      <c r="M2097" s="1">
        <v>350000</v>
      </c>
      <c r="N2097">
        <v>3.9</v>
      </c>
      <c r="O2097">
        <v>14</v>
      </c>
      <c r="P2097" s="2" t="s">
        <v>26</v>
      </c>
    </row>
    <row r="2098" spans="1:16" x14ac:dyDescent="0.25">
      <c r="A2098" s="2" t="s">
        <v>7164</v>
      </c>
      <c r="B2098" s="2" t="s">
        <v>2419</v>
      </c>
      <c r="C2098" s="2" t="s">
        <v>18</v>
      </c>
      <c r="D2098" s="2" t="s">
        <v>79</v>
      </c>
      <c r="E2098" s="2" t="s">
        <v>44</v>
      </c>
      <c r="F2098" s="2" t="s">
        <v>128</v>
      </c>
      <c r="G2098" s="2" t="s">
        <v>33</v>
      </c>
      <c r="H2098" s="2" t="s">
        <v>23</v>
      </c>
      <c r="I2098" s="2" t="s">
        <v>24</v>
      </c>
      <c r="J2098" s="2" t="s">
        <v>3990</v>
      </c>
      <c r="K2098" s="2" t="s">
        <v>168</v>
      </c>
      <c r="L2098">
        <v>5</v>
      </c>
      <c r="M2098" s="1">
        <v>521000</v>
      </c>
      <c r="N2098">
        <v>4.0999999999999996</v>
      </c>
      <c r="O2098">
        <v>14</v>
      </c>
      <c r="P2098" s="2" t="s">
        <v>26</v>
      </c>
    </row>
    <row r="2099" spans="1:16" x14ac:dyDescent="0.25">
      <c r="A2099" s="2" t="s">
        <v>7165</v>
      </c>
      <c r="B2099" s="2" t="s">
        <v>7166</v>
      </c>
      <c r="C2099" s="2" t="s">
        <v>29</v>
      </c>
      <c r="D2099" s="2" t="s">
        <v>43</v>
      </c>
      <c r="E2099" s="2" t="s">
        <v>20</v>
      </c>
      <c r="F2099" s="2" t="s">
        <v>128</v>
      </c>
      <c r="G2099" s="2" t="s">
        <v>22</v>
      </c>
      <c r="H2099" s="2" t="s">
        <v>34</v>
      </c>
      <c r="I2099" s="2" t="s">
        <v>24</v>
      </c>
      <c r="J2099" s="2" t="s">
        <v>7167</v>
      </c>
      <c r="K2099" s="2" t="s">
        <v>168</v>
      </c>
      <c r="L2099">
        <v>4</v>
      </c>
      <c r="M2099" s="1">
        <v>357000</v>
      </c>
      <c r="N2099">
        <v>4.5999999999999996</v>
      </c>
      <c r="O2099">
        <v>11</v>
      </c>
      <c r="P2099" s="2" t="s">
        <v>26</v>
      </c>
    </row>
    <row r="2100" spans="1:16" x14ac:dyDescent="0.25">
      <c r="A2100" s="2" t="s">
        <v>7168</v>
      </c>
      <c r="B2100" s="2" t="s">
        <v>2080</v>
      </c>
      <c r="C2100" s="2" t="s">
        <v>18</v>
      </c>
      <c r="D2100" s="2" t="s">
        <v>50</v>
      </c>
      <c r="E2100" s="2" t="s">
        <v>20</v>
      </c>
      <c r="F2100" s="2" t="s">
        <v>128</v>
      </c>
      <c r="G2100" s="2" t="s">
        <v>80</v>
      </c>
      <c r="H2100" s="2" t="s">
        <v>23</v>
      </c>
      <c r="I2100" s="2" t="s">
        <v>24</v>
      </c>
      <c r="J2100" s="2" t="s">
        <v>3887</v>
      </c>
      <c r="K2100" s="2" t="s">
        <v>168</v>
      </c>
      <c r="L2100">
        <v>4</v>
      </c>
      <c r="M2100" s="1">
        <v>531000</v>
      </c>
      <c r="N2100">
        <v>2.2000000000000002</v>
      </c>
      <c r="O2100">
        <v>6</v>
      </c>
      <c r="P2100" s="2" t="s">
        <v>26</v>
      </c>
    </row>
    <row r="2101" spans="1:16" x14ac:dyDescent="0.25">
      <c r="A2101" s="2" t="s">
        <v>7169</v>
      </c>
      <c r="B2101" s="2" t="s">
        <v>1695</v>
      </c>
      <c r="C2101" s="2" t="s">
        <v>29</v>
      </c>
      <c r="D2101" s="2" t="s">
        <v>50</v>
      </c>
      <c r="E2101" s="2" t="s">
        <v>44</v>
      </c>
      <c r="F2101" s="2" t="s">
        <v>32</v>
      </c>
      <c r="G2101" s="2" t="s">
        <v>80</v>
      </c>
      <c r="H2101" s="2" t="s">
        <v>34</v>
      </c>
      <c r="I2101" s="2" t="s">
        <v>75</v>
      </c>
      <c r="J2101" s="2" t="s">
        <v>4834</v>
      </c>
      <c r="K2101" s="2" t="s">
        <v>168</v>
      </c>
      <c r="L2101">
        <v>5</v>
      </c>
      <c r="M2101" s="1">
        <v>324000</v>
      </c>
      <c r="N2101">
        <v>2.9</v>
      </c>
      <c r="O2101">
        <v>9</v>
      </c>
      <c r="P2101" s="2" t="s">
        <v>53</v>
      </c>
    </row>
    <row r="2102" spans="1:16" x14ac:dyDescent="0.25">
      <c r="A2102" s="2" t="s">
        <v>7170</v>
      </c>
      <c r="B2102" s="2" t="s">
        <v>7171</v>
      </c>
      <c r="C2102" s="2" t="s">
        <v>29</v>
      </c>
      <c r="D2102" s="2" t="s">
        <v>19</v>
      </c>
      <c r="E2102" s="2" t="s">
        <v>20</v>
      </c>
      <c r="F2102" s="2" t="s">
        <v>32</v>
      </c>
      <c r="G2102" s="2" t="s">
        <v>22</v>
      </c>
      <c r="H2102" s="2" t="s">
        <v>34</v>
      </c>
      <c r="I2102" s="2" t="s">
        <v>35</v>
      </c>
      <c r="J2102" s="2" t="s">
        <v>4029</v>
      </c>
      <c r="K2102" s="2" t="s">
        <v>1092</v>
      </c>
      <c r="L2102">
        <v>5</v>
      </c>
      <c r="M2102" s="1">
        <v>317000</v>
      </c>
      <c r="N2102">
        <v>4.8</v>
      </c>
      <c r="O2102">
        <v>31</v>
      </c>
      <c r="P2102" s="2" t="s">
        <v>26</v>
      </c>
    </row>
    <row r="2103" spans="1:16" x14ac:dyDescent="0.25">
      <c r="A2103" s="2" t="s">
        <v>7174</v>
      </c>
      <c r="B2103" s="2" t="s">
        <v>7175</v>
      </c>
      <c r="C2103" s="2" t="s">
        <v>29</v>
      </c>
      <c r="D2103" s="2" t="s">
        <v>19</v>
      </c>
      <c r="E2103" s="2" t="s">
        <v>20</v>
      </c>
      <c r="F2103" s="2" t="s">
        <v>45</v>
      </c>
      <c r="G2103" s="2" t="s">
        <v>22</v>
      </c>
      <c r="H2103" s="2" t="s">
        <v>34</v>
      </c>
      <c r="I2103" s="2" t="s">
        <v>24</v>
      </c>
      <c r="J2103" s="2" t="s">
        <v>5971</v>
      </c>
      <c r="K2103" s="2" t="s">
        <v>1092</v>
      </c>
      <c r="L2103">
        <v>4</v>
      </c>
      <c r="M2103" s="1">
        <v>1638000</v>
      </c>
      <c r="N2103">
        <v>4.9000000000000004</v>
      </c>
      <c r="O2103">
        <v>10</v>
      </c>
      <c r="P2103" s="2" t="s">
        <v>26</v>
      </c>
    </row>
    <row r="2104" spans="1:16" x14ac:dyDescent="0.25">
      <c r="A2104" s="2" t="s">
        <v>7177</v>
      </c>
      <c r="B2104" s="2" t="s">
        <v>4398</v>
      </c>
      <c r="C2104" s="2" t="s">
        <v>18</v>
      </c>
      <c r="D2104" s="2" t="s">
        <v>43</v>
      </c>
      <c r="E2104" s="2" t="s">
        <v>31</v>
      </c>
      <c r="F2104" s="2" t="s">
        <v>39</v>
      </c>
      <c r="G2104" s="2" t="s">
        <v>80</v>
      </c>
      <c r="H2104" s="2" t="s">
        <v>46</v>
      </c>
      <c r="I2104" s="2" t="s">
        <v>24</v>
      </c>
      <c r="J2104" s="2" t="s">
        <v>7178</v>
      </c>
      <c r="K2104" s="2" t="s">
        <v>1092</v>
      </c>
      <c r="L2104">
        <v>6</v>
      </c>
      <c r="M2104" s="1">
        <v>85000</v>
      </c>
      <c r="N2104">
        <v>3.5</v>
      </c>
      <c r="O2104">
        <v>10</v>
      </c>
      <c r="P2104" s="2" t="s">
        <v>53</v>
      </c>
    </row>
    <row r="2105" spans="1:16" x14ac:dyDescent="0.25">
      <c r="A2105" s="2" t="s">
        <v>7179</v>
      </c>
      <c r="B2105" s="2" t="s">
        <v>6505</v>
      </c>
      <c r="C2105" s="2" t="s">
        <v>18</v>
      </c>
      <c r="D2105" s="2" t="s">
        <v>79</v>
      </c>
      <c r="E2105" s="2" t="s">
        <v>44</v>
      </c>
      <c r="F2105" s="2" t="s">
        <v>32</v>
      </c>
      <c r="G2105" s="2" t="s">
        <v>80</v>
      </c>
      <c r="H2105" s="2" t="s">
        <v>23</v>
      </c>
      <c r="I2105" s="2" t="s">
        <v>24</v>
      </c>
      <c r="J2105" s="2" t="s">
        <v>1900</v>
      </c>
      <c r="K2105" s="2" t="s">
        <v>6489</v>
      </c>
      <c r="L2105">
        <v>5</v>
      </c>
      <c r="M2105" s="1">
        <v>201000</v>
      </c>
      <c r="N2105">
        <v>2.6</v>
      </c>
      <c r="O2105">
        <v>32</v>
      </c>
      <c r="P2105" s="2" t="s">
        <v>72</v>
      </c>
    </row>
    <row r="2106" spans="1:16" x14ac:dyDescent="0.25">
      <c r="A2106" s="2" t="s">
        <v>7185</v>
      </c>
      <c r="B2106" s="2" t="s">
        <v>7186</v>
      </c>
      <c r="C2106" s="2" t="s">
        <v>29</v>
      </c>
      <c r="D2106" s="2" t="s">
        <v>79</v>
      </c>
      <c r="E2106" s="2" t="s">
        <v>20</v>
      </c>
      <c r="F2106" s="2" t="s">
        <v>21</v>
      </c>
      <c r="G2106" s="2" t="s">
        <v>22</v>
      </c>
      <c r="H2106" s="2" t="s">
        <v>23</v>
      </c>
      <c r="I2106" s="2" t="s">
        <v>24</v>
      </c>
      <c r="J2106" s="2" t="s">
        <v>5577</v>
      </c>
      <c r="K2106" s="2" t="s">
        <v>2085</v>
      </c>
      <c r="L2106">
        <v>3</v>
      </c>
      <c r="M2106" s="1">
        <v>917000</v>
      </c>
      <c r="N2106">
        <v>3.7</v>
      </c>
      <c r="O2106">
        <v>8</v>
      </c>
      <c r="P2106" s="2" t="s">
        <v>26</v>
      </c>
    </row>
    <row r="2107" spans="1:16" x14ac:dyDescent="0.25">
      <c r="A2107" s="2" t="s">
        <v>7187</v>
      </c>
      <c r="B2107" s="2" t="s">
        <v>2249</v>
      </c>
      <c r="C2107" s="2" t="s">
        <v>29</v>
      </c>
      <c r="D2107" s="2" t="s">
        <v>50</v>
      </c>
      <c r="E2107" s="2" t="s">
        <v>20</v>
      </c>
      <c r="F2107" s="2" t="s">
        <v>32</v>
      </c>
      <c r="G2107" s="2" t="s">
        <v>69</v>
      </c>
      <c r="H2107" s="2" t="s">
        <v>23</v>
      </c>
      <c r="I2107" s="2" t="s">
        <v>57</v>
      </c>
      <c r="J2107" s="2" t="s">
        <v>1392</v>
      </c>
      <c r="K2107" s="2" t="s">
        <v>2085</v>
      </c>
      <c r="L2107">
        <v>3</v>
      </c>
      <c r="M2107" s="1">
        <v>302000</v>
      </c>
      <c r="N2107">
        <v>4.4000000000000004</v>
      </c>
      <c r="O2107">
        <v>32</v>
      </c>
      <c r="P2107" s="2" t="s">
        <v>72</v>
      </c>
    </row>
    <row r="2108" spans="1:16" x14ac:dyDescent="0.25">
      <c r="A2108" s="2" t="s">
        <v>7188</v>
      </c>
      <c r="B2108" s="2" t="s">
        <v>7189</v>
      </c>
      <c r="C2108" s="2" t="s">
        <v>29</v>
      </c>
      <c r="D2108" s="2" t="s">
        <v>79</v>
      </c>
      <c r="E2108" s="2" t="s">
        <v>44</v>
      </c>
      <c r="F2108" s="2" t="s">
        <v>128</v>
      </c>
      <c r="G2108" s="2" t="s">
        <v>69</v>
      </c>
      <c r="H2108" s="2" t="s">
        <v>23</v>
      </c>
      <c r="I2108" s="2" t="s">
        <v>24</v>
      </c>
      <c r="J2108" s="2" t="s">
        <v>2337</v>
      </c>
      <c r="K2108" s="2" t="s">
        <v>1551</v>
      </c>
      <c r="L2108">
        <v>3</v>
      </c>
      <c r="M2108" s="1">
        <v>519000</v>
      </c>
      <c r="N2108">
        <v>3.3</v>
      </c>
      <c r="O2108">
        <v>14</v>
      </c>
      <c r="P2108" s="2" t="s">
        <v>26</v>
      </c>
    </row>
    <row r="2109" spans="1:16" x14ac:dyDescent="0.25">
      <c r="A2109" s="2" t="s">
        <v>7190</v>
      </c>
      <c r="B2109" s="2" t="s">
        <v>1436</v>
      </c>
      <c r="C2109" s="2" t="s">
        <v>18</v>
      </c>
      <c r="D2109" s="2" t="s">
        <v>30</v>
      </c>
      <c r="E2109" s="2" t="s">
        <v>44</v>
      </c>
      <c r="F2109" s="2" t="s">
        <v>128</v>
      </c>
      <c r="G2109" s="2" t="s">
        <v>80</v>
      </c>
      <c r="H2109" s="2" t="s">
        <v>46</v>
      </c>
      <c r="I2109" s="2" t="s">
        <v>24</v>
      </c>
      <c r="J2109" s="2" t="s">
        <v>7178</v>
      </c>
      <c r="K2109" s="2" t="s">
        <v>1551</v>
      </c>
      <c r="L2109">
        <v>6</v>
      </c>
      <c r="M2109" s="1">
        <v>503000</v>
      </c>
      <c r="N2109">
        <v>3.2</v>
      </c>
      <c r="O2109">
        <v>4</v>
      </c>
      <c r="P2109" s="2" t="s">
        <v>26</v>
      </c>
    </row>
    <row r="2110" spans="1:16" x14ac:dyDescent="0.25">
      <c r="A2110" s="2" t="s">
        <v>7191</v>
      </c>
      <c r="B2110" s="2" t="s">
        <v>4561</v>
      </c>
      <c r="C2110" s="2" t="s">
        <v>29</v>
      </c>
      <c r="D2110" s="2" t="s">
        <v>50</v>
      </c>
      <c r="E2110" s="2" t="s">
        <v>20</v>
      </c>
      <c r="F2110" s="2" t="s">
        <v>39</v>
      </c>
      <c r="G2110" s="2" t="s">
        <v>22</v>
      </c>
      <c r="H2110" s="2" t="s">
        <v>34</v>
      </c>
      <c r="I2110" s="2" t="s">
        <v>75</v>
      </c>
      <c r="J2110" s="2" t="s">
        <v>5137</v>
      </c>
      <c r="K2110" s="2" t="s">
        <v>1551</v>
      </c>
      <c r="L2110">
        <v>7</v>
      </c>
      <c r="M2110" s="1">
        <v>144000</v>
      </c>
      <c r="N2110">
        <v>2.2999999999999998</v>
      </c>
      <c r="O2110">
        <v>13</v>
      </c>
      <c r="P2110" s="2" t="s">
        <v>26</v>
      </c>
    </row>
    <row r="2111" spans="1:16" x14ac:dyDescent="0.25">
      <c r="A2111" s="2" t="s">
        <v>7198</v>
      </c>
      <c r="B2111" s="2" t="s">
        <v>6295</v>
      </c>
      <c r="C2111" s="2" t="s">
        <v>29</v>
      </c>
      <c r="D2111" s="2" t="s">
        <v>43</v>
      </c>
      <c r="E2111" s="2" t="s">
        <v>31</v>
      </c>
      <c r="F2111" s="2" t="s">
        <v>21</v>
      </c>
      <c r="G2111" s="2" t="s">
        <v>22</v>
      </c>
      <c r="H2111" s="2" t="s">
        <v>46</v>
      </c>
      <c r="I2111" s="2" t="s">
        <v>35</v>
      </c>
      <c r="J2111" s="2" t="s">
        <v>7199</v>
      </c>
      <c r="K2111" s="2" t="s">
        <v>1551</v>
      </c>
      <c r="L2111">
        <v>5</v>
      </c>
      <c r="M2111" s="1">
        <v>772000</v>
      </c>
      <c r="N2111">
        <v>4.3</v>
      </c>
      <c r="O2111">
        <v>10</v>
      </c>
      <c r="P2111" s="2" t="s">
        <v>26</v>
      </c>
    </row>
    <row r="2112" spans="1:16" x14ac:dyDescent="0.25">
      <c r="A2112" s="2" t="s">
        <v>7200</v>
      </c>
      <c r="B2112" s="2" t="s">
        <v>7201</v>
      </c>
      <c r="C2112" s="2" t="s">
        <v>18</v>
      </c>
      <c r="D2112" s="2" t="s">
        <v>30</v>
      </c>
      <c r="E2112" s="2" t="s">
        <v>20</v>
      </c>
      <c r="F2112" s="2" t="s">
        <v>32</v>
      </c>
      <c r="G2112" s="2" t="s">
        <v>80</v>
      </c>
      <c r="H2112" s="2" t="s">
        <v>23</v>
      </c>
      <c r="I2112" s="2" t="s">
        <v>57</v>
      </c>
      <c r="J2112" s="2" t="s">
        <v>324</v>
      </c>
      <c r="K2112" s="2" t="s">
        <v>1551</v>
      </c>
      <c r="L2112">
        <v>2</v>
      </c>
      <c r="M2112" s="1">
        <v>273000</v>
      </c>
      <c r="N2112">
        <v>3.6</v>
      </c>
      <c r="O2112">
        <v>5</v>
      </c>
      <c r="P2112" s="2" t="s">
        <v>26</v>
      </c>
    </row>
    <row r="2113" spans="1:16" x14ac:dyDescent="0.25">
      <c r="A2113" s="2" t="s">
        <v>7202</v>
      </c>
      <c r="B2113" s="2" t="s">
        <v>294</v>
      </c>
      <c r="C2113" s="2" t="s">
        <v>18</v>
      </c>
      <c r="D2113" s="2" t="s">
        <v>79</v>
      </c>
      <c r="E2113" s="2" t="s">
        <v>44</v>
      </c>
      <c r="F2113" s="2" t="s">
        <v>128</v>
      </c>
      <c r="G2113" s="2" t="s">
        <v>22</v>
      </c>
      <c r="H2113" s="2" t="s">
        <v>46</v>
      </c>
      <c r="I2113" s="2" t="s">
        <v>57</v>
      </c>
      <c r="J2113" s="2" t="s">
        <v>5372</v>
      </c>
      <c r="K2113" s="2" t="s">
        <v>1551</v>
      </c>
      <c r="L2113">
        <v>2</v>
      </c>
      <c r="M2113" s="1">
        <v>406000</v>
      </c>
      <c r="N2113">
        <v>2</v>
      </c>
      <c r="O2113">
        <v>6</v>
      </c>
      <c r="P2113" s="2" t="s">
        <v>26</v>
      </c>
    </row>
    <row r="2114" spans="1:16" x14ac:dyDescent="0.25">
      <c r="A2114" s="2" t="s">
        <v>7203</v>
      </c>
      <c r="B2114" s="2" t="s">
        <v>728</v>
      </c>
      <c r="C2114" s="2" t="s">
        <v>29</v>
      </c>
      <c r="D2114" s="2" t="s">
        <v>30</v>
      </c>
      <c r="E2114" s="2" t="s">
        <v>44</v>
      </c>
      <c r="F2114" s="2" t="s">
        <v>128</v>
      </c>
      <c r="G2114" s="2" t="s">
        <v>80</v>
      </c>
      <c r="H2114" s="2" t="s">
        <v>23</v>
      </c>
      <c r="I2114" s="2" t="s">
        <v>24</v>
      </c>
      <c r="J2114" s="2" t="s">
        <v>7204</v>
      </c>
      <c r="K2114" s="2" t="s">
        <v>1551</v>
      </c>
      <c r="L2114">
        <v>4</v>
      </c>
      <c r="M2114" s="1">
        <v>523000</v>
      </c>
      <c r="N2114">
        <v>4.2</v>
      </c>
      <c r="O2114">
        <v>0</v>
      </c>
      <c r="P2114" s="2" t="s">
        <v>26</v>
      </c>
    </row>
    <row r="2115" spans="1:16" x14ac:dyDescent="0.25">
      <c r="A2115" s="2" t="s">
        <v>7205</v>
      </c>
      <c r="B2115" s="2" t="s">
        <v>778</v>
      </c>
      <c r="C2115" s="2" t="s">
        <v>18</v>
      </c>
      <c r="D2115" s="2" t="s">
        <v>50</v>
      </c>
      <c r="E2115" s="2" t="s">
        <v>20</v>
      </c>
      <c r="F2115" s="2" t="s">
        <v>32</v>
      </c>
      <c r="G2115" s="2" t="s">
        <v>33</v>
      </c>
      <c r="H2115" s="2" t="s">
        <v>34</v>
      </c>
      <c r="I2115" s="2" t="s">
        <v>57</v>
      </c>
      <c r="J2115" s="2" t="s">
        <v>1908</v>
      </c>
      <c r="K2115" s="2" t="s">
        <v>1551</v>
      </c>
      <c r="L2115">
        <v>4</v>
      </c>
      <c r="M2115" s="1">
        <v>202000</v>
      </c>
      <c r="N2115">
        <v>3.4</v>
      </c>
      <c r="O2115">
        <v>0</v>
      </c>
      <c r="P2115" s="2" t="s">
        <v>53</v>
      </c>
    </row>
    <row r="2116" spans="1:16" x14ac:dyDescent="0.25">
      <c r="A2116" s="2" t="s">
        <v>7208</v>
      </c>
      <c r="B2116" s="2" t="s">
        <v>7209</v>
      </c>
      <c r="C2116" s="2" t="s">
        <v>18</v>
      </c>
      <c r="D2116" s="2" t="s">
        <v>30</v>
      </c>
      <c r="E2116" s="2" t="s">
        <v>31</v>
      </c>
      <c r="F2116" s="2" t="s">
        <v>39</v>
      </c>
      <c r="G2116" s="2" t="s">
        <v>33</v>
      </c>
      <c r="H2116" s="2" t="s">
        <v>23</v>
      </c>
      <c r="I2116" s="2" t="s">
        <v>24</v>
      </c>
      <c r="J2116" s="2" t="s">
        <v>2576</v>
      </c>
      <c r="K2116" s="2" t="s">
        <v>6350</v>
      </c>
      <c r="L2116">
        <v>2</v>
      </c>
      <c r="M2116" s="1">
        <v>133000</v>
      </c>
      <c r="N2116">
        <v>1.7</v>
      </c>
      <c r="O2116">
        <v>12</v>
      </c>
      <c r="P2116" s="2" t="s">
        <v>26</v>
      </c>
    </row>
    <row r="2117" spans="1:16" x14ac:dyDescent="0.25">
      <c r="A2117" s="2" t="s">
        <v>7210</v>
      </c>
      <c r="B2117" s="2" t="s">
        <v>7211</v>
      </c>
      <c r="C2117" s="2" t="s">
        <v>29</v>
      </c>
      <c r="D2117" s="2" t="s">
        <v>79</v>
      </c>
      <c r="E2117" s="2" t="s">
        <v>20</v>
      </c>
      <c r="F2117" s="2" t="s">
        <v>32</v>
      </c>
      <c r="G2117" s="2" t="s">
        <v>33</v>
      </c>
      <c r="H2117" s="2" t="s">
        <v>23</v>
      </c>
      <c r="I2117" s="2" t="s">
        <v>75</v>
      </c>
      <c r="J2117" s="2" t="s">
        <v>1510</v>
      </c>
      <c r="K2117" s="2" t="s">
        <v>6350</v>
      </c>
      <c r="L2117">
        <v>2</v>
      </c>
      <c r="M2117" s="1">
        <v>192000</v>
      </c>
      <c r="N2117">
        <v>4.9000000000000004</v>
      </c>
      <c r="O2117">
        <v>12</v>
      </c>
      <c r="P2117" s="2" t="s">
        <v>72</v>
      </c>
    </row>
    <row r="2118" spans="1:16" x14ac:dyDescent="0.25">
      <c r="A2118" s="2" t="s">
        <v>7212</v>
      </c>
      <c r="B2118" s="2" t="s">
        <v>2331</v>
      </c>
      <c r="C2118" s="2" t="s">
        <v>29</v>
      </c>
      <c r="D2118" s="2" t="s">
        <v>50</v>
      </c>
      <c r="E2118" s="2" t="s">
        <v>31</v>
      </c>
      <c r="F2118" s="2" t="s">
        <v>39</v>
      </c>
      <c r="G2118" s="2" t="s">
        <v>33</v>
      </c>
      <c r="H2118" s="2" t="s">
        <v>23</v>
      </c>
      <c r="I2118" s="2" t="s">
        <v>57</v>
      </c>
      <c r="J2118" s="2" t="s">
        <v>7213</v>
      </c>
      <c r="K2118" s="2" t="s">
        <v>2807</v>
      </c>
      <c r="L2118">
        <v>3</v>
      </c>
      <c r="M2118" s="1">
        <v>93000</v>
      </c>
      <c r="N2118">
        <v>4.5</v>
      </c>
      <c r="O2118">
        <v>3</v>
      </c>
      <c r="P2118" s="2" t="s">
        <v>26</v>
      </c>
    </row>
    <row r="2119" spans="1:16" x14ac:dyDescent="0.25">
      <c r="A2119" s="2" t="s">
        <v>7215</v>
      </c>
      <c r="B2119" s="2" t="s">
        <v>123</v>
      </c>
      <c r="C2119" s="2" t="s">
        <v>29</v>
      </c>
      <c r="D2119" s="2" t="s">
        <v>30</v>
      </c>
      <c r="E2119" s="2" t="s">
        <v>20</v>
      </c>
      <c r="F2119" s="2" t="s">
        <v>39</v>
      </c>
      <c r="G2119" s="2" t="s">
        <v>69</v>
      </c>
      <c r="H2119" s="2" t="s">
        <v>34</v>
      </c>
      <c r="I2119" s="2" t="s">
        <v>24</v>
      </c>
      <c r="J2119" s="2" t="s">
        <v>1474</v>
      </c>
      <c r="K2119" s="2" t="s">
        <v>2807</v>
      </c>
      <c r="L2119">
        <v>5</v>
      </c>
      <c r="M2119" s="1">
        <v>157000</v>
      </c>
      <c r="N2119">
        <v>2.8</v>
      </c>
      <c r="O2119">
        <v>33</v>
      </c>
      <c r="P2119" s="2" t="s">
        <v>26</v>
      </c>
    </row>
    <row r="2120" spans="1:16" x14ac:dyDescent="0.25">
      <c r="A2120" s="2" t="s">
        <v>7216</v>
      </c>
      <c r="B2120" s="2" t="s">
        <v>7217</v>
      </c>
      <c r="C2120" s="2" t="s">
        <v>29</v>
      </c>
      <c r="D2120" s="2" t="s">
        <v>79</v>
      </c>
      <c r="E2120" s="2" t="s">
        <v>31</v>
      </c>
      <c r="F2120" s="2" t="s">
        <v>39</v>
      </c>
      <c r="G2120" s="2" t="s">
        <v>69</v>
      </c>
      <c r="H2120" s="2" t="s">
        <v>34</v>
      </c>
      <c r="I2120" s="2" t="s">
        <v>35</v>
      </c>
      <c r="J2120" s="2" t="s">
        <v>6201</v>
      </c>
      <c r="K2120" s="2" t="s">
        <v>2807</v>
      </c>
      <c r="L2120">
        <v>2</v>
      </c>
      <c r="M2120" s="1">
        <v>103000</v>
      </c>
      <c r="N2120">
        <v>2.4</v>
      </c>
      <c r="O2120">
        <v>37</v>
      </c>
      <c r="P2120" s="2" t="s">
        <v>53</v>
      </c>
    </row>
    <row r="2121" spans="1:16" x14ac:dyDescent="0.25">
      <c r="A2121" s="2" t="s">
        <v>7218</v>
      </c>
      <c r="B2121" s="2" t="s">
        <v>3399</v>
      </c>
      <c r="C2121" s="2" t="s">
        <v>18</v>
      </c>
      <c r="D2121" s="2" t="s">
        <v>30</v>
      </c>
      <c r="E2121" s="2" t="s">
        <v>20</v>
      </c>
      <c r="F2121" s="2" t="s">
        <v>32</v>
      </c>
      <c r="G2121" s="2" t="s">
        <v>80</v>
      </c>
      <c r="H2121" s="2" t="s">
        <v>34</v>
      </c>
      <c r="I2121" s="2" t="s">
        <v>24</v>
      </c>
      <c r="J2121" s="2" t="s">
        <v>967</v>
      </c>
      <c r="K2121" s="2" t="s">
        <v>5917</v>
      </c>
      <c r="L2121">
        <v>2</v>
      </c>
      <c r="M2121" s="1">
        <v>282000</v>
      </c>
      <c r="N2121">
        <v>4.2</v>
      </c>
      <c r="O2121">
        <v>3</v>
      </c>
      <c r="P2121" s="2" t="s">
        <v>26</v>
      </c>
    </row>
    <row r="2122" spans="1:16" x14ac:dyDescent="0.25">
      <c r="A2122" s="2" t="s">
        <v>7219</v>
      </c>
      <c r="B2122" s="2" t="s">
        <v>2890</v>
      </c>
      <c r="C2122" s="2" t="s">
        <v>18</v>
      </c>
      <c r="D2122" s="2" t="s">
        <v>50</v>
      </c>
      <c r="E2122" s="2" t="s">
        <v>20</v>
      </c>
      <c r="F2122" s="2" t="s">
        <v>32</v>
      </c>
      <c r="G2122" s="2" t="s">
        <v>33</v>
      </c>
      <c r="H2122" s="2" t="s">
        <v>34</v>
      </c>
      <c r="I2122" s="2" t="s">
        <v>35</v>
      </c>
      <c r="J2122" s="2" t="s">
        <v>6453</v>
      </c>
      <c r="K2122" s="2" t="s">
        <v>5917</v>
      </c>
      <c r="L2122">
        <v>2</v>
      </c>
      <c r="M2122" s="1">
        <v>316000</v>
      </c>
      <c r="N2122">
        <v>3.1</v>
      </c>
      <c r="O2122">
        <v>15</v>
      </c>
      <c r="P2122" s="2" t="s">
        <v>26</v>
      </c>
    </row>
    <row r="2123" spans="1:16" x14ac:dyDescent="0.25">
      <c r="A2123" s="2" t="s">
        <v>7220</v>
      </c>
      <c r="B2123" s="2" t="s">
        <v>7221</v>
      </c>
      <c r="C2123" s="2" t="s">
        <v>29</v>
      </c>
      <c r="D2123" s="2" t="s">
        <v>50</v>
      </c>
      <c r="E2123" s="2" t="s">
        <v>44</v>
      </c>
      <c r="F2123" s="2" t="s">
        <v>32</v>
      </c>
      <c r="G2123" s="2" t="s">
        <v>22</v>
      </c>
      <c r="H2123" s="2" t="s">
        <v>23</v>
      </c>
      <c r="I2123" s="2" t="s">
        <v>57</v>
      </c>
      <c r="J2123" s="2" t="s">
        <v>1860</v>
      </c>
      <c r="K2123" s="2" t="s">
        <v>5917</v>
      </c>
      <c r="L2123">
        <v>5</v>
      </c>
      <c r="M2123" s="1">
        <v>251000</v>
      </c>
      <c r="N2123">
        <v>2.2999999999999998</v>
      </c>
      <c r="O2123">
        <v>14</v>
      </c>
      <c r="P2123" s="2" t="s">
        <v>53</v>
      </c>
    </row>
    <row r="2124" spans="1:16" x14ac:dyDescent="0.25">
      <c r="A2124" s="2" t="s">
        <v>7222</v>
      </c>
      <c r="B2124" s="2" t="s">
        <v>3531</v>
      </c>
      <c r="C2124" s="2" t="s">
        <v>18</v>
      </c>
      <c r="D2124" s="2" t="s">
        <v>50</v>
      </c>
      <c r="E2124" s="2" t="s">
        <v>44</v>
      </c>
      <c r="F2124" s="2" t="s">
        <v>128</v>
      </c>
      <c r="G2124" s="2" t="s">
        <v>22</v>
      </c>
      <c r="H2124" s="2" t="s">
        <v>46</v>
      </c>
      <c r="I2124" s="2" t="s">
        <v>24</v>
      </c>
      <c r="J2124" s="2" t="s">
        <v>6600</v>
      </c>
      <c r="K2124" s="2" t="s">
        <v>1115</v>
      </c>
      <c r="L2124">
        <v>7</v>
      </c>
      <c r="M2124" s="1">
        <v>396000</v>
      </c>
      <c r="N2124">
        <v>2.1</v>
      </c>
      <c r="O2124">
        <v>2</v>
      </c>
      <c r="P2124" s="2" t="s">
        <v>26</v>
      </c>
    </row>
    <row r="2125" spans="1:16" x14ac:dyDescent="0.25">
      <c r="A2125" s="2" t="s">
        <v>7223</v>
      </c>
      <c r="B2125" s="2" t="s">
        <v>7224</v>
      </c>
      <c r="C2125" s="2" t="s">
        <v>18</v>
      </c>
      <c r="D2125" s="2" t="s">
        <v>30</v>
      </c>
      <c r="E2125" s="2" t="s">
        <v>20</v>
      </c>
      <c r="F2125" s="2" t="s">
        <v>21</v>
      </c>
      <c r="G2125" s="2" t="s">
        <v>33</v>
      </c>
      <c r="H2125" s="2" t="s">
        <v>34</v>
      </c>
      <c r="I2125" s="2" t="s">
        <v>75</v>
      </c>
      <c r="J2125" s="2" t="s">
        <v>688</v>
      </c>
      <c r="K2125" s="2" t="s">
        <v>1115</v>
      </c>
      <c r="L2125">
        <v>6</v>
      </c>
      <c r="M2125" s="1">
        <v>727000</v>
      </c>
      <c r="N2125">
        <v>4.9000000000000004</v>
      </c>
      <c r="O2125">
        <v>31</v>
      </c>
      <c r="P2125" s="2" t="s">
        <v>53</v>
      </c>
    </row>
    <row r="2126" spans="1:16" x14ac:dyDescent="0.25">
      <c r="A2126" s="2" t="s">
        <v>7225</v>
      </c>
      <c r="B2126" s="2" t="s">
        <v>5360</v>
      </c>
      <c r="C2126" s="2" t="s">
        <v>29</v>
      </c>
      <c r="D2126" s="2" t="s">
        <v>79</v>
      </c>
      <c r="E2126" s="2" t="s">
        <v>31</v>
      </c>
      <c r="F2126" s="2" t="s">
        <v>128</v>
      </c>
      <c r="G2126" s="2" t="s">
        <v>22</v>
      </c>
      <c r="H2126" s="2" t="s">
        <v>23</v>
      </c>
      <c r="I2126" s="2" t="s">
        <v>57</v>
      </c>
      <c r="J2126" s="2" t="s">
        <v>3889</v>
      </c>
      <c r="K2126" s="2" t="s">
        <v>4952</v>
      </c>
      <c r="L2126">
        <v>6</v>
      </c>
      <c r="M2126" s="1">
        <v>477000</v>
      </c>
      <c r="N2126">
        <v>4.3</v>
      </c>
      <c r="O2126">
        <v>13</v>
      </c>
      <c r="P2126" s="2" t="s">
        <v>53</v>
      </c>
    </row>
    <row r="2127" spans="1:16" x14ac:dyDescent="0.25">
      <c r="A2127" s="2" t="s">
        <v>7226</v>
      </c>
      <c r="B2127" s="2" t="s">
        <v>5844</v>
      </c>
      <c r="C2127" s="2" t="s">
        <v>18</v>
      </c>
      <c r="D2127" s="2" t="s">
        <v>43</v>
      </c>
      <c r="E2127" s="2" t="s">
        <v>20</v>
      </c>
      <c r="F2127" s="2" t="s">
        <v>32</v>
      </c>
      <c r="G2127" s="2" t="s">
        <v>22</v>
      </c>
      <c r="H2127" s="2" t="s">
        <v>46</v>
      </c>
      <c r="I2127" s="2" t="s">
        <v>35</v>
      </c>
      <c r="J2127" s="2" t="s">
        <v>1959</v>
      </c>
      <c r="K2127" s="2" t="s">
        <v>487</v>
      </c>
      <c r="L2127">
        <v>5</v>
      </c>
      <c r="M2127" s="1">
        <v>198000</v>
      </c>
      <c r="N2127">
        <v>4.5</v>
      </c>
      <c r="O2127">
        <v>3</v>
      </c>
      <c r="P2127" s="2" t="s">
        <v>53</v>
      </c>
    </row>
    <row r="2128" spans="1:16" x14ac:dyDescent="0.25">
      <c r="A2128" s="2" t="s">
        <v>7227</v>
      </c>
      <c r="B2128" s="2" t="s">
        <v>2630</v>
      </c>
      <c r="C2128" s="2" t="s">
        <v>29</v>
      </c>
      <c r="D2128" s="2" t="s">
        <v>43</v>
      </c>
      <c r="E2128" s="2" t="s">
        <v>20</v>
      </c>
      <c r="F2128" s="2" t="s">
        <v>128</v>
      </c>
      <c r="G2128" s="2" t="s">
        <v>22</v>
      </c>
      <c r="H2128" s="2" t="s">
        <v>62</v>
      </c>
      <c r="I2128" s="2" t="s">
        <v>57</v>
      </c>
      <c r="J2128" s="2" t="s">
        <v>4631</v>
      </c>
      <c r="K2128" s="2" t="s">
        <v>4875</v>
      </c>
      <c r="L2128">
        <v>4</v>
      </c>
      <c r="M2128" s="1">
        <v>532000</v>
      </c>
      <c r="N2128">
        <v>3.6</v>
      </c>
      <c r="O2128">
        <v>5</v>
      </c>
      <c r="P2128" s="2" t="s">
        <v>26</v>
      </c>
    </row>
    <row r="2129" spans="1:16" x14ac:dyDescent="0.25">
      <c r="A2129" s="2" t="s">
        <v>7229</v>
      </c>
      <c r="B2129" s="2" t="s">
        <v>1635</v>
      </c>
      <c r="C2129" s="2" t="s">
        <v>29</v>
      </c>
      <c r="D2129" s="2" t="s">
        <v>79</v>
      </c>
      <c r="E2129" s="2" t="s">
        <v>31</v>
      </c>
      <c r="F2129" s="2" t="s">
        <v>32</v>
      </c>
      <c r="G2129" s="2" t="s">
        <v>33</v>
      </c>
      <c r="H2129" s="2" t="s">
        <v>34</v>
      </c>
      <c r="I2129" s="2" t="s">
        <v>57</v>
      </c>
      <c r="J2129" s="2" t="s">
        <v>487</v>
      </c>
      <c r="K2129" s="2" t="s">
        <v>4875</v>
      </c>
      <c r="L2129">
        <v>2</v>
      </c>
      <c r="M2129" s="1">
        <v>327000</v>
      </c>
      <c r="N2129">
        <v>3.1</v>
      </c>
      <c r="O2129">
        <v>13</v>
      </c>
      <c r="P2129" s="2" t="s">
        <v>72</v>
      </c>
    </row>
    <row r="2130" spans="1:16" x14ac:dyDescent="0.25">
      <c r="A2130" s="2" t="s">
        <v>7230</v>
      </c>
      <c r="B2130" s="2" t="s">
        <v>2028</v>
      </c>
      <c r="C2130" s="2" t="s">
        <v>18</v>
      </c>
      <c r="D2130" s="2" t="s">
        <v>19</v>
      </c>
      <c r="E2130" s="2" t="s">
        <v>44</v>
      </c>
      <c r="F2130" s="2" t="s">
        <v>32</v>
      </c>
      <c r="G2130" s="2" t="s">
        <v>33</v>
      </c>
      <c r="H2130" s="2" t="s">
        <v>62</v>
      </c>
      <c r="I2130" s="2" t="s">
        <v>24</v>
      </c>
      <c r="J2130" s="2" t="s">
        <v>2568</v>
      </c>
      <c r="K2130" s="2" t="s">
        <v>5017</v>
      </c>
      <c r="L2130">
        <v>2</v>
      </c>
      <c r="M2130" s="1">
        <v>215000</v>
      </c>
      <c r="N2130">
        <v>4.0999999999999996</v>
      </c>
      <c r="O2130">
        <v>0</v>
      </c>
      <c r="P2130" s="2" t="s">
        <v>114</v>
      </c>
    </row>
    <row r="2131" spans="1:16" x14ac:dyDescent="0.25">
      <c r="A2131" s="2" t="s">
        <v>7231</v>
      </c>
      <c r="B2131" s="2" t="s">
        <v>7232</v>
      </c>
      <c r="C2131" s="2" t="s">
        <v>18</v>
      </c>
      <c r="D2131" s="2" t="s">
        <v>50</v>
      </c>
      <c r="E2131" s="2" t="s">
        <v>20</v>
      </c>
      <c r="F2131" s="2" t="s">
        <v>32</v>
      </c>
      <c r="G2131" s="2" t="s">
        <v>22</v>
      </c>
      <c r="H2131" s="2" t="s">
        <v>23</v>
      </c>
      <c r="I2131" s="2" t="s">
        <v>171</v>
      </c>
      <c r="J2131" s="2" t="s">
        <v>997</v>
      </c>
      <c r="K2131" s="2" t="s">
        <v>7236</v>
      </c>
      <c r="L2131">
        <v>3</v>
      </c>
      <c r="M2131" s="1">
        <v>311000</v>
      </c>
      <c r="N2131">
        <v>4.4000000000000004</v>
      </c>
      <c r="O2131">
        <v>11</v>
      </c>
      <c r="P2131" s="2" t="s">
        <v>26</v>
      </c>
    </row>
    <row r="2132" spans="1:16" x14ac:dyDescent="0.25">
      <c r="A2132" s="2" t="s">
        <v>7235</v>
      </c>
      <c r="B2132" s="2" t="s">
        <v>6651</v>
      </c>
      <c r="C2132" s="2" t="s">
        <v>29</v>
      </c>
      <c r="D2132" s="2" t="s">
        <v>30</v>
      </c>
      <c r="E2132" s="2" t="s">
        <v>44</v>
      </c>
      <c r="F2132" s="2" t="s">
        <v>21</v>
      </c>
      <c r="G2132" s="2" t="s">
        <v>80</v>
      </c>
      <c r="H2132" s="2" t="s">
        <v>34</v>
      </c>
      <c r="I2132" s="2" t="s">
        <v>24</v>
      </c>
      <c r="J2132" s="2" t="s">
        <v>1333</v>
      </c>
      <c r="K2132" s="2" t="s">
        <v>7236</v>
      </c>
      <c r="L2132">
        <v>5</v>
      </c>
      <c r="M2132" s="1">
        <v>800000</v>
      </c>
      <c r="N2132">
        <v>4.4000000000000004</v>
      </c>
      <c r="O2132">
        <v>0</v>
      </c>
      <c r="P2132" s="2" t="s">
        <v>53</v>
      </c>
    </row>
    <row r="2133" spans="1:16" x14ac:dyDescent="0.25">
      <c r="A2133" s="2" t="s">
        <v>7237</v>
      </c>
      <c r="B2133" s="2" t="s">
        <v>7238</v>
      </c>
      <c r="C2133" s="2" t="s">
        <v>29</v>
      </c>
      <c r="D2133" s="2" t="s">
        <v>50</v>
      </c>
      <c r="E2133" s="2" t="s">
        <v>20</v>
      </c>
      <c r="F2133" s="2" t="s">
        <v>39</v>
      </c>
      <c r="G2133" s="2" t="s">
        <v>22</v>
      </c>
      <c r="H2133" s="2" t="s">
        <v>62</v>
      </c>
      <c r="I2133" s="2" t="s">
        <v>24</v>
      </c>
      <c r="J2133" s="2" t="s">
        <v>1077</v>
      </c>
      <c r="K2133" s="2" t="s">
        <v>4837</v>
      </c>
      <c r="L2133">
        <v>2</v>
      </c>
      <c r="M2133" s="1">
        <v>93000</v>
      </c>
      <c r="N2133">
        <v>2.5</v>
      </c>
      <c r="O2133">
        <v>0</v>
      </c>
      <c r="P2133" s="2" t="s">
        <v>26</v>
      </c>
    </row>
    <row r="2134" spans="1:16" x14ac:dyDescent="0.25">
      <c r="A2134" s="2" t="s">
        <v>7239</v>
      </c>
      <c r="B2134" s="2" t="s">
        <v>5561</v>
      </c>
      <c r="C2134" s="2" t="s">
        <v>29</v>
      </c>
      <c r="D2134" s="2" t="s">
        <v>79</v>
      </c>
      <c r="E2134" s="2" t="s">
        <v>20</v>
      </c>
      <c r="F2134" s="2" t="s">
        <v>128</v>
      </c>
      <c r="G2134" s="2" t="s">
        <v>22</v>
      </c>
      <c r="H2134" s="2" t="s">
        <v>34</v>
      </c>
      <c r="I2134" s="2" t="s">
        <v>57</v>
      </c>
      <c r="J2134" s="2" t="s">
        <v>1994</v>
      </c>
      <c r="K2134" s="2" t="s">
        <v>4837</v>
      </c>
      <c r="L2134">
        <v>4</v>
      </c>
      <c r="M2134" s="1">
        <v>357000</v>
      </c>
      <c r="N2134">
        <v>2.5</v>
      </c>
      <c r="O2134">
        <v>0</v>
      </c>
      <c r="P2134" s="2" t="s">
        <v>53</v>
      </c>
    </row>
    <row r="2135" spans="1:16" x14ac:dyDescent="0.25">
      <c r="A2135" s="2" t="s">
        <v>7243</v>
      </c>
      <c r="B2135" s="2" t="s">
        <v>7244</v>
      </c>
      <c r="C2135" s="2" t="s">
        <v>29</v>
      </c>
      <c r="D2135" s="2" t="s">
        <v>43</v>
      </c>
      <c r="E2135" s="2" t="s">
        <v>20</v>
      </c>
      <c r="F2135" s="2" t="s">
        <v>32</v>
      </c>
      <c r="G2135" s="2" t="s">
        <v>33</v>
      </c>
      <c r="H2135" s="2" t="s">
        <v>23</v>
      </c>
      <c r="I2135" s="2" t="s">
        <v>24</v>
      </c>
      <c r="J2135" s="2" t="s">
        <v>3091</v>
      </c>
      <c r="K2135" s="2" t="s">
        <v>7246</v>
      </c>
      <c r="L2135">
        <v>5</v>
      </c>
      <c r="M2135" s="1">
        <v>306000</v>
      </c>
      <c r="N2135">
        <v>4.4000000000000004</v>
      </c>
      <c r="O2135">
        <v>9</v>
      </c>
      <c r="P2135" s="2" t="s">
        <v>26</v>
      </c>
    </row>
    <row r="2136" spans="1:16" x14ac:dyDescent="0.25">
      <c r="A2136" s="2" t="s">
        <v>7245</v>
      </c>
      <c r="B2136" s="2" t="s">
        <v>4466</v>
      </c>
      <c r="C2136" s="2" t="s">
        <v>18</v>
      </c>
      <c r="D2136" s="2" t="s">
        <v>50</v>
      </c>
      <c r="E2136" s="2" t="s">
        <v>20</v>
      </c>
      <c r="F2136" s="2" t="s">
        <v>32</v>
      </c>
      <c r="G2136" s="2" t="s">
        <v>22</v>
      </c>
      <c r="H2136" s="2" t="s">
        <v>34</v>
      </c>
      <c r="I2136" s="2" t="s">
        <v>24</v>
      </c>
      <c r="J2136" s="2" t="s">
        <v>1464</v>
      </c>
      <c r="K2136" s="2" t="s">
        <v>7246</v>
      </c>
      <c r="L2136">
        <v>3</v>
      </c>
      <c r="M2136" s="1">
        <v>258000</v>
      </c>
      <c r="N2136">
        <v>3.3</v>
      </c>
      <c r="O2136">
        <v>0</v>
      </c>
      <c r="P2136" s="2" t="s">
        <v>53</v>
      </c>
    </row>
    <row r="2137" spans="1:16" x14ac:dyDescent="0.25">
      <c r="A2137" s="2" t="s">
        <v>7247</v>
      </c>
      <c r="B2137" s="2" t="s">
        <v>7248</v>
      </c>
      <c r="C2137" s="2" t="s">
        <v>29</v>
      </c>
      <c r="D2137" s="2" t="s">
        <v>79</v>
      </c>
      <c r="E2137" s="2" t="s">
        <v>20</v>
      </c>
      <c r="F2137" s="2" t="s">
        <v>128</v>
      </c>
      <c r="G2137" s="2" t="s">
        <v>33</v>
      </c>
      <c r="H2137" s="2" t="s">
        <v>46</v>
      </c>
      <c r="I2137" s="2" t="s">
        <v>75</v>
      </c>
      <c r="J2137" s="2" t="s">
        <v>6728</v>
      </c>
      <c r="K2137" s="2" t="s">
        <v>536</v>
      </c>
      <c r="L2137">
        <v>7</v>
      </c>
      <c r="M2137" s="1">
        <v>526000</v>
      </c>
      <c r="N2137">
        <v>4.5</v>
      </c>
      <c r="O2137">
        <v>13</v>
      </c>
      <c r="P2137" s="2" t="s">
        <v>26</v>
      </c>
    </row>
    <row r="2138" spans="1:16" x14ac:dyDescent="0.25">
      <c r="A2138" s="2" t="s">
        <v>7250</v>
      </c>
      <c r="B2138" s="2" t="s">
        <v>7251</v>
      </c>
      <c r="C2138" s="2" t="s">
        <v>29</v>
      </c>
      <c r="D2138" s="2" t="s">
        <v>43</v>
      </c>
      <c r="E2138" s="2" t="s">
        <v>20</v>
      </c>
      <c r="F2138" s="2" t="s">
        <v>39</v>
      </c>
      <c r="G2138" s="2" t="s">
        <v>80</v>
      </c>
      <c r="H2138" s="2" t="s">
        <v>62</v>
      </c>
      <c r="I2138" s="2" t="s">
        <v>24</v>
      </c>
      <c r="J2138" s="2" t="s">
        <v>5705</v>
      </c>
      <c r="K2138" s="2" t="s">
        <v>536</v>
      </c>
      <c r="L2138">
        <v>2</v>
      </c>
      <c r="M2138" s="1">
        <v>99000</v>
      </c>
      <c r="N2138">
        <v>4</v>
      </c>
      <c r="O2138">
        <v>10</v>
      </c>
      <c r="P2138" s="2" t="s">
        <v>26</v>
      </c>
    </row>
    <row r="2139" spans="1:16" x14ac:dyDescent="0.25">
      <c r="A2139" s="2" t="s">
        <v>7253</v>
      </c>
      <c r="B2139" s="2" t="s">
        <v>1121</v>
      </c>
      <c r="C2139" s="2" t="s">
        <v>29</v>
      </c>
      <c r="D2139" s="2" t="s">
        <v>50</v>
      </c>
      <c r="E2139" s="2" t="s">
        <v>20</v>
      </c>
      <c r="F2139" s="2" t="s">
        <v>128</v>
      </c>
      <c r="G2139" s="2" t="s">
        <v>22</v>
      </c>
      <c r="H2139" s="2" t="s">
        <v>34</v>
      </c>
      <c r="I2139" s="2" t="s">
        <v>35</v>
      </c>
      <c r="J2139" s="2" t="s">
        <v>4161</v>
      </c>
      <c r="K2139" s="2" t="s">
        <v>536</v>
      </c>
      <c r="L2139">
        <v>6</v>
      </c>
      <c r="M2139" s="1">
        <v>411000</v>
      </c>
      <c r="N2139">
        <v>2</v>
      </c>
      <c r="O2139">
        <v>6</v>
      </c>
      <c r="P2139" s="2" t="s">
        <v>53</v>
      </c>
    </row>
    <row r="2140" spans="1:16" x14ac:dyDescent="0.25">
      <c r="A2140" s="2" t="s">
        <v>7254</v>
      </c>
      <c r="B2140" s="2" t="s">
        <v>7255</v>
      </c>
      <c r="C2140" s="2" t="s">
        <v>29</v>
      </c>
      <c r="D2140" s="2" t="s">
        <v>30</v>
      </c>
      <c r="E2140" s="2" t="s">
        <v>20</v>
      </c>
      <c r="F2140" s="2" t="s">
        <v>128</v>
      </c>
      <c r="G2140" s="2" t="s">
        <v>22</v>
      </c>
      <c r="H2140" s="2" t="s">
        <v>34</v>
      </c>
      <c r="I2140" s="2" t="s">
        <v>24</v>
      </c>
      <c r="J2140" s="2" t="s">
        <v>3443</v>
      </c>
      <c r="K2140" s="2" t="s">
        <v>193</v>
      </c>
      <c r="L2140">
        <v>5</v>
      </c>
      <c r="M2140" s="1">
        <v>574000</v>
      </c>
      <c r="N2140">
        <v>3.4</v>
      </c>
      <c r="O2140">
        <v>12</v>
      </c>
      <c r="P2140" s="2" t="s">
        <v>53</v>
      </c>
    </row>
    <row r="2141" spans="1:16" x14ac:dyDescent="0.25">
      <c r="A2141" s="2" t="s">
        <v>7256</v>
      </c>
      <c r="B2141" s="2" t="s">
        <v>499</v>
      </c>
      <c r="C2141" s="2" t="s">
        <v>18</v>
      </c>
      <c r="D2141" s="2" t="s">
        <v>50</v>
      </c>
      <c r="E2141" s="2" t="s">
        <v>20</v>
      </c>
      <c r="F2141" s="2" t="s">
        <v>39</v>
      </c>
      <c r="G2141" s="2" t="s">
        <v>22</v>
      </c>
      <c r="H2141" s="2" t="s">
        <v>46</v>
      </c>
      <c r="I2141" s="2" t="s">
        <v>24</v>
      </c>
      <c r="J2141" s="2" t="s">
        <v>1678</v>
      </c>
      <c r="K2141" s="2" t="s">
        <v>3001</v>
      </c>
      <c r="L2141">
        <v>5</v>
      </c>
      <c r="M2141" s="1">
        <v>172000</v>
      </c>
      <c r="N2141">
        <v>3.9</v>
      </c>
      <c r="O2141">
        <v>10</v>
      </c>
      <c r="P2141" s="2" t="s">
        <v>53</v>
      </c>
    </row>
    <row r="2142" spans="1:16" x14ac:dyDescent="0.25">
      <c r="A2142" s="2" t="s">
        <v>7260</v>
      </c>
      <c r="B2142" s="2" t="s">
        <v>4991</v>
      </c>
      <c r="C2142" s="2" t="s">
        <v>18</v>
      </c>
      <c r="D2142" s="2" t="s">
        <v>79</v>
      </c>
      <c r="E2142" s="2" t="s">
        <v>20</v>
      </c>
      <c r="F2142" s="2" t="s">
        <v>32</v>
      </c>
      <c r="G2142" s="2" t="s">
        <v>69</v>
      </c>
      <c r="H2142" s="2" t="s">
        <v>46</v>
      </c>
      <c r="I2142" s="2" t="s">
        <v>24</v>
      </c>
      <c r="J2142" s="2" t="s">
        <v>1037</v>
      </c>
      <c r="K2142" s="2" t="s">
        <v>2392</v>
      </c>
      <c r="L2142">
        <v>4</v>
      </c>
      <c r="M2142" s="1">
        <v>298000</v>
      </c>
      <c r="N2142">
        <v>4.3</v>
      </c>
      <c r="O2142">
        <v>2</v>
      </c>
      <c r="P2142" s="2" t="s">
        <v>26</v>
      </c>
    </row>
    <row r="2143" spans="1:16" x14ac:dyDescent="0.25">
      <c r="A2143" s="2" t="s">
        <v>7262</v>
      </c>
      <c r="B2143" s="2" t="s">
        <v>5936</v>
      </c>
      <c r="C2143" s="2" t="s">
        <v>18</v>
      </c>
      <c r="D2143" s="2" t="s">
        <v>19</v>
      </c>
      <c r="E2143" s="2" t="s">
        <v>20</v>
      </c>
      <c r="F2143" s="2" t="s">
        <v>39</v>
      </c>
      <c r="G2143" s="2" t="s">
        <v>80</v>
      </c>
      <c r="H2143" s="2" t="s">
        <v>23</v>
      </c>
      <c r="I2143" s="2" t="s">
        <v>24</v>
      </c>
      <c r="J2143" s="2" t="s">
        <v>3852</v>
      </c>
      <c r="K2143" s="2" t="s">
        <v>2392</v>
      </c>
      <c r="L2143">
        <v>4</v>
      </c>
      <c r="M2143" s="1">
        <v>147000</v>
      </c>
      <c r="N2143">
        <v>4.5999999999999996</v>
      </c>
      <c r="O2143">
        <v>10</v>
      </c>
      <c r="P2143" s="2" t="s">
        <v>26</v>
      </c>
    </row>
    <row r="2144" spans="1:16" x14ac:dyDescent="0.25">
      <c r="A2144" s="2" t="s">
        <v>7263</v>
      </c>
      <c r="B2144" s="2" t="s">
        <v>7264</v>
      </c>
      <c r="C2144" s="2" t="s">
        <v>29</v>
      </c>
      <c r="D2144" s="2" t="s">
        <v>50</v>
      </c>
      <c r="E2144" s="2" t="s">
        <v>20</v>
      </c>
      <c r="F2144" s="2" t="s">
        <v>32</v>
      </c>
      <c r="G2144" s="2" t="s">
        <v>22</v>
      </c>
      <c r="H2144" s="2" t="s">
        <v>62</v>
      </c>
      <c r="I2144" s="2" t="s">
        <v>57</v>
      </c>
      <c r="J2144" s="2" t="s">
        <v>4080</v>
      </c>
      <c r="K2144" s="2" t="s">
        <v>2392</v>
      </c>
      <c r="L2144">
        <v>3</v>
      </c>
      <c r="M2144" s="1">
        <v>265000</v>
      </c>
      <c r="N2144">
        <v>3.7</v>
      </c>
      <c r="O2144">
        <v>5</v>
      </c>
      <c r="P2144" s="2" t="s">
        <v>26</v>
      </c>
    </row>
    <row r="2145" spans="1:16" x14ac:dyDescent="0.25">
      <c r="A2145" s="2" t="s">
        <v>7267</v>
      </c>
      <c r="B2145" s="2" t="s">
        <v>7268</v>
      </c>
      <c r="C2145" s="2" t="s">
        <v>29</v>
      </c>
      <c r="D2145" s="2" t="s">
        <v>50</v>
      </c>
      <c r="E2145" s="2" t="s">
        <v>20</v>
      </c>
      <c r="F2145" s="2" t="s">
        <v>128</v>
      </c>
      <c r="G2145" s="2" t="s">
        <v>22</v>
      </c>
      <c r="H2145" s="2" t="s">
        <v>23</v>
      </c>
      <c r="I2145" s="2" t="s">
        <v>75</v>
      </c>
      <c r="J2145" s="2" t="s">
        <v>205</v>
      </c>
      <c r="K2145" s="2" t="s">
        <v>2392</v>
      </c>
      <c r="L2145">
        <v>4</v>
      </c>
      <c r="M2145" s="1">
        <v>505000</v>
      </c>
      <c r="N2145">
        <v>3.1</v>
      </c>
      <c r="O2145">
        <v>24</v>
      </c>
      <c r="P2145" s="2" t="s">
        <v>26</v>
      </c>
    </row>
    <row r="2146" spans="1:16" x14ac:dyDescent="0.25">
      <c r="A2146" s="2" t="s">
        <v>7269</v>
      </c>
      <c r="B2146" s="2" t="s">
        <v>7270</v>
      </c>
      <c r="C2146" s="2" t="s">
        <v>18</v>
      </c>
      <c r="D2146" s="2" t="s">
        <v>50</v>
      </c>
      <c r="E2146" s="2" t="s">
        <v>44</v>
      </c>
      <c r="F2146" s="2" t="s">
        <v>128</v>
      </c>
      <c r="G2146" s="2" t="s">
        <v>80</v>
      </c>
      <c r="H2146" s="2" t="s">
        <v>34</v>
      </c>
      <c r="I2146" s="2" t="s">
        <v>24</v>
      </c>
      <c r="J2146" s="2" t="s">
        <v>3647</v>
      </c>
      <c r="K2146" s="2" t="s">
        <v>2392</v>
      </c>
      <c r="L2146">
        <v>2</v>
      </c>
      <c r="M2146" s="1">
        <v>357000</v>
      </c>
      <c r="N2146">
        <v>2.9</v>
      </c>
      <c r="O2146">
        <v>0</v>
      </c>
      <c r="P2146" s="2" t="s">
        <v>26</v>
      </c>
    </row>
    <row r="2147" spans="1:16" x14ac:dyDescent="0.25">
      <c r="A2147" s="2" t="s">
        <v>7271</v>
      </c>
      <c r="B2147" s="2" t="s">
        <v>1031</v>
      </c>
      <c r="C2147" s="2" t="s">
        <v>18</v>
      </c>
      <c r="D2147" s="2" t="s">
        <v>79</v>
      </c>
      <c r="E2147" s="2" t="s">
        <v>20</v>
      </c>
      <c r="F2147" s="2" t="s">
        <v>21</v>
      </c>
      <c r="G2147" s="2" t="s">
        <v>22</v>
      </c>
      <c r="H2147" s="2" t="s">
        <v>23</v>
      </c>
      <c r="I2147" s="2" t="s">
        <v>24</v>
      </c>
      <c r="J2147" s="2" t="s">
        <v>1294</v>
      </c>
      <c r="K2147" s="2" t="s">
        <v>2392</v>
      </c>
      <c r="L2147">
        <v>2</v>
      </c>
      <c r="M2147" s="1">
        <v>769000</v>
      </c>
      <c r="N2147">
        <v>4.0999999999999996</v>
      </c>
      <c r="O2147">
        <v>8</v>
      </c>
      <c r="P2147" s="2" t="s">
        <v>26</v>
      </c>
    </row>
    <row r="2148" spans="1:16" x14ac:dyDescent="0.25">
      <c r="A2148" s="2" t="s">
        <v>7274</v>
      </c>
      <c r="B2148" s="2" t="s">
        <v>4559</v>
      </c>
      <c r="C2148" s="2" t="s">
        <v>18</v>
      </c>
      <c r="D2148" s="2" t="s">
        <v>30</v>
      </c>
      <c r="E2148" s="2" t="s">
        <v>20</v>
      </c>
      <c r="F2148" s="2" t="s">
        <v>39</v>
      </c>
      <c r="G2148" s="2" t="s">
        <v>22</v>
      </c>
      <c r="H2148" s="2" t="s">
        <v>62</v>
      </c>
      <c r="I2148" s="2" t="s">
        <v>24</v>
      </c>
      <c r="J2148" s="2" t="s">
        <v>655</v>
      </c>
      <c r="K2148" s="2" t="s">
        <v>2392</v>
      </c>
      <c r="L2148">
        <v>2</v>
      </c>
      <c r="M2148" s="1">
        <v>143000</v>
      </c>
      <c r="N2148">
        <v>3.3</v>
      </c>
      <c r="O2148">
        <v>13</v>
      </c>
      <c r="P2148" s="2" t="s">
        <v>26</v>
      </c>
    </row>
    <row r="2149" spans="1:16" x14ac:dyDescent="0.25">
      <c r="A2149" s="2" t="s">
        <v>7278</v>
      </c>
      <c r="B2149" s="2" t="s">
        <v>7279</v>
      </c>
      <c r="C2149" s="2" t="s">
        <v>29</v>
      </c>
      <c r="D2149" s="2" t="s">
        <v>50</v>
      </c>
      <c r="E2149" s="2" t="s">
        <v>20</v>
      </c>
      <c r="F2149" s="2" t="s">
        <v>32</v>
      </c>
      <c r="G2149" s="2" t="s">
        <v>33</v>
      </c>
      <c r="H2149" s="2" t="s">
        <v>34</v>
      </c>
      <c r="I2149" s="2" t="s">
        <v>24</v>
      </c>
      <c r="J2149" s="2" t="s">
        <v>7280</v>
      </c>
      <c r="K2149" s="2" t="s">
        <v>2392</v>
      </c>
      <c r="L2149">
        <v>6</v>
      </c>
      <c r="M2149" s="1">
        <v>294000</v>
      </c>
      <c r="N2149">
        <v>2.6</v>
      </c>
      <c r="O2149">
        <v>2</v>
      </c>
      <c r="P2149" s="2" t="s">
        <v>26</v>
      </c>
    </row>
    <row r="2150" spans="1:16" x14ac:dyDescent="0.25">
      <c r="A2150" s="2" t="s">
        <v>7281</v>
      </c>
      <c r="B2150" s="2" t="s">
        <v>563</v>
      </c>
      <c r="C2150" s="2" t="s">
        <v>18</v>
      </c>
      <c r="D2150" s="2" t="s">
        <v>79</v>
      </c>
      <c r="E2150" s="2" t="s">
        <v>20</v>
      </c>
      <c r="F2150" s="2" t="s">
        <v>32</v>
      </c>
      <c r="G2150" s="2" t="s">
        <v>22</v>
      </c>
      <c r="H2150" s="2" t="s">
        <v>23</v>
      </c>
      <c r="I2150" s="2" t="s">
        <v>24</v>
      </c>
      <c r="J2150" s="2" t="s">
        <v>7282</v>
      </c>
      <c r="K2150" s="2" t="s">
        <v>2392</v>
      </c>
      <c r="L2150">
        <v>4</v>
      </c>
      <c r="M2150" s="1">
        <v>202000</v>
      </c>
      <c r="N2150">
        <v>3.9</v>
      </c>
      <c r="O2150">
        <v>2</v>
      </c>
      <c r="P2150" s="2" t="s">
        <v>26</v>
      </c>
    </row>
    <row r="2151" spans="1:16" x14ac:dyDescent="0.25">
      <c r="A2151" s="2" t="s">
        <v>7286</v>
      </c>
      <c r="B2151" s="2" t="s">
        <v>7287</v>
      </c>
      <c r="C2151" s="2" t="s">
        <v>18</v>
      </c>
      <c r="D2151" s="2" t="s">
        <v>43</v>
      </c>
      <c r="E2151" s="2" t="s">
        <v>20</v>
      </c>
      <c r="F2151" s="2" t="s">
        <v>32</v>
      </c>
      <c r="G2151" s="2" t="s">
        <v>69</v>
      </c>
      <c r="H2151" s="2" t="s">
        <v>46</v>
      </c>
      <c r="I2151" s="2" t="s">
        <v>24</v>
      </c>
      <c r="J2151" s="2" t="s">
        <v>3045</v>
      </c>
      <c r="K2151" s="2" t="s">
        <v>2392</v>
      </c>
      <c r="L2151">
        <v>5</v>
      </c>
      <c r="M2151" s="1">
        <v>235000</v>
      </c>
      <c r="N2151">
        <v>3.6</v>
      </c>
      <c r="O2151">
        <v>9</v>
      </c>
      <c r="P2151" s="2" t="s">
        <v>26</v>
      </c>
    </row>
    <row r="2152" spans="1:16" x14ac:dyDescent="0.25">
      <c r="A2152" s="2" t="s">
        <v>7288</v>
      </c>
      <c r="B2152" s="2" t="s">
        <v>2976</v>
      </c>
      <c r="C2152" s="2" t="s">
        <v>18</v>
      </c>
      <c r="D2152" s="2" t="s">
        <v>79</v>
      </c>
      <c r="E2152" s="2" t="s">
        <v>31</v>
      </c>
      <c r="F2152" s="2" t="s">
        <v>32</v>
      </c>
      <c r="G2152" s="2" t="s">
        <v>22</v>
      </c>
      <c r="H2152" s="2" t="s">
        <v>23</v>
      </c>
      <c r="I2152" s="2" t="s">
        <v>57</v>
      </c>
      <c r="J2152" s="2" t="s">
        <v>5954</v>
      </c>
      <c r="K2152" s="2" t="s">
        <v>2392</v>
      </c>
      <c r="L2152">
        <v>6</v>
      </c>
      <c r="M2152" s="1">
        <v>326000</v>
      </c>
      <c r="N2152">
        <v>3.2</v>
      </c>
      <c r="O2152">
        <v>14</v>
      </c>
      <c r="P2152" s="2" t="s">
        <v>26</v>
      </c>
    </row>
    <row r="2153" spans="1:16" x14ac:dyDescent="0.25">
      <c r="A2153" s="2" t="s">
        <v>7289</v>
      </c>
      <c r="B2153" s="2" t="s">
        <v>7290</v>
      </c>
      <c r="C2153" s="2" t="s">
        <v>29</v>
      </c>
      <c r="D2153" s="2" t="s">
        <v>50</v>
      </c>
      <c r="E2153" s="2" t="s">
        <v>31</v>
      </c>
      <c r="F2153" s="2" t="s">
        <v>39</v>
      </c>
      <c r="G2153" s="2" t="s">
        <v>69</v>
      </c>
      <c r="H2153" s="2" t="s">
        <v>34</v>
      </c>
      <c r="I2153" s="2" t="s">
        <v>57</v>
      </c>
      <c r="J2153" s="2" t="s">
        <v>823</v>
      </c>
      <c r="K2153" s="2" t="s">
        <v>2392</v>
      </c>
      <c r="L2153">
        <v>2</v>
      </c>
      <c r="M2153" s="1">
        <v>177000</v>
      </c>
      <c r="N2153">
        <v>5</v>
      </c>
      <c r="O2153">
        <v>4</v>
      </c>
      <c r="P2153" s="2" t="s">
        <v>26</v>
      </c>
    </row>
    <row r="2154" spans="1:16" x14ac:dyDescent="0.25">
      <c r="A2154" s="2" t="s">
        <v>7292</v>
      </c>
      <c r="B2154" s="2" t="s">
        <v>7279</v>
      </c>
      <c r="C2154" s="2" t="s">
        <v>29</v>
      </c>
      <c r="D2154" s="2" t="s">
        <v>79</v>
      </c>
      <c r="E2154" s="2" t="s">
        <v>44</v>
      </c>
      <c r="F2154" s="2" t="s">
        <v>39</v>
      </c>
      <c r="G2154" s="2" t="s">
        <v>22</v>
      </c>
      <c r="H2154" s="2" t="s">
        <v>46</v>
      </c>
      <c r="I2154" s="2" t="s">
        <v>24</v>
      </c>
      <c r="J2154" s="2" t="s">
        <v>1642</v>
      </c>
      <c r="K2154" s="2" t="s">
        <v>2392</v>
      </c>
      <c r="L2154">
        <v>7</v>
      </c>
      <c r="M2154" s="1">
        <v>161000</v>
      </c>
      <c r="N2154">
        <v>3.3</v>
      </c>
      <c r="O2154">
        <v>26</v>
      </c>
      <c r="P2154" s="2" t="s">
        <v>26</v>
      </c>
    </row>
    <row r="2155" spans="1:16" x14ac:dyDescent="0.25">
      <c r="A2155" s="2" t="s">
        <v>7293</v>
      </c>
      <c r="B2155" s="2" t="s">
        <v>7115</v>
      </c>
      <c r="C2155" s="2" t="s">
        <v>18</v>
      </c>
      <c r="D2155" s="2" t="s">
        <v>19</v>
      </c>
      <c r="E2155" s="2" t="s">
        <v>44</v>
      </c>
      <c r="F2155" s="2" t="s">
        <v>32</v>
      </c>
      <c r="G2155" s="2" t="s">
        <v>69</v>
      </c>
      <c r="H2155" s="2" t="s">
        <v>34</v>
      </c>
      <c r="I2155" s="2" t="s">
        <v>24</v>
      </c>
      <c r="J2155" s="2" t="s">
        <v>3011</v>
      </c>
      <c r="K2155" s="2" t="s">
        <v>2392</v>
      </c>
      <c r="L2155">
        <v>6</v>
      </c>
      <c r="M2155" s="1">
        <v>253000</v>
      </c>
      <c r="N2155">
        <v>3</v>
      </c>
      <c r="O2155">
        <v>7</v>
      </c>
      <c r="P2155" s="2" t="s">
        <v>72</v>
      </c>
    </row>
    <row r="2156" spans="1:16" x14ac:dyDescent="0.25">
      <c r="A2156" s="2" t="s">
        <v>7294</v>
      </c>
      <c r="B2156" s="2" t="s">
        <v>7295</v>
      </c>
      <c r="C2156" s="2" t="s">
        <v>29</v>
      </c>
      <c r="D2156" s="2" t="s">
        <v>30</v>
      </c>
      <c r="E2156" s="2" t="s">
        <v>20</v>
      </c>
      <c r="F2156" s="2" t="s">
        <v>39</v>
      </c>
      <c r="G2156" s="2" t="s">
        <v>69</v>
      </c>
      <c r="H2156" s="2" t="s">
        <v>34</v>
      </c>
      <c r="I2156" s="2" t="s">
        <v>24</v>
      </c>
      <c r="J2156" s="2" t="s">
        <v>1629</v>
      </c>
      <c r="K2156" s="2" t="s">
        <v>4790</v>
      </c>
      <c r="L2156">
        <v>4</v>
      </c>
      <c r="M2156" s="1">
        <v>112000</v>
      </c>
      <c r="N2156">
        <v>3.2</v>
      </c>
      <c r="O2156">
        <v>8</v>
      </c>
      <c r="P2156" s="2" t="s">
        <v>26</v>
      </c>
    </row>
    <row r="2157" spans="1:16" x14ac:dyDescent="0.25">
      <c r="A2157" s="2" t="s">
        <v>7299</v>
      </c>
      <c r="B2157" s="2" t="s">
        <v>708</v>
      </c>
      <c r="C2157" s="2" t="s">
        <v>18</v>
      </c>
      <c r="D2157" s="2" t="s">
        <v>30</v>
      </c>
      <c r="E2157" s="2" t="s">
        <v>20</v>
      </c>
      <c r="F2157" s="2" t="s">
        <v>128</v>
      </c>
      <c r="G2157" s="2" t="s">
        <v>22</v>
      </c>
      <c r="H2157" s="2" t="s">
        <v>34</v>
      </c>
      <c r="I2157" s="2" t="s">
        <v>35</v>
      </c>
      <c r="J2157" s="2" t="s">
        <v>3110</v>
      </c>
      <c r="K2157" s="2" t="s">
        <v>4790</v>
      </c>
      <c r="L2157">
        <v>5</v>
      </c>
      <c r="M2157" s="1">
        <v>365000</v>
      </c>
      <c r="N2157">
        <v>2.1</v>
      </c>
      <c r="O2157">
        <v>3</v>
      </c>
      <c r="P2157" s="2" t="s">
        <v>72</v>
      </c>
    </row>
    <row r="2158" spans="1:16" x14ac:dyDescent="0.25">
      <c r="A2158" s="2" t="s">
        <v>7300</v>
      </c>
      <c r="B2158" s="2" t="s">
        <v>865</v>
      </c>
      <c r="C2158" s="2" t="s">
        <v>18</v>
      </c>
      <c r="D2158" s="2" t="s">
        <v>30</v>
      </c>
      <c r="E2158" s="2" t="s">
        <v>44</v>
      </c>
      <c r="F2158" s="2" t="s">
        <v>39</v>
      </c>
      <c r="G2158" s="2" t="s">
        <v>69</v>
      </c>
      <c r="H2158" s="2" t="s">
        <v>34</v>
      </c>
      <c r="I2158" s="2" t="s">
        <v>24</v>
      </c>
      <c r="J2158" s="2" t="s">
        <v>4088</v>
      </c>
      <c r="K2158" s="2" t="s">
        <v>4992</v>
      </c>
      <c r="L2158">
        <v>4</v>
      </c>
      <c r="M2158" s="1">
        <v>155000</v>
      </c>
      <c r="N2158">
        <v>2.4</v>
      </c>
      <c r="O2158">
        <v>6</v>
      </c>
      <c r="P2158" s="2" t="s">
        <v>53</v>
      </c>
    </row>
    <row r="2159" spans="1:16" x14ac:dyDescent="0.25">
      <c r="A2159" s="2" t="s">
        <v>7303</v>
      </c>
      <c r="B2159" s="2" t="s">
        <v>1654</v>
      </c>
      <c r="C2159" s="2" t="s">
        <v>29</v>
      </c>
      <c r="D2159" s="2" t="s">
        <v>50</v>
      </c>
      <c r="E2159" s="2" t="s">
        <v>31</v>
      </c>
      <c r="F2159" s="2" t="s">
        <v>39</v>
      </c>
      <c r="G2159" s="2" t="s">
        <v>33</v>
      </c>
      <c r="H2159" s="2" t="s">
        <v>46</v>
      </c>
      <c r="I2159" s="2" t="s">
        <v>24</v>
      </c>
      <c r="J2159" s="2" t="s">
        <v>3091</v>
      </c>
      <c r="K2159" s="2" t="s">
        <v>2999</v>
      </c>
      <c r="L2159">
        <v>5</v>
      </c>
      <c r="M2159" s="1">
        <v>145000</v>
      </c>
      <c r="N2159">
        <v>4.2</v>
      </c>
      <c r="O2159">
        <v>9</v>
      </c>
      <c r="P2159" s="2" t="s">
        <v>114</v>
      </c>
    </row>
    <row r="2160" spans="1:16" x14ac:dyDescent="0.25">
      <c r="A2160" s="2" t="s">
        <v>7304</v>
      </c>
      <c r="B2160" s="2" t="s">
        <v>7305</v>
      </c>
      <c r="C2160" s="2" t="s">
        <v>29</v>
      </c>
      <c r="D2160" s="2" t="s">
        <v>79</v>
      </c>
      <c r="E2160" s="2" t="s">
        <v>31</v>
      </c>
      <c r="F2160" s="2" t="s">
        <v>32</v>
      </c>
      <c r="G2160" s="2" t="s">
        <v>22</v>
      </c>
      <c r="H2160" s="2" t="s">
        <v>23</v>
      </c>
      <c r="I2160" s="2" t="s">
        <v>24</v>
      </c>
      <c r="J2160" s="2" t="s">
        <v>1273</v>
      </c>
      <c r="K2160" s="2" t="s">
        <v>7306</v>
      </c>
      <c r="L2160">
        <v>2</v>
      </c>
      <c r="M2160" s="1">
        <v>211000</v>
      </c>
      <c r="N2160">
        <v>3</v>
      </c>
      <c r="O2160">
        <v>17</v>
      </c>
      <c r="P2160" s="2" t="s">
        <v>114</v>
      </c>
    </row>
    <row r="2161" spans="1:16" x14ac:dyDescent="0.25">
      <c r="A2161" s="2" t="s">
        <v>7309</v>
      </c>
      <c r="B2161" s="2" t="s">
        <v>7310</v>
      </c>
      <c r="C2161" s="2" t="s">
        <v>29</v>
      </c>
      <c r="D2161" s="2" t="s">
        <v>79</v>
      </c>
      <c r="E2161" s="2" t="s">
        <v>44</v>
      </c>
      <c r="F2161" s="2" t="s">
        <v>32</v>
      </c>
      <c r="G2161" s="2" t="s">
        <v>22</v>
      </c>
      <c r="H2161" s="2" t="s">
        <v>23</v>
      </c>
      <c r="I2161" s="2" t="s">
        <v>57</v>
      </c>
      <c r="J2161" s="2" t="s">
        <v>7311</v>
      </c>
      <c r="K2161" s="2" t="s">
        <v>6492</v>
      </c>
      <c r="L2161">
        <v>6</v>
      </c>
      <c r="M2161" s="1">
        <v>334000</v>
      </c>
      <c r="N2161">
        <v>2.6</v>
      </c>
      <c r="O2161">
        <v>8</v>
      </c>
      <c r="P2161" s="2" t="s">
        <v>53</v>
      </c>
    </row>
    <row r="2162" spans="1:16" x14ac:dyDescent="0.25">
      <c r="A2162" s="2" t="s">
        <v>7312</v>
      </c>
      <c r="B2162" s="2" t="s">
        <v>608</v>
      </c>
      <c r="C2162" s="2" t="s">
        <v>29</v>
      </c>
      <c r="D2162" s="2" t="s">
        <v>50</v>
      </c>
      <c r="E2162" s="2" t="s">
        <v>20</v>
      </c>
      <c r="F2162" s="2" t="s">
        <v>32</v>
      </c>
      <c r="G2162" s="2" t="s">
        <v>22</v>
      </c>
      <c r="H2162" s="2" t="s">
        <v>46</v>
      </c>
      <c r="I2162" s="2" t="s">
        <v>57</v>
      </c>
      <c r="J2162" s="2" t="s">
        <v>3030</v>
      </c>
      <c r="K2162" s="2" t="s">
        <v>338</v>
      </c>
      <c r="L2162">
        <v>4</v>
      </c>
      <c r="M2162" s="1">
        <v>287000</v>
      </c>
      <c r="N2162">
        <v>4.0999999999999996</v>
      </c>
      <c r="O2162">
        <v>11</v>
      </c>
      <c r="P2162" s="2" t="s">
        <v>26</v>
      </c>
    </row>
    <row r="2163" spans="1:16" x14ac:dyDescent="0.25">
      <c r="A2163" s="2" t="s">
        <v>7313</v>
      </c>
      <c r="B2163" s="2" t="s">
        <v>7314</v>
      </c>
      <c r="C2163" s="2" t="s">
        <v>29</v>
      </c>
      <c r="D2163" s="2" t="s">
        <v>30</v>
      </c>
      <c r="E2163" s="2" t="s">
        <v>20</v>
      </c>
      <c r="F2163" s="2" t="s">
        <v>39</v>
      </c>
      <c r="G2163" s="2" t="s">
        <v>22</v>
      </c>
      <c r="H2163" s="2" t="s">
        <v>46</v>
      </c>
      <c r="I2163" s="2" t="s">
        <v>24</v>
      </c>
      <c r="J2163" s="2" t="s">
        <v>4506</v>
      </c>
      <c r="K2163" s="2" t="s">
        <v>338</v>
      </c>
      <c r="L2163">
        <v>7</v>
      </c>
      <c r="M2163" s="1">
        <v>153000</v>
      </c>
      <c r="N2163">
        <v>1.7</v>
      </c>
      <c r="O2163">
        <v>9</v>
      </c>
      <c r="P2163" s="2" t="s">
        <v>53</v>
      </c>
    </row>
    <row r="2164" spans="1:16" x14ac:dyDescent="0.25">
      <c r="A2164" s="2" t="s">
        <v>7315</v>
      </c>
      <c r="B2164" s="2" t="s">
        <v>1400</v>
      </c>
      <c r="C2164" s="2" t="s">
        <v>18</v>
      </c>
      <c r="D2164" s="2" t="s">
        <v>43</v>
      </c>
      <c r="E2164" s="2" t="s">
        <v>20</v>
      </c>
      <c r="F2164" s="2" t="s">
        <v>21</v>
      </c>
      <c r="G2164" s="2" t="s">
        <v>69</v>
      </c>
      <c r="H2164" s="2" t="s">
        <v>46</v>
      </c>
      <c r="I2164" s="2" t="s">
        <v>35</v>
      </c>
      <c r="J2164" s="2" t="s">
        <v>5977</v>
      </c>
      <c r="K2164" s="2" t="s">
        <v>568</v>
      </c>
      <c r="L2164">
        <v>5</v>
      </c>
      <c r="M2164" s="1">
        <v>817000</v>
      </c>
      <c r="N2164">
        <v>3.1</v>
      </c>
      <c r="O2164">
        <v>10</v>
      </c>
      <c r="P2164" s="2" t="s">
        <v>26</v>
      </c>
    </row>
    <row r="2165" spans="1:16" x14ac:dyDescent="0.25">
      <c r="A2165" s="2" t="s">
        <v>7316</v>
      </c>
      <c r="B2165" s="2" t="s">
        <v>2520</v>
      </c>
      <c r="C2165" s="2" t="s">
        <v>29</v>
      </c>
      <c r="D2165" s="2" t="s">
        <v>50</v>
      </c>
      <c r="E2165" s="2" t="s">
        <v>20</v>
      </c>
      <c r="F2165" s="2" t="s">
        <v>39</v>
      </c>
      <c r="G2165" s="2" t="s">
        <v>80</v>
      </c>
      <c r="H2165" s="2" t="s">
        <v>23</v>
      </c>
      <c r="I2165" s="2" t="s">
        <v>75</v>
      </c>
      <c r="J2165" s="2" t="s">
        <v>1134</v>
      </c>
      <c r="K2165" s="2" t="s">
        <v>568</v>
      </c>
      <c r="L2165">
        <v>5</v>
      </c>
      <c r="M2165" s="1">
        <v>157000</v>
      </c>
      <c r="N2165">
        <v>3.8</v>
      </c>
      <c r="O2165">
        <v>1</v>
      </c>
      <c r="P2165" s="2" t="s">
        <v>26</v>
      </c>
    </row>
    <row r="2166" spans="1:16" x14ac:dyDescent="0.25">
      <c r="A2166" s="2" t="s">
        <v>7317</v>
      </c>
      <c r="B2166" s="2" t="s">
        <v>1599</v>
      </c>
      <c r="C2166" s="2" t="s">
        <v>18</v>
      </c>
      <c r="D2166" s="2" t="s">
        <v>19</v>
      </c>
      <c r="E2166" s="2" t="s">
        <v>44</v>
      </c>
      <c r="F2166" s="2" t="s">
        <v>32</v>
      </c>
      <c r="G2166" s="2" t="s">
        <v>22</v>
      </c>
      <c r="H2166" s="2" t="s">
        <v>23</v>
      </c>
      <c r="I2166" s="2" t="s">
        <v>24</v>
      </c>
      <c r="J2166" s="2" t="s">
        <v>7318</v>
      </c>
      <c r="K2166" s="2" t="s">
        <v>568</v>
      </c>
      <c r="L2166">
        <v>3</v>
      </c>
      <c r="M2166" s="1">
        <v>303000</v>
      </c>
      <c r="N2166">
        <v>2.5</v>
      </c>
      <c r="O2166">
        <v>14</v>
      </c>
      <c r="P2166" s="2" t="s">
        <v>26</v>
      </c>
    </row>
    <row r="2167" spans="1:16" x14ac:dyDescent="0.25">
      <c r="A2167" s="2" t="s">
        <v>7319</v>
      </c>
      <c r="B2167" s="2" t="s">
        <v>6568</v>
      </c>
      <c r="C2167" s="2" t="s">
        <v>29</v>
      </c>
      <c r="D2167" s="2" t="s">
        <v>30</v>
      </c>
      <c r="E2167" s="2" t="s">
        <v>20</v>
      </c>
      <c r="F2167" s="2" t="s">
        <v>32</v>
      </c>
      <c r="G2167" s="2" t="s">
        <v>22</v>
      </c>
      <c r="H2167" s="2" t="s">
        <v>23</v>
      </c>
      <c r="I2167" s="2" t="s">
        <v>35</v>
      </c>
      <c r="J2167" s="2" t="s">
        <v>357</v>
      </c>
      <c r="K2167" s="2" t="s">
        <v>568</v>
      </c>
      <c r="L2167">
        <v>6</v>
      </c>
      <c r="M2167" s="1">
        <v>318000</v>
      </c>
      <c r="N2167">
        <v>3</v>
      </c>
      <c r="O2167">
        <v>38</v>
      </c>
      <c r="P2167" s="2" t="s">
        <v>53</v>
      </c>
    </row>
    <row r="2168" spans="1:16" x14ac:dyDescent="0.25">
      <c r="A2168" s="2" t="s">
        <v>7320</v>
      </c>
      <c r="B2168" s="2" t="s">
        <v>2888</v>
      </c>
      <c r="C2168" s="2" t="s">
        <v>18</v>
      </c>
      <c r="D2168" s="2" t="s">
        <v>79</v>
      </c>
      <c r="E2168" s="2" t="s">
        <v>20</v>
      </c>
      <c r="F2168" s="2" t="s">
        <v>128</v>
      </c>
      <c r="G2168" s="2" t="s">
        <v>22</v>
      </c>
      <c r="H2168" s="2" t="s">
        <v>34</v>
      </c>
      <c r="I2168" s="2" t="s">
        <v>35</v>
      </c>
      <c r="J2168" s="2" t="s">
        <v>1294</v>
      </c>
      <c r="K2168" s="2" t="s">
        <v>4383</v>
      </c>
      <c r="L2168">
        <v>2</v>
      </c>
      <c r="M2168" s="1">
        <v>505000</v>
      </c>
      <c r="N2168">
        <v>4.3</v>
      </c>
      <c r="O2168">
        <v>11</v>
      </c>
      <c r="P2168" s="2" t="s">
        <v>26</v>
      </c>
    </row>
    <row r="2169" spans="1:16" x14ac:dyDescent="0.25">
      <c r="A2169" s="2" t="s">
        <v>7321</v>
      </c>
      <c r="B2169" s="2" t="s">
        <v>421</v>
      </c>
      <c r="C2169" s="2" t="s">
        <v>18</v>
      </c>
      <c r="D2169" s="2" t="s">
        <v>79</v>
      </c>
      <c r="E2169" s="2" t="s">
        <v>20</v>
      </c>
      <c r="F2169" s="2" t="s">
        <v>32</v>
      </c>
      <c r="G2169" s="2" t="s">
        <v>22</v>
      </c>
      <c r="H2169" s="2" t="s">
        <v>23</v>
      </c>
      <c r="I2169" s="2" t="s">
        <v>57</v>
      </c>
      <c r="J2169" s="2" t="s">
        <v>152</v>
      </c>
      <c r="K2169" s="2" t="s">
        <v>4383</v>
      </c>
      <c r="L2169">
        <v>4</v>
      </c>
      <c r="M2169" s="1">
        <v>221000</v>
      </c>
      <c r="N2169">
        <v>2.6</v>
      </c>
      <c r="O2169">
        <v>1</v>
      </c>
      <c r="P2169" s="2" t="s">
        <v>26</v>
      </c>
    </row>
    <row r="2170" spans="1:16" x14ac:dyDescent="0.25">
      <c r="A2170" s="2" t="s">
        <v>7322</v>
      </c>
      <c r="B2170" s="2" t="s">
        <v>7323</v>
      </c>
      <c r="C2170" s="2" t="s">
        <v>18</v>
      </c>
      <c r="D2170" s="2" t="s">
        <v>43</v>
      </c>
      <c r="E2170" s="2" t="s">
        <v>20</v>
      </c>
      <c r="F2170" s="2" t="s">
        <v>32</v>
      </c>
      <c r="G2170" s="2" t="s">
        <v>22</v>
      </c>
      <c r="H2170" s="2" t="s">
        <v>34</v>
      </c>
      <c r="I2170" s="2" t="s">
        <v>35</v>
      </c>
      <c r="J2170" s="2" t="s">
        <v>2399</v>
      </c>
      <c r="K2170" s="2" t="s">
        <v>4383</v>
      </c>
      <c r="L2170">
        <v>2</v>
      </c>
      <c r="M2170" s="1">
        <v>180000</v>
      </c>
      <c r="N2170">
        <v>4.4000000000000004</v>
      </c>
      <c r="O2170">
        <v>12</v>
      </c>
      <c r="P2170" s="2" t="s">
        <v>26</v>
      </c>
    </row>
    <row r="2171" spans="1:16" x14ac:dyDescent="0.25">
      <c r="A2171" s="2" t="s">
        <v>7324</v>
      </c>
      <c r="B2171" s="2" t="s">
        <v>4542</v>
      </c>
      <c r="C2171" s="2" t="s">
        <v>18</v>
      </c>
      <c r="D2171" s="2" t="s">
        <v>30</v>
      </c>
      <c r="E2171" s="2" t="s">
        <v>20</v>
      </c>
      <c r="F2171" s="2" t="s">
        <v>39</v>
      </c>
      <c r="G2171" s="2" t="s">
        <v>33</v>
      </c>
      <c r="H2171" s="2" t="s">
        <v>23</v>
      </c>
      <c r="I2171" s="2" t="s">
        <v>35</v>
      </c>
      <c r="J2171" s="2" t="s">
        <v>3448</v>
      </c>
      <c r="K2171" s="2" t="s">
        <v>4383</v>
      </c>
      <c r="L2171">
        <v>6</v>
      </c>
      <c r="M2171" s="1">
        <v>87000</v>
      </c>
      <c r="N2171">
        <v>3.4</v>
      </c>
      <c r="O2171">
        <v>3</v>
      </c>
      <c r="P2171" s="2" t="s">
        <v>53</v>
      </c>
    </row>
    <row r="2172" spans="1:16" x14ac:dyDescent="0.25">
      <c r="A2172" s="2" t="s">
        <v>7327</v>
      </c>
      <c r="B2172" s="2" t="s">
        <v>244</v>
      </c>
      <c r="C2172" s="2" t="s">
        <v>18</v>
      </c>
      <c r="D2172" s="2" t="s">
        <v>43</v>
      </c>
      <c r="E2172" s="2" t="s">
        <v>20</v>
      </c>
      <c r="F2172" s="2" t="s">
        <v>128</v>
      </c>
      <c r="G2172" s="2" t="s">
        <v>33</v>
      </c>
      <c r="H2172" s="2" t="s">
        <v>62</v>
      </c>
      <c r="I2172" s="2" t="s">
        <v>57</v>
      </c>
      <c r="J2172" s="2" t="s">
        <v>4381</v>
      </c>
      <c r="K2172" s="2" t="s">
        <v>2993</v>
      </c>
      <c r="L2172">
        <v>5</v>
      </c>
      <c r="M2172" s="1">
        <v>389000</v>
      </c>
      <c r="N2172">
        <v>2.2999999999999998</v>
      </c>
      <c r="O2172">
        <v>8</v>
      </c>
      <c r="P2172" s="2" t="s">
        <v>26</v>
      </c>
    </row>
    <row r="2173" spans="1:16" x14ac:dyDescent="0.25">
      <c r="A2173" s="2" t="s">
        <v>7328</v>
      </c>
      <c r="B2173" s="2" t="s">
        <v>640</v>
      </c>
      <c r="C2173" s="2" t="s">
        <v>29</v>
      </c>
      <c r="D2173" s="2" t="s">
        <v>79</v>
      </c>
      <c r="E2173" s="2" t="s">
        <v>20</v>
      </c>
      <c r="F2173" s="2" t="s">
        <v>39</v>
      </c>
      <c r="G2173" s="2" t="s">
        <v>22</v>
      </c>
      <c r="H2173" s="2" t="s">
        <v>46</v>
      </c>
      <c r="I2173" s="2" t="s">
        <v>24</v>
      </c>
      <c r="J2173" s="2" t="s">
        <v>1709</v>
      </c>
      <c r="K2173" s="2" t="s">
        <v>2993</v>
      </c>
      <c r="L2173">
        <v>5</v>
      </c>
      <c r="M2173" s="1">
        <v>175000</v>
      </c>
      <c r="N2173">
        <v>3.2</v>
      </c>
      <c r="O2173">
        <v>12</v>
      </c>
      <c r="P2173" s="2" t="s">
        <v>26</v>
      </c>
    </row>
    <row r="2174" spans="1:16" x14ac:dyDescent="0.25">
      <c r="A2174" s="2" t="s">
        <v>7331</v>
      </c>
      <c r="B2174" s="2" t="s">
        <v>101</v>
      </c>
      <c r="C2174" s="2" t="s">
        <v>18</v>
      </c>
      <c r="D2174" s="2" t="s">
        <v>30</v>
      </c>
      <c r="E2174" s="2" t="s">
        <v>20</v>
      </c>
      <c r="F2174" s="2" t="s">
        <v>32</v>
      </c>
      <c r="G2174" s="2" t="s">
        <v>22</v>
      </c>
      <c r="H2174" s="2" t="s">
        <v>62</v>
      </c>
      <c r="I2174" s="2" t="s">
        <v>24</v>
      </c>
      <c r="J2174" s="2" t="s">
        <v>7332</v>
      </c>
      <c r="K2174" s="2" t="s">
        <v>2993</v>
      </c>
      <c r="L2174">
        <v>7</v>
      </c>
      <c r="M2174" s="1">
        <v>279000</v>
      </c>
      <c r="N2174">
        <v>4.8</v>
      </c>
      <c r="O2174">
        <v>11</v>
      </c>
      <c r="P2174" s="2" t="s">
        <v>72</v>
      </c>
    </row>
    <row r="2175" spans="1:16" x14ac:dyDescent="0.25">
      <c r="A2175" s="2" t="s">
        <v>7333</v>
      </c>
      <c r="B2175" s="2" t="s">
        <v>5956</v>
      </c>
      <c r="C2175" s="2" t="s">
        <v>18</v>
      </c>
      <c r="D2175" s="2" t="s">
        <v>79</v>
      </c>
      <c r="E2175" s="2" t="s">
        <v>20</v>
      </c>
      <c r="F2175" s="2" t="s">
        <v>32</v>
      </c>
      <c r="G2175" s="2" t="s">
        <v>22</v>
      </c>
      <c r="H2175" s="2" t="s">
        <v>46</v>
      </c>
      <c r="I2175" s="2" t="s">
        <v>35</v>
      </c>
      <c r="J2175" s="2" t="s">
        <v>2004</v>
      </c>
      <c r="K2175" s="2" t="s">
        <v>784</v>
      </c>
      <c r="L2175">
        <v>5</v>
      </c>
      <c r="M2175" s="1">
        <v>287000</v>
      </c>
      <c r="N2175">
        <v>2.4</v>
      </c>
      <c r="O2175">
        <v>0</v>
      </c>
      <c r="P2175" s="2" t="s">
        <v>26</v>
      </c>
    </row>
    <row r="2176" spans="1:16" x14ac:dyDescent="0.25">
      <c r="A2176" s="2" t="s">
        <v>7334</v>
      </c>
      <c r="B2176" s="2" t="s">
        <v>1027</v>
      </c>
      <c r="C2176" s="2" t="s">
        <v>29</v>
      </c>
      <c r="D2176" s="2" t="s">
        <v>30</v>
      </c>
      <c r="E2176" s="2" t="s">
        <v>20</v>
      </c>
      <c r="F2176" s="2" t="s">
        <v>39</v>
      </c>
      <c r="G2176" s="2" t="s">
        <v>33</v>
      </c>
      <c r="H2176" s="2" t="s">
        <v>46</v>
      </c>
      <c r="I2176" s="2" t="s">
        <v>75</v>
      </c>
      <c r="J2176" s="2" t="s">
        <v>7335</v>
      </c>
      <c r="K2176" s="2" t="s">
        <v>784</v>
      </c>
      <c r="L2176">
        <v>3</v>
      </c>
      <c r="M2176" s="1">
        <v>141000</v>
      </c>
      <c r="N2176">
        <v>1.9</v>
      </c>
      <c r="O2176">
        <v>11</v>
      </c>
      <c r="P2176" s="2" t="s">
        <v>72</v>
      </c>
    </row>
    <row r="2177" spans="1:16" x14ac:dyDescent="0.25">
      <c r="A2177" s="2" t="s">
        <v>7337</v>
      </c>
      <c r="B2177" s="2" t="s">
        <v>2842</v>
      </c>
      <c r="C2177" s="2" t="s">
        <v>29</v>
      </c>
      <c r="D2177" s="2" t="s">
        <v>50</v>
      </c>
      <c r="E2177" s="2" t="s">
        <v>20</v>
      </c>
      <c r="F2177" s="2" t="s">
        <v>32</v>
      </c>
      <c r="G2177" s="2" t="s">
        <v>80</v>
      </c>
      <c r="H2177" s="2" t="s">
        <v>46</v>
      </c>
      <c r="I2177" s="2" t="s">
        <v>57</v>
      </c>
      <c r="J2177" s="2" t="s">
        <v>456</v>
      </c>
      <c r="K2177" s="2" t="s">
        <v>2832</v>
      </c>
      <c r="L2177">
        <v>6</v>
      </c>
      <c r="M2177" s="1">
        <v>330000</v>
      </c>
      <c r="N2177">
        <v>4.2</v>
      </c>
      <c r="O2177">
        <v>6</v>
      </c>
      <c r="P2177" s="2" t="s">
        <v>53</v>
      </c>
    </row>
    <row r="2178" spans="1:16" x14ac:dyDescent="0.25">
      <c r="A2178" s="2" t="s">
        <v>7338</v>
      </c>
      <c r="B2178" s="2" t="s">
        <v>7339</v>
      </c>
      <c r="C2178" s="2" t="s">
        <v>29</v>
      </c>
      <c r="D2178" s="2" t="s">
        <v>43</v>
      </c>
      <c r="E2178" s="2" t="s">
        <v>44</v>
      </c>
      <c r="F2178" s="2" t="s">
        <v>128</v>
      </c>
      <c r="G2178" s="2" t="s">
        <v>22</v>
      </c>
      <c r="H2178" s="2" t="s">
        <v>62</v>
      </c>
      <c r="I2178" s="2" t="s">
        <v>35</v>
      </c>
      <c r="J2178" s="2" t="s">
        <v>1105</v>
      </c>
      <c r="K2178" s="2" t="s">
        <v>2834</v>
      </c>
      <c r="L2178">
        <v>7</v>
      </c>
      <c r="M2178" s="1">
        <v>563000</v>
      </c>
      <c r="N2178">
        <v>4.2</v>
      </c>
      <c r="O2178">
        <v>16</v>
      </c>
      <c r="P2178" s="2" t="s">
        <v>26</v>
      </c>
    </row>
    <row r="2179" spans="1:16" x14ac:dyDescent="0.25">
      <c r="A2179" s="2" t="s">
        <v>7340</v>
      </c>
      <c r="B2179" s="2" t="s">
        <v>966</v>
      </c>
      <c r="C2179" s="2" t="s">
        <v>18</v>
      </c>
      <c r="D2179" s="2" t="s">
        <v>43</v>
      </c>
      <c r="E2179" s="2" t="s">
        <v>44</v>
      </c>
      <c r="F2179" s="2" t="s">
        <v>32</v>
      </c>
      <c r="G2179" s="2" t="s">
        <v>22</v>
      </c>
      <c r="H2179" s="2" t="s">
        <v>23</v>
      </c>
      <c r="I2179" s="2" t="s">
        <v>57</v>
      </c>
      <c r="J2179" s="2" t="s">
        <v>679</v>
      </c>
      <c r="K2179" s="2" t="s">
        <v>2834</v>
      </c>
      <c r="L2179">
        <v>4</v>
      </c>
      <c r="M2179" s="1">
        <v>213000</v>
      </c>
      <c r="N2179">
        <v>3.4</v>
      </c>
      <c r="O2179">
        <v>5</v>
      </c>
      <c r="P2179" s="2" t="s">
        <v>26</v>
      </c>
    </row>
    <row r="2180" spans="1:16" x14ac:dyDescent="0.25">
      <c r="A2180" s="2" t="s">
        <v>7341</v>
      </c>
      <c r="B2180" s="2" t="s">
        <v>992</v>
      </c>
      <c r="C2180" s="2" t="s">
        <v>29</v>
      </c>
      <c r="D2180" s="2" t="s">
        <v>79</v>
      </c>
      <c r="E2180" s="2" t="s">
        <v>20</v>
      </c>
      <c r="F2180" s="2" t="s">
        <v>45</v>
      </c>
      <c r="G2180" s="2" t="s">
        <v>33</v>
      </c>
      <c r="H2180" s="2" t="s">
        <v>23</v>
      </c>
      <c r="I2180" s="2" t="s">
        <v>35</v>
      </c>
      <c r="J2180" s="2" t="s">
        <v>4360</v>
      </c>
      <c r="K2180" s="2" t="s">
        <v>2834</v>
      </c>
      <c r="L2180">
        <v>3</v>
      </c>
      <c r="M2180" s="1">
        <v>1060000</v>
      </c>
      <c r="N2180">
        <v>3.5</v>
      </c>
      <c r="O2180">
        <v>8</v>
      </c>
      <c r="P2180" s="2" t="s">
        <v>53</v>
      </c>
    </row>
    <row r="2181" spans="1:16" x14ac:dyDescent="0.25">
      <c r="A2181" s="2" t="s">
        <v>7342</v>
      </c>
      <c r="B2181" s="2" t="s">
        <v>6444</v>
      </c>
      <c r="C2181" s="2" t="s">
        <v>18</v>
      </c>
      <c r="D2181" s="2" t="s">
        <v>43</v>
      </c>
      <c r="E2181" s="2" t="s">
        <v>44</v>
      </c>
      <c r="F2181" s="2" t="s">
        <v>32</v>
      </c>
      <c r="G2181" s="2" t="s">
        <v>33</v>
      </c>
      <c r="H2181" s="2" t="s">
        <v>34</v>
      </c>
      <c r="I2181" s="2" t="s">
        <v>24</v>
      </c>
      <c r="J2181" s="2" t="s">
        <v>4416</v>
      </c>
      <c r="K2181" s="2" t="s">
        <v>4229</v>
      </c>
      <c r="L2181">
        <v>6</v>
      </c>
      <c r="M2181" s="1">
        <v>223000</v>
      </c>
      <c r="N2181">
        <v>3</v>
      </c>
      <c r="O2181">
        <v>4</v>
      </c>
      <c r="P2181" s="2" t="s">
        <v>53</v>
      </c>
    </row>
    <row r="2182" spans="1:16" x14ac:dyDescent="0.25">
      <c r="A2182" s="2" t="s">
        <v>7355</v>
      </c>
      <c r="B2182" s="2" t="s">
        <v>7356</v>
      </c>
      <c r="C2182" s="2" t="s">
        <v>18</v>
      </c>
      <c r="D2182" s="2" t="s">
        <v>30</v>
      </c>
      <c r="E2182" s="2" t="s">
        <v>44</v>
      </c>
      <c r="F2182" s="2" t="s">
        <v>32</v>
      </c>
      <c r="G2182" s="2" t="s">
        <v>22</v>
      </c>
      <c r="H2182" s="2" t="s">
        <v>23</v>
      </c>
      <c r="I2182" s="2" t="s">
        <v>171</v>
      </c>
      <c r="J2182" s="2" t="s">
        <v>3101</v>
      </c>
      <c r="K2182" s="2" t="s">
        <v>1488</v>
      </c>
      <c r="L2182">
        <v>3</v>
      </c>
      <c r="M2182" s="1">
        <v>232000</v>
      </c>
      <c r="N2182">
        <v>2.2999999999999998</v>
      </c>
      <c r="O2182">
        <v>11</v>
      </c>
      <c r="P2182" s="2" t="s">
        <v>53</v>
      </c>
    </row>
    <row r="2183" spans="1:16" x14ac:dyDescent="0.25">
      <c r="A2183" s="2" t="s">
        <v>7362</v>
      </c>
      <c r="B2183" s="2" t="s">
        <v>4017</v>
      </c>
      <c r="C2183" s="2" t="s">
        <v>18</v>
      </c>
      <c r="D2183" s="2" t="s">
        <v>30</v>
      </c>
      <c r="E2183" s="2" t="s">
        <v>20</v>
      </c>
      <c r="F2183" s="2" t="s">
        <v>21</v>
      </c>
      <c r="G2183" s="2" t="s">
        <v>33</v>
      </c>
      <c r="H2183" s="2" t="s">
        <v>34</v>
      </c>
      <c r="I2183" s="2" t="s">
        <v>35</v>
      </c>
      <c r="J2183" s="2" t="s">
        <v>357</v>
      </c>
      <c r="K2183" s="2" t="s">
        <v>3042</v>
      </c>
      <c r="L2183">
        <v>6</v>
      </c>
      <c r="M2183" s="1">
        <v>875000</v>
      </c>
      <c r="N2183">
        <v>3.8</v>
      </c>
      <c r="O2183">
        <v>32</v>
      </c>
      <c r="P2183" s="2" t="s">
        <v>26</v>
      </c>
    </row>
    <row r="2184" spans="1:16" x14ac:dyDescent="0.25">
      <c r="A2184" s="2" t="s">
        <v>7363</v>
      </c>
      <c r="B2184" s="2" t="s">
        <v>7364</v>
      </c>
      <c r="C2184" s="2" t="s">
        <v>18</v>
      </c>
      <c r="D2184" s="2" t="s">
        <v>50</v>
      </c>
      <c r="E2184" s="2" t="s">
        <v>20</v>
      </c>
      <c r="F2184" s="2" t="s">
        <v>128</v>
      </c>
      <c r="G2184" s="2" t="s">
        <v>80</v>
      </c>
      <c r="H2184" s="2" t="s">
        <v>34</v>
      </c>
      <c r="I2184" s="2" t="s">
        <v>75</v>
      </c>
      <c r="J2184" s="2" t="s">
        <v>3421</v>
      </c>
      <c r="K2184" s="2" t="s">
        <v>3042</v>
      </c>
      <c r="L2184">
        <v>6</v>
      </c>
      <c r="M2184" s="1">
        <v>518000</v>
      </c>
      <c r="N2184">
        <v>3.7</v>
      </c>
      <c r="O2184">
        <v>39</v>
      </c>
      <c r="P2184" s="2" t="s">
        <v>26</v>
      </c>
    </row>
    <row r="2185" spans="1:16" x14ac:dyDescent="0.25">
      <c r="A2185" s="2" t="s">
        <v>7366</v>
      </c>
      <c r="B2185" s="2" t="s">
        <v>7367</v>
      </c>
      <c r="C2185" s="2" t="s">
        <v>18</v>
      </c>
      <c r="D2185" s="2" t="s">
        <v>79</v>
      </c>
      <c r="E2185" s="2" t="s">
        <v>20</v>
      </c>
      <c r="F2185" s="2" t="s">
        <v>32</v>
      </c>
      <c r="G2185" s="2" t="s">
        <v>80</v>
      </c>
      <c r="H2185" s="2" t="s">
        <v>23</v>
      </c>
      <c r="I2185" s="2" t="s">
        <v>24</v>
      </c>
      <c r="J2185" s="2" t="s">
        <v>3101</v>
      </c>
      <c r="K2185" s="2" t="s">
        <v>3042</v>
      </c>
      <c r="L2185">
        <v>3</v>
      </c>
      <c r="M2185" s="1">
        <v>202000</v>
      </c>
      <c r="N2185">
        <v>2.2999999999999998</v>
      </c>
      <c r="O2185">
        <v>5</v>
      </c>
      <c r="P2185" s="2" t="s">
        <v>53</v>
      </c>
    </row>
    <row r="2186" spans="1:16" x14ac:dyDescent="0.25">
      <c r="A2186" s="2" t="s">
        <v>7368</v>
      </c>
      <c r="B2186" s="2" t="s">
        <v>7369</v>
      </c>
      <c r="C2186" s="2" t="s">
        <v>29</v>
      </c>
      <c r="D2186" s="2" t="s">
        <v>19</v>
      </c>
      <c r="E2186" s="2" t="s">
        <v>20</v>
      </c>
      <c r="F2186" s="2" t="s">
        <v>39</v>
      </c>
      <c r="G2186" s="2" t="s">
        <v>69</v>
      </c>
      <c r="H2186" s="2" t="s">
        <v>46</v>
      </c>
      <c r="I2186" s="2" t="s">
        <v>24</v>
      </c>
      <c r="J2186" s="2" t="s">
        <v>6655</v>
      </c>
      <c r="K2186" s="2" t="s">
        <v>3493</v>
      </c>
      <c r="L2186">
        <v>5</v>
      </c>
      <c r="M2186" s="1">
        <v>184000</v>
      </c>
      <c r="N2186">
        <v>3</v>
      </c>
      <c r="O2186">
        <v>23</v>
      </c>
      <c r="P2186" s="2" t="s">
        <v>26</v>
      </c>
    </row>
    <row r="2187" spans="1:16" x14ac:dyDescent="0.25">
      <c r="A2187" s="2" t="s">
        <v>7370</v>
      </c>
      <c r="B2187" s="2" t="s">
        <v>4421</v>
      </c>
      <c r="C2187" s="2" t="s">
        <v>29</v>
      </c>
      <c r="D2187" s="2" t="s">
        <v>50</v>
      </c>
      <c r="E2187" s="2" t="s">
        <v>20</v>
      </c>
      <c r="F2187" s="2" t="s">
        <v>39</v>
      </c>
      <c r="G2187" s="2" t="s">
        <v>22</v>
      </c>
      <c r="H2187" s="2" t="s">
        <v>23</v>
      </c>
      <c r="I2187" s="2" t="s">
        <v>75</v>
      </c>
      <c r="J2187" s="2" t="s">
        <v>549</v>
      </c>
      <c r="K2187" s="2" t="s">
        <v>3493</v>
      </c>
      <c r="L2187">
        <v>5</v>
      </c>
      <c r="M2187" s="1">
        <v>111000</v>
      </c>
      <c r="N2187">
        <v>3.6</v>
      </c>
      <c r="O2187">
        <v>7</v>
      </c>
      <c r="P2187" s="2" t="s">
        <v>72</v>
      </c>
    </row>
    <row r="2188" spans="1:16" x14ac:dyDescent="0.25">
      <c r="A2188" s="2" t="s">
        <v>7372</v>
      </c>
      <c r="B2188" s="2" t="s">
        <v>6495</v>
      </c>
      <c r="C2188" s="2" t="s">
        <v>18</v>
      </c>
      <c r="D2188" s="2" t="s">
        <v>50</v>
      </c>
      <c r="E2188" s="2" t="s">
        <v>44</v>
      </c>
      <c r="F2188" s="2" t="s">
        <v>32</v>
      </c>
      <c r="G2188" s="2" t="s">
        <v>33</v>
      </c>
      <c r="H2188" s="2" t="s">
        <v>62</v>
      </c>
      <c r="I2188" s="2" t="s">
        <v>57</v>
      </c>
      <c r="J2188" s="2" t="s">
        <v>1118</v>
      </c>
      <c r="K2188" s="2" t="s">
        <v>401</v>
      </c>
      <c r="L2188">
        <v>5</v>
      </c>
      <c r="M2188" s="1">
        <v>216000</v>
      </c>
      <c r="N2188">
        <v>3.3</v>
      </c>
      <c r="O2188">
        <v>1</v>
      </c>
      <c r="P2188" s="2" t="s">
        <v>26</v>
      </c>
    </row>
    <row r="2189" spans="1:16" x14ac:dyDescent="0.25">
      <c r="A2189" s="2" t="s">
        <v>7373</v>
      </c>
      <c r="B2189" s="2" t="s">
        <v>6587</v>
      </c>
      <c r="C2189" s="2" t="s">
        <v>29</v>
      </c>
      <c r="D2189" s="2" t="s">
        <v>50</v>
      </c>
      <c r="E2189" s="2" t="s">
        <v>20</v>
      </c>
      <c r="F2189" s="2" t="s">
        <v>32</v>
      </c>
      <c r="G2189" s="2" t="s">
        <v>22</v>
      </c>
      <c r="H2189" s="2" t="s">
        <v>23</v>
      </c>
      <c r="I2189" s="2" t="s">
        <v>24</v>
      </c>
      <c r="J2189" s="2" t="s">
        <v>2612</v>
      </c>
      <c r="K2189" s="2" t="s">
        <v>401</v>
      </c>
      <c r="L2189">
        <v>7</v>
      </c>
      <c r="M2189" s="1">
        <v>181000</v>
      </c>
      <c r="N2189">
        <v>3.6</v>
      </c>
      <c r="O2189">
        <v>0</v>
      </c>
      <c r="P2189" s="2" t="s">
        <v>53</v>
      </c>
    </row>
    <row r="2190" spans="1:16" x14ac:dyDescent="0.25">
      <c r="A2190" s="2" t="s">
        <v>7374</v>
      </c>
      <c r="B2190" s="2" t="s">
        <v>7375</v>
      </c>
      <c r="C2190" s="2" t="s">
        <v>29</v>
      </c>
      <c r="D2190" s="2" t="s">
        <v>50</v>
      </c>
      <c r="E2190" s="2" t="s">
        <v>20</v>
      </c>
      <c r="F2190" s="2" t="s">
        <v>128</v>
      </c>
      <c r="G2190" s="2" t="s">
        <v>80</v>
      </c>
      <c r="H2190" s="2" t="s">
        <v>23</v>
      </c>
      <c r="I2190" s="2" t="s">
        <v>24</v>
      </c>
      <c r="J2190" s="2" t="s">
        <v>1623</v>
      </c>
      <c r="K2190" s="2" t="s">
        <v>4070</v>
      </c>
      <c r="L2190">
        <v>3</v>
      </c>
      <c r="M2190" s="1">
        <v>505000</v>
      </c>
      <c r="N2190">
        <v>2.8</v>
      </c>
      <c r="O2190">
        <v>5</v>
      </c>
      <c r="P2190" s="2" t="s">
        <v>72</v>
      </c>
    </row>
    <row r="2191" spans="1:16" x14ac:dyDescent="0.25">
      <c r="A2191" s="2" t="s">
        <v>7376</v>
      </c>
      <c r="B2191" s="2" t="s">
        <v>7377</v>
      </c>
      <c r="C2191" s="2" t="s">
        <v>18</v>
      </c>
      <c r="D2191" s="2" t="s">
        <v>79</v>
      </c>
      <c r="E2191" s="2" t="s">
        <v>20</v>
      </c>
      <c r="F2191" s="2" t="s">
        <v>32</v>
      </c>
      <c r="G2191" s="2" t="s">
        <v>22</v>
      </c>
      <c r="H2191" s="2" t="s">
        <v>34</v>
      </c>
      <c r="I2191" s="2" t="s">
        <v>24</v>
      </c>
      <c r="J2191" s="2" t="s">
        <v>2061</v>
      </c>
      <c r="K2191" s="2" t="s">
        <v>2233</v>
      </c>
      <c r="L2191">
        <v>6</v>
      </c>
      <c r="M2191" s="1">
        <v>339000</v>
      </c>
      <c r="N2191">
        <v>2</v>
      </c>
      <c r="O2191">
        <v>19</v>
      </c>
      <c r="P2191" s="2" t="s">
        <v>53</v>
      </c>
    </row>
    <row r="2192" spans="1:16" x14ac:dyDescent="0.25">
      <c r="A2192" s="2" t="s">
        <v>7378</v>
      </c>
      <c r="B2192" s="2" t="s">
        <v>7379</v>
      </c>
      <c r="C2192" s="2" t="s">
        <v>18</v>
      </c>
      <c r="D2192" s="2" t="s">
        <v>30</v>
      </c>
      <c r="E2192" s="2" t="s">
        <v>20</v>
      </c>
      <c r="F2192" s="2" t="s">
        <v>128</v>
      </c>
      <c r="G2192" s="2" t="s">
        <v>80</v>
      </c>
      <c r="H2192" s="2" t="s">
        <v>46</v>
      </c>
      <c r="I2192" s="2" t="s">
        <v>24</v>
      </c>
      <c r="J2192" s="2" t="s">
        <v>3221</v>
      </c>
      <c r="K2192" s="2" t="s">
        <v>693</v>
      </c>
      <c r="L2192">
        <v>2</v>
      </c>
      <c r="M2192" s="1">
        <v>364000</v>
      </c>
      <c r="N2192">
        <v>2.4</v>
      </c>
      <c r="O2192">
        <v>9</v>
      </c>
      <c r="P2192" s="2" t="s">
        <v>26</v>
      </c>
    </row>
    <row r="2193" spans="1:16" x14ac:dyDescent="0.25">
      <c r="A2193" s="2" t="s">
        <v>7381</v>
      </c>
      <c r="B2193" s="2" t="s">
        <v>4093</v>
      </c>
      <c r="C2193" s="2" t="s">
        <v>18</v>
      </c>
      <c r="D2193" s="2" t="s">
        <v>43</v>
      </c>
      <c r="E2193" s="2" t="s">
        <v>31</v>
      </c>
      <c r="F2193" s="2" t="s">
        <v>128</v>
      </c>
      <c r="G2193" s="2" t="s">
        <v>33</v>
      </c>
      <c r="H2193" s="2" t="s">
        <v>23</v>
      </c>
      <c r="I2193" s="2" t="s">
        <v>75</v>
      </c>
      <c r="J2193" s="2" t="s">
        <v>847</v>
      </c>
      <c r="K2193" s="2" t="s">
        <v>693</v>
      </c>
      <c r="L2193">
        <v>3</v>
      </c>
      <c r="M2193" s="1">
        <v>455000</v>
      </c>
      <c r="N2193">
        <v>4.5999999999999996</v>
      </c>
      <c r="O2193">
        <v>9</v>
      </c>
      <c r="P2193" s="2" t="s">
        <v>72</v>
      </c>
    </row>
    <row r="2194" spans="1:16" x14ac:dyDescent="0.25">
      <c r="A2194" s="2" t="s">
        <v>7382</v>
      </c>
      <c r="B2194" s="2" t="s">
        <v>4447</v>
      </c>
      <c r="C2194" s="2" t="s">
        <v>18</v>
      </c>
      <c r="D2194" s="2" t="s">
        <v>79</v>
      </c>
      <c r="E2194" s="2" t="s">
        <v>20</v>
      </c>
      <c r="F2194" s="2" t="s">
        <v>32</v>
      </c>
      <c r="G2194" s="2" t="s">
        <v>22</v>
      </c>
      <c r="H2194" s="2" t="s">
        <v>34</v>
      </c>
      <c r="I2194" s="2" t="s">
        <v>24</v>
      </c>
      <c r="J2194" s="2" t="s">
        <v>4891</v>
      </c>
      <c r="K2194" s="2" t="s">
        <v>1221</v>
      </c>
      <c r="L2194">
        <v>5</v>
      </c>
      <c r="M2194" s="1">
        <v>281000</v>
      </c>
      <c r="N2194">
        <v>4.2</v>
      </c>
      <c r="O2194">
        <v>9</v>
      </c>
      <c r="P2194" s="2" t="s">
        <v>26</v>
      </c>
    </row>
    <row r="2195" spans="1:16" x14ac:dyDescent="0.25">
      <c r="A2195" s="2" t="s">
        <v>7386</v>
      </c>
      <c r="B2195" s="2" t="s">
        <v>7387</v>
      </c>
      <c r="C2195" s="2" t="s">
        <v>29</v>
      </c>
      <c r="D2195" s="2" t="s">
        <v>50</v>
      </c>
      <c r="E2195" s="2" t="s">
        <v>44</v>
      </c>
      <c r="F2195" s="2" t="s">
        <v>128</v>
      </c>
      <c r="G2195" s="2" t="s">
        <v>22</v>
      </c>
      <c r="H2195" s="2" t="s">
        <v>23</v>
      </c>
      <c r="I2195" s="2" t="s">
        <v>57</v>
      </c>
      <c r="J2195" s="2" t="s">
        <v>4952</v>
      </c>
      <c r="K2195" s="2" t="s">
        <v>1221</v>
      </c>
      <c r="L2195">
        <v>4</v>
      </c>
      <c r="M2195" s="1">
        <v>521000</v>
      </c>
      <c r="N2195">
        <v>4</v>
      </c>
      <c r="O2195">
        <v>1</v>
      </c>
      <c r="P2195" s="2" t="s">
        <v>26</v>
      </c>
    </row>
    <row r="2196" spans="1:16" x14ac:dyDescent="0.25">
      <c r="A2196" s="2" t="s">
        <v>7388</v>
      </c>
      <c r="B2196" s="2" t="s">
        <v>2096</v>
      </c>
      <c r="C2196" s="2" t="s">
        <v>18</v>
      </c>
      <c r="D2196" s="2" t="s">
        <v>79</v>
      </c>
      <c r="E2196" s="2" t="s">
        <v>20</v>
      </c>
      <c r="F2196" s="2" t="s">
        <v>39</v>
      </c>
      <c r="G2196" s="2" t="s">
        <v>33</v>
      </c>
      <c r="H2196" s="2" t="s">
        <v>23</v>
      </c>
      <c r="I2196" s="2" t="s">
        <v>35</v>
      </c>
      <c r="J2196" s="2" t="s">
        <v>5782</v>
      </c>
      <c r="K2196" s="2" t="s">
        <v>1221</v>
      </c>
      <c r="L2196">
        <v>2</v>
      </c>
      <c r="M2196" s="1">
        <v>92000</v>
      </c>
      <c r="N2196">
        <v>5</v>
      </c>
      <c r="O2196">
        <v>1</v>
      </c>
      <c r="P2196" s="2" t="s">
        <v>26</v>
      </c>
    </row>
    <row r="2197" spans="1:16" x14ac:dyDescent="0.25">
      <c r="A2197" s="2" t="s">
        <v>7389</v>
      </c>
      <c r="B2197" s="2" t="s">
        <v>7390</v>
      </c>
      <c r="C2197" s="2" t="s">
        <v>18</v>
      </c>
      <c r="D2197" s="2" t="s">
        <v>43</v>
      </c>
      <c r="E2197" s="2" t="s">
        <v>44</v>
      </c>
      <c r="F2197" s="2" t="s">
        <v>128</v>
      </c>
      <c r="G2197" s="2" t="s">
        <v>33</v>
      </c>
      <c r="H2197" s="2" t="s">
        <v>46</v>
      </c>
      <c r="I2197" s="2" t="s">
        <v>35</v>
      </c>
      <c r="J2197" s="2" t="s">
        <v>3117</v>
      </c>
      <c r="K2197" s="2" t="s">
        <v>1221</v>
      </c>
      <c r="L2197">
        <v>2</v>
      </c>
      <c r="M2197" s="1">
        <v>414000</v>
      </c>
      <c r="N2197">
        <v>4.5</v>
      </c>
      <c r="O2197">
        <v>8</v>
      </c>
      <c r="P2197" s="2" t="s">
        <v>26</v>
      </c>
    </row>
    <row r="2198" spans="1:16" x14ac:dyDescent="0.25">
      <c r="A2198" s="2" t="s">
        <v>7393</v>
      </c>
      <c r="B2198" s="2" t="s">
        <v>6278</v>
      </c>
      <c r="C2198" s="2" t="s">
        <v>18</v>
      </c>
      <c r="D2198" s="2" t="s">
        <v>50</v>
      </c>
      <c r="E2198" s="2" t="s">
        <v>20</v>
      </c>
      <c r="F2198" s="2" t="s">
        <v>128</v>
      </c>
      <c r="G2198" s="2" t="s">
        <v>69</v>
      </c>
      <c r="H2198" s="2" t="s">
        <v>34</v>
      </c>
      <c r="I2198" s="2" t="s">
        <v>75</v>
      </c>
      <c r="J2198" s="2" t="s">
        <v>1021</v>
      </c>
      <c r="K2198" s="2" t="s">
        <v>1221</v>
      </c>
      <c r="L2198">
        <v>5</v>
      </c>
      <c r="M2198" s="1">
        <v>595000</v>
      </c>
      <c r="N2198">
        <v>2.4</v>
      </c>
      <c r="O2198">
        <v>7</v>
      </c>
      <c r="P2198" s="2" t="s">
        <v>26</v>
      </c>
    </row>
    <row r="2199" spans="1:16" x14ac:dyDescent="0.25">
      <c r="A2199" s="2" t="s">
        <v>7394</v>
      </c>
      <c r="B2199" s="2" t="s">
        <v>3138</v>
      </c>
      <c r="C2199" s="2" t="s">
        <v>18</v>
      </c>
      <c r="D2199" s="2" t="s">
        <v>30</v>
      </c>
      <c r="E2199" s="2" t="s">
        <v>44</v>
      </c>
      <c r="F2199" s="2" t="s">
        <v>39</v>
      </c>
      <c r="G2199" s="2" t="s">
        <v>80</v>
      </c>
      <c r="H2199" s="2" t="s">
        <v>23</v>
      </c>
      <c r="I2199" s="2" t="s">
        <v>24</v>
      </c>
      <c r="J2199" s="2" t="s">
        <v>52</v>
      </c>
      <c r="K2199" s="2" t="s">
        <v>1221</v>
      </c>
      <c r="L2199">
        <v>3</v>
      </c>
      <c r="M2199" s="1">
        <v>101000</v>
      </c>
      <c r="N2199">
        <v>2.8</v>
      </c>
      <c r="O2199">
        <v>3</v>
      </c>
      <c r="P2199" s="2" t="s">
        <v>26</v>
      </c>
    </row>
    <row r="2200" spans="1:16" x14ac:dyDescent="0.25">
      <c r="A2200" s="2" t="s">
        <v>7395</v>
      </c>
      <c r="B2200" s="2" t="s">
        <v>4206</v>
      </c>
      <c r="C2200" s="2" t="s">
        <v>29</v>
      </c>
      <c r="D2200" s="2" t="s">
        <v>30</v>
      </c>
      <c r="E2200" s="2" t="s">
        <v>20</v>
      </c>
      <c r="F2200" s="2" t="s">
        <v>39</v>
      </c>
      <c r="G2200" s="2" t="s">
        <v>22</v>
      </c>
      <c r="H2200" s="2" t="s">
        <v>34</v>
      </c>
      <c r="I2200" s="2" t="s">
        <v>57</v>
      </c>
      <c r="J2200" s="2" t="s">
        <v>7396</v>
      </c>
      <c r="K2200" s="2" t="s">
        <v>1221</v>
      </c>
      <c r="L2200">
        <v>2</v>
      </c>
      <c r="M2200" s="1">
        <v>160000</v>
      </c>
      <c r="N2200">
        <v>2.8</v>
      </c>
      <c r="O2200">
        <v>13</v>
      </c>
      <c r="P2200" s="2" t="s">
        <v>26</v>
      </c>
    </row>
    <row r="2201" spans="1:16" x14ac:dyDescent="0.25">
      <c r="A2201" s="2" t="s">
        <v>7397</v>
      </c>
      <c r="B2201" s="2" t="s">
        <v>7398</v>
      </c>
      <c r="C2201" s="2" t="s">
        <v>18</v>
      </c>
      <c r="D2201" s="2" t="s">
        <v>43</v>
      </c>
      <c r="E2201" s="2" t="s">
        <v>44</v>
      </c>
      <c r="F2201" s="2" t="s">
        <v>128</v>
      </c>
      <c r="G2201" s="2" t="s">
        <v>22</v>
      </c>
      <c r="H2201" s="2" t="s">
        <v>34</v>
      </c>
      <c r="I2201" s="2" t="s">
        <v>24</v>
      </c>
      <c r="J2201" s="2" t="s">
        <v>2064</v>
      </c>
      <c r="K2201" s="2" t="s">
        <v>1221</v>
      </c>
      <c r="L2201">
        <v>3</v>
      </c>
      <c r="M2201" s="1">
        <v>481000</v>
      </c>
      <c r="N2201">
        <v>2.1</v>
      </c>
      <c r="O2201">
        <v>10</v>
      </c>
      <c r="P2201" s="2" t="s">
        <v>72</v>
      </c>
    </row>
    <row r="2202" spans="1:16" x14ac:dyDescent="0.25">
      <c r="A2202" s="2" t="s">
        <v>7399</v>
      </c>
      <c r="B2202" s="2" t="s">
        <v>1544</v>
      </c>
      <c r="C2202" s="2" t="s">
        <v>18</v>
      </c>
      <c r="D2202" s="2" t="s">
        <v>43</v>
      </c>
      <c r="E2202" s="2" t="s">
        <v>20</v>
      </c>
      <c r="F2202" s="2" t="s">
        <v>21</v>
      </c>
      <c r="G2202" s="2" t="s">
        <v>69</v>
      </c>
      <c r="H2202" s="2" t="s">
        <v>46</v>
      </c>
      <c r="I2202" s="2" t="s">
        <v>35</v>
      </c>
      <c r="J2202" s="2" t="s">
        <v>4383</v>
      </c>
      <c r="K2202" s="2" t="s">
        <v>6774</v>
      </c>
      <c r="L2202">
        <v>5</v>
      </c>
      <c r="M2202" s="1">
        <v>817000</v>
      </c>
      <c r="N2202">
        <v>3.8</v>
      </c>
      <c r="O2202">
        <v>11</v>
      </c>
      <c r="P2202" s="2" t="s">
        <v>53</v>
      </c>
    </row>
    <row r="2203" spans="1:16" x14ac:dyDescent="0.25">
      <c r="A2203" s="2" t="s">
        <v>7400</v>
      </c>
      <c r="B2203" s="2" t="s">
        <v>7401</v>
      </c>
      <c r="C2203" s="2" t="s">
        <v>18</v>
      </c>
      <c r="D2203" s="2" t="s">
        <v>19</v>
      </c>
      <c r="E2203" s="2" t="s">
        <v>20</v>
      </c>
      <c r="F2203" s="2" t="s">
        <v>21</v>
      </c>
      <c r="G2203" s="2" t="s">
        <v>69</v>
      </c>
      <c r="H2203" s="2" t="s">
        <v>23</v>
      </c>
      <c r="I2203" s="2" t="s">
        <v>24</v>
      </c>
      <c r="J2203" s="2" t="s">
        <v>1763</v>
      </c>
      <c r="K2203" s="2" t="s">
        <v>859</v>
      </c>
      <c r="L2203">
        <v>3</v>
      </c>
      <c r="M2203" s="1">
        <v>1045000</v>
      </c>
      <c r="N2203">
        <v>3.9</v>
      </c>
      <c r="O2203">
        <v>10</v>
      </c>
      <c r="P2203" s="2" t="s">
        <v>26</v>
      </c>
    </row>
    <row r="2204" spans="1:16" x14ac:dyDescent="0.25">
      <c r="A2204" s="2" t="s">
        <v>7404</v>
      </c>
      <c r="B2204" s="2" t="s">
        <v>7405</v>
      </c>
      <c r="C2204" s="2" t="s">
        <v>29</v>
      </c>
      <c r="D2204" s="2" t="s">
        <v>30</v>
      </c>
      <c r="E2204" s="2" t="s">
        <v>31</v>
      </c>
      <c r="F2204" s="2" t="s">
        <v>39</v>
      </c>
      <c r="G2204" s="2" t="s">
        <v>22</v>
      </c>
      <c r="H2204" s="2" t="s">
        <v>23</v>
      </c>
      <c r="I2204" s="2" t="s">
        <v>24</v>
      </c>
      <c r="J2204" s="2" t="s">
        <v>2534</v>
      </c>
      <c r="K2204" s="2" t="s">
        <v>859</v>
      </c>
      <c r="L2204">
        <v>6</v>
      </c>
      <c r="M2204" s="1">
        <v>128000</v>
      </c>
      <c r="N2204">
        <v>1.7</v>
      </c>
      <c r="O2204">
        <v>5</v>
      </c>
      <c r="P2204" s="2" t="s">
        <v>114</v>
      </c>
    </row>
    <row r="2205" spans="1:16" x14ac:dyDescent="0.25">
      <c r="A2205" s="2" t="s">
        <v>7406</v>
      </c>
      <c r="B2205" s="2" t="s">
        <v>6936</v>
      </c>
      <c r="C2205" s="2" t="s">
        <v>29</v>
      </c>
      <c r="D2205" s="2" t="s">
        <v>50</v>
      </c>
      <c r="E2205" s="2" t="s">
        <v>44</v>
      </c>
      <c r="F2205" s="2" t="s">
        <v>128</v>
      </c>
      <c r="G2205" s="2" t="s">
        <v>33</v>
      </c>
      <c r="H2205" s="2" t="s">
        <v>46</v>
      </c>
      <c r="I2205" s="2" t="s">
        <v>35</v>
      </c>
      <c r="J2205" s="2" t="s">
        <v>6011</v>
      </c>
      <c r="K2205" s="2" t="s">
        <v>7407</v>
      </c>
      <c r="L2205">
        <v>5</v>
      </c>
      <c r="M2205" s="1">
        <v>440000</v>
      </c>
      <c r="N2205">
        <v>3.6</v>
      </c>
      <c r="O2205">
        <v>7</v>
      </c>
      <c r="P2205" s="2" t="s">
        <v>53</v>
      </c>
    </row>
    <row r="2206" spans="1:16" x14ac:dyDescent="0.25">
      <c r="A2206" s="2" t="s">
        <v>7408</v>
      </c>
      <c r="B2206" s="2" t="s">
        <v>6948</v>
      </c>
      <c r="C2206" s="2" t="s">
        <v>18</v>
      </c>
      <c r="D2206" s="2" t="s">
        <v>43</v>
      </c>
      <c r="E2206" s="2" t="s">
        <v>20</v>
      </c>
      <c r="F2206" s="2" t="s">
        <v>32</v>
      </c>
      <c r="G2206" s="2" t="s">
        <v>22</v>
      </c>
      <c r="H2206" s="2" t="s">
        <v>62</v>
      </c>
      <c r="I2206" s="2" t="s">
        <v>24</v>
      </c>
      <c r="J2206" s="2" t="s">
        <v>2568</v>
      </c>
      <c r="K2206" s="2" t="s">
        <v>4500</v>
      </c>
      <c r="L2206">
        <v>2</v>
      </c>
      <c r="M2206" s="1">
        <v>281000</v>
      </c>
      <c r="N2206">
        <v>2.6</v>
      </c>
      <c r="O2206">
        <v>15</v>
      </c>
      <c r="P2206" s="2" t="s">
        <v>26</v>
      </c>
    </row>
    <row r="2207" spans="1:16" x14ac:dyDescent="0.25">
      <c r="A2207" s="2" t="s">
        <v>7412</v>
      </c>
      <c r="B2207" s="2" t="s">
        <v>2934</v>
      </c>
      <c r="C2207" s="2" t="s">
        <v>29</v>
      </c>
      <c r="D2207" s="2" t="s">
        <v>30</v>
      </c>
      <c r="E2207" s="2" t="s">
        <v>20</v>
      </c>
      <c r="F2207" s="2" t="s">
        <v>45</v>
      </c>
      <c r="G2207" s="2" t="s">
        <v>22</v>
      </c>
      <c r="H2207" s="2" t="s">
        <v>62</v>
      </c>
      <c r="I2207" s="2" t="s">
        <v>57</v>
      </c>
      <c r="J2207" s="2" t="s">
        <v>1516</v>
      </c>
      <c r="K2207" s="2" t="s">
        <v>4500</v>
      </c>
      <c r="L2207">
        <v>4</v>
      </c>
      <c r="M2207" s="1">
        <v>1657000</v>
      </c>
      <c r="N2207">
        <v>4.0999999999999996</v>
      </c>
      <c r="O2207">
        <v>13</v>
      </c>
      <c r="P2207" s="2" t="s">
        <v>26</v>
      </c>
    </row>
    <row r="2208" spans="1:16" x14ac:dyDescent="0.25">
      <c r="A2208" s="2" t="s">
        <v>7413</v>
      </c>
      <c r="B2208" s="2" t="s">
        <v>5614</v>
      </c>
      <c r="C2208" s="2" t="s">
        <v>18</v>
      </c>
      <c r="D2208" s="2" t="s">
        <v>19</v>
      </c>
      <c r="E2208" s="2" t="s">
        <v>20</v>
      </c>
      <c r="F2208" s="2" t="s">
        <v>128</v>
      </c>
      <c r="G2208" s="2" t="s">
        <v>22</v>
      </c>
      <c r="H2208" s="2" t="s">
        <v>46</v>
      </c>
      <c r="I2208" s="2" t="s">
        <v>35</v>
      </c>
      <c r="J2208" s="2" t="s">
        <v>3580</v>
      </c>
      <c r="K2208" s="2" t="s">
        <v>4500</v>
      </c>
      <c r="L2208">
        <v>2</v>
      </c>
      <c r="M2208" s="1">
        <v>563000</v>
      </c>
      <c r="N2208">
        <v>3.3</v>
      </c>
      <c r="O2208">
        <v>10</v>
      </c>
      <c r="P2208" s="2" t="s">
        <v>26</v>
      </c>
    </row>
    <row r="2209" spans="1:16" x14ac:dyDescent="0.25">
      <c r="A2209" s="2" t="s">
        <v>7414</v>
      </c>
      <c r="B2209" s="2" t="s">
        <v>1343</v>
      </c>
      <c r="C2209" s="2" t="s">
        <v>18</v>
      </c>
      <c r="D2209" s="2" t="s">
        <v>19</v>
      </c>
      <c r="E2209" s="2" t="s">
        <v>31</v>
      </c>
      <c r="F2209" s="2" t="s">
        <v>39</v>
      </c>
      <c r="G2209" s="2" t="s">
        <v>80</v>
      </c>
      <c r="H2209" s="2" t="s">
        <v>23</v>
      </c>
      <c r="I2209" s="2" t="s">
        <v>24</v>
      </c>
      <c r="J2209" s="2" t="s">
        <v>3474</v>
      </c>
      <c r="K2209" s="2" t="s">
        <v>4500</v>
      </c>
      <c r="L2209">
        <v>3</v>
      </c>
      <c r="M2209" s="1">
        <v>198000</v>
      </c>
      <c r="N2209">
        <v>2.7</v>
      </c>
      <c r="O2209">
        <v>1</v>
      </c>
      <c r="P2209" s="2" t="s">
        <v>114</v>
      </c>
    </row>
    <row r="2210" spans="1:16" x14ac:dyDescent="0.25">
      <c r="A2210" s="2" t="s">
        <v>7415</v>
      </c>
      <c r="B2210" s="2" t="s">
        <v>2668</v>
      </c>
      <c r="C2210" s="2" t="s">
        <v>18</v>
      </c>
      <c r="D2210" s="2" t="s">
        <v>79</v>
      </c>
      <c r="E2210" s="2" t="s">
        <v>20</v>
      </c>
      <c r="F2210" s="2" t="s">
        <v>45</v>
      </c>
      <c r="G2210" s="2" t="s">
        <v>22</v>
      </c>
      <c r="H2210" s="2" t="s">
        <v>46</v>
      </c>
      <c r="I2210" s="2" t="s">
        <v>35</v>
      </c>
      <c r="J2210" s="2" t="s">
        <v>1571</v>
      </c>
      <c r="K2210" s="2" t="s">
        <v>2439</v>
      </c>
      <c r="L2210">
        <v>4</v>
      </c>
      <c r="M2210" s="1">
        <v>1124000</v>
      </c>
      <c r="N2210">
        <v>3.4</v>
      </c>
      <c r="O2210">
        <v>6</v>
      </c>
      <c r="P2210" s="2" t="s">
        <v>53</v>
      </c>
    </row>
    <row r="2211" spans="1:16" x14ac:dyDescent="0.25">
      <c r="A2211" s="2" t="s">
        <v>7422</v>
      </c>
      <c r="B2211" s="2" t="s">
        <v>4633</v>
      </c>
      <c r="C2211" s="2" t="s">
        <v>18</v>
      </c>
      <c r="D2211" s="2" t="s">
        <v>50</v>
      </c>
      <c r="E2211" s="2" t="s">
        <v>31</v>
      </c>
      <c r="F2211" s="2" t="s">
        <v>128</v>
      </c>
      <c r="G2211" s="2" t="s">
        <v>22</v>
      </c>
      <c r="H2211" s="2" t="s">
        <v>46</v>
      </c>
      <c r="I2211" s="2" t="s">
        <v>75</v>
      </c>
      <c r="J2211" s="2" t="s">
        <v>7423</v>
      </c>
      <c r="K2211" s="2" t="s">
        <v>6530</v>
      </c>
      <c r="L2211">
        <v>5</v>
      </c>
      <c r="M2211" s="1">
        <v>380000</v>
      </c>
      <c r="N2211">
        <v>4.3</v>
      </c>
      <c r="O2211">
        <v>7</v>
      </c>
      <c r="P2211" s="2" t="s">
        <v>72</v>
      </c>
    </row>
    <row r="2212" spans="1:16" x14ac:dyDescent="0.25">
      <c r="A2212" s="2" t="s">
        <v>7424</v>
      </c>
      <c r="B2212" s="2" t="s">
        <v>4785</v>
      </c>
      <c r="C2212" s="2" t="s">
        <v>18</v>
      </c>
      <c r="D2212" s="2" t="s">
        <v>79</v>
      </c>
      <c r="E2212" s="2" t="s">
        <v>44</v>
      </c>
      <c r="F2212" s="2" t="s">
        <v>32</v>
      </c>
      <c r="G2212" s="2" t="s">
        <v>33</v>
      </c>
      <c r="H2212" s="2" t="s">
        <v>34</v>
      </c>
      <c r="I2212" s="2" t="s">
        <v>24</v>
      </c>
      <c r="J2212" s="2" t="s">
        <v>7157</v>
      </c>
      <c r="K2212" s="2" t="s">
        <v>4952</v>
      </c>
      <c r="L2212">
        <v>6</v>
      </c>
      <c r="M2212" s="1">
        <v>326000</v>
      </c>
      <c r="N2212">
        <v>3.5</v>
      </c>
      <c r="O2212">
        <v>0</v>
      </c>
      <c r="P2212" s="2" t="s">
        <v>53</v>
      </c>
    </row>
    <row r="2213" spans="1:16" x14ac:dyDescent="0.25">
      <c r="A2213" s="2" t="s">
        <v>7425</v>
      </c>
      <c r="B2213" s="2" t="s">
        <v>7426</v>
      </c>
      <c r="C2213" s="2" t="s">
        <v>29</v>
      </c>
      <c r="D2213" s="2" t="s">
        <v>43</v>
      </c>
      <c r="E2213" s="2" t="s">
        <v>44</v>
      </c>
      <c r="F2213" s="2" t="s">
        <v>21</v>
      </c>
      <c r="G2213" s="2" t="s">
        <v>22</v>
      </c>
      <c r="H2213" s="2" t="s">
        <v>34</v>
      </c>
      <c r="I2213" s="2" t="s">
        <v>57</v>
      </c>
      <c r="J2213" s="2" t="s">
        <v>1614</v>
      </c>
      <c r="K2213" s="2" t="s">
        <v>2091</v>
      </c>
      <c r="L2213">
        <v>3</v>
      </c>
      <c r="M2213" s="1">
        <v>797000</v>
      </c>
      <c r="N2213">
        <v>4.5</v>
      </c>
      <c r="O2213">
        <v>8</v>
      </c>
      <c r="P2213" s="2" t="s">
        <v>26</v>
      </c>
    </row>
    <row r="2214" spans="1:16" x14ac:dyDescent="0.25">
      <c r="A2214" s="2" t="s">
        <v>7427</v>
      </c>
      <c r="B2214" s="2" t="s">
        <v>7428</v>
      </c>
      <c r="C2214" s="2" t="s">
        <v>29</v>
      </c>
      <c r="D2214" s="2" t="s">
        <v>30</v>
      </c>
      <c r="E2214" s="2" t="s">
        <v>20</v>
      </c>
      <c r="F2214" s="2" t="s">
        <v>21</v>
      </c>
      <c r="G2214" s="2" t="s">
        <v>22</v>
      </c>
      <c r="H2214" s="2" t="s">
        <v>46</v>
      </c>
      <c r="I2214" s="2" t="s">
        <v>75</v>
      </c>
      <c r="J2214" s="2" t="s">
        <v>5734</v>
      </c>
      <c r="K2214" s="2" t="s">
        <v>2091</v>
      </c>
      <c r="L2214">
        <v>6</v>
      </c>
      <c r="M2214" s="1">
        <v>857000</v>
      </c>
      <c r="N2214">
        <v>4.0999999999999996</v>
      </c>
      <c r="O2214">
        <v>11</v>
      </c>
      <c r="P2214" s="2" t="s">
        <v>53</v>
      </c>
    </row>
    <row r="2215" spans="1:16" x14ac:dyDescent="0.25">
      <c r="A2215" s="2" t="s">
        <v>7429</v>
      </c>
      <c r="B2215" s="2" t="s">
        <v>6836</v>
      </c>
      <c r="C2215" s="2" t="s">
        <v>18</v>
      </c>
      <c r="D2215" s="2" t="s">
        <v>30</v>
      </c>
      <c r="E2215" s="2" t="s">
        <v>31</v>
      </c>
      <c r="F2215" s="2" t="s">
        <v>21</v>
      </c>
      <c r="G2215" s="2" t="s">
        <v>80</v>
      </c>
      <c r="H2215" s="2" t="s">
        <v>34</v>
      </c>
      <c r="I2215" s="2" t="s">
        <v>24</v>
      </c>
      <c r="J2215" s="2" t="s">
        <v>1129</v>
      </c>
      <c r="K2215" s="2" t="s">
        <v>7430</v>
      </c>
      <c r="L2215">
        <v>6</v>
      </c>
      <c r="M2215" s="1">
        <v>650000</v>
      </c>
      <c r="N2215">
        <v>3.5</v>
      </c>
      <c r="O2215">
        <v>3</v>
      </c>
      <c r="P2215" s="2" t="s">
        <v>72</v>
      </c>
    </row>
    <row r="2216" spans="1:16" x14ac:dyDescent="0.25">
      <c r="A2216" s="2" t="s">
        <v>7431</v>
      </c>
      <c r="B2216" s="2" t="s">
        <v>7432</v>
      </c>
      <c r="C2216" s="2" t="s">
        <v>18</v>
      </c>
      <c r="D2216" s="2" t="s">
        <v>79</v>
      </c>
      <c r="E2216" s="2" t="s">
        <v>44</v>
      </c>
      <c r="F2216" s="2" t="s">
        <v>32</v>
      </c>
      <c r="G2216" s="2" t="s">
        <v>80</v>
      </c>
      <c r="H2216" s="2" t="s">
        <v>34</v>
      </c>
      <c r="I2216" s="2" t="s">
        <v>24</v>
      </c>
      <c r="J2216" s="2" t="s">
        <v>7433</v>
      </c>
      <c r="K2216" s="2" t="s">
        <v>7436</v>
      </c>
      <c r="L2216">
        <v>6</v>
      </c>
      <c r="M2216" s="1">
        <v>240000</v>
      </c>
      <c r="N2216">
        <v>3.2</v>
      </c>
      <c r="O2216">
        <v>13</v>
      </c>
      <c r="P2216" s="2" t="s">
        <v>26</v>
      </c>
    </row>
    <row r="2217" spans="1:16" x14ac:dyDescent="0.25">
      <c r="A2217" s="2" t="s">
        <v>7434</v>
      </c>
      <c r="B2217" s="2" t="s">
        <v>627</v>
      </c>
      <c r="C2217" s="2" t="s">
        <v>29</v>
      </c>
      <c r="D2217" s="2" t="s">
        <v>79</v>
      </c>
      <c r="E2217" s="2" t="s">
        <v>20</v>
      </c>
      <c r="F2217" s="2" t="s">
        <v>32</v>
      </c>
      <c r="G2217" s="2" t="s">
        <v>80</v>
      </c>
      <c r="H2217" s="2" t="s">
        <v>46</v>
      </c>
      <c r="I2217" s="2" t="s">
        <v>24</v>
      </c>
      <c r="J2217" s="2" t="s">
        <v>7435</v>
      </c>
      <c r="K2217" s="2" t="s">
        <v>7436</v>
      </c>
      <c r="L2217">
        <v>2</v>
      </c>
      <c r="M2217" s="1">
        <v>273000</v>
      </c>
      <c r="N2217">
        <v>3.4</v>
      </c>
      <c r="O2217">
        <v>14</v>
      </c>
      <c r="P2217" s="2" t="s">
        <v>53</v>
      </c>
    </row>
    <row r="2218" spans="1:16" x14ac:dyDescent="0.25">
      <c r="A2218" s="2" t="s">
        <v>7439</v>
      </c>
      <c r="B2218" s="2" t="s">
        <v>7298</v>
      </c>
      <c r="C2218" s="2" t="s">
        <v>29</v>
      </c>
      <c r="D2218" s="2" t="s">
        <v>30</v>
      </c>
      <c r="E2218" s="2" t="s">
        <v>20</v>
      </c>
      <c r="F2218" s="2" t="s">
        <v>39</v>
      </c>
      <c r="G2218" s="2" t="s">
        <v>80</v>
      </c>
      <c r="H2218" s="2" t="s">
        <v>23</v>
      </c>
      <c r="I2218" s="2" t="s">
        <v>57</v>
      </c>
      <c r="J2218" s="2" t="s">
        <v>1785</v>
      </c>
      <c r="K2218" s="2" t="s">
        <v>6201</v>
      </c>
      <c r="L2218">
        <v>4</v>
      </c>
      <c r="M2218" s="1">
        <v>90000</v>
      </c>
      <c r="N2218">
        <v>3.3</v>
      </c>
      <c r="O2218">
        <v>1</v>
      </c>
      <c r="P2218" s="2" t="s">
        <v>114</v>
      </c>
    </row>
    <row r="2219" spans="1:16" x14ac:dyDescent="0.25">
      <c r="A2219" s="2" t="s">
        <v>7440</v>
      </c>
      <c r="B2219" s="2" t="s">
        <v>4661</v>
      </c>
      <c r="C2219" s="2" t="s">
        <v>29</v>
      </c>
      <c r="D2219" s="2" t="s">
        <v>50</v>
      </c>
      <c r="E2219" s="2" t="s">
        <v>20</v>
      </c>
      <c r="F2219" s="2" t="s">
        <v>32</v>
      </c>
      <c r="G2219" s="2" t="s">
        <v>33</v>
      </c>
      <c r="H2219" s="2" t="s">
        <v>34</v>
      </c>
      <c r="I2219" s="2" t="s">
        <v>57</v>
      </c>
      <c r="J2219" s="2" t="s">
        <v>1182</v>
      </c>
      <c r="K2219" s="2" t="s">
        <v>7441</v>
      </c>
      <c r="L2219">
        <v>4</v>
      </c>
      <c r="M2219" s="1">
        <v>235000</v>
      </c>
      <c r="N2219">
        <v>2.6</v>
      </c>
      <c r="O2219">
        <v>1</v>
      </c>
      <c r="P2219" s="2" t="s">
        <v>72</v>
      </c>
    </row>
    <row r="2220" spans="1:16" x14ac:dyDescent="0.25">
      <c r="A2220" s="2" t="s">
        <v>7443</v>
      </c>
      <c r="B2220" s="2" t="s">
        <v>7444</v>
      </c>
      <c r="C2220" s="2" t="s">
        <v>29</v>
      </c>
      <c r="D2220" s="2" t="s">
        <v>19</v>
      </c>
      <c r="E2220" s="2" t="s">
        <v>20</v>
      </c>
      <c r="F2220" s="2" t="s">
        <v>32</v>
      </c>
      <c r="G2220" s="2" t="s">
        <v>33</v>
      </c>
      <c r="H2220" s="2" t="s">
        <v>34</v>
      </c>
      <c r="I2220" s="2" t="s">
        <v>24</v>
      </c>
      <c r="J2220" s="2" t="s">
        <v>1729</v>
      </c>
      <c r="K2220" s="2" t="s">
        <v>2606</v>
      </c>
      <c r="L2220">
        <v>3</v>
      </c>
      <c r="M2220" s="1">
        <v>361000</v>
      </c>
      <c r="N2220">
        <v>3.2</v>
      </c>
      <c r="O2220">
        <v>9</v>
      </c>
      <c r="P2220" s="2" t="s">
        <v>26</v>
      </c>
    </row>
    <row r="2221" spans="1:16" x14ac:dyDescent="0.25">
      <c r="A2221" s="2" t="s">
        <v>7445</v>
      </c>
      <c r="B2221" s="2" t="s">
        <v>7446</v>
      </c>
      <c r="C2221" s="2" t="s">
        <v>18</v>
      </c>
      <c r="D2221" s="2" t="s">
        <v>79</v>
      </c>
      <c r="E2221" s="2" t="s">
        <v>20</v>
      </c>
      <c r="F2221" s="2" t="s">
        <v>128</v>
      </c>
      <c r="G2221" s="2" t="s">
        <v>22</v>
      </c>
      <c r="H2221" s="2" t="s">
        <v>23</v>
      </c>
      <c r="I2221" s="2" t="s">
        <v>24</v>
      </c>
      <c r="J2221" s="2" t="s">
        <v>168</v>
      </c>
      <c r="K2221" s="2" t="s">
        <v>2606</v>
      </c>
      <c r="L2221">
        <v>2</v>
      </c>
      <c r="M2221" s="1">
        <v>570000</v>
      </c>
      <c r="N2221">
        <v>4.8</v>
      </c>
      <c r="O2221">
        <v>9</v>
      </c>
      <c r="P2221" s="2" t="s">
        <v>26</v>
      </c>
    </row>
    <row r="2222" spans="1:16" x14ac:dyDescent="0.25">
      <c r="A2222" s="2" t="s">
        <v>7447</v>
      </c>
      <c r="B2222" s="2" t="s">
        <v>6340</v>
      </c>
      <c r="C2222" s="2" t="s">
        <v>29</v>
      </c>
      <c r="D2222" s="2" t="s">
        <v>50</v>
      </c>
      <c r="E2222" s="2" t="s">
        <v>44</v>
      </c>
      <c r="F2222" s="2" t="s">
        <v>32</v>
      </c>
      <c r="G2222" s="2" t="s">
        <v>33</v>
      </c>
      <c r="H2222" s="2" t="s">
        <v>46</v>
      </c>
      <c r="I2222" s="2" t="s">
        <v>57</v>
      </c>
      <c r="J2222" s="2" t="s">
        <v>2037</v>
      </c>
      <c r="K2222" s="2" t="s">
        <v>2606</v>
      </c>
      <c r="L2222">
        <v>2</v>
      </c>
      <c r="M2222" s="1">
        <v>299000</v>
      </c>
      <c r="N2222">
        <v>3.5</v>
      </c>
      <c r="O2222">
        <v>2</v>
      </c>
      <c r="P2222" s="2" t="s">
        <v>26</v>
      </c>
    </row>
    <row r="2223" spans="1:16" x14ac:dyDescent="0.25">
      <c r="A2223" s="2" t="s">
        <v>7448</v>
      </c>
      <c r="B2223" s="2" t="s">
        <v>7449</v>
      </c>
      <c r="C2223" s="2" t="s">
        <v>29</v>
      </c>
      <c r="D2223" s="2" t="s">
        <v>30</v>
      </c>
      <c r="E2223" s="2" t="s">
        <v>20</v>
      </c>
      <c r="F2223" s="2" t="s">
        <v>32</v>
      </c>
      <c r="G2223" s="2" t="s">
        <v>22</v>
      </c>
      <c r="H2223" s="2" t="s">
        <v>46</v>
      </c>
      <c r="I2223" s="2" t="s">
        <v>171</v>
      </c>
      <c r="J2223" s="2" t="s">
        <v>2953</v>
      </c>
      <c r="K2223" s="2" t="s">
        <v>2606</v>
      </c>
      <c r="L2223">
        <v>3</v>
      </c>
      <c r="M2223" s="1">
        <v>323000</v>
      </c>
      <c r="N2223">
        <v>2.6</v>
      </c>
      <c r="O2223">
        <v>14</v>
      </c>
      <c r="P2223" s="2" t="s">
        <v>26</v>
      </c>
    </row>
    <row r="2224" spans="1:16" x14ac:dyDescent="0.25">
      <c r="A2224" s="2" t="s">
        <v>7450</v>
      </c>
      <c r="B2224" s="2" t="s">
        <v>1297</v>
      </c>
      <c r="C2224" s="2" t="s">
        <v>29</v>
      </c>
      <c r="D2224" s="2" t="s">
        <v>79</v>
      </c>
      <c r="E2224" s="2" t="s">
        <v>20</v>
      </c>
      <c r="F2224" s="2" t="s">
        <v>128</v>
      </c>
      <c r="G2224" s="2" t="s">
        <v>22</v>
      </c>
      <c r="H2224" s="2" t="s">
        <v>34</v>
      </c>
      <c r="I2224" s="2" t="s">
        <v>35</v>
      </c>
      <c r="J2224" s="2" t="s">
        <v>6424</v>
      </c>
      <c r="K2224" s="2" t="s">
        <v>2606</v>
      </c>
      <c r="L2224">
        <v>5</v>
      </c>
      <c r="M2224" s="1">
        <v>498000</v>
      </c>
      <c r="N2224">
        <v>4.3</v>
      </c>
      <c r="O2224">
        <v>12</v>
      </c>
      <c r="P2224" s="2" t="s">
        <v>26</v>
      </c>
    </row>
    <row r="2225" spans="1:16" x14ac:dyDescent="0.25">
      <c r="A2225" s="2" t="s">
        <v>7451</v>
      </c>
      <c r="B2225" s="2" t="s">
        <v>1425</v>
      </c>
      <c r="C2225" s="2" t="s">
        <v>29</v>
      </c>
      <c r="D2225" s="2" t="s">
        <v>50</v>
      </c>
      <c r="E2225" s="2" t="s">
        <v>20</v>
      </c>
      <c r="F2225" s="2" t="s">
        <v>32</v>
      </c>
      <c r="G2225" s="2" t="s">
        <v>80</v>
      </c>
      <c r="H2225" s="2" t="s">
        <v>34</v>
      </c>
      <c r="I2225" s="2" t="s">
        <v>24</v>
      </c>
      <c r="J2225" s="2" t="s">
        <v>5664</v>
      </c>
      <c r="K2225" s="2" t="s">
        <v>2606</v>
      </c>
      <c r="L2225">
        <v>4</v>
      </c>
      <c r="M2225" s="1">
        <v>269000</v>
      </c>
      <c r="N2225">
        <v>4.0999999999999996</v>
      </c>
      <c r="O2225">
        <v>20</v>
      </c>
      <c r="P2225" s="2" t="s">
        <v>26</v>
      </c>
    </row>
    <row r="2226" spans="1:16" x14ac:dyDescent="0.25">
      <c r="A2226" s="2" t="s">
        <v>7452</v>
      </c>
      <c r="B2226" s="2" t="s">
        <v>7453</v>
      </c>
      <c r="C2226" s="2" t="s">
        <v>18</v>
      </c>
      <c r="D2226" s="2" t="s">
        <v>79</v>
      </c>
      <c r="E2226" s="2" t="s">
        <v>20</v>
      </c>
      <c r="F2226" s="2" t="s">
        <v>128</v>
      </c>
      <c r="G2226" s="2" t="s">
        <v>80</v>
      </c>
      <c r="H2226" s="2" t="s">
        <v>23</v>
      </c>
      <c r="I2226" s="2" t="s">
        <v>35</v>
      </c>
      <c r="J2226" s="2" t="s">
        <v>469</v>
      </c>
      <c r="K2226" s="2" t="s">
        <v>2606</v>
      </c>
      <c r="L2226">
        <v>5</v>
      </c>
      <c r="M2226" s="1">
        <v>571000</v>
      </c>
      <c r="N2226">
        <v>4.3</v>
      </c>
      <c r="O2226">
        <v>3</v>
      </c>
      <c r="P2226" s="2" t="s">
        <v>26</v>
      </c>
    </row>
    <row r="2227" spans="1:16" x14ac:dyDescent="0.25">
      <c r="A2227" s="2" t="s">
        <v>7454</v>
      </c>
      <c r="B2227" s="2" t="s">
        <v>6229</v>
      </c>
      <c r="C2227" s="2" t="s">
        <v>29</v>
      </c>
      <c r="D2227" s="2" t="s">
        <v>30</v>
      </c>
      <c r="E2227" s="2" t="s">
        <v>20</v>
      </c>
      <c r="F2227" s="2" t="s">
        <v>32</v>
      </c>
      <c r="G2227" s="2" t="s">
        <v>22</v>
      </c>
      <c r="H2227" s="2" t="s">
        <v>23</v>
      </c>
      <c r="I2227" s="2" t="s">
        <v>24</v>
      </c>
      <c r="J2227" s="2" t="s">
        <v>2384</v>
      </c>
      <c r="K2227" s="2" t="s">
        <v>2606</v>
      </c>
      <c r="L2227">
        <v>4</v>
      </c>
      <c r="M2227" s="1">
        <v>284000</v>
      </c>
      <c r="N2227">
        <v>4.7</v>
      </c>
      <c r="O2227">
        <v>9</v>
      </c>
      <c r="P2227" s="2" t="s">
        <v>26</v>
      </c>
    </row>
    <row r="2228" spans="1:16" x14ac:dyDescent="0.25">
      <c r="A2228" s="2" t="s">
        <v>7456</v>
      </c>
      <c r="B2228" s="2" t="s">
        <v>6670</v>
      </c>
      <c r="C2228" s="2" t="s">
        <v>18</v>
      </c>
      <c r="D2228" s="2" t="s">
        <v>50</v>
      </c>
      <c r="E2228" s="2" t="s">
        <v>20</v>
      </c>
      <c r="F2228" s="2" t="s">
        <v>128</v>
      </c>
      <c r="G2228" s="2" t="s">
        <v>33</v>
      </c>
      <c r="H2228" s="2" t="s">
        <v>23</v>
      </c>
      <c r="I2228" s="2" t="s">
        <v>24</v>
      </c>
      <c r="J2228" s="2" t="s">
        <v>1893</v>
      </c>
      <c r="K2228" s="2" t="s">
        <v>2606</v>
      </c>
      <c r="L2228">
        <v>4</v>
      </c>
      <c r="M2228" s="1">
        <v>368000</v>
      </c>
      <c r="N2228">
        <v>4.7</v>
      </c>
      <c r="O2228">
        <v>39</v>
      </c>
      <c r="P2228" s="2" t="s">
        <v>53</v>
      </c>
    </row>
    <row r="2229" spans="1:16" x14ac:dyDescent="0.25">
      <c r="A2229" s="2" t="s">
        <v>7461</v>
      </c>
      <c r="B2229" s="2" t="s">
        <v>5470</v>
      </c>
      <c r="C2229" s="2" t="s">
        <v>29</v>
      </c>
      <c r="D2229" s="2" t="s">
        <v>30</v>
      </c>
      <c r="E2229" s="2" t="s">
        <v>44</v>
      </c>
      <c r="F2229" s="2" t="s">
        <v>39</v>
      </c>
      <c r="G2229" s="2" t="s">
        <v>22</v>
      </c>
      <c r="H2229" s="2" t="s">
        <v>62</v>
      </c>
      <c r="I2229" s="2" t="s">
        <v>24</v>
      </c>
      <c r="J2229" s="2" t="s">
        <v>1798</v>
      </c>
      <c r="K2229" s="2" t="s">
        <v>1574</v>
      </c>
      <c r="L2229">
        <v>6</v>
      </c>
      <c r="M2229" s="1">
        <v>98000</v>
      </c>
      <c r="N2229">
        <v>3.3</v>
      </c>
      <c r="O2229">
        <v>1</v>
      </c>
      <c r="P2229" s="2" t="s">
        <v>26</v>
      </c>
    </row>
    <row r="2230" spans="1:16" x14ac:dyDescent="0.25">
      <c r="A2230" s="2" t="s">
        <v>7468</v>
      </c>
      <c r="B2230" s="2" t="s">
        <v>3553</v>
      </c>
      <c r="C2230" s="2" t="s">
        <v>29</v>
      </c>
      <c r="D2230" s="2" t="s">
        <v>43</v>
      </c>
      <c r="E2230" s="2" t="s">
        <v>44</v>
      </c>
      <c r="F2230" s="2" t="s">
        <v>39</v>
      </c>
      <c r="G2230" s="2" t="s">
        <v>22</v>
      </c>
      <c r="H2230" s="2" t="s">
        <v>23</v>
      </c>
      <c r="I2230" s="2" t="s">
        <v>57</v>
      </c>
      <c r="J2230" s="2" t="s">
        <v>7396</v>
      </c>
      <c r="K2230" s="2" t="s">
        <v>1574</v>
      </c>
      <c r="L2230">
        <v>2</v>
      </c>
      <c r="M2230" s="1">
        <v>86000</v>
      </c>
      <c r="N2230">
        <v>2.4</v>
      </c>
      <c r="O2230">
        <v>2</v>
      </c>
      <c r="P2230" s="2" t="s">
        <v>26</v>
      </c>
    </row>
    <row r="2231" spans="1:16" x14ac:dyDescent="0.25">
      <c r="A2231" s="2" t="s">
        <v>7469</v>
      </c>
      <c r="B2231" s="2" t="s">
        <v>7056</v>
      </c>
      <c r="C2231" s="2" t="s">
        <v>18</v>
      </c>
      <c r="D2231" s="2" t="s">
        <v>30</v>
      </c>
      <c r="E2231" s="2" t="s">
        <v>31</v>
      </c>
      <c r="F2231" s="2" t="s">
        <v>39</v>
      </c>
      <c r="G2231" s="2" t="s">
        <v>22</v>
      </c>
      <c r="H2231" s="2" t="s">
        <v>46</v>
      </c>
      <c r="I2231" s="2" t="s">
        <v>57</v>
      </c>
      <c r="J2231" s="2" t="s">
        <v>6267</v>
      </c>
      <c r="K2231" s="2" t="s">
        <v>1574</v>
      </c>
      <c r="L2231">
        <v>5</v>
      </c>
      <c r="M2231" s="1">
        <v>170000</v>
      </c>
      <c r="N2231">
        <v>3.2</v>
      </c>
      <c r="O2231">
        <v>27</v>
      </c>
      <c r="P2231" s="2" t="s">
        <v>53</v>
      </c>
    </row>
    <row r="2232" spans="1:16" x14ac:dyDescent="0.25">
      <c r="A2232" s="2" t="s">
        <v>7471</v>
      </c>
      <c r="B2232" s="2" t="s">
        <v>7472</v>
      </c>
      <c r="C2232" s="2" t="s">
        <v>29</v>
      </c>
      <c r="D2232" s="2" t="s">
        <v>43</v>
      </c>
      <c r="E2232" s="2" t="s">
        <v>31</v>
      </c>
      <c r="F2232" s="2" t="s">
        <v>21</v>
      </c>
      <c r="G2232" s="2" t="s">
        <v>33</v>
      </c>
      <c r="H2232" s="2" t="s">
        <v>23</v>
      </c>
      <c r="I2232" s="2" t="s">
        <v>24</v>
      </c>
      <c r="J2232" s="2" t="s">
        <v>713</v>
      </c>
      <c r="K2232" s="2" t="s">
        <v>239</v>
      </c>
      <c r="L2232">
        <v>3</v>
      </c>
      <c r="M2232" s="1">
        <v>809000</v>
      </c>
      <c r="N2232">
        <v>4.3</v>
      </c>
      <c r="O2232">
        <v>7</v>
      </c>
      <c r="P2232" s="2" t="s">
        <v>72</v>
      </c>
    </row>
    <row r="2233" spans="1:16" x14ac:dyDescent="0.25">
      <c r="A2233" s="2" t="s">
        <v>7479</v>
      </c>
      <c r="B2233" s="2" t="s">
        <v>7480</v>
      </c>
      <c r="C2233" s="2" t="s">
        <v>29</v>
      </c>
      <c r="D2233" s="2" t="s">
        <v>43</v>
      </c>
      <c r="E2233" s="2" t="s">
        <v>20</v>
      </c>
      <c r="F2233" s="2" t="s">
        <v>32</v>
      </c>
      <c r="G2233" s="2" t="s">
        <v>80</v>
      </c>
      <c r="H2233" s="2" t="s">
        <v>46</v>
      </c>
      <c r="I2233" s="2" t="s">
        <v>57</v>
      </c>
      <c r="J2233" s="2" t="s">
        <v>5794</v>
      </c>
      <c r="K2233" s="2" t="s">
        <v>3813</v>
      </c>
      <c r="L2233">
        <v>2</v>
      </c>
      <c r="M2233" s="1">
        <v>249000</v>
      </c>
      <c r="N2233">
        <v>4.5999999999999996</v>
      </c>
      <c r="O2233">
        <v>11</v>
      </c>
      <c r="P2233" s="2" t="s">
        <v>26</v>
      </c>
    </row>
    <row r="2234" spans="1:16" x14ac:dyDescent="0.25">
      <c r="A2234" s="2" t="s">
        <v>7483</v>
      </c>
      <c r="B2234" s="2" t="s">
        <v>7484</v>
      </c>
      <c r="C2234" s="2" t="s">
        <v>29</v>
      </c>
      <c r="D2234" s="2" t="s">
        <v>19</v>
      </c>
      <c r="E2234" s="2" t="s">
        <v>20</v>
      </c>
      <c r="F2234" s="2" t="s">
        <v>39</v>
      </c>
      <c r="G2234" s="2" t="s">
        <v>22</v>
      </c>
      <c r="H2234" s="2" t="s">
        <v>23</v>
      </c>
      <c r="I2234" s="2" t="s">
        <v>24</v>
      </c>
      <c r="J2234" s="2" t="s">
        <v>90</v>
      </c>
      <c r="K2234" s="2" t="s">
        <v>3813</v>
      </c>
      <c r="L2234">
        <v>5</v>
      </c>
      <c r="M2234" s="1">
        <v>172000</v>
      </c>
      <c r="N2234">
        <v>3.8</v>
      </c>
      <c r="O2234">
        <v>2</v>
      </c>
      <c r="P2234" s="2" t="s">
        <v>26</v>
      </c>
    </row>
    <row r="2235" spans="1:16" x14ac:dyDescent="0.25">
      <c r="A2235" s="2" t="s">
        <v>7488</v>
      </c>
      <c r="B2235" s="2" t="s">
        <v>4271</v>
      </c>
      <c r="C2235" s="2" t="s">
        <v>29</v>
      </c>
      <c r="D2235" s="2" t="s">
        <v>19</v>
      </c>
      <c r="E2235" s="2" t="s">
        <v>20</v>
      </c>
      <c r="F2235" s="2" t="s">
        <v>32</v>
      </c>
      <c r="G2235" s="2" t="s">
        <v>69</v>
      </c>
      <c r="H2235" s="2" t="s">
        <v>62</v>
      </c>
      <c r="I2235" s="2" t="s">
        <v>35</v>
      </c>
      <c r="J2235" s="2" t="s">
        <v>2295</v>
      </c>
      <c r="K2235" s="2" t="s">
        <v>3813</v>
      </c>
      <c r="L2235">
        <v>5</v>
      </c>
      <c r="M2235" s="1">
        <v>379000</v>
      </c>
      <c r="N2235">
        <v>4.0999999999999996</v>
      </c>
      <c r="O2235">
        <v>2</v>
      </c>
      <c r="P2235" s="2" t="s">
        <v>26</v>
      </c>
    </row>
    <row r="2236" spans="1:16" x14ac:dyDescent="0.25">
      <c r="A2236" s="2" t="s">
        <v>7489</v>
      </c>
      <c r="B2236" s="2" t="s">
        <v>7490</v>
      </c>
      <c r="C2236" s="2" t="s">
        <v>18</v>
      </c>
      <c r="D2236" s="2" t="s">
        <v>19</v>
      </c>
      <c r="E2236" s="2" t="s">
        <v>20</v>
      </c>
      <c r="F2236" s="2" t="s">
        <v>39</v>
      </c>
      <c r="G2236" s="2" t="s">
        <v>33</v>
      </c>
      <c r="H2236" s="2" t="s">
        <v>23</v>
      </c>
      <c r="I2236" s="2" t="s">
        <v>57</v>
      </c>
      <c r="J2236" s="2" t="s">
        <v>5542</v>
      </c>
      <c r="K2236" s="2" t="s">
        <v>3813</v>
      </c>
      <c r="L2236">
        <v>6</v>
      </c>
      <c r="M2236" s="1">
        <v>184000</v>
      </c>
      <c r="N2236">
        <v>4.2</v>
      </c>
      <c r="O2236">
        <v>7</v>
      </c>
      <c r="P2236" s="2" t="s">
        <v>26</v>
      </c>
    </row>
    <row r="2237" spans="1:16" x14ac:dyDescent="0.25">
      <c r="A2237" s="2" t="s">
        <v>7491</v>
      </c>
      <c r="B2237" s="2" t="s">
        <v>6605</v>
      </c>
      <c r="C2237" s="2" t="s">
        <v>29</v>
      </c>
      <c r="D2237" s="2" t="s">
        <v>30</v>
      </c>
      <c r="E2237" s="2" t="s">
        <v>20</v>
      </c>
      <c r="F2237" s="2" t="s">
        <v>32</v>
      </c>
      <c r="G2237" s="2" t="s">
        <v>69</v>
      </c>
      <c r="H2237" s="2" t="s">
        <v>23</v>
      </c>
      <c r="I2237" s="2" t="s">
        <v>35</v>
      </c>
      <c r="J2237" s="2" t="s">
        <v>4525</v>
      </c>
      <c r="K2237" s="2" t="s">
        <v>3813</v>
      </c>
      <c r="L2237">
        <v>3</v>
      </c>
      <c r="M2237" s="1">
        <v>217000</v>
      </c>
      <c r="N2237">
        <v>3</v>
      </c>
      <c r="O2237">
        <v>2</v>
      </c>
      <c r="P2237" s="2" t="s">
        <v>53</v>
      </c>
    </row>
    <row r="2238" spans="1:16" x14ac:dyDescent="0.25">
      <c r="A2238" s="2" t="s">
        <v>7492</v>
      </c>
      <c r="B2238" s="2" t="s">
        <v>6789</v>
      </c>
      <c r="C2238" s="2" t="s">
        <v>29</v>
      </c>
      <c r="D2238" s="2" t="s">
        <v>43</v>
      </c>
      <c r="E2238" s="2" t="s">
        <v>44</v>
      </c>
      <c r="F2238" s="2" t="s">
        <v>128</v>
      </c>
      <c r="G2238" s="2" t="s">
        <v>33</v>
      </c>
      <c r="H2238" s="2" t="s">
        <v>34</v>
      </c>
      <c r="I2238" s="2" t="s">
        <v>24</v>
      </c>
      <c r="J2238" s="2" t="s">
        <v>752</v>
      </c>
      <c r="K2238" s="2" t="s">
        <v>2296</v>
      </c>
      <c r="L2238">
        <v>6</v>
      </c>
      <c r="M2238" s="1">
        <v>358000</v>
      </c>
      <c r="N2238">
        <v>2.2000000000000002</v>
      </c>
      <c r="O2238">
        <v>31</v>
      </c>
      <c r="P2238" s="2" t="s">
        <v>26</v>
      </c>
    </row>
    <row r="2239" spans="1:16" x14ac:dyDescent="0.25">
      <c r="A2239" s="2" t="s">
        <v>7493</v>
      </c>
      <c r="B2239" s="2" t="s">
        <v>7494</v>
      </c>
      <c r="C2239" s="2" t="s">
        <v>29</v>
      </c>
      <c r="D2239" s="2" t="s">
        <v>50</v>
      </c>
      <c r="E2239" s="2" t="s">
        <v>20</v>
      </c>
      <c r="F2239" s="2" t="s">
        <v>21</v>
      </c>
      <c r="G2239" s="2" t="s">
        <v>69</v>
      </c>
      <c r="H2239" s="2" t="s">
        <v>34</v>
      </c>
      <c r="I2239" s="2" t="s">
        <v>24</v>
      </c>
      <c r="J2239" s="2" t="s">
        <v>1169</v>
      </c>
      <c r="K2239" s="2" t="s">
        <v>2296</v>
      </c>
      <c r="L2239">
        <v>2</v>
      </c>
      <c r="M2239" s="1">
        <v>752000</v>
      </c>
      <c r="N2239">
        <v>4.4000000000000004</v>
      </c>
      <c r="O2239">
        <v>13</v>
      </c>
      <c r="P2239" s="2" t="s">
        <v>26</v>
      </c>
    </row>
    <row r="2240" spans="1:16" x14ac:dyDescent="0.25">
      <c r="A2240" s="2" t="s">
        <v>7495</v>
      </c>
      <c r="B2240" s="2" t="s">
        <v>5522</v>
      </c>
      <c r="C2240" s="2" t="s">
        <v>29</v>
      </c>
      <c r="D2240" s="2" t="s">
        <v>79</v>
      </c>
      <c r="E2240" s="2" t="s">
        <v>20</v>
      </c>
      <c r="F2240" s="2" t="s">
        <v>39</v>
      </c>
      <c r="G2240" s="2" t="s">
        <v>22</v>
      </c>
      <c r="H2240" s="2" t="s">
        <v>62</v>
      </c>
      <c r="I2240" s="2" t="s">
        <v>57</v>
      </c>
      <c r="J2240" s="2" t="s">
        <v>526</v>
      </c>
      <c r="K2240" s="2" t="s">
        <v>2296</v>
      </c>
      <c r="L2240">
        <v>4</v>
      </c>
      <c r="M2240" s="1">
        <v>102000</v>
      </c>
      <c r="N2240">
        <v>4.7</v>
      </c>
      <c r="O2240">
        <v>9</v>
      </c>
      <c r="P2240" s="2" t="s">
        <v>72</v>
      </c>
    </row>
    <row r="2241" spans="1:16" x14ac:dyDescent="0.25">
      <c r="A2241" s="2" t="s">
        <v>7496</v>
      </c>
      <c r="B2241" s="2" t="s">
        <v>434</v>
      </c>
      <c r="C2241" s="2" t="s">
        <v>29</v>
      </c>
      <c r="D2241" s="2" t="s">
        <v>50</v>
      </c>
      <c r="E2241" s="2" t="s">
        <v>31</v>
      </c>
      <c r="F2241" s="2" t="s">
        <v>39</v>
      </c>
      <c r="G2241" s="2" t="s">
        <v>80</v>
      </c>
      <c r="H2241" s="2" t="s">
        <v>23</v>
      </c>
      <c r="I2241" s="2" t="s">
        <v>75</v>
      </c>
      <c r="J2241" s="2" t="s">
        <v>5211</v>
      </c>
      <c r="K2241" s="2" t="s">
        <v>2224</v>
      </c>
      <c r="L2241">
        <v>4</v>
      </c>
      <c r="M2241" s="1">
        <v>151000</v>
      </c>
      <c r="N2241">
        <v>2.8</v>
      </c>
      <c r="O2241">
        <v>10</v>
      </c>
      <c r="P2241" s="2" t="s">
        <v>26</v>
      </c>
    </row>
    <row r="2242" spans="1:16" x14ac:dyDescent="0.25">
      <c r="A2242" s="2" t="s">
        <v>7497</v>
      </c>
      <c r="B2242" s="2" t="s">
        <v>7498</v>
      </c>
      <c r="C2242" s="2" t="s">
        <v>29</v>
      </c>
      <c r="D2242" s="2" t="s">
        <v>19</v>
      </c>
      <c r="E2242" s="2" t="s">
        <v>44</v>
      </c>
      <c r="F2242" s="2" t="s">
        <v>39</v>
      </c>
      <c r="G2242" s="2" t="s">
        <v>80</v>
      </c>
      <c r="H2242" s="2" t="s">
        <v>23</v>
      </c>
      <c r="I2242" s="2" t="s">
        <v>24</v>
      </c>
      <c r="J2242" s="2" t="s">
        <v>175</v>
      </c>
      <c r="K2242" s="2" t="s">
        <v>2224</v>
      </c>
      <c r="L2242">
        <v>6</v>
      </c>
      <c r="M2242" s="1">
        <v>160000</v>
      </c>
      <c r="N2242">
        <v>4.5</v>
      </c>
      <c r="O2242">
        <v>7</v>
      </c>
      <c r="P2242" s="2" t="s">
        <v>26</v>
      </c>
    </row>
    <row r="2243" spans="1:16" x14ac:dyDescent="0.25">
      <c r="A2243" s="2" t="s">
        <v>7499</v>
      </c>
      <c r="B2243" s="2" t="s">
        <v>7419</v>
      </c>
      <c r="C2243" s="2" t="s">
        <v>18</v>
      </c>
      <c r="D2243" s="2" t="s">
        <v>79</v>
      </c>
      <c r="E2243" s="2" t="s">
        <v>20</v>
      </c>
      <c r="F2243" s="2" t="s">
        <v>32</v>
      </c>
      <c r="G2243" s="2" t="s">
        <v>22</v>
      </c>
      <c r="H2243" s="2" t="s">
        <v>34</v>
      </c>
      <c r="I2243" s="2" t="s">
        <v>24</v>
      </c>
      <c r="J2243" s="2" t="s">
        <v>2816</v>
      </c>
      <c r="K2243" s="2" t="s">
        <v>2224</v>
      </c>
      <c r="L2243">
        <v>6</v>
      </c>
      <c r="M2243" s="1">
        <v>323000</v>
      </c>
      <c r="N2243">
        <v>4.2</v>
      </c>
      <c r="O2243">
        <v>14</v>
      </c>
      <c r="P2243" s="2" t="s">
        <v>26</v>
      </c>
    </row>
    <row r="2244" spans="1:16" x14ac:dyDescent="0.25">
      <c r="A2244" s="2" t="s">
        <v>7500</v>
      </c>
      <c r="B2244" s="2" t="s">
        <v>5748</v>
      </c>
      <c r="C2244" s="2" t="s">
        <v>29</v>
      </c>
      <c r="D2244" s="2" t="s">
        <v>50</v>
      </c>
      <c r="E2244" s="2" t="s">
        <v>20</v>
      </c>
      <c r="F2244" s="2" t="s">
        <v>32</v>
      </c>
      <c r="G2244" s="2" t="s">
        <v>22</v>
      </c>
      <c r="H2244" s="2" t="s">
        <v>23</v>
      </c>
      <c r="I2244" s="2" t="s">
        <v>24</v>
      </c>
      <c r="J2244" s="2" t="s">
        <v>7435</v>
      </c>
      <c r="K2244" s="2" t="s">
        <v>2224</v>
      </c>
      <c r="L2244">
        <v>2</v>
      </c>
      <c r="M2244" s="1">
        <v>291000</v>
      </c>
      <c r="N2244">
        <v>3.7</v>
      </c>
      <c r="O2244">
        <v>11</v>
      </c>
      <c r="P2244" s="2" t="s">
        <v>26</v>
      </c>
    </row>
    <row r="2245" spans="1:16" x14ac:dyDescent="0.25">
      <c r="A2245" s="2" t="s">
        <v>7501</v>
      </c>
      <c r="B2245" s="2" t="s">
        <v>7502</v>
      </c>
      <c r="C2245" s="2" t="s">
        <v>18</v>
      </c>
      <c r="D2245" s="2" t="s">
        <v>79</v>
      </c>
      <c r="E2245" s="2" t="s">
        <v>20</v>
      </c>
      <c r="F2245" s="2" t="s">
        <v>128</v>
      </c>
      <c r="G2245" s="2" t="s">
        <v>33</v>
      </c>
      <c r="H2245" s="2" t="s">
        <v>34</v>
      </c>
      <c r="I2245" s="2" t="s">
        <v>24</v>
      </c>
      <c r="J2245" s="2" t="s">
        <v>3821</v>
      </c>
      <c r="K2245" s="2" t="s">
        <v>2224</v>
      </c>
      <c r="L2245">
        <v>5</v>
      </c>
      <c r="M2245" s="1">
        <v>380000</v>
      </c>
      <c r="N2245">
        <v>2.1</v>
      </c>
      <c r="O2245">
        <v>13</v>
      </c>
      <c r="P2245" s="2" t="s">
        <v>26</v>
      </c>
    </row>
    <row r="2246" spans="1:16" x14ac:dyDescent="0.25">
      <c r="A2246" s="2" t="s">
        <v>7503</v>
      </c>
      <c r="B2246" s="2" t="s">
        <v>6550</v>
      </c>
      <c r="C2246" s="2" t="s">
        <v>18</v>
      </c>
      <c r="D2246" s="2" t="s">
        <v>50</v>
      </c>
      <c r="E2246" s="2" t="s">
        <v>20</v>
      </c>
      <c r="F2246" s="2" t="s">
        <v>39</v>
      </c>
      <c r="G2246" s="2" t="s">
        <v>22</v>
      </c>
      <c r="H2246" s="2" t="s">
        <v>62</v>
      </c>
      <c r="I2246" s="2" t="s">
        <v>57</v>
      </c>
      <c r="J2246" s="2" t="s">
        <v>3855</v>
      </c>
      <c r="K2246" s="2" t="s">
        <v>2224</v>
      </c>
      <c r="L2246">
        <v>2</v>
      </c>
      <c r="M2246" s="1">
        <v>171000</v>
      </c>
      <c r="N2246">
        <v>3.4</v>
      </c>
      <c r="O2246">
        <v>0</v>
      </c>
      <c r="P2246" s="2" t="s">
        <v>26</v>
      </c>
    </row>
    <row r="2247" spans="1:16" x14ac:dyDescent="0.25">
      <c r="A2247" s="2" t="s">
        <v>7504</v>
      </c>
      <c r="B2247" s="2" t="s">
        <v>2074</v>
      </c>
      <c r="C2247" s="2" t="s">
        <v>29</v>
      </c>
      <c r="D2247" s="2" t="s">
        <v>19</v>
      </c>
      <c r="E2247" s="2" t="s">
        <v>44</v>
      </c>
      <c r="F2247" s="2" t="s">
        <v>32</v>
      </c>
      <c r="G2247" s="2" t="s">
        <v>80</v>
      </c>
      <c r="H2247" s="2" t="s">
        <v>23</v>
      </c>
      <c r="I2247" s="2" t="s">
        <v>35</v>
      </c>
      <c r="J2247" s="2" t="s">
        <v>2695</v>
      </c>
      <c r="K2247" s="2" t="s">
        <v>2224</v>
      </c>
      <c r="L2247">
        <v>6</v>
      </c>
      <c r="M2247" s="1">
        <v>385000</v>
      </c>
      <c r="N2247">
        <v>4.9000000000000004</v>
      </c>
      <c r="O2247">
        <v>8</v>
      </c>
      <c r="P2247" s="2" t="s">
        <v>72</v>
      </c>
    </row>
    <row r="2248" spans="1:16" x14ac:dyDescent="0.25">
      <c r="A2248" s="2" t="s">
        <v>7505</v>
      </c>
      <c r="B2248" s="2" t="s">
        <v>2632</v>
      </c>
      <c r="C2248" s="2" t="s">
        <v>18</v>
      </c>
      <c r="D2248" s="2" t="s">
        <v>50</v>
      </c>
      <c r="E2248" s="2" t="s">
        <v>20</v>
      </c>
      <c r="F2248" s="2" t="s">
        <v>128</v>
      </c>
      <c r="G2248" s="2" t="s">
        <v>80</v>
      </c>
      <c r="H2248" s="2" t="s">
        <v>23</v>
      </c>
      <c r="I2248" s="2" t="s">
        <v>24</v>
      </c>
      <c r="J2248" s="2" t="s">
        <v>7506</v>
      </c>
      <c r="K2248" s="2" t="s">
        <v>387</v>
      </c>
      <c r="L2248">
        <v>2</v>
      </c>
      <c r="M2248" s="1">
        <v>370000</v>
      </c>
      <c r="N2248">
        <v>4.0999999999999996</v>
      </c>
      <c r="O2248">
        <v>0</v>
      </c>
      <c r="P2248" s="2" t="s">
        <v>26</v>
      </c>
    </row>
    <row r="2249" spans="1:16" x14ac:dyDescent="0.25">
      <c r="A2249" s="2" t="s">
        <v>7508</v>
      </c>
      <c r="B2249" s="2" t="s">
        <v>4795</v>
      </c>
      <c r="C2249" s="2" t="s">
        <v>18</v>
      </c>
      <c r="D2249" s="2" t="s">
        <v>19</v>
      </c>
      <c r="E2249" s="2" t="s">
        <v>20</v>
      </c>
      <c r="F2249" s="2" t="s">
        <v>32</v>
      </c>
      <c r="G2249" s="2" t="s">
        <v>22</v>
      </c>
      <c r="H2249" s="2" t="s">
        <v>23</v>
      </c>
      <c r="I2249" s="2" t="s">
        <v>35</v>
      </c>
      <c r="J2249" s="2" t="s">
        <v>7509</v>
      </c>
      <c r="K2249" s="2" t="s">
        <v>387</v>
      </c>
      <c r="L2249">
        <v>6</v>
      </c>
      <c r="M2249" s="1">
        <v>241000</v>
      </c>
      <c r="N2249">
        <v>4.9000000000000004</v>
      </c>
      <c r="O2249">
        <v>8</v>
      </c>
      <c r="P2249" s="2" t="s">
        <v>26</v>
      </c>
    </row>
    <row r="2250" spans="1:16" x14ac:dyDescent="0.25">
      <c r="A2250" s="2" t="s">
        <v>7510</v>
      </c>
      <c r="B2250" s="2" t="s">
        <v>5024</v>
      </c>
      <c r="C2250" s="2" t="s">
        <v>18</v>
      </c>
      <c r="D2250" s="2" t="s">
        <v>19</v>
      </c>
      <c r="E2250" s="2" t="s">
        <v>20</v>
      </c>
      <c r="F2250" s="2" t="s">
        <v>32</v>
      </c>
      <c r="G2250" s="2" t="s">
        <v>80</v>
      </c>
      <c r="H2250" s="2" t="s">
        <v>23</v>
      </c>
      <c r="I2250" s="2" t="s">
        <v>24</v>
      </c>
      <c r="J2250" s="2" t="s">
        <v>2498</v>
      </c>
      <c r="K2250" s="2" t="s">
        <v>387</v>
      </c>
      <c r="L2250">
        <v>6</v>
      </c>
      <c r="M2250" s="1">
        <v>325000</v>
      </c>
      <c r="N2250">
        <v>2.4</v>
      </c>
      <c r="O2250">
        <v>11</v>
      </c>
      <c r="P2250" s="2" t="s">
        <v>26</v>
      </c>
    </row>
    <row r="2251" spans="1:16" x14ac:dyDescent="0.25">
      <c r="A2251" s="2" t="s">
        <v>7513</v>
      </c>
      <c r="B2251" s="2" t="s">
        <v>7514</v>
      </c>
      <c r="C2251" s="2" t="s">
        <v>18</v>
      </c>
      <c r="D2251" s="2" t="s">
        <v>30</v>
      </c>
      <c r="E2251" s="2" t="s">
        <v>20</v>
      </c>
      <c r="F2251" s="2" t="s">
        <v>21</v>
      </c>
      <c r="G2251" s="2" t="s">
        <v>80</v>
      </c>
      <c r="H2251" s="2" t="s">
        <v>23</v>
      </c>
      <c r="I2251" s="2" t="s">
        <v>35</v>
      </c>
      <c r="J2251" s="2" t="s">
        <v>1967</v>
      </c>
      <c r="K2251" s="2" t="s">
        <v>387</v>
      </c>
      <c r="L2251">
        <v>6</v>
      </c>
      <c r="M2251" s="1">
        <v>697000</v>
      </c>
      <c r="N2251">
        <v>3.3</v>
      </c>
      <c r="O2251">
        <v>13</v>
      </c>
      <c r="P2251" s="2" t="s">
        <v>53</v>
      </c>
    </row>
    <row r="2252" spans="1:16" x14ac:dyDescent="0.25">
      <c r="A2252" s="2" t="s">
        <v>7515</v>
      </c>
      <c r="B2252" s="2" t="s">
        <v>928</v>
      </c>
      <c r="C2252" s="2" t="s">
        <v>18</v>
      </c>
      <c r="D2252" s="2" t="s">
        <v>50</v>
      </c>
      <c r="E2252" s="2" t="s">
        <v>44</v>
      </c>
      <c r="F2252" s="2" t="s">
        <v>32</v>
      </c>
      <c r="G2252" s="2" t="s">
        <v>33</v>
      </c>
      <c r="H2252" s="2" t="s">
        <v>23</v>
      </c>
      <c r="I2252" s="2" t="s">
        <v>24</v>
      </c>
      <c r="J2252" s="2" t="s">
        <v>1534</v>
      </c>
      <c r="K2252" s="2" t="s">
        <v>7517</v>
      </c>
      <c r="L2252">
        <v>6</v>
      </c>
      <c r="M2252" s="1">
        <v>283000</v>
      </c>
      <c r="N2252">
        <v>3.4</v>
      </c>
      <c r="O2252">
        <v>0</v>
      </c>
      <c r="P2252" s="2" t="s">
        <v>26</v>
      </c>
    </row>
    <row r="2253" spans="1:16" x14ac:dyDescent="0.25">
      <c r="A2253" s="2" t="s">
        <v>7516</v>
      </c>
      <c r="B2253" s="2" t="s">
        <v>3339</v>
      </c>
      <c r="C2253" s="2" t="s">
        <v>29</v>
      </c>
      <c r="D2253" s="2" t="s">
        <v>43</v>
      </c>
      <c r="E2253" s="2" t="s">
        <v>20</v>
      </c>
      <c r="F2253" s="2" t="s">
        <v>32</v>
      </c>
      <c r="G2253" s="2" t="s">
        <v>80</v>
      </c>
      <c r="H2253" s="2" t="s">
        <v>46</v>
      </c>
      <c r="I2253" s="2" t="s">
        <v>35</v>
      </c>
      <c r="J2253" s="2" t="s">
        <v>1294</v>
      </c>
      <c r="K2253" s="2" t="s">
        <v>7517</v>
      </c>
      <c r="L2253">
        <v>2</v>
      </c>
      <c r="M2253" s="1">
        <v>237000</v>
      </c>
      <c r="N2253">
        <v>2.7</v>
      </c>
      <c r="O2253">
        <v>5</v>
      </c>
      <c r="P2253" s="2" t="s">
        <v>53</v>
      </c>
    </row>
    <row r="2254" spans="1:16" x14ac:dyDescent="0.25">
      <c r="A2254" s="2" t="s">
        <v>7518</v>
      </c>
      <c r="B2254" s="2" t="s">
        <v>4046</v>
      </c>
      <c r="C2254" s="2" t="s">
        <v>18</v>
      </c>
      <c r="D2254" s="2" t="s">
        <v>50</v>
      </c>
      <c r="E2254" s="2" t="s">
        <v>20</v>
      </c>
      <c r="F2254" s="2" t="s">
        <v>32</v>
      </c>
      <c r="G2254" s="2" t="s">
        <v>22</v>
      </c>
      <c r="H2254" s="2" t="s">
        <v>62</v>
      </c>
      <c r="I2254" s="2" t="s">
        <v>24</v>
      </c>
      <c r="J2254" s="2" t="s">
        <v>1617</v>
      </c>
      <c r="K2254" s="2" t="s">
        <v>2502</v>
      </c>
      <c r="L2254">
        <v>6</v>
      </c>
      <c r="M2254" s="1">
        <v>216000</v>
      </c>
      <c r="N2254">
        <v>2.2000000000000002</v>
      </c>
      <c r="O2254">
        <v>36</v>
      </c>
      <c r="P2254" s="2" t="s">
        <v>72</v>
      </c>
    </row>
    <row r="2255" spans="1:16" x14ac:dyDescent="0.25">
      <c r="A2255" s="2" t="s">
        <v>7519</v>
      </c>
      <c r="B2255" s="2" t="s">
        <v>6546</v>
      </c>
      <c r="C2255" s="2" t="s">
        <v>29</v>
      </c>
      <c r="D2255" s="2" t="s">
        <v>50</v>
      </c>
      <c r="E2255" s="2" t="s">
        <v>20</v>
      </c>
      <c r="F2255" s="2" t="s">
        <v>128</v>
      </c>
      <c r="G2255" s="2" t="s">
        <v>80</v>
      </c>
      <c r="H2255" s="2" t="s">
        <v>23</v>
      </c>
      <c r="I2255" s="2" t="s">
        <v>24</v>
      </c>
      <c r="J2255" s="2" t="s">
        <v>7520</v>
      </c>
      <c r="K2255" s="2" t="s">
        <v>7521</v>
      </c>
      <c r="L2255">
        <v>6</v>
      </c>
      <c r="M2255" s="1">
        <v>475000</v>
      </c>
      <c r="N2255">
        <v>4.9000000000000004</v>
      </c>
      <c r="O2255">
        <v>6</v>
      </c>
      <c r="P2255" s="2" t="s">
        <v>114</v>
      </c>
    </row>
    <row r="2256" spans="1:16" x14ac:dyDescent="0.25">
      <c r="A2256" s="2" t="s">
        <v>7525</v>
      </c>
      <c r="B2256" s="2" t="s">
        <v>4733</v>
      </c>
      <c r="C2256" s="2" t="s">
        <v>29</v>
      </c>
      <c r="D2256" s="2" t="s">
        <v>30</v>
      </c>
      <c r="E2256" s="2" t="s">
        <v>44</v>
      </c>
      <c r="F2256" s="2" t="s">
        <v>39</v>
      </c>
      <c r="G2256" s="2" t="s">
        <v>22</v>
      </c>
      <c r="H2256" s="2" t="s">
        <v>34</v>
      </c>
      <c r="I2256" s="2" t="s">
        <v>24</v>
      </c>
      <c r="J2256" s="2" t="s">
        <v>6767</v>
      </c>
      <c r="K2256" s="2" t="s">
        <v>7537</v>
      </c>
      <c r="L2256">
        <v>2</v>
      </c>
      <c r="M2256" s="1">
        <v>146000</v>
      </c>
      <c r="N2256">
        <v>2</v>
      </c>
      <c r="O2256">
        <v>0</v>
      </c>
      <c r="P2256" s="2" t="s">
        <v>26</v>
      </c>
    </row>
    <row r="2257" spans="1:16" x14ac:dyDescent="0.25">
      <c r="A2257" s="2" t="s">
        <v>7529</v>
      </c>
      <c r="B2257" s="2" t="s">
        <v>7530</v>
      </c>
      <c r="C2257" s="2" t="s">
        <v>29</v>
      </c>
      <c r="D2257" s="2" t="s">
        <v>79</v>
      </c>
      <c r="E2257" s="2" t="s">
        <v>31</v>
      </c>
      <c r="F2257" s="2" t="s">
        <v>128</v>
      </c>
      <c r="G2257" s="2" t="s">
        <v>80</v>
      </c>
      <c r="H2257" s="2" t="s">
        <v>34</v>
      </c>
      <c r="I2257" s="2" t="s">
        <v>35</v>
      </c>
      <c r="J2257" s="2" t="s">
        <v>1642</v>
      </c>
      <c r="K2257" s="2" t="s">
        <v>7537</v>
      </c>
      <c r="L2257">
        <v>7</v>
      </c>
      <c r="M2257" s="1">
        <v>477000</v>
      </c>
      <c r="N2257">
        <v>3.9</v>
      </c>
      <c r="O2257">
        <v>12</v>
      </c>
      <c r="P2257" s="2" t="s">
        <v>26</v>
      </c>
    </row>
    <row r="2258" spans="1:16" x14ac:dyDescent="0.25">
      <c r="A2258" s="2" t="s">
        <v>7531</v>
      </c>
      <c r="B2258" s="2" t="s">
        <v>7532</v>
      </c>
      <c r="C2258" s="2" t="s">
        <v>29</v>
      </c>
      <c r="D2258" s="2" t="s">
        <v>50</v>
      </c>
      <c r="E2258" s="2" t="s">
        <v>20</v>
      </c>
      <c r="F2258" s="2" t="s">
        <v>128</v>
      </c>
      <c r="G2258" s="2" t="s">
        <v>22</v>
      </c>
      <c r="H2258" s="2" t="s">
        <v>34</v>
      </c>
      <c r="I2258" s="2" t="s">
        <v>24</v>
      </c>
      <c r="J2258" s="2" t="s">
        <v>2643</v>
      </c>
      <c r="K2258" s="2" t="s">
        <v>7537</v>
      </c>
      <c r="L2258">
        <v>4</v>
      </c>
      <c r="M2258" s="1">
        <v>464000</v>
      </c>
      <c r="N2258">
        <v>3.9</v>
      </c>
      <c r="O2258">
        <v>7</v>
      </c>
      <c r="P2258" s="2" t="s">
        <v>26</v>
      </c>
    </row>
    <row r="2259" spans="1:16" x14ac:dyDescent="0.25">
      <c r="A2259" s="2" t="s">
        <v>7534</v>
      </c>
      <c r="B2259" s="2" t="s">
        <v>2242</v>
      </c>
      <c r="C2259" s="2" t="s">
        <v>29</v>
      </c>
      <c r="D2259" s="2" t="s">
        <v>50</v>
      </c>
      <c r="E2259" s="2" t="s">
        <v>20</v>
      </c>
      <c r="F2259" s="2" t="s">
        <v>32</v>
      </c>
      <c r="G2259" s="2" t="s">
        <v>33</v>
      </c>
      <c r="H2259" s="2" t="s">
        <v>34</v>
      </c>
      <c r="I2259" s="2" t="s">
        <v>24</v>
      </c>
      <c r="J2259" s="2" t="s">
        <v>2768</v>
      </c>
      <c r="K2259" s="2" t="s">
        <v>7537</v>
      </c>
      <c r="L2259">
        <v>4</v>
      </c>
      <c r="M2259" s="1">
        <v>329000</v>
      </c>
      <c r="N2259">
        <v>4.2</v>
      </c>
      <c r="O2259">
        <v>1</v>
      </c>
      <c r="P2259" s="2" t="s">
        <v>26</v>
      </c>
    </row>
    <row r="2260" spans="1:16" x14ac:dyDescent="0.25">
      <c r="A2260" s="2" t="s">
        <v>7535</v>
      </c>
      <c r="B2260" s="2" t="s">
        <v>3998</v>
      </c>
      <c r="C2260" s="2" t="s">
        <v>29</v>
      </c>
      <c r="D2260" s="2" t="s">
        <v>43</v>
      </c>
      <c r="E2260" s="2" t="s">
        <v>20</v>
      </c>
      <c r="F2260" s="2" t="s">
        <v>128</v>
      </c>
      <c r="G2260" s="2" t="s">
        <v>22</v>
      </c>
      <c r="H2260" s="2" t="s">
        <v>34</v>
      </c>
      <c r="I2260" s="2" t="s">
        <v>24</v>
      </c>
      <c r="J2260" s="2" t="s">
        <v>5882</v>
      </c>
      <c r="K2260" s="2" t="s">
        <v>7537</v>
      </c>
      <c r="L2260">
        <v>5</v>
      </c>
      <c r="M2260" s="1">
        <v>373000</v>
      </c>
      <c r="N2260">
        <v>3.2</v>
      </c>
      <c r="O2260">
        <v>33</v>
      </c>
      <c r="P2260" s="2" t="s">
        <v>26</v>
      </c>
    </row>
    <row r="2261" spans="1:16" x14ac:dyDescent="0.25">
      <c r="A2261" s="2" t="s">
        <v>7536</v>
      </c>
      <c r="B2261" s="2" t="s">
        <v>509</v>
      </c>
      <c r="C2261" s="2" t="s">
        <v>29</v>
      </c>
      <c r="D2261" s="2" t="s">
        <v>30</v>
      </c>
      <c r="E2261" s="2" t="s">
        <v>44</v>
      </c>
      <c r="F2261" s="2" t="s">
        <v>128</v>
      </c>
      <c r="G2261" s="2" t="s">
        <v>22</v>
      </c>
      <c r="H2261" s="2" t="s">
        <v>34</v>
      </c>
      <c r="I2261" s="2" t="s">
        <v>57</v>
      </c>
      <c r="J2261" s="2" t="s">
        <v>4635</v>
      </c>
      <c r="K2261" s="2" t="s">
        <v>7537</v>
      </c>
      <c r="L2261">
        <v>5</v>
      </c>
      <c r="M2261" s="1">
        <v>399000</v>
      </c>
      <c r="N2261">
        <v>2.2999999999999998</v>
      </c>
      <c r="O2261">
        <v>7</v>
      </c>
      <c r="P2261" s="2" t="s">
        <v>53</v>
      </c>
    </row>
    <row r="2262" spans="1:16" x14ac:dyDescent="0.25">
      <c r="A2262" s="2" t="s">
        <v>7539</v>
      </c>
      <c r="B2262" s="2" t="s">
        <v>3342</v>
      </c>
      <c r="C2262" s="2" t="s">
        <v>29</v>
      </c>
      <c r="D2262" s="2" t="s">
        <v>50</v>
      </c>
      <c r="E2262" s="2" t="s">
        <v>31</v>
      </c>
      <c r="F2262" s="2" t="s">
        <v>128</v>
      </c>
      <c r="G2262" s="2" t="s">
        <v>22</v>
      </c>
      <c r="H2262" s="2" t="s">
        <v>46</v>
      </c>
      <c r="I2262" s="2" t="s">
        <v>35</v>
      </c>
      <c r="J2262" s="2" t="s">
        <v>132</v>
      </c>
      <c r="K2262" s="2" t="s">
        <v>5143</v>
      </c>
      <c r="L2262">
        <v>3</v>
      </c>
      <c r="M2262" s="1">
        <v>527000</v>
      </c>
      <c r="N2262">
        <v>2.2000000000000002</v>
      </c>
      <c r="O2262">
        <v>0</v>
      </c>
      <c r="P2262" s="2" t="s">
        <v>53</v>
      </c>
    </row>
    <row r="2263" spans="1:16" x14ac:dyDescent="0.25">
      <c r="A2263" s="2" t="s">
        <v>7543</v>
      </c>
      <c r="B2263" s="2" t="s">
        <v>7544</v>
      </c>
      <c r="C2263" s="2" t="s">
        <v>18</v>
      </c>
      <c r="D2263" s="2" t="s">
        <v>50</v>
      </c>
      <c r="E2263" s="2" t="s">
        <v>20</v>
      </c>
      <c r="F2263" s="2" t="s">
        <v>39</v>
      </c>
      <c r="G2263" s="2" t="s">
        <v>22</v>
      </c>
      <c r="H2263" s="2" t="s">
        <v>34</v>
      </c>
      <c r="I2263" s="2" t="s">
        <v>57</v>
      </c>
      <c r="J2263" s="2" t="s">
        <v>628</v>
      </c>
      <c r="K2263" s="2" t="s">
        <v>2182</v>
      </c>
      <c r="L2263">
        <v>3</v>
      </c>
      <c r="M2263" s="1">
        <v>159000</v>
      </c>
      <c r="N2263">
        <v>4.4000000000000004</v>
      </c>
      <c r="O2263">
        <v>6</v>
      </c>
      <c r="P2263" s="2" t="s">
        <v>53</v>
      </c>
    </row>
    <row r="2264" spans="1:16" x14ac:dyDescent="0.25">
      <c r="A2264" s="2" t="s">
        <v>7546</v>
      </c>
      <c r="B2264" s="2" t="s">
        <v>3442</v>
      </c>
      <c r="C2264" s="2" t="s">
        <v>29</v>
      </c>
      <c r="D2264" s="2" t="s">
        <v>30</v>
      </c>
      <c r="E2264" s="2" t="s">
        <v>20</v>
      </c>
      <c r="F2264" s="2" t="s">
        <v>39</v>
      </c>
      <c r="G2264" s="2" t="s">
        <v>80</v>
      </c>
      <c r="H2264" s="2" t="s">
        <v>46</v>
      </c>
      <c r="I2264" s="2" t="s">
        <v>24</v>
      </c>
      <c r="J2264" s="2" t="s">
        <v>1629</v>
      </c>
      <c r="K2264" s="2" t="s">
        <v>2625</v>
      </c>
      <c r="L2264">
        <v>4</v>
      </c>
      <c r="M2264" s="1">
        <v>178000</v>
      </c>
      <c r="N2264">
        <v>2.1</v>
      </c>
      <c r="O2264">
        <v>13</v>
      </c>
      <c r="P2264" s="2" t="s">
        <v>26</v>
      </c>
    </row>
    <row r="2265" spans="1:16" x14ac:dyDescent="0.25">
      <c r="A2265" s="2" t="s">
        <v>7547</v>
      </c>
      <c r="B2265" s="2" t="s">
        <v>4991</v>
      </c>
      <c r="C2265" s="2" t="s">
        <v>18</v>
      </c>
      <c r="D2265" s="2" t="s">
        <v>30</v>
      </c>
      <c r="E2265" s="2" t="s">
        <v>44</v>
      </c>
      <c r="F2265" s="2" t="s">
        <v>39</v>
      </c>
      <c r="G2265" s="2" t="s">
        <v>33</v>
      </c>
      <c r="H2265" s="2" t="s">
        <v>46</v>
      </c>
      <c r="I2265" s="2" t="s">
        <v>57</v>
      </c>
      <c r="J2265" s="2" t="s">
        <v>1817</v>
      </c>
      <c r="K2265" s="2" t="s">
        <v>2625</v>
      </c>
      <c r="L2265">
        <v>5</v>
      </c>
      <c r="M2265" s="1">
        <v>141000</v>
      </c>
      <c r="N2265">
        <v>2.7</v>
      </c>
      <c r="O2265">
        <v>13</v>
      </c>
      <c r="P2265" s="2" t="s">
        <v>53</v>
      </c>
    </row>
    <row r="2266" spans="1:16" x14ac:dyDescent="0.25">
      <c r="A2266" s="2" t="s">
        <v>7548</v>
      </c>
      <c r="B2266" s="2" t="s">
        <v>7549</v>
      </c>
      <c r="C2266" s="2" t="s">
        <v>29</v>
      </c>
      <c r="D2266" s="2" t="s">
        <v>30</v>
      </c>
      <c r="E2266" s="2" t="s">
        <v>20</v>
      </c>
      <c r="F2266" s="2" t="s">
        <v>32</v>
      </c>
      <c r="G2266" s="2" t="s">
        <v>22</v>
      </c>
      <c r="H2266" s="2" t="s">
        <v>46</v>
      </c>
      <c r="I2266" s="2" t="s">
        <v>75</v>
      </c>
      <c r="J2266" s="2" t="s">
        <v>3657</v>
      </c>
      <c r="K2266" s="2" t="s">
        <v>2071</v>
      </c>
      <c r="L2266">
        <v>4</v>
      </c>
      <c r="M2266" s="1">
        <v>340000</v>
      </c>
      <c r="N2266">
        <v>3.4</v>
      </c>
      <c r="O2266">
        <v>0</v>
      </c>
      <c r="P2266" s="2" t="s">
        <v>26</v>
      </c>
    </row>
    <row r="2267" spans="1:16" x14ac:dyDescent="0.25">
      <c r="A2267" s="2" t="s">
        <v>7550</v>
      </c>
      <c r="B2267" s="2" t="s">
        <v>7551</v>
      </c>
      <c r="C2267" s="2" t="s">
        <v>18</v>
      </c>
      <c r="D2267" s="2" t="s">
        <v>50</v>
      </c>
      <c r="E2267" s="2" t="s">
        <v>20</v>
      </c>
      <c r="F2267" s="2" t="s">
        <v>32</v>
      </c>
      <c r="G2267" s="2" t="s">
        <v>33</v>
      </c>
      <c r="H2267" s="2" t="s">
        <v>62</v>
      </c>
      <c r="I2267" s="2" t="s">
        <v>24</v>
      </c>
      <c r="J2267" s="2" t="s">
        <v>2850</v>
      </c>
      <c r="K2267" s="2" t="s">
        <v>2071</v>
      </c>
      <c r="L2267">
        <v>5</v>
      </c>
      <c r="M2267" s="1">
        <v>189000</v>
      </c>
      <c r="N2267">
        <v>2.2999999999999998</v>
      </c>
      <c r="O2267">
        <v>4</v>
      </c>
      <c r="P2267" s="2" t="s">
        <v>53</v>
      </c>
    </row>
    <row r="2268" spans="1:16" x14ac:dyDescent="0.25">
      <c r="A2268" s="2" t="s">
        <v>7552</v>
      </c>
      <c r="B2268" s="2" t="s">
        <v>7553</v>
      </c>
      <c r="C2268" s="2" t="s">
        <v>18</v>
      </c>
      <c r="D2268" s="2" t="s">
        <v>50</v>
      </c>
      <c r="E2268" s="2" t="s">
        <v>20</v>
      </c>
      <c r="F2268" s="2" t="s">
        <v>32</v>
      </c>
      <c r="G2268" s="2" t="s">
        <v>22</v>
      </c>
      <c r="H2268" s="2" t="s">
        <v>46</v>
      </c>
      <c r="I2268" s="2" t="s">
        <v>171</v>
      </c>
      <c r="J2268" s="2" t="s">
        <v>235</v>
      </c>
      <c r="K2268" s="2" t="s">
        <v>5510</v>
      </c>
      <c r="L2268">
        <v>3</v>
      </c>
      <c r="M2268" s="1">
        <v>332000</v>
      </c>
      <c r="N2268">
        <v>4</v>
      </c>
      <c r="O2268">
        <v>3</v>
      </c>
      <c r="P2268" s="2" t="s">
        <v>26</v>
      </c>
    </row>
    <row r="2269" spans="1:16" x14ac:dyDescent="0.25">
      <c r="A2269" s="2" t="s">
        <v>7554</v>
      </c>
      <c r="B2269" s="2" t="s">
        <v>7555</v>
      </c>
      <c r="C2269" s="2" t="s">
        <v>18</v>
      </c>
      <c r="D2269" s="2" t="s">
        <v>43</v>
      </c>
      <c r="E2269" s="2" t="s">
        <v>31</v>
      </c>
      <c r="F2269" s="2" t="s">
        <v>39</v>
      </c>
      <c r="G2269" s="2" t="s">
        <v>69</v>
      </c>
      <c r="H2269" s="2" t="s">
        <v>46</v>
      </c>
      <c r="I2269" s="2" t="s">
        <v>35</v>
      </c>
      <c r="J2269" s="2" t="s">
        <v>339</v>
      </c>
      <c r="K2269" s="2" t="s">
        <v>5510</v>
      </c>
      <c r="L2269">
        <v>3</v>
      </c>
      <c r="M2269" s="1">
        <v>114000</v>
      </c>
      <c r="N2269">
        <v>3.1</v>
      </c>
      <c r="O2269">
        <v>4</v>
      </c>
      <c r="P2269" s="2" t="s">
        <v>26</v>
      </c>
    </row>
    <row r="2270" spans="1:16" x14ac:dyDescent="0.25">
      <c r="A2270" s="2" t="s">
        <v>7556</v>
      </c>
      <c r="B2270" s="2" t="s">
        <v>7557</v>
      </c>
      <c r="C2270" s="2" t="s">
        <v>18</v>
      </c>
      <c r="D2270" s="2" t="s">
        <v>19</v>
      </c>
      <c r="E2270" s="2" t="s">
        <v>44</v>
      </c>
      <c r="F2270" s="2" t="s">
        <v>32</v>
      </c>
      <c r="G2270" s="2" t="s">
        <v>22</v>
      </c>
      <c r="H2270" s="2" t="s">
        <v>46</v>
      </c>
      <c r="I2270" s="2" t="s">
        <v>57</v>
      </c>
      <c r="J2270" s="2" t="s">
        <v>4845</v>
      </c>
      <c r="K2270" s="2" t="s">
        <v>5510</v>
      </c>
      <c r="L2270">
        <v>5</v>
      </c>
      <c r="M2270" s="1">
        <v>338000</v>
      </c>
      <c r="N2270">
        <v>3</v>
      </c>
      <c r="O2270">
        <v>0</v>
      </c>
      <c r="P2270" s="2" t="s">
        <v>26</v>
      </c>
    </row>
    <row r="2271" spans="1:16" x14ac:dyDescent="0.25">
      <c r="A2271" s="2" t="s">
        <v>7558</v>
      </c>
      <c r="B2271" s="2" t="s">
        <v>7559</v>
      </c>
      <c r="C2271" s="2" t="s">
        <v>29</v>
      </c>
      <c r="D2271" s="2" t="s">
        <v>43</v>
      </c>
      <c r="E2271" s="2" t="s">
        <v>20</v>
      </c>
      <c r="F2271" s="2" t="s">
        <v>128</v>
      </c>
      <c r="G2271" s="2" t="s">
        <v>22</v>
      </c>
      <c r="H2271" s="2" t="s">
        <v>34</v>
      </c>
      <c r="I2271" s="2" t="s">
        <v>75</v>
      </c>
      <c r="J2271" s="2" t="s">
        <v>5542</v>
      </c>
      <c r="K2271" s="2" t="s">
        <v>5510</v>
      </c>
      <c r="L2271">
        <v>6</v>
      </c>
      <c r="M2271" s="1">
        <v>512000</v>
      </c>
      <c r="N2271">
        <v>4.5</v>
      </c>
      <c r="O2271">
        <v>8</v>
      </c>
      <c r="P2271" s="2" t="s">
        <v>72</v>
      </c>
    </row>
    <row r="2272" spans="1:16" x14ac:dyDescent="0.25">
      <c r="A2272" s="2" t="s">
        <v>7565</v>
      </c>
      <c r="B2272" s="2" t="s">
        <v>7076</v>
      </c>
      <c r="C2272" s="2" t="s">
        <v>29</v>
      </c>
      <c r="D2272" s="2" t="s">
        <v>19</v>
      </c>
      <c r="E2272" s="2" t="s">
        <v>44</v>
      </c>
      <c r="F2272" s="2" t="s">
        <v>39</v>
      </c>
      <c r="G2272" s="2" t="s">
        <v>80</v>
      </c>
      <c r="H2272" s="2" t="s">
        <v>34</v>
      </c>
      <c r="I2272" s="2" t="s">
        <v>57</v>
      </c>
      <c r="J2272" s="2" t="s">
        <v>1194</v>
      </c>
      <c r="K2272" s="2" t="s">
        <v>7047</v>
      </c>
      <c r="L2272">
        <v>3</v>
      </c>
      <c r="M2272" s="1">
        <v>198000</v>
      </c>
      <c r="N2272">
        <v>3.1</v>
      </c>
      <c r="O2272">
        <v>4</v>
      </c>
      <c r="P2272" s="2" t="s">
        <v>26</v>
      </c>
    </row>
    <row r="2273" spans="1:16" x14ac:dyDescent="0.25">
      <c r="A2273" s="2" t="s">
        <v>7566</v>
      </c>
      <c r="B2273" s="2" t="s">
        <v>5210</v>
      </c>
      <c r="C2273" s="2" t="s">
        <v>18</v>
      </c>
      <c r="D2273" s="2" t="s">
        <v>79</v>
      </c>
      <c r="E2273" s="2" t="s">
        <v>20</v>
      </c>
      <c r="F2273" s="2" t="s">
        <v>128</v>
      </c>
      <c r="G2273" s="2" t="s">
        <v>22</v>
      </c>
      <c r="H2273" s="2" t="s">
        <v>23</v>
      </c>
      <c r="I2273" s="2" t="s">
        <v>57</v>
      </c>
      <c r="J2273" s="2" t="s">
        <v>682</v>
      </c>
      <c r="K2273" s="2" t="s">
        <v>7047</v>
      </c>
      <c r="L2273">
        <v>4</v>
      </c>
      <c r="M2273" s="1">
        <v>467000</v>
      </c>
      <c r="N2273">
        <v>3.8</v>
      </c>
      <c r="O2273">
        <v>8</v>
      </c>
      <c r="P2273" s="2" t="s">
        <v>26</v>
      </c>
    </row>
    <row r="2274" spans="1:16" x14ac:dyDescent="0.25">
      <c r="A2274" s="2" t="s">
        <v>7567</v>
      </c>
      <c r="B2274" s="2" t="s">
        <v>93</v>
      </c>
      <c r="C2274" s="2" t="s">
        <v>29</v>
      </c>
      <c r="D2274" s="2" t="s">
        <v>50</v>
      </c>
      <c r="E2274" s="2" t="s">
        <v>20</v>
      </c>
      <c r="F2274" s="2" t="s">
        <v>39</v>
      </c>
      <c r="G2274" s="2" t="s">
        <v>22</v>
      </c>
      <c r="H2274" s="2" t="s">
        <v>23</v>
      </c>
      <c r="I2274" s="2" t="s">
        <v>24</v>
      </c>
      <c r="J2274" s="2" t="s">
        <v>3078</v>
      </c>
      <c r="K2274" s="2" t="s">
        <v>7047</v>
      </c>
      <c r="L2274">
        <v>5</v>
      </c>
      <c r="M2274" s="1">
        <v>161000</v>
      </c>
      <c r="N2274">
        <v>4.5</v>
      </c>
      <c r="O2274">
        <v>10</v>
      </c>
      <c r="P2274" s="2" t="s">
        <v>26</v>
      </c>
    </row>
    <row r="2275" spans="1:16" x14ac:dyDescent="0.25">
      <c r="A2275" s="2" t="s">
        <v>7569</v>
      </c>
      <c r="B2275" s="2" t="s">
        <v>5632</v>
      </c>
      <c r="C2275" s="2" t="s">
        <v>29</v>
      </c>
      <c r="D2275" s="2" t="s">
        <v>79</v>
      </c>
      <c r="E2275" s="2" t="s">
        <v>20</v>
      </c>
      <c r="F2275" s="2" t="s">
        <v>128</v>
      </c>
      <c r="G2275" s="2" t="s">
        <v>33</v>
      </c>
      <c r="H2275" s="2" t="s">
        <v>62</v>
      </c>
      <c r="I2275" s="2" t="s">
        <v>35</v>
      </c>
      <c r="J2275" s="2" t="s">
        <v>98</v>
      </c>
      <c r="K2275" s="2" t="s">
        <v>7047</v>
      </c>
      <c r="L2275">
        <v>7</v>
      </c>
      <c r="M2275" s="1">
        <v>577000</v>
      </c>
      <c r="N2275">
        <v>2.2000000000000002</v>
      </c>
      <c r="O2275">
        <v>33</v>
      </c>
      <c r="P2275" s="2" t="s">
        <v>26</v>
      </c>
    </row>
    <row r="2276" spans="1:16" x14ac:dyDescent="0.25">
      <c r="A2276" s="2" t="s">
        <v>7570</v>
      </c>
      <c r="B2276" s="2" t="s">
        <v>7571</v>
      </c>
      <c r="C2276" s="2" t="s">
        <v>18</v>
      </c>
      <c r="D2276" s="2" t="s">
        <v>43</v>
      </c>
      <c r="E2276" s="2" t="s">
        <v>20</v>
      </c>
      <c r="F2276" s="2" t="s">
        <v>21</v>
      </c>
      <c r="G2276" s="2" t="s">
        <v>22</v>
      </c>
      <c r="H2276" s="2" t="s">
        <v>46</v>
      </c>
      <c r="I2276" s="2" t="s">
        <v>171</v>
      </c>
      <c r="J2276" s="2" t="s">
        <v>7572</v>
      </c>
      <c r="K2276" s="2" t="s">
        <v>7047</v>
      </c>
      <c r="L2276">
        <v>6</v>
      </c>
      <c r="M2276" s="1">
        <v>600000</v>
      </c>
      <c r="N2276">
        <v>4.0999999999999996</v>
      </c>
      <c r="O2276">
        <v>15</v>
      </c>
      <c r="P2276" s="2" t="s">
        <v>26</v>
      </c>
    </row>
    <row r="2277" spans="1:16" x14ac:dyDescent="0.25">
      <c r="A2277" s="2" t="s">
        <v>7573</v>
      </c>
      <c r="B2277" s="2" t="s">
        <v>4017</v>
      </c>
      <c r="C2277" s="2" t="s">
        <v>18</v>
      </c>
      <c r="D2277" s="2" t="s">
        <v>50</v>
      </c>
      <c r="E2277" s="2" t="s">
        <v>20</v>
      </c>
      <c r="F2277" s="2" t="s">
        <v>32</v>
      </c>
      <c r="G2277" s="2" t="s">
        <v>33</v>
      </c>
      <c r="H2277" s="2" t="s">
        <v>23</v>
      </c>
      <c r="I2277" s="2" t="s">
        <v>75</v>
      </c>
      <c r="J2277" s="2" t="s">
        <v>7574</v>
      </c>
      <c r="K2277" s="2" t="s">
        <v>7047</v>
      </c>
      <c r="L2277">
        <v>5</v>
      </c>
      <c r="M2277" s="1">
        <v>275000</v>
      </c>
      <c r="N2277">
        <v>4.5999999999999996</v>
      </c>
      <c r="O2277">
        <v>11</v>
      </c>
      <c r="P2277" s="2" t="s">
        <v>53</v>
      </c>
    </row>
    <row r="2278" spans="1:16" x14ac:dyDescent="0.25">
      <c r="A2278" s="2" t="s">
        <v>7580</v>
      </c>
      <c r="B2278" s="2" t="s">
        <v>5515</v>
      </c>
      <c r="C2278" s="2" t="s">
        <v>29</v>
      </c>
      <c r="D2278" s="2" t="s">
        <v>50</v>
      </c>
      <c r="E2278" s="2" t="s">
        <v>20</v>
      </c>
      <c r="F2278" s="2" t="s">
        <v>39</v>
      </c>
      <c r="G2278" s="2" t="s">
        <v>80</v>
      </c>
      <c r="H2278" s="2" t="s">
        <v>62</v>
      </c>
      <c r="I2278" s="2" t="s">
        <v>35</v>
      </c>
      <c r="J2278" s="2" t="s">
        <v>2476</v>
      </c>
      <c r="K2278" s="2" t="s">
        <v>7584</v>
      </c>
      <c r="L2278">
        <v>4</v>
      </c>
      <c r="M2278" s="1">
        <v>178000</v>
      </c>
      <c r="N2278">
        <v>2.5</v>
      </c>
      <c r="O2278">
        <v>12</v>
      </c>
      <c r="P2278" s="2" t="s">
        <v>26</v>
      </c>
    </row>
    <row r="2279" spans="1:16" x14ac:dyDescent="0.25">
      <c r="A2279" s="2" t="s">
        <v>7581</v>
      </c>
      <c r="B2279" s="2" t="s">
        <v>7582</v>
      </c>
      <c r="C2279" s="2" t="s">
        <v>18</v>
      </c>
      <c r="D2279" s="2" t="s">
        <v>30</v>
      </c>
      <c r="E2279" s="2" t="s">
        <v>31</v>
      </c>
      <c r="F2279" s="2" t="s">
        <v>32</v>
      </c>
      <c r="G2279" s="2" t="s">
        <v>69</v>
      </c>
      <c r="H2279" s="2" t="s">
        <v>34</v>
      </c>
      <c r="I2279" s="2" t="s">
        <v>35</v>
      </c>
      <c r="J2279" s="2" t="s">
        <v>2413</v>
      </c>
      <c r="K2279" s="2" t="s">
        <v>7584</v>
      </c>
      <c r="L2279">
        <v>5</v>
      </c>
      <c r="M2279" s="1">
        <v>193000</v>
      </c>
      <c r="N2279">
        <v>2.2999999999999998</v>
      </c>
      <c r="O2279">
        <v>10</v>
      </c>
      <c r="P2279" s="2" t="s">
        <v>26</v>
      </c>
    </row>
    <row r="2280" spans="1:16" x14ac:dyDescent="0.25">
      <c r="A2280" s="2" t="s">
        <v>7583</v>
      </c>
      <c r="B2280" s="2" t="s">
        <v>4078</v>
      </c>
      <c r="C2280" s="2" t="s">
        <v>29</v>
      </c>
      <c r="D2280" s="2" t="s">
        <v>43</v>
      </c>
      <c r="E2280" s="2" t="s">
        <v>20</v>
      </c>
      <c r="F2280" s="2" t="s">
        <v>128</v>
      </c>
      <c r="G2280" s="2" t="s">
        <v>22</v>
      </c>
      <c r="H2280" s="2" t="s">
        <v>34</v>
      </c>
      <c r="I2280" s="2" t="s">
        <v>24</v>
      </c>
      <c r="J2280" s="2" t="s">
        <v>4742</v>
      </c>
      <c r="K2280" s="2" t="s">
        <v>7584</v>
      </c>
      <c r="L2280">
        <v>5</v>
      </c>
      <c r="M2280" s="1">
        <v>496000</v>
      </c>
      <c r="N2280">
        <v>2.7</v>
      </c>
      <c r="O2280">
        <v>8</v>
      </c>
      <c r="P2280" s="2" t="s">
        <v>53</v>
      </c>
    </row>
    <row r="2281" spans="1:16" x14ac:dyDescent="0.25">
      <c r="A2281" s="2" t="s">
        <v>7585</v>
      </c>
      <c r="B2281" s="2" t="s">
        <v>7586</v>
      </c>
      <c r="C2281" s="2" t="s">
        <v>18</v>
      </c>
      <c r="D2281" s="2" t="s">
        <v>79</v>
      </c>
      <c r="E2281" s="2" t="s">
        <v>20</v>
      </c>
      <c r="F2281" s="2" t="s">
        <v>32</v>
      </c>
      <c r="G2281" s="2" t="s">
        <v>33</v>
      </c>
      <c r="H2281" s="2" t="s">
        <v>34</v>
      </c>
      <c r="I2281" s="2" t="s">
        <v>35</v>
      </c>
      <c r="J2281" s="2" t="s">
        <v>5746</v>
      </c>
      <c r="K2281" s="2" t="s">
        <v>7602</v>
      </c>
      <c r="L2281">
        <v>5</v>
      </c>
      <c r="M2281" s="1">
        <v>261000</v>
      </c>
      <c r="N2281">
        <v>3.6</v>
      </c>
      <c r="O2281">
        <v>0</v>
      </c>
      <c r="P2281" s="2" t="s">
        <v>26</v>
      </c>
    </row>
    <row r="2282" spans="1:16" x14ac:dyDescent="0.25">
      <c r="A2282" s="2" t="s">
        <v>7589</v>
      </c>
      <c r="B2282" s="2" t="s">
        <v>7590</v>
      </c>
      <c r="C2282" s="2" t="s">
        <v>29</v>
      </c>
      <c r="D2282" s="2" t="s">
        <v>79</v>
      </c>
      <c r="E2282" s="2" t="s">
        <v>20</v>
      </c>
      <c r="F2282" s="2" t="s">
        <v>32</v>
      </c>
      <c r="G2282" s="2" t="s">
        <v>80</v>
      </c>
      <c r="H2282" s="2" t="s">
        <v>46</v>
      </c>
      <c r="I2282" s="2" t="s">
        <v>35</v>
      </c>
      <c r="J2282" s="2" t="s">
        <v>6428</v>
      </c>
      <c r="K2282" s="2" t="s">
        <v>7602</v>
      </c>
      <c r="L2282">
        <v>3</v>
      </c>
      <c r="M2282" s="1">
        <v>250000</v>
      </c>
      <c r="N2282">
        <v>5</v>
      </c>
      <c r="O2282">
        <v>6</v>
      </c>
      <c r="P2282" s="2" t="s">
        <v>26</v>
      </c>
    </row>
    <row r="2283" spans="1:16" x14ac:dyDescent="0.25">
      <c r="A2283" s="2" t="s">
        <v>7591</v>
      </c>
      <c r="B2283" s="2" t="s">
        <v>2785</v>
      </c>
      <c r="C2283" s="2" t="s">
        <v>29</v>
      </c>
      <c r="D2283" s="2" t="s">
        <v>30</v>
      </c>
      <c r="E2283" s="2" t="s">
        <v>20</v>
      </c>
      <c r="F2283" s="2" t="s">
        <v>128</v>
      </c>
      <c r="G2283" s="2" t="s">
        <v>80</v>
      </c>
      <c r="H2283" s="2" t="s">
        <v>34</v>
      </c>
      <c r="I2283" s="2" t="s">
        <v>57</v>
      </c>
      <c r="J2283" s="2" t="s">
        <v>2305</v>
      </c>
      <c r="K2283" s="2" t="s">
        <v>7602</v>
      </c>
      <c r="L2283">
        <v>5</v>
      </c>
      <c r="M2283" s="1">
        <v>470000</v>
      </c>
      <c r="N2283">
        <v>3</v>
      </c>
      <c r="O2283">
        <v>11</v>
      </c>
      <c r="P2283" s="2" t="s">
        <v>26</v>
      </c>
    </row>
    <row r="2284" spans="1:16" x14ac:dyDescent="0.25">
      <c r="A2284" s="2" t="s">
        <v>7593</v>
      </c>
      <c r="B2284" s="2" t="s">
        <v>7594</v>
      </c>
      <c r="C2284" s="2" t="s">
        <v>29</v>
      </c>
      <c r="D2284" s="2" t="s">
        <v>19</v>
      </c>
      <c r="E2284" s="2" t="s">
        <v>20</v>
      </c>
      <c r="F2284" s="2" t="s">
        <v>128</v>
      </c>
      <c r="G2284" s="2" t="s">
        <v>80</v>
      </c>
      <c r="H2284" s="2" t="s">
        <v>46</v>
      </c>
      <c r="I2284" s="2" t="s">
        <v>57</v>
      </c>
      <c r="J2284" s="2" t="s">
        <v>1065</v>
      </c>
      <c r="K2284" s="2" t="s">
        <v>7602</v>
      </c>
      <c r="L2284">
        <v>4</v>
      </c>
      <c r="M2284" s="1">
        <v>381000</v>
      </c>
      <c r="N2284">
        <v>3.8</v>
      </c>
      <c r="O2284">
        <v>14</v>
      </c>
      <c r="P2284" s="2" t="s">
        <v>26</v>
      </c>
    </row>
    <row r="2285" spans="1:16" x14ac:dyDescent="0.25">
      <c r="A2285" s="2" t="s">
        <v>7595</v>
      </c>
      <c r="B2285" s="2" t="s">
        <v>7596</v>
      </c>
      <c r="C2285" s="2" t="s">
        <v>29</v>
      </c>
      <c r="D2285" s="2" t="s">
        <v>50</v>
      </c>
      <c r="E2285" s="2" t="s">
        <v>44</v>
      </c>
      <c r="F2285" s="2" t="s">
        <v>39</v>
      </c>
      <c r="G2285" s="2" t="s">
        <v>22</v>
      </c>
      <c r="H2285" s="2" t="s">
        <v>34</v>
      </c>
      <c r="I2285" s="2" t="s">
        <v>35</v>
      </c>
      <c r="J2285" s="2" t="s">
        <v>484</v>
      </c>
      <c r="K2285" s="2" t="s">
        <v>7602</v>
      </c>
      <c r="L2285">
        <v>5</v>
      </c>
      <c r="M2285" s="1">
        <v>93000</v>
      </c>
      <c r="N2285">
        <v>4.9000000000000004</v>
      </c>
      <c r="O2285">
        <v>5</v>
      </c>
      <c r="P2285" s="2" t="s">
        <v>26</v>
      </c>
    </row>
    <row r="2286" spans="1:16" x14ac:dyDescent="0.25">
      <c r="A2286" s="2" t="s">
        <v>7597</v>
      </c>
      <c r="B2286" s="2" t="s">
        <v>7598</v>
      </c>
      <c r="C2286" s="2" t="s">
        <v>18</v>
      </c>
      <c r="D2286" s="2" t="s">
        <v>79</v>
      </c>
      <c r="E2286" s="2" t="s">
        <v>20</v>
      </c>
      <c r="F2286" s="2" t="s">
        <v>39</v>
      </c>
      <c r="G2286" s="2" t="s">
        <v>22</v>
      </c>
      <c r="H2286" s="2" t="s">
        <v>34</v>
      </c>
      <c r="I2286" s="2" t="s">
        <v>24</v>
      </c>
      <c r="J2286" s="2" t="s">
        <v>1827</v>
      </c>
      <c r="K2286" s="2" t="s">
        <v>7602</v>
      </c>
      <c r="L2286">
        <v>4</v>
      </c>
      <c r="M2286" s="1">
        <v>136000</v>
      </c>
      <c r="N2286">
        <v>4.5999999999999996</v>
      </c>
      <c r="O2286">
        <v>22</v>
      </c>
      <c r="P2286" s="2" t="s">
        <v>26</v>
      </c>
    </row>
    <row r="2287" spans="1:16" x14ac:dyDescent="0.25">
      <c r="A2287" s="2" t="s">
        <v>7600</v>
      </c>
      <c r="B2287" s="2" t="s">
        <v>7601</v>
      </c>
      <c r="C2287" s="2" t="s">
        <v>18</v>
      </c>
      <c r="D2287" s="2" t="s">
        <v>30</v>
      </c>
      <c r="E2287" s="2" t="s">
        <v>20</v>
      </c>
      <c r="F2287" s="2" t="s">
        <v>39</v>
      </c>
      <c r="G2287" s="2" t="s">
        <v>22</v>
      </c>
      <c r="H2287" s="2" t="s">
        <v>23</v>
      </c>
      <c r="I2287" s="2" t="s">
        <v>35</v>
      </c>
      <c r="J2287" s="2" t="s">
        <v>2991</v>
      </c>
      <c r="K2287" s="2" t="s">
        <v>7602</v>
      </c>
      <c r="L2287">
        <v>3</v>
      </c>
      <c r="M2287" s="1">
        <v>122000</v>
      </c>
      <c r="N2287">
        <v>3</v>
      </c>
      <c r="O2287">
        <v>11</v>
      </c>
      <c r="P2287" s="2" t="s">
        <v>53</v>
      </c>
    </row>
    <row r="2288" spans="1:16" x14ac:dyDescent="0.25">
      <c r="A2288" s="2" t="s">
        <v>7603</v>
      </c>
      <c r="B2288" s="2" t="s">
        <v>7604</v>
      </c>
      <c r="C2288" s="2" t="s">
        <v>29</v>
      </c>
      <c r="D2288" s="2" t="s">
        <v>79</v>
      </c>
      <c r="E2288" s="2" t="s">
        <v>20</v>
      </c>
      <c r="F2288" s="2" t="s">
        <v>32</v>
      </c>
      <c r="G2288" s="2" t="s">
        <v>22</v>
      </c>
      <c r="H2288" s="2" t="s">
        <v>46</v>
      </c>
      <c r="I2288" s="2" t="s">
        <v>57</v>
      </c>
      <c r="J2288" s="2" t="s">
        <v>2657</v>
      </c>
      <c r="K2288" s="2" t="s">
        <v>911</v>
      </c>
      <c r="L2288">
        <v>3</v>
      </c>
      <c r="M2288" s="1">
        <v>287000</v>
      </c>
      <c r="N2288">
        <v>4.4000000000000004</v>
      </c>
      <c r="O2288">
        <v>22</v>
      </c>
      <c r="P2288" s="2" t="s">
        <v>72</v>
      </c>
    </row>
    <row r="2289" spans="1:16" x14ac:dyDescent="0.25">
      <c r="A2289" s="2" t="s">
        <v>7605</v>
      </c>
      <c r="B2289" s="2" t="s">
        <v>7606</v>
      </c>
      <c r="C2289" s="2" t="s">
        <v>29</v>
      </c>
      <c r="D2289" s="2" t="s">
        <v>19</v>
      </c>
      <c r="E2289" s="2" t="s">
        <v>20</v>
      </c>
      <c r="F2289" s="2" t="s">
        <v>39</v>
      </c>
      <c r="G2289" s="2" t="s">
        <v>22</v>
      </c>
      <c r="H2289" s="2" t="s">
        <v>34</v>
      </c>
      <c r="I2289" s="2" t="s">
        <v>57</v>
      </c>
      <c r="J2289" s="2" t="s">
        <v>7326</v>
      </c>
      <c r="K2289" s="2" t="s">
        <v>5016</v>
      </c>
      <c r="L2289">
        <v>5</v>
      </c>
      <c r="M2289" s="1">
        <v>132000</v>
      </c>
      <c r="N2289">
        <v>3.5</v>
      </c>
      <c r="O2289">
        <v>1</v>
      </c>
      <c r="P2289" s="2" t="s">
        <v>26</v>
      </c>
    </row>
    <row r="2290" spans="1:16" x14ac:dyDescent="0.25">
      <c r="A2290" s="2" t="s">
        <v>7607</v>
      </c>
      <c r="B2290" s="2" t="s">
        <v>3171</v>
      </c>
      <c r="C2290" s="2" t="s">
        <v>18</v>
      </c>
      <c r="D2290" s="2" t="s">
        <v>19</v>
      </c>
      <c r="E2290" s="2" t="s">
        <v>20</v>
      </c>
      <c r="F2290" s="2" t="s">
        <v>39</v>
      </c>
      <c r="G2290" s="2" t="s">
        <v>22</v>
      </c>
      <c r="H2290" s="2" t="s">
        <v>46</v>
      </c>
      <c r="I2290" s="2" t="s">
        <v>35</v>
      </c>
      <c r="J2290" s="2" t="s">
        <v>758</v>
      </c>
      <c r="K2290" s="2" t="s">
        <v>5016</v>
      </c>
      <c r="L2290">
        <v>3</v>
      </c>
      <c r="M2290" s="1">
        <v>118000</v>
      </c>
      <c r="N2290">
        <v>4.3</v>
      </c>
      <c r="O2290">
        <v>3</v>
      </c>
      <c r="P2290" s="2" t="s">
        <v>26</v>
      </c>
    </row>
    <row r="2291" spans="1:16" x14ac:dyDescent="0.25">
      <c r="A2291" s="2" t="s">
        <v>7608</v>
      </c>
      <c r="B2291" s="2" t="s">
        <v>7369</v>
      </c>
      <c r="C2291" s="2" t="s">
        <v>29</v>
      </c>
      <c r="D2291" s="2" t="s">
        <v>79</v>
      </c>
      <c r="E2291" s="2" t="s">
        <v>44</v>
      </c>
      <c r="F2291" s="2" t="s">
        <v>39</v>
      </c>
      <c r="G2291" s="2" t="s">
        <v>80</v>
      </c>
      <c r="H2291" s="2" t="s">
        <v>23</v>
      </c>
      <c r="I2291" s="2" t="s">
        <v>24</v>
      </c>
      <c r="J2291" s="2" t="s">
        <v>5941</v>
      </c>
      <c r="K2291" s="2" t="s">
        <v>5016</v>
      </c>
      <c r="L2291">
        <v>2</v>
      </c>
      <c r="M2291" s="1">
        <v>132000</v>
      </c>
      <c r="N2291">
        <v>2.7</v>
      </c>
      <c r="O2291">
        <v>0</v>
      </c>
      <c r="P2291" s="2" t="s">
        <v>26</v>
      </c>
    </row>
    <row r="2292" spans="1:16" x14ac:dyDescent="0.25">
      <c r="A2292" s="2" t="s">
        <v>7611</v>
      </c>
      <c r="B2292" s="2" t="s">
        <v>3957</v>
      </c>
      <c r="C2292" s="2" t="s">
        <v>18</v>
      </c>
      <c r="D2292" s="2" t="s">
        <v>50</v>
      </c>
      <c r="E2292" s="2" t="s">
        <v>20</v>
      </c>
      <c r="F2292" s="2" t="s">
        <v>128</v>
      </c>
      <c r="G2292" s="2" t="s">
        <v>80</v>
      </c>
      <c r="H2292" s="2" t="s">
        <v>62</v>
      </c>
      <c r="I2292" s="2" t="s">
        <v>24</v>
      </c>
      <c r="J2292" s="2" t="s">
        <v>3565</v>
      </c>
      <c r="K2292" s="2" t="s">
        <v>5016</v>
      </c>
      <c r="L2292">
        <v>4</v>
      </c>
      <c r="M2292" s="1">
        <v>479000</v>
      </c>
      <c r="N2292">
        <v>3.5</v>
      </c>
      <c r="O2292">
        <v>3</v>
      </c>
      <c r="P2292" s="2" t="s">
        <v>26</v>
      </c>
    </row>
    <row r="2293" spans="1:16" x14ac:dyDescent="0.25">
      <c r="A2293" s="2" t="s">
        <v>7612</v>
      </c>
      <c r="B2293" s="2" t="s">
        <v>2745</v>
      </c>
      <c r="C2293" s="2" t="s">
        <v>18</v>
      </c>
      <c r="D2293" s="2" t="s">
        <v>19</v>
      </c>
      <c r="E2293" s="2" t="s">
        <v>20</v>
      </c>
      <c r="F2293" s="2" t="s">
        <v>21</v>
      </c>
      <c r="G2293" s="2" t="s">
        <v>33</v>
      </c>
      <c r="H2293" s="2" t="s">
        <v>34</v>
      </c>
      <c r="I2293" s="2" t="s">
        <v>24</v>
      </c>
      <c r="J2293" s="2" t="s">
        <v>7613</v>
      </c>
      <c r="K2293" s="2" t="s">
        <v>5016</v>
      </c>
      <c r="L2293">
        <v>6</v>
      </c>
      <c r="M2293" s="1">
        <v>1045000</v>
      </c>
      <c r="N2293">
        <v>3.6</v>
      </c>
      <c r="O2293">
        <v>0</v>
      </c>
      <c r="P2293" s="2" t="s">
        <v>26</v>
      </c>
    </row>
    <row r="2294" spans="1:16" x14ac:dyDescent="0.25">
      <c r="A2294" s="2" t="s">
        <v>7614</v>
      </c>
      <c r="B2294" s="2" t="s">
        <v>7615</v>
      </c>
      <c r="C2294" s="2" t="s">
        <v>29</v>
      </c>
      <c r="D2294" s="2" t="s">
        <v>79</v>
      </c>
      <c r="E2294" s="2" t="s">
        <v>20</v>
      </c>
      <c r="F2294" s="2" t="s">
        <v>21</v>
      </c>
      <c r="G2294" s="2" t="s">
        <v>22</v>
      </c>
      <c r="H2294" s="2" t="s">
        <v>46</v>
      </c>
      <c r="I2294" s="2" t="s">
        <v>57</v>
      </c>
      <c r="J2294" s="2" t="s">
        <v>2389</v>
      </c>
      <c r="K2294" s="2" t="s">
        <v>5016</v>
      </c>
      <c r="L2294">
        <v>6</v>
      </c>
      <c r="M2294" s="1">
        <v>892000</v>
      </c>
      <c r="N2294">
        <v>4.7</v>
      </c>
      <c r="O2294">
        <v>12</v>
      </c>
      <c r="P2294" s="2" t="s">
        <v>26</v>
      </c>
    </row>
    <row r="2295" spans="1:16" x14ac:dyDescent="0.25">
      <c r="A2295" s="2" t="s">
        <v>7616</v>
      </c>
      <c r="B2295" s="2" t="s">
        <v>7617</v>
      </c>
      <c r="C2295" s="2" t="s">
        <v>18</v>
      </c>
      <c r="D2295" s="2" t="s">
        <v>79</v>
      </c>
      <c r="E2295" s="2" t="s">
        <v>44</v>
      </c>
      <c r="F2295" s="2" t="s">
        <v>32</v>
      </c>
      <c r="G2295" s="2" t="s">
        <v>80</v>
      </c>
      <c r="H2295" s="2" t="s">
        <v>23</v>
      </c>
      <c r="I2295" s="2" t="s">
        <v>75</v>
      </c>
      <c r="J2295" s="2" t="s">
        <v>124</v>
      </c>
      <c r="K2295" s="2" t="s">
        <v>5016</v>
      </c>
      <c r="L2295">
        <v>2</v>
      </c>
      <c r="M2295" s="1">
        <v>321000</v>
      </c>
      <c r="N2295">
        <v>3.3</v>
      </c>
      <c r="O2295">
        <v>11</v>
      </c>
      <c r="P2295" s="2" t="s">
        <v>26</v>
      </c>
    </row>
    <row r="2296" spans="1:16" x14ac:dyDescent="0.25">
      <c r="A2296" s="2" t="s">
        <v>7618</v>
      </c>
      <c r="B2296" s="2" t="s">
        <v>3155</v>
      </c>
      <c r="C2296" s="2" t="s">
        <v>18</v>
      </c>
      <c r="D2296" s="2" t="s">
        <v>30</v>
      </c>
      <c r="E2296" s="2" t="s">
        <v>31</v>
      </c>
      <c r="F2296" s="2" t="s">
        <v>128</v>
      </c>
      <c r="G2296" s="2" t="s">
        <v>22</v>
      </c>
      <c r="H2296" s="2" t="s">
        <v>34</v>
      </c>
      <c r="I2296" s="2" t="s">
        <v>35</v>
      </c>
      <c r="J2296" s="2" t="s">
        <v>6980</v>
      </c>
      <c r="K2296" s="2" t="s">
        <v>5016</v>
      </c>
      <c r="L2296">
        <v>4</v>
      </c>
      <c r="M2296" s="1">
        <v>456000</v>
      </c>
      <c r="N2296">
        <v>2.1</v>
      </c>
      <c r="O2296">
        <v>8</v>
      </c>
      <c r="P2296" s="2" t="s">
        <v>53</v>
      </c>
    </row>
    <row r="2297" spans="1:16" x14ac:dyDescent="0.25">
      <c r="A2297" s="2" t="s">
        <v>7619</v>
      </c>
      <c r="B2297" s="2" t="s">
        <v>7056</v>
      </c>
      <c r="C2297" s="2" t="s">
        <v>18</v>
      </c>
      <c r="D2297" s="2" t="s">
        <v>50</v>
      </c>
      <c r="E2297" s="2" t="s">
        <v>20</v>
      </c>
      <c r="F2297" s="2" t="s">
        <v>32</v>
      </c>
      <c r="G2297" s="2" t="s">
        <v>22</v>
      </c>
      <c r="H2297" s="2" t="s">
        <v>34</v>
      </c>
      <c r="I2297" s="2" t="s">
        <v>35</v>
      </c>
      <c r="J2297" s="2" t="s">
        <v>199</v>
      </c>
      <c r="K2297" s="2" t="s">
        <v>530</v>
      </c>
      <c r="L2297">
        <v>5</v>
      </c>
      <c r="M2297" s="1">
        <v>245000</v>
      </c>
      <c r="N2297">
        <v>4.7</v>
      </c>
      <c r="O2297">
        <v>4</v>
      </c>
      <c r="P2297" s="2" t="s">
        <v>26</v>
      </c>
    </row>
    <row r="2298" spans="1:16" x14ac:dyDescent="0.25">
      <c r="A2298" s="2" t="s">
        <v>7626</v>
      </c>
      <c r="B2298" s="2" t="s">
        <v>3005</v>
      </c>
      <c r="C2298" s="2" t="s">
        <v>18</v>
      </c>
      <c r="D2298" s="2" t="s">
        <v>30</v>
      </c>
      <c r="E2298" s="2" t="s">
        <v>44</v>
      </c>
      <c r="F2298" s="2" t="s">
        <v>39</v>
      </c>
      <c r="G2298" s="2" t="s">
        <v>80</v>
      </c>
      <c r="H2298" s="2" t="s">
        <v>34</v>
      </c>
      <c r="I2298" s="2" t="s">
        <v>24</v>
      </c>
      <c r="J2298" s="2" t="s">
        <v>637</v>
      </c>
      <c r="K2298" s="2" t="s">
        <v>530</v>
      </c>
      <c r="L2298">
        <v>4</v>
      </c>
      <c r="M2298" s="1">
        <v>136000</v>
      </c>
      <c r="N2298">
        <v>2</v>
      </c>
      <c r="O2298">
        <v>8</v>
      </c>
      <c r="P2298" s="2" t="s">
        <v>72</v>
      </c>
    </row>
    <row r="2299" spans="1:16" x14ac:dyDescent="0.25">
      <c r="A2299" s="2" t="s">
        <v>7629</v>
      </c>
      <c r="B2299" s="2" t="s">
        <v>7438</v>
      </c>
      <c r="C2299" s="2" t="s">
        <v>29</v>
      </c>
      <c r="D2299" s="2" t="s">
        <v>43</v>
      </c>
      <c r="E2299" s="2" t="s">
        <v>20</v>
      </c>
      <c r="F2299" s="2" t="s">
        <v>128</v>
      </c>
      <c r="G2299" s="2" t="s">
        <v>80</v>
      </c>
      <c r="H2299" s="2" t="s">
        <v>34</v>
      </c>
      <c r="I2299" s="2" t="s">
        <v>24</v>
      </c>
      <c r="J2299" s="2" t="s">
        <v>546</v>
      </c>
      <c r="K2299" s="2" t="s">
        <v>7537</v>
      </c>
      <c r="L2299">
        <v>4</v>
      </c>
      <c r="M2299" s="1">
        <v>469000</v>
      </c>
      <c r="N2299">
        <v>2.9</v>
      </c>
      <c r="O2299">
        <v>2</v>
      </c>
      <c r="P2299" s="2" t="s">
        <v>26</v>
      </c>
    </row>
    <row r="2300" spans="1:16" x14ac:dyDescent="0.25">
      <c r="A2300" s="2" t="s">
        <v>7632</v>
      </c>
      <c r="B2300" s="2" t="s">
        <v>3149</v>
      </c>
      <c r="C2300" s="2" t="s">
        <v>29</v>
      </c>
      <c r="D2300" s="2" t="s">
        <v>50</v>
      </c>
      <c r="E2300" s="2" t="s">
        <v>20</v>
      </c>
      <c r="F2300" s="2" t="s">
        <v>32</v>
      </c>
      <c r="G2300" s="2" t="s">
        <v>33</v>
      </c>
      <c r="H2300" s="2" t="s">
        <v>62</v>
      </c>
      <c r="I2300" s="2" t="s">
        <v>171</v>
      </c>
      <c r="J2300" s="2" t="s">
        <v>1864</v>
      </c>
      <c r="K2300" s="2" t="s">
        <v>7537</v>
      </c>
      <c r="L2300">
        <v>6</v>
      </c>
      <c r="M2300" s="1">
        <v>314000</v>
      </c>
      <c r="N2300">
        <v>4.7</v>
      </c>
      <c r="O2300">
        <v>9</v>
      </c>
      <c r="P2300" s="2" t="s">
        <v>26</v>
      </c>
    </row>
    <row r="2301" spans="1:16" x14ac:dyDescent="0.25">
      <c r="A2301" s="2" t="s">
        <v>7633</v>
      </c>
      <c r="B2301" s="2" t="s">
        <v>7634</v>
      </c>
      <c r="C2301" s="2" t="s">
        <v>29</v>
      </c>
      <c r="D2301" s="2" t="s">
        <v>79</v>
      </c>
      <c r="E2301" s="2" t="s">
        <v>44</v>
      </c>
      <c r="F2301" s="2" t="s">
        <v>39</v>
      </c>
      <c r="G2301" s="2" t="s">
        <v>80</v>
      </c>
      <c r="H2301" s="2" t="s">
        <v>46</v>
      </c>
      <c r="I2301" s="2" t="s">
        <v>57</v>
      </c>
      <c r="J2301" s="2" t="s">
        <v>7635</v>
      </c>
      <c r="K2301" s="2" t="s">
        <v>7537</v>
      </c>
      <c r="L2301">
        <v>6</v>
      </c>
      <c r="M2301" s="1">
        <v>180000</v>
      </c>
      <c r="N2301">
        <v>3</v>
      </c>
      <c r="O2301">
        <v>1</v>
      </c>
      <c r="P2301" s="2" t="s">
        <v>114</v>
      </c>
    </row>
    <row r="2302" spans="1:16" x14ac:dyDescent="0.25">
      <c r="A2302" s="2" t="s">
        <v>7636</v>
      </c>
      <c r="B2302" s="2" t="s">
        <v>333</v>
      </c>
      <c r="C2302" s="2" t="s">
        <v>18</v>
      </c>
      <c r="D2302" s="2" t="s">
        <v>79</v>
      </c>
      <c r="E2302" s="2" t="s">
        <v>20</v>
      </c>
      <c r="F2302" s="2" t="s">
        <v>128</v>
      </c>
      <c r="G2302" s="2" t="s">
        <v>80</v>
      </c>
      <c r="H2302" s="2" t="s">
        <v>46</v>
      </c>
      <c r="I2302" s="2" t="s">
        <v>57</v>
      </c>
      <c r="J2302" s="2" t="s">
        <v>749</v>
      </c>
      <c r="K2302" s="2" t="s">
        <v>5080</v>
      </c>
      <c r="L2302">
        <v>3</v>
      </c>
      <c r="M2302" s="1">
        <v>536000</v>
      </c>
      <c r="N2302">
        <v>2</v>
      </c>
      <c r="O2302">
        <v>7</v>
      </c>
      <c r="P2302" s="2" t="s">
        <v>26</v>
      </c>
    </row>
    <row r="2303" spans="1:16" x14ac:dyDescent="0.25">
      <c r="A2303" s="2" t="s">
        <v>7639</v>
      </c>
      <c r="B2303" s="2" t="s">
        <v>5608</v>
      </c>
      <c r="C2303" s="2" t="s">
        <v>29</v>
      </c>
      <c r="D2303" s="2" t="s">
        <v>79</v>
      </c>
      <c r="E2303" s="2" t="s">
        <v>20</v>
      </c>
      <c r="F2303" s="2" t="s">
        <v>21</v>
      </c>
      <c r="G2303" s="2" t="s">
        <v>22</v>
      </c>
      <c r="H2303" s="2" t="s">
        <v>23</v>
      </c>
      <c r="I2303" s="2" t="s">
        <v>35</v>
      </c>
      <c r="J2303" s="2" t="s">
        <v>2502</v>
      </c>
      <c r="K2303" s="2" t="s">
        <v>5080</v>
      </c>
      <c r="L2303">
        <v>3</v>
      </c>
      <c r="M2303" s="1">
        <v>682000</v>
      </c>
      <c r="N2303">
        <v>4</v>
      </c>
      <c r="O2303">
        <v>0</v>
      </c>
      <c r="P2303" s="2" t="s">
        <v>26</v>
      </c>
    </row>
    <row r="2304" spans="1:16" x14ac:dyDescent="0.25">
      <c r="A2304" s="2" t="s">
        <v>7640</v>
      </c>
      <c r="B2304" s="2" t="s">
        <v>7641</v>
      </c>
      <c r="C2304" s="2" t="s">
        <v>29</v>
      </c>
      <c r="D2304" s="2" t="s">
        <v>43</v>
      </c>
      <c r="E2304" s="2" t="s">
        <v>44</v>
      </c>
      <c r="F2304" s="2" t="s">
        <v>128</v>
      </c>
      <c r="G2304" s="2" t="s">
        <v>33</v>
      </c>
      <c r="H2304" s="2" t="s">
        <v>23</v>
      </c>
      <c r="I2304" s="2" t="s">
        <v>24</v>
      </c>
      <c r="J2304" s="2" t="s">
        <v>3590</v>
      </c>
      <c r="K2304" s="2" t="s">
        <v>5080</v>
      </c>
      <c r="L2304">
        <v>6</v>
      </c>
      <c r="M2304" s="1">
        <v>524000</v>
      </c>
      <c r="N2304">
        <v>3</v>
      </c>
      <c r="O2304">
        <v>19</v>
      </c>
      <c r="P2304" s="2" t="s">
        <v>53</v>
      </c>
    </row>
    <row r="2305" spans="1:16" x14ac:dyDescent="0.25">
      <c r="A2305" s="2" t="s">
        <v>7642</v>
      </c>
      <c r="B2305" s="2" t="s">
        <v>7643</v>
      </c>
      <c r="C2305" s="2" t="s">
        <v>18</v>
      </c>
      <c r="D2305" s="2" t="s">
        <v>50</v>
      </c>
      <c r="E2305" s="2" t="s">
        <v>20</v>
      </c>
      <c r="F2305" s="2" t="s">
        <v>32</v>
      </c>
      <c r="G2305" s="2" t="s">
        <v>22</v>
      </c>
      <c r="H2305" s="2" t="s">
        <v>62</v>
      </c>
      <c r="I2305" s="2" t="s">
        <v>24</v>
      </c>
      <c r="J2305" s="2" t="s">
        <v>1483</v>
      </c>
      <c r="K2305" s="2" t="s">
        <v>7644</v>
      </c>
      <c r="L2305">
        <v>2</v>
      </c>
      <c r="M2305" s="1">
        <v>197000</v>
      </c>
      <c r="N2305">
        <v>4.5</v>
      </c>
      <c r="O2305">
        <v>1</v>
      </c>
      <c r="P2305" s="2" t="s">
        <v>53</v>
      </c>
    </row>
    <row r="2306" spans="1:16" x14ac:dyDescent="0.25">
      <c r="A2306" s="2" t="s">
        <v>7647</v>
      </c>
      <c r="B2306" s="2" t="s">
        <v>3791</v>
      </c>
      <c r="C2306" s="2" t="s">
        <v>29</v>
      </c>
      <c r="D2306" s="2" t="s">
        <v>30</v>
      </c>
      <c r="E2306" s="2" t="s">
        <v>20</v>
      </c>
      <c r="F2306" s="2" t="s">
        <v>39</v>
      </c>
      <c r="G2306" s="2" t="s">
        <v>33</v>
      </c>
      <c r="H2306" s="2" t="s">
        <v>34</v>
      </c>
      <c r="I2306" s="2" t="s">
        <v>24</v>
      </c>
      <c r="J2306" s="2" t="s">
        <v>6169</v>
      </c>
      <c r="K2306" s="2" t="s">
        <v>1434</v>
      </c>
      <c r="L2306">
        <v>5</v>
      </c>
      <c r="M2306" s="1">
        <v>104000</v>
      </c>
      <c r="N2306">
        <v>1.5</v>
      </c>
      <c r="O2306">
        <v>14</v>
      </c>
      <c r="P2306" s="2" t="s">
        <v>26</v>
      </c>
    </row>
    <row r="2307" spans="1:16" x14ac:dyDescent="0.25">
      <c r="A2307" s="2" t="s">
        <v>7649</v>
      </c>
      <c r="B2307" s="2" t="s">
        <v>2188</v>
      </c>
      <c r="C2307" s="2" t="s">
        <v>29</v>
      </c>
      <c r="D2307" s="2" t="s">
        <v>19</v>
      </c>
      <c r="E2307" s="2" t="s">
        <v>20</v>
      </c>
      <c r="F2307" s="2" t="s">
        <v>32</v>
      </c>
      <c r="G2307" s="2" t="s">
        <v>22</v>
      </c>
      <c r="H2307" s="2" t="s">
        <v>34</v>
      </c>
      <c r="I2307" s="2" t="s">
        <v>35</v>
      </c>
      <c r="J2307" s="2" t="s">
        <v>3972</v>
      </c>
      <c r="K2307" s="2" t="s">
        <v>1434</v>
      </c>
      <c r="L2307">
        <v>5</v>
      </c>
      <c r="M2307" s="1">
        <v>385000</v>
      </c>
      <c r="N2307">
        <v>2.8</v>
      </c>
      <c r="O2307">
        <v>37</v>
      </c>
      <c r="P2307" s="2" t="s">
        <v>53</v>
      </c>
    </row>
    <row r="2308" spans="1:16" x14ac:dyDescent="0.25">
      <c r="A2308" s="2" t="s">
        <v>7650</v>
      </c>
      <c r="B2308" s="2" t="s">
        <v>5029</v>
      </c>
      <c r="C2308" s="2" t="s">
        <v>18</v>
      </c>
      <c r="D2308" s="2" t="s">
        <v>19</v>
      </c>
      <c r="E2308" s="2" t="s">
        <v>44</v>
      </c>
      <c r="F2308" s="2" t="s">
        <v>32</v>
      </c>
      <c r="G2308" s="2" t="s">
        <v>22</v>
      </c>
      <c r="H2308" s="2" t="s">
        <v>34</v>
      </c>
      <c r="I2308" s="2" t="s">
        <v>57</v>
      </c>
      <c r="J2308" s="2" t="s">
        <v>7651</v>
      </c>
      <c r="K2308" s="2" t="s">
        <v>697</v>
      </c>
      <c r="L2308">
        <v>3</v>
      </c>
      <c r="M2308" s="1">
        <v>250000</v>
      </c>
      <c r="N2308">
        <v>4.5</v>
      </c>
      <c r="O2308">
        <v>4</v>
      </c>
      <c r="P2308" s="2" t="s">
        <v>26</v>
      </c>
    </row>
    <row r="2309" spans="1:16" x14ac:dyDescent="0.25">
      <c r="A2309" s="2" t="s">
        <v>7652</v>
      </c>
      <c r="B2309" s="2" t="s">
        <v>7184</v>
      </c>
      <c r="C2309" s="2" t="s">
        <v>29</v>
      </c>
      <c r="D2309" s="2" t="s">
        <v>50</v>
      </c>
      <c r="E2309" s="2" t="s">
        <v>20</v>
      </c>
      <c r="F2309" s="2" t="s">
        <v>39</v>
      </c>
      <c r="G2309" s="2" t="s">
        <v>69</v>
      </c>
      <c r="H2309" s="2" t="s">
        <v>34</v>
      </c>
      <c r="I2309" s="2" t="s">
        <v>35</v>
      </c>
      <c r="J2309" s="2" t="s">
        <v>7653</v>
      </c>
      <c r="K2309" s="2" t="s">
        <v>697</v>
      </c>
      <c r="L2309">
        <v>2</v>
      </c>
      <c r="M2309" s="1">
        <v>97000</v>
      </c>
      <c r="N2309">
        <v>4.3</v>
      </c>
      <c r="O2309">
        <v>8</v>
      </c>
      <c r="P2309" s="2" t="s">
        <v>72</v>
      </c>
    </row>
    <row r="2310" spans="1:16" x14ac:dyDescent="0.25">
      <c r="A2310" s="2" t="s">
        <v>7654</v>
      </c>
      <c r="B2310" s="2" t="s">
        <v>6519</v>
      </c>
      <c r="C2310" s="2" t="s">
        <v>29</v>
      </c>
      <c r="D2310" s="2" t="s">
        <v>43</v>
      </c>
      <c r="E2310" s="2" t="s">
        <v>20</v>
      </c>
      <c r="F2310" s="2" t="s">
        <v>45</v>
      </c>
      <c r="G2310" s="2" t="s">
        <v>80</v>
      </c>
      <c r="H2310" s="2" t="s">
        <v>23</v>
      </c>
      <c r="I2310" s="2" t="s">
        <v>24</v>
      </c>
      <c r="J2310" s="2" t="s">
        <v>549</v>
      </c>
      <c r="K2310" s="2" t="s">
        <v>7657</v>
      </c>
      <c r="L2310">
        <v>5</v>
      </c>
      <c r="M2310" s="1">
        <v>988000</v>
      </c>
      <c r="N2310">
        <v>4</v>
      </c>
      <c r="O2310">
        <v>2</v>
      </c>
      <c r="P2310" s="2" t="s">
        <v>26</v>
      </c>
    </row>
    <row r="2311" spans="1:16" x14ac:dyDescent="0.25">
      <c r="A2311" s="2" t="s">
        <v>7656</v>
      </c>
      <c r="B2311" s="2" t="s">
        <v>6417</v>
      </c>
      <c r="C2311" s="2" t="s">
        <v>18</v>
      </c>
      <c r="D2311" s="2" t="s">
        <v>43</v>
      </c>
      <c r="E2311" s="2" t="s">
        <v>20</v>
      </c>
      <c r="F2311" s="2" t="s">
        <v>32</v>
      </c>
      <c r="G2311" s="2" t="s">
        <v>22</v>
      </c>
      <c r="H2311" s="2" t="s">
        <v>62</v>
      </c>
      <c r="I2311" s="2" t="s">
        <v>24</v>
      </c>
      <c r="J2311" s="2" t="s">
        <v>360</v>
      </c>
      <c r="K2311" s="2" t="s">
        <v>7657</v>
      </c>
      <c r="L2311">
        <v>2</v>
      </c>
      <c r="M2311" s="1">
        <v>180000</v>
      </c>
      <c r="N2311">
        <v>4.7</v>
      </c>
      <c r="O2311">
        <v>5</v>
      </c>
      <c r="P2311" s="2" t="s">
        <v>53</v>
      </c>
    </row>
    <row r="2312" spans="1:16" x14ac:dyDescent="0.25">
      <c r="A2312" s="2" t="s">
        <v>7658</v>
      </c>
      <c r="B2312" s="2" t="s">
        <v>5268</v>
      </c>
      <c r="C2312" s="2" t="s">
        <v>18</v>
      </c>
      <c r="D2312" s="2" t="s">
        <v>79</v>
      </c>
      <c r="E2312" s="2" t="s">
        <v>20</v>
      </c>
      <c r="F2312" s="2" t="s">
        <v>32</v>
      </c>
      <c r="G2312" s="2" t="s">
        <v>80</v>
      </c>
      <c r="H2312" s="2" t="s">
        <v>34</v>
      </c>
      <c r="I2312" s="2" t="s">
        <v>75</v>
      </c>
      <c r="J2312" s="2" t="s">
        <v>320</v>
      </c>
      <c r="K2312" s="2" t="s">
        <v>583</v>
      </c>
      <c r="L2312">
        <v>6</v>
      </c>
      <c r="M2312" s="1">
        <v>338000</v>
      </c>
      <c r="N2312">
        <v>2.7</v>
      </c>
      <c r="O2312">
        <v>10</v>
      </c>
      <c r="P2312" s="2" t="s">
        <v>53</v>
      </c>
    </row>
    <row r="2313" spans="1:16" x14ac:dyDescent="0.25">
      <c r="A2313" s="2" t="s">
        <v>7659</v>
      </c>
      <c r="B2313" s="2" t="s">
        <v>7660</v>
      </c>
      <c r="C2313" s="2" t="s">
        <v>18</v>
      </c>
      <c r="D2313" s="2" t="s">
        <v>50</v>
      </c>
      <c r="E2313" s="2" t="s">
        <v>20</v>
      </c>
      <c r="F2313" s="2" t="s">
        <v>128</v>
      </c>
      <c r="G2313" s="2" t="s">
        <v>80</v>
      </c>
      <c r="H2313" s="2" t="s">
        <v>23</v>
      </c>
      <c r="I2313" s="2" t="s">
        <v>75</v>
      </c>
      <c r="J2313" s="2" t="s">
        <v>7661</v>
      </c>
      <c r="K2313" s="2" t="s">
        <v>5715</v>
      </c>
      <c r="L2313">
        <v>5</v>
      </c>
      <c r="M2313" s="1">
        <v>449000</v>
      </c>
      <c r="N2313">
        <v>3.7</v>
      </c>
      <c r="O2313">
        <v>13</v>
      </c>
      <c r="P2313" s="2" t="s">
        <v>26</v>
      </c>
    </row>
    <row r="2314" spans="1:16" x14ac:dyDescent="0.25">
      <c r="A2314" s="2" t="s">
        <v>7663</v>
      </c>
      <c r="B2314" s="2" t="s">
        <v>3495</v>
      </c>
      <c r="C2314" s="2" t="s">
        <v>29</v>
      </c>
      <c r="D2314" s="2" t="s">
        <v>79</v>
      </c>
      <c r="E2314" s="2" t="s">
        <v>20</v>
      </c>
      <c r="F2314" s="2" t="s">
        <v>128</v>
      </c>
      <c r="G2314" s="2" t="s">
        <v>80</v>
      </c>
      <c r="H2314" s="2" t="s">
        <v>62</v>
      </c>
      <c r="I2314" s="2" t="s">
        <v>24</v>
      </c>
      <c r="J2314" s="2" t="s">
        <v>496</v>
      </c>
      <c r="K2314" s="2" t="s">
        <v>5715</v>
      </c>
      <c r="L2314">
        <v>2</v>
      </c>
      <c r="M2314" s="1">
        <v>421000</v>
      </c>
      <c r="N2314">
        <v>4.4000000000000004</v>
      </c>
      <c r="O2314">
        <v>2</v>
      </c>
      <c r="P2314" s="2" t="s">
        <v>53</v>
      </c>
    </row>
    <row r="2315" spans="1:16" x14ac:dyDescent="0.25">
      <c r="A2315" s="2" t="s">
        <v>7664</v>
      </c>
      <c r="B2315" s="2" t="s">
        <v>4678</v>
      </c>
      <c r="C2315" s="2" t="s">
        <v>29</v>
      </c>
      <c r="D2315" s="2" t="s">
        <v>50</v>
      </c>
      <c r="E2315" s="2" t="s">
        <v>20</v>
      </c>
      <c r="F2315" s="2" t="s">
        <v>32</v>
      </c>
      <c r="G2315" s="2" t="s">
        <v>22</v>
      </c>
      <c r="H2315" s="2" t="s">
        <v>46</v>
      </c>
      <c r="I2315" s="2" t="s">
        <v>24</v>
      </c>
      <c r="J2315" s="2" t="s">
        <v>1983</v>
      </c>
      <c r="K2315" s="2" t="s">
        <v>5649</v>
      </c>
      <c r="L2315">
        <v>6</v>
      </c>
      <c r="M2315" s="1">
        <v>304000</v>
      </c>
      <c r="N2315">
        <v>2.7</v>
      </c>
      <c r="O2315">
        <v>11</v>
      </c>
      <c r="P2315" s="2" t="s">
        <v>53</v>
      </c>
    </row>
    <row r="2316" spans="1:16" x14ac:dyDescent="0.25">
      <c r="A2316" s="2" t="s">
        <v>7669</v>
      </c>
      <c r="B2316" s="2" t="s">
        <v>4330</v>
      </c>
      <c r="C2316" s="2" t="s">
        <v>18</v>
      </c>
      <c r="D2316" s="2" t="s">
        <v>79</v>
      </c>
      <c r="E2316" s="2" t="s">
        <v>20</v>
      </c>
      <c r="F2316" s="2" t="s">
        <v>128</v>
      </c>
      <c r="G2316" s="2" t="s">
        <v>22</v>
      </c>
      <c r="H2316" s="2" t="s">
        <v>46</v>
      </c>
      <c r="I2316" s="2" t="s">
        <v>24</v>
      </c>
      <c r="J2316" s="2" t="s">
        <v>1651</v>
      </c>
      <c r="K2316" s="2" t="s">
        <v>1217</v>
      </c>
      <c r="L2316">
        <v>7</v>
      </c>
      <c r="M2316" s="1">
        <v>435000</v>
      </c>
      <c r="N2316">
        <v>4</v>
      </c>
      <c r="O2316">
        <v>37</v>
      </c>
      <c r="P2316" s="2" t="s">
        <v>26</v>
      </c>
    </row>
    <row r="2317" spans="1:16" x14ac:dyDescent="0.25">
      <c r="A2317" s="2" t="s">
        <v>7670</v>
      </c>
      <c r="B2317" s="2" t="s">
        <v>3794</v>
      </c>
      <c r="C2317" s="2" t="s">
        <v>18</v>
      </c>
      <c r="D2317" s="2" t="s">
        <v>79</v>
      </c>
      <c r="E2317" s="2" t="s">
        <v>20</v>
      </c>
      <c r="F2317" s="2" t="s">
        <v>32</v>
      </c>
      <c r="G2317" s="2" t="s">
        <v>69</v>
      </c>
      <c r="H2317" s="2" t="s">
        <v>62</v>
      </c>
      <c r="I2317" s="2" t="s">
        <v>57</v>
      </c>
      <c r="J2317" s="2" t="s">
        <v>7167</v>
      </c>
      <c r="K2317" s="2" t="s">
        <v>1217</v>
      </c>
      <c r="L2317">
        <v>4</v>
      </c>
      <c r="M2317" s="1">
        <v>340000</v>
      </c>
      <c r="N2317">
        <v>2.6</v>
      </c>
      <c r="O2317">
        <v>13</v>
      </c>
      <c r="P2317" s="2" t="s">
        <v>72</v>
      </c>
    </row>
    <row r="2318" spans="1:16" x14ac:dyDescent="0.25">
      <c r="A2318" s="2" t="s">
        <v>7672</v>
      </c>
      <c r="B2318" s="2" t="s">
        <v>3692</v>
      </c>
      <c r="C2318" s="2" t="s">
        <v>29</v>
      </c>
      <c r="D2318" s="2" t="s">
        <v>79</v>
      </c>
      <c r="E2318" s="2" t="s">
        <v>20</v>
      </c>
      <c r="F2318" s="2" t="s">
        <v>39</v>
      </c>
      <c r="G2318" s="2" t="s">
        <v>22</v>
      </c>
      <c r="H2318" s="2" t="s">
        <v>46</v>
      </c>
      <c r="I2318" s="2" t="s">
        <v>24</v>
      </c>
      <c r="J2318" s="2" t="s">
        <v>1646</v>
      </c>
      <c r="K2318" s="2" t="s">
        <v>967</v>
      </c>
      <c r="L2318">
        <v>4</v>
      </c>
      <c r="M2318" s="1">
        <v>116000</v>
      </c>
      <c r="N2318">
        <v>3.8</v>
      </c>
      <c r="O2318">
        <v>8</v>
      </c>
      <c r="P2318" s="2" t="s">
        <v>114</v>
      </c>
    </row>
    <row r="2319" spans="1:16" x14ac:dyDescent="0.25">
      <c r="A2319" s="2" t="s">
        <v>7673</v>
      </c>
      <c r="B2319" s="2" t="s">
        <v>2570</v>
      </c>
      <c r="C2319" s="2" t="s">
        <v>29</v>
      </c>
      <c r="D2319" s="2" t="s">
        <v>50</v>
      </c>
      <c r="E2319" s="2" t="s">
        <v>20</v>
      </c>
      <c r="F2319" s="2" t="s">
        <v>39</v>
      </c>
      <c r="G2319" s="2" t="s">
        <v>22</v>
      </c>
      <c r="H2319" s="2" t="s">
        <v>23</v>
      </c>
      <c r="I2319" s="2" t="s">
        <v>24</v>
      </c>
      <c r="J2319" s="2" t="s">
        <v>7674</v>
      </c>
      <c r="K2319" s="2" t="s">
        <v>2422</v>
      </c>
      <c r="L2319">
        <v>4</v>
      </c>
      <c r="M2319" s="1">
        <v>152000</v>
      </c>
      <c r="N2319">
        <v>3.2</v>
      </c>
      <c r="O2319">
        <v>9</v>
      </c>
      <c r="P2319" s="2" t="s">
        <v>26</v>
      </c>
    </row>
    <row r="2320" spans="1:16" x14ac:dyDescent="0.25">
      <c r="A2320" s="2" t="s">
        <v>7675</v>
      </c>
      <c r="B2320" s="2" t="s">
        <v>301</v>
      </c>
      <c r="C2320" s="2" t="s">
        <v>18</v>
      </c>
      <c r="D2320" s="2" t="s">
        <v>50</v>
      </c>
      <c r="E2320" s="2" t="s">
        <v>20</v>
      </c>
      <c r="F2320" s="2" t="s">
        <v>39</v>
      </c>
      <c r="G2320" s="2" t="s">
        <v>22</v>
      </c>
      <c r="H2320" s="2" t="s">
        <v>46</v>
      </c>
      <c r="I2320" s="2" t="s">
        <v>35</v>
      </c>
      <c r="J2320" s="2" t="s">
        <v>1629</v>
      </c>
      <c r="K2320" s="2" t="s">
        <v>2422</v>
      </c>
      <c r="L2320">
        <v>4</v>
      </c>
      <c r="M2320" s="1">
        <v>159000</v>
      </c>
      <c r="N2320">
        <v>3.9</v>
      </c>
      <c r="O2320">
        <v>3</v>
      </c>
      <c r="P2320" s="2" t="s">
        <v>114</v>
      </c>
    </row>
    <row r="2321" spans="1:16" x14ac:dyDescent="0.25">
      <c r="A2321" s="2" t="s">
        <v>7676</v>
      </c>
      <c r="B2321" s="2" t="s">
        <v>4733</v>
      </c>
      <c r="C2321" s="2" t="s">
        <v>29</v>
      </c>
      <c r="D2321" s="2" t="s">
        <v>30</v>
      </c>
      <c r="E2321" s="2" t="s">
        <v>44</v>
      </c>
      <c r="F2321" s="2" t="s">
        <v>39</v>
      </c>
      <c r="G2321" s="2" t="s">
        <v>33</v>
      </c>
      <c r="H2321" s="2" t="s">
        <v>46</v>
      </c>
      <c r="I2321" s="2" t="s">
        <v>57</v>
      </c>
      <c r="J2321" s="2" t="s">
        <v>4778</v>
      </c>
      <c r="K2321" s="2" t="s">
        <v>6652</v>
      </c>
      <c r="L2321">
        <v>2</v>
      </c>
      <c r="M2321" s="1">
        <v>156000</v>
      </c>
      <c r="N2321">
        <v>2.6</v>
      </c>
      <c r="O2321">
        <v>1</v>
      </c>
      <c r="P2321" s="2" t="s">
        <v>72</v>
      </c>
    </row>
    <row r="2322" spans="1:16" x14ac:dyDescent="0.25">
      <c r="A2322" s="2" t="s">
        <v>7677</v>
      </c>
      <c r="B2322" s="2" t="s">
        <v>4701</v>
      </c>
      <c r="C2322" s="2" t="s">
        <v>18</v>
      </c>
      <c r="D2322" s="2" t="s">
        <v>50</v>
      </c>
      <c r="E2322" s="2" t="s">
        <v>31</v>
      </c>
      <c r="F2322" s="2" t="s">
        <v>21</v>
      </c>
      <c r="G2322" s="2" t="s">
        <v>80</v>
      </c>
      <c r="H2322" s="2" t="s">
        <v>23</v>
      </c>
      <c r="I2322" s="2" t="s">
        <v>57</v>
      </c>
      <c r="J2322" s="2" t="s">
        <v>7678</v>
      </c>
      <c r="K2322" s="2" t="s">
        <v>1649</v>
      </c>
      <c r="L2322">
        <v>3</v>
      </c>
      <c r="M2322" s="1">
        <v>843000</v>
      </c>
      <c r="N2322">
        <v>3.8</v>
      </c>
      <c r="O2322">
        <v>0</v>
      </c>
      <c r="P2322" s="2" t="s">
        <v>26</v>
      </c>
    </row>
    <row r="2323" spans="1:16" x14ac:dyDescent="0.25">
      <c r="A2323" s="2" t="s">
        <v>7680</v>
      </c>
      <c r="B2323" s="2" t="s">
        <v>7681</v>
      </c>
      <c r="C2323" s="2" t="s">
        <v>18</v>
      </c>
      <c r="D2323" s="2" t="s">
        <v>30</v>
      </c>
      <c r="E2323" s="2" t="s">
        <v>20</v>
      </c>
      <c r="F2323" s="2" t="s">
        <v>128</v>
      </c>
      <c r="G2323" s="2" t="s">
        <v>22</v>
      </c>
      <c r="H2323" s="2" t="s">
        <v>23</v>
      </c>
      <c r="I2323" s="2" t="s">
        <v>24</v>
      </c>
      <c r="J2323" s="2" t="s">
        <v>854</v>
      </c>
      <c r="K2323" s="2" t="s">
        <v>1649</v>
      </c>
      <c r="L2323">
        <v>6</v>
      </c>
      <c r="M2323" s="1">
        <v>472000</v>
      </c>
      <c r="N2323">
        <v>3.5</v>
      </c>
      <c r="O2323">
        <v>9</v>
      </c>
      <c r="P2323" s="2" t="s">
        <v>72</v>
      </c>
    </row>
    <row r="2324" spans="1:16" x14ac:dyDescent="0.25">
      <c r="A2324" s="2" t="s">
        <v>7682</v>
      </c>
      <c r="B2324" s="2" t="s">
        <v>1359</v>
      </c>
      <c r="C2324" s="2" t="s">
        <v>29</v>
      </c>
      <c r="D2324" s="2" t="s">
        <v>79</v>
      </c>
      <c r="E2324" s="2" t="s">
        <v>20</v>
      </c>
      <c r="F2324" s="2" t="s">
        <v>128</v>
      </c>
      <c r="G2324" s="2" t="s">
        <v>22</v>
      </c>
      <c r="H2324" s="2" t="s">
        <v>46</v>
      </c>
      <c r="I2324" s="2" t="s">
        <v>24</v>
      </c>
      <c r="J2324" s="2" t="s">
        <v>7683</v>
      </c>
      <c r="K2324" s="2" t="s">
        <v>7685</v>
      </c>
      <c r="L2324">
        <v>6</v>
      </c>
      <c r="M2324" s="1">
        <v>464000</v>
      </c>
      <c r="N2324">
        <v>3.8</v>
      </c>
      <c r="O2324">
        <v>5</v>
      </c>
      <c r="P2324" s="2" t="s">
        <v>26</v>
      </c>
    </row>
    <row r="2325" spans="1:16" x14ac:dyDescent="0.25">
      <c r="A2325" s="2" t="s">
        <v>7684</v>
      </c>
      <c r="B2325" s="2" t="s">
        <v>2398</v>
      </c>
      <c r="C2325" s="2" t="s">
        <v>18</v>
      </c>
      <c r="D2325" s="2" t="s">
        <v>30</v>
      </c>
      <c r="E2325" s="2" t="s">
        <v>20</v>
      </c>
      <c r="F2325" s="2" t="s">
        <v>128</v>
      </c>
      <c r="G2325" s="2" t="s">
        <v>33</v>
      </c>
      <c r="H2325" s="2" t="s">
        <v>62</v>
      </c>
      <c r="I2325" s="2" t="s">
        <v>24</v>
      </c>
      <c r="J2325" s="2" t="s">
        <v>4281</v>
      </c>
      <c r="K2325" s="2" t="s">
        <v>7685</v>
      </c>
      <c r="L2325">
        <v>2</v>
      </c>
      <c r="M2325" s="1">
        <v>536000</v>
      </c>
      <c r="N2325">
        <v>4</v>
      </c>
      <c r="O2325">
        <v>3</v>
      </c>
      <c r="P2325" s="2" t="s">
        <v>53</v>
      </c>
    </row>
    <row r="2326" spans="1:16" x14ac:dyDescent="0.25">
      <c r="A2326" s="2" t="s">
        <v>7688</v>
      </c>
      <c r="B2326" s="2" t="s">
        <v>7689</v>
      </c>
      <c r="C2326" s="2" t="s">
        <v>29</v>
      </c>
      <c r="D2326" s="2" t="s">
        <v>79</v>
      </c>
      <c r="E2326" s="2" t="s">
        <v>20</v>
      </c>
      <c r="F2326" s="2" t="s">
        <v>45</v>
      </c>
      <c r="G2326" s="2" t="s">
        <v>33</v>
      </c>
      <c r="H2326" s="2" t="s">
        <v>46</v>
      </c>
      <c r="I2326" s="2" t="s">
        <v>75</v>
      </c>
      <c r="J2326" s="2" t="s">
        <v>3545</v>
      </c>
      <c r="K2326" s="2" t="s">
        <v>4513</v>
      </c>
      <c r="L2326">
        <v>2</v>
      </c>
      <c r="M2326" s="1">
        <v>1391000</v>
      </c>
      <c r="N2326">
        <v>3</v>
      </c>
      <c r="O2326">
        <v>12</v>
      </c>
      <c r="P2326" s="2" t="s">
        <v>26</v>
      </c>
    </row>
    <row r="2327" spans="1:16" x14ac:dyDescent="0.25">
      <c r="A2327" s="2" t="s">
        <v>7690</v>
      </c>
      <c r="B2327" s="2" t="s">
        <v>6736</v>
      </c>
      <c r="C2327" s="2" t="s">
        <v>29</v>
      </c>
      <c r="D2327" s="2" t="s">
        <v>19</v>
      </c>
      <c r="E2327" s="2" t="s">
        <v>20</v>
      </c>
      <c r="F2327" s="2" t="s">
        <v>32</v>
      </c>
      <c r="G2327" s="2" t="s">
        <v>22</v>
      </c>
      <c r="H2327" s="2" t="s">
        <v>23</v>
      </c>
      <c r="I2327" s="2" t="s">
        <v>24</v>
      </c>
      <c r="J2327" s="2" t="s">
        <v>7661</v>
      </c>
      <c r="K2327" s="2" t="s">
        <v>4513</v>
      </c>
      <c r="L2327">
        <v>5</v>
      </c>
      <c r="M2327" s="1">
        <v>272000</v>
      </c>
      <c r="N2327">
        <v>4.5999999999999996</v>
      </c>
      <c r="O2327">
        <v>12</v>
      </c>
      <c r="P2327" s="2" t="s">
        <v>53</v>
      </c>
    </row>
    <row r="2328" spans="1:16" x14ac:dyDescent="0.25">
      <c r="A2328" s="2" t="s">
        <v>7693</v>
      </c>
      <c r="B2328" s="2" t="s">
        <v>3649</v>
      </c>
      <c r="C2328" s="2" t="s">
        <v>29</v>
      </c>
      <c r="D2328" s="2" t="s">
        <v>19</v>
      </c>
      <c r="E2328" s="2" t="s">
        <v>44</v>
      </c>
      <c r="F2328" s="2" t="s">
        <v>39</v>
      </c>
      <c r="G2328" s="2" t="s">
        <v>80</v>
      </c>
      <c r="H2328" s="2" t="s">
        <v>34</v>
      </c>
      <c r="I2328" s="2" t="s">
        <v>24</v>
      </c>
      <c r="J2328" s="2" t="s">
        <v>3062</v>
      </c>
      <c r="K2328" s="2" t="s">
        <v>7694</v>
      </c>
      <c r="L2328">
        <v>3</v>
      </c>
      <c r="M2328" s="1">
        <v>156000</v>
      </c>
      <c r="N2328">
        <v>2.6</v>
      </c>
      <c r="O2328">
        <v>33</v>
      </c>
      <c r="P2328" s="2" t="s">
        <v>53</v>
      </c>
    </row>
    <row r="2329" spans="1:16" x14ac:dyDescent="0.25">
      <c r="A2329" s="2" t="s">
        <v>7695</v>
      </c>
      <c r="B2329" s="2" t="s">
        <v>7696</v>
      </c>
      <c r="C2329" s="2" t="s">
        <v>18</v>
      </c>
      <c r="D2329" s="2" t="s">
        <v>79</v>
      </c>
      <c r="E2329" s="2" t="s">
        <v>20</v>
      </c>
      <c r="F2329" s="2" t="s">
        <v>128</v>
      </c>
      <c r="G2329" s="2" t="s">
        <v>33</v>
      </c>
      <c r="H2329" s="2" t="s">
        <v>46</v>
      </c>
      <c r="I2329" s="2" t="s">
        <v>24</v>
      </c>
      <c r="J2329" s="2" t="s">
        <v>7697</v>
      </c>
      <c r="K2329" s="2" t="s">
        <v>6815</v>
      </c>
      <c r="L2329">
        <v>6</v>
      </c>
      <c r="M2329" s="1">
        <v>527000</v>
      </c>
      <c r="N2329">
        <v>2.4</v>
      </c>
      <c r="O2329">
        <v>7</v>
      </c>
      <c r="P2329" s="2" t="s">
        <v>26</v>
      </c>
    </row>
    <row r="2330" spans="1:16" x14ac:dyDescent="0.25">
      <c r="A2330" s="2" t="s">
        <v>7700</v>
      </c>
      <c r="B2330" s="2" t="s">
        <v>7701</v>
      </c>
      <c r="C2330" s="2" t="s">
        <v>29</v>
      </c>
      <c r="D2330" s="2" t="s">
        <v>79</v>
      </c>
      <c r="E2330" s="2" t="s">
        <v>20</v>
      </c>
      <c r="F2330" s="2" t="s">
        <v>32</v>
      </c>
      <c r="G2330" s="2" t="s">
        <v>80</v>
      </c>
      <c r="H2330" s="2" t="s">
        <v>23</v>
      </c>
      <c r="I2330" s="2" t="s">
        <v>75</v>
      </c>
      <c r="J2330" s="2" t="s">
        <v>411</v>
      </c>
      <c r="K2330" s="2" t="s">
        <v>6815</v>
      </c>
      <c r="L2330">
        <v>4</v>
      </c>
      <c r="M2330" s="1">
        <v>251000</v>
      </c>
      <c r="N2330">
        <v>2.6</v>
      </c>
      <c r="O2330">
        <v>22</v>
      </c>
      <c r="P2330" s="2" t="s">
        <v>26</v>
      </c>
    </row>
    <row r="2331" spans="1:16" x14ac:dyDescent="0.25">
      <c r="A2331" s="2" t="s">
        <v>7702</v>
      </c>
      <c r="B2331" s="2" t="s">
        <v>3100</v>
      </c>
      <c r="C2331" s="2" t="s">
        <v>29</v>
      </c>
      <c r="D2331" s="2" t="s">
        <v>30</v>
      </c>
      <c r="E2331" s="2" t="s">
        <v>20</v>
      </c>
      <c r="F2331" s="2" t="s">
        <v>39</v>
      </c>
      <c r="G2331" s="2" t="s">
        <v>80</v>
      </c>
      <c r="H2331" s="2" t="s">
        <v>23</v>
      </c>
      <c r="I2331" s="2" t="s">
        <v>171</v>
      </c>
      <c r="J2331" s="2" t="s">
        <v>487</v>
      </c>
      <c r="K2331" s="2" t="s">
        <v>6815</v>
      </c>
      <c r="L2331">
        <v>2</v>
      </c>
      <c r="M2331" s="1">
        <v>115000</v>
      </c>
      <c r="N2331">
        <v>2.9</v>
      </c>
      <c r="O2331">
        <v>10</v>
      </c>
      <c r="P2331" s="2" t="s">
        <v>53</v>
      </c>
    </row>
    <row r="2332" spans="1:16" x14ac:dyDescent="0.25">
      <c r="A2332" s="2" t="s">
        <v>7705</v>
      </c>
      <c r="B2332" s="2" t="s">
        <v>6845</v>
      </c>
      <c r="C2332" s="2" t="s">
        <v>29</v>
      </c>
      <c r="D2332" s="2" t="s">
        <v>50</v>
      </c>
      <c r="E2332" s="2" t="s">
        <v>20</v>
      </c>
      <c r="F2332" s="2" t="s">
        <v>32</v>
      </c>
      <c r="G2332" s="2" t="s">
        <v>69</v>
      </c>
      <c r="H2332" s="2" t="s">
        <v>62</v>
      </c>
      <c r="I2332" s="2" t="s">
        <v>35</v>
      </c>
      <c r="J2332" s="2" t="s">
        <v>7706</v>
      </c>
      <c r="K2332" s="2" t="s">
        <v>851</v>
      </c>
      <c r="L2332">
        <v>3</v>
      </c>
      <c r="M2332" s="1">
        <v>232000</v>
      </c>
      <c r="N2332">
        <v>2.2999999999999998</v>
      </c>
      <c r="O2332">
        <v>12</v>
      </c>
      <c r="P2332" s="2" t="s">
        <v>26</v>
      </c>
    </row>
    <row r="2333" spans="1:16" x14ac:dyDescent="0.25">
      <c r="A2333" s="2" t="s">
        <v>7707</v>
      </c>
      <c r="B2333" s="2" t="s">
        <v>7708</v>
      </c>
      <c r="C2333" s="2" t="s">
        <v>29</v>
      </c>
      <c r="D2333" s="2" t="s">
        <v>50</v>
      </c>
      <c r="E2333" s="2" t="s">
        <v>20</v>
      </c>
      <c r="F2333" s="2" t="s">
        <v>39</v>
      </c>
      <c r="G2333" s="2" t="s">
        <v>33</v>
      </c>
      <c r="H2333" s="2" t="s">
        <v>23</v>
      </c>
      <c r="I2333" s="2" t="s">
        <v>35</v>
      </c>
      <c r="J2333" s="2" t="s">
        <v>2723</v>
      </c>
      <c r="K2333" s="2" t="s">
        <v>851</v>
      </c>
      <c r="L2333">
        <v>3</v>
      </c>
      <c r="M2333" s="1">
        <v>116000</v>
      </c>
      <c r="N2333">
        <v>4.2</v>
      </c>
      <c r="O2333">
        <v>0</v>
      </c>
      <c r="P2333" s="2" t="s">
        <v>26</v>
      </c>
    </row>
    <row r="2334" spans="1:16" x14ac:dyDescent="0.25">
      <c r="A2334" s="2" t="s">
        <v>7711</v>
      </c>
      <c r="B2334" s="2" t="s">
        <v>4040</v>
      </c>
      <c r="C2334" s="2" t="s">
        <v>18</v>
      </c>
      <c r="D2334" s="2" t="s">
        <v>43</v>
      </c>
      <c r="E2334" s="2" t="s">
        <v>20</v>
      </c>
      <c r="F2334" s="2" t="s">
        <v>32</v>
      </c>
      <c r="G2334" s="2" t="s">
        <v>33</v>
      </c>
      <c r="H2334" s="2" t="s">
        <v>23</v>
      </c>
      <c r="I2334" s="2" t="s">
        <v>24</v>
      </c>
      <c r="J2334" s="2" t="s">
        <v>1282</v>
      </c>
      <c r="K2334" s="2" t="s">
        <v>851</v>
      </c>
      <c r="L2334">
        <v>2</v>
      </c>
      <c r="M2334" s="1">
        <v>230000</v>
      </c>
      <c r="N2334">
        <v>2.1</v>
      </c>
      <c r="O2334">
        <v>4</v>
      </c>
      <c r="P2334" s="2" t="s">
        <v>53</v>
      </c>
    </row>
    <row r="2335" spans="1:16" x14ac:dyDescent="0.25">
      <c r="A2335" s="2" t="s">
        <v>7712</v>
      </c>
      <c r="B2335" s="2" t="s">
        <v>7713</v>
      </c>
      <c r="C2335" s="2" t="s">
        <v>18</v>
      </c>
      <c r="D2335" s="2" t="s">
        <v>79</v>
      </c>
      <c r="E2335" s="2" t="s">
        <v>20</v>
      </c>
      <c r="F2335" s="2" t="s">
        <v>32</v>
      </c>
      <c r="G2335" s="2" t="s">
        <v>69</v>
      </c>
      <c r="H2335" s="2" t="s">
        <v>23</v>
      </c>
      <c r="I2335" s="2" t="s">
        <v>24</v>
      </c>
      <c r="J2335" s="2" t="s">
        <v>7714</v>
      </c>
      <c r="K2335" s="2" t="s">
        <v>3326</v>
      </c>
      <c r="L2335">
        <v>6</v>
      </c>
      <c r="M2335" s="1">
        <v>186000</v>
      </c>
      <c r="N2335">
        <v>2</v>
      </c>
      <c r="O2335">
        <v>6</v>
      </c>
      <c r="P2335" s="2" t="s">
        <v>26</v>
      </c>
    </row>
    <row r="2336" spans="1:16" x14ac:dyDescent="0.25">
      <c r="A2336" s="2" t="s">
        <v>7716</v>
      </c>
      <c r="B2336" s="2" t="s">
        <v>4121</v>
      </c>
      <c r="C2336" s="2" t="s">
        <v>18</v>
      </c>
      <c r="D2336" s="2" t="s">
        <v>30</v>
      </c>
      <c r="E2336" s="2" t="s">
        <v>20</v>
      </c>
      <c r="F2336" s="2" t="s">
        <v>39</v>
      </c>
      <c r="G2336" s="2" t="s">
        <v>22</v>
      </c>
      <c r="H2336" s="2" t="s">
        <v>23</v>
      </c>
      <c r="I2336" s="2" t="s">
        <v>35</v>
      </c>
      <c r="J2336" s="2" t="s">
        <v>709</v>
      </c>
      <c r="K2336" s="2" t="s">
        <v>3326</v>
      </c>
      <c r="L2336">
        <v>3</v>
      </c>
      <c r="M2336" s="1">
        <v>90000</v>
      </c>
      <c r="N2336">
        <v>2.2999999999999998</v>
      </c>
      <c r="O2336">
        <v>8</v>
      </c>
      <c r="P2336" s="2" t="s">
        <v>26</v>
      </c>
    </row>
    <row r="2337" spans="1:16" x14ac:dyDescent="0.25">
      <c r="A2337" s="2" t="s">
        <v>7724</v>
      </c>
      <c r="B2337" s="2" t="s">
        <v>4418</v>
      </c>
      <c r="C2337" s="2" t="s">
        <v>18</v>
      </c>
      <c r="D2337" s="2" t="s">
        <v>43</v>
      </c>
      <c r="E2337" s="2" t="s">
        <v>44</v>
      </c>
      <c r="F2337" s="2" t="s">
        <v>32</v>
      </c>
      <c r="G2337" s="2" t="s">
        <v>80</v>
      </c>
      <c r="H2337" s="2" t="s">
        <v>23</v>
      </c>
      <c r="I2337" s="2" t="s">
        <v>24</v>
      </c>
      <c r="J2337" s="2" t="s">
        <v>3768</v>
      </c>
      <c r="K2337" s="2" t="s">
        <v>3326</v>
      </c>
      <c r="L2337">
        <v>6</v>
      </c>
      <c r="M2337" s="1">
        <v>312000</v>
      </c>
      <c r="N2337">
        <v>3.9</v>
      </c>
      <c r="O2337">
        <v>0</v>
      </c>
      <c r="P2337" s="2" t="s">
        <v>53</v>
      </c>
    </row>
    <row r="2338" spans="1:16" x14ac:dyDescent="0.25">
      <c r="A2338" s="2" t="s">
        <v>7725</v>
      </c>
      <c r="B2338" s="2" t="s">
        <v>7726</v>
      </c>
      <c r="C2338" s="2" t="s">
        <v>18</v>
      </c>
      <c r="D2338" s="2" t="s">
        <v>50</v>
      </c>
      <c r="E2338" s="2" t="s">
        <v>44</v>
      </c>
      <c r="F2338" s="2" t="s">
        <v>39</v>
      </c>
      <c r="G2338" s="2" t="s">
        <v>22</v>
      </c>
      <c r="H2338" s="2" t="s">
        <v>23</v>
      </c>
      <c r="I2338" s="2" t="s">
        <v>24</v>
      </c>
      <c r="J2338" s="2" t="s">
        <v>1494</v>
      </c>
      <c r="K2338" s="2" t="s">
        <v>7727</v>
      </c>
      <c r="L2338">
        <v>3</v>
      </c>
      <c r="M2338" s="1">
        <v>173000</v>
      </c>
      <c r="N2338">
        <v>2</v>
      </c>
      <c r="O2338">
        <v>25</v>
      </c>
      <c r="P2338" s="2" t="s">
        <v>114</v>
      </c>
    </row>
    <row r="2339" spans="1:16" x14ac:dyDescent="0.25">
      <c r="A2339" s="2" t="s">
        <v>7731</v>
      </c>
      <c r="B2339" s="2" t="s">
        <v>6975</v>
      </c>
      <c r="C2339" s="2" t="s">
        <v>18</v>
      </c>
      <c r="D2339" s="2" t="s">
        <v>79</v>
      </c>
      <c r="E2339" s="2" t="s">
        <v>44</v>
      </c>
      <c r="F2339" s="2" t="s">
        <v>128</v>
      </c>
      <c r="G2339" s="2" t="s">
        <v>22</v>
      </c>
      <c r="H2339" s="2" t="s">
        <v>23</v>
      </c>
      <c r="I2339" s="2" t="s">
        <v>57</v>
      </c>
      <c r="J2339" s="2" t="s">
        <v>2916</v>
      </c>
      <c r="K2339" s="2" t="s">
        <v>2094</v>
      </c>
      <c r="L2339">
        <v>5</v>
      </c>
      <c r="M2339" s="1">
        <v>411000</v>
      </c>
      <c r="N2339">
        <v>2.1</v>
      </c>
      <c r="O2339">
        <v>4</v>
      </c>
      <c r="P2339" s="2" t="s">
        <v>26</v>
      </c>
    </row>
    <row r="2340" spans="1:16" x14ac:dyDescent="0.25">
      <c r="A2340" s="2" t="s">
        <v>7732</v>
      </c>
      <c r="B2340" s="2" t="s">
        <v>7733</v>
      </c>
      <c r="C2340" s="2" t="s">
        <v>29</v>
      </c>
      <c r="D2340" s="2" t="s">
        <v>30</v>
      </c>
      <c r="E2340" s="2" t="s">
        <v>20</v>
      </c>
      <c r="F2340" s="2" t="s">
        <v>39</v>
      </c>
      <c r="G2340" s="2" t="s">
        <v>69</v>
      </c>
      <c r="H2340" s="2" t="s">
        <v>23</v>
      </c>
      <c r="I2340" s="2" t="s">
        <v>57</v>
      </c>
      <c r="J2340" s="2" t="s">
        <v>2653</v>
      </c>
      <c r="K2340" s="2" t="s">
        <v>2094</v>
      </c>
      <c r="L2340">
        <v>5</v>
      </c>
      <c r="M2340" s="1">
        <v>156000</v>
      </c>
      <c r="N2340">
        <v>3.4</v>
      </c>
      <c r="O2340">
        <v>4</v>
      </c>
      <c r="P2340" s="2" t="s">
        <v>26</v>
      </c>
    </row>
    <row r="2341" spans="1:16" x14ac:dyDescent="0.25">
      <c r="A2341" s="2" t="s">
        <v>7736</v>
      </c>
      <c r="B2341" s="2" t="s">
        <v>7737</v>
      </c>
      <c r="C2341" s="2" t="s">
        <v>18</v>
      </c>
      <c r="D2341" s="2" t="s">
        <v>30</v>
      </c>
      <c r="E2341" s="2" t="s">
        <v>20</v>
      </c>
      <c r="F2341" s="2" t="s">
        <v>39</v>
      </c>
      <c r="G2341" s="2" t="s">
        <v>22</v>
      </c>
      <c r="H2341" s="2" t="s">
        <v>34</v>
      </c>
      <c r="I2341" s="2" t="s">
        <v>35</v>
      </c>
      <c r="J2341" s="2" t="s">
        <v>2612</v>
      </c>
      <c r="K2341" s="2" t="s">
        <v>2094</v>
      </c>
      <c r="L2341">
        <v>7</v>
      </c>
      <c r="M2341" s="1">
        <v>96000</v>
      </c>
      <c r="N2341">
        <v>3.3</v>
      </c>
      <c r="O2341">
        <v>29</v>
      </c>
      <c r="P2341" s="2" t="s">
        <v>53</v>
      </c>
    </row>
    <row r="2342" spans="1:16" x14ac:dyDescent="0.25">
      <c r="A2342" s="2" t="s">
        <v>7740</v>
      </c>
      <c r="B2342" s="2" t="s">
        <v>7741</v>
      </c>
      <c r="C2342" s="2" t="s">
        <v>18</v>
      </c>
      <c r="D2342" s="2" t="s">
        <v>19</v>
      </c>
      <c r="E2342" s="2" t="s">
        <v>44</v>
      </c>
      <c r="F2342" s="2" t="s">
        <v>128</v>
      </c>
      <c r="G2342" s="2" t="s">
        <v>22</v>
      </c>
      <c r="H2342" s="2" t="s">
        <v>34</v>
      </c>
      <c r="I2342" s="2" t="s">
        <v>57</v>
      </c>
      <c r="J2342" s="2" t="s">
        <v>5294</v>
      </c>
      <c r="K2342" s="2" t="s">
        <v>1243</v>
      </c>
      <c r="L2342">
        <v>5</v>
      </c>
      <c r="M2342" s="1">
        <v>628000</v>
      </c>
      <c r="N2342">
        <v>3.4</v>
      </c>
      <c r="O2342">
        <v>26</v>
      </c>
      <c r="P2342" s="2" t="s">
        <v>53</v>
      </c>
    </row>
    <row r="2343" spans="1:16" x14ac:dyDescent="0.25">
      <c r="A2343" s="2" t="s">
        <v>7742</v>
      </c>
      <c r="B2343" s="2" t="s">
        <v>7743</v>
      </c>
      <c r="C2343" s="2" t="s">
        <v>18</v>
      </c>
      <c r="D2343" s="2" t="s">
        <v>50</v>
      </c>
      <c r="E2343" s="2" t="s">
        <v>20</v>
      </c>
      <c r="F2343" s="2" t="s">
        <v>39</v>
      </c>
      <c r="G2343" s="2" t="s">
        <v>22</v>
      </c>
      <c r="H2343" s="2" t="s">
        <v>62</v>
      </c>
      <c r="I2343" s="2" t="s">
        <v>57</v>
      </c>
      <c r="J2343" s="2" t="s">
        <v>1652</v>
      </c>
      <c r="K2343" s="2" t="s">
        <v>4567</v>
      </c>
      <c r="L2343">
        <v>3</v>
      </c>
      <c r="M2343" s="1">
        <v>111000</v>
      </c>
      <c r="N2343">
        <v>3.9</v>
      </c>
      <c r="O2343">
        <v>6</v>
      </c>
      <c r="P2343" s="2" t="s">
        <v>26</v>
      </c>
    </row>
    <row r="2344" spans="1:16" x14ac:dyDescent="0.25">
      <c r="A2344" s="2" t="s">
        <v>7748</v>
      </c>
      <c r="B2344" s="2" t="s">
        <v>7749</v>
      </c>
      <c r="C2344" s="2" t="s">
        <v>18</v>
      </c>
      <c r="D2344" s="2" t="s">
        <v>50</v>
      </c>
      <c r="E2344" s="2" t="s">
        <v>44</v>
      </c>
      <c r="F2344" s="2" t="s">
        <v>32</v>
      </c>
      <c r="G2344" s="2" t="s">
        <v>33</v>
      </c>
      <c r="H2344" s="2" t="s">
        <v>23</v>
      </c>
      <c r="I2344" s="2" t="s">
        <v>24</v>
      </c>
      <c r="J2344" s="2" t="s">
        <v>3618</v>
      </c>
      <c r="K2344" s="2" t="s">
        <v>4567</v>
      </c>
      <c r="L2344">
        <v>4</v>
      </c>
      <c r="M2344" s="1">
        <v>271000</v>
      </c>
      <c r="N2344">
        <v>4.5</v>
      </c>
      <c r="O2344">
        <v>5</v>
      </c>
      <c r="P2344" s="2" t="s">
        <v>26</v>
      </c>
    </row>
    <row r="2345" spans="1:16" x14ac:dyDescent="0.25">
      <c r="A2345" s="2" t="s">
        <v>7750</v>
      </c>
      <c r="B2345" s="2" t="s">
        <v>151</v>
      </c>
      <c r="C2345" s="2" t="s">
        <v>18</v>
      </c>
      <c r="D2345" s="2" t="s">
        <v>79</v>
      </c>
      <c r="E2345" s="2" t="s">
        <v>20</v>
      </c>
      <c r="F2345" s="2" t="s">
        <v>128</v>
      </c>
      <c r="G2345" s="2" t="s">
        <v>80</v>
      </c>
      <c r="H2345" s="2" t="s">
        <v>23</v>
      </c>
      <c r="I2345" s="2" t="s">
        <v>35</v>
      </c>
      <c r="J2345" s="2" t="s">
        <v>5987</v>
      </c>
      <c r="K2345" s="2" t="s">
        <v>4567</v>
      </c>
      <c r="L2345">
        <v>6</v>
      </c>
      <c r="M2345" s="1">
        <v>564000</v>
      </c>
      <c r="N2345">
        <v>2.7</v>
      </c>
      <c r="O2345">
        <v>5</v>
      </c>
      <c r="P2345" s="2" t="s">
        <v>26</v>
      </c>
    </row>
    <row r="2346" spans="1:16" x14ac:dyDescent="0.25">
      <c r="A2346" s="2" t="s">
        <v>7751</v>
      </c>
      <c r="B2346" s="2" t="s">
        <v>7752</v>
      </c>
      <c r="C2346" s="2" t="s">
        <v>29</v>
      </c>
      <c r="D2346" s="2" t="s">
        <v>19</v>
      </c>
      <c r="E2346" s="2" t="s">
        <v>20</v>
      </c>
      <c r="F2346" s="2" t="s">
        <v>45</v>
      </c>
      <c r="G2346" s="2" t="s">
        <v>22</v>
      </c>
      <c r="H2346" s="2" t="s">
        <v>62</v>
      </c>
      <c r="I2346" s="2" t="s">
        <v>171</v>
      </c>
      <c r="J2346" s="2" t="s">
        <v>5787</v>
      </c>
      <c r="K2346" s="2" t="s">
        <v>4567</v>
      </c>
      <c r="L2346">
        <v>3</v>
      </c>
      <c r="M2346" s="1">
        <v>2193000</v>
      </c>
      <c r="N2346">
        <v>4.7</v>
      </c>
      <c r="O2346">
        <v>2</v>
      </c>
      <c r="P2346" s="2" t="s">
        <v>26</v>
      </c>
    </row>
    <row r="2347" spans="1:16" x14ac:dyDescent="0.25">
      <c r="A2347" s="2" t="s">
        <v>7753</v>
      </c>
      <c r="B2347" s="2" t="s">
        <v>7490</v>
      </c>
      <c r="C2347" s="2" t="s">
        <v>18</v>
      </c>
      <c r="D2347" s="2" t="s">
        <v>43</v>
      </c>
      <c r="E2347" s="2" t="s">
        <v>20</v>
      </c>
      <c r="F2347" s="2" t="s">
        <v>39</v>
      </c>
      <c r="G2347" s="2" t="s">
        <v>22</v>
      </c>
      <c r="H2347" s="2" t="s">
        <v>23</v>
      </c>
      <c r="I2347" s="2" t="s">
        <v>171</v>
      </c>
      <c r="J2347" s="2" t="s">
        <v>36</v>
      </c>
      <c r="K2347" s="2" t="s">
        <v>4567</v>
      </c>
      <c r="L2347">
        <v>6</v>
      </c>
      <c r="M2347" s="1">
        <v>111000</v>
      </c>
      <c r="N2347">
        <v>4.9000000000000004</v>
      </c>
      <c r="O2347">
        <v>40</v>
      </c>
      <c r="P2347" s="2" t="s">
        <v>53</v>
      </c>
    </row>
    <row r="2348" spans="1:16" x14ac:dyDescent="0.25">
      <c r="A2348" s="2" t="s">
        <v>7755</v>
      </c>
      <c r="B2348" s="2" t="s">
        <v>7756</v>
      </c>
      <c r="C2348" s="2" t="s">
        <v>18</v>
      </c>
      <c r="D2348" s="2" t="s">
        <v>30</v>
      </c>
      <c r="E2348" s="2" t="s">
        <v>20</v>
      </c>
      <c r="F2348" s="2" t="s">
        <v>32</v>
      </c>
      <c r="G2348" s="2" t="s">
        <v>80</v>
      </c>
      <c r="H2348" s="2" t="s">
        <v>23</v>
      </c>
      <c r="I2348" s="2" t="s">
        <v>24</v>
      </c>
      <c r="J2348" s="2" t="s">
        <v>1905</v>
      </c>
      <c r="K2348" s="2" t="s">
        <v>1217</v>
      </c>
      <c r="L2348">
        <v>3</v>
      </c>
      <c r="M2348" s="1">
        <v>210000</v>
      </c>
      <c r="N2348">
        <v>3.1</v>
      </c>
      <c r="O2348">
        <v>0</v>
      </c>
      <c r="P2348" s="2" t="s">
        <v>26</v>
      </c>
    </row>
    <row r="2349" spans="1:16" x14ac:dyDescent="0.25">
      <c r="A2349" s="2" t="s">
        <v>7757</v>
      </c>
      <c r="B2349" s="2" t="s">
        <v>7758</v>
      </c>
      <c r="C2349" s="2" t="s">
        <v>18</v>
      </c>
      <c r="D2349" s="2" t="s">
        <v>19</v>
      </c>
      <c r="E2349" s="2" t="s">
        <v>20</v>
      </c>
      <c r="F2349" s="2" t="s">
        <v>32</v>
      </c>
      <c r="G2349" s="2" t="s">
        <v>80</v>
      </c>
      <c r="H2349" s="2" t="s">
        <v>46</v>
      </c>
      <c r="I2349" s="2" t="s">
        <v>57</v>
      </c>
      <c r="J2349" s="2" t="s">
        <v>2464</v>
      </c>
      <c r="K2349" s="2" t="s">
        <v>1217</v>
      </c>
      <c r="L2349">
        <v>5</v>
      </c>
      <c r="M2349" s="1">
        <v>308000</v>
      </c>
      <c r="N2349">
        <v>4.9000000000000004</v>
      </c>
      <c r="O2349">
        <v>2</v>
      </c>
      <c r="P2349" s="2" t="s">
        <v>114</v>
      </c>
    </row>
    <row r="2350" spans="1:16" x14ac:dyDescent="0.25">
      <c r="A2350" s="2" t="s">
        <v>7759</v>
      </c>
      <c r="B2350" s="2" t="s">
        <v>3519</v>
      </c>
      <c r="C2350" s="2" t="s">
        <v>29</v>
      </c>
      <c r="D2350" s="2" t="s">
        <v>79</v>
      </c>
      <c r="E2350" s="2" t="s">
        <v>20</v>
      </c>
      <c r="F2350" s="2" t="s">
        <v>45</v>
      </c>
      <c r="G2350" s="2" t="s">
        <v>22</v>
      </c>
      <c r="H2350" s="2" t="s">
        <v>23</v>
      </c>
      <c r="I2350" s="2" t="s">
        <v>35</v>
      </c>
      <c r="J2350" s="2" t="s">
        <v>2223</v>
      </c>
      <c r="K2350" s="2" t="s">
        <v>385</v>
      </c>
      <c r="L2350">
        <v>5</v>
      </c>
      <c r="M2350" s="1">
        <v>1802000</v>
      </c>
      <c r="N2350">
        <v>3.8</v>
      </c>
      <c r="O2350">
        <v>8</v>
      </c>
      <c r="P2350" s="2" t="s">
        <v>26</v>
      </c>
    </row>
    <row r="2351" spans="1:16" x14ac:dyDescent="0.25">
      <c r="A2351" s="2" t="s">
        <v>7766</v>
      </c>
      <c r="B2351" s="2" t="s">
        <v>4511</v>
      </c>
      <c r="C2351" s="2" t="s">
        <v>18</v>
      </c>
      <c r="D2351" s="2" t="s">
        <v>50</v>
      </c>
      <c r="E2351" s="2" t="s">
        <v>31</v>
      </c>
      <c r="F2351" s="2" t="s">
        <v>21</v>
      </c>
      <c r="G2351" s="2" t="s">
        <v>80</v>
      </c>
      <c r="H2351" s="2" t="s">
        <v>34</v>
      </c>
      <c r="I2351" s="2" t="s">
        <v>24</v>
      </c>
      <c r="J2351" s="2" t="s">
        <v>7403</v>
      </c>
      <c r="K2351" s="2" t="s">
        <v>385</v>
      </c>
      <c r="L2351">
        <v>5</v>
      </c>
      <c r="M2351" s="1">
        <v>728000</v>
      </c>
      <c r="N2351">
        <v>4.7</v>
      </c>
      <c r="O2351">
        <v>20</v>
      </c>
      <c r="P2351" s="2" t="s">
        <v>53</v>
      </c>
    </row>
    <row r="2352" spans="1:16" x14ac:dyDescent="0.25">
      <c r="A2352" s="2" t="s">
        <v>7769</v>
      </c>
      <c r="B2352" s="2" t="s">
        <v>1829</v>
      </c>
      <c r="C2352" s="2" t="s">
        <v>29</v>
      </c>
      <c r="D2352" s="2" t="s">
        <v>50</v>
      </c>
      <c r="E2352" s="2" t="s">
        <v>44</v>
      </c>
      <c r="F2352" s="2" t="s">
        <v>32</v>
      </c>
      <c r="G2352" s="2" t="s">
        <v>22</v>
      </c>
      <c r="H2352" s="2" t="s">
        <v>23</v>
      </c>
      <c r="I2352" s="2" t="s">
        <v>57</v>
      </c>
      <c r="J2352" s="2" t="s">
        <v>2124</v>
      </c>
      <c r="K2352" s="2" t="s">
        <v>1327</v>
      </c>
      <c r="L2352">
        <v>3</v>
      </c>
      <c r="M2352" s="1">
        <v>220000</v>
      </c>
      <c r="N2352">
        <v>2.7</v>
      </c>
      <c r="O2352">
        <v>12</v>
      </c>
      <c r="P2352" s="2" t="s">
        <v>26</v>
      </c>
    </row>
    <row r="2353" spans="1:16" x14ac:dyDescent="0.25">
      <c r="A2353" s="2" t="s">
        <v>7770</v>
      </c>
      <c r="B2353" s="2" t="s">
        <v>931</v>
      </c>
      <c r="C2353" s="2" t="s">
        <v>29</v>
      </c>
      <c r="D2353" s="2" t="s">
        <v>79</v>
      </c>
      <c r="E2353" s="2" t="s">
        <v>44</v>
      </c>
      <c r="F2353" s="2" t="s">
        <v>32</v>
      </c>
      <c r="G2353" s="2" t="s">
        <v>22</v>
      </c>
      <c r="H2353" s="2" t="s">
        <v>34</v>
      </c>
      <c r="I2353" s="2" t="s">
        <v>24</v>
      </c>
      <c r="J2353" s="2" t="s">
        <v>202</v>
      </c>
      <c r="K2353" s="2" t="s">
        <v>1327</v>
      </c>
      <c r="L2353">
        <v>2</v>
      </c>
      <c r="M2353" s="1">
        <v>323000</v>
      </c>
      <c r="N2353">
        <v>4.9000000000000004</v>
      </c>
      <c r="O2353">
        <v>3</v>
      </c>
      <c r="P2353" s="2" t="s">
        <v>26</v>
      </c>
    </row>
    <row r="2354" spans="1:16" x14ac:dyDescent="0.25">
      <c r="A2354" s="2" t="s">
        <v>7776</v>
      </c>
      <c r="B2354" s="2" t="s">
        <v>42</v>
      </c>
      <c r="C2354" s="2" t="s">
        <v>18</v>
      </c>
      <c r="D2354" s="2" t="s">
        <v>79</v>
      </c>
      <c r="E2354" s="2" t="s">
        <v>20</v>
      </c>
      <c r="F2354" s="2" t="s">
        <v>128</v>
      </c>
      <c r="G2354" s="2" t="s">
        <v>22</v>
      </c>
      <c r="H2354" s="2" t="s">
        <v>34</v>
      </c>
      <c r="I2354" s="2" t="s">
        <v>24</v>
      </c>
      <c r="J2354" s="2" t="s">
        <v>6949</v>
      </c>
      <c r="K2354" s="2" t="s">
        <v>1327</v>
      </c>
      <c r="L2354">
        <v>6</v>
      </c>
      <c r="M2354" s="1">
        <v>527000</v>
      </c>
      <c r="N2354">
        <v>2.5</v>
      </c>
      <c r="O2354">
        <v>8</v>
      </c>
      <c r="P2354" s="2" t="s">
        <v>26</v>
      </c>
    </row>
    <row r="2355" spans="1:16" x14ac:dyDescent="0.25">
      <c r="A2355" s="2" t="s">
        <v>7777</v>
      </c>
      <c r="B2355" s="2" t="s">
        <v>4053</v>
      </c>
      <c r="C2355" s="2" t="s">
        <v>18</v>
      </c>
      <c r="D2355" s="2" t="s">
        <v>19</v>
      </c>
      <c r="E2355" s="2" t="s">
        <v>31</v>
      </c>
      <c r="F2355" s="2" t="s">
        <v>39</v>
      </c>
      <c r="G2355" s="2" t="s">
        <v>22</v>
      </c>
      <c r="H2355" s="2" t="s">
        <v>34</v>
      </c>
      <c r="I2355" s="2" t="s">
        <v>75</v>
      </c>
      <c r="J2355" s="2" t="s">
        <v>235</v>
      </c>
      <c r="K2355" s="2" t="s">
        <v>1327</v>
      </c>
      <c r="L2355">
        <v>3</v>
      </c>
      <c r="M2355" s="1">
        <v>141000</v>
      </c>
      <c r="N2355">
        <v>4.0999999999999996</v>
      </c>
      <c r="O2355">
        <v>4</v>
      </c>
      <c r="P2355" s="2" t="s">
        <v>53</v>
      </c>
    </row>
    <row r="2356" spans="1:16" x14ac:dyDescent="0.25">
      <c r="A2356" s="2" t="s">
        <v>7778</v>
      </c>
      <c r="B2356" s="2" t="s">
        <v>4160</v>
      </c>
      <c r="C2356" s="2" t="s">
        <v>29</v>
      </c>
      <c r="D2356" s="2" t="s">
        <v>19</v>
      </c>
      <c r="E2356" s="2" t="s">
        <v>20</v>
      </c>
      <c r="F2356" s="2" t="s">
        <v>128</v>
      </c>
      <c r="G2356" s="2" t="s">
        <v>33</v>
      </c>
      <c r="H2356" s="2" t="s">
        <v>23</v>
      </c>
      <c r="I2356" s="2" t="s">
        <v>57</v>
      </c>
      <c r="J2356" s="2" t="s">
        <v>1091</v>
      </c>
      <c r="K2356" s="2" t="s">
        <v>7780</v>
      </c>
      <c r="L2356">
        <v>4</v>
      </c>
      <c r="M2356" s="1">
        <v>512000</v>
      </c>
      <c r="N2356">
        <v>3.6</v>
      </c>
      <c r="O2356">
        <v>2</v>
      </c>
      <c r="P2356" s="2" t="s">
        <v>26</v>
      </c>
    </row>
    <row r="2357" spans="1:16" x14ac:dyDescent="0.25">
      <c r="A2357" s="2" t="s">
        <v>7779</v>
      </c>
      <c r="B2357" s="2" t="s">
        <v>3897</v>
      </c>
      <c r="C2357" s="2" t="s">
        <v>29</v>
      </c>
      <c r="D2357" s="2" t="s">
        <v>50</v>
      </c>
      <c r="E2357" s="2" t="s">
        <v>44</v>
      </c>
      <c r="F2357" s="2" t="s">
        <v>32</v>
      </c>
      <c r="G2357" s="2" t="s">
        <v>22</v>
      </c>
      <c r="H2357" s="2" t="s">
        <v>46</v>
      </c>
      <c r="I2357" s="2" t="s">
        <v>57</v>
      </c>
      <c r="J2357" s="2" t="s">
        <v>2534</v>
      </c>
      <c r="K2357" s="2" t="s">
        <v>7780</v>
      </c>
      <c r="L2357">
        <v>6</v>
      </c>
      <c r="M2357" s="1">
        <v>299000</v>
      </c>
      <c r="N2357">
        <v>2.1</v>
      </c>
      <c r="O2357">
        <v>10</v>
      </c>
      <c r="P2357" s="2" t="s">
        <v>72</v>
      </c>
    </row>
    <row r="2358" spans="1:16" x14ac:dyDescent="0.25">
      <c r="A2358" s="2" t="s">
        <v>7781</v>
      </c>
      <c r="B2358" s="2" t="s">
        <v>237</v>
      </c>
      <c r="C2358" s="2" t="s">
        <v>18</v>
      </c>
      <c r="D2358" s="2" t="s">
        <v>30</v>
      </c>
      <c r="E2358" s="2" t="s">
        <v>20</v>
      </c>
      <c r="F2358" s="2" t="s">
        <v>39</v>
      </c>
      <c r="G2358" s="2" t="s">
        <v>22</v>
      </c>
      <c r="H2358" s="2" t="s">
        <v>34</v>
      </c>
      <c r="I2358" s="2" t="s">
        <v>57</v>
      </c>
      <c r="J2358" s="2" t="s">
        <v>2937</v>
      </c>
      <c r="K2358" s="2" t="s">
        <v>2648</v>
      </c>
      <c r="L2358">
        <v>3</v>
      </c>
      <c r="M2358" s="1">
        <v>119000</v>
      </c>
      <c r="N2358">
        <v>2.5</v>
      </c>
      <c r="O2358">
        <v>11</v>
      </c>
      <c r="P2358" s="2" t="s">
        <v>26</v>
      </c>
    </row>
    <row r="2359" spans="1:16" x14ac:dyDescent="0.25">
      <c r="A2359" s="2" t="s">
        <v>7785</v>
      </c>
      <c r="B2359" s="2" t="s">
        <v>571</v>
      </c>
      <c r="C2359" s="2" t="s">
        <v>29</v>
      </c>
      <c r="D2359" s="2" t="s">
        <v>79</v>
      </c>
      <c r="E2359" s="2" t="s">
        <v>20</v>
      </c>
      <c r="F2359" s="2" t="s">
        <v>128</v>
      </c>
      <c r="G2359" s="2" t="s">
        <v>22</v>
      </c>
      <c r="H2359" s="2" t="s">
        <v>23</v>
      </c>
      <c r="I2359" s="2" t="s">
        <v>35</v>
      </c>
      <c r="J2359" s="2" t="s">
        <v>7775</v>
      </c>
      <c r="K2359" s="2" t="s">
        <v>2648</v>
      </c>
      <c r="L2359">
        <v>6</v>
      </c>
      <c r="M2359" s="1">
        <v>468000</v>
      </c>
      <c r="N2359">
        <v>4.0999999999999996</v>
      </c>
      <c r="O2359">
        <v>0</v>
      </c>
      <c r="P2359" s="2" t="s">
        <v>26</v>
      </c>
    </row>
    <row r="2360" spans="1:16" x14ac:dyDescent="0.25">
      <c r="A2360" s="2" t="s">
        <v>7786</v>
      </c>
      <c r="B2360" s="2" t="s">
        <v>5816</v>
      </c>
      <c r="C2360" s="2" t="s">
        <v>29</v>
      </c>
      <c r="D2360" s="2" t="s">
        <v>50</v>
      </c>
      <c r="E2360" s="2" t="s">
        <v>44</v>
      </c>
      <c r="F2360" s="2" t="s">
        <v>39</v>
      </c>
      <c r="G2360" s="2" t="s">
        <v>33</v>
      </c>
      <c r="H2360" s="2" t="s">
        <v>46</v>
      </c>
      <c r="I2360" s="2" t="s">
        <v>24</v>
      </c>
      <c r="J2360" s="2" t="s">
        <v>3953</v>
      </c>
      <c r="K2360" s="2" t="s">
        <v>2648</v>
      </c>
      <c r="L2360">
        <v>3</v>
      </c>
      <c r="M2360" s="1">
        <v>103000</v>
      </c>
      <c r="N2360">
        <v>2.7</v>
      </c>
      <c r="O2360">
        <v>11</v>
      </c>
      <c r="P2360" s="2" t="s">
        <v>26</v>
      </c>
    </row>
    <row r="2361" spans="1:16" x14ac:dyDescent="0.25">
      <c r="A2361" s="2" t="s">
        <v>7788</v>
      </c>
      <c r="B2361" s="2" t="s">
        <v>7789</v>
      </c>
      <c r="C2361" s="2" t="s">
        <v>18</v>
      </c>
      <c r="D2361" s="2" t="s">
        <v>79</v>
      </c>
      <c r="E2361" s="2" t="s">
        <v>20</v>
      </c>
      <c r="F2361" s="2" t="s">
        <v>32</v>
      </c>
      <c r="G2361" s="2" t="s">
        <v>33</v>
      </c>
      <c r="H2361" s="2" t="s">
        <v>23</v>
      </c>
      <c r="I2361" s="2" t="s">
        <v>57</v>
      </c>
      <c r="J2361" s="2" t="s">
        <v>442</v>
      </c>
      <c r="K2361" s="2" t="s">
        <v>2648</v>
      </c>
      <c r="L2361">
        <v>2</v>
      </c>
      <c r="M2361" s="1">
        <v>263000</v>
      </c>
      <c r="N2361">
        <v>2.4</v>
      </c>
      <c r="O2361">
        <v>24</v>
      </c>
      <c r="P2361" s="2" t="s">
        <v>26</v>
      </c>
    </row>
    <row r="2362" spans="1:16" x14ac:dyDescent="0.25">
      <c r="A2362" s="2" t="s">
        <v>2647</v>
      </c>
      <c r="B2362" s="2" t="s">
        <v>2624</v>
      </c>
      <c r="C2362" s="2" t="s">
        <v>18</v>
      </c>
      <c r="D2362" s="2" t="s">
        <v>79</v>
      </c>
      <c r="E2362" s="2" t="s">
        <v>20</v>
      </c>
      <c r="F2362" s="2" t="s">
        <v>128</v>
      </c>
      <c r="G2362" s="2" t="s">
        <v>22</v>
      </c>
      <c r="H2362" s="2" t="s">
        <v>34</v>
      </c>
      <c r="I2362" s="2" t="s">
        <v>24</v>
      </c>
      <c r="J2362" s="2" t="s">
        <v>1554</v>
      </c>
      <c r="K2362" s="2" t="s">
        <v>2648</v>
      </c>
      <c r="L2362">
        <v>4</v>
      </c>
      <c r="M2362" s="1">
        <v>396000</v>
      </c>
      <c r="N2362">
        <v>3.3</v>
      </c>
      <c r="O2362">
        <v>30</v>
      </c>
      <c r="P2362" s="2" t="s">
        <v>114</v>
      </c>
    </row>
    <row r="2363" spans="1:16" x14ac:dyDescent="0.25">
      <c r="A2363" s="2" t="s">
        <v>7796</v>
      </c>
      <c r="B2363" s="2" t="s">
        <v>7797</v>
      </c>
      <c r="C2363" s="2" t="s">
        <v>29</v>
      </c>
      <c r="D2363" s="2" t="s">
        <v>79</v>
      </c>
      <c r="E2363" s="2" t="s">
        <v>20</v>
      </c>
      <c r="F2363" s="2" t="s">
        <v>32</v>
      </c>
      <c r="G2363" s="2" t="s">
        <v>22</v>
      </c>
      <c r="H2363" s="2" t="s">
        <v>46</v>
      </c>
      <c r="I2363" s="2" t="s">
        <v>57</v>
      </c>
      <c r="J2363" s="2" t="s">
        <v>956</v>
      </c>
      <c r="K2363" s="2" t="s">
        <v>5192</v>
      </c>
      <c r="L2363">
        <v>6</v>
      </c>
      <c r="M2363" s="1">
        <v>270000</v>
      </c>
      <c r="N2363">
        <v>4.7</v>
      </c>
      <c r="O2363">
        <v>6</v>
      </c>
      <c r="P2363" s="2" t="s">
        <v>114</v>
      </c>
    </row>
    <row r="2364" spans="1:16" x14ac:dyDescent="0.25">
      <c r="A2364" s="2" t="s">
        <v>7800</v>
      </c>
      <c r="B2364" s="2" t="s">
        <v>93</v>
      </c>
      <c r="C2364" s="2" t="s">
        <v>29</v>
      </c>
      <c r="D2364" s="2" t="s">
        <v>50</v>
      </c>
      <c r="E2364" s="2" t="s">
        <v>20</v>
      </c>
      <c r="F2364" s="2" t="s">
        <v>39</v>
      </c>
      <c r="G2364" s="2" t="s">
        <v>22</v>
      </c>
      <c r="H2364" s="2" t="s">
        <v>46</v>
      </c>
      <c r="I2364" s="2" t="s">
        <v>57</v>
      </c>
      <c r="J2364" s="2" t="s">
        <v>503</v>
      </c>
      <c r="K2364" s="2" t="s">
        <v>7801</v>
      </c>
      <c r="L2364">
        <v>5</v>
      </c>
      <c r="M2364" s="1">
        <v>93000</v>
      </c>
      <c r="N2364">
        <v>2.2000000000000002</v>
      </c>
      <c r="O2364">
        <v>10</v>
      </c>
      <c r="P2364" s="2" t="s">
        <v>53</v>
      </c>
    </row>
    <row r="2365" spans="1:16" x14ac:dyDescent="0.25">
      <c r="A2365" s="2" t="s">
        <v>7803</v>
      </c>
      <c r="B2365" s="2" t="s">
        <v>2009</v>
      </c>
      <c r="C2365" s="2" t="s">
        <v>18</v>
      </c>
      <c r="D2365" s="2" t="s">
        <v>79</v>
      </c>
      <c r="E2365" s="2" t="s">
        <v>44</v>
      </c>
      <c r="F2365" s="2" t="s">
        <v>21</v>
      </c>
      <c r="G2365" s="2" t="s">
        <v>22</v>
      </c>
      <c r="H2365" s="2" t="s">
        <v>23</v>
      </c>
      <c r="I2365" s="2" t="s">
        <v>24</v>
      </c>
      <c r="J2365" s="2" t="s">
        <v>4635</v>
      </c>
      <c r="K2365" s="2" t="s">
        <v>2146</v>
      </c>
      <c r="L2365">
        <v>5</v>
      </c>
      <c r="M2365" s="1">
        <v>922000</v>
      </c>
      <c r="N2365">
        <v>4.4000000000000004</v>
      </c>
      <c r="O2365">
        <v>7</v>
      </c>
      <c r="P2365" s="2" t="s">
        <v>53</v>
      </c>
    </row>
    <row r="2366" spans="1:16" x14ac:dyDescent="0.25">
      <c r="A2366" s="2" t="s">
        <v>7805</v>
      </c>
      <c r="B2366" s="2" t="s">
        <v>574</v>
      </c>
      <c r="C2366" s="2" t="s">
        <v>29</v>
      </c>
      <c r="D2366" s="2" t="s">
        <v>30</v>
      </c>
      <c r="E2366" s="2" t="s">
        <v>20</v>
      </c>
      <c r="F2366" s="2" t="s">
        <v>39</v>
      </c>
      <c r="G2366" s="2" t="s">
        <v>22</v>
      </c>
      <c r="H2366" s="2" t="s">
        <v>34</v>
      </c>
      <c r="I2366" s="2" t="s">
        <v>24</v>
      </c>
      <c r="J2366" s="2" t="s">
        <v>2230</v>
      </c>
      <c r="K2366" s="2" t="s">
        <v>1310</v>
      </c>
      <c r="L2366">
        <v>5</v>
      </c>
      <c r="M2366" s="1">
        <v>163000</v>
      </c>
      <c r="N2366">
        <v>1.8</v>
      </c>
      <c r="O2366">
        <v>8</v>
      </c>
      <c r="P2366" s="2" t="s">
        <v>26</v>
      </c>
    </row>
    <row r="2367" spans="1:16" x14ac:dyDescent="0.25">
      <c r="A2367" s="2" t="s">
        <v>7806</v>
      </c>
      <c r="B2367" s="2" t="s">
        <v>2591</v>
      </c>
      <c r="C2367" s="2" t="s">
        <v>29</v>
      </c>
      <c r="D2367" s="2" t="s">
        <v>43</v>
      </c>
      <c r="E2367" s="2" t="s">
        <v>44</v>
      </c>
      <c r="F2367" s="2" t="s">
        <v>128</v>
      </c>
      <c r="G2367" s="2" t="s">
        <v>80</v>
      </c>
      <c r="H2367" s="2" t="s">
        <v>23</v>
      </c>
      <c r="I2367" s="2" t="s">
        <v>24</v>
      </c>
      <c r="J2367" s="2" t="s">
        <v>7807</v>
      </c>
      <c r="K2367" s="2" t="s">
        <v>1310</v>
      </c>
      <c r="L2367">
        <v>6</v>
      </c>
      <c r="M2367" s="1">
        <v>368000</v>
      </c>
      <c r="N2367">
        <v>4.4000000000000004</v>
      </c>
      <c r="O2367">
        <v>11</v>
      </c>
      <c r="P2367" s="2" t="s">
        <v>26</v>
      </c>
    </row>
    <row r="2368" spans="1:16" x14ac:dyDescent="0.25">
      <c r="A2368" s="2" t="s">
        <v>7808</v>
      </c>
      <c r="B2368" s="2" t="s">
        <v>3868</v>
      </c>
      <c r="C2368" s="2" t="s">
        <v>29</v>
      </c>
      <c r="D2368" s="2" t="s">
        <v>50</v>
      </c>
      <c r="E2368" s="2" t="s">
        <v>20</v>
      </c>
      <c r="F2368" s="2" t="s">
        <v>39</v>
      </c>
      <c r="G2368" s="2" t="s">
        <v>22</v>
      </c>
      <c r="H2368" s="2" t="s">
        <v>46</v>
      </c>
      <c r="I2368" s="2" t="s">
        <v>24</v>
      </c>
      <c r="J2368" s="2" t="s">
        <v>1810</v>
      </c>
      <c r="K2368" s="2" t="s">
        <v>1310</v>
      </c>
      <c r="L2368">
        <v>3</v>
      </c>
      <c r="M2368" s="1">
        <v>103000</v>
      </c>
      <c r="N2368">
        <v>4.5999999999999996</v>
      </c>
      <c r="O2368">
        <v>13</v>
      </c>
      <c r="P2368" s="2" t="s">
        <v>26</v>
      </c>
    </row>
    <row r="2369" spans="1:16" x14ac:dyDescent="0.25">
      <c r="A2369" s="2" t="s">
        <v>7810</v>
      </c>
      <c r="B2369" s="2" t="s">
        <v>4689</v>
      </c>
      <c r="C2369" s="2" t="s">
        <v>29</v>
      </c>
      <c r="D2369" s="2" t="s">
        <v>50</v>
      </c>
      <c r="E2369" s="2" t="s">
        <v>44</v>
      </c>
      <c r="F2369" s="2" t="s">
        <v>32</v>
      </c>
      <c r="G2369" s="2" t="s">
        <v>22</v>
      </c>
      <c r="H2369" s="2" t="s">
        <v>23</v>
      </c>
      <c r="I2369" s="2" t="s">
        <v>35</v>
      </c>
      <c r="J2369" s="2" t="s">
        <v>1131</v>
      </c>
      <c r="K2369" s="2" t="s">
        <v>1310</v>
      </c>
      <c r="L2369">
        <v>4</v>
      </c>
      <c r="M2369" s="1">
        <v>243000</v>
      </c>
      <c r="N2369">
        <v>4.3</v>
      </c>
      <c r="O2369">
        <v>10</v>
      </c>
      <c r="P2369" s="2" t="s">
        <v>53</v>
      </c>
    </row>
    <row r="2370" spans="1:16" x14ac:dyDescent="0.25">
      <c r="A2370" s="2" t="s">
        <v>7816</v>
      </c>
      <c r="B2370" s="2" t="s">
        <v>374</v>
      </c>
      <c r="C2370" s="2" t="s">
        <v>29</v>
      </c>
      <c r="D2370" s="2" t="s">
        <v>50</v>
      </c>
      <c r="E2370" s="2" t="s">
        <v>44</v>
      </c>
      <c r="F2370" s="2" t="s">
        <v>39</v>
      </c>
      <c r="G2370" s="2" t="s">
        <v>80</v>
      </c>
      <c r="H2370" s="2" t="s">
        <v>23</v>
      </c>
      <c r="I2370" s="2" t="s">
        <v>24</v>
      </c>
      <c r="J2370" s="2" t="s">
        <v>4772</v>
      </c>
      <c r="K2370" s="2" t="s">
        <v>824</v>
      </c>
      <c r="L2370">
        <v>4</v>
      </c>
      <c r="M2370" s="1">
        <v>95000</v>
      </c>
      <c r="N2370">
        <v>4.7</v>
      </c>
      <c r="O2370">
        <v>2</v>
      </c>
      <c r="P2370" s="2" t="s">
        <v>53</v>
      </c>
    </row>
    <row r="2371" spans="1:16" x14ac:dyDescent="0.25">
      <c r="A2371" s="2" t="s">
        <v>7817</v>
      </c>
      <c r="B2371" s="2" t="s">
        <v>1688</v>
      </c>
      <c r="C2371" s="2" t="s">
        <v>29</v>
      </c>
      <c r="D2371" s="2" t="s">
        <v>19</v>
      </c>
      <c r="E2371" s="2" t="s">
        <v>20</v>
      </c>
      <c r="F2371" s="2" t="s">
        <v>32</v>
      </c>
      <c r="G2371" s="2" t="s">
        <v>80</v>
      </c>
      <c r="H2371" s="2" t="s">
        <v>23</v>
      </c>
      <c r="I2371" s="2" t="s">
        <v>75</v>
      </c>
      <c r="J2371" s="2" t="s">
        <v>1980</v>
      </c>
      <c r="K2371" s="2" t="s">
        <v>2983</v>
      </c>
      <c r="L2371">
        <v>6</v>
      </c>
      <c r="M2371" s="1">
        <v>323000</v>
      </c>
      <c r="N2371">
        <v>3.7</v>
      </c>
      <c r="O2371">
        <v>0</v>
      </c>
      <c r="P2371" s="2" t="s">
        <v>53</v>
      </c>
    </row>
    <row r="2372" spans="1:16" x14ac:dyDescent="0.25">
      <c r="A2372" s="2" t="s">
        <v>7819</v>
      </c>
      <c r="B2372" s="2" t="s">
        <v>7820</v>
      </c>
      <c r="C2372" s="2" t="s">
        <v>18</v>
      </c>
      <c r="D2372" s="2" t="s">
        <v>79</v>
      </c>
      <c r="E2372" s="2" t="s">
        <v>20</v>
      </c>
      <c r="F2372" s="2" t="s">
        <v>32</v>
      </c>
      <c r="G2372" s="2" t="s">
        <v>22</v>
      </c>
      <c r="H2372" s="2" t="s">
        <v>23</v>
      </c>
      <c r="I2372" s="2" t="s">
        <v>171</v>
      </c>
      <c r="J2372" s="2" t="s">
        <v>2100</v>
      </c>
      <c r="K2372" s="2" t="s">
        <v>1115</v>
      </c>
      <c r="L2372">
        <v>2</v>
      </c>
      <c r="M2372" s="1">
        <v>337000</v>
      </c>
      <c r="N2372">
        <v>2.8</v>
      </c>
      <c r="O2372">
        <v>23</v>
      </c>
      <c r="P2372" s="2" t="s">
        <v>26</v>
      </c>
    </row>
    <row r="2373" spans="1:16" x14ac:dyDescent="0.25">
      <c r="A2373" s="2" t="s">
        <v>7822</v>
      </c>
      <c r="B2373" s="2" t="s">
        <v>7823</v>
      </c>
      <c r="C2373" s="2" t="s">
        <v>29</v>
      </c>
      <c r="D2373" s="2" t="s">
        <v>50</v>
      </c>
      <c r="E2373" s="2" t="s">
        <v>20</v>
      </c>
      <c r="F2373" s="2" t="s">
        <v>39</v>
      </c>
      <c r="G2373" s="2" t="s">
        <v>33</v>
      </c>
      <c r="H2373" s="2" t="s">
        <v>23</v>
      </c>
      <c r="I2373" s="2" t="s">
        <v>24</v>
      </c>
      <c r="J2373" s="2" t="s">
        <v>4011</v>
      </c>
      <c r="K2373" s="2" t="s">
        <v>1115</v>
      </c>
      <c r="L2373">
        <v>6</v>
      </c>
      <c r="M2373" s="1">
        <v>168000</v>
      </c>
      <c r="N2373">
        <v>4.8</v>
      </c>
      <c r="O2373">
        <v>10</v>
      </c>
      <c r="P2373" s="2" t="s">
        <v>26</v>
      </c>
    </row>
    <row r="2374" spans="1:16" x14ac:dyDescent="0.25">
      <c r="A2374" s="2" t="s">
        <v>7824</v>
      </c>
      <c r="B2374" s="2" t="s">
        <v>7825</v>
      </c>
      <c r="C2374" s="2" t="s">
        <v>29</v>
      </c>
      <c r="D2374" s="2" t="s">
        <v>43</v>
      </c>
      <c r="E2374" s="2" t="s">
        <v>20</v>
      </c>
      <c r="F2374" s="2" t="s">
        <v>39</v>
      </c>
      <c r="G2374" s="2" t="s">
        <v>22</v>
      </c>
      <c r="H2374" s="2" t="s">
        <v>46</v>
      </c>
      <c r="I2374" s="2" t="s">
        <v>35</v>
      </c>
      <c r="J2374" s="2" t="s">
        <v>4302</v>
      </c>
      <c r="K2374" s="2" t="s">
        <v>1115</v>
      </c>
      <c r="L2374">
        <v>4</v>
      </c>
      <c r="M2374" s="1">
        <v>154000</v>
      </c>
      <c r="N2374">
        <v>2.4</v>
      </c>
      <c r="O2374">
        <v>12</v>
      </c>
      <c r="P2374" s="2" t="s">
        <v>53</v>
      </c>
    </row>
    <row r="2375" spans="1:16" x14ac:dyDescent="0.25">
      <c r="A2375" s="2" t="s">
        <v>7828</v>
      </c>
      <c r="B2375" s="2" t="s">
        <v>5397</v>
      </c>
      <c r="C2375" s="2" t="s">
        <v>29</v>
      </c>
      <c r="D2375" s="2" t="s">
        <v>50</v>
      </c>
      <c r="E2375" s="2" t="s">
        <v>20</v>
      </c>
      <c r="F2375" s="2" t="s">
        <v>39</v>
      </c>
      <c r="G2375" s="2" t="s">
        <v>33</v>
      </c>
      <c r="H2375" s="2" t="s">
        <v>46</v>
      </c>
      <c r="I2375" s="2" t="s">
        <v>57</v>
      </c>
      <c r="J2375" s="2" t="s">
        <v>3828</v>
      </c>
      <c r="K2375" s="2" t="s">
        <v>3628</v>
      </c>
      <c r="L2375">
        <v>3</v>
      </c>
      <c r="M2375" s="1">
        <v>169000</v>
      </c>
      <c r="N2375">
        <v>2.2999999999999998</v>
      </c>
      <c r="O2375">
        <v>9</v>
      </c>
      <c r="P2375" s="2" t="s">
        <v>26</v>
      </c>
    </row>
    <row r="2376" spans="1:16" x14ac:dyDescent="0.25">
      <c r="A2376" s="2" t="s">
        <v>7829</v>
      </c>
      <c r="B2376" s="2" t="s">
        <v>7830</v>
      </c>
      <c r="C2376" s="2" t="s">
        <v>29</v>
      </c>
      <c r="D2376" s="2" t="s">
        <v>19</v>
      </c>
      <c r="E2376" s="2" t="s">
        <v>20</v>
      </c>
      <c r="F2376" s="2" t="s">
        <v>39</v>
      </c>
      <c r="G2376" s="2" t="s">
        <v>22</v>
      </c>
      <c r="H2376" s="2" t="s">
        <v>23</v>
      </c>
      <c r="I2376" s="2" t="s">
        <v>24</v>
      </c>
      <c r="J2376" s="2" t="s">
        <v>2521</v>
      </c>
      <c r="K2376" s="2" t="s">
        <v>3628</v>
      </c>
      <c r="L2376">
        <v>3</v>
      </c>
      <c r="M2376" s="1">
        <v>156000</v>
      </c>
      <c r="N2376">
        <v>3.6</v>
      </c>
      <c r="O2376">
        <v>14</v>
      </c>
      <c r="P2376" s="2" t="s">
        <v>26</v>
      </c>
    </row>
    <row r="2377" spans="1:16" x14ac:dyDescent="0.25">
      <c r="A2377" s="2" t="s">
        <v>7831</v>
      </c>
      <c r="B2377" s="2" t="s">
        <v>5054</v>
      </c>
      <c r="C2377" s="2" t="s">
        <v>29</v>
      </c>
      <c r="D2377" s="2" t="s">
        <v>30</v>
      </c>
      <c r="E2377" s="2" t="s">
        <v>20</v>
      </c>
      <c r="F2377" s="2" t="s">
        <v>39</v>
      </c>
      <c r="G2377" s="2" t="s">
        <v>22</v>
      </c>
      <c r="H2377" s="2" t="s">
        <v>23</v>
      </c>
      <c r="I2377" s="2" t="s">
        <v>24</v>
      </c>
      <c r="J2377" s="2" t="s">
        <v>7832</v>
      </c>
      <c r="K2377" s="2" t="s">
        <v>3628</v>
      </c>
      <c r="L2377">
        <v>5</v>
      </c>
      <c r="M2377" s="1">
        <v>163000</v>
      </c>
      <c r="N2377">
        <v>2.9</v>
      </c>
      <c r="O2377">
        <v>5</v>
      </c>
      <c r="P2377" s="2" t="s">
        <v>26</v>
      </c>
    </row>
    <row r="2378" spans="1:16" x14ac:dyDescent="0.25">
      <c r="A2378" s="2" t="s">
        <v>7833</v>
      </c>
      <c r="B2378" s="2" t="s">
        <v>6426</v>
      </c>
      <c r="C2378" s="2" t="s">
        <v>29</v>
      </c>
      <c r="D2378" s="2" t="s">
        <v>79</v>
      </c>
      <c r="E2378" s="2" t="s">
        <v>20</v>
      </c>
      <c r="F2378" s="2" t="s">
        <v>32</v>
      </c>
      <c r="G2378" s="2" t="s">
        <v>80</v>
      </c>
      <c r="H2378" s="2" t="s">
        <v>23</v>
      </c>
      <c r="I2378" s="2" t="s">
        <v>57</v>
      </c>
      <c r="J2378" s="2" t="s">
        <v>6449</v>
      </c>
      <c r="K2378" s="2" t="s">
        <v>3628</v>
      </c>
      <c r="L2378">
        <v>6</v>
      </c>
      <c r="M2378" s="1">
        <v>323000</v>
      </c>
      <c r="N2378">
        <v>3</v>
      </c>
      <c r="O2378">
        <v>4</v>
      </c>
      <c r="P2378" s="2" t="s">
        <v>26</v>
      </c>
    </row>
    <row r="2379" spans="1:16" x14ac:dyDescent="0.25">
      <c r="A2379" s="2" t="s">
        <v>7834</v>
      </c>
      <c r="B2379" s="2" t="s">
        <v>5012</v>
      </c>
      <c r="C2379" s="2" t="s">
        <v>29</v>
      </c>
      <c r="D2379" s="2" t="s">
        <v>19</v>
      </c>
      <c r="E2379" s="2" t="s">
        <v>20</v>
      </c>
      <c r="F2379" s="2" t="s">
        <v>128</v>
      </c>
      <c r="G2379" s="2" t="s">
        <v>80</v>
      </c>
      <c r="H2379" s="2" t="s">
        <v>46</v>
      </c>
      <c r="I2379" s="2" t="s">
        <v>57</v>
      </c>
      <c r="J2379" s="2" t="s">
        <v>575</v>
      </c>
      <c r="K2379" s="2" t="s">
        <v>3628</v>
      </c>
      <c r="L2379">
        <v>2</v>
      </c>
      <c r="M2379" s="1">
        <v>396000</v>
      </c>
      <c r="N2379">
        <v>3.2</v>
      </c>
      <c r="O2379">
        <v>7</v>
      </c>
      <c r="P2379" s="2" t="s">
        <v>26</v>
      </c>
    </row>
    <row r="2380" spans="1:16" x14ac:dyDescent="0.25">
      <c r="A2380" s="2" t="s">
        <v>7837</v>
      </c>
      <c r="B2380" s="2" t="s">
        <v>1969</v>
      </c>
      <c r="C2380" s="2" t="s">
        <v>18</v>
      </c>
      <c r="D2380" s="2" t="s">
        <v>30</v>
      </c>
      <c r="E2380" s="2" t="s">
        <v>31</v>
      </c>
      <c r="F2380" s="2" t="s">
        <v>32</v>
      </c>
      <c r="G2380" s="2" t="s">
        <v>33</v>
      </c>
      <c r="H2380" s="2" t="s">
        <v>34</v>
      </c>
      <c r="I2380" s="2" t="s">
        <v>24</v>
      </c>
      <c r="J2380" s="2" t="s">
        <v>3590</v>
      </c>
      <c r="K2380" s="2" t="s">
        <v>3628</v>
      </c>
      <c r="L2380">
        <v>6</v>
      </c>
      <c r="M2380" s="1">
        <v>336000</v>
      </c>
      <c r="N2380">
        <v>4</v>
      </c>
      <c r="O2380">
        <v>14</v>
      </c>
      <c r="P2380" s="2" t="s">
        <v>26</v>
      </c>
    </row>
    <row r="2381" spans="1:16" x14ac:dyDescent="0.25">
      <c r="A2381" s="2" t="s">
        <v>7838</v>
      </c>
      <c r="B2381" s="2" t="s">
        <v>5097</v>
      </c>
      <c r="C2381" s="2" t="s">
        <v>18</v>
      </c>
      <c r="D2381" s="2" t="s">
        <v>79</v>
      </c>
      <c r="E2381" s="2" t="s">
        <v>20</v>
      </c>
      <c r="F2381" s="2" t="s">
        <v>128</v>
      </c>
      <c r="G2381" s="2" t="s">
        <v>22</v>
      </c>
      <c r="H2381" s="2" t="s">
        <v>34</v>
      </c>
      <c r="I2381" s="2" t="s">
        <v>75</v>
      </c>
      <c r="J2381" s="2" t="s">
        <v>2433</v>
      </c>
      <c r="K2381" s="2" t="s">
        <v>3628</v>
      </c>
      <c r="L2381">
        <v>4</v>
      </c>
      <c r="M2381" s="1">
        <v>560000</v>
      </c>
      <c r="N2381">
        <v>3.3</v>
      </c>
      <c r="O2381">
        <v>7</v>
      </c>
      <c r="P2381" s="2" t="s">
        <v>53</v>
      </c>
    </row>
    <row r="2382" spans="1:16" x14ac:dyDescent="0.25">
      <c r="A2382" s="2" t="s">
        <v>7839</v>
      </c>
      <c r="B2382" s="2" t="s">
        <v>356</v>
      </c>
      <c r="C2382" s="2" t="s">
        <v>18</v>
      </c>
      <c r="D2382" s="2" t="s">
        <v>30</v>
      </c>
      <c r="E2382" s="2" t="s">
        <v>31</v>
      </c>
      <c r="F2382" s="2" t="s">
        <v>21</v>
      </c>
      <c r="G2382" s="2" t="s">
        <v>80</v>
      </c>
      <c r="H2382" s="2" t="s">
        <v>46</v>
      </c>
      <c r="I2382" s="2" t="s">
        <v>24</v>
      </c>
      <c r="J2382" s="2" t="s">
        <v>560</v>
      </c>
      <c r="K2382" s="2" t="s">
        <v>1743</v>
      </c>
      <c r="L2382">
        <v>2</v>
      </c>
      <c r="M2382" s="1">
        <v>689000</v>
      </c>
      <c r="N2382">
        <v>4.0999999999999996</v>
      </c>
      <c r="O2382">
        <v>7</v>
      </c>
      <c r="P2382" s="2" t="s">
        <v>26</v>
      </c>
    </row>
    <row r="2383" spans="1:16" x14ac:dyDescent="0.25">
      <c r="A2383" s="2" t="s">
        <v>7840</v>
      </c>
      <c r="B2383" s="2" t="s">
        <v>7841</v>
      </c>
      <c r="C2383" s="2" t="s">
        <v>29</v>
      </c>
      <c r="D2383" s="2" t="s">
        <v>30</v>
      </c>
      <c r="E2383" s="2" t="s">
        <v>20</v>
      </c>
      <c r="F2383" s="2" t="s">
        <v>128</v>
      </c>
      <c r="G2383" s="2" t="s">
        <v>22</v>
      </c>
      <c r="H2383" s="2" t="s">
        <v>46</v>
      </c>
      <c r="I2383" s="2" t="s">
        <v>171</v>
      </c>
      <c r="J2383" s="2" t="s">
        <v>3484</v>
      </c>
      <c r="K2383" s="2" t="s">
        <v>1743</v>
      </c>
      <c r="L2383">
        <v>4</v>
      </c>
      <c r="M2383" s="1">
        <v>384000</v>
      </c>
      <c r="N2383">
        <v>3.9</v>
      </c>
      <c r="O2383">
        <v>6</v>
      </c>
      <c r="P2383" s="2" t="s">
        <v>72</v>
      </c>
    </row>
    <row r="2384" spans="1:16" x14ac:dyDescent="0.25">
      <c r="A2384" s="2" t="s">
        <v>7842</v>
      </c>
      <c r="B2384" s="2" t="s">
        <v>7843</v>
      </c>
      <c r="C2384" s="2" t="s">
        <v>18</v>
      </c>
      <c r="D2384" s="2" t="s">
        <v>19</v>
      </c>
      <c r="E2384" s="2" t="s">
        <v>20</v>
      </c>
      <c r="F2384" s="2" t="s">
        <v>128</v>
      </c>
      <c r="G2384" s="2" t="s">
        <v>33</v>
      </c>
      <c r="H2384" s="2" t="s">
        <v>34</v>
      </c>
      <c r="I2384" s="2" t="s">
        <v>24</v>
      </c>
      <c r="J2384" s="2" t="s">
        <v>2476</v>
      </c>
      <c r="K2384" s="2" t="s">
        <v>1555</v>
      </c>
      <c r="L2384">
        <v>4</v>
      </c>
      <c r="M2384" s="1">
        <v>494000</v>
      </c>
      <c r="N2384">
        <v>2.7</v>
      </c>
      <c r="O2384">
        <v>28</v>
      </c>
      <c r="P2384" s="2" t="s">
        <v>26</v>
      </c>
    </row>
    <row r="2385" spans="1:16" x14ac:dyDescent="0.25">
      <c r="A2385" s="2" t="s">
        <v>7844</v>
      </c>
      <c r="B2385" s="2" t="s">
        <v>7845</v>
      </c>
      <c r="C2385" s="2" t="s">
        <v>29</v>
      </c>
      <c r="D2385" s="2" t="s">
        <v>43</v>
      </c>
      <c r="E2385" s="2" t="s">
        <v>20</v>
      </c>
      <c r="F2385" s="2" t="s">
        <v>128</v>
      </c>
      <c r="G2385" s="2" t="s">
        <v>22</v>
      </c>
      <c r="H2385" s="2" t="s">
        <v>34</v>
      </c>
      <c r="I2385" s="2" t="s">
        <v>24</v>
      </c>
      <c r="J2385" s="2" t="s">
        <v>7846</v>
      </c>
      <c r="K2385" s="2" t="s">
        <v>1555</v>
      </c>
      <c r="L2385">
        <v>4</v>
      </c>
      <c r="M2385" s="1">
        <v>407000</v>
      </c>
      <c r="N2385">
        <v>3.8</v>
      </c>
      <c r="O2385">
        <v>9</v>
      </c>
      <c r="P2385" s="2" t="s">
        <v>26</v>
      </c>
    </row>
    <row r="2386" spans="1:16" x14ac:dyDescent="0.25">
      <c r="A2386" s="2" t="s">
        <v>7850</v>
      </c>
      <c r="B2386" s="2" t="s">
        <v>1081</v>
      </c>
      <c r="C2386" s="2" t="s">
        <v>29</v>
      </c>
      <c r="D2386" s="2" t="s">
        <v>30</v>
      </c>
      <c r="E2386" s="2" t="s">
        <v>44</v>
      </c>
      <c r="F2386" s="2" t="s">
        <v>128</v>
      </c>
      <c r="G2386" s="2" t="s">
        <v>80</v>
      </c>
      <c r="H2386" s="2" t="s">
        <v>23</v>
      </c>
      <c r="I2386" s="2" t="s">
        <v>35</v>
      </c>
      <c r="J2386" s="2" t="s">
        <v>3030</v>
      </c>
      <c r="K2386" s="2" t="s">
        <v>1555</v>
      </c>
      <c r="L2386">
        <v>4</v>
      </c>
      <c r="M2386" s="1">
        <v>460000</v>
      </c>
      <c r="N2386">
        <v>3.9</v>
      </c>
      <c r="O2386">
        <v>14</v>
      </c>
      <c r="P2386" s="2" t="s">
        <v>72</v>
      </c>
    </row>
    <row r="2387" spans="1:16" x14ac:dyDescent="0.25">
      <c r="A2387" s="2" t="s">
        <v>7851</v>
      </c>
      <c r="B2387" s="2" t="s">
        <v>2538</v>
      </c>
      <c r="C2387" s="2" t="s">
        <v>18</v>
      </c>
      <c r="D2387" s="2" t="s">
        <v>30</v>
      </c>
      <c r="E2387" s="2" t="s">
        <v>20</v>
      </c>
      <c r="F2387" s="2" t="s">
        <v>39</v>
      </c>
      <c r="G2387" s="2" t="s">
        <v>22</v>
      </c>
      <c r="H2387" s="2" t="s">
        <v>62</v>
      </c>
      <c r="I2387" s="2" t="s">
        <v>24</v>
      </c>
      <c r="J2387" s="2" t="s">
        <v>2189</v>
      </c>
      <c r="K2387" s="2" t="s">
        <v>1781</v>
      </c>
      <c r="L2387">
        <v>3</v>
      </c>
      <c r="M2387" s="1">
        <v>123000</v>
      </c>
      <c r="N2387">
        <v>3.1</v>
      </c>
      <c r="O2387">
        <v>2</v>
      </c>
      <c r="P2387" s="2" t="s">
        <v>72</v>
      </c>
    </row>
    <row r="2388" spans="1:16" x14ac:dyDescent="0.25">
      <c r="A2388" s="2" t="s">
        <v>7852</v>
      </c>
      <c r="B2388" s="2" t="s">
        <v>6755</v>
      </c>
      <c r="C2388" s="2" t="s">
        <v>29</v>
      </c>
      <c r="D2388" s="2" t="s">
        <v>50</v>
      </c>
      <c r="E2388" s="2" t="s">
        <v>20</v>
      </c>
      <c r="F2388" s="2" t="s">
        <v>32</v>
      </c>
      <c r="G2388" s="2" t="s">
        <v>69</v>
      </c>
      <c r="H2388" s="2" t="s">
        <v>34</v>
      </c>
      <c r="I2388" s="2" t="s">
        <v>57</v>
      </c>
      <c r="J2388" s="2" t="s">
        <v>81</v>
      </c>
      <c r="K2388" s="2" t="s">
        <v>5292</v>
      </c>
      <c r="L2388">
        <v>7</v>
      </c>
      <c r="M2388" s="1">
        <v>327000</v>
      </c>
      <c r="N2388">
        <v>3.2</v>
      </c>
      <c r="O2388">
        <v>21</v>
      </c>
      <c r="P2388" s="2" t="s">
        <v>26</v>
      </c>
    </row>
    <row r="2389" spans="1:16" x14ac:dyDescent="0.25">
      <c r="A2389" s="2" t="s">
        <v>7854</v>
      </c>
      <c r="B2389" s="2" t="s">
        <v>6782</v>
      </c>
      <c r="C2389" s="2" t="s">
        <v>29</v>
      </c>
      <c r="D2389" s="2" t="s">
        <v>30</v>
      </c>
      <c r="E2389" s="2" t="s">
        <v>20</v>
      </c>
      <c r="F2389" s="2" t="s">
        <v>32</v>
      </c>
      <c r="G2389" s="2" t="s">
        <v>22</v>
      </c>
      <c r="H2389" s="2" t="s">
        <v>23</v>
      </c>
      <c r="I2389" s="2" t="s">
        <v>57</v>
      </c>
      <c r="J2389" s="2" t="s">
        <v>1378</v>
      </c>
      <c r="K2389" s="2" t="s">
        <v>5292</v>
      </c>
      <c r="L2389">
        <v>6</v>
      </c>
      <c r="M2389" s="1">
        <v>226000</v>
      </c>
      <c r="N2389">
        <v>2.1</v>
      </c>
      <c r="O2389">
        <v>17</v>
      </c>
      <c r="P2389" s="2" t="s">
        <v>26</v>
      </c>
    </row>
    <row r="2390" spans="1:16" x14ac:dyDescent="0.25">
      <c r="A2390" s="2" t="s">
        <v>7857</v>
      </c>
      <c r="B2390" s="2" t="s">
        <v>7146</v>
      </c>
      <c r="C2390" s="2" t="s">
        <v>18</v>
      </c>
      <c r="D2390" s="2" t="s">
        <v>30</v>
      </c>
      <c r="E2390" s="2" t="s">
        <v>20</v>
      </c>
      <c r="F2390" s="2" t="s">
        <v>32</v>
      </c>
      <c r="G2390" s="2" t="s">
        <v>80</v>
      </c>
      <c r="H2390" s="2" t="s">
        <v>34</v>
      </c>
      <c r="I2390" s="2" t="s">
        <v>24</v>
      </c>
      <c r="J2390" s="2" t="s">
        <v>5424</v>
      </c>
      <c r="K2390" s="2" t="s">
        <v>5292</v>
      </c>
      <c r="L2390">
        <v>5</v>
      </c>
      <c r="M2390" s="1">
        <v>237000</v>
      </c>
      <c r="N2390">
        <v>2.7</v>
      </c>
      <c r="O2390">
        <v>13</v>
      </c>
      <c r="P2390" s="2" t="s">
        <v>72</v>
      </c>
    </row>
    <row r="2391" spans="1:16" x14ac:dyDescent="0.25">
      <c r="A2391" s="2" t="s">
        <v>7864</v>
      </c>
      <c r="B2391" s="2" t="s">
        <v>7201</v>
      </c>
      <c r="C2391" s="2" t="s">
        <v>18</v>
      </c>
      <c r="D2391" s="2" t="s">
        <v>50</v>
      </c>
      <c r="E2391" s="2" t="s">
        <v>44</v>
      </c>
      <c r="F2391" s="2" t="s">
        <v>32</v>
      </c>
      <c r="G2391" s="2" t="s">
        <v>80</v>
      </c>
      <c r="H2391" s="2" t="s">
        <v>23</v>
      </c>
      <c r="I2391" s="2" t="s">
        <v>57</v>
      </c>
      <c r="J2391" s="2" t="s">
        <v>3383</v>
      </c>
      <c r="K2391" s="2" t="s">
        <v>2434</v>
      </c>
      <c r="L2391">
        <v>4</v>
      </c>
      <c r="M2391" s="1">
        <v>297000</v>
      </c>
      <c r="N2391">
        <v>4.8</v>
      </c>
      <c r="O2391">
        <v>3</v>
      </c>
      <c r="P2391" s="2" t="s">
        <v>26</v>
      </c>
    </row>
    <row r="2392" spans="1:16" x14ac:dyDescent="0.25">
      <c r="A2392" s="2" t="s">
        <v>7865</v>
      </c>
      <c r="B2392" s="2" t="s">
        <v>5341</v>
      </c>
      <c r="C2392" s="2" t="s">
        <v>29</v>
      </c>
      <c r="D2392" s="2" t="s">
        <v>50</v>
      </c>
      <c r="E2392" s="2" t="s">
        <v>20</v>
      </c>
      <c r="F2392" s="2" t="s">
        <v>128</v>
      </c>
      <c r="G2392" s="2" t="s">
        <v>80</v>
      </c>
      <c r="H2392" s="2" t="s">
        <v>46</v>
      </c>
      <c r="I2392" s="2" t="s">
        <v>35</v>
      </c>
      <c r="J2392" s="2" t="s">
        <v>4454</v>
      </c>
      <c r="K2392" s="2" t="s">
        <v>2434</v>
      </c>
      <c r="L2392">
        <v>4</v>
      </c>
      <c r="M2392" s="1">
        <v>589000</v>
      </c>
      <c r="N2392">
        <v>4.2</v>
      </c>
      <c r="O2392">
        <v>7</v>
      </c>
      <c r="P2392" s="2" t="s">
        <v>26</v>
      </c>
    </row>
    <row r="2393" spans="1:16" x14ac:dyDescent="0.25">
      <c r="A2393" s="2" t="s">
        <v>7866</v>
      </c>
      <c r="B2393" s="2" t="s">
        <v>7726</v>
      </c>
      <c r="C2393" s="2" t="s">
        <v>18</v>
      </c>
      <c r="D2393" s="2" t="s">
        <v>19</v>
      </c>
      <c r="E2393" s="2" t="s">
        <v>31</v>
      </c>
      <c r="F2393" s="2" t="s">
        <v>32</v>
      </c>
      <c r="G2393" s="2" t="s">
        <v>80</v>
      </c>
      <c r="H2393" s="2" t="s">
        <v>46</v>
      </c>
      <c r="I2393" s="2" t="s">
        <v>24</v>
      </c>
      <c r="J2393" s="2" t="s">
        <v>1151</v>
      </c>
      <c r="K2393" s="2" t="s">
        <v>2434</v>
      </c>
      <c r="L2393">
        <v>4</v>
      </c>
      <c r="M2393" s="1">
        <v>345000</v>
      </c>
      <c r="N2393">
        <v>4.3</v>
      </c>
      <c r="O2393">
        <v>5</v>
      </c>
      <c r="P2393" s="2" t="s">
        <v>26</v>
      </c>
    </row>
    <row r="2394" spans="1:16" x14ac:dyDescent="0.25">
      <c r="A2394" s="2" t="s">
        <v>7870</v>
      </c>
      <c r="B2394" s="2" t="s">
        <v>7871</v>
      </c>
      <c r="C2394" s="2" t="s">
        <v>29</v>
      </c>
      <c r="D2394" s="2" t="s">
        <v>50</v>
      </c>
      <c r="E2394" s="2" t="s">
        <v>44</v>
      </c>
      <c r="F2394" s="2" t="s">
        <v>128</v>
      </c>
      <c r="G2394" s="2" t="s">
        <v>80</v>
      </c>
      <c r="H2394" s="2" t="s">
        <v>34</v>
      </c>
      <c r="I2394" s="2" t="s">
        <v>35</v>
      </c>
      <c r="J2394" s="2" t="s">
        <v>1038</v>
      </c>
      <c r="K2394" s="2" t="s">
        <v>2434</v>
      </c>
      <c r="L2394">
        <v>4</v>
      </c>
      <c r="M2394" s="1">
        <v>442000</v>
      </c>
      <c r="N2394">
        <v>2</v>
      </c>
      <c r="O2394">
        <v>6</v>
      </c>
      <c r="P2394" s="2" t="s">
        <v>53</v>
      </c>
    </row>
    <row r="2395" spans="1:16" x14ac:dyDescent="0.25">
      <c r="A2395" s="2" t="s">
        <v>7872</v>
      </c>
      <c r="B2395" s="2" t="s">
        <v>6764</v>
      </c>
      <c r="C2395" s="2" t="s">
        <v>29</v>
      </c>
      <c r="D2395" s="2" t="s">
        <v>43</v>
      </c>
      <c r="E2395" s="2" t="s">
        <v>20</v>
      </c>
      <c r="F2395" s="2" t="s">
        <v>128</v>
      </c>
      <c r="G2395" s="2" t="s">
        <v>80</v>
      </c>
      <c r="H2395" s="2" t="s">
        <v>23</v>
      </c>
      <c r="I2395" s="2" t="s">
        <v>57</v>
      </c>
      <c r="J2395" s="2" t="s">
        <v>6566</v>
      </c>
      <c r="K2395" s="2" t="s">
        <v>6124</v>
      </c>
      <c r="L2395">
        <v>3</v>
      </c>
      <c r="M2395" s="1">
        <v>531000</v>
      </c>
      <c r="N2395">
        <v>3.3</v>
      </c>
      <c r="O2395">
        <v>35</v>
      </c>
      <c r="P2395" s="2" t="s">
        <v>26</v>
      </c>
    </row>
    <row r="2396" spans="1:16" x14ac:dyDescent="0.25">
      <c r="A2396" s="2" t="s">
        <v>7873</v>
      </c>
      <c r="B2396" s="2" t="s">
        <v>6915</v>
      </c>
      <c r="C2396" s="2" t="s">
        <v>18</v>
      </c>
      <c r="D2396" s="2" t="s">
        <v>79</v>
      </c>
      <c r="E2396" s="2" t="s">
        <v>20</v>
      </c>
      <c r="F2396" s="2" t="s">
        <v>128</v>
      </c>
      <c r="G2396" s="2" t="s">
        <v>80</v>
      </c>
      <c r="H2396" s="2" t="s">
        <v>34</v>
      </c>
      <c r="I2396" s="2" t="s">
        <v>75</v>
      </c>
      <c r="J2396" s="2" t="s">
        <v>7874</v>
      </c>
      <c r="K2396" s="2" t="s">
        <v>6124</v>
      </c>
      <c r="L2396">
        <v>7</v>
      </c>
      <c r="M2396" s="1">
        <v>396000</v>
      </c>
      <c r="N2396">
        <v>2.2999999999999998</v>
      </c>
      <c r="O2396">
        <v>11</v>
      </c>
      <c r="P2396" s="2" t="s">
        <v>26</v>
      </c>
    </row>
    <row r="2397" spans="1:16" x14ac:dyDescent="0.25">
      <c r="A2397" s="2" t="s">
        <v>7876</v>
      </c>
      <c r="B2397" s="2" t="s">
        <v>3281</v>
      </c>
      <c r="C2397" s="2" t="s">
        <v>18</v>
      </c>
      <c r="D2397" s="2" t="s">
        <v>79</v>
      </c>
      <c r="E2397" s="2" t="s">
        <v>20</v>
      </c>
      <c r="F2397" s="2" t="s">
        <v>32</v>
      </c>
      <c r="G2397" s="2" t="s">
        <v>33</v>
      </c>
      <c r="H2397" s="2" t="s">
        <v>34</v>
      </c>
      <c r="I2397" s="2" t="s">
        <v>35</v>
      </c>
      <c r="J2397" s="2" t="s">
        <v>5621</v>
      </c>
      <c r="K2397" s="2" t="s">
        <v>6124</v>
      </c>
      <c r="L2397">
        <v>6</v>
      </c>
      <c r="M2397" s="1">
        <v>193000</v>
      </c>
      <c r="N2397">
        <v>2.7</v>
      </c>
      <c r="O2397">
        <v>13</v>
      </c>
      <c r="P2397" s="2" t="s">
        <v>26</v>
      </c>
    </row>
    <row r="2398" spans="1:16" x14ac:dyDescent="0.25">
      <c r="A2398" s="2" t="s">
        <v>7877</v>
      </c>
      <c r="B2398" s="2" t="s">
        <v>5227</v>
      </c>
      <c r="C2398" s="2" t="s">
        <v>29</v>
      </c>
      <c r="D2398" s="2" t="s">
        <v>19</v>
      </c>
      <c r="E2398" s="2" t="s">
        <v>31</v>
      </c>
      <c r="F2398" s="2" t="s">
        <v>32</v>
      </c>
      <c r="G2398" s="2" t="s">
        <v>80</v>
      </c>
      <c r="H2398" s="2" t="s">
        <v>34</v>
      </c>
      <c r="I2398" s="2" t="s">
        <v>57</v>
      </c>
      <c r="J2398" s="2" t="s">
        <v>3643</v>
      </c>
      <c r="K2398" s="2" t="s">
        <v>6124</v>
      </c>
      <c r="L2398">
        <v>6</v>
      </c>
      <c r="M2398" s="1">
        <v>372000</v>
      </c>
      <c r="N2398">
        <v>3.5</v>
      </c>
      <c r="O2398">
        <v>9</v>
      </c>
      <c r="P2398" s="2" t="s">
        <v>72</v>
      </c>
    </row>
    <row r="2399" spans="1:16" x14ac:dyDescent="0.25">
      <c r="A2399" s="2" t="s">
        <v>7878</v>
      </c>
      <c r="B2399" s="2" t="s">
        <v>690</v>
      </c>
      <c r="C2399" s="2" t="s">
        <v>18</v>
      </c>
      <c r="D2399" s="2" t="s">
        <v>50</v>
      </c>
      <c r="E2399" s="2" t="s">
        <v>20</v>
      </c>
      <c r="F2399" s="2" t="s">
        <v>128</v>
      </c>
      <c r="G2399" s="2" t="s">
        <v>33</v>
      </c>
      <c r="H2399" s="2" t="s">
        <v>62</v>
      </c>
      <c r="I2399" s="2" t="s">
        <v>35</v>
      </c>
      <c r="J2399" s="2" t="s">
        <v>3643</v>
      </c>
      <c r="K2399" s="2" t="s">
        <v>324</v>
      </c>
      <c r="L2399">
        <v>6</v>
      </c>
      <c r="M2399" s="1">
        <v>596000</v>
      </c>
      <c r="N2399">
        <v>3</v>
      </c>
      <c r="O2399">
        <v>10</v>
      </c>
      <c r="P2399" s="2" t="s">
        <v>53</v>
      </c>
    </row>
    <row r="2400" spans="1:16" x14ac:dyDescent="0.25">
      <c r="A2400" s="2" t="s">
        <v>7879</v>
      </c>
      <c r="B2400" s="2" t="s">
        <v>2394</v>
      </c>
      <c r="C2400" s="2" t="s">
        <v>29</v>
      </c>
      <c r="D2400" s="2" t="s">
        <v>50</v>
      </c>
      <c r="E2400" s="2" t="s">
        <v>31</v>
      </c>
      <c r="F2400" s="2" t="s">
        <v>39</v>
      </c>
      <c r="G2400" s="2" t="s">
        <v>22</v>
      </c>
      <c r="H2400" s="2" t="s">
        <v>46</v>
      </c>
      <c r="I2400" s="2" t="s">
        <v>57</v>
      </c>
      <c r="J2400" s="2" t="s">
        <v>3150</v>
      </c>
      <c r="K2400" s="2" t="s">
        <v>7884</v>
      </c>
      <c r="L2400">
        <v>5</v>
      </c>
      <c r="M2400" s="1">
        <v>151000</v>
      </c>
      <c r="N2400">
        <v>3.7</v>
      </c>
      <c r="O2400">
        <v>21</v>
      </c>
      <c r="P2400" s="2" t="s">
        <v>26</v>
      </c>
    </row>
    <row r="2401" spans="1:16" x14ac:dyDescent="0.25">
      <c r="A2401" s="2" t="s">
        <v>7880</v>
      </c>
      <c r="B2401" s="2" t="s">
        <v>5759</v>
      </c>
      <c r="C2401" s="2" t="s">
        <v>29</v>
      </c>
      <c r="D2401" s="2" t="s">
        <v>43</v>
      </c>
      <c r="E2401" s="2" t="s">
        <v>20</v>
      </c>
      <c r="F2401" s="2" t="s">
        <v>128</v>
      </c>
      <c r="G2401" s="2" t="s">
        <v>22</v>
      </c>
      <c r="H2401" s="2" t="s">
        <v>23</v>
      </c>
      <c r="I2401" s="2" t="s">
        <v>57</v>
      </c>
      <c r="J2401" s="2" t="s">
        <v>2799</v>
      </c>
      <c r="K2401" s="2" t="s">
        <v>7884</v>
      </c>
      <c r="L2401">
        <v>3</v>
      </c>
      <c r="M2401" s="1">
        <v>502000</v>
      </c>
      <c r="N2401">
        <v>4.4000000000000004</v>
      </c>
      <c r="O2401">
        <v>24</v>
      </c>
      <c r="P2401" s="2" t="s">
        <v>26</v>
      </c>
    </row>
    <row r="2402" spans="1:16" x14ac:dyDescent="0.25">
      <c r="A2402" s="2" t="s">
        <v>7881</v>
      </c>
      <c r="B2402" s="2" t="s">
        <v>5140</v>
      </c>
      <c r="C2402" s="2" t="s">
        <v>18</v>
      </c>
      <c r="D2402" s="2" t="s">
        <v>79</v>
      </c>
      <c r="E2402" s="2" t="s">
        <v>31</v>
      </c>
      <c r="F2402" s="2" t="s">
        <v>32</v>
      </c>
      <c r="G2402" s="2" t="s">
        <v>69</v>
      </c>
      <c r="H2402" s="2" t="s">
        <v>46</v>
      </c>
      <c r="I2402" s="2" t="s">
        <v>35</v>
      </c>
      <c r="J2402" s="2" t="s">
        <v>1951</v>
      </c>
      <c r="K2402" s="2" t="s">
        <v>7884</v>
      </c>
      <c r="L2402">
        <v>6</v>
      </c>
      <c r="M2402" s="1">
        <v>182000</v>
      </c>
      <c r="N2402">
        <v>3</v>
      </c>
      <c r="O2402">
        <v>4</v>
      </c>
      <c r="P2402" s="2" t="s">
        <v>26</v>
      </c>
    </row>
    <row r="2403" spans="1:16" x14ac:dyDescent="0.25">
      <c r="A2403" s="2" t="s">
        <v>7882</v>
      </c>
      <c r="B2403" s="2" t="s">
        <v>368</v>
      </c>
      <c r="C2403" s="2" t="s">
        <v>29</v>
      </c>
      <c r="D2403" s="2" t="s">
        <v>19</v>
      </c>
      <c r="E2403" s="2" t="s">
        <v>31</v>
      </c>
      <c r="F2403" s="2" t="s">
        <v>32</v>
      </c>
      <c r="G2403" s="2" t="s">
        <v>22</v>
      </c>
      <c r="H2403" s="2" t="s">
        <v>23</v>
      </c>
      <c r="I2403" s="2" t="s">
        <v>75</v>
      </c>
      <c r="J2403" s="2" t="s">
        <v>5720</v>
      </c>
      <c r="K2403" s="2" t="s">
        <v>7884</v>
      </c>
      <c r="L2403">
        <v>5</v>
      </c>
      <c r="M2403" s="1">
        <v>379000</v>
      </c>
      <c r="N2403">
        <v>3.7</v>
      </c>
      <c r="O2403">
        <v>12</v>
      </c>
      <c r="P2403" s="2" t="s">
        <v>26</v>
      </c>
    </row>
    <row r="2404" spans="1:16" x14ac:dyDescent="0.25">
      <c r="A2404" s="2" t="s">
        <v>7883</v>
      </c>
      <c r="B2404" s="2" t="s">
        <v>1458</v>
      </c>
      <c r="C2404" s="2" t="s">
        <v>29</v>
      </c>
      <c r="D2404" s="2" t="s">
        <v>30</v>
      </c>
      <c r="E2404" s="2" t="s">
        <v>20</v>
      </c>
      <c r="F2404" s="2" t="s">
        <v>39</v>
      </c>
      <c r="G2404" s="2" t="s">
        <v>22</v>
      </c>
      <c r="H2404" s="2" t="s">
        <v>34</v>
      </c>
      <c r="I2404" s="2" t="s">
        <v>24</v>
      </c>
      <c r="J2404" s="2" t="s">
        <v>645</v>
      </c>
      <c r="K2404" s="2" t="s">
        <v>7884</v>
      </c>
      <c r="L2404">
        <v>2</v>
      </c>
      <c r="M2404" s="1">
        <v>102000</v>
      </c>
      <c r="N2404">
        <v>2.8</v>
      </c>
      <c r="O2404">
        <v>14</v>
      </c>
      <c r="P2404" s="2" t="s">
        <v>114</v>
      </c>
    </row>
    <row r="2405" spans="1:16" x14ac:dyDescent="0.25">
      <c r="A2405" s="2" t="s">
        <v>7885</v>
      </c>
      <c r="B2405" s="2" t="s">
        <v>3624</v>
      </c>
      <c r="C2405" s="2" t="s">
        <v>29</v>
      </c>
      <c r="D2405" s="2" t="s">
        <v>19</v>
      </c>
      <c r="E2405" s="2" t="s">
        <v>20</v>
      </c>
      <c r="F2405" s="2" t="s">
        <v>21</v>
      </c>
      <c r="G2405" s="2" t="s">
        <v>22</v>
      </c>
      <c r="H2405" s="2" t="s">
        <v>46</v>
      </c>
      <c r="I2405" s="2" t="s">
        <v>57</v>
      </c>
      <c r="J2405" s="2" t="s">
        <v>2816</v>
      </c>
      <c r="K2405" s="2" t="s">
        <v>7889</v>
      </c>
      <c r="L2405">
        <v>6</v>
      </c>
      <c r="M2405" s="1">
        <v>728000</v>
      </c>
      <c r="N2405">
        <v>3.3</v>
      </c>
      <c r="O2405">
        <v>4</v>
      </c>
      <c r="P2405" s="2" t="s">
        <v>26</v>
      </c>
    </row>
    <row r="2406" spans="1:16" x14ac:dyDescent="0.25">
      <c r="A2406" s="2" t="s">
        <v>7886</v>
      </c>
      <c r="B2406" s="2" t="s">
        <v>7887</v>
      </c>
      <c r="C2406" s="2" t="s">
        <v>29</v>
      </c>
      <c r="D2406" s="2" t="s">
        <v>50</v>
      </c>
      <c r="E2406" s="2" t="s">
        <v>20</v>
      </c>
      <c r="F2406" s="2" t="s">
        <v>32</v>
      </c>
      <c r="G2406" s="2" t="s">
        <v>22</v>
      </c>
      <c r="H2406" s="2" t="s">
        <v>34</v>
      </c>
      <c r="I2406" s="2" t="s">
        <v>57</v>
      </c>
      <c r="J2406" s="2" t="s">
        <v>117</v>
      </c>
      <c r="K2406" s="2" t="s">
        <v>7889</v>
      </c>
      <c r="L2406">
        <v>4</v>
      </c>
      <c r="M2406" s="1">
        <v>246000</v>
      </c>
      <c r="N2406">
        <v>4.9000000000000004</v>
      </c>
      <c r="O2406">
        <v>5</v>
      </c>
      <c r="P2406" s="2" t="s">
        <v>26</v>
      </c>
    </row>
    <row r="2407" spans="1:16" x14ac:dyDescent="0.25">
      <c r="A2407" s="2" t="s">
        <v>7888</v>
      </c>
      <c r="B2407" s="2" t="s">
        <v>4553</v>
      </c>
      <c r="C2407" s="2" t="s">
        <v>29</v>
      </c>
      <c r="D2407" s="2" t="s">
        <v>19</v>
      </c>
      <c r="E2407" s="2" t="s">
        <v>20</v>
      </c>
      <c r="F2407" s="2" t="s">
        <v>32</v>
      </c>
      <c r="G2407" s="2" t="s">
        <v>22</v>
      </c>
      <c r="H2407" s="2" t="s">
        <v>46</v>
      </c>
      <c r="I2407" s="2" t="s">
        <v>35</v>
      </c>
      <c r="J2407" s="2" t="s">
        <v>3813</v>
      </c>
      <c r="K2407" s="2" t="s">
        <v>7889</v>
      </c>
      <c r="L2407">
        <v>2</v>
      </c>
      <c r="M2407" s="1">
        <v>338000</v>
      </c>
      <c r="N2407">
        <v>4.2</v>
      </c>
      <c r="O2407">
        <v>9</v>
      </c>
      <c r="P2407" s="2" t="s">
        <v>72</v>
      </c>
    </row>
    <row r="2408" spans="1:16" x14ac:dyDescent="0.25">
      <c r="A2408" s="2" t="s">
        <v>7890</v>
      </c>
      <c r="B2408" s="2" t="s">
        <v>4769</v>
      </c>
      <c r="C2408" s="2" t="s">
        <v>18</v>
      </c>
      <c r="D2408" s="2" t="s">
        <v>50</v>
      </c>
      <c r="E2408" s="2" t="s">
        <v>44</v>
      </c>
      <c r="F2408" s="2" t="s">
        <v>21</v>
      </c>
      <c r="G2408" s="2" t="s">
        <v>33</v>
      </c>
      <c r="H2408" s="2" t="s">
        <v>46</v>
      </c>
      <c r="I2408" s="2" t="s">
        <v>35</v>
      </c>
      <c r="J2408" s="2" t="s">
        <v>3748</v>
      </c>
      <c r="K2408" s="2" t="s">
        <v>7896</v>
      </c>
      <c r="L2408">
        <v>3</v>
      </c>
      <c r="M2408" s="1">
        <v>758000</v>
      </c>
      <c r="N2408">
        <v>3.9</v>
      </c>
      <c r="O2408">
        <v>11</v>
      </c>
      <c r="P2408" s="2" t="s">
        <v>26</v>
      </c>
    </row>
    <row r="2409" spans="1:16" x14ac:dyDescent="0.25">
      <c r="A2409" s="2" t="s">
        <v>7891</v>
      </c>
      <c r="B2409" s="2" t="s">
        <v>7892</v>
      </c>
      <c r="C2409" s="2" t="s">
        <v>29</v>
      </c>
      <c r="D2409" s="2" t="s">
        <v>50</v>
      </c>
      <c r="E2409" s="2" t="s">
        <v>20</v>
      </c>
      <c r="F2409" s="2" t="s">
        <v>32</v>
      </c>
      <c r="G2409" s="2" t="s">
        <v>33</v>
      </c>
      <c r="H2409" s="2" t="s">
        <v>46</v>
      </c>
      <c r="I2409" s="2" t="s">
        <v>35</v>
      </c>
      <c r="J2409" s="2" t="s">
        <v>2107</v>
      </c>
      <c r="K2409" s="2" t="s">
        <v>7896</v>
      </c>
      <c r="L2409">
        <v>2</v>
      </c>
      <c r="M2409" s="1">
        <v>289000</v>
      </c>
      <c r="N2409">
        <v>3.8</v>
      </c>
      <c r="O2409">
        <v>2</v>
      </c>
      <c r="P2409" s="2" t="s">
        <v>26</v>
      </c>
    </row>
    <row r="2410" spans="1:16" x14ac:dyDescent="0.25">
      <c r="A2410" s="2" t="s">
        <v>7894</v>
      </c>
      <c r="B2410" s="2" t="s">
        <v>1031</v>
      </c>
      <c r="C2410" s="2" t="s">
        <v>18</v>
      </c>
      <c r="D2410" s="2" t="s">
        <v>79</v>
      </c>
      <c r="E2410" s="2" t="s">
        <v>44</v>
      </c>
      <c r="F2410" s="2" t="s">
        <v>128</v>
      </c>
      <c r="G2410" s="2" t="s">
        <v>33</v>
      </c>
      <c r="H2410" s="2" t="s">
        <v>46</v>
      </c>
      <c r="I2410" s="2" t="s">
        <v>24</v>
      </c>
      <c r="J2410" s="2" t="s">
        <v>7588</v>
      </c>
      <c r="K2410" s="2" t="s">
        <v>7896</v>
      </c>
      <c r="L2410">
        <v>3</v>
      </c>
      <c r="M2410" s="1">
        <v>539000</v>
      </c>
      <c r="N2410">
        <v>3</v>
      </c>
      <c r="O2410">
        <v>3</v>
      </c>
      <c r="P2410" s="2" t="s">
        <v>26</v>
      </c>
    </row>
    <row r="2411" spans="1:16" x14ac:dyDescent="0.25">
      <c r="A2411" s="2" t="s">
        <v>7895</v>
      </c>
      <c r="B2411" s="2" t="s">
        <v>2208</v>
      </c>
      <c r="C2411" s="2" t="s">
        <v>18</v>
      </c>
      <c r="D2411" s="2" t="s">
        <v>43</v>
      </c>
      <c r="E2411" s="2" t="s">
        <v>20</v>
      </c>
      <c r="F2411" s="2" t="s">
        <v>39</v>
      </c>
      <c r="G2411" s="2" t="s">
        <v>22</v>
      </c>
      <c r="H2411" s="2" t="s">
        <v>46</v>
      </c>
      <c r="I2411" s="2" t="s">
        <v>24</v>
      </c>
      <c r="J2411" s="2" t="s">
        <v>5930</v>
      </c>
      <c r="K2411" s="2" t="s">
        <v>7896</v>
      </c>
      <c r="L2411">
        <v>7</v>
      </c>
      <c r="M2411" s="1">
        <v>85000</v>
      </c>
      <c r="N2411">
        <v>3.5</v>
      </c>
      <c r="O2411">
        <v>21</v>
      </c>
      <c r="P2411" s="2" t="s">
        <v>53</v>
      </c>
    </row>
    <row r="2412" spans="1:16" x14ac:dyDescent="0.25">
      <c r="A2412" s="2" t="s">
        <v>7897</v>
      </c>
      <c r="B2412" s="2" t="s">
        <v>7898</v>
      </c>
      <c r="C2412" s="2" t="s">
        <v>29</v>
      </c>
      <c r="D2412" s="2" t="s">
        <v>79</v>
      </c>
      <c r="E2412" s="2" t="s">
        <v>20</v>
      </c>
      <c r="F2412" s="2" t="s">
        <v>39</v>
      </c>
      <c r="G2412" s="2" t="s">
        <v>22</v>
      </c>
      <c r="H2412" s="2" t="s">
        <v>46</v>
      </c>
      <c r="I2412" s="2" t="s">
        <v>35</v>
      </c>
      <c r="J2412" s="2" t="s">
        <v>5280</v>
      </c>
      <c r="K2412" s="2" t="s">
        <v>565</v>
      </c>
      <c r="L2412">
        <v>4</v>
      </c>
      <c r="M2412" s="1">
        <v>167000</v>
      </c>
      <c r="N2412">
        <v>3.4</v>
      </c>
      <c r="O2412">
        <v>1</v>
      </c>
      <c r="P2412" s="2" t="s">
        <v>26</v>
      </c>
    </row>
    <row r="2413" spans="1:16" x14ac:dyDescent="0.25">
      <c r="A2413" s="2" t="s">
        <v>7901</v>
      </c>
      <c r="B2413" s="2" t="s">
        <v>7902</v>
      </c>
      <c r="C2413" s="2" t="s">
        <v>29</v>
      </c>
      <c r="D2413" s="2" t="s">
        <v>50</v>
      </c>
      <c r="E2413" s="2" t="s">
        <v>20</v>
      </c>
      <c r="F2413" s="2" t="s">
        <v>32</v>
      </c>
      <c r="G2413" s="2" t="s">
        <v>22</v>
      </c>
      <c r="H2413" s="2" t="s">
        <v>62</v>
      </c>
      <c r="I2413" s="2" t="s">
        <v>57</v>
      </c>
      <c r="J2413" s="2" t="s">
        <v>855</v>
      </c>
      <c r="K2413" s="2" t="s">
        <v>565</v>
      </c>
      <c r="L2413">
        <v>4</v>
      </c>
      <c r="M2413" s="1">
        <v>289000</v>
      </c>
      <c r="N2413">
        <v>2.4</v>
      </c>
      <c r="O2413">
        <v>2</v>
      </c>
      <c r="P2413" s="2" t="s">
        <v>72</v>
      </c>
    </row>
    <row r="2414" spans="1:16" x14ac:dyDescent="0.25">
      <c r="A2414" s="2" t="s">
        <v>7903</v>
      </c>
      <c r="B2414" s="2" t="s">
        <v>669</v>
      </c>
      <c r="C2414" s="2" t="s">
        <v>29</v>
      </c>
      <c r="D2414" s="2" t="s">
        <v>30</v>
      </c>
      <c r="E2414" s="2" t="s">
        <v>20</v>
      </c>
      <c r="F2414" s="2" t="s">
        <v>32</v>
      </c>
      <c r="G2414" s="2" t="s">
        <v>22</v>
      </c>
      <c r="H2414" s="2" t="s">
        <v>62</v>
      </c>
      <c r="I2414" s="2" t="s">
        <v>24</v>
      </c>
      <c r="J2414" s="2" t="s">
        <v>279</v>
      </c>
      <c r="K2414" s="2" t="s">
        <v>5195</v>
      </c>
      <c r="L2414">
        <v>3</v>
      </c>
      <c r="M2414" s="1">
        <v>222000</v>
      </c>
      <c r="N2414">
        <v>1.9</v>
      </c>
      <c r="O2414">
        <v>21</v>
      </c>
      <c r="P2414" s="2" t="s">
        <v>26</v>
      </c>
    </row>
    <row r="2415" spans="1:16" x14ac:dyDescent="0.25">
      <c r="A2415" s="2" t="s">
        <v>7906</v>
      </c>
      <c r="B2415" s="2" t="s">
        <v>86</v>
      </c>
      <c r="C2415" s="2" t="s">
        <v>29</v>
      </c>
      <c r="D2415" s="2" t="s">
        <v>79</v>
      </c>
      <c r="E2415" s="2" t="s">
        <v>31</v>
      </c>
      <c r="F2415" s="2" t="s">
        <v>39</v>
      </c>
      <c r="G2415" s="2" t="s">
        <v>69</v>
      </c>
      <c r="H2415" s="2" t="s">
        <v>34</v>
      </c>
      <c r="I2415" s="2" t="s">
        <v>24</v>
      </c>
      <c r="J2415" s="2" t="s">
        <v>292</v>
      </c>
      <c r="K2415" s="2" t="s">
        <v>5195</v>
      </c>
      <c r="L2415">
        <v>3</v>
      </c>
      <c r="M2415" s="1">
        <v>145000</v>
      </c>
      <c r="N2415">
        <v>3.1</v>
      </c>
      <c r="O2415">
        <v>14</v>
      </c>
      <c r="P2415" s="2" t="s">
        <v>26</v>
      </c>
    </row>
    <row r="2416" spans="1:16" x14ac:dyDescent="0.25">
      <c r="A2416" s="2" t="s">
        <v>7910</v>
      </c>
      <c r="B2416" s="2" t="s">
        <v>1904</v>
      </c>
      <c r="C2416" s="2" t="s">
        <v>29</v>
      </c>
      <c r="D2416" s="2" t="s">
        <v>19</v>
      </c>
      <c r="E2416" s="2" t="s">
        <v>20</v>
      </c>
      <c r="F2416" s="2" t="s">
        <v>128</v>
      </c>
      <c r="G2416" s="2" t="s">
        <v>80</v>
      </c>
      <c r="H2416" s="2" t="s">
        <v>34</v>
      </c>
      <c r="I2416" s="2" t="s">
        <v>75</v>
      </c>
      <c r="J2416" s="2" t="s">
        <v>1385</v>
      </c>
      <c r="K2416" s="2" t="s">
        <v>5195</v>
      </c>
      <c r="L2416">
        <v>4</v>
      </c>
      <c r="M2416" s="1">
        <v>449000</v>
      </c>
      <c r="N2416">
        <v>4.4000000000000004</v>
      </c>
      <c r="O2416">
        <v>3</v>
      </c>
      <c r="P2416" s="2" t="s">
        <v>26</v>
      </c>
    </row>
    <row r="2417" spans="1:16" x14ac:dyDescent="0.25">
      <c r="A2417" s="2" t="s">
        <v>7913</v>
      </c>
      <c r="B2417" s="2" t="s">
        <v>2955</v>
      </c>
      <c r="C2417" s="2" t="s">
        <v>18</v>
      </c>
      <c r="D2417" s="2" t="s">
        <v>79</v>
      </c>
      <c r="E2417" s="2" t="s">
        <v>44</v>
      </c>
      <c r="F2417" s="2" t="s">
        <v>128</v>
      </c>
      <c r="G2417" s="2" t="s">
        <v>22</v>
      </c>
      <c r="H2417" s="2" t="s">
        <v>23</v>
      </c>
      <c r="I2417" s="2" t="s">
        <v>57</v>
      </c>
      <c r="J2417" s="2" t="s">
        <v>693</v>
      </c>
      <c r="K2417" s="2" t="s">
        <v>5195</v>
      </c>
      <c r="L2417">
        <v>2</v>
      </c>
      <c r="M2417" s="1">
        <v>370000</v>
      </c>
      <c r="N2417">
        <v>3.1</v>
      </c>
      <c r="O2417">
        <v>7</v>
      </c>
      <c r="P2417" s="2" t="s">
        <v>53</v>
      </c>
    </row>
    <row r="2418" spans="1:16" x14ac:dyDescent="0.25">
      <c r="A2418" s="2" t="s">
        <v>7914</v>
      </c>
      <c r="B2418" s="2" t="s">
        <v>5157</v>
      </c>
      <c r="C2418" s="2" t="s">
        <v>29</v>
      </c>
      <c r="D2418" s="2" t="s">
        <v>43</v>
      </c>
      <c r="E2418" s="2" t="s">
        <v>20</v>
      </c>
      <c r="F2418" s="2" t="s">
        <v>39</v>
      </c>
      <c r="G2418" s="2" t="s">
        <v>22</v>
      </c>
      <c r="H2418" s="2" t="s">
        <v>34</v>
      </c>
      <c r="I2418" s="2" t="s">
        <v>24</v>
      </c>
      <c r="J2418" s="2" t="s">
        <v>3048</v>
      </c>
      <c r="K2418" s="2" t="s">
        <v>3166</v>
      </c>
      <c r="L2418">
        <v>2</v>
      </c>
      <c r="M2418" s="1">
        <v>165000</v>
      </c>
      <c r="N2418">
        <v>4.2</v>
      </c>
      <c r="O2418">
        <v>15</v>
      </c>
      <c r="P2418" s="2" t="s">
        <v>72</v>
      </c>
    </row>
    <row r="2419" spans="1:16" x14ac:dyDescent="0.25">
      <c r="A2419" s="2" t="s">
        <v>7920</v>
      </c>
      <c r="B2419" s="2" t="s">
        <v>7921</v>
      </c>
      <c r="C2419" s="2" t="s">
        <v>18</v>
      </c>
      <c r="D2419" s="2" t="s">
        <v>79</v>
      </c>
      <c r="E2419" s="2" t="s">
        <v>20</v>
      </c>
      <c r="F2419" s="2" t="s">
        <v>32</v>
      </c>
      <c r="G2419" s="2" t="s">
        <v>80</v>
      </c>
      <c r="H2419" s="2" t="s">
        <v>23</v>
      </c>
      <c r="I2419" s="2" t="s">
        <v>35</v>
      </c>
      <c r="J2419" s="2" t="s">
        <v>3659</v>
      </c>
      <c r="K2419" s="2" t="s">
        <v>1636</v>
      </c>
      <c r="L2419">
        <v>4</v>
      </c>
      <c r="M2419" s="1">
        <v>232000</v>
      </c>
      <c r="N2419">
        <v>3.5</v>
      </c>
      <c r="O2419">
        <v>19</v>
      </c>
      <c r="P2419" s="2" t="s">
        <v>26</v>
      </c>
    </row>
    <row r="2420" spans="1:16" x14ac:dyDescent="0.25">
      <c r="A2420" s="2" t="s">
        <v>7927</v>
      </c>
      <c r="B2420" s="2" t="s">
        <v>7928</v>
      </c>
      <c r="C2420" s="2" t="s">
        <v>29</v>
      </c>
      <c r="D2420" s="2" t="s">
        <v>50</v>
      </c>
      <c r="E2420" s="2" t="s">
        <v>20</v>
      </c>
      <c r="F2420" s="2" t="s">
        <v>32</v>
      </c>
      <c r="G2420" s="2" t="s">
        <v>80</v>
      </c>
      <c r="H2420" s="2" t="s">
        <v>23</v>
      </c>
      <c r="I2420" s="2" t="s">
        <v>35</v>
      </c>
      <c r="J2420" s="2" t="s">
        <v>6846</v>
      </c>
      <c r="K2420" s="2" t="s">
        <v>1636</v>
      </c>
      <c r="L2420">
        <v>5</v>
      </c>
      <c r="M2420" s="1">
        <v>264000</v>
      </c>
      <c r="N2420">
        <v>4.9000000000000004</v>
      </c>
      <c r="O2420">
        <v>5</v>
      </c>
      <c r="P2420" s="2" t="s">
        <v>53</v>
      </c>
    </row>
    <row r="2421" spans="1:16" x14ac:dyDescent="0.25">
      <c r="A2421" s="2" t="s">
        <v>7929</v>
      </c>
      <c r="B2421" s="2" t="s">
        <v>7930</v>
      </c>
      <c r="C2421" s="2" t="s">
        <v>18</v>
      </c>
      <c r="D2421" s="2" t="s">
        <v>79</v>
      </c>
      <c r="E2421" s="2" t="s">
        <v>20</v>
      </c>
      <c r="F2421" s="2" t="s">
        <v>21</v>
      </c>
      <c r="G2421" s="2" t="s">
        <v>33</v>
      </c>
      <c r="H2421" s="2" t="s">
        <v>46</v>
      </c>
      <c r="I2421" s="2" t="s">
        <v>24</v>
      </c>
      <c r="J2421" s="2" t="s">
        <v>4805</v>
      </c>
      <c r="K2421" s="2" t="s">
        <v>3514</v>
      </c>
      <c r="L2421">
        <v>6</v>
      </c>
      <c r="M2421" s="1">
        <v>950000</v>
      </c>
      <c r="N2421">
        <v>4.7</v>
      </c>
      <c r="O2421">
        <v>1</v>
      </c>
      <c r="P2421" s="2" t="s">
        <v>26</v>
      </c>
    </row>
    <row r="2422" spans="1:16" x14ac:dyDescent="0.25">
      <c r="A2422" s="2" t="s">
        <v>7932</v>
      </c>
      <c r="B2422" s="2" t="s">
        <v>7933</v>
      </c>
      <c r="C2422" s="2" t="s">
        <v>18</v>
      </c>
      <c r="D2422" s="2" t="s">
        <v>43</v>
      </c>
      <c r="E2422" s="2" t="s">
        <v>20</v>
      </c>
      <c r="F2422" s="2" t="s">
        <v>39</v>
      </c>
      <c r="G2422" s="2" t="s">
        <v>80</v>
      </c>
      <c r="H2422" s="2" t="s">
        <v>34</v>
      </c>
      <c r="I2422" s="2" t="s">
        <v>24</v>
      </c>
      <c r="J2422" s="2" t="s">
        <v>231</v>
      </c>
      <c r="K2422" s="2" t="s">
        <v>3514</v>
      </c>
      <c r="L2422">
        <v>6</v>
      </c>
      <c r="M2422" s="1">
        <v>111000</v>
      </c>
      <c r="N2422">
        <v>4.5</v>
      </c>
      <c r="O2422">
        <v>14</v>
      </c>
      <c r="P2422" s="2" t="s">
        <v>26</v>
      </c>
    </row>
    <row r="2423" spans="1:16" x14ac:dyDescent="0.25">
      <c r="A2423" s="2" t="s">
        <v>7934</v>
      </c>
      <c r="B2423" s="2" t="s">
        <v>7935</v>
      </c>
      <c r="C2423" s="2" t="s">
        <v>18</v>
      </c>
      <c r="D2423" s="2" t="s">
        <v>50</v>
      </c>
      <c r="E2423" s="2" t="s">
        <v>44</v>
      </c>
      <c r="F2423" s="2" t="s">
        <v>39</v>
      </c>
      <c r="G2423" s="2" t="s">
        <v>22</v>
      </c>
      <c r="H2423" s="2" t="s">
        <v>23</v>
      </c>
      <c r="I2423" s="2" t="s">
        <v>35</v>
      </c>
      <c r="J2423" s="2" t="s">
        <v>2355</v>
      </c>
      <c r="K2423" s="2" t="s">
        <v>3514</v>
      </c>
      <c r="L2423">
        <v>7</v>
      </c>
      <c r="M2423" s="1">
        <v>150000</v>
      </c>
      <c r="N2423">
        <v>2.9</v>
      </c>
      <c r="O2423">
        <v>5</v>
      </c>
      <c r="P2423" s="2" t="s">
        <v>26</v>
      </c>
    </row>
    <row r="2424" spans="1:16" x14ac:dyDescent="0.25">
      <c r="A2424" s="2" t="s">
        <v>7938</v>
      </c>
      <c r="B2424" s="2" t="s">
        <v>7939</v>
      </c>
      <c r="C2424" s="2" t="s">
        <v>29</v>
      </c>
      <c r="D2424" s="2" t="s">
        <v>50</v>
      </c>
      <c r="E2424" s="2" t="s">
        <v>20</v>
      </c>
      <c r="F2424" s="2" t="s">
        <v>32</v>
      </c>
      <c r="G2424" s="2" t="s">
        <v>22</v>
      </c>
      <c r="H2424" s="2" t="s">
        <v>34</v>
      </c>
      <c r="I2424" s="2" t="s">
        <v>24</v>
      </c>
      <c r="J2424" s="2" t="s">
        <v>3748</v>
      </c>
      <c r="K2424" s="2" t="s">
        <v>4366</v>
      </c>
      <c r="L2424">
        <v>3</v>
      </c>
      <c r="M2424" s="1">
        <v>227000</v>
      </c>
      <c r="N2424">
        <v>2.1</v>
      </c>
      <c r="O2424">
        <v>6</v>
      </c>
      <c r="P2424" s="2" t="s">
        <v>26</v>
      </c>
    </row>
    <row r="2425" spans="1:16" x14ac:dyDescent="0.25">
      <c r="A2425" s="2" t="s">
        <v>7940</v>
      </c>
      <c r="B2425" s="2" t="s">
        <v>7941</v>
      </c>
      <c r="C2425" s="2" t="s">
        <v>29</v>
      </c>
      <c r="D2425" s="2" t="s">
        <v>30</v>
      </c>
      <c r="E2425" s="2" t="s">
        <v>31</v>
      </c>
      <c r="F2425" s="2" t="s">
        <v>32</v>
      </c>
      <c r="G2425" s="2" t="s">
        <v>22</v>
      </c>
      <c r="H2425" s="2" t="s">
        <v>34</v>
      </c>
      <c r="I2425" s="2" t="s">
        <v>57</v>
      </c>
      <c r="J2425" s="2" t="s">
        <v>7942</v>
      </c>
      <c r="K2425" s="2" t="s">
        <v>4366</v>
      </c>
      <c r="L2425">
        <v>2</v>
      </c>
      <c r="M2425" s="1">
        <v>315000</v>
      </c>
      <c r="N2425">
        <v>4.9000000000000004</v>
      </c>
      <c r="O2425">
        <v>1</v>
      </c>
      <c r="P2425" s="2" t="s">
        <v>72</v>
      </c>
    </row>
    <row r="2426" spans="1:16" x14ac:dyDescent="0.25">
      <c r="A2426" s="2" t="s">
        <v>7943</v>
      </c>
      <c r="B2426" s="2" t="s">
        <v>7586</v>
      </c>
      <c r="C2426" s="2" t="s">
        <v>18</v>
      </c>
      <c r="D2426" s="2" t="s">
        <v>50</v>
      </c>
      <c r="E2426" s="2" t="s">
        <v>20</v>
      </c>
      <c r="F2426" s="2" t="s">
        <v>39</v>
      </c>
      <c r="G2426" s="2" t="s">
        <v>33</v>
      </c>
      <c r="H2426" s="2" t="s">
        <v>23</v>
      </c>
      <c r="I2426" s="2" t="s">
        <v>24</v>
      </c>
      <c r="J2426" s="2" t="s">
        <v>7944</v>
      </c>
      <c r="K2426" s="2" t="s">
        <v>6732</v>
      </c>
      <c r="L2426">
        <v>6</v>
      </c>
      <c r="M2426" s="1">
        <v>169000</v>
      </c>
      <c r="N2426">
        <v>2.4</v>
      </c>
      <c r="O2426">
        <v>8</v>
      </c>
      <c r="P2426" s="2" t="s">
        <v>26</v>
      </c>
    </row>
    <row r="2427" spans="1:16" x14ac:dyDescent="0.25">
      <c r="A2427" s="2" t="s">
        <v>7945</v>
      </c>
      <c r="B2427" s="2" t="s">
        <v>444</v>
      </c>
      <c r="C2427" s="2" t="s">
        <v>29</v>
      </c>
      <c r="D2427" s="2" t="s">
        <v>30</v>
      </c>
      <c r="E2427" s="2" t="s">
        <v>20</v>
      </c>
      <c r="F2427" s="2" t="s">
        <v>39</v>
      </c>
      <c r="G2427" s="2" t="s">
        <v>22</v>
      </c>
      <c r="H2427" s="2" t="s">
        <v>34</v>
      </c>
      <c r="I2427" s="2" t="s">
        <v>171</v>
      </c>
      <c r="J2427" s="2" t="s">
        <v>2584</v>
      </c>
      <c r="K2427" s="2" t="s">
        <v>6732</v>
      </c>
      <c r="L2427">
        <v>3</v>
      </c>
      <c r="M2427" s="1">
        <v>158000</v>
      </c>
      <c r="N2427">
        <v>2.1</v>
      </c>
      <c r="O2427">
        <v>9</v>
      </c>
      <c r="P2427" s="2" t="s">
        <v>26</v>
      </c>
    </row>
    <row r="2428" spans="1:16" x14ac:dyDescent="0.25">
      <c r="A2428" s="2" t="s">
        <v>7947</v>
      </c>
      <c r="B2428" s="2" t="s">
        <v>1940</v>
      </c>
      <c r="C2428" s="2" t="s">
        <v>18</v>
      </c>
      <c r="D2428" s="2" t="s">
        <v>30</v>
      </c>
      <c r="E2428" s="2" t="s">
        <v>44</v>
      </c>
      <c r="F2428" s="2" t="s">
        <v>128</v>
      </c>
      <c r="G2428" s="2" t="s">
        <v>80</v>
      </c>
      <c r="H2428" s="2" t="s">
        <v>23</v>
      </c>
      <c r="I2428" s="2" t="s">
        <v>35</v>
      </c>
      <c r="J2428" s="2" t="s">
        <v>5437</v>
      </c>
      <c r="K2428" s="2" t="s">
        <v>6732</v>
      </c>
      <c r="L2428">
        <v>2</v>
      </c>
      <c r="M2428" s="1">
        <v>429000</v>
      </c>
      <c r="N2428">
        <v>3.7</v>
      </c>
      <c r="O2428">
        <v>7</v>
      </c>
      <c r="P2428" s="2" t="s">
        <v>53</v>
      </c>
    </row>
    <row r="2429" spans="1:16" x14ac:dyDescent="0.25">
      <c r="A2429" s="2" t="s">
        <v>7949</v>
      </c>
      <c r="B2429" s="2" t="s">
        <v>2501</v>
      </c>
      <c r="C2429" s="2" t="s">
        <v>29</v>
      </c>
      <c r="D2429" s="2" t="s">
        <v>30</v>
      </c>
      <c r="E2429" s="2" t="s">
        <v>20</v>
      </c>
      <c r="F2429" s="2" t="s">
        <v>32</v>
      </c>
      <c r="G2429" s="2" t="s">
        <v>22</v>
      </c>
      <c r="H2429" s="2" t="s">
        <v>23</v>
      </c>
      <c r="I2429" s="2" t="s">
        <v>24</v>
      </c>
      <c r="J2429" s="2" t="s">
        <v>1401</v>
      </c>
      <c r="K2429" s="2" t="s">
        <v>7953</v>
      </c>
      <c r="L2429">
        <v>4</v>
      </c>
      <c r="M2429" s="1">
        <v>223000</v>
      </c>
      <c r="N2429">
        <v>2</v>
      </c>
      <c r="O2429">
        <v>4</v>
      </c>
      <c r="P2429" s="2" t="s">
        <v>26</v>
      </c>
    </row>
    <row r="2430" spans="1:16" x14ac:dyDescent="0.25">
      <c r="A2430" s="2" t="s">
        <v>7950</v>
      </c>
      <c r="B2430" s="2" t="s">
        <v>3072</v>
      </c>
      <c r="C2430" s="2" t="s">
        <v>18</v>
      </c>
      <c r="D2430" s="2" t="s">
        <v>43</v>
      </c>
      <c r="E2430" s="2" t="s">
        <v>20</v>
      </c>
      <c r="F2430" s="2" t="s">
        <v>39</v>
      </c>
      <c r="G2430" s="2" t="s">
        <v>22</v>
      </c>
      <c r="H2430" s="2" t="s">
        <v>34</v>
      </c>
      <c r="I2430" s="2" t="s">
        <v>24</v>
      </c>
      <c r="J2430" s="2" t="s">
        <v>1260</v>
      </c>
      <c r="K2430" s="2" t="s">
        <v>7953</v>
      </c>
      <c r="L2430">
        <v>3</v>
      </c>
      <c r="M2430" s="1">
        <v>95000</v>
      </c>
      <c r="N2430">
        <v>3.3</v>
      </c>
      <c r="O2430">
        <v>3</v>
      </c>
      <c r="P2430" s="2" t="s">
        <v>26</v>
      </c>
    </row>
    <row r="2431" spans="1:16" x14ac:dyDescent="0.25">
      <c r="A2431" s="2" t="s">
        <v>7951</v>
      </c>
      <c r="B2431" s="2" t="s">
        <v>7952</v>
      </c>
      <c r="C2431" s="2" t="s">
        <v>18</v>
      </c>
      <c r="D2431" s="2" t="s">
        <v>19</v>
      </c>
      <c r="E2431" s="2" t="s">
        <v>20</v>
      </c>
      <c r="F2431" s="2" t="s">
        <v>39</v>
      </c>
      <c r="G2431" s="2" t="s">
        <v>80</v>
      </c>
      <c r="H2431" s="2" t="s">
        <v>46</v>
      </c>
      <c r="I2431" s="2" t="s">
        <v>24</v>
      </c>
      <c r="J2431" s="2" t="s">
        <v>140</v>
      </c>
      <c r="K2431" s="2" t="s">
        <v>7953</v>
      </c>
      <c r="L2431">
        <v>4</v>
      </c>
      <c r="M2431" s="1">
        <v>191000</v>
      </c>
      <c r="N2431">
        <v>2.9</v>
      </c>
      <c r="O2431">
        <v>11</v>
      </c>
      <c r="P2431" s="2" t="s">
        <v>72</v>
      </c>
    </row>
    <row r="2432" spans="1:16" x14ac:dyDescent="0.25">
      <c r="A2432" s="2" t="s">
        <v>7954</v>
      </c>
      <c r="B2432" s="2" t="s">
        <v>1926</v>
      </c>
      <c r="C2432" s="2" t="s">
        <v>29</v>
      </c>
      <c r="D2432" s="2" t="s">
        <v>43</v>
      </c>
      <c r="E2432" s="2" t="s">
        <v>20</v>
      </c>
      <c r="F2432" s="2" t="s">
        <v>32</v>
      </c>
      <c r="G2432" s="2" t="s">
        <v>80</v>
      </c>
      <c r="H2432" s="2" t="s">
        <v>23</v>
      </c>
      <c r="I2432" s="2" t="s">
        <v>57</v>
      </c>
      <c r="J2432" s="2" t="s">
        <v>1554</v>
      </c>
      <c r="K2432" s="2" t="s">
        <v>381</v>
      </c>
      <c r="L2432">
        <v>4</v>
      </c>
      <c r="M2432" s="1">
        <v>286000</v>
      </c>
      <c r="N2432">
        <v>3.2</v>
      </c>
      <c r="O2432">
        <v>9</v>
      </c>
      <c r="P2432" s="2" t="s">
        <v>26</v>
      </c>
    </row>
    <row r="2433" spans="1:16" x14ac:dyDescent="0.25">
      <c r="A2433" s="2" t="s">
        <v>7955</v>
      </c>
      <c r="B2433" s="2" t="s">
        <v>7956</v>
      </c>
      <c r="C2433" s="2" t="s">
        <v>29</v>
      </c>
      <c r="D2433" s="2" t="s">
        <v>30</v>
      </c>
      <c r="E2433" s="2" t="s">
        <v>20</v>
      </c>
      <c r="F2433" s="2" t="s">
        <v>39</v>
      </c>
      <c r="G2433" s="2" t="s">
        <v>33</v>
      </c>
      <c r="H2433" s="2" t="s">
        <v>23</v>
      </c>
      <c r="I2433" s="2" t="s">
        <v>57</v>
      </c>
      <c r="J2433" s="2" t="s">
        <v>2956</v>
      </c>
      <c r="K2433" s="2" t="s">
        <v>381</v>
      </c>
      <c r="L2433">
        <v>5</v>
      </c>
      <c r="M2433" s="1">
        <v>119000</v>
      </c>
      <c r="N2433">
        <v>2.8</v>
      </c>
      <c r="O2433">
        <v>18</v>
      </c>
      <c r="P2433" s="2" t="s">
        <v>53</v>
      </c>
    </row>
    <row r="2434" spans="1:16" x14ac:dyDescent="0.25">
      <c r="A2434" s="2" t="s">
        <v>7957</v>
      </c>
      <c r="B2434" s="2" t="s">
        <v>7958</v>
      </c>
      <c r="C2434" s="2" t="s">
        <v>18</v>
      </c>
      <c r="D2434" s="2" t="s">
        <v>79</v>
      </c>
      <c r="E2434" s="2" t="s">
        <v>20</v>
      </c>
      <c r="F2434" s="2" t="s">
        <v>32</v>
      </c>
      <c r="G2434" s="2" t="s">
        <v>22</v>
      </c>
      <c r="H2434" s="2" t="s">
        <v>34</v>
      </c>
      <c r="I2434" s="2" t="s">
        <v>75</v>
      </c>
      <c r="J2434" s="2" t="s">
        <v>3748</v>
      </c>
      <c r="K2434" s="2" t="s">
        <v>449</v>
      </c>
      <c r="L2434">
        <v>3</v>
      </c>
      <c r="M2434" s="1">
        <v>301000</v>
      </c>
      <c r="N2434">
        <v>3.1</v>
      </c>
      <c r="O2434">
        <v>2</v>
      </c>
      <c r="P2434" s="2" t="s">
        <v>26</v>
      </c>
    </row>
    <row r="2435" spans="1:16" x14ac:dyDescent="0.25">
      <c r="A2435" s="2" t="s">
        <v>7959</v>
      </c>
      <c r="B2435" s="2" t="s">
        <v>5688</v>
      </c>
      <c r="C2435" s="2" t="s">
        <v>18</v>
      </c>
      <c r="D2435" s="2" t="s">
        <v>19</v>
      </c>
      <c r="E2435" s="2" t="s">
        <v>44</v>
      </c>
      <c r="F2435" s="2" t="s">
        <v>128</v>
      </c>
      <c r="G2435" s="2" t="s">
        <v>80</v>
      </c>
      <c r="H2435" s="2" t="s">
        <v>23</v>
      </c>
      <c r="I2435" s="2" t="s">
        <v>57</v>
      </c>
      <c r="J2435" s="2" t="s">
        <v>6765</v>
      </c>
      <c r="K2435" s="2" t="s">
        <v>449</v>
      </c>
      <c r="L2435">
        <v>3</v>
      </c>
      <c r="M2435" s="1">
        <v>641000</v>
      </c>
      <c r="N2435">
        <v>4.0999999999999996</v>
      </c>
      <c r="O2435">
        <v>4</v>
      </c>
      <c r="P2435" s="2" t="s">
        <v>26</v>
      </c>
    </row>
    <row r="2436" spans="1:16" x14ac:dyDescent="0.25">
      <c r="A2436" s="2" t="s">
        <v>7960</v>
      </c>
      <c r="B2436" s="2" t="s">
        <v>7154</v>
      </c>
      <c r="C2436" s="2" t="s">
        <v>18</v>
      </c>
      <c r="D2436" s="2" t="s">
        <v>30</v>
      </c>
      <c r="E2436" s="2" t="s">
        <v>20</v>
      </c>
      <c r="F2436" s="2" t="s">
        <v>39</v>
      </c>
      <c r="G2436" s="2" t="s">
        <v>80</v>
      </c>
      <c r="H2436" s="2" t="s">
        <v>23</v>
      </c>
      <c r="I2436" s="2" t="s">
        <v>57</v>
      </c>
      <c r="J2436" s="2" t="s">
        <v>199</v>
      </c>
      <c r="K2436" s="2" t="s">
        <v>449</v>
      </c>
      <c r="L2436">
        <v>5</v>
      </c>
      <c r="M2436" s="1">
        <v>179000</v>
      </c>
      <c r="N2436">
        <v>2.5</v>
      </c>
      <c r="O2436">
        <v>12</v>
      </c>
      <c r="P2436" s="2" t="s">
        <v>26</v>
      </c>
    </row>
    <row r="2437" spans="1:16" x14ac:dyDescent="0.25">
      <c r="A2437" s="2" t="s">
        <v>7961</v>
      </c>
      <c r="B2437" s="2" t="s">
        <v>3263</v>
      </c>
      <c r="C2437" s="2" t="s">
        <v>18</v>
      </c>
      <c r="D2437" s="2" t="s">
        <v>50</v>
      </c>
      <c r="E2437" s="2" t="s">
        <v>20</v>
      </c>
      <c r="F2437" s="2" t="s">
        <v>128</v>
      </c>
      <c r="G2437" s="2" t="s">
        <v>69</v>
      </c>
      <c r="H2437" s="2" t="s">
        <v>34</v>
      </c>
      <c r="I2437" s="2" t="s">
        <v>57</v>
      </c>
      <c r="J2437" s="2" t="s">
        <v>121</v>
      </c>
      <c r="K2437" s="2" t="s">
        <v>449</v>
      </c>
      <c r="L2437">
        <v>3</v>
      </c>
      <c r="M2437" s="1">
        <v>570000</v>
      </c>
      <c r="N2437">
        <v>4.9000000000000004</v>
      </c>
      <c r="O2437">
        <v>14</v>
      </c>
      <c r="P2437" s="2" t="s">
        <v>26</v>
      </c>
    </row>
    <row r="2438" spans="1:16" x14ac:dyDescent="0.25">
      <c r="A2438" s="2" t="s">
        <v>7964</v>
      </c>
      <c r="B2438" s="2" t="s">
        <v>7347</v>
      </c>
      <c r="C2438" s="2" t="s">
        <v>29</v>
      </c>
      <c r="D2438" s="2" t="s">
        <v>50</v>
      </c>
      <c r="E2438" s="2" t="s">
        <v>44</v>
      </c>
      <c r="F2438" s="2" t="s">
        <v>39</v>
      </c>
      <c r="G2438" s="2" t="s">
        <v>22</v>
      </c>
      <c r="H2438" s="2" t="s">
        <v>34</v>
      </c>
      <c r="I2438" s="2" t="s">
        <v>75</v>
      </c>
      <c r="J2438" s="2" t="s">
        <v>7095</v>
      </c>
      <c r="K2438" s="2" t="s">
        <v>449</v>
      </c>
      <c r="L2438">
        <v>3</v>
      </c>
      <c r="M2438" s="1">
        <v>109000</v>
      </c>
      <c r="N2438">
        <v>2.2999999999999998</v>
      </c>
      <c r="O2438">
        <v>1</v>
      </c>
      <c r="P2438" s="2" t="s">
        <v>72</v>
      </c>
    </row>
    <row r="2439" spans="1:16" x14ac:dyDescent="0.25">
      <c r="A2439" s="2" t="s">
        <v>7965</v>
      </c>
      <c r="B2439" s="2" t="s">
        <v>548</v>
      </c>
      <c r="C2439" s="2" t="s">
        <v>18</v>
      </c>
      <c r="D2439" s="2" t="s">
        <v>19</v>
      </c>
      <c r="E2439" s="2" t="s">
        <v>44</v>
      </c>
      <c r="F2439" s="2" t="s">
        <v>39</v>
      </c>
      <c r="G2439" s="2" t="s">
        <v>33</v>
      </c>
      <c r="H2439" s="2" t="s">
        <v>23</v>
      </c>
      <c r="I2439" s="2" t="s">
        <v>75</v>
      </c>
      <c r="J2439" s="2" t="s">
        <v>2385</v>
      </c>
      <c r="K2439" s="2" t="s">
        <v>6400</v>
      </c>
      <c r="L2439">
        <v>2</v>
      </c>
      <c r="M2439" s="1">
        <v>198000</v>
      </c>
      <c r="N2439">
        <v>4.4000000000000004</v>
      </c>
      <c r="O2439">
        <v>4</v>
      </c>
      <c r="P2439" s="2" t="s">
        <v>53</v>
      </c>
    </row>
    <row r="2440" spans="1:16" x14ac:dyDescent="0.25">
      <c r="A2440" s="2" t="s">
        <v>7966</v>
      </c>
      <c r="B2440" s="2" t="s">
        <v>60</v>
      </c>
      <c r="C2440" s="2" t="s">
        <v>18</v>
      </c>
      <c r="D2440" s="2" t="s">
        <v>50</v>
      </c>
      <c r="E2440" s="2" t="s">
        <v>20</v>
      </c>
      <c r="F2440" s="2" t="s">
        <v>32</v>
      </c>
      <c r="G2440" s="2" t="s">
        <v>33</v>
      </c>
      <c r="H2440" s="2" t="s">
        <v>46</v>
      </c>
      <c r="I2440" s="2" t="s">
        <v>24</v>
      </c>
      <c r="J2440" s="2" t="s">
        <v>6496</v>
      </c>
      <c r="K2440" s="2" t="s">
        <v>7971</v>
      </c>
      <c r="L2440">
        <v>2</v>
      </c>
      <c r="M2440" s="1">
        <v>249000</v>
      </c>
      <c r="N2440">
        <v>2.2999999999999998</v>
      </c>
      <c r="O2440">
        <v>5</v>
      </c>
      <c r="P2440" s="2" t="s">
        <v>26</v>
      </c>
    </row>
    <row r="2441" spans="1:16" x14ac:dyDescent="0.25">
      <c r="A2441" s="2" t="s">
        <v>7967</v>
      </c>
      <c r="B2441" s="2" t="s">
        <v>7968</v>
      </c>
      <c r="C2441" s="2" t="s">
        <v>18</v>
      </c>
      <c r="D2441" s="2" t="s">
        <v>30</v>
      </c>
      <c r="E2441" s="2" t="s">
        <v>20</v>
      </c>
      <c r="F2441" s="2" t="s">
        <v>32</v>
      </c>
      <c r="G2441" s="2" t="s">
        <v>33</v>
      </c>
      <c r="H2441" s="2" t="s">
        <v>62</v>
      </c>
      <c r="I2441" s="2" t="s">
        <v>24</v>
      </c>
      <c r="J2441" s="2" t="s">
        <v>6859</v>
      </c>
      <c r="K2441" s="2" t="s">
        <v>7971</v>
      </c>
      <c r="L2441">
        <v>5</v>
      </c>
      <c r="M2441" s="1">
        <v>186000</v>
      </c>
      <c r="N2441">
        <v>1.8</v>
      </c>
      <c r="O2441">
        <v>6</v>
      </c>
      <c r="P2441" s="2" t="s">
        <v>26</v>
      </c>
    </row>
    <row r="2442" spans="1:16" x14ac:dyDescent="0.25">
      <c r="A2442" s="2" t="s">
        <v>7969</v>
      </c>
      <c r="B2442" s="2" t="s">
        <v>7970</v>
      </c>
      <c r="C2442" s="2" t="s">
        <v>18</v>
      </c>
      <c r="D2442" s="2" t="s">
        <v>79</v>
      </c>
      <c r="E2442" s="2" t="s">
        <v>20</v>
      </c>
      <c r="F2442" s="2" t="s">
        <v>39</v>
      </c>
      <c r="G2442" s="2" t="s">
        <v>22</v>
      </c>
      <c r="H2442" s="2" t="s">
        <v>46</v>
      </c>
      <c r="I2442" s="2" t="s">
        <v>24</v>
      </c>
      <c r="J2442" s="2" t="s">
        <v>2579</v>
      </c>
      <c r="K2442" s="2" t="s">
        <v>7971</v>
      </c>
      <c r="L2442">
        <v>4</v>
      </c>
      <c r="M2442" s="1">
        <v>136000</v>
      </c>
      <c r="N2442">
        <v>3.1</v>
      </c>
      <c r="O2442">
        <v>12</v>
      </c>
      <c r="P2442" s="2" t="s">
        <v>114</v>
      </c>
    </row>
    <row r="2443" spans="1:16" x14ac:dyDescent="0.25">
      <c r="A2443" s="2" t="s">
        <v>7972</v>
      </c>
      <c r="B2443" s="2" t="s">
        <v>5851</v>
      </c>
      <c r="C2443" s="2" t="s">
        <v>18</v>
      </c>
      <c r="D2443" s="2" t="s">
        <v>79</v>
      </c>
      <c r="E2443" s="2" t="s">
        <v>20</v>
      </c>
      <c r="F2443" s="2" t="s">
        <v>128</v>
      </c>
      <c r="G2443" s="2" t="s">
        <v>33</v>
      </c>
      <c r="H2443" s="2" t="s">
        <v>23</v>
      </c>
      <c r="I2443" s="2" t="s">
        <v>35</v>
      </c>
      <c r="J2443" s="2" t="s">
        <v>5876</v>
      </c>
      <c r="K2443" s="2" t="s">
        <v>1963</v>
      </c>
      <c r="L2443">
        <v>5</v>
      </c>
      <c r="M2443" s="1">
        <v>433000</v>
      </c>
      <c r="N2443">
        <v>2.2999999999999998</v>
      </c>
      <c r="O2443">
        <v>12</v>
      </c>
      <c r="P2443" s="2" t="s">
        <v>26</v>
      </c>
    </row>
    <row r="2444" spans="1:16" x14ac:dyDescent="0.25">
      <c r="A2444" s="2" t="s">
        <v>7973</v>
      </c>
      <c r="B2444" s="2" t="s">
        <v>5839</v>
      </c>
      <c r="C2444" s="2" t="s">
        <v>29</v>
      </c>
      <c r="D2444" s="2" t="s">
        <v>50</v>
      </c>
      <c r="E2444" s="2" t="s">
        <v>44</v>
      </c>
      <c r="F2444" s="2" t="s">
        <v>39</v>
      </c>
      <c r="G2444" s="2" t="s">
        <v>69</v>
      </c>
      <c r="H2444" s="2" t="s">
        <v>46</v>
      </c>
      <c r="I2444" s="2" t="s">
        <v>57</v>
      </c>
      <c r="J2444" s="2" t="s">
        <v>794</v>
      </c>
      <c r="K2444" s="2" t="s">
        <v>1963</v>
      </c>
      <c r="L2444">
        <v>3</v>
      </c>
      <c r="M2444" s="1">
        <v>134000</v>
      </c>
      <c r="N2444">
        <v>4.3</v>
      </c>
      <c r="O2444">
        <v>27</v>
      </c>
      <c r="P2444" s="2" t="s">
        <v>26</v>
      </c>
    </row>
    <row r="2445" spans="1:16" x14ac:dyDescent="0.25">
      <c r="A2445" s="2" t="s">
        <v>7974</v>
      </c>
      <c r="B2445" s="2" t="s">
        <v>6488</v>
      </c>
      <c r="C2445" s="2" t="s">
        <v>29</v>
      </c>
      <c r="D2445" s="2" t="s">
        <v>19</v>
      </c>
      <c r="E2445" s="2" t="s">
        <v>20</v>
      </c>
      <c r="F2445" s="2" t="s">
        <v>39</v>
      </c>
      <c r="G2445" s="2" t="s">
        <v>22</v>
      </c>
      <c r="H2445" s="2" t="s">
        <v>23</v>
      </c>
      <c r="I2445" s="2" t="s">
        <v>24</v>
      </c>
      <c r="J2445" s="2" t="s">
        <v>4313</v>
      </c>
      <c r="K2445" s="2" t="s">
        <v>1963</v>
      </c>
      <c r="L2445">
        <v>6</v>
      </c>
      <c r="M2445" s="1">
        <v>117000</v>
      </c>
      <c r="N2445">
        <v>3.1</v>
      </c>
      <c r="O2445">
        <v>14</v>
      </c>
      <c r="P2445" s="2" t="s">
        <v>26</v>
      </c>
    </row>
    <row r="2446" spans="1:16" x14ac:dyDescent="0.25">
      <c r="A2446" s="2" t="s">
        <v>7975</v>
      </c>
      <c r="B2446" s="2" t="s">
        <v>1667</v>
      </c>
      <c r="C2446" s="2" t="s">
        <v>29</v>
      </c>
      <c r="D2446" s="2" t="s">
        <v>50</v>
      </c>
      <c r="E2446" s="2" t="s">
        <v>20</v>
      </c>
      <c r="F2446" s="2" t="s">
        <v>39</v>
      </c>
      <c r="G2446" s="2" t="s">
        <v>33</v>
      </c>
      <c r="H2446" s="2" t="s">
        <v>34</v>
      </c>
      <c r="I2446" s="2" t="s">
        <v>24</v>
      </c>
      <c r="J2446" s="2" t="s">
        <v>610</v>
      </c>
      <c r="K2446" s="2" t="s">
        <v>1963</v>
      </c>
      <c r="L2446">
        <v>2</v>
      </c>
      <c r="M2446" s="1">
        <v>102000</v>
      </c>
      <c r="N2446">
        <v>3</v>
      </c>
      <c r="O2446">
        <v>11</v>
      </c>
      <c r="P2446" s="2" t="s">
        <v>26</v>
      </c>
    </row>
    <row r="2447" spans="1:16" x14ac:dyDescent="0.25">
      <c r="A2447" s="2" t="s">
        <v>7977</v>
      </c>
      <c r="B2447" s="2" t="s">
        <v>7978</v>
      </c>
      <c r="C2447" s="2" t="s">
        <v>18</v>
      </c>
      <c r="D2447" s="2" t="s">
        <v>30</v>
      </c>
      <c r="E2447" s="2" t="s">
        <v>20</v>
      </c>
      <c r="F2447" s="2" t="s">
        <v>32</v>
      </c>
      <c r="G2447" s="2" t="s">
        <v>22</v>
      </c>
      <c r="H2447" s="2" t="s">
        <v>34</v>
      </c>
      <c r="I2447" s="2" t="s">
        <v>24</v>
      </c>
      <c r="J2447" s="2" t="s">
        <v>2355</v>
      </c>
      <c r="K2447" s="2" t="s">
        <v>1963</v>
      </c>
      <c r="L2447">
        <v>7</v>
      </c>
      <c r="M2447" s="1">
        <v>283000</v>
      </c>
      <c r="N2447">
        <v>4.9000000000000004</v>
      </c>
      <c r="O2447">
        <v>34</v>
      </c>
      <c r="P2447" s="2" t="s">
        <v>72</v>
      </c>
    </row>
    <row r="2448" spans="1:16" x14ac:dyDescent="0.25">
      <c r="A2448" s="2" t="s">
        <v>7979</v>
      </c>
      <c r="B2448" s="2" t="s">
        <v>7444</v>
      </c>
      <c r="C2448" s="2" t="s">
        <v>29</v>
      </c>
      <c r="D2448" s="2" t="s">
        <v>79</v>
      </c>
      <c r="E2448" s="2" t="s">
        <v>20</v>
      </c>
      <c r="F2448" s="2" t="s">
        <v>32</v>
      </c>
      <c r="G2448" s="2" t="s">
        <v>22</v>
      </c>
      <c r="H2448" s="2" t="s">
        <v>46</v>
      </c>
      <c r="I2448" s="2" t="s">
        <v>57</v>
      </c>
      <c r="J2448" s="2" t="s">
        <v>1385</v>
      </c>
      <c r="K2448" s="2" t="s">
        <v>5679</v>
      </c>
      <c r="L2448">
        <v>4</v>
      </c>
      <c r="M2448" s="1">
        <v>331000</v>
      </c>
      <c r="N2448">
        <v>4.3</v>
      </c>
      <c r="O2448">
        <v>1</v>
      </c>
      <c r="P2448" s="2" t="s">
        <v>26</v>
      </c>
    </row>
    <row r="2449" spans="1:16" x14ac:dyDescent="0.25">
      <c r="A2449" s="2" t="s">
        <v>7980</v>
      </c>
      <c r="B2449" s="2" t="s">
        <v>6499</v>
      </c>
      <c r="C2449" s="2" t="s">
        <v>18</v>
      </c>
      <c r="D2449" s="2" t="s">
        <v>19</v>
      </c>
      <c r="E2449" s="2" t="s">
        <v>44</v>
      </c>
      <c r="F2449" s="2" t="s">
        <v>39</v>
      </c>
      <c r="G2449" s="2" t="s">
        <v>33</v>
      </c>
      <c r="H2449" s="2" t="s">
        <v>34</v>
      </c>
      <c r="I2449" s="2" t="s">
        <v>24</v>
      </c>
      <c r="J2449" s="2" t="s">
        <v>1041</v>
      </c>
      <c r="K2449" s="2" t="s">
        <v>5679</v>
      </c>
      <c r="L2449">
        <v>5</v>
      </c>
      <c r="M2449" s="1">
        <v>170000</v>
      </c>
      <c r="N2449">
        <v>2.1</v>
      </c>
      <c r="O2449">
        <v>13</v>
      </c>
      <c r="P2449" s="2" t="s">
        <v>26</v>
      </c>
    </row>
    <row r="2450" spans="1:16" x14ac:dyDescent="0.25">
      <c r="A2450" s="2" t="s">
        <v>7981</v>
      </c>
      <c r="B2450" s="2" t="s">
        <v>7982</v>
      </c>
      <c r="C2450" s="2" t="s">
        <v>18</v>
      </c>
      <c r="D2450" s="2" t="s">
        <v>43</v>
      </c>
      <c r="E2450" s="2" t="s">
        <v>20</v>
      </c>
      <c r="F2450" s="2" t="s">
        <v>32</v>
      </c>
      <c r="G2450" s="2" t="s">
        <v>80</v>
      </c>
      <c r="H2450" s="2" t="s">
        <v>34</v>
      </c>
      <c r="I2450" s="2" t="s">
        <v>57</v>
      </c>
      <c r="J2450" s="2" t="s">
        <v>1303</v>
      </c>
      <c r="K2450" s="2" t="s">
        <v>5679</v>
      </c>
      <c r="L2450">
        <v>6</v>
      </c>
      <c r="M2450" s="1">
        <v>296000</v>
      </c>
      <c r="N2450">
        <v>4.0999999999999996</v>
      </c>
      <c r="O2450">
        <v>10</v>
      </c>
      <c r="P2450" s="2" t="s">
        <v>72</v>
      </c>
    </row>
    <row r="2451" spans="1:16" x14ac:dyDescent="0.25">
      <c r="A2451" s="2" t="s">
        <v>7984</v>
      </c>
      <c r="B2451" s="2" t="s">
        <v>7985</v>
      </c>
      <c r="C2451" s="2" t="s">
        <v>29</v>
      </c>
      <c r="D2451" s="2" t="s">
        <v>43</v>
      </c>
      <c r="E2451" s="2" t="s">
        <v>20</v>
      </c>
      <c r="F2451" s="2" t="s">
        <v>32</v>
      </c>
      <c r="G2451" s="2" t="s">
        <v>22</v>
      </c>
      <c r="H2451" s="2" t="s">
        <v>23</v>
      </c>
      <c r="I2451" s="2" t="s">
        <v>24</v>
      </c>
      <c r="J2451" s="2" t="s">
        <v>7986</v>
      </c>
      <c r="K2451" s="2" t="s">
        <v>4409</v>
      </c>
      <c r="L2451">
        <v>6</v>
      </c>
      <c r="M2451" s="1">
        <v>185000</v>
      </c>
      <c r="N2451">
        <v>2.5</v>
      </c>
      <c r="O2451">
        <v>6</v>
      </c>
      <c r="P2451" s="2" t="s">
        <v>72</v>
      </c>
    </row>
    <row r="2452" spans="1:16" x14ac:dyDescent="0.25">
      <c r="A2452" s="2" t="s">
        <v>7992</v>
      </c>
      <c r="B2452" s="2" t="s">
        <v>942</v>
      </c>
      <c r="C2452" s="2" t="s">
        <v>18</v>
      </c>
      <c r="D2452" s="2" t="s">
        <v>43</v>
      </c>
      <c r="E2452" s="2" t="s">
        <v>20</v>
      </c>
      <c r="F2452" s="2" t="s">
        <v>128</v>
      </c>
      <c r="G2452" s="2" t="s">
        <v>33</v>
      </c>
      <c r="H2452" s="2" t="s">
        <v>34</v>
      </c>
      <c r="I2452" s="2" t="s">
        <v>24</v>
      </c>
      <c r="J2452" s="2" t="s">
        <v>2521</v>
      </c>
      <c r="K2452" s="2" t="s">
        <v>3514</v>
      </c>
      <c r="L2452">
        <v>3</v>
      </c>
      <c r="M2452" s="1">
        <v>350000</v>
      </c>
      <c r="N2452">
        <v>4</v>
      </c>
      <c r="O2452">
        <v>4</v>
      </c>
      <c r="P2452" s="2" t="s">
        <v>72</v>
      </c>
    </row>
    <row r="2453" spans="1:16" x14ac:dyDescent="0.25">
      <c r="A2453" s="2" t="s">
        <v>7993</v>
      </c>
      <c r="B2453" s="2" t="s">
        <v>1682</v>
      </c>
      <c r="C2453" s="2" t="s">
        <v>18</v>
      </c>
      <c r="D2453" s="2" t="s">
        <v>30</v>
      </c>
      <c r="E2453" s="2" t="s">
        <v>44</v>
      </c>
      <c r="F2453" s="2" t="s">
        <v>128</v>
      </c>
      <c r="G2453" s="2" t="s">
        <v>22</v>
      </c>
      <c r="H2453" s="2" t="s">
        <v>34</v>
      </c>
      <c r="I2453" s="2" t="s">
        <v>24</v>
      </c>
      <c r="J2453" s="2" t="s">
        <v>2795</v>
      </c>
      <c r="K2453" s="2" t="s">
        <v>1092</v>
      </c>
      <c r="L2453">
        <v>4</v>
      </c>
      <c r="M2453" s="1">
        <v>522000</v>
      </c>
      <c r="N2453">
        <v>4.3</v>
      </c>
      <c r="O2453">
        <v>6</v>
      </c>
      <c r="P2453" s="2" t="s">
        <v>26</v>
      </c>
    </row>
    <row r="2454" spans="1:16" x14ac:dyDescent="0.25">
      <c r="A2454" s="2" t="s">
        <v>7994</v>
      </c>
      <c r="B2454" s="2" t="s">
        <v>7995</v>
      </c>
      <c r="C2454" s="2" t="s">
        <v>29</v>
      </c>
      <c r="D2454" s="2" t="s">
        <v>50</v>
      </c>
      <c r="E2454" s="2" t="s">
        <v>20</v>
      </c>
      <c r="F2454" s="2" t="s">
        <v>128</v>
      </c>
      <c r="G2454" s="2" t="s">
        <v>80</v>
      </c>
      <c r="H2454" s="2" t="s">
        <v>62</v>
      </c>
      <c r="I2454" s="2" t="s">
        <v>24</v>
      </c>
      <c r="J2454" s="2" t="s">
        <v>575</v>
      </c>
      <c r="K2454" s="2" t="s">
        <v>1092</v>
      </c>
      <c r="L2454">
        <v>2</v>
      </c>
      <c r="M2454" s="1">
        <v>593000</v>
      </c>
      <c r="N2454">
        <v>3.4</v>
      </c>
      <c r="O2454">
        <v>10</v>
      </c>
      <c r="P2454" s="2" t="s">
        <v>114</v>
      </c>
    </row>
    <row r="2455" spans="1:16" x14ac:dyDescent="0.25">
      <c r="A2455" s="2" t="s">
        <v>7996</v>
      </c>
      <c r="B2455" s="2" t="s">
        <v>7997</v>
      </c>
      <c r="C2455" s="2" t="s">
        <v>18</v>
      </c>
      <c r="D2455" s="2" t="s">
        <v>50</v>
      </c>
      <c r="E2455" s="2" t="s">
        <v>20</v>
      </c>
      <c r="F2455" s="2" t="s">
        <v>32</v>
      </c>
      <c r="G2455" s="2" t="s">
        <v>22</v>
      </c>
      <c r="H2455" s="2" t="s">
        <v>46</v>
      </c>
      <c r="I2455" s="2" t="s">
        <v>24</v>
      </c>
      <c r="J2455" s="2" t="s">
        <v>70</v>
      </c>
      <c r="K2455" s="2" t="s">
        <v>453</v>
      </c>
      <c r="L2455">
        <v>2</v>
      </c>
      <c r="M2455" s="1">
        <v>262000</v>
      </c>
      <c r="N2455">
        <v>3.1</v>
      </c>
      <c r="O2455">
        <v>10</v>
      </c>
      <c r="P2455" s="2" t="s">
        <v>26</v>
      </c>
    </row>
    <row r="2456" spans="1:16" x14ac:dyDescent="0.25">
      <c r="A2456" s="2" t="s">
        <v>7998</v>
      </c>
      <c r="B2456" s="2" t="s">
        <v>6867</v>
      </c>
      <c r="C2456" s="2" t="s">
        <v>18</v>
      </c>
      <c r="D2456" s="2" t="s">
        <v>30</v>
      </c>
      <c r="E2456" s="2" t="s">
        <v>31</v>
      </c>
      <c r="F2456" s="2" t="s">
        <v>128</v>
      </c>
      <c r="G2456" s="2" t="s">
        <v>33</v>
      </c>
      <c r="H2456" s="2" t="s">
        <v>46</v>
      </c>
      <c r="I2456" s="2" t="s">
        <v>57</v>
      </c>
      <c r="J2456" s="2" t="s">
        <v>926</v>
      </c>
      <c r="K2456" s="2" t="s">
        <v>453</v>
      </c>
      <c r="L2456">
        <v>4</v>
      </c>
      <c r="M2456" s="1">
        <v>533000</v>
      </c>
      <c r="N2456">
        <v>4.5</v>
      </c>
      <c r="O2456">
        <v>13</v>
      </c>
      <c r="P2456" s="2" t="s">
        <v>53</v>
      </c>
    </row>
    <row r="2457" spans="1:16" x14ac:dyDescent="0.25">
      <c r="A2457" s="2" t="s">
        <v>7999</v>
      </c>
      <c r="B2457" s="2" t="s">
        <v>6256</v>
      </c>
      <c r="C2457" s="2" t="s">
        <v>18</v>
      </c>
      <c r="D2457" s="2" t="s">
        <v>43</v>
      </c>
      <c r="E2457" s="2" t="s">
        <v>20</v>
      </c>
      <c r="F2457" s="2" t="s">
        <v>32</v>
      </c>
      <c r="G2457" s="2" t="s">
        <v>69</v>
      </c>
      <c r="H2457" s="2" t="s">
        <v>34</v>
      </c>
      <c r="I2457" s="2" t="s">
        <v>35</v>
      </c>
      <c r="J2457" s="2" t="s">
        <v>4088</v>
      </c>
      <c r="K2457" s="2" t="s">
        <v>428</v>
      </c>
      <c r="L2457">
        <v>4</v>
      </c>
      <c r="M2457" s="1">
        <v>286000</v>
      </c>
      <c r="N2457">
        <v>3.8</v>
      </c>
      <c r="O2457">
        <v>13</v>
      </c>
      <c r="P2457" s="2" t="s">
        <v>26</v>
      </c>
    </row>
    <row r="2458" spans="1:16" x14ac:dyDescent="0.25">
      <c r="A2458" s="2" t="s">
        <v>8005</v>
      </c>
      <c r="B2458" s="2" t="s">
        <v>7046</v>
      </c>
      <c r="C2458" s="2" t="s">
        <v>18</v>
      </c>
      <c r="D2458" s="2" t="s">
        <v>30</v>
      </c>
      <c r="E2458" s="2" t="s">
        <v>20</v>
      </c>
      <c r="F2458" s="2" t="s">
        <v>32</v>
      </c>
      <c r="G2458" s="2" t="s">
        <v>22</v>
      </c>
      <c r="H2458" s="2" t="s">
        <v>46</v>
      </c>
      <c r="I2458" s="2" t="s">
        <v>57</v>
      </c>
      <c r="J2458" s="2" t="s">
        <v>1279</v>
      </c>
      <c r="K2458" s="2" t="s">
        <v>428</v>
      </c>
      <c r="L2458">
        <v>4</v>
      </c>
      <c r="M2458" s="1">
        <v>237000</v>
      </c>
      <c r="N2458">
        <v>1.8</v>
      </c>
      <c r="O2458">
        <v>7</v>
      </c>
      <c r="P2458" s="2" t="s">
        <v>53</v>
      </c>
    </row>
    <row r="2459" spans="1:16" x14ac:dyDescent="0.25">
      <c r="A2459" s="2" t="s">
        <v>8006</v>
      </c>
      <c r="B2459" s="2" t="s">
        <v>2826</v>
      </c>
      <c r="C2459" s="2" t="s">
        <v>18</v>
      </c>
      <c r="D2459" s="2" t="s">
        <v>43</v>
      </c>
      <c r="E2459" s="2" t="s">
        <v>20</v>
      </c>
      <c r="F2459" s="2" t="s">
        <v>39</v>
      </c>
      <c r="G2459" s="2" t="s">
        <v>80</v>
      </c>
      <c r="H2459" s="2" t="s">
        <v>46</v>
      </c>
      <c r="I2459" s="2" t="s">
        <v>24</v>
      </c>
      <c r="J2459" s="2" t="s">
        <v>7167</v>
      </c>
      <c r="K2459" s="2" t="s">
        <v>905</v>
      </c>
      <c r="L2459">
        <v>4</v>
      </c>
      <c r="M2459" s="1">
        <v>146000</v>
      </c>
      <c r="N2459">
        <v>4.3</v>
      </c>
      <c r="O2459">
        <v>12</v>
      </c>
      <c r="P2459" s="2" t="s">
        <v>26</v>
      </c>
    </row>
    <row r="2460" spans="1:16" x14ac:dyDescent="0.25">
      <c r="A2460" s="2" t="s">
        <v>8008</v>
      </c>
      <c r="B2460" s="2" t="s">
        <v>8009</v>
      </c>
      <c r="C2460" s="2" t="s">
        <v>18</v>
      </c>
      <c r="D2460" s="2" t="s">
        <v>79</v>
      </c>
      <c r="E2460" s="2" t="s">
        <v>44</v>
      </c>
      <c r="F2460" s="2" t="s">
        <v>128</v>
      </c>
      <c r="G2460" s="2" t="s">
        <v>80</v>
      </c>
      <c r="H2460" s="2" t="s">
        <v>46</v>
      </c>
      <c r="I2460" s="2" t="s">
        <v>171</v>
      </c>
      <c r="J2460" s="2" t="s">
        <v>1336</v>
      </c>
      <c r="K2460" s="2" t="s">
        <v>905</v>
      </c>
      <c r="L2460">
        <v>3</v>
      </c>
      <c r="M2460" s="1">
        <v>566000</v>
      </c>
      <c r="N2460">
        <v>2.7</v>
      </c>
      <c r="O2460">
        <v>7</v>
      </c>
      <c r="P2460" s="2" t="s">
        <v>26</v>
      </c>
    </row>
    <row r="2461" spans="1:16" x14ac:dyDescent="0.25">
      <c r="A2461" s="2" t="s">
        <v>8010</v>
      </c>
      <c r="B2461" s="2" t="s">
        <v>55</v>
      </c>
      <c r="C2461" s="2" t="s">
        <v>29</v>
      </c>
      <c r="D2461" s="2" t="s">
        <v>50</v>
      </c>
      <c r="E2461" s="2" t="s">
        <v>20</v>
      </c>
      <c r="F2461" s="2" t="s">
        <v>32</v>
      </c>
      <c r="G2461" s="2" t="s">
        <v>22</v>
      </c>
      <c r="H2461" s="2" t="s">
        <v>23</v>
      </c>
      <c r="I2461" s="2" t="s">
        <v>24</v>
      </c>
      <c r="J2461" s="2" t="s">
        <v>1269</v>
      </c>
      <c r="K2461" s="2" t="s">
        <v>905</v>
      </c>
      <c r="L2461">
        <v>5</v>
      </c>
      <c r="M2461" s="1">
        <v>216000</v>
      </c>
      <c r="N2461">
        <v>4.5</v>
      </c>
      <c r="O2461">
        <v>5</v>
      </c>
      <c r="P2461" s="2" t="s">
        <v>26</v>
      </c>
    </row>
    <row r="2462" spans="1:16" x14ac:dyDescent="0.25">
      <c r="A2462" s="2" t="s">
        <v>8012</v>
      </c>
      <c r="B2462" s="2" t="s">
        <v>3598</v>
      </c>
      <c r="C2462" s="2" t="s">
        <v>18</v>
      </c>
      <c r="D2462" s="2" t="s">
        <v>79</v>
      </c>
      <c r="E2462" s="2" t="s">
        <v>20</v>
      </c>
      <c r="F2462" s="2" t="s">
        <v>32</v>
      </c>
      <c r="G2462" s="2" t="s">
        <v>22</v>
      </c>
      <c r="H2462" s="2" t="s">
        <v>23</v>
      </c>
      <c r="I2462" s="2" t="s">
        <v>57</v>
      </c>
      <c r="J2462" s="2" t="s">
        <v>2612</v>
      </c>
      <c r="K2462" s="2" t="s">
        <v>905</v>
      </c>
      <c r="L2462">
        <v>7</v>
      </c>
      <c r="M2462" s="1">
        <v>250000</v>
      </c>
      <c r="N2462">
        <v>3.1</v>
      </c>
      <c r="O2462">
        <v>9</v>
      </c>
      <c r="P2462" s="2" t="s">
        <v>26</v>
      </c>
    </row>
    <row r="2463" spans="1:16" x14ac:dyDescent="0.25">
      <c r="A2463" s="2" t="s">
        <v>8013</v>
      </c>
      <c r="B2463" s="2" t="s">
        <v>308</v>
      </c>
      <c r="C2463" s="2" t="s">
        <v>29</v>
      </c>
      <c r="D2463" s="2" t="s">
        <v>19</v>
      </c>
      <c r="E2463" s="2" t="s">
        <v>44</v>
      </c>
      <c r="F2463" s="2" t="s">
        <v>32</v>
      </c>
      <c r="G2463" s="2" t="s">
        <v>33</v>
      </c>
      <c r="H2463" s="2" t="s">
        <v>23</v>
      </c>
      <c r="I2463" s="2" t="s">
        <v>24</v>
      </c>
      <c r="J2463" s="2" t="s">
        <v>7780</v>
      </c>
      <c r="K2463" s="2" t="s">
        <v>905</v>
      </c>
      <c r="L2463">
        <v>4</v>
      </c>
      <c r="M2463" s="1">
        <v>385000</v>
      </c>
      <c r="N2463">
        <v>4.5999999999999996</v>
      </c>
      <c r="O2463">
        <v>11</v>
      </c>
      <c r="P2463" s="2" t="s">
        <v>53</v>
      </c>
    </row>
    <row r="2464" spans="1:16" x14ac:dyDescent="0.25">
      <c r="A2464" s="2" t="s">
        <v>8018</v>
      </c>
      <c r="B2464" s="2" t="s">
        <v>8019</v>
      </c>
      <c r="C2464" s="2" t="s">
        <v>29</v>
      </c>
      <c r="D2464" s="2" t="s">
        <v>79</v>
      </c>
      <c r="E2464" s="2" t="s">
        <v>20</v>
      </c>
      <c r="F2464" s="2" t="s">
        <v>21</v>
      </c>
      <c r="G2464" s="2" t="s">
        <v>22</v>
      </c>
      <c r="H2464" s="2" t="s">
        <v>62</v>
      </c>
      <c r="I2464" s="2" t="s">
        <v>57</v>
      </c>
      <c r="J2464" s="2" t="s">
        <v>8020</v>
      </c>
      <c r="K2464" s="2" t="s">
        <v>2292</v>
      </c>
      <c r="L2464">
        <v>3</v>
      </c>
      <c r="M2464" s="1">
        <v>949000</v>
      </c>
      <c r="N2464">
        <v>4.3</v>
      </c>
      <c r="O2464">
        <v>28</v>
      </c>
      <c r="P2464" s="2" t="s">
        <v>26</v>
      </c>
    </row>
    <row r="2465" spans="1:16" x14ac:dyDescent="0.25">
      <c r="A2465" s="2" t="s">
        <v>8021</v>
      </c>
      <c r="B2465" s="2" t="s">
        <v>6105</v>
      </c>
      <c r="C2465" s="2" t="s">
        <v>18</v>
      </c>
      <c r="D2465" s="2" t="s">
        <v>30</v>
      </c>
      <c r="E2465" s="2" t="s">
        <v>44</v>
      </c>
      <c r="F2465" s="2" t="s">
        <v>45</v>
      </c>
      <c r="G2465" s="2" t="s">
        <v>80</v>
      </c>
      <c r="H2465" s="2" t="s">
        <v>34</v>
      </c>
      <c r="I2465" s="2" t="s">
        <v>35</v>
      </c>
      <c r="J2465" s="2" t="s">
        <v>289</v>
      </c>
      <c r="K2465" s="2" t="s">
        <v>2292</v>
      </c>
      <c r="L2465">
        <v>5</v>
      </c>
      <c r="M2465" s="1">
        <v>1738000</v>
      </c>
      <c r="N2465">
        <v>3.5</v>
      </c>
      <c r="O2465">
        <v>10</v>
      </c>
      <c r="P2465" s="2" t="s">
        <v>26</v>
      </c>
    </row>
    <row r="2466" spans="1:16" x14ac:dyDescent="0.25">
      <c r="A2466" s="2" t="s">
        <v>8023</v>
      </c>
      <c r="B2466" s="2" t="s">
        <v>4216</v>
      </c>
      <c r="C2466" s="2" t="s">
        <v>18</v>
      </c>
      <c r="D2466" s="2" t="s">
        <v>30</v>
      </c>
      <c r="E2466" s="2" t="s">
        <v>44</v>
      </c>
      <c r="F2466" s="2" t="s">
        <v>32</v>
      </c>
      <c r="G2466" s="2" t="s">
        <v>33</v>
      </c>
      <c r="H2466" s="2" t="s">
        <v>62</v>
      </c>
      <c r="I2466" s="2" t="s">
        <v>57</v>
      </c>
      <c r="J2466" s="2" t="s">
        <v>8024</v>
      </c>
      <c r="K2466" s="2" t="s">
        <v>2292</v>
      </c>
      <c r="L2466">
        <v>7</v>
      </c>
      <c r="M2466" s="1">
        <v>227000</v>
      </c>
      <c r="N2466">
        <v>2.1</v>
      </c>
      <c r="O2466">
        <v>10</v>
      </c>
      <c r="P2466" s="2" t="s">
        <v>26</v>
      </c>
    </row>
    <row r="2467" spans="1:16" x14ac:dyDescent="0.25">
      <c r="A2467" s="2" t="s">
        <v>8026</v>
      </c>
      <c r="B2467" s="2" t="s">
        <v>8027</v>
      </c>
      <c r="C2467" s="2" t="s">
        <v>29</v>
      </c>
      <c r="D2467" s="2" t="s">
        <v>30</v>
      </c>
      <c r="E2467" s="2" t="s">
        <v>20</v>
      </c>
      <c r="F2467" s="2" t="s">
        <v>32</v>
      </c>
      <c r="G2467" s="2" t="s">
        <v>22</v>
      </c>
      <c r="H2467" s="2" t="s">
        <v>23</v>
      </c>
      <c r="I2467" s="2" t="s">
        <v>24</v>
      </c>
      <c r="J2467" s="2" t="s">
        <v>5913</v>
      </c>
      <c r="K2467" s="2" t="s">
        <v>2292</v>
      </c>
      <c r="L2467">
        <v>2</v>
      </c>
      <c r="M2467" s="1">
        <v>198000</v>
      </c>
      <c r="N2467">
        <v>3.1</v>
      </c>
      <c r="O2467">
        <v>8</v>
      </c>
      <c r="P2467" s="2" t="s">
        <v>26</v>
      </c>
    </row>
    <row r="2468" spans="1:16" x14ac:dyDescent="0.25">
      <c r="A2468" s="2" t="s">
        <v>8028</v>
      </c>
      <c r="B2468" s="2" t="s">
        <v>2232</v>
      </c>
      <c r="C2468" s="2" t="s">
        <v>29</v>
      </c>
      <c r="D2468" s="2" t="s">
        <v>50</v>
      </c>
      <c r="E2468" s="2" t="s">
        <v>44</v>
      </c>
      <c r="F2468" s="2" t="s">
        <v>39</v>
      </c>
      <c r="G2468" s="2" t="s">
        <v>22</v>
      </c>
      <c r="H2468" s="2" t="s">
        <v>23</v>
      </c>
      <c r="I2468" s="2" t="s">
        <v>57</v>
      </c>
      <c r="J2468" s="2" t="s">
        <v>7661</v>
      </c>
      <c r="K2468" s="2" t="s">
        <v>2292</v>
      </c>
      <c r="L2468">
        <v>5</v>
      </c>
      <c r="M2468" s="1">
        <v>112000</v>
      </c>
      <c r="N2468">
        <v>2.5</v>
      </c>
      <c r="O2468">
        <v>11</v>
      </c>
      <c r="P2468" s="2" t="s">
        <v>53</v>
      </c>
    </row>
    <row r="2469" spans="1:16" x14ac:dyDescent="0.25">
      <c r="A2469" s="2" t="s">
        <v>8034</v>
      </c>
      <c r="B2469" s="2" t="s">
        <v>2142</v>
      </c>
      <c r="C2469" s="2" t="s">
        <v>18</v>
      </c>
      <c r="D2469" s="2" t="s">
        <v>43</v>
      </c>
      <c r="E2469" s="2" t="s">
        <v>44</v>
      </c>
      <c r="F2469" s="2" t="s">
        <v>32</v>
      </c>
      <c r="G2469" s="2" t="s">
        <v>80</v>
      </c>
      <c r="H2469" s="2" t="s">
        <v>23</v>
      </c>
      <c r="I2469" s="2" t="s">
        <v>24</v>
      </c>
      <c r="J2469" s="2" t="s">
        <v>3872</v>
      </c>
      <c r="K2469" s="2" t="s">
        <v>1609</v>
      </c>
      <c r="L2469">
        <v>3</v>
      </c>
      <c r="M2469" s="1">
        <v>281000</v>
      </c>
      <c r="N2469">
        <v>4.5</v>
      </c>
      <c r="O2469">
        <v>11</v>
      </c>
      <c r="P2469" s="2" t="s">
        <v>26</v>
      </c>
    </row>
    <row r="2470" spans="1:16" x14ac:dyDescent="0.25">
      <c r="A2470" s="2" t="s">
        <v>8037</v>
      </c>
      <c r="B2470" s="2" t="s">
        <v>8038</v>
      </c>
      <c r="C2470" s="2" t="s">
        <v>18</v>
      </c>
      <c r="D2470" s="2" t="s">
        <v>50</v>
      </c>
      <c r="E2470" s="2" t="s">
        <v>31</v>
      </c>
      <c r="F2470" s="2" t="s">
        <v>39</v>
      </c>
      <c r="G2470" s="2" t="s">
        <v>69</v>
      </c>
      <c r="H2470" s="2" t="s">
        <v>34</v>
      </c>
      <c r="I2470" s="2" t="s">
        <v>171</v>
      </c>
      <c r="J2470" s="2" t="s">
        <v>351</v>
      </c>
      <c r="K2470" s="2" t="s">
        <v>1609</v>
      </c>
      <c r="L2470">
        <v>6</v>
      </c>
      <c r="M2470" s="1">
        <v>143000</v>
      </c>
      <c r="N2470">
        <v>2.7</v>
      </c>
      <c r="O2470">
        <v>32</v>
      </c>
      <c r="P2470" s="2" t="s">
        <v>26</v>
      </c>
    </row>
    <row r="2471" spans="1:16" x14ac:dyDescent="0.25">
      <c r="A2471" s="2" t="s">
        <v>8040</v>
      </c>
      <c r="B2471" s="2" t="s">
        <v>1929</v>
      </c>
      <c r="C2471" s="2" t="s">
        <v>18</v>
      </c>
      <c r="D2471" s="2" t="s">
        <v>30</v>
      </c>
      <c r="E2471" s="2" t="s">
        <v>20</v>
      </c>
      <c r="F2471" s="2" t="s">
        <v>39</v>
      </c>
      <c r="G2471" s="2" t="s">
        <v>22</v>
      </c>
      <c r="H2471" s="2" t="s">
        <v>34</v>
      </c>
      <c r="I2471" s="2" t="s">
        <v>35</v>
      </c>
      <c r="J2471" s="2" t="s">
        <v>6585</v>
      </c>
      <c r="K2471" s="2" t="s">
        <v>1609</v>
      </c>
      <c r="L2471">
        <v>4</v>
      </c>
      <c r="M2471" s="1">
        <v>166000</v>
      </c>
      <c r="N2471">
        <v>1.9</v>
      </c>
      <c r="O2471">
        <v>11</v>
      </c>
      <c r="P2471" s="2" t="s">
        <v>26</v>
      </c>
    </row>
    <row r="2472" spans="1:16" x14ac:dyDescent="0.25">
      <c r="A2472" s="2" t="s">
        <v>8041</v>
      </c>
      <c r="B2472" s="2" t="s">
        <v>7848</v>
      </c>
      <c r="C2472" s="2" t="s">
        <v>18</v>
      </c>
      <c r="D2472" s="2" t="s">
        <v>43</v>
      </c>
      <c r="E2472" s="2" t="s">
        <v>20</v>
      </c>
      <c r="F2472" s="2" t="s">
        <v>32</v>
      </c>
      <c r="G2472" s="2" t="s">
        <v>80</v>
      </c>
      <c r="H2472" s="2" t="s">
        <v>34</v>
      </c>
      <c r="I2472" s="2" t="s">
        <v>57</v>
      </c>
      <c r="J2472" s="2" t="s">
        <v>4373</v>
      </c>
      <c r="K2472" s="2" t="s">
        <v>1609</v>
      </c>
      <c r="L2472">
        <v>4</v>
      </c>
      <c r="M2472" s="1">
        <v>180000</v>
      </c>
      <c r="N2472">
        <v>4.8</v>
      </c>
      <c r="O2472">
        <v>12</v>
      </c>
      <c r="P2472" s="2" t="s">
        <v>26</v>
      </c>
    </row>
    <row r="2473" spans="1:16" x14ac:dyDescent="0.25">
      <c r="A2473" s="2" t="s">
        <v>8042</v>
      </c>
      <c r="B2473" s="2" t="s">
        <v>49</v>
      </c>
      <c r="C2473" s="2" t="s">
        <v>18</v>
      </c>
      <c r="D2473" s="2" t="s">
        <v>30</v>
      </c>
      <c r="E2473" s="2" t="s">
        <v>20</v>
      </c>
      <c r="F2473" s="2" t="s">
        <v>32</v>
      </c>
      <c r="G2473" s="2" t="s">
        <v>33</v>
      </c>
      <c r="H2473" s="2" t="s">
        <v>23</v>
      </c>
      <c r="I2473" s="2" t="s">
        <v>24</v>
      </c>
      <c r="J2473" s="2" t="s">
        <v>4007</v>
      </c>
      <c r="K2473" s="2" t="s">
        <v>1609</v>
      </c>
      <c r="L2473">
        <v>6</v>
      </c>
      <c r="M2473" s="1">
        <v>260000</v>
      </c>
      <c r="N2473">
        <v>4.5999999999999996</v>
      </c>
      <c r="O2473">
        <v>12</v>
      </c>
      <c r="P2473" s="2" t="s">
        <v>26</v>
      </c>
    </row>
    <row r="2474" spans="1:16" x14ac:dyDescent="0.25">
      <c r="A2474" s="2" t="s">
        <v>8043</v>
      </c>
      <c r="B2474" s="2" t="s">
        <v>8044</v>
      </c>
      <c r="C2474" s="2" t="s">
        <v>18</v>
      </c>
      <c r="D2474" s="2" t="s">
        <v>50</v>
      </c>
      <c r="E2474" s="2" t="s">
        <v>20</v>
      </c>
      <c r="F2474" s="2" t="s">
        <v>128</v>
      </c>
      <c r="G2474" s="2" t="s">
        <v>80</v>
      </c>
      <c r="H2474" s="2" t="s">
        <v>46</v>
      </c>
      <c r="I2474" s="2" t="s">
        <v>171</v>
      </c>
      <c r="J2474" s="2" t="s">
        <v>2579</v>
      </c>
      <c r="K2474" s="2" t="s">
        <v>1609</v>
      </c>
      <c r="L2474">
        <v>4</v>
      </c>
      <c r="M2474" s="1">
        <v>425000</v>
      </c>
      <c r="N2474">
        <v>4.2</v>
      </c>
      <c r="O2474">
        <v>5</v>
      </c>
      <c r="P2474" s="2" t="s">
        <v>26</v>
      </c>
    </row>
    <row r="2475" spans="1:16" x14ac:dyDescent="0.25">
      <c r="A2475" s="2" t="s">
        <v>8046</v>
      </c>
      <c r="B2475" s="2" t="s">
        <v>3480</v>
      </c>
      <c r="C2475" s="2" t="s">
        <v>29</v>
      </c>
      <c r="D2475" s="2" t="s">
        <v>30</v>
      </c>
      <c r="E2475" s="2" t="s">
        <v>20</v>
      </c>
      <c r="F2475" s="2" t="s">
        <v>39</v>
      </c>
      <c r="G2475" s="2" t="s">
        <v>69</v>
      </c>
      <c r="H2475" s="2" t="s">
        <v>23</v>
      </c>
      <c r="I2475" s="2" t="s">
        <v>24</v>
      </c>
      <c r="J2475" s="2" t="s">
        <v>8047</v>
      </c>
      <c r="K2475" s="2" t="s">
        <v>1609</v>
      </c>
      <c r="L2475">
        <v>3</v>
      </c>
      <c r="M2475" s="1">
        <v>139000</v>
      </c>
      <c r="N2475">
        <v>1.6</v>
      </c>
      <c r="O2475">
        <v>5</v>
      </c>
      <c r="P2475" s="2" t="s">
        <v>26</v>
      </c>
    </row>
    <row r="2476" spans="1:16" x14ac:dyDescent="0.25">
      <c r="A2476" s="2" t="s">
        <v>8050</v>
      </c>
      <c r="B2476" s="2" t="s">
        <v>65</v>
      </c>
      <c r="C2476" s="2" t="s">
        <v>18</v>
      </c>
      <c r="D2476" s="2" t="s">
        <v>43</v>
      </c>
      <c r="E2476" s="2" t="s">
        <v>20</v>
      </c>
      <c r="F2476" s="2" t="s">
        <v>32</v>
      </c>
      <c r="G2476" s="2" t="s">
        <v>33</v>
      </c>
      <c r="H2476" s="2" t="s">
        <v>46</v>
      </c>
      <c r="I2476" s="2" t="s">
        <v>24</v>
      </c>
      <c r="J2476" s="2" t="s">
        <v>8051</v>
      </c>
      <c r="K2476" s="2" t="s">
        <v>1609</v>
      </c>
      <c r="L2476">
        <v>7</v>
      </c>
      <c r="M2476" s="1">
        <v>180000</v>
      </c>
      <c r="N2476">
        <v>4.8</v>
      </c>
      <c r="O2476">
        <v>13</v>
      </c>
      <c r="P2476" s="2" t="s">
        <v>26</v>
      </c>
    </row>
    <row r="2477" spans="1:16" x14ac:dyDescent="0.25">
      <c r="A2477" s="2" t="s">
        <v>8053</v>
      </c>
      <c r="B2477" s="2" t="s">
        <v>4694</v>
      </c>
      <c r="C2477" s="2" t="s">
        <v>29</v>
      </c>
      <c r="D2477" s="2" t="s">
        <v>43</v>
      </c>
      <c r="E2477" s="2" t="s">
        <v>20</v>
      </c>
      <c r="F2477" s="2" t="s">
        <v>39</v>
      </c>
      <c r="G2477" s="2" t="s">
        <v>33</v>
      </c>
      <c r="H2477" s="2" t="s">
        <v>34</v>
      </c>
      <c r="I2477" s="2" t="s">
        <v>24</v>
      </c>
      <c r="J2477" s="2" t="s">
        <v>6360</v>
      </c>
      <c r="K2477" s="2" t="s">
        <v>1609</v>
      </c>
      <c r="L2477">
        <v>3</v>
      </c>
      <c r="M2477" s="1">
        <v>104000</v>
      </c>
      <c r="N2477">
        <v>3.5</v>
      </c>
      <c r="O2477">
        <v>6</v>
      </c>
      <c r="P2477" s="2" t="s">
        <v>26</v>
      </c>
    </row>
    <row r="2478" spans="1:16" x14ac:dyDescent="0.25">
      <c r="A2478" s="2" t="s">
        <v>8054</v>
      </c>
      <c r="B2478" s="2" t="s">
        <v>8055</v>
      </c>
      <c r="C2478" s="2" t="s">
        <v>29</v>
      </c>
      <c r="D2478" s="2" t="s">
        <v>43</v>
      </c>
      <c r="E2478" s="2" t="s">
        <v>20</v>
      </c>
      <c r="F2478" s="2" t="s">
        <v>128</v>
      </c>
      <c r="G2478" s="2" t="s">
        <v>69</v>
      </c>
      <c r="H2478" s="2" t="s">
        <v>46</v>
      </c>
      <c r="I2478" s="2" t="s">
        <v>24</v>
      </c>
      <c r="J2478" s="2" t="s">
        <v>1012</v>
      </c>
      <c r="K2478" s="2" t="s">
        <v>1609</v>
      </c>
      <c r="L2478">
        <v>4</v>
      </c>
      <c r="M2478" s="1">
        <v>354000</v>
      </c>
      <c r="N2478">
        <v>4.9000000000000004</v>
      </c>
      <c r="O2478">
        <v>12</v>
      </c>
      <c r="P2478" s="2" t="s">
        <v>53</v>
      </c>
    </row>
    <row r="2479" spans="1:16" x14ac:dyDescent="0.25">
      <c r="A2479" s="2" t="s">
        <v>8059</v>
      </c>
      <c r="B2479" s="2" t="s">
        <v>2661</v>
      </c>
      <c r="C2479" s="2" t="s">
        <v>29</v>
      </c>
      <c r="D2479" s="2" t="s">
        <v>79</v>
      </c>
      <c r="E2479" s="2" t="s">
        <v>20</v>
      </c>
      <c r="F2479" s="2" t="s">
        <v>128</v>
      </c>
      <c r="G2479" s="2" t="s">
        <v>22</v>
      </c>
      <c r="H2479" s="2" t="s">
        <v>23</v>
      </c>
      <c r="I2479" s="2" t="s">
        <v>57</v>
      </c>
      <c r="J2479" s="2" t="s">
        <v>3179</v>
      </c>
      <c r="K2479" s="2" t="s">
        <v>3234</v>
      </c>
      <c r="L2479">
        <v>7</v>
      </c>
      <c r="M2479" s="1">
        <v>384000</v>
      </c>
      <c r="N2479">
        <v>3.8</v>
      </c>
      <c r="O2479">
        <v>7</v>
      </c>
      <c r="P2479" s="2" t="s">
        <v>114</v>
      </c>
    </row>
    <row r="2480" spans="1:16" x14ac:dyDescent="0.25">
      <c r="A2480" s="2" t="s">
        <v>8060</v>
      </c>
      <c r="B2480" s="2" t="s">
        <v>3859</v>
      </c>
      <c r="C2480" s="2" t="s">
        <v>18</v>
      </c>
      <c r="D2480" s="2" t="s">
        <v>30</v>
      </c>
      <c r="E2480" s="2" t="s">
        <v>20</v>
      </c>
      <c r="F2480" s="2" t="s">
        <v>32</v>
      </c>
      <c r="G2480" s="2" t="s">
        <v>80</v>
      </c>
      <c r="H2480" s="2" t="s">
        <v>23</v>
      </c>
      <c r="I2480" s="2" t="s">
        <v>35</v>
      </c>
      <c r="J2480" s="2" t="s">
        <v>3224</v>
      </c>
      <c r="K2480" s="2" t="s">
        <v>8061</v>
      </c>
      <c r="L2480">
        <v>4</v>
      </c>
      <c r="M2480" s="1">
        <v>193000</v>
      </c>
      <c r="N2480">
        <v>2.4</v>
      </c>
      <c r="O2480">
        <v>11</v>
      </c>
      <c r="P2480" s="2" t="s">
        <v>53</v>
      </c>
    </row>
    <row r="2481" spans="1:16" x14ac:dyDescent="0.25">
      <c r="A2481" s="2" t="s">
        <v>8062</v>
      </c>
      <c r="B2481" s="2" t="s">
        <v>5950</v>
      </c>
      <c r="C2481" s="2" t="s">
        <v>18</v>
      </c>
      <c r="D2481" s="2" t="s">
        <v>19</v>
      </c>
      <c r="E2481" s="2" t="s">
        <v>20</v>
      </c>
      <c r="F2481" s="2" t="s">
        <v>21</v>
      </c>
      <c r="G2481" s="2" t="s">
        <v>33</v>
      </c>
      <c r="H2481" s="2" t="s">
        <v>34</v>
      </c>
      <c r="I2481" s="2" t="s">
        <v>57</v>
      </c>
      <c r="J2481" s="2" t="s">
        <v>5025</v>
      </c>
      <c r="K2481" s="2" t="s">
        <v>7348</v>
      </c>
      <c r="L2481">
        <v>3</v>
      </c>
      <c r="M2481" s="1">
        <v>897000</v>
      </c>
      <c r="N2481">
        <v>4.8</v>
      </c>
      <c r="O2481">
        <v>5</v>
      </c>
      <c r="P2481" s="2" t="s">
        <v>26</v>
      </c>
    </row>
    <row r="2482" spans="1:16" x14ac:dyDescent="0.25">
      <c r="A2482" s="2" t="s">
        <v>8063</v>
      </c>
      <c r="B2482" s="2" t="s">
        <v>8064</v>
      </c>
      <c r="C2482" s="2" t="s">
        <v>29</v>
      </c>
      <c r="D2482" s="2" t="s">
        <v>50</v>
      </c>
      <c r="E2482" s="2" t="s">
        <v>20</v>
      </c>
      <c r="F2482" s="2" t="s">
        <v>128</v>
      </c>
      <c r="G2482" s="2" t="s">
        <v>80</v>
      </c>
      <c r="H2482" s="2" t="s">
        <v>46</v>
      </c>
      <c r="I2482" s="2" t="s">
        <v>35</v>
      </c>
      <c r="J2482" s="2" t="s">
        <v>8065</v>
      </c>
      <c r="K2482" s="2" t="s">
        <v>7348</v>
      </c>
      <c r="L2482">
        <v>3</v>
      </c>
      <c r="M2482" s="1">
        <v>472000</v>
      </c>
      <c r="N2482">
        <v>2.1</v>
      </c>
      <c r="O2482">
        <v>13</v>
      </c>
      <c r="P2482" s="2" t="s">
        <v>26</v>
      </c>
    </row>
    <row r="2483" spans="1:16" x14ac:dyDescent="0.25">
      <c r="A2483" s="2" t="s">
        <v>8066</v>
      </c>
      <c r="B2483" s="2" t="s">
        <v>4785</v>
      </c>
      <c r="C2483" s="2" t="s">
        <v>18</v>
      </c>
      <c r="D2483" s="2" t="s">
        <v>79</v>
      </c>
      <c r="E2483" s="2" t="s">
        <v>20</v>
      </c>
      <c r="F2483" s="2" t="s">
        <v>128</v>
      </c>
      <c r="G2483" s="2" t="s">
        <v>22</v>
      </c>
      <c r="H2483" s="2" t="s">
        <v>34</v>
      </c>
      <c r="I2483" s="2" t="s">
        <v>24</v>
      </c>
      <c r="J2483" s="2" t="s">
        <v>8067</v>
      </c>
      <c r="K2483" s="2" t="s">
        <v>7348</v>
      </c>
      <c r="L2483">
        <v>5</v>
      </c>
      <c r="M2483" s="1">
        <v>494000</v>
      </c>
      <c r="N2483">
        <v>3.6</v>
      </c>
      <c r="O2483">
        <v>14</v>
      </c>
      <c r="P2483" s="2" t="s">
        <v>26</v>
      </c>
    </row>
    <row r="2484" spans="1:16" x14ac:dyDescent="0.25">
      <c r="A2484" s="2" t="s">
        <v>8068</v>
      </c>
      <c r="B2484" s="2" t="s">
        <v>4386</v>
      </c>
      <c r="C2484" s="2" t="s">
        <v>18</v>
      </c>
      <c r="D2484" s="2" t="s">
        <v>43</v>
      </c>
      <c r="E2484" s="2" t="s">
        <v>20</v>
      </c>
      <c r="F2484" s="2" t="s">
        <v>128</v>
      </c>
      <c r="G2484" s="2" t="s">
        <v>80</v>
      </c>
      <c r="H2484" s="2" t="s">
        <v>23</v>
      </c>
      <c r="I2484" s="2" t="s">
        <v>24</v>
      </c>
      <c r="J2484" s="2" t="s">
        <v>5211</v>
      </c>
      <c r="K2484" s="2" t="s">
        <v>7348</v>
      </c>
      <c r="L2484">
        <v>4</v>
      </c>
      <c r="M2484" s="1">
        <v>420000</v>
      </c>
      <c r="N2484">
        <v>3.9</v>
      </c>
      <c r="O2484">
        <v>3</v>
      </c>
      <c r="P2484" s="2" t="s">
        <v>26</v>
      </c>
    </row>
    <row r="2485" spans="1:16" x14ac:dyDescent="0.25">
      <c r="A2485" s="2" t="s">
        <v>8069</v>
      </c>
      <c r="B2485" s="2" t="s">
        <v>1441</v>
      </c>
      <c r="C2485" s="2" t="s">
        <v>29</v>
      </c>
      <c r="D2485" s="2" t="s">
        <v>30</v>
      </c>
      <c r="E2485" s="2" t="s">
        <v>20</v>
      </c>
      <c r="F2485" s="2" t="s">
        <v>32</v>
      </c>
      <c r="G2485" s="2" t="s">
        <v>22</v>
      </c>
      <c r="H2485" s="2" t="s">
        <v>34</v>
      </c>
      <c r="I2485" s="2" t="s">
        <v>24</v>
      </c>
      <c r="J2485" s="2" t="s">
        <v>2777</v>
      </c>
      <c r="K2485" s="2" t="s">
        <v>7348</v>
      </c>
      <c r="L2485">
        <v>3</v>
      </c>
      <c r="M2485" s="1">
        <v>315000</v>
      </c>
      <c r="N2485">
        <v>4.7</v>
      </c>
      <c r="O2485">
        <v>10</v>
      </c>
      <c r="P2485" s="2" t="s">
        <v>26</v>
      </c>
    </row>
    <row r="2486" spans="1:16" x14ac:dyDescent="0.25">
      <c r="A2486" s="2" t="s">
        <v>8071</v>
      </c>
      <c r="B2486" s="2" t="s">
        <v>8072</v>
      </c>
      <c r="C2486" s="2" t="s">
        <v>29</v>
      </c>
      <c r="D2486" s="2" t="s">
        <v>30</v>
      </c>
      <c r="E2486" s="2" t="s">
        <v>20</v>
      </c>
      <c r="F2486" s="2" t="s">
        <v>32</v>
      </c>
      <c r="G2486" s="2" t="s">
        <v>33</v>
      </c>
      <c r="H2486" s="2" t="s">
        <v>62</v>
      </c>
      <c r="I2486" s="2" t="s">
        <v>35</v>
      </c>
      <c r="J2486" s="2" t="s">
        <v>3587</v>
      </c>
      <c r="K2486" s="2" t="s">
        <v>7348</v>
      </c>
      <c r="L2486">
        <v>3</v>
      </c>
      <c r="M2486" s="1">
        <v>247000</v>
      </c>
      <c r="N2486">
        <v>2.7</v>
      </c>
      <c r="O2486">
        <v>6</v>
      </c>
      <c r="P2486" s="2" t="s">
        <v>26</v>
      </c>
    </row>
    <row r="2487" spans="1:16" x14ac:dyDescent="0.25">
      <c r="A2487" s="2" t="s">
        <v>8074</v>
      </c>
      <c r="B2487" s="2" t="s">
        <v>3385</v>
      </c>
      <c r="C2487" s="2" t="s">
        <v>18</v>
      </c>
      <c r="D2487" s="2" t="s">
        <v>30</v>
      </c>
      <c r="E2487" s="2" t="s">
        <v>20</v>
      </c>
      <c r="F2487" s="2" t="s">
        <v>39</v>
      </c>
      <c r="G2487" s="2" t="s">
        <v>22</v>
      </c>
      <c r="H2487" s="2" t="s">
        <v>23</v>
      </c>
      <c r="I2487" s="2" t="s">
        <v>24</v>
      </c>
      <c r="J2487" s="2" t="s">
        <v>1693</v>
      </c>
      <c r="K2487" s="2" t="s">
        <v>7348</v>
      </c>
      <c r="L2487">
        <v>2</v>
      </c>
      <c r="M2487" s="1">
        <v>85000</v>
      </c>
      <c r="N2487">
        <v>1.8</v>
      </c>
      <c r="O2487">
        <v>17</v>
      </c>
      <c r="P2487" s="2" t="s">
        <v>72</v>
      </c>
    </row>
    <row r="2488" spans="1:16" x14ac:dyDescent="0.25">
      <c r="A2488" s="2" t="s">
        <v>8075</v>
      </c>
      <c r="B2488" s="2" t="s">
        <v>2168</v>
      </c>
      <c r="C2488" s="2" t="s">
        <v>18</v>
      </c>
      <c r="D2488" s="2" t="s">
        <v>50</v>
      </c>
      <c r="E2488" s="2" t="s">
        <v>20</v>
      </c>
      <c r="F2488" s="2" t="s">
        <v>39</v>
      </c>
      <c r="G2488" s="2" t="s">
        <v>80</v>
      </c>
      <c r="H2488" s="2" t="s">
        <v>23</v>
      </c>
      <c r="I2488" s="2" t="s">
        <v>35</v>
      </c>
      <c r="J2488" s="2" t="s">
        <v>2768</v>
      </c>
      <c r="K2488" s="2" t="s">
        <v>382</v>
      </c>
      <c r="L2488">
        <v>4</v>
      </c>
      <c r="M2488" s="1">
        <v>171000</v>
      </c>
      <c r="N2488">
        <v>2.8</v>
      </c>
      <c r="O2488">
        <v>5</v>
      </c>
      <c r="P2488" s="2" t="s">
        <v>26</v>
      </c>
    </row>
    <row r="2489" spans="1:16" x14ac:dyDescent="0.25">
      <c r="A2489" s="2" t="s">
        <v>8076</v>
      </c>
      <c r="B2489" s="2" t="s">
        <v>1851</v>
      </c>
      <c r="C2489" s="2" t="s">
        <v>29</v>
      </c>
      <c r="D2489" s="2" t="s">
        <v>43</v>
      </c>
      <c r="E2489" s="2" t="s">
        <v>20</v>
      </c>
      <c r="F2489" s="2" t="s">
        <v>32</v>
      </c>
      <c r="G2489" s="2" t="s">
        <v>22</v>
      </c>
      <c r="H2489" s="2" t="s">
        <v>34</v>
      </c>
      <c r="I2489" s="2" t="s">
        <v>35</v>
      </c>
      <c r="J2489" s="2" t="s">
        <v>1709</v>
      </c>
      <c r="K2489" s="2" t="s">
        <v>382</v>
      </c>
      <c r="L2489">
        <v>5</v>
      </c>
      <c r="M2489" s="1">
        <v>267000</v>
      </c>
      <c r="N2489">
        <v>3</v>
      </c>
      <c r="O2489">
        <v>10</v>
      </c>
      <c r="P2489" s="2" t="s">
        <v>72</v>
      </c>
    </row>
    <row r="2490" spans="1:16" x14ac:dyDescent="0.25">
      <c r="A2490" s="2" t="s">
        <v>8077</v>
      </c>
      <c r="B2490" s="2" t="s">
        <v>8078</v>
      </c>
      <c r="C2490" s="2" t="s">
        <v>29</v>
      </c>
      <c r="D2490" s="2" t="s">
        <v>79</v>
      </c>
      <c r="E2490" s="2" t="s">
        <v>20</v>
      </c>
      <c r="F2490" s="2" t="s">
        <v>32</v>
      </c>
      <c r="G2490" s="2" t="s">
        <v>22</v>
      </c>
      <c r="H2490" s="2" t="s">
        <v>23</v>
      </c>
      <c r="I2490" s="2" t="s">
        <v>57</v>
      </c>
      <c r="J2490" s="2" t="s">
        <v>2612</v>
      </c>
      <c r="K2490" s="2" t="s">
        <v>5351</v>
      </c>
      <c r="L2490">
        <v>7</v>
      </c>
      <c r="M2490" s="1">
        <v>221000</v>
      </c>
      <c r="N2490">
        <v>5</v>
      </c>
      <c r="O2490">
        <v>37</v>
      </c>
      <c r="P2490" s="2" t="s">
        <v>26</v>
      </c>
    </row>
    <row r="2491" spans="1:16" x14ac:dyDescent="0.25">
      <c r="A2491" s="2" t="s">
        <v>8079</v>
      </c>
      <c r="B2491" s="2" t="s">
        <v>2824</v>
      </c>
      <c r="C2491" s="2" t="s">
        <v>18</v>
      </c>
      <c r="D2491" s="2" t="s">
        <v>30</v>
      </c>
      <c r="E2491" s="2" t="s">
        <v>44</v>
      </c>
      <c r="F2491" s="2" t="s">
        <v>39</v>
      </c>
      <c r="G2491" s="2" t="s">
        <v>33</v>
      </c>
      <c r="H2491" s="2" t="s">
        <v>46</v>
      </c>
      <c r="I2491" s="2" t="s">
        <v>171</v>
      </c>
      <c r="J2491" s="2" t="s">
        <v>2066</v>
      </c>
      <c r="K2491" s="2" t="s">
        <v>5351</v>
      </c>
      <c r="L2491">
        <v>4</v>
      </c>
      <c r="M2491" s="1">
        <v>157000</v>
      </c>
      <c r="N2491">
        <v>2</v>
      </c>
      <c r="O2491">
        <v>0</v>
      </c>
      <c r="P2491" s="2" t="s">
        <v>26</v>
      </c>
    </row>
    <row r="2492" spans="1:16" x14ac:dyDescent="0.25">
      <c r="A2492" s="2" t="s">
        <v>8080</v>
      </c>
      <c r="B2492" s="2" t="s">
        <v>8081</v>
      </c>
      <c r="C2492" s="2" t="s">
        <v>29</v>
      </c>
      <c r="D2492" s="2" t="s">
        <v>79</v>
      </c>
      <c r="E2492" s="2" t="s">
        <v>31</v>
      </c>
      <c r="F2492" s="2" t="s">
        <v>32</v>
      </c>
      <c r="G2492" s="2" t="s">
        <v>22</v>
      </c>
      <c r="H2492" s="2" t="s">
        <v>23</v>
      </c>
      <c r="I2492" s="2" t="s">
        <v>24</v>
      </c>
      <c r="J2492" s="2" t="s">
        <v>5431</v>
      </c>
      <c r="K2492" s="2" t="s">
        <v>5351</v>
      </c>
      <c r="L2492">
        <v>6</v>
      </c>
      <c r="M2492" s="1">
        <v>199000</v>
      </c>
      <c r="N2492">
        <v>4.5</v>
      </c>
      <c r="O2492">
        <v>0</v>
      </c>
      <c r="P2492" s="2" t="s">
        <v>53</v>
      </c>
    </row>
    <row r="2493" spans="1:16" x14ac:dyDescent="0.25">
      <c r="A2493" s="2" t="s">
        <v>8082</v>
      </c>
      <c r="B2493" s="2" t="s">
        <v>8083</v>
      </c>
      <c r="C2493" s="2" t="s">
        <v>18</v>
      </c>
      <c r="D2493" s="2" t="s">
        <v>43</v>
      </c>
      <c r="E2493" s="2" t="s">
        <v>31</v>
      </c>
      <c r="F2493" s="2" t="s">
        <v>39</v>
      </c>
      <c r="G2493" s="2" t="s">
        <v>22</v>
      </c>
      <c r="H2493" s="2" t="s">
        <v>23</v>
      </c>
      <c r="I2493" s="2" t="s">
        <v>35</v>
      </c>
      <c r="J2493" s="2" t="s">
        <v>2464</v>
      </c>
      <c r="K2493" s="2" t="s">
        <v>6501</v>
      </c>
      <c r="L2493">
        <v>5</v>
      </c>
      <c r="M2493" s="1">
        <v>113000</v>
      </c>
      <c r="N2493">
        <v>2.6</v>
      </c>
      <c r="O2493">
        <v>9</v>
      </c>
      <c r="P2493" s="2" t="s">
        <v>53</v>
      </c>
    </row>
    <row r="2494" spans="1:16" x14ac:dyDescent="0.25">
      <c r="A2494" s="2" t="s">
        <v>8084</v>
      </c>
      <c r="B2494" s="2" t="s">
        <v>1458</v>
      </c>
      <c r="C2494" s="2" t="s">
        <v>29</v>
      </c>
      <c r="D2494" s="2" t="s">
        <v>50</v>
      </c>
      <c r="E2494" s="2" t="s">
        <v>20</v>
      </c>
      <c r="F2494" s="2" t="s">
        <v>39</v>
      </c>
      <c r="G2494" s="2" t="s">
        <v>22</v>
      </c>
      <c r="H2494" s="2" t="s">
        <v>34</v>
      </c>
      <c r="I2494" s="2" t="s">
        <v>24</v>
      </c>
      <c r="J2494" s="2" t="s">
        <v>858</v>
      </c>
      <c r="K2494" s="2" t="s">
        <v>7506</v>
      </c>
      <c r="L2494">
        <v>3</v>
      </c>
      <c r="M2494" s="1">
        <v>161000</v>
      </c>
      <c r="N2494">
        <v>4.5999999999999996</v>
      </c>
      <c r="O2494">
        <v>11</v>
      </c>
      <c r="P2494" s="2" t="s">
        <v>72</v>
      </c>
    </row>
    <row r="2495" spans="1:16" x14ac:dyDescent="0.25">
      <c r="A2495" s="2" t="s">
        <v>8085</v>
      </c>
      <c r="B2495" s="2" t="s">
        <v>4287</v>
      </c>
      <c r="C2495" s="2" t="s">
        <v>18</v>
      </c>
      <c r="D2495" s="2" t="s">
        <v>79</v>
      </c>
      <c r="E2495" s="2" t="s">
        <v>31</v>
      </c>
      <c r="F2495" s="2" t="s">
        <v>32</v>
      </c>
      <c r="G2495" s="2" t="s">
        <v>22</v>
      </c>
      <c r="H2495" s="2" t="s">
        <v>34</v>
      </c>
      <c r="I2495" s="2" t="s">
        <v>35</v>
      </c>
      <c r="J2495" s="2" t="s">
        <v>309</v>
      </c>
      <c r="K2495" s="2" t="s">
        <v>1649</v>
      </c>
      <c r="L2495">
        <v>6</v>
      </c>
      <c r="M2495" s="1">
        <v>270000</v>
      </c>
      <c r="N2495">
        <v>4.9000000000000004</v>
      </c>
      <c r="O2495">
        <v>37</v>
      </c>
      <c r="P2495" s="2" t="s">
        <v>26</v>
      </c>
    </row>
    <row r="2496" spans="1:16" x14ac:dyDescent="0.25">
      <c r="A2496" s="2" t="s">
        <v>8086</v>
      </c>
      <c r="B2496" s="2" t="s">
        <v>8087</v>
      </c>
      <c r="C2496" s="2" t="s">
        <v>29</v>
      </c>
      <c r="D2496" s="2" t="s">
        <v>43</v>
      </c>
      <c r="E2496" s="2" t="s">
        <v>20</v>
      </c>
      <c r="F2496" s="2" t="s">
        <v>32</v>
      </c>
      <c r="G2496" s="2" t="s">
        <v>33</v>
      </c>
      <c r="H2496" s="2" t="s">
        <v>46</v>
      </c>
      <c r="I2496" s="2" t="s">
        <v>24</v>
      </c>
      <c r="J2496" s="2" t="s">
        <v>6325</v>
      </c>
      <c r="K2496" s="2" t="s">
        <v>1649</v>
      </c>
      <c r="L2496">
        <v>2</v>
      </c>
      <c r="M2496" s="1">
        <v>309000</v>
      </c>
      <c r="N2496">
        <v>2.7</v>
      </c>
      <c r="O2496">
        <v>11</v>
      </c>
      <c r="P2496" s="2" t="s">
        <v>26</v>
      </c>
    </row>
    <row r="2497" spans="1:16" x14ac:dyDescent="0.25">
      <c r="A2497" s="2" t="s">
        <v>8088</v>
      </c>
      <c r="B2497" s="2" t="s">
        <v>8089</v>
      </c>
      <c r="C2497" s="2" t="s">
        <v>29</v>
      </c>
      <c r="D2497" s="2" t="s">
        <v>19</v>
      </c>
      <c r="E2497" s="2" t="s">
        <v>20</v>
      </c>
      <c r="F2497" s="2" t="s">
        <v>21</v>
      </c>
      <c r="G2497" s="2" t="s">
        <v>22</v>
      </c>
      <c r="H2497" s="2" t="s">
        <v>46</v>
      </c>
      <c r="I2497" s="2" t="s">
        <v>35</v>
      </c>
      <c r="J2497" s="2" t="s">
        <v>7697</v>
      </c>
      <c r="K2497" s="2" t="s">
        <v>1649</v>
      </c>
      <c r="L2497">
        <v>6</v>
      </c>
      <c r="M2497" s="1">
        <v>1038000</v>
      </c>
      <c r="N2497">
        <v>4.3</v>
      </c>
      <c r="O2497">
        <v>5</v>
      </c>
      <c r="P2497" s="2" t="s">
        <v>26</v>
      </c>
    </row>
    <row r="2498" spans="1:16" x14ac:dyDescent="0.25">
      <c r="A2498" s="2" t="s">
        <v>8090</v>
      </c>
      <c r="B2498" s="2" t="s">
        <v>1050</v>
      </c>
      <c r="C2498" s="2" t="s">
        <v>29</v>
      </c>
      <c r="D2498" s="2" t="s">
        <v>50</v>
      </c>
      <c r="E2498" s="2" t="s">
        <v>20</v>
      </c>
      <c r="F2498" s="2" t="s">
        <v>32</v>
      </c>
      <c r="G2498" s="2" t="s">
        <v>22</v>
      </c>
      <c r="H2498" s="2" t="s">
        <v>23</v>
      </c>
      <c r="I2498" s="2" t="s">
        <v>24</v>
      </c>
      <c r="J2498" s="2" t="s">
        <v>3688</v>
      </c>
      <c r="K2498" s="2" t="s">
        <v>1649</v>
      </c>
      <c r="L2498">
        <v>4</v>
      </c>
      <c r="M2498" s="1">
        <v>225000</v>
      </c>
      <c r="N2498">
        <v>2.6</v>
      </c>
      <c r="O2498">
        <v>36</v>
      </c>
      <c r="P2498" s="2" t="s">
        <v>26</v>
      </c>
    </row>
    <row r="2499" spans="1:16" x14ac:dyDescent="0.25">
      <c r="A2499" s="2" t="s">
        <v>8091</v>
      </c>
      <c r="B2499" s="2" t="s">
        <v>7134</v>
      </c>
      <c r="C2499" s="2" t="s">
        <v>18</v>
      </c>
      <c r="D2499" s="2" t="s">
        <v>79</v>
      </c>
      <c r="E2499" s="2" t="s">
        <v>44</v>
      </c>
      <c r="F2499" s="2" t="s">
        <v>39</v>
      </c>
      <c r="G2499" s="2" t="s">
        <v>22</v>
      </c>
      <c r="H2499" s="2" t="s">
        <v>23</v>
      </c>
      <c r="I2499" s="2" t="s">
        <v>57</v>
      </c>
      <c r="J2499" s="2" t="s">
        <v>3227</v>
      </c>
      <c r="K2499" s="2" t="s">
        <v>1649</v>
      </c>
      <c r="L2499">
        <v>4</v>
      </c>
      <c r="M2499" s="1">
        <v>159000</v>
      </c>
      <c r="N2499">
        <v>2.7</v>
      </c>
      <c r="O2499">
        <v>11</v>
      </c>
      <c r="P2499" s="2" t="s">
        <v>26</v>
      </c>
    </row>
    <row r="2500" spans="1:16" x14ac:dyDescent="0.25">
      <c r="A2500" s="2" t="s">
        <v>8092</v>
      </c>
      <c r="B2500" s="2" t="s">
        <v>7364</v>
      </c>
      <c r="C2500" s="2" t="s">
        <v>18</v>
      </c>
      <c r="D2500" s="2" t="s">
        <v>79</v>
      </c>
      <c r="E2500" s="2" t="s">
        <v>44</v>
      </c>
      <c r="F2500" s="2" t="s">
        <v>128</v>
      </c>
      <c r="G2500" s="2" t="s">
        <v>69</v>
      </c>
      <c r="H2500" s="2" t="s">
        <v>34</v>
      </c>
      <c r="I2500" s="2" t="s">
        <v>24</v>
      </c>
      <c r="J2500" s="2" t="s">
        <v>5137</v>
      </c>
      <c r="K2500" s="2" t="s">
        <v>1649</v>
      </c>
      <c r="L2500">
        <v>7</v>
      </c>
      <c r="M2500" s="1">
        <v>420000</v>
      </c>
      <c r="N2500">
        <v>2.7</v>
      </c>
      <c r="O2500">
        <v>14</v>
      </c>
      <c r="P2500" s="2" t="s">
        <v>26</v>
      </c>
    </row>
    <row r="2501" spans="1:16" x14ac:dyDescent="0.25">
      <c r="A2501" s="2" t="s">
        <v>8093</v>
      </c>
      <c r="B2501" s="2" t="s">
        <v>8094</v>
      </c>
      <c r="C2501" s="2" t="s">
        <v>18</v>
      </c>
      <c r="D2501" s="2" t="s">
        <v>50</v>
      </c>
      <c r="E2501" s="2" t="s">
        <v>44</v>
      </c>
      <c r="F2501" s="2" t="s">
        <v>39</v>
      </c>
      <c r="G2501" s="2" t="s">
        <v>22</v>
      </c>
      <c r="H2501" s="2" t="s">
        <v>34</v>
      </c>
      <c r="I2501" s="2" t="s">
        <v>35</v>
      </c>
      <c r="J2501" s="2" t="s">
        <v>1182</v>
      </c>
      <c r="K2501" s="2" t="s">
        <v>1649</v>
      </c>
      <c r="L2501">
        <v>4</v>
      </c>
      <c r="M2501" s="1">
        <v>96000</v>
      </c>
      <c r="N2501">
        <v>5</v>
      </c>
      <c r="O2501">
        <v>9</v>
      </c>
      <c r="P2501" s="2" t="s">
        <v>26</v>
      </c>
    </row>
    <row r="2502" spans="1:16" x14ac:dyDescent="0.25">
      <c r="A2502" s="2" t="s">
        <v>8095</v>
      </c>
      <c r="B2502" s="2" t="s">
        <v>8096</v>
      </c>
      <c r="C2502" s="2" t="s">
        <v>18</v>
      </c>
      <c r="D2502" s="2" t="s">
        <v>30</v>
      </c>
      <c r="E2502" s="2" t="s">
        <v>20</v>
      </c>
      <c r="F2502" s="2" t="s">
        <v>39</v>
      </c>
      <c r="G2502" s="2" t="s">
        <v>80</v>
      </c>
      <c r="H2502" s="2" t="s">
        <v>34</v>
      </c>
      <c r="I2502" s="2" t="s">
        <v>57</v>
      </c>
      <c r="J2502" s="2" t="s">
        <v>4122</v>
      </c>
      <c r="K2502" s="2" t="s">
        <v>1649</v>
      </c>
      <c r="L2502">
        <v>2</v>
      </c>
      <c r="M2502" s="1">
        <v>110000</v>
      </c>
      <c r="N2502">
        <v>1.7</v>
      </c>
      <c r="O2502">
        <v>4</v>
      </c>
      <c r="P2502" s="2" t="s">
        <v>53</v>
      </c>
    </row>
    <row r="2503" spans="1:16" x14ac:dyDescent="0.25">
      <c r="A2503" s="2" t="s">
        <v>8099</v>
      </c>
      <c r="B2503" s="2" t="s">
        <v>5897</v>
      </c>
      <c r="C2503" s="2" t="s">
        <v>29</v>
      </c>
      <c r="D2503" s="2" t="s">
        <v>30</v>
      </c>
      <c r="E2503" s="2" t="s">
        <v>20</v>
      </c>
      <c r="F2503" s="2" t="s">
        <v>39</v>
      </c>
      <c r="G2503" s="2" t="s">
        <v>33</v>
      </c>
      <c r="H2503" s="2" t="s">
        <v>46</v>
      </c>
      <c r="I2503" s="2" t="s">
        <v>57</v>
      </c>
      <c r="J2503" s="2" t="s">
        <v>5382</v>
      </c>
      <c r="K2503" s="2" t="s">
        <v>583</v>
      </c>
      <c r="L2503">
        <v>6</v>
      </c>
      <c r="M2503" s="1">
        <v>121000</v>
      </c>
      <c r="N2503">
        <v>3.5</v>
      </c>
      <c r="O2503">
        <v>6</v>
      </c>
      <c r="P2503" s="2" t="s">
        <v>26</v>
      </c>
    </row>
    <row r="2504" spans="1:16" x14ac:dyDescent="0.25">
      <c r="A2504" s="2" t="s">
        <v>8104</v>
      </c>
      <c r="B2504" s="2" t="s">
        <v>1469</v>
      </c>
      <c r="C2504" s="2" t="s">
        <v>18</v>
      </c>
      <c r="D2504" s="2" t="s">
        <v>30</v>
      </c>
      <c r="E2504" s="2" t="s">
        <v>20</v>
      </c>
      <c r="F2504" s="2" t="s">
        <v>21</v>
      </c>
      <c r="G2504" s="2" t="s">
        <v>22</v>
      </c>
      <c r="H2504" s="2" t="s">
        <v>46</v>
      </c>
      <c r="I2504" s="2" t="s">
        <v>57</v>
      </c>
      <c r="J2504" s="2" t="s">
        <v>5424</v>
      </c>
      <c r="K2504" s="2" t="s">
        <v>583</v>
      </c>
      <c r="L2504">
        <v>5</v>
      </c>
      <c r="M2504" s="1">
        <v>623000</v>
      </c>
      <c r="N2504">
        <v>3.9</v>
      </c>
      <c r="O2504">
        <v>36</v>
      </c>
      <c r="P2504" s="2" t="s">
        <v>114</v>
      </c>
    </row>
    <row r="2505" spans="1:16" x14ac:dyDescent="0.25">
      <c r="A2505" s="2" t="s">
        <v>8105</v>
      </c>
      <c r="B2505" s="2" t="s">
        <v>1308</v>
      </c>
      <c r="C2505" s="2" t="s">
        <v>18</v>
      </c>
      <c r="D2505" s="2" t="s">
        <v>19</v>
      </c>
      <c r="E2505" s="2" t="s">
        <v>20</v>
      </c>
      <c r="F2505" s="2" t="s">
        <v>21</v>
      </c>
      <c r="G2505" s="2" t="s">
        <v>22</v>
      </c>
      <c r="H2505" s="2" t="s">
        <v>46</v>
      </c>
      <c r="I2505" s="2" t="s">
        <v>75</v>
      </c>
      <c r="J2505" s="2" t="s">
        <v>3245</v>
      </c>
      <c r="K2505" s="2" t="s">
        <v>3276</v>
      </c>
      <c r="L2505">
        <v>5</v>
      </c>
      <c r="M2505" s="1">
        <v>1001000</v>
      </c>
      <c r="N2505">
        <v>3.5</v>
      </c>
      <c r="O2505">
        <v>14</v>
      </c>
      <c r="P2505" s="2" t="s">
        <v>26</v>
      </c>
    </row>
    <row r="2506" spans="1:16" x14ac:dyDescent="0.25">
      <c r="A2506" s="2" t="s">
        <v>8106</v>
      </c>
      <c r="B2506" s="2" t="s">
        <v>7868</v>
      </c>
      <c r="C2506" s="2" t="s">
        <v>18</v>
      </c>
      <c r="D2506" s="2" t="s">
        <v>50</v>
      </c>
      <c r="E2506" s="2" t="s">
        <v>44</v>
      </c>
      <c r="F2506" s="2" t="s">
        <v>39</v>
      </c>
      <c r="G2506" s="2" t="s">
        <v>80</v>
      </c>
      <c r="H2506" s="2" t="s">
        <v>23</v>
      </c>
      <c r="I2506" s="2" t="s">
        <v>171</v>
      </c>
      <c r="J2506" s="2" t="s">
        <v>1455</v>
      </c>
      <c r="K2506" s="2" t="s">
        <v>3276</v>
      </c>
      <c r="L2506">
        <v>4</v>
      </c>
      <c r="M2506" s="1">
        <v>172000</v>
      </c>
      <c r="N2506">
        <v>3.8</v>
      </c>
      <c r="O2506">
        <v>17</v>
      </c>
      <c r="P2506" s="2" t="s">
        <v>53</v>
      </c>
    </row>
    <row r="2507" spans="1:16" x14ac:dyDescent="0.25">
      <c r="A2507" s="2" t="s">
        <v>8107</v>
      </c>
      <c r="B2507" s="2" t="s">
        <v>120</v>
      </c>
      <c r="C2507" s="2" t="s">
        <v>18</v>
      </c>
      <c r="D2507" s="2" t="s">
        <v>43</v>
      </c>
      <c r="E2507" s="2" t="s">
        <v>44</v>
      </c>
      <c r="F2507" s="2" t="s">
        <v>21</v>
      </c>
      <c r="G2507" s="2" t="s">
        <v>80</v>
      </c>
      <c r="H2507" s="2" t="s">
        <v>34</v>
      </c>
      <c r="I2507" s="2" t="s">
        <v>24</v>
      </c>
      <c r="J2507" s="2" t="s">
        <v>302</v>
      </c>
      <c r="K2507" s="2" t="s">
        <v>2292</v>
      </c>
      <c r="L2507">
        <v>3</v>
      </c>
      <c r="M2507" s="1">
        <v>745000</v>
      </c>
      <c r="N2507">
        <v>3.6</v>
      </c>
      <c r="O2507">
        <v>11</v>
      </c>
      <c r="P2507" s="2" t="s">
        <v>53</v>
      </c>
    </row>
    <row r="2508" spans="1:16" x14ac:dyDescent="0.25">
      <c r="A2508" s="2" t="s">
        <v>8109</v>
      </c>
      <c r="B2508" s="2" t="s">
        <v>8110</v>
      </c>
      <c r="C2508" s="2" t="s">
        <v>29</v>
      </c>
      <c r="D2508" s="2" t="s">
        <v>50</v>
      </c>
      <c r="E2508" s="2" t="s">
        <v>20</v>
      </c>
      <c r="F2508" s="2" t="s">
        <v>32</v>
      </c>
      <c r="G2508" s="2" t="s">
        <v>33</v>
      </c>
      <c r="H2508" s="2" t="s">
        <v>34</v>
      </c>
      <c r="I2508" s="2" t="s">
        <v>35</v>
      </c>
      <c r="J2508" s="2" t="s">
        <v>3748</v>
      </c>
      <c r="K2508" s="2" t="s">
        <v>7971</v>
      </c>
      <c r="L2508">
        <v>3</v>
      </c>
      <c r="M2508" s="1">
        <v>294000</v>
      </c>
      <c r="N2508">
        <v>4.7</v>
      </c>
      <c r="O2508">
        <v>1</v>
      </c>
      <c r="P2508" s="2" t="s">
        <v>26</v>
      </c>
    </row>
    <row r="2509" spans="1:16" x14ac:dyDescent="0.25">
      <c r="A2509" s="2" t="s">
        <v>8111</v>
      </c>
      <c r="B2509" s="2" t="s">
        <v>8112</v>
      </c>
      <c r="C2509" s="2" t="s">
        <v>29</v>
      </c>
      <c r="D2509" s="2" t="s">
        <v>30</v>
      </c>
      <c r="E2509" s="2" t="s">
        <v>44</v>
      </c>
      <c r="F2509" s="2" t="s">
        <v>39</v>
      </c>
      <c r="G2509" s="2" t="s">
        <v>22</v>
      </c>
      <c r="H2509" s="2" t="s">
        <v>34</v>
      </c>
      <c r="I2509" s="2" t="s">
        <v>24</v>
      </c>
      <c r="J2509" s="2" t="s">
        <v>1257</v>
      </c>
      <c r="K2509" s="2" t="s">
        <v>7971</v>
      </c>
      <c r="L2509">
        <v>5</v>
      </c>
      <c r="M2509" s="1">
        <v>153000</v>
      </c>
      <c r="N2509">
        <v>2.7</v>
      </c>
      <c r="O2509">
        <v>5</v>
      </c>
      <c r="P2509" s="2" t="s">
        <v>53</v>
      </c>
    </row>
    <row r="2510" spans="1:16" x14ac:dyDescent="0.25">
      <c r="A2510" s="2" t="s">
        <v>8113</v>
      </c>
      <c r="B2510" s="2" t="s">
        <v>3528</v>
      </c>
      <c r="C2510" s="2" t="s">
        <v>29</v>
      </c>
      <c r="D2510" s="2" t="s">
        <v>30</v>
      </c>
      <c r="E2510" s="2" t="s">
        <v>20</v>
      </c>
      <c r="F2510" s="2" t="s">
        <v>32</v>
      </c>
      <c r="G2510" s="2" t="s">
        <v>22</v>
      </c>
      <c r="H2510" s="2" t="s">
        <v>46</v>
      </c>
      <c r="I2510" s="2" t="s">
        <v>171</v>
      </c>
      <c r="J2510" s="2" t="s">
        <v>8033</v>
      </c>
      <c r="K2510" s="2" t="s">
        <v>4177</v>
      </c>
      <c r="L2510">
        <v>3</v>
      </c>
      <c r="M2510" s="1">
        <v>242000</v>
      </c>
      <c r="N2510">
        <v>3.2</v>
      </c>
      <c r="O2510">
        <v>27</v>
      </c>
      <c r="P2510" s="2" t="s">
        <v>53</v>
      </c>
    </row>
    <row r="2511" spans="1:16" x14ac:dyDescent="0.25">
      <c r="A2511" s="2" t="s">
        <v>8116</v>
      </c>
      <c r="B2511" s="2" t="s">
        <v>8117</v>
      </c>
      <c r="C2511" s="2" t="s">
        <v>29</v>
      </c>
      <c r="D2511" s="2" t="s">
        <v>79</v>
      </c>
      <c r="E2511" s="2" t="s">
        <v>20</v>
      </c>
      <c r="F2511" s="2" t="s">
        <v>128</v>
      </c>
      <c r="G2511" s="2" t="s">
        <v>33</v>
      </c>
      <c r="H2511" s="2" t="s">
        <v>46</v>
      </c>
      <c r="I2511" s="2" t="s">
        <v>35</v>
      </c>
      <c r="J2511" s="2" t="s">
        <v>4326</v>
      </c>
      <c r="K2511" s="2" t="s">
        <v>6470</v>
      </c>
      <c r="L2511">
        <v>3</v>
      </c>
      <c r="M2511" s="1">
        <v>448000</v>
      </c>
      <c r="N2511">
        <v>2.1</v>
      </c>
      <c r="O2511">
        <v>13</v>
      </c>
      <c r="P2511" s="2" t="s">
        <v>26</v>
      </c>
    </row>
    <row r="2512" spans="1:16" x14ac:dyDescent="0.25">
      <c r="A2512" s="2" t="s">
        <v>8118</v>
      </c>
      <c r="B2512" s="2" t="s">
        <v>1323</v>
      </c>
      <c r="C2512" s="2" t="s">
        <v>29</v>
      </c>
      <c r="D2512" s="2" t="s">
        <v>43</v>
      </c>
      <c r="E2512" s="2" t="s">
        <v>31</v>
      </c>
      <c r="F2512" s="2" t="s">
        <v>128</v>
      </c>
      <c r="G2512" s="2" t="s">
        <v>80</v>
      </c>
      <c r="H2512" s="2" t="s">
        <v>46</v>
      </c>
      <c r="I2512" s="2" t="s">
        <v>57</v>
      </c>
      <c r="J2512" s="2" t="s">
        <v>4487</v>
      </c>
      <c r="K2512" s="2" t="s">
        <v>6470</v>
      </c>
      <c r="L2512">
        <v>5</v>
      </c>
      <c r="M2512" s="1">
        <v>389000</v>
      </c>
      <c r="N2512">
        <v>3.2</v>
      </c>
      <c r="O2512">
        <v>14</v>
      </c>
      <c r="P2512" s="2" t="s">
        <v>53</v>
      </c>
    </row>
    <row r="2513" spans="1:16" x14ac:dyDescent="0.25">
      <c r="A2513" s="2" t="s">
        <v>8121</v>
      </c>
      <c r="B2513" s="2" t="s">
        <v>4825</v>
      </c>
      <c r="C2513" s="2" t="s">
        <v>29</v>
      </c>
      <c r="D2513" s="2" t="s">
        <v>79</v>
      </c>
      <c r="E2513" s="2" t="s">
        <v>20</v>
      </c>
      <c r="F2513" s="2" t="s">
        <v>128</v>
      </c>
      <c r="G2513" s="2" t="s">
        <v>80</v>
      </c>
      <c r="H2513" s="2" t="s">
        <v>62</v>
      </c>
      <c r="I2513" s="2" t="s">
        <v>24</v>
      </c>
      <c r="J2513" s="2" t="s">
        <v>3942</v>
      </c>
      <c r="K2513" s="2" t="s">
        <v>6150</v>
      </c>
      <c r="L2513">
        <v>4</v>
      </c>
      <c r="M2513" s="1">
        <v>572000</v>
      </c>
      <c r="N2513">
        <v>4.4000000000000004</v>
      </c>
      <c r="O2513">
        <v>2</v>
      </c>
      <c r="P2513" s="2" t="s">
        <v>26</v>
      </c>
    </row>
    <row r="2514" spans="1:16" x14ac:dyDescent="0.25">
      <c r="A2514" s="2" t="s">
        <v>8122</v>
      </c>
      <c r="B2514" s="2" t="s">
        <v>8123</v>
      </c>
      <c r="C2514" s="2" t="s">
        <v>29</v>
      </c>
      <c r="D2514" s="2" t="s">
        <v>79</v>
      </c>
      <c r="E2514" s="2" t="s">
        <v>44</v>
      </c>
      <c r="F2514" s="2" t="s">
        <v>32</v>
      </c>
      <c r="G2514" s="2" t="s">
        <v>22</v>
      </c>
      <c r="H2514" s="2" t="s">
        <v>23</v>
      </c>
      <c r="I2514" s="2" t="s">
        <v>24</v>
      </c>
      <c r="J2514" s="2" t="s">
        <v>2007</v>
      </c>
      <c r="K2514" s="2" t="s">
        <v>6150</v>
      </c>
      <c r="L2514">
        <v>2</v>
      </c>
      <c r="M2514" s="1">
        <v>180000</v>
      </c>
      <c r="N2514">
        <v>4.8</v>
      </c>
      <c r="O2514">
        <v>35</v>
      </c>
      <c r="P2514" s="2" t="s">
        <v>26</v>
      </c>
    </row>
    <row r="2515" spans="1:16" x14ac:dyDescent="0.25">
      <c r="A2515" s="2" t="s">
        <v>8125</v>
      </c>
      <c r="B2515" s="2" t="s">
        <v>913</v>
      </c>
      <c r="C2515" s="2" t="s">
        <v>29</v>
      </c>
      <c r="D2515" s="2" t="s">
        <v>30</v>
      </c>
      <c r="E2515" s="2" t="s">
        <v>20</v>
      </c>
      <c r="F2515" s="2" t="s">
        <v>32</v>
      </c>
      <c r="G2515" s="2" t="s">
        <v>80</v>
      </c>
      <c r="H2515" s="2" t="s">
        <v>34</v>
      </c>
      <c r="I2515" s="2" t="s">
        <v>24</v>
      </c>
      <c r="J2515" s="2" t="s">
        <v>6323</v>
      </c>
      <c r="K2515" s="2" t="s">
        <v>6150</v>
      </c>
      <c r="L2515">
        <v>5</v>
      </c>
      <c r="M2515" s="1">
        <v>271000</v>
      </c>
      <c r="N2515">
        <v>2.9</v>
      </c>
      <c r="O2515">
        <v>7</v>
      </c>
      <c r="P2515" s="2" t="s">
        <v>72</v>
      </c>
    </row>
    <row r="2516" spans="1:16" x14ac:dyDescent="0.25">
      <c r="A2516" s="2" t="s">
        <v>8126</v>
      </c>
      <c r="B2516" s="2" t="s">
        <v>3770</v>
      </c>
      <c r="C2516" s="2" t="s">
        <v>18</v>
      </c>
      <c r="D2516" s="2" t="s">
        <v>50</v>
      </c>
      <c r="E2516" s="2" t="s">
        <v>20</v>
      </c>
      <c r="F2516" s="2" t="s">
        <v>32</v>
      </c>
      <c r="G2516" s="2" t="s">
        <v>22</v>
      </c>
      <c r="H2516" s="2" t="s">
        <v>46</v>
      </c>
      <c r="I2516" s="2" t="s">
        <v>24</v>
      </c>
      <c r="J2516" s="2" t="s">
        <v>7762</v>
      </c>
      <c r="K2516" s="2" t="s">
        <v>1413</v>
      </c>
      <c r="L2516">
        <v>6</v>
      </c>
      <c r="M2516" s="1">
        <v>266000</v>
      </c>
      <c r="N2516">
        <v>3.9</v>
      </c>
      <c r="O2516">
        <v>0</v>
      </c>
      <c r="P2516" s="2" t="s">
        <v>26</v>
      </c>
    </row>
    <row r="2517" spans="1:16" x14ac:dyDescent="0.25">
      <c r="A2517" s="2" t="s">
        <v>8127</v>
      </c>
      <c r="B2517" s="2" t="s">
        <v>4991</v>
      </c>
      <c r="C2517" s="2" t="s">
        <v>18</v>
      </c>
      <c r="D2517" s="2" t="s">
        <v>30</v>
      </c>
      <c r="E2517" s="2" t="s">
        <v>44</v>
      </c>
      <c r="F2517" s="2" t="s">
        <v>39</v>
      </c>
      <c r="G2517" s="2" t="s">
        <v>33</v>
      </c>
      <c r="H2517" s="2" t="s">
        <v>34</v>
      </c>
      <c r="I2517" s="2" t="s">
        <v>57</v>
      </c>
      <c r="J2517" s="2" t="s">
        <v>4404</v>
      </c>
      <c r="K2517" s="2" t="s">
        <v>1413</v>
      </c>
      <c r="L2517">
        <v>3</v>
      </c>
      <c r="M2517" s="1">
        <v>163000</v>
      </c>
      <c r="N2517">
        <v>3</v>
      </c>
      <c r="O2517">
        <v>0</v>
      </c>
      <c r="P2517" s="2" t="s">
        <v>53</v>
      </c>
    </row>
    <row r="2518" spans="1:16" x14ac:dyDescent="0.25">
      <c r="A2518" s="2" t="s">
        <v>8128</v>
      </c>
      <c r="B2518" s="2" t="s">
        <v>8078</v>
      </c>
      <c r="C2518" s="2" t="s">
        <v>29</v>
      </c>
      <c r="D2518" s="2" t="s">
        <v>19</v>
      </c>
      <c r="E2518" s="2" t="s">
        <v>20</v>
      </c>
      <c r="F2518" s="2" t="s">
        <v>128</v>
      </c>
      <c r="G2518" s="2" t="s">
        <v>22</v>
      </c>
      <c r="H2518" s="2" t="s">
        <v>46</v>
      </c>
      <c r="I2518" s="2" t="s">
        <v>57</v>
      </c>
      <c r="J2518" s="2" t="s">
        <v>503</v>
      </c>
      <c r="K2518" s="2" t="s">
        <v>2993</v>
      </c>
      <c r="L2518">
        <v>5</v>
      </c>
      <c r="M2518" s="1">
        <v>450000</v>
      </c>
      <c r="N2518">
        <v>2.6</v>
      </c>
      <c r="O2518">
        <v>38</v>
      </c>
      <c r="P2518" s="2" t="s">
        <v>26</v>
      </c>
    </row>
    <row r="2519" spans="1:16" x14ac:dyDescent="0.25">
      <c r="A2519" s="2" t="s">
        <v>8131</v>
      </c>
      <c r="B2519" s="2" t="s">
        <v>4792</v>
      </c>
      <c r="C2519" s="2" t="s">
        <v>18</v>
      </c>
      <c r="D2519" s="2" t="s">
        <v>50</v>
      </c>
      <c r="E2519" s="2" t="s">
        <v>20</v>
      </c>
      <c r="F2519" s="2" t="s">
        <v>39</v>
      </c>
      <c r="G2519" s="2" t="s">
        <v>80</v>
      </c>
      <c r="H2519" s="2" t="s">
        <v>34</v>
      </c>
      <c r="I2519" s="2" t="s">
        <v>35</v>
      </c>
      <c r="J2519" s="2" t="s">
        <v>8132</v>
      </c>
      <c r="K2519" s="2" t="s">
        <v>2993</v>
      </c>
      <c r="L2519">
        <v>6</v>
      </c>
      <c r="M2519" s="1">
        <v>92000</v>
      </c>
      <c r="N2519">
        <v>3.7</v>
      </c>
      <c r="O2519">
        <v>11</v>
      </c>
      <c r="P2519" s="2" t="s">
        <v>114</v>
      </c>
    </row>
    <row r="2520" spans="1:16" x14ac:dyDescent="0.25">
      <c r="A2520" s="2" t="s">
        <v>8133</v>
      </c>
      <c r="B2520" s="2" t="s">
        <v>2106</v>
      </c>
      <c r="C2520" s="2" t="s">
        <v>18</v>
      </c>
      <c r="D2520" s="2" t="s">
        <v>79</v>
      </c>
      <c r="E2520" s="2" t="s">
        <v>20</v>
      </c>
      <c r="F2520" s="2" t="s">
        <v>39</v>
      </c>
      <c r="G2520" s="2" t="s">
        <v>80</v>
      </c>
      <c r="H2520" s="2" t="s">
        <v>62</v>
      </c>
      <c r="I2520" s="2" t="s">
        <v>24</v>
      </c>
      <c r="J2520" s="2" t="s">
        <v>2746</v>
      </c>
      <c r="K2520" s="2" t="s">
        <v>8134</v>
      </c>
      <c r="L2520">
        <v>7</v>
      </c>
      <c r="M2520" s="1">
        <v>102000</v>
      </c>
      <c r="N2520">
        <v>2.8</v>
      </c>
      <c r="O2520">
        <v>36</v>
      </c>
      <c r="P2520" s="2" t="s">
        <v>53</v>
      </c>
    </row>
    <row r="2521" spans="1:16" x14ac:dyDescent="0.25">
      <c r="A2521" s="2" t="s">
        <v>8138</v>
      </c>
      <c r="B2521" s="2" t="s">
        <v>5246</v>
      </c>
      <c r="C2521" s="2" t="s">
        <v>29</v>
      </c>
      <c r="D2521" s="2" t="s">
        <v>79</v>
      </c>
      <c r="E2521" s="2" t="s">
        <v>20</v>
      </c>
      <c r="F2521" s="2" t="s">
        <v>39</v>
      </c>
      <c r="G2521" s="2" t="s">
        <v>22</v>
      </c>
      <c r="H2521" s="2" t="s">
        <v>62</v>
      </c>
      <c r="I2521" s="2" t="s">
        <v>24</v>
      </c>
      <c r="J2521" s="2" t="s">
        <v>7528</v>
      </c>
      <c r="K2521" s="2" t="s">
        <v>6732</v>
      </c>
      <c r="L2521">
        <v>2</v>
      </c>
      <c r="M2521" s="1">
        <v>89000</v>
      </c>
      <c r="N2521">
        <v>2.2000000000000002</v>
      </c>
      <c r="O2521">
        <v>13</v>
      </c>
      <c r="P2521" s="2" t="s">
        <v>53</v>
      </c>
    </row>
    <row r="2522" spans="1:16" x14ac:dyDescent="0.25">
      <c r="A2522" s="2" t="s">
        <v>8142</v>
      </c>
      <c r="B2522" s="2" t="s">
        <v>8143</v>
      </c>
      <c r="C2522" s="2" t="s">
        <v>18</v>
      </c>
      <c r="D2522" s="2" t="s">
        <v>30</v>
      </c>
      <c r="E2522" s="2" t="s">
        <v>20</v>
      </c>
      <c r="F2522" s="2" t="s">
        <v>39</v>
      </c>
      <c r="G2522" s="2" t="s">
        <v>80</v>
      </c>
      <c r="H2522" s="2" t="s">
        <v>23</v>
      </c>
      <c r="I2522" s="2" t="s">
        <v>24</v>
      </c>
      <c r="J2522" s="2" t="s">
        <v>3297</v>
      </c>
      <c r="K2522" s="2" t="s">
        <v>4781</v>
      </c>
      <c r="L2522">
        <v>2</v>
      </c>
      <c r="M2522" s="1">
        <v>110000</v>
      </c>
      <c r="N2522">
        <v>2</v>
      </c>
      <c r="O2522">
        <v>10</v>
      </c>
      <c r="P2522" s="2" t="s">
        <v>26</v>
      </c>
    </row>
    <row r="2523" spans="1:16" x14ac:dyDescent="0.25">
      <c r="A2523" s="2" t="s">
        <v>8144</v>
      </c>
      <c r="B2523" s="2" t="s">
        <v>4754</v>
      </c>
      <c r="C2523" s="2" t="s">
        <v>18</v>
      </c>
      <c r="D2523" s="2" t="s">
        <v>43</v>
      </c>
      <c r="E2523" s="2" t="s">
        <v>44</v>
      </c>
      <c r="F2523" s="2" t="s">
        <v>32</v>
      </c>
      <c r="G2523" s="2" t="s">
        <v>33</v>
      </c>
      <c r="H2523" s="2" t="s">
        <v>62</v>
      </c>
      <c r="I2523" s="2" t="s">
        <v>24</v>
      </c>
      <c r="J2523" s="2" t="s">
        <v>970</v>
      </c>
      <c r="K2523" s="2" t="s">
        <v>4781</v>
      </c>
      <c r="L2523">
        <v>2</v>
      </c>
      <c r="M2523" s="1">
        <v>283000</v>
      </c>
      <c r="N2523">
        <v>4.0999999999999996</v>
      </c>
      <c r="O2523">
        <v>9</v>
      </c>
      <c r="P2523" s="2" t="s">
        <v>26</v>
      </c>
    </row>
    <row r="2524" spans="1:16" x14ac:dyDescent="0.25">
      <c r="A2524" s="2" t="s">
        <v>8145</v>
      </c>
      <c r="B2524" s="2" t="s">
        <v>8146</v>
      </c>
      <c r="C2524" s="2" t="s">
        <v>29</v>
      </c>
      <c r="D2524" s="2" t="s">
        <v>19</v>
      </c>
      <c r="E2524" s="2" t="s">
        <v>20</v>
      </c>
      <c r="F2524" s="2" t="s">
        <v>39</v>
      </c>
      <c r="G2524" s="2" t="s">
        <v>22</v>
      </c>
      <c r="H2524" s="2" t="s">
        <v>23</v>
      </c>
      <c r="I2524" s="2" t="s">
        <v>57</v>
      </c>
      <c r="J2524" s="2" t="s">
        <v>1507</v>
      </c>
      <c r="K2524" s="2" t="s">
        <v>4781</v>
      </c>
      <c r="L2524">
        <v>4</v>
      </c>
      <c r="M2524" s="1">
        <v>107000</v>
      </c>
      <c r="N2524">
        <v>2.5</v>
      </c>
      <c r="O2524">
        <v>2</v>
      </c>
      <c r="P2524" s="2" t="s">
        <v>26</v>
      </c>
    </row>
    <row r="2525" spans="1:16" x14ac:dyDescent="0.25">
      <c r="A2525" s="2" t="s">
        <v>8149</v>
      </c>
      <c r="B2525" s="2" t="s">
        <v>3433</v>
      </c>
      <c r="C2525" s="2" t="s">
        <v>18</v>
      </c>
      <c r="D2525" s="2" t="s">
        <v>79</v>
      </c>
      <c r="E2525" s="2" t="s">
        <v>44</v>
      </c>
      <c r="F2525" s="2" t="s">
        <v>45</v>
      </c>
      <c r="G2525" s="2" t="s">
        <v>80</v>
      </c>
      <c r="H2525" s="2" t="s">
        <v>34</v>
      </c>
      <c r="I2525" s="2" t="s">
        <v>24</v>
      </c>
      <c r="J2525" s="2" t="s">
        <v>282</v>
      </c>
      <c r="K2525" s="2" t="s">
        <v>4781</v>
      </c>
      <c r="L2525">
        <v>2</v>
      </c>
      <c r="M2525" s="1">
        <v>1140000</v>
      </c>
      <c r="N2525">
        <v>3.9</v>
      </c>
      <c r="O2525">
        <v>8</v>
      </c>
      <c r="P2525" s="2" t="s">
        <v>53</v>
      </c>
    </row>
    <row r="2526" spans="1:16" x14ac:dyDescent="0.25">
      <c r="A2526" s="2" t="s">
        <v>8150</v>
      </c>
      <c r="B2526" s="2" t="s">
        <v>8151</v>
      </c>
      <c r="C2526" s="2" t="s">
        <v>18</v>
      </c>
      <c r="D2526" s="2" t="s">
        <v>50</v>
      </c>
      <c r="E2526" s="2" t="s">
        <v>44</v>
      </c>
      <c r="F2526" s="2" t="s">
        <v>32</v>
      </c>
      <c r="G2526" s="2" t="s">
        <v>22</v>
      </c>
      <c r="H2526" s="2" t="s">
        <v>46</v>
      </c>
      <c r="I2526" s="2" t="s">
        <v>24</v>
      </c>
      <c r="J2526" s="2" t="s">
        <v>2216</v>
      </c>
      <c r="K2526" s="2" t="s">
        <v>3569</v>
      </c>
      <c r="L2526">
        <v>2</v>
      </c>
      <c r="M2526" s="1">
        <v>290000</v>
      </c>
      <c r="N2526">
        <v>2.7</v>
      </c>
      <c r="O2526">
        <v>12</v>
      </c>
      <c r="P2526" s="2" t="s">
        <v>114</v>
      </c>
    </row>
    <row r="2527" spans="1:16" x14ac:dyDescent="0.25">
      <c r="A2527" s="2" t="s">
        <v>8152</v>
      </c>
      <c r="B2527" s="2" t="s">
        <v>5548</v>
      </c>
      <c r="C2527" s="2" t="s">
        <v>29</v>
      </c>
      <c r="D2527" s="2" t="s">
        <v>30</v>
      </c>
      <c r="E2527" s="2" t="s">
        <v>20</v>
      </c>
      <c r="F2527" s="2" t="s">
        <v>32</v>
      </c>
      <c r="G2527" s="2" t="s">
        <v>22</v>
      </c>
      <c r="H2527" s="2" t="s">
        <v>46</v>
      </c>
      <c r="I2527" s="2" t="s">
        <v>171</v>
      </c>
      <c r="J2527" s="2" t="s">
        <v>1220</v>
      </c>
      <c r="K2527" s="2" t="s">
        <v>2719</v>
      </c>
      <c r="L2527">
        <v>3</v>
      </c>
      <c r="M2527" s="1">
        <v>288000</v>
      </c>
      <c r="N2527">
        <v>4.9000000000000004</v>
      </c>
      <c r="O2527">
        <v>14</v>
      </c>
      <c r="P2527" s="2" t="s">
        <v>114</v>
      </c>
    </row>
    <row r="2528" spans="1:16" x14ac:dyDescent="0.25">
      <c r="A2528" s="2" t="s">
        <v>8153</v>
      </c>
      <c r="B2528" s="2" t="s">
        <v>1297</v>
      </c>
      <c r="C2528" s="2" t="s">
        <v>29</v>
      </c>
      <c r="D2528" s="2" t="s">
        <v>30</v>
      </c>
      <c r="E2528" s="2" t="s">
        <v>31</v>
      </c>
      <c r="F2528" s="2" t="s">
        <v>128</v>
      </c>
      <c r="G2528" s="2" t="s">
        <v>22</v>
      </c>
      <c r="H2528" s="2" t="s">
        <v>23</v>
      </c>
      <c r="I2528" s="2" t="s">
        <v>75</v>
      </c>
      <c r="J2528" s="2" t="s">
        <v>3835</v>
      </c>
      <c r="K2528" s="2" t="s">
        <v>5189</v>
      </c>
      <c r="L2528">
        <v>4</v>
      </c>
      <c r="M2528" s="1">
        <v>532000</v>
      </c>
      <c r="N2528">
        <v>3.7</v>
      </c>
      <c r="O2528">
        <v>1</v>
      </c>
      <c r="P2528" s="2" t="s">
        <v>26</v>
      </c>
    </row>
    <row r="2529" spans="1:16" x14ac:dyDescent="0.25">
      <c r="A2529" s="2" t="s">
        <v>8154</v>
      </c>
      <c r="B2529" s="2" t="s">
        <v>3375</v>
      </c>
      <c r="C2529" s="2" t="s">
        <v>18</v>
      </c>
      <c r="D2529" s="2" t="s">
        <v>19</v>
      </c>
      <c r="E2529" s="2" t="s">
        <v>31</v>
      </c>
      <c r="F2529" s="2" t="s">
        <v>128</v>
      </c>
      <c r="G2529" s="2" t="s">
        <v>80</v>
      </c>
      <c r="H2529" s="2" t="s">
        <v>34</v>
      </c>
      <c r="I2529" s="2" t="s">
        <v>35</v>
      </c>
      <c r="J2529" s="2" t="s">
        <v>1021</v>
      </c>
      <c r="K2529" s="2" t="s">
        <v>5189</v>
      </c>
      <c r="L2529">
        <v>5</v>
      </c>
      <c r="M2529" s="1">
        <v>660000</v>
      </c>
      <c r="N2529">
        <v>4</v>
      </c>
      <c r="O2529">
        <v>8</v>
      </c>
      <c r="P2529" s="2" t="s">
        <v>26</v>
      </c>
    </row>
    <row r="2530" spans="1:16" x14ac:dyDescent="0.25">
      <c r="A2530" s="2" t="s">
        <v>8157</v>
      </c>
      <c r="B2530" s="2" t="s">
        <v>8158</v>
      </c>
      <c r="C2530" s="2" t="s">
        <v>18</v>
      </c>
      <c r="D2530" s="2" t="s">
        <v>43</v>
      </c>
      <c r="E2530" s="2" t="s">
        <v>44</v>
      </c>
      <c r="F2530" s="2" t="s">
        <v>45</v>
      </c>
      <c r="G2530" s="2" t="s">
        <v>22</v>
      </c>
      <c r="H2530" s="2" t="s">
        <v>34</v>
      </c>
      <c r="I2530" s="2" t="s">
        <v>24</v>
      </c>
      <c r="J2530" s="2" t="s">
        <v>5189</v>
      </c>
      <c r="K2530" s="2" t="s">
        <v>5189</v>
      </c>
      <c r="L2530">
        <v>4</v>
      </c>
      <c r="M2530" s="1">
        <v>1068000</v>
      </c>
      <c r="N2530">
        <v>3</v>
      </c>
      <c r="O2530">
        <v>0</v>
      </c>
      <c r="P2530" s="2" t="s">
        <v>26</v>
      </c>
    </row>
    <row r="2531" spans="1:16" x14ac:dyDescent="0.25">
      <c r="A2531" s="2" t="s">
        <v>8160</v>
      </c>
      <c r="B2531" s="2" t="s">
        <v>3794</v>
      </c>
      <c r="C2531" s="2" t="s">
        <v>18</v>
      </c>
      <c r="D2531" s="2" t="s">
        <v>79</v>
      </c>
      <c r="E2531" s="2" t="s">
        <v>20</v>
      </c>
      <c r="F2531" s="2" t="s">
        <v>32</v>
      </c>
      <c r="G2531" s="2" t="s">
        <v>33</v>
      </c>
      <c r="H2531" s="2" t="s">
        <v>34</v>
      </c>
      <c r="I2531" s="2" t="s">
        <v>24</v>
      </c>
      <c r="J2531" s="2" t="s">
        <v>282</v>
      </c>
      <c r="K2531" s="2" t="s">
        <v>5189</v>
      </c>
      <c r="L2531">
        <v>2</v>
      </c>
      <c r="M2531" s="1">
        <v>317000</v>
      </c>
      <c r="N2531">
        <v>4.3</v>
      </c>
      <c r="O2531">
        <v>13</v>
      </c>
      <c r="P2531" s="2" t="s">
        <v>26</v>
      </c>
    </row>
    <row r="2532" spans="1:16" x14ac:dyDescent="0.25">
      <c r="A2532" s="2" t="s">
        <v>8161</v>
      </c>
      <c r="B2532" s="2" t="s">
        <v>3572</v>
      </c>
      <c r="C2532" s="2" t="s">
        <v>18</v>
      </c>
      <c r="D2532" s="2" t="s">
        <v>43</v>
      </c>
      <c r="E2532" s="2" t="s">
        <v>31</v>
      </c>
      <c r="F2532" s="2" t="s">
        <v>45</v>
      </c>
      <c r="G2532" s="2" t="s">
        <v>80</v>
      </c>
      <c r="H2532" s="2" t="s">
        <v>34</v>
      </c>
      <c r="I2532" s="2" t="s">
        <v>24</v>
      </c>
      <c r="J2532" s="2" t="s">
        <v>685</v>
      </c>
      <c r="K2532" s="2" t="s">
        <v>5189</v>
      </c>
      <c r="L2532">
        <v>5</v>
      </c>
      <c r="M2532" s="1">
        <v>1657000</v>
      </c>
      <c r="N2532">
        <v>4.5</v>
      </c>
      <c r="O2532">
        <v>11</v>
      </c>
      <c r="P2532" s="2" t="s">
        <v>26</v>
      </c>
    </row>
    <row r="2533" spans="1:16" x14ac:dyDescent="0.25">
      <c r="A2533" s="2" t="s">
        <v>8162</v>
      </c>
      <c r="B2533" s="2" t="s">
        <v>8163</v>
      </c>
      <c r="C2533" s="2" t="s">
        <v>18</v>
      </c>
      <c r="D2533" s="2" t="s">
        <v>79</v>
      </c>
      <c r="E2533" s="2" t="s">
        <v>31</v>
      </c>
      <c r="F2533" s="2" t="s">
        <v>45</v>
      </c>
      <c r="G2533" s="2" t="s">
        <v>80</v>
      </c>
      <c r="H2533" s="2" t="s">
        <v>34</v>
      </c>
      <c r="I2533" s="2" t="s">
        <v>57</v>
      </c>
      <c r="J2533" s="2" t="s">
        <v>4461</v>
      </c>
      <c r="K2533" s="2" t="s">
        <v>5189</v>
      </c>
      <c r="L2533">
        <v>6</v>
      </c>
      <c r="M2533" s="1">
        <v>1349000</v>
      </c>
      <c r="N2533">
        <v>4.2</v>
      </c>
      <c r="O2533">
        <v>13</v>
      </c>
      <c r="P2533" s="2" t="s">
        <v>72</v>
      </c>
    </row>
    <row r="2534" spans="1:16" x14ac:dyDescent="0.25">
      <c r="A2534" s="2" t="s">
        <v>8164</v>
      </c>
      <c r="B2534" s="2" t="s">
        <v>8165</v>
      </c>
      <c r="C2534" s="2" t="s">
        <v>18</v>
      </c>
      <c r="D2534" s="2" t="s">
        <v>19</v>
      </c>
      <c r="E2534" s="2" t="s">
        <v>20</v>
      </c>
      <c r="F2534" s="2" t="s">
        <v>32</v>
      </c>
      <c r="G2534" s="2" t="s">
        <v>80</v>
      </c>
      <c r="H2534" s="2" t="s">
        <v>62</v>
      </c>
      <c r="I2534" s="2" t="s">
        <v>171</v>
      </c>
      <c r="J2534" s="2" t="s">
        <v>8166</v>
      </c>
      <c r="K2534" s="2" t="s">
        <v>4269</v>
      </c>
      <c r="L2534">
        <v>5</v>
      </c>
      <c r="M2534" s="1">
        <v>202000</v>
      </c>
      <c r="N2534">
        <v>2.4</v>
      </c>
      <c r="O2534">
        <v>14</v>
      </c>
      <c r="P2534" s="2" t="s">
        <v>72</v>
      </c>
    </row>
    <row r="2535" spans="1:16" x14ac:dyDescent="0.25">
      <c r="A2535" s="2" t="s">
        <v>8167</v>
      </c>
      <c r="B2535" s="2" t="s">
        <v>1365</v>
      </c>
      <c r="C2535" s="2" t="s">
        <v>29</v>
      </c>
      <c r="D2535" s="2" t="s">
        <v>79</v>
      </c>
      <c r="E2535" s="2" t="s">
        <v>20</v>
      </c>
      <c r="F2535" s="2" t="s">
        <v>128</v>
      </c>
      <c r="G2535" s="2" t="s">
        <v>22</v>
      </c>
      <c r="H2535" s="2" t="s">
        <v>34</v>
      </c>
      <c r="I2535" s="2" t="s">
        <v>57</v>
      </c>
      <c r="J2535" s="2" t="s">
        <v>2656</v>
      </c>
      <c r="K2535" s="2" t="s">
        <v>7694</v>
      </c>
      <c r="L2535">
        <v>4</v>
      </c>
      <c r="M2535" s="1">
        <v>459000</v>
      </c>
      <c r="N2535">
        <v>2.2000000000000002</v>
      </c>
      <c r="O2535">
        <v>18</v>
      </c>
      <c r="P2535" s="2" t="s">
        <v>26</v>
      </c>
    </row>
    <row r="2536" spans="1:16" x14ac:dyDescent="0.25">
      <c r="A2536" s="2" t="s">
        <v>8170</v>
      </c>
      <c r="B2536" s="2" t="s">
        <v>5008</v>
      </c>
      <c r="C2536" s="2" t="s">
        <v>29</v>
      </c>
      <c r="D2536" s="2" t="s">
        <v>50</v>
      </c>
      <c r="E2536" s="2" t="s">
        <v>20</v>
      </c>
      <c r="F2536" s="2" t="s">
        <v>39</v>
      </c>
      <c r="G2536" s="2" t="s">
        <v>22</v>
      </c>
      <c r="H2536" s="2" t="s">
        <v>34</v>
      </c>
      <c r="I2536" s="2" t="s">
        <v>57</v>
      </c>
      <c r="J2536" s="2" t="s">
        <v>4790</v>
      </c>
      <c r="K2536" s="2" t="s">
        <v>7694</v>
      </c>
      <c r="L2536">
        <v>3</v>
      </c>
      <c r="M2536" s="1">
        <v>145000</v>
      </c>
      <c r="N2536">
        <v>2.2999999999999998</v>
      </c>
      <c r="O2536">
        <v>12</v>
      </c>
      <c r="P2536" s="2" t="s">
        <v>72</v>
      </c>
    </row>
    <row r="2537" spans="1:16" x14ac:dyDescent="0.25">
      <c r="A2537" s="2" t="s">
        <v>8172</v>
      </c>
      <c r="B2537" s="2" t="s">
        <v>8173</v>
      </c>
      <c r="C2537" s="2" t="s">
        <v>29</v>
      </c>
      <c r="D2537" s="2" t="s">
        <v>50</v>
      </c>
      <c r="E2537" s="2" t="s">
        <v>20</v>
      </c>
      <c r="F2537" s="2" t="s">
        <v>32</v>
      </c>
      <c r="G2537" s="2" t="s">
        <v>22</v>
      </c>
      <c r="H2537" s="2" t="s">
        <v>46</v>
      </c>
      <c r="I2537" s="2" t="s">
        <v>57</v>
      </c>
      <c r="J2537" s="2" t="s">
        <v>5277</v>
      </c>
      <c r="K2537" s="2" t="s">
        <v>6086</v>
      </c>
      <c r="L2537">
        <v>4</v>
      </c>
      <c r="M2537" s="1">
        <v>232000</v>
      </c>
      <c r="N2537">
        <v>4.3</v>
      </c>
      <c r="O2537">
        <v>10</v>
      </c>
      <c r="P2537" s="2" t="s">
        <v>26</v>
      </c>
    </row>
    <row r="2538" spans="1:16" x14ac:dyDescent="0.25">
      <c r="A2538" s="2" t="s">
        <v>8174</v>
      </c>
      <c r="B2538" s="2" t="s">
        <v>2895</v>
      </c>
      <c r="C2538" s="2" t="s">
        <v>18</v>
      </c>
      <c r="D2538" s="2" t="s">
        <v>43</v>
      </c>
      <c r="E2538" s="2" t="s">
        <v>20</v>
      </c>
      <c r="F2538" s="2" t="s">
        <v>128</v>
      </c>
      <c r="G2538" s="2" t="s">
        <v>80</v>
      </c>
      <c r="H2538" s="2" t="s">
        <v>23</v>
      </c>
      <c r="I2538" s="2" t="s">
        <v>35</v>
      </c>
      <c r="J2538" s="2" t="s">
        <v>4518</v>
      </c>
      <c r="K2538" s="2" t="s">
        <v>6086</v>
      </c>
      <c r="L2538">
        <v>5</v>
      </c>
      <c r="M2538" s="1">
        <v>380000</v>
      </c>
      <c r="N2538">
        <v>3.3</v>
      </c>
      <c r="O2538">
        <v>9</v>
      </c>
      <c r="P2538" s="2" t="s">
        <v>53</v>
      </c>
    </row>
    <row r="2539" spans="1:16" x14ac:dyDescent="0.25">
      <c r="A2539" s="2" t="s">
        <v>8175</v>
      </c>
      <c r="B2539" s="2" t="s">
        <v>368</v>
      </c>
      <c r="C2539" s="2" t="s">
        <v>29</v>
      </c>
      <c r="D2539" s="2" t="s">
        <v>19</v>
      </c>
      <c r="E2539" s="2" t="s">
        <v>20</v>
      </c>
      <c r="F2539" s="2" t="s">
        <v>128</v>
      </c>
      <c r="G2539" s="2" t="s">
        <v>22</v>
      </c>
      <c r="H2539" s="2" t="s">
        <v>23</v>
      </c>
      <c r="I2539" s="2" t="s">
        <v>35</v>
      </c>
      <c r="J2539" s="2" t="s">
        <v>496</v>
      </c>
      <c r="K2539" s="2" t="s">
        <v>3637</v>
      </c>
      <c r="L2539">
        <v>2</v>
      </c>
      <c r="M2539" s="1">
        <v>543000</v>
      </c>
      <c r="N2539">
        <v>2.2000000000000002</v>
      </c>
      <c r="O2539">
        <v>7</v>
      </c>
      <c r="P2539" s="2" t="s">
        <v>26</v>
      </c>
    </row>
    <row r="2540" spans="1:16" x14ac:dyDescent="0.25">
      <c r="A2540" s="2" t="s">
        <v>8177</v>
      </c>
      <c r="B2540" s="2" t="s">
        <v>3854</v>
      </c>
      <c r="C2540" s="2" t="s">
        <v>29</v>
      </c>
      <c r="D2540" s="2" t="s">
        <v>50</v>
      </c>
      <c r="E2540" s="2" t="s">
        <v>20</v>
      </c>
      <c r="F2540" s="2" t="s">
        <v>32</v>
      </c>
      <c r="G2540" s="2" t="s">
        <v>69</v>
      </c>
      <c r="H2540" s="2" t="s">
        <v>34</v>
      </c>
      <c r="I2540" s="2" t="s">
        <v>24</v>
      </c>
      <c r="J2540" s="2" t="s">
        <v>2940</v>
      </c>
      <c r="K2540" s="2" t="s">
        <v>3637</v>
      </c>
      <c r="L2540">
        <v>6</v>
      </c>
      <c r="M2540" s="1">
        <v>233000</v>
      </c>
      <c r="N2540">
        <v>5</v>
      </c>
      <c r="O2540">
        <v>0</v>
      </c>
      <c r="P2540" s="2" t="s">
        <v>26</v>
      </c>
    </row>
    <row r="2541" spans="1:16" x14ac:dyDescent="0.25">
      <c r="A2541" s="2" t="s">
        <v>8178</v>
      </c>
      <c r="B2541" s="2" t="s">
        <v>8179</v>
      </c>
      <c r="C2541" s="2" t="s">
        <v>29</v>
      </c>
      <c r="D2541" s="2" t="s">
        <v>19</v>
      </c>
      <c r="E2541" s="2" t="s">
        <v>20</v>
      </c>
      <c r="F2541" s="2" t="s">
        <v>128</v>
      </c>
      <c r="G2541" s="2" t="s">
        <v>22</v>
      </c>
      <c r="H2541" s="2" t="s">
        <v>46</v>
      </c>
      <c r="I2541" s="2" t="s">
        <v>35</v>
      </c>
      <c r="J2541" s="2" t="s">
        <v>3964</v>
      </c>
      <c r="K2541" s="2" t="s">
        <v>3637</v>
      </c>
      <c r="L2541">
        <v>5</v>
      </c>
      <c r="M2541" s="1">
        <v>557000</v>
      </c>
      <c r="N2541">
        <v>4.2</v>
      </c>
      <c r="O2541">
        <v>33</v>
      </c>
      <c r="P2541" s="2" t="s">
        <v>26</v>
      </c>
    </row>
    <row r="2542" spans="1:16" x14ac:dyDescent="0.25">
      <c r="A2542" s="2" t="s">
        <v>8183</v>
      </c>
      <c r="B2542" s="2" t="s">
        <v>8184</v>
      </c>
      <c r="C2542" s="2" t="s">
        <v>29</v>
      </c>
      <c r="D2542" s="2" t="s">
        <v>50</v>
      </c>
      <c r="E2542" s="2" t="s">
        <v>20</v>
      </c>
      <c r="F2542" s="2" t="s">
        <v>32</v>
      </c>
      <c r="G2542" s="2" t="s">
        <v>80</v>
      </c>
      <c r="H2542" s="2" t="s">
        <v>34</v>
      </c>
      <c r="I2542" s="2" t="s">
        <v>171</v>
      </c>
      <c r="J2542" s="2" t="s">
        <v>2075</v>
      </c>
      <c r="K2542" s="2" t="s">
        <v>3637</v>
      </c>
      <c r="L2542">
        <v>3</v>
      </c>
      <c r="M2542" s="1">
        <v>216000</v>
      </c>
      <c r="N2542">
        <v>4</v>
      </c>
      <c r="O2542">
        <v>2</v>
      </c>
      <c r="P2542" s="2" t="s">
        <v>26</v>
      </c>
    </row>
    <row r="2543" spans="1:16" x14ac:dyDescent="0.25">
      <c r="A2543" s="2" t="s">
        <v>8185</v>
      </c>
      <c r="B2543" s="2" t="s">
        <v>2812</v>
      </c>
      <c r="C2543" s="2" t="s">
        <v>18</v>
      </c>
      <c r="D2543" s="2" t="s">
        <v>79</v>
      </c>
      <c r="E2543" s="2" t="s">
        <v>20</v>
      </c>
      <c r="F2543" s="2" t="s">
        <v>39</v>
      </c>
      <c r="G2543" s="2" t="s">
        <v>69</v>
      </c>
      <c r="H2543" s="2" t="s">
        <v>46</v>
      </c>
      <c r="I2543" s="2" t="s">
        <v>24</v>
      </c>
      <c r="J2543" s="2" t="s">
        <v>4390</v>
      </c>
      <c r="K2543" s="2" t="s">
        <v>3637</v>
      </c>
      <c r="L2543">
        <v>3</v>
      </c>
      <c r="M2543" s="1">
        <v>158000</v>
      </c>
      <c r="N2543">
        <v>3</v>
      </c>
      <c r="O2543">
        <v>13</v>
      </c>
      <c r="P2543" s="2" t="s">
        <v>26</v>
      </c>
    </row>
    <row r="2544" spans="1:16" x14ac:dyDescent="0.25">
      <c r="A2544" s="2" t="s">
        <v>8187</v>
      </c>
      <c r="B2544" s="2" t="s">
        <v>8188</v>
      </c>
      <c r="C2544" s="2" t="s">
        <v>29</v>
      </c>
      <c r="D2544" s="2" t="s">
        <v>30</v>
      </c>
      <c r="E2544" s="2" t="s">
        <v>20</v>
      </c>
      <c r="F2544" s="2" t="s">
        <v>39</v>
      </c>
      <c r="G2544" s="2" t="s">
        <v>69</v>
      </c>
      <c r="H2544" s="2" t="s">
        <v>34</v>
      </c>
      <c r="I2544" s="2" t="s">
        <v>35</v>
      </c>
      <c r="J2544" s="2" t="s">
        <v>3053</v>
      </c>
      <c r="K2544" s="2" t="s">
        <v>3637</v>
      </c>
      <c r="L2544">
        <v>2</v>
      </c>
      <c r="M2544" s="1">
        <v>112000</v>
      </c>
      <c r="N2544">
        <v>2.8</v>
      </c>
      <c r="O2544">
        <v>39</v>
      </c>
      <c r="P2544" s="2" t="s">
        <v>26</v>
      </c>
    </row>
    <row r="2545" spans="1:16" x14ac:dyDescent="0.25">
      <c r="A2545" s="2" t="s">
        <v>8190</v>
      </c>
      <c r="B2545" s="2" t="s">
        <v>7590</v>
      </c>
      <c r="C2545" s="2" t="s">
        <v>29</v>
      </c>
      <c r="D2545" s="2" t="s">
        <v>43</v>
      </c>
      <c r="E2545" s="2" t="s">
        <v>20</v>
      </c>
      <c r="F2545" s="2" t="s">
        <v>128</v>
      </c>
      <c r="G2545" s="2" t="s">
        <v>80</v>
      </c>
      <c r="H2545" s="2" t="s">
        <v>62</v>
      </c>
      <c r="I2545" s="2" t="s">
        <v>57</v>
      </c>
      <c r="J2545" s="2" t="s">
        <v>3134</v>
      </c>
      <c r="K2545" s="2" t="s">
        <v>3637</v>
      </c>
      <c r="L2545">
        <v>6</v>
      </c>
      <c r="M2545" s="1">
        <v>352000</v>
      </c>
      <c r="N2545">
        <v>2.7</v>
      </c>
      <c r="O2545">
        <v>14</v>
      </c>
      <c r="P2545" s="2" t="s">
        <v>26</v>
      </c>
    </row>
    <row r="2546" spans="1:16" x14ac:dyDescent="0.25">
      <c r="A2546" s="2" t="s">
        <v>8191</v>
      </c>
      <c r="B2546" s="2" t="s">
        <v>7743</v>
      </c>
      <c r="C2546" s="2" t="s">
        <v>18</v>
      </c>
      <c r="D2546" s="2" t="s">
        <v>43</v>
      </c>
      <c r="E2546" s="2" t="s">
        <v>31</v>
      </c>
      <c r="F2546" s="2" t="s">
        <v>32</v>
      </c>
      <c r="G2546" s="2" t="s">
        <v>69</v>
      </c>
      <c r="H2546" s="2" t="s">
        <v>34</v>
      </c>
      <c r="I2546" s="2" t="s">
        <v>75</v>
      </c>
      <c r="J2546" s="2" t="s">
        <v>1263</v>
      </c>
      <c r="K2546" s="2" t="s">
        <v>3637</v>
      </c>
      <c r="L2546">
        <v>4</v>
      </c>
      <c r="M2546" s="1">
        <v>224000</v>
      </c>
      <c r="N2546">
        <v>2.9</v>
      </c>
      <c r="O2546">
        <v>8</v>
      </c>
      <c r="P2546" s="2" t="s">
        <v>26</v>
      </c>
    </row>
    <row r="2547" spans="1:16" x14ac:dyDescent="0.25">
      <c r="A2547" s="2" t="s">
        <v>8192</v>
      </c>
      <c r="B2547" s="2" t="s">
        <v>8193</v>
      </c>
      <c r="C2547" s="2" t="s">
        <v>29</v>
      </c>
      <c r="D2547" s="2" t="s">
        <v>79</v>
      </c>
      <c r="E2547" s="2" t="s">
        <v>44</v>
      </c>
      <c r="F2547" s="2" t="s">
        <v>128</v>
      </c>
      <c r="G2547" s="2" t="s">
        <v>22</v>
      </c>
      <c r="H2547" s="2" t="s">
        <v>46</v>
      </c>
      <c r="I2547" s="2" t="s">
        <v>24</v>
      </c>
      <c r="J2547" s="2" t="s">
        <v>2047</v>
      </c>
      <c r="K2547" s="2" t="s">
        <v>3637</v>
      </c>
      <c r="L2547">
        <v>2</v>
      </c>
      <c r="M2547" s="1">
        <v>553000</v>
      </c>
      <c r="N2547">
        <v>4.7</v>
      </c>
      <c r="O2547">
        <v>2</v>
      </c>
      <c r="P2547" s="2" t="s">
        <v>26</v>
      </c>
    </row>
    <row r="2548" spans="1:16" x14ac:dyDescent="0.25">
      <c r="A2548" s="2" t="s">
        <v>8196</v>
      </c>
      <c r="B2548" s="2" t="s">
        <v>6674</v>
      </c>
      <c r="C2548" s="2" t="s">
        <v>29</v>
      </c>
      <c r="D2548" s="2" t="s">
        <v>79</v>
      </c>
      <c r="E2548" s="2" t="s">
        <v>20</v>
      </c>
      <c r="F2548" s="2" t="s">
        <v>128</v>
      </c>
      <c r="G2548" s="2" t="s">
        <v>22</v>
      </c>
      <c r="H2548" s="2" t="s">
        <v>46</v>
      </c>
      <c r="I2548" s="2" t="s">
        <v>24</v>
      </c>
      <c r="J2548" s="2" t="s">
        <v>5006</v>
      </c>
      <c r="K2548" s="2" t="s">
        <v>3637</v>
      </c>
      <c r="L2548">
        <v>5</v>
      </c>
      <c r="M2548" s="1">
        <v>477000</v>
      </c>
      <c r="N2548">
        <v>4.3</v>
      </c>
      <c r="O2548">
        <v>8</v>
      </c>
      <c r="P2548" s="2" t="s">
        <v>26</v>
      </c>
    </row>
    <row r="2549" spans="1:16" x14ac:dyDescent="0.25">
      <c r="A2549" s="2" t="s">
        <v>8200</v>
      </c>
      <c r="B2549" s="2" t="s">
        <v>8201</v>
      </c>
      <c r="C2549" s="2" t="s">
        <v>29</v>
      </c>
      <c r="D2549" s="2" t="s">
        <v>30</v>
      </c>
      <c r="E2549" s="2" t="s">
        <v>20</v>
      </c>
      <c r="F2549" s="2" t="s">
        <v>32</v>
      </c>
      <c r="G2549" s="2" t="s">
        <v>33</v>
      </c>
      <c r="H2549" s="2" t="s">
        <v>46</v>
      </c>
      <c r="I2549" s="2" t="s">
        <v>57</v>
      </c>
      <c r="J2549" s="2" t="s">
        <v>313</v>
      </c>
      <c r="K2549" s="2" t="s">
        <v>3637</v>
      </c>
      <c r="L2549">
        <v>4</v>
      </c>
      <c r="M2549" s="1">
        <v>248000</v>
      </c>
      <c r="N2549">
        <v>2.2000000000000002</v>
      </c>
      <c r="O2549">
        <v>6</v>
      </c>
      <c r="P2549" s="2" t="s">
        <v>114</v>
      </c>
    </row>
    <row r="2550" spans="1:16" x14ac:dyDescent="0.25">
      <c r="A2550" s="2" t="s">
        <v>8205</v>
      </c>
      <c r="B2550" s="2" t="s">
        <v>1094</v>
      </c>
      <c r="C2550" s="2" t="s">
        <v>18</v>
      </c>
      <c r="D2550" s="2" t="s">
        <v>79</v>
      </c>
      <c r="E2550" s="2" t="s">
        <v>20</v>
      </c>
      <c r="F2550" s="2" t="s">
        <v>21</v>
      </c>
      <c r="G2550" s="2" t="s">
        <v>33</v>
      </c>
      <c r="H2550" s="2" t="s">
        <v>23</v>
      </c>
      <c r="I2550" s="2" t="s">
        <v>171</v>
      </c>
      <c r="J2550" s="2" t="s">
        <v>1814</v>
      </c>
      <c r="K2550" s="2" t="s">
        <v>2434</v>
      </c>
      <c r="L2550">
        <v>6</v>
      </c>
      <c r="M2550" s="1">
        <v>933000</v>
      </c>
      <c r="N2550">
        <v>3.4</v>
      </c>
      <c r="O2550">
        <v>0</v>
      </c>
      <c r="P2550" s="2" t="s">
        <v>26</v>
      </c>
    </row>
    <row r="2551" spans="1:16" x14ac:dyDescent="0.25">
      <c r="A2551" s="2" t="s">
        <v>8206</v>
      </c>
      <c r="B2551" s="2" t="s">
        <v>8207</v>
      </c>
      <c r="C2551" s="2" t="s">
        <v>29</v>
      </c>
      <c r="D2551" s="2" t="s">
        <v>19</v>
      </c>
      <c r="E2551" s="2" t="s">
        <v>20</v>
      </c>
      <c r="F2551" s="2" t="s">
        <v>32</v>
      </c>
      <c r="G2551" s="2" t="s">
        <v>33</v>
      </c>
      <c r="H2551" s="2" t="s">
        <v>46</v>
      </c>
      <c r="I2551" s="2" t="s">
        <v>24</v>
      </c>
      <c r="J2551" s="2" t="s">
        <v>227</v>
      </c>
      <c r="K2551" s="2" t="s">
        <v>2434</v>
      </c>
      <c r="L2551">
        <v>5</v>
      </c>
      <c r="M2551" s="1">
        <v>215000</v>
      </c>
      <c r="N2551">
        <v>3</v>
      </c>
      <c r="O2551">
        <v>26</v>
      </c>
      <c r="P2551" s="2" t="s">
        <v>26</v>
      </c>
    </row>
    <row r="2552" spans="1:16" x14ac:dyDescent="0.25">
      <c r="A2552" s="2" t="s">
        <v>8210</v>
      </c>
      <c r="B2552" s="2" t="s">
        <v>4053</v>
      </c>
      <c r="C2552" s="2" t="s">
        <v>18</v>
      </c>
      <c r="D2552" s="2" t="s">
        <v>79</v>
      </c>
      <c r="E2552" s="2" t="s">
        <v>20</v>
      </c>
      <c r="F2552" s="2" t="s">
        <v>39</v>
      </c>
      <c r="G2552" s="2" t="s">
        <v>33</v>
      </c>
      <c r="H2552" s="2" t="s">
        <v>23</v>
      </c>
      <c r="I2552" s="2" t="s">
        <v>35</v>
      </c>
      <c r="J2552" s="2" t="s">
        <v>526</v>
      </c>
      <c r="K2552" s="2" t="s">
        <v>2434</v>
      </c>
      <c r="L2552">
        <v>4</v>
      </c>
      <c r="M2552" s="1">
        <v>131000</v>
      </c>
      <c r="N2552">
        <v>2.1</v>
      </c>
      <c r="O2552">
        <v>13</v>
      </c>
      <c r="P2552" s="2" t="s">
        <v>26</v>
      </c>
    </row>
    <row r="2553" spans="1:16" x14ac:dyDescent="0.25">
      <c r="A2553" s="2" t="s">
        <v>8211</v>
      </c>
      <c r="B2553" s="2" t="s">
        <v>4498</v>
      </c>
      <c r="C2553" s="2" t="s">
        <v>29</v>
      </c>
      <c r="D2553" s="2" t="s">
        <v>30</v>
      </c>
      <c r="E2553" s="2" t="s">
        <v>20</v>
      </c>
      <c r="F2553" s="2" t="s">
        <v>128</v>
      </c>
      <c r="G2553" s="2" t="s">
        <v>22</v>
      </c>
      <c r="H2553" s="2" t="s">
        <v>34</v>
      </c>
      <c r="I2553" s="2" t="s">
        <v>35</v>
      </c>
      <c r="J2553" s="2" t="s">
        <v>4894</v>
      </c>
      <c r="K2553" s="2" t="s">
        <v>2434</v>
      </c>
      <c r="L2553">
        <v>5</v>
      </c>
      <c r="M2553" s="1">
        <v>450000</v>
      </c>
      <c r="N2553">
        <v>3.3</v>
      </c>
      <c r="O2553">
        <v>2</v>
      </c>
      <c r="P2553" s="2" t="s">
        <v>26</v>
      </c>
    </row>
    <row r="2554" spans="1:16" x14ac:dyDescent="0.25">
      <c r="A2554" s="2" t="s">
        <v>8216</v>
      </c>
      <c r="B2554" s="2" t="s">
        <v>7475</v>
      </c>
      <c r="C2554" s="2" t="s">
        <v>18</v>
      </c>
      <c r="D2554" s="2" t="s">
        <v>43</v>
      </c>
      <c r="E2554" s="2" t="s">
        <v>20</v>
      </c>
      <c r="F2554" s="2" t="s">
        <v>39</v>
      </c>
      <c r="G2554" s="2" t="s">
        <v>22</v>
      </c>
      <c r="H2554" s="2" t="s">
        <v>23</v>
      </c>
      <c r="I2554" s="2" t="s">
        <v>24</v>
      </c>
      <c r="J2554" s="2" t="s">
        <v>5908</v>
      </c>
      <c r="K2554" s="2" t="s">
        <v>2434</v>
      </c>
      <c r="L2554">
        <v>5</v>
      </c>
      <c r="M2554" s="1">
        <v>130000</v>
      </c>
      <c r="N2554">
        <v>4.9000000000000004</v>
      </c>
      <c r="O2554">
        <v>5</v>
      </c>
      <c r="P2554" s="2" t="s">
        <v>26</v>
      </c>
    </row>
    <row r="2555" spans="1:16" x14ac:dyDescent="0.25">
      <c r="A2555" s="2" t="s">
        <v>8217</v>
      </c>
      <c r="B2555" s="2" t="s">
        <v>8218</v>
      </c>
      <c r="C2555" s="2" t="s">
        <v>29</v>
      </c>
      <c r="D2555" s="2" t="s">
        <v>50</v>
      </c>
      <c r="E2555" s="2" t="s">
        <v>20</v>
      </c>
      <c r="F2555" s="2" t="s">
        <v>128</v>
      </c>
      <c r="G2555" s="2" t="s">
        <v>69</v>
      </c>
      <c r="H2555" s="2" t="s">
        <v>23</v>
      </c>
      <c r="I2555" s="2" t="s">
        <v>24</v>
      </c>
      <c r="J2555" s="2" t="s">
        <v>2236</v>
      </c>
      <c r="K2555" s="2" t="s">
        <v>2434</v>
      </c>
      <c r="L2555">
        <v>3</v>
      </c>
      <c r="M2555" s="1">
        <v>558000</v>
      </c>
      <c r="N2555">
        <v>3</v>
      </c>
      <c r="O2555">
        <v>4</v>
      </c>
      <c r="P2555" s="2" t="s">
        <v>114</v>
      </c>
    </row>
    <row r="2556" spans="1:16" x14ac:dyDescent="0.25">
      <c r="A2556" s="2" t="s">
        <v>8219</v>
      </c>
      <c r="B2556" s="2" t="s">
        <v>1111</v>
      </c>
      <c r="C2556" s="2" t="s">
        <v>29</v>
      </c>
      <c r="D2556" s="2" t="s">
        <v>50</v>
      </c>
      <c r="E2556" s="2" t="s">
        <v>20</v>
      </c>
      <c r="F2556" s="2" t="s">
        <v>128</v>
      </c>
      <c r="G2556" s="2" t="s">
        <v>22</v>
      </c>
      <c r="H2556" s="2" t="s">
        <v>46</v>
      </c>
      <c r="I2556" s="2" t="s">
        <v>24</v>
      </c>
      <c r="J2556" s="2" t="s">
        <v>8220</v>
      </c>
      <c r="K2556" s="2" t="s">
        <v>4750</v>
      </c>
      <c r="L2556">
        <v>6</v>
      </c>
      <c r="M2556" s="1">
        <v>478000</v>
      </c>
      <c r="N2556">
        <v>2.7</v>
      </c>
      <c r="O2556">
        <v>38</v>
      </c>
      <c r="P2556" s="2" t="s">
        <v>72</v>
      </c>
    </row>
    <row r="2557" spans="1:16" x14ac:dyDescent="0.25">
      <c r="A2557" s="2" t="s">
        <v>8221</v>
      </c>
      <c r="B2557" s="2" t="s">
        <v>2050</v>
      </c>
      <c r="C2557" s="2" t="s">
        <v>29</v>
      </c>
      <c r="D2557" s="2" t="s">
        <v>30</v>
      </c>
      <c r="E2557" s="2" t="s">
        <v>20</v>
      </c>
      <c r="F2557" s="2" t="s">
        <v>39</v>
      </c>
      <c r="G2557" s="2" t="s">
        <v>33</v>
      </c>
      <c r="H2557" s="2" t="s">
        <v>34</v>
      </c>
      <c r="I2557" s="2" t="s">
        <v>35</v>
      </c>
      <c r="J2557" s="2" t="s">
        <v>6011</v>
      </c>
      <c r="K2557" s="2" t="s">
        <v>591</v>
      </c>
      <c r="L2557">
        <v>5</v>
      </c>
      <c r="M2557" s="1">
        <v>100000</v>
      </c>
      <c r="N2557">
        <v>2.2000000000000002</v>
      </c>
      <c r="O2557">
        <v>14</v>
      </c>
      <c r="P2557" s="2" t="s">
        <v>53</v>
      </c>
    </row>
    <row r="2558" spans="1:16" x14ac:dyDescent="0.25">
      <c r="A2558" s="2" t="s">
        <v>8222</v>
      </c>
      <c r="B2558" s="2" t="s">
        <v>8223</v>
      </c>
      <c r="C2558" s="2" t="s">
        <v>29</v>
      </c>
      <c r="D2558" s="2" t="s">
        <v>30</v>
      </c>
      <c r="E2558" s="2" t="s">
        <v>20</v>
      </c>
      <c r="F2558" s="2" t="s">
        <v>39</v>
      </c>
      <c r="G2558" s="2" t="s">
        <v>69</v>
      </c>
      <c r="H2558" s="2" t="s">
        <v>34</v>
      </c>
      <c r="I2558" s="2" t="s">
        <v>75</v>
      </c>
      <c r="J2558" s="2" t="s">
        <v>6566</v>
      </c>
      <c r="K2558" s="2" t="s">
        <v>6217</v>
      </c>
      <c r="L2558">
        <v>3</v>
      </c>
      <c r="M2558" s="1">
        <v>99000</v>
      </c>
      <c r="N2558">
        <v>3.3</v>
      </c>
      <c r="O2558">
        <v>12</v>
      </c>
      <c r="P2558" s="2" t="s">
        <v>72</v>
      </c>
    </row>
    <row r="2559" spans="1:16" x14ac:dyDescent="0.25">
      <c r="A2559" s="2" t="s">
        <v>8224</v>
      </c>
      <c r="B2559" s="2" t="s">
        <v>8225</v>
      </c>
      <c r="C2559" s="2" t="s">
        <v>18</v>
      </c>
      <c r="D2559" s="2" t="s">
        <v>50</v>
      </c>
      <c r="E2559" s="2" t="s">
        <v>20</v>
      </c>
      <c r="F2559" s="2" t="s">
        <v>32</v>
      </c>
      <c r="G2559" s="2" t="s">
        <v>22</v>
      </c>
      <c r="H2559" s="2" t="s">
        <v>62</v>
      </c>
      <c r="I2559" s="2" t="s">
        <v>57</v>
      </c>
      <c r="J2559" s="2" t="s">
        <v>422</v>
      </c>
      <c r="K2559" s="2" t="s">
        <v>3242</v>
      </c>
      <c r="L2559">
        <v>4</v>
      </c>
      <c r="M2559" s="1">
        <v>182000</v>
      </c>
      <c r="N2559">
        <v>2.8</v>
      </c>
      <c r="O2559">
        <v>7</v>
      </c>
      <c r="P2559" s="2" t="s">
        <v>53</v>
      </c>
    </row>
    <row r="2560" spans="1:16" x14ac:dyDescent="0.25">
      <c r="A2560" s="2" t="s">
        <v>8226</v>
      </c>
      <c r="B2560" s="2" t="s">
        <v>6670</v>
      </c>
      <c r="C2560" s="2" t="s">
        <v>18</v>
      </c>
      <c r="D2560" s="2" t="s">
        <v>79</v>
      </c>
      <c r="E2560" s="2" t="s">
        <v>20</v>
      </c>
      <c r="F2560" s="2" t="s">
        <v>45</v>
      </c>
      <c r="G2560" s="2" t="s">
        <v>22</v>
      </c>
      <c r="H2560" s="2" t="s">
        <v>23</v>
      </c>
      <c r="I2560" s="2" t="s">
        <v>24</v>
      </c>
      <c r="J2560" s="2" t="s">
        <v>6288</v>
      </c>
      <c r="K2560" s="2" t="s">
        <v>8228</v>
      </c>
      <c r="L2560">
        <v>3</v>
      </c>
      <c r="M2560" s="1">
        <v>1997000</v>
      </c>
      <c r="N2560">
        <v>4.5999999999999996</v>
      </c>
      <c r="O2560">
        <v>13</v>
      </c>
      <c r="P2560" s="2" t="s">
        <v>26</v>
      </c>
    </row>
    <row r="2561" spans="1:16" x14ac:dyDescent="0.25">
      <c r="A2561" s="2" t="s">
        <v>8227</v>
      </c>
      <c r="B2561" s="2" t="s">
        <v>6315</v>
      </c>
      <c r="C2561" s="2" t="s">
        <v>18</v>
      </c>
      <c r="D2561" s="2" t="s">
        <v>19</v>
      </c>
      <c r="E2561" s="2" t="s">
        <v>20</v>
      </c>
      <c r="F2561" s="2" t="s">
        <v>128</v>
      </c>
      <c r="G2561" s="2" t="s">
        <v>33</v>
      </c>
      <c r="H2561" s="2" t="s">
        <v>46</v>
      </c>
      <c r="I2561" s="2" t="s">
        <v>24</v>
      </c>
      <c r="J2561" s="2" t="s">
        <v>1398</v>
      </c>
      <c r="K2561" s="2" t="s">
        <v>8228</v>
      </c>
      <c r="L2561">
        <v>3</v>
      </c>
      <c r="M2561" s="1">
        <v>562000</v>
      </c>
      <c r="N2561">
        <v>4.5</v>
      </c>
      <c r="O2561">
        <v>14</v>
      </c>
      <c r="P2561" s="2" t="s">
        <v>53</v>
      </c>
    </row>
    <row r="2562" spans="1:16" x14ac:dyDescent="0.25">
      <c r="A2562" s="2" t="s">
        <v>8230</v>
      </c>
      <c r="B2562" s="2" t="s">
        <v>8231</v>
      </c>
      <c r="C2562" s="2" t="s">
        <v>18</v>
      </c>
      <c r="D2562" s="2" t="s">
        <v>79</v>
      </c>
      <c r="E2562" s="2" t="s">
        <v>20</v>
      </c>
      <c r="F2562" s="2" t="s">
        <v>39</v>
      </c>
      <c r="G2562" s="2" t="s">
        <v>33</v>
      </c>
      <c r="H2562" s="2" t="s">
        <v>34</v>
      </c>
      <c r="I2562" s="2" t="s">
        <v>35</v>
      </c>
      <c r="J2562" s="2" t="s">
        <v>5258</v>
      </c>
      <c r="K2562" s="2" t="s">
        <v>8234</v>
      </c>
      <c r="L2562">
        <v>3</v>
      </c>
      <c r="M2562" s="1">
        <v>139000</v>
      </c>
      <c r="N2562">
        <v>4.7</v>
      </c>
      <c r="O2562">
        <v>13</v>
      </c>
      <c r="P2562" s="2" t="s">
        <v>26</v>
      </c>
    </row>
    <row r="2563" spans="1:16" x14ac:dyDescent="0.25">
      <c r="A2563" s="2" t="s">
        <v>8232</v>
      </c>
      <c r="B2563" s="2" t="s">
        <v>8233</v>
      </c>
      <c r="C2563" s="2" t="s">
        <v>29</v>
      </c>
      <c r="D2563" s="2" t="s">
        <v>30</v>
      </c>
      <c r="E2563" s="2" t="s">
        <v>20</v>
      </c>
      <c r="F2563" s="2" t="s">
        <v>39</v>
      </c>
      <c r="G2563" s="2" t="s">
        <v>22</v>
      </c>
      <c r="H2563" s="2" t="s">
        <v>23</v>
      </c>
      <c r="I2563" s="2" t="s">
        <v>24</v>
      </c>
      <c r="J2563" s="2" t="s">
        <v>2499</v>
      </c>
      <c r="K2563" s="2" t="s">
        <v>8234</v>
      </c>
      <c r="L2563">
        <v>3</v>
      </c>
      <c r="M2563" s="1">
        <v>130000</v>
      </c>
      <c r="N2563">
        <v>1.8</v>
      </c>
      <c r="O2563">
        <v>0</v>
      </c>
      <c r="P2563" s="2" t="s">
        <v>53</v>
      </c>
    </row>
    <row r="2564" spans="1:16" x14ac:dyDescent="0.25">
      <c r="A2564" s="2" t="s">
        <v>8235</v>
      </c>
      <c r="B2564" s="2" t="s">
        <v>7923</v>
      </c>
      <c r="C2564" s="2" t="s">
        <v>29</v>
      </c>
      <c r="D2564" s="2" t="s">
        <v>79</v>
      </c>
      <c r="E2564" s="2" t="s">
        <v>20</v>
      </c>
      <c r="F2564" s="2" t="s">
        <v>128</v>
      </c>
      <c r="G2564" s="2" t="s">
        <v>22</v>
      </c>
      <c r="H2564" s="2" t="s">
        <v>23</v>
      </c>
      <c r="I2564" s="2" t="s">
        <v>57</v>
      </c>
      <c r="J2564" s="2" t="s">
        <v>4307</v>
      </c>
      <c r="K2564" s="2" t="s">
        <v>4258</v>
      </c>
      <c r="L2564">
        <v>4</v>
      </c>
      <c r="M2564" s="1">
        <v>383000</v>
      </c>
      <c r="N2564">
        <v>3.7</v>
      </c>
      <c r="O2564">
        <v>5</v>
      </c>
      <c r="P2564" s="2" t="s">
        <v>26</v>
      </c>
    </row>
    <row r="2565" spans="1:16" x14ac:dyDescent="0.25">
      <c r="A2565" s="2" t="s">
        <v>8236</v>
      </c>
      <c r="B2565" s="2" t="s">
        <v>4584</v>
      </c>
      <c r="C2565" s="2" t="s">
        <v>29</v>
      </c>
      <c r="D2565" s="2" t="s">
        <v>50</v>
      </c>
      <c r="E2565" s="2" t="s">
        <v>20</v>
      </c>
      <c r="F2565" s="2" t="s">
        <v>128</v>
      </c>
      <c r="G2565" s="2" t="s">
        <v>80</v>
      </c>
      <c r="H2565" s="2" t="s">
        <v>62</v>
      </c>
      <c r="I2565" s="2" t="s">
        <v>57</v>
      </c>
      <c r="J2565" s="2" t="s">
        <v>4548</v>
      </c>
      <c r="K2565" s="2" t="s">
        <v>4258</v>
      </c>
      <c r="L2565">
        <v>5</v>
      </c>
      <c r="M2565" s="1">
        <v>450000</v>
      </c>
      <c r="N2565">
        <v>2.6</v>
      </c>
      <c r="O2565">
        <v>9</v>
      </c>
      <c r="P2565" s="2" t="s">
        <v>26</v>
      </c>
    </row>
    <row r="2566" spans="1:16" x14ac:dyDescent="0.25">
      <c r="A2566" s="2" t="s">
        <v>8237</v>
      </c>
      <c r="B2566" s="2" t="s">
        <v>2011</v>
      </c>
      <c r="C2566" s="2" t="s">
        <v>18</v>
      </c>
      <c r="D2566" s="2" t="s">
        <v>50</v>
      </c>
      <c r="E2566" s="2" t="s">
        <v>31</v>
      </c>
      <c r="F2566" s="2" t="s">
        <v>128</v>
      </c>
      <c r="G2566" s="2" t="s">
        <v>22</v>
      </c>
      <c r="H2566" s="2" t="s">
        <v>23</v>
      </c>
      <c r="I2566" s="2" t="s">
        <v>35</v>
      </c>
      <c r="J2566" s="2" t="s">
        <v>2893</v>
      </c>
      <c r="K2566" s="2" t="s">
        <v>4258</v>
      </c>
      <c r="L2566">
        <v>6</v>
      </c>
      <c r="M2566" s="1">
        <v>373000</v>
      </c>
      <c r="N2566">
        <v>2.2999999999999998</v>
      </c>
      <c r="O2566">
        <v>9</v>
      </c>
      <c r="P2566" s="2" t="s">
        <v>26</v>
      </c>
    </row>
    <row r="2567" spans="1:16" x14ac:dyDescent="0.25">
      <c r="A2567" s="2" t="s">
        <v>8239</v>
      </c>
      <c r="B2567" s="2" t="s">
        <v>8240</v>
      </c>
      <c r="C2567" s="2" t="s">
        <v>18</v>
      </c>
      <c r="D2567" s="2" t="s">
        <v>50</v>
      </c>
      <c r="E2567" s="2" t="s">
        <v>44</v>
      </c>
      <c r="F2567" s="2" t="s">
        <v>39</v>
      </c>
      <c r="G2567" s="2" t="s">
        <v>33</v>
      </c>
      <c r="H2567" s="2" t="s">
        <v>46</v>
      </c>
      <c r="I2567" s="2" t="s">
        <v>24</v>
      </c>
      <c r="J2567" s="2" t="s">
        <v>2274</v>
      </c>
      <c r="K2567" s="2" t="s">
        <v>4258</v>
      </c>
      <c r="L2567">
        <v>6</v>
      </c>
      <c r="M2567" s="1">
        <v>136000</v>
      </c>
      <c r="N2567">
        <v>3.3</v>
      </c>
      <c r="O2567">
        <v>5</v>
      </c>
      <c r="P2567" s="2" t="s">
        <v>53</v>
      </c>
    </row>
    <row r="2568" spans="1:16" x14ac:dyDescent="0.25">
      <c r="A2568" s="2" t="s">
        <v>8243</v>
      </c>
      <c r="B2568" s="2" t="s">
        <v>1268</v>
      </c>
      <c r="C2568" s="2" t="s">
        <v>29</v>
      </c>
      <c r="D2568" s="2" t="s">
        <v>79</v>
      </c>
      <c r="E2568" s="2" t="s">
        <v>20</v>
      </c>
      <c r="F2568" s="2" t="s">
        <v>32</v>
      </c>
      <c r="G2568" s="2" t="s">
        <v>22</v>
      </c>
      <c r="H2568" s="2" t="s">
        <v>46</v>
      </c>
      <c r="I2568" s="2" t="s">
        <v>57</v>
      </c>
      <c r="J2568" s="2" t="s">
        <v>1519</v>
      </c>
      <c r="K2568" s="2" t="s">
        <v>4977</v>
      </c>
      <c r="L2568">
        <v>6</v>
      </c>
      <c r="M2568" s="1">
        <v>240000</v>
      </c>
      <c r="N2568">
        <v>3.5</v>
      </c>
      <c r="O2568">
        <v>13</v>
      </c>
      <c r="P2568" s="2" t="s">
        <v>26</v>
      </c>
    </row>
    <row r="2569" spans="1:16" x14ac:dyDescent="0.25">
      <c r="A2569" s="2" t="s">
        <v>8244</v>
      </c>
      <c r="B2569" s="2" t="s">
        <v>8245</v>
      </c>
      <c r="C2569" s="2" t="s">
        <v>18</v>
      </c>
      <c r="D2569" s="2" t="s">
        <v>30</v>
      </c>
      <c r="E2569" s="2" t="s">
        <v>20</v>
      </c>
      <c r="F2569" s="2" t="s">
        <v>39</v>
      </c>
      <c r="G2569" s="2" t="s">
        <v>80</v>
      </c>
      <c r="H2569" s="2" t="s">
        <v>23</v>
      </c>
      <c r="I2569" s="2" t="s">
        <v>24</v>
      </c>
      <c r="J2569" s="2" t="s">
        <v>4269</v>
      </c>
      <c r="K2569" s="2" t="s">
        <v>4977</v>
      </c>
      <c r="L2569">
        <v>3</v>
      </c>
      <c r="M2569" s="1">
        <v>132000</v>
      </c>
      <c r="N2569">
        <v>1.9</v>
      </c>
      <c r="O2569">
        <v>6</v>
      </c>
      <c r="P2569" s="2" t="s">
        <v>26</v>
      </c>
    </row>
    <row r="2570" spans="1:16" x14ac:dyDescent="0.25">
      <c r="A2570" s="2" t="s">
        <v>8246</v>
      </c>
      <c r="B2570" s="2" t="s">
        <v>2873</v>
      </c>
      <c r="C2570" s="2" t="s">
        <v>18</v>
      </c>
      <c r="D2570" s="2" t="s">
        <v>30</v>
      </c>
      <c r="E2570" s="2" t="s">
        <v>20</v>
      </c>
      <c r="F2570" s="2" t="s">
        <v>21</v>
      </c>
      <c r="G2570" s="2" t="s">
        <v>80</v>
      </c>
      <c r="H2570" s="2" t="s">
        <v>46</v>
      </c>
      <c r="I2570" s="2" t="s">
        <v>24</v>
      </c>
      <c r="J2570" s="2" t="s">
        <v>1059</v>
      </c>
      <c r="K2570" s="2" t="s">
        <v>4977</v>
      </c>
      <c r="L2570">
        <v>3</v>
      </c>
      <c r="M2570" s="1">
        <v>691000</v>
      </c>
      <c r="N2570">
        <v>3.2</v>
      </c>
      <c r="O2570">
        <v>7</v>
      </c>
      <c r="P2570" s="2" t="s">
        <v>26</v>
      </c>
    </row>
    <row r="2571" spans="1:16" x14ac:dyDescent="0.25">
      <c r="A2571" s="2" t="s">
        <v>8249</v>
      </c>
      <c r="B2571" s="2" t="s">
        <v>393</v>
      </c>
      <c r="C2571" s="2" t="s">
        <v>18</v>
      </c>
      <c r="D2571" s="2" t="s">
        <v>30</v>
      </c>
      <c r="E2571" s="2" t="s">
        <v>20</v>
      </c>
      <c r="F2571" s="2" t="s">
        <v>32</v>
      </c>
      <c r="G2571" s="2" t="s">
        <v>33</v>
      </c>
      <c r="H2571" s="2" t="s">
        <v>23</v>
      </c>
      <c r="I2571" s="2" t="s">
        <v>24</v>
      </c>
      <c r="J2571" s="2" t="s">
        <v>1537</v>
      </c>
      <c r="K2571" s="2" t="s">
        <v>4977</v>
      </c>
      <c r="L2571">
        <v>4</v>
      </c>
      <c r="M2571" s="1">
        <v>293000</v>
      </c>
      <c r="N2571">
        <v>4.7</v>
      </c>
      <c r="O2571">
        <v>9</v>
      </c>
      <c r="P2571" s="2" t="s">
        <v>26</v>
      </c>
    </row>
    <row r="2572" spans="1:16" x14ac:dyDescent="0.25">
      <c r="A2572" s="2" t="s">
        <v>8250</v>
      </c>
      <c r="B2572" s="2" t="s">
        <v>8251</v>
      </c>
      <c r="C2572" s="2" t="s">
        <v>18</v>
      </c>
      <c r="D2572" s="2" t="s">
        <v>43</v>
      </c>
      <c r="E2572" s="2" t="s">
        <v>20</v>
      </c>
      <c r="F2572" s="2" t="s">
        <v>21</v>
      </c>
      <c r="G2572" s="2" t="s">
        <v>22</v>
      </c>
      <c r="H2572" s="2" t="s">
        <v>23</v>
      </c>
      <c r="I2572" s="2" t="s">
        <v>57</v>
      </c>
      <c r="J2572" s="2" t="s">
        <v>8252</v>
      </c>
      <c r="K2572" s="2" t="s">
        <v>4977</v>
      </c>
      <c r="L2572">
        <v>2</v>
      </c>
      <c r="M2572" s="1">
        <v>818000</v>
      </c>
      <c r="N2572">
        <v>3.6</v>
      </c>
      <c r="O2572">
        <v>10</v>
      </c>
      <c r="P2572" s="2" t="s">
        <v>53</v>
      </c>
    </row>
    <row r="2573" spans="1:16" x14ac:dyDescent="0.25">
      <c r="A2573" s="2" t="s">
        <v>8253</v>
      </c>
      <c r="B2573" s="2" t="s">
        <v>5148</v>
      </c>
      <c r="C2573" s="2" t="s">
        <v>29</v>
      </c>
      <c r="D2573" s="2" t="s">
        <v>79</v>
      </c>
      <c r="E2573" s="2" t="s">
        <v>20</v>
      </c>
      <c r="F2573" s="2" t="s">
        <v>32</v>
      </c>
      <c r="G2573" s="2" t="s">
        <v>22</v>
      </c>
      <c r="H2573" s="2" t="s">
        <v>23</v>
      </c>
      <c r="I2573" s="2" t="s">
        <v>75</v>
      </c>
      <c r="J2573" s="2" t="s">
        <v>3881</v>
      </c>
      <c r="K2573" s="2" t="s">
        <v>4014</v>
      </c>
      <c r="L2573">
        <v>5</v>
      </c>
      <c r="M2573" s="1">
        <v>272000</v>
      </c>
      <c r="N2573">
        <v>3.7</v>
      </c>
      <c r="O2573">
        <v>12</v>
      </c>
      <c r="P2573" s="2" t="s">
        <v>26</v>
      </c>
    </row>
    <row r="2574" spans="1:16" x14ac:dyDescent="0.25">
      <c r="A2574" s="2" t="s">
        <v>8255</v>
      </c>
      <c r="B2574" s="2" t="s">
        <v>1140</v>
      </c>
      <c r="C2574" s="2" t="s">
        <v>18</v>
      </c>
      <c r="D2574" s="2" t="s">
        <v>43</v>
      </c>
      <c r="E2574" s="2" t="s">
        <v>31</v>
      </c>
      <c r="F2574" s="2" t="s">
        <v>128</v>
      </c>
      <c r="G2574" s="2" t="s">
        <v>80</v>
      </c>
      <c r="H2574" s="2" t="s">
        <v>23</v>
      </c>
      <c r="I2574" s="2" t="s">
        <v>35</v>
      </c>
      <c r="J2574" s="2" t="s">
        <v>4373</v>
      </c>
      <c r="K2574" s="2" t="s">
        <v>4014</v>
      </c>
      <c r="L2574">
        <v>4</v>
      </c>
      <c r="M2574" s="1">
        <v>557000</v>
      </c>
      <c r="N2574">
        <v>4.8</v>
      </c>
      <c r="O2574">
        <v>0</v>
      </c>
      <c r="P2574" s="2" t="s">
        <v>26</v>
      </c>
    </row>
    <row r="2575" spans="1:16" x14ac:dyDescent="0.25">
      <c r="A2575" s="2" t="s">
        <v>8256</v>
      </c>
      <c r="B2575" s="2" t="s">
        <v>495</v>
      </c>
      <c r="C2575" s="2" t="s">
        <v>29</v>
      </c>
      <c r="D2575" s="2" t="s">
        <v>43</v>
      </c>
      <c r="E2575" s="2" t="s">
        <v>44</v>
      </c>
      <c r="F2575" s="2" t="s">
        <v>32</v>
      </c>
      <c r="G2575" s="2" t="s">
        <v>22</v>
      </c>
      <c r="H2575" s="2" t="s">
        <v>62</v>
      </c>
      <c r="I2575" s="2" t="s">
        <v>57</v>
      </c>
      <c r="J2575" s="2" t="s">
        <v>3463</v>
      </c>
      <c r="K2575" s="2" t="s">
        <v>4014</v>
      </c>
      <c r="L2575">
        <v>6</v>
      </c>
      <c r="M2575" s="1">
        <v>279000</v>
      </c>
      <c r="N2575">
        <v>4.5999999999999996</v>
      </c>
      <c r="O2575">
        <v>32</v>
      </c>
      <c r="P2575" s="2" t="s">
        <v>26</v>
      </c>
    </row>
    <row r="2576" spans="1:16" x14ac:dyDescent="0.25">
      <c r="A2576" s="2" t="s">
        <v>8257</v>
      </c>
      <c r="B2576" s="2" t="s">
        <v>5869</v>
      </c>
      <c r="C2576" s="2" t="s">
        <v>18</v>
      </c>
      <c r="D2576" s="2" t="s">
        <v>50</v>
      </c>
      <c r="E2576" s="2" t="s">
        <v>20</v>
      </c>
      <c r="F2576" s="2" t="s">
        <v>32</v>
      </c>
      <c r="G2576" s="2" t="s">
        <v>80</v>
      </c>
      <c r="H2576" s="2" t="s">
        <v>62</v>
      </c>
      <c r="I2576" s="2" t="s">
        <v>24</v>
      </c>
      <c r="J2576" s="2" t="s">
        <v>4454</v>
      </c>
      <c r="K2576" s="2" t="s">
        <v>4014</v>
      </c>
      <c r="L2576">
        <v>4</v>
      </c>
      <c r="M2576" s="1">
        <v>241000</v>
      </c>
      <c r="N2576">
        <v>4.7</v>
      </c>
      <c r="O2576">
        <v>3</v>
      </c>
      <c r="P2576" s="2" t="s">
        <v>26</v>
      </c>
    </row>
    <row r="2577" spans="1:16" x14ac:dyDescent="0.25">
      <c r="A2577" s="2" t="s">
        <v>8260</v>
      </c>
      <c r="B2577" s="2" t="s">
        <v>5503</v>
      </c>
      <c r="C2577" s="2" t="s">
        <v>29</v>
      </c>
      <c r="D2577" s="2" t="s">
        <v>79</v>
      </c>
      <c r="E2577" s="2" t="s">
        <v>44</v>
      </c>
      <c r="F2577" s="2" t="s">
        <v>32</v>
      </c>
      <c r="G2577" s="2" t="s">
        <v>22</v>
      </c>
      <c r="H2577" s="2" t="s">
        <v>46</v>
      </c>
      <c r="I2577" s="2" t="s">
        <v>75</v>
      </c>
      <c r="J2577" s="2" t="s">
        <v>1538</v>
      </c>
      <c r="K2577" s="2" t="s">
        <v>4014</v>
      </c>
      <c r="L2577">
        <v>2</v>
      </c>
      <c r="M2577" s="1">
        <v>325000</v>
      </c>
      <c r="N2577">
        <v>3.8</v>
      </c>
      <c r="O2577">
        <v>14</v>
      </c>
      <c r="P2577" s="2" t="s">
        <v>53</v>
      </c>
    </row>
    <row r="2578" spans="1:16" x14ac:dyDescent="0.25">
      <c r="A2578" s="2" t="s">
        <v>8261</v>
      </c>
      <c r="B2578" s="2" t="s">
        <v>8262</v>
      </c>
      <c r="C2578" s="2" t="s">
        <v>29</v>
      </c>
      <c r="D2578" s="2" t="s">
        <v>50</v>
      </c>
      <c r="E2578" s="2" t="s">
        <v>20</v>
      </c>
      <c r="F2578" s="2" t="s">
        <v>32</v>
      </c>
      <c r="G2578" s="2" t="s">
        <v>80</v>
      </c>
      <c r="H2578" s="2" t="s">
        <v>46</v>
      </c>
      <c r="I2578" s="2" t="s">
        <v>171</v>
      </c>
      <c r="J2578" s="2" t="s">
        <v>6113</v>
      </c>
      <c r="K2578" s="2" t="s">
        <v>8268</v>
      </c>
      <c r="L2578">
        <v>3</v>
      </c>
      <c r="M2578" s="1">
        <v>226000</v>
      </c>
      <c r="N2578">
        <v>3.9</v>
      </c>
      <c r="O2578">
        <v>7</v>
      </c>
      <c r="P2578" s="2" t="s">
        <v>26</v>
      </c>
    </row>
    <row r="2579" spans="1:16" x14ac:dyDescent="0.25">
      <c r="A2579" s="2" t="s">
        <v>8264</v>
      </c>
      <c r="B2579" s="2" t="s">
        <v>8265</v>
      </c>
      <c r="C2579" s="2" t="s">
        <v>18</v>
      </c>
      <c r="D2579" s="2" t="s">
        <v>30</v>
      </c>
      <c r="E2579" s="2" t="s">
        <v>20</v>
      </c>
      <c r="F2579" s="2" t="s">
        <v>39</v>
      </c>
      <c r="G2579" s="2" t="s">
        <v>22</v>
      </c>
      <c r="H2579" s="2" t="s">
        <v>46</v>
      </c>
      <c r="I2579" s="2" t="s">
        <v>75</v>
      </c>
      <c r="J2579" s="2" t="s">
        <v>481</v>
      </c>
      <c r="K2579" s="2" t="s">
        <v>8268</v>
      </c>
      <c r="L2579">
        <v>5</v>
      </c>
      <c r="M2579" s="1">
        <v>139000</v>
      </c>
      <c r="N2579">
        <v>1.9</v>
      </c>
      <c r="O2579">
        <v>4</v>
      </c>
      <c r="P2579" s="2" t="s">
        <v>26</v>
      </c>
    </row>
    <row r="2580" spans="1:16" x14ac:dyDescent="0.25">
      <c r="A2580" s="2" t="s">
        <v>8266</v>
      </c>
      <c r="B2580" s="2" t="s">
        <v>8267</v>
      </c>
      <c r="C2580" s="2" t="s">
        <v>18</v>
      </c>
      <c r="D2580" s="2" t="s">
        <v>50</v>
      </c>
      <c r="E2580" s="2" t="s">
        <v>44</v>
      </c>
      <c r="F2580" s="2" t="s">
        <v>39</v>
      </c>
      <c r="G2580" s="2" t="s">
        <v>22</v>
      </c>
      <c r="H2580" s="2" t="s">
        <v>23</v>
      </c>
      <c r="I2580" s="2" t="s">
        <v>24</v>
      </c>
      <c r="J2580" s="2" t="s">
        <v>3053</v>
      </c>
      <c r="K2580" s="2" t="s">
        <v>8268</v>
      </c>
      <c r="L2580">
        <v>2</v>
      </c>
      <c r="M2580" s="1">
        <v>113000</v>
      </c>
      <c r="N2580">
        <v>2.5</v>
      </c>
      <c r="O2580">
        <v>26</v>
      </c>
      <c r="P2580" s="2" t="s">
        <v>114</v>
      </c>
    </row>
    <row r="2581" spans="1:16" x14ac:dyDescent="0.25">
      <c r="A2581" s="2" t="s">
        <v>8269</v>
      </c>
      <c r="B2581" s="2" t="s">
        <v>8270</v>
      </c>
      <c r="C2581" s="2" t="s">
        <v>18</v>
      </c>
      <c r="D2581" s="2" t="s">
        <v>19</v>
      </c>
      <c r="E2581" s="2" t="s">
        <v>20</v>
      </c>
      <c r="F2581" s="2" t="s">
        <v>32</v>
      </c>
      <c r="G2581" s="2" t="s">
        <v>80</v>
      </c>
      <c r="H2581" s="2" t="s">
        <v>34</v>
      </c>
      <c r="I2581" s="2" t="s">
        <v>57</v>
      </c>
      <c r="J2581" s="2" t="s">
        <v>3350</v>
      </c>
      <c r="K2581" s="2" t="s">
        <v>1188</v>
      </c>
      <c r="L2581">
        <v>6</v>
      </c>
      <c r="M2581" s="1">
        <v>288000</v>
      </c>
      <c r="N2581">
        <v>3.4</v>
      </c>
      <c r="O2581">
        <v>11</v>
      </c>
      <c r="P2581" s="2" t="s">
        <v>26</v>
      </c>
    </row>
    <row r="2582" spans="1:16" x14ac:dyDescent="0.25">
      <c r="A2582" s="2" t="s">
        <v>8276</v>
      </c>
      <c r="B2582" s="2" t="s">
        <v>5169</v>
      </c>
      <c r="C2582" s="2" t="s">
        <v>29</v>
      </c>
      <c r="D2582" s="2" t="s">
        <v>30</v>
      </c>
      <c r="E2582" s="2" t="s">
        <v>20</v>
      </c>
      <c r="F2582" s="2" t="s">
        <v>39</v>
      </c>
      <c r="G2582" s="2" t="s">
        <v>22</v>
      </c>
      <c r="H2582" s="2" t="s">
        <v>62</v>
      </c>
      <c r="I2582" s="2" t="s">
        <v>75</v>
      </c>
      <c r="J2582" s="2" t="s">
        <v>276</v>
      </c>
      <c r="K2582" s="2" t="s">
        <v>1188</v>
      </c>
      <c r="L2582">
        <v>2</v>
      </c>
      <c r="M2582" s="1">
        <v>148000</v>
      </c>
      <c r="N2582">
        <v>2.1</v>
      </c>
      <c r="O2582">
        <v>14</v>
      </c>
      <c r="P2582" s="2" t="s">
        <v>26</v>
      </c>
    </row>
    <row r="2583" spans="1:16" x14ac:dyDescent="0.25">
      <c r="A2583" s="2" t="s">
        <v>8277</v>
      </c>
      <c r="B2583" s="2" t="s">
        <v>8278</v>
      </c>
      <c r="C2583" s="2" t="s">
        <v>18</v>
      </c>
      <c r="D2583" s="2" t="s">
        <v>43</v>
      </c>
      <c r="E2583" s="2" t="s">
        <v>20</v>
      </c>
      <c r="F2583" s="2" t="s">
        <v>21</v>
      </c>
      <c r="G2583" s="2" t="s">
        <v>22</v>
      </c>
      <c r="H2583" s="2" t="s">
        <v>23</v>
      </c>
      <c r="I2583" s="2" t="s">
        <v>57</v>
      </c>
      <c r="J2583" s="2" t="s">
        <v>397</v>
      </c>
      <c r="K2583" s="2" t="s">
        <v>1188</v>
      </c>
      <c r="L2583">
        <v>5</v>
      </c>
      <c r="M2583" s="1">
        <v>600000</v>
      </c>
      <c r="N2583">
        <v>3.7</v>
      </c>
      <c r="O2583">
        <v>6</v>
      </c>
      <c r="P2583" s="2" t="s">
        <v>26</v>
      </c>
    </row>
    <row r="2584" spans="1:16" x14ac:dyDescent="0.25">
      <c r="A2584" s="2" t="s">
        <v>8281</v>
      </c>
      <c r="B2584" s="2" t="s">
        <v>3201</v>
      </c>
      <c r="C2584" s="2" t="s">
        <v>18</v>
      </c>
      <c r="D2584" s="2" t="s">
        <v>43</v>
      </c>
      <c r="E2584" s="2" t="s">
        <v>31</v>
      </c>
      <c r="F2584" s="2" t="s">
        <v>39</v>
      </c>
      <c r="G2584" s="2" t="s">
        <v>22</v>
      </c>
      <c r="H2584" s="2" t="s">
        <v>62</v>
      </c>
      <c r="I2584" s="2" t="s">
        <v>57</v>
      </c>
      <c r="J2584" s="2" t="s">
        <v>4416</v>
      </c>
      <c r="K2584" s="2" t="s">
        <v>1188</v>
      </c>
      <c r="L2584">
        <v>6</v>
      </c>
      <c r="M2584" s="1">
        <v>136000</v>
      </c>
      <c r="N2584">
        <v>2.2000000000000002</v>
      </c>
      <c r="O2584">
        <v>0</v>
      </c>
      <c r="P2584" s="2" t="s">
        <v>26</v>
      </c>
    </row>
    <row r="2585" spans="1:16" x14ac:dyDescent="0.25">
      <c r="A2585" s="2" t="s">
        <v>8282</v>
      </c>
      <c r="B2585" s="2" t="s">
        <v>2845</v>
      </c>
      <c r="C2585" s="2" t="s">
        <v>29</v>
      </c>
      <c r="D2585" s="2" t="s">
        <v>50</v>
      </c>
      <c r="E2585" s="2" t="s">
        <v>20</v>
      </c>
      <c r="F2585" s="2" t="s">
        <v>21</v>
      </c>
      <c r="G2585" s="2" t="s">
        <v>69</v>
      </c>
      <c r="H2585" s="2" t="s">
        <v>23</v>
      </c>
      <c r="I2585" s="2" t="s">
        <v>75</v>
      </c>
      <c r="J2585" s="2" t="s">
        <v>5806</v>
      </c>
      <c r="K2585" s="2" t="s">
        <v>1188</v>
      </c>
      <c r="L2585">
        <v>4</v>
      </c>
      <c r="M2585" s="1">
        <v>795000</v>
      </c>
      <c r="N2585">
        <v>4.4000000000000004</v>
      </c>
      <c r="O2585">
        <v>6</v>
      </c>
      <c r="P2585" s="2" t="s">
        <v>26</v>
      </c>
    </row>
    <row r="2586" spans="1:16" x14ac:dyDescent="0.25">
      <c r="A2586" s="2" t="s">
        <v>8283</v>
      </c>
      <c r="B2586" s="2" t="s">
        <v>8284</v>
      </c>
      <c r="C2586" s="2" t="s">
        <v>29</v>
      </c>
      <c r="D2586" s="2" t="s">
        <v>30</v>
      </c>
      <c r="E2586" s="2" t="s">
        <v>44</v>
      </c>
      <c r="F2586" s="2" t="s">
        <v>32</v>
      </c>
      <c r="G2586" s="2" t="s">
        <v>80</v>
      </c>
      <c r="H2586" s="2" t="s">
        <v>23</v>
      </c>
      <c r="I2586" s="2" t="s">
        <v>75</v>
      </c>
      <c r="J2586" s="2" t="s">
        <v>8285</v>
      </c>
      <c r="K2586" s="2" t="s">
        <v>1188</v>
      </c>
      <c r="L2586">
        <v>5</v>
      </c>
      <c r="M2586" s="1">
        <v>256000</v>
      </c>
      <c r="N2586">
        <v>4.2</v>
      </c>
      <c r="O2586">
        <v>7</v>
      </c>
      <c r="P2586" s="2" t="s">
        <v>26</v>
      </c>
    </row>
    <row r="2587" spans="1:16" x14ac:dyDescent="0.25">
      <c r="A2587" s="2" t="s">
        <v>8286</v>
      </c>
      <c r="B2587" s="2" t="s">
        <v>8287</v>
      </c>
      <c r="C2587" s="2" t="s">
        <v>18</v>
      </c>
      <c r="D2587" s="2" t="s">
        <v>19</v>
      </c>
      <c r="E2587" s="2" t="s">
        <v>20</v>
      </c>
      <c r="F2587" s="2" t="s">
        <v>128</v>
      </c>
      <c r="G2587" s="2" t="s">
        <v>22</v>
      </c>
      <c r="H2587" s="2" t="s">
        <v>23</v>
      </c>
      <c r="I2587" s="2" t="s">
        <v>24</v>
      </c>
      <c r="J2587" s="2" t="s">
        <v>2518</v>
      </c>
      <c r="K2587" s="2" t="s">
        <v>1188</v>
      </c>
      <c r="L2587">
        <v>4</v>
      </c>
      <c r="M2587" s="1">
        <v>476000</v>
      </c>
      <c r="N2587">
        <v>4.2</v>
      </c>
      <c r="O2587">
        <v>8</v>
      </c>
      <c r="P2587" s="2" t="s">
        <v>26</v>
      </c>
    </row>
    <row r="2588" spans="1:16" x14ac:dyDescent="0.25">
      <c r="A2588" s="2" t="s">
        <v>8288</v>
      </c>
      <c r="B2588" s="2" t="s">
        <v>3859</v>
      </c>
      <c r="C2588" s="2" t="s">
        <v>18</v>
      </c>
      <c r="D2588" s="2" t="s">
        <v>50</v>
      </c>
      <c r="E2588" s="2" t="s">
        <v>20</v>
      </c>
      <c r="F2588" s="2" t="s">
        <v>32</v>
      </c>
      <c r="G2588" s="2" t="s">
        <v>80</v>
      </c>
      <c r="H2588" s="2" t="s">
        <v>46</v>
      </c>
      <c r="I2588" s="2" t="s">
        <v>171</v>
      </c>
      <c r="J2588" s="2" t="s">
        <v>3033</v>
      </c>
      <c r="K2588" s="2" t="s">
        <v>1188</v>
      </c>
      <c r="L2588">
        <v>4</v>
      </c>
      <c r="M2588" s="1">
        <v>199000</v>
      </c>
      <c r="N2588">
        <v>3.2</v>
      </c>
      <c r="O2588">
        <v>23</v>
      </c>
      <c r="P2588" s="2" t="s">
        <v>26</v>
      </c>
    </row>
    <row r="2589" spans="1:16" x14ac:dyDescent="0.25">
      <c r="A2589" s="2" t="s">
        <v>8289</v>
      </c>
      <c r="B2589" s="2" t="s">
        <v>5515</v>
      </c>
      <c r="C2589" s="2" t="s">
        <v>29</v>
      </c>
      <c r="D2589" s="2" t="s">
        <v>30</v>
      </c>
      <c r="E2589" s="2" t="s">
        <v>44</v>
      </c>
      <c r="F2589" s="2" t="s">
        <v>32</v>
      </c>
      <c r="G2589" s="2" t="s">
        <v>80</v>
      </c>
      <c r="H2589" s="2" t="s">
        <v>34</v>
      </c>
      <c r="I2589" s="2" t="s">
        <v>57</v>
      </c>
      <c r="J2589" s="2" t="s">
        <v>872</v>
      </c>
      <c r="K2589" s="2" t="s">
        <v>1188</v>
      </c>
      <c r="L2589">
        <v>4</v>
      </c>
      <c r="M2589" s="1">
        <v>280000</v>
      </c>
      <c r="N2589">
        <v>3.9</v>
      </c>
      <c r="O2589">
        <v>12</v>
      </c>
      <c r="P2589" s="2" t="s">
        <v>26</v>
      </c>
    </row>
    <row r="2590" spans="1:16" x14ac:dyDescent="0.25">
      <c r="A2590" s="2" t="s">
        <v>8290</v>
      </c>
      <c r="B2590" s="2" t="s">
        <v>6755</v>
      </c>
      <c r="C2590" s="2" t="s">
        <v>29</v>
      </c>
      <c r="D2590" s="2" t="s">
        <v>30</v>
      </c>
      <c r="E2590" s="2" t="s">
        <v>44</v>
      </c>
      <c r="F2590" s="2" t="s">
        <v>32</v>
      </c>
      <c r="G2590" s="2" t="s">
        <v>22</v>
      </c>
      <c r="H2590" s="2" t="s">
        <v>46</v>
      </c>
      <c r="I2590" s="2" t="s">
        <v>24</v>
      </c>
      <c r="J2590" s="2" t="s">
        <v>1000</v>
      </c>
      <c r="K2590" s="2" t="s">
        <v>1188</v>
      </c>
      <c r="L2590">
        <v>4</v>
      </c>
      <c r="M2590" s="1">
        <v>255000</v>
      </c>
      <c r="N2590">
        <v>4</v>
      </c>
      <c r="O2590">
        <v>38</v>
      </c>
      <c r="P2590" s="2" t="s">
        <v>26</v>
      </c>
    </row>
    <row r="2591" spans="1:16" x14ac:dyDescent="0.25">
      <c r="A2591" s="2" t="s">
        <v>8291</v>
      </c>
      <c r="B2591" s="2" t="s">
        <v>3773</v>
      </c>
      <c r="C2591" s="2" t="s">
        <v>29</v>
      </c>
      <c r="D2591" s="2" t="s">
        <v>50</v>
      </c>
      <c r="E2591" s="2" t="s">
        <v>44</v>
      </c>
      <c r="F2591" s="2" t="s">
        <v>21</v>
      </c>
      <c r="G2591" s="2" t="s">
        <v>80</v>
      </c>
      <c r="H2591" s="2" t="s">
        <v>34</v>
      </c>
      <c r="I2591" s="2" t="s">
        <v>24</v>
      </c>
      <c r="J2591" s="2" t="s">
        <v>3740</v>
      </c>
      <c r="K2591" s="2" t="s">
        <v>1188</v>
      </c>
      <c r="L2591">
        <v>4</v>
      </c>
      <c r="M2591" s="1">
        <v>721000</v>
      </c>
      <c r="N2591">
        <v>3.7</v>
      </c>
      <c r="O2591">
        <v>4</v>
      </c>
      <c r="P2591" s="2" t="s">
        <v>26</v>
      </c>
    </row>
    <row r="2592" spans="1:16" x14ac:dyDescent="0.25">
      <c r="A2592" s="2" t="s">
        <v>8293</v>
      </c>
      <c r="B2592" s="2" t="s">
        <v>8294</v>
      </c>
      <c r="C2592" s="2" t="s">
        <v>18</v>
      </c>
      <c r="D2592" s="2" t="s">
        <v>19</v>
      </c>
      <c r="E2592" s="2" t="s">
        <v>31</v>
      </c>
      <c r="F2592" s="2" t="s">
        <v>32</v>
      </c>
      <c r="G2592" s="2" t="s">
        <v>80</v>
      </c>
      <c r="H2592" s="2" t="s">
        <v>23</v>
      </c>
      <c r="I2592" s="2" t="s">
        <v>24</v>
      </c>
      <c r="J2592" s="2" t="s">
        <v>5361</v>
      </c>
      <c r="K2592" s="2" t="s">
        <v>1188</v>
      </c>
      <c r="L2592">
        <v>5</v>
      </c>
      <c r="M2592" s="1">
        <v>261000</v>
      </c>
      <c r="N2592">
        <v>3.1</v>
      </c>
      <c r="O2592">
        <v>13</v>
      </c>
      <c r="P2592" s="2" t="s">
        <v>26</v>
      </c>
    </row>
    <row r="2593" spans="1:16" x14ac:dyDescent="0.25">
      <c r="A2593" s="2" t="s">
        <v>8296</v>
      </c>
      <c r="B2593" s="2" t="s">
        <v>8297</v>
      </c>
      <c r="C2593" s="2" t="s">
        <v>18</v>
      </c>
      <c r="D2593" s="2" t="s">
        <v>19</v>
      </c>
      <c r="E2593" s="2" t="s">
        <v>20</v>
      </c>
      <c r="F2593" s="2" t="s">
        <v>32</v>
      </c>
      <c r="G2593" s="2" t="s">
        <v>69</v>
      </c>
      <c r="H2593" s="2" t="s">
        <v>46</v>
      </c>
      <c r="I2593" s="2" t="s">
        <v>35</v>
      </c>
      <c r="J2593" s="2" t="s">
        <v>2460</v>
      </c>
      <c r="K2593" s="2" t="s">
        <v>1188</v>
      </c>
      <c r="L2593">
        <v>4</v>
      </c>
      <c r="M2593" s="1">
        <v>209000</v>
      </c>
      <c r="N2593">
        <v>2.8</v>
      </c>
      <c r="O2593">
        <v>9</v>
      </c>
      <c r="P2593" s="2" t="s">
        <v>26</v>
      </c>
    </row>
    <row r="2594" spans="1:16" x14ac:dyDescent="0.25">
      <c r="A2594" s="2" t="s">
        <v>8298</v>
      </c>
      <c r="B2594" s="2" t="s">
        <v>8299</v>
      </c>
      <c r="C2594" s="2" t="s">
        <v>18</v>
      </c>
      <c r="D2594" s="2" t="s">
        <v>30</v>
      </c>
      <c r="E2594" s="2" t="s">
        <v>44</v>
      </c>
      <c r="F2594" s="2" t="s">
        <v>45</v>
      </c>
      <c r="G2594" s="2" t="s">
        <v>33</v>
      </c>
      <c r="H2594" s="2" t="s">
        <v>46</v>
      </c>
      <c r="I2594" s="2" t="s">
        <v>24</v>
      </c>
      <c r="J2594" s="2" t="s">
        <v>1237</v>
      </c>
      <c r="K2594" s="2" t="s">
        <v>1188</v>
      </c>
      <c r="L2594">
        <v>2</v>
      </c>
      <c r="M2594" s="1">
        <v>1815000</v>
      </c>
      <c r="N2594">
        <v>3.2</v>
      </c>
      <c r="O2594">
        <v>40</v>
      </c>
      <c r="P2594" s="2" t="s">
        <v>53</v>
      </c>
    </row>
    <row r="2595" spans="1:16" x14ac:dyDescent="0.25">
      <c r="A2595" s="2" t="s">
        <v>8300</v>
      </c>
      <c r="B2595" s="2" t="s">
        <v>6103</v>
      </c>
      <c r="C2595" s="2" t="s">
        <v>18</v>
      </c>
      <c r="D2595" s="2" t="s">
        <v>79</v>
      </c>
      <c r="E2595" s="2" t="s">
        <v>20</v>
      </c>
      <c r="F2595" s="2" t="s">
        <v>128</v>
      </c>
      <c r="G2595" s="2" t="s">
        <v>80</v>
      </c>
      <c r="H2595" s="2" t="s">
        <v>23</v>
      </c>
      <c r="I2595" s="2" t="s">
        <v>24</v>
      </c>
      <c r="J2595" s="2" t="s">
        <v>4500</v>
      </c>
      <c r="K2595" s="2" t="s">
        <v>2402</v>
      </c>
      <c r="L2595">
        <v>3</v>
      </c>
      <c r="M2595" s="1">
        <v>366000</v>
      </c>
      <c r="N2595">
        <v>4.5999999999999996</v>
      </c>
      <c r="O2595">
        <v>5</v>
      </c>
      <c r="P2595" s="2" t="s">
        <v>26</v>
      </c>
    </row>
    <row r="2596" spans="1:16" x14ac:dyDescent="0.25">
      <c r="A2596" s="2" t="s">
        <v>8301</v>
      </c>
      <c r="B2596" s="2" t="s">
        <v>8302</v>
      </c>
      <c r="C2596" s="2" t="s">
        <v>18</v>
      </c>
      <c r="D2596" s="2" t="s">
        <v>19</v>
      </c>
      <c r="E2596" s="2" t="s">
        <v>31</v>
      </c>
      <c r="F2596" s="2" t="s">
        <v>39</v>
      </c>
      <c r="G2596" s="2" t="s">
        <v>22</v>
      </c>
      <c r="H2596" s="2" t="s">
        <v>23</v>
      </c>
      <c r="I2596" s="2" t="s">
        <v>171</v>
      </c>
      <c r="J2596" s="2" t="s">
        <v>5418</v>
      </c>
      <c r="K2596" s="2" t="s">
        <v>2402</v>
      </c>
      <c r="L2596">
        <v>6</v>
      </c>
      <c r="M2596" s="1">
        <v>157000</v>
      </c>
      <c r="N2596">
        <v>4.3</v>
      </c>
      <c r="O2596">
        <v>11</v>
      </c>
      <c r="P2596" s="2" t="s">
        <v>26</v>
      </c>
    </row>
    <row r="2597" spans="1:16" x14ac:dyDescent="0.25">
      <c r="A2597" s="2" t="s">
        <v>8305</v>
      </c>
      <c r="B2597" s="2" t="s">
        <v>7486</v>
      </c>
      <c r="C2597" s="2" t="s">
        <v>18</v>
      </c>
      <c r="D2597" s="2" t="s">
        <v>50</v>
      </c>
      <c r="E2597" s="2" t="s">
        <v>31</v>
      </c>
      <c r="F2597" s="2" t="s">
        <v>39</v>
      </c>
      <c r="G2597" s="2" t="s">
        <v>22</v>
      </c>
      <c r="H2597" s="2" t="s">
        <v>23</v>
      </c>
      <c r="I2597" s="2" t="s">
        <v>57</v>
      </c>
      <c r="J2597" s="2" t="s">
        <v>4381</v>
      </c>
      <c r="K2597" s="2" t="s">
        <v>2402</v>
      </c>
      <c r="L2597">
        <v>5</v>
      </c>
      <c r="M2597" s="1">
        <v>114000</v>
      </c>
      <c r="N2597">
        <v>3.4</v>
      </c>
      <c r="O2597">
        <v>13</v>
      </c>
      <c r="P2597" s="2" t="s">
        <v>26</v>
      </c>
    </row>
    <row r="2598" spans="1:16" x14ac:dyDescent="0.25">
      <c r="A2598" s="2" t="s">
        <v>8308</v>
      </c>
      <c r="B2598" s="2" t="s">
        <v>552</v>
      </c>
      <c r="C2598" s="2" t="s">
        <v>18</v>
      </c>
      <c r="D2598" s="2" t="s">
        <v>43</v>
      </c>
      <c r="E2598" s="2" t="s">
        <v>20</v>
      </c>
      <c r="F2598" s="2" t="s">
        <v>39</v>
      </c>
      <c r="G2598" s="2" t="s">
        <v>22</v>
      </c>
      <c r="H2598" s="2" t="s">
        <v>23</v>
      </c>
      <c r="I2598" s="2" t="s">
        <v>35</v>
      </c>
      <c r="J2598" s="2" t="s">
        <v>634</v>
      </c>
      <c r="K2598" s="2" t="s">
        <v>2402</v>
      </c>
      <c r="L2598">
        <v>6</v>
      </c>
      <c r="M2598" s="1">
        <v>85000</v>
      </c>
      <c r="N2598">
        <v>3.2</v>
      </c>
      <c r="O2598">
        <v>3</v>
      </c>
      <c r="P2598" s="2" t="s">
        <v>53</v>
      </c>
    </row>
    <row r="2599" spans="1:16" x14ac:dyDescent="0.25">
      <c r="A2599" s="2" t="s">
        <v>8310</v>
      </c>
      <c r="B2599" s="2" t="s">
        <v>6508</v>
      </c>
      <c r="C2599" s="2" t="s">
        <v>18</v>
      </c>
      <c r="D2599" s="2" t="s">
        <v>79</v>
      </c>
      <c r="E2599" s="2" t="s">
        <v>20</v>
      </c>
      <c r="F2599" s="2" t="s">
        <v>39</v>
      </c>
      <c r="G2599" s="2" t="s">
        <v>80</v>
      </c>
      <c r="H2599" s="2" t="s">
        <v>34</v>
      </c>
      <c r="I2599" s="2" t="s">
        <v>57</v>
      </c>
      <c r="J2599" s="2" t="s">
        <v>5155</v>
      </c>
      <c r="K2599" s="2" t="s">
        <v>1062</v>
      </c>
      <c r="L2599">
        <v>7</v>
      </c>
      <c r="M2599" s="1">
        <v>139000</v>
      </c>
      <c r="N2599">
        <v>3.2</v>
      </c>
      <c r="O2599">
        <v>14</v>
      </c>
      <c r="P2599" s="2" t="s">
        <v>26</v>
      </c>
    </row>
    <row r="2600" spans="1:16" x14ac:dyDescent="0.25">
      <c r="A2600" s="2" t="s">
        <v>8311</v>
      </c>
      <c r="B2600" s="2" t="s">
        <v>8312</v>
      </c>
      <c r="C2600" s="2" t="s">
        <v>29</v>
      </c>
      <c r="D2600" s="2" t="s">
        <v>50</v>
      </c>
      <c r="E2600" s="2" t="s">
        <v>20</v>
      </c>
      <c r="F2600" s="2" t="s">
        <v>39</v>
      </c>
      <c r="G2600" s="2" t="s">
        <v>33</v>
      </c>
      <c r="H2600" s="2" t="s">
        <v>34</v>
      </c>
      <c r="I2600" s="2" t="s">
        <v>75</v>
      </c>
      <c r="J2600" s="2" t="s">
        <v>5546</v>
      </c>
      <c r="K2600" s="2" t="s">
        <v>1062</v>
      </c>
      <c r="L2600">
        <v>5</v>
      </c>
      <c r="M2600" s="1">
        <v>177000</v>
      </c>
      <c r="N2600">
        <v>2.4</v>
      </c>
      <c r="O2600">
        <v>7</v>
      </c>
      <c r="P2600" s="2" t="s">
        <v>26</v>
      </c>
    </row>
    <row r="2601" spans="1:16" x14ac:dyDescent="0.25">
      <c r="A2601" s="2" t="s">
        <v>8313</v>
      </c>
      <c r="B2601" s="2" t="s">
        <v>8314</v>
      </c>
      <c r="C2601" s="2" t="s">
        <v>29</v>
      </c>
      <c r="D2601" s="2" t="s">
        <v>19</v>
      </c>
      <c r="E2601" s="2" t="s">
        <v>20</v>
      </c>
      <c r="F2601" s="2" t="s">
        <v>39</v>
      </c>
      <c r="G2601" s="2" t="s">
        <v>33</v>
      </c>
      <c r="H2601" s="2" t="s">
        <v>34</v>
      </c>
      <c r="I2601" s="2" t="s">
        <v>24</v>
      </c>
      <c r="J2601" s="2" t="s">
        <v>3033</v>
      </c>
      <c r="K2601" s="2" t="s">
        <v>1062</v>
      </c>
      <c r="L2601">
        <v>4</v>
      </c>
      <c r="M2601" s="1">
        <v>133000</v>
      </c>
      <c r="N2601">
        <v>2.9</v>
      </c>
      <c r="O2601">
        <v>10</v>
      </c>
      <c r="P2601" s="2" t="s">
        <v>26</v>
      </c>
    </row>
    <row r="2602" spans="1:16" x14ac:dyDescent="0.25">
      <c r="A2602" s="2" t="s">
        <v>8315</v>
      </c>
      <c r="B2602" s="2" t="s">
        <v>977</v>
      </c>
      <c r="C2602" s="2" t="s">
        <v>18</v>
      </c>
      <c r="D2602" s="2" t="s">
        <v>79</v>
      </c>
      <c r="E2602" s="2" t="s">
        <v>20</v>
      </c>
      <c r="F2602" s="2" t="s">
        <v>39</v>
      </c>
      <c r="G2602" s="2" t="s">
        <v>22</v>
      </c>
      <c r="H2602" s="2" t="s">
        <v>23</v>
      </c>
      <c r="I2602" s="2" t="s">
        <v>24</v>
      </c>
      <c r="J2602" s="2" t="s">
        <v>2091</v>
      </c>
      <c r="K2602" s="2" t="s">
        <v>1062</v>
      </c>
      <c r="L2602">
        <v>6</v>
      </c>
      <c r="M2602" s="1">
        <v>122000</v>
      </c>
      <c r="N2602">
        <v>3.9</v>
      </c>
      <c r="O2602">
        <v>13</v>
      </c>
      <c r="P2602" s="2" t="s">
        <v>26</v>
      </c>
    </row>
    <row r="2603" spans="1:16" x14ac:dyDescent="0.25">
      <c r="A2603" s="2" t="s">
        <v>8316</v>
      </c>
      <c r="B2603" s="2" t="s">
        <v>5221</v>
      </c>
      <c r="C2603" s="2" t="s">
        <v>18</v>
      </c>
      <c r="D2603" s="2" t="s">
        <v>30</v>
      </c>
      <c r="E2603" s="2" t="s">
        <v>44</v>
      </c>
      <c r="F2603" s="2" t="s">
        <v>128</v>
      </c>
      <c r="G2603" s="2" t="s">
        <v>80</v>
      </c>
      <c r="H2603" s="2" t="s">
        <v>34</v>
      </c>
      <c r="I2603" s="2" t="s">
        <v>35</v>
      </c>
      <c r="J2603" s="2" t="s">
        <v>4166</v>
      </c>
      <c r="K2603" s="2" t="s">
        <v>1062</v>
      </c>
      <c r="L2603">
        <v>6</v>
      </c>
      <c r="M2603" s="1">
        <v>515000</v>
      </c>
      <c r="N2603">
        <v>4.3</v>
      </c>
      <c r="O2603">
        <v>10</v>
      </c>
      <c r="P2603" s="2" t="s">
        <v>26</v>
      </c>
    </row>
    <row r="2604" spans="1:16" x14ac:dyDescent="0.25">
      <c r="A2604" s="2" t="s">
        <v>8317</v>
      </c>
      <c r="B2604" s="2" t="s">
        <v>877</v>
      </c>
      <c r="C2604" s="2" t="s">
        <v>29</v>
      </c>
      <c r="D2604" s="2" t="s">
        <v>30</v>
      </c>
      <c r="E2604" s="2" t="s">
        <v>31</v>
      </c>
      <c r="F2604" s="2" t="s">
        <v>45</v>
      </c>
      <c r="G2604" s="2" t="s">
        <v>22</v>
      </c>
      <c r="H2604" s="2" t="s">
        <v>46</v>
      </c>
      <c r="I2604" s="2" t="s">
        <v>171</v>
      </c>
      <c r="J2604" s="2" t="s">
        <v>1774</v>
      </c>
      <c r="K2604" s="2" t="s">
        <v>1062</v>
      </c>
      <c r="L2604">
        <v>7</v>
      </c>
      <c r="M2604" s="1">
        <v>1054000</v>
      </c>
      <c r="N2604">
        <v>3.4</v>
      </c>
      <c r="O2604">
        <v>8</v>
      </c>
      <c r="P2604" s="2" t="s">
        <v>53</v>
      </c>
    </row>
    <row r="2605" spans="1:16" x14ac:dyDescent="0.25">
      <c r="A2605" s="2" t="s">
        <v>8318</v>
      </c>
      <c r="B2605" s="2" t="s">
        <v>4408</v>
      </c>
      <c r="C2605" s="2" t="s">
        <v>18</v>
      </c>
      <c r="D2605" s="2" t="s">
        <v>30</v>
      </c>
      <c r="E2605" s="2" t="s">
        <v>44</v>
      </c>
      <c r="F2605" s="2" t="s">
        <v>21</v>
      </c>
      <c r="G2605" s="2" t="s">
        <v>33</v>
      </c>
      <c r="H2605" s="2" t="s">
        <v>46</v>
      </c>
      <c r="I2605" s="2" t="s">
        <v>24</v>
      </c>
      <c r="J2605" s="2" t="s">
        <v>3353</v>
      </c>
      <c r="K2605" s="2" t="s">
        <v>66</v>
      </c>
      <c r="L2605">
        <v>6</v>
      </c>
      <c r="M2605" s="1">
        <v>831000</v>
      </c>
      <c r="N2605">
        <v>4.5999999999999996</v>
      </c>
      <c r="O2605">
        <v>13</v>
      </c>
      <c r="P2605" s="2" t="s">
        <v>26</v>
      </c>
    </row>
    <row r="2606" spans="1:16" x14ac:dyDescent="0.25">
      <c r="A2606" s="2" t="s">
        <v>8319</v>
      </c>
      <c r="B2606" s="2" t="s">
        <v>660</v>
      </c>
      <c r="C2606" s="2" t="s">
        <v>29</v>
      </c>
      <c r="D2606" s="2" t="s">
        <v>50</v>
      </c>
      <c r="E2606" s="2" t="s">
        <v>44</v>
      </c>
      <c r="F2606" s="2" t="s">
        <v>39</v>
      </c>
      <c r="G2606" s="2" t="s">
        <v>22</v>
      </c>
      <c r="H2606" s="2" t="s">
        <v>62</v>
      </c>
      <c r="I2606" s="2" t="s">
        <v>75</v>
      </c>
      <c r="J2606" s="2" t="s">
        <v>1558</v>
      </c>
      <c r="K2606" s="2" t="s">
        <v>66</v>
      </c>
      <c r="L2606">
        <v>4</v>
      </c>
      <c r="M2606" s="1">
        <v>121000</v>
      </c>
      <c r="N2606">
        <v>4.8</v>
      </c>
      <c r="O2606">
        <v>3</v>
      </c>
      <c r="P2606" s="2" t="s">
        <v>26</v>
      </c>
    </row>
    <row r="2607" spans="1:16" x14ac:dyDescent="0.25">
      <c r="A2607" s="2" t="s">
        <v>8323</v>
      </c>
      <c r="B2607" s="2" t="s">
        <v>1050</v>
      </c>
      <c r="C2607" s="2" t="s">
        <v>29</v>
      </c>
      <c r="D2607" s="2" t="s">
        <v>30</v>
      </c>
      <c r="E2607" s="2" t="s">
        <v>20</v>
      </c>
      <c r="F2607" s="2" t="s">
        <v>39</v>
      </c>
      <c r="G2607" s="2" t="s">
        <v>22</v>
      </c>
      <c r="H2607" s="2" t="s">
        <v>23</v>
      </c>
      <c r="I2607" s="2" t="s">
        <v>24</v>
      </c>
      <c r="J2607" s="2" t="s">
        <v>6703</v>
      </c>
      <c r="K2607" s="2" t="s">
        <v>66</v>
      </c>
      <c r="L2607">
        <v>4</v>
      </c>
      <c r="M2607" s="1">
        <v>128000</v>
      </c>
      <c r="N2607">
        <v>2.2000000000000002</v>
      </c>
      <c r="O2607">
        <v>8</v>
      </c>
      <c r="P2607" s="2" t="s">
        <v>72</v>
      </c>
    </row>
    <row r="2608" spans="1:16" x14ac:dyDescent="0.25">
      <c r="A2608" s="2" t="s">
        <v>8324</v>
      </c>
      <c r="B2608" s="2" t="s">
        <v>8325</v>
      </c>
      <c r="C2608" s="2" t="s">
        <v>29</v>
      </c>
      <c r="D2608" s="2" t="s">
        <v>19</v>
      </c>
      <c r="E2608" s="2" t="s">
        <v>31</v>
      </c>
      <c r="F2608" s="2" t="s">
        <v>39</v>
      </c>
      <c r="G2608" s="2" t="s">
        <v>22</v>
      </c>
      <c r="H2608" s="2" t="s">
        <v>34</v>
      </c>
      <c r="I2608" s="2" t="s">
        <v>24</v>
      </c>
      <c r="J2608" s="2" t="s">
        <v>8132</v>
      </c>
      <c r="K2608" s="2" t="s">
        <v>4628</v>
      </c>
      <c r="L2608">
        <v>6</v>
      </c>
      <c r="M2608" s="1">
        <v>155000</v>
      </c>
      <c r="N2608">
        <v>2.6</v>
      </c>
      <c r="O2608">
        <v>13</v>
      </c>
      <c r="P2608" s="2" t="s">
        <v>26</v>
      </c>
    </row>
    <row r="2609" spans="1:16" x14ac:dyDescent="0.25">
      <c r="A2609" s="2" t="s">
        <v>8326</v>
      </c>
      <c r="B2609" s="2" t="s">
        <v>4949</v>
      </c>
      <c r="C2609" s="2" t="s">
        <v>29</v>
      </c>
      <c r="D2609" s="2" t="s">
        <v>30</v>
      </c>
      <c r="E2609" s="2" t="s">
        <v>20</v>
      </c>
      <c r="F2609" s="2" t="s">
        <v>128</v>
      </c>
      <c r="G2609" s="2" t="s">
        <v>80</v>
      </c>
      <c r="H2609" s="2" t="s">
        <v>23</v>
      </c>
      <c r="I2609" s="2" t="s">
        <v>24</v>
      </c>
      <c r="J2609" s="2" t="s">
        <v>2831</v>
      </c>
      <c r="K2609" s="2" t="s">
        <v>4628</v>
      </c>
      <c r="L2609">
        <v>3</v>
      </c>
      <c r="M2609" s="1">
        <v>466000</v>
      </c>
      <c r="N2609">
        <v>4.7</v>
      </c>
      <c r="O2609">
        <v>10</v>
      </c>
      <c r="P2609" s="2" t="s">
        <v>53</v>
      </c>
    </row>
    <row r="2610" spans="1:16" x14ac:dyDescent="0.25">
      <c r="A2610" s="2" t="s">
        <v>8327</v>
      </c>
      <c r="B2610" s="2" t="s">
        <v>4451</v>
      </c>
      <c r="C2610" s="2" t="s">
        <v>18</v>
      </c>
      <c r="D2610" s="2" t="s">
        <v>19</v>
      </c>
      <c r="E2610" s="2" t="s">
        <v>20</v>
      </c>
      <c r="F2610" s="2" t="s">
        <v>32</v>
      </c>
      <c r="G2610" s="2" t="s">
        <v>80</v>
      </c>
      <c r="H2610" s="2" t="s">
        <v>46</v>
      </c>
      <c r="I2610" s="2" t="s">
        <v>75</v>
      </c>
      <c r="J2610" s="2" t="s">
        <v>2285</v>
      </c>
      <c r="K2610" s="2" t="s">
        <v>2287</v>
      </c>
      <c r="L2610">
        <v>2</v>
      </c>
      <c r="M2610" s="1">
        <v>246000</v>
      </c>
      <c r="N2610">
        <v>4.4000000000000004</v>
      </c>
      <c r="O2610">
        <v>2</v>
      </c>
      <c r="P2610" s="2" t="s">
        <v>26</v>
      </c>
    </row>
    <row r="2611" spans="1:16" x14ac:dyDescent="0.25">
      <c r="A2611" s="2" t="s">
        <v>8329</v>
      </c>
      <c r="B2611" s="2" t="s">
        <v>492</v>
      </c>
      <c r="C2611" s="2" t="s">
        <v>18</v>
      </c>
      <c r="D2611" s="2" t="s">
        <v>50</v>
      </c>
      <c r="E2611" s="2" t="s">
        <v>44</v>
      </c>
      <c r="F2611" s="2" t="s">
        <v>128</v>
      </c>
      <c r="G2611" s="2" t="s">
        <v>22</v>
      </c>
      <c r="H2611" s="2" t="s">
        <v>46</v>
      </c>
      <c r="I2611" s="2" t="s">
        <v>35</v>
      </c>
      <c r="J2611" s="2" t="s">
        <v>7506</v>
      </c>
      <c r="K2611" s="2" t="s">
        <v>2287</v>
      </c>
      <c r="L2611">
        <v>2</v>
      </c>
      <c r="M2611" s="1">
        <v>453000</v>
      </c>
      <c r="N2611">
        <v>2.2999999999999998</v>
      </c>
      <c r="O2611">
        <v>12</v>
      </c>
      <c r="P2611" s="2" t="s">
        <v>26</v>
      </c>
    </row>
    <row r="2612" spans="1:16" x14ac:dyDescent="0.25">
      <c r="A2612" s="2" t="s">
        <v>8331</v>
      </c>
      <c r="B2612" s="2" t="s">
        <v>6856</v>
      </c>
      <c r="C2612" s="2" t="s">
        <v>29</v>
      </c>
      <c r="D2612" s="2" t="s">
        <v>50</v>
      </c>
      <c r="E2612" s="2" t="s">
        <v>20</v>
      </c>
      <c r="F2612" s="2" t="s">
        <v>32</v>
      </c>
      <c r="G2612" s="2" t="s">
        <v>22</v>
      </c>
      <c r="H2612" s="2" t="s">
        <v>23</v>
      </c>
      <c r="I2612" s="2" t="s">
        <v>24</v>
      </c>
      <c r="J2612" s="2" t="s">
        <v>3256</v>
      </c>
      <c r="K2612" s="2" t="s">
        <v>2287</v>
      </c>
      <c r="L2612">
        <v>3</v>
      </c>
      <c r="M2612" s="1">
        <v>273000</v>
      </c>
      <c r="N2612">
        <v>3.3</v>
      </c>
      <c r="O2612">
        <v>9</v>
      </c>
      <c r="P2612" s="2" t="s">
        <v>26</v>
      </c>
    </row>
    <row r="2613" spans="1:16" x14ac:dyDescent="0.25">
      <c r="A2613" s="2" t="s">
        <v>8332</v>
      </c>
      <c r="B2613" s="2" t="s">
        <v>2357</v>
      </c>
      <c r="C2613" s="2" t="s">
        <v>29</v>
      </c>
      <c r="D2613" s="2" t="s">
        <v>79</v>
      </c>
      <c r="E2613" s="2" t="s">
        <v>44</v>
      </c>
      <c r="F2613" s="2" t="s">
        <v>39</v>
      </c>
      <c r="G2613" s="2" t="s">
        <v>80</v>
      </c>
      <c r="H2613" s="2" t="s">
        <v>46</v>
      </c>
      <c r="I2613" s="2" t="s">
        <v>75</v>
      </c>
      <c r="J2613" s="2" t="s">
        <v>4540</v>
      </c>
      <c r="K2613" s="2" t="s">
        <v>2287</v>
      </c>
      <c r="L2613">
        <v>5</v>
      </c>
      <c r="M2613" s="1">
        <v>164000</v>
      </c>
      <c r="N2613">
        <v>3.8</v>
      </c>
      <c r="O2613">
        <v>17</v>
      </c>
      <c r="P2613" s="2" t="s">
        <v>114</v>
      </c>
    </row>
    <row r="2614" spans="1:16" x14ac:dyDescent="0.25">
      <c r="A2614" s="2" t="s">
        <v>8333</v>
      </c>
      <c r="B2614" s="2" t="s">
        <v>6641</v>
      </c>
      <c r="C2614" s="2" t="s">
        <v>18</v>
      </c>
      <c r="D2614" s="2" t="s">
        <v>79</v>
      </c>
      <c r="E2614" s="2" t="s">
        <v>20</v>
      </c>
      <c r="F2614" s="2" t="s">
        <v>32</v>
      </c>
      <c r="G2614" s="2" t="s">
        <v>33</v>
      </c>
      <c r="H2614" s="2" t="s">
        <v>34</v>
      </c>
      <c r="I2614" s="2" t="s">
        <v>24</v>
      </c>
      <c r="J2614" s="2" t="s">
        <v>4425</v>
      </c>
      <c r="K2614" s="2" t="s">
        <v>2430</v>
      </c>
      <c r="L2614">
        <v>3</v>
      </c>
      <c r="M2614" s="1">
        <v>319000</v>
      </c>
      <c r="N2614">
        <v>4.2</v>
      </c>
      <c r="O2614">
        <v>26</v>
      </c>
      <c r="P2614" s="2" t="s">
        <v>26</v>
      </c>
    </row>
    <row r="2615" spans="1:16" x14ac:dyDescent="0.25">
      <c r="A2615" s="2" t="s">
        <v>8336</v>
      </c>
      <c r="B2615" s="2" t="s">
        <v>8337</v>
      </c>
      <c r="C2615" s="2" t="s">
        <v>29</v>
      </c>
      <c r="D2615" s="2" t="s">
        <v>50</v>
      </c>
      <c r="E2615" s="2" t="s">
        <v>20</v>
      </c>
      <c r="F2615" s="2" t="s">
        <v>32</v>
      </c>
      <c r="G2615" s="2" t="s">
        <v>80</v>
      </c>
      <c r="H2615" s="2" t="s">
        <v>23</v>
      </c>
      <c r="I2615" s="2" t="s">
        <v>57</v>
      </c>
      <c r="J2615" s="2" t="s">
        <v>878</v>
      </c>
      <c r="K2615" s="2" t="s">
        <v>2430</v>
      </c>
      <c r="L2615">
        <v>2</v>
      </c>
      <c r="M2615" s="1">
        <v>315000</v>
      </c>
      <c r="N2615">
        <v>2.5</v>
      </c>
      <c r="O2615">
        <v>0</v>
      </c>
      <c r="P2615" s="2" t="s">
        <v>26</v>
      </c>
    </row>
    <row r="2616" spans="1:16" x14ac:dyDescent="0.25">
      <c r="A2616" s="2" t="s">
        <v>8338</v>
      </c>
      <c r="B2616" s="2" t="s">
        <v>6278</v>
      </c>
      <c r="C2616" s="2" t="s">
        <v>29</v>
      </c>
      <c r="D2616" s="2" t="s">
        <v>43</v>
      </c>
      <c r="E2616" s="2" t="s">
        <v>20</v>
      </c>
      <c r="F2616" s="2" t="s">
        <v>32</v>
      </c>
      <c r="G2616" s="2" t="s">
        <v>22</v>
      </c>
      <c r="H2616" s="2" t="s">
        <v>34</v>
      </c>
      <c r="I2616" s="2" t="s">
        <v>57</v>
      </c>
      <c r="J2616" s="2" t="s">
        <v>8067</v>
      </c>
      <c r="K2616" s="2" t="s">
        <v>2430</v>
      </c>
      <c r="L2616">
        <v>5</v>
      </c>
      <c r="M2616" s="1">
        <v>207000</v>
      </c>
      <c r="N2616">
        <v>2.1</v>
      </c>
      <c r="O2616">
        <v>11</v>
      </c>
      <c r="P2616" s="2" t="s">
        <v>53</v>
      </c>
    </row>
    <row r="2617" spans="1:16" x14ac:dyDescent="0.25">
      <c r="A2617" s="2" t="s">
        <v>8339</v>
      </c>
      <c r="B2617" s="2" t="s">
        <v>1802</v>
      </c>
      <c r="C2617" s="2" t="s">
        <v>18</v>
      </c>
      <c r="D2617" s="2" t="s">
        <v>50</v>
      </c>
      <c r="E2617" s="2" t="s">
        <v>20</v>
      </c>
      <c r="F2617" s="2" t="s">
        <v>39</v>
      </c>
      <c r="G2617" s="2" t="s">
        <v>22</v>
      </c>
      <c r="H2617" s="2" t="s">
        <v>23</v>
      </c>
      <c r="I2617" s="2" t="s">
        <v>57</v>
      </c>
      <c r="J2617" s="2" t="s">
        <v>5927</v>
      </c>
      <c r="K2617" s="2" t="s">
        <v>1646</v>
      </c>
      <c r="L2617">
        <v>6</v>
      </c>
      <c r="M2617" s="1">
        <v>117000</v>
      </c>
      <c r="N2617">
        <v>3.5</v>
      </c>
      <c r="O2617">
        <v>4</v>
      </c>
      <c r="P2617" s="2" t="s">
        <v>53</v>
      </c>
    </row>
    <row r="2618" spans="1:16" x14ac:dyDescent="0.25">
      <c r="A2618" s="2" t="s">
        <v>8342</v>
      </c>
      <c r="B2618" s="2" t="s">
        <v>3203</v>
      </c>
      <c r="C2618" s="2" t="s">
        <v>18</v>
      </c>
      <c r="D2618" s="2" t="s">
        <v>43</v>
      </c>
      <c r="E2618" s="2" t="s">
        <v>20</v>
      </c>
      <c r="F2618" s="2" t="s">
        <v>32</v>
      </c>
      <c r="G2618" s="2" t="s">
        <v>22</v>
      </c>
      <c r="H2618" s="2" t="s">
        <v>23</v>
      </c>
      <c r="I2618" s="2" t="s">
        <v>35</v>
      </c>
      <c r="J2618" s="2" t="s">
        <v>7674</v>
      </c>
      <c r="K2618" s="2" t="s">
        <v>4740</v>
      </c>
      <c r="L2618">
        <v>4</v>
      </c>
      <c r="M2618" s="1">
        <v>196000</v>
      </c>
      <c r="N2618">
        <v>4.5</v>
      </c>
      <c r="O2618">
        <v>31</v>
      </c>
      <c r="P2618" s="2" t="s">
        <v>26</v>
      </c>
    </row>
    <row r="2619" spans="1:16" x14ac:dyDescent="0.25">
      <c r="A2619" s="2" t="s">
        <v>8343</v>
      </c>
      <c r="B2619" s="2" t="s">
        <v>725</v>
      </c>
      <c r="C2619" s="2" t="s">
        <v>29</v>
      </c>
      <c r="D2619" s="2" t="s">
        <v>19</v>
      </c>
      <c r="E2619" s="2" t="s">
        <v>20</v>
      </c>
      <c r="F2619" s="2" t="s">
        <v>39</v>
      </c>
      <c r="G2619" s="2" t="s">
        <v>33</v>
      </c>
      <c r="H2619" s="2" t="s">
        <v>23</v>
      </c>
      <c r="I2619" s="2" t="s">
        <v>57</v>
      </c>
      <c r="J2619" s="2" t="s">
        <v>3036</v>
      </c>
      <c r="K2619" s="2" t="s">
        <v>4740</v>
      </c>
      <c r="L2619">
        <v>6</v>
      </c>
      <c r="M2619" s="1">
        <v>135000</v>
      </c>
      <c r="N2619">
        <v>4.0999999999999996</v>
      </c>
      <c r="O2619">
        <v>2</v>
      </c>
      <c r="P2619" s="2" t="s">
        <v>72</v>
      </c>
    </row>
    <row r="2620" spans="1:16" x14ac:dyDescent="0.25">
      <c r="A2620" s="2" t="s">
        <v>8345</v>
      </c>
      <c r="B2620" s="2" t="s">
        <v>1490</v>
      </c>
      <c r="C2620" s="2" t="s">
        <v>29</v>
      </c>
      <c r="D2620" s="2" t="s">
        <v>43</v>
      </c>
      <c r="E2620" s="2" t="s">
        <v>20</v>
      </c>
      <c r="F2620" s="2" t="s">
        <v>32</v>
      </c>
      <c r="G2620" s="2" t="s">
        <v>22</v>
      </c>
      <c r="H2620" s="2" t="s">
        <v>23</v>
      </c>
      <c r="I2620" s="2" t="s">
        <v>35</v>
      </c>
      <c r="J2620" s="2" t="s">
        <v>4249</v>
      </c>
      <c r="K2620" s="2" t="s">
        <v>575</v>
      </c>
      <c r="L2620">
        <v>6</v>
      </c>
      <c r="M2620" s="1">
        <v>225000</v>
      </c>
      <c r="N2620">
        <v>3.3</v>
      </c>
      <c r="O2620">
        <v>3</v>
      </c>
      <c r="P2620" s="2" t="s">
        <v>72</v>
      </c>
    </row>
    <row r="2621" spans="1:16" x14ac:dyDescent="0.25">
      <c r="A2621" s="2" t="s">
        <v>8348</v>
      </c>
      <c r="B2621" s="2" t="s">
        <v>7905</v>
      </c>
      <c r="C2621" s="2" t="s">
        <v>29</v>
      </c>
      <c r="D2621" s="2" t="s">
        <v>50</v>
      </c>
      <c r="E2621" s="2" t="s">
        <v>20</v>
      </c>
      <c r="F2621" s="2" t="s">
        <v>32</v>
      </c>
      <c r="G2621" s="2" t="s">
        <v>22</v>
      </c>
      <c r="H2621" s="2" t="s">
        <v>46</v>
      </c>
      <c r="I2621" s="2" t="s">
        <v>171</v>
      </c>
      <c r="J2621" s="2" t="s">
        <v>148</v>
      </c>
      <c r="K2621" s="2" t="s">
        <v>4812</v>
      </c>
      <c r="L2621">
        <v>6</v>
      </c>
      <c r="M2621" s="1">
        <v>272000</v>
      </c>
      <c r="N2621">
        <v>3.4</v>
      </c>
      <c r="O2621">
        <v>12</v>
      </c>
      <c r="P2621" s="2" t="s">
        <v>26</v>
      </c>
    </row>
    <row r="2622" spans="1:16" x14ac:dyDescent="0.25">
      <c r="A2622" s="2" t="s">
        <v>8349</v>
      </c>
      <c r="B2622" s="2" t="s">
        <v>4394</v>
      </c>
      <c r="C2622" s="2" t="s">
        <v>18</v>
      </c>
      <c r="D2622" s="2" t="s">
        <v>19</v>
      </c>
      <c r="E2622" s="2" t="s">
        <v>31</v>
      </c>
      <c r="F2622" s="2" t="s">
        <v>32</v>
      </c>
      <c r="G2622" s="2" t="s">
        <v>22</v>
      </c>
      <c r="H2622" s="2" t="s">
        <v>23</v>
      </c>
      <c r="I2622" s="2" t="s">
        <v>35</v>
      </c>
      <c r="J2622" s="2" t="s">
        <v>5483</v>
      </c>
      <c r="K2622" s="2" t="s">
        <v>4812</v>
      </c>
      <c r="L2622">
        <v>2</v>
      </c>
      <c r="M2622" s="1">
        <v>385000</v>
      </c>
      <c r="N2622">
        <v>4.3</v>
      </c>
      <c r="O2622">
        <v>12</v>
      </c>
      <c r="P2622" s="2" t="s">
        <v>72</v>
      </c>
    </row>
    <row r="2623" spans="1:16" x14ac:dyDescent="0.25">
      <c r="A2623" s="2" t="s">
        <v>8350</v>
      </c>
      <c r="B2623" s="2" t="s">
        <v>829</v>
      </c>
      <c r="C2623" s="2" t="s">
        <v>29</v>
      </c>
      <c r="D2623" s="2" t="s">
        <v>43</v>
      </c>
      <c r="E2623" s="2" t="s">
        <v>20</v>
      </c>
      <c r="F2623" s="2" t="s">
        <v>128</v>
      </c>
      <c r="G2623" s="2" t="s">
        <v>33</v>
      </c>
      <c r="H2623" s="2" t="s">
        <v>46</v>
      </c>
      <c r="I2623" s="2" t="s">
        <v>24</v>
      </c>
      <c r="J2623" s="2" t="s">
        <v>1025</v>
      </c>
      <c r="K2623" s="2" t="s">
        <v>5441</v>
      </c>
      <c r="L2623">
        <v>5</v>
      </c>
      <c r="M2623" s="1">
        <v>400000</v>
      </c>
      <c r="N2623">
        <v>3.8</v>
      </c>
      <c r="O2623">
        <v>12</v>
      </c>
      <c r="P2623" s="2" t="s">
        <v>26</v>
      </c>
    </row>
    <row r="2624" spans="1:16" x14ac:dyDescent="0.25">
      <c r="A2624" s="2" t="s">
        <v>8351</v>
      </c>
      <c r="B2624" s="2" t="s">
        <v>2936</v>
      </c>
      <c r="C2624" s="2" t="s">
        <v>29</v>
      </c>
      <c r="D2624" s="2" t="s">
        <v>30</v>
      </c>
      <c r="E2624" s="2" t="s">
        <v>20</v>
      </c>
      <c r="F2624" s="2" t="s">
        <v>39</v>
      </c>
      <c r="G2624" s="2" t="s">
        <v>80</v>
      </c>
      <c r="H2624" s="2" t="s">
        <v>46</v>
      </c>
      <c r="I2624" s="2" t="s">
        <v>24</v>
      </c>
      <c r="J2624" s="2" t="s">
        <v>5134</v>
      </c>
      <c r="K2624" s="2" t="s">
        <v>5441</v>
      </c>
      <c r="L2624">
        <v>3</v>
      </c>
      <c r="M2624" s="1">
        <v>128000</v>
      </c>
      <c r="N2624">
        <v>3.1</v>
      </c>
      <c r="O2624">
        <v>9</v>
      </c>
      <c r="P2624" s="2" t="s">
        <v>53</v>
      </c>
    </row>
    <row r="2625" spans="1:16" x14ac:dyDescent="0.25">
      <c r="A2625" s="2" t="s">
        <v>8354</v>
      </c>
      <c r="B2625" s="2" t="s">
        <v>2188</v>
      </c>
      <c r="C2625" s="2" t="s">
        <v>29</v>
      </c>
      <c r="D2625" s="2" t="s">
        <v>50</v>
      </c>
      <c r="E2625" s="2" t="s">
        <v>20</v>
      </c>
      <c r="F2625" s="2" t="s">
        <v>39</v>
      </c>
      <c r="G2625" s="2" t="s">
        <v>80</v>
      </c>
      <c r="H2625" s="2" t="s">
        <v>34</v>
      </c>
      <c r="I2625" s="2" t="s">
        <v>57</v>
      </c>
      <c r="J2625" s="2" t="s">
        <v>1353</v>
      </c>
      <c r="K2625" s="2" t="s">
        <v>327</v>
      </c>
      <c r="L2625">
        <v>4</v>
      </c>
      <c r="M2625" s="1">
        <v>148000</v>
      </c>
      <c r="N2625">
        <v>2.2000000000000002</v>
      </c>
      <c r="O2625">
        <v>0</v>
      </c>
      <c r="P2625" s="2" t="s">
        <v>26</v>
      </c>
    </row>
    <row r="2626" spans="1:16" x14ac:dyDescent="0.25">
      <c r="A2626" s="2" t="s">
        <v>8355</v>
      </c>
      <c r="B2626" s="2" t="s">
        <v>574</v>
      </c>
      <c r="C2626" s="2" t="s">
        <v>29</v>
      </c>
      <c r="D2626" s="2" t="s">
        <v>79</v>
      </c>
      <c r="E2626" s="2" t="s">
        <v>20</v>
      </c>
      <c r="F2626" s="2" t="s">
        <v>21</v>
      </c>
      <c r="G2626" s="2" t="s">
        <v>80</v>
      </c>
      <c r="H2626" s="2" t="s">
        <v>34</v>
      </c>
      <c r="I2626" s="2" t="s">
        <v>75</v>
      </c>
      <c r="J2626" s="2" t="s">
        <v>981</v>
      </c>
      <c r="K2626" s="2" t="s">
        <v>327</v>
      </c>
      <c r="L2626">
        <v>5</v>
      </c>
      <c r="M2626" s="1">
        <v>752000</v>
      </c>
      <c r="N2626">
        <v>3.7</v>
      </c>
      <c r="O2626">
        <v>7</v>
      </c>
      <c r="P2626" s="2" t="s">
        <v>26</v>
      </c>
    </row>
    <row r="2627" spans="1:16" x14ac:dyDescent="0.25">
      <c r="A2627" s="2" t="s">
        <v>8356</v>
      </c>
      <c r="B2627" s="2" t="s">
        <v>8357</v>
      </c>
      <c r="C2627" s="2" t="s">
        <v>18</v>
      </c>
      <c r="D2627" s="2" t="s">
        <v>79</v>
      </c>
      <c r="E2627" s="2" t="s">
        <v>20</v>
      </c>
      <c r="F2627" s="2" t="s">
        <v>128</v>
      </c>
      <c r="G2627" s="2" t="s">
        <v>80</v>
      </c>
      <c r="H2627" s="2" t="s">
        <v>23</v>
      </c>
      <c r="I2627" s="2" t="s">
        <v>75</v>
      </c>
      <c r="J2627" s="2" t="s">
        <v>4324</v>
      </c>
      <c r="K2627" s="2" t="s">
        <v>327</v>
      </c>
      <c r="L2627">
        <v>3</v>
      </c>
      <c r="M2627" s="1">
        <v>556000</v>
      </c>
      <c r="N2627">
        <v>2.6</v>
      </c>
      <c r="O2627">
        <v>9</v>
      </c>
      <c r="P2627" s="2" t="s">
        <v>26</v>
      </c>
    </row>
    <row r="2628" spans="1:16" x14ac:dyDescent="0.25">
      <c r="A2628" s="2" t="s">
        <v>8367</v>
      </c>
      <c r="B2628" s="2" t="s">
        <v>8094</v>
      </c>
      <c r="C2628" s="2" t="s">
        <v>18</v>
      </c>
      <c r="D2628" s="2" t="s">
        <v>50</v>
      </c>
      <c r="E2628" s="2" t="s">
        <v>44</v>
      </c>
      <c r="F2628" s="2" t="s">
        <v>39</v>
      </c>
      <c r="G2628" s="2" t="s">
        <v>80</v>
      </c>
      <c r="H2628" s="2" t="s">
        <v>34</v>
      </c>
      <c r="I2628" s="2" t="s">
        <v>35</v>
      </c>
      <c r="J2628" s="2" t="s">
        <v>1112</v>
      </c>
      <c r="K2628" s="2" t="s">
        <v>327</v>
      </c>
      <c r="L2628">
        <v>3</v>
      </c>
      <c r="M2628" s="1">
        <v>159000</v>
      </c>
      <c r="N2628">
        <v>2.2999999999999998</v>
      </c>
      <c r="O2628">
        <v>2</v>
      </c>
      <c r="P2628" s="2" t="s">
        <v>26</v>
      </c>
    </row>
    <row r="2629" spans="1:16" x14ac:dyDescent="0.25">
      <c r="A2629" s="2" t="s">
        <v>8368</v>
      </c>
      <c r="B2629" s="2" t="s">
        <v>2976</v>
      </c>
      <c r="C2629" s="2" t="s">
        <v>18</v>
      </c>
      <c r="D2629" s="2" t="s">
        <v>30</v>
      </c>
      <c r="E2629" s="2" t="s">
        <v>44</v>
      </c>
      <c r="F2629" s="2" t="s">
        <v>128</v>
      </c>
      <c r="G2629" s="2" t="s">
        <v>80</v>
      </c>
      <c r="H2629" s="2" t="s">
        <v>23</v>
      </c>
      <c r="I2629" s="2" t="s">
        <v>24</v>
      </c>
      <c r="J2629" s="2" t="s">
        <v>1759</v>
      </c>
      <c r="K2629" s="2" t="s">
        <v>327</v>
      </c>
      <c r="L2629">
        <v>6</v>
      </c>
      <c r="M2629" s="1">
        <v>507000</v>
      </c>
      <c r="N2629">
        <v>4.4000000000000004</v>
      </c>
      <c r="O2629">
        <v>5</v>
      </c>
      <c r="P2629" s="2" t="s">
        <v>53</v>
      </c>
    </row>
    <row r="2630" spans="1:16" x14ac:dyDescent="0.25">
      <c r="A2630" s="2" t="s">
        <v>8369</v>
      </c>
      <c r="B2630" s="2" t="s">
        <v>8370</v>
      </c>
      <c r="C2630" s="2" t="s">
        <v>18</v>
      </c>
      <c r="D2630" s="2" t="s">
        <v>30</v>
      </c>
      <c r="E2630" s="2" t="s">
        <v>20</v>
      </c>
      <c r="F2630" s="2" t="s">
        <v>32</v>
      </c>
      <c r="G2630" s="2" t="s">
        <v>33</v>
      </c>
      <c r="H2630" s="2" t="s">
        <v>46</v>
      </c>
      <c r="I2630" s="2" t="s">
        <v>24</v>
      </c>
      <c r="J2630" s="2" t="s">
        <v>6929</v>
      </c>
      <c r="K2630" s="2" t="s">
        <v>8371</v>
      </c>
      <c r="L2630">
        <v>4</v>
      </c>
      <c r="M2630" s="1">
        <v>278000</v>
      </c>
      <c r="N2630">
        <v>3.9</v>
      </c>
      <c r="O2630">
        <v>9</v>
      </c>
      <c r="P2630" s="2" t="s">
        <v>53</v>
      </c>
    </row>
    <row r="2631" spans="1:16" x14ac:dyDescent="0.25">
      <c r="A2631" s="2" t="s">
        <v>8374</v>
      </c>
      <c r="B2631" s="2" t="s">
        <v>8375</v>
      </c>
      <c r="C2631" s="2" t="s">
        <v>29</v>
      </c>
      <c r="D2631" s="2" t="s">
        <v>43</v>
      </c>
      <c r="E2631" s="2" t="s">
        <v>20</v>
      </c>
      <c r="F2631" s="2" t="s">
        <v>128</v>
      </c>
      <c r="G2631" s="2" t="s">
        <v>22</v>
      </c>
      <c r="H2631" s="2" t="s">
        <v>46</v>
      </c>
      <c r="I2631" s="2" t="s">
        <v>171</v>
      </c>
      <c r="J2631" s="2" t="s">
        <v>6399</v>
      </c>
      <c r="K2631" s="2" t="s">
        <v>5937</v>
      </c>
      <c r="L2631">
        <v>3</v>
      </c>
      <c r="M2631" s="1">
        <v>350000</v>
      </c>
      <c r="N2631">
        <v>4.2</v>
      </c>
      <c r="O2631">
        <v>9</v>
      </c>
      <c r="P2631" s="2" t="s">
        <v>26</v>
      </c>
    </row>
    <row r="2632" spans="1:16" x14ac:dyDescent="0.25">
      <c r="A2632" s="2" t="s">
        <v>8376</v>
      </c>
      <c r="B2632" s="2" t="s">
        <v>4674</v>
      </c>
      <c r="C2632" s="2" t="s">
        <v>18</v>
      </c>
      <c r="D2632" s="2" t="s">
        <v>79</v>
      </c>
      <c r="E2632" s="2" t="s">
        <v>44</v>
      </c>
      <c r="F2632" s="2" t="s">
        <v>32</v>
      </c>
      <c r="G2632" s="2" t="s">
        <v>33</v>
      </c>
      <c r="H2632" s="2" t="s">
        <v>46</v>
      </c>
      <c r="I2632" s="2" t="s">
        <v>35</v>
      </c>
      <c r="J2632" s="2" t="s">
        <v>6655</v>
      </c>
      <c r="K2632" s="2" t="s">
        <v>5937</v>
      </c>
      <c r="L2632">
        <v>5</v>
      </c>
      <c r="M2632" s="1">
        <v>312000</v>
      </c>
      <c r="N2632">
        <v>4.5</v>
      </c>
      <c r="O2632">
        <v>13</v>
      </c>
      <c r="P2632" s="2" t="s">
        <v>53</v>
      </c>
    </row>
    <row r="2633" spans="1:16" x14ac:dyDescent="0.25">
      <c r="A2633" s="2" t="s">
        <v>8377</v>
      </c>
      <c r="B2633" s="2" t="s">
        <v>2148</v>
      </c>
      <c r="C2633" s="2" t="s">
        <v>18</v>
      </c>
      <c r="D2633" s="2" t="s">
        <v>19</v>
      </c>
      <c r="E2633" s="2" t="s">
        <v>20</v>
      </c>
      <c r="F2633" s="2" t="s">
        <v>32</v>
      </c>
      <c r="G2633" s="2" t="s">
        <v>69</v>
      </c>
      <c r="H2633" s="2" t="s">
        <v>46</v>
      </c>
      <c r="I2633" s="2" t="s">
        <v>24</v>
      </c>
      <c r="J2633" s="2" t="s">
        <v>628</v>
      </c>
      <c r="K2633" s="2" t="s">
        <v>8384</v>
      </c>
      <c r="L2633">
        <v>3</v>
      </c>
      <c r="M2633" s="1">
        <v>293000</v>
      </c>
      <c r="N2633">
        <v>4.5999999999999996</v>
      </c>
      <c r="O2633">
        <v>3</v>
      </c>
      <c r="P2633" s="2" t="s">
        <v>26</v>
      </c>
    </row>
    <row r="2634" spans="1:16" x14ac:dyDescent="0.25">
      <c r="A2634" s="2" t="s">
        <v>8378</v>
      </c>
      <c r="B2634" s="2" t="s">
        <v>8379</v>
      </c>
      <c r="C2634" s="2" t="s">
        <v>18</v>
      </c>
      <c r="D2634" s="2" t="s">
        <v>19</v>
      </c>
      <c r="E2634" s="2" t="s">
        <v>31</v>
      </c>
      <c r="F2634" s="2" t="s">
        <v>32</v>
      </c>
      <c r="G2634" s="2" t="s">
        <v>80</v>
      </c>
      <c r="H2634" s="2" t="s">
        <v>46</v>
      </c>
      <c r="I2634" s="2" t="s">
        <v>24</v>
      </c>
      <c r="J2634" s="2" t="s">
        <v>1106</v>
      </c>
      <c r="K2634" s="2" t="s">
        <v>8384</v>
      </c>
      <c r="L2634">
        <v>5</v>
      </c>
      <c r="M2634" s="1">
        <v>232000</v>
      </c>
      <c r="N2634">
        <v>3.6</v>
      </c>
      <c r="O2634">
        <v>8</v>
      </c>
      <c r="P2634" s="2" t="s">
        <v>26</v>
      </c>
    </row>
    <row r="2635" spans="1:16" x14ac:dyDescent="0.25">
      <c r="A2635" s="2" t="s">
        <v>8383</v>
      </c>
      <c r="B2635" s="2" t="s">
        <v>4197</v>
      </c>
      <c r="C2635" s="2" t="s">
        <v>29</v>
      </c>
      <c r="D2635" s="2" t="s">
        <v>50</v>
      </c>
      <c r="E2635" s="2" t="s">
        <v>20</v>
      </c>
      <c r="F2635" s="2" t="s">
        <v>128</v>
      </c>
      <c r="G2635" s="2" t="s">
        <v>80</v>
      </c>
      <c r="H2635" s="2" t="s">
        <v>23</v>
      </c>
      <c r="I2635" s="2" t="s">
        <v>57</v>
      </c>
      <c r="J2635" s="2" t="s">
        <v>748</v>
      </c>
      <c r="K2635" s="2" t="s">
        <v>8384</v>
      </c>
      <c r="L2635">
        <v>5</v>
      </c>
      <c r="M2635" s="1">
        <v>502000</v>
      </c>
      <c r="N2635">
        <v>2.1</v>
      </c>
      <c r="O2635">
        <v>12</v>
      </c>
      <c r="P2635" s="2" t="s">
        <v>72</v>
      </c>
    </row>
    <row r="2636" spans="1:16" x14ac:dyDescent="0.25">
      <c r="A2636" s="2" t="s">
        <v>8385</v>
      </c>
      <c r="B2636" s="2" t="s">
        <v>7601</v>
      </c>
      <c r="C2636" s="2" t="s">
        <v>18</v>
      </c>
      <c r="D2636" s="2" t="s">
        <v>30</v>
      </c>
      <c r="E2636" s="2" t="s">
        <v>20</v>
      </c>
      <c r="F2636" s="2" t="s">
        <v>32</v>
      </c>
      <c r="G2636" s="2" t="s">
        <v>22</v>
      </c>
      <c r="H2636" s="2" t="s">
        <v>23</v>
      </c>
      <c r="I2636" s="2" t="s">
        <v>24</v>
      </c>
      <c r="J2636" s="2" t="s">
        <v>5621</v>
      </c>
      <c r="K2636" s="2" t="s">
        <v>2622</v>
      </c>
      <c r="L2636">
        <v>6</v>
      </c>
      <c r="M2636" s="1">
        <v>288000</v>
      </c>
      <c r="N2636">
        <v>2.4</v>
      </c>
      <c r="O2636">
        <v>10</v>
      </c>
      <c r="P2636" s="2" t="s">
        <v>26</v>
      </c>
    </row>
    <row r="2637" spans="1:16" x14ac:dyDescent="0.25">
      <c r="A2637" s="2" t="s">
        <v>8386</v>
      </c>
      <c r="B2637" s="2" t="s">
        <v>174</v>
      </c>
      <c r="C2637" s="2" t="s">
        <v>18</v>
      </c>
      <c r="D2637" s="2" t="s">
        <v>30</v>
      </c>
      <c r="E2637" s="2" t="s">
        <v>20</v>
      </c>
      <c r="F2637" s="2" t="s">
        <v>32</v>
      </c>
      <c r="G2637" s="2" t="s">
        <v>33</v>
      </c>
      <c r="H2637" s="2" t="s">
        <v>46</v>
      </c>
      <c r="I2637" s="2" t="s">
        <v>35</v>
      </c>
      <c r="J2637" s="2" t="s">
        <v>1606</v>
      </c>
      <c r="K2637" s="2" t="s">
        <v>2622</v>
      </c>
      <c r="L2637">
        <v>2</v>
      </c>
      <c r="M2637" s="1">
        <v>214000</v>
      </c>
      <c r="N2637">
        <v>1.6</v>
      </c>
      <c r="O2637">
        <v>6</v>
      </c>
      <c r="P2637" s="2" t="s">
        <v>26</v>
      </c>
    </row>
    <row r="2638" spans="1:16" x14ac:dyDescent="0.25">
      <c r="A2638" s="2" t="s">
        <v>8389</v>
      </c>
      <c r="B2638" s="2" t="s">
        <v>6010</v>
      </c>
      <c r="C2638" s="2" t="s">
        <v>29</v>
      </c>
      <c r="D2638" s="2" t="s">
        <v>50</v>
      </c>
      <c r="E2638" s="2" t="s">
        <v>20</v>
      </c>
      <c r="F2638" s="2" t="s">
        <v>39</v>
      </c>
      <c r="G2638" s="2" t="s">
        <v>22</v>
      </c>
      <c r="H2638" s="2" t="s">
        <v>34</v>
      </c>
      <c r="I2638" s="2" t="s">
        <v>75</v>
      </c>
      <c r="J2638" s="2" t="s">
        <v>8024</v>
      </c>
      <c r="K2638" s="2" t="s">
        <v>2622</v>
      </c>
      <c r="L2638">
        <v>7</v>
      </c>
      <c r="M2638" s="1">
        <v>144000</v>
      </c>
      <c r="N2638">
        <v>2.5</v>
      </c>
      <c r="O2638">
        <v>5</v>
      </c>
      <c r="P2638" s="2" t="s">
        <v>26</v>
      </c>
    </row>
    <row r="2639" spans="1:16" x14ac:dyDescent="0.25">
      <c r="A2639" s="2" t="s">
        <v>8390</v>
      </c>
      <c r="B2639" s="2" t="s">
        <v>2815</v>
      </c>
      <c r="C2639" s="2" t="s">
        <v>29</v>
      </c>
      <c r="D2639" s="2" t="s">
        <v>19</v>
      </c>
      <c r="E2639" s="2" t="s">
        <v>20</v>
      </c>
      <c r="F2639" s="2" t="s">
        <v>32</v>
      </c>
      <c r="G2639" s="2" t="s">
        <v>80</v>
      </c>
      <c r="H2639" s="2" t="s">
        <v>46</v>
      </c>
      <c r="I2639" s="2" t="s">
        <v>24</v>
      </c>
      <c r="J2639" s="2" t="s">
        <v>5908</v>
      </c>
      <c r="K2639" s="2" t="s">
        <v>2622</v>
      </c>
      <c r="L2639">
        <v>5</v>
      </c>
      <c r="M2639" s="1">
        <v>256000</v>
      </c>
      <c r="N2639">
        <v>4.5999999999999996</v>
      </c>
      <c r="O2639">
        <v>0</v>
      </c>
      <c r="P2639" s="2" t="s">
        <v>53</v>
      </c>
    </row>
    <row r="2640" spans="1:16" x14ac:dyDescent="0.25">
      <c r="A2640" s="2" t="s">
        <v>8393</v>
      </c>
      <c r="B2640" s="2" t="s">
        <v>8394</v>
      </c>
      <c r="C2640" s="2" t="s">
        <v>29</v>
      </c>
      <c r="D2640" s="2" t="s">
        <v>30</v>
      </c>
      <c r="E2640" s="2" t="s">
        <v>20</v>
      </c>
      <c r="F2640" s="2" t="s">
        <v>128</v>
      </c>
      <c r="G2640" s="2" t="s">
        <v>80</v>
      </c>
      <c r="H2640" s="2" t="s">
        <v>23</v>
      </c>
      <c r="I2640" s="2" t="s">
        <v>35</v>
      </c>
      <c r="J2640" s="2" t="s">
        <v>987</v>
      </c>
      <c r="K2640" s="2" t="s">
        <v>3049</v>
      </c>
      <c r="L2640">
        <v>5</v>
      </c>
      <c r="M2640" s="1">
        <v>421000</v>
      </c>
      <c r="N2640">
        <v>3.6</v>
      </c>
      <c r="O2640">
        <v>1</v>
      </c>
      <c r="P2640" s="2" t="s">
        <v>26</v>
      </c>
    </row>
    <row r="2641" spans="1:16" x14ac:dyDescent="0.25">
      <c r="A2641" s="2" t="s">
        <v>8398</v>
      </c>
      <c r="B2641" s="2" t="s">
        <v>3984</v>
      </c>
      <c r="C2641" s="2" t="s">
        <v>18</v>
      </c>
      <c r="D2641" s="2" t="s">
        <v>50</v>
      </c>
      <c r="E2641" s="2" t="s">
        <v>31</v>
      </c>
      <c r="F2641" s="2" t="s">
        <v>39</v>
      </c>
      <c r="G2641" s="2" t="s">
        <v>80</v>
      </c>
      <c r="H2641" s="2" t="s">
        <v>46</v>
      </c>
      <c r="I2641" s="2" t="s">
        <v>35</v>
      </c>
      <c r="J2641" s="2" t="s">
        <v>1382</v>
      </c>
      <c r="K2641" s="2" t="s">
        <v>3049</v>
      </c>
      <c r="L2641">
        <v>6</v>
      </c>
      <c r="M2641" s="1">
        <v>106000</v>
      </c>
      <c r="N2641">
        <v>4.5</v>
      </c>
      <c r="O2641">
        <v>3</v>
      </c>
      <c r="P2641" s="2" t="s">
        <v>26</v>
      </c>
    </row>
    <row r="2642" spans="1:16" x14ac:dyDescent="0.25">
      <c r="A2642" s="2" t="s">
        <v>8400</v>
      </c>
      <c r="B2642" s="2" t="s">
        <v>8401</v>
      </c>
      <c r="C2642" s="2" t="s">
        <v>29</v>
      </c>
      <c r="D2642" s="2" t="s">
        <v>19</v>
      </c>
      <c r="E2642" s="2" t="s">
        <v>20</v>
      </c>
      <c r="F2642" s="2" t="s">
        <v>128</v>
      </c>
      <c r="G2642" s="2" t="s">
        <v>69</v>
      </c>
      <c r="H2642" s="2" t="s">
        <v>62</v>
      </c>
      <c r="I2642" s="2" t="s">
        <v>57</v>
      </c>
      <c r="J2642" s="2" t="s">
        <v>2458</v>
      </c>
      <c r="K2642" s="2" t="s">
        <v>3049</v>
      </c>
      <c r="L2642">
        <v>3</v>
      </c>
      <c r="M2642" s="1">
        <v>556000</v>
      </c>
      <c r="N2642">
        <v>4.7</v>
      </c>
      <c r="O2642">
        <v>13</v>
      </c>
      <c r="P2642" s="2" t="s">
        <v>53</v>
      </c>
    </row>
    <row r="2643" spans="1:16" x14ac:dyDescent="0.25">
      <c r="A2643" s="2" t="s">
        <v>8402</v>
      </c>
      <c r="B2643" s="2" t="s">
        <v>3957</v>
      </c>
      <c r="C2643" s="2" t="s">
        <v>18</v>
      </c>
      <c r="D2643" s="2" t="s">
        <v>50</v>
      </c>
      <c r="E2643" s="2" t="s">
        <v>20</v>
      </c>
      <c r="F2643" s="2" t="s">
        <v>32</v>
      </c>
      <c r="G2643" s="2" t="s">
        <v>22</v>
      </c>
      <c r="H2643" s="2" t="s">
        <v>62</v>
      </c>
      <c r="I2643" s="2" t="s">
        <v>24</v>
      </c>
      <c r="J2643" s="2" t="s">
        <v>2023</v>
      </c>
      <c r="K2643" s="2" t="s">
        <v>3587</v>
      </c>
      <c r="L2643">
        <v>4</v>
      </c>
      <c r="M2643" s="1">
        <v>251000</v>
      </c>
      <c r="N2643">
        <v>4.2</v>
      </c>
      <c r="O2643">
        <v>14</v>
      </c>
      <c r="P2643" s="2" t="s">
        <v>53</v>
      </c>
    </row>
    <row r="2644" spans="1:16" x14ac:dyDescent="0.25">
      <c r="A2644" s="2" t="s">
        <v>8405</v>
      </c>
      <c r="B2644" s="2" t="s">
        <v>4627</v>
      </c>
      <c r="C2644" s="2" t="s">
        <v>18</v>
      </c>
      <c r="D2644" s="2" t="s">
        <v>30</v>
      </c>
      <c r="E2644" s="2" t="s">
        <v>20</v>
      </c>
      <c r="F2644" s="2" t="s">
        <v>128</v>
      </c>
      <c r="G2644" s="2" t="s">
        <v>22</v>
      </c>
      <c r="H2644" s="2" t="s">
        <v>23</v>
      </c>
      <c r="I2644" s="2" t="s">
        <v>24</v>
      </c>
      <c r="J2644" s="2" t="s">
        <v>4772</v>
      </c>
      <c r="K2644" s="2" t="s">
        <v>5801</v>
      </c>
      <c r="L2644">
        <v>4</v>
      </c>
      <c r="M2644" s="1">
        <v>358000</v>
      </c>
      <c r="N2644">
        <v>4</v>
      </c>
      <c r="O2644">
        <v>9</v>
      </c>
      <c r="P2644" s="2" t="s">
        <v>26</v>
      </c>
    </row>
    <row r="2645" spans="1:16" x14ac:dyDescent="0.25">
      <c r="A2645" s="2" t="s">
        <v>8406</v>
      </c>
      <c r="B2645" s="2" t="s">
        <v>1958</v>
      </c>
      <c r="C2645" s="2" t="s">
        <v>18</v>
      </c>
      <c r="D2645" s="2" t="s">
        <v>30</v>
      </c>
      <c r="E2645" s="2" t="s">
        <v>20</v>
      </c>
      <c r="F2645" s="2" t="s">
        <v>39</v>
      </c>
      <c r="G2645" s="2" t="s">
        <v>22</v>
      </c>
      <c r="H2645" s="2" t="s">
        <v>23</v>
      </c>
      <c r="I2645" s="2" t="s">
        <v>171</v>
      </c>
      <c r="J2645" s="2" t="s">
        <v>1591</v>
      </c>
      <c r="K2645" s="2" t="s">
        <v>5801</v>
      </c>
      <c r="L2645">
        <v>5</v>
      </c>
      <c r="M2645" s="1">
        <v>154000</v>
      </c>
      <c r="N2645">
        <v>2.5</v>
      </c>
      <c r="O2645">
        <v>11</v>
      </c>
      <c r="P2645" s="2" t="s">
        <v>53</v>
      </c>
    </row>
    <row r="2646" spans="1:16" x14ac:dyDescent="0.25">
      <c r="A2646" s="2" t="s">
        <v>8407</v>
      </c>
      <c r="B2646" s="2" t="s">
        <v>7390</v>
      </c>
      <c r="C2646" s="2" t="s">
        <v>18</v>
      </c>
      <c r="D2646" s="2" t="s">
        <v>19</v>
      </c>
      <c r="E2646" s="2" t="s">
        <v>20</v>
      </c>
      <c r="F2646" s="2" t="s">
        <v>128</v>
      </c>
      <c r="G2646" s="2" t="s">
        <v>33</v>
      </c>
      <c r="H2646" s="2" t="s">
        <v>23</v>
      </c>
      <c r="I2646" s="2" t="s">
        <v>57</v>
      </c>
      <c r="J2646" s="2" t="s">
        <v>1129</v>
      </c>
      <c r="K2646" s="2" t="s">
        <v>4355</v>
      </c>
      <c r="L2646">
        <v>6</v>
      </c>
      <c r="M2646" s="1">
        <v>436000</v>
      </c>
      <c r="N2646">
        <v>3.3</v>
      </c>
      <c r="O2646">
        <v>13</v>
      </c>
      <c r="P2646" s="2" t="s">
        <v>26</v>
      </c>
    </row>
    <row r="2647" spans="1:16" x14ac:dyDescent="0.25">
      <c r="A2647" s="2" t="s">
        <v>8409</v>
      </c>
      <c r="B2647" s="2" t="s">
        <v>6814</v>
      </c>
      <c r="C2647" s="2" t="s">
        <v>18</v>
      </c>
      <c r="D2647" s="2" t="s">
        <v>19</v>
      </c>
      <c r="E2647" s="2" t="s">
        <v>20</v>
      </c>
      <c r="F2647" s="2" t="s">
        <v>128</v>
      </c>
      <c r="G2647" s="2" t="s">
        <v>22</v>
      </c>
      <c r="H2647" s="2" t="s">
        <v>34</v>
      </c>
      <c r="I2647" s="2" t="s">
        <v>35</v>
      </c>
      <c r="J2647" s="2" t="s">
        <v>4322</v>
      </c>
      <c r="K2647" s="2" t="s">
        <v>4355</v>
      </c>
      <c r="L2647">
        <v>4</v>
      </c>
      <c r="M2647" s="1">
        <v>450000</v>
      </c>
      <c r="N2647">
        <v>4.0999999999999996</v>
      </c>
      <c r="O2647">
        <v>9</v>
      </c>
      <c r="P2647" s="2" t="s">
        <v>26</v>
      </c>
    </row>
    <row r="2648" spans="1:16" x14ac:dyDescent="0.25">
      <c r="A2648" s="2" t="s">
        <v>8410</v>
      </c>
      <c r="B2648" s="2" t="s">
        <v>8411</v>
      </c>
      <c r="C2648" s="2" t="s">
        <v>18</v>
      </c>
      <c r="D2648" s="2" t="s">
        <v>79</v>
      </c>
      <c r="E2648" s="2" t="s">
        <v>20</v>
      </c>
      <c r="F2648" s="2" t="s">
        <v>39</v>
      </c>
      <c r="G2648" s="2" t="s">
        <v>33</v>
      </c>
      <c r="H2648" s="2" t="s">
        <v>23</v>
      </c>
      <c r="I2648" s="2" t="s">
        <v>57</v>
      </c>
      <c r="J2648" s="2" t="s">
        <v>2004</v>
      </c>
      <c r="K2648" s="2" t="s">
        <v>4355</v>
      </c>
      <c r="L2648">
        <v>5</v>
      </c>
      <c r="M2648" s="1">
        <v>139000</v>
      </c>
      <c r="N2648">
        <v>2.5</v>
      </c>
      <c r="O2648">
        <v>2</v>
      </c>
      <c r="P2648" s="2" t="s">
        <v>26</v>
      </c>
    </row>
    <row r="2649" spans="1:16" x14ac:dyDescent="0.25">
      <c r="A2649" s="2" t="s">
        <v>1255</v>
      </c>
      <c r="B2649" s="2" t="s">
        <v>1256</v>
      </c>
      <c r="C2649" s="2" t="s">
        <v>29</v>
      </c>
      <c r="D2649" s="2" t="s">
        <v>50</v>
      </c>
      <c r="E2649" s="2" t="s">
        <v>20</v>
      </c>
      <c r="F2649" s="2" t="s">
        <v>128</v>
      </c>
      <c r="G2649" s="2" t="s">
        <v>80</v>
      </c>
      <c r="H2649" s="2" t="s">
        <v>34</v>
      </c>
      <c r="I2649" s="2" t="s">
        <v>57</v>
      </c>
      <c r="J2649" s="2" t="s">
        <v>1257</v>
      </c>
      <c r="K2649" s="2" t="s">
        <v>4355</v>
      </c>
      <c r="L2649">
        <v>5</v>
      </c>
      <c r="M2649" s="1">
        <v>597000</v>
      </c>
      <c r="N2649">
        <v>4.5999999999999996</v>
      </c>
      <c r="O2649">
        <v>3</v>
      </c>
      <c r="P2649" s="2" t="s">
        <v>26</v>
      </c>
    </row>
    <row r="2650" spans="1:16" x14ac:dyDescent="0.25">
      <c r="A2650" s="2" t="s">
        <v>8412</v>
      </c>
      <c r="B2650" s="2" t="s">
        <v>8413</v>
      </c>
      <c r="C2650" s="2" t="s">
        <v>29</v>
      </c>
      <c r="D2650" s="2" t="s">
        <v>19</v>
      </c>
      <c r="E2650" s="2" t="s">
        <v>31</v>
      </c>
      <c r="F2650" s="2" t="s">
        <v>39</v>
      </c>
      <c r="G2650" s="2" t="s">
        <v>69</v>
      </c>
      <c r="H2650" s="2" t="s">
        <v>46</v>
      </c>
      <c r="I2650" s="2" t="s">
        <v>24</v>
      </c>
      <c r="J2650" s="2" t="s">
        <v>2320</v>
      </c>
      <c r="K2650" s="2" t="s">
        <v>4355</v>
      </c>
      <c r="L2650">
        <v>6</v>
      </c>
      <c r="M2650" s="1">
        <v>198000</v>
      </c>
      <c r="N2650">
        <v>2.1</v>
      </c>
      <c r="O2650">
        <v>6</v>
      </c>
      <c r="P2650" s="2" t="s">
        <v>26</v>
      </c>
    </row>
    <row r="2651" spans="1:16" x14ac:dyDescent="0.25">
      <c r="A2651" s="2" t="s">
        <v>8414</v>
      </c>
      <c r="B2651" s="2" t="s">
        <v>6349</v>
      </c>
      <c r="C2651" s="2" t="s">
        <v>29</v>
      </c>
      <c r="D2651" s="2" t="s">
        <v>30</v>
      </c>
      <c r="E2651" s="2" t="s">
        <v>44</v>
      </c>
      <c r="F2651" s="2" t="s">
        <v>39</v>
      </c>
      <c r="G2651" s="2" t="s">
        <v>80</v>
      </c>
      <c r="H2651" s="2" t="s">
        <v>23</v>
      </c>
      <c r="I2651" s="2" t="s">
        <v>57</v>
      </c>
      <c r="J2651" s="2" t="s">
        <v>3390</v>
      </c>
      <c r="K2651" s="2" t="s">
        <v>4355</v>
      </c>
      <c r="L2651">
        <v>3</v>
      </c>
      <c r="M2651" s="1">
        <v>103000</v>
      </c>
      <c r="N2651">
        <v>1.5</v>
      </c>
      <c r="O2651">
        <v>35</v>
      </c>
      <c r="P2651" s="2" t="s">
        <v>53</v>
      </c>
    </row>
    <row r="2652" spans="1:16" x14ac:dyDescent="0.25">
      <c r="A2652" s="2" t="s">
        <v>8415</v>
      </c>
      <c r="B2652" s="2" t="s">
        <v>8416</v>
      </c>
      <c r="C2652" s="2" t="s">
        <v>18</v>
      </c>
      <c r="D2652" s="2" t="s">
        <v>50</v>
      </c>
      <c r="E2652" s="2" t="s">
        <v>20</v>
      </c>
      <c r="F2652" s="2" t="s">
        <v>32</v>
      </c>
      <c r="G2652" s="2" t="s">
        <v>22</v>
      </c>
      <c r="H2652" s="2" t="s">
        <v>23</v>
      </c>
      <c r="I2652" s="2" t="s">
        <v>57</v>
      </c>
      <c r="J2652" s="2" t="s">
        <v>8417</v>
      </c>
      <c r="K2652" s="2" t="s">
        <v>2013</v>
      </c>
      <c r="L2652">
        <v>6</v>
      </c>
      <c r="M2652" s="1">
        <v>272000</v>
      </c>
      <c r="N2652">
        <v>3.7</v>
      </c>
      <c r="O2652">
        <v>8</v>
      </c>
      <c r="P2652" s="2" t="s">
        <v>26</v>
      </c>
    </row>
    <row r="2653" spans="1:16" x14ac:dyDescent="0.25">
      <c r="A2653" s="2" t="s">
        <v>531</v>
      </c>
      <c r="B2653" s="2" t="s">
        <v>532</v>
      </c>
      <c r="C2653" s="2" t="s">
        <v>29</v>
      </c>
      <c r="D2653" s="2" t="s">
        <v>79</v>
      </c>
      <c r="E2653" s="2" t="s">
        <v>20</v>
      </c>
      <c r="F2653" s="2" t="s">
        <v>128</v>
      </c>
      <c r="G2653" s="2" t="s">
        <v>69</v>
      </c>
      <c r="H2653" s="2" t="s">
        <v>23</v>
      </c>
      <c r="I2653" s="2" t="s">
        <v>24</v>
      </c>
      <c r="J2653" s="2" t="s">
        <v>533</v>
      </c>
      <c r="K2653" s="2" t="s">
        <v>2013</v>
      </c>
      <c r="L2653">
        <v>4</v>
      </c>
      <c r="M2653" s="1">
        <v>474000</v>
      </c>
      <c r="N2653">
        <v>2.2000000000000002</v>
      </c>
      <c r="O2653">
        <v>6</v>
      </c>
      <c r="P2653" s="2" t="s">
        <v>26</v>
      </c>
    </row>
    <row r="2654" spans="1:16" x14ac:dyDescent="0.25">
      <c r="A2654" s="2" t="s">
        <v>8418</v>
      </c>
      <c r="B2654" s="2" t="s">
        <v>3934</v>
      </c>
      <c r="C2654" s="2" t="s">
        <v>29</v>
      </c>
      <c r="D2654" s="2" t="s">
        <v>50</v>
      </c>
      <c r="E2654" s="2" t="s">
        <v>44</v>
      </c>
      <c r="F2654" s="2" t="s">
        <v>32</v>
      </c>
      <c r="G2654" s="2" t="s">
        <v>80</v>
      </c>
      <c r="H2654" s="2" t="s">
        <v>46</v>
      </c>
      <c r="I2654" s="2" t="s">
        <v>35</v>
      </c>
      <c r="J2654" s="2" t="s">
        <v>5546</v>
      </c>
      <c r="K2654" s="2" t="s">
        <v>2013</v>
      </c>
      <c r="L2654">
        <v>5</v>
      </c>
      <c r="M2654" s="1">
        <v>205000</v>
      </c>
      <c r="N2654">
        <v>2</v>
      </c>
      <c r="O2654">
        <v>8</v>
      </c>
      <c r="P2654" s="2" t="s">
        <v>53</v>
      </c>
    </row>
    <row r="2655" spans="1:16" x14ac:dyDescent="0.25">
      <c r="A2655" s="2" t="s">
        <v>8419</v>
      </c>
      <c r="B2655" s="2" t="s">
        <v>3142</v>
      </c>
      <c r="C2655" s="2" t="s">
        <v>29</v>
      </c>
      <c r="D2655" s="2" t="s">
        <v>50</v>
      </c>
      <c r="E2655" s="2" t="s">
        <v>20</v>
      </c>
      <c r="F2655" s="2" t="s">
        <v>39</v>
      </c>
      <c r="G2655" s="2" t="s">
        <v>69</v>
      </c>
      <c r="H2655" s="2" t="s">
        <v>34</v>
      </c>
      <c r="I2655" s="2" t="s">
        <v>57</v>
      </c>
      <c r="J2655" s="2" t="s">
        <v>2919</v>
      </c>
      <c r="K2655" s="2" t="s">
        <v>3520</v>
      </c>
      <c r="L2655">
        <v>6</v>
      </c>
      <c r="M2655" s="1">
        <v>149000</v>
      </c>
      <c r="N2655">
        <v>2.2000000000000002</v>
      </c>
      <c r="O2655">
        <v>32</v>
      </c>
      <c r="P2655" s="2" t="s">
        <v>53</v>
      </c>
    </row>
    <row r="2656" spans="1:16" x14ac:dyDescent="0.25">
      <c r="A2656" s="2" t="s">
        <v>8420</v>
      </c>
      <c r="B2656" s="2" t="s">
        <v>8421</v>
      </c>
      <c r="C2656" s="2" t="s">
        <v>29</v>
      </c>
      <c r="D2656" s="2" t="s">
        <v>19</v>
      </c>
      <c r="E2656" s="2" t="s">
        <v>20</v>
      </c>
      <c r="F2656" s="2" t="s">
        <v>32</v>
      </c>
      <c r="G2656" s="2" t="s">
        <v>22</v>
      </c>
      <c r="H2656" s="2" t="s">
        <v>46</v>
      </c>
      <c r="I2656" s="2" t="s">
        <v>24</v>
      </c>
      <c r="J2656" s="2" t="s">
        <v>878</v>
      </c>
      <c r="K2656" s="2" t="s">
        <v>3919</v>
      </c>
      <c r="L2656">
        <v>2</v>
      </c>
      <c r="M2656" s="1">
        <v>363000</v>
      </c>
      <c r="N2656">
        <v>2.9</v>
      </c>
      <c r="O2656">
        <v>11</v>
      </c>
      <c r="P2656" s="2" t="s">
        <v>26</v>
      </c>
    </row>
    <row r="2657" spans="1:16" x14ac:dyDescent="0.25">
      <c r="A2657" s="2" t="s">
        <v>8422</v>
      </c>
      <c r="B2657" s="2" t="s">
        <v>8423</v>
      </c>
      <c r="C2657" s="2" t="s">
        <v>29</v>
      </c>
      <c r="D2657" s="2" t="s">
        <v>50</v>
      </c>
      <c r="E2657" s="2" t="s">
        <v>20</v>
      </c>
      <c r="F2657" s="2" t="s">
        <v>39</v>
      </c>
      <c r="G2657" s="2" t="s">
        <v>22</v>
      </c>
      <c r="H2657" s="2" t="s">
        <v>46</v>
      </c>
      <c r="I2657" s="2" t="s">
        <v>24</v>
      </c>
      <c r="J2657" s="2" t="s">
        <v>894</v>
      </c>
      <c r="K2657" s="2" t="s">
        <v>3919</v>
      </c>
      <c r="L2657">
        <v>4</v>
      </c>
      <c r="M2657" s="1">
        <v>142000</v>
      </c>
      <c r="N2657">
        <v>2.4</v>
      </c>
      <c r="O2657">
        <v>1</v>
      </c>
      <c r="P2657" s="2" t="s">
        <v>26</v>
      </c>
    </row>
    <row r="2658" spans="1:16" x14ac:dyDescent="0.25">
      <c r="A2658" s="2" t="s">
        <v>8424</v>
      </c>
      <c r="B2658" s="2" t="s">
        <v>8425</v>
      </c>
      <c r="C2658" s="2" t="s">
        <v>18</v>
      </c>
      <c r="D2658" s="2" t="s">
        <v>50</v>
      </c>
      <c r="E2658" s="2" t="s">
        <v>44</v>
      </c>
      <c r="F2658" s="2" t="s">
        <v>39</v>
      </c>
      <c r="G2658" s="2" t="s">
        <v>33</v>
      </c>
      <c r="H2658" s="2" t="s">
        <v>46</v>
      </c>
      <c r="I2658" s="2" t="s">
        <v>24</v>
      </c>
      <c r="J2658" s="2" t="s">
        <v>175</v>
      </c>
      <c r="K2658" s="2" t="s">
        <v>3919</v>
      </c>
      <c r="L2658">
        <v>6</v>
      </c>
      <c r="M2658" s="1">
        <v>175000</v>
      </c>
      <c r="N2658">
        <v>2.4</v>
      </c>
      <c r="O2658">
        <v>1</v>
      </c>
      <c r="P2658" s="2" t="s">
        <v>26</v>
      </c>
    </row>
    <row r="2659" spans="1:16" x14ac:dyDescent="0.25">
      <c r="A2659" s="2" t="s">
        <v>8428</v>
      </c>
      <c r="B2659" s="2" t="s">
        <v>8429</v>
      </c>
      <c r="C2659" s="2" t="s">
        <v>29</v>
      </c>
      <c r="D2659" s="2" t="s">
        <v>79</v>
      </c>
      <c r="E2659" s="2" t="s">
        <v>20</v>
      </c>
      <c r="F2659" s="2" t="s">
        <v>128</v>
      </c>
      <c r="G2659" s="2" t="s">
        <v>33</v>
      </c>
      <c r="H2659" s="2" t="s">
        <v>34</v>
      </c>
      <c r="I2659" s="2" t="s">
        <v>35</v>
      </c>
      <c r="J2659" s="2" t="s">
        <v>6086</v>
      </c>
      <c r="K2659" s="2" t="s">
        <v>3919</v>
      </c>
      <c r="L2659">
        <v>2</v>
      </c>
      <c r="M2659" s="1">
        <v>458000</v>
      </c>
      <c r="N2659">
        <v>2.8</v>
      </c>
      <c r="O2659">
        <v>4</v>
      </c>
      <c r="P2659" s="2" t="s">
        <v>26</v>
      </c>
    </row>
    <row r="2660" spans="1:16" x14ac:dyDescent="0.25">
      <c r="A2660" s="2" t="s">
        <v>8433</v>
      </c>
      <c r="B2660" s="2" t="s">
        <v>3365</v>
      </c>
      <c r="C2660" s="2" t="s">
        <v>18</v>
      </c>
      <c r="D2660" s="2" t="s">
        <v>19</v>
      </c>
      <c r="E2660" s="2" t="s">
        <v>44</v>
      </c>
      <c r="F2660" s="2" t="s">
        <v>32</v>
      </c>
      <c r="G2660" s="2" t="s">
        <v>80</v>
      </c>
      <c r="H2660" s="2" t="s">
        <v>46</v>
      </c>
      <c r="I2660" s="2" t="s">
        <v>57</v>
      </c>
      <c r="J2660" s="2" t="s">
        <v>168</v>
      </c>
      <c r="K2660" s="2" t="s">
        <v>3919</v>
      </c>
      <c r="L2660">
        <v>2</v>
      </c>
      <c r="M2660" s="1">
        <v>260000</v>
      </c>
      <c r="N2660">
        <v>2.6</v>
      </c>
      <c r="O2660">
        <v>4</v>
      </c>
      <c r="P2660" s="2" t="s">
        <v>26</v>
      </c>
    </row>
    <row r="2661" spans="1:16" x14ac:dyDescent="0.25">
      <c r="A2661" s="2" t="s">
        <v>8437</v>
      </c>
      <c r="B2661" s="2" t="s">
        <v>8438</v>
      </c>
      <c r="C2661" s="2" t="s">
        <v>18</v>
      </c>
      <c r="D2661" s="2" t="s">
        <v>19</v>
      </c>
      <c r="E2661" s="2" t="s">
        <v>20</v>
      </c>
      <c r="F2661" s="2" t="s">
        <v>39</v>
      </c>
      <c r="G2661" s="2" t="s">
        <v>22</v>
      </c>
      <c r="H2661" s="2" t="s">
        <v>46</v>
      </c>
      <c r="I2661" s="2" t="s">
        <v>24</v>
      </c>
      <c r="J2661" s="2" t="s">
        <v>3421</v>
      </c>
      <c r="K2661" s="2" t="s">
        <v>3919</v>
      </c>
      <c r="L2661">
        <v>6</v>
      </c>
      <c r="M2661" s="1">
        <v>135000</v>
      </c>
      <c r="N2661">
        <v>2.1</v>
      </c>
      <c r="O2661">
        <v>11</v>
      </c>
      <c r="P2661" s="2" t="s">
        <v>53</v>
      </c>
    </row>
    <row r="2662" spans="1:16" x14ac:dyDescent="0.25">
      <c r="A2662" s="2" t="s">
        <v>8439</v>
      </c>
      <c r="B2662" s="2" t="s">
        <v>134</v>
      </c>
      <c r="C2662" s="2" t="s">
        <v>18</v>
      </c>
      <c r="D2662" s="2" t="s">
        <v>19</v>
      </c>
      <c r="E2662" s="2" t="s">
        <v>20</v>
      </c>
      <c r="F2662" s="2" t="s">
        <v>39</v>
      </c>
      <c r="G2662" s="2" t="s">
        <v>80</v>
      </c>
      <c r="H2662" s="2" t="s">
        <v>46</v>
      </c>
      <c r="I2662" s="2" t="s">
        <v>24</v>
      </c>
      <c r="J2662" s="2" t="s">
        <v>8440</v>
      </c>
      <c r="K2662" s="2" t="s">
        <v>2213</v>
      </c>
      <c r="L2662">
        <v>5</v>
      </c>
      <c r="M2662" s="1">
        <v>198000</v>
      </c>
      <c r="N2662">
        <v>2.4</v>
      </c>
      <c r="O2662">
        <v>4</v>
      </c>
      <c r="P2662" s="2" t="s">
        <v>26</v>
      </c>
    </row>
    <row r="2663" spans="1:16" x14ac:dyDescent="0.25">
      <c r="A2663" s="2" t="s">
        <v>8441</v>
      </c>
      <c r="B2663" s="2" t="s">
        <v>6320</v>
      </c>
      <c r="C2663" s="2" t="s">
        <v>29</v>
      </c>
      <c r="D2663" s="2" t="s">
        <v>19</v>
      </c>
      <c r="E2663" s="2" t="s">
        <v>44</v>
      </c>
      <c r="F2663" s="2" t="s">
        <v>39</v>
      </c>
      <c r="G2663" s="2" t="s">
        <v>69</v>
      </c>
      <c r="H2663" s="2" t="s">
        <v>23</v>
      </c>
      <c r="I2663" s="2" t="s">
        <v>24</v>
      </c>
      <c r="J2663" s="2" t="s">
        <v>8442</v>
      </c>
      <c r="K2663" s="2" t="s">
        <v>2213</v>
      </c>
      <c r="L2663">
        <v>5</v>
      </c>
      <c r="M2663" s="1">
        <v>185000</v>
      </c>
      <c r="N2663">
        <v>2.1</v>
      </c>
      <c r="O2663">
        <v>6</v>
      </c>
      <c r="P2663" s="2" t="s">
        <v>72</v>
      </c>
    </row>
    <row r="2664" spans="1:16" x14ac:dyDescent="0.25">
      <c r="A2664" s="2" t="s">
        <v>8444</v>
      </c>
      <c r="B2664" s="2" t="s">
        <v>853</v>
      </c>
      <c r="C2664" s="2" t="s">
        <v>29</v>
      </c>
      <c r="D2664" s="2" t="s">
        <v>19</v>
      </c>
      <c r="E2664" s="2" t="s">
        <v>20</v>
      </c>
      <c r="F2664" s="2" t="s">
        <v>21</v>
      </c>
      <c r="G2664" s="2" t="s">
        <v>33</v>
      </c>
      <c r="H2664" s="2" t="s">
        <v>34</v>
      </c>
      <c r="I2664" s="2" t="s">
        <v>24</v>
      </c>
      <c r="J2664" s="2" t="s">
        <v>658</v>
      </c>
      <c r="K2664" s="2" t="s">
        <v>2292</v>
      </c>
      <c r="L2664">
        <v>6</v>
      </c>
      <c r="M2664" s="1">
        <v>822000</v>
      </c>
      <c r="N2664">
        <v>3.6</v>
      </c>
      <c r="O2664">
        <v>2</v>
      </c>
      <c r="P2664" s="2" t="s">
        <v>53</v>
      </c>
    </row>
    <row r="2665" spans="1:16" x14ac:dyDescent="0.25">
      <c r="A2665" s="2" t="s">
        <v>8446</v>
      </c>
      <c r="B2665" s="2" t="s">
        <v>548</v>
      </c>
      <c r="C2665" s="2" t="s">
        <v>18</v>
      </c>
      <c r="D2665" s="2" t="s">
        <v>30</v>
      </c>
      <c r="E2665" s="2" t="s">
        <v>20</v>
      </c>
      <c r="F2665" s="2" t="s">
        <v>39</v>
      </c>
      <c r="G2665" s="2" t="s">
        <v>22</v>
      </c>
      <c r="H2665" s="2" t="s">
        <v>23</v>
      </c>
      <c r="I2665" s="2" t="s">
        <v>75</v>
      </c>
      <c r="J2665" s="2" t="s">
        <v>3091</v>
      </c>
      <c r="K2665" s="2" t="s">
        <v>7706</v>
      </c>
      <c r="L2665">
        <v>5</v>
      </c>
      <c r="M2665" s="1">
        <v>139000</v>
      </c>
      <c r="N2665">
        <v>1.7</v>
      </c>
      <c r="O2665">
        <v>19</v>
      </c>
      <c r="P2665" s="2" t="s">
        <v>26</v>
      </c>
    </row>
    <row r="2666" spans="1:16" x14ac:dyDescent="0.25">
      <c r="A2666" s="2" t="s">
        <v>8447</v>
      </c>
      <c r="B2666" s="2" t="s">
        <v>8448</v>
      </c>
      <c r="C2666" s="2" t="s">
        <v>29</v>
      </c>
      <c r="D2666" s="2" t="s">
        <v>30</v>
      </c>
      <c r="E2666" s="2" t="s">
        <v>20</v>
      </c>
      <c r="F2666" s="2" t="s">
        <v>128</v>
      </c>
      <c r="G2666" s="2" t="s">
        <v>33</v>
      </c>
      <c r="H2666" s="2" t="s">
        <v>23</v>
      </c>
      <c r="I2666" s="2" t="s">
        <v>24</v>
      </c>
      <c r="J2666" s="2" t="s">
        <v>8449</v>
      </c>
      <c r="K2666" s="2" t="s">
        <v>7706</v>
      </c>
      <c r="L2666">
        <v>6</v>
      </c>
      <c r="M2666" s="1">
        <v>591000</v>
      </c>
      <c r="N2666">
        <v>2.8</v>
      </c>
      <c r="O2666">
        <v>1</v>
      </c>
      <c r="P2666" s="2" t="s">
        <v>53</v>
      </c>
    </row>
    <row r="2667" spans="1:16" x14ac:dyDescent="0.25">
      <c r="A2667" s="2" t="s">
        <v>8450</v>
      </c>
      <c r="B2667" s="2" t="s">
        <v>2115</v>
      </c>
      <c r="C2667" s="2" t="s">
        <v>29</v>
      </c>
      <c r="D2667" s="2" t="s">
        <v>50</v>
      </c>
      <c r="E2667" s="2" t="s">
        <v>20</v>
      </c>
      <c r="F2667" s="2" t="s">
        <v>39</v>
      </c>
      <c r="G2667" s="2" t="s">
        <v>33</v>
      </c>
      <c r="H2667" s="2" t="s">
        <v>46</v>
      </c>
      <c r="I2667" s="2" t="s">
        <v>57</v>
      </c>
      <c r="J2667" s="2" t="s">
        <v>1600</v>
      </c>
      <c r="K2667" s="2" t="s">
        <v>8458</v>
      </c>
      <c r="L2667">
        <v>6</v>
      </c>
      <c r="M2667" s="1">
        <v>132000</v>
      </c>
      <c r="N2667">
        <v>3.5</v>
      </c>
      <c r="O2667">
        <v>8</v>
      </c>
      <c r="P2667" s="2" t="s">
        <v>26</v>
      </c>
    </row>
    <row r="2668" spans="1:16" x14ac:dyDescent="0.25">
      <c r="A2668" s="2" t="s">
        <v>8451</v>
      </c>
      <c r="B2668" s="2" t="s">
        <v>288</v>
      </c>
      <c r="C2668" s="2" t="s">
        <v>18</v>
      </c>
      <c r="D2668" s="2" t="s">
        <v>79</v>
      </c>
      <c r="E2668" s="2" t="s">
        <v>44</v>
      </c>
      <c r="F2668" s="2" t="s">
        <v>21</v>
      </c>
      <c r="G2668" s="2" t="s">
        <v>69</v>
      </c>
      <c r="H2668" s="2" t="s">
        <v>62</v>
      </c>
      <c r="I2668" s="2" t="s">
        <v>35</v>
      </c>
      <c r="J2668" s="2" t="s">
        <v>779</v>
      </c>
      <c r="K2668" s="2" t="s">
        <v>8458</v>
      </c>
      <c r="L2668">
        <v>6</v>
      </c>
      <c r="M2668" s="1">
        <v>832000</v>
      </c>
      <c r="N2668">
        <v>4.5999999999999996</v>
      </c>
      <c r="O2668">
        <v>17</v>
      </c>
      <c r="P2668" s="2" t="s">
        <v>26</v>
      </c>
    </row>
    <row r="2669" spans="1:16" x14ac:dyDescent="0.25">
      <c r="A2669" s="2" t="s">
        <v>8452</v>
      </c>
      <c r="B2669" s="2" t="s">
        <v>5748</v>
      </c>
      <c r="C2669" s="2" t="s">
        <v>29</v>
      </c>
      <c r="D2669" s="2" t="s">
        <v>43</v>
      </c>
      <c r="E2669" s="2" t="s">
        <v>20</v>
      </c>
      <c r="F2669" s="2" t="s">
        <v>32</v>
      </c>
      <c r="G2669" s="2" t="s">
        <v>69</v>
      </c>
      <c r="H2669" s="2" t="s">
        <v>46</v>
      </c>
      <c r="I2669" s="2" t="s">
        <v>57</v>
      </c>
      <c r="J2669" s="2" t="s">
        <v>8453</v>
      </c>
      <c r="K2669" s="2" t="s">
        <v>8458</v>
      </c>
      <c r="L2669">
        <v>6</v>
      </c>
      <c r="M2669" s="1">
        <v>249000</v>
      </c>
      <c r="N2669">
        <v>4.9000000000000004</v>
      </c>
      <c r="O2669">
        <v>2</v>
      </c>
      <c r="P2669" s="2" t="s">
        <v>26</v>
      </c>
    </row>
    <row r="2670" spans="1:16" x14ac:dyDescent="0.25">
      <c r="A2670" s="2" t="s">
        <v>8454</v>
      </c>
      <c r="B2670" s="2" t="s">
        <v>5395</v>
      </c>
      <c r="C2670" s="2" t="s">
        <v>18</v>
      </c>
      <c r="D2670" s="2" t="s">
        <v>30</v>
      </c>
      <c r="E2670" s="2" t="s">
        <v>20</v>
      </c>
      <c r="F2670" s="2" t="s">
        <v>39</v>
      </c>
      <c r="G2670" s="2" t="s">
        <v>33</v>
      </c>
      <c r="H2670" s="2" t="s">
        <v>34</v>
      </c>
      <c r="I2670" s="2" t="s">
        <v>24</v>
      </c>
      <c r="J2670" s="2" t="s">
        <v>5971</v>
      </c>
      <c r="K2670" s="2" t="s">
        <v>8458</v>
      </c>
      <c r="L2670">
        <v>4</v>
      </c>
      <c r="M2670" s="1">
        <v>150000</v>
      </c>
      <c r="N2670">
        <v>2.7</v>
      </c>
      <c r="O2670">
        <v>5</v>
      </c>
      <c r="P2670" s="2" t="s">
        <v>26</v>
      </c>
    </row>
    <row r="2671" spans="1:16" x14ac:dyDescent="0.25">
      <c r="A2671" s="2" t="s">
        <v>8455</v>
      </c>
      <c r="B2671" s="2" t="s">
        <v>42</v>
      </c>
      <c r="C2671" s="2" t="s">
        <v>18</v>
      </c>
      <c r="D2671" s="2" t="s">
        <v>19</v>
      </c>
      <c r="E2671" s="2" t="s">
        <v>31</v>
      </c>
      <c r="F2671" s="2" t="s">
        <v>32</v>
      </c>
      <c r="G2671" s="2" t="s">
        <v>33</v>
      </c>
      <c r="H2671" s="2" t="s">
        <v>23</v>
      </c>
      <c r="I2671" s="2" t="s">
        <v>57</v>
      </c>
      <c r="J2671" s="2" t="s">
        <v>1041</v>
      </c>
      <c r="K2671" s="2" t="s">
        <v>8458</v>
      </c>
      <c r="L2671">
        <v>5</v>
      </c>
      <c r="M2671" s="1">
        <v>313000</v>
      </c>
      <c r="N2671">
        <v>2.8</v>
      </c>
      <c r="O2671">
        <v>9</v>
      </c>
      <c r="P2671" s="2" t="s">
        <v>26</v>
      </c>
    </row>
    <row r="2672" spans="1:16" x14ac:dyDescent="0.25">
      <c r="A2672" s="2" t="s">
        <v>8456</v>
      </c>
      <c r="B2672" s="2" t="s">
        <v>8457</v>
      </c>
      <c r="C2672" s="2" t="s">
        <v>29</v>
      </c>
      <c r="D2672" s="2" t="s">
        <v>79</v>
      </c>
      <c r="E2672" s="2" t="s">
        <v>20</v>
      </c>
      <c r="F2672" s="2" t="s">
        <v>39</v>
      </c>
      <c r="G2672" s="2" t="s">
        <v>22</v>
      </c>
      <c r="H2672" s="2" t="s">
        <v>46</v>
      </c>
      <c r="I2672" s="2" t="s">
        <v>24</v>
      </c>
      <c r="J2672" s="2" t="s">
        <v>8065</v>
      </c>
      <c r="K2672" s="2" t="s">
        <v>8458</v>
      </c>
      <c r="L2672">
        <v>3</v>
      </c>
      <c r="M2672" s="1">
        <v>173000</v>
      </c>
      <c r="N2672">
        <v>2.5</v>
      </c>
      <c r="O2672">
        <v>10</v>
      </c>
      <c r="P2672" s="2" t="s">
        <v>114</v>
      </c>
    </row>
    <row r="2673" spans="1:16" x14ac:dyDescent="0.25">
      <c r="A2673" s="2" t="s">
        <v>8459</v>
      </c>
      <c r="B2673" s="2" t="s">
        <v>5711</v>
      </c>
      <c r="C2673" s="2" t="s">
        <v>18</v>
      </c>
      <c r="D2673" s="2" t="s">
        <v>30</v>
      </c>
      <c r="E2673" s="2" t="s">
        <v>20</v>
      </c>
      <c r="F2673" s="2" t="s">
        <v>128</v>
      </c>
      <c r="G2673" s="2" t="s">
        <v>33</v>
      </c>
      <c r="H2673" s="2" t="s">
        <v>23</v>
      </c>
      <c r="I2673" s="2" t="s">
        <v>24</v>
      </c>
      <c r="J2673" s="2" t="s">
        <v>8460</v>
      </c>
      <c r="K2673" s="2" t="s">
        <v>4258</v>
      </c>
      <c r="L2673">
        <v>7</v>
      </c>
      <c r="M2673" s="1">
        <v>493000</v>
      </c>
      <c r="N2673">
        <v>5</v>
      </c>
      <c r="O2673">
        <v>2</v>
      </c>
      <c r="P2673" s="2" t="s">
        <v>53</v>
      </c>
    </row>
    <row r="2674" spans="1:16" x14ac:dyDescent="0.25">
      <c r="A2674" s="2" t="s">
        <v>8462</v>
      </c>
      <c r="B2674" s="2" t="s">
        <v>6210</v>
      </c>
      <c r="C2674" s="2" t="s">
        <v>29</v>
      </c>
      <c r="D2674" s="2" t="s">
        <v>19</v>
      </c>
      <c r="E2674" s="2" t="s">
        <v>20</v>
      </c>
      <c r="F2674" s="2" t="s">
        <v>39</v>
      </c>
      <c r="G2674" s="2" t="s">
        <v>22</v>
      </c>
      <c r="H2674" s="2" t="s">
        <v>34</v>
      </c>
      <c r="I2674" s="2" t="s">
        <v>35</v>
      </c>
      <c r="J2674" s="2" t="s">
        <v>6949</v>
      </c>
      <c r="K2674" s="2" t="s">
        <v>6815</v>
      </c>
      <c r="L2674">
        <v>6</v>
      </c>
      <c r="M2674" s="1">
        <v>196000</v>
      </c>
      <c r="N2674">
        <v>4.0999999999999996</v>
      </c>
      <c r="O2674">
        <v>1</v>
      </c>
      <c r="P2674" s="2" t="s">
        <v>26</v>
      </c>
    </row>
    <row r="2675" spans="1:16" x14ac:dyDescent="0.25">
      <c r="A2675" s="2" t="s">
        <v>8463</v>
      </c>
      <c r="B2675" s="2" t="s">
        <v>8464</v>
      </c>
      <c r="C2675" s="2" t="s">
        <v>29</v>
      </c>
      <c r="D2675" s="2" t="s">
        <v>43</v>
      </c>
      <c r="E2675" s="2" t="s">
        <v>44</v>
      </c>
      <c r="F2675" s="2" t="s">
        <v>32</v>
      </c>
      <c r="G2675" s="2" t="s">
        <v>33</v>
      </c>
      <c r="H2675" s="2" t="s">
        <v>23</v>
      </c>
      <c r="I2675" s="2" t="s">
        <v>75</v>
      </c>
      <c r="J2675" s="2" t="s">
        <v>316</v>
      </c>
      <c r="K2675" s="2" t="s">
        <v>6815</v>
      </c>
      <c r="L2675">
        <v>3</v>
      </c>
      <c r="M2675" s="1">
        <v>258000</v>
      </c>
      <c r="N2675">
        <v>4.0999999999999996</v>
      </c>
      <c r="O2675">
        <v>13</v>
      </c>
      <c r="P2675" s="2" t="s">
        <v>53</v>
      </c>
    </row>
    <row r="2676" spans="1:16" x14ac:dyDescent="0.25">
      <c r="A2676" s="2" t="s">
        <v>8467</v>
      </c>
      <c r="B2676" s="2" t="s">
        <v>8468</v>
      </c>
      <c r="C2676" s="2" t="s">
        <v>29</v>
      </c>
      <c r="D2676" s="2" t="s">
        <v>19</v>
      </c>
      <c r="E2676" s="2" t="s">
        <v>44</v>
      </c>
      <c r="F2676" s="2" t="s">
        <v>39</v>
      </c>
      <c r="G2676" s="2" t="s">
        <v>33</v>
      </c>
      <c r="H2676" s="2" t="s">
        <v>46</v>
      </c>
      <c r="I2676" s="2" t="s">
        <v>75</v>
      </c>
      <c r="J2676" s="2" t="s">
        <v>155</v>
      </c>
      <c r="K2676" s="2" t="s">
        <v>425</v>
      </c>
      <c r="L2676">
        <v>4</v>
      </c>
      <c r="M2676" s="1">
        <v>101000</v>
      </c>
      <c r="N2676">
        <v>2.4</v>
      </c>
      <c r="O2676">
        <v>0</v>
      </c>
      <c r="P2676" s="2" t="s">
        <v>26</v>
      </c>
    </row>
    <row r="2677" spans="1:16" x14ac:dyDescent="0.25">
      <c r="A2677" s="2" t="s">
        <v>8471</v>
      </c>
      <c r="B2677" s="2" t="s">
        <v>4372</v>
      </c>
      <c r="C2677" s="2" t="s">
        <v>29</v>
      </c>
      <c r="D2677" s="2" t="s">
        <v>30</v>
      </c>
      <c r="E2677" s="2" t="s">
        <v>20</v>
      </c>
      <c r="F2677" s="2" t="s">
        <v>39</v>
      </c>
      <c r="G2677" s="2" t="s">
        <v>22</v>
      </c>
      <c r="H2677" s="2" t="s">
        <v>62</v>
      </c>
      <c r="I2677" s="2" t="s">
        <v>75</v>
      </c>
      <c r="J2677" s="2" t="s">
        <v>4637</v>
      </c>
      <c r="K2677" s="2" t="s">
        <v>425</v>
      </c>
      <c r="L2677">
        <v>6</v>
      </c>
      <c r="M2677" s="1">
        <v>92000</v>
      </c>
      <c r="N2677">
        <v>1.9</v>
      </c>
      <c r="O2677">
        <v>8</v>
      </c>
      <c r="P2677" s="2" t="s">
        <v>26</v>
      </c>
    </row>
    <row r="2678" spans="1:16" x14ac:dyDescent="0.25">
      <c r="A2678" s="2" t="s">
        <v>8475</v>
      </c>
      <c r="B2678" s="2" t="s">
        <v>8476</v>
      </c>
      <c r="C2678" s="2" t="s">
        <v>18</v>
      </c>
      <c r="D2678" s="2" t="s">
        <v>43</v>
      </c>
      <c r="E2678" s="2" t="s">
        <v>31</v>
      </c>
      <c r="F2678" s="2" t="s">
        <v>21</v>
      </c>
      <c r="G2678" s="2" t="s">
        <v>22</v>
      </c>
      <c r="H2678" s="2" t="s">
        <v>46</v>
      </c>
      <c r="I2678" s="2" t="s">
        <v>171</v>
      </c>
      <c r="J2678" s="2" t="s">
        <v>1671</v>
      </c>
      <c r="K2678" s="2" t="s">
        <v>425</v>
      </c>
      <c r="L2678">
        <v>5</v>
      </c>
      <c r="M2678" s="1">
        <v>600000</v>
      </c>
      <c r="N2678">
        <v>4.4000000000000004</v>
      </c>
      <c r="O2678">
        <v>3</v>
      </c>
      <c r="P2678" s="2" t="s">
        <v>26</v>
      </c>
    </row>
    <row r="2679" spans="1:16" x14ac:dyDescent="0.25">
      <c r="A2679" s="2" t="s">
        <v>8477</v>
      </c>
      <c r="B2679" s="2" t="s">
        <v>1277</v>
      </c>
      <c r="C2679" s="2" t="s">
        <v>29</v>
      </c>
      <c r="D2679" s="2" t="s">
        <v>30</v>
      </c>
      <c r="E2679" s="2" t="s">
        <v>20</v>
      </c>
      <c r="F2679" s="2" t="s">
        <v>32</v>
      </c>
      <c r="G2679" s="2" t="s">
        <v>22</v>
      </c>
      <c r="H2679" s="2" t="s">
        <v>34</v>
      </c>
      <c r="I2679" s="2" t="s">
        <v>24</v>
      </c>
      <c r="J2679" s="2" t="s">
        <v>2879</v>
      </c>
      <c r="K2679" s="2" t="s">
        <v>425</v>
      </c>
      <c r="L2679">
        <v>5</v>
      </c>
      <c r="M2679" s="1">
        <v>256000</v>
      </c>
      <c r="N2679">
        <v>2.2999999999999998</v>
      </c>
      <c r="O2679">
        <v>1</v>
      </c>
      <c r="P2679" s="2" t="s">
        <v>53</v>
      </c>
    </row>
    <row r="2680" spans="1:16" x14ac:dyDescent="0.25">
      <c r="A2680" s="2" t="s">
        <v>8478</v>
      </c>
      <c r="B2680" s="2" t="s">
        <v>4639</v>
      </c>
      <c r="C2680" s="2" t="s">
        <v>29</v>
      </c>
      <c r="D2680" s="2" t="s">
        <v>30</v>
      </c>
      <c r="E2680" s="2" t="s">
        <v>20</v>
      </c>
      <c r="F2680" s="2" t="s">
        <v>32</v>
      </c>
      <c r="G2680" s="2" t="s">
        <v>22</v>
      </c>
      <c r="H2680" s="2" t="s">
        <v>23</v>
      </c>
      <c r="I2680" s="2" t="s">
        <v>57</v>
      </c>
      <c r="J2680" s="2" t="s">
        <v>1874</v>
      </c>
      <c r="K2680" s="2" t="s">
        <v>784</v>
      </c>
      <c r="L2680">
        <v>6</v>
      </c>
      <c r="M2680" s="1">
        <v>210000</v>
      </c>
      <c r="N2680">
        <v>1.8</v>
      </c>
      <c r="O2680">
        <v>2</v>
      </c>
      <c r="P2680" s="2" t="s">
        <v>26</v>
      </c>
    </row>
    <row r="2681" spans="1:16" x14ac:dyDescent="0.25">
      <c r="A2681" s="2" t="s">
        <v>8479</v>
      </c>
      <c r="B2681" s="2" t="s">
        <v>1072</v>
      </c>
      <c r="C2681" s="2" t="s">
        <v>29</v>
      </c>
      <c r="D2681" s="2" t="s">
        <v>19</v>
      </c>
      <c r="E2681" s="2" t="s">
        <v>20</v>
      </c>
      <c r="F2681" s="2" t="s">
        <v>21</v>
      </c>
      <c r="G2681" s="2" t="s">
        <v>80</v>
      </c>
      <c r="H2681" s="2" t="s">
        <v>46</v>
      </c>
      <c r="I2681" s="2" t="s">
        <v>24</v>
      </c>
      <c r="J2681" s="2" t="s">
        <v>504</v>
      </c>
      <c r="K2681" s="2" t="s">
        <v>784</v>
      </c>
      <c r="L2681">
        <v>3</v>
      </c>
      <c r="M2681" s="1">
        <v>763000</v>
      </c>
      <c r="N2681">
        <v>3.5</v>
      </c>
      <c r="O2681">
        <v>6</v>
      </c>
      <c r="P2681" s="2" t="s">
        <v>26</v>
      </c>
    </row>
    <row r="2682" spans="1:16" x14ac:dyDescent="0.25">
      <c r="A2682" s="2" t="s">
        <v>8480</v>
      </c>
      <c r="B2682" s="2" t="s">
        <v>3874</v>
      </c>
      <c r="C2682" s="2" t="s">
        <v>29</v>
      </c>
      <c r="D2682" s="2" t="s">
        <v>30</v>
      </c>
      <c r="E2682" s="2" t="s">
        <v>20</v>
      </c>
      <c r="F2682" s="2" t="s">
        <v>128</v>
      </c>
      <c r="G2682" s="2" t="s">
        <v>22</v>
      </c>
      <c r="H2682" s="2" t="s">
        <v>34</v>
      </c>
      <c r="I2682" s="2" t="s">
        <v>24</v>
      </c>
      <c r="J2682" s="2" t="s">
        <v>4409</v>
      </c>
      <c r="K2682" s="2" t="s">
        <v>784</v>
      </c>
      <c r="L2682">
        <v>3</v>
      </c>
      <c r="M2682" s="1">
        <v>438000</v>
      </c>
      <c r="N2682">
        <v>3.8</v>
      </c>
      <c r="O2682">
        <v>35</v>
      </c>
      <c r="P2682" s="2" t="s">
        <v>53</v>
      </c>
    </row>
    <row r="2683" spans="1:16" x14ac:dyDescent="0.25">
      <c r="A2683" s="2" t="s">
        <v>8482</v>
      </c>
      <c r="B2683" s="2" t="s">
        <v>8483</v>
      </c>
      <c r="C2683" s="2" t="s">
        <v>29</v>
      </c>
      <c r="D2683" s="2" t="s">
        <v>50</v>
      </c>
      <c r="E2683" s="2" t="s">
        <v>20</v>
      </c>
      <c r="F2683" s="2" t="s">
        <v>39</v>
      </c>
      <c r="G2683" s="2" t="s">
        <v>22</v>
      </c>
      <c r="H2683" s="2" t="s">
        <v>46</v>
      </c>
      <c r="I2683" s="2" t="s">
        <v>24</v>
      </c>
      <c r="J2683" s="2" t="s">
        <v>51</v>
      </c>
      <c r="K2683" s="2" t="s">
        <v>8485</v>
      </c>
      <c r="L2683">
        <v>5</v>
      </c>
      <c r="M2683" s="1">
        <v>166000</v>
      </c>
      <c r="N2683">
        <v>3.3</v>
      </c>
      <c r="O2683">
        <v>2</v>
      </c>
      <c r="P2683" s="2" t="s">
        <v>26</v>
      </c>
    </row>
    <row r="2684" spans="1:16" x14ac:dyDescent="0.25">
      <c r="A2684" s="2" t="s">
        <v>8484</v>
      </c>
      <c r="B2684" s="2" t="s">
        <v>2106</v>
      </c>
      <c r="C2684" s="2" t="s">
        <v>18</v>
      </c>
      <c r="D2684" s="2" t="s">
        <v>19</v>
      </c>
      <c r="E2684" s="2" t="s">
        <v>44</v>
      </c>
      <c r="F2684" s="2" t="s">
        <v>21</v>
      </c>
      <c r="G2684" s="2" t="s">
        <v>80</v>
      </c>
      <c r="H2684" s="2" t="s">
        <v>34</v>
      </c>
      <c r="I2684" s="2" t="s">
        <v>35</v>
      </c>
      <c r="J2684" s="2" t="s">
        <v>8252</v>
      </c>
      <c r="K2684" s="2" t="s">
        <v>8485</v>
      </c>
      <c r="L2684">
        <v>2</v>
      </c>
      <c r="M2684" s="1">
        <v>1045000</v>
      </c>
      <c r="N2684">
        <v>4.3</v>
      </c>
      <c r="O2684">
        <v>22</v>
      </c>
      <c r="P2684" s="2" t="s">
        <v>53</v>
      </c>
    </row>
    <row r="2685" spans="1:16" x14ac:dyDescent="0.25">
      <c r="A2685" s="2" t="s">
        <v>8487</v>
      </c>
      <c r="B2685" s="2" t="s">
        <v>4447</v>
      </c>
      <c r="C2685" s="2" t="s">
        <v>18</v>
      </c>
      <c r="D2685" s="2" t="s">
        <v>30</v>
      </c>
      <c r="E2685" s="2" t="s">
        <v>31</v>
      </c>
      <c r="F2685" s="2" t="s">
        <v>39</v>
      </c>
      <c r="G2685" s="2" t="s">
        <v>33</v>
      </c>
      <c r="H2685" s="2" t="s">
        <v>46</v>
      </c>
      <c r="I2685" s="2" t="s">
        <v>35</v>
      </c>
      <c r="J2685" s="2" t="s">
        <v>5820</v>
      </c>
      <c r="K2685" s="2" t="s">
        <v>6767</v>
      </c>
      <c r="L2685">
        <v>5</v>
      </c>
      <c r="M2685" s="1">
        <v>94000</v>
      </c>
      <c r="N2685">
        <v>2.2999999999999998</v>
      </c>
      <c r="O2685">
        <v>7</v>
      </c>
      <c r="P2685" s="2" t="s">
        <v>26</v>
      </c>
    </row>
    <row r="2686" spans="1:16" x14ac:dyDescent="0.25">
      <c r="A2686" s="2" t="s">
        <v>8488</v>
      </c>
      <c r="B2686" s="2" t="s">
        <v>1443</v>
      </c>
      <c r="C2686" s="2" t="s">
        <v>18</v>
      </c>
      <c r="D2686" s="2" t="s">
        <v>50</v>
      </c>
      <c r="E2686" s="2" t="s">
        <v>20</v>
      </c>
      <c r="F2686" s="2" t="s">
        <v>32</v>
      </c>
      <c r="G2686" s="2" t="s">
        <v>22</v>
      </c>
      <c r="H2686" s="2" t="s">
        <v>46</v>
      </c>
      <c r="I2686" s="2" t="s">
        <v>24</v>
      </c>
      <c r="J2686" s="2" t="s">
        <v>3443</v>
      </c>
      <c r="K2686" s="2" t="s">
        <v>6767</v>
      </c>
      <c r="L2686">
        <v>5</v>
      </c>
      <c r="M2686" s="1">
        <v>289000</v>
      </c>
      <c r="N2686">
        <v>3.6</v>
      </c>
      <c r="O2686">
        <v>11</v>
      </c>
      <c r="P2686" s="2" t="s">
        <v>53</v>
      </c>
    </row>
    <row r="2687" spans="1:16" x14ac:dyDescent="0.25">
      <c r="A2687" s="2" t="s">
        <v>8491</v>
      </c>
      <c r="B2687" s="2" t="s">
        <v>1992</v>
      </c>
      <c r="C2687" s="2" t="s">
        <v>18</v>
      </c>
      <c r="D2687" s="2" t="s">
        <v>19</v>
      </c>
      <c r="E2687" s="2" t="s">
        <v>20</v>
      </c>
      <c r="F2687" s="2" t="s">
        <v>21</v>
      </c>
      <c r="G2687" s="2" t="s">
        <v>22</v>
      </c>
      <c r="H2687" s="2" t="s">
        <v>34</v>
      </c>
      <c r="I2687" s="2" t="s">
        <v>75</v>
      </c>
      <c r="J2687" s="2" t="s">
        <v>4288</v>
      </c>
      <c r="K2687" s="2" t="s">
        <v>4022</v>
      </c>
      <c r="L2687">
        <v>5</v>
      </c>
      <c r="M2687" s="1">
        <v>800000</v>
      </c>
      <c r="N2687">
        <v>4</v>
      </c>
      <c r="O2687">
        <v>8</v>
      </c>
      <c r="P2687" s="2" t="s">
        <v>72</v>
      </c>
    </row>
    <row r="2688" spans="1:16" x14ac:dyDescent="0.25">
      <c r="A2688" s="2" t="s">
        <v>8492</v>
      </c>
      <c r="B2688" s="2" t="s">
        <v>8493</v>
      </c>
      <c r="C2688" s="2" t="s">
        <v>18</v>
      </c>
      <c r="D2688" s="2" t="s">
        <v>50</v>
      </c>
      <c r="E2688" s="2" t="s">
        <v>20</v>
      </c>
      <c r="F2688" s="2" t="s">
        <v>21</v>
      </c>
      <c r="G2688" s="2" t="s">
        <v>80</v>
      </c>
      <c r="H2688" s="2" t="s">
        <v>23</v>
      </c>
      <c r="I2688" s="2" t="s">
        <v>35</v>
      </c>
      <c r="J2688" s="2" t="s">
        <v>6600</v>
      </c>
      <c r="K2688" s="2" t="s">
        <v>1385</v>
      </c>
      <c r="L2688">
        <v>7</v>
      </c>
      <c r="M2688" s="1">
        <v>739000</v>
      </c>
      <c r="N2688">
        <v>4.9000000000000004</v>
      </c>
      <c r="O2688">
        <v>10</v>
      </c>
      <c r="P2688" s="2" t="s">
        <v>72</v>
      </c>
    </row>
    <row r="2689" spans="1:16" x14ac:dyDescent="0.25">
      <c r="A2689" s="2" t="s">
        <v>8494</v>
      </c>
      <c r="B2689" s="2" t="s">
        <v>8495</v>
      </c>
      <c r="C2689" s="2" t="s">
        <v>29</v>
      </c>
      <c r="D2689" s="2" t="s">
        <v>30</v>
      </c>
      <c r="E2689" s="2" t="s">
        <v>20</v>
      </c>
      <c r="F2689" s="2" t="s">
        <v>32</v>
      </c>
      <c r="G2689" s="2" t="s">
        <v>22</v>
      </c>
      <c r="H2689" s="2" t="s">
        <v>23</v>
      </c>
      <c r="I2689" s="2" t="s">
        <v>24</v>
      </c>
      <c r="J2689" s="2" t="s">
        <v>1927</v>
      </c>
      <c r="K2689" s="2" t="s">
        <v>2983</v>
      </c>
      <c r="L2689">
        <v>4</v>
      </c>
      <c r="M2689" s="1">
        <v>193000</v>
      </c>
      <c r="N2689">
        <v>3.2</v>
      </c>
      <c r="O2689">
        <v>14</v>
      </c>
      <c r="P2689" s="2" t="s">
        <v>26</v>
      </c>
    </row>
    <row r="2690" spans="1:16" x14ac:dyDescent="0.25">
      <c r="A2690" s="2" t="s">
        <v>8496</v>
      </c>
      <c r="B2690" s="2" t="s">
        <v>2346</v>
      </c>
      <c r="C2690" s="2" t="s">
        <v>18</v>
      </c>
      <c r="D2690" s="2" t="s">
        <v>50</v>
      </c>
      <c r="E2690" s="2" t="s">
        <v>20</v>
      </c>
      <c r="F2690" s="2" t="s">
        <v>32</v>
      </c>
      <c r="G2690" s="2" t="s">
        <v>80</v>
      </c>
      <c r="H2690" s="2" t="s">
        <v>34</v>
      </c>
      <c r="I2690" s="2" t="s">
        <v>24</v>
      </c>
      <c r="J2690" s="2" t="s">
        <v>1234</v>
      </c>
      <c r="K2690" s="2" t="s">
        <v>2983</v>
      </c>
      <c r="L2690">
        <v>4</v>
      </c>
      <c r="M2690" s="1">
        <v>262000</v>
      </c>
      <c r="N2690">
        <v>3.7</v>
      </c>
      <c r="O2690">
        <v>6</v>
      </c>
      <c r="P2690" s="2" t="s">
        <v>26</v>
      </c>
    </row>
    <row r="2691" spans="1:16" x14ac:dyDescent="0.25">
      <c r="A2691" s="2" t="s">
        <v>8497</v>
      </c>
      <c r="B2691" s="2" t="s">
        <v>4200</v>
      </c>
      <c r="C2691" s="2" t="s">
        <v>29</v>
      </c>
      <c r="D2691" s="2" t="s">
        <v>19</v>
      </c>
      <c r="E2691" s="2" t="s">
        <v>20</v>
      </c>
      <c r="F2691" s="2" t="s">
        <v>39</v>
      </c>
      <c r="G2691" s="2" t="s">
        <v>22</v>
      </c>
      <c r="H2691" s="2" t="s">
        <v>23</v>
      </c>
      <c r="I2691" s="2" t="s">
        <v>57</v>
      </c>
      <c r="J2691" s="2" t="s">
        <v>4072</v>
      </c>
      <c r="K2691" s="2" t="s">
        <v>2983</v>
      </c>
      <c r="L2691">
        <v>6</v>
      </c>
      <c r="M2691" s="1">
        <v>152000</v>
      </c>
      <c r="N2691">
        <v>4</v>
      </c>
      <c r="O2691">
        <v>10</v>
      </c>
      <c r="P2691" s="2" t="s">
        <v>53</v>
      </c>
    </row>
    <row r="2692" spans="1:16" x14ac:dyDescent="0.25">
      <c r="A2692" s="2" t="s">
        <v>8498</v>
      </c>
      <c r="B2692" s="2" t="s">
        <v>1140</v>
      </c>
      <c r="C2692" s="2" t="s">
        <v>18</v>
      </c>
      <c r="D2692" s="2" t="s">
        <v>50</v>
      </c>
      <c r="E2692" s="2" t="s">
        <v>20</v>
      </c>
      <c r="F2692" s="2" t="s">
        <v>32</v>
      </c>
      <c r="G2692" s="2" t="s">
        <v>80</v>
      </c>
      <c r="H2692" s="2" t="s">
        <v>23</v>
      </c>
      <c r="I2692" s="2" t="s">
        <v>75</v>
      </c>
      <c r="J2692" s="2" t="s">
        <v>1065</v>
      </c>
      <c r="K2692" s="2" t="s">
        <v>2993</v>
      </c>
      <c r="L2692">
        <v>4</v>
      </c>
      <c r="M2692" s="1">
        <v>260000</v>
      </c>
      <c r="N2692">
        <v>3.1</v>
      </c>
      <c r="O2692">
        <v>0</v>
      </c>
      <c r="P2692" s="2" t="s">
        <v>26</v>
      </c>
    </row>
    <row r="2693" spans="1:16" x14ac:dyDescent="0.25">
      <c r="A2693" s="2" t="s">
        <v>8499</v>
      </c>
      <c r="B2693" s="2" t="s">
        <v>6173</v>
      </c>
      <c r="C2693" s="2" t="s">
        <v>29</v>
      </c>
      <c r="D2693" s="2" t="s">
        <v>79</v>
      </c>
      <c r="E2693" s="2" t="s">
        <v>20</v>
      </c>
      <c r="F2693" s="2" t="s">
        <v>45</v>
      </c>
      <c r="G2693" s="2" t="s">
        <v>33</v>
      </c>
      <c r="H2693" s="2" t="s">
        <v>46</v>
      </c>
      <c r="I2693" s="2" t="s">
        <v>24</v>
      </c>
      <c r="J2693" s="2" t="s">
        <v>8500</v>
      </c>
      <c r="K2693" s="2" t="s">
        <v>2993</v>
      </c>
      <c r="L2693">
        <v>2</v>
      </c>
      <c r="M2693" s="1">
        <v>1358000</v>
      </c>
      <c r="N2693">
        <v>4.2</v>
      </c>
      <c r="O2693">
        <v>15</v>
      </c>
      <c r="P2693" s="2" t="s">
        <v>26</v>
      </c>
    </row>
    <row r="2694" spans="1:16" x14ac:dyDescent="0.25">
      <c r="A2694" s="2" t="s">
        <v>8501</v>
      </c>
      <c r="B2694" s="2" t="s">
        <v>939</v>
      </c>
      <c r="C2694" s="2" t="s">
        <v>18</v>
      </c>
      <c r="D2694" s="2" t="s">
        <v>43</v>
      </c>
      <c r="E2694" s="2" t="s">
        <v>20</v>
      </c>
      <c r="F2694" s="2" t="s">
        <v>39</v>
      </c>
      <c r="G2694" s="2" t="s">
        <v>80</v>
      </c>
      <c r="H2694" s="2" t="s">
        <v>62</v>
      </c>
      <c r="I2694" s="2" t="s">
        <v>57</v>
      </c>
      <c r="J2694" s="2" t="s">
        <v>887</v>
      </c>
      <c r="K2694" s="2" t="s">
        <v>2993</v>
      </c>
      <c r="L2694">
        <v>5</v>
      </c>
      <c r="M2694" s="1">
        <v>129000</v>
      </c>
      <c r="N2694">
        <v>3.2</v>
      </c>
      <c r="O2694">
        <v>16</v>
      </c>
      <c r="P2694" s="2" t="s">
        <v>26</v>
      </c>
    </row>
    <row r="2695" spans="1:16" x14ac:dyDescent="0.25">
      <c r="A2695" s="2" t="s">
        <v>8502</v>
      </c>
      <c r="B2695" s="2" t="s">
        <v>2758</v>
      </c>
      <c r="C2695" s="2" t="s">
        <v>18</v>
      </c>
      <c r="D2695" s="2" t="s">
        <v>30</v>
      </c>
      <c r="E2695" s="2" t="s">
        <v>20</v>
      </c>
      <c r="F2695" s="2" t="s">
        <v>128</v>
      </c>
      <c r="G2695" s="2" t="s">
        <v>80</v>
      </c>
      <c r="H2695" s="2" t="s">
        <v>34</v>
      </c>
      <c r="I2695" s="2" t="s">
        <v>57</v>
      </c>
      <c r="J2695" s="2" t="s">
        <v>7015</v>
      </c>
      <c r="K2695" s="2" t="s">
        <v>2993</v>
      </c>
      <c r="L2695">
        <v>3</v>
      </c>
      <c r="M2695" s="1">
        <v>523000</v>
      </c>
      <c r="N2695">
        <v>2.6</v>
      </c>
      <c r="O2695">
        <v>6</v>
      </c>
      <c r="P2695" s="2" t="s">
        <v>26</v>
      </c>
    </row>
    <row r="2696" spans="1:16" x14ac:dyDescent="0.25">
      <c r="A2696" s="2" t="s">
        <v>8503</v>
      </c>
      <c r="B2696" s="2" t="s">
        <v>5711</v>
      </c>
      <c r="C2696" s="2" t="s">
        <v>18</v>
      </c>
      <c r="D2696" s="2" t="s">
        <v>43</v>
      </c>
      <c r="E2696" s="2" t="s">
        <v>20</v>
      </c>
      <c r="F2696" s="2" t="s">
        <v>128</v>
      </c>
      <c r="G2696" s="2" t="s">
        <v>22</v>
      </c>
      <c r="H2696" s="2" t="s">
        <v>34</v>
      </c>
      <c r="I2696" s="2" t="s">
        <v>24</v>
      </c>
      <c r="J2696" s="2" t="s">
        <v>149</v>
      </c>
      <c r="K2696" s="2" t="s">
        <v>2993</v>
      </c>
      <c r="L2696">
        <v>3</v>
      </c>
      <c r="M2696" s="1">
        <v>366000</v>
      </c>
      <c r="N2696">
        <v>3.1</v>
      </c>
      <c r="O2696">
        <v>14</v>
      </c>
      <c r="P2696" s="2" t="s">
        <v>26</v>
      </c>
    </row>
    <row r="2697" spans="1:16" x14ac:dyDescent="0.25">
      <c r="A2697" s="2" t="s">
        <v>8504</v>
      </c>
      <c r="B2697" s="2" t="s">
        <v>2346</v>
      </c>
      <c r="C2697" s="2" t="s">
        <v>18</v>
      </c>
      <c r="D2697" s="2" t="s">
        <v>50</v>
      </c>
      <c r="E2697" s="2" t="s">
        <v>20</v>
      </c>
      <c r="F2697" s="2" t="s">
        <v>39</v>
      </c>
      <c r="G2697" s="2" t="s">
        <v>69</v>
      </c>
      <c r="H2697" s="2" t="s">
        <v>46</v>
      </c>
      <c r="I2697" s="2" t="s">
        <v>24</v>
      </c>
      <c r="J2697" s="2" t="s">
        <v>4365</v>
      </c>
      <c r="K2697" s="2" t="s">
        <v>2993</v>
      </c>
      <c r="L2697">
        <v>2</v>
      </c>
      <c r="M2697" s="1">
        <v>139000</v>
      </c>
      <c r="N2697">
        <v>3.6</v>
      </c>
      <c r="O2697">
        <v>13</v>
      </c>
      <c r="P2697" s="2" t="s">
        <v>53</v>
      </c>
    </row>
    <row r="2698" spans="1:16" x14ac:dyDescent="0.25">
      <c r="A2698" s="2" t="s">
        <v>8506</v>
      </c>
      <c r="B2698" s="2" t="s">
        <v>8507</v>
      </c>
      <c r="C2698" s="2" t="s">
        <v>29</v>
      </c>
      <c r="D2698" s="2" t="s">
        <v>30</v>
      </c>
      <c r="E2698" s="2" t="s">
        <v>44</v>
      </c>
      <c r="F2698" s="2" t="s">
        <v>32</v>
      </c>
      <c r="G2698" s="2" t="s">
        <v>80</v>
      </c>
      <c r="H2698" s="2" t="s">
        <v>34</v>
      </c>
      <c r="I2698" s="2" t="s">
        <v>35</v>
      </c>
      <c r="J2698" s="2" t="s">
        <v>888</v>
      </c>
      <c r="K2698" s="2" t="s">
        <v>5761</v>
      </c>
      <c r="L2698">
        <v>3</v>
      </c>
      <c r="M2698" s="1">
        <v>316000</v>
      </c>
      <c r="N2698">
        <v>3.3</v>
      </c>
      <c r="O2698">
        <v>11</v>
      </c>
      <c r="P2698" s="2" t="s">
        <v>26</v>
      </c>
    </row>
    <row r="2699" spans="1:16" x14ac:dyDescent="0.25">
      <c r="A2699" s="2" t="s">
        <v>8508</v>
      </c>
      <c r="B2699" s="2" t="s">
        <v>8509</v>
      </c>
      <c r="C2699" s="2" t="s">
        <v>18</v>
      </c>
      <c r="D2699" s="2" t="s">
        <v>79</v>
      </c>
      <c r="E2699" s="2" t="s">
        <v>20</v>
      </c>
      <c r="F2699" s="2" t="s">
        <v>45</v>
      </c>
      <c r="G2699" s="2" t="s">
        <v>80</v>
      </c>
      <c r="H2699" s="2" t="s">
        <v>34</v>
      </c>
      <c r="I2699" s="2" t="s">
        <v>24</v>
      </c>
      <c r="J2699" s="2" t="s">
        <v>6566</v>
      </c>
      <c r="K2699" s="2" t="s">
        <v>5761</v>
      </c>
      <c r="L2699">
        <v>3</v>
      </c>
      <c r="M2699" s="1">
        <v>1194000</v>
      </c>
      <c r="N2699">
        <v>5</v>
      </c>
      <c r="O2699">
        <v>5</v>
      </c>
      <c r="P2699" s="2" t="s">
        <v>26</v>
      </c>
    </row>
    <row r="2700" spans="1:16" x14ac:dyDescent="0.25">
      <c r="A2700" s="2" t="s">
        <v>8510</v>
      </c>
      <c r="B2700" s="2" t="s">
        <v>5889</v>
      </c>
      <c r="C2700" s="2" t="s">
        <v>18</v>
      </c>
      <c r="D2700" s="2" t="s">
        <v>50</v>
      </c>
      <c r="E2700" s="2" t="s">
        <v>44</v>
      </c>
      <c r="F2700" s="2" t="s">
        <v>32</v>
      </c>
      <c r="G2700" s="2" t="s">
        <v>80</v>
      </c>
      <c r="H2700" s="2" t="s">
        <v>46</v>
      </c>
      <c r="I2700" s="2" t="s">
        <v>24</v>
      </c>
      <c r="J2700" s="2" t="s">
        <v>8511</v>
      </c>
      <c r="K2700" s="2" t="s">
        <v>5761</v>
      </c>
      <c r="L2700">
        <v>5</v>
      </c>
      <c r="M2700" s="1">
        <v>283000</v>
      </c>
      <c r="N2700">
        <v>3.5</v>
      </c>
      <c r="O2700">
        <v>29</v>
      </c>
      <c r="P2700" s="2" t="s">
        <v>26</v>
      </c>
    </row>
    <row r="2701" spans="1:16" x14ac:dyDescent="0.25">
      <c r="A2701" s="2" t="s">
        <v>8512</v>
      </c>
      <c r="B2701" s="2" t="s">
        <v>4429</v>
      </c>
      <c r="C2701" s="2" t="s">
        <v>29</v>
      </c>
      <c r="D2701" s="2" t="s">
        <v>79</v>
      </c>
      <c r="E2701" s="2" t="s">
        <v>44</v>
      </c>
      <c r="F2701" s="2" t="s">
        <v>32</v>
      </c>
      <c r="G2701" s="2" t="s">
        <v>80</v>
      </c>
      <c r="H2701" s="2" t="s">
        <v>23</v>
      </c>
      <c r="I2701" s="2" t="s">
        <v>57</v>
      </c>
      <c r="J2701" s="2" t="s">
        <v>339</v>
      </c>
      <c r="K2701" s="2" t="s">
        <v>5761</v>
      </c>
      <c r="L2701">
        <v>3</v>
      </c>
      <c r="M2701" s="1">
        <v>315000</v>
      </c>
      <c r="N2701">
        <v>3.1</v>
      </c>
      <c r="O2701">
        <v>6</v>
      </c>
      <c r="P2701" s="2" t="s">
        <v>26</v>
      </c>
    </row>
    <row r="2702" spans="1:16" x14ac:dyDescent="0.25">
      <c r="A2702" s="2" t="s">
        <v>8513</v>
      </c>
      <c r="B2702" s="2" t="s">
        <v>1996</v>
      </c>
      <c r="C2702" s="2" t="s">
        <v>18</v>
      </c>
      <c r="D2702" s="2" t="s">
        <v>50</v>
      </c>
      <c r="E2702" s="2" t="s">
        <v>20</v>
      </c>
      <c r="F2702" s="2" t="s">
        <v>32</v>
      </c>
      <c r="G2702" s="2" t="s">
        <v>80</v>
      </c>
      <c r="H2702" s="2" t="s">
        <v>34</v>
      </c>
      <c r="I2702" s="2" t="s">
        <v>35</v>
      </c>
      <c r="J2702" s="2" t="s">
        <v>6578</v>
      </c>
      <c r="K2702" s="2" t="s">
        <v>5761</v>
      </c>
      <c r="L2702">
        <v>4</v>
      </c>
      <c r="M2702" s="1">
        <v>293000</v>
      </c>
      <c r="N2702">
        <v>2.2999999999999998</v>
      </c>
      <c r="O2702">
        <v>27</v>
      </c>
      <c r="P2702" s="2" t="s">
        <v>114</v>
      </c>
    </row>
    <row r="2703" spans="1:16" x14ac:dyDescent="0.25">
      <c r="A2703" s="2" t="s">
        <v>8514</v>
      </c>
      <c r="B2703" s="2" t="s">
        <v>2148</v>
      </c>
      <c r="C2703" s="2" t="s">
        <v>18</v>
      </c>
      <c r="D2703" s="2" t="s">
        <v>50</v>
      </c>
      <c r="E2703" s="2" t="s">
        <v>44</v>
      </c>
      <c r="F2703" s="2" t="s">
        <v>39</v>
      </c>
      <c r="G2703" s="2" t="s">
        <v>80</v>
      </c>
      <c r="H2703" s="2" t="s">
        <v>46</v>
      </c>
      <c r="I2703" s="2" t="s">
        <v>24</v>
      </c>
      <c r="J2703" s="2" t="s">
        <v>3011</v>
      </c>
      <c r="K2703" s="2" t="s">
        <v>7704</v>
      </c>
      <c r="L2703">
        <v>6</v>
      </c>
      <c r="M2703" s="1">
        <v>146000</v>
      </c>
      <c r="N2703">
        <v>2.8</v>
      </c>
      <c r="O2703">
        <v>1</v>
      </c>
      <c r="P2703" s="2" t="s">
        <v>26</v>
      </c>
    </row>
    <row r="2704" spans="1:16" x14ac:dyDescent="0.25">
      <c r="A2704" s="2" t="s">
        <v>8515</v>
      </c>
      <c r="B2704" s="2" t="s">
        <v>3871</v>
      </c>
      <c r="C2704" s="2" t="s">
        <v>18</v>
      </c>
      <c r="D2704" s="2" t="s">
        <v>79</v>
      </c>
      <c r="E2704" s="2" t="s">
        <v>31</v>
      </c>
      <c r="F2704" s="2" t="s">
        <v>32</v>
      </c>
      <c r="G2704" s="2" t="s">
        <v>33</v>
      </c>
      <c r="H2704" s="2" t="s">
        <v>62</v>
      </c>
      <c r="I2704" s="2" t="s">
        <v>57</v>
      </c>
      <c r="J2704" s="2" t="s">
        <v>3813</v>
      </c>
      <c r="K2704" s="2" t="s">
        <v>7704</v>
      </c>
      <c r="L2704">
        <v>2</v>
      </c>
      <c r="M2704" s="1">
        <v>208000</v>
      </c>
      <c r="N2704">
        <v>4.4000000000000004</v>
      </c>
      <c r="O2704">
        <v>5</v>
      </c>
      <c r="P2704" s="2" t="s">
        <v>26</v>
      </c>
    </row>
    <row r="2705" spans="1:16" x14ac:dyDescent="0.25">
      <c r="A2705" s="2" t="s">
        <v>8517</v>
      </c>
      <c r="B2705" s="2" t="s">
        <v>2881</v>
      </c>
      <c r="C2705" s="2" t="s">
        <v>29</v>
      </c>
      <c r="D2705" s="2" t="s">
        <v>50</v>
      </c>
      <c r="E2705" s="2" t="s">
        <v>44</v>
      </c>
      <c r="F2705" s="2" t="s">
        <v>39</v>
      </c>
      <c r="G2705" s="2" t="s">
        <v>80</v>
      </c>
      <c r="H2705" s="2" t="s">
        <v>46</v>
      </c>
      <c r="I2705" s="2" t="s">
        <v>24</v>
      </c>
      <c r="J2705" s="2" t="s">
        <v>1860</v>
      </c>
      <c r="K2705" s="2" t="s">
        <v>7704</v>
      </c>
      <c r="L2705">
        <v>5</v>
      </c>
      <c r="M2705" s="1">
        <v>177000</v>
      </c>
      <c r="N2705">
        <v>4</v>
      </c>
      <c r="O2705">
        <v>0</v>
      </c>
      <c r="P2705" s="2" t="s">
        <v>26</v>
      </c>
    </row>
    <row r="2706" spans="1:16" x14ac:dyDescent="0.25">
      <c r="A2706" s="2" t="s">
        <v>8518</v>
      </c>
      <c r="B2706" s="2" t="s">
        <v>8519</v>
      </c>
      <c r="C2706" s="2" t="s">
        <v>18</v>
      </c>
      <c r="D2706" s="2" t="s">
        <v>50</v>
      </c>
      <c r="E2706" s="2" t="s">
        <v>44</v>
      </c>
      <c r="F2706" s="2" t="s">
        <v>45</v>
      </c>
      <c r="G2706" s="2" t="s">
        <v>69</v>
      </c>
      <c r="H2706" s="2" t="s">
        <v>34</v>
      </c>
      <c r="I2706" s="2" t="s">
        <v>171</v>
      </c>
      <c r="J2706" s="2" t="s">
        <v>102</v>
      </c>
      <c r="K2706" s="2" t="s">
        <v>7704</v>
      </c>
      <c r="L2706">
        <v>5</v>
      </c>
      <c r="M2706" s="1">
        <v>1030000</v>
      </c>
      <c r="N2706">
        <v>4.9000000000000004</v>
      </c>
      <c r="O2706">
        <v>8</v>
      </c>
      <c r="P2706" s="2" t="s">
        <v>26</v>
      </c>
    </row>
    <row r="2707" spans="1:16" x14ac:dyDescent="0.25">
      <c r="A2707" s="2" t="s">
        <v>8523</v>
      </c>
      <c r="B2707" s="2" t="s">
        <v>8524</v>
      </c>
      <c r="C2707" s="2" t="s">
        <v>18</v>
      </c>
      <c r="D2707" s="2" t="s">
        <v>30</v>
      </c>
      <c r="E2707" s="2" t="s">
        <v>31</v>
      </c>
      <c r="F2707" s="2" t="s">
        <v>39</v>
      </c>
      <c r="G2707" s="2" t="s">
        <v>69</v>
      </c>
      <c r="H2707" s="2" t="s">
        <v>34</v>
      </c>
      <c r="I2707" s="2" t="s">
        <v>75</v>
      </c>
      <c r="J2707" s="2" t="s">
        <v>1056</v>
      </c>
      <c r="K2707" s="2" t="s">
        <v>7704</v>
      </c>
      <c r="L2707">
        <v>5</v>
      </c>
      <c r="M2707" s="1">
        <v>98000</v>
      </c>
      <c r="N2707">
        <v>3.5</v>
      </c>
      <c r="O2707">
        <v>11</v>
      </c>
      <c r="P2707" s="2" t="s">
        <v>53</v>
      </c>
    </row>
    <row r="2708" spans="1:16" x14ac:dyDescent="0.25">
      <c r="A2708" s="2" t="s">
        <v>8530</v>
      </c>
      <c r="B2708" s="2" t="s">
        <v>8531</v>
      </c>
      <c r="C2708" s="2" t="s">
        <v>29</v>
      </c>
      <c r="D2708" s="2" t="s">
        <v>50</v>
      </c>
      <c r="E2708" s="2" t="s">
        <v>44</v>
      </c>
      <c r="F2708" s="2" t="s">
        <v>21</v>
      </c>
      <c r="G2708" s="2" t="s">
        <v>33</v>
      </c>
      <c r="H2708" s="2" t="s">
        <v>23</v>
      </c>
      <c r="I2708" s="2" t="s">
        <v>75</v>
      </c>
      <c r="J2708" s="2" t="s">
        <v>4333</v>
      </c>
      <c r="K2708" s="2" t="s">
        <v>1037</v>
      </c>
      <c r="L2708">
        <v>6</v>
      </c>
      <c r="M2708" s="1">
        <v>895000</v>
      </c>
      <c r="N2708">
        <v>4.0999999999999996</v>
      </c>
      <c r="O2708">
        <v>9</v>
      </c>
      <c r="P2708" s="2" t="s">
        <v>72</v>
      </c>
    </row>
    <row r="2709" spans="1:16" x14ac:dyDescent="0.25">
      <c r="A2709" s="2" t="s">
        <v>8532</v>
      </c>
      <c r="B2709" s="2" t="s">
        <v>6614</v>
      </c>
      <c r="C2709" s="2" t="s">
        <v>29</v>
      </c>
      <c r="D2709" s="2" t="s">
        <v>30</v>
      </c>
      <c r="E2709" s="2" t="s">
        <v>20</v>
      </c>
      <c r="F2709" s="2" t="s">
        <v>39</v>
      </c>
      <c r="G2709" s="2" t="s">
        <v>80</v>
      </c>
      <c r="H2709" s="2" t="s">
        <v>34</v>
      </c>
      <c r="I2709" s="2" t="s">
        <v>24</v>
      </c>
      <c r="J2709" s="2" t="s">
        <v>8533</v>
      </c>
      <c r="K2709" s="2" t="s">
        <v>1977</v>
      </c>
      <c r="L2709">
        <v>2</v>
      </c>
      <c r="M2709" s="1">
        <v>98000</v>
      </c>
      <c r="N2709">
        <v>3.1</v>
      </c>
      <c r="O2709">
        <v>4</v>
      </c>
      <c r="P2709" s="2" t="s">
        <v>53</v>
      </c>
    </row>
    <row r="2710" spans="1:16" x14ac:dyDescent="0.25">
      <c r="A2710" s="2" t="s">
        <v>8534</v>
      </c>
      <c r="B2710" s="2" t="s">
        <v>5844</v>
      </c>
      <c r="C2710" s="2" t="s">
        <v>18</v>
      </c>
      <c r="D2710" s="2" t="s">
        <v>50</v>
      </c>
      <c r="E2710" s="2" t="s">
        <v>31</v>
      </c>
      <c r="F2710" s="2" t="s">
        <v>39</v>
      </c>
      <c r="G2710" s="2" t="s">
        <v>22</v>
      </c>
      <c r="H2710" s="2" t="s">
        <v>34</v>
      </c>
      <c r="I2710" s="2" t="s">
        <v>24</v>
      </c>
      <c r="J2710" s="2" t="s">
        <v>5496</v>
      </c>
      <c r="K2710" s="2" t="s">
        <v>3889</v>
      </c>
      <c r="L2710">
        <v>5</v>
      </c>
      <c r="M2710" s="1">
        <v>96000</v>
      </c>
      <c r="N2710">
        <v>3.1</v>
      </c>
      <c r="O2710">
        <v>1</v>
      </c>
      <c r="P2710" s="2" t="s">
        <v>26</v>
      </c>
    </row>
    <row r="2711" spans="1:16" x14ac:dyDescent="0.25">
      <c r="A2711" s="2" t="s">
        <v>8535</v>
      </c>
      <c r="B2711" s="2" t="s">
        <v>5109</v>
      </c>
      <c r="C2711" s="2" t="s">
        <v>29</v>
      </c>
      <c r="D2711" s="2" t="s">
        <v>50</v>
      </c>
      <c r="E2711" s="2" t="s">
        <v>20</v>
      </c>
      <c r="F2711" s="2" t="s">
        <v>39</v>
      </c>
      <c r="G2711" s="2" t="s">
        <v>22</v>
      </c>
      <c r="H2711" s="2" t="s">
        <v>34</v>
      </c>
      <c r="I2711" s="2" t="s">
        <v>57</v>
      </c>
      <c r="J2711" s="2" t="s">
        <v>4288</v>
      </c>
      <c r="K2711" s="2" t="s">
        <v>3889</v>
      </c>
      <c r="L2711">
        <v>5</v>
      </c>
      <c r="M2711" s="1">
        <v>130000</v>
      </c>
      <c r="N2711">
        <v>2.1</v>
      </c>
      <c r="O2711">
        <v>13</v>
      </c>
      <c r="P2711" s="2" t="s">
        <v>26</v>
      </c>
    </row>
    <row r="2712" spans="1:16" x14ac:dyDescent="0.25">
      <c r="A2712" s="2" t="s">
        <v>8536</v>
      </c>
      <c r="B2712" s="2" t="s">
        <v>8537</v>
      </c>
      <c r="C2712" s="2" t="s">
        <v>18</v>
      </c>
      <c r="D2712" s="2" t="s">
        <v>30</v>
      </c>
      <c r="E2712" s="2" t="s">
        <v>44</v>
      </c>
      <c r="F2712" s="2" t="s">
        <v>32</v>
      </c>
      <c r="G2712" s="2" t="s">
        <v>33</v>
      </c>
      <c r="H2712" s="2" t="s">
        <v>23</v>
      </c>
      <c r="I2712" s="2" t="s">
        <v>24</v>
      </c>
      <c r="J2712" s="2" t="s">
        <v>2110</v>
      </c>
      <c r="K2712" s="2" t="s">
        <v>3889</v>
      </c>
      <c r="L2712">
        <v>6</v>
      </c>
      <c r="M2712" s="1">
        <v>204000</v>
      </c>
      <c r="N2712">
        <v>2.8</v>
      </c>
      <c r="O2712">
        <v>14</v>
      </c>
      <c r="P2712" s="2" t="s">
        <v>53</v>
      </c>
    </row>
    <row r="2713" spans="1:16" x14ac:dyDescent="0.25">
      <c r="A2713" s="2" t="s">
        <v>8538</v>
      </c>
      <c r="B2713" s="2" t="s">
        <v>8539</v>
      </c>
      <c r="C2713" s="2" t="s">
        <v>18</v>
      </c>
      <c r="D2713" s="2" t="s">
        <v>50</v>
      </c>
      <c r="E2713" s="2" t="s">
        <v>31</v>
      </c>
      <c r="F2713" s="2" t="s">
        <v>32</v>
      </c>
      <c r="G2713" s="2" t="s">
        <v>69</v>
      </c>
      <c r="H2713" s="2" t="s">
        <v>23</v>
      </c>
      <c r="I2713" s="2" t="s">
        <v>75</v>
      </c>
      <c r="J2713" s="2" t="s">
        <v>3634</v>
      </c>
      <c r="K2713" s="2" t="s">
        <v>8541</v>
      </c>
      <c r="L2713">
        <v>5</v>
      </c>
      <c r="M2713" s="1">
        <v>268000</v>
      </c>
      <c r="N2713">
        <v>4.8</v>
      </c>
      <c r="O2713">
        <v>6</v>
      </c>
      <c r="P2713" s="2" t="s">
        <v>26</v>
      </c>
    </row>
    <row r="2714" spans="1:16" x14ac:dyDescent="0.25">
      <c r="A2714" s="2" t="s">
        <v>8540</v>
      </c>
      <c r="B2714" s="2" t="s">
        <v>7085</v>
      </c>
      <c r="C2714" s="2" t="s">
        <v>18</v>
      </c>
      <c r="D2714" s="2" t="s">
        <v>50</v>
      </c>
      <c r="E2714" s="2" t="s">
        <v>20</v>
      </c>
      <c r="F2714" s="2" t="s">
        <v>128</v>
      </c>
      <c r="G2714" s="2" t="s">
        <v>69</v>
      </c>
      <c r="H2714" s="2" t="s">
        <v>23</v>
      </c>
      <c r="I2714" s="2" t="s">
        <v>57</v>
      </c>
      <c r="J2714" s="2" t="s">
        <v>351</v>
      </c>
      <c r="K2714" s="2" t="s">
        <v>8541</v>
      </c>
      <c r="L2714">
        <v>6</v>
      </c>
      <c r="M2714" s="1">
        <v>549000</v>
      </c>
      <c r="N2714">
        <v>4.4000000000000004</v>
      </c>
      <c r="O2714">
        <v>3</v>
      </c>
      <c r="P2714" s="2" t="s">
        <v>53</v>
      </c>
    </row>
    <row r="2715" spans="1:16" x14ac:dyDescent="0.25">
      <c r="A2715" s="2" t="s">
        <v>8542</v>
      </c>
      <c r="B2715" s="2" t="s">
        <v>8543</v>
      </c>
      <c r="C2715" s="2" t="s">
        <v>18</v>
      </c>
      <c r="D2715" s="2" t="s">
        <v>43</v>
      </c>
      <c r="E2715" s="2" t="s">
        <v>20</v>
      </c>
      <c r="F2715" s="2" t="s">
        <v>32</v>
      </c>
      <c r="G2715" s="2" t="s">
        <v>22</v>
      </c>
      <c r="H2715" s="2" t="s">
        <v>34</v>
      </c>
      <c r="I2715" s="2" t="s">
        <v>24</v>
      </c>
      <c r="J2715" s="2" t="s">
        <v>5091</v>
      </c>
      <c r="K2715" s="2" t="s">
        <v>3066</v>
      </c>
      <c r="L2715">
        <v>3</v>
      </c>
      <c r="M2715" s="1">
        <v>270000</v>
      </c>
      <c r="N2715">
        <v>4.2</v>
      </c>
      <c r="O2715">
        <v>11</v>
      </c>
      <c r="P2715" s="2" t="s">
        <v>26</v>
      </c>
    </row>
    <row r="2716" spans="1:16" x14ac:dyDescent="0.25">
      <c r="A2716" s="2" t="s">
        <v>8550</v>
      </c>
      <c r="B2716" s="2" t="s">
        <v>8551</v>
      </c>
      <c r="C2716" s="2" t="s">
        <v>29</v>
      </c>
      <c r="D2716" s="2" t="s">
        <v>79</v>
      </c>
      <c r="E2716" s="2" t="s">
        <v>20</v>
      </c>
      <c r="F2716" s="2" t="s">
        <v>128</v>
      </c>
      <c r="G2716" s="2" t="s">
        <v>33</v>
      </c>
      <c r="H2716" s="2" t="s">
        <v>34</v>
      </c>
      <c r="I2716" s="2" t="s">
        <v>35</v>
      </c>
      <c r="J2716" s="2" t="s">
        <v>3188</v>
      </c>
      <c r="K2716" s="2" t="s">
        <v>3066</v>
      </c>
      <c r="L2716">
        <v>5</v>
      </c>
      <c r="M2716" s="1">
        <v>353000</v>
      </c>
      <c r="N2716">
        <v>3</v>
      </c>
      <c r="O2716">
        <v>7</v>
      </c>
      <c r="P2716" s="2" t="s">
        <v>26</v>
      </c>
    </row>
    <row r="2717" spans="1:16" x14ac:dyDescent="0.25">
      <c r="A2717" s="2" t="s">
        <v>8552</v>
      </c>
      <c r="B2717" s="2" t="s">
        <v>4877</v>
      </c>
      <c r="C2717" s="2" t="s">
        <v>18</v>
      </c>
      <c r="D2717" s="2" t="s">
        <v>50</v>
      </c>
      <c r="E2717" s="2" t="s">
        <v>44</v>
      </c>
      <c r="F2717" s="2" t="s">
        <v>39</v>
      </c>
      <c r="G2717" s="2" t="s">
        <v>80</v>
      </c>
      <c r="H2717" s="2" t="s">
        <v>23</v>
      </c>
      <c r="I2717" s="2" t="s">
        <v>57</v>
      </c>
      <c r="J2717" s="2" t="s">
        <v>2487</v>
      </c>
      <c r="K2717" s="2" t="s">
        <v>3066</v>
      </c>
      <c r="L2717">
        <v>2</v>
      </c>
      <c r="M2717" s="1">
        <v>138000</v>
      </c>
      <c r="N2717">
        <v>4.8</v>
      </c>
      <c r="O2717">
        <v>1</v>
      </c>
      <c r="P2717" s="2" t="s">
        <v>26</v>
      </c>
    </row>
    <row r="2718" spans="1:16" x14ac:dyDescent="0.25">
      <c r="A2718" s="2" t="s">
        <v>8554</v>
      </c>
      <c r="B2718" s="2" t="s">
        <v>2360</v>
      </c>
      <c r="C2718" s="2" t="s">
        <v>29</v>
      </c>
      <c r="D2718" s="2" t="s">
        <v>50</v>
      </c>
      <c r="E2718" s="2" t="s">
        <v>20</v>
      </c>
      <c r="F2718" s="2" t="s">
        <v>128</v>
      </c>
      <c r="G2718" s="2" t="s">
        <v>22</v>
      </c>
      <c r="H2718" s="2" t="s">
        <v>34</v>
      </c>
      <c r="I2718" s="2" t="s">
        <v>24</v>
      </c>
      <c r="J2718" s="2" t="s">
        <v>1225</v>
      </c>
      <c r="K2718" s="2" t="s">
        <v>3066</v>
      </c>
      <c r="L2718">
        <v>5</v>
      </c>
      <c r="M2718" s="1">
        <v>508000</v>
      </c>
      <c r="N2718">
        <v>2.5</v>
      </c>
      <c r="O2718">
        <v>6</v>
      </c>
      <c r="P2718" s="2" t="s">
        <v>53</v>
      </c>
    </row>
    <row r="2719" spans="1:16" x14ac:dyDescent="0.25">
      <c r="A2719" s="2" t="s">
        <v>8555</v>
      </c>
      <c r="B2719" s="2" t="s">
        <v>4619</v>
      </c>
      <c r="C2719" s="2" t="s">
        <v>18</v>
      </c>
      <c r="D2719" s="2" t="s">
        <v>30</v>
      </c>
      <c r="E2719" s="2" t="s">
        <v>31</v>
      </c>
      <c r="F2719" s="2" t="s">
        <v>39</v>
      </c>
      <c r="G2719" s="2" t="s">
        <v>80</v>
      </c>
      <c r="H2719" s="2" t="s">
        <v>23</v>
      </c>
      <c r="I2719" s="2" t="s">
        <v>57</v>
      </c>
      <c r="J2719" s="2" t="s">
        <v>493</v>
      </c>
      <c r="K2719" s="2" t="s">
        <v>1145</v>
      </c>
      <c r="L2719">
        <v>2</v>
      </c>
      <c r="M2719" s="1">
        <v>129000</v>
      </c>
      <c r="N2719">
        <v>3.1</v>
      </c>
      <c r="O2719">
        <v>0</v>
      </c>
      <c r="P2719" s="2" t="s">
        <v>26</v>
      </c>
    </row>
    <row r="2720" spans="1:16" x14ac:dyDescent="0.25">
      <c r="A2720" s="2" t="s">
        <v>8558</v>
      </c>
      <c r="B2720" s="2" t="s">
        <v>2575</v>
      </c>
      <c r="C2720" s="2" t="s">
        <v>18</v>
      </c>
      <c r="D2720" s="2" t="s">
        <v>43</v>
      </c>
      <c r="E2720" s="2" t="s">
        <v>20</v>
      </c>
      <c r="F2720" s="2" t="s">
        <v>45</v>
      </c>
      <c r="G2720" s="2" t="s">
        <v>22</v>
      </c>
      <c r="H2720" s="2" t="s">
        <v>23</v>
      </c>
      <c r="I2720" s="2" t="s">
        <v>24</v>
      </c>
      <c r="J2720" s="2" t="s">
        <v>4642</v>
      </c>
      <c r="K2720" s="2" t="s">
        <v>1145</v>
      </c>
      <c r="L2720">
        <v>5</v>
      </c>
      <c r="M2720" s="1">
        <v>1471000</v>
      </c>
      <c r="N2720">
        <v>4</v>
      </c>
      <c r="O2720">
        <v>40</v>
      </c>
      <c r="P2720" s="2" t="s">
        <v>26</v>
      </c>
    </row>
    <row r="2721" spans="1:16" x14ac:dyDescent="0.25">
      <c r="A2721" s="2" t="s">
        <v>8559</v>
      </c>
      <c r="B2721" s="2" t="s">
        <v>3666</v>
      </c>
      <c r="C2721" s="2" t="s">
        <v>29</v>
      </c>
      <c r="D2721" s="2" t="s">
        <v>50</v>
      </c>
      <c r="E2721" s="2" t="s">
        <v>20</v>
      </c>
      <c r="F2721" s="2" t="s">
        <v>32</v>
      </c>
      <c r="G2721" s="2" t="s">
        <v>69</v>
      </c>
      <c r="H2721" s="2" t="s">
        <v>34</v>
      </c>
      <c r="I2721" s="2" t="s">
        <v>75</v>
      </c>
      <c r="J2721" s="2" t="s">
        <v>3085</v>
      </c>
      <c r="K2721" s="2" t="s">
        <v>1145</v>
      </c>
      <c r="L2721">
        <v>5</v>
      </c>
      <c r="M2721" s="1">
        <v>227000</v>
      </c>
      <c r="N2721">
        <v>3.2</v>
      </c>
      <c r="O2721">
        <v>7</v>
      </c>
      <c r="P2721" s="2" t="s">
        <v>26</v>
      </c>
    </row>
    <row r="2722" spans="1:16" x14ac:dyDescent="0.25">
      <c r="A2722" s="2" t="s">
        <v>8561</v>
      </c>
      <c r="B2722" s="2" t="s">
        <v>1201</v>
      </c>
      <c r="C2722" s="2" t="s">
        <v>29</v>
      </c>
      <c r="D2722" s="2" t="s">
        <v>50</v>
      </c>
      <c r="E2722" s="2" t="s">
        <v>20</v>
      </c>
      <c r="F2722" s="2" t="s">
        <v>32</v>
      </c>
      <c r="G2722" s="2" t="s">
        <v>22</v>
      </c>
      <c r="H2722" s="2" t="s">
        <v>34</v>
      </c>
      <c r="I2722" s="2" t="s">
        <v>57</v>
      </c>
      <c r="J2722" s="2" t="s">
        <v>1097</v>
      </c>
      <c r="K2722" s="2" t="s">
        <v>1145</v>
      </c>
      <c r="L2722">
        <v>5</v>
      </c>
      <c r="M2722" s="1">
        <v>181000</v>
      </c>
      <c r="N2722">
        <v>4.2</v>
      </c>
      <c r="O2722">
        <v>2</v>
      </c>
      <c r="P2722" s="2" t="s">
        <v>26</v>
      </c>
    </row>
    <row r="2723" spans="1:16" x14ac:dyDescent="0.25">
      <c r="A2723" s="2" t="s">
        <v>8562</v>
      </c>
      <c r="B2723" s="2" t="s">
        <v>1915</v>
      </c>
      <c r="C2723" s="2" t="s">
        <v>29</v>
      </c>
      <c r="D2723" s="2" t="s">
        <v>50</v>
      </c>
      <c r="E2723" s="2" t="s">
        <v>20</v>
      </c>
      <c r="F2723" s="2" t="s">
        <v>39</v>
      </c>
      <c r="G2723" s="2" t="s">
        <v>80</v>
      </c>
      <c r="H2723" s="2" t="s">
        <v>23</v>
      </c>
      <c r="I2723" s="2" t="s">
        <v>24</v>
      </c>
      <c r="J2723" s="2" t="s">
        <v>397</v>
      </c>
      <c r="K2723" s="2" t="s">
        <v>1145</v>
      </c>
      <c r="L2723">
        <v>5</v>
      </c>
      <c r="M2723" s="1">
        <v>137000</v>
      </c>
      <c r="N2723">
        <v>4.2</v>
      </c>
      <c r="O2723">
        <v>6</v>
      </c>
      <c r="P2723" s="2" t="s">
        <v>26</v>
      </c>
    </row>
    <row r="2724" spans="1:16" x14ac:dyDescent="0.25">
      <c r="A2724" s="2" t="s">
        <v>8564</v>
      </c>
      <c r="B2724" s="2" t="s">
        <v>650</v>
      </c>
      <c r="C2724" s="2" t="s">
        <v>29</v>
      </c>
      <c r="D2724" s="2" t="s">
        <v>43</v>
      </c>
      <c r="E2724" s="2" t="s">
        <v>20</v>
      </c>
      <c r="F2724" s="2" t="s">
        <v>21</v>
      </c>
      <c r="G2724" s="2" t="s">
        <v>80</v>
      </c>
      <c r="H2724" s="2" t="s">
        <v>23</v>
      </c>
      <c r="I2724" s="2" t="s">
        <v>24</v>
      </c>
      <c r="J2724" s="2" t="s">
        <v>2843</v>
      </c>
      <c r="K2724" s="2" t="s">
        <v>1145</v>
      </c>
      <c r="L2724">
        <v>3</v>
      </c>
      <c r="M2724" s="1">
        <v>600000</v>
      </c>
      <c r="N2724">
        <v>4.3</v>
      </c>
      <c r="O2724">
        <v>7</v>
      </c>
      <c r="P2724" s="2" t="s">
        <v>26</v>
      </c>
    </row>
    <row r="2725" spans="1:16" x14ac:dyDescent="0.25">
      <c r="A2725" s="2" t="s">
        <v>8571</v>
      </c>
      <c r="B2725" s="2" t="s">
        <v>7186</v>
      </c>
      <c r="C2725" s="2" t="s">
        <v>29</v>
      </c>
      <c r="D2725" s="2" t="s">
        <v>30</v>
      </c>
      <c r="E2725" s="2" t="s">
        <v>20</v>
      </c>
      <c r="F2725" s="2" t="s">
        <v>21</v>
      </c>
      <c r="G2725" s="2" t="s">
        <v>22</v>
      </c>
      <c r="H2725" s="2" t="s">
        <v>46</v>
      </c>
      <c r="I2725" s="2" t="s">
        <v>24</v>
      </c>
      <c r="J2725" s="2" t="s">
        <v>3612</v>
      </c>
      <c r="K2725" s="2" t="s">
        <v>1145</v>
      </c>
      <c r="L2725">
        <v>5</v>
      </c>
      <c r="M2725" s="1">
        <v>840000</v>
      </c>
      <c r="N2725">
        <v>4.3</v>
      </c>
      <c r="O2725">
        <v>5</v>
      </c>
      <c r="P2725" s="2" t="s">
        <v>26</v>
      </c>
    </row>
    <row r="2726" spans="1:16" x14ac:dyDescent="0.25">
      <c r="A2726" s="2" t="s">
        <v>8572</v>
      </c>
      <c r="B2726" s="2" t="s">
        <v>8307</v>
      </c>
      <c r="C2726" s="2" t="s">
        <v>18</v>
      </c>
      <c r="D2726" s="2" t="s">
        <v>30</v>
      </c>
      <c r="E2726" s="2" t="s">
        <v>31</v>
      </c>
      <c r="F2726" s="2" t="s">
        <v>32</v>
      </c>
      <c r="G2726" s="2" t="s">
        <v>33</v>
      </c>
      <c r="H2726" s="2" t="s">
        <v>23</v>
      </c>
      <c r="I2726" s="2" t="s">
        <v>24</v>
      </c>
      <c r="J2726" s="2" t="s">
        <v>827</v>
      </c>
      <c r="K2726" s="2" t="s">
        <v>1145</v>
      </c>
      <c r="L2726">
        <v>5</v>
      </c>
      <c r="M2726" s="1">
        <v>187000</v>
      </c>
      <c r="N2726">
        <v>1.9</v>
      </c>
      <c r="O2726">
        <v>3</v>
      </c>
      <c r="P2726" s="2" t="s">
        <v>26</v>
      </c>
    </row>
    <row r="2727" spans="1:16" x14ac:dyDescent="0.25">
      <c r="A2727" s="2" t="s">
        <v>8573</v>
      </c>
      <c r="B2727" s="2" t="s">
        <v>7356</v>
      </c>
      <c r="C2727" s="2" t="s">
        <v>18</v>
      </c>
      <c r="D2727" s="2" t="s">
        <v>79</v>
      </c>
      <c r="E2727" s="2" t="s">
        <v>20</v>
      </c>
      <c r="F2727" s="2" t="s">
        <v>128</v>
      </c>
      <c r="G2727" s="2" t="s">
        <v>33</v>
      </c>
      <c r="H2727" s="2" t="s">
        <v>46</v>
      </c>
      <c r="I2727" s="2" t="s">
        <v>171</v>
      </c>
      <c r="J2727" s="2" t="s">
        <v>6906</v>
      </c>
      <c r="K2727" s="2" t="s">
        <v>1145</v>
      </c>
      <c r="L2727">
        <v>2</v>
      </c>
      <c r="M2727" s="1">
        <v>397000</v>
      </c>
      <c r="N2727">
        <v>4.3</v>
      </c>
      <c r="O2727">
        <v>10</v>
      </c>
      <c r="P2727" s="2" t="s">
        <v>26</v>
      </c>
    </row>
    <row r="2728" spans="1:16" x14ac:dyDescent="0.25">
      <c r="A2728" s="2" t="s">
        <v>8574</v>
      </c>
      <c r="B2728" s="2" t="s">
        <v>8575</v>
      </c>
      <c r="C2728" s="2" t="s">
        <v>29</v>
      </c>
      <c r="D2728" s="2" t="s">
        <v>30</v>
      </c>
      <c r="E2728" s="2" t="s">
        <v>44</v>
      </c>
      <c r="F2728" s="2" t="s">
        <v>39</v>
      </c>
      <c r="G2728" s="2" t="s">
        <v>33</v>
      </c>
      <c r="H2728" s="2" t="s">
        <v>34</v>
      </c>
      <c r="I2728" s="2" t="s">
        <v>57</v>
      </c>
      <c r="J2728" s="2" t="s">
        <v>4309</v>
      </c>
      <c r="K2728" s="2" t="s">
        <v>1145</v>
      </c>
      <c r="L2728">
        <v>4</v>
      </c>
      <c r="M2728" s="1">
        <v>119000</v>
      </c>
      <c r="N2728">
        <v>2</v>
      </c>
      <c r="O2728">
        <v>5</v>
      </c>
      <c r="P2728" s="2" t="s">
        <v>53</v>
      </c>
    </row>
    <row r="2729" spans="1:16" x14ac:dyDescent="0.25">
      <c r="A2729" s="2" t="s">
        <v>8576</v>
      </c>
      <c r="B2729" s="2" t="s">
        <v>8577</v>
      </c>
      <c r="C2729" s="2" t="s">
        <v>18</v>
      </c>
      <c r="D2729" s="2" t="s">
        <v>43</v>
      </c>
      <c r="E2729" s="2" t="s">
        <v>44</v>
      </c>
      <c r="F2729" s="2" t="s">
        <v>32</v>
      </c>
      <c r="G2729" s="2" t="s">
        <v>33</v>
      </c>
      <c r="H2729" s="2" t="s">
        <v>23</v>
      </c>
      <c r="I2729" s="2" t="s">
        <v>57</v>
      </c>
      <c r="J2729" s="2" t="s">
        <v>3506</v>
      </c>
      <c r="K2729" s="2" t="s">
        <v>5573</v>
      </c>
      <c r="L2729">
        <v>3</v>
      </c>
      <c r="M2729" s="1">
        <v>180000</v>
      </c>
      <c r="N2729">
        <v>3.5</v>
      </c>
      <c r="O2729">
        <v>13</v>
      </c>
      <c r="P2729" s="2" t="s">
        <v>53</v>
      </c>
    </row>
    <row r="2730" spans="1:16" x14ac:dyDescent="0.25">
      <c r="A2730" s="2" t="s">
        <v>8578</v>
      </c>
      <c r="B2730" s="2" t="s">
        <v>6893</v>
      </c>
      <c r="C2730" s="2" t="s">
        <v>18</v>
      </c>
      <c r="D2730" s="2" t="s">
        <v>19</v>
      </c>
      <c r="E2730" s="2" t="s">
        <v>44</v>
      </c>
      <c r="F2730" s="2" t="s">
        <v>39</v>
      </c>
      <c r="G2730" s="2" t="s">
        <v>33</v>
      </c>
      <c r="H2730" s="2" t="s">
        <v>23</v>
      </c>
      <c r="I2730" s="2" t="s">
        <v>171</v>
      </c>
      <c r="J2730" s="2" t="s">
        <v>5112</v>
      </c>
      <c r="K2730" s="2" t="s">
        <v>4014</v>
      </c>
      <c r="L2730">
        <v>3</v>
      </c>
      <c r="M2730" s="1">
        <v>127000</v>
      </c>
      <c r="N2730">
        <v>3.8</v>
      </c>
      <c r="O2730">
        <v>30</v>
      </c>
      <c r="P2730" s="2" t="s">
        <v>53</v>
      </c>
    </row>
    <row r="2731" spans="1:16" x14ac:dyDescent="0.25">
      <c r="A2731" s="2" t="s">
        <v>8579</v>
      </c>
      <c r="B2731" s="2" t="s">
        <v>2550</v>
      </c>
      <c r="C2731" s="2" t="s">
        <v>29</v>
      </c>
      <c r="D2731" s="2" t="s">
        <v>43</v>
      </c>
      <c r="E2731" s="2" t="s">
        <v>20</v>
      </c>
      <c r="F2731" s="2" t="s">
        <v>32</v>
      </c>
      <c r="G2731" s="2" t="s">
        <v>22</v>
      </c>
      <c r="H2731" s="2" t="s">
        <v>46</v>
      </c>
      <c r="I2731" s="2" t="s">
        <v>57</v>
      </c>
      <c r="J2731" s="2" t="s">
        <v>4790</v>
      </c>
      <c r="K2731" s="2" t="s">
        <v>168</v>
      </c>
      <c r="L2731">
        <v>3</v>
      </c>
      <c r="M2731" s="1">
        <v>262000</v>
      </c>
      <c r="N2731">
        <v>4.9000000000000004</v>
      </c>
      <c r="O2731">
        <v>9</v>
      </c>
      <c r="P2731" s="2" t="s">
        <v>72</v>
      </c>
    </row>
    <row r="2732" spans="1:16" x14ac:dyDescent="0.25">
      <c r="A2732" s="2" t="s">
        <v>8581</v>
      </c>
      <c r="B2732" s="2" t="s">
        <v>8582</v>
      </c>
      <c r="C2732" s="2" t="s">
        <v>29</v>
      </c>
      <c r="D2732" s="2" t="s">
        <v>79</v>
      </c>
      <c r="E2732" s="2" t="s">
        <v>20</v>
      </c>
      <c r="F2732" s="2" t="s">
        <v>128</v>
      </c>
      <c r="G2732" s="2" t="s">
        <v>69</v>
      </c>
      <c r="H2732" s="2" t="s">
        <v>46</v>
      </c>
      <c r="I2732" s="2" t="s">
        <v>57</v>
      </c>
      <c r="J2732" s="2" t="s">
        <v>4011</v>
      </c>
      <c r="K2732" s="2" t="s">
        <v>2751</v>
      </c>
      <c r="L2732">
        <v>6</v>
      </c>
      <c r="M2732" s="1">
        <v>410000</v>
      </c>
      <c r="N2732">
        <v>2.2000000000000002</v>
      </c>
      <c r="O2732">
        <v>13</v>
      </c>
      <c r="P2732" s="2" t="s">
        <v>26</v>
      </c>
    </row>
    <row r="2733" spans="1:16" x14ac:dyDescent="0.25">
      <c r="A2733" s="2" t="s">
        <v>8584</v>
      </c>
      <c r="B2733" s="2" t="s">
        <v>8585</v>
      </c>
      <c r="C2733" s="2" t="s">
        <v>29</v>
      </c>
      <c r="D2733" s="2" t="s">
        <v>50</v>
      </c>
      <c r="E2733" s="2" t="s">
        <v>20</v>
      </c>
      <c r="F2733" s="2" t="s">
        <v>32</v>
      </c>
      <c r="G2733" s="2" t="s">
        <v>33</v>
      </c>
      <c r="H2733" s="2" t="s">
        <v>23</v>
      </c>
      <c r="I2733" s="2" t="s">
        <v>35</v>
      </c>
      <c r="J2733" s="2" t="s">
        <v>8586</v>
      </c>
      <c r="K2733" s="2" t="s">
        <v>2751</v>
      </c>
      <c r="L2733">
        <v>4</v>
      </c>
      <c r="M2733" s="1">
        <v>185000</v>
      </c>
      <c r="N2733">
        <v>3.8</v>
      </c>
      <c r="O2733">
        <v>9</v>
      </c>
      <c r="P2733" s="2" t="s">
        <v>26</v>
      </c>
    </row>
    <row r="2734" spans="1:16" x14ac:dyDescent="0.25">
      <c r="A2734" s="2" t="s">
        <v>8587</v>
      </c>
      <c r="B2734" s="2" t="s">
        <v>8588</v>
      </c>
      <c r="C2734" s="2" t="s">
        <v>29</v>
      </c>
      <c r="D2734" s="2" t="s">
        <v>19</v>
      </c>
      <c r="E2734" s="2" t="s">
        <v>20</v>
      </c>
      <c r="F2734" s="2" t="s">
        <v>128</v>
      </c>
      <c r="G2734" s="2" t="s">
        <v>80</v>
      </c>
      <c r="H2734" s="2" t="s">
        <v>34</v>
      </c>
      <c r="I2734" s="2" t="s">
        <v>57</v>
      </c>
      <c r="J2734" s="2" t="s">
        <v>3551</v>
      </c>
      <c r="K2734" s="2" t="s">
        <v>2751</v>
      </c>
      <c r="L2734">
        <v>5</v>
      </c>
      <c r="M2734" s="1">
        <v>525000</v>
      </c>
      <c r="N2734">
        <v>3.5</v>
      </c>
      <c r="O2734">
        <v>13</v>
      </c>
      <c r="P2734" s="2" t="s">
        <v>26</v>
      </c>
    </row>
    <row r="2735" spans="1:16" x14ac:dyDescent="0.25">
      <c r="A2735" s="2" t="s">
        <v>8589</v>
      </c>
      <c r="B2735" s="2" t="s">
        <v>6232</v>
      </c>
      <c r="C2735" s="2" t="s">
        <v>18</v>
      </c>
      <c r="D2735" s="2" t="s">
        <v>79</v>
      </c>
      <c r="E2735" s="2" t="s">
        <v>20</v>
      </c>
      <c r="F2735" s="2" t="s">
        <v>21</v>
      </c>
      <c r="G2735" s="2" t="s">
        <v>33</v>
      </c>
      <c r="H2735" s="2" t="s">
        <v>46</v>
      </c>
      <c r="I2735" s="2" t="s">
        <v>57</v>
      </c>
      <c r="J2735" s="2" t="s">
        <v>3599</v>
      </c>
      <c r="K2735" s="2" t="s">
        <v>2751</v>
      </c>
      <c r="L2735">
        <v>4</v>
      </c>
      <c r="M2735" s="1">
        <v>879000</v>
      </c>
      <c r="N2735">
        <v>3.8</v>
      </c>
      <c r="O2735">
        <v>14</v>
      </c>
      <c r="P2735" s="2" t="s">
        <v>26</v>
      </c>
    </row>
    <row r="2736" spans="1:16" x14ac:dyDescent="0.25">
      <c r="A2736" s="2" t="s">
        <v>8590</v>
      </c>
      <c r="B2736" s="2" t="s">
        <v>8591</v>
      </c>
      <c r="C2736" s="2" t="s">
        <v>18</v>
      </c>
      <c r="D2736" s="2" t="s">
        <v>79</v>
      </c>
      <c r="E2736" s="2" t="s">
        <v>20</v>
      </c>
      <c r="F2736" s="2" t="s">
        <v>45</v>
      </c>
      <c r="G2736" s="2" t="s">
        <v>80</v>
      </c>
      <c r="H2736" s="2" t="s">
        <v>23</v>
      </c>
      <c r="I2736" s="2" t="s">
        <v>24</v>
      </c>
      <c r="J2736" s="2" t="s">
        <v>7031</v>
      </c>
      <c r="K2736" s="2" t="s">
        <v>2751</v>
      </c>
      <c r="L2736">
        <v>3</v>
      </c>
      <c r="M2736" s="1">
        <v>1858000</v>
      </c>
      <c r="N2736">
        <v>3.2</v>
      </c>
      <c r="O2736">
        <v>12</v>
      </c>
      <c r="P2736" s="2" t="s">
        <v>26</v>
      </c>
    </row>
    <row r="2737" spans="1:16" x14ac:dyDescent="0.25">
      <c r="A2737" s="2" t="s">
        <v>8593</v>
      </c>
      <c r="B2737" s="2" t="s">
        <v>8594</v>
      </c>
      <c r="C2737" s="2" t="s">
        <v>18</v>
      </c>
      <c r="D2737" s="2" t="s">
        <v>19</v>
      </c>
      <c r="E2737" s="2" t="s">
        <v>20</v>
      </c>
      <c r="F2737" s="2" t="s">
        <v>39</v>
      </c>
      <c r="G2737" s="2" t="s">
        <v>80</v>
      </c>
      <c r="H2737" s="2" t="s">
        <v>46</v>
      </c>
      <c r="I2737" s="2" t="s">
        <v>57</v>
      </c>
      <c r="J2737" s="2" t="s">
        <v>3330</v>
      </c>
      <c r="K2737" s="2" t="s">
        <v>2751</v>
      </c>
      <c r="L2737">
        <v>2</v>
      </c>
      <c r="M2737" s="1">
        <v>140000</v>
      </c>
      <c r="N2737">
        <v>4.8</v>
      </c>
      <c r="O2737">
        <v>31</v>
      </c>
      <c r="P2737" s="2" t="s">
        <v>26</v>
      </c>
    </row>
    <row r="2738" spans="1:16" x14ac:dyDescent="0.25">
      <c r="A2738" s="2" t="s">
        <v>8595</v>
      </c>
      <c r="B2738" s="2" t="s">
        <v>4573</v>
      </c>
      <c r="C2738" s="2" t="s">
        <v>18</v>
      </c>
      <c r="D2738" s="2" t="s">
        <v>43</v>
      </c>
      <c r="E2738" s="2" t="s">
        <v>20</v>
      </c>
      <c r="F2738" s="2" t="s">
        <v>32</v>
      </c>
      <c r="G2738" s="2" t="s">
        <v>22</v>
      </c>
      <c r="H2738" s="2" t="s">
        <v>46</v>
      </c>
      <c r="I2738" s="2" t="s">
        <v>24</v>
      </c>
      <c r="J2738" s="2" t="s">
        <v>2827</v>
      </c>
      <c r="K2738" s="2" t="s">
        <v>2751</v>
      </c>
      <c r="L2738">
        <v>6</v>
      </c>
      <c r="M2738" s="1">
        <v>315000</v>
      </c>
      <c r="N2738">
        <v>3.7</v>
      </c>
      <c r="O2738">
        <v>2</v>
      </c>
      <c r="P2738" s="2" t="s">
        <v>26</v>
      </c>
    </row>
    <row r="2739" spans="1:16" x14ac:dyDescent="0.25">
      <c r="A2739" s="2" t="s">
        <v>8599</v>
      </c>
      <c r="B2739" s="2" t="s">
        <v>8600</v>
      </c>
      <c r="C2739" s="2" t="s">
        <v>18</v>
      </c>
      <c r="D2739" s="2" t="s">
        <v>30</v>
      </c>
      <c r="E2739" s="2" t="s">
        <v>20</v>
      </c>
      <c r="F2739" s="2" t="s">
        <v>39</v>
      </c>
      <c r="G2739" s="2" t="s">
        <v>22</v>
      </c>
      <c r="H2739" s="2" t="s">
        <v>46</v>
      </c>
      <c r="I2739" s="2" t="s">
        <v>24</v>
      </c>
      <c r="J2739" s="2" t="s">
        <v>1225</v>
      </c>
      <c r="K2739" s="2" t="s">
        <v>2751</v>
      </c>
      <c r="L2739">
        <v>5</v>
      </c>
      <c r="M2739" s="1">
        <v>176000</v>
      </c>
      <c r="N2739">
        <v>2.4</v>
      </c>
      <c r="O2739">
        <v>4</v>
      </c>
      <c r="P2739" s="2" t="s">
        <v>26</v>
      </c>
    </row>
    <row r="2740" spans="1:16" x14ac:dyDescent="0.25">
      <c r="A2740" s="2" t="s">
        <v>8601</v>
      </c>
      <c r="B2740" s="2" t="s">
        <v>2123</v>
      </c>
      <c r="C2740" s="2" t="s">
        <v>29</v>
      </c>
      <c r="D2740" s="2" t="s">
        <v>19</v>
      </c>
      <c r="E2740" s="2" t="s">
        <v>20</v>
      </c>
      <c r="F2740" s="2" t="s">
        <v>39</v>
      </c>
      <c r="G2740" s="2" t="s">
        <v>22</v>
      </c>
      <c r="H2740" s="2" t="s">
        <v>23</v>
      </c>
      <c r="I2740" s="2" t="s">
        <v>35</v>
      </c>
      <c r="J2740" s="2" t="s">
        <v>4658</v>
      </c>
      <c r="K2740" s="2" t="s">
        <v>2751</v>
      </c>
      <c r="L2740">
        <v>6</v>
      </c>
      <c r="M2740" s="1">
        <v>146000</v>
      </c>
      <c r="N2740">
        <v>2.1</v>
      </c>
      <c r="O2740">
        <v>7</v>
      </c>
      <c r="P2740" s="2" t="s">
        <v>26</v>
      </c>
    </row>
    <row r="2741" spans="1:16" x14ac:dyDescent="0.25">
      <c r="A2741" s="2" t="s">
        <v>8602</v>
      </c>
      <c r="B2741" s="2" t="s">
        <v>4130</v>
      </c>
      <c r="C2741" s="2" t="s">
        <v>18</v>
      </c>
      <c r="D2741" s="2" t="s">
        <v>50</v>
      </c>
      <c r="E2741" s="2" t="s">
        <v>20</v>
      </c>
      <c r="F2741" s="2" t="s">
        <v>32</v>
      </c>
      <c r="G2741" s="2" t="s">
        <v>33</v>
      </c>
      <c r="H2741" s="2" t="s">
        <v>23</v>
      </c>
      <c r="I2741" s="2" t="s">
        <v>57</v>
      </c>
      <c r="J2741" s="2" t="s">
        <v>1674</v>
      </c>
      <c r="K2741" s="2" t="s">
        <v>2751</v>
      </c>
      <c r="L2741">
        <v>2</v>
      </c>
      <c r="M2741" s="1">
        <v>317000</v>
      </c>
      <c r="N2741">
        <v>2.5</v>
      </c>
      <c r="O2741">
        <v>31</v>
      </c>
      <c r="P2741" s="2" t="s">
        <v>26</v>
      </c>
    </row>
    <row r="2742" spans="1:16" x14ac:dyDescent="0.25">
      <c r="A2742" s="2" t="s">
        <v>8604</v>
      </c>
      <c r="B2742" s="2" t="s">
        <v>4719</v>
      </c>
      <c r="C2742" s="2" t="s">
        <v>29</v>
      </c>
      <c r="D2742" s="2" t="s">
        <v>43</v>
      </c>
      <c r="E2742" s="2" t="s">
        <v>20</v>
      </c>
      <c r="F2742" s="2" t="s">
        <v>39</v>
      </c>
      <c r="G2742" s="2" t="s">
        <v>22</v>
      </c>
      <c r="H2742" s="2" t="s">
        <v>23</v>
      </c>
      <c r="I2742" s="2" t="s">
        <v>35</v>
      </c>
      <c r="J2742" s="2" t="s">
        <v>533</v>
      </c>
      <c r="K2742" s="2" t="s">
        <v>2751</v>
      </c>
      <c r="L2742">
        <v>4</v>
      </c>
      <c r="M2742" s="1">
        <v>108000</v>
      </c>
      <c r="N2742">
        <v>2.4</v>
      </c>
      <c r="O2742">
        <v>8</v>
      </c>
      <c r="P2742" s="2" t="s">
        <v>26</v>
      </c>
    </row>
    <row r="2743" spans="1:16" x14ac:dyDescent="0.25">
      <c r="A2743" s="2" t="s">
        <v>8605</v>
      </c>
      <c r="B2743" s="2" t="s">
        <v>2378</v>
      </c>
      <c r="C2743" s="2" t="s">
        <v>29</v>
      </c>
      <c r="D2743" s="2" t="s">
        <v>79</v>
      </c>
      <c r="E2743" s="2" t="s">
        <v>20</v>
      </c>
      <c r="F2743" s="2" t="s">
        <v>45</v>
      </c>
      <c r="G2743" s="2" t="s">
        <v>80</v>
      </c>
      <c r="H2743" s="2" t="s">
        <v>46</v>
      </c>
      <c r="I2743" s="2" t="s">
        <v>24</v>
      </c>
      <c r="J2743" s="2" t="s">
        <v>5128</v>
      </c>
      <c r="K2743" s="2" t="s">
        <v>2751</v>
      </c>
      <c r="L2743">
        <v>6</v>
      </c>
      <c r="M2743" s="1">
        <v>1690000</v>
      </c>
      <c r="N2743">
        <v>3.1</v>
      </c>
      <c r="O2743">
        <v>4</v>
      </c>
      <c r="P2743" s="2" t="s">
        <v>114</v>
      </c>
    </row>
    <row r="2744" spans="1:16" x14ac:dyDescent="0.25">
      <c r="A2744" s="2" t="s">
        <v>8606</v>
      </c>
      <c r="B2744" s="2" t="s">
        <v>8607</v>
      </c>
      <c r="C2744" s="2" t="s">
        <v>18</v>
      </c>
      <c r="D2744" s="2" t="s">
        <v>50</v>
      </c>
      <c r="E2744" s="2" t="s">
        <v>20</v>
      </c>
      <c r="F2744" s="2" t="s">
        <v>39</v>
      </c>
      <c r="G2744" s="2" t="s">
        <v>33</v>
      </c>
      <c r="H2744" s="2" t="s">
        <v>62</v>
      </c>
      <c r="I2744" s="2" t="s">
        <v>24</v>
      </c>
      <c r="J2744" s="2" t="s">
        <v>378</v>
      </c>
      <c r="K2744" s="2" t="s">
        <v>5775</v>
      </c>
      <c r="L2744">
        <v>6</v>
      </c>
      <c r="M2744" s="1">
        <v>91000</v>
      </c>
      <c r="N2744">
        <v>2.4</v>
      </c>
      <c r="O2744">
        <v>2</v>
      </c>
      <c r="P2744" s="2" t="s">
        <v>26</v>
      </c>
    </row>
    <row r="2745" spans="1:16" x14ac:dyDescent="0.25">
      <c r="A2745" s="2" t="s">
        <v>8608</v>
      </c>
      <c r="B2745" s="2" t="s">
        <v>4836</v>
      </c>
      <c r="C2745" s="2" t="s">
        <v>29</v>
      </c>
      <c r="D2745" s="2" t="s">
        <v>43</v>
      </c>
      <c r="E2745" s="2" t="s">
        <v>44</v>
      </c>
      <c r="F2745" s="2" t="s">
        <v>21</v>
      </c>
      <c r="G2745" s="2" t="s">
        <v>33</v>
      </c>
      <c r="H2745" s="2" t="s">
        <v>62</v>
      </c>
      <c r="I2745" s="2" t="s">
        <v>57</v>
      </c>
      <c r="J2745" s="2" t="s">
        <v>1558</v>
      </c>
      <c r="K2745" s="2" t="s">
        <v>5775</v>
      </c>
      <c r="L2745">
        <v>4</v>
      </c>
      <c r="M2745" s="1">
        <v>631000</v>
      </c>
      <c r="N2745">
        <v>4.3</v>
      </c>
      <c r="O2745">
        <v>8</v>
      </c>
      <c r="P2745" s="2" t="s">
        <v>72</v>
      </c>
    </row>
    <row r="2746" spans="1:16" x14ac:dyDescent="0.25">
      <c r="A2746" s="2" t="s">
        <v>8611</v>
      </c>
      <c r="B2746" s="2" t="s">
        <v>1436</v>
      </c>
      <c r="C2746" s="2" t="s">
        <v>18</v>
      </c>
      <c r="D2746" s="2" t="s">
        <v>43</v>
      </c>
      <c r="E2746" s="2" t="s">
        <v>31</v>
      </c>
      <c r="F2746" s="2" t="s">
        <v>39</v>
      </c>
      <c r="G2746" s="2" t="s">
        <v>69</v>
      </c>
      <c r="H2746" s="2" t="s">
        <v>46</v>
      </c>
      <c r="I2746" s="2" t="s">
        <v>35</v>
      </c>
      <c r="J2746" s="2" t="s">
        <v>6184</v>
      </c>
      <c r="K2746" s="2" t="s">
        <v>2120</v>
      </c>
      <c r="L2746">
        <v>4</v>
      </c>
      <c r="M2746" s="1">
        <v>85000</v>
      </c>
      <c r="N2746">
        <v>4.7</v>
      </c>
      <c r="O2746">
        <v>14</v>
      </c>
      <c r="P2746" s="2" t="s">
        <v>26</v>
      </c>
    </row>
    <row r="2747" spans="1:16" x14ac:dyDescent="0.25">
      <c r="A2747" s="2" t="s">
        <v>8614</v>
      </c>
      <c r="B2747" s="2" t="s">
        <v>8615</v>
      </c>
      <c r="C2747" s="2" t="s">
        <v>18</v>
      </c>
      <c r="D2747" s="2" t="s">
        <v>50</v>
      </c>
      <c r="E2747" s="2" t="s">
        <v>44</v>
      </c>
      <c r="F2747" s="2" t="s">
        <v>39</v>
      </c>
      <c r="G2747" s="2" t="s">
        <v>33</v>
      </c>
      <c r="H2747" s="2" t="s">
        <v>23</v>
      </c>
      <c r="I2747" s="2" t="s">
        <v>24</v>
      </c>
      <c r="J2747" s="2" t="s">
        <v>1432</v>
      </c>
      <c r="K2747" s="2" t="s">
        <v>2120</v>
      </c>
      <c r="L2747">
        <v>3</v>
      </c>
      <c r="M2747" s="1">
        <v>136000</v>
      </c>
      <c r="N2747">
        <v>3.4</v>
      </c>
      <c r="O2747">
        <v>6</v>
      </c>
      <c r="P2747" s="2" t="s">
        <v>53</v>
      </c>
    </row>
    <row r="2748" spans="1:16" x14ac:dyDescent="0.25">
      <c r="A2748" s="2" t="s">
        <v>8616</v>
      </c>
      <c r="B2748" s="2" t="s">
        <v>2251</v>
      </c>
      <c r="C2748" s="2" t="s">
        <v>29</v>
      </c>
      <c r="D2748" s="2" t="s">
        <v>50</v>
      </c>
      <c r="E2748" s="2" t="s">
        <v>44</v>
      </c>
      <c r="F2748" s="2" t="s">
        <v>128</v>
      </c>
      <c r="G2748" s="2" t="s">
        <v>22</v>
      </c>
      <c r="H2748" s="2" t="s">
        <v>23</v>
      </c>
      <c r="I2748" s="2" t="s">
        <v>24</v>
      </c>
      <c r="J2748" s="2" t="s">
        <v>4309</v>
      </c>
      <c r="K2748" s="2" t="s">
        <v>305</v>
      </c>
      <c r="L2748">
        <v>4</v>
      </c>
      <c r="M2748" s="1">
        <v>408000</v>
      </c>
      <c r="N2748">
        <v>4.0999999999999996</v>
      </c>
      <c r="O2748">
        <v>11</v>
      </c>
      <c r="P2748" s="2" t="s">
        <v>53</v>
      </c>
    </row>
    <row r="2749" spans="1:16" x14ac:dyDescent="0.25">
      <c r="A2749" s="2" t="s">
        <v>8617</v>
      </c>
      <c r="B2749" s="2" t="s">
        <v>8123</v>
      </c>
      <c r="C2749" s="2" t="s">
        <v>29</v>
      </c>
      <c r="D2749" s="2" t="s">
        <v>30</v>
      </c>
      <c r="E2749" s="2" t="s">
        <v>44</v>
      </c>
      <c r="F2749" s="2" t="s">
        <v>128</v>
      </c>
      <c r="G2749" s="2" t="s">
        <v>22</v>
      </c>
      <c r="H2749" s="2" t="s">
        <v>23</v>
      </c>
      <c r="I2749" s="2" t="s">
        <v>24</v>
      </c>
      <c r="J2749" s="2" t="s">
        <v>87</v>
      </c>
      <c r="K2749" s="2" t="s">
        <v>2192</v>
      </c>
      <c r="L2749">
        <v>3</v>
      </c>
      <c r="M2749" s="1">
        <v>485000</v>
      </c>
      <c r="N2749">
        <v>4</v>
      </c>
      <c r="O2749">
        <v>20</v>
      </c>
      <c r="P2749" s="2" t="s">
        <v>26</v>
      </c>
    </row>
    <row r="2750" spans="1:16" x14ac:dyDescent="0.25">
      <c r="A2750" s="2" t="s">
        <v>8621</v>
      </c>
      <c r="B2750" s="2" t="s">
        <v>6276</v>
      </c>
      <c r="C2750" s="2" t="s">
        <v>29</v>
      </c>
      <c r="D2750" s="2" t="s">
        <v>50</v>
      </c>
      <c r="E2750" s="2" t="s">
        <v>20</v>
      </c>
      <c r="F2750" s="2" t="s">
        <v>39</v>
      </c>
      <c r="G2750" s="2" t="s">
        <v>80</v>
      </c>
      <c r="H2750" s="2" t="s">
        <v>46</v>
      </c>
      <c r="I2750" s="2" t="s">
        <v>57</v>
      </c>
      <c r="J2750" s="2" t="s">
        <v>3969</v>
      </c>
      <c r="K2750" s="2" t="s">
        <v>2192</v>
      </c>
      <c r="L2750">
        <v>3</v>
      </c>
      <c r="M2750" s="1">
        <v>170000</v>
      </c>
      <c r="N2750">
        <v>2.2000000000000002</v>
      </c>
      <c r="O2750">
        <v>4</v>
      </c>
      <c r="P2750" s="2" t="s">
        <v>26</v>
      </c>
    </row>
    <row r="2751" spans="1:16" x14ac:dyDescent="0.25">
      <c r="A2751" s="2" t="s">
        <v>8622</v>
      </c>
      <c r="B2751" s="2" t="s">
        <v>8623</v>
      </c>
      <c r="C2751" s="2" t="s">
        <v>18</v>
      </c>
      <c r="D2751" s="2" t="s">
        <v>43</v>
      </c>
      <c r="E2751" s="2" t="s">
        <v>20</v>
      </c>
      <c r="F2751" s="2" t="s">
        <v>32</v>
      </c>
      <c r="G2751" s="2" t="s">
        <v>22</v>
      </c>
      <c r="H2751" s="2" t="s">
        <v>23</v>
      </c>
      <c r="I2751" s="2" t="s">
        <v>24</v>
      </c>
      <c r="J2751" s="2" t="s">
        <v>2718</v>
      </c>
      <c r="K2751" s="2" t="s">
        <v>2192</v>
      </c>
      <c r="L2751">
        <v>3</v>
      </c>
      <c r="M2751" s="1">
        <v>182000</v>
      </c>
      <c r="N2751">
        <v>5</v>
      </c>
      <c r="O2751">
        <v>12</v>
      </c>
      <c r="P2751" s="2" t="s">
        <v>26</v>
      </c>
    </row>
    <row r="2752" spans="1:16" x14ac:dyDescent="0.25">
      <c r="A2752" s="2" t="s">
        <v>8624</v>
      </c>
      <c r="B2752" s="2" t="s">
        <v>4804</v>
      </c>
      <c r="C2752" s="2" t="s">
        <v>18</v>
      </c>
      <c r="D2752" s="2" t="s">
        <v>50</v>
      </c>
      <c r="E2752" s="2" t="s">
        <v>20</v>
      </c>
      <c r="F2752" s="2" t="s">
        <v>32</v>
      </c>
      <c r="G2752" s="2" t="s">
        <v>33</v>
      </c>
      <c r="H2752" s="2" t="s">
        <v>23</v>
      </c>
      <c r="I2752" s="2" t="s">
        <v>35</v>
      </c>
      <c r="J2752" s="2" t="s">
        <v>1375</v>
      </c>
      <c r="K2752" s="2" t="s">
        <v>2192</v>
      </c>
      <c r="L2752">
        <v>4</v>
      </c>
      <c r="M2752" s="1">
        <v>345000</v>
      </c>
      <c r="N2752">
        <v>2.1</v>
      </c>
      <c r="O2752">
        <v>12</v>
      </c>
      <c r="P2752" s="2" t="s">
        <v>26</v>
      </c>
    </row>
    <row r="2753" spans="1:16" x14ac:dyDescent="0.25">
      <c r="A2753" s="2" t="s">
        <v>8625</v>
      </c>
      <c r="B2753" s="2" t="s">
        <v>6985</v>
      </c>
      <c r="C2753" s="2" t="s">
        <v>29</v>
      </c>
      <c r="D2753" s="2" t="s">
        <v>50</v>
      </c>
      <c r="E2753" s="2" t="s">
        <v>20</v>
      </c>
      <c r="F2753" s="2" t="s">
        <v>39</v>
      </c>
      <c r="G2753" s="2" t="s">
        <v>80</v>
      </c>
      <c r="H2753" s="2" t="s">
        <v>34</v>
      </c>
      <c r="I2753" s="2" t="s">
        <v>57</v>
      </c>
      <c r="J2753" s="2" t="s">
        <v>917</v>
      </c>
      <c r="K2753" s="2" t="s">
        <v>2192</v>
      </c>
      <c r="L2753">
        <v>6</v>
      </c>
      <c r="M2753" s="1">
        <v>146000</v>
      </c>
      <c r="N2753">
        <v>4.0999999999999996</v>
      </c>
      <c r="O2753">
        <v>10</v>
      </c>
      <c r="P2753" s="2" t="s">
        <v>114</v>
      </c>
    </row>
    <row r="2754" spans="1:16" x14ac:dyDescent="0.25">
      <c r="A2754" s="2" t="s">
        <v>8626</v>
      </c>
      <c r="B2754" s="2" t="s">
        <v>602</v>
      </c>
      <c r="C2754" s="2" t="s">
        <v>29</v>
      </c>
      <c r="D2754" s="2" t="s">
        <v>50</v>
      </c>
      <c r="E2754" s="2" t="s">
        <v>20</v>
      </c>
      <c r="F2754" s="2" t="s">
        <v>39</v>
      </c>
      <c r="G2754" s="2" t="s">
        <v>22</v>
      </c>
      <c r="H2754" s="2" t="s">
        <v>34</v>
      </c>
      <c r="I2754" s="2" t="s">
        <v>35</v>
      </c>
      <c r="J2754" s="2" t="s">
        <v>2103</v>
      </c>
      <c r="K2754" s="2" t="s">
        <v>2157</v>
      </c>
      <c r="L2754">
        <v>2</v>
      </c>
      <c r="M2754" s="1">
        <v>86000</v>
      </c>
      <c r="N2754">
        <v>3.2</v>
      </c>
      <c r="O2754">
        <v>2</v>
      </c>
      <c r="P2754" s="2" t="s">
        <v>26</v>
      </c>
    </row>
    <row r="2755" spans="1:16" x14ac:dyDescent="0.25">
      <c r="A2755" s="2" t="s">
        <v>8627</v>
      </c>
      <c r="B2755" s="2" t="s">
        <v>4287</v>
      </c>
      <c r="C2755" s="2" t="s">
        <v>18</v>
      </c>
      <c r="D2755" s="2" t="s">
        <v>50</v>
      </c>
      <c r="E2755" s="2" t="s">
        <v>31</v>
      </c>
      <c r="F2755" s="2" t="s">
        <v>39</v>
      </c>
      <c r="G2755" s="2" t="s">
        <v>22</v>
      </c>
      <c r="H2755" s="2" t="s">
        <v>23</v>
      </c>
      <c r="I2755" s="2" t="s">
        <v>35</v>
      </c>
      <c r="J2755" s="2" t="s">
        <v>4772</v>
      </c>
      <c r="K2755" s="2" t="s">
        <v>2157</v>
      </c>
      <c r="L2755">
        <v>4</v>
      </c>
      <c r="M2755" s="1">
        <v>123000</v>
      </c>
      <c r="N2755">
        <v>3.4</v>
      </c>
      <c r="O2755">
        <v>12</v>
      </c>
      <c r="P2755" s="2" t="s">
        <v>53</v>
      </c>
    </row>
    <row r="2756" spans="1:16" x14ac:dyDescent="0.25">
      <c r="A2756" s="2" t="s">
        <v>8628</v>
      </c>
      <c r="B2756" s="2" t="s">
        <v>2668</v>
      </c>
      <c r="C2756" s="2" t="s">
        <v>18</v>
      </c>
      <c r="D2756" s="2" t="s">
        <v>79</v>
      </c>
      <c r="E2756" s="2" t="s">
        <v>31</v>
      </c>
      <c r="F2756" s="2" t="s">
        <v>32</v>
      </c>
      <c r="G2756" s="2" t="s">
        <v>80</v>
      </c>
      <c r="H2756" s="2" t="s">
        <v>46</v>
      </c>
      <c r="I2756" s="2" t="s">
        <v>24</v>
      </c>
      <c r="J2756" s="2" t="s">
        <v>292</v>
      </c>
      <c r="K2756" s="2" t="s">
        <v>8629</v>
      </c>
      <c r="L2756">
        <v>3</v>
      </c>
      <c r="M2756" s="1">
        <v>202000</v>
      </c>
      <c r="N2756">
        <v>3.1</v>
      </c>
      <c r="O2756">
        <v>17</v>
      </c>
      <c r="P2756" s="2" t="s">
        <v>53</v>
      </c>
    </row>
    <row r="2757" spans="1:16" x14ac:dyDescent="0.25">
      <c r="A2757" s="2" t="s">
        <v>8635</v>
      </c>
      <c r="B2757" s="2" t="s">
        <v>5045</v>
      </c>
      <c r="C2757" s="2" t="s">
        <v>29</v>
      </c>
      <c r="D2757" s="2" t="s">
        <v>30</v>
      </c>
      <c r="E2757" s="2" t="s">
        <v>31</v>
      </c>
      <c r="F2757" s="2" t="s">
        <v>39</v>
      </c>
      <c r="G2757" s="2" t="s">
        <v>33</v>
      </c>
      <c r="H2757" s="2" t="s">
        <v>23</v>
      </c>
      <c r="I2757" s="2" t="s">
        <v>35</v>
      </c>
      <c r="J2757" s="2" t="s">
        <v>3245</v>
      </c>
      <c r="K2757" s="2" t="s">
        <v>1451</v>
      </c>
      <c r="L2757">
        <v>5</v>
      </c>
      <c r="M2757" s="1">
        <v>157000</v>
      </c>
      <c r="N2757">
        <v>2</v>
      </c>
      <c r="O2757">
        <v>9</v>
      </c>
      <c r="P2757" s="2" t="s">
        <v>26</v>
      </c>
    </row>
    <row r="2758" spans="1:16" x14ac:dyDescent="0.25">
      <c r="A2758" s="2" t="s">
        <v>8636</v>
      </c>
      <c r="B2758" s="2" t="s">
        <v>8278</v>
      </c>
      <c r="C2758" s="2" t="s">
        <v>18</v>
      </c>
      <c r="D2758" s="2" t="s">
        <v>30</v>
      </c>
      <c r="E2758" s="2" t="s">
        <v>20</v>
      </c>
      <c r="F2758" s="2" t="s">
        <v>39</v>
      </c>
      <c r="G2758" s="2" t="s">
        <v>22</v>
      </c>
      <c r="H2758" s="2" t="s">
        <v>62</v>
      </c>
      <c r="I2758" s="2" t="s">
        <v>171</v>
      </c>
      <c r="J2758" s="2" t="s">
        <v>6086</v>
      </c>
      <c r="K2758" s="2" t="s">
        <v>1451</v>
      </c>
      <c r="L2758">
        <v>2</v>
      </c>
      <c r="M2758" s="1">
        <v>120000</v>
      </c>
      <c r="N2758">
        <v>1.6</v>
      </c>
      <c r="O2758">
        <v>3</v>
      </c>
      <c r="P2758" s="2" t="s">
        <v>26</v>
      </c>
    </row>
    <row r="2759" spans="1:16" x14ac:dyDescent="0.25">
      <c r="A2759" s="2" t="s">
        <v>8638</v>
      </c>
      <c r="B2759" s="2" t="s">
        <v>8639</v>
      </c>
      <c r="C2759" s="2" t="s">
        <v>18</v>
      </c>
      <c r="D2759" s="2" t="s">
        <v>79</v>
      </c>
      <c r="E2759" s="2" t="s">
        <v>44</v>
      </c>
      <c r="F2759" s="2" t="s">
        <v>39</v>
      </c>
      <c r="G2759" s="2" t="s">
        <v>69</v>
      </c>
      <c r="H2759" s="2" t="s">
        <v>23</v>
      </c>
      <c r="I2759" s="2" t="s">
        <v>171</v>
      </c>
      <c r="J2759" s="2" t="s">
        <v>238</v>
      </c>
      <c r="K2759" s="2" t="s">
        <v>1451</v>
      </c>
      <c r="L2759">
        <v>3</v>
      </c>
      <c r="M2759" s="1">
        <v>142000</v>
      </c>
      <c r="N2759">
        <v>4</v>
      </c>
      <c r="O2759">
        <v>6</v>
      </c>
      <c r="P2759" s="2" t="s">
        <v>26</v>
      </c>
    </row>
    <row r="2760" spans="1:16" x14ac:dyDescent="0.25">
      <c r="A2760" s="2" t="s">
        <v>8641</v>
      </c>
      <c r="B2760" s="2" t="s">
        <v>582</v>
      </c>
      <c r="C2760" s="2" t="s">
        <v>18</v>
      </c>
      <c r="D2760" s="2" t="s">
        <v>30</v>
      </c>
      <c r="E2760" s="2" t="s">
        <v>31</v>
      </c>
      <c r="F2760" s="2" t="s">
        <v>39</v>
      </c>
      <c r="G2760" s="2" t="s">
        <v>22</v>
      </c>
      <c r="H2760" s="2" t="s">
        <v>34</v>
      </c>
      <c r="I2760" s="2" t="s">
        <v>35</v>
      </c>
      <c r="J2760" s="2" t="s">
        <v>8642</v>
      </c>
      <c r="K2760" s="2" t="s">
        <v>1451</v>
      </c>
      <c r="L2760">
        <v>5</v>
      </c>
      <c r="M2760" s="1">
        <v>157000</v>
      </c>
      <c r="N2760">
        <v>2.7</v>
      </c>
      <c r="O2760">
        <v>8</v>
      </c>
      <c r="P2760" s="2" t="s">
        <v>72</v>
      </c>
    </row>
    <row r="2761" spans="1:16" x14ac:dyDescent="0.25">
      <c r="A2761" s="2" t="s">
        <v>8643</v>
      </c>
      <c r="B2761" s="2" t="s">
        <v>8644</v>
      </c>
      <c r="C2761" s="2" t="s">
        <v>29</v>
      </c>
      <c r="D2761" s="2" t="s">
        <v>2782</v>
      </c>
      <c r="E2761" s="2" t="s">
        <v>20</v>
      </c>
      <c r="F2761" s="2" t="s">
        <v>32</v>
      </c>
      <c r="G2761" s="2" t="s">
        <v>22</v>
      </c>
      <c r="H2761" s="2" t="s">
        <v>46</v>
      </c>
      <c r="I2761" s="2" t="s">
        <v>57</v>
      </c>
      <c r="J2761" s="2" t="s">
        <v>400</v>
      </c>
      <c r="K2761" s="2" t="s">
        <v>2525</v>
      </c>
      <c r="L2761">
        <v>5</v>
      </c>
      <c r="M2761" s="1">
        <v>285000</v>
      </c>
      <c r="N2761">
        <v>4.2</v>
      </c>
      <c r="O2761">
        <v>3</v>
      </c>
      <c r="P2761" s="2" t="s">
        <v>26</v>
      </c>
    </row>
    <row r="2762" spans="1:16" x14ac:dyDescent="0.25">
      <c r="A2762" s="2" t="s">
        <v>8645</v>
      </c>
      <c r="B2762" s="2" t="s">
        <v>2284</v>
      </c>
      <c r="C2762" s="2" t="s">
        <v>18</v>
      </c>
      <c r="D2762" s="2" t="s">
        <v>30</v>
      </c>
      <c r="E2762" s="2" t="s">
        <v>20</v>
      </c>
      <c r="F2762" s="2" t="s">
        <v>128</v>
      </c>
      <c r="G2762" s="2" t="s">
        <v>69</v>
      </c>
      <c r="H2762" s="2" t="s">
        <v>23</v>
      </c>
      <c r="I2762" s="2" t="s">
        <v>35</v>
      </c>
      <c r="J2762" s="2" t="s">
        <v>5854</v>
      </c>
      <c r="K2762" s="2" t="s">
        <v>2525</v>
      </c>
      <c r="L2762">
        <v>7</v>
      </c>
      <c r="M2762" s="1">
        <v>381000</v>
      </c>
      <c r="N2762">
        <v>3</v>
      </c>
      <c r="O2762">
        <v>6</v>
      </c>
      <c r="P2762" s="2" t="s">
        <v>26</v>
      </c>
    </row>
    <row r="2763" spans="1:16" x14ac:dyDescent="0.25">
      <c r="A2763" s="2" t="s">
        <v>8646</v>
      </c>
      <c r="B2763" s="2" t="s">
        <v>2762</v>
      </c>
      <c r="C2763" s="2" t="s">
        <v>29</v>
      </c>
      <c r="D2763" s="2" t="s">
        <v>50</v>
      </c>
      <c r="E2763" s="2" t="s">
        <v>44</v>
      </c>
      <c r="F2763" s="2" t="s">
        <v>32</v>
      </c>
      <c r="G2763" s="2" t="s">
        <v>33</v>
      </c>
      <c r="H2763" s="2" t="s">
        <v>34</v>
      </c>
      <c r="I2763" s="2" t="s">
        <v>171</v>
      </c>
      <c r="J2763" s="2" t="s">
        <v>2802</v>
      </c>
      <c r="K2763" s="2" t="s">
        <v>2525</v>
      </c>
      <c r="L2763">
        <v>7</v>
      </c>
      <c r="M2763" s="1">
        <v>340000</v>
      </c>
      <c r="N2763">
        <v>3.2</v>
      </c>
      <c r="O2763">
        <v>10</v>
      </c>
      <c r="P2763" s="2" t="s">
        <v>26</v>
      </c>
    </row>
    <row r="2764" spans="1:16" x14ac:dyDescent="0.25">
      <c r="A2764" s="2" t="s">
        <v>8648</v>
      </c>
      <c r="B2764" s="2" t="s">
        <v>3447</v>
      </c>
      <c r="C2764" s="2" t="s">
        <v>29</v>
      </c>
      <c r="D2764" s="2" t="s">
        <v>19</v>
      </c>
      <c r="E2764" s="2" t="s">
        <v>20</v>
      </c>
      <c r="F2764" s="2" t="s">
        <v>32</v>
      </c>
      <c r="G2764" s="2" t="s">
        <v>33</v>
      </c>
      <c r="H2764" s="2" t="s">
        <v>46</v>
      </c>
      <c r="I2764" s="2" t="s">
        <v>24</v>
      </c>
      <c r="J2764" s="2" t="s">
        <v>2075</v>
      </c>
      <c r="K2764" s="2" t="s">
        <v>2525</v>
      </c>
      <c r="L2764">
        <v>3</v>
      </c>
      <c r="M2764" s="1">
        <v>232000</v>
      </c>
      <c r="N2764">
        <v>2.6</v>
      </c>
      <c r="O2764">
        <v>0</v>
      </c>
      <c r="P2764" s="2" t="s">
        <v>26</v>
      </c>
    </row>
    <row r="2765" spans="1:16" x14ac:dyDescent="0.25">
      <c r="A2765" s="2" t="s">
        <v>8649</v>
      </c>
      <c r="B2765" s="2" t="s">
        <v>8650</v>
      </c>
      <c r="C2765" s="2" t="s">
        <v>29</v>
      </c>
      <c r="D2765" s="2" t="s">
        <v>43</v>
      </c>
      <c r="E2765" s="2" t="s">
        <v>20</v>
      </c>
      <c r="F2765" s="2" t="s">
        <v>32</v>
      </c>
      <c r="G2765" s="2" t="s">
        <v>22</v>
      </c>
      <c r="H2765" s="2" t="s">
        <v>34</v>
      </c>
      <c r="I2765" s="2" t="s">
        <v>35</v>
      </c>
      <c r="J2765" s="2" t="s">
        <v>3421</v>
      </c>
      <c r="K2765" s="2" t="s">
        <v>2525</v>
      </c>
      <c r="L2765">
        <v>6</v>
      </c>
      <c r="M2765" s="1">
        <v>210000</v>
      </c>
      <c r="N2765">
        <v>2.9</v>
      </c>
      <c r="O2765">
        <v>14</v>
      </c>
      <c r="P2765" s="2" t="s">
        <v>26</v>
      </c>
    </row>
    <row r="2766" spans="1:16" x14ac:dyDescent="0.25">
      <c r="A2766" s="2" t="s">
        <v>8651</v>
      </c>
      <c r="B2766" s="2" t="s">
        <v>4531</v>
      </c>
      <c r="C2766" s="2" t="s">
        <v>18</v>
      </c>
      <c r="D2766" s="2" t="s">
        <v>30</v>
      </c>
      <c r="E2766" s="2" t="s">
        <v>31</v>
      </c>
      <c r="F2766" s="2" t="s">
        <v>39</v>
      </c>
      <c r="G2766" s="2" t="s">
        <v>80</v>
      </c>
      <c r="H2766" s="2" t="s">
        <v>34</v>
      </c>
      <c r="I2766" s="2" t="s">
        <v>57</v>
      </c>
      <c r="J2766" s="2" t="s">
        <v>8652</v>
      </c>
      <c r="K2766" s="2" t="s">
        <v>2525</v>
      </c>
      <c r="L2766">
        <v>6</v>
      </c>
      <c r="M2766" s="1">
        <v>122000</v>
      </c>
      <c r="N2766">
        <v>2.5</v>
      </c>
      <c r="O2766">
        <v>0</v>
      </c>
      <c r="P2766" s="2" t="s">
        <v>26</v>
      </c>
    </row>
    <row r="2767" spans="1:16" x14ac:dyDescent="0.25">
      <c r="A2767" s="2" t="s">
        <v>8653</v>
      </c>
      <c r="B2767" s="2" t="s">
        <v>8654</v>
      </c>
      <c r="C2767" s="2" t="s">
        <v>29</v>
      </c>
      <c r="D2767" s="2" t="s">
        <v>30</v>
      </c>
      <c r="E2767" s="2" t="s">
        <v>20</v>
      </c>
      <c r="F2767" s="2" t="s">
        <v>32</v>
      </c>
      <c r="G2767" s="2" t="s">
        <v>22</v>
      </c>
      <c r="H2767" s="2" t="s">
        <v>46</v>
      </c>
      <c r="I2767" s="2" t="s">
        <v>57</v>
      </c>
      <c r="J2767" s="2" t="s">
        <v>1379</v>
      </c>
      <c r="K2767" s="2" t="s">
        <v>2525</v>
      </c>
      <c r="L2767">
        <v>2</v>
      </c>
      <c r="M2767" s="1">
        <v>226000</v>
      </c>
      <c r="N2767">
        <v>3.1</v>
      </c>
      <c r="O2767">
        <v>10</v>
      </c>
      <c r="P2767" s="2" t="s">
        <v>26</v>
      </c>
    </row>
    <row r="2768" spans="1:16" x14ac:dyDescent="0.25">
      <c r="A2768" s="2" t="s">
        <v>8657</v>
      </c>
      <c r="B2768" s="2" t="s">
        <v>1443</v>
      </c>
      <c r="C2768" s="2" t="s">
        <v>18</v>
      </c>
      <c r="D2768" s="2" t="s">
        <v>43</v>
      </c>
      <c r="E2768" s="2" t="s">
        <v>20</v>
      </c>
      <c r="F2768" s="2" t="s">
        <v>128</v>
      </c>
      <c r="G2768" s="2" t="s">
        <v>69</v>
      </c>
      <c r="H2768" s="2" t="s">
        <v>46</v>
      </c>
      <c r="I2768" s="2" t="s">
        <v>24</v>
      </c>
      <c r="J2768" s="2" t="s">
        <v>5052</v>
      </c>
      <c r="K2768" s="2" t="s">
        <v>2525</v>
      </c>
      <c r="L2768">
        <v>6</v>
      </c>
      <c r="M2768" s="1">
        <v>481000</v>
      </c>
      <c r="N2768">
        <v>3.5</v>
      </c>
      <c r="O2768">
        <v>11</v>
      </c>
      <c r="P2768" s="2" t="s">
        <v>53</v>
      </c>
    </row>
    <row r="2769" spans="1:16" x14ac:dyDescent="0.25">
      <c r="A2769" s="2" t="s">
        <v>8661</v>
      </c>
      <c r="B2769" s="2" t="s">
        <v>4110</v>
      </c>
      <c r="C2769" s="2" t="s">
        <v>18</v>
      </c>
      <c r="D2769" s="2" t="s">
        <v>79</v>
      </c>
      <c r="E2769" s="2" t="s">
        <v>20</v>
      </c>
      <c r="F2769" s="2" t="s">
        <v>32</v>
      </c>
      <c r="G2769" s="2" t="s">
        <v>80</v>
      </c>
      <c r="H2769" s="2" t="s">
        <v>23</v>
      </c>
      <c r="I2769" s="2" t="s">
        <v>57</v>
      </c>
      <c r="J2769" s="2" t="s">
        <v>5542</v>
      </c>
      <c r="K2769" s="2" t="s">
        <v>5388</v>
      </c>
      <c r="L2769">
        <v>6</v>
      </c>
      <c r="M2769" s="1">
        <v>189000</v>
      </c>
      <c r="N2769">
        <v>3</v>
      </c>
      <c r="O2769">
        <v>16</v>
      </c>
      <c r="P2769" s="2" t="s">
        <v>26</v>
      </c>
    </row>
    <row r="2770" spans="1:16" x14ac:dyDescent="0.25">
      <c r="A2770" s="2" t="s">
        <v>8662</v>
      </c>
      <c r="B2770" s="2" t="s">
        <v>1104</v>
      </c>
      <c r="C2770" s="2" t="s">
        <v>18</v>
      </c>
      <c r="D2770" s="2" t="s">
        <v>19</v>
      </c>
      <c r="E2770" s="2" t="s">
        <v>20</v>
      </c>
      <c r="F2770" s="2" t="s">
        <v>39</v>
      </c>
      <c r="G2770" s="2" t="s">
        <v>69</v>
      </c>
      <c r="H2770" s="2" t="s">
        <v>46</v>
      </c>
      <c r="I2770" s="2" t="s">
        <v>24</v>
      </c>
      <c r="J2770" s="2" t="s">
        <v>2686</v>
      </c>
      <c r="K2770" s="2" t="s">
        <v>5388</v>
      </c>
      <c r="L2770">
        <v>6</v>
      </c>
      <c r="M2770" s="1">
        <v>198000</v>
      </c>
      <c r="N2770">
        <v>4.5</v>
      </c>
      <c r="O2770">
        <v>23</v>
      </c>
      <c r="P2770" s="2" t="s">
        <v>26</v>
      </c>
    </row>
    <row r="2771" spans="1:16" x14ac:dyDescent="0.25">
      <c r="A2771" s="2" t="s">
        <v>8663</v>
      </c>
      <c r="B2771" s="2" t="s">
        <v>8664</v>
      </c>
      <c r="C2771" s="2" t="s">
        <v>18</v>
      </c>
      <c r="D2771" s="2" t="s">
        <v>50</v>
      </c>
      <c r="E2771" s="2" t="s">
        <v>20</v>
      </c>
      <c r="F2771" s="2" t="s">
        <v>128</v>
      </c>
      <c r="G2771" s="2" t="s">
        <v>80</v>
      </c>
      <c r="H2771" s="2" t="s">
        <v>23</v>
      </c>
      <c r="I2771" s="2" t="s">
        <v>24</v>
      </c>
      <c r="J2771" s="2" t="s">
        <v>6052</v>
      </c>
      <c r="K2771" s="2" t="s">
        <v>5388</v>
      </c>
      <c r="L2771">
        <v>4</v>
      </c>
      <c r="M2771" s="1">
        <v>556000</v>
      </c>
      <c r="N2771">
        <v>4.4000000000000004</v>
      </c>
      <c r="O2771">
        <v>1</v>
      </c>
      <c r="P2771" s="2" t="s">
        <v>53</v>
      </c>
    </row>
    <row r="2772" spans="1:16" x14ac:dyDescent="0.25">
      <c r="A2772" s="2" t="s">
        <v>8670</v>
      </c>
      <c r="B2772" s="2" t="s">
        <v>3171</v>
      </c>
      <c r="C2772" s="2" t="s">
        <v>18</v>
      </c>
      <c r="D2772" s="2" t="s">
        <v>79</v>
      </c>
      <c r="E2772" s="2" t="s">
        <v>20</v>
      </c>
      <c r="F2772" s="2" t="s">
        <v>128</v>
      </c>
      <c r="G2772" s="2" t="s">
        <v>22</v>
      </c>
      <c r="H2772" s="2" t="s">
        <v>46</v>
      </c>
      <c r="I2772" s="2" t="s">
        <v>35</v>
      </c>
      <c r="J2772" s="2" t="s">
        <v>338</v>
      </c>
      <c r="K2772" s="2" t="s">
        <v>8671</v>
      </c>
      <c r="L2772">
        <v>5</v>
      </c>
      <c r="M2772" s="1">
        <v>547000</v>
      </c>
      <c r="N2772">
        <v>4.7</v>
      </c>
      <c r="O2772">
        <v>13</v>
      </c>
      <c r="P2772" s="2" t="s">
        <v>53</v>
      </c>
    </row>
    <row r="2773" spans="1:16" x14ac:dyDescent="0.25">
      <c r="A2773" s="2" t="s">
        <v>8672</v>
      </c>
      <c r="B2773" s="2" t="s">
        <v>3205</v>
      </c>
      <c r="C2773" s="2" t="s">
        <v>18</v>
      </c>
      <c r="D2773" s="2" t="s">
        <v>79</v>
      </c>
      <c r="E2773" s="2" t="s">
        <v>20</v>
      </c>
      <c r="F2773" s="2" t="s">
        <v>128</v>
      </c>
      <c r="G2773" s="2" t="s">
        <v>22</v>
      </c>
      <c r="H2773" s="2" t="s">
        <v>46</v>
      </c>
      <c r="I2773" s="2" t="s">
        <v>24</v>
      </c>
      <c r="J2773" s="2" t="s">
        <v>456</v>
      </c>
      <c r="K2773" s="2" t="s">
        <v>6279</v>
      </c>
      <c r="L2773">
        <v>6</v>
      </c>
      <c r="M2773" s="1">
        <v>518000</v>
      </c>
      <c r="N2773">
        <v>2.9</v>
      </c>
      <c r="O2773">
        <v>12</v>
      </c>
      <c r="P2773" s="2" t="s">
        <v>72</v>
      </c>
    </row>
    <row r="2774" spans="1:16" x14ac:dyDescent="0.25">
      <c r="A2774" s="2" t="s">
        <v>8674</v>
      </c>
      <c r="B2774" s="2" t="s">
        <v>8547</v>
      </c>
      <c r="C2774" s="2" t="s">
        <v>29</v>
      </c>
      <c r="D2774" s="2" t="s">
        <v>79</v>
      </c>
      <c r="E2774" s="2" t="s">
        <v>20</v>
      </c>
      <c r="F2774" s="2" t="s">
        <v>39</v>
      </c>
      <c r="G2774" s="2" t="s">
        <v>69</v>
      </c>
      <c r="H2774" s="2" t="s">
        <v>46</v>
      </c>
      <c r="I2774" s="2" t="s">
        <v>35</v>
      </c>
      <c r="J2774" s="2" t="s">
        <v>3544</v>
      </c>
      <c r="K2774" s="2" t="s">
        <v>3117</v>
      </c>
      <c r="L2774">
        <v>3</v>
      </c>
      <c r="M2774" s="1">
        <v>146000</v>
      </c>
      <c r="N2774">
        <v>3.4</v>
      </c>
      <c r="O2774">
        <v>25</v>
      </c>
      <c r="P2774" s="2" t="s">
        <v>26</v>
      </c>
    </row>
    <row r="2775" spans="1:16" x14ac:dyDescent="0.25">
      <c r="A2775" s="2" t="s">
        <v>8675</v>
      </c>
      <c r="B2775" s="2" t="s">
        <v>1740</v>
      </c>
      <c r="C2775" s="2" t="s">
        <v>18</v>
      </c>
      <c r="D2775" s="2" t="s">
        <v>19</v>
      </c>
      <c r="E2775" s="2" t="s">
        <v>31</v>
      </c>
      <c r="F2775" s="2" t="s">
        <v>128</v>
      </c>
      <c r="G2775" s="2" t="s">
        <v>80</v>
      </c>
      <c r="H2775" s="2" t="s">
        <v>46</v>
      </c>
      <c r="I2775" s="2" t="s">
        <v>24</v>
      </c>
      <c r="J2775" s="2" t="s">
        <v>978</v>
      </c>
      <c r="K2775" s="2" t="s">
        <v>3117</v>
      </c>
      <c r="L2775">
        <v>2</v>
      </c>
      <c r="M2775" s="1">
        <v>660000</v>
      </c>
      <c r="N2775">
        <v>3.9</v>
      </c>
      <c r="O2775">
        <v>10</v>
      </c>
      <c r="P2775" s="2" t="s">
        <v>26</v>
      </c>
    </row>
    <row r="2776" spans="1:16" x14ac:dyDescent="0.25">
      <c r="A2776" s="2" t="s">
        <v>8676</v>
      </c>
      <c r="B2776" s="2" t="s">
        <v>123</v>
      </c>
      <c r="C2776" s="2" t="s">
        <v>29</v>
      </c>
      <c r="D2776" s="2" t="s">
        <v>43</v>
      </c>
      <c r="E2776" s="2" t="s">
        <v>20</v>
      </c>
      <c r="F2776" s="2" t="s">
        <v>32</v>
      </c>
      <c r="G2776" s="2" t="s">
        <v>69</v>
      </c>
      <c r="H2776" s="2" t="s">
        <v>23</v>
      </c>
      <c r="I2776" s="2" t="s">
        <v>24</v>
      </c>
      <c r="J2776" s="2" t="s">
        <v>3832</v>
      </c>
      <c r="K2776" s="2" t="s">
        <v>3117</v>
      </c>
      <c r="L2776">
        <v>3</v>
      </c>
      <c r="M2776" s="1">
        <v>186000</v>
      </c>
      <c r="N2776">
        <v>2.7</v>
      </c>
      <c r="O2776">
        <v>11</v>
      </c>
      <c r="P2776" s="2" t="s">
        <v>72</v>
      </c>
    </row>
    <row r="2777" spans="1:16" x14ac:dyDescent="0.25">
      <c r="A2777" s="2" t="s">
        <v>8677</v>
      </c>
      <c r="B2777" s="2" t="s">
        <v>7160</v>
      </c>
      <c r="C2777" s="2" t="s">
        <v>18</v>
      </c>
      <c r="D2777" s="2" t="s">
        <v>79</v>
      </c>
      <c r="E2777" s="2" t="s">
        <v>20</v>
      </c>
      <c r="F2777" s="2" t="s">
        <v>128</v>
      </c>
      <c r="G2777" s="2" t="s">
        <v>80</v>
      </c>
      <c r="H2777" s="2" t="s">
        <v>23</v>
      </c>
      <c r="I2777" s="2" t="s">
        <v>35</v>
      </c>
      <c r="J2777" s="2" t="s">
        <v>8440</v>
      </c>
      <c r="K2777" s="2" t="s">
        <v>412</v>
      </c>
      <c r="L2777">
        <v>5</v>
      </c>
      <c r="M2777" s="1">
        <v>469000</v>
      </c>
      <c r="N2777">
        <v>3.1</v>
      </c>
      <c r="O2777">
        <v>10</v>
      </c>
      <c r="P2777" s="2" t="s">
        <v>114</v>
      </c>
    </row>
    <row r="2778" spans="1:16" x14ac:dyDescent="0.25">
      <c r="A2778" s="2" t="s">
        <v>8678</v>
      </c>
      <c r="B2778" s="2" t="s">
        <v>347</v>
      </c>
      <c r="C2778" s="2" t="s">
        <v>18</v>
      </c>
      <c r="D2778" s="2" t="s">
        <v>19</v>
      </c>
      <c r="E2778" s="2" t="s">
        <v>31</v>
      </c>
      <c r="F2778" s="2" t="s">
        <v>32</v>
      </c>
      <c r="G2778" s="2" t="s">
        <v>69</v>
      </c>
      <c r="H2778" s="2" t="s">
        <v>23</v>
      </c>
      <c r="I2778" s="2" t="s">
        <v>35</v>
      </c>
      <c r="J2778" s="2" t="s">
        <v>1918</v>
      </c>
      <c r="K2778" s="2" t="s">
        <v>1887</v>
      </c>
      <c r="L2778">
        <v>3</v>
      </c>
      <c r="M2778" s="1">
        <v>382000</v>
      </c>
      <c r="N2778">
        <v>2.7</v>
      </c>
      <c r="O2778">
        <v>6</v>
      </c>
      <c r="P2778" s="2" t="s">
        <v>26</v>
      </c>
    </row>
    <row r="2779" spans="1:16" x14ac:dyDescent="0.25">
      <c r="A2779" s="2" t="s">
        <v>8679</v>
      </c>
      <c r="B2779" s="2" t="s">
        <v>3322</v>
      </c>
      <c r="C2779" s="2" t="s">
        <v>29</v>
      </c>
      <c r="D2779" s="2" t="s">
        <v>43</v>
      </c>
      <c r="E2779" s="2" t="s">
        <v>20</v>
      </c>
      <c r="F2779" s="2" t="s">
        <v>128</v>
      </c>
      <c r="G2779" s="2" t="s">
        <v>69</v>
      </c>
      <c r="H2779" s="2" t="s">
        <v>46</v>
      </c>
      <c r="I2779" s="2" t="s">
        <v>24</v>
      </c>
      <c r="J2779" s="2" t="s">
        <v>946</v>
      </c>
      <c r="K2779" s="2" t="s">
        <v>1887</v>
      </c>
      <c r="L2779">
        <v>6</v>
      </c>
      <c r="M2779" s="1">
        <v>475000</v>
      </c>
      <c r="N2779">
        <v>4</v>
      </c>
      <c r="O2779">
        <v>3</v>
      </c>
      <c r="P2779" s="2" t="s">
        <v>26</v>
      </c>
    </row>
    <row r="2780" spans="1:16" x14ac:dyDescent="0.25">
      <c r="A2780" s="2" t="s">
        <v>8680</v>
      </c>
      <c r="B2780" s="2" t="s">
        <v>1239</v>
      </c>
      <c r="C2780" s="2" t="s">
        <v>29</v>
      </c>
      <c r="D2780" s="2" t="s">
        <v>19</v>
      </c>
      <c r="E2780" s="2" t="s">
        <v>44</v>
      </c>
      <c r="F2780" s="2" t="s">
        <v>128</v>
      </c>
      <c r="G2780" s="2" t="s">
        <v>69</v>
      </c>
      <c r="H2780" s="2" t="s">
        <v>23</v>
      </c>
      <c r="I2780" s="2" t="s">
        <v>57</v>
      </c>
      <c r="J2780" s="2" t="s">
        <v>5437</v>
      </c>
      <c r="K2780" s="2" t="s">
        <v>1887</v>
      </c>
      <c r="L2780">
        <v>2</v>
      </c>
      <c r="M2780" s="1">
        <v>616000</v>
      </c>
      <c r="N2780">
        <v>2.6</v>
      </c>
      <c r="O2780">
        <v>4</v>
      </c>
      <c r="P2780" s="2" t="s">
        <v>26</v>
      </c>
    </row>
    <row r="2781" spans="1:16" x14ac:dyDescent="0.25">
      <c r="A2781" s="2" t="s">
        <v>8682</v>
      </c>
      <c r="B2781" s="2" t="s">
        <v>8683</v>
      </c>
      <c r="C2781" s="2" t="s">
        <v>18</v>
      </c>
      <c r="D2781" s="2" t="s">
        <v>19</v>
      </c>
      <c r="E2781" s="2" t="s">
        <v>20</v>
      </c>
      <c r="F2781" s="2" t="s">
        <v>39</v>
      </c>
      <c r="G2781" s="2" t="s">
        <v>80</v>
      </c>
      <c r="H2781" s="2" t="s">
        <v>34</v>
      </c>
      <c r="I2781" s="2" t="s">
        <v>24</v>
      </c>
      <c r="J2781" s="2" t="s">
        <v>3782</v>
      </c>
      <c r="K2781" s="2" t="s">
        <v>1887</v>
      </c>
      <c r="L2781">
        <v>2</v>
      </c>
      <c r="M2781" s="1">
        <v>128000</v>
      </c>
      <c r="N2781">
        <v>4.0999999999999996</v>
      </c>
      <c r="O2781">
        <v>9</v>
      </c>
      <c r="P2781" s="2" t="s">
        <v>72</v>
      </c>
    </row>
    <row r="2782" spans="1:16" x14ac:dyDescent="0.25">
      <c r="A2782" s="2" t="s">
        <v>8684</v>
      </c>
      <c r="B2782" s="2" t="s">
        <v>8685</v>
      </c>
      <c r="C2782" s="2" t="s">
        <v>18</v>
      </c>
      <c r="D2782" s="2" t="s">
        <v>43</v>
      </c>
      <c r="E2782" s="2" t="s">
        <v>44</v>
      </c>
      <c r="F2782" s="2" t="s">
        <v>21</v>
      </c>
      <c r="G2782" s="2" t="s">
        <v>33</v>
      </c>
      <c r="H2782" s="2" t="s">
        <v>62</v>
      </c>
      <c r="I2782" s="2" t="s">
        <v>24</v>
      </c>
      <c r="J2782" s="2" t="s">
        <v>8047</v>
      </c>
      <c r="K2782" s="2" t="s">
        <v>1562</v>
      </c>
      <c r="L2782">
        <v>3</v>
      </c>
      <c r="M2782" s="1">
        <v>600000</v>
      </c>
      <c r="N2782">
        <v>4.4000000000000004</v>
      </c>
      <c r="O2782">
        <v>7</v>
      </c>
      <c r="P2782" s="2" t="s">
        <v>26</v>
      </c>
    </row>
    <row r="2783" spans="1:16" x14ac:dyDescent="0.25">
      <c r="A2783" s="2" t="s">
        <v>8687</v>
      </c>
      <c r="B2783" s="2" t="s">
        <v>8688</v>
      </c>
      <c r="C2783" s="2" t="s">
        <v>18</v>
      </c>
      <c r="D2783" s="2" t="s">
        <v>50</v>
      </c>
      <c r="E2783" s="2" t="s">
        <v>20</v>
      </c>
      <c r="F2783" s="2" t="s">
        <v>39</v>
      </c>
      <c r="G2783" s="2" t="s">
        <v>22</v>
      </c>
      <c r="H2783" s="2" t="s">
        <v>46</v>
      </c>
      <c r="I2783" s="2" t="s">
        <v>24</v>
      </c>
      <c r="J2783" s="2" t="s">
        <v>8689</v>
      </c>
      <c r="K2783" s="2" t="s">
        <v>1562</v>
      </c>
      <c r="L2783">
        <v>3</v>
      </c>
      <c r="M2783" s="1">
        <v>118000</v>
      </c>
      <c r="N2783">
        <v>4.5999999999999996</v>
      </c>
      <c r="O2783">
        <v>2</v>
      </c>
      <c r="P2783" s="2" t="s">
        <v>26</v>
      </c>
    </row>
    <row r="2784" spans="1:16" x14ac:dyDescent="0.25">
      <c r="A2784" s="2" t="s">
        <v>8690</v>
      </c>
      <c r="B2784" s="2" t="s">
        <v>2979</v>
      </c>
      <c r="C2784" s="2" t="s">
        <v>29</v>
      </c>
      <c r="D2784" s="2" t="s">
        <v>79</v>
      </c>
      <c r="E2784" s="2" t="s">
        <v>20</v>
      </c>
      <c r="F2784" s="2" t="s">
        <v>39</v>
      </c>
      <c r="G2784" s="2" t="s">
        <v>33</v>
      </c>
      <c r="H2784" s="2" t="s">
        <v>34</v>
      </c>
      <c r="I2784" s="2" t="s">
        <v>35</v>
      </c>
      <c r="J2784" s="2" t="s">
        <v>2662</v>
      </c>
      <c r="K2784" s="2" t="s">
        <v>1562</v>
      </c>
      <c r="L2784">
        <v>4</v>
      </c>
      <c r="M2784" s="1">
        <v>101000</v>
      </c>
      <c r="N2784">
        <v>4.9000000000000004</v>
      </c>
      <c r="O2784">
        <v>3</v>
      </c>
      <c r="P2784" s="2" t="s">
        <v>26</v>
      </c>
    </row>
    <row r="2785" spans="1:16" x14ac:dyDescent="0.25">
      <c r="A2785" s="2" t="s">
        <v>8691</v>
      </c>
      <c r="B2785" s="2" t="s">
        <v>8692</v>
      </c>
      <c r="C2785" s="2" t="s">
        <v>29</v>
      </c>
      <c r="D2785" s="2" t="s">
        <v>30</v>
      </c>
      <c r="E2785" s="2" t="s">
        <v>20</v>
      </c>
      <c r="F2785" s="2" t="s">
        <v>39</v>
      </c>
      <c r="G2785" s="2" t="s">
        <v>33</v>
      </c>
      <c r="H2785" s="2" t="s">
        <v>23</v>
      </c>
      <c r="I2785" s="2" t="s">
        <v>24</v>
      </c>
      <c r="J2785" s="2" t="s">
        <v>3117</v>
      </c>
      <c r="K2785" s="2" t="s">
        <v>1562</v>
      </c>
      <c r="L2785">
        <v>2</v>
      </c>
      <c r="M2785" s="1">
        <v>86000</v>
      </c>
      <c r="N2785">
        <v>1.5</v>
      </c>
      <c r="O2785">
        <v>24</v>
      </c>
      <c r="P2785" s="2" t="s">
        <v>72</v>
      </c>
    </row>
    <row r="2786" spans="1:16" x14ac:dyDescent="0.25">
      <c r="A2786" s="2" t="s">
        <v>8693</v>
      </c>
      <c r="B2786" s="2" t="s">
        <v>2731</v>
      </c>
      <c r="C2786" s="2" t="s">
        <v>29</v>
      </c>
      <c r="D2786" s="2" t="s">
        <v>30</v>
      </c>
      <c r="E2786" s="2" t="s">
        <v>20</v>
      </c>
      <c r="F2786" s="2" t="s">
        <v>39</v>
      </c>
      <c r="G2786" s="2" t="s">
        <v>69</v>
      </c>
      <c r="H2786" s="2" t="s">
        <v>34</v>
      </c>
      <c r="I2786" s="2" t="s">
        <v>57</v>
      </c>
      <c r="J2786" s="2" t="s">
        <v>2200</v>
      </c>
      <c r="K2786" s="2" t="s">
        <v>3671</v>
      </c>
      <c r="L2786">
        <v>2</v>
      </c>
      <c r="M2786" s="1">
        <v>111000</v>
      </c>
      <c r="N2786">
        <v>1.5</v>
      </c>
      <c r="O2786">
        <v>14</v>
      </c>
      <c r="P2786" s="2" t="s">
        <v>53</v>
      </c>
    </row>
    <row r="2787" spans="1:16" x14ac:dyDescent="0.25">
      <c r="A2787" s="2" t="s">
        <v>8694</v>
      </c>
      <c r="B2787" s="2" t="s">
        <v>1323</v>
      </c>
      <c r="C2787" s="2" t="s">
        <v>29</v>
      </c>
      <c r="D2787" s="2" t="s">
        <v>19</v>
      </c>
      <c r="E2787" s="2" t="s">
        <v>20</v>
      </c>
      <c r="F2787" s="2" t="s">
        <v>128</v>
      </c>
      <c r="G2787" s="2" t="s">
        <v>80</v>
      </c>
      <c r="H2787" s="2" t="s">
        <v>46</v>
      </c>
      <c r="I2787" s="2" t="s">
        <v>35</v>
      </c>
      <c r="J2787" s="2" t="s">
        <v>1548</v>
      </c>
      <c r="K2787" s="2" t="s">
        <v>1176</v>
      </c>
      <c r="L2787">
        <v>3</v>
      </c>
      <c r="M2787" s="1">
        <v>660000</v>
      </c>
      <c r="N2787">
        <v>3.6</v>
      </c>
      <c r="O2787">
        <v>1</v>
      </c>
      <c r="P2787" s="2" t="s">
        <v>26</v>
      </c>
    </row>
    <row r="2788" spans="1:16" x14ac:dyDescent="0.25">
      <c r="A2788" s="2" t="s">
        <v>8695</v>
      </c>
      <c r="B2788" s="2" t="s">
        <v>4053</v>
      </c>
      <c r="C2788" s="2" t="s">
        <v>18</v>
      </c>
      <c r="D2788" s="2" t="s">
        <v>30</v>
      </c>
      <c r="E2788" s="2" t="s">
        <v>20</v>
      </c>
      <c r="F2788" s="2" t="s">
        <v>39</v>
      </c>
      <c r="G2788" s="2" t="s">
        <v>80</v>
      </c>
      <c r="H2788" s="2" t="s">
        <v>23</v>
      </c>
      <c r="I2788" s="2" t="s">
        <v>24</v>
      </c>
      <c r="J2788" s="2" t="s">
        <v>1161</v>
      </c>
      <c r="K2788" s="2" t="s">
        <v>1176</v>
      </c>
      <c r="L2788">
        <v>6</v>
      </c>
      <c r="M2788" s="1">
        <v>130000</v>
      </c>
      <c r="N2788">
        <v>2.4</v>
      </c>
      <c r="O2788">
        <v>3</v>
      </c>
      <c r="P2788" s="2" t="s">
        <v>26</v>
      </c>
    </row>
    <row r="2789" spans="1:16" x14ac:dyDescent="0.25">
      <c r="A2789" s="2" t="s">
        <v>8696</v>
      </c>
      <c r="B2789" s="2" t="s">
        <v>3747</v>
      </c>
      <c r="C2789" s="2" t="s">
        <v>18</v>
      </c>
      <c r="D2789" s="2" t="s">
        <v>30</v>
      </c>
      <c r="E2789" s="2" t="s">
        <v>20</v>
      </c>
      <c r="F2789" s="2" t="s">
        <v>32</v>
      </c>
      <c r="G2789" s="2" t="s">
        <v>22</v>
      </c>
      <c r="H2789" s="2" t="s">
        <v>23</v>
      </c>
      <c r="I2789" s="2" t="s">
        <v>24</v>
      </c>
      <c r="J2789" s="2" t="s">
        <v>8697</v>
      </c>
      <c r="K2789" s="2" t="s">
        <v>1176</v>
      </c>
      <c r="L2789">
        <v>5</v>
      </c>
      <c r="M2789" s="1">
        <v>184000</v>
      </c>
      <c r="N2789">
        <v>2.9</v>
      </c>
      <c r="O2789">
        <v>8</v>
      </c>
      <c r="P2789" s="2" t="s">
        <v>26</v>
      </c>
    </row>
    <row r="2790" spans="1:16" x14ac:dyDescent="0.25">
      <c r="A2790" s="2" t="s">
        <v>8698</v>
      </c>
      <c r="B2790" s="2" t="s">
        <v>8699</v>
      </c>
      <c r="C2790" s="2" t="s">
        <v>18</v>
      </c>
      <c r="D2790" s="2" t="s">
        <v>43</v>
      </c>
      <c r="E2790" s="2" t="s">
        <v>20</v>
      </c>
      <c r="F2790" s="2" t="s">
        <v>21</v>
      </c>
      <c r="G2790" s="2" t="s">
        <v>80</v>
      </c>
      <c r="H2790" s="2" t="s">
        <v>46</v>
      </c>
      <c r="I2790" s="2" t="s">
        <v>75</v>
      </c>
      <c r="J2790" s="2" t="s">
        <v>2455</v>
      </c>
      <c r="K2790" s="2" t="s">
        <v>1176</v>
      </c>
      <c r="L2790">
        <v>6</v>
      </c>
      <c r="M2790" s="1">
        <v>786000</v>
      </c>
      <c r="N2790">
        <v>3.2</v>
      </c>
      <c r="O2790">
        <v>6</v>
      </c>
      <c r="P2790" s="2" t="s">
        <v>26</v>
      </c>
    </row>
    <row r="2791" spans="1:16" x14ac:dyDescent="0.25">
      <c r="A2791" s="2" t="s">
        <v>8700</v>
      </c>
      <c r="B2791" s="2" t="s">
        <v>4593</v>
      </c>
      <c r="C2791" s="2" t="s">
        <v>29</v>
      </c>
      <c r="D2791" s="2" t="s">
        <v>30</v>
      </c>
      <c r="E2791" s="2" t="s">
        <v>20</v>
      </c>
      <c r="F2791" s="2" t="s">
        <v>39</v>
      </c>
      <c r="G2791" s="2" t="s">
        <v>22</v>
      </c>
      <c r="H2791" s="2" t="s">
        <v>34</v>
      </c>
      <c r="I2791" s="2" t="s">
        <v>57</v>
      </c>
      <c r="J2791" s="2" t="s">
        <v>7509</v>
      </c>
      <c r="K2791" s="2" t="s">
        <v>1176</v>
      </c>
      <c r="L2791">
        <v>6</v>
      </c>
      <c r="M2791" s="1">
        <v>121000</v>
      </c>
      <c r="N2791">
        <v>1.6</v>
      </c>
      <c r="O2791">
        <v>21</v>
      </c>
      <c r="P2791" s="2" t="s">
        <v>53</v>
      </c>
    </row>
    <row r="2792" spans="1:16" x14ac:dyDescent="0.25">
      <c r="A2792" s="2" t="s">
        <v>8701</v>
      </c>
      <c r="B2792" s="2" t="s">
        <v>7209</v>
      </c>
      <c r="C2792" s="2" t="s">
        <v>18</v>
      </c>
      <c r="D2792" s="2" t="s">
        <v>79</v>
      </c>
      <c r="E2792" s="2" t="s">
        <v>44</v>
      </c>
      <c r="F2792" s="2" t="s">
        <v>39</v>
      </c>
      <c r="G2792" s="2" t="s">
        <v>33</v>
      </c>
      <c r="H2792" s="2" t="s">
        <v>23</v>
      </c>
      <c r="I2792" s="2" t="s">
        <v>171</v>
      </c>
      <c r="J2792" s="2" t="s">
        <v>748</v>
      </c>
      <c r="K2792" s="2" t="s">
        <v>3238</v>
      </c>
      <c r="L2792">
        <v>5</v>
      </c>
      <c r="M2792" s="1">
        <v>131000</v>
      </c>
      <c r="N2792">
        <v>4.7</v>
      </c>
      <c r="O2792">
        <v>0</v>
      </c>
      <c r="P2792" s="2" t="s">
        <v>26</v>
      </c>
    </row>
    <row r="2793" spans="1:16" x14ac:dyDescent="0.25">
      <c r="A2793" s="2" t="s">
        <v>8702</v>
      </c>
      <c r="B2793" s="2" t="s">
        <v>6893</v>
      </c>
      <c r="C2793" s="2" t="s">
        <v>18</v>
      </c>
      <c r="D2793" s="2" t="s">
        <v>79</v>
      </c>
      <c r="E2793" s="2" t="s">
        <v>44</v>
      </c>
      <c r="F2793" s="2" t="s">
        <v>21</v>
      </c>
      <c r="G2793" s="2" t="s">
        <v>22</v>
      </c>
      <c r="H2793" s="2" t="s">
        <v>34</v>
      </c>
      <c r="I2793" s="2" t="s">
        <v>35</v>
      </c>
      <c r="J2793" s="2" t="s">
        <v>3326</v>
      </c>
      <c r="K2793" s="2" t="s">
        <v>3238</v>
      </c>
      <c r="L2793">
        <v>3</v>
      </c>
      <c r="M2793" s="1">
        <v>710000</v>
      </c>
      <c r="N2793">
        <v>4.5</v>
      </c>
      <c r="O2793">
        <v>5</v>
      </c>
      <c r="P2793" s="2" t="s">
        <v>26</v>
      </c>
    </row>
    <row r="2794" spans="1:16" x14ac:dyDescent="0.25">
      <c r="A2794" s="2" t="s">
        <v>8703</v>
      </c>
      <c r="B2794" s="2" t="s">
        <v>5282</v>
      </c>
      <c r="C2794" s="2" t="s">
        <v>18</v>
      </c>
      <c r="D2794" s="2" t="s">
        <v>43</v>
      </c>
      <c r="E2794" s="2" t="s">
        <v>31</v>
      </c>
      <c r="F2794" s="2" t="s">
        <v>39</v>
      </c>
      <c r="G2794" s="2" t="s">
        <v>80</v>
      </c>
      <c r="H2794" s="2" t="s">
        <v>23</v>
      </c>
      <c r="I2794" s="2" t="s">
        <v>24</v>
      </c>
      <c r="J2794" s="2" t="s">
        <v>5262</v>
      </c>
      <c r="K2794" s="2" t="s">
        <v>3238</v>
      </c>
      <c r="L2794">
        <v>5</v>
      </c>
      <c r="M2794" s="1">
        <v>116000</v>
      </c>
      <c r="N2794">
        <v>4.8</v>
      </c>
      <c r="O2794">
        <v>37</v>
      </c>
      <c r="P2794" s="2" t="s">
        <v>26</v>
      </c>
    </row>
    <row r="2795" spans="1:16" x14ac:dyDescent="0.25">
      <c r="A2795" s="2" t="s">
        <v>8704</v>
      </c>
      <c r="B2795" s="2" t="s">
        <v>6750</v>
      </c>
      <c r="C2795" s="2" t="s">
        <v>29</v>
      </c>
      <c r="D2795" s="2" t="s">
        <v>50</v>
      </c>
      <c r="E2795" s="2" t="s">
        <v>20</v>
      </c>
      <c r="F2795" s="2" t="s">
        <v>39</v>
      </c>
      <c r="G2795" s="2" t="s">
        <v>22</v>
      </c>
      <c r="H2795" s="2" t="s">
        <v>62</v>
      </c>
      <c r="I2795" s="2" t="s">
        <v>75</v>
      </c>
      <c r="J2795" s="2" t="s">
        <v>269</v>
      </c>
      <c r="K2795" s="2" t="s">
        <v>3238</v>
      </c>
      <c r="L2795">
        <v>3</v>
      </c>
      <c r="M2795" s="1">
        <v>106000</v>
      </c>
      <c r="N2795">
        <v>3.2</v>
      </c>
      <c r="O2795">
        <v>13</v>
      </c>
      <c r="P2795" s="2" t="s">
        <v>53</v>
      </c>
    </row>
    <row r="2796" spans="1:16" x14ac:dyDescent="0.25">
      <c r="A2796" s="2" t="s">
        <v>8705</v>
      </c>
      <c r="B2796" s="2" t="s">
        <v>8706</v>
      </c>
      <c r="C2796" s="2" t="s">
        <v>29</v>
      </c>
      <c r="D2796" s="2" t="s">
        <v>50</v>
      </c>
      <c r="E2796" s="2" t="s">
        <v>20</v>
      </c>
      <c r="F2796" s="2" t="s">
        <v>32</v>
      </c>
      <c r="G2796" s="2" t="s">
        <v>33</v>
      </c>
      <c r="H2796" s="2" t="s">
        <v>34</v>
      </c>
      <c r="I2796" s="2" t="s">
        <v>24</v>
      </c>
      <c r="J2796" s="2" t="s">
        <v>487</v>
      </c>
      <c r="K2796" s="2" t="s">
        <v>2186</v>
      </c>
      <c r="L2796">
        <v>2</v>
      </c>
      <c r="M2796" s="1">
        <v>209000</v>
      </c>
      <c r="N2796">
        <v>2.9</v>
      </c>
      <c r="O2796">
        <v>12</v>
      </c>
      <c r="P2796" s="2" t="s">
        <v>26</v>
      </c>
    </row>
    <row r="2797" spans="1:16" x14ac:dyDescent="0.25">
      <c r="A2797" s="2" t="s">
        <v>8707</v>
      </c>
      <c r="B2797" s="2" t="s">
        <v>3844</v>
      </c>
      <c r="C2797" s="2" t="s">
        <v>18</v>
      </c>
      <c r="D2797" s="2" t="s">
        <v>50</v>
      </c>
      <c r="E2797" s="2" t="s">
        <v>20</v>
      </c>
      <c r="F2797" s="2" t="s">
        <v>32</v>
      </c>
      <c r="G2797" s="2" t="s">
        <v>80</v>
      </c>
      <c r="H2797" s="2" t="s">
        <v>46</v>
      </c>
      <c r="I2797" s="2" t="s">
        <v>24</v>
      </c>
      <c r="J2797" s="2" t="s">
        <v>2399</v>
      </c>
      <c r="K2797" s="2" t="s">
        <v>2186</v>
      </c>
      <c r="L2797">
        <v>2</v>
      </c>
      <c r="M2797" s="1">
        <v>332000</v>
      </c>
      <c r="N2797">
        <v>3.3</v>
      </c>
      <c r="O2797">
        <v>13</v>
      </c>
      <c r="P2797" s="2" t="s">
        <v>26</v>
      </c>
    </row>
    <row r="2798" spans="1:16" x14ac:dyDescent="0.25">
      <c r="A2798" s="2" t="s">
        <v>8708</v>
      </c>
      <c r="B2798" s="2" t="s">
        <v>1585</v>
      </c>
      <c r="C2798" s="2" t="s">
        <v>18</v>
      </c>
      <c r="D2798" s="2" t="s">
        <v>50</v>
      </c>
      <c r="E2798" s="2" t="s">
        <v>20</v>
      </c>
      <c r="F2798" s="2" t="s">
        <v>128</v>
      </c>
      <c r="G2798" s="2" t="s">
        <v>22</v>
      </c>
      <c r="H2798" s="2" t="s">
        <v>34</v>
      </c>
      <c r="I2798" s="2" t="s">
        <v>35</v>
      </c>
      <c r="J2798" s="2" t="s">
        <v>769</v>
      </c>
      <c r="K2798" s="2" t="s">
        <v>2186</v>
      </c>
      <c r="L2798">
        <v>4</v>
      </c>
      <c r="M2798" s="1">
        <v>482000</v>
      </c>
      <c r="N2798">
        <v>4.2</v>
      </c>
      <c r="O2798">
        <v>8</v>
      </c>
      <c r="P2798" s="2" t="s">
        <v>26</v>
      </c>
    </row>
    <row r="2799" spans="1:16" x14ac:dyDescent="0.25">
      <c r="A2799" s="2" t="s">
        <v>8709</v>
      </c>
      <c r="B2799" s="2" t="s">
        <v>790</v>
      </c>
      <c r="C2799" s="2" t="s">
        <v>18</v>
      </c>
      <c r="D2799" s="2" t="s">
        <v>50</v>
      </c>
      <c r="E2799" s="2" t="s">
        <v>44</v>
      </c>
      <c r="F2799" s="2" t="s">
        <v>39</v>
      </c>
      <c r="G2799" s="2" t="s">
        <v>80</v>
      </c>
      <c r="H2799" s="2" t="s">
        <v>23</v>
      </c>
      <c r="I2799" s="2" t="s">
        <v>35</v>
      </c>
      <c r="J2799" s="2" t="s">
        <v>1178</v>
      </c>
      <c r="K2799" s="2" t="s">
        <v>2186</v>
      </c>
      <c r="L2799">
        <v>5</v>
      </c>
      <c r="M2799" s="1">
        <v>96000</v>
      </c>
      <c r="N2799">
        <v>2.5</v>
      </c>
      <c r="O2799">
        <v>12</v>
      </c>
      <c r="P2799" s="2" t="s">
        <v>114</v>
      </c>
    </row>
    <row r="2800" spans="1:16" x14ac:dyDescent="0.25">
      <c r="A2800" s="2" t="s">
        <v>8710</v>
      </c>
      <c r="B2800" s="2" t="s">
        <v>3272</v>
      </c>
      <c r="C2800" s="2" t="s">
        <v>29</v>
      </c>
      <c r="D2800" s="2" t="s">
        <v>30</v>
      </c>
      <c r="E2800" s="2" t="s">
        <v>31</v>
      </c>
      <c r="F2800" s="2" t="s">
        <v>21</v>
      </c>
      <c r="G2800" s="2" t="s">
        <v>80</v>
      </c>
      <c r="H2800" s="2" t="s">
        <v>23</v>
      </c>
      <c r="I2800" s="2" t="s">
        <v>35</v>
      </c>
      <c r="J2800" s="2" t="s">
        <v>2505</v>
      </c>
      <c r="K2800" s="2" t="s">
        <v>1199</v>
      </c>
      <c r="L2800">
        <v>3</v>
      </c>
      <c r="M2800" s="1">
        <v>928000</v>
      </c>
      <c r="N2800">
        <v>3.9</v>
      </c>
      <c r="O2800">
        <v>3</v>
      </c>
      <c r="P2800" s="2" t="s">
        <v>26</v>
      </c>
    </row>
    <row r="2801" spans="1:16" x14ac:dyDescent="0.25">
      <c r="A2801" s="2" t="s">
        <v>8711</v>
      </c>
      <c r="B2801" s="2" t="s">
        <v>1644</v>
      </c>
      <c r="C2801" s="2" t="s">
        <v>18</v>
      </c>
      <c r="D2801" s="2" t="s">
        <v>30</v>
      </c>
      <c r="E2801" s="2" t="s">
        <v>31</v>
      </c>
      <c r="F2801" s="2" t="s">
        <v>21</v>
      </c>
      <c r="G2801" s="2" t="s">
        <v>80</v>
      </c>
      <c r="H2801" s="2" t="s">
        <v>34</v>
      </c>
      <c r="I2801" s="2" t="s">
        <v>57</v>
      </c>
      <c r="J2801" s="2" t="s">
        <v>3150</v>
      </c>
      <c r="K2801" s="2" t="s">
        <v>1199</v>
      </c>
      <c r="L2801">
        <v>5</v>
      </c>
      <c r="M2801" s="1">
        <v>602000</v>
      </c>
      <c r="N2801">
        <v>3.5</v>
      </c>
      <c r="O2801">
        <v>10</v>
      </c>
      <c r="P2801" s="2" t="s">
        <v>26</v>
      </c>
    </row>
    <row r="2802" spans="1:16" x14ac:dyDescent="0.25">
      <c r="A2802" s="2" t="s">
        <v>8712</v>
      </c>
      <c r="B2802" s="2" t="s">
        <v>1907</v>
      </c>
      <c r="C2802" s="2" t="s">
        <v>18</v>
      </c>
      <c r="D2802" s="2" t="s">
        <v>50</v>
      </c>
      <c r="E2802" s="2" t="s">
        <v>20</v>
      </c>
      <c r="F2802" s="2" t="s">
        <v>39</v>
      </c>
      <c r="G2802" s="2" t="s">
        <v>80</v>
      </c>
      <c r="H2802" s="2" t="s">
        <v>34</v>
      </c>
      <c r="I2802" s="2" t="s">
        <v>57</v>
      </c>
      <c r="J2802" s="2" t="s">
        <v>8713</v>
      </c>
      <c r="K2802" s="2" t="s">
        <v>1199</v>
      </c>
      <c r="L2802">
        <v>3</v>
      </c>
      <c r="M2802" s="1">
        <v>88000</v>
      </c>
      <c r="N2802">
        <v>4.0999999999999996</v>
      </c>
      <c r="O2802">
        <v>3</v>
      </c>
      <c r="P2802" s="2" t="s">
        <v>26</v>
      </c>
    </row>
    <row r="2803" spans="1:16" x14ac:dyDescent="0.25">
      <c r="A2803" s="2" t="s">
        <v>8714</v>
      </c>
      <c r="B2803" s="2" t="s">
        <v>8715</v>
      </c>
      <c r="C2803" s="2" t="s">
        <v>29</v>
      </c>
      <c r="D2803" s="2" t="s">
        <v>50</v>
      </c>
      <c r="E2803" s="2" t="s">
        <v>31</v>
      </c>
      <c r="F2803" s="2" t="s">
        <v>32</v>
      </c>
      <c r="G2803" s="2" t="s">
        <v>22</v>
      </c>
      <c r="H2803" s="2" t="s">
        <v>34</v>
      </c>
      <c r="I2803" s="2" t="s">
        <v>35</v>
      </c>
      <c r="J2803" s="2" t="s">
        <v>1363</v>
      </c>
      <c r="K2803" s="2" t="s">
        <v>1199</v>
      </c>
      <c r="L2803">
        <v>6</v>
      </c>
      <c r="M2803" s="1">
        <v>282000</v>
      </c>
      <c r="N2803">
        <v>3.1</v>
      </c>
      <c r="O2803">
        <v>13</v>
      </c>
      <c r="P2803" s="2" t="s">
        <v>26</v>
      </c>
    </row>
    <row r="2804" spans="1:16" x14ac:dyDescent="0.25">
      <c r="A2804" s="2" t="s">
        <v>8718</v>
      </c>
      <c r="B2804" s="2" t="s">
        <v>1976</v>
      </c>
      <c r="C2804" s="2" t="s">
        <v>18</v>
      </c>
      <c r="D2804" s="2" t="s">
        <v>79</v>
      </c>
      <c r="E2804" s="2" t="s">
        <v>44</v>
      </c>
      <c r="F2804" s="2" t="s">
        <v>128</v>
      </c>
      <c r="G2804" s="2" t="s">
        <v>33</v>
      </c>
      <c r="H2804" s="2" t="s">
        <v>46</v>
      </c>
      <c r="I2804" s="2" t="s">
        <v>57</v>
      </c>
      <c r="J2804" s="2" t="s">
        <v>2016</v>
      </c>
      <c r="K2804" s="2" t="s">
        <v>1199</v>
      </c>
      <c r="L2804">
        <v>2</v>
      </c>
      <c r="M2804" s="1">
        <v>464000</v>
      </c>
      <c r="N2804">
        <v>3</v>
      </c>
      <c r="O2804">
        <v>14</v>
      </c>
      <c r="P2804" s="2" t="s">
        <v>26</v>
      </c>
    </row>
    <row r="2805" spans="1:16" x14ac:dyDescent="0.25">
      <c r="A2805" s="2" t="s">
        <v>8720</v>
      </c>
      <c r="B2805" s="2" t="s">
        <v>8721</v>
      </c>
      <c r="C2805" s="2" t="s">
        <v>29</v>
      </c>
      <c r="D2805" s="2" t="s">
        <v>30</v>
      </c>
      <c r="E2805" s="2" t="s">
        <v>20</v>
      </c>
      <c r="F2805" s="2" t="s">
        <v>39</v>
      </c>
      <c r="G2805" s="2" t="s">
        <v>33</v>
      </c>
      <c r="H2805" s="2" t="s">
        <v>62</v>
      </c>
      <c r="I2805" s="2" t="s">
        <v>57</v>
      </c>
      <c r="J2805" s="2" t="s">
        <v>6245</v>
      </c>
      <c r="K2805" s="2" t="s">
        <v>1199</v>
      </c>
      <c r="L2805">
        <v>2</v>
      </c>
      <c r="M2805" s="1">
        <v>107000</v>
      </c>
      <c r="N2805">
        <v>2.2999999999999998</v>
      </c>
      <c r="O2805">
        <v>13</v>
      </c>
      <c r="P2805" s="2" t="s">
        <v>114</v>
      </c>
    </row>
    <row r="2806" spans="1:16" x14ac:dyDescent="0.25">
      <c r="A2806" s="2" t="s">
        <v>8722</v>
      </c>
      <c r="B2806" s="2" t="s">
        <v>451</v>
      </c>
      <c r="C2806" s="2" t="s">
        <v>29</v>
      </c>
      <c r="D2806" s="2" t="s">
        <v>30</v>
      </c>
      <c r="E2806" s="2" t="s">
        <v>20</v>
      </c>
      <c r="F2806" s="2" t="s">
        <v>128</v>
      </c>
      <c r="G2806" s="2" t="s">
        <v>22</v>
      </c>
      <c r="H2806" s="2" t="s">
        <v>23</v>
      </c>
      <c r="I2806" s="2" t="s">
        <v>24</v>
      </c>
      <c r="J2806" s="2" t="s">
        <v>1890</v>
      </c>
      <c r="K2806" s="2" t="s">
        <v>5302</v>
      </c>
      <c r="L2806">
        <v>4</v>
      </c>
      <c r="M2806" s="1">
        <v>368000</v>
      </c>
      <c r="N2806">
        <v>3.5</v>
      </c>
      <c r="O2806">
        <v>9</v>
      </c>
      <c r="P2806" s="2" t="s">
        <v>26</v>
      </c>
    </row>
    <row r="2807" spans="1:16" x14ac:dyDescent="0.25">
      <c r="A2807" s="2" t="s">
        <v>8723</v>
      </c>
      <c r="B2807" s="2" t="s">
        <v>8724</v>
      </c>
      <c r="C2807" s="2" t="s">
        <v>18</v>
      </c>
      <c r="D2807" s="2" t="s">
        <v>43</v>
      </c>
      <c r="E2807" s="2" t="s">
        <v>31</v>
      </c>
      <c r="F2807" s="2" t="s">
        <v>39</v>
      </c>
      <c r="G2807" s="2" t="s">
        <v>80</v>
      </c>
      <c r="H2807" s="2" t="s">
        <v>62</v>
      </c>
      <c r="I2807" s="2" t="s">
        <v>57</v>
      </c>
      <c r="J2807" s="2" t="s">
        <v>2956</v>
      </c>
      <c r="K2807" s="2" t="s">
        <v>5302</v>
      </c>
      <c r="L2807">
        <v>5</v>
      </c>
      <c r="M2807" s="1">
        <v>159000</v>
      </c>
      <c r="N2807">
        <v>3.3</v>
      </c>
      <c r="O2807">
        <v>4</v>
      </c>
      <c r="P2807" s="2" t="s">
        <v>26</v>
      </c>
    </row>
    <row r="2808" spans="1:16" x14ac:dyDescent="0.25">
      <c r="A2808" s="2" t="s">
        <v>8725</v>
      </c>
      <c r="B2808" s="2" t="s">
        <v>2770</v>
      </c>
      <c r="C2808" s="2" t="s">
        <v>29</v>
      </c>
      <c r="D2808" s="2" t="s">
        <v>50</v>
      </c>
      <c r="E2808" s="2" t="s">
        <v>44</v>
      </c>
      <c r="F2808" s="2" t="s">
        <v>32</v>
      </c>
      <c r="G2808" s="2" t="s">
        <v>22</v>
      </c>
      <c r="H2808" s="2" t="s">
        <v>34</v>
      </c>
      <c r="I2808" s="2" t="s">
        <v>35</v>
      </c>
      <c r="J2808" s="2" t="s">
        <v>2044</v>
      </c>
      <c r="K2808" s="2" t="s">
        <v>5302</v>
      </c>
      <c r="L2808">
        <v>5</v>
      </c>
      <c r="M2808" s="1">
        <v>237000</v>
      </c>
      <c r="N2808">
        <v>2.6</v>
      </c>
      <c r="O2808">
        <v>25</v>
      </c>
      <c r="P2808" s="2" t="s">
        <v>26</v>
      </c>
    </row>
    <row r="2809" spans="1:16" x14ac:dyDescent="0.25">
      <c r="A2809" s="2" t="s">
        <v>8726</v>
      </c>
      <c r="B2809" s="2" t="s">
        <v>2836</v>
      </c>
      <c r="C2809" s="2" t="s">
        <v>29</v>
      </c>
      <c r="D2809" s="2" t="s">
        <v>30</v>
      </c>
      <c r="E2809" s="2" t="s">
        <v>44</v>
      </c>
      <c r="F2809" s="2" t="s">
        <v>32</v>
      </c>
      <c r="G2809" s="2" t="s">
        <v>33</v>
      </c>
      <c r="H2809" s="2" t="s">
        <v>23</v>
      </c>
      <c r="I2809" s="2" t="s">
        <v>35</v>
      </c>
      <c r="J2809" s="2" t="s">
        <v>3493</v>
      </c>
      <c r="K2809" s="2" t="s">
        <v>5302</v>
      </c>
      <c r="L2809">
        <v>2</v>
      </c>
      <c r="M2809" s="1">
        <v>257000</v>
      </c>
      <c r="N2809">
        <v>3.3</v>
      </c>
      <c r="O2809">
        <v>11</v>
      </c>
      <c r="P2809" s="2" t="s">
        <v>26</v>
      </c>
    </row>
    <row r="2810" spans="1:16" x14ac:dyDescent="0.25">
      <c r="A2810" s="2" t="s">
        <v>8727</v>
      </c>
      <c r="B2810" s="2" t="s">
        <v>6757</v>
      </c>
      <c r="C2810" s="2" t="s">
        <v>29</v>
      </c>
      <c r="D2810" s="2" t="s">
        <v>43</v>
      </c>
      <c r="E2810" s="2" t="s">
        <v>20</v>
      </c>
      <c r="F2810" s="2" t="s">
        <v>32</v>
      </c>
      <c r="G2810" s="2" t="s">
        <v>22</v>
      </c>
      <c r="H2810" s="2" t="s">
        <v>46</v>
      </c>
      <c r="I2810" s="2" t="s">
        <v>35</v>
      </c>
      <c r="J2810" s="2" t="s">
        <v>5382</v>
      </c>
      <c r="K2810" s="2" t="s">
        <v>5302</v>
      </c>
      <c r="L2810">
        <v>6</v>
      </c>
      <c r="M2810" s="1">
        <v>308000</v>
      </c>
      <c r="N2810">
        <v>2</v>
      </c>
      <c r="O2810">
        <v>11</v>
      </c>
      <c r="P2810" s="2" t="s">
        <v>26</v>
      </c>
    </row>
    <row r="2811" spans="1:16" x14ac:dyDescent="0.25">
      <c r="A2811" s="2" t="s">
        <v>8728</v>
      </c>
      <c r="B2811" s="2" t="s">
        <v>8729</v>
      </c>
      <c r="C2811" s="2" t="s">
        <v>29</v>
      </c>
      <c r="D2811" s="2" t="s">
        <v>30</v>
      </c>
      <c r="E2811" s="2" t="s">
        <v>20</v>
      </c>
      <c r="F2811" s="2" t="s">
        <v>32</v>
      </c>
      <c r="G2811" s="2" t="s">
        <v>80</v>
      </c>
      <c r="H2811" s="2" t="s">
        <v>23</v>
      </c>
      <c r="I2811" s="2" t="s">
        <v>24</v>
      </c>
      <c r="J2811" s="2" t="s">
        <v>232</v>
      </c>
      <c r="K2811" s="2" t="s">
        <v>5302</v>
      </c>
      <c r="L2811">
        <v>4</v>
      </c>
      <c r="M2811" s="1">
        <v>292000</v>
      </c>
      <c r="N2811">
        <v>2</v>
      </c>
      <c r="O2811">
        <v>6</v>
      </c>
      <c r="P2811" s="2" t="s">
        <v>26</v>
      </c>
    </row>
    <row r="2812" spans="1:16" x14ac:dyDescent="0.25">
      <c r="A2812" s="2" t="s">
        <v>8734</v>
      </c>
      <c r="B2812" s="2" t="s">
        <v>3136</v>
      </c>
      <c r="C2812" s="2" t="s">
        <v>29</v>
      </c>
      <c r="D2812" s="2" t="s">
        <v>50</v>
      </c>
      <c r="E2812" s="2" t="s">
        <v>20</v>
      </c>
      <c r="F2812" s="2" t="s">
        <v>21</v>
      </c>
      <c r="G2812" s="2" t="s">
        <v>22</v>
      </c>
      <c r="H2812" s="2" t="s">
        <v>23</v>
      </c>
      <c r="I2812" s="2" t="s">
        <v>35</v>
      </c>
      <c r="J2812" s="2" t="s">
        <v>2956</v>
      </c>
      <c r="K2812" s="2" t="s">
        <v>5302</v>
      </c>
      <c r="L2812">
        <v>5</v>
      </c>
      <c r="M2812" s="1">
        <v>829000</v>
      </c>
      <c r="N2812">
        <v>3.5</v>
      </c>
      <c r="O2812">
        <v>8</v>
      </c>
      <c r="P2812" s="2" t="s">
        <v>53</v>
      </c>
    </row>
    <row r="2813" spans="1:16" x14ac:dyDescent="0.25">
      <c r="A2813" s="2" t="s">
        <v>8735</v>
      </c>
      <c r="B2813" s="2" t="s">
        <v>8736</v>
      </c>
      <c r="C2813" s="2" t="s">
        <v>29</v>
      </c>
      <c r="D2813" s="2" t="s">
        <v>79</v>
      </c>
      <c r="E2813" s="2" t="s">
        <v>20</v>
      </c>
      <c r="F2813" s="2" t="s">
        <v>128</v>
      </c>
      <c r="G2813" s="2" t="s">
        <v>22</v>
      </c>
      <c r="H2813" s="2" t="s">
        <v>23</v>
      </c>
      <c r="I2813" s="2" t="s">
        <v>35</v>
      </c>
      <c r="J2813" s="2" t="s">
        <v>5927</v>
      </c>
      <c r="K2813" s="2" t="s">
        <v>3690</v>
      </c>
      <c r="L2813">
        <v>6</v>
      </c>
      <c r="M2813" s="1">
        <v>434000</v>
      </c>
      <c r="N2813">
        <v>4.4000000000000004</v>
      </c>
      <c r="O2813">
        <v>10</v>
      </c>
      <c r="P2813" s="2" t="s">
        <v>26</v>
      </c>
    </row>
    <row r="2814" spans="1:16" x14ac:dyDescent="0.25">
      <c r="A2814" s="2" t="s">
        <v>8737</v>
      </c>
      <c r="B2814" s="2" t="s">
        <v>7514</v>
      </c>
      <c r="C2814" s="2" t="s">
        <v>18</v>
      </c>
      <c r="D2814" s="2" t="s">
        <v>19</v>
      </c>
      <c r="E2814" s="2" t="s">
        <v>20</v>
      </c>
      <c r="F2814" s="2" t="s">
        <v>128</v>
      </c>
      <c r="G2814" s="2" t="s">
        <v>22</v>
      </c>
      <c r="H2814" s="2" t="s">
        <v>23</v>
      </c>
      <c r="I2814" s="2" t="s">
        <v>35</v>
      </c>
      <c r="J2814" s="2" t="s">
        <v>549</v>
      </c>
      <c r="K2814" s="2" t="s">
        <v>3690</v>
      </c>
      <c r="L2814">
        <v>5</v>
      </c>
      <c r="M2814" s="1">
        <v>577000</v>
      </c>
      <c r="N2814">
        <v>3.3</v>
      </c>
      <c r="O2814">
        <v>0</v>
      </c>
      <c r="P2814" s="2" t="s">
        <v>26</v>
      </c>
    </row>
    <row r="2815" spans="1:16" x14ac:dyDescent="0.25">
      <c r="A2815" s="2" t="s">
        <v>8739</v>
      </c>
      <c r="B2815" s="2" t="s">
        <v>826</v>
      </c>
      <c r="C2815" s="2" t="s">
        <v>18</v>
      </c>
      <c r="D2815" s="2" t="s">
        <v>43</v>
      </c>
      <c r="E2815" s="2" t="s">
        <v>20</v>
      </c>
      <c r="F2815" s="2" t="s">
        <v>21</v>
      </c>
      <c r="G2815" s="2" t="s">
        <v>22</v>
      </c>
      <c r="H2815" s="2" t="s">
        <v>23</v>
      </c>
      <c r="I2815" s="2" t="s">
        <v>24</v>
      </c>
      <c r="J2815" s="2" t="s">
        <v>5022</v>
      </c>
      <c r="K2815" s="2" t="s">
        <v>3690</v>
      </c>
      <c r="L2815">
        <v>6</v>
      </c>
      <c r="M2815" s="1">
        <v>838000</v>
      </c>
      <c r="N2815">
        <v>3.3</v>
      </c>
      <c r="O2815">
        <v>4</v>
      </c>
      <c r="P2815" s="2" t="s">
        <v>53</v>
      </c>
    </row>
    <row r="2816" spans="1:16" x14ac:dyDescent="0.25">
      <c r="A2816" s="2" t="s">
        <v>8740</v>
      </c>
      <c r="B2816" s="2" t="s">
        <v>8741</v>
      </c>
      <c r="C2816" s="2" t="s">
        <v>18</v>
      </c>
      <c r="D2816" s="2" t="s">
        <v>19</v>
      </c>
      <c r="E2816" s="2" t="s">
        <v>44</v>
      </c>
      <c r="F2816" s="2" t="s">
        <v>39</v>
      </c>
      <c r="G2816" s="2" t="s">
        <v>80</v>
      </c>
      <c r="H2816" s="2" t="s">
        <v>46</v>
      </c>
      <c r="I2816" s="2" t="s">
        <v>57</v>
      </c>
      <c r="J2816" s="2" t="s">
        <v>4108</v>
      </c>
      <c r="K2816" s="2" t="s">
        <v>2287</v>
      </c>
      <c r="L2816">
        <v>4</v>
      </c>
      <c r="M2816" s="1">
        <v>112000</v>
      </c>
      <c r="N2816">
        <v>4.5999999999999996</v>
      </c>
      <c r="O2816">
        <v>3</v>
      </c>
      <c r="P2816" s="2" t="s">
        <v>53</v>
      </c>
    </row>
    <row r="2817" spans="1:16" x14ac:dyDescent="0.25">
      <c r="A2817" s="2" t="s">
        <v>8742</v>
      </c>
      <c r="B2817" s="2" t="s">
        <v>2363</v>
      </c>
      <c r="C2817" s="2" t="s">
        <v>29</v>
      </c>
      <c r="D2817" s="2" t="s">
        <v>19</v>
      </c>
      <c r="E2817" s="2" t="s">
        <v>20</v>
      </c>
      <c r="F2817" s="2" t="s">
        <v>32</v>
      </c>
      <c r="G2817" s="2" t="s">
        <v>22</v>
      </c>
      <c r="H2817" s="2" t="s">
        <v>23</v>
      </c>
      <c r="I2817" s="2" t="s">
        <v>75</v>
      </c>
      <c r="J2817" s="2" t="s">
        <v>3643</v>
      </c>
      <c r="K2817" s="2" t="s">
        <v>1683</v>
      </c>
      <c r="L2817">
        <v>6</v>
      </c>
      <c r="M2817" s="1">
        <v>355000</v>
      </c>
      <c r="N2817">
        <v>3.2</v>
      </c>
      <c r="O2817">
        <v>9</v>
      </c>
      <c r="P2817" s="2" t="s">
        <v>26</v>
      </c>
    </row>
    <row r="2818" spans="1:16" x14ac:dyDescent="0.25">
      <c r="A2818" s="2" t="s">
        <v>8745</v>
      </c>
      <c r="B2818" s="2" t="s">
        <v>8746</v>
      </c>
      <c r="C2818" s="2" t="s">
        <v>18</v>
      </c>
      <c r="D2818" s="2" t="s">
        <v>50</v>
      </c>
      <c r="E2818" s="2" t="s">
        <v>20</v>
      </c>
      <c r="F2818" s="2" t="s">
        <v>39</v>
      </c>
      <c r="G2818" s="2" t="s">
        <v>80</v>
      </c>
      <c r="H2818" s="2" t="s">
        <v>34</v>
      </c>
      <c r="I2818" s="2" t="s">
        <v>57</v>
      </c>
      <c r="J2818" s="2" t="s">
        <v>8747</v>
      </c>
      <c r="K2818" s="2" t="s">
        <v>1683</v>
      </c>
      <c r="L2818">
        <v>5</v>
      </c>
      <c r="M2818" s="1">
        <v>173000</v>
      </c>
      <c r="N2818">
        <v>4.2</v>
      </c>
      <c r="O2818">
        <v>4</v>
      </c>
      <c r="P2818" s="2" t="s">
        <v>26</v>
      </c>
    </row>
    <row r="2819" spans="1:16" x14ac:dyDescent="0.25">
      <c r="A2819" s="2" t="s">
        <v>8750</v>
      </c>
      <c r="B2819" s="2" t="s">
        <v>1841</v>
      </c>
      <c r="C2819" s="2" t="s">
        <v>29</v>
      </c>
      <c r="D2819" s="2" t="s">
        <v>43</v>
      </c>
      <c r="E2819" s="2" t="s">
        <v>20</v>
      </c>
      <c r="F2819" s="2" t="s">
        <v>32</v>
      </c>
      <c r="G2819" s="2" t="s">
        <v>33</v>
      </c>
      <c r="H2819" s="2" t="s">
        <v>23</v>
      </c>
      <c r="I2819" s="2" t="s">
        <v>24</v>
      </c>
      <c r="J2819" s="2" t="s">
        <v>1423</v>
      </c>
      <c r="K2819" s="2" t="s">
        <v>1683</v>
      </c>
      <c r="L2819">
        <v>5</v>
      </c>
      <c r="M2819" s="1">
        <v>288000</v>
      </c>
      <c r="N2819">
        <v>3.2</v>
      </c>
      <c r="O2819">
        <v>2</v>
      </c>
      <c r="P2819" s="2" t="s">
        <v>26</v>
      </c>
    </row>
    <row r="2820" spans="1:16" x14ac:dyDescent="0.25">
      <c r="A2820" s="2" t="s">
        <v>8751</v>
      </c>
      <c r="B2820" s="2" t="s">
        <v>7046</v>
      </c>
      <c r="C2820" s="2" t="s">
        <v>18</v>
      </c>
      <c r="D2820" s="2" t="s">
        <v>30</v>
      </c>
      <c r="E2820" s="2" t="s">
        <v>20</v>
      </c>
      <c r="F2820" s="2" t="s">
        <v>32</v>
      </c>
      <c r="G2820" s="2" t="s">
        <v>33</v>
      </c>
      <c r="H2820" s="2" t="s">
        <v>23</v>
      </c>
      <c r="I2820" s="2" t="s">
        <v>57</v>
      </c>
      <c r="J2820" s="2" t="s">
        <v>572</v>
      </c>
      <c r="K2820" s="2" t="s">
        <v>1683</v>
      </c>
      <c r="L2820">
        <v>5</v>
      </c>
      <c r="M2820" s="1">
        <v>189000</v>
      </c>
      <c r="N2820">
        <v>2.9</v>
      </c>
      <c r="O2820">
        <v>2</v>
      </c>
      <c r="P2820" s="2" t="s">
        <v>53</v>
      </c>
    </row>
    <row r="2821" spans="1:16" x14ac:dyDescent="0.25">
      <c r="A2821" s="2" t="s">
        <v>8753</v>
      </c>
      <c r="B2821" s="2" t="s">
        <v>8754</v>
      </c>
      <c r="C2821" s="2" t="s">
        <v>18</v>
      </c>
      <c r="D2821" s="2" t="s">
        <v>79</v>
      </c>
      <c r="E2821" s="2" t="s">
        <v>31</v>
      </c>
      <c r="F2821" s="2" t="s">
        <v>45</v>
      </c>
      <c r="G2821" s="2" t="s">
        <v>33</v>
      </c>
      <c r="H2821" s="2" t="s">
        <v>23</v>
      </c>
      <c r="I2821" s="2" t="s">
        <v>24</v>
      </c>
      <c r="J2821" s="2" t="s">
        <v>2726</v>
      </c>
      <c r="K2821" s="2" t="s">
        <v>8755</v>
      </c>
      <c r="L2821">
        <v>6</v>
      </c>
      <c r="M2821" s="1">
        <v>1342000</v>
      </c>
      <c r="N2821">
        <v>3.1</v>
      </c>
      <c r="O2821">
        <v>27</v>
      </c>
      <c r="P2821" s="2" t="s">
        <v>72</v>
      </c>
    </row>
    <row r="2822" spans="1:16" x14ac:dyDescent="0.25">
      <c r="A2822" s="2" t="s">
        <v>8759</v>
      </c>
      <c r="B2822" s="2" t="s">
        <v>8760</v>
      </c>
      <c r="C2822" s="2" t="s">
        <v>29</v>
      </c>
      <c r="D2822" s="2" t="s">
        <v>79</v>
      </c>
      <c r="E2822" s="2" t="s">
        <v>20</v>
      </c>
      <c r="F2822" s="2" t="s">
        <v>128</v>
      </c>
      <c r="G2822" s="2" t="s">
        <v>33</v>
      </c>
      <c r="H2822" s="2" t="s">
        <v>62</v>
      </c>
      <c r="I2822" s="2" t="s">
        <v>57</v>
      </c>
      <c r="J2822" s="2" t="s">
        <v>3580</v>
      </c>
      <c r="K2822" s="2" t="s">
        <v>569</v>
      </c>
      <c r="L2822">
        <v>2</v>
      </c>
      <c r="M2822" s="1">
        <v>354000</v>
      </c>
      <c r="N2822">
        <v>4</v>
      </c>
      <c r="O2822">
        <v>8</v>
      </c>
      <c r="P2822" s="2" t="s">
        <v>114</v>
      </c>
    </row>
    <row r="2823" spans="1:16" x14ac:dyDescent="0.25">
      <c r="A2823" s="2" t="s">
        <v>8761</v>
      </c>
      <c r="B2823" s="2" t="s">
        <v>8762</v>
      </c>
      <c r="C2823" s="2" t="s">
        <v>18</v>
      </c>
      <c r="D2823" s="2" t="s">
        <v>43</v>
      </c>
      <c r="E2823" s="2" t="s">
        <v>20</v>
      </c>
      <c r="F2823" s="2" t="s">
        <v>32</v>
      </c>
      <c r="G2823" s="2" t="s">
        <v>80</v>
      </c>
      <c r="H2823" s="2" t="s">
        <v>34</v>
      </c>
      <c r="I2823" s="2" t="s">
        <v>57</v>
      </c>
      <c r="J2823" s="2" t="s">
        <v>2953</v>
      </c>
      <c r="K2823" s="2" t="s">
        <v>2622</v>
      </c>
      <c r="L2823">
        <v>3</v>
      </c>
      <c r="M2823" s="1">
        <v>229000</v>
      </c>
      <c r="N2823">
        <v>2.6</v>
      </c>
      <c r="O2823">
        <v>2</v>
      </c>
      <c r="P2823" s="2" t="s">
        <v>26</v>
      </c>
    </row>
    <row r="2824" spans="1:16" x14ac:dyDescent="0.25">
      <c r="A2824" s="2" t="s">
        <v>8763</v>
      </c>
      <c r="B2824" s="2" t="s">
        <v>2093</v>
      </c>
      <c r="C2824" s="2" t="s">
        <v>29</v>
      </c>
      <c r="D2824" s="2" t="s">
        <v>43</v>
      </c>
      <c r="E2824" s="2" t="s">
        <v>20</v>
      </c>
      <c r="F2824" s="2" t="s">
        <v>39</v>
      </c>
      <c r="G2824" s="2" t="s">
        <v>22</v>
      </c>
      <c r="H2824" s="2" t="s">
        <v>34</v>
      </c>
      <c r="I2824" s="2" t="s">
        <v>171</v>
      </c>
      <c r="J2824" s="2" t="s">
        <v>3084</v>
      </c>
      <c r="K2824" s="2" t="s">
        <v>2622</v>
      </c>
      <c r="L2824">
        <v>6</v>
      </c>
      <c r="M2824" s="1">
        <v>116000</v>
      </c>
      <c r="N2824">
        <v>3</v>
      </c>
      <c r="O2824">
        <v>20</v>
      </c>
      <c r="P2824" s="2" t="s">
        <v>26</v>
      </c>
    </row>
    <row r="2825" spans="1:16" x14ac:dyDescent="0.25">
      <c r="A2825" s="2" t="s">
        <v>8764</v>
      </c>
      <c r="B2825" s="2" t="s">
        <v>690</v>
      </c>
      <c r="C2825" s="2" t="s">
        <v>18</v>
      </c>
      <c r="D2825" s="2" t="s">
        <v>19</v>
      </c>
      <c r="E2825" s="2" t="s">
        <v>20</v>
      </c>
      <c r="F2825" s="2" t="s">
        <v>128</v>
      </c>
      <c r="G2825" s="2" t="s">
        <v>22</v>
      </c>
      <c r="H2825" s="2" t="s">
        <v>62</v>
      </c>
      <c r="I2825" s="2" t="s">
        <v>57</v>
      </c>
      <c r="J2825" s="2" t="s">
        <v>4845</v>
      </c>
      <c r="K2825" s="2" t="s">
        <v>2622</v>
      </c>
      <c r="L2825">
        <v>5</v>
      </c>
      <c r="M2825" s="1">
        <v>507000</v>
      </c>
      <c r="N2825">
        <v>4.8</v>
      </c>
      <c r="O2825">
        <v>9</v>
      </c>
      <c r="P2825" s="2" t="s">
        <v>26</v>
      </c>
    </row>
    <row r="2826" spans="1:16" x14ac:dyDescent="0.25">
      <c r="A2826" s="2" t="s">
        <v>8765</v>
      </c>
      <c r="B2826" s="2" t="s">
        <v>4573</v>
      </c>
      <c r="C2826" s="2" t="s">
        <v>18</v>
      </c>
      <c r="D2826" s="2" t="s">
        <v>19</v>
      </c>
      <c r="E2826" s="2" t="s">
        <v>20</v>
      </c>
      <c r="F2826" s="2" t="s">
        <v>32</v>
      </c>
      <c r="G2826" s="2" t="s">
        <v>33</v>
      </c>
      <c r="H2826" s="2" t="s">
        <v>34</v>
      </c>
      <c r="I2826" s="2" t="s">
        <v>24</v>
      </c>
      <c r="J2826" s="2" t="s">
        <v>3604</v>
      </c>
      <c r="K2826" s="2" t="s">
        <v>2622</v>
      </c>
      <c r="L2826">
        <v>6</v>
      </c>
      <c r="M2826" s="1">
        <v>223000</v>
      </c>
      <c r="N2826">
        <v>4.4000000000000004</v>
      </c>
      <c r="O2826">
        <v>13</v>
      </c>
      <c r="P2826" s="2" t="s">
        <v>26</v>
      </c>
    </row>
    <row r="2827" spans="1:16" x14ac:dyDescent="0.25">
      <c r="A2827" s="2" t="s">
        <v>8767</v>
      </c>
      <c r="B2827" s="2" t="s">
        <v>8768</v>
      </c>
      <c r="C2827" s="2" t="s">
        <v>18</v>
      </c>
      <c r="D2827" s="2" t="s">
        <v>43</v>
      </c>
      <c r="E2827" s="2" t="s">
        <v>20</v>
      </c>
      <c r="F2827" s="2" t="s">
        <v>128</v>
      </c>
      <c r="G2827" s="2" t="s">
        <v>22</v>
      </c>
      <c r="H2827" s="2" t="s">
        <v>23</v>
      </c>
      <c r="I2827" s="2" t="s">
        <v>35</v>
      </c>
      <c r="J2827" s="2" t="s">
        <v>2044</v>
      </c>
      <c r="K2827" s="2" t="s">
        <v>2622</v>
      </c>
      <c r="L2827">
        <v>5</v>
      </c>
      <c r="M2827" s="1">
        <v>526000</v>
      </c>
      <c r="N2827">
        <v>4.9000000000000004</v>
      </c>
      <c r="O2827">
        <v>5</v>
      </c>
      <c r="P2827" s="2" t="s">
        <v>26</v>
      </c>
    </row>
    <row r="2828" spans="1:16" x14ac:dyDescent="0.25">
      <c r="A2828" s="2" t="s">
        <v>8769</v>
      </c>
      <c r="B2828" s="2" t="s">
        <v>5448</v>
      </c>
      <c r="C2828" s="2" t="s">
        <v>29</v>
      </c>
      <c r="D2828" s="2" t="s">
        <v>30</v>
      </c>
      <c r="E2828" s="2" t="s">
        <v>20</v>
      </c>
      <c r="F2828" s="2" t="s">
        <v>32</v>
      </c>
      <c r="G2828" s="2" t="s">
        <v>22</v>
      </c>
      <c r="H2828" s="2" t="s">
        <v>23</v>
      </c>
      <c r="I2828" s="2" t="s">
        <v>24</v>
      </c>
      <c r="J2828" s="2" t="s">
        <v>3736</v>
      </c>
      <c r="K2828" s="2" t="s">
        <v>2622</v>
      </c>
      <c r="L2828">
        <v>5</v>
      </c>
      <c r="M2828" s="1">
        <v>242000</v>
      </c>
      <c r="N2828">
        <v>2.8</v>
      </c>
      <c r="O2828">
        <v>1</v>
      </c>
      <c r="P2828" s="2" t="s">
        <v>26</v>
      </c>
    </row>
    <row r="2829" spans="1:16" x14ac:dyDescent="0.25">
      <c r="A2829" s="2" t="s">
        <v>8771</v>
      </c>
      <c r="B2829" s="2" t="s">
        <v>4458</v>
      </c>
      <c r="C2829" s="2" t="s">
        <v>18</v>
      </c>
      <c r="D2829" s="2" t="s">
        <v>30</v>
      </c>
      <c r="E2829" s="2" t="s">
        <v>44</v>
      </c>
      <c r="F2829" s="2" t="s">
        <v>128</v>
      </c>
      <c r="G2829" s="2" t="s">
        <v>69</v>
      </c>
      <c r="H2829" s="2" t="s">
        <v>23</v>
      </c>
      <c r="I2829" s="2" t="s">
        <v>24</v>
      </c>
      <c r="J2829" s="2" t="s">
        <v>213</v>
      </c>
      <c r="K2829" s="2" t="s">
        <v>2622</v>
      </c>
      <c r="L2829">
        <v>5</v>
      </c>
      <c r="M2829" s="1">
        <v>549000</v>
      </c>
      <c r="N2829">
        <v>3.9</v>
      </c>
      <c r="O2829">
        <v>11</v>
      </c>
      <c r="P2829" s="2" t="s">
        <v>26</v>
      </c>
    </row>
    <row r="2830" spans="1:16" x14ac:dyDescent="0.25">
      <c r="A2830" s="2" t="s">
        <v>8772</v>
      </c>
      <c r="B2830" s="2" t="s">
        <v>8773</v>
      </c>
      <c r="C2830" s="2" t="s">
        <v>29</v>
      </c>
      <c r="D2830" s="2" t="s">
        <v>30</v>
      </c>
      <c r="E2830" s="2" t="s">
        <v>44</v>
      </c>
      <c r="F2830" s="2" t="s">
        <v>32</v>
      </c>
      <c r="G2830" s="2" t="s">
        <v>33</v>
      </c>
      <c r="H2830" s="2" t="s">
        <v>34</v>
      </c>
      <c r="I2830" s="2" t="s">
        <v>24</v>
      </c>
      <c r="J2830" s="2" t="s">
        <v>609</v>
      </c>
      <c r="K2830" s="2" t="s">
        <v>2622</v>
      </c>
      <c r="L2830">
        <v>5</v>
      </c>
      <c r="M2830" s="1">
        <v>183000</v>
      </c>
      <c r="N2830">
        <v>1.9</v>
      </c>
      <c r="O2830">
        <v>4</v>
      </c>
      <c r="P2830" s="2" t="s">
        <v>26</v>
      </c>
    </row>
    <row r="2831" spans="1:16" x14ac:dyDescent="0.25">
      <c r="A2831" s="2" t="s">
        <v>8774</v>
      </c>
      <c r="B2831" s="2" t="s">
        <v>8775</v>
      </c>
      <c r="C2831" s="2" t="s">
        <v>18</v>
      </c>
      <c r="D2831" s="2" t="s">
        <v>30</v>
      </c>
      <c r="E2831" s="2" t="s">
        <v>20</v>
      </c>
      <c r="F2831" s="2" t="s">
        <v>39</v>
      </c>
      <c r="G2831" s="2" t="s">
        <v>22</v>
      </c>
      <c r="H2831" s="2" t="s">
        <v>34</v>
      </c>
      <c r="I2831" s="2" t="s">
        <v>35</v>
      </c>
      <c r="J2831" s="2" t="s">
        <v>6692</v>
      </c>
      <c r="K2831" s="2" t="s">
        <v>2622</v>
      </c>
      <c r="L2831">
        <v>5</v>
      </c>
      <c r="M2831" s="1">
        <v>106000</v>
      </c>
      <c r="N2831">
        <v>3.1</v>
      </c>
      <c r="O2831">
        <v>6</v>
      </c>
      <c r="P2831" s="2" t="s">
        <v>53</v>
      </c>
    </row>
    <row r="2832" spans="1:16" x14ac:dyDescent="0.25">
      <c r="A2832" s="2" t="s">
        <v>8778</v>
      </c>
      <c r="B2832" s="2" t="s">
        <v>3663</v>
      </c>
      <c r="C2832" s="2" t="s">
        <v>29</v>
      </c>
      <c r="D2832" s="2" t="s">
        <v>19</v>
      </c>
      <c r="E2832" s="2" t="s">
        <v>20</v>
      </c>
      <c r="F2832" s="2" t="s">
        <v>45</v>
      </c>
      <c r="G2832" s="2" t="s">
        <v>22</v>
      </c>
      <c r="H2832" s="2" t="s">
        <v>34</v>
      </c>
      <c r="I2832" s="2" t="s">
        <v>35</v>
      </c>
      <c r="J2832" s="2" t="s">
        <v>5702</v>
      </c>
      <c r="K2832" s="2" t="s">
        <v>560</v>
      </c>
      <c r="L2832">
        <v>3</v>
      </c>
      <c r="M2832" s="1">
        <v>1683000</v>
      </c>
      <c r="N2832">
        <v>3.8</v>
      </c>
      <c r="O2832">
        <v>1</v>
      </c>
      <c r="P2832" s="2" t="s">
        <v>26</v>
      </c>
    </row>
    <row r="2833" spans="1:16" x14ac:dyDescent="0.25">
      <c r="A2833" s="2" t="s">
        <v>8779</v>
      </c>
      <c r="B2833" s="2" t="s">
        <v>8780</v>
      </c>
      <c r="C2833" s="2" t="s">
        <v>18</v>
      </c>
      <c r="D2833" s="2" t="s">
        <v>19</v>
      </c>
      <c r="E2833" s="2" t="s">
        <v>44</v>
      </c>
      <c r="F2833" s="2" t="s">
        <v>32</v>
      </c>
      <c r="G2833" s="2" t="s">
        <v>69</v>
      </c>
      <c r="H2833" s="2" t="s">
        <v>46</v>
      </c>
      <c r="I2833" s="2" t="s">
        <v>24</v>
      </c>
      <c r="J2833" s="2" t="s">
        <v>4891</v>
      </c>
      <c r="K2833" s="2" t="s">
        <v>560</v>
      </c>
      <c r="L2833">
        <v>5</v>
      </c>
      <c r="M2833" s="1">
        <v>380000</v>
      </c>
      <c r="N2833">
        <v>4.2</v>
      </c>
      <c r="O2833">
        <v>37</v>
      </c>
      <c r="P2833" s="2" t="s">
        <v>53</v>
      </c>
    </row>
    <row r="2834" spans="1:16" x14ac:dyDescent="0.25">
      <c r="A2834" s="2" t="s">
        <v>8781</v>
      </c>
      <c r="B2834" s="2" t="s">
        <v>2621</v>
      </c>
      <c r="C2834" s="2" t="s">
        <v>18</v>
      </c>
      <c r="D2834" s="2" t="s">
        <v>50</v>
      </c>
      <c r="E2834" s="2" t="s">
        <v>20</v>
      </c>
      <c r="F2834" s="2" t="s">
        <v>21</v>
      </c>
      <c r="G2834" s="2" t="s">
        <v>69</v>
      </c>
      <c r="H2834" s="2" t="s">
        <v>23</v>
      </c>
      <c r="I2834" s="2" t="s">
        <v>57</v>
      </c>
      <c r="J2834" s="2" t="s">
        <v>3580</v>
      </c>
      <c r="K2834" s="2" t="s">
        <v>3166</v>
      </c>
      <c r="L2834">
        <v>2</v>
      </c>
      <c r="M2834" s="1">
        <v>907000</v>
      </c>
      <c r="N2834">
        <v>3.4</v>
      </c>
      <c r="O2834">
        <v>38</v>
      </c>
      <c r="P2834" s="2" t="s">
        <v>53</v>
      </c>
    </row>
    <row r="2835" spans="1:16" x14ac:dyDescent="0.25">
      <c r="A2835" s="2" t="s">
        <v>8782</v>
      </c>
      <c r="B2835" s="2" t="s">
        <v>1564</v>
      </c>
      <c r="C2835" s="2" t="s">
        <v>29</v>
      </c>
      <c r="D2835" s="2" t="s">
        <v>43</v>
      </c>
      <c r="E2835" s="2" t="s">
        <v>44</v>
      </c>
      <c r="F2835" s="2" t="s">
        <v>32</v>
      </c>
      <c r="G2835" s="2" t="s">
        <v>22</v>
      </c>
      <c r="H2835" s="2" t="s">
        <v>34</v>
      </c>
      <c r="I2835" s="2" t="s">
        <v>24</v>
      </c>
      <c r="J2835" s="2" t="s">
        <v>4044</v>
      </c>
      <c r="K2835" s="2" t="s">
        <v>3857</v>
      </c>
      <c r="L2835">
        <v>3</v>
      </c>
      <c r="M2835" s="1">
        <v>269000</v>
      </c>
      <c r="N2835">
        <v>4.3</v>
      </c>
      <c r="O2835">
        <v>11</v>
      </c>
      <c r="P2835" s="2" t="s">
        <v>53</v>
      </c>
    </row>
    <row r="2836" spans="1:16" x14ac:dyDescent="0.25">
      <c r="A2836" s="2" t="s">
        <v>8783</v>
      </c>
      <c r="B2836" s="2" t="s">
        <v>3041</v>
      </c>
      <c r="C2836" s="2" t="s">
        <v>18</v>
      </c>
      <c r="D2836" s="2" t="s">
        <v>50</v>
      </c>
      <c r="E2836" s="2" t="s">
        <v>20</v>
      </c>
      <c r="F2836" s="2" t="s">
        <v>21</v>
      </c>
      <c r="G2836" s="2" t="s">
        <v>22</v>
      </c>
      <c r="H2836" s="2" t="s">
        <v>23</v>
      </c>
      <c r="I2836" s="2" t="s">
        <v>57</v>
      </c>
      <c r="J2836" s="2" t="s">
        <v>2044</v>
      </c>
      <c r="K2836" s="2" t="s">
        <v>5606</v>
      </c>
      <c r="L2836">
        <v>5</v>
      </c>
      <c r="M2836" s="1">
        <v>729000</v>
      </c>
      <c r="N2836">
        <v>3.2</v>
      </c>
      <c r="O2836">
        <v>10</v>
      </c>
      <c r="P2836" s="2" t="s">
        <v>26</v>
      </c>
    </row>
    <row r="2837" spans="1:16" x14ac:dyDescent="0.25">
      <c r="A2837" s="2" t="s">
        <v>8784</v>
      </c>
      <c r="B2837" s="2" t="s">
        <v>5034</v>
      </c>
      <c r="C2837" s="2" t="s">
        <v>18</v>
      </c>
      <c r="D2837" s="2" t="s">
        <v>19</v>
      </c>
      <c r="E2837" s="2" t="s">
        <v>20</v>
      </c>
      <c r="F2837" s="2" t="s">
        <v>32</v>
      </c>
      <c r="G2837" s="2" t="s">
        <v>80</v>
      </c>
      <c r="H2837" s="2" t="s">
        <v>23</v>
      </c>
      <c r="I2837" s="2" t="s">
        <v>75</v>
      </c>
      <c r="J2837" s="2" t="s">
        <v>1683</v>
      </c>
      <c r="K2837" s="2" t="s">
        <v>5606</v>
      </c>
      <c r="L2837">
        <v>2</v>
      </c>
      <c r="M2837" s="1">
        <v>217000</v>
      </c>
      <c r="N2837">
        <v>3.3</v>
      </c>
      <c r="O2837">
        <v>10</v>
      </c>
      <c r="P2837" s="2" t="s">
        <v>26</v>
      </c>
    </row>
    <row r="2838" spans="1:16" x14ac:dyDescent="0.25">
      <c r="A2838" s="2" t="s">
        <v>8785</v>
      </c>
      <c r="B2838" s="2" t="s">
        <v>8786</v>
      </c>
      <c r="C2838" s="2" t="s">
        <v>29</v>
      </c>
      <c r="D2838" s="2" t="s">
        <v>79</v>
      </c>
      <c r="E2838" s="2" t="s">
        <v>20</v>
      </c>
      <c r="F2838" s="2" t="s">
        <v>128</v>
      </c>
      <c r="G2838" s="2" t="s">
        <v>22</v>
      </c>
      <c r="H2838" s="2" t="s">
        <v>46</v>
      </c>
      <c r="I2838" s="2" t="s">
        <v>24</v>
      </c>
      <c r="J2838" s="2" t="s">
        <v>2718</v>
      </c>
      <c r="K2838" s="2" t="s">
        <v>5606</v>
      </c>
      <c r="L2838">
        <v>3</v>
      </c>
      <c r="M2838" s="1">
        <v>437000</v>
      </c>
      <c r="N2838">
        <v>3</v>
      </c>
      <c r="O2838">
        <v>8</v>
      </c>
      <c r="P2838" s="2" t="s">
        <v>26</v>
      </c>
    </row>
    <row r="2839" spans="1:16" x14ac:dyDescent="0.25">
      <c r="A2839" s="2" t="s">
        <v>8787</v>
      </c>
      <c r="B2839" s="2" t="s">
        <v>2043</v>
      </c>
      <c r="C2839" s="2" t="s">
        <v>18</v>
      </c>
      <c r="D2839" s="2" t="s">
        <v>50</v>
      </c>
      <c r="E2839" s="2" t="s">
        <v>20</v>
      </c>
      <c r="F2839" s="2" t="s">
        <v>39</v>
      </c>
      <c r="G2839" s="2" t="s">
        <v>33</v>
      </c>
      <c r="H2839" s="2" t="s">
        <v>46</v>
      </c>
      <c r="I2839" s="2" t="s">
        <v>24</v>
      </c>
      <c r="J2839" s="2" t="s">
        <v>1959</v>
      </c>
      <c r="K2839" s="2" t="s">
        <v>5606</v>
      </c>
      <c r="L2839">
        <v>5</v>
      </c>
      <c r="M2839" s="1">
        <v>107000</v>
      </c>
      <c r="N2839">
        <v>2.5</v>
      </c>
      <c r="O2839">
        <v>1</v>
      </c>
      <c r="P2839" s="2" t="s">
        <v>26</v>
      </c>
    </row>
    <row r="2840" spans="1:16" x14ac:dyDescent="0.25">
      <c r="A2840" s="2" t="s">
        <v>8788</v>
      </c>
      <c r="B2840" s="2" t="s">
        <v>4312</v>
      </c>
      <c r="C2840" s="2" t="s">
        <v>18</v>
      </c>
      <c r="D2840" s="2" t="s">
        <v>50</v>
      </c>
      <c r="E2840" s="2" t="s">
        <v>20</v>
      </c>
      <c r="F2840" s="2" t="s">
        <v>39</v>
      </c>
      <c r="G2840" s="2" t="s">
        <v>80</v>
      </c>
      <c r="H2840" s="2" t="s">
        <v>34</v>
      </c>
      <c r="I2840" s="2" t="s">
        <v>57</v>
      </c>
      <c r="J2840" s="2" t="s">
        <v>4419</v>
      </c>
      <c r="K2840" s="2" t="s">
        <v>5606</v>
      </c>
      <c r="L2840">
        <v>6</v>
      </c>
      <c r="M2840" s="1">
        <v>150000</v>
      </c>
      <c r="N2840">
        <v>2.2000000000000002</v>
      </c>
      <c r="O2840">
        <v>8</v>
      </c>
      <c r="P2840" s="2" t="s">
        <v>26</v>
      </c>
    </row>
    <row r="2841" spans="1:16" x14ac:dyDescent="0.25">
      <c r="A2841" s="2" t="s">
        <v>8790</v>
      </c>
      <c r="B2841" s="2" t="s">
        <v>6293</v>
      </c>
      <c r="C2841" s="2" t="s">
        <v>18</v>
      </c>
      <c r="D2841" s="2" t="s">
        <v>30</v>
      </c>
      <c r="E2841" s="2" t="s">
        <v>44</v>
      </c>
      <c r="F2841" s="2" t="s">
        <v>39</v>
      </c>
      <c r="G2841" s="2" t="s">
        <v>22</v>
      </c>
      <c r="H2841" s="2" t="s">
        <v>23</v>
      </c>
      <c r="I2841" s="2" t="s">
        <v>57</v>
      </c>
      <c r="J2841" s="2" t="s">
        <v>1426</v>
      </c>
      <c r="K2841" s="2" t="s">
        <v>5606</v>
      </c>
      <c r="L2841">
        <v>3</v>
      </c>
      <c r="M2841" s="1">
        <v>90000</v>
      </c>
      <c r="N2841">
        <v>3.5</v>
      </c>
      <c r="O2841">
        <v>13</v>
      </c>
      <c r="P2841" s="2" t="s">
        <v>53</v>
      </c>
    </row>
    <row r="2842" spans="1:16" x14ac:dyDescent="0.25">
      <c r="A2842" s="2" t="s">
        <v>8791</v>
      </c>
      <c r="B2842" s="2" t="s">
        <v>8792</v>
      </c>
      <c r="C2842" s="2" t="s">
        <v>18</v>
      </c>
      <c r="D2842" s="2" t="s">
        <v>79</v>
      </c>
      <c r="E2842" s="2" t="s">
        <v>20</v>
      </c>
      <c r="F2842" s="2" t="s">
        <v>39</v>
      </c>
      <c r="G2842" s="2" t="s">
        <v>80</v>
      </c>
      <c r="H2842" s="2" t="s">
        <v>34</v>
      </c>
      <c r="I2842" s="2" t="s">
        <v>24</v>
      </c>
      <c r="J2842" s="2" t="s">
        <v>5175</v>
      </c>
      <c r="K2842" s="2" t="s">
        <v>223</v>
      </c>
      <c r="L2842">
        <v>4</v>
      </c>
      <c r="M2842" s="1">
        <v>170000</v>
      </c>
      <c r="N2842">
        <v>2.4</v>
      </c>
      <c r="O2842">
        <v>2</v>
      </c>
      <c r="P2842" s="2" t="s">
        <v>114</v>
      </c>
    </row>
    <row r="2843" spans="1:16" x14ac:dyDescent="0.25">
      <c r="A2843" s="2" t="s">
        <v>8793</v>
      </c>
      <c r="B2843" s="2" t="s">
        <v>3950</v>
      </c>
      <c r="C2843" s="2" t="s">
        <v>18</v>
      </c>
      <c r="D2843" s="2" t="s">
        <v>79</v>
      </c>
      <c r="E2843" s="2" t="s">
        <v>44</v>
      </c>
      <c r="F2843" s="2" t="s">
        <v>39</v>
      </c>
      <c r="G2843" s="2" t="s">
        <v>22</v>
      </c>
      <c r="H2843" s="2" t="s">
        <v>46</v>
      </c>
      <c r="I2843" s="2" t="s">
        <v>75</v>
      </c>
      <c r="J2843" s="2" t="s">
        <v>8794</v>
      </c>
      <c r="K2843" s="2" t="s">
        <v>7042</v>
      </c>
      <c r="L2843">
        <v>4</v>
      </c>
      <c r="M2843" s="1">
        <v>89000</v>
      </c>
      <c r="N2843">
        <v>4.5</v>
      </c>
      <c r="O2843">
        <v>3</v>
      </c>
      <c r="P2843" s="2" t="s">
        <v>26</v>
      </c>
    </row>
    <row r="2844" spans="1:16" x14ac:dyDescent="0.25">
      <c r="A2844" s="2" t="s">
        <v>8795</v>
      </c>
      <c r="B2844" s="2" t="s">
        <v>8796</v>
      </c>
      <c r="C2844" s="2" t="s">
        <v>18</v>
      </c>
      <c r="D2844" s="2" t="s">
        <v>43</v>
      </c>
      <c r="E2844" s="2" t="s">
        <v>20</v>
      </c>
      <c r="F2844" s="2" t="s">
        <v>39</v>
      </c>
      <c r="G2844" s="2" t="s">
        <v>22</v>
      </c>
      <c r="H2844" s="2" t="s">
        <v>23</v>
      </c>
      <c r="I2844" s="2" t="s">
        <v>35</v>
      </c>
      <c r="J2844" s="2" t="s">
        <v>3945</v>
      </c>
      <c r="K2844" s="2" t="s">
        <v>7042</v>
      </c>
      <c r="L2844">
        <v>6</v>
      </c>
      <c r="M2844" s="1">
        <v>85000</v>
      </c>
      <c r="N2844">
        <v>4.9000000000000004</v>
      </c>
      <c r="O2844">
        <v>3</v>
      </c>
      <c r="P2844" s="2" t="s">
        <v>26</v>
      </c>
    </row>
    <row r="2845" spans="1:16" x14ac:dyDescent="0.25">
      <c r="A2845" s="2" t="s">
        <v>8797</v>
      </c>
      <c r="B2845" s="2" t="s">
        <v>3290</v>
      </c>
      <c r="C2845" s="2" t="s">
        <v>18</v>
      </c>
      <c r="D2845" s="2" t="s">
        <v>50</v>
      </c>
      <c r="E2845" s="2" t="s">
        <v>44</v>
      </c>
      <c r="F2845" s="2" t="s">
        <v>32</v>
      </c>
      <c r="G2845" s="2" t="s">
        <v>22</v>
      </c>
      <c r="H2845" s="2" t="s">
        <v>23</v>
      </c>
      <c r="I2845" s="2" t="s">
        <v>35</v>
      </c>
      <c r="J2845" s="2" t="s">
        <v>2464</v>
      </c>
      <c r="K2845" s="2" t="s">
        <v>7042</v>
      </c>
      <c r="L2845">
        <v>5</v>
      </c>
      <c r="M2845" s="1">
        <v>208000</v>
      </c>
      <c r="N2845">
        <v>2.7</v>
      </c>
      <c r="O2845">
        <v>8</v>
      </c>
      <c r="P2845" s="2" t="s">
        <v>72</v>
      </c>
    </row>
    <row r="2846" spans="1:16" x14ac:dyDescent="0.25">
      <c r="A2846" s="2" t="s">
        <v>8798</v>
      </c>
      <c r="B2846" s="2" t="s">
        <v>1654</v>
      </c>
      <c r="C2846" s="2" t="s">
        <v>29</v>
      </c>
      <c r="D2846" s="2" t="s">
        <v>43</v>
      </c>
      <c r="E2846" s="2" t="s">
        <v>20</v>
      </c>
      <c r="F2846" s="2" t="s">
        <v>128</v>
      </c>
      <c r="G2846" s="2" t="s">
        <v>80</v>
      </c>
      <c r="H2846" s="2" t="s">
        <v>34</v>
      </c>
      <c r="I2846" s="2" t="s">
        <v>35</v>
      </c>
      <c r="J2846" s="2" t="s">
        <v>7697</v>
      </c>
      <c r="K2846" s="2" t="s">
        <v>6355</v>
      </c>
      <c r="L2846">
        <v>6</v>
      </c>
      <c r="M2846" s="1">
        <v>369000</v>
      </c>
      <c r="N2846">
        <v>4</v>
      </c>
      <c r="O2846">
        <v>3</v>
      </c>
      <c r="P2846" s="2" t="s">
        <v>26</v>
      </c>
    </row>
    <row r="2847" spans="1:16" x14ac:dyDescent="0.25">
      <c r="A2847" s="2" t="s">
        <v>8799</v>
      </c>
      <c r="B2847" s="2" t="s">
        <v>8800</v>
      </c>
      <c r="C2847" s="2" t="s">
        <v>18</v>
      </c>
      <c r="D2847" s="2" t="s">
        <v>79</v>
      </c>
      <c r="E2847" s="2" t="s">
        <v>20</v>
      </c>
      <c r="F2847" s="2" t="s">
        <v>21</v>
      </c>
      <c r="G2847" s="2" t="s">
        <v>22</v>
      </c>
      <c r="H2847" s="2" t="s">
        <v>46</v>
      </c>
      <c r="I2847" s="2" t="s">
        <v>24</v>
      </c>
      <c r="J2847" s="2" t="s">
        <v>1369</v>
      </c>
      <c r="K2847" s="2" t="s">
        <v>6355</v>
      </c>
      <c r="L2847">
        <v>5</v>
      </c>
      <c r="M2847" s="1">
        <v>903000</v>
      </c>
      <c r="N2847">
        <v>4.5</v>
      </c>
      <c r="O2847">
        <v>10</v>
      </c>
      <c r="P2847" s="2" t="s">
        <v>26</v>
      </c>
    </row>
    <row r="2848" spans="1:16" x14ac:dyDescent="0.25">
      <c r="A2848" s="2" t="s">
        <v>8801</v>
      </c>
      <c r="B2848" s="2" t="s">
        <v>5740</v>
      </c>
      <c r="C2848" s="2" t="s">
        <v>29</v>
      </c>
      <c r="D2848" s="2" t="s">
        <v>30</v>
      </c>
      <c r="E2848" s="2" t="s">
        <v>20</v>
      </c>
      <c r="F2848" s="2" t="s">
        <v>32</v>
      </c>
      <c r="G2848" s="2" t="s">
        <v>69</v>
      </c>
      <c r="H2848" s="2" t="s">
        <v>46</v>
      </c>
      <c r="I2848" s="2" t="s">
        <v>24</v>
      </c>
      <c r="J2848" s="2" t="s">
        <v>416</v>
      </c>
      <c r="K2848" s="2" t="s">
        <v>6355</v>
      </c>
      <c r="L2848">
        <v>2</v>
      </c>
      <c r="M2848" s="1">
        <v>209000</v>
      </c>
      <c r="N2848">
        <v>2</v>
      </c>
      <c r="O2848">
        <v>27</v>
      </c>
      <c r="P2848" s="2" t="s">
        <v>53</v>
      </c>
    </row>
    <row r="2849" spans="1:16" x14ac:dyDescent="0.25">
      <c r="A2849" s="2" t="s">
        <v>8802</v>
      </c>
      <c r="B2849" s="2" t="s">
        <v>3013</v>
      </c>
      <c r="C2849" s="2" t="s">
        <v>29</v>
      </c>
      <c r="D2849" s="2" t="s">
        <v>79</v>
      </c>
      <c r="E2849" s="2" t="s">
        <v>20</v>
      </c>
      <c r="F2849" s="2" t="s">
        <v>39</v>
      </c>
      <c r="G2849" s="2" t="s">
        <v>22</v>
      </c>
      <c r="H2849" s="2" t="s">
        <v>46</v>
      </c>
      <c r="I2849" s="2" t="s">
        <v>24</v>
      </c>
      <c r="J2849" s="2" t="s">
        <v>3238</v>
      </c>
      <c r="K2849" s="2" t="s">
        <v>2944</v>
      </c>
      <c r="L2849">
        <v>2</v>
      </c>
      <c r="M2849" s="1">
        <v>104000</v>
      </c>
      <c r="N2849">
        <v>2</v>
      </c>
      <c r="O2849">
        <v>7</v>
      </c>
      <c r="P2849" s="2" t="s">
        <v>26</v>
      </c>
    </row>
    <row r="2850" spans="1:16" x14ac:dyDescent="0.25">
      <c r="A2850" s="2" t="s">
        <v>8804</v>
      </c>
      <c r="B2850" s="2" t="s">
        <v>2943</v>
      </c>
      <c r="C2850" s="2" t="s">
        <v>18</v>
      </c>
      <c r="D2850" s="2" t="s">
        <v>19</v>
      </c>
      <c r="E2850" s="2" t="s">
        <v>20</v>
      </c>
      <c r="F2850" s="2" t="s">
        <v>21</v>
      </c>
      <c r="G2850" s="2" t="s">
        <v>22</v>
      </c>
      <c r="H2850" s="2" t="s">
        <v>34</v>
      </c>
      <c r="I2850" s="2" t="s">
        <v>57</v>
      </c>
      <c r="J2850" s="2" t="s">
        <v>4309</v>
      </c>
      <c r="K2850" s="2" t="s">
        <v>2944</v>
      </c>
      <c r="L2850">
        <v>4</v>
      </c>
      <c r="M2850" s="1">
        <v>821000</v>
      </c>
      <c r="N2850">
        <v>3.8</v>
      </c>
      <c r="O2850">
        <v>13</v>
      </c>
      <c r="P2850" s="2" t="s">
        <v>26</v>
      </c>
    </row>
    <row r="2851" spans="1:16" x14ac:dyDescent="0.25">
      <c r="A2851" s="2" t="s">
        <v>8805</v>
      </c>
      <c r="B2851" s="2" t="s">
        <v>5901</v>
      </c>
      <c r="C2851" s="2" t="s">
        <v>29</v>
      </c>
      <c r="D2851" s="2" t="s">
        <v>19</v>
      </c>
      <c r="E2851" s="2" t="s">
        <v>20</v>
      </c>
      <c r="F2851" s="2" t="s">
        <v>21</v>
      </c>
      <c r="G2851" s="2" t="s">
        <v>80</v>
      </c>
      <c r="H2851" s="2" t="s">
        <v>46</v>
      </c>
      <c r="I2851" s="2" t="s">
        <v>57</v>
      </c>
      <c r="J2851" s="2" t="s">
        <v>7588</v>
      </c>
      <c r="K2851" s="2" t="s">
        <v>2944</v>
      </c>
      <c r="L2851">
        <v>3</v>
      </c>
      <c r="M2851" s="1">
        <v>974000</v>
      </c>
      <c r="N2851">
        <v>4.0999999999999996</v>
      </c>
      <c r="O2851">
        <v>1</v>
      </c>
      <c r="P2851" s="2" t="s">
        <v>53</v>
      </c>
    </row>
    <row r="2852" spans="1:16" x14ac:dyDescent="0.25">
      <c r="A2852" s="2" t="s">
        <v>8809</v>
      </c>
      <c r="B2852" s="2" t="s">
        <v>2289</v>
      </c>
      <c r="C2852" s="2" t="s">
        <v>18</v>
      </c>
      <c r="D2852" s="2" t="s">
        <v>79</v>
      </c>
      <c r="E2852" s="2" t="s">
        <v>20</v>
      </c>
      <c r="F2852" s="2" t="s">
        <v>45</v>
      </c>
      <c r="G2852" s="2" t="s">
        <v>22</v>
      </c>
      <c r="H2852" s="2" t="s">
        <v>62</v>
      </c>
      <c r="I2852" s="2" t="s">
        <v>57</v>
      </c>
      <c r="J2852" s="2" t="s">
        <v>637</v>
      </c>
      <c r="K2852" s="2" t="s">
        <v>8811</v>
      </c>
      <c r="L2852">
        <v>4</v>
      </c>
      <c r="M2852" s="1">
        <v>1911000</v>
      </c>
      <c r="N2852">
        <v>4.0999999999999996</v>
      </c>
      <c r="O2852">
        <v>0</v>
      </c>
      <c r="P2852" s="2" t="s">
        <v>26</v>
      </c>
    </row>
    <row r="2853" spans="1:16" x14ac:dyDescent="0.25">
      <c r="A2853" s="2" t="s">
        <v>8810</v>
      </c>
      <c r="B2853" s="2" t="s">
        <v>1590</v>
      </c>
      <c r="C2853" s="2" t="s">
        <v>29</v>
      </c>
      <c r="D2853" s="2" t="s">
        <v>43</v>
      </c>
      <c r="E2853" s="2" t="s">
        <v>20</v>
      </c>
      <c r="F2853" s="2" t="s">
        <v>32</v>
      </c>
      <c r="G2853" s="2" t="s">
        <v>80</v>
      </c>
      <c r="H2853" s="2" t="s">
        <v>23</v>
      </c>
      <c r="I2853" s="2" t="s">
        <v>35</v>
      </c>
      <c r="J2853" s="2" t="s">
        <v>401</v>
      </c>
      <c r="K2853" s="2" t="s">
        <v>8811</v>
      </c>
      <c r="L2853">
        <v>2</v>
      </c>
      <c r="M2853" s="1">
        <v>291000</v>
      </c>
      <c r="N2853">
        <v>3.6</v>
      </c>
      <c r="O2853">
        <v>2</v>
      </c>
      <c r="P2853" s="2" t="s">
        <v>114</v>
      </c>
    </row>
    <row r="2854" spans="1:16" x14ac:dyDescent="0.25">
      <c r="A2854" s="2" t="s">
        <v>8813</v>
      </c>
      <c r="B2854" s="2" t="s">
        <v>8814</v>
      </c>
      <c r="C2854" s="2" t="s">
        <v>29</v>
      </c>
      <c r="D2854" s="2" t="s">
        <v>79</v>
      </c>
      <c r="E2854" s="2" t="s">
        <v>44</v>
      </c>
      <c r="F2854" s="2" t="s">
        <v>39</v>
      </c>
      <c r="G2854" s="2" t="s">
        <v>33</v>
      </c>
      <c r="H2854" s="2" t="s">
        <v>46</v>
      </c>
      <c r="I2854" s="2" t="s">
        <v>57</v>
      </c>
      <c r="J2854" s="2" t="s">
        <v>1648</v>
      </c>
      <c r="K2854" s="2" t="s">
        <v>8815</v>
      </c>
      <c r="L2854">
        <v>5</v>
      </c>
      <c r="M2854" s="1">
        <v>103000</v>
      </c>
      <c r="N2854">
        <v>2.4</v>
      </c>
      <c r="O2854">
        <v>13</v>
      </c>
      <c r="P2854" s="2" t="s">
        <v>53</v>
      </c>
    </row>
    <row r="2855" spans="1:16" x14ac:dyDescent="0.25">
      <c r="A2855" s="2" t="s">
        <v>8816</v>
      </c>
      <c r="B2855" s="2" t="s">
        <v>2812</v>
      </c>
      <c r="C2855" s="2" t="s">
        <v>18</v>
      </c>
      <c r="D2855" s="2" t="s">
        <v>19</v>
      </c>
      <c r="E2855" s="2" t="s">
        <v>20</v>
      </c>
      <c r="F2855" s="2" t="s">
        <v>39</v>
      </c>
      <c r="G2855" s="2" t="s">
        <v>80</v>
      </c>
      <c r="H2855" s="2" t="s">
        <v>23</v>
      </c>
      <c r="I2855" s="2" t="s">
        <v>24</v>
      </c>
      <c r="J2855" s="2" t="s">
        <v>4837</v>
      </c>
      <c r="K2855" s="2" t="s">
        <v>4208</v>
      </c>
      <c r="L2855">
        <v>2</v>
      </c>
      <c r="M2855" s="1">
        <v>166000</v>
      </c>
      <c r="N2855">
        <v>3.8</v>
      </c>
      <c r="O2855">
        <v>2</v>
      </c>
      <c r="P2855" s="2" t="s">
        <v>26</v>
      </c>
    </row>
    <row r="2856" spans="1:16" x14ac:dyDescent="0.25">
      <c r="A2856" s="2" t="s">
        <v>8817</v>
      </c>
      <c r="B2856" s="2" t="s">
        <v>790</v>
      </c>
      <c r="C2856" s="2" t="s">
        <v>18</v>
      </c>
      <c r="D2856" s="2" t="s">
        <v>43</v>
      </c>
      <c r="E2856" s="2" t="s">
        <v>20</v>
      </c>
      <c r="F2856" s="2" t="s">
        <v>39</v>
      </c>
      <c r="G2856" s="2" t="s">
        <v>80</v>
      </c>
      <c r="H2856" s="2" t="s">
        <v>34</v>
      </c>
      <c r="I2856" s="2" t="s">
        <v>57</v>
      </c>
      <c r="J2856" s="2" t="s">
        <v>875</v>
      </c>
      <c r="K2856" s="2" t="s">
        <v>4208</v>
      </c>
      <c r="L2856">
        <v>4</v>
      </c>
      <c r="M2856" s="1">
        <v>108000</v>
      </c>
      <c r="N2856">
        <v>3.1</v>
      </c>
      <c r="O2856">
        <v>6</v>
      </c>
      <c r="P2856" s="2" t="s">
        <v>114</v>
      </c>
    </row>
    <row r="2857" spans="1:16" x14ac:dyDescent="0.25">
      <c r="A2857" s="2" t="s">
        <v>8818</v>
      </c>
      <c r="B2857" s="2" t="s">
        <v>8819</v>
      </c>
      <c r="C2857" s="2" t="s">
        <v>18</v>
      </c>
      <c r="D2857" s="2" t="s">
        <v>43</v>
      </c>
      <c r="E2857" s="2" t="s">
        <v>20</v>
      </c>
      <c r="F2857" s="2" t="s">
        <v>21</v>
      </c>
      <c r="G2857" s="2" t="s">
        <v>22</v>
      </c>
      <c r="H2857" s="2" t="s">
        <v>34</v>
      </c>
      <c r="I2857" s="2" t="s">
        <v>57</v>
      </c>
      <c r="J2857" s="2" t="s">
        <v>957</v>
      </c>
      <c r="K2857" s="2" t="s">
        <v>3828</v>
      </c>
      <c r="L2857">
        <v>4</v>
      </c>
      <c r="M2857" s="1">
        <v>814000</v>
      </c>
      <c r="N2857">
        <v>4.0999999999999996</v>
      </c>
      <c r="O2857">
        <v>18</v>
      </c>
      <c r="P2857" s="2" t="s">
        <v>53</v>
      </c>
    </row>
    <row r="2858" spans="1:16" x14ac:dyDescent="0.25">
      <c r="A2858" s="2" t="s">
        <v>8820</v>
      </c>
      <c r="B2858" s="2" t="s">
        <v>8821</v>
      </c>
      <c r="C2858" s="2" t="s">
        <v>18</v>
      </c>
      <c r="D2858" s="2" t="s">
        <v>19</v>
      </c>
      <c r="E2858" s="2" t="s">
        <v>31</v>
      </c>
      <c r="F2858" s="2" t="s">
        <v>21</v>
      </c>
      <c r="G2858" s="2" t="s">
        <v>22</v>
      </c>
      <c r="H2858" s="2" t="s">
        <v>46</v>
      </c>
      <c r="I2858" s="2" t="s">
        <v>75</v>
      </c>
      <c r="J2858" s="2" t="s">
        <v>1178</v>
      </c>
      <c r="K2858" s="2" t="s">
        <v>4014</v>
      </c>
      <c r="L2858">
        <v>5</v>
      </c>
      <c r="M2858" s="1">
        <v>693000</v>
      </c>
      <c r="N2858">
        <v>4.4000000000000004</v>
      </c>
      <c r="O2858">
        <v>34</v>
      </c>
      <c r="P2858" s="2" t="s">
        <v>26</v>
      </c>
    </row>
    <row r="2859" spans="1:16" x14ac:dyDescent="0.25">
      <c r="A2859" s="2" t="s">
        <v>8824</v>
      </c>
      <c r="B2859" s="2" t="s">
        <v>7290</v>
      </c>
      <c r="C2859" s="2" t="s">
        <v>29</v>
      </c>
      <c r="D2859" s="2" t="s">
        <v>50</v>
      </c>
      <c r="E2859" s="2" t="s">
        <v>20</v>
      </c>
      <c r="F2859" s="2" t="s">
        <v>39</v>
      </c>
      <c r="G2859" s="2" t="s">
        <v>22</v>
      </c>
      <c r="H2859" s="2" t="s">
        <v>34</v>
      </c>
      <c r="I2859" s="2" t="s">
        <v>24</v>
      </c>
      <c r="J2859" s="2" t="s">
        <v>2726</v>
      </c>
      <c r="K2859" s="2" t="s">
        <v>4014</v>
      </c>
      <c r="L2859">
        <v>6</v>
      </c>
      <c r="M2859" s="1">
        <v>132000</v>
      </c>
      <c r="N2859">
        <v>2.2999999999999998</v>
      </c>
      <c r="O2859">
        <v>4</v>
      </c>
      <c r="P2859" s="2" t="s">
        <v>26</v>
      </c>
    </row>
    <row r="2860" spans="1:16" x14ac:dyDescent="0.25">
      <c r="A2860" s="2" t="s">
        <v>8825</v>
      </c>
      <c r="B2860" s="2" t="s">
        <v>4999</v>
      </c>
      <c r="C2860" s="2" t="s">
        <v>29</v>
      </c>
      <c r="D2860" s="2" t="s">
        <v>30</v>
      </c>
      <c r="E2860" s="2" t="s">
        <v>44</v>
      </c>
      <c r="F2860" s="2" t="s">
        <v>128</v>
      </c>
      <c r="G2860" s="2" t="s">
        <v>80</v>
      </c>
      <c r="H2860" s="2" t="s">
        <v>23</v>
      </c>
      <c r="I2860" s="2" t="s">
        <v>24</v>
      </c>
      <c r="J2860" s="2" t="s">
        <v>425</v>
      </c>
      <c r="K2860" s="2" t="s">
        <v>4014</v>
      </c>
      <c r="L2860">
        <v>2</v>
      </c>
      <c r="M2860" s="1">
        <v>369000</v>
      </c>
      <c r="N2860">
        <v>4.7</v>
      </c>
      <c r="O2860">
        <v>0</v>
      </c>
      <c r="P2860" s="2" t="s">
        <v>53</v>
      </c>
    </row>
    <row r="2861" spans="1:16" x14ac:dyDescent="0.25">
      <c r="A2861" s="2" t="s">
        <v>8827</v>
      </c>
      <c r="B2861" s="2" t="s">
        <v>8828</v>
      </c>
      <c r="C2861" s="2" t="s">
        <v>18</v>
      </c>
      <c r="D2861" s="2" t="s">
        <v>19</v>
      </c>
      <c r="E2861" s="2" t="s">
        <v>20</v>
      </c>
      <c r="F2861" s="2" t="s">
        <v>39</v>
      </c>
      <c r="G2861" s="2" t="s">
        <v>22</v>
      </c>
      <c r="H2861" s="2" t="s">
        <v>34</v>
      </c>
      <c r="I2861" s="2" t="s">
        <v>57</v>
      </c>
      <c r="J2861" s="2" t="s">
        <v>1665</v>
      </c>
      <c r="K2861" s="2" t="s">
        <v>6791</v>
      </c>
      <c r="L2861">
        <v>3</v>
      </c>
      <c r="M2861" s="1">
        <v>169000</v>
      </c>
      <c r="N2861">
        <v>2.7</v>
      </c>
      <c r="O2861">
        <v>7</v>
      </c>
      <c r="P2861" s="2" t="s">
        <v>53</v>
      </c>
    </row>
    <row r="2862" spans="1:16" x14ac:dyDescent="0.25">
      <c r="A2862" s="2" t="s">
        <v>8829</v>
      </c>
      <c r="B2862" s="2" t="s">
        <v>4210</v>
      </c>
      <c r="C2862" s="2" t="s">
        <v>29</v>
      </c>
      <c r="D2862" s="2" t="s">
        <v>79</v>
      </c>
      <c r="E2862" s="2" t="s">
        <v>31</v>
      </c>
      <c r="F2862" s="2" t="s">
        <v>32</v>
      </c>
      <c r="G2862" s="2" t="s">
        <v>22</v>
      </c>
      <c r="H2862" s="2" t="s">
        <v>23</v>
      </c>
      <c r="I2862" s="2" t="s">
        <v>75</v>
      </c>
      <c r="J2862" s="2" t="s">
        <v>2502</v>
      </c>
      <c r="K2862" s="2" t="s">
        <v>3943</v>
      </c>
      <c r="L2862">
        <v>3</v>
      </c>
      <c r="M2862" s="1">
        <v>264000</v>
      </c>
      <c r="N2862">
        <v>3.8</v>
      </c>
      <c r="O2862">
        <v>1</v>
      </c>
      <c r="P2862" s="2" t="s">
        <v>114</v>
      </c>
    </row>
    <row r="2863" spans="1:16" x14ac:dyDescent="0.25">
      <c r="A2863" s="2" t="s">
        <v>8830</v>
      </c>
      <c r="B2863" s="2" t="s">
        <v>5369</v>
      </c>
      <c r="C2863" s="2" t="s">
        <v>29</v>
      </c>
      <c r="D2863" s="2" t="s">
        <v>43</v>
      </c>
      <c r="E2863" s="2" t="s">
        <v>31</v>
      </c>
      <c r="F2863" s="2" t="s">
        <v>128</v>
      </c>
      <c r="G2863" s="2" t="s">
        <v>22</v>
      </c>
      <c r="H2863" s="2" t="s">
        <v>34</v>
      </c>
      <c r="I2863" s="2" t="s">
        <v>35</v>
      </c>
      <c r="J2863" s="2" t="s">
        <v>1712</v>
      </c>
      <c r="K2863" s="2" t="s">
        <v>3049</v>
      </c>
      <c r="L2863">
        <v>2</v>
      </c>
      <c r="M2863" s="1">
        <v>474000</v>
      </c>
      <c r="N2863">
        <v>2.1</v>
      </c>
      <c r="O2863">
        <v>4</v>
      </c>
      <c r="P2863" s="2" t="s">
        <v>53</v>
      </c>
    </row>
    <row r="2864" spans="1:16" x14ac:dyDescent="0.25">
      <c r="A2864" s="2" t="s">
        <v>8831</v>
      </c>
      <c r="B2864" s="2" t="s">
        <v>8832</v>
      </c>
      <c r="C2864" s="2" t="s">
        <v>18</v>
      </c>
      <c r="D2864" s="2" t="s">
        <v>30</v>
      </c>
      <c r="E2864" s="2" t="s">
        <v>31</v>
      </c>
      <c r="F2864" s="2" t="s">
        <v>32</v>
      </c>
      <c r="G2864" s="2" t="s">
        <v>22</v>
      </c>
      <c r="H2864" s="2" t="s">
        <v>46</v>
      </c>
      <c r="I2864" s="2" t="s">
        <v>24</v>
      </c>
      <c r="J2864" s="2" t="s">
        <v>2914</v>
      </c>
      <c r="K2864" s="2" t="s">
        <v>997</v>
      </c>
      <c r="L2864">
        <v>3</v>
      </c>
      <c r="M2864" s="1">
        <v>211000</v>
      </c>
      <c r="N2864">
        <v>2.9</v>
      </c>
      <c r="O2864">
        <v>4</v>
      </c>
      <c r="P2864" s="2" t="s">
        <v>26</v>
      </c>
    </row>
    <row r="2865" spans="1:16" x14ac:dyDescent="0.25">
      <c r="A2865" s="2" t="s">
        <v>8835</v>
      </c>
      <c r="B2865" s="2" t="s">
        <v>2922</v>
      </c>
      <c r="C2865" s="2" t="s">
        <v>18</v>
      </c>
      <c r="D2865" s="2" t="s">
        <v>79</v>
      </c>
      <c r="E2865" s="2" t="s">
        <v>20</v>
      </c>
      <c r="F2865" s="2" t="s">
        <v>45</v>
      </c>
      <c r="G2865" s="2" t="s">
        <v>22</v>
      </c>
      <c r="H2865" s="2" t="s">
        <v>23</v>
      </c>
      <c r="I2865" s="2" t="s">
        <v>24</v>
      </c>
      <c r="J2865" s="2" t="s">
        <v>8836</v>
      </c>
      <c r="K2865" s="2" t="s">
        <v>997</v>
      </c>
      <c r="L2865">
        <v>4</v>
      </c>
      <c r="M2865" s="1">
        <v>1256000</v>
      </c>
      <c r="N2865">
        <v>4.0999999999999996</v>
      </c>
      <c r="O2865">
        <v>2</v>
      </c>
      <c r="P2865" s="2" t="s">
        <v>26</v>
      </c>
    </row>
    <row r="2866" spans="1:16" x14ac:dyDescent="0.25">
      <c r="A2866" s="2" t="s">
        <v>8840</v>
      </c>
      <c r="B2866" s="2" t="s">
        <v>1293</v>
      </c>
      <c r="C2866" s="2" t="s">
        <v>29</v>
      </c>
      <c r="D2866" s="2" t="s">
        <v>79</v>
      </c>
      <c r="E2866" s="2" t="s">
        <v>20</v>
      </c>
      <c r="F2866" s="2" t="s">
        <v>39</v>
      </c>
      <c r="G2866" s="2" t="s">
        <v>33</v>
      </c>
      <c r="H2866" s="2" t="s">
        <v>46</v>
      </c>
      <c r="I2866" s="2" t="s">
        <v>57</v>
      </c>
      <c r="J2866" s="2" t="s">
        <v>949</v>
      </c>
      <c r="K2866" s="2" t="s">
        <v>997</v>
      </c>
      <c r="L2866">
        <v>4</v>
      </c>
      <c r="M2866" s="1">
        <v>150000</v>
      </c>
      <c r="N2866">
        <v>3.4</v>
      </c>
      <c r="O2866">
        <v>2</v>
      </c>
      <c r="P2866" s="2" t="s">
        <v>26</v>
      </c>
    </row>
    <row r="2867" spans="1:16" x14ac:dyDescent="0.25">
      <c r="A2867" s="2" t="s">
        <v>8842</v>
      </c>
      <c r="B2867" s="2" t="s">
        <v>8843</v>
      </c>
      <c r="C2867" s="2" t="s">
        <v>18</v>
      </c>
      <c r="D2867" s="2" t="s">
        <v>43</v>
      </c>
      <c r="E2867" s="2" t="s">
        <v>31</v>
      </c>
      <c r="F2867" s="2" t="s">
        <v>128</v>
      </c>
      <c r="G2867" s="2" t="s">
        <v>22</v>
      </c>
      <c r="H2867" s="2" t="s">
        <v>23</v>
      </c>
      <c r="I2867" s="2" t="s">
        <v>75</v>
      </c>
      <c r="J2867" s="2" t="s">
        <v>2335</v>
      </c>
      <c r="K2867" s="2" t="s">
        <v>997</v>
      </c>
      <c r="L2867">
        <v>3</v>
      </c>
      <c r="M2867" s="1">
        <v>520000</v>
      </c>
      <c r="N2867">
        <v>4.4000000000000004</v>
      </c>
      <c r="O2867">
        <v>5</v>
      </c>
      <c r="P2867" s="2" t="s">
        <v>53</v>
      </c>
    </row>
    <row r="2868" spans="1:16" x14ac:dyDescent="0.25">
      <c r="A2868" s="2" t="s">
        <v>8844</v>
      </c>
      <c r="B2868" s="2" t="s">
        <v>3941</v>
      </c>
      <c r="C2868" s="2" t="s">
        <v>18</v>
      </c>
      <c r="D2868" s="2" t="s">
        <v>43</v>
      </c>
      <c r="E2868" s="2" t="s">
        <v>44</v>
      </c>
      <c r="F2868" s="2" t="s">
        <v>32</v>
      </c>
      <c r="G2868" s="2" t="s">
        <v>69</v>
      </c>
      <c r="H2868" s="2" t="s">
        <v>46</v>
      </c>
      <c r="I2868" s="2" t="s">
        <v>24</v>
      </c>
      <c r="J2868" s="2" t="s">
        <v>7674</v>
      </c>
      <c r="K2868" s="2" t="s">
        <v>8856</v>
      </c>
      <c r="L2868">
        <v>4</v>
      </c>
      <c r="M2868" s="1">
        <v>190000</v>
      </c>
      <c r="N2868">
        <v>4.4000000000000004</v>
      </c>
      <c r="O2868">
        <v>9</v>
      </c>
      <c r="P2868" s="2" t="s">
        <v>26</v>
      </c>
    </row>
    <row r="2869" spans="1:16" x14ac:dyDescent="0.25">
      <c r="A2869" s="2" t="s">
        <v>8846</v>
      </c>
      <c r="B2869" s="2" t="s">
        <v>8847</v>
      </c>
      <c r="C2869" s="2" t="s">
        <v>18</v>
      </c>
      <c r="D2869" s="2" t="s">
        <v>43</v>
      </c>
      <c r="E2869" s="2" t="s">
        <v>31</v>
      </c>
      <c r="F2869" s="2" t="s">
        <v>45</v>
      </c>
      <c r="G2869" s="2" t="s">
        <v>80</v>
      </c>
      <c r="H2869" s="2" t="s">
        <v>23</v>
      </c>
      <c r="I2869" s="2" t="s">
        <v>57</v>
      </c>
      <c r="J2869" s="2" t="s">
        <v>4518</v>
      </c>
      <c r="K2869" s="2" t="s">
        <v>8856</v>
      </c>
      <c r="L2869">
        <v>5</v>
      </c>
      <c r="M2869" s="1">
        <v>1158000</v>
      </c>
      <c r="N2869">
        <v>4.8</v>
      </c>
      <c r="O2869">
        <v>9</v>
      </c>
      <c r="P2869" s="2" t="s">
        <v>26</v>
      </c>
    </row>
    <row r="2870" spans="1:16" x14ac:dyDescent="0.25">
      <c r="A2870" s="2" t="s">
        <v>8848</v>
      </c>
      <c r="B2870" s="2" t="s">
        <v>1784</v>
      </c>
      <c r="C2870" s="2" t="s">
        <v>18</v>
      </c>
      <c r="D2870" s="2" t="s">
        <v>50</v>
      </c>
      <c r="E2870" s="2" t="s">
        <v>31</v>
      </c>
      <c r="F2870" s="2" t="s">
        <v>128</v>
      </c>
      <c r="G2870" s="2" t="s">
        <v>33</v>
      </c>
      <c r="H2870" s="2" t="s">
        <v>46</v>
      </c>
      <c r="I2870" s="2" t="s">
        <v>24</v>
      </c>
      <c r="J2870" s="2" t="s">
        <v>2662</v>
      </c>
      <c r="K2870" s="2" t="s">
        <v>8856</v>
      </c>
      <c r="L2870">
        <v>4</v>
      </c>
      <c r="M2870" s="1">
        <v>409000</v>
      </c>
      <c r="N2870">
        <v>4.9000000000000004</v>
      </c>
      <c r="O2870">
        <v>10</v>
      </c>
      <c r="P2870" s="2" t="s">
        <v>26</v>
      </c>
    </row>
    <row r="2871" spans="1:16" x14ac:dyDescent="0.25">
      <c r="A2871" s="2" t="s">
        <v>8850</v>
      </c>
      <c r="B2871" s="2" t="s">
        <v>3903</v>
      </c>
      <c r="C2871" s="2" t="s">
        <v>29</v>
      </c>
      <c r="D2871" s="2" t="s">
        <v>43</v>
      </c>
      <c r="E2871" s="2" t="s">
        <v>20</v>
      </c>
      <c r="F2871" s="2" t="s">
        <v>128</v>
      </c>
      <c r="G2871" s="2" t="s">
        <v>80</v>
      </c>
      <c r="H2871" s="2" t="s">
        <v>23</v>
      </c>
      <c r="I2871" s="2" t="s">
        <v>35</v>
      </c>
      <c r="J2871" s="2" t="s">
        <v>2633</v>
      </c>
      <c r="K2871" s="2" t="s">
        <v>8856</v>
      </c>
      <c r="L2871">
        <v>4</v>
      </c>
      <c r="M2871" s="1">
        <v>367000</v>
      </c>
      <c r="N2871">
        <v>4.5999999999999996</v>
      </c>
      <c r="O2871">
        <v>12</v>
      </c>
      <c r="P2871" s="2" t="s">
        <v>26</v>
      </c>
    </row>
    <row r="2872" spans="1:16" x14ac:dyDescent="0.25">
      <c r="A2872" s="2" t="s">
        <v>8851</v>
      </c>
      <c r="B2872" s="2" t="s">
        <v>2677</v>
      </c>
      <c r="C2872" s="2" t="s">
        <v>18</v>
      </c>
      <c r="D2872" s="2" t="s">
        <v>79</v>
      </c>
      <c r="E2872" s="2" t="s">
        <v>20</v>
      </c>
      <c r="F2872" s="2" t="s">
        <v>45</v>
      </c>
      <c r="G2872" s="2" t="s">
        <v>33</v>
      </c>
      <c r="H2872" s="2" t="s">
        <v>34</v>
      </c>
      <c r="I2872" s="2" t="s">
        <v>24</v>
      </c>
      <c r="J2872" s="2" t="s">
        <v>6509</v>
      </c>
      <c r="K2872" s="2" t="s">
        <v>8856</v>
      </c>
      <c r="L2872">
        <v>4</v>
      </c>
      <c r="M2872" s="1">
        <v>1650000</v>
      </c>
      <c r="N2872">
        <v>3</v>
      </c>
      <c r="O2872">
        <v>4</v>
      </c>
      <c r="P2872" s="2" t="s">
        <v>26</v>
      </c>
    </row>
    <row r="2873" spans="1:16" x14ac:dyDescent="0.25">
      <c r="A2873" s="2" t="s">
        <v>8855</v>
      </c>
      <c r="B2873" s="2" t="s">
        <v>4175</v>
      </c>
      <c r="C2873" s="2" t="s">
        <v>18</v>
      </c>
      <c r="D2873" s="2" t="s">
        <v>43</v>
      </c>
      <c r="E2873" s="2" t="s">
        <v>20</v>
      </c>
      <c r="F2873" s="2" t="s">
        <v>21</v>
      </c>
      <c r="G2873" s="2" t="s">
        <v>33</v>
      </c>
      <c r="H2873" s="2" t="s">
        <v>23</v>
      </c>
      <c r="I2873" s="2" t="s">
        <v>35</v>
      </c>
      <c r="J2873" s="2" t="s">
        <v>1810</v>
      </c>
      <c r="K2873" s="2" t="s">
        <v>8856</v>
      </c>
      <c r="L2873">
        <v>3</v>
      </c>
      <c r="M2873" s="1">
        <v>651000</v>
      </c>
      <c r="N2873">
        <v>3.4</v>
      </c>
      <c r="O2873">
        <v>0</v>
      </c>
      <c r="P2873" s="2" t="s">
        <v>72</v>
      </c>
    </row>
    <row r="2874" spans="1:16" x14ac:dyDescent="0.25">
      <c r="A2874" s="2" t="s">
        <v>8857</v>
      </c>
      <c r="B2874" s="2" t="s">
        <v>1622</v>
      </c>
      <c r="C2874" s="2" t="s">
        <v>29</v>
      </c>
      <c r="D2874" s="2" t="s">
        <v>30</v>
      </c>
      <c r="E2874" s="2" t="s">
        <v>20</v>
      </c>
      <c r="F2874" s="2" t="s">
        <v>32</v>
      </c>
      <c r="G2874" s="2" t="s">
        <v>22</v>
      </c>
      <c r="H2874" s="2" t="s">
        <v>46</v>
      </c>
      <c r="I2874" s="2" t="s">
        <v>35</v>
      </c>
      <c r="J2874" s="2" t="s">
        <v>4520</v>
      </c>
      <c r="K2874" s="2" t="s">
        <v>4977</v>
      </c>
      <c r="L2874">
        <v>3</v>
      </c>
      <c r="M2874" s="1">
        <v>313000</v>
      </c>
      <c r="N2874">
        <v>3</v>
      </c>
      <c r="O2874">
        <v>6</v>
      </c>
      <c r="P2874" s="2" t="s">
        <v>72</v>
      </c>
    </row>
    <row r="2875" spans="1:16" x14ac:dyDescent="0.25">
      <c r="A2875" s="2" t="s">
        <v>8860</v>
      </c>
      <c r="B2875" s="2" t="s">
        <v>3911</v>
      </c>
      <c r="C2875" s="2" t="s">
        <v>18</v>
      </c>
      <c r="D2875" s="2" t="s">
        <v>50</v>
      </c>
      <c r="E2875" s="2" t="s">
        <v>44</v>
      </c>
      <c r="F2875" s="2" t="s">
        <v>39</v>
      </c>
      <c r="G2875" s="2" t="s">
        <v>80</v>
      </c>
      <c r="H2875" s="2" t="s">
        <v>46</v>
      </c>
      <c r="I2875" s="2" t="s">
        <v>24</v>
      </c>
      <c r="J2875" s="2" t="s">
        <v>3848</v>
      </c>
      <c r="K2875" s="2" t="s">
        <v>8863</v>
      </c>
      <c r="L2875">
        <v>3</v>
      </c>
      <c r="M2875" s="1">
        <v>101000</v>
      </c>
      <c r="N2875">
        <v>3.6</v>
      </c>
      <c r="O2875">
        <v>4</v>
      </c>
      <c r="P2875" s="2" t="s">
        <v>26</v>
      </c>
    </row>
    <row r="2876" spans="1:16" x14ac:dyDescent="0.25">
      <c r="A2876" s="2" t="s">
        <v>8861</v>
      </c>
      <c r="B2876" s="2" t="s">
        <v>8862</v>
      </c>
      <c r="C2876" s="2" t="s">
        <v>29</v>
      </c>
      <c r="D2876" s="2" t="s">
        <v>30</v>
      </c>
      <c r="E2876" s="2" t="s">
        <v>20</v>
      </c>
      <c r="F2876" s="2" t="s">
        <v>32</v>
      </c>
      <c r="G2876" s="2" t="s">
        <v>80</v>
      </c>
      <c r="H2876" s="2" t="s">
        <v>23</v>
      </c>
      <c r="I2876" s="2" t="s">
        <v>35</v>
      </c>
      <c r="J2876" s="2" t="s">
        <v>3150</v>
      </c>
      <c r="K2876" s="2" t="s">
        <v>8863</v>
      </c>
      <c r="L2876">
        <v>5</v>
      </c>
      <c r="M2876" s="1">
        <v>307000</v>
      </c>
      <c r="N2876">
        <v>3.9</v>
      </c>
      <c r="O2876">
        <v>11</v>
      </c>
      <c r="P2876" s="2" t="s">
        <v>72</v>
      </c>
    </row>
    <row r="2877" spans="1:16" x14ac:dyDescent="0.25">
      <c r="A2877" s="2" t="s">
        <v>8864</v>
      </c>
      <c r="B2877" s="2" t="s">
        <v>6789</v>
      </c>
      <c r="C2877" s="2" t="s">
        <v>29</v>
      </c>
      <c r="D2877" s="2" t="s">
        <v>30</v>
      </c>
      <c r="E2877" s="2" t="s">
        <v>20</v>
      </c>
      <c r="F2877" s="2" t="s">
        <v>32</v>
      </c>
      <c r="G2877" s="2" t="s">
        <v>22</v>
      </c>
      <c r="H2877" s="2" t="s">
        <v>23</v>
      </c>
      <c r="I2877" s="2" t="s">
        <v>171</v>
      </c>
      <c r="J2877" s="2" t="s">
        <v>3448</v>
      </c>
      <c r="K2877" s="2" t="s">
        <v>165</v>
      </c>
      <c r="L2877">
        <v>6</v>
      </c>
      <c r="M2877" s="1">
        <v>274000</v>
      </c>
      <c r="N2877">
        <v>3.8</v>
      </c>
      <c r="O2877">
        <v>4</v>
      </c>
      <c r="P2877" s="2" t="s">
        <v>72</v>
      </c>
    </row>
    <row r="2878" spans="1:16" x14ac:dyDescent="0.25">
      <c r="A2878" s="2" t="s">
        <v>8865</v>
      </c>
      <c r="B2878" s="2" t="s">
        <v>8866</v>
      </c>
      <c r="C2878" s="2" t="s">
        <v>18</v>
      </c>
      <c r="D2878" s="2" t="s">
        <v>19</v>
      </c>
      <c r="E2878" s="2" t="s">
        <v>31</v>
      </c>
      <c r="F2878" s="2" t="s">
        <v>39</v>
      </c>
      <c r="G2878" s="2" t="s">
        <v>80</v>
      </c>
      <c r="H2878" s="2" t="s">
        <v>23</v>
      </c>
      <c r="I2878" s="2" t="s">
        <v>35</v>
      </c>
      <c r="J2878" s="2" t="s">
        <v>703</v>
      </c>
      <c r="K2878" s="2" t="s">
        <v>1237</v>
      </c>
      <c r="L2878">
        <v>5</v>
      </c>
      <c r="M2878" s="1">
        <v>116000</v>
      </c>
      <c r="N2878">
        <v>2.2000000000000002</v>
      </c>
      <c r="O2878">
        <v>7</v>
      </c>
      <c r="P2878" s="2" t="s">
        <v>53</v>
      </c>
    </row>
    <row r="2879" spans="1:16" x14ac:dyDescent="0.25">
      <c r="A2879" s="2" t="s">
        <v>8867</v>
      </c>
      <c r="B2879" s="2" t="s">
        <v>8868</v>
      </c>
      <c r="C2879" s="2" t="s">
        <v>29</v>
      </c>
      <c r="D2879" s="2" t="s">
        <v>30</v>
      </c>
      <c r="E2879" s="2" t="s">
        <v>44</v>
      </c>
      <c r="F2879" s="2" t="s">
        <v>39</v>
      </c>
      <c r="G2879" s="2" t="s">
        <v>22</v>
      </c>
      <c r="H2879" s="2" t="s">
        <v>62</v>
      </c>
      <c r="I2879" s="2" t="s">
        <v>57</v>
      </c>
      <c r="J2879" s="2" t="s">
        <v>8869</v>
      </c>
      <c r="K2879" s="2" t="s">
        <v>882</v>
      </c>
      <c r="L2879">
        <v>5</v>
      </c>
      <c r="M2879" s="1">
        <v>91000</v>
      </c>
      <c r="N2879">
        <v>1.6</v>
      </c>
      <c r="O2879">
        <v>7</v>
      </c>
      <c r="P2879" s="2" t="s">
        <v>26</v>
      </c>
    </row>
    <row r="2880" spans="1:16" x14ac:dyDescent="0.25">
      <c r="A2880" s="2" t="s">
        <v>8870</v>
      </c>
      <c r="B2880" s="2" t="s">
        <v>7923</v>
      </c>
      <c r="C2880" s="2" t="s">
        <v>29</v>
      </c>
      <c r="D2880" s="2" t="s">
        <v>79</v>
      </c>
      <c r="E2880" s="2" t="s">
        <v>20</v>
      </c>
      <c r="F2880" s="2" t="s">
        <v>21</v>
      </c>
      <c r="G2880" s="2" t="s">
        <v>22</v>
      </c>
      <c r="H2880" s="2" t="s">
        <v>34</v>
      </c>
      <c r="I2880" s="2" t="s">
        <v>35</v>
      </c>
      <c r="J2880" s="2" t="s">
        <v>8871</v>
      </c>
      <c r="K2880" s="2" t="s">
        <v>882</v>
      </c>
      <c r="L2880">
        <v>3</v>
      </c>
      <c r="M2880" s="1">
        <v>751000</v>
      </c>
      <c r="N2880">
        <v>3.9</v>
      </c>
      <c r="O2880">
        <v>28</v>
      </c>
      <c r="P2880" s="2" t="s">
        <v>26</v>
      </c>
    </row>
    <row r="2881" spans="1:16" x14ac:dyDescent="0.25">
      <c r="A2881" s="2" t="s">
        <v>8872</v>
      </c>
      <c r="B2881" s="2" t="s">
        <v>3259</v>
      </c>
      <c r="C2881" s="2" t="s">
        <v>18</v>
      </c>
      <c r="D2881" s="2" t="s">
        <v>19</v>
      </c>
      <c r="E2881" s="2" t="s">
        <v>20</v>
      </c>
      <c r="F2881" s="2" t="s">
        <v>128</v>
      </c>
      <c r="G2881" s="2" t="s">
        <v>33</v>
      </c>
      <c r="H2881" s="2" t="s">
        <v>23</v>
      </c>
      <c r="I2881" s="2" t="s">
        <v>35</v>
      </c>
      <c r="J2881" s="2" t="s">
        <v>3841</v>
      </c>
      <c r="K2881" s="2" t="s">
        <v>882</v>
      </c>
      <c r="L2881">
        <v>6</v>
      </c>
      <c r="M2881" s="1">
        <v>594000</v>
      </c>
      <c r="N2881">
        <v>3.6</v>
      </c>
      <c r="O2881">
        <v>5</v>
      </c>
      <c r="P2881" s="2" t="s">
        <v>53</v>
      </c>
    </row>
    <row r="2882" spans="1:16" x14ac:dyDescent="0.25">
      <c r="A2882" s="2" t="s">
        <v>8874</v>
      </c>
      <c r="B2882" s="2" t="s">
        <v>468</v>
      </c>
      <c r="C2882" s="2" t="s">
        <v>29</v>
      </c>
      <c r="D2882" s="2" t="s">
        <v>19</v>
      </c>
      <c r="E2882" s="2" t="s">
        <v>31</v>
      </c>
      <c r="F2882" s="2" t="s">
        <v>21</v>
      </c>
      <c r="G2882" s="2" t="s">
        <v>80</v>
      </c>
      <c r="H2882" s="2" t="s">
        <v>23</v>
      </c>
      <c r="I2882" s="2" t="s">
        <v>75</v>
      </c>
      <c r="J2882" s="2" t="s">
        <v>7524</v>
      </c>
      <c r="K2882" s="2" t="s">
        <v>4041</v>
      </c>
      <c r="L2882">
        <v>3</v>
      </c>
      <c r="M2882" s="1">
        <v>896000</v>
      </c>
      <c r="N2882">
        <v>3.8</v>
      </c>
      <c r="O2882">
        <v>27</v>
      </c>
      <c r="P2882" s="2" t="s">
        <v>26</v>
      </c>
    </row>
    <row r="2883" spans="1:16" x14ac:dyDescent="0.25">
      <c r="A2883" s="2" t="s">
        <v>8875</v>
      </c>
      <c r="B2883" s="2" t="s">
        <v>1966</v>
      </c>
      <c r="C2883" s="2" t="s">
        <v>18</v>
      </c>
      <c r="D2883" s="2" t="s">
        <v>79</v>
      </c>
      <c r="E2883" s="2" t="s">
        <v>31</v>
      </c>
      <c r="F2883" s="2" t="s">
        <v>39</v>
      </c>
      <c r="G2883" s="2" t="s">
        <v>22</v>
      </c>
      <c r="H2883" s="2" t="s">
        <v>34</v>
      </c>
      <c r="I2883" s="2" t="s">
        <v>57</v>
      </c>
      <c r="J2883" s="2" t="s">
        <v>1344</v>
      </c>
      <c r="K2883" s="2" t="s">
        <v>4041</v>
      </c>
      <c r="L2883">
        <v>3</v>
      </c>
      <c r="M2883" s="1">
        <v>93000</v>
      </c>
      <c r="N2883">
        <v>4.4000000000000004</v>
      </c>
      <c r="O2883">
        <v>10</v>
      </c>
      <c r="P2883" s="2" t="s">
        <v>26</v>
      </c>
    </row>
    <row r="2884" spans="1:16" x14ac:dyDescent="0.25">
      <c r="A2884" s="2" t="s">
        <v>8878</v>
      </c>
      <c r="B2884" s="2" t="s">
        <v>2581</v>
      </c>
      <c r="C2884" s="2" t="s">
        <v>18</v>
      </c>
      <c r="D2884" s="2" t="s">
        <v>30</v>
      </c>
      <c r="E2884" s="2" t="s">
        <v>20</v>
      </c>
      <c r="F2884" s="2" t="s">
        <v>32</v>
      </c>
      <c r="G2884" s="2" t="s">
        <v>33</v>
      </c>
      <c r="H2884" s="2" t="s">
        <v>34</v>
      </c>
      <c r="I2884" s="2" t="s">
        <v>35</v>
      </c>
      <c r="J2884" s="2" t="s">
        <v>8879</v>
      </c>
      <c r="K2884" s="2" t="s">
        <v>4041</v>
      </c>
      <c r="L2884">
        <v>5</v>
      </c>
      <c r="M2884" s="1">
        <v>194000</v>
      </c>
      <c r="N2884">
        <v>2.9</v>
      </c>
      <c r="O2884">
        <v>23</v>
      </c>
      <c r="P2884" s="2" t="s">
        <v>26</v>
      </c>
    </row>
    <row r="2885" spans="1:16" x14ac:dyDescent="0.25">
      <c r="A2885" s="2" t="s">
        <v>8880</v>
      </c>
      <c r="B2885" s="2" t="s">
        <v>4153</v>
      </c>
      <c r="C2885" s="2" t="s">
        <v>18</v>
      </c>
      <c r="D2885" s="2" t="s">
        <v>79</v>
      </c>
      <c r="E2885" s="2" t="s">
        <v>20</v>
      </c>
      <c r="F2885" s="2" t="s">
        <v>128</v>
      </c>
      <c r="G2885" s="2" t="s">
        <v>22</v>
      </c>
      <c r="H2885" s="2" t="s">
        <v>62</v>
      </c>
      <c r="I2885" s="2" t="s">
        <v>35</v>
      </c>
      <c r="J2885" s="2" t="s">
        <v>1716</v>
      </c>
      <c r="K2885" s="2" t="s">
        <v>4041</v>
      </c>
      <c r="L2885">
        <v>2</v>
      </c>
      <c r="M2885" s="1">
        <v>551000</v>
      </c>
      <c r="N2885">
        <v>3.9</v>
      </c>
      <c r="O2885">
        <v>4</v>
      </c>
      <c r="P2885" s="2" t="s">
        <v>26</v>
      </c>
    </row>
    <row r="2886" spans="1:16" x14ac:dyDescent="0.25">
      <c r="A2886" s="2" t="s">
        <v>8883</v>
      </c>
      <c r="B2886" s="2" t="s">
        <v>5899</v>
      </c>
      <c r="C2886" s="2" t="s">
        <v>18</v>
      </c>
      <c r="D2886" s="2" t="s">
        <v>19</v>
      </c>
      <c r="E2886" s="2" t="s">
        <v>20</v>
      </c>
      <c r="F2886" s="2" t="s">
        <v>32</v>
      </c>
      <c r="G2886" s="2" t="s">
        <v>33</v>
      </c>
      <c r="H2886" s="2" t="s">
        <v>46</v>
      </c>
      <c r="I2886" s="2" t="s">
        <v>57</v>
      </c>
      <c r="J2886" s="2" t="s">
        <v>6874</v>
      </c>
      <c r="K2886" s="2" t="s">
        <v>4041</v>
      </c>
      <c r="L2886">
        <v>6</v>
      </c>
      <c r="M2886" s="1">
        <v>295000</v>
      </c>
      <c r="N2886">
        <v>4</v>
      </c>
      <c r="O2886">
        <v>9</v>
      </c>
      <c r="P2886" s="2" t="s">
        <v>26</v>
      </c>
    </row>
    <row r="2887" spans="1:16" x14ac:dyDescent="0.25">
      <c r="A2887" s="2" t="s">
        <v>8884</v>
      </c>
      <c r="B2887" s="2" t="s">
        <v>4498</v>
      </c>
      <c r="C2887" s="2" t="s">
        <v>29</v>
      </c>
      <c r="D2887" s="2" t="s">
        <v>30</v>
      </c>
      <c r="E2887" s="2" t="s">
        <v>20</v>
      </c>
      <c r="F2887" s="2" t="s">
        <v>32</v>
      </c>
      <c r="G2887" s="2" t="s">
        <v>69</v>
      </c>
      <c r="H2887" s="2" t="s">
        <v>46</v>
      </c>
      <c r="I2887" s="2" t="s">
        <v>24</v>
      </c>
      <c r="J2887" s="2" t="s">
        <v>2612</v>
      </c>
      <c r="K2887" s="2" t="s">
        <v>4041</v>
      </c>
      <c r="L2887">
        <v>7</v>
      </c>
      <c r="M2887" s="1">
        <v>326000</v>
      </c>
      <c r="N2887">
        <v>3.8</v>
      </c>
      <c r="O2887">
        <v>9</v>
      </c>
      <c r="P2887" s="2" t="s">
        <v>53</v>
      </c>
    </row>
    <row r="2888" spans="1:16" x14ac:dyDescent="0.25">
      <c r="A2888" s="2" t="s">
        <v>8885</v>
      </c>
      <c r="B2888" s="2" t="s">
        <v>97</v>
      </c>
      <c r="C2888" s="2" t="s">
        <v>18</v>
      </c>
      <c r="D2888" s="2" t="s">
        <v>30</v>
      </c>
      <c r="E2888" s="2" t="s">
        <v>44</v>
      </c>
      <c r="F2888" s="2" t="s">
        <v>32</v>
      </c>
      <c r="G2888" s="2" t="s">
        <v>80</v>
      </c>
      <c r="H2888" s="2" t="s">
        <v>34</v>
      </c>
      <c r="I2888" s="2" t="s">
        <v>24</v>
      </c>
      <c r="J2888" s="2" t="s">
        <v>1678</v>
      </c>
      <c r="K2888" s="2" t="s">
        <v>4790</v>
      </c>
      <c r="L2888">
        <v>5</v>
      </c>
      <c r="M2888" s="1">
        <v>289000</v>
      </c>
      <c r="N2888">
        <v>2.9</v>
      </c>
      <c r="O2888">
        <v>1</v>
      </c>
      <c r="P2888" s="2" t="s">
        <v>53</v>
      </c>
    </row>
    <row r="2889" spans="1:16" x14ac:dyDescent="0.25">
      <c r="A2889" s="2" t="s">
        <v>8888</v>
      </c>
      <c r="B2889" s="2" t="s">
        <v>6132</v>
      </c>
      <c r="C2889" s="2" t="s">
        <v>18</v>
      </c>
      <c r="D2889" s="2" t="s">
        <v>50</v>
      </c>
      <c r="E2889" s="2" t="s">
        <v>44</v>
      </c>
      <c r="F2889" s="2" t="s">
        <v>128</v>
      </c>
      <c r="G2889" s="2" t="s">
        <v>33</v>
      </c>
      <c r="H2889" s="2" t="s">
        <v>62</v>
      </c>
      <c r="I2889" s="2" t="s">
        <v>24</v>
      </c>
      <c r="J2889" s="2" t="s">
        <v>1112</v>
      </c>
      <c r="K2889" s="2" t="s">
        <v>8898</v>
      </c>
      <c r="L2889">
        <v>3</v>
      </c>
      <c r="M2889" s="1">
        <v>552000</v>
      </c>
      <c r="N2889">
        <v>3.6</v>
      </c>
      <c r="O2889">
        <v>8</v>
      </c>
      <c r="P2889" s="2" t="s">
        <v>26</v>
      </c>
    </row>
    <row r="2890" spans="1:16" x14ac:dyDescent="0.25">
      <c r="A2890" s="2" t="s">
        <v>8891</v>
      </c>
      <c r="B2890" s="2" t="s">
        <v>8892</v>
      </c>
      <c r="C2890" s="2" t="s">
        <v>29</v>
      </c>
      <c r="D2890" s="2" t="s">
        <v>79</v>
      </c>
      <c r="E2890" s="2" t="s">
        <v>31</v>
      </c>
      <c r="F2890" s="2" t="s">
        <v>32</v>
      </c>
      <c r="G2890" s="2" t="s">
        <v>22</v>
      </c>
      <c r="H2890" s="2" t="s">
        <v>23</v>
      </c>
      <c r="I2890" s="2" t="s">
        <v>35</v>
      </c>
      <c r="J2890" s="2" t="s">
        <v>4994</v>
      </c>
      <c r="K2890" s="2" t="s">
        <v>8898</v>
      </c>
      <c r="L2890">
        <v>4</v>
      </c>
      <c r="M2890" s="1">
        <v>315000</v>
      </c>
      <c r="N2890">
        <v>3.2</v>
      </c>
      <c r="O2890">
        <v>7</v>
      </c>
      <c r="P2890" s="2" t="s">
        <v>26</v>
      </c>
    </row>
    <row r="2891" spans="1:16" x14ac:dyDescent="0.25">
      <c r="A2891" s="2" t="s">
        <v>8894</v>
      </c>
      <c r="B2891" s="2" t="s">
        <v>8895</v>
      </c>
      <c r="C2891" s="2" t="s">
        <v>18</v>
      </c>
      <c r="D2891" s="2" t="s">
        <v>30</v>
      </c>
      <c r="E2891" s="2" t="s">
        <v>20</v>
      </c>
      <c r="F2891" s="2" t="s">
        <v>128</v>
      </c>
      <c r="G2891" s="2" t="s">
        <v>80</v>
      </c>
      <c r="H2891" s="2" t="s">
        <v>34</v>
      </c>
      <c r="I2891" s="2" t="s">
        <v>35</v>
      </c>
      <c r="J2891" s="2" t="s">
        <v>5022</v>
      </c>
      <c r="K2891" s="2" t="s">
        <v>8898</v>
      </c>
      <c r="L2891">
        <v>6</v>
      </c>
      <c r="M2891" s="1">
        <v>468000</v>
      </c>
      <c r="N2891">
        <v>2.2999999999999998</v>
      </c>
      <c r="O2891">
        <v>7</v>
      </c>
      <c r="P2891" s="2" t="s">
        <v>26</v>
      </c>
    </row>
    <row r="2892" spans="1:16" x14ac:dyDescent="0.25">
      <c r="A2892" s="2" t="s">
        <v>8897</v>
      </c>
      <c r="B2892" s="2" t="s">
        <v>6195</v>
      </c>
      <c r="C2892" s="2" t="s">
        <v>18</v>
      </c>
      <c r="D2892" s="2" t="s">
        <v>30</v>
      </c>
      <c r="E2892" s="2" t="s">
        <v>20</v>
      </c>
      <c r="F2892" s="2" t="s">
        <v>45</v>
      </c>
      <c r="G2892" s="2" t="s">
        <v>22</v>
      </c>
      <c r="H2892" s="2" t="s">
        <v>23</v>
      </c>
      <c r="I2892" s="2" t="s">
        <v>75</v>
      </c>
      <c r="J2892" s="2" t="s">
        <v>1471</v>
      </c>
      <c r="K2892" s="2" t="s">
        <v>8898</v>
      </c>
      <c r="L2892">
        <v>2</v>
      </c>
      <c r="M2892" s="1">
        <v>1496000</v>
      </c>
      <c r="N2892">
        <v>3.8</v>
      </c>
      <c r="O2892">
        <v>28</v>
      </c>
      <c r="P2892" s="2" t="s">
        <v>53</v>
      </c>
    </row>
    <row r="2893" spans="1:16" x14ac:dyDescent="0.25">
      <c r="A2893" s="2" t="s">
        <v>8899</v>
      </c>
      <c r="B2893" s="2" t="s">
        <v>8900</v>
      </c>
      <c r="C2893" s="2" t="s">
        <v>18</v>
      </c>
      <c r="D2893" s="2" t="s">
        <v>30</v>
      </c>
      <c r="E2893" s="2" t="s">
        <v>44</v>
      </c>
      <c r="F2893" s="2" t="s">
        <v>39</v>
      </c>
      <c r="G2893" s="2" t="s">
        <v>80</v>
      </c>
      <c r="H2893" s="2" t="s">
        <v>23</v>
      </c>
      <c r="I2893" s="2" t="s">
        <v>35</v>
      </c>
      <c r="J2893" s="2" t="s">
        <v>58</v>
      </c>
      <c r="K2893" s="2" t="s">
        <v>520</v>
      </c>
      <c r="L2893">
        <v>3</v>
      </c>
      <c r="M2893" s="1">
        <v>87000</v>
      </c>
      <c r="N2893">
        <v>3.2</v>
      </c>
      <c r="O2893">
        <v>0</v>
      </c>
      <c r="P2893" s="2" t="s">
        <v>53</v>
      </c>
    </row>
    <row r="2894" spans="1:16" x14ac:dyDescent="0.25">
      <c r="A2894" s="2" t="s">
        <v>8903</v>
      </c>
      <c r="B2894" s="2" t="s">
        <v>8904</v>
      </c>
      <c r="C2894" s="2" t="s">
        <v>29</v>
      </c>
      <c r="D2894" s="2" t="s">
        <v>79</v>
      </c>
      <c r="E2894" s="2" t="s">
        <v>20</v>
      </c>
      <c r="F2894" s="2" t="s">
        <v>39</v>
      </c>
      <c r="G2894" s="2" t="s">
        <v>80</v>
      </c>
      <c r="H2894" s="2" t="s">
        <v>62</v>
      </c>
      <c r="I2894" s="2" t="s">
        <v>57</v>
      </c>
      <c r="J2894" s="2" t="s">
        <v>8905</v>
      </c>
      <c r="K2894" s="2" t="s">
        <v>3973</v>
      </c>
      <c r="L2894">
        <v>3</v>
      </c>
      <c r="M2894" s="1">
        <v>159000</v>
      </c>
      <c r="N2894">
        <v>4.3</v>
      </c>
      <c r="O2894">
        <v>29</v>
      </c>
      <c r="P2894" s="2" t="s">
        <v>26</v>
      </c>
    </row>
    <row r="2895" spans="1:16" x14ac:dyDescent="0.25">
      <c r="A2895" s="2" t="s">
        <v>8906</v>
      </c>
      <c r="B2895" s="2" t="s">
        <v>6406</v>
      </c>
      <c r="C2895" s="2" t="s">
        <v>29</v>
      </c>
      <c r="D2895" s="2" t="s">
        <v>30</v>
      </c>
      <c r="E2895" s="2" t="s">
        <v>20</v>
      </c>
      <c r="F2895" s="2" t="s">
        <v>32</v>
      </c>
      <c r="G2895" s="2" t="s">
        <v>22</v>
      </c>
      <c r="H2895" s="2" t="s">
        <v>23</v>
      </c>
      <c r="I2895" s="2" t="s">
        <v>35</v>
      </c>
      <c r="J2895" s="2" t="s">
        <v>2000</v>
      </c>
      <c r="K2895" s="2" t="s">
        <v>3973</v>
      </c>
      <c r="L2895">
        <v>5</v>
      </c>
      <c r="M2895" s="1">
        <v>207000</v>
      </c>
      <c r="N2895">
        <v>3</v>
      </c>
      <c r="O2895">
        <v>8</v>
      </c>
      <c r="P2895" s="2" t="s">
        <v>53</v>
      </c>
    </row>
    <row r="2896" spans="1:16" x14ac:dyDescent="0.25">
      <c r="A2896" s="2" t="s">
        <v>8907</v>
      </c>
      <c r="B2896" s="2" t="s">
        <v>7438</v>
      </c>
      <c r="C2896" s="2" t="s">
        <v>29</v>
      </c>
      <c r="D2896" s="2" t="s">
        <v>19</v>
      </c>
      <c r="E2896" s="2" t="s">
        <v>20</v>
      </c>
      <c r="F2896" s="2" t="s">
        <v>128</v>
      </c>
      <c r="G2896" s="2" t="s">
        <v>22</v>
      </c>
      <c r="H2896" s="2" t="s">
        <v>34</v>
      </c>
      <c r="I2896" s="2" t="s">
        <v>57</v>
      </c>
      <c r="J2896" s="2" t="s">
        <v>320</v>
      </c>
      <c r="K2896" s="2" t="s">
        <v>3451</v>
      </c>
      <c r="L2896">
        <v>6</v>
      </c>
      <c r="M2896" s="1">
        <v>609000</v>
      </c>
      <c r="N2896">
        <v>3.1</v>
      </c>
      <c r="O2896">
        <v>0</v>
      </c>
      <c r="P2896" s="2" t="s">
        <v>26</v>
      </c>
    </row>
    <row r="2897" spans="1:16" x14ac:dyDescent="0.25">
      <c r="A2897" s="2" t="s">
        <v>8908</v>
      </c>
      <c r="B2897" s="2" t="s">
        <v>3787</v>
      </c>
      <c r="C2897" s="2" t="s">
        <v>18</v>
      </c>
      <c r="D2897" s="2" t="s">
        <v>19</v>
      </c>
      <c r="E2897" s="2" t="s">
        <v>31</v>
      </c>
      <c r="F2897" s="2" t="s">
        <v>128</v>
      </c>
      <c r="G2897" s="2" t="s">
        <v>22</v>
      </c>
      <c r="H2897" s="2" t="s">
        <v>23</v>
      </c>
      <c r="I2897" s="2" t="s">
        <v>24</v>
      </c>
      <c r="J2897" s="2" t="s">
        <v>328</v>
      </c>
      <c r="K2897" s="2" t="s">
        <v>3451</v>
      </c>
      <c r="L2897">
        <v>2</v>
      </c>
      <c r="M2897" s="1">
        <v>544000</v>
      </c>
      <c r="N2897">
        <v>4.5</v>
      </c>
      <c r="O2897">
        <v>0</v>
      </c>
      <c r="P2897" s="2" t="s">
        <v>114</v>
      </c>
    </row>
    <row r="2898" spans="1:16" x14ac:dyDescent="0.25">
      <c r="A2898" s="2" t="s">
        <v>8911</v>
      </c>
      <c r="B2898" s="2" t="s">
        <v>8912</v>
      </c>
      <c r="C2898" s="2" t="s">
        <v>18</v>
      </c>
      <c r="D2898" s="2" t="s">
        <v>19</v>
      </c>
      <c r="E2898" s="2" t="s">
        <v>20</v>
      </c>
      <c r="F2898" s="2" t="s">
        <v>128</v>
      </c>
      <c r="G2898" s="2" t="s">
        <v>22</v>
      </c>
      <c r="H2898" s="2" t="s">
        <v>46</v>
      </c>
      <c r="I2898" s="2" t="s">
        <v>24</v>
      </c>
      <c r="J2898" s="2" t="s">
        <v>1029</v>
      </c>
      <c r="K2898" s="2" t="s">
        <v>4540</v>
      </c>
      <c r="L2898">
        <v>4</v>
      </c>
      <c r="M2898" s="1">
        <v>562000</v>
      </c>
      <c r="N2898">
        <v>3.6</v>
      </c>
      <c r="O2898">
        <v>5</v>
      </c>
      <c r="P2898" s="2" t="s">
        <v>26</v>
      </c>
    </row>
    <row r="2899" spans="1:16" x14ac:dyDescent="0.25">
      <c r="A2899" s="2" t="s">
        <v>8914</v>
      </c>
      <c r="B2899" s="2" t="s">
        <v>1412</v>
      </c>
      <c r="C2899" s="2" t="s">
        <v>18</v>
      </c>
      <c r="D2899" s="2" t="s">
        <v>79</v>
      </c>
      <c r="E2899" s="2" t="s">
        <v>20</v>
      </c>
      <c r="F2899" s="2" t="s">
        <v>45</v>
      </c>
      <c r="G2899" s="2" t="s">
        <v>80</v>
      </c>
      <c r="H2899" s="2" t="s">
        <v>34</v>
      </c>
      <c r="I2899" s="2" t="s">
        <v>24</v>
      </c>
      <c r="J2899" s="2" t="s">
        <v>6600</v>
      </c>
      <c r="K2899" s="2" t="s">
        <v>4540</v>
      </c>
      <c r="L2899">
        <v>7</v>
      </c>
      <c r="M2899" s="1">
        <v>964000</v>
      </c>
      <c r="N2899">
        <v>4.5999999999999996</v>
      </c>
      <c r="O2899">
        <v>13</v>
      </c>
      <c r="P2899" s="2" t="s">
        <v>53</v>
      </c>
    </row>
    <row r="2900" spans="1:16" x14ac:dyDescent="0.25">
      <c r="A2900" s="2" t="s">
        <v>3585</v>
      </c>
      <c r="B2900" s="2" t="s">
        <v>3586</v>
      </c>
      <c r="C2900" s="2" t="s">
        <v>18</v>
      </c>
      <c r="D2900" s="2" t="s">
        <v>79</v>
      </c>
      <c r="E2900" s="2" t="s">
        <v>20</v>
      </c>
      <c r="F2900" s="2" t="s">
        <v>39</v>
      </c>
      <c r="G2900" s="2" t="s">
        <v>22</v>
      </c>
      <c r="H2900" s="2" t="s">
        <v>62</v>
      </c>
      <c r="I2900" s="2" t="s">
        <v>35</v>
      </c>
      <c r="J2900" s="2" t="s">
        <v>3587</v>
      </c>
      <c r="K2900" s="2" t="s">
        <v>7622</v>
      </c>
      <c r="L2900">
        <v>3</v>
      </c>
      <c r="M2900" s="1">
        <v>151000</v>
      </c>
      <c r="N2900">
        <v>2</v>
      </c>
      <c r="O2900">
        <v>0</v>
      </c>
      <c r="P2900" s="2" t="s">
        <v>26</v>
      </c>
    </row>
    <row r="2901" spans="1:16" x14ac:dyDescent="0.25">
      <c r="A2901" s="2" t="s">
        <v>8915</v>
      </c>
      <c r="B2901" s="2" t="s">
        <v>3918</v>
      </c>
      <c r="C2901" s="2" t="s">
        <v>18</v>
      </c>
      <c r="D2901" s="2" t="s">
        <v>50</v>
      </c>
      <c r="E2901" s="2" t="s">
        <v>20</v>
      </c>
      <c r="F2901" s="2" t="s">
        <v>32</v>
      </c>
      <c r="G2901" s="2" t="s">
        <v>80</v>
      </c>
      <c r="H2901" s="2" t="s">
        <v>34</v>
      </c>
      <c r="I2901" s="2" t="s">
        <v>24</v>
      </c>
      <c r="J2901" s="2" t="s">
        <v>5837</v>
      </c>
      <c r="K2901" s="2" t="s">
        <v>7622</v>
      </c>
      <c r="L2901">
        <v>4</v>
      </c>
      <c r="M2901" s="1">
        <v>251000</v>
      </c>
      <c r="N2901">
        <v>3.6</v>
      </c>
      <c r="O2901">
        <v>3</v>
      </c>
      <c r="P2901" s="2" t="s">
        <v>26</v>
      </c>
    </row>
    <row r="2902" spans="1:16" x14ac:dyDescent="0.25">
      <c r="A2902" s="2" t="s">
        <v>8918</v>
      </c>
      <c r="B2902" s="2" t="s">
        <v>6983</v>
      </c>
      <c r="C2902" s="2" t="s">
        <v>18</v>
      </c>
      <c r="D2902" s="2" t="s">
        <v>43</v>
      </c>
      <c r="E2902" s="2" t="s">
        <v>44</v>
      </c>
      <c r="F2902" s="2" t="s">
        <v>32</v>
      </c>
      <c r="G2902" s="2" t="s">
        <v>80</v>
      </c>
      <c r="H2902" s="2" t="s">
        <v>34</v>
      </c>
      <c r="I2902" s="2" t="s">
        <v>35</v>
      </c>
      <c r="J2902" s="2" t="s">
        <v>6509</v>
      </c>
      <c r="K2902" s="2" t="s">
        <v>7622</v>
      </c>
      <c r="L2902">
        <v>4</v>
      </c>
      <c r="M2902" s="1">
        <v>180000</v>
      </c>
      <c r="N2902">
        <v>3.8</v>
      </c>
      <c r="O2902">
        <v>3</v>
      </c>
      <c r="P2902" s="2" t="s">
        <v>53</v>
      </c>
    </row>
    <row r="2903" spans="1:16" x14ac:dyDescent="0.25">
      <c r="A2903" s="2" t="s">
        <v>8922</v>
      </c>
      <c r="B2903" s="2" t="s">
        <v>3901</v>
      </c>
      <c r="C2903" s="2" t="s">
        <v>29</v>
      </c>
      <c r="D2903" s="2" t="s">
        <v>79</v>
      </c>
      <c r="E2903" s="2" t="s">
        <v>20</v>
      </c>
      <c r="F2903" s="2" t="s">
        <v>128</v>
      </c>
      <c r="G2903" s="2" t="s">
        <v>69</v>
      </c>
      <c r="H2903" s="2" t="s">
        <v>34</v>
      </c>
      <c r="I2903" s="2" t="s">
        <v>35</v>
      </c>
      <c r="J2903" s="2" t="s">
        <v>6055</v>
      </c>
      <c r="K2903" s="2" t="s">
        <v>2277</v>
      </c>
      <c r="L2903">
        <v>3</v>
      </c>
      <c r="M2903" s="1">
        <v>431000</v>
      </c>
      <c r="N2903">
        <v>3.4</v>
      </c>
      <c r="O2903">
        <v>6</v>
      </c>
      <c r="P2903" s="2" t="s">
        <v>26</v>
      </c>
    </row>
    <row r="2904" spans="1:16" x14ac:dyDescent="0.25">
      <c r="A2904" s="2" t="s">
        <v>8923</v>
      </c>
      <c r="B2904" s="2" t="s">
        <v>7582</v>
      </c>
      <c r="C2904" s="2" t="s">
        <v>18</v>
      </c>
      <c r="D2904" s="2" t="s">
        <v>43</v>
      </c>
      <c r="E2904" s="2" t="s">
        <v>20</v>
      </c>
      <c r="F2904" s="2" t="s">
        <v>128</v>
      </c>
      <c r="G2904" s="2" t="s">
        <v>80</v>
      </c>
      <c r="H2904" s="2" t="s">
        <v>46</v>
      </c>
      <c r="I2904" s="2" t="s">
        <v>24</v>
      </c>
      <c r="J2904" s="2" t="s">
        <v>1494</v>
      </c>
      <c r="K2904" s="2" t="s">
        <v>2277</v>
      </c>
      <c r="L2904">
        <v>3</v>
      </c>
      <c r="M2904" s="1">
        <v>398000</v>
      </c>
      <c r="N2904">
        <v>4.3</v>
      </c>
      <c r="O2904">
        <v>14</v>
      </c>
      <c r="P2904" s="2" t="s">
        <v>26</v>
      </c>
    </row>
    <row r="2905" spans="1:16" x14ac:dyDescent="0.25">
      <c r="A2905" s="2" t="s">
        <v>8924</v>
      </c>
      <c r="B2905" s="2" t="s">
        <v>2616</v>
      </c>
      <c r="C2905" s="2" t="s">
        <v>18</v>
      </c>
      <c r="D2905" s="2" t="s">
        <v>43</v>
      </c>
      <c r="E2905" s="2" t="s">
        <v>44</v>
      </c>
      <c r="F2905" s="2" t="s">
        <v>32</v>
      </c>
      <c r="G2905" s="2" t="s">
        <v>33</v>
      </c>
      <c r="H2905" s="2" t="s">
        <v>23</v>
      </c>
      <c r="I2905" s="2" t="s">
        <v>24</v>
      </c>
      <c r="J2905" s="2" t="s">
        <v>469</v>
      </c>
      <c r="K2905" s="2" t="s">
        <v>2277</v>
      </c>
      <c r="L2905">
        <v>5</v>
      </c>
      <c r="M2905" s="1">
        <v>194000</v>
      </c>
      <c r="N2905">
        <v>4.3</v>
      </c>
      <c r="O2905">
        <v>9</v>
      </c>
      <c r="P2905" s="2" t="s">
        <v>26</v>
      </c>
    </row>
    <row r="2906" spans="1:16" x14ac:dyDescent="0.25">
      <c r="A2906" s="2" t="s">
        <v>8925</v>
      </c>
      <c r="B2906" s="2" t="s">
        <v>8926</v>
      </c>
      <c r="C2906" s="2" t="s">
        <v>18</v>
      </c>
      <c r="D2906" s="2" t="s">
        <v>43</v>
      </c>
      <c r="E2906" s="2" t="s">
        <v>20</v>
      </c>
      <c r="F2906" s="2" t="s">
        <v>39</v>
      </c>
      <c r="G2906" s="2" t="s">
        <v>22</v>
      </c>
      <c r="H2906" s="2" t="s">
        <v>46</v>
      </c>
      <c r="I2906" s="2" t="s">
        <v>35</v>
      </c>
      <c r="J2906" s="2" t="s">
        <v>5067</v>
      </c>
      <c r="K2906" s="2" t="s">
        <v>2277</v>
      </c>
      <c r="L2906">
        <v>6</v>
      </c>
      <c r="M2906" s="1">
        <v>114000</v>
      </c>
      <c r="N2906">
        <v>3.8</v>
      </c>
      <c r="O2906">
        <v>24</v>
      </c>
      <c r="P2906" s="2" t="s">
        <v>26</v>
      </c>
    </row>
    <row r="2907" spans="1:16" x14ac:dyDescent="0.25">
      <c r="A2907" s="2" t="s">
        <v>8927</v>
      </c>
      <c r="B2907" s="2" t="s">
        <v>1790</v>
      </c>
      <c r="C2907" s="2" t="s">
        <v>18</v>
      </c>
      <c r="D2907" s="2" t="s">
        <v>19</v>
      </c>
      <c r="E2907" s="2" t="s">
        <v>20</v>
      </c>
      <c r="F2907" s="2" t="s">
        <v>32</v>
      </c>
      <c r="G2907" s="2" t="s">
        <v>80</v>
      </c>
      <c r="H2907" s="2" t="s">
        <v>62</v>
      </c>
      <c r="I2907" s="2" t="s">
        <v>75</v>
      </c>
      <c r="J2907" s="2" t="s">
        <v>3014</v>
      </c>
      <c r="K2907" s="2" t="s">
        <v>2277</v>
      </c>
      <c r="L2907">
        <v>5</v>
      </c>
      <c r="M2907" s="1">
        <v>273000</v>
      </c>
      <c r="N2907">
        <v>4.7</v>
      </c>
      <c r="O2907">
        <v>12</v>
      </c>
      <c r="P2907" s="2" t="s">
        <v>26</v>
      </c>
    </row>
    <row r="2908" spans="1:16" x14ac:dyDescent="0.25">
      <c r="A2908" s="2" t="s">
        <v>8928</v>
      </c>
      <c r="B2908" s="2" t="s">
        <v>8929</v>
      </c>
      <c r="C2908" s="2" t="s">
        <v>29</v>
      </c>
      <c r="D2908" s="2" t="s">
        <v>50</v>
      </c>
      <c r="E2908" s="2" t="s">
        <v>20</v>
      </c>
      <c r="F2908" s="2" t="s">
        <v>128</v>
      </c>
      <c r="G2908" s="2" t="s">
        <v>22</v>
      </c>
      <c r="H2908" s="2" t="s">
        <v>62</v>
      </c>
      <c r="I2908" s="2" t="s">
        <v>57</v>
      </c>
      <c r="J2908" s="2" t="s">
        <v>4309</v>
      </c>
      <c r="K2908" s="2" t="s">
        <v>2277</v>
      </c>
      <c r="L2908">
        <v>4</v>
      </c>
      <c r="M2908" s="1">
        <v>449000</v>
      </c>
      <c r="N2908">
        <v>4.8</v>
      </c>
      <c r="O2908">
        <v>14</v>
      </c>
      <c r="P2908" s="2" t="s">
        <v>26</v>
      </c>
    </row>
    <row r="2909" spans="1:16" x14ac:dyDescent="0.25">
      <c r="A2909" s="2" t="s">
        <v>8930</v>
      </c>
      <c r="B2909" s="2" t="s">
        <v>4102</v>
      </c>
      <c r="C2909" s="2" t="s">
        <v>29</v>
      </c>
      <c r="D2909" s="2" t="s">
        <v>50</v>
      </c>
      <c r="E2909" s="2" t="s">
        <v>20</v>
      </c>
      <c r="F2909" s="2" t="s">
        <v>45</v>
      </c>
      <c r="G2909" s="2" t="s">
        <v>80</v>
      </c>
      <c r="H2909" s="2" t="s">
        <v>34</v>
      </c>
      <c r="I2909" s="2" t="s">
        <v>171</v>
      </c>
      <c r="J2909" s="2" t="s">
        <v>334</v>
      </c>
      <c r="K2909" s="2" t="s">
        <v>2277</v>
      </c>
      <c r="L2909">
        <v>6</v>
      </c>
      <c r="M2909" s="1">
        <v>1014000</v>
      </c>
      <c r="N2909">
        <v>4.9000000000000004</v>
      </c>
      <c r="O2909">
        <v>28</v>
      </c>
      <c r="P2909" s="2" t="s">
        <v>26</v>
      </c>
    </row>
    <row r="2910" spans="1:16" x14ac:dyDescent="0.25">
      <c r="A2910" s="2" t="s">
        <v>8932</v>
      </c>
      <c r="B2910" s="2" t="s">
        <v>2497</v>
      </c>
      <c r="C2910" s="2" t="s">
        <v>18</v>
      </c>
      <c r="D2910" s="2" t="s">
        <v>43</v>
      </c>
      <c r="E2910" s="2" t="s">
        <v>20</v>
      </c>
      <c r="F2910" s="2" t="s">
        <v>32</v>
      </c>
      <c r="G2910" s="2" t="s">
        <v>69</v>
      </c>
      <c r="H2910" s="2" t="s">
        <v>34</v>
      </c>
      <c r="I2910" s="2" t="s">
        <v>24</v>
      </c>
      <c r="J2910" s="2" t="s">
        <v>3584</v>
      </c>
      <c r="K2910" s="2" t="s">
        <v>2277</v>
      </c>
      <c r="L2910">
        <v>5</v>
      </c>
      <c r="M2910" s="1">
        <v>253000</v>
      </c>
      <c r="N2910">
        <v>4</v>
      </c>
      <c r="O2910">
        <v>20</v>
      </c>
      <c r="P2910" s="2" t="s">
        <v>26</v>
      </c>
    </row>
    <row r="2911" spans="1:16" x14ac:dyDescent="0.25">
      <c r="A2911" s="2" t="s">
        <v>8933</v>
      </c>
      <c r="B2911" s="2" t="s">
        <v>7480</v>
      </c>
      <c r="C2911" s="2" t="s">
        <v>29</v>
      </c>
      <c r="D2911" s="2" t="s">
        <v>19</v>
      </c>
      <c r="E2911" s="2" t="s">
        <v>20</v>
      </c>
      <c r="F2911" s="2" t="s">
        <v>45</v>
      </c>
      <c r="G2911" s="2" t="s">
        <v>80</v>
      </c>
      <c r="H2911" s="2" t="s">
        <v>23</v>
      </c>
      <c r="I2911" s="2" t="s">
        <v>24</v>
      </c>
      <c r="J2911" s="2" t="s">
        <v>1003</v>
      </c>
      <c r="K2911" s="2" t="s">
        <v>2277</v>
      </c>
      <c r="L2911">
        <v>3</v>
      </c>
      <c r="M2911" s="1">
        <v>2103000</v>
      </c>
      <c r="N2911">
        <v>3.8</v>
      </c>
      <c r="O2911">
        <v>10</v>
      </c>
      <c r="P2911" s="2" t="s">
        <v>26</v>
      </c>
    </row>
    <row r="2912" spans="1:16" x14ac:dyDescent="0.25">
      <c r="A2912" s="2" t="s">
        <v>8935</v>
      </c>
      <c r="B2912" s="2" t="s">
        <v>3729</v>
      </c>
      <c r="C2912" s="2" t="s">
        <v>29</v>
      </c>
      <c r="D2912" s="2" t="s">
        <v>43</v>
      </c>
      <c r="E2912" s="2" t="s">
        <v>31</v>
      </c>
      <c r="F2912" s="2" t="s">
        <v>128</v>
      </c>
      <c r="G2912" s="2" t="s">
        <v>80</v>
      </c>
      <c r="H2912" s="2" t="s">
        <v>23</v>
      </c>
      <c r="I2912" s="2" t="s">
        <v>57</v>
      </c>
      <c r="J2912" s="2" t="s">
        <v>3864</v>
      </c>
      <c r="K2912" s="2" t="s">
        <v>2277</v>
      </c>
      <c r="L2912">
        <v>4</v>
      </c>
      <c r="M2912" s="1">
        <v>451000</v>
      </c>
      <c r="N2912">
        <v>3.7</v>
      </c>
      <c r="O2912">
        <v>32</v>
      </c>
      <c r="P2912" s="2" t="s">
        <v>72</v>
      </c>
    </row>
    <row r="2913" spans="1:16" x14ac:dyDescent="0.25">
      <c r="A2913" s="2" t="s">
        <v>8936</v>
      </c>
      <c r="B2913" s="2" t="s">
        <v>6953</v>
      </c>
      <c r="C2913" s="2" t="s">
        <v>29</v>
      </c>
      <c r="D2913" s="2" t="s">
        <v>50</v>
      </c>
      <c r="E2913" s="2" t="s">
        <v>20</v>
      </c>
      <c r="F2913" s="2" t="s">
        <v>39</v>
      </c>
      <c r="G2913" s="2" t="s">
        <v>69</v>
      </c>
      <c r="H2913" s="2" t="s">
        <v>23</v>
      </c>
      <c r="I2913" s="2" t="s">
        <v>24</v>
      </c>
      <c r="J2913" s="2" t="s">
        <v>5364</v>
      </c>
      <c r="K2913" s="2" t="s">
        <v>269</v>
      </c>
      <c r="L2913">
        <v>6</v>
      </c>
      <c r="M2913" s="1">
        <v>150000</v>
      </c>
      <c r="N2913">
        <v>2.2000000000000002</v>
      </c>
      <c r="O2913">
        <v>11</v>
      </c>
      <c r="P2913" s="2" t="s">
        <v>26</v>
      </c>
    </row>
    <row r="2914" spans="1:16" x14ac:dyDescent="0.25">
      <c r="A2914" s="2" t="s">
        <v>8940</v>
      </c>
      <c r="B2914" s="2" t="s">
        <v>3992</v>
      </c>
      <c r="C2914" s="2" t="s">
        <v>18</v>
      </c>
      <c r="D2914" s="2" t="s">
        <v>79</v>
      </c>
      <c r="E2914" s="2" t="s">
        <v>31</v>
      </c>
      <c r="F2914" s="2" t="s">
        <v>128</v>
      </c>
      <c r="G2914" s="2" t="s">
        <v>80</v>
      </c>
      <c r="H2914" s="2" t="s">
        <v>34</v>
      </c>
      <c r="I2914" s="2" t="s">
        <v>24</v>
      </c>
      <c r="J2914" s="2" t="s">
        <v>6496</v>
      </c>
      <c r="K2914" s="2" t="s">
        <v>269</v>
      </c>
      <c r="L2914">
        <v>2</v>
      </c>
      <c r="M2914" s="1">
        <v>556000</v>
      </c>
      <c r="N2914">
        <v>2.9</v>
      </c>
      <c r="O2914">
        <v>39</v>
      </c>
      <c r="P2914" s="2" t="s">
        <v>26</v>
      </c>
    </row>
    <row r="2915" spans="1:16" x14ac:dyDescent="0.25">
      <c r="A2915" s="2" t="s">
        <v>8941</v>
      </c>
      <c r="B2915" s="2" t="s">
        <v>8942</v>
      </c>
      <c r="C2915" s="2" t="s">
        <v>29</v>
      </c>
      <c r="D2915" s="2" t="s">
        <v>79</v>
      </c>
      <c r="E2915" s="2" t="s">
        <v>44</v>
      </c>
      <c r="F2915" s="2" t="s">
        <v>128</v>
      </c>
      <c r="G2915" s="2" t="s">
        <v>33</v>
      </c>
      <c r="H2915" s="2" t="s">
        <v>34</v>
      </c>
      <c r="I2915" s="2" t="s">
        <v>24</v>
      </c>
      <c r="J2915" s="2" t="s">
        <v>3785</v>
      </c>
      <c r="K2915" s="2" t="s">
        <v>269</v>
      </c>
      <c r="L2915">
        <v>6</v>
      </c>
      <c r="M2915" s="1">
        <v>445000</v>
      </c>
      <c r="N2915">
        <v>3</v>
      </c>
      <c r="O2915">
        <v>11</v>
      </c>
      <c r="P2915" s="2" t="s">
        <v>53</v>
      </c>
    </row>
    <row r="2916" spans="1:16" x14ac:dyDescent="0.25">
      <c r="A2916" s="2" t="s">
        <v>8943</v>
      </c>
      <c r="B2916" s="2" t="s">
        <v>1458</v>
      </c>
      <c r="C2916" s="2" t="s">
        <v>29</v>
      </c>
      <c r="D2916" s="2" t="s">
        <v>79</v>
      </c>
      <c r="E2916" s="2" t="s">
        <v>20</v>
      </c>
      <c r="F2916" s="2" t="s">
        <v>21</v>
      </c>
      <c r="G2916" s="2" t="s">
        <v>80</v>
      </c>
      <c r="H2916" s="2" t="s">
        <v>62</v>
      </c>
      <c r="I2916" s="2" t="s">
        <v>57</v>
      </c>
      <c r="J2916" s="2" t="s">
        <v>1313</v>
      </c>
      <c r="K2916" s="2" t="s">
        <v>3565</v>
      </c>
      <c r="L2916">
        <v>2</v>
      </c>
      <c r="M2916" s="1">
        <v>802000</v>
      </c>
      <c r="N2916">
        <v>3.9</v>
      </c>
      <c r="O2916">
        <v>0</v>
      </c>
      <c r="P2916" s="2" t="s">
        <v>26</v>
      </c>
    </row>
    <row r="2917" spans="1:16" x14ac:dyDescent="0.25">
      <c r="A2917" s="2" t="s">
        <v>8944</v>
      </c>
      <c r="B2917" s="2" t="s">
        <v>5681</v>
      </c>
      <c r="C2917" s="2" t="s">
        <v>18</v>
      </c>
      <c r="D2917" s="2" t="s">
        <v>30</v>
      </c>
      <c r="E2917" s="2" t="s">
        <v>20</v>
      </c>
      <c r="F2917" s="2" t="s">
        <v>39</v>
      </c>
      <c r="G2917" s="2" t="s">
        <v>22</v>
      </c>
      <c r="H2917" s="2" t="s">
        <v>46</v>
      </c>
      <c r="I2917" s="2" t="s">
        <v>35</v>
      </c>
      <c r="J2917" s="2" t="s">
        <v>1538</v>
      </c>
      <c r="K2917" s="2" t="s">
        <v>3565</v>
      </c>
      <c r="L2917">
        <v>2</v>
      </c>
      <c r="M2917" s="1">
        <v>172000</v>
      </c>
      <c r="N2917">
        <v>3.1</v>
      </c>
      <c r="O2917">
        <v>1</v>
      </c>
      <c r="P2917" s="2" t="s">
        <v>26</v>
      </c>
    </row>
    <row r="2918" spans="1:16" x14ac:dyDescent="0.25">
      <c r="A2918" s="2" t="s">
        <v>8946</v>
      </c>
      <c r="B2918" s="2" t="s">
        <v>4867</v>
      </c>
      <c r="C2918" s="2" t="s">
        <v>18</v>
      </c>
      <c r="D2918" s="2" t="s">
        <v>43</v>
      </c>
      <c r="E2918" s="2" t="s">
        <v>20</v>
      </c>
      <c r="F2918" s="2" t="s">
        <v>32</v>
      </c>
      <c r="G2918" s="2" t="s">
        <v>22</v>
      </c>
      <c r="H2918" s="2" t="s">
        <v>23</v>
      </c>
      <c r="I2918" s="2" t="s">
        <v>75</v>
      </c>
      <c r="J2918" s="2" t="s">
        <v>1418</v>
      </c>
      <c r="K2918" s="2" t="s">
        <v>3565</v>
      </c>
      <c r="L2918">
        <v>6</v>
      </c>
      <c r="M2918" s="1">
        <v>280000</v>
      </c>
      <c r="N2918">
        <v>4.5999999999999996</v>
      </c>
      <c r="O2918">
        <v>36</v>
      </c>
      <c r="P2918" s="2" t="s">
        <v>26</v>
      </c>
    </row>
    <row r="2919" spans="1:16" x14ac:dyDescent="0.25">
      <c r="A2919" s="2" t="s">
        <v>8947</v>
      </c>
      <c r="B2919" s="2" t="s">
        <v>8948</v>
      </c>
      <c r="C2919" s="2" t="s">
        <v>29</v>
      </c>
      <c r="D2919" s="2" t="s">
        <v>30</v>
      </c>
      <c r="E2919" s="2" t="s">
        <v>20</v>
      </c>
      <c r="F2919" s="2" t="s">
        <v>128</v>
      </c>
      <c r="G2919" s="2" t="s">
        <v>22</v>
      </c>
      <c r="H2919" s="2" t="s">
        <v>23</v>
      </c>
      <c r="I2919" s="2" t="s">
        <v>35</v>
      </c>
      <c r="J2919" s="2" t="s">
        <v>2295</v>
      </c>
      <c r="K2919" s="2" t="s">
        <v>3565</v>
      </c>
      <c r="L2919">
        <v>5</v>
      </c>
      <c r="M2919" s="1">
        <v>566000</v>
      </c>
      <c r="N2919">
        <v>3.1</v>
      </c>
      <c r="O2919">
        <v>2</v>
      </c>
      <c r="P2919" s="2" t="s">
        <v>53</v>
      </c>
    </row>
    <row r="2920" spans="1:16" x14ac:dyDescent="0.25">
      <c r="A2920" s="2" t="s">
        <v>8949</v>
      </c>
      <c r="B2920" s="2" t="s">
        <v>4349</v>
      </c>
      <c r="C2920" s="2" t="s">
        <v>29</v>
      </c>
      <c r="D2920" s="2" t="s">
        <v>50</v>
      </c>
      <c r="E2920" s="2" t="s">
        <v>20</v>
      </c>
      <c r="F2920" s="2" t="s">
        <v>32</v>
      </c>
      <c r="G2920" s="2" t="s">
        <v>33</v>
      </c>
      <c r="H2920" s="2" t="s">
        <v>34</v>
      </c>
      <c r="I2920" s="2" t="s">
        <v>57</v>
      </c>
      <c r="J2920" s="2" t="s">
        <v>2200</v>
      </c>
      <c r="K2920" s="2" t="s">
        <v>2104</v>
      </c>
      <c r="L2920">
        <v>2</v>
      </c>
      <c r="M2920" s="1">
        <v>233000</v>
      </c>
      <c r="N2920">
        <v>3.3</v>
      </c>
      <c r="O2920">
        <v>10</v>
      </c>
      <c r="P2920" s="2" t="s">
        <v>53</v>
      </c>
    </row>
    <row r="2921" spans="1:16" x14ac:dyDescent="0.25">
      <c r="A2921" s="2" t="s">
        <v>8950</v>
      </c>
      <c r="B2921" s="2" t="s">
        <v>1316</v>
      </c>
      <c r="C2921" s="2" t="s">
        <v>29</v>
      </c>
      <c r="D2921" s="2" t="s">
        <v>50</v>
      </c>
      <c r="E2921" s="2" t="s">
        <v>44</v>
      </c>
      <c r="F2921" s="2" t="s">
        <v>39</v>
      </c>
      <c r="G2921" s="2" t="s">
        <v>22</v>
      </c>
      <c r="H2921" s="2" t="s">
        <v>62</v>
      </c>
      <c r="I2921" s="2" t="s">
        <v>171</v>
      </c>
      <c r="J2921" s="2" t="s">
        <v>1857</v>
      </c>
      <c r="K2921" s="2" t="s">
        <v>2809</v>
      </c>
      <c r="L2921">
        <v>5</v>
      </c>
      <c r="M2921" s="1">
        <v>161000</v>
      </c>
      <c r="N2921">
        <v>2.8</v>
      </c>
      <c r="O2921">
        <v>8</v>
      </c>
      <c r="P2921" s="2" t="s">
        <v>26</v>
      </c>
    </row>
    <row r="2922" spans="1:16" x14ac:dyDescent="0.25">
      <c r="A2922" s="2" t="s">
        <v>8951</v>
      </c>
      <c r="B2922" s="2" t="s">
        <v>6541</v>
      </c>
      <c r="C2922" s="2" t="s">
        <v>18</v>
      </c>
      <c r="D2922" s="2" t="s">
        <v>79</v>
      </c>
      <c r="E2922" s="2" t="s">
        <v>20</v>
      </c>
      <c r="F2922" s="2" t="s">
        <v>128</v>
      </c>
      <c r="G2922" s="2" t="s">
        <v>22</v>
      </c>
      <c r="H2922" s="2" t="s">
        <v>34</v>
      </c>
      <c r="I2922" s="2" t="s">
        <v>24</v>
      </c>
      <c r="J2922" s="2" t="s">
        <v>8952</v>
      </c>
      <c r="K2922" s="2" t="s">
        <v>2809</v>
      </c>
      <c r="L2922">
        <v>6</v>
      </c>
      <c r="M2922" s="1">
        <v>408000</v>
      </c>
      <c r="N2922">
        <v>2.4</v>
      </c>
      <c r="O2922">
        <v>9</v>
      </c>
      <c r="P2922" s="2" t="s">
        <v>26</v>
      </c>
    </row>
    <row r="2923" spans="1:16" x14ac:dyDescent="0.25">
      <c r="A2923" s="2" t="s">
        <v>8953</v>
      </c>
      <c r="B2923" s="2" t="s">
        <v>7563</v>
      </c>
      <c r="C2923" s="2" t="s">
        <v>18</v>
      </c>
      <c r="D2923" s="2" t="s">
        <v>19</v>
      </c>
      <c r="E2923" s="2" t="s">
        <v>20</v>
      </c>
      <c r="F2923" s="2" t="s">
        <v>45</v>
      </c>
      <c r="G2923" s="2" t="s">
        <v>22</v>
      </c>
      <c r="H2923" s="2" t="s">
        <v>46</v>
      </c>
      <c r="I2923" s="2" t="s">
        <v>57</v>
      </c>
      <c r="J2923" s="2" t="s">
        <v>3412</v>
      </c>
      <c r="K2923" s="2" t="s">
        <v>2809</v>
      </c>
      <c r="L2923">
        <v>6</v>
      </c>
      <c r="M2923" s="1">
        <v>1472000</v>
      </c>
      <c r="N2923">
        <v>3.3</v>
      </c>
      <c r="O2923">
        <v>13</v>
      </c>
      <c r="P2923" s="2" t="s">
        <v>26</v>
      </c>
    </row>
    <row r="2924" spans="1:16" x14ac:dyDescent="0.25">
      <c r="A2924" s="2" t="s">
        <v>8954</v>
      </c>
      <c r="B2924" s="2" t="s">
        <v>8955</v>
      </c>
      <c r="C2924" s="2" t="s">
        <v>29</v>
      </c>
      <c r="D2924" s="2" t="s">
        <v>50</v>
      </c>
      <c r="E2924" s="2" t="s">
        <v>20</v>
      </c>
      <c r="F2924" s="2" t="s">
        <v>39</v>
      </c>
      <c r="G2924" s="2" t="s">
        <v>22</v>
      </c>
      <c r="H2924" s="2" t="s">
        <v>62</v>
      </c>
      <c r="I2924" s="2" t="s">
        <v>35</v>
      </c>
      <c r="J2924" s="2" t="s">
        <v>2797</v>
      </c>
      <c r="K2924" s="2" t="s">
        <v>2809</v>
      </c>
      <c r="L2924">
        <v>4</v>
      </c>
      <c r="M2924" s="1">
        <v>155000</v>
      </c>
      <c r="N2924">
        <v>3</v>
      </c>
      <c r="O2924">
        <v>7</v>
      </c>
      <c r="P2924" s="2" t="s">
        <v>26</v>
      </c>
    </row>
    <row r="2925" spans="1:16" x14ac:dyDescent="0.25">
      <c r="A2925" s="2" t="s">
        <v>8956</v>
      </c>
      <c r="B2925" s="2" t="s">
        <v>8373</v>
      </c>
      <c r="C2925" s="2" t="s">
        <v>29</v>
      </c>
      <c r="D2925" s="2" t="s">
        <v>30</v>
      </c>
      <c r="E2925" s="2" t="s">
        <v>44</v>
      </c>
      <c r="F2925" s="2" t="s">
        <v>128</v>
      </c>
      <c r="G2925" s="2" t="s">
        <v>33</v>
      </c>
      <c r="H2925" s="2" t="s">
        <v>46</v>
      </c>
      <c r="I2925" s="2" t="s">
        <v>24</v>
      </c>
      <c r="J2925" s="2" t="s">
        <v>1131</v>
      </c>
      <c r="K2925" s="2" t="s">
        <v>2809</v>
      </c>
      <c r="L2925">
        <v>4</v>
      </c>
      <c r="M2925" s="1">
        <v>524000</v>
      </c>
      <c r="N2925">
        <v>3</v>
      </c>
      <c r="O2925">
        <v>30</v>
      </c>
      <c r="P2925" s="2" t="s">
        <v>53</v>
      </c>
    </row>
    <row r="2926" spans="1:16" x14ac:dyDescent="0.25">
      <c r="A2926" s="2" t="s">
        <v>8957</v>
      </c>
      <c r="B2926" s="2" t="s">
        <v>8958</v>
      </c>
      <c r="C2926" s="2" t="s">
        <v>18</v>
      </c>
      <c r="D2926" s="2" t="s">
        <v>50</v>
      </c>
      <c r="E2926" s="2" t="s">
        <v>31</v>
      </c>
      <c r="F2926" s="2" t="s">
        <v>32</v>
      </c>
      <c r="G2926" s="2" t="s">
        <v>22</v>
      </c>
      <c r="H2926" s="2" t="s">
        <v>34</v>
      </c>
      <c r="I2926" s="2" t="s">
        <v>57</v>
      </c>
      <c r="J2926" s="2" t="s">
        <v>5790</v>
      </c>
      <c r="K2926" s="2" t="s">
        <v>5326</v>
      </c>
      <c r="L2926">
        <v>6</v>
      </c>
      <c r="M2926" s="1">
        <v>314000</v>
      </c>
      <c r="N2926">
        <v>4.5999999999999996</v>
      </c>
      <c r="O2926">
        <v>8</v>
      </c>
      <c r="P2926" s="2" t="s">
        <v>72</v>
      </c>
    </row>
    <row r="2927" spans="1:16" x14ac:dyDescent="0.25">
      <c r="A2927" s="2" t="s">
        <v>8961</v>
      </c>
      <c r="B2927" s="2" t="s">
        <v>8962</v>
      </c>
      <c r="C2927" s="2" t="s">
        <v>18</v>
      </c>
      <c r="D2927" s="2" t="s">
        <v>30</v>
      </c>
      <c r="E2927" s="2" t="s">
        <v>20</v>
      </c>
      <c r="F2927" s="2" t="s">
        <v>128</v>
      </c>
      <c r="G2927" s="2" t="s">
        <v>69</v>
      </c>
      <c r="H2927" s="2" t="s">
        <v>23</v>
      </c>
      <c r="I2927" s="2" t="s">
        <v>24</v>
      </c>
      <c r="J2927" s="2" t="s">
        <v>719</v>
      </c>
      <c r="K2927" s="2" t="s">
        <v>887</v>
      </c>
      <c r="L2927">
        <v>6</v>
      </c>
      <c r="M2927" s="1">
        <v>528000</v>
      </c>
      <c r="N2927">
        <v>2.2000000000000002</v>
      </c>
      <c r="O2927">
        <v>19</v>
      </c>
      <c r="P2927" s="2" t="s">
        <v>53</v>
      </c>
    </row>
    <row r="2928" spans="1:16" x14ac:dyDescent="0.25">
      <c r="A2928" s="2" t="s">
        <v>8963</v>
      </c>
      <c r="B2928" s="2" t="s">
        <v>6040</v>
      </c>
      <c r="C2928" s="2" t="s">
        <v>18</v>
      </c>
      <c r="D2928" s="2" t="s">
        <v>30</v>
      </c>
      <c r="E2928" s="2" t="s">
        <v>20</v>
      </c>
      <c r="F2928" s="2" t="s">
        <v>39</v>
      </c>
      <c r="G2928" s="2" t="s">
        <v>22</v>
      </c>
      <c r="H2928" s="2" t="s">
        <v>46</v>
      </c>
      <c r="I2928" s="2" t="s">
        <v>35</v>
      </c>
      <c r="J2928" s="2" t="s">
        <v>4902</v>
      </c>
      <c r="K2928" s="2" t="s">
        <v>1918</v>
      </c>
      <c r="L2928">
        <v>3</v>
      </c>
      <c r="M2928" s="1">
        <v>128000</v>
      </c>
      <c r="N2928">
        <v>2.2000000000000002</v>
      </c>
      <c r="O2928">
        <v>13</v>
      </c>
      <c r="P2928" s="2" t="s">
        <v>26</v>
      </c>
    </row>
    <row r="2929" spans="1:16" x14ac:dyDescent="0.25">
      <c r="A2929" s="2" t="s">
        <v>8964</v>
      </c>
      <c r="B2929" s="2" t="s">
        <v>6340</v>
      </c>
      <c r="C2929" s="2" t="s">
        <v>29</v>
      </c>
      <c r="D2929" s="2" t="s">
        <v>50</v>
      </c>
      <c r="E2929" s="2" t="s">
        <v>31</v>
      </c>
      <c r="F2929" s="2" t="s">
        <v>21</v>
      </c>
      <c r="G2929" s="2" t="s">
        <v>33</v>
      </c>
      <c r="H2929" s="2" t="s">
        <v>23</v>
      </c>
      <c r="I2929" s="2" t="s">
        <v>24</v>
      </c>
      <c r="J2929" s="2" t="s">
        <v>1886</v>
      </c>
      <c r="K2929" s="2" t="s">
        <v>1918</v>
      </c>
      <c r="L2929">
        <v>3</v>
      </c>
      <c r="M2929" s="1">
        <v>771000</v>
      </c>
      <c r="N2929">
        <v>3.5</v>
      </c>
      <c r="O2929">
        <v>9</v>
      </c>
      <c r="P2929" s="2" t="s">
        <v>26</v>
      </c>
    </row>
    <row r="2930" spans="1:16" x14ac:dyDescent="0.25">
      <c r="A2930" s="2" t="s">
        <v>6063</v>
      </c>
      <c r="B2930" s="2" t="s">
        <v>6064</v>
      </c>
      <c r="C2930" s="2" t="s">
        <v>18</v>
      </c>
      <c r="D2930" s="2" t="s">
        <v>50</v>
      </c>
      <c r="E2930" s="2" t="s">
        <v>20</v>
      </c>
      <c r="F2930" s="2" t="s">
        <v>32</v>
      </c>
      <c r="G2930" s="2" t="s">
        <v>80</v>
      </c>
      <c r="H2930" s="2" t="s">
        <v>23</v>
      </c>
      <c r="I2930" s="2" t="s">
        <v>35</v>
      </c>
      <c r="J2930" s="2" t="s">
        <v>806</v>
      </c>
      <c r="K2930" s="2" t="s">
        <v>1918</v>
      </c>
      <c r="L2930">
        <v>5</v>
      </c>
      <c r="M2930" s="1">
        <v>340000</v>
      </c>
      <c r="N2930">
        <v>3.7</v>
      </c>
      <c r="O2930">
        <v>13</v>
      </c>
      <c r="P2930" s="2" t="s">
        <v>26</v>
      </c>
    </row>
    <row r="2931" spans="1:16" x14ac:dyDescent="0.25">
      <c r="A2931" s="2" t="s">
        <v>8967</v>
      </c>
      <c r="B2931" s="2" t="s">
        <v>8184</v>
      </c>
      <c r="C2931" s="2" t="s">
        <v>29</v>
      </c>
      <c r="D2931" s="2" t="s">
        <v>79</v>
      </c>
      <c r="E2931" s="2" t="s">
        <v>20</v>
      </c>
      <c r="F2931" s="2" t="s">
        <v>45</v>
      </c>
      <c r="G2931" s="2" t="s">
        <v>22</v>
      </c>
      <c r="H2931" s="2" t="s">
        <v>23</v>
      </c>
      <c r="I2931" s="2" t="s">
        <v>57</v>
      </c>
      <c r="J2931" s="2" t="s">
        <v>2407</v>
      </c>
      <c r="K2931" s="2" t="s">
        <v>1918</v>
      </c>
      <c r="L2931">
        <v>5</v>
      </c>
      <c r="M2931" s="1">
        <v>1472000</v>
      </c>
      <c r="N2931">
        <v>4.5999999999999996</v>
      </c>
      <c r="O2931">
        <v>2</v>
      </c>
      <c r="P2931" s="2" t="s">
        <v>26</v>
      </c>
    </row>
    <row r="2932" spans="1:16" x14ac:dyDescent="0.25">
      <c r="A2932" s="2" t="s">
        <v>8968</v>
      </c>
      <c r="B2932" s="2" t="s">
        <v>5460</v>
      </c>
      <c r="C2932" s="2" t="s">
        <v>29</v>
      </c>
      <c r="D2932" s="2" t="s">
        <v>19</v>
      </c>
      <c r="E2932" s="2" t="s">
        <v>20</v>
      </c>
      <c r="F2932" s="2" t="s">
        <v>32</v>
      </c>
      <c r="G2932" s="2" t="s">
        <v>22</v>
      </c>
      <c r="H2932" s="2" t="s">
        <v>34</v>
      </c>
      <c r="I2932" s="2" t="s">
        <v>24</v>
      </c>
      <c r="J2932" s="2" t="s">
        <v>369</v>
      </c>
      <c r="K2932" s="2" t="s">
        <v>1918</v>
      </c>
      <c r="L2932">
        <v>6</v>
      </c>
      <c r="M2932" s="1">
        <v>285000</v>
      </c>
      <c r="N2932">
        <v>4.4000000000000004</v>
      </c>
      <c r="O2932">
        <v>1</v>
      </c>
      <c r="P2932" s="2" t="s">
        <v>53</v>
      </c>
    </row>
    <row r="2933" spans="1:16" x14ac:dyDescent="0.25">
      <c r="A2933" s="2" t="s">
        <v>8969</v>
      </c>
      <c r="B2933" s="2" t="s">
        <v>8970</v>
      </c>
      <c r="C2933" s="2" t="s">
        <v>18</v>
      </c>
      <c r="D2933" s="2" t="s">
        <v>50</v>
      </c>
      <c r="E2933" s="2" t="s">
        <v>20</v>
      </c>
      <c r="F2933" s="2" t="s">
        <v>21</v>
      </c>
      <c r="G2933" s="2" t="s">
        <v>69</v>
      </c>
      <c r="H2933" s="2" t="s">
        <v>23</v>
      </c>
      <c r="I2933" s="2" t="s">
        <v>171</v>
      </c>
      <c r="J2933" s="2" t="s">
        <v>2548</v>
      </c>
      <c r="K2933" s="2" t="s">
        <v>487</v>
      </c>
      <c r="L2933">
        <v>3</v>
      </c>
      <c r="M2933" s="1">
        <v>857000</v>
      </c>
      <c r="N2933">
        <v>3.4</v>
      </c>
      <c r="O2933">
        <v>20</v>
      </c>
      <c r="P2933" s="2" t="s">
        <v>114</v>
      </c>
    </row>
    <row r="2934" spans="1:16" x14ac:dyDescent="0.25">
      <c r="A2934" s="2" t="s">
        <v>8971</v>
      </c>
      <c r="B2934" s="2" t="s">
        <v>8476</v>
      </c>
      <c r="C2934" s="2" t="s">
        <v>18</v>
      </c>
      <c r="D2934" s="2" t="s">
        <v>79</v>
      </c>
      <c r="E2934" s="2" t="s">
        <v>44</v>
      </c>
      <c r="F2934" s="2" t="s">
        <v>128</v>
      </c>
      <c r="G2934" s="2" t="s">
        <v>33</v>
      </c>
      <c r="H2934" s="2" t="s">
        <v>34</v>
      </c>
      <c r="I2934" s="2" t="s">
        <v>75</v>
      </c>
      <c r="J2934" s="2" t="s">
        <v>7213</v>
      </c>
      <c r="K2934" s="2" t="s">
        <v>8977</v>
      </c>
      <c r="L2934">
        <v>3</v>
      </c>
      <c r="M2934" s="1">
        <v>495000</v>
      </c>
      <c r="N2934">
        <v>3.1</v>
      </c>
      <c r="O2934">
        <v>3</v>
      </c>
      <c r="P2934" s="2" t="s">
        <v>26</v>
      </c>
    </row>
    <row r="2935" spans="1:16" x14ac:dyDescent="0.25">
      <c r="A2935" s="2" t="s">
        <v>8972</v>
      </c>
      <c r="B2935" s="2" t="s">
        <v>4830</v>
      </c>
      <c r="C2935" s="2" t="s">
        <v>29</v>
      </c>
      <c r="D2935" s="2" t="s">
        <v>79</v>
      </c>
      <c r="E2935" s="2" t="s">
        <v>31</v>
      </c>
      <c r="F2935" s="2" t="s">
        <v>39</v>
      </c>
      <c r="G2935" s="2" t="s">
        <v>80</v>
      </c>
      <c r="H2935" s="2" t="s">
        <v>23</v>
      </c>
      <c r="I2935" s="2" t="s">
        <v>57</v>
      </c>
      <c r="J2935" s="2" t="s">
        <v>3062</v>
      </c>
      <c r="K2935" s="2" t="s">
        <v>8977</v>
      </c>
      <c r="L2935">
        <v>3</v>
      </c>
      <c r="M2935" s="1">
        <v>176000</v>
      </c>
      <c r="N2935">
        <v>3.9</v>
      </c>
      <c r="O2935">
        <v>37</v>
      </c>
      <c r="P2935" s="2" t="s">
        <v>26</v>
      </c>
    </row>
    <row r="2936" spans="1:16" x14ac:dyDescent="0.25">
      <c r="A2936" s="2" t="s">
        <v>8974</v>
      </c>
      <c r="B2936" s="2" t="s">
        <v>2745</v>
      </c>
      <c r="C2936" s="2" t="s">
        <v>18</v>
      </c>
      <c r="D2936" s="2" t="s">
        <v>30</v>
      </c>
      <c r="E2936" s="2" t="s">
        <v>20</v>
      </c>
      <c r="F2936" s="2" t="s">
        <v>32</v>
      </c>
      <c r="G2936" s="2" t="s">
        <v>22</v>
      </c>
      <c r="H2936" s="2" t="s">
        <v>34</v>
      </c>
      <c r="I2936" s="2" t="s">
        <v>35</v>
      </c>
      <c r="J2936" s="2" t="s">
        <v>5077</v>
      </c>
      <c r="K2936" s="2" t="s">
        <v>8977</v>
      </c>
      <c r="L2936">
        <v>6</v>
      </c>
      <c r="M2936" s="1">
        <v>251000</v>
      </c>
      <c r="N2936">
        <v>2.2999999999999998</v>
      </c>
      <c r="O2936">
        <v>0</v>
      </c>
      <c r="P2936" s="2" t="s">
        <v>26</v>
      </c>
    </row>
    <row r="2937" spans="1:16" x14ac:dyDescent="0.25">
      <c r="A2937" s="2" t="s">
        <v>8976</v>
      </c>
      <c r="B2937" s="2" t="s">
        <v>4443</v>
      </c>
      <c r="C2937" s="2" t="s">
        <v>18</v>
      </c>
      <c r="D2937" s="2" t="s">
        <v>43</v>
      </c>
      <c r="E2937" s="2" t="s">
        <v>20</v>
      </c>
      <c r="F2937" s="2" t="s">
        <v>32</v>
      </c>
      <c r="G2937" s="2" t="s">
        <v>80</v>
      </c>
      <c r="H2937" s="2" t="s">
        <v>23</v>
      </c>
      <c r="I2937" s="2" t="s">
        <v>24</v>
      </c>
      <c r="J2937" s="2" t="s">
        <v>2213</v>
      </c>
      <c r="K2937" s="2" t="s">
        <v>8977</v>
      </c>
      <c r="L2937">
        <v>3</v>
      </c>
      <c r="M2937" s="1">
        <v>229000</v>
      </c>
      <c r="N2937">
        <v>4.4000000000000004</v>
      </c>
      <c r="O2937">
        <v>11</v>
      </c>
      <c r="P2937" s="2" t="s">
        <v>53</v>
      </c>
    </row>
    <row r="2938" spans="1:16" x14ac:dyDescent="0.25">
      <c r="A2938" s="2" t="s">
        <v>8983</v>
      </c>
      <c r="B2938" s="2" t="s">
        <v>7364</v>
      </c>
      <c r="C2938" s="2" t="s">
        <v>18</v>
      </c>
      <c r="D2938" s="2" t="s">
        <v>43</v>
      </c>
      <c r="E2938" s="2" t="s">
        <v>20</v>
      </c>
      <c r="F2938" s="2" t="s">
        <v>32</v>
      </c>
      <c r="G2938" s="2" t="s">
        <v>22</v>
      </c>
      <c r="H2938" s="2" t="s">
        <v>46</v>
      </c>
      <c r="I2938" s="2" t="s">
        <v>57</v>
      </c>
      <c r="J2938" s="2" t="s">
        <v>2110</v>
      </c>
      <c r="K2938" s="2" t="s">
        <v>6705</v>
      </c>
      <c r="L2938">
        <v>6</v>
      </c>
      <c r="M2938" s="1">
        <v>212000</v>
      </c>
      <c r="N2938">
        <v>2.8</v>
      </c>
      <c r="O2938">
        <v>14</v>
      </c>
      <c r="P2938" s="2" t="s">
        <v>53</v>
      </c>
    </row>
    <row r="2939" spans="1:16" x14ac:dyDescent="0.25">
      <c r="A2939" s="2" t="s">
        <v>8984</v>
      </c>
      <c r="B2939" s="2" t="s">
        <v>5899</v>
      </c>
      <c r="C2939" s="2" t="s">
        <v>18</v>
      </c>
      <c r="D2939" s="2" t="s">
        <v>30</v>
      </c>
      <c r="E2939" s="2" t="s">
        <v>44</v>
      </c>
      <c r="F2939" s="2" t="s">
        <v>39</v>
      </c>
      <c r="G2939" s="2" t="s">
        <v>69</v>
      </c>
      <c r="H2939" s="2" t="s">
        <v>46</v>
      </c>
      <c r="I2939" s="2" t="s">
        <v>24</v>
      </c>
      <c r="J2939" s="2" t="s">
        <v>1534</v>
      </c>
      <c r="K2939" s="2" t="s">
        <v>4786</v>
      </c>
      <c r="L2939">
        <v>6</v>
      </c>
      <c r="M2939" s="1">
        <v>140000</v>
      </c>
      <c r="N2939">
        <v>2.1</v>
      </c>
      <c r="O2939">
        <v>5</v>
      </c>
      <c r="P2939" s="2" t="s">
        <v>26</v>
      </c>
    </row>
    <row r="2940" spans="1:16" x14ac:dyDescent="0.25">
      <c r="A2940" s="2" t="s">
        <v>8985</v>
      </c>
      <c r="B2940" s="2" t="s">
        <v>6780</v>
      </c>
      <c r="C2940" s="2" t="s">
        <v>18</v>
      </c>
      <c r="D2940" s="2" t="s">
        <v>43</v>
      </c>
      <c r="E2940" s="2" t="s">
        <v>20</v>
      </c>
      <c r="F2940" s="2" t="s">
        <v>128</v>
      </c>
      <c r="G2940" s="2" t="s">
        <v>33</v>
      </c>
      <c r="H2940" s="2" t="s">
        <v>23</v>
      </c>
      <c r="I2940" s="2" t="s">
        <v>35</v>
      </c>
      <c r="J2940" s="2" t="s">
        <v>4020</v>
      </c>
      <c r="K2940" s="2" t="s">
        <v>4786</v>
      </c>
      <c r="L2940">
        <v>5</v>
      </c>
      <c r="M2940" s="1">
        <v>530000</v>
      </c>
      <c r="N2940">
        <v>4</v>
      </c>
      <c r="O2940">
        <v>5</v>
      </c>
      <c r="P2940" s="2" t="s">
        <v>26</v>
      </c>
    </row>
    <row r="2941" spans="1:16" x14ac:dyDescent="0.25">
      <c r="A2941" s="2" t="s">
        <v>8986</v>
      </c>
      <c r="B2941" s="2" t="s">
        <v>2063</v>
      </c>
      <c r="C2941" s="2" t="s">
        <v>29</v>
      </c>
      <c r="D2941" s="2" t="s">
        <v>30</v>
      </c>
      <c r="E2941" s="2" t="s">
        <v>20</v>
      </c>
      <c r="F2941" s="2" t="s">
        <v>32</v>
      </c>
      <c r="G2941" s="2" t="s">
        <v>33</v>
      </c>
      <c r="H2941" s="2" t="s">
        <v>34</v>
      </c>
      <c r="I2941" s="2" t="s">
        <v>24</v>
      </c>
      <c r="J2941" s="2" t="s">
        <v>6281</v>
      </c>
      <c r="K2941" s="2" t="s">
        <v>4786</v>
      </c>
      <c r="L2941">
        <v>5</v>
      </c>
      <c r="M2941" s="1">
        <v>190000</v>
      </c>
      <c r="N2941">
        <v>2.5</v>
      </c>
      <c r="O2941">
        <v>6</v>
      </c>
      <c r="P2941" s="2" t="s">
        <v>53</v>
      </c>
    </row>
    <row r="2942" spans="1:16" x14ac:dyDescent="0.25">
      <c r="A2942" s="2" t="s">
        <v>8989</v>
      </c>
      <c r="B2942" s="2" t="s">
        <v>1259</v>
      </c>
      <c r="C2942" s="2" t="s">
        <v>29</v>
      </c>
      <c r="D2942" s="2" t="s">
        <v>43</v>
      </c>
      <c r="E2942" s="2" t="s">
        <v>31</v>
      </c>
      <c r="F2942" s="2" t="s">
        <v>39</v>
      </c>
      <c r="G2942" s="2" t="s">
        <v>22</v>
      </c>
      <c r="H2942" s="2" t="s">
        <v>46</v>
      </c>
      <c r="I2942" s="2" t="s">
        <v>24</v>
      </c>
      <c r="J2942" s="2" t="s">
        <v>3314</v>
      </c>
      <c r="K2942" s="2" t="s">
        <v>1095</v>
      </c>
      <c r="L2942">
        <v>6</v>
      </c>
      <c r="M2942" s="1">
        <v>130000</v>
      </c>
      <c r="N2942">
        <v>2</v>
      </c>
      <c r="O2942">
        <v>0</v>
      </c>
      <c r="P2942" s="2" t="s">
        <v>53</v>
      </c>
    </row>
    <row r="2943" spans="1:16" x14ac:dyDescent="0.25">
      <c r="A2943" s="2" t="s">
        <v>8990</v>
      </c>
      <c r="B2943" s="2" t="s">
        <v>2753</v>
      </c>
      <c r="C2943" s="2" t="s">
        <v>18</v>
      </c>
      <c r="D2943" s="2" t="s">
        <v>30</v>
      </c>
      <c r="E2943" s="2" t="s">
        <v>31</v>
      </c>
      <c r="F2943" s="2" t="s">
        <v>21</v>
      </c>
      <c r="G2943" s="2" t="s">
        <v>69</v>
      </c>
      <c r="H2943" s="2" t="s">
        <v>62</v>
      </c>
      <c r="I2943" s="2" t="s">
        <v>24</v>
      </c>
      <c r="J2943" s="2" t="s">
        <v>140</v>
      </c>
      <c r="K2943" s="2" t="s">
        <v>1272</v>
      </c>
      <c r="L2943">
        <v>4</v>
      </c>
      <c r="M2943" s="1">
        <v>719000</v>
      </c>
      <c r="N2943">
        <v>4.5999999999999996</v>
      </c>
      <c r="O2943">
        <v>14</v>
      </c>
      <c r="P2943" s="2" t="s">
        <v>26</v>
      </c>
    </row>
    <row r="2944" spans="1:16" x14ac:dyDescent="0.25">
      <c r="A2944" s="2" t="s">
        <v>8993</v>
      </c>
      <c r="B2944" s="2" t="s">
        <v>5569</v>
      </c>
      <c r="C2944" s="2" t="s">
        <v>29</v>
      </c>
      <c r="D2944" s="2" t="s">
        <v>30</v>
      </c>
      <c r="E2944" s="2" t="s">
        <v>20</v>
      </c>
      <c r="F2944" s="2" t="s">
        <v>128</v>
      </c>
      <c r="G2944" s="2" t="s">
        <v>22</v>
      </c>
      <c r="H2944" s="2" t="s">
        <v>46</v>
      </c>
      <c r="I2944" s="2" t="s">
        <v>24</v>
      </c>
      <c r="J2944" s="2" t="s">
        <v>4181</v>
      </c>
      <c r="K2944" s="2" t="s">
        <v>1272</v>
      </c>
      <c r="L2944">
        <v>2</v>
      </c>
      <c r="M2944" s="1">
        <v>479000</v>
      </c>
      <c r="N2944">
        <v>4</v>
      </c>
      <c r="O2944">
        <v>7</v>
      </c>
      <c r="P2944" s="2" t="s">
        <v>26</v>
      </c>
    </row>
    <row r="2945" spans="1:16" x14ac:dyDescent="0.25">
      <c r="A2945" s="2" t="s">
        <v>8998</v>
      </c>
      <c r="B2945" s="2" t="s">
        <v>7512</v>
      </c>
      <c r="C2945" s="2" t="s">
        <v>18</v>
      </c>
      <c r="D2945" s="2" t="s">
        <v>79</v>
      </c>
      <c r="E2945" s="2" t="s">
        <v>20</v>
      </c>
      <c r="F2945" s="2" t="s">
        <v>32</v>
      </c>
      <c r="G2945" s="2" t="s">
        <v>22</v>
      </c>
      <c r="H2945" s="2" t="s">
        <v>23</v>
      </c>
      <c r="I2945" s="2" t="s">
        <v>57</v>
      </c>
      <c r="J2945" s="2" t="s">
        <v>658</v>
      </c>
      <c r="K2945" s="2" t="s">
        <v>1272</v>
      </c>
      <c r="L2945">
        <v>6</v>
      </c>
      <c r="M2945" s="1">
        <v>247000</v>
      </c>
      <c r="N2945">
        <v>3</v>
      </c>
      <c r="O2945">
        <v>7</v>
      </c>
      <c r="P2945" s="2" t="s">
        <v>26</v>
      </c>
    </row>
    <row r="2946" spans="1:16" x14ac:dyDescent="0.25">
      <c r="A2946" s="2" t="s">
        <v>8999</v>
      </c>
      <c r="B2946" s="2" t="s">
        <v>2485</v>
      </c>
      <c r="C2946" s="2" t="s">
        <v>18</v>
      </c>
      <c r="D2946" s="2" t="s">
        <v>79</v>
      </c>
      <c r="E2946" s="2" t="s">
        <v>20</v>
      </c>
      <c r="F2946" s="2" t="s">
        <v>21</v>
      </c>
      <c r="G2946" s="2" t="s">
        <v>80</v>
      </c>
      <c r="H2946" s="2" t="s">
        <v>23</v>
      </c>
      <c r="I2946" s="2" t="s">
        <v>24</v>
      </c>
      <c r="J2946" s="2" t="s">
        <v>3350</v>
      </c>
      <c r="K2946" s="2" t="s">
        <v>1272</v>
      </c>
      <c r="L2946">
        <v>6</v>
      </c>
      <c r="M2946" s="1">
        <v>874000</v>
      </c>
      <c r="N2946">
        <v>3.8</v>
      </c>
      <c r="O2946">
        <v>6</v>
      </c>
      <c r="P2946" s="2" t="s">
        <v>26</v>
      </c>
    </row>
    <row r="2947" spans="1:16" x14ac:dyDescent="0.25">
      <c r="A2947" s="2" t="s">
        <v>9000</v>
      </c>
      <c r="B2947" s="2" t="s">
        <v>880</v>
      </c>
      <c r="C2947" s="2" t="s">
        <v>18</v>
      </c>
      <c r="D2947" s="2" t="s">
        <v>50</v>
      </c>
      <c r="E2947" s="2" t="s">
        <v>20</v>
      </c>
      <c r="F2947" s="2" t="s">
        <v>32</v>
      </c>
      <c r="G2947" s="2" t="s">
        <v>22</v>
      </c>
      <c r="H2947" s="2" t="s">
        <v>23</v>
      </c>
      <c r="I2947" s="2" t="s">
        <v>57</v>
      </c>
      <c r="J2947" s="2" t="s">
        <v>625</v>
      </c>
      <c r="K2947" s="2" t="s">
        <v>1272</v>
      </c>
      <c r="L2947">
        <v>6</v>
      </c>
      <c r="M2947" s="1">
        <v>258000</v>
      </c>
      <c r="N2947">
        <v>3.2</v>
      </c>
      <c r="O2947">
        <v>5</v>
      </c>
      <c r="P2947" s="2" t="s">
        <v>114</v>
      </c>
    </row>
    <row r="2948" spans="1:16" x14ac:dyDescent="0.25">
      <c r="A2948" s="2" t="s">
        <v>9002</v>
      </c>
      <c r="B2948" s="2" t="s">
        <v>3240</v>
      </c>
      <c r="C2948" s="2" t="s">
        <v>18</v>
      </c>
      <c r="D2948" s="2" t="s">
        <v>79</v>
      </c>
      <c r="E2948" s="2" t="s">
        <v>44</v>
      </c>
      <c r="F2948" s="2" t="s">
        <v>128</v>
      </c>
      <c r="G2948" s="2" t="s">
        <v>22</v>
      </c>
      <c r="H2948" s="2" t="s">
        <v>46</v>
      </c>
      <c r="I2948" s="2" t="s">
        <v>35</v>
      </c>
      <c r="J2948" s="2" t="s">
        <v>6397</v>
      </c>
      <c r="K2948" s="2" t="s">
        <v>224</v>
      </c>
      <c r="L2948">
        <v>6</v>
      </c>
      <c r="M2948" s="1">
        <v>418000</v>
      </c>
      <c r="N2948">
        <v>3.8</v>
      </c>
      <c r="O2948">
        <v>3</v>
      </c>
      <c r="P2948" s="2" t="s">
        <v>53</v>
      </c>
    </row>
    <row r="2949" spans="1:16" x14ac:dyDescent="0.25">
      <c r="A2949" s="2" t="s">
        <v>9003</v>
      </c>
      <c r="B2949" s="2" t="s">
        <v>9004</v>
      </c>
      <c r="C2949" s="2" t="s">
        <v>18</v>
      </c>
      <c r="D2949" s="2" t="s">
        <v>30</v>
      </c>
      <c r="E2949" s="2" t="s">
        <v>20</v>
      </c>
      <c r="F2949" s="2" t="s">
        <v>32</v>
      </c>
      <c r="G2949" s="2" t="s">
        <v>22</v>
      </c>
      <c r="H2949" s="2" t="s">
        <v>23</v>
      </c>
      <c r="I2949" s="2" t="s">
        <v>24</v>
      </c>
      <c r="J2949" s="2" t="s">
        <v>178</v>
      </c>
      <c r="K2949" s="2" t="s">
        <v>6822</v>
      </c>
      <c r="L2949">
        <v>3</v>
      </c>
      <c r="M2949" s="1">
        <v>310000</v>
      </c>
      <c r="N2949">
        <v>4.5999999999999996</v>
      </c>
      <c r="O2949">
        <v>11</v>
      </c>
      <c r="P2949" s="2" t="s">
        <v>53</v>
      </c>
    </row>
    <row r="2950" spans="1:16" x14ac:dyDescent="0.25">
      <c r="A2950" s="2" t="s">
        <v>9005</v>
      </c>
      <c r="B2950" s="2" t="s">
        <v>9006</v>
      </c>
      <c r="C2950" s="2" t="s">
        <v>29</v>
      </c>
      <c r="D2950" s="2" t="s">
        <v>79</v>
      </c>
      <c r="E2950" s="2" t="s">
        <v>44</v>
      </c>
      <c r="F2950" s="2" t="s">
        <v>128</v>
      </c>
      <c r="G2950" s="2" t="s">
        <v>33</v>
      </c>
      <c r="H2950" s="2" t="s">
        <v>34</v>
      </c>
      <c r="I2950" s="2" t="s">
        <v>35</v>
      </c>
      <c r="J2950" s="2" t="s">
        <v>9007</v>
      </c>
      <c r="K2950" s="2" t="s">
        <v>2941</v>
      </c>
      <c r="L2950">
        <v>4</v>
      </c>
      <c r="M2950" s="1">
        <v>400000</v>
      </c>
      <c r="N2950">
        <v>4.2</v>
      </c>
      <c r="O2950">
        <v>21</v>
      </c>
      <c r="P2950" s="2" t="s">
        <v>26</v>
      </c>
    </row>
    <row r="2951" spans="1:16" x14ac:dyDescent="0.25">
      <c r="A2951" s="2" t="s">
        <v>9008</v>
      </c>
      <c r="B2951" s="2" t="s">
        <v>3017</v>
      </c>
      <c r="C2951" s="2" t="s">
        <v>18</v>
      </c>
      <c r="D2951" s="2" t="s">
        <v>50</v>
      </c>
      <c r="E2951" s="2" t="s">
        <v>20</v>
      </c>
      <c r="F2951" s="2" t="s">
        <v>21</v>
      </c>
      <c r="G2951" s="2" t="s">
        <v>22</v>
      </c>
      <c r="H2951" s="2" t="s">
        <v>62</v>
      </c>
      <c r="I2951" s="2" t="s">
        <v>24</v>
      </c>
      <c r="J2951" s="2" t="s">
        <v>8166</v>
      </c>
      <c r="K2951" s="2" t="s">
        <v>2941</v>
      </c>
      <c r="L2951">
        <v>5</v>
      </c>
      <c r="M2951" s="1">
        <v>735000</v>
      </c>
      <c r="N2951">
        <v>3.6</v>
      </c>
      <c r="O2951">
        <v>5</v>
      </c>
      <c r="P2951" s="2" t="s">
        <v>26</v>
      </c>
    </row>
    <row r="2952" spans="1:16" x14ac:dyDescent="0.25">
      <c r="A2952" s="2" t="s">
        <v>9010</v>
      </c>
      <c r="B2952" s="2" t="s">
        <v>9011</v>
      </c>
      <c r="C2952" s="2" t="s">
        <v>18</v>
      </c>
      <c r="D2952" s="2" t="s">
        <v>19</v>
      </c>
      <c r="E2952" s="2" t="s">
        <v>20</v>
      </c>
      <c r="F2952" s="2" t="s">
        <v>32</v>
      </c>
      <c r="G2952" s="2" t="s">
        <v>33</v>
      </c>
      <c r="H2952" s="2" t="s">
        <v>23</v>
      </c>
      <c r="I2952" s="2" t="s">
        <v>24</v>
      </c>
      <c r="J2952" s="2" t="s">
        <v>841</v>
      </c>
      <c r="K2952" s="2" t="s">
        <v>2941</v>
      </c>
      <c r="L2952">
        <v>2</v>
      </c>
      <c r="M2952" s="1">
        <v>285000</v>
      </c>
      <c r="N2952">
        <v>3.8</v>
      </c>
      <c r="O2952">
        <v>6</v>
      </c>
      <c r="P2952" s="2" t="s">
        <v>72</v>
      </c>
    </row>
    <row r="2953" spans="1:16" x14ac:dyDescent="0.25">
      <c r="A2953" s="2" t="s">
        <v>9012</v>
      </c>
      <c r="B2953" s="2" t="s">
        <v>7160</v>
      </c>
      <c r="C2953" s="2" t="s">
        <v>18</v>
      </c>
      <c r="D2953" s="2" t="s">
        <v>50</v>
      </c>
      <c r="E2953" s="2" t="s">
        <v>20</v>
      </c>
      <c r="F2953" s="2" t="s">
        <v>21</v>
      </c>
      <c r="G2953" s="2" t="s">
        <v>33</v>
      </c>
      <c r="H2953" s="2" t="s">
        <v>23</v>
      </c>
      <c r="I2953" s="2" t="s">
        <v>24</v>
      </c>
      <c r="J2953" s="2" t="s">
        <v>5806</v>
      </c>
      <c r="K2953" s="2" t="s">
        <v>9029</v>
      </c>
      <c r="L2953">
        <v>4</v>
      </c>
      <c r="M2953" s="1">
        <v>877000</v>
      </c>
      <c r="N2953">
        <v>3.2</v>
      </c>
      <c r="O2953">
        <v>13</v>
      </c>
      <c r="P2953" s="2" t="s">
        <v>26</v>
      </c>
    </row>
    <row r="2954" spans="1:16" x14ac:dyDescent="0.25">
      <c r="A2954" s="2" t="s">
        <v>5161</v>
      </c>
      <c r="B2954" s="2" t="s">
        <v>3414</v>
      </c>
      <c r="C2954" s="2" t="s">
        <v>18</v>
      </c>
      <c r="D2954" s="2" t="s">
        <v>61</v>
      </c>
      <c r="E2954" s="2" t="s">
        <v>20</v>
      </c>
      <c r="F2954" s="2" t="s">
        <v>128</v>
      </c>
      <c r="G2954" s="2" t="s">
        <v>80</v>
      </c>
      <c r="H2954" s="2" t="s">
        <v>46</v>
      </c>
      <c r="I2954" s="2" t="s">
        <v>35</v>
      </c>
      <c r="J2954" s="2" t="s">
        <v>2905</v>
      </c>
      <c r="K2954" s="2" t="s">
        <v>9029</v>
      </c>
      <c r="L2954">
        <v>6</v>
      </c>
      <c r="M2954" s="1">
        <v>554000</v>
      </c>
      <c r="N2954">
        <v>4.8</v>
      </c>
      <c r="O2954">
        <v>5</v>
      </c>
      <c r="P2954" s="2" t="s">
        <v>26</v>
      </c>
    </row>
    <row r="2955" spans="1:16" x14ac:dyDescent="0.25">
      <c r="A2955" s="2" t="s">
        <v>9013</v>
      </c>
      <c r="B2955" s="2" t="s">
        <v>4517</v>
      </c>
      <c r="C2955" s="2" t="s">
        <v>29</v>
      </c>
      <c r="D2955" s="2" t="s">
        <v>19</v>
      </c>
      <c r="E2955" s="2" t="s">
        <v>20</v>
      </c>
      <c r="F2955" s="2" t="s">
        <v>32</v>
      </c>
      <c r="G2955" s="2" t="s">
        <v>22</v>
      </c>
      <c r="H2955" s="2" t="s">
        <v>23</v>
      </c>
      <c r="I2955" s="2" t="s">
        <v>35</v>
      </c>
      <c r="J2955" s="2" t="s">
        <v>1397</v>
      </c>
      <c r="K2955" s="2" t="s">
        <v>9029</v>
      </c>
      <c r="L2955">
        <v>7</v>
      </c>
      <c r="M2955" s="1">
        <v>206000</v>
      </c>
      <c r="N2955">
        <v>3.6</v>
      </c>
      <c r="O2955">
        <v>6</v>
      </c>
      <c r="P2955" s="2" t="s">
        <v>26</v>
      </c>
    </row>
    <row r="2956" spans="1:16" x14ac:dyDescent="0.25">
      <c r="A2956" s="2" t="s">
        <v>9014</v>
      </c>
      <c r="B2956" s="2" t="s">
        <v>9015</v>
      </c>
      <c r="C2956" s="2" t="s">
        <v>29</v>
      </c>
      <c r="D2956" s="2" t="s">
        <v>50</v>
      </c>
      <c r="E2956" s="2" t="s">
        <v>31</v>
      </c>
      <c r="F2956" s="2" t="s">
        <v>39</v>
      </c>
      <c r="G2956" s="2" t="s">
        <v>33</v>
      </c>
      <c r="H2956" s="2" t="s">
        <v>23</v>
      </c>
      <c r="I2956" s="2" t="s">
        <v>35</v>
      </c>
      <c r="J2956" s="2" t="s">
        <v>6438</v>
      </c>
      <c r="K2956" s="2" t="s">
        <v>9029</v>
      </c>
      <c r="L2956">
        <v>3</v>
      </c>
      <c r="M2956" s="1">
        <v>86000</v>
      </c>
      <c r="N2956">
        <v>2.7</v>
      </c>
      <c r="O2956">
        <v>1</v>
      </c>
      <c r="P2956" s="2" t="s">
        <v>26</v>
      </c>
    </row>
    <row r="2957" spans="1:16" x14ac:dyDescent="0.25">
      <c r="A2957" s="2" t="s">
        <v>9016</v>
      </c>
      <c r="B2957" s="2" t="s">
        <v>9004</v>
      </c>
      <c r="C2957" s="2" t="s">
        <v>18</v>
      </c>
      <c r="D2957" s="2" t="s">
        <v>43</v>
      </c>
      <c r="E2957" s="2" t="s">
        <v>20</v>
      </c>
      <c r="F2957" s="2" t="s">
        <v>128</v>
      </c>
      <c r="G2957" s="2" t="s">
        <v>80</v>
      </c>
      <c r="H2957" s="2" t="s">
        <v>23</v>
      </c>
      <c r="I2957" s="2" t="s">
        <v>57</v>
      </c>
      <c r="J2957" s="2" t="s">
        <v>3821</v>
      </c>
      <c r="K2957" s="2" t="s">
        <v>9029</v>
      </c>
      <c r="L2957">
        <v>5</v>
      </c>
      <c r="M2957" s="1">
        <v>353000</v>
      </c>
      <c r="N2957">
        <v>4.3</v>
      </c>
      <c r="O2957">
        <v>32</v>
      </c>
      <c r="P2957" s="2" t="s">
        <v>26</v>
      </c>
    </row>
    <row r="2958" spans="1:16" x14ac:dyDescent="0.25">
      <c r="A2958" s="2" t="s">
        <v>9017</v>
      </c>
      <c r="B2958" s="2" t="s">
        <v>9018</v>
      </c>
      <c r="C2958" s="2" t="s">
        <v>18</v>
      </c>
      <c r="D2958" s="2" t="s">
        <v>50</v>
      </c>
      <c r="E2958" s="2" t="s">
        <v>20</v>
      </c>
      <c r="F2958" s="2" t="s">
        <v>21</v>
      </c>
      <c r="G2958" s="2" t="s">
        <v>22</v>
      </c>
      <c r="H2958" s="2" t="s">
        <v>34</v>
      </c>
      <c r="I2958" s="2" t="s">
        <v>57</v>
      </c>
      <c r="J2958" s="2" t="s">
        <v>9019</v>
      </c>
      <c r="K2958" s="2" t="s">
        <v>9029</v>
      </c>
      <c r="L2958">
        <v>2</v>
      </c>
      <c r="M2958" s="1">
        <v>883000</v>
      </c>
      <c r="N2958">
        <v>4.7</v>
      </c>
      <c r="O2958">
        <v>11</v>
      </c>
      <c r="P2958" s="2" t="s">
        <v>26</v>
      </c>
    </row>
    <row r="2959" spans="1:16" x14ac:dyDescent="0.25">
      <c r="A2959" s="2" t="s">
        <v>9020</v>
      </c>
      <c r="B2959" s="2" t="s">
        <v>5019</v>
      </c>
      <c r="C2959" s="2" t="s">
        <v>18</v>
      </c>
      <c r="D2959" s="2" t="s">
        <v>50</v>
      </c>
      <c r="E2959" s="2" t="s">
        <v>44</v>
      </c>
      <c r="F2959" s="2" t="s">
        <v>32</v>
      </c>
      <c r="G2959" s="2" t="s">
        <v>33</v>
      </c>
      <c r="H2959" s="2" t="s">
        <v>34</v>
      </c>
      <c r="I2959" s="2" t="s">
        <v>24</v>
      </c>
      <c r="J2959" s="2" t="s">
        <v>1421</v>
      </c>
      <c r="K2959" s="2" t="s">
        <v>9029</v>
      </c>
      <c r="L2959">
        <v>6</v>
      </c>
      <c r="M2959" s="1">
        <v>328000</v>
      </c>
      <c r="N2959">
        <v>2.9</v>
      </c>
      <c r="O2959">
        <v>9</v>
      </c>
      <c r="P2959" s="2" t="s">
        <v>26</v>
      </c>
    </row>
    <row r="2960" spans="1:16" x14ac:dyDescent="0.25">
      <c r="A2960" s="2" t="s">
        <v>9021</v>
      </c>
      <c r="B2960" s="2" t="s">
        <v>675</v>
      </c>
      <c r="C2960" s="2" t="s">
        <v>18</v>
      </c>
      <c r="D2960" s="2" t="s">
        <v>50</v>
      </c>
      <c r="E2960" s="2" t="s">
        <v>20</v>
      </c>
      <c r="F2960" s="2" t="s">
        <v>32</v>
      </c>
      <c r="G2960" s="2" t="s">
        <v>33</v>
      </c>
      <c r="H2960" s="2" t="s">
        <v>23</v>
      </c>
      <c r="I2960" s="2" t="s">
        <v>24</v>
      </c>
      <c r="J2960" s="2" t="s">
        <v>2579</v>
      </c>
      <c r="K2960" s="2" t="s">
        <v>9029</v>
      </c>
      <c r="L2960">
        <v>4</v>
      </c>
      <c r="M2960" s="1">
        <v>268000</v>
      </c>
      <c r="N2960">
        <v>3.9</v>
      </c>
      <c r="O2960">
        <v>7</v>
      </c>
      <c r="P2960" s="2" t="s">
        <v>26</v>
      </c>
    </row>
    <row r="2961" spans="1:16" x14ac:dyDescent="0.25">
      <c r="A2961" s="2" t="s">
        <v>9022</v>
      </c>
      <c r="B2961" s="2" t="s">
        <v>8992</v>
      </c>
      <c r="C2961" s="2" t="s">
        <v>18</v>
      </c>
      <c r="D2961" s="2" t="s">
        <v>50</v>
      </c>
      <c r="E2961" s="2" t="s">
        <v>20</v>
      </c>
      <c r="F2961" s="2" t="s">
        <v>32</v>
      </c>
      <c r="G2961" s="2" t="s">
        <v>80</v>
      </c>
      <c r="H2961" s="2" t="s">
        <v>23</v>
      </c>
      <c r="I2961" s="2" t="s">
        <v>35</v>
      </c>
      <c r="J2961" s="2" t="s">
        <v>4796</v>
      </c>
      <c r="K2961" s="2" t="s">
        <v>9029</v>
      </c>
      <c r="L2961">
        <v>6</v>
      </c>
      <c r="M2961" s="1">
        <v>277000</v>
      </c>
      <c r="N2961">
        <v>2.2999999999999998</v>
      </c>
      <c r="O2961">
        <v>21</v>
      </c>
      <c r="P2961" s="2" t="s">
        <v>26</v>
      </c>
    </row>
    <row r="2962" spans="1:16" x14ac:dyDescent="0.25">
      <c r="A2962" s="2" t="s">
        <v>9023</v>
      </c>
      <c r="B2962" s="2" t="s">
        <v>3586</v>
      </c>
      <c r="C2962" s="2" t="s">
        <v>18</v>
      </c>
      <c r="D2962" s="2" t="s">
        <v>30</v>
      </c>
      <c r="E2962" s="2" t="s">
        <v>31</v>
      </c>
      <c r="F2962" s="2" t="s">
        <v>32</v>
      </c>
      <c r="G2962" s="2" t="s">
        <v>80</v>
      </c>
      <c r="H2962" s="2" t="s">
        <v>23</v>
      </c>
      <c r="I2962" s="2" t="s">
        <v>57</v>
      </c>
      <c r="J2962" s="2" t="s">
        <v>3434</v>
      </c>
      <c r="K2962" s="2" t="s">
        <v>9029</v>
      </c>
      <c r="L2962">
        <v>6</v>
      </c>
      <c r="M2962" s="1">
        <v>314000</v>
      </c>
      <c r="N2962">
        <v>3.9</v>
      </c>
      <c r="O2962">
        <v>2</v>
      </c>
      <c r="P2962" s="2" t="s">
        <v>26</v>
      </c>
    </row>
    <row r="2963" spans="1:16" x14ac:dyDescent="0.25">
      <c r="A2963" s="2" t="s">
        <v>9024</v>
      </c>
      <c r="B2963" s="2" t="s">
        <v>3255</v>
      </c>
      <c r="C2963" s="2" t="s">
        <v>18</v>
      </c>
      <c r="D2963" s="2" t="s">
        <v>79</v>
      </c>
      <c r="E2963" s="2" t="s">
        <v>20</v>
      </c>
      <c r="F2963" s="2" t="s">
        <v>39</v>
      </c>
      <c r="G2963" s="2" t="s">
        <v>22</v>
      </c>
      <c r="H2963" s="2" t="s">
        <v>23</v>
      </c>
      <c r="I2963" s="2" t="s">
        <v>24</v>
      </c>
      <c r="J2963" s="2" t="s">
        <v>2816</v>
      </c>
      <c r="K2963" s="2" t="s">
        <v>9029</v>
      </c>
      <c r="L2963">
        <v>6</v>
      </c>
      <c r="M2963" s="1">
        <v>150000</v>
      </c>
      <c r="N2963">
        <v>4.5</v>
      </c>
      <c r="O2963">
        <v>10</v>
      </c>
      <c r="P2963" s="2" t="s">
        <v>26</v>
      </c>
    </row>
    <row r="2964" spans="1:16" x14ac:dyDescent="0.25">
      <c r="A2964" s="2" t="s">
        <v>9025</v>
      </c>
      <c r="B2964" s="2" t="s">
        <v>8057</v>
      </c>
      <c r="C2964" s="2" t="s">
        <v>29</v>
      </c>
      <c r="D2964" s="2" t="s">
        <v>19</v>
      </c>
      <c r="E2964" s="2" t="s">
        <v>20</v>
      </c>
      <c r="F2964" s="2" t="s">
        <v>39</v>
      </c>
      <c r="G2964" s="2" t="s">
        <v>33</v>
      </c>
      <c r="H2964" s="2" t="s">
        <v>23</v>
      </c>
      <c r="I2964" s="2" t="s">
        <v>57</v>
      </c>
      <c r="J2964" s="2" t="s">
        <v>904</v>
      </c>
      <c r="K2964" s="2" t="s">
        <v>9029</v>
      </c>
      <c r="L2964">
        <v>4</v>
      </c>
      <c r="M2964" s="1">
        <v>103000</v>
      </c>
      <c r="N2964">
        <v>3.8</v>
      </c>
      <c r="O2964">
        <v>2</v>
      </c>
      <c r="P2964" s="2" t="s">
        <v>26</v>
      </c>
    </row>
    <row r="2965" spans="1:16" x14ac:dyDescent="0.25">
      <c r="A2965" s="2" t="s">
        <v>9026</v>
      </c>
      <c r="B2965" s="2" t="s">
        <v>2515</v>
      </c>
      <c r="C2965" s="2" t="s">
        <v>18</v>
      </c>
      <c r="D2965" s="2" t="s">
        <v>30</v>
      </c>
      <c r="E2965" s="2" t="s">
        <v>20</v>
      </c>
      <c r="F2965" s="2" t="s">
        <v>32</v>
      </c>
      <c r="G2965" s="2" t="s">
        <v>22</v>
      </c>
      <c r="H2965" s="2" t="s">
        <v>23</v>
      </c>
      <c r="I2965" s="2" t="s">
        <v>57</v>
      </c>
      <c r="J2965" s="2" t="s">
        <v>6052</v>
      </c>
      <c r="K2965" s="2" t="s">
        <v>9029</v>
      </c>
      <c r="L2965">
        <v>4</v>
      </c>
      <c r="M2965" s="1">
        <v>309000</v>
      </c>
      <c r="N2965">
        <v>4.5</v>
      </c>
      <c r="O2965">
        <v>5</v>
      </c>
      <c r="P2965" s="2" t="s">
        <v>26</v>
      </c>
    </row>
    <row r="2966" spans="1:16" x14ac:dyDescent="0.25">
      <c r="A2966" s="2" t="s">
        <v>9027</v>
      </c>
      <c r="B2966" s="2" t="s">
        <v>9028</v>
      </c>
      <c r="C2966" s="2" t="s">
        <v>18</v>
      </c>
      <c r="D2966" s="2" t="s">
        <v>19</v>
      </c>
      <c r="E2966" s="2" t="s">
        <v>44</v>
      </c>
      <c r="F2966" s="2" t="s">
        <v>39</v>
      </c>
      <c r="G2966" s="2" t="s">
        <v>22</v>
      </c>
      <c r="H2966" s="2" t="s">
        <v>62</v>
      </c>
      <c r="I2966" s="2" t="s">
        <v>35</v>
      </c>
      <c r="J2966" s="2" t="s">
        <v>2031</v>
      </c>
      <c r="K2966" s="2" t="s">
        <v>9029</v>
      </c>
      <c r="L2966">
        <v>5</v>
      </c>
      <c r="M2966" s="1">
        <v>169000</v>
      </c>
      <c r="N2966">
        <v>2.2999999999999998</v>
      </c>
      <c r="O2966">
        <v>11</v>
      </c>
      <c r="P2966" s="2" t="s">
        <v>53</v>
      </c>
    </row>
    <row r="2967" spans="1:16" x14ac:dyDescent="0.25">
      <c r="A2967" s="2" t="s">
        <v>9030</v>
      </c>
      <c r="B2967" s="2" t="s">
        <v>9031</v>
      </c>
      <c r="C2967" s="2" t="s">
        <v>18</v>
      </c>
      <c r="D2967" s="2" t="s">
        <v>30</v>
      </c>
      <c r="E2967" s="2" t="s">
        <v>20</v>
      </c>
      <c r="F2967" s="2" t="s">
        <v>39</v>
      </c>
      <c r="G2967" s="2" t="s">
        <v>22</v>
      </c>
      <c r="H2967" s="2" t="s">
        <v>23</v>
      </c>
      <c r="I2967" s="2" t="s">
        <v>171</v>
      </c>
      <c r="J2967" s="2" t="s">
        <v>4483</v>
      </c>
      <c r="K2967" s="2" t="s">
        <v>5302</v>
      </c>
      <c r="L2967">
        <v>7</v>
      </c>
      <c r="M2967" s="1">
        <v>158000</v>
      </c>
      <c r="N2967">
        <v>3.2</v>
      </c>
      <c r="O2967">
        <v>7</v>
      </c>
      <c r="P2967" s="2" t="s">
        <v>26</v>
      </c>
    </row>
    <row r="2968" spans="1:16" x14ac:dyDescent="0.25">
      <c r="A2968" s="2" t="s">
        <v>9032</v>
      </c>
      <c r="B2968" s="2" t="s">
        <v>5774</v>
      </c>
      <c r="C2968" s="2" t="s">
        <v>18</v>
      </c>
      <c r="D2968" s="2" t="s">
        <v>30</v>
      </c>
      <c r="E2968" s="2" t="s">
        <v>20</v>
      </c>
      <c r="F2968" s="2" t="s">
        <v>128</v>
      </c>
      <c r="G2968" s="2" t="s">
        <v>80</v>
      </c>
      <c r="H2968" s="2" t="s">
        <v>23</v>
      </c>
      <c r="I2968" s="2" t="s">
        <v>24</v>
      </c>
      <c r="J2968" s="2" t="s">
        <v>3291</v>
      </c>
      <c r="K2968" s="2" t="s">
        <v>5302</v>
      </c>
      <c r="L2968">
        <v>7</v>
      </c>
      <c r="M2968" s="1">
        <v>437000</v>
      </c>
      <c r="N2968">
        <v>4.2</v>
      </c>
      <c r="O2968">
        <v>4</v>
      </c>
      <c r="P2968" s="2" t="s">
        <v>53</v>
      </c>
    </row>
    <row r="2969" spans="1:16" x14ac:dyDescent="0.25">
      <c r="A2969" s="2" t="s">
        <v>9033</v>
      </c>
      <c r="B2969" s="2" t="s">
        <v>2641</v>
      </c>
      <c r="C2969" s="2" t="s">
        <v>29</v>
      </c>
      <c r="D2969" s="2" t="s">
        <v>19</v>
      </c>
      <c r="E2969" s="2" t="s">
        <v>20</v>
      </c>
      <c r="F2969" s="2" t="s">
        <v>39</v>
      </c>
      <c r="G2969" s="2" t="s">
        <v>80</v>
      </c>
      <c r="H2969" s="2" t="s">
        <v>23</v>
      </c>
      <c r="I2969" s="2" t="s">
        <v>24</v>
      </c>
      <c r="J2969" s="2" t="s">
        <v>3640</v>
      </c>
      <c r="K2969" s="2" t="s">
        <v>2963</v>
      </c>
      <c r="L2969">
        <v>4</v>
      </c>
      <c r="M2969" s="1">
        <v>169000</v>
      </c>
      <c r="N2969">
        <v>4.2</v>
      </c>
      <c r="O2969">
        <v>0</v>
      </c>
      <c r="P2969" s="2" t="s">
        <v>26</v>
      </c>
    </row>
    <row r="2970" spans="1:16" x14ac:dyDescent="0.25">
      <c r="A2970" s="2" t="s">
        <v>9034</v>
      </c>
      <c r="B2970" s="2" t="s">
        <v>3005</v>
      </c>
      <c r="C2970" s="2" t="s">
        <v>18</v>
      </c>
      <c r="D2970" s="2" t="s">
        <v>43</v>
      </c>
      <c r="E2970" s="2" t="s">
        <v>44</v>
      </c>
      <c r="F2970" s="2" t="s">
        <v>32</v>
      </c>
      <c r="G2970" s="2" t="s">
        <v>22</v>
      </c>
      <c r="H2970" s="2" t="s">
        <v>46</v>
      </c>
      <c r="I2970" s="2" t="s">
        <v>57</v>
      </c>
      <c r="J2970" s="2" t="s">
        <v>769</v>
      </c>
      <c r="K2970" s="2" t="s">
        <v>2963</v>
      </c>
      <c r="L2970">
        <v>4</v>
      </c>
      <c r="M2970" s="1">
        <v>251000</v>
      </c>
      <c r="N2970">
        <v>4.0999999999999996</v>
      </c>
      <c r="O2970">
        <v>0</v>
      </c>
      <c r="P2970" s="2" t="s">
        <v>26</v>
      </c>
    </row>
    <row r="2971" spans="1:16" x14ac:dyDescent="0.25">
      <c r="A2971" s="2" t="s">
        <v>9035</v>
      </c>
      <c r="B2971" s="2" t="s">
        <v>5401</v>
      </c>
      <c r="C2971" s="2" t="s">
        <v>18</v>
      </c>
      <c r="D2971" s="2" t="s">
        <v>43</v>
      </c>
      <c r="E2971" s="2" t="s">
        <v>44</v>
      </c>
      <c r="F2971" s="2" t="s">
        <v>21</v>
      </c>
      <c r="G2971" s="2" t="s">
        <v>33</v>
      </c>
      <c r="H2971" s="2" t="s">
        <v>62</v>
      </c>
      <c r="I2971" s="2" t="s">
        <v>24</v>
      </c>
      <c r="J2971" s="2" t="s">
        <v>5720</v>
      </c>
      <c r="K2971" s="2" t="s">
        <v>2963</v>
      </c>
      <c r="L2971">
        <v>5</v>
      </c>
      <c r="M2971" s="1">
        <v>629000</v>
      </c>
      <c r="N2971">
        <v>4.0999999999999996</v>
      </c>
      <c r="O2971">
        <v>2</v>
      </c>
      <c r="P2971" s="2" t="s">
        <v>26</v>
      </c>
    </row>
    <row r="2972" spans="1:16" x14ac:dyDescent="0.25">
      <c r="A2972" s="2" t="s">
        <v>9036</v>
      </c>
      <c r="B2972" s="2" t="s">
        <v>7617</v>
      </c>
      <c r="C2972" s="2" t="s">
        <v>18</v>
      </c>
      <c r="D2972" s="2" t="s">
        <v>19</v>
      </c>
      <c r="E2972" s="2" t="s">
        <v>20</v>
      </c>
      <c r="F2972" s="2" t="s">
        <v>39</v>
      </c>
      <c r="G2972" s="2" t="s">
        <v>33</v>
      </c>
      <c r="H2972" s="2" t="s">
        <v>62</v>
      </c>
      <c r="I2972" s="2" t="s">
        <v>75</v>
      </c>
      <c r="J2972" s="2" t="s">
        <v>4461</v>
      </c>
      <c r="K2972" s="2" t="s">
        <v>2963</v>
      </c>
      <c r="L2972">
        <v>6</v>
      </c>
      <c r="M2972" s="1">
        <v>198000</v>
      </c>
      <c r="N2972">
        <v>3.9</v>
      </c>
      <c r="O2972">
        <v>3</v>
      </c>
      <c r="P2972" s="2" t="s">
        <v>26</v>
      </c>
    </row>
    <row r="2973" spans="1:16" x14ac:dyDescent="0.25">
      <c r="A2973" s="2" t="s">
        <v>9038</v>
      </c>
      <c r="B2973" s="2" t="s">
        <v>9039</v>
      </c>
      <c r="C2973" s="2" t="s">
        <v>29</v>
      </c>
      <c r="D2973" s="2" t="s">
        <v>50</v>
      </c>
      <c r="E2973" s="2" t="s">
        <v>31</v>
      </c>
      <c r="F2973" s="2" t="s">
        <v>39</v>
      </c>
      <c r="G2973" s="2" t="s">
        <v>22</v>
      </c>
      <c r="H2973" s="2" t="s">
        <v>34</v>
      </c>
      <c r="I2973" s="2" t="s">
        <v>35</v>
      </c>
      <c r="J2973" s="2" t="s">
        <v>9040</v>
      </c>
      <c r="K2973" s="2" t="s">
        <v>2963</v>
      </c>
      <c r="L2973">
        <v>4</v>
      </c>
      <c r="M2973" s="1">
        <v>100000</v>
      </c>
      <c r="N2973">
        <v>3.8</v>
      </c>
      <c r="O2973">
        <v>6</v>
      </c>
      <c r="P2973" s="2" t="s">
        <v>26</v>
      </c>
    </row>
    <row r="2974" spans="1:16" x14ac:dyDescent="0.25">
      <c r="A2974" s="2" t="s">
        <v>9041</v>
      </c>
      <c r="B2974" s="2" t="s">
        <v>8786</v>
      </c>
      <c r="C2974" s="2" t="s">
        <v>29</v>
      </c>
      <c r="D2974" s="2" t="s">
        <v>19</v>
      </c>
      <c r="E2974" s="2" t="s">
        <v>20</v>
      </c>
      <c r="F2974" s="2" t="s">
        <v>21</v>
      </c>
      <c r="G2974" s="2" t="s">
        <v>80</v>
      </c>
      <c r="H2974" s="2" t="s">
        <v>23</v>
      </c>
      <c r="I2974" s="2" t="s">
        <v>35</v>
      </c>
      <c r="J2974" s="2" t="s">
        <v>5302</v>
      </c>
      <c r="K2974" s="2" t="s">
        <v>2963</v>
      </c>
      <c r="L2974">
        <v>3</v>
      </c>
      <c r="M2974" s="1">
        <v>1045000</v>
      </c>
      <c r="N2974">
        <v>4.5999999999999996</v>
      </c>
      <c r="O2974">
        <v>3</v>
      </c>
      <c r="P2974" s="2" t="s">
        <v>26</v>
      </c>
    </row>
    <row r="2975" spans="1:16" x14ac:dyDescent="0.25">
      <c r="A2975" s="2" t="s">
        <v>9042</v>
      </c>
      <c r="B2975" s="2" t="s">
        <v>9043</v>
      </c>
      <c r="C2975" s="2" t="s">
        <v>18</v>
      </c>
      <c r="D2975" s="2" t="s">
        <v>30</v>
      </c>
      <c r="E2975" s="2" t="s">
        <v>31</v>
      </c>
      <c r="F2975" s="2" t="s">
        <v>39</v>
      </c>
      <c r="G2975" s="2" t="s">
        <v>22</v>
      </c>
      <c r="H2975" s="2" t="s">
        <v>46</v>
      </c>
      <c r="I2975" s="2" t="s">
        <v>35</v>
      </c>
      <c r="J2975" s="2" t="s">
        <v>3643</v>
      </c>
      <c r="K2975" s="2" t="s">
        <v>2963</v>
      </c>
      <c r="L2975">
        <v>6</v>
      </c>
      <c r="M2975" s="1">
        <v>165000</v>
      </c>
      <c r="N2975">
        <v>2.9</v>
      </c>
      <c r="O2975">
        <v>12</v>
      </c>
      <c r="P2975" s="2" t="s">
        <v>26</v>
      </c>
    </row>
    <row r="2976" spans="1:16" x14ac:dyDescent="0.25">
      <c r="A2976" s="2" t="s">
        <v>9044</v>
      </c>
      <c r="B2976" s="2" t="s">
        <v>1705</v>
      </c>
      <c r="C2976" s="2" t="s">
        <v>18</v>
      </c>
      <c r="D2976" s="2" t="s">
        <v>30</v>
      </c>
      <c r="E2976" s="2" t="s">
        <v>20</v>
      </c>
      <c r="F2976" s="2" t="s">
        <v>32</v>
      </c>
      <c r="G2976" s="2" t="s">
        <v>22</v>
      </c>
      <c r="H2976" s="2" t="s">
        <v>46</v>
      </c>
      <c r="I2976" s="2" t="s">
        <v>24</v>
      </c>
      <c r="J2976" s="2" t="s">
        <v>549</v>
      </c>
      <c r="K2976" s="2" t="s">
        <v>2963</v>
      </c>
      <c r="L2976">
        <v>5</v>
      </c>
      <c r="M2976" s="1">
        <v>243000</v>
      </c>
      <c r="N2976">
        <v>3.1</v>
      </c>
      <c r="O2976">
        <v>14</v>
      </c>
      <c r="P2976" s="2" t="s">
        <v>26</v>
      </c>
    </row>
    <row r="2977" spans="1:16" x14ac:dyDescent="0.25">
      <c r="A2977" s="2" t="s">
        <v>9045</v>
      </c>
      <c r="B2977" s="2" t="s">
        <v>9046</v>
      </c>
      <c r="C2977" s="2" t="s">
        <v>18</v>
      </c>
      <c r="D2977" s="2" t="s">
        <v>50</v>
      </c>
      <c r="E2977" s="2" t="s">
        <v>20</v>
      </c>
      <c r="F2977" s="2" t="s">
        <v>21</v>
      </c>
      <c r="G2977" s="2" t="s">
        <v>22</v>
      </c>
      <c r="H2977" s="2" t="s">
        <v>23</v>
      </c>
      <c r="I2977" s="2" t="s">
        <v>24</v>
      </c>
      <c r="J2977" s="2" t="s">
        <v>1046</v>
      </c>
      <c r="K2977" s="2" t="s">
        <v>2963</v>
      </c>
      <c r="L2977">
        <v>2</v>
      </c>
      <c r="M2977" s="1">
        <v>831000</v>
      </c>
      <c r="N2977">
        <v>3.5</v>
      </c>
      <c r="O2977">
        <v>9</v>
      </c>
      <c r="P2977" s="2" t="s">
        <v>72</v>
      </c>
    </row>
    <row r="2978" spans="1:16" x14ac:dyDescent="0.25">
      <c r="A2978" s="2" t="s">
        <v>9047</v>
      </c>
      <c r="B2978" s="2" t="s">
        <v>4913</v>
      </c>
      <c r="C2978" s="2" t="s">
        <v>29</v>
      </c>
      <c r="D2978" s="2" t="s">
        <v>19</v>
      </c>
      <c r="E2978" s="2" t="s">
        <v>20</v>
      </c>
      <c r="F2978" s="2" t="s">
        <v>128</v>
      </c>
      <c r="G2978" s="2" t="s">
        <v>22</v>
      </c>
      <c r="H2978" s="2" t="s">
        <v>23</v>
      </c>
      <c r="I2978" s="2" t="s">
        <v>57</v>
      </c>
      <c r="J2978" s="2" t="s">
        <v>4642</v>
      </c>
      <c r="K2978" s="2" t="s">
        <v>4360</v>
      </c>
      <c r="L2978">
        <v>5</v>
      </c>
      <c r="M2978" s="1">
        <v>654000</v>
      </c>
      <c r="N2978">
        <v>4.9000000000000004</v>
      </c>
      <c r="O2978">
        <v>10</v>
      </c>
      <c r="P2978" s="2" t="s">
        <v>26</v>
      </c>
    </row>
    <row r="2979" spans="1:16" x14ac:dyDescent="0.25">
      <c r="A2979" s="2" t="s">
        <v>9048</v>
      </c>
      <c r="B2979" s="2" t="s">
        <v>4584</v>
      </c>
      <c r="C2979" s="2" t="s">
        <v>29</v>
      </c>
      <c r="D2979" s="2" t="s">
        <v>79</v>
      </c>
      <c r="E2979" s="2" t="s">
        <v>20</v>
      </c>
      <c r="F2979" s="2" t="s">
        <v>128</v>
      </c>
      <c r="G2979" s="2" t="s">
        <v>22</v>
      </c>
      <c r="H2979" s="2" t="s">
        <v>34</v>
      </c>
      <c r="I2979" s="2" t="s">
        <v>35</v>
      </c>
      <c r="J2979" s="2" t="s">
        <v>6018</v>
      </c>
      <c r="K2979" s="2" t="s">
        <v>4360</v>
      </c>
      <c r="L2979">
        <v>7</v>
      </c>
      <c r="M2979" s="1">
        <v>476000</v>
      </c>
      <c r="N2979">
        <v>4.3</v>
      </c>
      <c r="O2979">
        <v>12</v>
      </c>
      <c r="P2979" s="2" t="s">
        <v>114</v>
      </c>
    </row>
    <row r="2980" spans="1:16" x14ac:dyDescent="0.25">
      <c r="A2980" s="2" t="s">
        <v>9049</v>
      </c>
      <c r="B2980" s="2" t="s">
        <v>9050</v>
      </c>
      <c r="C2980" s="2" t="s">
        <v>29</v>
      </c>
      <c r="D2980" s="2" t="s">
        <v>19</v>
      </c>
      <c r="E2980" s="2" t="s">
        <v>44</v>
      </c>
      <c r="F2980" s="2" t="s">
        <v>32</v>
      </c>
      <c r="G2980" s="2" t="s">
        <v>22</v>
      </c>
      <c r="H2980" s="2" t="s">
        <v>23</v>
      </c>
      <c r="I2980" s="2" t="s">
        <v>24</v>
      </c>
      <c r="J2980" s="2" t="s">
        <v>3539</v>
      </c>
      <c r="K2980" s="2" t="s">
        <v>575</v>
      </c>
      <c r="L2980">
        <v>2</v>
      </c>
      <c r="M2980" s="1">
        <v>337000</v>
      </c>
      <c r="N2980">
        <v>4.3</v>
      </c>
      <c r="O2980">
        <v>4</v>
      </c>
      <c r="P2980" s="2" t="s">
        <v>26</v>
      </c>
    </row>
    <row r="2981" spans="1:16" x14ac:dyDescent="0.25">
      <c r="A2981" s="2" t="s">
        <v>9053</v>
      </c>
      <c r="B2981" s="2" t="s">
        <v>2406</v>
      </c>
      <c r="C2981" s="2" t="s">
        <v>29</v>
      </c>
      <c r="D2981" s="2" t="s">
        <v>30</v>
      </c>
      <c r="E2981" s="2" t="s">
        <v>20</v>
      </c>
      <c r="F2981" s="2" t="s">
        <v>32</v>
      </c>
      <c r="G2981" s="2" t="s">
        <v>80</v>
      </c>
      <c r="H2981" s="2" t="s">
        <v>46</v>
      </c>
      <c r="I2981" s="2" t="s">
        <v>75</v>
      </c>
      <c r="J2981" s="2" t="s">
        <v>4729</v>
      </c>
      <c r="K2981" s="2" t="s">
        <v>575</v>
      </c>
      <c r="L2981">
        <v>3</v>
      </c>
      <c r="M2981" s="1">
        <v>334000</v>
      </c>
      <c r="N2981">
        <v>2.6</v>
      </c>
      <c r="O2981">
        <v>10</v>
      </c>
      <c r="P2981" s="2" t="s">
        <v>72</v>
      </c>
    </row>
    <row r="2982" spans="1:16" x14ac:dyDescent="0.25">
      <c r="A2982" s="2" t="s">
        <v>9054</v>
      </c>
      <c r="B2982" s="2" t="s">
        <v>9055</v>
      </c>
      <c r="C2982" s="2" t="s">
        <v>29</v>
      </c>
      <c r="D2982" s="2" t="s">
        <v>30</v>
      </c>
      <c r="E2982" s="2" t="s">
        <v>44</v>
      </c>
      <c r="F2982" s="2" t="s">
        <v>39</v>
      </c>
      <c r="G2982" s="2" t="s">
        <v>22</v>
      </c>
      <c r="H2982" s="2" t="s">
        <v>46</v>
      </c>
      <c r="I2982" s="2" t="s">
        <v>57</v>
      </c>
      <c r="J2982" s="2" t="s">
        <v>95</v>
      </c>
      <c r="K2982" s="2" t="s">
        <v>2760</v>
      </c>
      <c r="L2982">
        <v>3</v>
      </c>
      <c r="M2982" s="1">
        <v>108000</v>
      </c>
      <c r="N2982">
        <v>2.5</v>
      </c>
      <c r="O2982">
        <v>2</v>
      </c>
      <c r="P2982" s="2" t="s">
        <v>53</v>
      </c>
    </row>
    <row r="2983" spans="1:16" x14ac:dyDescent="0.25">
      <c r="A2983" s="2" t="s">
        <v>9057</v>
      </c>
      <c r="B2983" s="2" t="s">
        <v>6187</v>
      </c>
      <c r="C2983" s="2" t="s">
        <v>29</v>
      </c>
      <c r="D2983" s="2" t="s">
        <v>19</v>
      </c>
      <c r="E2983" s="2" t="s">
        <v>20</v>
      </c>
      <c r="F2983" s="2" t="s">
        <v>39</v>
      </c>
      <c r="G2983" s="2" t="s">
        <v>69</v>
      </c>
      <c r="H2983" s="2" t="s">
        <v>46</v>
      </c>
      <c r="I2983" s="2" t="s">
        <v>24</v>
      </c>
      <c r="J2983" s="2" t="s">
        <v>8442</v>
      </c>
      <c r="K2983" s="2" t="s">
        <v>3774</v>
      </c>
      <c r="L2983">
        <v>5</v>
      </c>
      <c r="M2983" s="1">
        <v>174000</v>
      </c>
      <c r="N2983">
        <v>3.4</v>
      </c>
      <c r="O2983">
        <v>3</v>
      </c>
      <c r="P2983" s="2" t="s">
        <v>26</v>
      </c>
    </row>
    <row r="2984" spans="1:16" x14ac:dyDescent="0.25">
      <c r="A2984" s="2" t="s">
        <v>9059</v>
      </c>
      <c r="B2984" s="2" t="s">
        <v>6712</v>
      </c>
      <c r="C2984" s="2" t="s">
        <v>18</v>
      </c>
      <c r="D2984" s="2" t="s">
        <v>50</v>
      </c>
      <c r="E2984" s="2" t="s">
        <v>44</v>
      </c>
      <c r="F2984" s="2" t="s">
        <v>32</v>
      </c>
      <c r="G2984" s="2" t="s">
        <v>22</v>
      </c>
      <c r="H2984" s="2" t="s">
        <v>23</v>
      </c>
      <c r="I2984" s="2" t="s">
        <v>24</v>
      </c>
      <c r="J2984" s="2" t="s">
        <v>2534</v>
      </c>
      <c r="K2984" s="2" t="s">
        <v>3774</v>
      </c>
      <c r="L2984">
        <v>6</v>
      </c>
      <c r="M2984" s="1">
        <v>276000</v>
      </c>
      <c r="N2984">
        <v>4.9000000000000004</v>
      </c>
      <c r="O2984">
        <v>1</v>
      </c>
      <c r="P2984" s="2" t="s">
        <v>26</v>
      </c>
    </row>
    <row r="2985" spans="1:16" x14ac:dyDescent="0.25">
      <c r="A2985" s="2" t="s">
        <v>9060</v>
      </c>
      <c r="B2985" s="2" t="s">
        <v>4118</v>
      </c>
      <c r="C2985" s="2" t="s">
        <v>18</v>
      </c>
      <c r="D2985" s="2" t="s">
        <v>19</v>
      </c>
      <c r="E2985" s="2" t="s">
        <v>20</v>
      </c>
      <c r="F2985" s="2" t="s">
        <v>128</v>
      </c>
      <c r="G2985" s="2" t="s">
        <v>22</v>
      </c>
      <c r="H2985" s="2" t="s">
        <v>34</v>
      </c>
      <c r="I2985" s="2" t="s">
        <v>24</v>
      </c>
      <c r="J2985" s="2" t="s">
        <v>929</v>
      </c>
      <c r="K2985" s="2" t="s">
        <v>3774</v>
      </c>
      <c r="L2985">
        <v>4</v>
      </c>
      <c r="M2985" s="1">
        <v>611000</v>
      </c>
      <c r="N2985">
        <v>3.8</v>
      </c>
      <c r="O2985">
        <v>7</v>
      </c>
      <c r="P2985" s="2" t="s">
        <v>26</v>
      </c>
    </row>
    <row r="2986" spans="1:16" x14ac:dyDescent="0.25">
      <c r="A2986" s="2" t="s">
        <v>9062</v>
      </c>
      <c r="B2986" s="2" t="s">
        <v>4113</v>
      </c>
      <c r="C2986" s="2" t="s">
        <v>18</v>
      </c>
      <c r="D2986" s="2" t="s">
        <v>79</v>
      </c>
      <c r="E2986" s="2" t="s">
        <v>20</v>
      </c>
      <c r="F2986" s="2" t="s">
        <v>21</v>
      </c>
      <c r="G2986" s="2" t="s">
        <v>22</v>
      </c>
      <c r="H2986" s="2" t="s">
        <v>34</v>
      </c>
      <c r="I2986" s="2" t="s">
        <v>57</v>
      </c>
      <c r="J2986" s="2" t="s">
        <v>3801</v>
      </c>
      <c r="K2986" s="2" t="s">
        <v>3774</v>
      </c>
      <c r="L2986">
        <v>3</v>
      </c>
      <c r="M2986" s="1">
        <v>661000</v>
      </c>
      <c r="N2986">
        <v>4.2</v>
      </c>
      <c r="O2986">
        <v>7</v>
      </c>
      <c r="P2986" s="2" t="s">
        <v>26</v>
      </c>
    </row>
    <row r="2987" spans="1:16" x14ac:dyDescent="0.25">
      <c r="A2987" s="2" t="s">
        <v>9066</v>
      </c>
      <c r="B2987" s="2" t="s">
        <v>2446</v>
      </c>
      <c r="C2987" s="2" t="s">
        <v>29</v>
      </c>
      <c r="D2987" s="2" t="s">
        <v>50</v>
      </c>
      <c r="E2987" s="2" t="s">
        <v>20</v>
      </c>
      <c r="F2987" s="2" t="s">
        <v>21</v>
      </c>
      <c r="G2987" s="2" t="s">
        <v>80</v>
      </c>
      <c r="H2987" s="2" t="s">
        <v>23</v>
      </c>
      <c r="I2987" s="2" t="s">
        <v>35</v>
      </c>
      <c r="J2987" s="2" t="s">
        <v>5760</v>
      </c>
      <c r="K2987" s="2" t="s">
        <v>3774</v>
      </c>
      <c r="L2987">
        <v>3</v>
      </c>
      <c r="M2987" s="1">
        <v>918000</v>
      </c>
      <c r="N2987">
        <v>4.2</v>
      </c>
      <c r="O2987">
        <v>10</v>
      </c>
      <c r="P2987" s="2" t="s">
        <v>53</v>
      </c>
    </row>
    <row r="2988" spans="1:16" x14ac:dyDescent="0.25">
      <c r="A2988" s="2" t="s">
        <v>9067</v>
      </c>
      <c r="B2988" s="2" t="s">
        <v>9068</v>
      </c>
      <c r="C2988" s="2" t="s">
        <v>18</v>
      </c>
      <c r="D2988" s="2" t="s">
        <v>50</v>
      </c>
      <c r="E2988" s="2" t="s">
        <v>44</v>
      </c>
      <c r="F2988" s="2" t="s">
        <v>39</v>
      </c>
      <c r="G2988" s="2" t="s">
        <v>80</v>
      </c>
      <c r="H2988" s="2" t="s">
        <v>46</v>
      </c>
      <c r="I2988" s="2" t="s">
        <v>24</v>
      </c>
      <c r="J2988" s="2" t="s">
        <v>3030</v>
      </c>
      <c r="K2988" s="2" t="s">
        <v>1901</v>
      </c>
      <c r="L2988">
        <v>4</v>
      </c>
      <c r="M2988" s="1">
        <v>114000</v>
      </c>
      <c r="N2988">
        <v>2.6</v>
      </c>
      <c r="O2988">
        <v>14</v>
      </c>
      <c r="P2988" s="2" t="s">
        <v>26</v>
      </c>
    </row>
    <row r="2989" spans="1:16" x14ac:dyDescent="0.25">
      <c r="A2989" s="2" t="s">
        <v>9069</v>
      </c>
      <c r="B2989" s="2" t="s">
        <v>9070</v>
      </c>
      <c r="C2989" s="2" t="s">
        <v>29</v>
      </c>
      <c r="D2989" s="2" t="s">
        <v>43</v>
      </c>
      <c r="E2989" s="2" t="s">
        <v>20</v>
      </c>
      <c r="F2989" s="2" t="s">
        <v>21</v>
      </c>
      <c r="G2989" s="2" t="s">
        <v>22</v>
      </c>
      <c r="H2989" s="2" t="s">
        <v>34</v>
      </c>
      <c r="I2989" s="2" t="s">
        <v>24</v>
      </c>
      <c r="J2989" s="2" t="s">
        <v>3785</v>
      </c>
      <c r="K2989" s="2" t="s">
        <v>1901</v>
      </c>
      <c r="L2989">
        <v>6</v>
      </c>
      <c r="M2989" s="1">
        <v>803000</v>
      </c>
      <c r="N2989">
        <v>3.8</v>
      </c>
      <c r="O2989">
        <v>4</v>
      </c>
      <c r="P2989" s="2" t="s">
        <v>26</v>
      </c>
    </row>
    <row r="2990" spans="1:16" x14ac:dyDescent="0.25">
      <c r="A2990" s="2" t="s">
        <v>9076</v>
      </c>
      <c r="B2990" s="2" t="s">
        <v>2467</v>
      </c>
      <c r="C2990" s="2" t="s">
        <v>18</v>
      </c>
      <c r="D2990" s="2" t="s">
        <v>19</v>
      </c>
      <c r="E2990" s="2" t="s">
        <v>20</v>
      </c>
      <c r="F2990" s="2" t="s">
        <v>32</v>
      </c>
      <c r="G2990" s="2" t="s">
        <v>80</v>
      </c>
      <c r="H2990" s="2" t="s">
        <v>46</v>
      </c>
      <c r="I2990" s="2" t="s">
        <v>24</v>
      </c>
      <c r="J2990" s="2" t="s">
        <v>4414</v>
      </c>
      <c r="K2990" s="2" t="s">
        <v>1901</v>
      </c>
      <c r="L2990">
        <v>3</v>
      </c>
      <c r="M2990" s="1">
        <v>316000</v>
      </c>
      <c r="N2990">
        <v>2.1</v>
      </c>
      <c r="O2990">
        <v>11</v>
      </c>
      <c r="P2990" s="2" t="s">
        <v>26</v>
      </c>
    </row>
    <row r="2991" spans="1:16" x14ac:dyDescent="0.25">
      <c r="A2991" s="2" t="s">
        <v>9077</v>
      </c>
      <c r="B2991" s="2" t="s">
        <v>1473</v>
      </c>
      <c r="C2991" s="2" t="s">
        <v>18</v>
      </c>
      <c r="D2991" s="2" t="s">
        <v>30</v>
      </c>
      <c r="E2991" s="2" t="s">
        <v>44</v>
      </c>
      <c r="F2991" s="2" t="s">
        <v>39</v>
      </c>
      <c r="G2991" s="2" t="s">
        <v>22</v>
      </c>
      <c r="H2991" s="2" t="s">
        <v>46</v>
      </c>
      <c r="I2991" s="2" t="s">
        <v>24</v>
      </c>
      <c r="J2991" s="2" t="s">
        <v>132</v>
      </c>
      <c r="K2991" s="2" t="s">
        <v>1901</v>
      </c>
      <c r="L2991">
        <v>3</v>
      </c>
      <c r="M2991" s="1">
        <v>154000</v>
      </c>
      <c r="N2991">
        <v>3</v>
      </c>
      <c r="O2991">
        <v>3</v>
      </c>
      <c r="P2991" s="2" t="s">
        <v>26</v>
      </c>
    </row>
    <row r="2992" spans="1:16" x14ac:dyDescent="0.25">
      <c r="A2992" s="2" t="s">
        <v>9078</v>
      </c>
      <c r="B2992" s="2" t="s">
        <v>9079</v>
      </c>
      <c r="C2992" s="2" t="s">
        <v>29</v>
      </c>
      <c r="D2992" s="2" t="s">
        <v>50</v>
      </c>
      <c r="E2992" s="2" t="s">
        <v>20</v>
      </c>
      <c r="F2992" s="2" t="s">
        <v>39</v>
      </c>
      <c r="G2992" s="2" t="s">
        <v>22</v>
      </c>
      <c r="H2992" s="2" t="s">
        <v>62</v>
      </c>
      <c r="I2992" s="2" t="s">
        <v>57</v>
      </c>
      <c r="J2992" s="2" t="s">
        <v>2648</v>
      </c>
      <c r="K2992" s="2" t="s">
        <v>1901</v>
      </c>
      <c r="L2992">
        <v>2</v>
      </c>
      <c r="M2992" s="1">
        <v>103000</v>
      </c>
      <c r="N2992">
        <v>2.4</v>
      </c>
      <c r="O2992">
        <v>10</v>
      </c>
      <c r="P2992" s="2" t="s">
        <v>26</v>
      </c>
    </row>
    <row r="2993" spans="1:16" x14ac:dyDescent="0.25">
      <c r="A2993" s="2" t="s">
        <v>9081</v>
      </c>
      <c r="B2993" s="2" t="s">
        <v>6300</v>
      </c>
      <c r="C2993" s="2" t="s">
        <v>18</v>
      </c>
      <c r="D2993" s="2" t="s">
        <v>79</v>
      </c>
      <c r="E2993" s="2" t="s">
        <v>20</v>
      </c>
      <c r="F2993" s="2" t="s">
        <v>21</v>
      </c>
      <c r="G2993" s="2" t="s">
        <v>22</v>
      </c>
      <c r="H2993" s="2" t="s">
        <v>46</v>
      </c>
      <c r="I2993" s="2" t="s">
        <v>24</v>
      </c>
      <c r="J2993" s="2" t="s">
        <v>3350</v>
      </c>
      <c r="K2993" s="2" t="s">
        <v>1901</v>
      </c>
      <c r="L2993">
        <v>6</v>
      </c>
      <c r="M2993" s="1">
        <v>774000</v>
      </c>
      <c r="N2993">
        <v>3.9</v>
      </c>
      <c r="O2993">
        <v>2</v>
      </c>
      <c r="P2993" s="2" t="s">
        <v>26</v>
      </c>
    </row>
    <row r="2994" spans="1:16" x14ac:dyDescent="0.25">
      <c r="A2994" s="2" t="s">
        <v>9082</v>
      </c>
      <c r="B2994" s="2" t="s">
        <v>427</v>
      </c>
      <c r="C2994" s="2" t="s">
        <v>29</v>
      </c>
      <c r="D2994" s="2" t="s">
        <v>43</v>
      </c>
      <c r="E2994" s="2" t="s">
        <v>20</v>
      </c>
      <c r="F2994" s="2" t="s">
        <v>39</v>
      </c>
      <c r="G2994" s="2" t="s">
        <v>22</v>
      </c>
      <c r="H2994" s="2" t="s">
        <v>34</v>
      </c>
      <c r="I2994" s="2" t="s">
        <v>57</v>
      </c>
      <c r="J2994" s="2" t="s">
        <v>709</v>
      </c>
      <c r="K2994" s="2" t="s">
        <v>1901</v>
      </c>
      <c r="L2994">
        <v>3</v>
      </c>
      <c r="M2994" s="1">
        <v>152000</v>
      </c>
      <c r="N2994">
        <v>3.5</v>
      </c>
      <c r="O2994">
        <v>0</v>
      </c>
      <c r="P2994" s="2" t="s">
        <v>26</v>
      </c>
    </row>
    <row r="2995" spans="1:16" x14ac:dyDescent="0.25">
      <c r="A2995" s="2" t="s">
        <v>9083</v>
      </c>
      <c r="B2995" s="2" t="s">
        <v>3080</v>
      </c>
      <c r="C2995" s="2" t="s">
        <v>29</v>
      </c>
      <c r="D2995" s="2" t="s">
        <v>30</v>
      </c>
      <c r="E2995" s="2" t="s">
        <v>20</v>
      </c>
      <c r="F2995" s="2" t="s">
        <v>32</v>
      </c>
      <c r="G2995" s="2" t="s">
        <v>69</v>
      </c>
      <c r="H2995" s="2" t="s">
        <v>34</v>
      </c>
      <c r="I2995" s="2" t="s">
        <v>57</v>
      </c>
      <c r="J2995" s="2" t="s">
        <v>9084</v>
      </c>
      <c r="K2995" s="2" t="s">
        <v>1901</v>
      </c>
      <c r="L2995">
        <v>2</v>
      </c>
      <c r="M2995" s="1">
        <v>335000</v>
      </c>
      <c r="N2995">
        <v>2.7</v>
      </c>
      <c r="O2995">
        <v>5</v>
      </c>
      <c r="P2995" s="2" t="s">
        <v>53</v>
      </c>
    </row>
    <row r="2996" spans="1:16" x14ac:dyDescent="0.25">
      <c r="A2996" s="2" t="s">
        <v>9085</v>
      </c>
      <c r="B2996" s="2" t="s">
        <v>6710</v>
      </c>
      <c r="C2996" s="2" t="s">
        <v>29</v>
      </c>
      <c r="D2996" s="2" t="s">
        <v>50</v>
      </c>
      <c r="E2996" s="2" t="s">
        <v>44</v>
      </c>
      <c r="F2996" s="2" t="s">
        <v>32</v>
      </c>
      <c r="G2996" s="2" t="s">
        <v>80</v>
      </c>
      <c r="H2996" s="2" t="s">
        <v>62</v>
      </c>
      <c r="I2996" s="2" t="s">
        <v>24</v>
      </c>
      <c r="J2996" s="2" t="s">
        <v>8024</v>
      </c>
      <c r="K2996" s="2" t="s">
        <v>9087</v>
      </c>
      <c r="L2996">
        <v>7</v>
      </c>
      <c r="M2996" s="1">
        <v>292000</v>
      </c>
      <c r="N2996">
        <v>4.5999999999999996</v>
      </c>
      <c r="O2996">
        <v>5</v>
      </c>
      <c r="P2996" s="2" t="s">
        <v>26</v>
      </c>
    </row>
    <row r="2997" spans="1:16" x14ac:dyDescent="0.25">
      <c r="A2997" s="2" t="s">
        <v>9086</v>
      </c>
      <c r="B2997" s="2" t="s">
        <v>3633</v>
      </c>
      <c r="C2997" s="2" t="s">
        <v>18</v>
      </c>
      <c r="D2997" s="2" t="s">
        <v>50</v>
      </c>
      <c r="E2997" s="2" t="s">
        <v>20</v>
      </c>
      <c r="F2997" s="2" t="s">
        <v>21</v>
      </c>
      <c r="G2997" s="2" t="s">
        <v>33</v>
      </c>
      <c r="H2997" s="2" t="s">
        <v>34</v>
      </c>
      <c r="I2997" s="2" t="s">
        <v>24</v>
      </c>
      <c r="J2997" s="2" t="s">
        <v>1102</v>
      </c>
      <c r="K2997" s="2" t="s">
        <v>9087</v>
      </c>
      <c r="L2997">
        <v>3</v>
      </c>
      <c r="M2997" s="1">
        <v>903000</v>
      </c>
      <c r="N2997">
        <v>3.9</v>
      </c>
      <c r="O2997">
        <v>8</v>
      </c>
      <c r="P2997" s="2" t="s">
        <v>53</v>
      </c>
    </row>
    <row r="2998" spans="1:16" x14ac:dyDescent="0.25">
      <c r="A2998" s="2" t="s">
        <v>9088</v>
      </c>
      <c r="B2998" s="2" t="s">
        <v>9089</v>
      </c>
      <c r="C2998" s="2" t="s">
        <v>18</v>
      </c>
      <c r="D2998" s="2" t="s">
        <v>79</v>
      </c>
      <c r="E2998" s="2" t="s">
        <v>20</v>
      </c>
      <c r="F2998" s="2" t="s">
        <v>21</v>
      </c>
      <c r="G2998" s="2" t="s">
        <v>69</v>
      </c>
      <c r="H2998" s="2" t="s">
        <v>46</v>
      </c>
      <c r="I2998" s="2" t="s">
        <v>57</v>
      </c>
      <c r="J2998" s="2" t="s">
        <v>5922</v>
      </c>
      <c r="K2998" s="2" t="s">
        <v>6906</v>
      </c>
      <c r="L2998">
        <v>2</v>
      </c>
      <c r="M2998" s="1">
        <v>621000</v>
      </c>
      <c r="N2998">
        <v>4.3</v>
      </c>
      <c r="O2998">
        <v>13</v>
      </c>
      <c r="P2998" s="2" t="s">
        <v>26</v>
      </c>
    </row>
    <row r="2999" spans="1:16" x14ac:dyDescent="0.25">
      <c r="A2999" s="2" t="s">
        <v>9090</v>
      </c>
      <c r="B2999" s="2" t="s">
        <v>7710</v>
      </c>
      <c r="C2999" s="2" t="s">
        <v>29</v>
      </c>
      <c r="D2999" s="2" t="s">
        <v>43</v>
      </c>
      <c r="E2999" s="2" t="s">
        <v>20</v>
      </c>
      <c r="F2999" s="2" t="s">
        <v>39</v>
      </c>
      <c r="G2999" s="2" t="s">
        <v>22</v>
      </c>
      <c r="H2999" s="2" t="s">
        <v>34</v>
      </c>
      <c r="I2999" s="2" t="s">
        <v>75</v>
      </c>
      <c r="J2999" s="2" t="s">
        <v>1347</v>
      </c>
      <c r="K2999" s="2" t="s">
        <v>6906</v>
      </c>
      <c r="L2999">
        <v>5</v>
      </c>
      <c r="M2999" s="1">
        <v>131000</v>
      </c>
      <c r="N2999">
        <v>3.2</v>
      </c>
      <c r="O2999">
        <v>1</v>
      </c>
      <c r="P2999" s="2" t="s">
        <v>26</v>
      </c>
    </row>
    <row r="3000" spans="1:16" x14ac:dyDescent="0.25">
      <c r="A3000" s="2" t="s">
        <v>9091</v>
      </c>
      <c r="B3000" s="2" t="s">
        <v>177</v>
      </c>
      <c r="C3000" s="2" t="s">
        <v>18</v>
      </c>
      <c r="D3000" s="2" t="s">
        <v>43</v>
      </c>
      <c r="E3000" s="2" t="s">
        <v>20</v>
      </c>
      <c r="F3000" s="2" t="s">
        <v>21</v>
      </c>
      <c r="G3000" s="2" t="s">
        <v>69</v>
      </c>
      <c r="H3000" s="2" t="s">
        <v>23</v>
      </c>
      <c r="I3000" s="2" t="s">
        <v>24</v>
      </c>
      <c r="J3000" s="2" t="s">
        <v>8511</v>
      </c>
      <c r="K3000" s="2" t="s">
        <v>6906</v>
      </c>
      <c r="L3000">
        <v>5</v>
      </c>
      <c r="M3000" s="1">
        <v>602000</v>
      </c>
      <c r="N3000">
        <v>4.5999999999999996</v>
      </c>
      <c r="O3000">
        <v>3</v>
      </c>
      <c r="P3000" s="2" t="s">
        <v>26</v>
      </c>
    </row>
    <row r="3001" spans="1:16" x14ac:dyDescent="0.25">
      <c r="A3001" s="2" t="s">
        <v>9096</v>
      </c>
      <c r="B3001" s="2" t="s">
        <v>9097</v>
      </c>
      <c r="C3001" s="2" t="s">
        <v>18</v>
      </c>
      <c r="D3001" s="2" t="s">
        <v>50</v>
      </c>
      <c r="E3001" s="2" t="s">
        <v>20</v>
      </c>
      <c r="F3001" s="2" t="s">
        <v>39</v>
      </c>
      <c r="G3001" s="2" t="s">
        <v>22</v>
      </c>
      <c r="H3001" s="2" t="s">
        <v>46</v>
      </c>
      <c r="I3001" s="2" t="s">
        <v>75</v>
      </c>
      <c r="J3001" s="2" t="s">
        <v>7173</v>
      </c>
      <c r="K3001" s="2" t="s">
        <v>6906</v>
      </c>
      <c r="L3001">
        <v>5</v>
      </c>
      <c r="M3001" s="1">
        <v>165000</v>
      </c>
      <c r="N3001">
        <v>4</v>
      </c>
      <c r="O3001">
        <v>9</v>
      </c>
      <c r="P3001" s="2" t="s">
        <v>114</v>
      </c>
    </row>
    <row r="3002" spans="1:16" x14ac:dyDescent="0.25">
      <c r="A3002" s="2" t="s">
        <v>9098</v>
      </c>
      <c r="B3002" s="2" t="s">
        <v>5730</v>
      </c>
      <c r="C3002" s="2" t="s">
        <v>29</v>
      </c>
      <c r="D3002" s="2" t="s">
        <v>43</v>
      </c>
      <c r="E3002" s="2" t="s">
        <v>44</v>
      </c>
      <c r="F3002" s="2" t="s">
        <v>128</v>
      </c>
      <c r="G3002" s="2" t="s">
        <v>22</v>
      </c>
      <c r="H3002" s="2" t="s">
        <v>34</v>
      </c>
      <c r="I3002" s="2" t="s">
        <v>24</v>
      </c>
      <c r="J3002" s="2" t="s">
        <v>5682</v>
      </c>
      <c r="K3002" s="2" t="s">
        <v>9099</v>
      </c>
      <c r="L3002">
        <v>2</v>
      </c>
      <c r="M3002" s="1">
        <v>350000</v>
      </c>
      <c r="N3002">
        <v>2.4</v>
      </c>
      <c r="O3002">
        <v>18</v>
      </c>
      <c r="P3002" s="2" t="s">
        <v>53</v>
      </c>
    </row>
    <row r="3003" spans="1:16" x14ac:dyDescent="0.25">
      <c r="A3003" s="2" t="s">
        <v>9100</v>
      </c>
      <c r="B3003" s="2" t="s">
        <v>6678</v>
      </c>
      <c r="C3003" s="2" t="s">
        <v>18</v>
      </c>
      <c r="D3003" s="2" t="s">
        <v>79</v>
      </c>
      <c r="E3003" s="2" t="s">
        <v>44</v>
      </c>
      <c r="F3003" s="2" t="s">
        <v>128</v>
      </c>
      <c r="G3003" s="2" t="s">
        <v>22</v>
      </c>
      <c r="H3003" s="2" t="s">
        <v>23</v>
      </c>
      <c r="I3003" s="2" t="s">
        <v>57</v>
      </c>
      <c r="J3003" s="2" t="s">
        <v>901</v>
      </c>
      <c r="K3003" s="2" t="s">
        <v>8140</v>
      </c>
      <c r="L3003">
        <v>6</v>
      </c>
      <c r="M3003" s="1">
        <v>422000</v>
      </c>
      <c r="N3003">
        <v>4.0999999999999996</v>
      </c>
      <c r="O3003">
        <v>7</v>
      </c>
      <c r="P3003" s="2" t="s">
        <v>26</v>
      </c>
    </row>
    <row r="3004" spans="1:16" x14ac:dyDescent="0.25">
      <c r="A3004" s="2" t="s">
        <v>9101</v>
      </c>
      <c r="B3004" s="2" t="s">
        <v>6587</v>
      </c>
      <c r="C3004" s="2" t="s">
        <v>29</v>
      </c>
      <c r="D3004" s="2" t="s">
        <v>79</v>
      </c>
      <c r="E3004" s="2" t="s">
        <v>20</v>
      </c>
      <c r="F3004" s="2" t="s">
        <v>21</v>
      </c>
      <c r="G3004" s="2" t="s">
        <v>69</v>
      </c>
      <c r="H3004" s="2" t="s">
        <v>34</v>
      </c>
      <c r="I3004" s="2" t="s">
        <v>75</v>
      </c>
      <c r="J3004" s="2" t="s">
        <v>7588</v>
      </c>
      <c r="K3004" s="2" t="s">
        <v>8140</v>
      </c>
      <c r="L3004">
        <v>3</v>
      </c>
      <c r="M3004" s="1">
        <v>903000</v>
      </c>
      <c r="N3004">
        <v>4.5999999999999996</v>
      </c>
      <c r="O3004">
        <v>8</v>
      </c>
      <c r="P3004" s="2" t="s">
        <v>26</v>
      </c>
    </row>
    <row r="3005" spans="1:16" x14ac:dyDescent="0.25">
      <c r="A3005" s="2" t="s">
        <v>9102</v>
      </c>
      <c r="B3005" s="2" t="s">
        <v>1753</v>
      </c>
      <c r="C3005" s="2" t="s">
        <v>29</v>
      </c>
      <c r="D3005" s="2" t="s">
        <v>30</v>
      </c>
      <c r="E3005" s="2" t="s">
        <v>20</v>
      </c>
      <c r="F3005" s="2" t="s">
        <v>128</v>
      </c>
      <c r="G3005" s="2" t="s">
        <v>33</v>
      </c>
      <c r="H3005" s="2" t="s">
        <v>23</v>
      </c>
      <c r="I3005" s="2" t="s">
        <v>57</v>
      </c>
      <c r="J3005" s="2" t="s">
        <v>758</v>
      </c>
      <c r="K3005" s="2" t="s">
        <v>8140</v>
      </c>
      <c r="L3005">
        <v>3</v>
      </c>
      <c r="M3005" s="1">
        <v>362000</v>
      </c>
      <c r="N3005">
        <v>3.9</v>
      </c>
      <c r="O3005">
        <v>11</v>
      </c>
      <c r="P3005" s="2" t="s">
        <v>72</v>
      </c>
    </row>
    <row r="3006" spans="1:16" x14ac:dyDescent="0.25">
      <c r="A3006" s="2" t="s">
        <v>9103</v>
      </c>
      <c r="B3006" s="2" t="s">
        <v>6156</v>
      </c>
      <c r="C3006" s="2" t="s">
        <v>29</v>
      </c>
      <c r="D3006" s="2" t="s">
        <v>50</v>
      </c>
      <c r="E3006" s="2" t="s">
        <v>31</v>
      </c>
      <c r="F3006" s="2" t="s">
        <v>32</v>
      </c>
      <c r="G3006" s="2" t="s">
        <v>33</v>
      </c>
      <c r="H3006" s="2" t="s">
        <v>46</v>
      </c>
      <c r="I3006" s="2" t="s">
        <v>24</v>
      </c>
      <c r="J3006" s="2" t="s">
        <v>2518</v>
      </c>
      <c r="K3006" s="2" t="s">
        <v>1821</v>
      </c>
      <c r="L3006">
        <v>4</v>
      </c>
      <c r="M3006" s="1">
        <v>290000</v>
      </c>
      <c r="N3006">
        <v>3.2</v>
      </c>
      <c r="O3006">
        <v>9</v>
      </c>
      <c r="P3006" s="2" t="s">
        <v>26</v>
      </c>
    </row>
    <row r="3007" spans="1:16" x14ac:dyDescent="0.25">
      <c r="A3007" s="2" t="s">
        <v>9104</v>
      </c>
      <c r="B3007" s="2" t="s">
        <v>3586</v>
      </c>
      <c r="C3007" s="2" t="s">
        <v>18</v>
      </c>
      <c r="D3007" s="2" t="s">
        <v>43</v>
      </c>
      <c r="E3007" s="2" t="s">
        <v>20</v>
      </c>
      <c r="F3007" s="2" t="s">
        <v>128</v>
      </c>
      <c r="G3007" s="2" t="s">
        <v>80</v>
      </c>
      <c r="H3007" s="2" t="s">
        <v>34</v>
      </c>
      <c r="I3007" s="2" t="s">
        <v>24</v>
      </c>
      <c r="J3007" s="2" t="s">
        <v>1719</v>
      </c>
      <c r="K3007" s="2" t="s">
        <v>1821</v>
      </c>
      <c r="L3007">
        <v>3</v>
      </c>
      <c r="M3007" s="1">
        <v>408000</v>
      </c>
      <c r="N3007">
        <v>3.7</v>
      </c>
      <c r="O3007">
        <v>11</v>
      </c>
      <c r="P3007" s="2" t="s">
        <v>53</v>
      </c>
    </row>
    <row r="3008" spans="1:16" x14ac:dyDescent="0.25">
      <c r="A3008" s="2" t="s">
        <v>9105</v>
      </c>
      <c r="B3008" s="2" t="s">
        <v>6256</v>
      </c>
      <c r="C3008" s="2" t="s">
        <v>18</v>
      </c>
      <c r="D3008" s="2" t="s">
        <v>43</v>
      </c>
      <c r="E3008" s="2" t="s">
        <v>20</v>
      </c>
      <c r="F3008" s="2" t="s">
        <v>45</v>
      </c>
      <c r="G3008" s="2" t="s">
        <v>33</v>
      </c>
      <c r="H3008" s="2" t="s">
        <v>62</v>
      </c>
      <c r="I3008" s="2" t="s">
        <v>35</v>
      </c>
      <c r="J3008" s="2" t="s">
        <v>4752</v>
      </c>
      <c r="K3008" s="2" t="s">
        <v>1768</v>
      </c>
      <c r="L3008">
        <v>6</v>
      </c>
      <c r="M3008" s="1">
        <v>1541000</v>
      </c>
      <c r="N3008">
        <v>5</v>
      </c>
      <c r="O3008">
        <v>11</v>
      </c>
      <c r="P3008" s="2" t="s">
        <v>26</v>
      </c>
    </row>
    <row r="3009" spans="1:16" x14ac:dyDescent="0.25">
      <c r="A3009" s="2" t="s">
        <v>9106</v>
      </c>
      <c r="B3009" s="2" t="s">
        <v>9107</v>
      </c>
      <c r="C3009" s="2" t="s">
        <v>29</v>
      </c>
      <c r="D3009" s="2" t="s">
        <v>19</v>
      </c>
      <c r="E3009" s="2" t="s">
        <v>44</v>
      </c>
      <c r="F3009" s="2" t="s">
        <v>39</v>
      </c>
      <c r="G3009" s="2" t="s">
        <v>22</v>
      </c>
      <c r="H3009" s="2" t="s">
        <v>23</v>
      </c>
      <c r="I3009" s="2" t="s">
        <v>57</v>
      </c>
      <c r="J3009" s="2" t="s">
        <v>1300</v>
      </c>
      <c r="K3009" s="2" t="s">
        <v>1768</v>
      </c>
      <c r="L3009">
        <v>5</v>
      </c>
      <c r="M3009" s="1">
        <v>132000</v>
      </c>
      <c r="N3009">
        <v>3.8</v>
      </c>
      <c r="O3009">
        <v>12</v>
      </c>
      <c r="P3009" s="2" t="s">
        <v>72</v>
      </c>
    </row>
    <row r="3010" spans="1:16" x14ac:dyDescent="0.25">
      <c r="A3010" s="2" t="s">
        <v>9108</v>
      </c>
      <c r="B3010" s="2" t="s">
        <v>1048</v>
      </c>
      <c r="C3010" s="2" t="s">
        <v>18</v>
      </c>
      <c r="D3010" s="2" t="s">
        <v>43</v>
      </c>
      <c r="E3010" s="2" t="s">
        <v>20</v>
      </c>
      <c r="F3010" s="2" t="s">
        <v>45</v>
      </c>
      <c r="G3010" s="2" t="s">
        <v>80</v>
      </c>
      <c r="H3010" s="2" t="s">
        <v>46</v>
      </c>
      <c r="I3010" s="2" t="s">
        <v>24</v>
      </c>
      <c r="J3010" s="2" t="s">
        <v>4288</v>
      </c>
      <c r="K3010" s="2" t="s">
        <v>103</v>
      </c>
      <c r="L3010">
        <v>5</v>
      </c>
      <c r="M3010" s="1">
        <v>1556000</v>
      </c>
      <c r="N3010">
        <v>4.0999999999999996</v>
      </c>
      <c r="O3010">
        <v>9</v>
      </c>
      <c r="P3010" s="2" t="s">
        <v>26</v>
      </c>
    </row>
    <row r="3011" spans="1:16" x14ac:dyDescent="0.25">
      <c r="A3011" s="2" t="s">
        <v>9109</v>
      </c>
      <c r="B3011" s="2" t="s">
        <v>9110</v>
      </c>
      <c r="C3011" s="2" t="s">
        <v>18</v>
      </c>
      <c r="D3011" s="2" t="s">
        <v>30</v>
      </c>
      <c r="E3011" s="2" t="s">
        <v>20</v>
      </c>
      <c r="F3011" s="2" t="s">
        <v>39</v>
      </c>
      <c r="G3011" s="2" t="s">
        <v>22</v>
      </c>
      <c r="H3011" s="2" t="s">
        <v>23</v>
      </c>
      <c r="I3011" s="2" t="s">
        <v>35</v>
      </c>
      <c r="J3011" s="2" t="s">
        <v>664</v>
      </c>
      <c r="K3011" s="2" t="s">
        <v>103</v>
      </c>
      <c r="L3011">
        <v>3</v>
      </c>
      <c r="M3011" s="1">
        <v>154000</v>
      </c>
      <c r="N3011">
        <v>1.9</v>
      </c>
      <c r="O3011">
        <v>8</v>
      </c>
      <c r="P3011" s="2" t="s">
        <v>26</v>
      </c>
    </row>
    <row r="3012" spans="1:16" x14ac:dyDescent="0.25">
      <c r="A3012" s="2" t="s">
        <v>9114</v>
      </c>
      <c r="B3012" s="2" t="s">
        <v>9115</v>
      </c>
      <c r="C3012" s="2" t="s">
        <v>18</v>
      </c>
      <c r="D3012" s="2" t="s">
        <v>19</v>
      </c>
      <c r="E3012" s="2" t="s">
        <v>31</v>
      </c>
      <c r="F3012" s="2" t="s">
        <v>39</v>
      </c>
      <c r="G3012" s="2" t="s">
        <v>80</v>
      </c>
      <c r="H3012" s="2" t="s">
        <v>23</v>
      </c>
      <c r="I3012" s="2" t="s">
        <v>24</v>
      </c>
      <c r="J3012" s="2" t="s">
        <v>1709</v>
      </c>
      <c r="K3012" s="2" t="s">
        <v>103</v>
      </c>
      <c r="L3012">
        <v>5</v>
      </c>
      <c r="M3012" s="1">
        <v>191000</v>
      </c>
      <c r="N3012">
        <v>3.6</v>
      </c>
      <c r="O3012">
        <v>8</v>
      </c>
      <c r="P3012" s="2" t="s">
        <v>26</v>
      </c>
    </row>
    <row r="3013" spans="1:16" x14ac:dyDescent="0.25">
      <c r="A3013" s="2" t="s">
        <v>9116</v>
      </c>
      <c r="B3013" s="2" t="s">
        <v>3482</v>
      </c>
      <c r="C3013" s="2" t="s">
        <v>18</v>
      </c>
      <c r="D3013" s="2" t="s">
        <v>79</v>
      </c>
      <c r="E3013" s="2" t="s">
        <v>20</v>
      </c>
      <c r="F3013" s="2" t="s">
        <v>32</v>
      </c>
      <c r="G3013" s="2" t="s">
        <v>22</v>
      </c>
      <c r="H3013" s="2" t="s">
        <v>23</v>
      </c>
      <c r="I3013" s="2" t="s">
        <v>24</v>
      </c>
      <c r="J3013" s="2" t="s">
        <v>2453</v>
      </c>
      <c r="K3013" s="2" t="s">
        <v>103</v>
      </c>
      <c r="L3013">
        <v>2</v>
      </c>
      <c r="M3013" s="1">
        <v>295000</v>
      </c>
      <c r="N3013">
        <v>3.1</v>
      </c>
      <c r="O3013">
        <v>4</v>
      </c>
      <c r="P3013" s="2" t="s">
        <v>26</v>
      </c>
    </row>
    <row r="3014" spans="1:16" x14ac:dyDescent="0.25">
      <c r="A3014" s="2" t="s">
        <v>9117</v>
      </c>
      <c r="B3014" s="2" t="s">
        <v>3106</v>
      </c>
      <c r="C3014" s="2" t="s">
        <v>29</v>
      </c>
      <c r="D3014" s="2" t="s">
        <v>185</v>
      </c>
      <c r="E3014" s="2" t="s">
        <v>20</v>
      </c>
      <c r="F3014" s="2" t="s">
        <v>128</v>
      </c>
      <c r="G3014" s="2" t="s">
        <v>33</v>
      </c>
      <c r="H3014" s="2" t="s">
        <v>46</v>
      </c>
      <c r="I3014" s="2" t="s">
        <v>24</v>
      </c>
      <c r="J3014" s="2" t="s">
        <v>4184</v>
      </c>
      <c r="K3014" s="2" t="s">
        <v>103</v>
      </c>
      <c r="L3014">
        <v>3</v>
      </c>
      <c r="M3014" s="1">
        <v>386000</v>
      </c>
      <c r="N3014">
        <v>3.5</v>
      </c>
      <c r="O3014">
        <v>11</v>
      </c>
      <c r="P3014" s="2" t="s">
        <v>26</v>
      </c>
    </row>
    <row r="3015" spans="1:16" x14ac:dyDescent="0.25">
      <c r="A3015" s="2" t="s">
        <v>9123</v>
      </c>
      <c r="B3015" s="2" t="s">
        <v>9124</v>
      </c>
      <c r="C3015" s="2" t="s">
        <v>29</v>
      </c>
      <c r="D3015" s="2" t="s">
        <v>30</v>
      </c>
      <c r="E3015" s="2" t="s">
        <v>20</v>
      </c>
      <c r="F3015" s="2" t="s">
        <v>32</v>
      </c>
      <c r="G3015" s="2" t="s">
        <v>22</v>
      </c>
      <c r="H3015" s="2" t="s">
        <v>34</v>
      </c>
      <c r="I3015" s="2" t="s">
        <v>75</v>
      </c>
      <c r="J3015" s="2" t="s">
        <v>5192</v>
      </c>
      <c r="K3015" s="2" t="s">
        <v>103</v>
      </c>
      <c r="L3015">
        <v>3</v>
      </c>
      <c r="M3015" s="1">
        <v>317000</v>
      </c>
      <c r="N3015">
        <v>2.5</v>
      </c>
      <c r="O3015">
        <v>37</v>
      </c>
      <c r="P3015" s="2" t="s">
        <v>26</v>
      </c>
    </row>
    <row r="3016" spans="1:16" x14ac:dyDescent="0.25">
      <c r="A3016" s="2" t="s">
        <v>9125</v>
      </c>
      <c r="B3016" s="2" t="s">
        <v>1293</v>
      </c>
      <c r="C3016" s="2" t="s">
        <v>29</v>
      </c>
      <c r="D3016" s="2" t="s">
        <v>43</v>
      </c>
      <c r="E3016" s="2" t="s">
        <v>20</v>
      </c>
      <c r="F3016" s="2" t="s">
        <v>45</v>
      </c>
      <c r="G3016" s="2" t="s">
        <v>80</v>
      </c>
      <c r="H3016" s="2" t="s">
        <v>46</v>
      </c>
      <c r="I3016" s="2" t="s">
        <v>24</v>
      </c>
      <c r="J3016" s="2" t="s">
        <v>9095</v>
      </c>
      <c r="K3016" s="2" t="s">
        <v>103</v>
      </c>
      <c r="L3016">
        <v>2</v>
      </c>
      <c r="M3016" s="1">
        <v>1115000</v>
      </c>
      <c r="N3016">
        <v>3.1</v>
      </c>
      <c r="O3016">
        <v>9</v>
      </c>
      <c r="P3016" s="2" t="s">
        <v>26</v>
      </c>
    </row>
    <row r="3017" spans="1:16" x14ac:dyDescent="0.25">
      <c r="A3017" s="2" t="s">
        <v>9126</v>
      </c>
      <c r="B3017" s="2" t="s">
        <v>8413</v>
      </c>
      <c r="C3017" s="2" t="s">
        <v>29</v>
      </c>
      <c r="D3017" s="2" t="s">
        <v>19</v>
      </c>
      <c r="E3017" s="2" t="s">
        <v>20</v>
      </c>
      <c r="F3017" s="2" t="s">
        <v>32</v>
      </c>
      <c r="G3017" s="2" t="s">
        <v>69</v>
      </c>
      <c r="H3017" s="2" t="s">
        <v>34</v>
      </c>
      <c r="I3017" s="2" t="s">
        <v>35</v>
      </c>
      <c r="J3017" s="2" t="s">
        <v>3134</v>
      </c>
      <c r="K3017" s="2" t="s">
        <v>103</v>
      </c>
      <c r="L3017">
        <v>6</v>
      </c>
      <c r="M3017" s="1">
        <v>385000</v>
      </c>
      <c r="N3017">
        <v>4.9000000000000004</v>
      </c>
      <c r="O3017">
        <v>28</v>
      </c>
      <c r="P3017" s="2" t="s">
        <v>26</v>
      </c>
    </row>
    <row r="3018" spans="1:16" x14ac:dyDescent="0.25">
      <c r="A3018" s="2" t="s">
        <v>9129</v>
      </c>
      <c r="B3018" s="2" t="s">
        <v>4447</v>
      </c>
      <c r="C3018" s="2" t="s">
        <v>18</v>
      </c>
      <c r="D3018" s="2" t="s">
        <v>50</v>
      </c>
      <c r="E3018" s="2" t="s">
        <v>44</v>
      </c>
      <c r="F3018" s="2" t="s">
        <v>45</v>
      </c>
      <c r="G3018" s="2" t="s">
        <v>22</v>
      </c>
      <c r="H3018" s="2" t="s">
        <v>46</v>
      </c>
      <c r="I3018" s="2" t="s">
        <v>171</v>
      </c>
      <c r="J3018" s="2" t="s">
        <v>8905</v>
      </c>
      <c r="K3018" s="2" t="s">
        <v>103</v>
      </c>
      <c r="L3018">
        <v>3</v>
      </c>
      <c r="M3018" s="1">
        <v>1395000</v>
      </c>
      <c r="N3018">
        <v>3.7</v>
      </c>
      <c r="O3018">
        <v>14</v>
      </c>
      <c r="P3018" s="2" t="s">
        <v>26</v>
      </c>
    </row>
    <row r="3019" spans="1:16" x14ac:dyDescent="0.25">
      <c r="A3019" s="2" t="s">
        <v>9130</v>
      </c>
      <c r="B3019" s="2" t="s">
        <v>8519</v>
      </c>
      <c r="C3019" s="2" t="s">
        <v>18</v>
      </c>
      <c r="D3019" s="2" t="s">
        <v>79</v>
      </c>
      <c r="E3019" s="2" t="s">
        <v>20</v>
      </c>
      <c r="F3019" s="2" t="s">
        <v>32</v>
      </c>
      <c r="G3019" s="2" t="s">
        <v>80</v>
      </c>
      <c r="H3019" s="2" t="s">
        <v>34</v>
      </c>
      <c r="I3019" s="2" t="s">
        <v>24</v>
      </c>
      <c r="J3019" s="2" t="s">
        <v>2417</v>
      </c>
      <c r="K3019" s="2" t="s">
        <v>103</v>
      </c>
      <c r="L3019">
        <v>3</v>
      </c>
      <c r="M3019" s="1">
        <v>244000</v>
      </c>
      <c r="N3019">
        <v>3.9</v>
      </c>
      <c r="O3019">
        <v>4</v>
      </c>
      <c r="P3019" s="2" t="s">
        <v>72</v>
      </c>
    </row>
    <row r="3020" spans="1:16" x14ac:dyDescent="0.25">
      <c r="A3020" s="2" t="s">
        <v>9131</v>
      </c>
      <c r="B3020" s="2" t="s">
        <v>9132</v>
      </c>
      <c r="C3020" s="2" t="s">
        <v>29</v>
      </c>
      <c r="D3020" s="2" t="s">
        <v>43</v>
      </c>
      <c r="E3020" s="2" t="s">
        <v>20</v>
      </c>
      <c r="F3020" s="2" t="s">
        <v>128</v>
      </c>
      <c r="G3020" s="2" t="s">
        <v>33</v>
      </c>
      <c r="H3020" s="2" t="s">
        <v>23</v>
      </c>
      <c r="I3020" s="2" t="s">
        <v>24</v>
      </c>
      <c r="J3020" s="2" t="s">
        <v>5559</v>
      </c>
      <c r="K3020" s="2" t="s">
        <v>106</v>
      </c>
      <c r="L3020">
        <v>6</v>
      </c>
      <c r="M3020" s="1">
        <v>453000</v>
      </c>
      <c r="N3020">
        <v>2.1</v>
      </c>
      <c r="O3020">
        <v>0</v>
      </c>
      <c r="P3020" s="2" t="s">
        <v>72</v>
      </c>
    </row>
    <row r="3021" spans="1:16" x14ac:dyDescent="0.25">
      <c r="A3021" s="2" t="s">
        <v>9136</v>
      </c>
      <c r="B3021" s="2" t="s">
        <v>7241</v>
      </c>
      <c r="C3021" s="2" t="s">
        <v>18</v>
      </c>
      <c r="D3021" s="2" t="s">
        <v>43</v>
      </c>
      <c r="E3021" s="2" t="s">
        <v>20</v>
      </c>
      <c r="F3021" s="2" t="s">
        <v>21</v>
      </c>
      <c r="G3021" s="2" t="s">
        <v>22</v>
      </c>
      <c r="H3021" s="2" t="s">
        <v>23</v>
      </c>
      <c r="I3021" s="2" t="s">
        <v>57</v>
      </c>
      <c r="J3021" s="2" t="s">
        <v>1951</v>
      </c>
      <c r="K3021" s="2" t="s">
        <v>3097</v>
      </c>
      <c r="L3021">
        <v>6</v>
      </c>
      <c r="M3021" s="1">
        <v>690000</v>
      </c>
      <c r="N3021">
        <v>4.2</v>
      </c>
      <c r="O3021">
        <v>10</v>
      </c>
      <c r="P3021" s="2" t="s">
        <v>26</v>
      </c>
    </row>
    <row r="3022" spans="1:16" x14ac:dyDescent="0.25">
      <c r="A3022" s="2" t="s">
        <v>9137</v>
      </c>
      <c r="B3022" s="2" t="s">
        <v>3029</v>
      </c>
      <c r="C3022" s="2" t="s">
        <v>18</v>
      </c>
      <c r="D3022" s="2" t="s">
        <v>30</v>
      </c>
      <c r="E3022" s="2" t="s">
        <v>20</v>
      </c>
      <c r="F3022" s="2" t="s">
        <v>32</v>
      </c>
      <c r="G3022" s="2" t="s">
        <v>33</v>
      </c>
      <c r="H3022" s="2" t="s">
        <v>23</v>
      </c>
      <c r="I3022" s="2" t="s">
        <v>57</v>
      </c>
      <c r="J3022" s="2" t="s">
        <v>5902</v>
      </c>
      <c r="K3022" s="2" t="s">
        <v>3097</v>
      </c>
      <c r="L3022">
        <v>5</v>
      </c>
      <c r="M3022" s="1">
        <v>275000</v>
      </c>
      <c r="N3022">
        <v>4.0999999999999996</v>
      </c>
      <c r="O3022">
        <v>7</v>
      </c>
      <c r="P3022" s="2" t="s">
        <v>26</v>
      </c>
    </row>
    <row r="3023" spans="1:16" x14ac:dyDescent="0.25">
      <c r="A3023" s="2" t="s">
        <v>9140</v>
      </c>
      <c r="B3023" s="2" t="s">
        <v>1707</v>
      </c>
      <c r="C3023" s="2" t="s">
        <v>18</v>
      </c>
      <c r="D3023" s="2" t="s">
        <v>50</v>
      </c>
      <c r="E3023" s="2" t="s">
        <v>31</v>
      </c>
      <c r="F3023" s="2" t="s">
        <v>39</v>
      </c>
      <c r="G3023" s="2" t="s">
        <v>80</v>
      </c>
      <c r="H3023" s="2" t="s">
        <v>34</v>
      </c>
      <c r="I3023" s="2" t="s">
        <v>57</v>
      </c>
      <c r="J3023" s="2" t="s">
        <v>3889</v>
      </c>
      <c r="K3023" s="2" t="s">
        <v>3097</v>
      </c>
      <c r="L3023">
        <v>6</v>
      </c>
      <c r="M3023" s="1">
        <v>115000</v>
      </c>
      <c r="N3023">
        <v>3.2</v>
      </c>
      <c r="O3023">
        <v>29</v>
      </c>
      <c r="P3023" s="2" t="s">
        <v>26</v>
      </c>
    </row>
    <row r="3024" spans="1:16" x14ac:dyDescent="0.25">
      <c r="A3024" s="2" t="s">
        <v>9141</v>
      </c>
      <c r="B3024" s="2" t="s">
        <v>3976</v>
      </c>
      <c r="C3024" s="2" t="s">
        <v>29</v>
      </c>
      <c r="D3024" s="2" t="s">
        <v>79</v>
      </c>
      <c r="E3024" s="2" t="s">
        <v>20</v>
      </c>
      <c r="F3024" s="2" t="s">
        <v>39</v>
      </c>
      <c r="G3024" s="2" t="s">
        <v>69</v>
      </c>
      <c r="H3024" s="2" t="s">
        <v>23</v>
      </c>
      <c r="I3024" s="2" t="s">
        <v>24</v>
      </c>
      <c r="J3024" s="2" t="s">
        <v>3654</v>
      </c>
      <c r="K3024" s="2" t="s">
        <v>3097</v>
      </c>
      <c r="L3024">
        <v>6</v>
      </c>
      <c r="M3024" s="1">
        <v>118000</v>
      </c>
      <c r="N3024">
        <v>4.9000000000000004</v>
      </c>
      <c r="O3024">
        <v>11</v>
      </c>
      <c r="P3024" s="2" t="s">
        <v>53</v>
      </c>
    </row>
    <row r="3025" spans="1:16" x14ac:dyDescent="0.25">
      <c r="A3025" s="2" t="s">
        <v>9142</v>
      </c>
      <c r="B3025" s="2" t="s">
        <v>6764</v>
      </c>
      <c r="C3025" s="2" t="s">
        <v>29</v>
      </c>
      <c r="D3025" s="2" t="s">
        <v>79</v>
      </c>
      <c r="E3025" s="2" t="s">
        <v>44</v>
      </c>
      <c r="F3025" s="2" t="s">
        <v>39</v>
      </c>
      <c r="G3025" s="2" t="s">
        <v>22</v>
      </c>
      <c r="H3025" s="2" t="s">
        <v>23</v>
      </c>
      <c r="I3025" s="2" t="s">
        <v>35</v>
      </c>
      <c r="J3025" s="2" t="s">
        <v>4176</v>
      </c>
      <c r="K3025" s="2" t="s">
        <v>1684</v>
      </c>
      <c r="L3025">
        <v>4</v>
      </c>
      <c r="M3025" s="1">
        <v>173000</v>
      </c>
      <c r="N3025">
        <v>3.7</v>
      </c>
      <c r="O3025">
        <v>13</v>
      </c>
      <c r="P3025" s="2" t="s">
        <v>26</v>
      </c>
    </row>
    <row r="3026" spans="1:16" x14ac:dyDescent="0.25">
      <c r="A3026" s="2" t="s">
        <v>9143</v>
      </c>
      <c r="B3026" s="2" t="s">
        <v>2974</v>
      </c>
      <c r="C3026" s="2" t="s">
        <v>29</v>
      </c>
      <c r="D3026" s="2" t="s">
        <v>30</v>
      </c>
      <c r="E3026" s="2" t="s">
        <v>31</v>
      </c>
      <c r="F3026" s="2" t="s">
        <v>39</v>
      </c>
      <c r="G3026" s="2" t="s">
        <v>69</v>
      </c>
      <c r="H3026" s="2" t="s">
        <v>46</v>
      </c>
      <c r="I3026" s="2" t="s">
        <v>35</v>
      </c>
      <c r="J3026" s="2" t="s">
        <v>216</v>
      </c>
      <c r="K3026" s="2" t="s">
        <v>1684</v>
      </c>
      <c r="L3026">
        <v>5</v>
      </c>
      <c r="M3026" s="1">
        <v>121000</v>
      </c>
      <c r="N3026">
        <v>2.5</v>
      </c>
      <c r="O3026">
        <v>14</v>
      </c>
      <c r="P3026" s="2" t="s">
        <v>26</v>
      </c>
    </row>
    <row r="3027" spans="1:16" x14ac:dyDescent="0.25">
      <c r="A3027" s="2" t="s">
        <v>9145</v>
      </c>
      <c r="B3027" s="2" t="s">
        <v>4028</v>
      </c>
      <c r="C3027" s="2" t="s">
        <v>18</v>
      </c>
      <c r="D3027" s="2" t="s">
        <v>30</v>
      </c>
      <c r="E3027" s="2" t="s">
        <v>20</v>
      </c>
      <c r="F3027" s="2" t="s">
        <v>128</v>
      </c>
      <c r="G3027" s="2" t="s">
        <v>22</v>
      </c>
      <c r="H3027" s="2" t="s">
        <v>23</v>
      </c>
      <c r="I3027" s="2" t="s">
        <v>57</v>
      </c>
      <c r="J3027" s="2" t="s">
        <v>76</v>
      </c>
      <c r="K3027" s="2" t="s">
        <v>1684</v>
      </c>
      <c r="L3027">
        <v>2</v>
      </c>
      <c r="M3027" s="1">
        <v>505000</v>
      </c>
      <c r="N3027">
        <v>2.4</v>
      </c>
      <c r="O3027">
        <v>3</v>
      </c>
      <c r="P3027" s="2" t="s">
        <v>26</v>
      </c>
    </row>
    <row r="3028" spans="1:16" x14ac:dyDescent="0.25">
      <c r="A3028" s="2" t="s">
        <v>9148</v>
      </c>
      <c r="B3028" s="2" t="s">
        <v>9149</v>
      </c>
      <c r="C3028" s="2" t="s">
        <v>29</v>
      </c>
      <c r="D3028" s="2" t="s">
        <v>79</v>
      </c>
      <c r="E3028" s="2" t="s">
        <v>20</v>
      </c>
      <c r="F3028" s="2" t="s">
        <v>128</v>
      </c>
      <c r="G3028" s="2" t="s">
        <v>22</v>
      </c>
      <c r="H3028" s="2" t="s">
        <v>23</v>
      </c>
      <c r="I3028" s="2" t="s">
        <v>57</v>
      </c>
      <c r="J3028" s="2" t="s">
        <v>5485</v>
      </c>
      <c r="K3028" s="2" t="s">
        <v>1684</v>
      </c>
      <c r="L3028">
        <v>3</v>
      </c>
      <c r="M3028" s="1">
        <v>459000</v>
      </c>
      <c r="N3028">
        <v>2.7</v>
      </c>
      <c r="O3028">
        <v>1</v>
      </c>
      <c r="P3028" s="2" t="s">
        <v>53</v>
      </c>
    </row>
    <row r="3029" spans="1:16" x14ac:dyDescent="0.25">
      <c r="A3029" s="2" t="s">
        <v>9150</v>
      </c>
      <c r="B3029" s="2" t="s">
        <v>2409</v>
      </c>
      <c r="C3029" s="2" t="s">
        <v>18</v>
      </c>
      <c r="D3029" s="2" t="s">
        <v>50</v>
      </c>
      <c r="E3029" s="2" t="s">
        <v>44</v>
      </c>
      <c r="F3029" s="2" t="s">
        <v>32</v>
      </c>
      <c r="G3029" s="2" t="s">
        <v>69</v>
      </c>
      <c r="H3029" s="2" t="s">
        <v>23</v>
      </c>
      <c r="I3029" s="2" t="s">
        <v>24</v>
      </c>
      <c r="J3029" s="2" t="s">
        <v>3740</v>
      </c>
      <c r="K3029" s="2" t="s">
        <v>3774</v>
      </c>
      <c r="L3029">
        <v>4</v>
      </c>
      <c r="M3029" s="1">
        <v>269000</v>
      </c>
      <c r="N3029">
        <v>4.7</v>
      </c>
      <c r="O3029">
        <v>9</v>
      </c>
      <c r="P3029" s="2" t="s">
        <v>26</v>
      </c>
    </row>
    <row r="3030" spans="1:16" x14ac:dyDescent="0.25">
      <c r="A3030" s="2" t="s">
        <v>9151</v>
      </c>
      <c r="B3030" s="2" t="s">
        <v>1410</v>
      </c>
      <c r="C3030" s="2" t="s">
        <v>29</v>
      </c>
      <c r="D3030" s="2" t="s">
        <v>43</v>
      </c>
      <c r="E3030" s="2" t="s">
        <v>31</v>
      </c>
      <c r="F3030" s="2" t="s">
        <v>32</v>
      </c>
      <c r="G3030" s="2" t="s">
        <v>80</v>
      </c>
      <c r="H3030" s="2" t="s">
        <v>34</v>
      </c>
      <c r="I3030" s="2" t="s">
        <v>57</v>
      </c>
      <c r="J3030" s="2" t="s">
        <v>9152</v>
      </c>
      <c r="K3030" s="2" t="s">
        <v>3774</v>
      </c>
      <c r="L3030">
        <v>6</v>
      </c>
      <c r="M3030" s="1">
        <v>194000</v>
      </c>
      <c r="N3030">
        <v>5</v>
      </c>
      <c r="O3030">
        <v>40</v>
      </c>
      <c r="P3030" s="2" t="s">
        <v>26</v>
      </c>
    </row>
    <row r="3031" spans="1:16" x14ac:dyDescent="0.25">
      <c r="A3031" s="2" t="s">
        <v>9153</v>
      </c>
      <c r="B3031" s="2" t="s">
        <v>2567</v>
      </c>
      <c r="C3031" s="2" t="s">
        <v>29</v>
      </c>
      <c r="D3031" s="2" t="s">
        <v>19</v>
      </c>
      <c r="E3031" s="2" t="s">
        <v>20</v>
      </c>
      <c r="F3031" s="2" t="s">
        <v>32</v>
      </c>
      <c r="G3031" s="2" t="s">
        <v>22</v>
      </c>
      <c r="H3031" s="2" t="s">
        <v>23</v>
      </c>
      <c r="I3031" s="2" t="s">
        <v>24</v>
      </c>
      <c r="J3031" s="2" t="s">
        <v>978</v>
      </c>
      <c r="K3031" s="2" t="s">
        <v>3774</v>
      </c>
      <c r="L3031">
        <v>2</v>
      </c>
      <c r="M3031" s="1">
        <v>299000</v>
      </c>
      <c r="N3031">
        <v>3.4</v>
      </c>
      <c r="O3031">
        <v>13</v>
      </c>
      <c r="P3031" s="2" t="s">
        <v>26</v>
      </c>
    </row>
    <row r="3032" spans="1:16" x14ac:dyDescent="0.25">
      <c r="A3032" s="2" t="s">
        <v>9154</v>
      </c>
      <c r="B3032" s="2" t="s">
        <v>4463</v>
      </c>
      <c r="C3032" s="2" t="s">
        <v>18</v>
      </c>
      <c r="D3032" s="2" t="s">
        <v>50</v>
      </c>
      <c r="E3032" s="2" t="s">
        <v>31</v>
      </c>
      <c r="F3032" s="2" t="s">
        <v>32</v>
      </c>
      <c r="G3032" s="2" t="s">
        <v>22</v>
      </c>
      <c r="H3032" s="2" t="s">
        <v>46</v>
      </c>
      <c r="I3032" s="2" t="s">
        <v>24</v>
      </c>
      <c r="J3032" s="2" t="s">
        <v>682</v>
      </c>
      <c r="K3032" s="2" t="s">
        <v>3774</v>
      </c>
      <c r="L3032">
        <v>4</v>
      </c>
      <c r="M3032" s="1">
        <v>255000</v>
      </c>
      <c r="N3032">
        <v>4.5</v>
      </c>
      <c r="O3032">
        <v>4</v>
      </c>
      <c r="P3032" s="2" t="s">
        <v>114</v>
      </c>
    </row>
    <row r="3033" spans="1:16" x14ac:dyDescent="0.25">
      <c r="A3033" s="2" t="s">
        <v>9155</v>
      </c>
      <c r="B3033" s="2" t="s">
        <v>6659</v>
      </c>
      <c r="C3033" s="2" t="s">
        <v>29</v>
      </c>
      <c r="D3033" s="2" t="s">
        <v>30</v>
      </c>
      <c r="E3033" s="2" t="s">
        <v>31</v>
      </c>
      <c r="F3033" s="2" t="s">
        <v>32</v>
      </c>
      <c r="G3033" s="2" t="s">
        <v>22</v>
      </c>
      <c r="H3033" s="2" t="s">
        <v>46</v>
      </c>
      <c r="I3033" s="2" t="s">
        <v>171</v>
      </c>
      <c r="J3033" s="2" t="s">
        <v>3982</v>
      </c>
      <c r="K3033" s="2" t="s">
        <v>6877</v>
      </c>
      <c r="L3033">
        <v>3</v>
      </c>
      <c r="M3033" s="1">
        <v>209000</v>
      </c>
      <c r="N3033">
        <v>1.5</v>
      </c>
      <c r="O3033">
        <v>12</v>
      </c>
      <c r="P3033" s="2" t="s">
        <v>53</v>
      </c>
    </row>
    <row r="3034" spans="1:16" x14ac:dyDescent="0.25">
      <c r="A3034" s="2" t="s">
        <v>9156</v>
      </c>
      <c r="B3034" s="2" t="s">
        <v>2302</v>
      </c>
      <c r="C3034" s="2" t="s">
        <v>18</v>
      </c>
      <c r="D3034" s="2" t="s">
        <v>43</v>
      </c>
      <c r="E3034" s="2" t="s">
        <v>20</v>
      </c>
      <c r="F3034" s="2" t="s">
        <v>32</v>
      </c>
      <c r="G3034" s="2" t="s">
        <v>80</v>
      </c>
      <c r="H3034" s="2" t="s">
        <v>23</v>
      </c>
      <c r="I3034" s="2" t="s">
        <v>24</v>
      </c>
      <c r="J3034" s="2" t="s">
        <v>837</v>
      </c>
      <c r="K3034" s="2" t="s">
        <v>1562</v>
      </c>
      <c r="L3034">
        <v>2</v>
      </c>
      <c r="M3034" s="1">
        <v>186000</v>
      </c>
      <c r="N3034">
        <v>4.5</v>
      </c>
      <c r="O3034">
        <v>8</v>
      </c>
      <c r="P3034" s="2" t="s">
        <v>72</v>
      </c>
    </row>
    <row r="3035" spans="1:16" x14ac:dyDescent="0.25">
      <c r="A3035" s="2" t="s">
        <v>9157</v>
      </c>
      <c r="B3035" s="2" t="s">
        <v>4619</v>
      </c>
      <c r="C3035" s="2" t="s">
        <v>18</v>
      </c>
      <c r="D3035" s="2" t="s">
        <v>43</v>
      </c>
      <c r="E3035" s="2" t="s">
        <v>31</v>
      </c>
      <c r="F3035" s="2" t="s">
        <v>128</v>
      </c>
      <c r="G3035" s="2" t="s">
        <v>80</v>
      </c>
      <c r="H3035" s="2" t="s">
        <v>46</v>
      </c>
      <c r="I3035" s="2" t="s">
        <v>24</v>
      </c>
      <c r="J3035" s="2" t="s">
        <v>408</v>
      </c>
      <c r="K3035" s="2" t="s">
        <v>4060</v>
      </c>
      <c r="L3035">
        <v>4</v>
      </c>
      <c r="M3035" s="1">
        <v>361000</v>
      </c>
      <c r="N3035">
        <v>2.6</v>
      </c>
      <c r="O3035">
        <v>13</v>
      </c>
      <c r="P3035" s="2" t="s">
        <v>26</v>
      </c>
    </row>
    <row r="3036" spans="1:16" x14ac:dyDescent="0.25">
      <c r="A3036" s="2" t="s">
        <v>9158</v>
      </c>
      <c r="B3036" s="2" t="s">
        <v>1299</v>
      </c>
      <c r="C3036" s="2" t="s">
        <v>18</v>
      </c>
      <c r="D3036" s="2" t="s">
        <v>50</v>
      </c>
      <c r="E3036" s="2" t="s">
        <v>44</v>
      </c>
      <c r="F3036" s="2" t="s">
        <v>32</v>
      </c>
      <c r="G3036" s="2" t="s">
        <v>80</v>
      </c>
      <c r="H3036" s="2" t="s">
        <v>34</v>
      </c>
      <c r="I3036" s="2" t="s">
        <v>24</v>
      </c>
      <c r="J3036" s="2" t="s">
        <v>658</v>
      </c>
      <c r="K3036" s="2" t="s">
        <v>4060</v>
      </c>
      <c r="L3036">
        <v>6</v>
      </c>
      <c r="M3036" s="1">
        <v>300000</v>
      </c>
      <c r="N3036">
        <v>3.9</v>
      </c>
      <c r="O3036">
        <v>0</v>
      </c>
      <c r="P3036" s="2" t="s">
        <v>26</v>
      </c>
    </row>
    <row r="3037" spans="1:16" x14ac:dyDescent="0.25">
      <c r="A3037" s="2" t="s">
        <v>9160</v>
      </c>
      <c r="B3037" s="2" t="s">
        <v>9161</v>
      </c>
      <c r="C3037" s="2" t="s">
        <v>29</v>
      </c>
      <c r="D3037" s="2" t="s">
        <v>30</v>
      </c>
      <c r="E3037" s="2" t="s">
        <v>20</v>
      </c>
      <c r="F3037" s="2" t="s">
        <v>32</v>
      </c>
      <c r="G3037" s="2" t="s">
        <v>80</v>
      </c>
      <c r="H3037" s="2" t="s">
        <v>46</v>
      </c>
      <c r="I3037" s="2" t="s">
        <v>57</v>
      </c>
      <c r="J3037" s="2" t="s">
        <v>4605</v>
      </c>
      <c r="K3037" s="2" t="s">
        <v>4060</v>
      </c>
      <c r="L3037">
        <v>2</v>
      </c>
      <c r="M3037" s="1">
        <v>264000</v>
      </c>
      <c r="N3037">
        <v>2.6</v>
      </c>
      <c r="O3037">
        <v>0</v>
      </c>
      <c r="P3037" s="2" t="s">
        <v>53</v>
      </c>
    </row>
    <row r="3038" spans="1:16" x14ac:dyDescent="0.25">
      <c r="A3038" s="2" t="s">
        <v>9165</v>
      </c>
      <c r="B3038" s="2" t="s">
        <v>6088</v>
      </c>
      <c r="C3038" s="2" t="s">
        <v>18</v>
      </c>
      <c r="D3038" s="2" t="s">
        <v>50</v>
      </c>
      <c r="E3038" s="2" t="s">
        <v>20</v>
      </c>
      <c r="F3038" s="2" t="s">
        <v>32</v>
      </c>
      <c r="G3038" s="2" t="s">
        <v>80</v>
      </c>
      <c r="H3038" s="2" t="s">
        <v>34</v>
      </c>
      <c r="I3038" s="2" t="s">
        <v>24</v>
      </c>
      <c r="J3038" s="2" t="s">
        <v>2521</v>
      </c>
      <c r="K3038" s="2" t="s">
        <v>5025</v>
      </c>
      <c r="L3038">
        <v>3</v>
      </c>
      <c r="M3038" s="1">
        <v>268000</v>
      </c>
      <c r="N3038">
        <v>2.8</v>
      </c>
      <c r="O3038">
        <v>13</v>
      </c>
      <c r="P3038" s="2" t="s">
        <v>26</v>
      </c>
    </row>
    <row r="3039" spans="1:16" x14ac:dyDescent="0.25">
      <c r="A3039" s="2" t="s">
        <v>9166</v>
      </c>
      <c r="B3039" s="2" t="s">
        <v>337</v>
      </c>
      <c r="C3039" s="2" t="s">
        <v>29</v>
      </c>
      <c r="D3039" s="2" t="s">
        <v>50</v>
      </c>
      <c r="E3039" s="2" t="s">
        <v>20</v>
      </c>
      <c r="F3039" s="2" t="s">
        <v>39</v>
      </c>
      <c r="G3039" s="2" t="s">
        <v>22</v>
      </c>
      <c r="H3039" s="2" t="s">
        <v>34</v>
      </c>
      <c r="I3039" s="2" t="s">
        <v>75</v>
      </c>
      <c r="J3039" s="2" t="s">
        <v>9167</v>
      </c>
      <c r="K3039" s="2" t="s">
        <v>5025</v>
      </c>
      <c r="L3039">
        <v>5</v>
      </c>
      <c r="M3039" s="1">
        <v>108000</v>
      </c>
      <c r="N3039">
        <v>3.9</v>
      </c>
      <c r="O3039">
        <v>8</v>
      </c>
      <c r="P3039" s="2" t="s">
        <v>26</v>
      </c>
    </row>
    <row r="3040" spans="1:16" x14ac:dyDescent="0.25">
      <c r="A3040" s="2" t="s">
        <v>9168</v>
      </c>
      <c r="B3040" s="2" t="s">
        <v>6619</v>
      </c>
      <c r="C3040" s="2" t="s">
        <v>29</v>
      </c>
      <c r="D3040" s="2" t="s">
        <v>50</v>
      </c>
      <c r="E3040" s="2" t="s">
        <v>44</v>
      </c>
      <c r="F3040" s="2" t="s">
        <v>39</v>
      </c>
      <c r="G3040" s="2" t="s">
        <v>22</v>
      </c>
      <c r="H3040" s="2" t="s">
        <v>23</v>
      </c>
      <c r="I3040" s="2" t="s">
        <v>75</v>
      </c>
      <c r="J3040" s="2" t="s">
        <v>2666</v>
      </c>
      <c r="K3040" s="2" t="s">
        <v>5025</v>
      </c>
      <c r="L3040">
        <v>5</v>
      </c>
      <c r="M3040" s="1">
        <v>118000</v>
      </c>
      <c r="N3040">
        <v>3.9</v>
      </c>
      <c r="O3040">
        <v>10</v>
      </c>
      <c r="P3040" s="2" t="s">
        <v>53</v>
      </c>
    </row>
    <row r="3041" spans="1:16" x14ac:dyDescent="0.25">
      <c r="A3041" s="2" t="s">
        <v>9173</v>
      </c>
      <c r="B3041" s="2" t="s">
        <v>7601</v>
      </c>
      <c r="C3041" s="2" t="s">
        <v>18</v>
      </c>
      <c r="D3041" s="2" t="s">
        <v>50</v>
      </c>
      <c r="E3041" s="2" t="s">
        <v>44</v>
      </c>
      <c r="F3041" s="2" t="s">
        <v>128</v>
      </c>
      <c r="G3041" s="2" t="s">
        <v>80</v>
      </c>
      <c r="H3041" s="2" t="s">
        <v>46</v>
      </c>
      <c r="I3041" s="2" t="s">
        <v>75</v>
      </c>
      <c r="J3041" s="2" t="s">
        <v>6514</v>
      </c>
      <c r="K3041" s="2" t="s">
        <v>428</v>
      </c>
      <c r="L3041">
        <v>6</v>
      </c>
      <c r="M3041" s="1">
        <v>557000</v>
      </c>
      <c r="N3041">
        <v>2.4</v>
      </c>
      <c r="O3041">
        <v>13</v>
      </c>
      <c r="P3041" s="2" t="s">
        <v>26</v>
      </c>
    </row>
    <row r="3042" spans="1:16" x14ac:dyDescent="0.25">
      <c r="A3042" s="2" t="s">
        <v>9179</v>
      </c>
      <c r="B3042" s="2" t="s">
        <v>8366</v>
      </c>
      <c r="C3042" s="2" t="s">
        <v>29</v>
      </c>
      <c r="D3042" s="2" t="s">
        <v>50</v>
      </c>
      <c r="E3042" s="2" t="s">
        <v>20</v>
      </c>
      <c r="F3042" s="2" t="s">
        <v>39</v>
      </c>
      <c r="G3042" s="2" t="s">
        <v>80</v>
      </c>
      <c r="H3042" s="2" t="s">
        <v>46</v>
      </c>
      <c r="I3042" s="2" t="s">
        <v>24</v>
      </c>
      <c r="J3042" s="2" t="s">
        <v>4208</v>
      </c>
      <c r="K3042" s="2" t="s">
        <v>428</v>
      </c>
      <c r="L3042">
        <v>3</v>
      </c>
      <c r="M3042" s="1">
        <v>127000</v>
      </c>
      <c r="N3042">
        <v>4.5999999999999996</v>
      </c>
      <c r="O3042">
        <v>10</v>
      </c>
      <c r="P3042" s="2" t="s">
        <v>26</v>
      </c>
    </row>
    <row r="3043" spans="1:16" x14ac:dyDescent="0.25">
      <c r="A3043" s="2" t="s">
        <v>9184</v>
      </c>
      <c r="B3043" s="2" t="s">
        <v>4961</v>
      </c>
      <c r="C3043" s="2" t="s">
        <v>29</v>
      </c>
      <c r="D3043" s="2" t="s">
        <v>43</v>
      </c>
      <c r="E3043" s="2" t="s">
        <v>20</v>
      </c>
      <c r="F3043" s="2" t="s">
        <v>32</v>
      </c>
      <c r="G3043" s="2" t="s">
        <v>33</v>
      </c>
      <c r="H3043" s="2" t="s">
        <v>23</v>
      </c>
      <c r="I3043" s="2" t="s">
        <v>57</v>
      </c>
      <c r="J3043" s="2" t="s">
        <v>5067</v>
      </c>
      <c r="K3043" s="2" t="s">
        <v>428</v>
      </c>
      <c r="L3043">
        <v>6</v>
      </c>
      <c r="M3043" s="1">
        <v>316000</v>
      </c>
      <c r="N3043">
        <v>4.0999999999999996</v>
      </c>
      <c r="O3043">
        <v>5</v>
      </c>
      <c r="P3043" s="2" t="s">
        <v>26</v>
      </c>
    </row>
    <row r="3044" spans="1:16" x14ac:dyDescent="0.25">
      <c r="A3044" s="2" t="s">
        <v>9185</v>
      </c>
      <c r="B3044" s="2" t="s">
        <v>9186</v>
      </c>
      <c r="C3044" s="2" t="s">
        <v>29</v>
      </c>
      <c r="D3044" s="2" t="s">
        <v>43</v>
      </c>
      <c r="E3044" s="2" t="s">
        <v>20</v>
      </c>
      <c r="F3044" s="2" t="s">
        <v>32</v>
      </c>
      <c r="G3044" s="2" t="s">
        <v>80</v>
      </c>
      <c r="H3044" s="2" t="s">
        <v>34</v>
      </c>
      <c r="I3044" s="2" t="s">
        <v>35</v>
      </c>
      <c r="J3044" s="2" t="s">
        <v>5143</v>
      </c>
      <c r="K3044" s="2" t="s">
        <v>428</v>
      </c>
      <c r="L3044">
        <v>2</v>
      </c>
      <c r="M3044" s="1">
        <v>235000</v>
      </c>
      <c r="N3044">
        <v>2.2000000000000002</v>
      </c>
      <c r="O3044">
        <v>5</v>
      </c>
      <c r="P3044" s="2" t="s">
        <v>26</v>
      </c>
    </row>
    <row r="3045" spans="1:16" x14ac:dyDescent="0.25">
      <c r="A3045" s="2" t="s">
        <v>9187</v>
      </c>
      <c r="B3045" s="2" t="s">
        <v>5851</v>
      </c>
      <c r="C3045" s="2" t="s">
        <v>18</v>
      </c>
      <c r="D3045" s="2" t="s">
        <v>43</v>
      </c>
      <c r="E3045" s="2" t="s">
        <v>20</v>
      </c>
      <c r="F3045" s="2" t="s">
        <v>39</v>
      </c>
      <c r="G3045" s="2" t="s">
        <v>22</v>
      </c>
      <c r="H3045" s="2" t="s">
        <v>34</v>
      </c>
      <c r="I3045" s="2" t="s">
        <v>57</v>
      </c>
      <c r="J3045" s="2" t="s">
        <v>956</v>
      </c>
      <c r="K3045" s="2" t="s">
        <v>428</v>
      </c>
      <c r="L3045">
        <v>6</v>
      </c>
      <c r="M3045" s="1">
        <v>133000</v>
      </c>
      <c r="N3045">
        <v>3.3</v>
      </c>
      <c r="O3045">
        <v>9</v>
      </c>
      <c r="P3045" s="2" t="s">
        <v>26</v>
      </c>
    </row>
    <row r="3046" spans="1:16" x14ac:dyDescent="0.25">
      <c r="A3046" s="2" t="s">
        <v>9188</v>
      </c>
      <c r="B3046" s="2" t="s">
        <v>9189</v>
      </c>
      <c r="C3046" s="2" t="s">
        <v>18</v>
      </c>
      <c r="D3046" s="2" t="s">
        <v>30</v>
      </c>
      <c r="E3046" s="2" t="s">
        <v>20</v>
      </c>
      <c r="F3046" s="2" t="s">
        <v>39</v>
      </c>
      <c r="G3046" s="2" t="s">
        <v>80</v>
      </c>
      <c r="H3046" s="2" t="s">
        <v>34</v>
      </c>
      <c r="I3046" s="2" t="s">
        <v>35</v>
      </c>
      <c r="J3046" s="2" t="s">
        <v>9190</v>
      </c>
      <c r="K3046" s="2" t="s">
        <v>428</v>
      </c>
      <c r="L3046">
        <v>4</v>
      </c>
      <c r="M3046" s="1">
        <v>147000</v>
      </c>
      <c r="N3046">
        <v>2.8</v>
      </c>
      <c r="O3046">
        <v>32</v>
      </c>
      <c r="P3046" s="2" t="s">
        <v>26</v>
      </c>
    </row>
    <row r="3047" spans="1:16" x14ac:dyDescent="0.25">
      <c r="A3047" s="2" t="s">
        <v>9191</v>
      </c>
      <c r="B3047" s="2" t="s">
        <v>8259</v>
      </c>
      <c r="C3047" s="2" t="s">
        <v>29</v>
      </c>
      <c r="D3047" s="2" t="s">
        <v>79</v>
      </c>
      <c r="E3047" s="2" t="s">
        <v>20</v>
      </c>
      <c r="F3047" s="2" t="s">
        <v>32</v>
      </c>
      <c r="G3047" s="2" t="s">
        <v>33</v>
      </c>
      <c r="H3047" s="2" t="s">
        <v>46</v>
      </c>
      <c r="I3047" s="2" t="s">
        <v>35</v>
      </c>
      <c r="J3047" s="2" t="s">
        <v>469</v>
      </c>
      <c r="K3047" s="2" t="s">
        <v>428</v>
      </c>
      <c r="L3047">
        <v>5</v>
      </c>
      <c r="M3047" s="1">
        <v>236000</v>
      </c>
      <c r="N3047">
        <v>2.5</v>
      </c>
      <c r="O3047">
        <v>13</v>
      </c>
      <c r="P3047" s="2" t="s">
        <v>26</v>
      </c>
    </row>
    <row r="3048" spans="1:16" x14ac:dyDescent="0.25">
      <c r="A3048" s="2" t="s">
        <v>9194</v>
      </c>
      <c r="B3048" s="2" t="s">
        <v>4489</v>
      </c>
      <c r="C3048" s="2" t="s">
        <v>18</v>
      </c>
      <c r="D3048" s="2" t="s">
        <v>79</v>
      </c>
      <c r="E3048" s="2" t="s">
        <v>20</v>
      </c>
      <c r="F3048" s="2" t="s">
        <v>32</v>
      </c>
      <c r="G3048" s="2" t="s">
        <v>80</v>
      </c>
      <c r="H3048" s="2" t="s">
        <v>23</v>
      </c>
      <c r="I3048" s="2" t="s">
        <v>35</v>
      </c>
      <c r="J3048" s="2" t="s">
        <v>5134</v>
      </c>
      <c r="K3048" s="2" t="s">
        <v>428</v>
      </c>
      <c r="L3048">
        <v>3</v>
      </c>
      <c r="M3048" s="1">
        <v>265000</v>
      </c>
      <c r="N3048">
        <v>4.9000000000000004</v>
      </c>
      <c r="O3048">
        <v>34</v>
      </c>
      <c r="P3048" s="2" t="s">
        <v>26</v>
      </c>
    </row>
    <row r="3049" spans="1:16" x14ac:dyDescent="0.25">
      <c r="A3049" s="2" t="s">
        <v>9195</v>
      </c>
      <c r="B3049" s="2" t="s">
        <v>9196</v>
      </c>
      <c r="C3049" s="2" t="s">
        <v>18</v>
      </c>
      <c r="D3049" s="2" t="s">
        <v>19</v>
      </c>
      <c r="E3049" s="2" t="s">
        <v>31</v>
      </c>
      <c r="F3049" s="2" t="s">
        <v>32</v>
      </c>
      <c r="G3049" s="2" t="s">
        <v>22</v>
      </c>
      <c r="H3049" s="2" t="s">
        <v>34</v>
      </c>
      <c r="I3049" s="2" t="s">
        <v>75</v>
      </c>
      <c r="J3049" s="2" t="s">
        <v>6655</v>
      </c>
      <c r="K3049" s="2" t="s">
        <v>428</v>
      </c>
      <c r="L3049">
        <v>5</v>
      </c>
      <c r="M3049" s="1">
        <v>274000</v>
      </c>
      <c r="N3049">
        <v>3.1</v>
      </c>
      <c r="O3049">
        <v>9</v>
      </c>
      <c r="P3049" s="2" t="s">
        <v>26</v>
      </c>
    </row>
    <row r="3050" spans="1:16" x14ac:dyDescent="0.25">
      <c r="A3050" s="2" t="s">
        <v>9198</v>
      </c>
      <c r="B3050" s="2" t="s">
        <v>9199</v>
      </c>
      <c r="C3050" s="2" t="s">
        <v>18</v>
      </c>
      <c r="D3050" s="2" t="s">
        <v>79</v>
      </c>
      <c r="E3050" s="2" t="s">
        <v>20</v>
      </c>
      <c r="F3050" s="2" t="s">
        <v>32</v>
      </c>
      <c r="G3050" s="2" t="s">
        <v>22</v>
      </c>
      <c r="H3050" s="2" t="s">
        <v>34</v>
      </c>
      <c r="I3050" s="2" t="s">
        <v>35</v>
      </c>
      <c r="J3050" s="2" t="s">
        <v>3764</v>
      </c>
      <c r="K3050" s="2" t="s">
        <v>428</v>
      </c>
      <c r="L3050">
        <v>5</v>
      </c>
      <c r="M3050" s="1">
        <v>182000</v>
      </c>
      <c r="N3050">
        <v>4.7</v>
      </c>
      <c r="O3050">
        <v>9</v>
      </c>
      <c r="P3050" s="2" t="s">
        <v>26</v>
      </c>
    </row>
    <row r="3051" spans="1:16" x14ac:dyDescent="0.25">
      <c r="A3051" s="2" t="s">
        <v>9200</v>
      </c>
      <c r="B3051" s="2" t="s">
        <v>1953</v>
      </c>
      <c r="C3051" s="2" t="s">
        <v>18</v>
      </c>
      <c r="D3051" s="2" t="s">
        <v>79</v>
      </c>
      <c r="E3051" s="2" t="s">
        <v>20</v>
      </c>
      <c r="F3051" s="2" t="s">
        <v>128</v>
      </c>
      <c r="G3051" s="2" t="s">
        <v>22</v>
      </c>
      <c r="H3051" s="2" t="s">
        <v>46</v>
      </c>
      <c r="I3051" s="2" t="s">
        <v>57</v>
      </c>
      <c r="J3051" s="2" t="s">
        <v>1037</v>
      </c>
      <c r="K3051" s="2" t="s">
        <v>428</v>
      </c>
      <c r="L3051">
        <v>4</v>
      </c>
      <c r="M3051" s="1">
        <v>429000</v>
      </c>
      <c r="N3051">
        <v>2.2999999999999998</v>
      </c>
      <c r="O3051">
        <v>6</v>
      </c>
      <c r="P3051" s="2" t="s">
        <v>53</v>
      </c>
    </row>
    <row r="3052" spans="1:16" x14ac:dyDescent="0.25">
      <c r="A3052" s="2" t="s">
        <v>9201</v>
      </c>
      <c r="B3052" s="2" t="s">
        <v>9202</v>
      </c>
      <c r="C3052" s="2" t="s">
        <v>29</v>
      </c>
      <c r="D3052" s="2" t="s">
        <v>43</v>
      </c>
      <c r="E3052" s="2" t="s">
        <v>20</v>
      </c>
      <c r="F3052" s="2" t="s">
        <v>32</v>
      </c>
      <c r="G3052" s="2" t="s">
        <v>33</v>
      </c>
      <c r="H3052" s="2" t="s">
        <v>34</v>
      </c>
      <c r="I3052" s="2" t="s">
        <v>57</v>
      </c>
      <c r="J3052" s="2" t="s">
        <v>435</v>
      </c>
      <c r="K3052" s="2" t="s">
        <v>9209</v>
      </c>
      <c r="L3052">
        <v>6</v>
      </c>
      <c r="M3052" s="1">
        <v>180000</v>
      </c>
      <c r="N3052">
        <v>3.3</v>
      </c>
      <c r="O3052">
        <v>7</v>
      </c>
      <c r="P3052" s="2" t="s">
        <v>26</v>
      </c>
    </row>
    <row r="3053" spans="1:16" x14ac:dyDescent="0.25">
      <c r="A3053" s="2" t="s">
        <v>9205</v>
      </c>
      <c r="B3053" s="2" t="s">
        <v>8001</v>
      </c>
      <c r="C3053" s="2" t="s">
        <v>18</v>
      </c>
      <c r="D3053" s="2" t="s">
        <v>43</v>
      </c>
      <c r="E3053" s="2" t="s">
        <v>20</v>
      </c>
      <c r="F3053" s="2" t="s">
        <v>39</v>
      </c>
      <c r="G3053" s="2" t="s">
        <v>22</v>
      </c>
      <c r="H3053" s="2" t="s">
        <v>34</v>
      </c>
      <c r="I3053" s="2" t="s">
        <v>75</v>
      </c>
      <c r="J3053" s="2" t="s">
        <v>3484</v>
      </c>
      <c r="K3053" s="2" t="s">
        <v>9209</v>
      </c>
      <c r="L3053">
        <v>4</v>
      </c>
      <c r="M3053" s="1">
        <v>85000</v>
      </c>
      <c r="N3053">
        <v>4.3</v>
      </c>
      <c r="O3053">
        <v>13</v>
      </c>
      <c r="P3053" s="2" t="s">
        <v>26</v>
      </c>
    </row>
    <row r="3054" spans="1:16" x14ac:dyDescent="0.25">
      <c r="A3054" s="2" t="s">
        <v>9206</v>
      </c>
      <c r="B3054" s="2" t="s">
        <v>9207</v>
      </c>
      <c r="C3054" s="2" t="s">
        <v>18</v>
      </c>
      <c r="D3054" s="2" t="s">
        <v>30</v>
      </c>
      <c r="E3054" s="2" t="s">
        <v>20</v>
      </c>
      <c r="F3054" s="2" t="s">
        <v>21</v>
      </c>
      <c r="G3054" s="2" t="s">
        <v>33</v>
      </c>
      <c r="H3054" s="2" t="s">
        <v>46</v>
      </c>
      <c r="I3054" s="2" t="s">
        <v>24</v>
      </c>
      <c r="J3054" s="2" t="s">
        <v>5670</v>
      </c>
      <c r="K3054" s="2" t="s">
        <v>9209</v>
      </c>
      <c r="L3054">
        <v>4</v>
      </c>
      <c r="M3054" s="1">
        <v>843000</v>
      </c>
      <c r="N3054">
        <v>4.3</v>
      </c>
      <c r="O3054">
        <v>11</v>
      </c>
      <c r="P3054" s="2" t="s">
        <v>26</v>
      </c>
    </row>
    <row r="3055" spans="1:16" x14ac:dyDescent="0.25">
      <c r="A3055" s="2" t="s">
        <v>9208</v>
      </c>
      <c r="B3055" s="2" t="s">
        <v>666</v>
      </c>
      <c r="C3055" s="2" t="s">
        <v>18</v>
      </c>
      <c r="D3055" s="2" t="s">
        <v>43</v>
      </c>
      <c r="E3055" s="2" t="s">
        <v>20</v>
      </c>
      <c r="F3055" s="2" t="s">
        <v>32</v>
      </c>
      <c r="G3055" s="2" t="s">
        <v>80</v>
      </c>
      <c r="H3055" s="2" t="s">
        <v>23</v>
      </c>
      <c r="I3055" s="2" t="s">
        <v>75</v>
      </c>
      <c r="J3055" s="2" t="s">
        <v>378</v>
      </c>
      <c r="K3055" s="2" t="s">
        <v>9209</v>
      </c>
      <c r="L3055">
        <v>6</v>
      </c>
      <c r="M3055" s="1">
        <v>292000</v>
      </c>
      <c r="N3055">
        <v>3.4</v>
      </c>
      <c r="O3055">
        <v>4</v>
      </c>
      <c r="P3055" s="2" t="s">
        <v>53</v>
      </c>
    </row>
    <row r="3056" spans="1:16" x14ac:dyDescent="0.25">
      <c r="A3056" s="2" t="s">
        <v>9212</v>
      </c>
      <c r="B3056" s="2" t="s">
        <v>5695</v>
      </c>
      <c r="C3056" s="2" t="s">
        <v>29</v>
      </c>
      <c r="D3056" s="2" t="s">
        <v>30</v>
      </c>
      <c r="E3056" s="2" t="s">
        <v>20</v>
      </c>
      <c r="F3056" s="2" t="s">
        <v>39</v>
      </c>
      <c r="G3056" s="2" t="s">
        <v>22</v>
      </c>
      <c r="H3056" s="2" t="s">
        <v>46</v>
      </c>
      <c r="I3056" s="2" t="s">
        <v>24</v>
      </c>
      <c r="J3056" s="2" t="s">
        <v>872</v>
      </c>
      <c r="K3056" s="2" t="s">
        <v>713</v>
      </c>
      <c r="L3056">
        <v>4</v>
      </c>
      <c r="M3056" s="1">
        <v>153000</v>
      </c>
      <c r="N3056">
        <v>2.1</v>
      </c>
      <c r="O3056">
        <v>14</v>
      </c>
      <c r="P3056" s="2" t="s">
        <v>72</v>
      </c>
    </row>
    <row r="3057" spans="1:16" x14ac:dyDescent="0.25">
      <c r="A3057" s="2" t="s">
        <v>9213</v>
      </c>
      <c r="B3057" s="2" t="s">
        <v>9214</v>
      </c>
      <c r="C3057" s="2" t="s">
        <v>18</v>
      </c>
      <c r="D3057" s="2" t="s">
        <v>79</v>
      </c>
      <c r="E3057" s="2" t="s">
        <v>20</v>
      </c>
      <c r="F3057" s="2" t="s">
        <v>45</v>
      </c>
      <c r="G3057" s="2" t="s">
        <v>80</v>
      </c>
      <c r="H3057" s="2" t="s">
        <v>23</v>
      </c>
      <c r="I3057" s="2" t="s">
        <v>24</v>
      </c>
      <c r="J3057" s="2" t="s">
        <v>3412</v>
      </c>
      <c r="K3057" s="2" t="s">
        <v>3764</v>
      </c>
      <c r="L3057">
        <v>6</v>
      </c>
      <c r="M3057" s="1">
        <v>1747000</v>
      </c>
      <c r="N3057">
        <v>3.6</v>
      </c>
      <c r="O3057">
        <v>7</v>
      </c>
      <c r="P3057" s="2" t="s">
        <v>53</v>
      </c>
    </row>
    <row r="3058" spans="1:16" x14ac:dyDescent="0.25">
      <c r="A3058" s="2" t="s">
        <v>9215</v>
      </c>
      <c r="B3058" s="2" t="s">
        <v>1932</v>
      </c>
      <c r="C3058" s="2" t="s">
        <v>29</v>
      </c>
      <c r="D3058" s="2" t="s">
        <v>50</v>
      </c>
      <c r="E3058" s="2" t="s">
        <v>20</v>
      </c>
      <c r="F3058" s="2" t="s">
        <v>32</v>
      </c>
      <c r="G3058" s="2" t="s">
        <v>22</v>
      </c>
      <c r="H3058" s="2" t="s">
        <v>23</v>
      </c>
      <c r="I3058" s="2" t="s">
        <v>75</v>
      </c>
      <c r="J3058" s="2" t="s">
        <v>5845</v>
      </c>
      <c r="K3058" s="2" t="s">
        <v>9220</v>
      </c>
      <c r="L3058">
        <v>5</v>
      </c>
      <c r="M3058" s="1">
        <v>342000</v>
      </c>
      <c r="N3058">
        <v>3.5</v>
      </c>
      <c r="O3058">
        <v>3</v>
      </c>
      <c r="P3058" s="2" t="s">
        <v>26</v>
      </c>
    </row>
    <row r="3059" spans="1:16" x14ac:dyDescent="0.25">
      <c r="A3059" s="2" t="s">
        <v>9218</v>
      </c>
      <c r="B3059" s="2" t="s">
        <v>362</v>
      </c>
      <c r="C3059" s="2" t="s">
        <v>18</v>
      </c>
      <c r="D3059" s="2" t="s">
        <v>50</v>
      </c>
      <c r="E3059" s="2" t="s">
        <v>20</v>
      </c>
      <c r="F3059" s="2" t="s">
        <v>32</v>
      </c>
      <c r="G3059" s="2" t="s">
        <v>33</v>
      </c>
      <c r="H3059" s="2" t="s">
        <v>46</v>
      </c>
      <c r="I3059" s="2" t="s">
        <v>35</v>
      </c>
      <c r="J3059" s="2" t="s">
        <v>5720</v>
      </c>
      <c r="K3059" s="2" t="s">
        <v>9220</v>
      </c>
      <c r="L3059">
        <v>5</v>
      </c>
      <c r="M3059" s="1">
        <v>336000</v>
      </c>
      <c r="N3059">
        <v>2.2000000000000002</v>
      </c>
      <c r="O3059">
        <v>10</v>
      </c>
      <c r="P3059" s="2" t="s">
        <v>26</v>
      </c>
    </row>
    <row r="3060" spans="1:16" x14ac:dyDescent="0.25">
      <c r="A3060" s="2" t="s">
        <v>9219</v>
      </c>
      <c r="B3060" s="2" t="s">
        <v>737</v>
      </c>
      <c r="C3060" s="2" t="s">
        <v>29</v>
      </c>
      <c r="D3060" s="2" t="s">
        <v>50</v>
      </c>
      <c r="E3060" s="2" t="s">
        <v>20</v>
      </c>
      <c r="F3060" s="2" t="s">
        <v>128</v>
      </c>
      <c r="G3060" s="2" t="s">
        <v>80</v>
      </c>
      <c r="H3060" s="2" t="s">
        <v>23</v>
      </c>
      <c r="I3060" s="2" t="s">
        <v>24</v>
      </c>
      <c r="J3060" s="2" t="s">
        <v>66</v>
      </c>
      <c r="K3060" s="2" t="s">
        <v>9220</v>
      </c>
      <c r="L3060">
        <v>3</v>
      </c>
      <c r="M3060" s="1">
        <v>364000</v>
      </c>
      <c r="N3060">
        <v>4.0999999999999996</v>
      </c>
      <c r="O3060">
        <v>7</v>
      </c>
      <c r="P3060" s="2" t="s">
        <v>114</v>
      </c>
    </row>
    <row r="3061" spans="1:16" x14ac:dyDescent="0.25">
      <c r="A3061" s="2" t="s">
        <v>9221</v>
      </c>
      <c r="B3061" s="2" t="s">
        <v>9222</v>
      </c>
      <c r="C3061" s="2" t="s">
        <v>29</v>
      </c>
      <c r="D3061" s="2" t="s">
        <v>79</v>
      </c>
      <c r="E3061" s="2" t="s">
        <v>20</v>
      </c>
      <c r="F3061" s="2" t="s">
        <v>128</v>
      </c>
      <c r="G3061" s="2" t="s">
        <v>69</v>
      </c>
      <c r="H3061" s="2" t="s">
        <v>23</v>
      </c>
      <c r="I3061" s="2" t="s">
        <v>24</v>
      </c>
      <c r="J3061" s="2" t="s">
        <v>3345</v>
      </c>
      <c r="K3061" s="2" t="s">
        <v>651</v>
      </c>
      <c r="L3061">
        <v>5</v>
      </c>
      <c r="M3061" s="1">
        <v>456000</v>
      </c>
      <c r="N3061">
        <v>4.9000000000000004</v>
      </c>
      <c r="O3061">
        <v>12</v>
      </c>
      <c r="P3061" s="2" t="s">
        <v>26</v>
      </c>
    </row>
    <row r="3062" spans="1:16" x14ac:dyDescent="0.25">
      <c r="A3062" s="2" t="s">
        <v>9223</v>
      </c>
      <c r="B3062" s="2" t="s">
        <v>9224</v>
      </c>
      <c r="C3062" s="2" t="s">
        <v>18</v>
      </c>
      <c r="D3062" s="2" t="s">
        <v>19</v>
      </c>
      <c r="E3062" s="2" t="s">
        <v>20</v>
      </c>
      <c r="F3062" s="2" t="s">
        <v>39</v>
      </c>
      <c r="G3062" s="2" t="s">
        <v>69</v>
      </c>
      <c r="H3062" s="2" t="s">
        <v>62</v>
      </c>
      <c r="I3062" s="2" t="s">
        <v>24</v>
      </c>
      <c r="J3062" s="2" t="s">
        <v>7423</v>
      </c>
      <c r="K3062" s="2" t="s">
        <v>651</v>
      </c>
      <c r="L3062">
        <v>5</v>
      </c>
      <c r="M3062" s="1">
        <v>198000</v>
      </c>
      <c r="N3062">
        <v>4.0999999999999996</v>
      </c>
      <c r="O3062">
        <v>13</v>
      </c>
      <c r="P3062" s="2" t="s">
        <v>26</v>
      </c>
    </row>
    <row r="3063" spans="1:16" x14ac:dyDescent="0.25">
      <c r="A3063" s="2" t="s">
        <v>9225</v>
      </c>
      <c r="B3063" s="2" t="s">
        <v>8594</v>
      </c>
      <c r="C3063" s="2" t="s">
        <v>18</v>
      </c>
      <c r="D3063" s="2" t="s">
        <v>50</v>
      </c>
      <c r="E3063" s="2" t="s">
        <v>44</v>
      </c>
      <c r="F3063" s="2" t="s">
        <v>128</v>
      </c>
      <c r="G3063" s="2" t="s">
        <v>80</v>
      </c>
      <c r="H3063" s="2" t="s">
        <v>23</v>
      </c>
      <c r="I3063" s="2" t="s">
        <v>57</v>
      </c>
      <c r="J3063" s="2" t="s">
        <v>404</v>
      </c>
      <c r="K3063" s="2" t="s">
        <v>651</v>
      </c>
      <c r="L3063">
        <v>6</v>
      </c>
      <c r="M3063" s="1">
        <v>596000</v>
      </c>
      <c r="N3063">
        <v>2.6</v>
      </c>
      <c r="O3063">
        <v>4</v>
      </c>
      <c r="P3063" s="2" t="s">
        <v>53</v>
      </c>
    </row>
    <row r="3064" spans="1:16" x14ac:dyDescent="0.25">
      <c r="A3064" s="2" t="s">
        <v>9228</v>
      </c>
      <c r="B3064" s="2" t="s">
        <v>4712</v>
      </c>
      <c r="C3064" s="2" t="s">
        <v>18</v>
      </c>
      <c r="D3064" s="2" t="s">
        <v>30</v>
      </c>
      <c r="E3064" s="2" t="s">
        <v>20</v>
      </c>
      <c r="F3064" s="2" t="s">
        <v>39</v>
      </c>
      <c r="G3064" s="2" t="s">
        <v>22</v>
      </c>
      <c r="H3064" s="2" t="s">
        <v>62</v>
      </c>
      <c r="I3064" s="2" t="s">
        <v>24</v>
      </c>
      <c r="J3064" s="2" t="s">
        <v>4269</v>
      </c>
      <c r="K3064" s="2" t="s">
        <v>7727</v>
      </c>
      <c r="L3064">
        <v>3</v>
      </c>
      <c r="M3064" s="1">
        <v>126000</v>
      </c>
      <c r="N3064">
        <v>3.3</v>
      </c>
      <c r="O3064">
        <v>3</v>
      </c>
      <c r="P3064" s="2" t="s">
        <v>26</v>
      </c>
    </row>
    <row r="3065" spans="1:16" x14ac:dyDescent="0.25">
      <c r="A3065" s="2" t="s">
        <v>9230</v>
      </c>
      <c r="B3065" s="2" t="s">
        <v>9231</v>
      </c>
      <c r="C3065" s="2" t="s">
        <v>29</v>
      </c>
      <c r="D3065" s="2" t="s">
        <v>50</v>
      </c>
      <c r="E3065" s="2" t="s">
        <v>20</v>
      </c>
      <c r="F3065" s="2" t="s">
        <v>32</v>
      </c>
      <c r="G3065" s="2" t="s">
        <v>69</v>
      </c>
      <c r="H3065" s="2" t="s">
        <v>34</v>
      </c>
      <c r="I3065" s="2" t="s">
        <v>171</v>
      </c>
      <c r="J3065" s="2" t="s">
        <v>5676</v>
      </c>
      <c r="K3065" s="2" t="s">
        <v>7727</v>
      </c>
      <c r="L3065">
        <v>4</v>
      </c>
      <c r="M3065" s="1">
        <v>186000</v>
      </c>
      <c r="N3065">
        <v>3.2</v>
      </c>
      <c r="O3065">
        <v>6</v>
      </c>
      <c r="P3065" s="2" t="s">
        <v>26</v>
      </c>
    </row>
    <row r="3066" spans="1:16" x14ac:dyDescent="0.25">
      <c r="A3066" s="2" t="s">
        <v>9232</v>
      </c>
      <c r="B3066" s="2" t="s">
        <v>6605</v>
      </c>
      <c r="C3066" s="2" t="s">
        <v>29</v>
      </c>
      <c r="D3066" s="2" t="s">
        <v>30</v>
      </c>
      <c r="E3066" s="2" t="s">
        <v>20</v>
      </c>
      <c r="F3066" s="2" t="s">
        <v>32</v>
      </c>
      <c r="G3066" s="2" t="s">
        <v>80</v>
      </c>
      <c r="H3066" s="2" t="s">
        <v>46</v>
      </c>
      <c r="I3066" s="2" t="s">
        <v>24</v>
      </c>
      <c r="J3066" s="2" t="s">
        <v>1178</v>
      </c>
      <c r="K3066" s="2" t="s">
        <v>7727</v>
      </c>
      <c r="L3066">
        <v>5</v>
      </c>
      <c r="M3066" s="1">
        <v>263000</v>
      </c>
      <c r="N3066">
        <v>2</v>
      </c>
      <c r="O3066">
        <v>11</v>
      </c>
      <c r="P3066" s="2" t="s">
        <v>53</v>
      </c>
    </row>
    <row r="3067" spans="1:16" x14ac:dyDescent="0.25">
      <c r="A3067" s="2" t="s">
        <v>9233</v>
      </c>
      <c r="B3067" s="2" t="s">
        <v>8312</v>
      </c>
      <c r="C3067" s="2" t="s">
        <v>29</v>
      </c>
      <c r="D3067" s="2" t="s">
        <v>79</v>
      </c>
      <c r="E3067" s="2" t="s">
        <v>31</v>
      </c>
      <c r="F3067" s="2" t="s">
        <v>39</v>
      </c>
      <c r="G3067" s="2" t="s">
        <v>69</v>
      </c>
      <c r="H3067" s="2" t="s">
        <v>34</v>
      </c>
      <c r="I3067" s="2" t="s">
        <v>24</v>
      </c>
      <c r="J3067" s="2" t="s">
        <v>3593</v>
      </c>
      <c r="K3067" s="2" t="s">
        <v>9235</v>
      </c>
      <c r="L3067">
        <v>6</v>
      </c>
      <c r="M3067" s="1">
        <v>173000</v>
      </c>
      <c r="N3067">
        <v>4.3</v>
      </c>
      <c r="O3067">
        <v>11</v>
      </c>
      <c r="P3067" s="2" t="s">
        <v>26</v>
      </c>
    </row>
    <row r="3068" spans="1:16" x14ac:dyDescent="0.25">
      <c r="A3068" s="2" t="s">
        <v>9234</v>
      </c>
      <c r="B3068" s="2" t="s">
        <v>9132</v>
      </c>
      <c r="C3068" s="2" t="s">
        <v>29</v>
      </c>
      <c r="D3068" s="2" t="s">
        <v>19</v>
      </c>
      <c r="E3068" s="2" t="s">
        <v>20</v>
      </c>
      <c r="F3068" s="2" t="s">
        <v>128</v>
      </c>
      <c r="G3068" s="2" t="s">
        <v>69</v>
      </c>
      <c r="H3068" s="2" t="s">
        <v>46</v>
      </c>
      <c r="I3068" s="2" t="s">
        <v>35</v>
      </c>
      <c r="J3068" s="2" t="s">
        <v>8341</v>
      </c>
      <c r="K3068" s="2" t="s">
        <v>9235</v>
      </c>
      <c r="L3068">
        <v>3</v>
      </c>
      <c r="M3068" s="1">
        <v>660000</v>
      </c>
      <c r="N3068">
        <v>2.2000000000000002</v>
      </c>
      <c r="O3068">
        <v>12</v>
      </c>
      <c r="P3068" s="2" t="s">
        <v>72</v>
      </c>
    </row>
    <row r="3069" spans="1:16" x14ac:dyDescent="0.25">
      <c r="A3069" s="2" t="s">
        <v>9236</v>
      </c>
      <c r="B3069" s="2" t="s">
        <v>8182</v>
      </c>
      <c r="C3069" s="2" t="s">
        <v>29</v>
      </c>
      <c r="D3069" s="2" t="s">
        <v>19</v>
      </c>
      <c r="E3069" s="2" t="s">
        <v>20</v>
      </c>
      <c r="F3069" s="2" t="s">
        <v>45</v>
      </c>
      <c r="G3069" s="2" t="s">
        <v>22</v>
      </c>
      <c r="H3069" s="2" t="s">
        <v>23</v>
      </c>
      <c r="I3069" s="2" t="s">
        <v>24</v>
      </c>
      <c r="J3069" s="2" t="s">
        <v>1406</v>
      </c>
      <c r="K3069" s="2" t="s">
        <v>1164</v>
      </c>
      <c r="L3069">
        <v>4</v>
      </c>
      <c r="M3069" s="1">
        <v>1592000</v>
      </c>
      <c r="N3069">
        <v>3.4</v>
      </c>
      <c r="O3069">
        <v>30</v>
      </c>
      <c r="P3069" s="2" t="s">
        <v>26</v>
      </c>
    </row>
    <row r="3070" spans="1:16" x14ac:dyDescent="0.25">
      <c r="A3070" s="2" t="s">
        <v>9237</v>
      </c>
      <c r="B3070" s="2" t="s">
        <v>9238</v>
      </c>
      <c r="C3070" s="2" t="s">
        <v>18</v>
      </c>
      <c r="D3070" s="2" t="s">
        <v>19</v>
      </c>
      <c r="E3070" s="2" t="s">
        <v>44</v>
      </c>
      <c r="F3070" s="2" t="s">
        <v>128</v>
      </c>
      <c r="G3070" s="2" t="s">
        <v>22</v>
      </c>
      <c r="H3070" s="2" t="s">
        <v>34</v>
      </c>
      <c r="I3070" s="2" t="s">
        <v>24</v>
      </c>
      <c r="J3070" s="2" t="s">
        <v>1257</v>
      </c>
      <c r="K3070" s="2" t="s">
        <v>1164</v>
      </c>
      <c r="L3070">
        <v>5</v>
      </c>
      <c r="M3070" s="1">
        <v>554000</v>
      </c>
      <c r="N3070">
        <v>2.6</v>
      </c>
      <c r="O3070">
        <v>6</v>
      </c>
      <c r="P3070" s="2" t="s">
        <v>26</v>
      </c>
    </row>
    <row r="3071" spans="1:16" x14ac:dyDescent="0.25">
      <c r="A3071" s="2" t="s">
        <v>9239</v>
      </c>
      <c r="B3071" s="2" t="s">
        <v>2388</v>
      </c>
      <c r="C3071" s="2" t="s">
        <v>29</v>
      </c>
      <c r="D3071" s="2" t="s">
        <v>79</v>
      </c>
      <c r="E3071" s="2" t="s">
        <v>20</v>
      </c>
      <c r="F3071" s="2" t="s">
        <v>45</v>
      </c>
      <c r="G3071" s="2" t="s">
        <v>22</v>
      </c>
      <c r="H3071" s="2" t="s">
        <v>23</v>
      </c>
      <c r="I3071" s="2" t="s">
        <v>35</v>
      </c>
      <c r="J3071" s="2" t="s">
        <v>3545</v>
      </c>
      <c r="K3071" s="2" t="s">
        <v>1164</v>
      </c>
      <c r="L3071">
        <v>2</v>
      </c>
      <c r="M3071" s="1">
        <v>974000</v>
      </c>
      <c r="N3071">
        <v>3.4</v>
      </c>
      <c r="O3071">
        <v>11</v>
      </c>
      <c r="P3071" s="2" t="s">
        <v>72</v>
      </c>
    </row>
    <row r="3072" spans="1:16" x14ac:dyDescent="0.25">
      <c r="A3072" s="2" t="s">
        <v>9241</v>
      </c>
      <c r="B3072" s="2" t="s">
        <v>7726</v>
      </c>
      <c r="C3072" s="2" t="s">
        <v>18</v>
      </c>
      <c r="D3072" s="2" t="s">
        <v>43</v>
      </c>
      <c r="E3072" s="2" t="s">
        <v>20</v>
      </c>
      <c r="F3072" s="2" t="s">
        <v>32</v>
      </c>
      <c r="G3072" s="2" t="s">
        <v>69</v>
      </c>
      <c r="H3072" s="2" t="s">
        <v>62</v>
      </c>
      <c r="I3072" s="2" t="s">
        <v>35</v>
      </c>
      <c r="J3072" s="2" t="s">
        <v>5917</v>
      </c>
      <c r="K3072" s="2" t="s">
        <v>6184</v>
      </c>
      <c r="L3072">
        <v>4</v>
      </c>
      <c r="M3072" s="1">
        <v>279000</v>
      </c>
      <c r="N3072">
        <v>2.2000000000000002</v>
      </c>
      <c r="O3072">
        <v>15</v>
      </c>
      <c r="P3072" s="2" t="s">
        <v>26</v>
      </c>
    </row>
    <row r="3073" spans="1:16" x14ac:dyDescent="0.25">
      <c r="A3073" s="2" t="s">
        <v>9247</v>
      </c>
      <c r="B3073" s="2" t="s">
        <v>1287</v>
      </c>
      <c r="C3073" s="2" t="s">
        <v>18</v>
      </c>
      <c r="D3073" s="2" t="s">
        <v>79</v>
      </c>
      <c r="E3073" s="2" t="s">
        <v>20</v>
      </c>
      <c r="F3073" s="2" t="s">
        <v>21</v>
      </c>
      <c r="G3073" s="2" t="s">
        <v>80</v>
      </c>
      <c r="H3073" s="2" t="s">
        <v>23</v>
      </c>
      <c r="I3073" s="2" t="s">
        <v>75</v>
      </c>
      <c r="J3073" s="2" t="s">
        <v>5764</v>
      </c>
      <c r="K3073" s="2" t="s">
        <v>6184</v>
      </c>
      <c r="L3073">
        <v>5</v>
      </c>
      <c r="M3073" s="1">
        <v>912000</v>
      </c>
      <c r="N3073">
        <v>4.5999999999999996</v>
      </c>
      <c r="O3073">
        <v>5</v>
      </c>
      <c r="P3073" s="2" t="s">
        <v>72</v>
      </c>
    </row>
    <row r="3074" spans="1:16" x14ac:dyDescent="0.25">
      <c r="A3074" s="2" t="s">
        <v>9248</v>
      </c>
      <c r="B3074" s="2" t="s">
        <v>60</v>
      </c>
      <c r="C3074" s="2" t="s">
        <v>18</v>
      </c>
      <c r="D3074" s="2" t="s">
        <v>19</v>
      </c>
      <c r="E3074" s="2" t="s">
        <v>44</v>
      </c>
      <c r="F3074" s="2" t="s">
        <v>128</v>
      </c>
      <c r="G3074" s="2" t="s">
        <v>33</v>
      </c>
      <c r="H3074" s="2" t="s">
        <v>23</v>
      </c>
      <c r="I3074" s="2" t="s">
        <v>35</v>
      </c>
      <c r="J3074" s="2" t="s">
        <v>3369</v>
      </c>
      <c r="K3074" s="2" t="s">
        <v>1683</v>
      </c>
      <c r="L3074">
        <v>3</v>
      </c>
      <c r="M3074" s="1">
        <v>539000</v>
      </c>
      <c r="N3074">
        <v>3.6</v>
      </c>
      <c r="O3074">
        <v>0</v>
      </c>
      <c r="P3074" s="2" t="s">
        <v>53</v>
      </c>
    </row>
    <row r="3075" spans="1:16" x14ac:dyDescent="0.25">
      <c r="A3075" s="2" t="s">
        <v>9249</v>
      </c>
      <c r="B3075" s="2" t="s">
        <v>1374</v>
      </c>
      <c r="C3075" s="2" t="s">
        <v>29</v>
      </c>
      <c r="D3075" s="2" t="s">
        <v>79</v>
      </c>
      <c r="E3075" s="2" t="s">
        <v>44</v>
      </c>
      <c r="F3075" s="2" t="s">
        <v>32</v>
      </c>
      <c r="G3075" s="2" t="s">
        <v>69</v>
      </c>
      <c r="H3075" s="2" t="s">
        <v>34</v>
      </c>
      <c r="I3075" s="2" t="s">
        <v>57</v>
      </c>
      <c r="J3075" s="2" t="s">
        <v>1605</v>
      </c>
      <c r="K3075" s="2" t="s">
        <v>4994</v>
      </c>
      <c r="L3075">
        <v>3</v>
      </c>
      <c r="M3075" s="1">
        <v>278000</v>
      </c>
      <c r="N3075">
        <v>4.7</v>
      </c>
      <c r="O3075">
        <v>6</v>
      </c>
      <c r="P3075" s="2" t="s">
        <v>26</v>
      </c>
    </row>
    <row r="3076" spans="1:16" x14ac:dyDescent="0.25">
      <c r="A3076" s="2" t="s">
        <v>9250</v>
      </c>
      <c r="B3076" s="2" t="s">
        <v>9251</v>
      </c>
      <c r="C3076" s="2" t="s">
        <v>29</v>
      </c>
      <c r="D3076" s="2" t="s">
        <v>79</v>
      </c>
      <c r="E3076" s="2" t="s">
        <v>20</v>
      </c>
      <c r="F3076" s="2" t="s">
        <v>128</v>
      </c>
      <c r="G3076" s="2" t="s">
        <v>80</v>
      </c>
      <c r="H3076" s="2" t="s">
        <v>34</v>
      </c>
      <c r="I3076" s="2" t="s">
        <v>171</v>
      </c>
      <c r="J3076" s="2" t="s">
        <v>3785</v>
      </c>
      <c r="K3076" s="2" t="s">
        <v>4994</v>
      </c>
      <c r="L3076">
        <v>6</v>
      </c>
      <c r="M3076" s="1">
        <v>428000</v>
      </c>
      <c r="N3076">
        <v>3.2</v>
      </c>
      <c r="O3076">
        <v>6</v>
      </c>
      <c r="P3076" s="2" t="s">
        <v>26</v>
      </c>
    </row>
    <row r="3077" spans="1:16" x14ac:dyDescent="0.25">
      <c r="A3077" s="2" t="s">
        <v>9252</v>
      </c>
      <c r="B3077" s="2" t="s">
        <v>4004</v>
      </c>
      <c r="C3077" s="2" t="s">
        <v>29</v>
      </c>
      <c r="D3077" s="2" t="s">
        <v>50</v>
      </c>
      <c r="E3077" s="2" t="s">
        <v>20</v>
      </c>
      <c r="F3077" s="2" t="s">
        <v>39</v>
      </c>
      <c r="G3077" s="2" t="s">
        <v>80</v>
      </c>
      <c r="H3077" s="2" t="s">
        <v>34</v>
      </c>
      <c r="I3077" s="2" t="s">
        <v>24</v>
      </c>
      <c r="J3077" s="2" t="s">
        <v>7971</v>
      </c>
      <c r="K3077" s="2" t="s">
        <v>4994</v>
      </c>
      <c r="L3077">
        <v>3</v>
      </c>
      <c r="M3077" s="1">
        <v>87000</v>
      </c>
      <c r="N3077">
        <v>3</v>
      </c>
      <c r="O3077">
        <v>11</v>
      </c>
      <c r="P3077" s="2" t="s">
        <v>26</v>
      </c>
    </row>
    <row r="3078" spans="1:16" x14ac:dyDescent="0.25">
      <c r="A3078" s="2" t="s">
        <v>9253</v>
      </c>
      <c r="B3078" s="2" t="s">
        <v>9254</v>
      </c>
      <c r="C3078" s="2" t="s">
        <v>18</v>
      </c>
      <c r="D3078" s="2" t="s">
        <v>79</v>
      </c>
      <c r="E3078" s="2" t="s">
        <v>44</v>
      </c>
      <c r="F3078" s="2" t="s">
        <v>39</v>
      </c>
      <c r="G3078" s="2" t="s">
        <v>22</v>
      </c>
      <c r="H3078" s="2" t="s">
        <v>23</v>
      </c>
      <c r="I3078" s="2" t="s">
        <v>57</v>
      </c>
      <c r="J3078" s="2" t="s">
        <v>4169</v>
      </c>
      <c r="K3078" s="2" t="s">
        <v>4994</v>
      </c>
      <c r="L3078">
        <v>6</v>
      </c>
      <c r="M3078" s="1">
        <v>140000</v>
      </c>
      <c r="N3078">
        <v>4.0999999999999996</v>
      </c>
      <c r="O3078">
        <v>5</v>
      </c>
      <c r="P3078" s="2" t="s">
        <v>53</v>
      </c>
    </row>
    <row r="3079" spans="1:16" x14ac:dyDescent="0.25">
      <c r="A3079" s="2" t="s">
        <v>9255</v>
      </c>
      <c r="B3079" s="2" t="s">
        <v>483</v>
      </c>
      <c r="C3079" s="2" t="s">
        <v>18</v>
      </c>
      <c r="D3079" s="2" t="s">
        <v>50</v>
      </c>
      <c r="E3079" s="2" t="s">
        <v>20</v>
      </c>
      <c r="F3079" s="2" t="s">
        <v>21</v>
      </c>
      <c r="G3079" s="2" t="s">
        <v>80</v>
      </c>
      <c r="H3079" s="2" t="s">
        <v>34</v>
      </c>
      <c r="I3079" s="2" t="s">
        <v>57</v>
      </c>
      <c r="J3079" s="2" t="s">
        <v>3472</v>
      </c>
      <c r="K3079" s="2" t="s">
        <v>1260</v>
      </c>
      <c r="L3079">
        <v>4</v>
      </c>
      <c r="M3079" s="1">
        <v>839000</v>
      </c>
      <c r="N3079">
        <v>3.2</v>
      </c>
      <c r="O3079">
        <v>7</v>
      </c>
      <c r="P3079" s="2" t="s">
        <v>26</v>
      </c>
    </row>
    <row r="3080" spans="1:16" x14ac:dyDescent="0.25">
      <c r="A3080" s="2" t="s">
        <v>9256</v>
      </c>
      <c r="B3080" s="2" t="s">
        <v>195</v>
      </c>
      <c r="C3080" s="2" t="s">
        <v>18</v>
      </c>
      <c r="D3080" s="2" t="s">
        <v>30</v>
      </c>
      <c r="E3080" s="2" t="s">
        <v>20</v>
      </c>
      <c r="F3080" s="2" t="s">
        <v>21</v>
      </c>
      <c r="G3080" s="2" t="s">
        <v>80</v>
      </c>
      <c r="H3080" s="2" t="s">
        <v>23</v>
      </c>
      <c r="I3080" s="2" t="s">
        <v>57</v>
      </c>
      <c r="J3080" s="2" t="s">
        <v>1983</v>
      </c>
      <c r="K3080" s="2" t="s">
        <v>1260</v>
      </c>
      <c r="L3080">
        <v>6</v>
      </c>
      <c r="M3080" s="1">
        <v>800000</v>
      </c>
      <c r="N3080">
        <v>3.5</v>
      </c>
      <c r="O3080">
        <v>14</v>
      </c>
      <c r="P3080" s="2" t="s">
        <v>53</v>
      </c>
    </row>
    <row r="3081" spans="1:16" x14ac:dyDescent="0.25">
      <c r="A3081" s="2" t="s">
        <v>9257</v>
      </c>
      <c r="B3081" s="2" t="s">
        <v>6480</v>
      </c>
      <c r="C3081" s="2" t="s">
        <v>18</v>
      </c>
      <c r="D3081" s="2" t="s">
        <v>79</v>
      </c>
      <c r="E3081" s="2" t="s">
        <v>20</v>
      </c>
      <c r="F3081" s="2" t="s">
        <v>39</v>
      </c>
      <c r="G3081" s="2" t="s">
        <v>69</v>
      </c>
      <c r="H3081" s="2" t="s">
        <v>23</v>
      </c>
      <c r="I3081" s="2" t="s">
        <v>75</v>
      </c>
      <c r="J3081" s="2" t="s">
        <v>1875</v>
      </c>
      <c r="K3081" s="2" t="s">
        <v>929</v>
      </c>
      <c r="L3081">
        <v>5</v>
      </c>
      <c r="M3081" s="1">
        <v>128000</v>
      </c>
      <c r="N3081">
        <v>4.7</v>
      </c>
      <c r="O3081">
        <v>11</v>
      </c>
      <c r="P3081" s="2" t="s">
        <v>26</v>
      </c>
    </row>
    <row r="3082" spans="1:16" x14ac:dyDescent="0.25">
      <c r="A3082" s="2" t="s">
        <v>9259</v>
      </c>
      <c r="B3082" s="2" t="s">
        <v>4842</v>
      </c>
      <c r="C3082" s="2" t="s">
        <v>29</v>
      </c>
      <c r="D3082" s="2" t="s">
        <v>50</v>
      </c>
      <c r="E3082" s="2" t="s">
        <v>20</v>
      </c>
      <c r="F3082" s="2" t="s">
        <v>39</v>
      </c>
      <c r="G3082" s="2" t="s">
        <v>80</v>
      </c>
      <c r="H3082" s="2" t="s">
        <v>34</v>
      </c>
      <c r="I3082" s="2" t="s">
        <v>24</v>
      </c>
      <c r="J3082" s="2" t="s">
        <v>3905</v>
      </c>
      <c r="K3082" s="2" t="s">
        <v>929</v>
      </c>
      <c r="L3082">
        <v>2</v>
      </c>
      <c r="M3082" s="1">
        <v>96000</v>
      </c>
      <c r="N3082">
        <v>2.6</v>
      </c>
      <c r="O3082">
        <v>1</v>
      </c>
      <c r="P3082" s="2" t="s">
        <v>26</v>
      </c>
    </row>
    <row r="3083" spans="1:16" x14ac:dyDescent="0.25">
      <c r="A3083" s="2" t="s">
        <v>9260</v>
      </c>
      <c r="B3083" s="2" t="s">
        <v>9261</v>
      </c>
      <c r="C3083" s="2" t="s">
        <v>18</v>
      </c>
      <c r="D3083" s="2" t="s">
        <v>79</v>
      </c>
      <c r="E3083" s="2" t="s">
        <v>20</v>
      </c>
      <c r="F3083" s="2" t="s">
        <v>21</v>
      </c>
      <c r="G3083" s="2" t="s">
        <v>80</v>
      </c>
      <c r="H3083" s="2" t="s">
        <v>23</v>
      </c>
      <c r="I3083" s="2" t="s">
        <v>57</v>
      </c>
      <c r="J3083" s="2" t="s">
        <v>503</v>
      </c>
      <c r="K3083" s="2" t="s">
        <v>929</v>
      </c>
      <c r="L3083">
        <v>5</v>
      </c>
      <c r="M3083" s="1">
        <v>620000</v>
      </c>
      <c r="N3083">
        <v>4</v>
      </c>
      <c r="O3083">
        <v>0</v>
      </c>
      <c r="P3083" s="2" t="s">
        <v>26</v>
      </c>
    </row>
    <row r="3084" spans="1:16" x14ac:dyDescent="0.25">
      <c r="A3084" s="2" t="s">
        <v>9262</v>
      </c>
      <c r="B3084" s="2" t="s">
        <v>9263</v>
      </c>
      <c r="C3084" s="2" t="s">
        <v>29</v>
      </c>
      <c r="D3084" s="2" t="s">
        <v>79</v>
      </c>
      <c r="E3084" s="2" t="s">
        <v>20</v>
      </c>
      <c r="F3084" s="2" t="s">
        <v>128</v>
      </c>
      <c r="G3084" s="2" t="s">
        <v>22</v>
      </c>
      <c r="H3084" s="2" t="s">
        <v>23</v>
      </c>
      <c r="I3084" s="2" t="s">
        <v>24</v>
      </c>
      <c r="J3084" s="2" t="s">
        <v>3734</v>
      </c>
      <c r="K3084" s="2" t="s">
        <v>929</v>
      </c>
      <c r="L3084">
        <v>4</v>
      </c>
      <c r="M3084" s="1">
        <v>578000</v>
      </c>
      <c r="N3084">
        <v>4</v>
      </c>
      <c r="O3084">
        <v>0</v>
      </c>
      <c r="P3084" s="2" t="s">
        <v>26</v>
      </c>
    </row>
    <row r="3085" spans="1:16" x14ac:dyDescent="0.25">
      <c r="A3085" s="2" t="s">
        <v>9265</v>
      </c>
      <c r="B3085" s="2" t="s">
        <v>6002</v>
      </c>
      <c r="C3085" s="2" t="s">
        <v>29</v>
      </c>
      <c r="D3085" s="2" t="s">
        <v>30</v>
      </c>
      <c r="E3085" s="2" t="s">
        <v>44</v>
      </c>
      <c r="F3085" s="2" t="s">
        <v>39</v>
      </c>
      <c r="G3085" s="2" t="s">
        <v>22</v>
      </c>
      <c r="H3085" s="2" t="s">
        <v>46</v>
      </c>
      <c r="I3085" s="2" t="s">
        <v>75</v>
      </c>
      <c r="J3085" s="2" t="s">
        <v>7653</v>
      </c>
      <c r="K3085" s="2" t="s">
        <v>929</v>
      </c>
      <c r="L3085">
        <v>2</v>
      </c>
      <c r="M3085" s="1">
        <v>166000</v>
      </c>
      <c r="N3085">
        <v>3.1</v>
      </c>
      <c r="O3085">
        <v>2</v>
      </c>
      <c r="P3085" s="2" t="s">
        <v>26</v>
      </c>
    </row>
    <row r="3086" spans="1:16" x14ac:dyDescent="0.25">
      <c r="A3086" s="2" t="s">
        <v>9266</v>
      </c>
      <c r="B3086" s="2" t="s">
        <v>2901</v>
      </c>
      <c r="C3086" s="2" t="s">
        <v>29</v>
      </c>
      <c r="D3086" s="2" t="s">
        <v>79</v>
      </c>
      <c r="E3086" s="2" t="s">
        <v>20</v>
      </c>
      <c r="F3086" s="2" t="s">
        <v>128</v>
      </c>
      <c r="G3086" s="2" t="s">
        <v>22</v>
      </c>
      <c r="H3086" s="2" t="s">
        <v>46</v>
      </c>
      <c r="I3086" s="2" t="s">
        <v>24</v>
      </c>
      <c r="J3086" s="2" t="s">
        <v>5039</v>
      </c>
      <c r="K3086" s="2" t="s">
        <v>929</v>
      </c>
      <c r="L3086">
        <v>2</v>
      </c>
      <c r="M3086" s="1">
        <v>423000</v>
      </c>
      <c r="N3086">
        <v>4.5999999999999996</v>
      </c>
      <c r="O3086">
        <v>5</v>
      </c>
      <c r="P3086" s="2" t="s">
        <v>26</v>
      </c>
    </row>
    <row r="3087" spans="1:16" x14ac:dyDescent="0.25">
      <c r="A3087" s="2" t="s">
        <v>9267</v>
      </c>
      <c r="B3087" s="2" t="s">
        <v>3096</v>
      </c>
      <c r="C3087" s="2" t="s">
        <v>29</v>
      </c>
      <c r="D3087" s="2" t="s">
        <v>50</v>
      </c>
      <c r="E3087" s="2" t="s">
        <v>31</v>
      </c>
      <c r="F3087" s="2" t="s">
        <v>39</v>
      </c>
      <c r="G3087" s="2" t="s">
        <v>33</v>
      </c>
      <c r="H3087" s="2" t="s">
        <v>23</v>
      </c>
      <c r="I3087" s="2" t="s">
        <v>24</v>
      </c>
      <c r="J3087" s="2" t="s">
        <v>1648</v>
      </c>
      <c r="K3087" s="2" t="s">
        <v>929</v>
      </c>
      <c r="L3087">
        <v>5</v>
      </c>
      <c r="M3087" s="1">
        <v>96000</v>
      </c>
      <c r="N3087">
        <v>3.6</v>
      </c>
      <c r="O3087">
        <v>20</v>
      </c>
      <c r="P3087" s="2" t="s">
        <v>26</v>
      </c>
    </row>
    <row r="3088" spans="1:16" x14ac:dyDescent="0.25">
      <c r="A3088" s="2" t="s">
        <v>9268</v>
      </c>
      <c r="B3088" s="2" t="s">
        <v>9269</v>
      </c>
      <c r="C3088" s="2" t="s">
        <v>18</v>
      </c>
      <c r="D3088" s="2" t="s">
        <v>50</v>
      </c>
      <c r="E3088" s="2" t="s">
        <v>20</v>
      </c>
      <c r="F3088" s="2" t="s">
        <v>39</v>
      </c>
      <c r="G3088" s="2" t="s">
        <v>22</v>
      </c>
      <c r="H3088" s="2" t="s">
        <v>46</v>
      </c>
      <c r="I3088" s="2" t="s">
        <v>57</v>
      </c>
      <c r="J3088" s="2" t="s">
        <v>5806</v>
      </c>
      <c r="K3088" s="2" t="s">
        <v>929</v>
      </c>
      <c r="L3088">
        <v>4</v>
      </c>
      <c r="M3088" s="1">
        <v>132000</v>
      </c>
      <c r="N3088">
        <v>3.8</v>
      </c>
      <c r="O3088">
        <v>7</v>
      </c>
      <c r="P3088" s="2" t="s">
        <v>26</v>
      </c>
    </row>
    <row r="3089" spans="1:16" x14ac:dyDescent="0.25">
      <c r="A3089" s="2" t="s">
        <v>9272</v>
      </c>
      <c r="B3089" s="2" t="s">
        <v>297</v>
      </c>
      <c r="C3089" s="2" t="s">
        <v>29</v>
      </c>
      <c r="D3089" s="2" t="s">
        <v>19</v>
      </c>
      <c r="E3089" s="2" t="s">
        <v>20</v>
      </c>
      <c r="F3089" s="2" t="s">
        <v>128</v>
      </c>
      <c r="G3089" s="2" t="s">
        <v>33</v>
      </c>
      <c r="H3089" s="2" t="s">
        <v>34</v>
      </c>
      <c r="I3089" s="2" t="s">
        <v>75</v>
      </c>
      <c r="J3089" s="2" t="s">
        <v>3670</v>
      </c>
      <c r="K3089" s="2" t="s">
        <v>929</v>
      </c>
      <c r="L3089">
        <v>3</v>
      </c>
      <c r="M3089" s="1">
        <v>422000</v>
      </c>
      <c r="N3089">
        <v>3.8</v>
      </c>
      <c r="O3089">
        <v>25</v>
      </c>
      <c r="P3089" s="2" t="s">
        <v>26</v>
      </c>
    </row>
    <row r="3090" spans="1:16" x14ac:dyDescent="0.25">
      <c r="A3090" s="2" t="s">
        <v>9273</v>
      </c>
      <c r="B3090" s="2" t="s">
        <v>9274</v>
      </c>
      <c r="C3090" s="2" t="s">
        <v>29</v>
      </c>
      <c r="D3090" s="2" t="s">
        <v>30</v>
      </c>
      <c r="E3090" s="2" t="s">
        <v>20</v>
      </c>
      <c r="F3090" s="2" t="s">
        <v>21</v>
      </c>
      <c r="G3090" s="2" t="s">
        <v>80</v>
      </c>
      <c r="H3090" s="2" t="s">
        <v>46</v>
      </c>
      <c r="I3090" s="2" t="s">
        <v>171</v>
      </c>
      <c r="J3090" s="2" t="s">
        <v>609</v>
      </c>
      <c r="K3090" s="2" t="s">
        <v>929</v>
      </c>
      <c r="L3090">
        <v>5</v>
      </c>
      <c r="M3090" s="1">
        <v>737000</v>
      </c>
      <c r="N3090">
        <v>4.7</v>
      </c>
      <c r="O3090">
        <v>11</v>
      </c>
      <c r="P3090" s="2" t="s">
        <v>26</v>
      </c>
    </row>
    <row r="3091" spans="1:16" x14ac:dyDescent="0.25">
      <c r="A3091" s="2" t="s">
        <v>9279</v>
      </c>
      <c r="B3091" s="2" t="s">
        <v>6893</v>
      </c>
      <c r="C3091" s="2" t="s">
        <v>18</v>
      </c>
      <c r="D3091" s="2" t="s">
        <v>50</v>
      </c>
      <c r="E3091" s="2" t="s">
        <v>31</v>
      </c>
      <c r="F3091" s="2" t="s">
        <v>32</v>
      </c>
      <c r="G3091" s="2" t="s">
        <v>33</v>
      </c>
      <c r="H3091" s="2" t="s">
        <v>23</v>
      </c>
      <c r="I3091" s="2" t="s">
        <v>24</v>
      </c>
      <c r="J3091" s="2" t="s">
        <v>5361</v>
      </c>
      <c r="K3091" s="2" t="s">
        <v>929</v>
      </c>
      <c r="L3091">
        <v>5</v>
      </c>
      <c r="M3091" s="1">
        <v>347000</v>
      </c>
      <c r="N3091">
        <v>4.8</v>
      </c>
      <c r="O3091">
        <v>2</v>
      </c>
      <c r="P3091" s="2" t="s">
        <v>26</v>
      </c>
    </row>
    <row r="3092" spans="1:16" x14ac:dyDescent="0.25">
      <c r="A3092" s="2" t="s">
        <v>9280</v>
      </c>
      <c r="B3092" s="2" t="s">
        <v>725</v>
      </c>
      <c r="C3092" s="2" t="s">
        <v>29</v>
      </c>
      <c r="D3092" s="2" t="s">
        <v>79</v>
      </c>
      <c r="E3092" s="2" t="s">
        <v>20</v>
      </c>
      <c r="F3092" s="2" t="s">
        <v>39</v>
      </c>
      <c r="G3092" s="2" t="s">
        <v>22</v>
      </c>
      <c r="H3092" s="2" t="s">
        <v>23</v>
      </c>
      <c r="I3092" s="2" t="s">
        <v>24</v>
      </c>
      <c r="J3092" s="2" t="s">
        <v>4049</v>
      </c>
      <c r="K3092" s="2" t="s">
        <v>929</v>
      </c>
      <c r="L3092">
        <v>6</v>
      </c>
      <c r="M3092" s="1">
        <v>139000</v>
      </c>
      <c r="N3092">
        <v>4</v>
      </c>
      <c r="O3092">
        <v>12</v>
      </c>
      <c r="P3092" s="2" t="s">
        <v>26</v>
      </c>
    </row>
    <row r="3093" spans="1:16" x14ac:dyDescent="0.25">
      <c r="A3093" s="2" t="s">
        <v>9283</v>
      </c>
      <c r="B3093" s="2" t="s">
        <v>9284</v>
      </c>
      <c r="C3093" s="2" t="s">
        <v>29</v>
      </c>
      <c r="D3093" s="2" t="s">
        <v>30</v>
      </c>
      <c r="E3093" s="2" t="s">
        <v>20</v>
      </c>
      <c r="F3093" s="2" t="s">
        <v>39</v>
      </c>
      <c r="G3093" s="2" t="s">
        <v>33</v>
      </c>
      <c r="H3093" s="2" t="s">
        <v>62</v>
      </c>
      <c r="I3093" s="2" t="s">
        <v>35</v>
      </c>
      <c r="J3093" s="2" t="s">
        <v>1591</v>
      </c>
      <c r="K3093" s="2" t="s">
        <v>929</v>
      </c>
      <c r="L3093">
        <v>5</v>
      </c>
      <c r="M3093" s="1">
        <v>114000</v>
      </c>
      <c r="N3093">
        <v>2.2000000000000002</v>
      </c>
      <c r="O3093">
        <v>5</v>
      </c>
      <c r="P3093" s="2" t="s">
        <v>53</v>
      </c>
    </row>
    <row r="3094" spans="1:16" x14ac:dyDescent="0.25">
      <c r="A3094" s="2" t="s">
        <v>9285</v>
      </c>
      <c r="B3094" s="2" t="s">
        <v>3927</v>
      </c>
      <c r="C3094" s="2" t="s">
        <v>29</v>
      </c>
      <c r="D3094" s="2" t="s">
        <v>19</v>
      </c>
      <c r="E3094" s="2" t="s">
        <v>20</v>
      </c>
      <c r="F3094" s="2" t="s">
        <v>39</v>
      </c>
      <c r="G3094" s="2" t="s">
        <v>33</v>
      </c>
      <c r="H3094" s="2" t="s">
        <v>23</v>
      </c>
      <c r="I3094" s="2" t="s">
        <v>75</v>
      </c>
      <c r="J3094" s="2" t="s">
        <v>5751</v>
      </c>
      <c r="K3094" s="2" t="s">
        <v>4280</v>
      </c>
      <c r="L3094">
        <v>4</v>
      </c>
      <c r="M3094" s="1">
        <v>198000</v>
      </c>
      <c r="N3094">
        <v>3.1</v>
      </c>
      <c r="O3094">
        <v>9</v>
      </c>
      <c r="P3094" s="2" t="s">
        <v>53</v>
      </c>
    </row>
    <row r="3095" spans="1:16" x14ac:dyDescent="0.25">
      <c r="A3095" s="2" t="s">
        <v>9288</v>
      </c>
      <c r="B3095" s="2" t="s">
        <v>8768</v>
      </c>
      <c r="C3095" s="2" t="s">
        <v>18</v>
      </c>
      <c r="D3095" s="2" t="s">
        <v>50</v>
      </c>
      <c r="E3095" s="2" t="s">
        <v>20</v>
      </c>
      <c r="F3095" s="2" t="s">
        <v>32</v>
      </c>
      <c r="G3095" s="2" t="s">
        <v>22</v>
      </c>
      <c r="H3095" s="2" t="s">
        <v>34</v>
      </c>
      <c r="I3095" s="2" t="s">
        <v>24</v>
      </c>
      <c r="J3095" s="2" t="s">
        <v>735</v>
      </c>
      <c r="K3095" s="2" t="s">
        <v>1347</v>
      </c>
      <c r="L3095">
        <v>5</v>
      </c>
      <c r="M3095" s="1">
        <v>242000</v>
      </c>
      <c r="N3095">
        <v>3.5</v>
      </c>
      <c r="O3095">
        <v>8</v>
      </c>
      <c r="P3095" s="2" t="s">
        <v>26</v>
      </c>
    </row>
    <row r="3096" spans="1:16" x14ac:dyDescent="0.25">
      <c r="A3096" s="2" t="s">
        <v>9289</v>
      </c>
      <c r="B3096" s="2" t="s">
        <v>9290</v>
      </c>
      <c r="C3096" s="2" t="s">
        <v>29</v>
      </c>
      <c r="D3096" s="2" t="s">
        <v>50</v>
      </c>
      <c r="E3096" s="2" t="s">
        <v>20</v>
      </c>
      <c r="F3096" s="2" t="s">
        <v>128</v>
      </c>
      <c r="G3096" s="2" t="s">
        <v>80</v>
      </c>
      <c r="H3096" s="2" t="s">
        <v>23</v>
      </c>
      <c r="I3096" s="2" t="s">
        <v>57</v>
      </c>
      <c r="J3096" s="2" t="s">
        <v>9291</v>
      </c>
      <c r="K3096" s="2" t="s">
        <v>1347</v>
      </c>
      <c r="L3096">
        <v>6</v>
      </c>
      <c r="M3096" s="1">
        <v>592000</v>
      </c>
      <c r="N3096">
        <v>3</v>
      </c>
      <c r="O3096">
        <v>3</v>
      </c>
      <c r="P3096" s="2" t="s">
        <v>53</v>
      </c>
    </row>
    <row r="3097" spans="1:16" x14ac:dyDescent="0.25">
      <c r="A3097" s="2" t="s">
        <v>9292</v>
      </c>
      <c r="B3097" s="2" t="s">
        <v>7367</v>
      </c>
      <c r="C3097" s="2" t="s">
        <v>18</v>
      </c>
      <c r="D3097" s="2" t="s">
        <v>30</v>
      </c>
      <c r="E3097" s="2" t="s">
        <v>20</v>
      </c>
      <c r="F3097" s="2" t="s">
        <v>32</v>
      </c>
      <c r="G3097" s="2" t="s">
        <v>69</v>
      </c>
      <c r="H3097" s="2" t="s">
        <v>23</v>
      </c>
      <c r="I3097" s="2" t="s">
        <v>75</v>
      </c>
      <c r="J3097" s="2" t="s">
        <v>3183</v>
      </c>
      <c r="K3097" s="2" t="s">
        <v>1771</v>
      </c>
      <c r="L3097">
        <v>2</v>
      </c>
      <c r="M3097" s="1">
        <v>198000</v>
      </c>
      <c r="N3097">
        <v>2.9</v>
      </c>
      <c r="O3097">
        <v>12</v>
      </c>
      <c r="P3097" s="2" t="s">
        <v>26</v>
      </c>
    </row>
    <row r="3098" spans="1:16" x14ac:dyDescent="0.25">
      <c r="A3098" s="2" t="s">
        <v>9293</v>
      </c>
      <c r="B3098" s="2" t="s">
        <v>4815</v>
      </c>
      <c r="C3098" s="2" t="s">
        <v>18</v>
      </c>
      <c r="D3098" s="2" t="s">
        <v>19</v>
      </c>
      <c r="E3098" s="2" t="s">
        <v>31</v>
      </c>
      <c r="F3098" s="2" t="s">
        <v>128</v>
      </c>
      <c r="G3098" s="2" t="s">
        <v>22</v>
      </c>
      <c r="H3098" s="2" t="s">
        <v>23</v>
      </c>
      <c r="I3098" s="2" t="s">
        <v>24</v>
      </c>
      <c r="J3098" s="2" t="s">
        <v>1240</v>
      </c>
      <c r="K3098" s="2" t="s">
        <v>1771</v>
      </c>
      <c r="L3098">
        <v>3</v>
      </c>
      <c r="M3098" s="1">
        <v>450000</v>
      </c>
      <c r="N3098">
        <v>2.1</v>
      </c>
      <c r="O3098">
        <v>35</v>
      </c>
      <c r="P3098" s="2" t="s">
        <v>26</v>
      </c>
    </row>
    <row r="3099" spans="1:16" x14ac:dyDescent="0.25">
      <c r="A3099" s="2" t="s">
        <v>9300</v>
      </c>
      <c r="B3099" s="2" t="s">
        <v>2302</v>
      </c>
      <c r="C3099" s="2" t="s">
        <v>18</v>
      </c>
      <c r="D3099" s="2" t="s">
        <v>50</v>
      </c>
      <c r="E3099" s="2" t="s">
        <v>20</v>
      </c>
      <c r="F3099" s="2" t="s">
        <v>32</v>
      </c>
      <c r="G3099" s="2" t="s">
        <v>22</v>
      </c>
      <c r="H3099" s="2" t="s">
        <v>46</v>
      </c>
      <c r="I3099" s="2" t="s">
        <v>24</v>
      </c>
      <c r="J3099" s="2" t="s">
        <v>1668</v>
      </c>
      <c r="K3099" s="2" t="s">
        <v>1771</v>
      </c>
      <c r="L3099">
        <v>6</v>
      </c>
      <c r="M3099" s="1">
        <v>231000</v>
      </c>
      <c r="N3099">
        <v>4</v>
      </c>
      <c r="O3099">
        <v>6</v>
      </c>
      <c r="P3099" s="2" t="s">
        <v>53</v>
      </c>
    </row>
    <row r="3100" spans="1:16" x14ac:dyDescent="0.25">
      <c r="A3100" s="2" t="s">
        <v>9301</v>
      </c>
      <c r="B3100" s="2" t="s">
        <v>9302</v>
      </c>
      <c r="C3100" s="2" t="s">
        <v>29</v>
      </c>
      <c r="D3100" s="2" t="s">
        <v>50</v>
      </c>
      <c r="E3100" s="2" t="s">
        <v>20</v>
      </c>
      <c r="F3100" s="2" t="s">
        <v>128</v>
      </c>
      <c r="G3100" s="2" t="s">
        <v>22</v>
      </c>
      <c r="H3100" s="2" t="s">
        <v>46</v>
      </c>
      <c r="I3100" s="2" t="s">
        <v>24</v>
      </c>
      <c r="J3100" s="2" t="s">
        <v>8199</v>
      </c>
      <c r="K3100" s="2" t="s">
        <v>6461</v>
      </c>
      <c r="L3100">
        <v>4</v>
      </c>
      <c r="M3100" s="1">
        <v>517000</v>
      </c>
      <c r="N3100">
        <v>4.9000000000000004</v>
      </c>
      <c r="O3100">
        <v>8</v>
      </c>
      <c r="P3100" s="2" t="s">
        <v>26</v>
      </c>
    </row>
    <row r="3101" spans="1:16" x14ac:dyDescent="0.25">
      <c r="A3101" s="2" t="s">
        <v>9304</v>
      </c>
      <c r="B3101" s="2" t="s">
        <v>9305</v>
      </c>
      <c r="C3101" s="2" t="s">
        <v>18</v>
      </c>
      <c r="D3101" s="2" t="s">
        <v>79</v>
      </c>
      <c r="E3101" s="2" t="s">
        <v>44</v>
      </c>
      <c r="F3101" s="2" t="s">
        <v>32</v>
      </c>
      <c r="G3101" s="2" t="s">
        <v>22</v>
      </c>
      <c r="H3101" s="2" t="s">
        <v>46</v>
      </c>
      <c r="I3101" s="2" t="s">
        <v>35</v>
      </c>
      <c r="J3101" s="2" t="s">
        <v>2282</v>
      </c>
      <c r="K3101" s="2" t="s">
        <v>6461</v>
      </c>
      <c r="L3101">
        <v>5</v>
      </c>
      <c r="M3101" s="1">
        <v>284000</v>
      </c>
      <c r="N3101">
        <v>4.9000000000000004</v>
      </c>
      <c r="O3101">
        <v>13</v>
      </c>
      <c r="P3101" s="2" t="s">
        <v>72</v>
      </c>
    </row>
    <row r="3102" spans="1:16" x14ac:dyDescent="0.25">
      <c r="A3102" s="2" t="s">
        <v>9306</v>
      </c>
      <c r="B3102" s="2" t="s">
        <v>2142</v>
      </c>
      <c r="C3102" s="2" t="s">
        <v>18</v>
      </c>
      <c r="D3102" s="2" t="s">
        <v>50</v>
      </c>
      <c r="E3102" s="2" t="s">
        <v>20</v>
      </c>
      <c r="F3102" s="2" t="s">
        <v>32</v>
      </c>
      <c r="G3102" s="2" t="s">
        <v>33</v>
      </c>
      <c r="H3102" s="2" t="s">
        <v>46</v>
      </c>
      <c r="I3102" s="2" t="s">
        <v>35</v>
      </c>
      <c r="J3102" s="2" t="s">
        <v>5902</v>
      </c>
      <c r="K3102" s="2" t="s">
        <v>3054</v>
      </c>
      <c r="L3102">
        <v>5</v>
      </c>
      <c r="M3102" s="1">
        <v>287000</v>
      </c>
      <c r="N3102">
        <v>2.4</v>
      </c>
      <c r="O3102">
        <v>21</v>
      </c>
      <c r="P3102" s="2" t="s">
        <v>26</v>
      </c>
    </row>
    <row r="3103" spans="1:16" x14ac:dyDescent="0.25">
      <c r="A3103" s="2" t="s">
        <v>9307</v>
      </c>
      <c r="B3103" s="2" t="s">
        <v>9308</v>
      </c>
      <c r="C3103" s="2" t="s">
        <v>29</v>
      </c>
      <c r="D3103" s="2" t="s">
        <v>43</v>
      </c>
      <c r="E3103" s="2" t="s">
        <v>31</v>
      </c>
      <c r="F3103" s="2" t="s">
        <v>128</v>
      </c>
      <c r="G3103" s="2" t="s">
        <v>69</v>
      </c>
      <c r="H3103" s="2" t="s">
        <v>23</v>
      </c>
      <c r="I3103" s="2" t="s">
        <v>24</v>
      </c>
      <c r="J3103" s="2" t="s">
        <v>6509</v>
      </c>
      <c r="K3103" s="2" t="s">
        <v>3054</v>
      </c>
      <c r="L3103">
        <v>4</v>
      </c>
      <c r="M3103" s="1">
        <v>442000</v>
      </c>
      <c r="N3103">
        <v>3.1</v>
      </c>
      <c r="O3103">
        <v>10</v>
      </c>
      <c r="P3103" s="2" t="s">
        <v>72</v>
      </c>
    </row>
    <row r="3104" spans="1:16" x14ac:dyDescent="0.25">
      <c r="A3104" s="2" t="s">
        <v>9310</v>
      </c>
      <c r="B3104" s="2" t="s">
        <v>5440</v>
      </c>
      <c r="C3104" s="2" t="s">
        <v>29</v>
      </c>
      <c r="D3104" s="2" t="s">
        <v>30</v>
      </c>
      <c r="E3104" s="2" t="s">
        <v>44</v>
      </c>
      <c r="F3104" s="2" t="s">
        <v>32</v>
      </c>
      <c r="G3104" s="2" t="s">
        <v>80</v>
      </c>
      <c r="H3104" s="2" t="s">
        <v>46</v>
      </c>
      <c r="I3104" s="2" t="s">
        <v>35</v>
      </c>
      <c r="J3104" s="2" t="s">
        <v>787</v>
      </c>
      <c r="K3104" s="2" t="s">
        <v>858</v>
      </c>
      <c r="L3104">
        <v>5</v>
      </c>
      <c r="M3104" s="1">
        <v>316000</v>
      </c>
      <c r="N3104">
        <v>2.6</v>
      </c>
      <c r="O3104">
        <v>12</v>
      </c>
      <c r="P3104" s="2" t="s">
        <v>53</v>
      </c>
    </row>
    <row r="3105" spans="1:16" x14ac:dyDescent="0.25">
      <c r="A3105" s="2" t="s">
        <v>9311</v>
      </c>
      <c r="B3105" s="2" t="s">
        <v>5248</v>
      </c>
      <c r="C3105" s="2" t="s">
        <v>18</v>
      </c>
      <c r="D3105" s="2" t="s">
        <v>50</v>
      </c>
      <c r="E3105" s="2" t="s">
        <v>20</v>
      </c>
      <c r="F3105" s="2" t="s">
        <v>32</v>
      </c>
      <c r="G3105" s="2" t="s">
        <v>22</v>
      </c>
      <c r="H3105" s="2" t="s">
        <v>34</v>
      </c>
      <c r="I3105" s="2" t="s">
        <v>24</v>
      </c>
      <c r="J3105" s="2" t="s">
        <v>1347</v>
      </c>
      <c r="K3105" s="2" t="s">
        <v>7193</v>
      </c>
      <c r="L3105">
        <v>5</v>
      </c>
      <c r="M3105" s="1">
        <v>337000</v>
      </c>
      <c r="N3105">
        <v>2.2999999999999998</v>
      </c>
      <c r="O3105">
        <v>39</v>
      </c>
      <c r="P3105" s="2" t="s">
        <v>53</v>
      </c>
    </row>
    <row r="3106" spans="1:16" x14ac:dyDescent="0.25">
      <c r="A3106" s="2" t="s">
        <v>9312</v>
      </c>
      <c r="B3106" s="2" t="s">
        <v>2515</v>
      </c>
      <c r="C3106" s="2" t="s">
        <v>18</v>
      </c>
      <c r="D3106" s="2" t="s">
        <v>79</v>
      </c>
      <c r="E3106" s="2" t="s">
        <v>20</v>
      </c>
      <c r="F3106" s="2" t="s">
        <v>32</v>
      </c>
      <c r="G3106" s="2" t="s">
        <v>69</v>
      </c>
      <c r="H3106" s="2" t="s">
        <v>34</v>
      </c>
      <c r="I3106" s="2" t="s">
        <v>75</v>
      </c>
      <c r="J3106" s="2" t="s">
        <v>7926</v>
      </c>
      <c r="K3106" s="2" t="s">
        <v>2941</v>
      </c>
      <c r="L3106">
        <v>5</v>
      </c>
      <c r="M3106" s="1">
        <v>225000</v>
      </c>
      <c r="N3106">
        <v>4.2</v>
      </c>
      <c r="O3106">
        <v>1</v>
      </c>
      <c r="P3106" s="2" t="s">
        <v>26</v>
      </c>
    </row>
    <row r="3107" spans="1:16" x14ac:dyDescent="0.25">
      <c r="A3107" s="2" t="s">
        <v>9314</v>
      </c>
      <c r="B3107" s="2" t="s">
        <v>5257</v>
      </c>
      <c r="C3107" s="2" t="s">
        <v>18</v>
      </c>
      <c r="D3107" s="2" t="s">
        <v>50</v>
      </c>
      <c r="E3107" s="2" t="s">
        <v>20</v>
      </c>
      <c r="F3107" s="2" t="s">
        <v>21</v>
      </c>
      <c r="G3107" s="2" t="s">
        <v>33</v>
      </c>
      <c r="H3107" s="2" t="s">
        <v>23</v>
      </c>
      <c r="I3107" s="2" t="s">
        <v>57</v>
      </c>
      <c r="J3107" s="2" t="s">
        <v>8713</v>
      </c>
      <c r="K3107" s="2" t="s">
        <v>2941</v>
      </c>
      <c r="L3107">
        <v>3</v>
      </c>
      <c r="M3107" s="1">
        <v>774000</v>
      </c>
      <c r="N3107">
        <v>3.1</v>
      </c>
      <c r="O3107">
        <v>30</v>
      </c>
      <c r="P3107" s="2" t="s">
        <v>26</v>
      </c>
    </row>
    <row r="3108" spans="1:16" x14ac:dyDescent="0.25">
      <c r="A3108" s="2" t="s">
        <v>9316</v>
      </c>
      <c r="B3108" s="2" t="s">
        <v>9317</v>
      </c>
      <c r="C3108" s="2" t="s">
        <v>18</v>
      </c>
      <c r="D3108" s="2" t="s">
        <v>50</v>
      </c>
      <c r="E3108" s="2" t="s">
        <v>20</v>
      </c>
      <c r="F3108" s="2" t="s">
        <v>32</v>
      </c>
      <c r="G3108" s="2" t="s">
        <v>69</v>
      </c>
      <c r="H3108" s="2" t="s">
        <v>46</v>
      </c>
      <c r="I3108" s="2" t="s">
        <v>57</v>
      </c>
      <c r="J3108" s="2" t="s">
        <v>9318</v>
      </c>
      <c r="K3108" s="2" t="s">
        <v>2941</v>
      </c>
      <c r="L3108">
        <v>5</v>
      </c>
      <c r="M3108" s="1">
        <v>203000</v>
      </c>
      <c r="N3108">
        <v>2.2999999999999998</v>
      </c>
      <c r="O3108">
        <v>2</v>
      </c>
      <c r="P3108" s="2" t="s">
        <v>26</v>
      </c>
    </row>
    <row r="3109" spans="1:16" x14ac:dyDescent="0.25">
      <c r="A3109" s="2" t="s">
        <v>9320</v>
      </c>
      <c r="B3109" s="2" t="s">
        <v>7224</v>
      </c>
      <c r="C3109" s="2" t="s">
        <v>18</v>
      </c>
      <c r="D3109" s="2" t="s">
        <v>50</v>
      </c>
      <c r="E3109" s="2" t="s">
        <v>20</v>
      </c>
      <c r="F3109" s="2" t="s">
        <v>128</v>
      </c>
      <c r="G3109" s="2" t="s">
        <v>22</v>
      </c>
      <c r="H3109" s="2" t="s">
        <v>34</v>
      </c>
      <c r="I3109" s="2" t="s">
        <v>57</v>
      </c>
      <c r="J3109" s="2" t="s">
        <v>5228</v>
      </c>
      <c r="K3109" s="2" t="s">
        <v>2941</v>
      </c>
      <c r="L3109">
        <v>6</v>
      </c>
      <c r="M3109" s="1">
        <v>371000</v>
      </c>
      <c r="N3109">
        <v>2</v>
      </c>
      <c r="O3109">
        <v>37</v>
      </c>
      <c r="P3109" s="2" t="s">
        <v>26</v>
      </c>
    </row>
    <row r="3110" spans="1:16" x14ac:dyDescent="0.25">
      <c r="A3110" s="2" t="s">
        <v>9323</v>
      </c>
      <c r="B3110" s="2" t="s">
        <v>4110</v>
      </c>
      <c r="C3110" s="2" t="s">
        <v>18</v>
      </c>
      <c r="D3110" s="2" t="s">
        <v>50</v>
      </c>
      <c r="E3110" s="2" t="s">
        <v>31</v>
      </c>
      <c r="F3110" s="2" t="s">
        <v>39</v>
      </c>
      <c r="G3110" s="2" t="s">
        <v>33</v>
      </c>
      <c r="H3110" s="2" t="s">
        <v>46</v>
      </c>
      <c r="I3110" s="2" t="s">
        <v>57</v>
      </c>
      <c r="J3110" s="2" t="s">
        <v>5143</v>
      </c>
      <c r="K3110" s="2" t="s">
        <v>2941</v>
      </c>
      <c r="L3110">
        <v>2</v>
      </c>
      <c r="M3110" s="1">
        <v>122000</v>
      </c>
      <c r="N3110">
        <v>2</v>
      </c>
      <c r="O3110">
        <v>0</v>
      </c>
      <c r="P3110" s="2" t="s">
        <v>26</v>
      </c>
    </row>
    <row r="3111" spans="1:16" x14ac:dyDescent="0.25">
      <c r="A3111" s="2" t="s">
        <v>9324</v>
      </c>
      <c r="B3111" s="2" t="s">
        <v>7115</v>
      </c>
      <c r="C3111" s="2" t="s">
        <v>18</v>
      </c>
      <c r="D3111" s="2" t="s">
        <v>43</v>
      </c>
      <c r="E3111" s="2" t="s">
        <v>20</v>
      </c>
      <c r="F3111" s="2" t="s">
        <v>32</v>
      </c>
      <c r="G3111" s="2" t="s">
        <v>80</v>
      </c>
      <c r="H3111" s="2" t="s">
        <v>62</v>
      </c>
      <c r="I3111" s="2" t="s">
        <v>24</v>
      </c>
      <c r="J3111" s="2" t="s">
        <v>1538</v>
      </c>
      <c r="K3111" s="2" t="s">
        <v>2941</v>
      </c>
      <c r="L3111">
        <v>2</v>
      </c>
      <c r="M3111" s="1">
        <v>261000</v>
      </c>
      <c r="N3111">
        <v>4.0999999999999996</v>
      </c>
      <c r="O3111">
        <v>13</v>
      </c>
      <c r="P3111" s="2" t="s">
        <v>53</v>
      </c>
    </row>
    <row r="3112" spans="1:16" x14ac:dyDescent="0.25">
      <c r="A3112" s="2" t="s">
        <v>9325</v>
      </c>
      <c r="B3112" s="2" t="s">
        <v>4945</v>
      </c>
      <c r="C3112" s="2" t="s">
        <v>18</v>
      </c>
      <c r="D3112" s="2" t="s">
        <v>185</v>
      </c>
      <c r="E3112" s="2" t="s">
        <v>44</v>
      </c>
      <c r="F3112" s="2" t="s">
        <v>39</v>
      </c>
      <c r="G3112" s="2" t="s">
        <v>33</v>
      </c>
      <c r="H3112" s="2" t="s">
        <v>34</v>
      </c>
      <c r="I3112" s="2" t="s">
        <v>24</v>
      </c>
      <c r="J3112" s="2" t="s">
        <v>4249</v>
      </c>
      <c r="K3112" s="2" t="s">
        <v>4002</v>
      </c>
      <c r="L3112">
        <v>6</v>
      </c>
      <c r="M3112" s="1">
        <v>104000</v>
      </c>
      <c r="N3112">
        <v>4.9000000000000004</v>
      </c>
      <c r="O3112">
        <v>9</v>
      </c>
      <c r="P3112" s="2" t="s">
        <v>53</v>
      </c>
    </row>
    <row r="3113" spans="1:16" x14ac:dyDescent="0.25">
      <c r="A3113" s="2" t="s">
        <v>9326</v>
      </c>
      <c r="B3113" s="2" t="s">
        <v>9327</v>
      </c>
      <c r="C3113" s="2" t="s">
        <v>18</v>
      </c>
      <c r="D3113" s="2" t="s">
        <v>30</v>
      </c>
      <c r="E3113" s="2" t="s">
        <v>20</v>
      </c>
      <c r="F3113" s="2" t="s">
        <v>39</v>
      </c>
      <c r="G3113" s="2" t="s">
        <v>22</v>
      </c>
      <c r="H3113" s="2" t="s">
        <v>46</v>
      </c>
      <c r="I3113" s="2" t="s">
        <v>57</v>
      </c>
      <c r="J3113" s="2" t="s">
        <v>4713</v>
      </c>
      <c r="K3113" s="2" t="s">
        <v>3690</v>
      </c>
      <c r="L3113">
        <v>6</v>
      </c>
      <c r="M3113" s="1">
        <v>99000</v>
      </c>
      <c r="N3113">
        <v>3.1</v>
      </c>
      <c r="O3113">
        <v>17</v>
      </c>
      <c r="P3113" s="2" t="s">
        <v>53</v>
      </c>
    </row>
    <row r="3114" spans="1:16" x14ac:dyDescent="0.25">
      <c r="A3114" s="2" t="s">
        <v>9330</v>
      </c>
      <c r="B3114" s="2" t="s">
        <v>7512</v>
      </c>
      <c r="C3114" s="2" t="s">
        <v>18</v>
      </c>
      <c r="D3114" s="2" t="s">
        <v>30</v>
      </c>
      <c r="E3114" s="2" t="s">
        <v>31</v>
      </c>
      <c r="F3114" s="2" t="s">
        <v>32</v>
      </c>
      <c r="G3114" s="2" t="s">
        <v>33</v>
      </c>
      <c r="H3114" s="2" t="s">
        <v>62</v>
      </c>
      <c r="I3114" s="2" t="s">
        <v>24</v>
      </c>
      <c r="J3114" s="2" t="s">
        <v>4790</v>
      </c>
      <c r="K3114" s="2" t="s">
        <v>831</v>
      </c>
      <c r="L3114">
        <v>3</v>
      </c>
      <c r="M3114" s="1">
        <v>318000</v>
      </c>
      <c r="N3114">
        <v>3.9</v>
      </c>
      <c r="O3114">
        <v>11</v>
      </c>
      <c r="P3114" s="2" t="s">
        <v>53</v>
      </c>
    </row>
    <row r="3115" spans="1:16" x14ac:dyDescent="0.25">
      <c r="A3115" s="2" t="s">
        <v>9331</v>
      </c>
      <c r="B3115" s="2" t="s">
        <v>2462</v>
      </c>
      <c r="C3115" s="2" t="s">
        <v>18</v>
      </c>
      <c r="D3115" s="2" t="s">
        <v>79</v>
      </c>
      <c r="E3115" s="2" t="s">
        <v>20</v>
      </c>
      <c r="F3115" s="2" t="s">
        <v>39</v>
      </c>
      <c r="G3115" s="2" t="s">
        <v>22</v>
      </c>
      <c r="H3115" s="2" t="s">
        <v>62</v>
      </c>
      <c r="I3115" s="2" t="s">
        <v>57</v>
      </c>
      <c r="J3115" s="2" t="s">
        <v>8758</v>
      </c>
      <c r="K3115" s="2" t="s">
        <v>622</v>
      </c>
      <c r="L3115">
        <v>2</v>
      </c>
      <c r="M3115" s="1">
        <v>106000</v>
      </c>
      <c r="N3115">
        <v>3</v>
      </c>
      <c r="O3115">
        <v>15</v>
      </c>
      <c r="P3115" s="2" t="s">
        <v>26</v>
      </c>
    </row>
    <row r="3116" spans="1:16" x14ac:dyDescent="0.25">
      <c r="A3116" s="2" t="s">
        <v>9332</v>
      </c>
      <c r="B3116" s="2" t="s">
        <v>399</v>
      </c>
      <c r="C3116" s="2" t="s">
        <v>18</v>
      </c>
      <c r="D3116" s="2" t="s">
        <v>79</v>
      </c>
      <c r="E3116" s="2" t="s">
        <v>31</v>
      </c>
      <c r="F3116" s="2" t="s">
        <v>32</v>
      </c>
      <c r="G3116" s="2" t="s">
        <v>22</v>
      </c>
      <c r="H3116" s="2" t="s">
        <v>23</v>
      </c>
      <c r="I3116" s="2" t="s">
        <v>24</v>
      </c>
      <c r="J3116" s="2" t="s">
        <v>199</v>
      </c>
      <c r="K3116" s="2" t="s">
        <v>622</v>
      </c>
      <c r="L3116">
        <v>5</v>
      </c>
      <c r="M3116" s="1">
        <v>196000</v>
      </c>
      <c r="N3116">
        <v>4.9000000000000004</v>
      </c>
      <c r="O3116">
        <v>11</v>
      </c>
      <c r="P3116" s="2" t="s">
        <v>53</v>
      </c>
    </row>
    <row r="3117" spans="1:16" x14ac:dyDescent="0.25">
      <c r="A3117" s="2" t="s">
        <v>9334</v>
      </c>
      <c r="B3117" s="2" t="s">
        <v>934</v>
      </c>
      <c r="C3117" s="2" t="s">
        <v>18</v>
      </c>
      <c r="D3117" s="2" t="s">
        <v>30</v>
      </c>
      <c r="E3117" s="2" t="s">
        <v>44</v>
      </c>
      <c r="F3117" s="2" t="s">
        <v>128</v>
      </c>
      <c r="G3117" s="2" t="s">
        <v>33</v>
      </c>
      <c r="H3117" s="2" t="s">
        <v>23</v>
      </c>
      <c r="I3117" s="2" t="s">
        <v>35</v>
      </c>
      <c r="J3117" s="2" t="s">
        <v>4742</v>
      </c>
      <c r="K3117" s="2" t="s">
        <v>2675</v>
      </c>
      <c r="L3117">
        <v>5</v>
      </c>
      <c r="M3117" s="1">
        <v>509000</v>
      </c>
      <c r="N3117">
        <v>4.4000000000000004</v>
      </c>
      <c r="O3117">
        <v>11</v>
      </c>
      <c r="P3117" s="2" t="s">
        <v>53</v>
      </c>
    </row>
    <row r="3118" spans="1:16" x14ac:dyDescent="0.25">
      <c r="A3118" s="2" t="s">
        <v>9335</v>
      </c>
      <c r="B3118" s="2" t="s">
        <v>5456</v>
      </c>
      <c r="C3118" s="2" t="s">
        <v>18</v>
      </c>
      <c r="D3118" s="2" t="s">
        <v>30</v>
      </c>
      <c r="E3118" s="2" t="s">
        <v>20</v>
      </c>
      <c r="F3118" s="2" t="s">
        <v>21</v>
      </c>
      <c r="G3118" s="2" t="s">
        <v>33</v>
      </c>
      <c r="H3118" s="2" t="s">
        <v>23</v>
      </c>
      <c r="I3118" s="2" t="s">
        <v>35</v>
      </c>
      <c r="J3118" s="2" t="s">
        <v>9336</v>
      </c>
      <c r="K3118" s="2" t="s">
        <v>3242</v>
      </c>
      <c r="L3118">
        <v>4</v>
      </c>
      <c r="M3118" s="1">
        <v>774000</v>
      </c>
      <c r="N3118">
        <v>4.5999999999999996</v>
      </c>
      <c r="O3118">
        <v>40</v>
      </c>
      <c r="P3118" s="2" t="s">
        <v>26</v>
      </c>
    </row>
    <row r="3119" spans="1:16" x14ac:dyDescent="0.25">
      <c r="A3119" s="2" t="s">
        <v>9338</v>
      </c>
      <c r="B3119" s="2" t="s">
        <v>582</v>
      </c>
      <c r="C3119" s="2" t="s">
        <v>18</v>
      </c>
      <c r="D3119" s="2" t="s">
        <v>30</v>
      </c>
      <c r="E3119" s="2" t="s">
        <v>44</v>
      </c>
      <c r="F3119" s="2" t="s">
        <v>39</v>
      </c>
      <c r="G3119" s="2" t="s">
        <v>22</v>
      </c>
      <c r="H3119" s="2" t="s">
        <v>23</v>
      </c>
      <c r="I3119" s="2" t="s">
        <v>24</v>
      </c>
      <c r="J3119" s="2" t="s">
        <v>2224</v>
      </c>
      <c r="K3119" s="2" t="s">
        <v>3242</v>
      </c>
      <c r="L3119">
        <v>3</v>
      </c>
      <c r="M3119" s="1">
        <v>159000</v>
      </c>
      <c r="N3119">
        <v>2.4</v>
      </c>
      <c r="O3119">
        <v>10</v>
      </c>
      <c r="P3119" s="2" t="s">
        <v>53</v>
      </c>
    </row>
    <row r="3120" spans="1:16" x14ac:dyDescent="0.25">
      <c r="A3120" s="2" t="s">
        <v>9339</v>
      </c>
      <c r="B3120" s="2" t="s">
        <v>377</v>
      </c>
      <c r="C3120" s="2" t="s">
        <v>18</v>
      </c>
      <c r="D3120" s="2" t="s">
        <v>19</v>
      </c>
      <c r="E3120" s="2" t="s">
        <v>20</v>
      </c>
      <c r="F3120" s="2" t="s">
        <v>21</v>
      </c>
      <c r="G3120" s="2" t="s">
        <v>80</v>
      </c>
      <c r="H3120" s="2" t="s">
        <v>23</v>
      </c>
      <c r="I3120" s="2" t="s">
        <v>24</v>
      </c>
      <c r="J3120" s="2" t="s">
        <v>6655</v>
      </c>
      <c r="K3120" s="2" t="s">
        <v>6774</v>
      </c>
      <c r="L3120">
        <v>5</v>
      </c>
      <c r="M3120" s="1">
        <v>1012000</v>
      </c>
      <c r="N3120">
        <v>4.9000000000000004</v>
      </c>
      <c r="O3120">
        <v>4</v>
      </c>
      <c r="P3120" s="2" t="s">
        <v>26</v>
      </c>
    </row>
    <row r="3121" spans="1:16" x14ac:dyDescent="0.25">
      <c r="A3121" s="2" t="s">
        <v>9340</v>
      </c>
      <c r="B3121" s="2" t="s">
        <v>9341</v>
      </c>
      <c r="C3121" s="2" t="s">
        <v>18</v>
      </c>
      <c r="D3121" s="2" t="s">
        <v>79</v>
      </c>
      <c r="E3121" s="2" t="s">
        <v>20</v>
      </c>
      <c r="F3121" s="2" t="s">
        <v>45</v>
      </c>
      <c r="G3121" s="2" t="s">
        <v>22</v>
      </c>
      <c r="H3121" s="2" t="s">
        <v>23</v>
      </c>
      <c r="I3121" s="2" t="s">
        <v>35</v>
      </c>
      <c r="J3121" s="2" t="s">
        <v>2863</v>
      </c>
      <c r="K3121" s="2" t="s">
        <v>6774</v>
      </c>
      <c r="L3121">
        <v>6</v>
      </c>
      <c r="M3121" s="1">
        <v>1521000</v>
      </c>
      <c r="N3121">
        <v>4.9000000000000004</v>
      </c>
      <c r="O3121">
        <v>13</v>
      </c>
      <c r="P3121" s="2" t="s">
        <v>26</v>
      </c>
    </row>
    <row r="3122" spans="1:16" x14ac:dyDescent="0.25">
      <c r="A3122" s="2" t="s">
        <v>9342</v>
      </c>
      <c r="B3122" s="2" t="s">
        <v>9343</v>
      </c>
      <c r="C3122" s="2" t="s">
        <v>18</v>
      </c>
      <c r="D3122" s="2" t="s">
        <v>19</v>
      </c>
      <c r="E3122" s="2" t="s">
        <v>31</v>
      </c>
      <c r="F3122" s="2" t="s">
        <v>32</v>
      </c>
      <c r="G3122" s="2" t="s">
        <v>22</v>
      </c>
      <c r="H3122" s="2" t="s">
        <v>23</v>
      </c>
      <c r="I3122" s="2" t="s">
        <v>24</v>
      </c>
      <c r="J3122" s="2" t="s">
        <v>196</v>
      </c>
      <c r="K3122" s="2" t="s">
        <v>6774</v>
      </c>
      <c r="L3122">
        <v>3</v>
      </c>
      <c r="M3122" s="1">
        <v>385000</v>
      </c>
      <c r="N3122">
        <v>3.3</v>
      </c>
      <c r="O3122">
        <v>9</v>
      </c>
      <c r="P3122" s="2" t="s">
        <v>26</v>
      </c>
    </row>
    <row r="3123" spans="1:16" x14ac:dyDescent="0.25">
      <c r="A3123" s="2" t="s">
        <v>9345</v>
      </c>
      <c r="B3123" s="2" t="s">
        <v>9346</v>
      </c>
      <c r="C3123" s="2" t="s">
        <v>18</v>
      </c>
      <c r="D3123" s="2" t="s">
        <v>43</v>
      </c>
      <c r="E3123" s="2" t="s">
        <v>20</v>
      </c>
      <c r="F3123" s="2" t="s">
        <v>128</v>
      </c>
      <c r="G3123" s="2" t="s">
        <v>22</v>
      </c>
      <c r="H3123" s="2" t="s">
        <v>23</v>
      </c>
      <c r="I3123" s="2" t="s">
        <v>24</v>
      </c>
      <c r="J3123" s="2" t="s">
        <v>1028</v>
      </c>
      <c r="K3123" s="2" t="s">
        <v>6774</v>
      </c>
      <c r="L3123">
        <v>4</v>
      </c>
      <c r="M3123" s="1">
        <v>427000</v>
      </c>
      <c r="N3123">
        <v>3.1</v>
      </c>
      <c r="O3123">
        <v>3</v>
      </c>
      <c r="P3123" s="2" t="s">
        <v>26</v>
      </c>
    </row>
    <row r="3124" spans="1:16" x14ac:dyDescent="0.25">
      <c r="A3124" s="2" t="s">
        <v>9347</v>
      </c>
      <c r="B3124" s="2" t="s">
        <v>3651</v>
      </c>
      <c r="C3124" s="2" t="s">
        <v>29</v>
      </c>
      <c r="D3124" s="2" t="s">
        <v>43</v>
      </c>
      <c r="E3124" s="2" t="s">
        <v>20</v>
      </c>
      <c r="F3124" s="2" t="s">
        <v>32</v>
      </c>
      <c r="G3124" s="2" t="s">
        <v>22</v>
      </c>
      <c r="H3124" s="2" t="s">
        <v>23</v>
      </c>
      <c r="I3124" s="2" t="s">
        <v>35</v>
      </c>
      <c r="J3124" s="2" t="s">
        <v>8652</v>
      </c>
      <c r="K3124" s="2" t="s">
        <v>6774</v>
      </c>
      <c r="L3124">
        <v>6</v>
      </c>
      <c r="M3124" s="1">
        <v>304000</v>
      </c>
      <c r="N3124">
        <v>4.5</v>
      </c>
      <c r="O3124">
        <v>6</v>
      </c>
      <c r="P3124" s="2" t="s">
        <v>26</v>
      </c>
    </row>
    <row r="3125" spans="1:16" x14ac:dyDescent="0.25">
      <c r="A3125" s="2" t="s">
        <v>9348</v>
      </c>
      <c r="B3125" s="2" t="s">
        <v>9349</v>
      </c>
      <c r="C3125" s="2" t="s">
        <v>18</v>
      </c>
      <c r="D3125" s="2" t="s">
        <v>50</v>
      </c>
      <c r="E3125" s="2" t="s">
        <v>20</v>
      </c>
      <c r="F3125" s="2" t="s">
        <v>128</v>
      </c>
      <c r="G3125" s="2" t="s">
        <v>80</v>
      </c>
      <c r="H3125" s="2" t="s">
        <v>34</v>
      </c>
      <c r="I3125" s="2" t="s">
        <v>24</v>
      </c>
      <c r="J3125" s="2" t="s">
        <v>1145</v>
      </c>
      <c r="K3125" s="2" t="s">
        <v>6774</v>
      </c>
      <c r="L3125">
        <v>3</v>
      </c>
      <c r="M3125" s="1">
        <v>378000</v>
      </c>
      <c r="N3125">
        <v>4.2</v>
      </c>
      <c r="O3125">
        <v>7</v>
      </c>
      <c r="P3125" s="2" t="s">
        <v>72</v>
      </c>
    </row>
    <row r="3126" spans="1:16" x14ac:dyDescent="0.25">
      <c r="A3126" s="2" t="s">
        <v>9350</v>
      </c>
      <c r="B3126" s="2" t="s">
        <v>2028</v>
      </c>
      <c r="C3126" s="2" t="s">
        <v>18</v>
      </c>
      <c r="D3126" s="2" t="s">
        <v>50</v>
      </c>
      <c r="E3126" s="2" t="s">
        <v>20</v>
      </c>
      <c r="F3126" s="2" t="s">
        <v>39</v>
      </c>
      <c r="G3126" s="2" t="s">
        <v>33</v>
      </c>
      <c r="H3126" s="2" t="s">
        <v>46</v>
      </c>
      <c r="I3126" s="2" t="s">
        <v>35</v>
      </c>
      <c r="J3126" s="2" t="s">
        <v>4201</v>
      </c>
      <c r="K3126" s="2" t="s">
        <v>2047</v>
      </c>
      <c r="L3126">
        <v>6</v>
      </c>
      <c r="M3126" s="1">
        <v>127000</v>
      </c>
      <c r="N3126">
        <v>2.4</v>
      </c>
      <c r="O3126">
        <v>3</v>
      </c>
      <c r="P3126" s="2" t="s">
        <v>26</v>
      </c>
    </row>
    <row r="3127" spans="1:16" x14ac:dyDescent="0.25">
      <c r="A3127" s="2" t="s">
        <v>9351</v>
      </c>
      <c r="B3127" s="2" t="s">
        <v>9352</v>
      </c>
      <c r="C3127" s="2" t="s">
        <v>29</v>
      </c>
      <c r="D3127" s="2" t="s">
        <v>79</v>
      </c>
      <c r="E3127" s="2" t="s">
        <v>20</v>
      </c>
      <c r="F3127" s="2" t="s">
        <v>21</v>
      </c>
      <c r="G3127" s="2" t="s">
        <v>69</v>
      </c>
      <c r="H3127" s="2" t="s">
        <v>34</v>
      </c>
      <c r="I3127" s="2" t="s">
        <v>75</v>
      </c>
      <c r="J3127" s="2" t="s">
        <v>4665</v>
      </c>
      <c r="K3127" s="2" t="s">
        <v>2047</v>
      </c>
      <c r="L3127">
        <v>5</v>
      </c>
      <c r="M3127" s="1">
        <v>746000</v>
      </c>
      <c r="N3127">
        <v>4.5999999999999996</v>
      </c>
      <c r="O3127">
        <v>5</v>
      </c>
      <c r="P3127" s="2" t="s">
        <v>72</v>
      </c>
    </row>
    <row r="3128" spans="1:16" x14ac:dyDescent="0.25">
      <c r="A3128" s="2" t="s">
        <v>9353</v>
      </c>
      <c r="B3128" s="2" t="s">
        <v>5194</v>
      </c>
      <c r="C3128" s="2" t="s">
        <v>18</v>
      </c>
      <c r="D3128" s="2" t="s">
        <v>50</v>
      </c>
      <c r="E3128" s="2" t="s">
        <v>44</v>
      </c>
      <c r="F3128" s="2" t="s">
        <v>39</v>
      </c>
      <c r="G3128" s="2" t="s">
        <v>80</v>
      </c>
      <c r="H3128" s="2" t="s">
        <v>34</v>
      </c>
      <c r="I3128" s="2" t="s">
        <v>35</v>
      </c>
      <c r="J3128" s="2" t="s">
        <v>354</v>
      </c>
      <c r="K3128" s="2" t="s">
        <v>1623</v>
      </c>
      <c r="L3128">
        <v>2</v>
      </c>
      <c r="M3128" s="1">
        <v>167000</v>
      </c>
      <c r="N3128">
        <v>3.3</v>
      </c>
      <c r="O3128">
        <v>1</v>
      </c>
      <c r="P3128" s="2" t="s">
        <v>26</v>
      </c>
    </row>
    <row r="3129" spans="1:16" x14ac:dyDescent="0.25">
      <c r="A3129" s="2" t="s">
        <v>9354</v>
      </c>
      <c r="B3129" s="2" t="s">
        <v>849</v>
      </c>
      <c r="C3129" s="2" t="s">
        <v>18</v>
      </c>
      <c r="D3129" s="2" t="s">
        <v>79</v>
      </c>
      <c r="E3129" s="2" t="s">
        <v>20</v>
      </c>
      <c r="F3129" s="2" t="s">
        <v>128</v>
      </c>
      <c r="G3129" s="2" t="s">
        <v>69</v>
      </c>
      <c r="H3129" s="2" t="s">
        <v>34</v>
      </c>
      <c r="I3129" s="2" t="s">
        <v>24</v>
      </c>
      <c r="J3129" s="2" t="s">
        <v>3647</v>
      </c>
      <c r="K3129" s="2" t="s">
        <v>1623</v>
      </c>
      <c r="L3129">
        <v>2</v>
      </c>
      <c r="M3129" s="1">
        <v>581000</v>
      </c>
      <c r="N3129">
        <v>2.1</v>
      </c>
      <c r="O3129">
        <v>1</v>
      </c>
      <c r="P3129" s="2" t="s">
        <v>26</v>
      </c>
    </row>
    <row r="3130" spans="1:16" x14ac:dyDescent="0.25">
      <c r="A3130" s="2" t="s">
        <v>9356</v>
      </c>
      <c r="B3130" s="2" t="s">
        <v>4338</v>
      </c>
      <c r="C3130" s="2" t="s">
        <v>29</v>
      </c>
      <c r="D3130" s="2" t="s">
        <v>43</v>
      </c>
      <c r="E3130" s="2" t="s">
        <v>44</v>
      </c>
      <c r="F3130" s="2" t="s">
        <v>128</v>
      </c>
      <c r="G3130" s="2" t="s">
        <v>22</v>
      </c>
      <c r="H3130" s="2" t="s">
        <v>46</v>
      </c>
      <c r="I3130" s="2" t="s">
        <v>24</v>
      </c>
      <c r="J3130" s="2" t="s">
        <v>2579</v>
      </c>
      <c r="K3130" s="2" t="s">
        <v>1623</v>
      </c>
      <c r="L3130">
        <v>4</v>
      </c>
      <c r="M3130" s="1">
        <v>482000</v>
      </c>
      <c r="N3130">
        <v>4.0999999999999996</v>
      </c>
      <c r="O3130">
        <v>12</v>
      </c>
      <c r="P3130" s="2" t="s">
        <v>53</v>
      </c>
    </row>
    <row r="3131" spans="1:16" x14ac:dyDescent="0.25">
      <c r="A3131" s="2" t="s">
        <v>9357</v>
      </c>
      <c r="B3131" s="2" t="s">
        <v>9358</v>
      </c>
      <c r="C3131" s="2" t="s">
        <v>29</v>
      </c>
      <c r="D3131" s="2" t="s">
        <v>30</v>
      </c>
      <c r="E3131" s="2" t="s">
        <v>20</v>
      </c>
      <c r="F3131" s="2" t="s">
        <v>39</v>
      </c>
      <c r="G3131" s="2" t="s">
        <v>33</v>
      </c>
      <c r="H3131" s="2" t="s">
        <v>34</v>
      </c>
      <c r="I3131" s="2" t="s">
        <v>35</v>
      </c>
      <c r="J3131" s="2" t="s">
        <v>4029</v>
      </c>
      <c r="K3131" s="2" t="s">
        <v>4404</v>
      </c>
      <c r="L3131">
        <v>5</v>
      </c>
      <c r="M3131" s="1">
        <v>102000</v>
      </c>
      <c r="N3131">
        <v>3.5</v>
      </c>
      <c r="O3131">
        <v>12</v>
      </c>
      <c r="P3131" s="2" t="s">
        <v>53</v>
      </c>
    </row>
    <row r="3132" spans="1:16" x14ac:dyDescent="0.25">
      <c r="A3132" s="2" t="s">
        <v>9359</v>
      </c>
      <c r="B3132" s="2" t="s">
        <v>5202</v>
      </c>
      <c r="C3132" s="2" t="s">
        <v>29</v>
      </c>
      <c r="D3132" s="2" t="s">
        <v>30</v>
      </c>
      <c r="E3132" s="2" t="s">
        <v>20</v>
      </c>
      <c r="F3132" s="2" t="s">
        <v>39</v>
      </c>
      <c r="G3132" s="2" t="s">
        <v>22</v>
      </c>
      <c r="H3132" s="2" t="s">
        <v>62</v>
      </c>
      <c r="I3132" s="2" t="s">
        <v>24</v>
      </c>
      <c r="J3132" s="2" t="s">
        <v>837</v>
      </c>
      <c r="K3132" s="2" t="s">
        <v>2124</v>
      </c>
      <c r="L3132">
        <v>2</v>
      </c>
      <c r="M3132" s="1">
        <v>100000</v>
      </c>
      <c r="N3132">
        <v>2.4</v>
      </c>
      <c r="O3132">
        <v>6</v>
      </c>
      <c r="P3132" s="2" t="s">
        <v>26</v>
      </c>
    </row>
    <row r="3133" spans="1:16" x14ac:dyDescent="0.25">
      <c r="A3133" s="2" t="s">
        <v>9360</v>
      </c>
      <c r="B3133" s="2" t="s">
        <v>9361</v>
      </c>
      <c r="C3133" s="2" t="s">
        <v>18</v>
      </c>
      <c r="D3133" s="2" t="s">
        <v>43</v>
      </c>
      <c r="E3133" s="2" t="s">
        <v>20</v>
      </c>
      <c r="F3133" s="2" t="s">
        <v>32</v>
      </c>
      <c r="G3133" s="2" t="s">
        <v>22</v>
      </c>
      <c r="H3133" s="2" t="s">
        <v>34</v>
      </c>
      <c r="I3133" s="2" t="s">
        <v>24</v>
      </c>
      <c r="J3133" s="2" t="s">
        <v>7714</v>
      </c>
      <c r="K3133" s="2" t="s">
        <v>2124</v>
      </c>
      <c r="L3133">
        <v>6</v>
      </c>
      <c r="M3133" s="1">
        <v>285000</v>
      </c>
      <c r="N3133">
        <v>4.3</v>
      </c>
      <c r="O3133">
        <v>7</v>
      </c>
      <c r="P3133" s="2" t="s">
        <v>26</v>
      </c>
    </row>
    <row r="3134" spans="1:16" x14ac:dyDescent="0.25">
      <c r="A3134" s="2" t="s">
        <v>9362</v>
      </c>
      <c r="B3134" s="2" t="s">
        <v>8493</v>
      </c>
      <c r="C3134" s="2" t="s">
        <v>18</v>
      </c>
      <c r="D3134" s="2" t="s">
        <v>43</v>
      </c>
      <c r="E3134" s="2" t="s">
        <v>20</v>
      </c>
      <c r="F3134" s="2" t="s">
        <v>39</v>
      </c>
      <c r="G3134" s="2" t="s">
        <v>69</v>
      </c>
      <c r="H3134" s="2" t="s">
        <v>23</v>
      </c>
      <c r="I3134" s="2" t="s">
        <v>57</v>
      </c>
      <c r="J3134" s="2" t="s">
        <v>4346</v>
      </c>
      <c r="K3134" s="2" t="s">
        <v>2124</v>
      </c>
      <c r="L3134">
        <v>7</v>
      </c>
      <c r="M3134" s="1">
        <v>146000</v>
      </c>
      <c r="N3134">
        <v>2.8</v>
      </c>
      <c r="O3134">
        <v>7</v>
      </c>
      <c r="P3134" s="2" t="s">
        <v>26</v>
      </c>
    </row>
    <row r="3135" spans="1:16" x14ac:dyDescent="0.25">
      <c r="A3135" s="2" t="s">
        <v>9363</v>
      </c>
      <c r="B3135" s="2" t="s">
        <v>1201</v>
      </c>
      <c r="C3135" s="2" t="s">
        <v>29</v>
      </c>
      <c r="D3135" s="2" t="s">
        <v>30</v>
      </c>
      <c r="E3135" s="2" t="s">
        <v>20</v>
      </c>
      <c r="F3135" s="2" t="s">
        <v>39</v>
      </c>
      <c r="G3135" s="2" t="s">
        <v>22</v>
      </c>
      <c r="H3135" s="2" t="s">
        <v>46</v>
      </c>
      <c r="I3135" s="2" t="s">
        <v>75</v>
      </c>
      <c r="J3135" s="2" t="s">
        <v>387</v>
      </c>
      <c r="K3135" s="2" t="s">
        <v>2124</v>
      </c>
      <c r="L3135">
        <v>5</v>
      </c>
      <c r="M3135" s="1">
        <v>152000</v>
      </c>
      <c r="N3135">
        <v>2.9</v>
      </c>
      <c r="O3135">
        <v>34</v>
      </c>
      <c r="P3135" s="2" t="s">
        <v>26</v>
      </c>
    </row>
    <row r="3136" spans="1:16" x14ac:dyDescent="0.25">
      <c r="A3136" s="2" t="s">
        <v>9364</v>
      </c>
      <c r="B3136" s="2" t="s">
        <v>793</v>
      </c>
      <c r="C3136" s="2" t="s">
        <v>18</v>
      </c>
      <c r="D3136" s="2" t="s">
        <v>30</v>
      </c>
      <c r="E3136" s="2" t="s">
        <v>44</v>
      </c>
      <c r="F3136" s="2" t="s">
        <v>32</v>
      </c>
      <c r="G3136" s="2" t="s">
        <v>80</v>
      </c>
      <c r="H3136" s="2" t="s">
        <v>46</v>
      </c>
      <c r="I3136" s="2" t="s">
        <v>24</v>
      </c>
      <c r="J3136" s="2" t="s">
        <v>1921</v>
      </c>
      <c r="K3136" s="2" t="s">
        <v>2124</v>
      </c>
      <c r="L3136">
        <v>7</v>
      </c>
      <c r="M3136" s="1">
        <v>242000</v>
      </c>
      <c r="N3136">
        <v>2.6</v>
      </c>
      <c r="O3136">
        <v>6</v>
      </c>
      <c r="P3136" s="2" t="s">
        <v>53</v>
      </c>
    </row>
    <row r="3137" spans="1:16" x14ac:dyDescent="0.25">
      <c r="A3137" s="2" t="s">
        <v>9365</v>
      </c>
      <c r="B3137" s="2" t="s">
        <v>5221</v>
      </c>
      <c r="C3137" s="2" t="s">
        <v>18</v>
      </c>
      <c r="D3137" s="2" t="s">
        <v>79</v>
      </c>
      <c r="E3137" s="2" t="s">
        <v>20</v>
      </c>
      <c r="F3137" s="2" t="s">
        <v>32</v>
      </c>
      <c r="G3137" s="2" t="s">
        <v>22</v>
      </c>
      <c r="H3137" s="2" t="s">
        <v>34</v>
      </c>
      <c r="I3137" s="2" t="s">
        <v>57</v>
      </c>
      <c r="J3137" s="2" t="s">
        <v>8280</v>
      </c>
      <c r="K3137" s="2" t="s">
        <v>3599</v>
      </c>
      <c r="L3137">
        <v>2</v>
      </c>
      <c r="M3137" s="1">
        <v>248000</v>
      </c>
      <c r="N3137">
        <v>4.2</v>
      </c>
      <c r="O3137">
        <v>2</v>
      </c>
      <c r="P3137" s="2" t="s">
        <v>26</v>
      </c>
    </row>
    <row r="3138" spans="1:16" x14ac:dyDescent="0.25">
      <c r="A3138" s="2" t="s">
        <v>9366</v>
      </c>
      <c r="B3138" s="2" t="s">
        <v>9367</v>
      </c>
      <c r="C3138" s="2" t="s">
        <v>18</v>
      </c>
      <c r="D3138" s="2" t="s">
        <v>19</v>
      </c>
      <c r="E3138" s="2" t="s">
        <v>31</v>
      </c>
      <c r="F3138" s="2" t="s">
        <v>21</v>
      </c>
      <c r="G3138" s="2" t="s">
        <v>22</v>
      </c>
      <c r="H3138" s="2" t="s">
        <v>23</v>
      </c>
      <c r="I3138" s="2" t="s">
        <v>57</v>
      </c>
      <c r="J3138" s="2" t="s">
        <v>1918</v>
      </c>
      <c r="K3138" s="2" t="s">
        <v>3599</v>
      </c>
      <c r="L3138">
        <v>3</v>
      </c>
      <c r="M3138" s="1">
        <v>735000</v>
      </c>
      <c r="N3138">
        <v>4.0999999999999996</v>
      </c>
      <c r="O3138">
        <v>6</v>
      </c>
      <c r="P3138" s="2" t="s">
        <v>26</v>
      </c>
    </row>
    <row r="3139" spans="1:16" x14ac:dyDescent="0.25">
      <c r="A3139" s="2" t="s">
        <v>9368</v>
      </c>
      <c r="B3139" s="2" t="s">
        <v>6581</v>
      </c>
      <c r="C3139" s="2" t="s">
        <v>29</v>
      </c>
      <c r="D3139" s="2" t="s">
        <v>79</v>
      </c>
      <c r="E3139" s="2" t="s">
        <v>20</v>
      </c>
      <c r="F3139" s="2" t="s">
        <v>32</v>
      </c>
      <c r="G3139" s="2" t="s">
        <v>22</v>
      </c>
      <c r="H3139" s="2" t="s">
        <v>23</v>
      </c>
      <c r="I3139" s="2" t="s">
        <v>24</v>
      </c>
      <c r="J3139" s="2" t="s">
        <v>8815</v>
      </c>
      <c r="K3139" s="2" t="s">
        <v>3599</v>
      </c>
      <c r="L3139">
        <v>4</v>
      </c>
      <c r="M3139" s="1">
        <v>203000</v>
      </c>
      <c r="N3139">
        <v>3.5</v>
      </c>
      <c r="O3139">
        <v>5</v>
      </c>
      <c r="P3139" s="2" t="s">
        <v>26</v>
      </c>
    </row>
    <row r="3140" spans="1:16" x14ac:dyDescent="0.25">
      <c r="A3140" s="2" t="s">
        <v>9369</v>
      </c>
      <c r="B3140" s="2" t="s">
        <v>4531</v>
      </c>
      <c r="C3140" s="2" t="s">
        <v>18</v>
      </c>
      <c r="D3140" s="2" t="s">
        <v>50</v>
      </c>
      <c r="E3140" s="2" t="s">
        <v>20</v>
      </c>
      <c r="F3140" s="2" t="s">
        <v>32</v>
      </c>
      <c r="G3140" s="2" t="s">
        <v>80</v>
      </c>
      <c r="H3140" s="2" t="s">
        <v>46</v>
      </c>
      <c r="I3140" s="2" t="s">
        <v>24</v>
      </c>
      <c r="J3140" s="2" t="s">
        <v>3470</v>
      </c>
      <c r="K3140" s="2" t="s">
        <v>3599</v>
      </c>
      <c r="L3140">
        <v>3</v>
      </c>
      <c r="M3140" s="1">
        <v>337000</v>
      </c>
      <c r="N3140">
        <v>4</v>
      </c>
      <c r="O3140">
        <v>6</v>
      </c>
      <c r="P3140" s="2" t="s">
        <v>26</v>
      </c>
    </row>
    <row r="3141" spans="1:16" x14ac:dyDescent="0.25">
      <c r="A3141" s="2" t="s">
        <v>9371</v>
      </c>
      <c r="B3141" s="2" t="s">
        <v>9372</v>
      </c>
      <c r="C3141" s="2" t="s">
        <v>29</v>
      </c>
      <c r="D3141" s="2" t="s">
        <v>79</v>
      </c>
      <c r="E3141" s="2" t="s">
        <v>20</v>
      </c>
      <c r="F3141" s="2" t="s">
        <v>32</v>
      </c>
      <c r="G3141" s="2" t="s">
        <v>22</v>
      </c>
      <c r="H3141" s="2" t="s">
        <v>62</v>
      </c>
      <c r="I3141" s="2" t="s">
        <v>24</v>
      </c>
      <c r="J3141" s="2" t="s">
        <v>4108</v>
      </c>
      <c r="K3141" s="2" t="s">
        <v>3599</v>
      </c>
      <c r="L3141">
        <v>4</v>
      </c>
      <c r="M3141" s="1">
        <v>307000</v>
      </c>
      <c r="N3141">
        <v>2.4</v>
      </c>
      <c r="O3141">
        <v>0</v>
      </c>
      <c r="P3141" s="2" t="s">
        <v>26</v>
      </c>
    </row>
    <row r="3142" spans="1:16" x14ac:dyDescent="0.25">
      <c r="A3142" s="2" t="s">
        <v>9373</v>
      </c>
      <c r="B3142" s="2" t="s">
        <v>5619</v>
      </c>
      <c r="C3142" s="2" t="s">
        <v>29</v>
      </c>
      <c r="D3142" s="2" t="s">
        <v>79</v>
      </c>
      <c r="E3142" s="2" t="s">
        <v>44</v>
      </c>
      <c r="F3142" s="2" t="s">
        <v>39</v>
      </c>
      <c r="G3142" s="2" t="s">
        <v>80</v>
      </c>
      <c r="H3142" s="2" t="s">
        <v>34</v>
      </c>
      <c r="I3142" s="2" t="s">
        <v>57</v>
      </c>
      <c r="J3142" s="2" t="s">
        <v>2361</v>
      </c>
      <c r="K3142" s="2" t="s">
        <v>3599</v>
      </c>
      <c r="L3142">
        <v>4</v>
      </c>
      <c r="M3142" s="1">
        <v>154000</v>
      </c>
      <c r="N3142">
        <v>4.5999999999999996</v>
      </c>
      <c r="O3142">
        <v>13</v>
      </c>
      <c r="P3142" s="2" t="s">
        <v>26</v>
      </c>
    </row>
    <row r="3143" spans="1:16" x14ac:dyDescent="0.25">
      <c r="A3143" s="2" t="s">
        <v>9375</v>
      </c>
      <c r="B3143" s="2" t="s">
        <v>9376</v>
      </c>
      <c r="C3143" s="2" t="s">
        <v>18</v>
      </c>
      <c r="D3143" s="2" t="s">
        <v>30</v>
      </c>
      <c r="E3143" s="2" t="s">
        <v>20</v>
      </c>
      <c r="F3143" s="2" t="s">
        <v>39</v>
      </c>
      <c r="G3143" s="2" t="s">
        <v>22</v>
      </c>
      <c r="H3143" s="2" t="s">
        <v>23</v>
      </c>
      <c r="I3143" s="2" t="s">
        <v>24</v>
      </c>
      <c r="J3143" s="2" t="s">
        <v>776</v>
      </c>
      <c r="K3143" s="2" t="s">
        <v>3599</v>
      </c>
      <c r="L3143">
        <v>3</v>
      </c>
      <c r="M3143" s="1">
        <v>153000</v>
      </c>
      <c r="N3143">
        <v>1.6</v>
      </c>
      <c r="O3143">
        <v>1</v>
      </c>
      <c r="P3143" s="2" t="s">
        <v>26</v>
      </c>
    </row>
    <row r="3144" spans="1:16" x14ac:dyDescent="0.25">
      <c r="A3144" s="2" t="s">
        <v>9377</v>
      </c>
      <c r="B3144" s="2" t="s">
        <v>7900</v>
      </c>
      <c r="C3144" s="2" t="s">
        <v>18</v>
      </c>
      <c r="D3144" s="2" t="s">
        <v>30</v>
      </c>
      <c r="E3144" s="2" t="s">
        <v>44</v>
      </c>
      <c r="F3144" s="2" t="s">
        <v>39</v>
      </c>
      <c r="G3144" s="2" t="s">
        <v>22</v>
      </c>
      <c r="H3144" s="2" t="s">
        <v>46</v>
      </c>
      <c r="I3144" s="2" t="s">
        <v>75</v>
      </c>
      <c r="J3144" s="2" t="s">
        <v>920</v>
      </c>
      <c r="K3144" s="2" t="s">
        <v>3599</v>
      </c>
      <c r="L3144">
        <v>5</v>
      </c>
      <c r="M3144" s="1">
        <v>106000</v>
      </c>
      <c r="N3144">
        <v>3.2</v>
      </c>
      <c r="O3144">
        <v>6</v>
      </c>
      <c r="P3144" s="2" t="s">
        <v>53</v>
      </c>
    </row>
    <row r="3145" spans="1:16" x14ac:dyDescent="0.25">
      <c r="A3145" s="2" t="s">
        <v>9379</v>
      </c>
      <c r="B3145" s="2" t="s">
        <v>9380</v>
      </c>
      <c r="C3145" s="2" t="s">
        <v>18</v>
      </c>
      <c r="D3145" s="2" t="s">
        <v>43</v>
      </c>
      <c r="E3145" s="2" t="s">
        <v>20</v>
      </c>
      <c r="F3145" s="2" t="s">
        <v>128</v>
      </c>
      <c r="G3145" s="2" t="s">
        <v>80</v>
      </c>
      <c r="H3145" s="2" t="s">
        <v>46</v>
      </c>
      <c r="I3145" s="2" t="s">
        <v>75</v>
      </c>
      <c r="J3145" s="2" t="s">
        <v>1224</v>
      </c>
      <c r="K3145" s="2" t="s">
        <v>2399</v>
      </c>
      <c r="L3145">
        <v>6</v>
      </c>
      <c r="M3145" s="1">
        <v>511000</v>
      </c>
      <c r="N3145">
        <v>2.1</v>
      </c>
      <c r="O3145">
        <v>11</v>
      </c>
      <c r="P3145" s="2" t="s">
        <v>26</v>
      </c>
    </row>
    <row r="3146" spans="1:16" x14ac:dyDescent="0.25">
      <c r="A3146" s="2" t="s">
        <v>9381</v>
      </c>
      <c r="B3146" s="2" t="s">
        <v>9382</v>
      </c>
      <c r="C3146" s="2" t="s">
        <v>29</v>
      </c>
      <c r="D3146" s="2" t="s">
        <v>19</v>
      </c>
      <c r="E3146" s="2" t="s">
        <v>20</v>
      </c>
      <c r="F3146" s="2" t="s">
        <v>39</v>
      </c>
      <c r="G3146" s="2" t="s">
        <v>80</v>
      </c>
      <c r="H3146" s="2" t="s">
        <v>46</v>
      </c>
      <c r="I3146" s="2" t="s">
        <v>171</v>
      </c>
      <c r="J3146" s="2" t="s">
        <v>4490</v>
      </c>
      <c r="K3146" s="2" t="s">
        <v>2399</v>
      </c>
      <c r="L3146">
        <v>4</v>
      </c>
      <c r="M3146" s="1">
        <v>99000</v>
      </c>
      <c r="N3146">
        <v>3</v>
      </c>
      <c r="O3146">
        <v>5</v>
      </c>
      <c r="P3146" s="2" t="s">
        <v>26</v>
      </c>
    </row>
    <row r="3147" spans="1:16" x14ac:dyDescent="0.25">
      <c r="A3147" s="2" t="s">
        <v>9383</v>
      </c>
      <c r="B3147" s="2" t="s">
        <v>9384</v>
      </c>
      <c r="C3147" s="2" t="s">
        <v>18</v>
      </c>
      <c r="D3147" s="2" t="s">
        <v>79</v>
      </c>
      <c r="E3147" s="2" t="s">
        <v>20</v>
      </c>
      <c r="F3147" s="2" t="s">
        <v>21</v>
      </c>
      <c r="G3147" s="2" t="s">
        <v>22</v>
      </c>
      <c r="H3147" s="2" t="s">
        <v>46</v>
      </c>
      <c r="I3147" s="2" t="s">
        <v>24</v>
      </c>
      <c r="J3147" s="2" t="s">
        <v>7762</v>
      </c>
      <c r="K3147" s="2" t="s">
        <v>2399</v>
      </c>
      <c r="L3147">
        <v>6</v>
      </c>
      <c r="M3147" s="1">
        <v>940000</v>
      </c>
      <c r="N3147">
        <v>3.8</v>
      </c>
      <c r="O3147">
        <v>0</v>
      </c>
      <c r="P3147" s="2" t="s">
        <v>26</v>
      </c>
    </row>
    <row r="3148" spans="1:16" x14ac:dyDescent="0.25">
      <c r="A3148" s="2" t="s">
        <v>9386</v>
      </c>
      <c r="B3148" s="2" t="s">
        <v>4332</v>
      </c>
      <c r="C3148" s="2" t="s">
        <v>18</v>
      </c>
      <c r="D3148" s="2" t="s">
        <v>30</v>
      </c>
      <c r="E3148" s="2" t="s">
        <v>20</v>
      </c>
      <c r="F3148" s="2" t="s">
        <v>128</v>
      </c>
      <c r="G3148" s="2" t="s">
        <v>33</v>
      </c>
      <c r="H3148" s="2" t="s">
        <v>34</v>
      </c>
      <c r="I3148" s="2" t="s">
        <v>24</v>
      </c>
      <c r="J3148" s="2" t="s">
        <v>2568</v>
      </c>
      <c r="K3148" s="2" t="s">
        <v>2399</v>
      </c>
      <c r="L3148">
        <v>2</v>
      </c>
      <c r="M3148" s="1">
        <v>528000</v>
      </c>
      <c r="N3148">
        <v>3</v>
      </c>
      <c r="O3148">
        <v>33</v>
      </c>
      <c r="P3148" s="2" t="s">
        <v>26</v>
      </c>
    </row>
    <row r="3149" spans="1:16" x14ac:dyDescent="0.25">
      <c r="A3149" s="2" t="s">
        <v>9387</v>
      </c>
      <c r="B3149" s="2" t="s">
        <v>8577</v>
      </c>
      <c r="C3149" s="2" t="s">
        <v>18</v>
      </c>
      <c r="D3149" s="2" t="s">
        <v>30</v>
      </c>
      <c r="E3149" s="2" t="s">
        <v>31</v>
      </c>
      <c r="F3149" s="2" t="s">
        <v>32</v>
      </c>
      <c r="G3149" s="2" t="s">
        <v>33</v>
      </c>
      <c r="H3149" s="2" t="s">
        <v>34</v>
      </c>
      <c r="I3149" s="2" t="s">
        <v>57</v>
      </c>
      <c r="J3149" s="2" t="s">
        <v>9388</v>
      </c>
      <c r="K3149" s="2" t="s">
        <v>2399</v>
      </c>
      <c r="L3149">
        <v>3</v>
      </c>
      <c r="M3149" s="1">
        <v>317000</v>
      </c>
      <c r="N3149">
        <v>2.1</v>
      </c>
      <c r="O3149">
        <v>4</v>
      </c>
      <c r="P3149" s="2" t="s">
        <v>53</v>
      </c>
    </row>
    <row r="3150" spans="1:16" x14ac:dyDescent="0.25">
      <c r="A3150" s="2" t="s">
        <v>9389</v>
      </c>
      <c r="B3150" s="2" t="s">
        <v>226</v>
      </c>
      <c r="C3150" s="2" t="s">
        <v>18</v>
      </c>
      <c r="D3150" s="2" t="s">
        <v>50</v>
      </c>
      <c r="E3150" s="2" t="s">
        <v>20</v>
      </c>
      <c r="F3150" s="2" t="s">
        <v>39</v>
      </c>
      <c r="G3150" s="2" t="s">
        <v>33</v>
      </c>
      <c r="H3150" s="2" t="s">
        <v>46</v>
      </c>
      <c r="I3150" s="2" t="s">
        <v>24</v>
      </c>
      <c r="J3150" s="2" t="s">
        <v>3139</v>
      </c>
      <c r="K3150" s="2" t="s">
        <v>9398</v>
      </c>
      <c r="L3150">
        <v>2</v>
      </c>
      <c r="M3150" s="1">
        <v>160000</v>
      </c>
      <c r="N3150">
        <v>4.8</v>
      </c>
      <c r="O3150">
        <v>3</v>
      </c>
      <c r="P3150" s="2" t="s">
        <v>26</v>
      </c>
    </row>
    <row r="3151" spans="1:16" x14ac:dyDescent="0.25">
      <c r="A3151" s="2" t="s">
        <v>9391</v>
      </c>
      <c r="B3151" s="2" t="s">
        <v>1582</v>
      </c>
      <c r="C3151" s="2" t="s">
        <v>29</v>
      </c>
      <c r="D3151" s="2" t="s">
        <v>79</v>
      </c>
      <c r="E3151" s="2" t="s">
        <v>20</v>
      </c>
      <c r="F3151" s="2" t="s">
        <v>39</v>
      </c>
      <c r="G3151" s="2" t="s">
        <v>22</v>
      </c>
      <c r="H3151" s="2" t="s">
        <v>46</v>
      </c>
      <c r="I3151" s="2" t="s">
        <v>24</v>
      </c>
      <c r="J3151" s="2" t="s">
        <v>1028</v>
      </c>
      <c r="K3151" s="2" t="s">
        <v>9398</v>
      </c>
      <c r="L3151">
        <v>4</v>
      </c>
      <c r="M3151" s="1">
        <v>144000</v>
      </c>
      <c r="N3151">
        <v>4</v>
      </c>
      <c r="O3151">
        <v>20</v>
      </c>
      <c r="P3151" s="2" t="s">
        <v>26</v>
      </c>
    </row>
    <row r="3152" spans="1:16" x14ac:dyDescent="0.25">
      <c r="A3152" s="2" t="s">
        <v>9397</v>
      </c>
      <c r="B3152" s="2" t="s">
        <v>5507</v>
      </c>
      <c r="C3152" s="2" t="s">
        <v>18</v>
      </c>
      <c r="D3152" s="2" t="s">
        <v>43</v>
      </c>
      <c r="E3152" s="2" t="s">
        <v>44</v>
      </c>
      <c r="F3152" s="2" t="s">
        <v>32</v>
      </c>
      <c r="G3152" s="2" t="s">
        <v>33</v>
      </c>
      <c r="H3152" s="2" t="s">
        <v>23</v>
      </c>
      <c r="I3152" s="2" t="s">
        <v>35</v>
      </c>
      <c r="J3152" s="2" t="s">
        <v>3493</v>
      </c>
      <c r="K3152" s="2" t="s">
        <v>9398</v>
      </c>
      <c r="L3152">
        <v>2</v>
      </c>
      <c r="M3152" s="1">
        <v>322000</v>
      </c>
      <c r="N3152">
        <v>4.2</v>
      </c>
      <c r="O3152">
        <v>13</v>
      </c>
      <c r="P3152" s="2" t="s">
        <v>53</v>
      </c>
    </row>
    <row r="3153" spans="1:16" x14ac:dyDescent="0.25">
      <c r="A3153" s="2" t="s">
        <v>9399</v>
      </c>
      <c r="B3153" s="2" t="s">
        <v>8396</v>
      </c>
      <c r="C3153" s="2" t="s">
        <v>18</v>
      </c>
      <c r="D3153" s="2" t="s">
        <v>79</v>
      </c>
      <c r="E3153" s="2" t="s">
        <v>20</v>
      </c>
      <c r="F3153" s="2" t="s">
        <v>21</v>
      </c>
      <c r="G3153" s="2" t="s">
        <v>80</v>
      </c>
      <c r="H3153" s="2" t="s">
        <v>46</v>
      </c>
      <c r="I3153" s="2" t="s">
        <v>24</v>
      </c>
      <c r="J3153" s="2" t="s">
        <v>1600</v>
      </c>
      <c r="K3153" s="2" t="s">
        <v>2723</v>
      </c>
      <c r="L3153">
        <v>6</v>
      </c>
      <c r="M3153" s="1">
        <v>733000</v>
      </c>
      <c r="N3153">
        <v>3.2</v>
      </c>
      <c r="O3153">
        <v>36</v>
      </c>
      <c r="P3153" s="2" t="s">
        <v>72</v>
      </c>
    </row>
    <row r="3154" spans="1:16" x14ac:dyDescent="0.25">
      <c r="A3154" s="2" t="s">
        <v>9400</v>
      </c>
      <c r="B3154" s="2" t="s">
        <v>9401</v>
      </c>
      <c r="C3154" s="2" t="s">
        <v>18</v>
      </c>
      <c r="D3154" s="2" t="s">
        <v>79</v>
      </c>
      <c r="E3154" s="2" t="s">
        <v>20</v>
      </c>
      <c r="F3154" s="2" t="s">
        <v>32</v>
      </c>
      <c r="G3154" s="2" t="s">
        <v>22</v>
      </c>
      <c r="H3154" s="2" t="s">
        <v>23</v>
      </c>
      <c r="I3154" s="2" t="s">
        <v>35</v>
      </c>
      <c r="J3154" s="2" t="s">
        <v>1738</v>
      </c>
      <c r="K3154" s="2" t="s">
        <v>5670</v>
      </c>
      <c r="L3154">
        <v>3</v>
      </c>
      <c r="M3154" s="1">
        <v>262000</v>
      </c>
      <c r="N3154">
        <v>2.9</v>
      </c>
      <c r="O3154">
        <v>12</v>
      </c>
      <c r="P3154" s="2" t="s">
        <v>26</v>
      </c>
    </row>
    <row r="3155" spans="1:16" x14ac:dyDescent="0.25">
      <c r="A3155" s="2" t="s">
        <v>9402</v>
      </c>
      <c r="B3155" s="2" t="s">
        <v>3767</v>
      </c>
      <c r="C3155" s="2" t="s">
        <v>18</v>
      </c>
      <c r="D3155" s="2" t="s">
        <v>50</v>
      </c>
      <c r="E3155" s="2" t="s">
        <v>44</v>
      </c>
      <c r="F3155" s="2" t="s">
        <v>32</v>
      </c>
      <c r="G3155" s="2" t="s">
        <v>80</v>
      </c>
      <c r="H3155" s="2" t="s">
        <v>23</v>
      </c>
      <c r="I3155" s="2" t="s">
        <v>24</v>
      </c>
      <c r="J3155" s="2" t="s">
        <v>3681</v>
      </c>
      <c r="K3155" s="2" t="s">
        <v>5670</v>
      </c>
      <c r="L3155">
        <v>4</v>
      </c>
      <c r="M3155" s="1">
        <v>302000</v>
      </c>
      <c r="N3155">
        <v>3</v>
      </c>
      <c r="O3155">
        <v>9</v>
      </c>
      <c r="P3155" s="2" t="s">
        <v>26</v>
      </c>
    </row>
    <row r="3156" spans="1:16" x14ac:dyDescent="0.25">
      <c r="A3156" s="2" t="s">
        <v>9403</v>
      </c>
      <c r="B3156" s="2" t="s">
        <v>6987</v>
      </c>
      <c r="C3156" s="2" t="s">
        <v>18</v>
      </c>
      <c r="D3156" s="2" t="s">
        <v>19</v>
      </c>
      <c r="E3156" s="2" t="s">
        <v>44</v>
      </c>
      <c r="F3156" s="2" t="s">
        <v>39</v>
      </c>
      <c r="G3156" s="2" t="s">
        <v>22</v>
      </c>
      <c r="H3156" s="2" t="s">
        <v>34</v>
      </c>
      <c r="I3156" s="2" t="s">
        <v>24</v>
      </c>
      <c r="J3156" s="2" t="s">
        <v>3841</v>
      </c>
      <c r="K3156" s="2" t="s">
        <v>5670</v>
      </c>
      <c r="L3156">
        <v>6</v>
      </c>
      <c r="M3156" s="1">
        <v>164000</v>
      </c>
      <c r="N3156">
        <v>2.5</v>
      </c>
      <c r="O3156">
        <v>8</v>
      </c>
      <c r="P3156" s="2" t="s">
        <v>26</v>
      </c>
    </row>
    <row r="3157" spans="1:16" x14ac:dyDescent="0.25">
      <c r="A3157" s="2" t="s">
        <v>9404</v>
      </c>
      <c r="B3157" s="2" t="s">
        <v>6008</v>
      </c>
      <c r="C3157" s="2" t="s">
        <v>29</v>
      </c>
      <c r="D3157" s="2" t="s">
        <v>50</v>
      </c>
      <c r="E3157" s="2" t="s">
        <v>20</v>
      </c>
      <c r="F3157" s="2" t="s">
        <v>128</v>
      </c>
      <c r="G3157" s="2" t="s">
        <v>22</v>
      </c>
      <c r="H3157" s="2" t="s">
        <v>23</v>
      </c>
      <c r="I3157" s="2" t="s">
        <v>24</v>
      </c>
      <c r="J3157" s="2" t="s">
        <v>6123</v>
      </c>
      <c r="K3157" s="2" t="s">
        <v>5670</v>
      </c>
      <c r="L3157">
        <v>6</v>
      </c>
      <c r="M3157" s="1">
        <v>368000</v>
      </c>
      <c r="N3157">
        <v>4.9000000000000004</v>
      </c>
      <c r="O3157">
        <v>28</v>
      </c>
      <c r="P3157" s="2" t="s">
        <v>72</v>
      </c>
    </row>
    <row r="3158" spans="1:16" x14ac:dyDescent="0.25">
      <c r="A3158" s="2" t="s">
        <v>9406</v>
      </c>
      <c r="B3158" s="2" t="s">
        <v>3524</v>
      </c>
      <c r="C3158" s="2" t="s">
        <v>29</v>
      </c>
      <c r="D3158" s="2" t="s">
        <v>79</v>
      </c>
      <c r="E3158" s="2" t="s">
        <v>20</v>
      </c>
      <c r="F3158" s="2" t="s">
        <v>21</v>
      </c>
      <c r="G3158" s="2" t="s">
        <v>33</v>
      </c>
      <c r="H3158" s="2" t="s">
        <v>23</v>
      </c>
      <c r="I3158" s="2" t="s">
        <v>35</v>
      </c>
      <c r="J3158" s="2" t="s">
        <v>1423</v>
      </c>
      <c r="K3158" s="2" t="s">
        <v>2085</v>
      </c>
      <c r="L3158">
        <v>5</v>
      </c>
      <c r="M3158" s="1">
        <v>939000</v>
      </c>
      <c r="N3158">
        <v>4.8</v>
      </c>
      <c r="O3158">
        <v>13</v>
      </c>
      <c r="P3158" s="2" t="s">
        <v>26</v>
      </c>
    </row>
    <row r="3159" spans="1:16" x14ac:dyDescent="0.25">
      <c r="A3159" s="2" t="s">
        <v>9408</v>
      </c>
      <c r="B3159" s="2" t="s">
        <v>3332</v>
      </c>
      <c r="C3159" s="2" t="s">
        <v>29</v>
      </c>
      <c r="D3159" s="2" t="s">
        <v>79</v>
      </c>
      <c r="E3159" s="2" t="s">
        <v>20</v>
      </c>
      <c r="F3159" s="2" t="s">
        <v>128</v>
      </c>
      <c r="G3159" s="2" t="s">
        <v>22</v>
      </c>
      <c r="H3159" s="2" t="s">
        <v>62</v>
      </c>
      <c r="I3159" s="2" t="s">
        <v>75</v>
      </c>
      <c r="J3159" s="2" t="s">
        <v>1875</v>
      </c>
      <c r="K3159" s="2" t="s">
        <v>2085</v>
      </c>
      <c r="L3159">
        <v>5</v>
      </c>
      <c r="M3159" s="1">
        <v>556000</v>
      </c>
      <c r="N3159">
        <v>2.5</v>
      </c>
      <c r="O3159">
        <v>7</v>
      </c>
      <c r="P3159" s="2" t="s">
        <v>26</v>
      </c>
    </row>
    <row r="3160" spans="1:16" x14ac:dyDescent="0.25">
      <c r="A3160" s="2" t="s">
        <v>9409</v>
      </c>
      <c r="B3160" s="2" t="s">
        <v>5605</v>
      </c>
      <c r="C3160" s="2" t="s">
        <v>29</v>
      </c>
      <c r="D3160" s="2" t="s">
        <v>79</v>
      </c>
      <c r="E3160" s="2" t="s">
        <v>44</v>
      </c>
      <c r="F3160" s="2" t="s">
        <v>32</v>
      </c>
      <c r="G3160" s="2" t="s">
        <v>80</v>
      </c>
      <c r="H3160" s="2" t="s">
        <v>62</v>
      </c>
      <c r="I3160" s="2" t="s">
        <v>75</v>
      </c>
      <c r="J3160" s="2" t="s">
        <v>9410</v>
      </c>
      <c r="K3160" s="2" t="s">
        <v>2085</v>
      </c>
      <c r="L3160">
        <v>5</v>
      </c>
      <c r="M3160" s="1">
        <v>227000</v>
      </c>
      <c r="N3160">
        <v>5</v>
      </c>
      <c r="O3160">
        <v>5</v>
      </c>
      <c r="P3160" s="2" t="s">
        <v>26</v>
      </c>
    </row>
    <row r="3161" spans="1:16" x14ac:dyDescent="0.25">
      <c r="A3161" s="2" t="s">
        <v>9411</v>
      </c>
      <c r="B3161" s="2" t="s">
        <v>4907</v>
      </c>
      <c r="C3161" s="2" t="s">
        <v>18</v>
      </c>
      <c r="D3161" s="2" t="s">
        <v>30</v>
      </c>
      <c r="E3161" s="2" t="s">
        <v>31</v>
      </c>
      <c r="F3161" s="2" t="s">
        <v>39</v>
      </c>
      <c r="G3161" s="2" t="s">
        <v>80</v>
      </c>
      <c r="H3161" s="2" t="s">
        <v>34</v>
      </c>
      <c r="I3161" s="2" t="s">
        <v>35</v>
      </c>
      <c r="J3161" s="2" t="s">
        <v>4302</v>
      </c>
      <c r="K3161" s="2" t="s">
        <v>2085</v>
      </c>
      <c r="L3161">
        <v>4</v>
      </c>
      <c r="M3161" s="1">
        <v>139000</v>
      </c>
      <c r="N3161">
        <v>2.8</v>
      </c>
      <c r="O3161">
        <v>7</v>
      </c>
      <c r="P3161" s="2" t="s">
        <v>26</v>
      </c>
    </row>
    <row r="3162" spans="1:16" x14ac:dyDescent="0.25">
      <c r="A3162" s="2" t="s">
        <v>9412</v>
      </c>
      <c r="B3162" s="2" t="s">
        <v>7369</v>
      </c>
      <c r="C3162" s="2" t="s">
        <v>29</v>
      </c>
      <c r="D3162" s="2" t="s">
        <v>30</v>
      </c>
      <c r="E3162" s="2" t="s">
        <v>31</v>
      </c>
      <c r="F3162" s="2" t="s">
        <v>39</v>
      </c>
      <c r="G3162" s="2" t="s">
        <v>69</v>
      </c>
      <c r="H3162" s="2" t="s">
        <v>46</v>
      </c>
      <c r="I3162" s="2" t="s">
        <v>57</v>
      </c>
      <c r="J3162" s="2" t="s">
        <v>2666</v>
      </c>
      <c r="K3162" s="2" t="s">
        <v>2085</v>
      </c>
      <c r="L3162">
        <v>5</v>
      </c>
      <c r="M3162" s="1">
        <v>178000</v>
      </c>
      <c r="N3162">
        <v>2.2000000000000002</v>
      </c>
      <c r="O3162">
        <v>6</v>
      </c>
      <c r="P3162" s="2" t="s">
        <v>26</v>
      </c>
    </row>
    <row r="3163" spans="1:16" x14ac:dyDescent="0.25">
      <c r="A3163" s="2" t="s">
        <v>9413</v>
      </c>
      <c r="B3163" s="2" t="s">
        <v>8360</v>
      </c>
      <c r="C3163" s="2" t="s">
        <v>18</v>
      </c>
      <c r="D3163" s="2" t="s">
        <v>43</v>
      </c>
      <c r="E3163" s="2" t="s">
        <v>20</v>
      </c>
      <c r="F3163" s="2" t="s">
        <v>128</v>
      </c>
      <c r="G3163" s="2" t="s">
        <v>33</v>
      </c>
      <c r="H3163" s="2" t="s">
        <v>34</v>
      </c>
      <c r="I3163" s="2" t="s">
        <v>57</v>
      </c>
      <c r="J3163" s="2" t="s">
        <v>478</v>
      </c>
      <c r="K3163" s="2" t="s">
        <v>2085</v>
      </c>
      <c r="L3163">
        <v>2</v>
      </c>
      <c r="M3163" s="1">
        <v>398000</v>
      </c>
      <c r="N3163">
        <v>2.5</v>
      </c>
      <c r="O3163">
        <v>8</v>
      </c>
      <c r="P3163" s="2" t="s">
        <v>72</v>
      </c>
    </row>
    <row r="3164" spans="1:16" x14ac:dyDescent="0.25">
      <c r="A3164" s="2" t="s">
        <v>9414</v>
      </c>
      <c r="B3164" s="2" t="s">
        <v>1725</v>
      </c>
      <c r="C3164" s="2" t="s">
        <v>18</v>
      </c>
      <c r="D3164" s="2" t="s">
        <v>43</v>
      </c>
      <c r="E3164" s="2" t="s">
        <v>20</v>
      </c>
      <c r="F3164" s="2" t="s">
        <v>128</v>
      </c>
      <c r="G3164" s="2" t="s">
        <v>33</v>
      </c>
      <c r="H3164" s="2" t="s">
        <v>46</v>
      </c>
      <c r="I3164" s="2" t="s">
        <v>35</v>
      </c>
      <c r="J3164" s="2" t="s">
        <v>1785</v>
      </c>
      <c r="K3164" s="2" t="s">
        <v>4567</v>
      </c>
      <c r="L3164">
        <v>4</v>
      </c>
      <c r="M3164" s="1">
        <v>498000</v>
      </c>
      <c r="N3164">
        <v>4.8</v>
      </c>
      <c r="O3164">
        <v>1</v>
      </c>
      <c r="P3164" s="2" t="s">
        <v>26</v>
      </c>
    </row>
    <row r="3165" spans="1:16" x14ac:dyDescent="0.25">
      <c r="A3165" s="2" t="s">
        <v>9415</v>
      </c>
      <c r="B3165" s="2" t="s">
        <v>195</v>
      </c>
      <c r="C3165" s="2" t="s">
        <v>18</v>
      </c>
      <c r="D3165" s="2" t="s">
        <v>30</v>
      </c>
      <c r="E3165" s="2" t="s">
        <v>31</v>
      </c>
      <c r="F3165" s="2" t="s">
        <v>32</v>
      </c>
      <c r="G3165" s="2" t="s">
        <v>22</v>
      </c>
      <c r="H3165" s="2" t="s">
        <v>23</v>
      </c>
      <c r="I3165" s="2" t="s">
        <v>35</v>
      </c>
      <c r="J3165" s="2" t="s">
        <v>2464</v>
      </c>
      <c r="K3165" s="2" t="s">
        <v>4567</v>
      </c>
      <c r="L3165">
        <v>5</v>
      </c>
      <c r="M3165" s="1">
        <v>224000</v>
      </c>
      <c r="N3165">
        <v>2.6</v>
      </c>
      <c r="O3165">
        <v>9</v>
      </c>
      <c r="P3165" s="2" t="s">
        <v>26</v>
      </c>
    </row>
    <row r="3166" spans="1:16" x14ac:dyDescent="0.25">
      <c r="A3166" s="2" t="s">
        <v>9417</v>
      </c>
      <c r="B3166" s="2" t="s">
        <v>6096</v>
      </c>
      <c r="C3166" s="2" t="s">
        <v>29</v>
      </c>
      <c r="D3166" s="2" t="s">
        <v>79</v>
      </c>
      <c r="E3166" s="2" t="s">
        <v>20</v>
      </c>
      <c r="F3166" s="2" t="s">
        <v>32</v>
      </c>
      <c r="G3166" s="2" t="s">
        <v>80</v>
      </c>
      <c r="H3166" s="2" t="s">
        <v>34</v>
      </c>
      <c r="I3166" s="2" t="s">
        <v>171</v>
      </c>
      <c r="J3166" s="2" t="s">
        <v>5798</v>
      </c>
      <c r="K3166" s="2" t="s">
        <v>4567</v>
      </c>
      <c r="L3166">
        <v>5</v>
      </c>
      <c r="M3166" s="1">
        <v>340000</v>
      </c>
      <c r="N3166">
        <v>2.8</v>
      </c>
      <c r="O3166">
        <v>7</v>
      </c>
      <c r="P3166" s="2" t="s">
        <v>26</v>
      </c>
    </row>
    <row r="3167" spans="1:16" x14ac:dyDescent="0.25">
      <c r="A3167" s="2" t="s">
        <v>9418</v>
      </c>
      <c r="B3167" s="2" t="s">
        <v>7582</v>
      </c>
      <c r="C3167" s="2" t="s">
        <v>18</v>
      </c>
      <c r="D3167" s="2" t="s">
        <v>50</v>
      </c>
      <c r="E3167" s="2" t="s">
        <v>20</v>
      </c>
      <c r="F3167" s="2" t="s">
        <v>128</v>
      </c>
      <c r="G3167" s="2" t="s">
        <v>80</v>
      </c>
      <c r="H3167" s="2" t="s">
        <v>23</v>
      </c>
      <c r="I3167" s="2" t="s">
        <v>57</v>
      </c>
      <c r="J3167" s="2" t="s">
        <v>2350</v>
      </c>
      <c r="K3167" s="2" t="s">
        <v>4567</v>
      </c>
      <c r="L3167">
        <v>7</v>
      </c>
      <c r="M3167" s="1">
        <v>523000</v>
      </c>
      <c r="N3167">
        <v>4.5999999999999996</v>
      </c>
      <c r="O3167">
        <v>8</v>
      </c>
      <c r="P3167" s="2" t="s">
        <v>26</v>
      </c>
    </row>
    <row r="3168" spans="1:16" x14ac:dyDescent="0.25">
      <c r="A3168" s="2" t="s">
        <v>9420</v>
      </c>
      <c r="B3168" s="2" t="s">
        <v>4701</v>
      </c>
      <c r="C3168" s="2" t="s">
        <v>18</v>
      </c>
      <c r="D3168" s="2" t="s">
        <v>19</v>
      </c>
      <c r="E3168" s="2" t="s">
        <v>44</v>
      </c>
      <c r="F3168" s="2" t="s">
        <v>32</v>
      </c>
      <c r="G3168" s="2" t="s">
        <v>80</v>
      </c>
      <c r="H3168" s="2" t="s">
        <v>23</v>
      </c>
      <c r="I3168" s="2" t="s">
        <v>171</v>
      </c>
      <c r="J3168" s="2" t="s">
        <v>5902</v>
      </c>
      <c r="K3168" s="2" t="s">
        <v>4567</v>
      </c>
      <c r="L3168">
        <v>5</v>
      </c>
      <c r="M3168" s="1">
        <v>315000</v>
      </c>
      <c r="N3168">
        <v>4.3</v>
      </c>
      <c r="O3168">
        <v>2</v>
      </c>
      <c r="P3168" s="2" t="s">
        <v>26</v>
      </c>
    </row>
    <row r="3169" spans="1:16" x14ac:dyDescent="0.25">
      <c r="A3169" s="2" t="s">
        <v>9422</v>
      </c>
      <c r="B3169" s="2" t="s">
        <v>8715</v>
      </c>
      <c r="C3169" s="2" t="s">
        <v>29</v>
      </c>
      <c r="D3169" s="2" t="s">
        <v>30</v>
      </c>
      <c r="E3169" s="2" t="s">
        <v>44</v>
      </c>
      <c r="F3169" s="2" t="s">
        <v>39</v>
      </c>
      <c r="G3169" s="2" t="s">
        <v>69</v>
      </c>
      <c r="H3169" s="2" t="s">
        <v>23</v>
      </c>
      <c r="I3169" s="2" t="s">
        <v>35</v>
      </c>
      <c r="J3169" s="2" t="s">
        <v>9423</v>
      </c>
      <c r="K3169" s="2" t="s">
        <v>4567</v>
      </c>
      <c r="L3169">
        <v>2</v>
      </c>
      <c r="M3169" s="1">
        <v>134000</v>
      </c>
      <c r="N3169">
        <v>2.6</v>
      </c>
      <c r="O3169">
        <v>9</v>
      </c>
      <c r="P3169" s="2" t="s">
        <v>26</v>
      </c>
    </row>
    <row r="3170" spans="1:16" x14ac:dyDescent="0.25">
      <c r="A3170" s="2" t="s">
        <v>9424</v>
      </c>
      <c r="B3170" s="2" t="s">
        <v>8958</v>
      </c>
      <c r="C3170" s="2" t="s">
        <v>18</v>
      </c>
      <c r="D3170" s="2" t="s">
        <v>50</v>
      </c>
      <c r="E3170" s="2" t="s">
        <v>44</v>
      </c>
      <c r="F3170" s="2" t="s">
        <v>32</v>
      </c>
      <c r="G3170" s="2" t="s">
        <v>22</v>
      </c>
      <c r="H3170" s="2" t="s">
        <v>62</v>
      </c>
      <c r="I3170" s="2" t="s">
        <v>35</v>
      </c>
      <c r="J3170" s="2" t="s">
        <v>1461</v>
      </c>
      <c r="K3170" s="2" t="s">
        <v>4567</v>
      </c>
      <c r="L3170">
        <v>7</v>
      </c>
      <c r="M3170" s="1">
        <v>181000</v>
      </c>
      <c r="N3170">
        <v>2</v>
      </c>
      <c r="O3170">
        <v>14</v>
      </c>
      <c r="P3170" s="2" t="s">
        <v>26</v>
      </c>
    </row>
    <row r="3171" spans="1:16" x14ac:dyDescent="0.25">
      <c r="A3171" s="2" t="s">
        <v>9425</v>
      </c>
      <c r="B3171" s="2" t="s">
        <v>9426</v>
      </c>
      <c r="C3171" s="2" t="s">
        <v>29</v>
      </c>
      <c r="D3171" s="2" t="s">
        <v>50</v>
      </c>
      <c r="E3171" s="2" t="s">
        <v>31</v>
      </c>
      <c r="F3171" s="2" t="s">
        <v>39</v>
      </c>
      <c r="G3171" s="2" t="s">
        <v>33</v>
      </c>
      <c r="H3171" s="2" t="s">
        <v>46</v>
      </c>
      <c r="I3171" s="2" t="s">
        <v>24</v>
      </c>
      <c r="J3171" s="2" t="s">
        <v>1662</v>
      </c>
      <c r="K3171" s="2" t="s">
        <v>4567</v>
      </c>
      <c r="L3171">
        <v>6</v>
      </c>
      <c r="M3171" s="1">
        <v>139000</v>
      </c>
      <c r="N3171">
        <v>2.6</v>
      </c>
      <c r="O3171">
        <v>22</v>
      </c>
      <c r="P3171" s="2" t="s">
        <v>26</v>
      </c>
    </row>
    <row r="3172" spans="1:16" x14ac:dyDescent="0.25">
      <c r="A3172" s="2" t="s">
        <v>9427</v>
      </c>
      <c r="B3172" s="2" t="s">
        <v>9428</v>
      </c>
      <c r="C3172" s="2" t="s">
        <v>29</v>
      </c>
      <c r="D3172" s="2" t="s">
        <v>19</v>
      </c>
      <c r="E3172" s="2" t="s">
        <v>44</v>
      </c>
      <c r="F3172" s="2" t="s">
        <v>39</v>
      </c>
      <c r="G3172" s="2" t="s">
        <v>22</v>
      </c>
      <c r="H3172" s="2" t="s">
        <v>23</v>
      </c>
      <c r="I3172" s="2" t="s">
        <v>24</v>
      </c>
      <c r="J3172" s="2" t="s">
        <v>3782</v>
      </c>
      <c r="K3172" s="2" t="s">
        <v>4567</v>
      </c>
      <c r="L3172">
        <v>2</v>
      </c>
      <c r="M3172" s="1">
        <v>141000</v>
      </c>
      <c r="N3172">
        <v>4.8</v>
      </c>
      <c r="O3172">
        <v>27</v>
      </c>
      <c r="P3172" s="2" t="s">
        <v>26</v>
      </c>
    </row>
    <row r="3173" spans="1:16" x14ac:dyDescent="0.25">
      <c r="A3173" s="2" t="s">
        <v>9429</v>
      </c>
      <c r="B3173" s="2" t="s">
        <v>9430</v>
      </c>
      <c r="C3173" s="2" t="s">
        <v>29</v>
      </c>
      <c r="D3173" s="2" t="s">
        <v>79</v>
      </c>
      <c r="E3173" s="2" t="s">
        <v>20</v>
      </c>
      <c r="F3173" s="2" t="s">
        <v>39</v>
      </c>
      <c r="G3173" s="2" t="s">
        <v>22</v>
      </c>
      <c r="H3173" s="2" t="s">
        <v>23</v>
      </c>
      <c r="I3173" s="2" t="s">
        <v>75</v>
      </c>
      <c r="J3173" s="2" t="s">
        <v>1167</v>
      </c>
      <c r="K3173" s="2" t="s">
        <v>4567</v>
      </c>
      <c r="L3173">
        <v>4</v>
      </c>
      <c r="M3173" s="1">
        <v>131000</v>
      </c>
      <c r="N3173">
        <v>2.7</v>
      </c>
      <c r="O3173">
        <v>10</v>
      </c>
      <c r="P3173" s="2" t="s">
        <v>26</v>
      </c>
    </row>
    <row r="3174" spans="1:16" x14ac:dyDescent="0.25">
      <c r="A3174" s="2" t="s">
        <v>9431</v>
      </c>
      <c r="B3174" s="2" t="s">
        <v>8688</v>
      </c>
      <c r="C3174" s="2" t="s">
        <v>18</v>
      </c>
      <c r="D3174" s="2" t="s">
        <v>43</v>
      </c>
      <c r="E3174" s="2" t="s">
        <v>44</v>
      </c>
      <c r="F3174" s="2" t="s">
        <v>32</v>
      </c>
      <c r="G3174" s="2" t="s">
        <v>33</v>
      </c>
      <c r="H3174" s="2" t="s">
        <v>46</v>
      </c>
      <c r="I3174" s="2" t="s">
        <v>75</v>
      </c>
      <c r="J3174" s="2" t="s">
        <v>262</v>
      </c>
      <c r="K3174" s="2" t="s">
        <v>4567</v>
      </c>
      <c r="L3174">
        <v>7</v>
      </c>
      <c r="M3174" s="1">
        <v>303000</v>
      </c>
      <c r="N3174">
        <v>4.3</v>
      </c>
      <c r="O3174">
        <v>11</v>
      </c>
      <c r="P3174" s="2" t="s">
        <v>53</v>
      </c>
    </row>
    <row r="3175" spans="1:16" x14ac:dyDescent="0.25">
      <c r="A3175" s="2" t="s">
        <v>9432</v>
      </c>
      <c r="B3175" s="2" t="s">
        <v>8015</v>
      </c>
      <c r="C3175" s="2" t="s">
        <v>18</v>
      </c>
      <c r="D3175" s="2" t="s">
        <v>30</v>
      </c>
      <c r="E3175" s="2" t="s">
        <v>20</v>
      </c>
      <c r="F3175" s="2" t="s">
        <v>32</v>
      </c>
      <c r="G3175" s="2" t="s">
        <v>22</v>
      </c>
      <c r="H3175" s="2" t="s">
        <v>34</v>
      </c>
      <c r="I3175" s="2" t="s">
        <v>24</v>
      </c>
      <c r="J3175" s="2" t="s">
        <v>8697</v>
      </c>
      <c r="K3175" s="2" t="s">
        <v>1548</v>
      </c>
      <c r="L3175">
        <v>5</v>
      </c>
      <c r="M3175" s="1">
        <v>297000</v>
      </c>
      <c r="N3175">
        <v>2.9</v>
      </c>
      <c r="O3175">
        <v>2</v>
      </c>
      <c r="P3175" s="2" t="s">
        <v>26</v>
      </c>
    </row>
    <row r="3176" spans="1:16" x14ac:dyDescent="0.25">
      <c r="A3176" s="2" t="s">
        <v>9433</v>
      </c>
      <c r="B3176" s="2" t="s">
        <v>2630</v>
      </c>
      <c r="C3176" s="2" t="s">
        <v>29</v>
      </c>
      <c r="D3176" s="2" t="s">
        <v>50</v>
      </c>
      <c r="E3176" s="2" t="s">
        <v>20</v>
      </c>
      <c r="F3176" s="2" t="s">
        <v>39</v>
      </c>
      <c r="G3176" s="2" t="s">
        <v>33</v>
      </c>
      <c r="H3176" s="2" t="s">
        <v>34</v>
      </c>
      <c r="I3176" s="2" t="s">
        <v>57</v>
      </c>
      <c r="J3176" s="2" t="s">
        <v>8017</v>
      </c>
      <c r="K3176" s="2" t="s">
        <v>1548</v>
      </c>
      <c r="L3176">
        <v>4</v>
      </c>
      <c r="M3176" s="1">
        <v>151000</v>
      </c>
      <c r="N3176">
        <v>3.9</v>
      </c>
      <c r="O3176">
        <v>3</v>
      </c>
      <c r="P3176" s="2" t="s">
        <v>26</v>
      </c>
    </row>
    <row r="3177" spans="1:16" x14ac:dyDescent="0.25">
      <c r="A3177" s="2" t="s">
        <v>9434</v>
      </c>
      <c r="B3177" s="2" t="s">
        <v>5968</v>
      </c>
      <c r="C3177" s="2" t="s">
        <v>18</v>
      </c>
      <c r="D3177" s="2" t="s">
        <v>43</v>
      </c>
      <c r="E3177" s="2" t="s">
        <v>20</v>
      </c>
      <c r="F3177" s="2" t="s">
        <v>21</v>
      </c>
      <c r="G3177" s="2" t="s">
        <v>80</v>
      </c>
      <c r="H3177" s="2" t="s">
        <v>46</v>
      </c>
      <c r="I3177" s="2" t="s">
        <v>57</v>
      </c>
      <c r="J3177" s="2" t="s">
        <v>7986</v>
      </c>
      <c r="K3177" s="2" t="s">
        <v>1548</v>
      </c>
      <c r="L3177">
        <v>6</v>
      </c>
      <c r="M3177" s="1">
        <v>788000</v>
      </c>
      <c r="N3177">
        <v>3.8</v>
      </c>
      <c r="O3177">
        <v>20</v>
      </c>
      <c r="P3177" s="2" t="s">
        <v>114</v>
      </c>
    </row>
    <row r="3178" spans="1:16" x14ac:dyDescent="0.25">
      <c r="A3178" s="2" t="s">
        <v>9435</v>
      </c>
      <c r="B3178" s="2" t="s">
        <v>8744</v>
      </c>
      <c r="C3178" s="2" t="s">
        <v>29</v>
      </c>
      <c r="D3178" s="2" t="s">
        <v>30</v>
      </c>
      <c r="E3178" s="2" t="s">
        <v>20</v>
      </c>
      <c r="F3178" s="2" t="s">
        <v>32</v>
      </c>
      <c r="G3178" s="2" t="s">
        <v>33</v>
      </c>
      <c r="H3178" s="2" t="s">
        <v>46</v>
      </c>
      <c r="I3178" s="2" t="s">
        <v>57</v>
      </c>
      <c r="J3178" s="2" t="s">
        <v>4868</v>
      </c>
      <c r="K3178" s="2" t="s">
        <v>5035</v>
      </c>
      <c r="L3178">
        <v>7</v>
      </c>
      <c r="M3178" s="1">
        <v>239000</v>
      </c>
      <c r="N3178">
        <v>3.2</v>
      </c>
      <c r="O3178">
        <v>12</v>
      </c>
      <c r="P3178" s="2" t="s">
        <v>26</v>
      </c>
    </row>
    <row r="3179" spans="1:16" x14ac:dyDescent="0.25">
      <c r="A3179" s="2" t="s">
        <v>9436</v>
      </c>
      <c r="B3179" s="2" t="s">
        <v>4153</v>
      </c>
      <c r="C3179" s="2" t="s">
        <v>18</v>
      </c>
      <c r="D3179" s="2" t="s">
        <v>79</v>
      </c>
      <c r="E3179" s="2" t="s">
        <v>20</v>
      </c>
      <c r="F3179" s="2" t="s">
        <v>21</v>
      </c>
      <c r="G3179" s="2" t="s">
        <v>22</v>
      </c>
      <c r="H3179" s="2" t="s">
        <v>46</v>
      </c>
      <c r="I3179" s="2" t="s">
        <v>75</v>
      </c>
      <c r="J3179" s="2" t="s">
        <v>262</v>
      </c>
      <c r="K3179" s="2" t="s">
        <v>5035</v>
      </c>
      <c r="L3179">
        <v>7</v>
      </c>
      <c r="M3179" s="1">
        <v>837000</v>
      </c>
      <c r="N3179">
        <v>4.7</v>
      </c>
      <c r="O3179">
        <v>11</v>
      </c>
      <c r="P3179" s="2" t="s">
        <v>26</v>
      </c>
    </row>
    <row r="3180" spans="1:16" x14ac:dyDescent="0.25">
      <c r="A3180" s="2" t="s">
        <v>9438</v>
      </c>
      <c r="B3180" s="2" t="s">
        <v>7561</v>
      </c>
      <c r="C3180" s="2" t="s">
        <v>29</v>
      </c>
      <c r="D3180" s="2" t="s">
        <v>79</v>
      </c>
      <c r="E3180" s="2" t="s">
        <v>20</v>
      </c>
      <c r="F3180" s="2" t="s">
        <v>32</v>
      </c>
      <c r="G3180" s="2" t="s">
        <v>80</v>
      </c>
      <c r="H3180" s="2" t="s">
        <v>34</v>
      </c>
      <c r="I3180" s="2" t="s">
        <v>75</v>
      </c>
      <c r="J3180" s="2" t="s">
        <v>5382</v>
      </c>
      <c r="K3180" s="2" t="s">
        <v>5035</v>
      </c>
      <c r="L3180">
        <v>6</v>
      </c>
      <c r="M3180" s="1">
        <v>338000</v>
      </c>
      <c r="N3180">
        <v>2.5</v>
      </c>
      <c r="O3180">
        <v>6</v>
      </c>
      <c r="P3180" s="2" t="s">
        <v>26</v>
      </c>
    </row>
    <row r="3181" spans="1:16" x14ac:dyDescent="0.25">
      <c r="A3181" s="2" t="s">
        <v>9441</v>
      </c>
      <c r="B3181" s="2" t="s">
        <v>9442</v>
      </c>
      <c r="C3181" s="2" t="s">
        <v>29</v>
      </c>
      <c r="D3181" s="2" t="s">
        <v>50</v>
      </c>
      <c r="E3181" s="2" t="s">
        <v>31</v>
      </c>
      <c r="F3181" s="2" t="s">
        <v>21</v>
      </c>
      <c r="G3181" s="2" t="s">
        <v>22</v>
      </c>
      <c r="H3181" s="2" t="s">
        <v>46</v>
      </c>
      <c r="I3181" s="2" t="s">
        <v>35</v>
      </c>
      <c r="J3181" s="2" t="s">
        <v>3302</v>
      </c>
      <c r="K3181" s="2" t="s">
        <v>5035</v>
      </c>
      <c r="L3181">
        <v>5</v>
      </c>
      <c r="M3181" s="1">
        <v>643000</v>
      </c>
      <c r="N3181">
        <v>4.0999999999999996</v>
      </c>
      <c r="O3181">
        <v>8</v>
      </c>
      <c r="P3181" s="2" t="s">
        <v>53</v>
      </c>
    </row>
    <row r="3182" spans="1:16" x14ac:dyDescent="0.25">
      <c r="A3182" s="2" t="s">
        <v>9443</v>
      </c>
      <c r="B3182" s="2" t="s">
        <v>6103</v>
      </c>
      <c r="C3182" s="2" t="s">
        <v>18</v>
      </c>
      <c r="D3182" s="2" t="s">
        <v>79</v>
      </c>
      <c r="E3182" s="2" t="s">
        <v>20</v>
      </c>
      <c r="F3182" s="2" t="s">
        <v>32</v>
      </c>
      <c r="G3182" s="2" t="s">
        <v>80</v>
      </c>
      <c r="H3182" s="2" t="s">
        <v>34</v>
      </c>
      <c r="I3182" s="2" t="s">
        <v>75</v>
      </c>
      <c r="J3182" s="2" t="s">
        <v>5746</v>
      </c>
      <c r="K3182" s="2" t="s">
        <v>9452</v>
      </c>
      <c r="L3182">
        <v>5</v>
      </c>
      <c r="M3182" s="1">
        <v>297000</v>
      </c>
      <c r="N3182">
        <v>3.6</v>
      </c>
      <c r="O3182">
        <v>9</v>
      </c>
      <c r="P3182" s="2" t="s">
        <v>26</v>
      </c>
    </row>
    <row r="3183" spans="1:16" x14ac:dyDescent="0.25">
      <c r="A3183" s="2" t="s">
        <v>9444</v>
      </c>
      <c r="B3183" s="2" t="s">
        <v>4699</v>
      </c>
      <c r="C3183" s="2" t="s">
        <v>29</v>
      </c>
      <c r="D3183" s="2" t="s">
        <v>43</v>
      </c>
      <c r="E3183" s="2" t="s">
        <v>44</v>
      </c>
      <c r="F3183" s="2" t="s">
        <v>21</v>
      </c>
      <c r="G3183" s="2" t="s">
        <v>22</v>
      </c>
      <c r="H3183" s="2" t="s">
        <v>34</v>
      </c>
      <c r="I3183" s="2" t="s">
        <v>35</v>
      </c>
      <c r="J3183" s="2" t="s">
        <v>25</v>
      </c>
      <c r="K3183" s="2" t="s">
        <v>9452</v>
      </c>
      <c r="L3183">
        <v>3</v>
      </c>
      <c r="M3183" s="1">
        <v>638000</v>
      </c>
      <c r="N3183">
        <v>3.7</v>
      </c>
      <c r="O3183">
        <v>3</v>
      </c>
      <c r="P3183" s="2" t="s">
        <v>26</v>
      </c>
    </row>
    <row r="3184" spans="1:16" x14ac:dyDescent="0.25">
      <c r="A3184" s="2" t="s">
        <v>9445</v>
      </c>
      <c r="B3184" s="2" t="s">
        <v>9446</v>
      </c>
      <c r="C3184" s="2" t="s">
        <v>18</v>
      </c>
      <c r="D3184" s="2" t="s">
        <v>79</v>
      </c>
      <c r="E3184" s="2" t="s">
        <v>20</v>
      </c>
      <c r="F3184" s="2" t="s">
        <v>21</v>
      </c>
      <c r="G3184" s="2" t="s">
        <v>22</v>
      </c>
      <c r="H3184" s="2" t="s">
        <v>23</v>
      </c>
      <c r="I3184" s="2" t="s">
        <v>24</v>
      </c>
      <c r="J3184" s="2" t="s">
        <v>3887</v>
      </c>
      <c r="K3184" s="2" t="s">
        <v>9452</v>
      </c>
      <c r="L3184">
        <v>4</v>
      </c>
      <c r="M3184" s="1">
        <v>910000</v>
      </c>
      <c r="N3184">
        <v>4.9000000000000004</v>
      </c>
      <c r="O3184">
        <v>14</v>
      </c>
      <c r="P3184" s="2" t="s">
        <v>26</v>
      </c>
    </row>
    <row r="3185" spans="1:16" x14ac:dyDescent="0.25">
      <c r="A3185" s="2" t="s">
        <v>9450</v>
      </c>
      <c r="B3185" s="2" t="s">
        <v>7467</v>
      </c>
      <c r="C3185" s="2" t="s">
        <v>29</v>
      </c>
      <c r="D3185" s="2" t="s">
        <v>79</v>
      </c>
      <c r="E3185" s="2" t="s">
        <v>20</v>
      </c>
      <c r="F3185" s="2" t="s">
        <v>39</v>
      </c>
      <c r="G3185" s="2" t="s">
        <v>22</v>
      </c>
      <c r="H3185" s="2" t="s">
        <v>46</v>
      </c>
      <c r="I3185" s="2" t="s">
        <v>24</v>
      </c>
      <c r="J3185" s="2" t="s">
        <v>1102</v>
      </c>
      <c r="K3185" s="2" t="s">
        <v>9452</v>
      </c>
      <c r="L3185">
        <v>3</v>
      </c>
      <c r="M3185" s="1">
        <v>138000</v>
      </c>
      <c r="N3185">
        <v>2.5</v>
      </c>
      <c r="O3185">
        <v>3</v>
      </c>
      <c r="P3185" s="2" t="s">
        <v>26</v>
      </c>
    </row>
    <row r="3186" spans="1:16" x14ac:dyDescent="0.25">
      <c r="A3186" s="2" t="s">
        <v>9451</v>
      </c>
      <c r="B3186" s="2" t="s">
        <v>3482</v>
      </c>
      <c r="C3186" s="2" t="s">
        <v>18</v>
      </c>
      <c r="D3186" s="2" t="s">
        <v>19</v>
      </c>
      <c r="E3186" s="2" t="s">
        <v>20</v>
      </c>
      <c r="F3186" s="2" t="s">
        <v>21</v>
      </c>
      <c r="G3186" s="2" t="s">
        <v>22</v>
      </c>
      <c r="H3186" s="2" t="s">
        <v>46</v>
      </c>
      <c r="I3186" s="2" t="s">
        <v>57</v>
      </c>
      <c r="J3186" s="2" t="s">
        <v>3688</v>
      </c>
      <c r="K3186" s="2" t="s">
        <v>9452</v>
      </c>
      <c r="L3186">
        <v>4</v>
      </c>
      <c r="M3186" s="1">
        <v>887000</v>
      </c>
      <c r="N3186">
        <v>3.3</v>
      </c>
      <c r="O3186">
        <v>5</v>
      </c>
      <c r="P3186" s="2" t="s">
        <v>53</v>
      </c>
    </row>
    <row r="3187" spans="1:16" x14ac:dyDescent="0.25">
      <c r="A3187" s="2" t="s">
        <v>9454</v>
      </c>
      <c r="B3187" s="2" t="s">
        <v>9455</v>
      </c>
      <c r="C3187" s="2" t="s">
        <v>18</v>
      </c>
      <c r="D3187" s="2" t="s">
        <v>30</v>
      </c>
      <c r="E3187" s="2" t="s">
        <v>31</v>
      </c>
      <c r="F3187" s="2" t="s">
        <v>32</v>
      </c>
      <c r="G3187" s="2" t="s">
        <v>80</v>
      </c>
      <c r="H3187" s="2" t="s">
        <v>23</v>
      </c>
      <c r="I3187" s="2" t="s">
        <v>35</v>
      </c>
      <c r="J3187" s="2" t="s">
        <v>2259</v>
      </c>
      <c r="K3187" s="2" t="s">
        <v>3818</v>
      </c>
      <c r="L3187">
        <v>6</v>
      </c>
      <c r="M3187" s="1">
        <v>308000</v>
      </c>
      <c r="N3187">
        <v>4.5</v>
      </c>
      <c r="O3187">
        <v>7</v>
      </c>
      <c r="P3187" s="2" t="s">
        <v>26</v>
      </c>
    </row>
    <row r="3188" spans="1:16" x14ac:dyDescent="0.25">
      <c r="A3188" s="2" t="s">
        <v>9460</v>
      </c>
      <c r="B3188" s="2" t="s">
        <v>3704</v>
      </c>
      <c r="C3188" s="2" t="s">
        <v>18</v>
      </c>
      <c r="D3188" s="2" t="s">
        <v>30</v>
      </c>
      <c r="E3188" s="2" t="s">
        <v>44</v>
      </c>
      <c r="F3188" s="2" t="s">
        <v>32</v>
      </c>
      <c r="G3188" s="2" t="s">
        <v>22</v>
      </c>
      <c r="H3188" s="2" t="s">
        <v>46</v>
      </c>
      <c r="I3188" s="2" t="s">
        <v>171</v>
      </c>
      <c r="J3188" s="2" t="s">
        <v>1025</v>
      </c>
      <c r="K3188" s="2" t="s">
        <v>3818</v>
      </c>
      <c r="L3188">
        <v>5</v>
      </c>
      <c r="M3188" s="1">
        <v>237000</v>
      </c>
      <c r="N3188">
        <v>3.1</v>
      </c>
      <c r="O3188">
        <v>2</v>
      </c>
      <c r="P3188" s="2" t="s">
        <v>26</v>
      </c>
    </row>
    <row r="3189" spans="1:16" x14ac:dyDescent="0.25">
      <c r="A3189" s="2" t="s">
        <v>9463</v>
      </c>
      <c r="B3189" s="2" t="s">
        <v>9464</v>
      </c>
      <c r="C3189" s="2" t="s">
        <v>29</v>
      </c>
      <c r="D3189" s="2" t="s">
        <v>50</v>
      </c>
      <c r="E3189" s="2" t="s">
        <v>20</v>
      </c>
      <c r="F3189" s="2" t="s">
        <v>128</v>
      </c>
      <c r="G3189" s="2" t="s">
        <v>80</v>
      </c>
      <c r="H3189" s="2" t="s">
        <v>23</v>
      </c>
      <c r="I3189" s="2" t="s">
        <v>57</v>
      </c>
      <c r="J3189" s="2" t="s">
        <v>1803</v>
      </c>
      <c r="K3189" s="2" t="s">
        <v>3818</v>
      </c>
      <c r="L3189">
        <v>6</v>
      </c>
      <c r="M3189" s="1">
        <v>520000</v>
      </c>
      <c r="N3189">
        <v>2.7</v>
      </c>
      <c r="O3189">
        <v>6</v>
      </c>
      <c r="P3189" s="2" t="s">
        <v>114</v>
      </c>
    </row>
    <row r="3190" spans="1:16" x14ac:dyDescent="0.25">
      <c r="A3190" s="2" t="s">
        <v>9465</v>
      </c>
      <c r="B3190" s="2" t="s">
        <v>9466</v>
      </c>
      <c r="C3190" s="2" t="s">
        <v>18</v>
      </c>
      <c r="D3190" s="2" t="s">
        <v>79</v>
      </c>
      <c r="E3190" s="2" t="s">
        <v>44</v>
      </c>
      <c r="F3190" s="2" t="s">
        <v>39</v>
      </c>
      <c r="G3190" s="2" t="s">
        <v>80</v>
      </c>
      <c r="H3190" s="2" t="s">
        <v>34</v>
      </c>
      <c r="I3190" s="2" t="s">
        <v>24</v>
      </c>
      <c r="J3190" s="2" t="s">
        <v>4360</v>
      </c>
      <c r="K3190" s="2" t="s">
        <v>4503</v>
      </c>
      <c r="L3190">
        <v>3</v>
      </c>
      <c r="M3190" s="1">
        <v>103000</v>
      </c>
      <c r="N3190">
        <v>3.5</v>
      </c>
      <c r="O3190">
        <v>7</v>
      </c>
      <c r="P3190" s="2" t="s">
        <v>26</v>
      </c>
    </row>
    <row r="3191" spans="1:16" x14ac:dyDescent="0.25">
      <c r="A3191" s="2" t="s">
        <v>9468</v>
      </c>
      <c r="B3191" s="2" t="s">
        <v>705</v>
      </c>
      <c r="C3191" s="2" t="s">
        <v>29</v>
      </c>
      <c r="D3191" s="2" t="s">
        <v>30</v>
      </c>
      <c r="E3191" s="2" t="s">
        <v>31</v>
      </c>
      <c r="F3191" s="2" t="s">
        <v>39</v>
      </c>
      <c r="G3191" s="2" t="s">
        <v>33</v>
      </c>
      <c r="H3191" s="2" t="s">
        <v>46</v>
      </c>
      <c r="I3191" s="2" t="s">
        <v>57</v>
      </c>
      <c r="J3191" s="2" t="s">
        <v>8815</v>
      </c>
      <c r="K3191" s="2" t="s">
        <v>4503</v>
      </c>
      <c r="L3191">
        <v>4</v>
      </c>
      <c r="M3191" s="1">
        <v>136000</v>
      </c>
      <c r="N3191">
        <v>2.6</v>
      </c>
      <c r="O3191">
        <v>5</v>
      </c>
      <c r="P3191" s="2" t="s">
        <v>26</v>
      </c>
    </row>
    <row r="3192" spans="1:16" x14ac:dyDescent="0.25">
      <c r="A3192" s="2" t="s">
        <v>9471</v>
      </c>
      <c r="B3192" s="2" t="s">
        <v>6010</v>
      </c>
      <c r="C3192" s="2" t="s">
        <v>29</v>
      </c>
      <c r="D3192" s="2" t="s">
        <v>19</v>
      </c>
      <c r="E3192" s="2" t="s">
        <v>20</v>
      </c>
      <c r="F3192" s="2" t="s">
        <v>128</v>
      </c>
      <c r="G3192" s="2" t="s">
        <v>22</v>
      </c>
      <c r="H3192" s="2" t="s">
        <v>34</v>
      </c>
      <c r="I3192" s="2" t="s">
        <v>24</v>
      </c>
      <c r="J3192" s="2" t="s">
        <v>2662</v>
      </c>
      <c r="K3192" s="2" t="s">
        <v>4503</v>
      </c>
      <c r="L3192">
        <v>4</v>
      </c>
      <c r="M3192" s="1">
        <v>626000</v>
      </c>
      <c r="N3192">
        <v>4.3</v>
      </c>
      <c r="O3192">
        <v>13</v>
      </c>
      <c r="P3192" s="2" t="s">
        <v>53</v>
      </c>
    </row>
    <row r="3193" spans="1:16" x14ac:dyDescent="0.25">
      <c r="A3193" s="2" t="s">
        <v>9472</v>
      </c>
      <c r="B3193" s="2" t="s">
        <v>5932</v>
      </c>
      <c r="C3193" s="2" t="s">
        <v>29</v>
      </c>
      <c r="D3193" s="2" t="s">
        <v>79</v>
      </c>
      <c r="E3193" s="2" t="s">
        <v>20</v>
      </c>
      <c r="F3193" s="2" t="s">
        <v>21</v>
      </c>
      <c r="G3193" s="2" t="s">
        <v>33</v>
      </c>
      <c r="H3193" s="2" t="s">
        <v>62</v>
      </c>
      <c r="I3193" s="2" t="s">
        <v>75</v>
      </c>
      <c r="J3193" s="2" t="s">
        <v>4201</v>
      </c>
      <c r="K3193" s="2" t="s">
        <v>1131</v>
      </c>
      <c r="L3193">
        <v>6</v>
      </c>
      <c r="M3193" s="1">
        <v>693000</v>
      </c>
      <c r="N3193">
        <v>3.5</v>
      </c>
      <c r="O3193">
        <v>8</v>
      </c>
      <c r="P3193" s="2" t="s">
        <v>72</v>
      </c>
    </row>
    <row r="3194" spans="1:16" x14ac:dyDescent="0.25">
      <c r="A3194" s="2" t="s">
        <v>9475</v>
      </c>
      <c r="B3194" s="2" t="s">
        <v>7827</v>
      </c>
      <c r="C3194" s="2" t="s">
        <v>18</v>
      </c>
      <c r="D3194" s="2" t="s">
        <v>79</v>
      </c>
      <c r="E3194" s="2" t="s">
        <v>31</v>
      </c>
      <c r="F3194" s="2" t="s">
        <v>21</v>
      </c>
      <c r="G3194" s="2" t="s">
        <v>22</v>
      </c>
      <c r="H3194" s="2" t="s">
        <v>34</v>
      </c>
      <c r="I3194" s="2" t="s">
        <v>75</v>
      </c>
      <c r="J3194" s="2" t="s">
        <v>2751</v>
      </c>
      <c r="K3194" s="2" t="s">
        <v>5801</v>
      </c>
      <c r="L3194">
        <v>4</v>
      </c>
      <c r="M3194" s="1">
        <v>873000</v>
      </c>
      <c r="N3194">
        <v>3.1</v>
      </c>
      <c r="O3194">
        <v>7</v>
      </c>
      <c r="P3194" s="2" t="s">
        <v>26</v>
      </c>
    </row>
    <row r="3195" spans="1:16" x14ac:dyDescent="0.25">
      <c r="A3195" s="2" t="s">
        <v>9476</v>
      </c>
      <c r="B3195" s="2" t="s">
        <v>7339</v>
      </c>
      <c r="C3195" s="2" t="s">
        <v>29</v>
      </c>
      <c r="D3195" s="2" t="s">
        <v>43</v>
      </c>
      <c r="E3195" s="2" t="s">
        <v>20</v>
      </c>
      <c r="F3195" s="2" t="s">
        <v>32</v>
      </c>
      <c r="G3195" s="2" t="s">
        <v>80</v>
      </c>
      <c r="H3195" s="2" t="s">
        <v>23</v>
      </c>
      <c r="I3195" s="2" t="s">
        <v>24</v>
      </c>
      <c r="J3195" s="2" t="s">
        <v>8733</v>
      </c>
      <c r="K3195" s="2" t="s">
        <v>5801</v>
      </c>
      <c r="L3195">
        <v>5</v>
      </c>
      <c r="M3195" s="1">
        <v>210000</v>
      </c>
      <c r="N3195">
        <v>4.0999999999999996</v>
      </c>
      <c r="O3195">
        <v>17</v>
      </c>
      <c r="P3195" s="2" t="s">
        <v>114</v>
      </c>
    </row>
    <row r="3196" spans="1:16" x14ac:dyDescent="0.25">
      <c r="A3196" s="2" t="s">
        <v>9477</v>
      </c>
      <c r="B3196" s="2" t="s">
        <v>9478</v>
      </c>
      <c r="C3196" s="2" t="s">
        <v>18</v>
      </c>
      <c r="D3196" s="2" t="s">
        <v>79</v>
      </c>
      <c r="E3196" s="2" t="s">
        <v>44</v>
      </c>
      <c r="F3196" s="2" t="s">
        <v>128</v>
      </c>
      <c r="G3196" s="2" t="s">
        <v>22</v>
      </c>
      <c r="H3196" s="2" t="s">
        <v>23</v>
      </c>
      <c r="I3196" s="2" t="s">
        <v>57</v>
      </c>
      <c r="J3196" s="2" t="s">
        <v>1834</v>
      </c>
      <c r="K3196" s="2" t="s">
        <v>412</v>
      </c>
      <c r="L3196">
        <v>2</v>
      </c>
      <c r="M3196" s="1">
        <v>488000</v>
      </c>
      <c r="N3196">
        <v>3.8</v>
      </c>
      <c r="O3196">
        <v>11</v>
      </c>
      <c r="P3196" s="2" t="s">
        <v>26</v>
      </c>
    </row>
    <row r="3197" spans="1:16" x14ac:dyDescent="0.25">
      <c r="A3197" s="2" t="s">
        <v>9479</v>
      </c>
      <c r="B3197" s="2" t="s">
        <v>9480</v>
      </c>
      <c r="C3197" s="2" t="s">
        <v>29</v>
      </c>
      <c r="D3197" s="2" t="s">
        <v>50</v>
      </c>
      <c r="E3197" s="2" t="s">
        <v>20</v>
      </c>
      <c r="F3197" s="2" t="s">
        <v>32</v>
      </c>
      <c r="G3197" s="2" t="s">
        <v>69</v>
      </c>
      <c r="H3197" s="2" t="s">
        <v>46</v>
      </c>
      <c r="I3197" s="2" t="s">
        <v>75</v>
      </c>
      <c r="J3197" s="2" t="s">
        <v>2819</v>
      </c>
      <c r="K3197" s="2" t="s">
        <v>412</v>
      </c>
      <c r="L3197">
        <v>6</v>
      </c>
      <c r="M3197" s="1">
        <v>201000</v>
      </c>
      <c r="N3197">
        <v>2.1</v>
      </c>
      <c r="O3197">
        <v>14</v>
      </c>
      <c r="P3197" s="2" t="s">
        <v>26</v>
      </c>
    </row>
    <row r="3198" spans="1:16" x14ac:dyDescent="0.25">
      <c r="A3198" s="2" t="s">
        <v>9481</v>
      </c>
      <c r="B3198" s="2" t="s">
        <v>9482</v>
      </c>
      <c r="C3198" s="2" t="s">
        <v>29</v>
      </c>
      <c r="D3198" s="2" t="s">
        <v>19</v>
      </c>
      <c r="E3198" s="2" t="s">
        <v>44</v>
      </c>
      <c r="F3198" s="2" t="s">
        <v>39</v>
      </c>
      <c r="G3198" s="2" t="s">
        <v>22</v>
      </c>
      <c r="H3198" s="2" t="s">
        <v>23</v>
      </c>
      <c r="I3198" s="2" t="s">
        <v>171</v>
      </c>
      <c r="J3198" s="2" t="s">
        <v>4022</v>
      </c>
      <c r="K3198" s="2" t="s">
        <v>412</v>
      </c>
      <c r="L3198">
        <v>4</v>
      </c>
      <c r="M3198" s="1">
        <v>156000</v>
      </c>
      <c r="N3198">
        <v>4.4000000000000004</v>
      </c>
      <c r="O3198">
        <v>3</v>
      </c>
      <c r="P3198" s="2" t="s">
        <v>26</v>
      </c>
    </row>
    <row r="3199" spans="1:16" x14ac:dyDescent="0.25">
      <c r="A3199" s="2" t="s">
        <v>9483</v>
      </c>
      <c r="B3199" s="2" t="s">
        <v>9484</v>
      </c>
      <c r="C3199" s="2" t="s">
        <v>29</v>
      </c>
      <c r="D3199" s="2" t="s">
        <v>50</v>
      </c>
      <c r="E3199" s="2" t="s">
        <v>20</v>
      </c>
      <c r="F3199" s="2" t="s">
        <v>32</v>
      </c>
      <c r="G3199" s="2" t="s">
        <v>22</v>
      </c>
      <c r="H3199" s="2" t="s">
        <v>62</v>
      </c>
      <c r="I3199" s="2" t="s">
        <v>57</v>
      </c>
      <c r="J3199" s="2" t="s">
        <v>758</v>
      </c>
      <c r="K3199" s="2" t="s">
        <v>412</v>
      </c>
      <c r="L3199">
        <v>3</v>
      </c>
      <c r="M3199" s="1">
        <v>245000</v>
      </c>
      <c r="N3199">
        <v>3.8</v>
      </c>
      <c r="O3199">
        <v>13</v>
      </c>
      <c r="P3199" s="2" t="s">
        <v>26</v>
      </c>
    </row>
    <row r="3200" spans="1:16" x14ac:dyDescent="0.25">
      <c r="A3200" s="2" t="s">
        <v>9485</v>
      </c>
      <c r="B3200" s="2" t="s">
        <v>288</v>
      </c>
      <c r="C3200" s="2" t="s">
        <v>18</v>
      </c>
      <c r="D3200" s="2" t="s">
        <v>43</v>
      </c>
      <c r="E3200" s="2" t="s">
        <v>20</v>
      </c>
      <c r="F3200" s="2" t="s">
        <v>39</v>
      </c>
      <c r="G3200" s="2" t="s">
        <v>69</v>
      </c>
      <c r="H3200" s="2" t="s">
        <v>46</v>
      </c>
      <c r="I3200" s="2" t="s">
        <v>24</v>
      </c>
      <c r="J3200" s="2" t="s">
        <v>1360</v>
      </c>
      <c r="K3200" s="2" t="s">
        <v>412</v>
      </c>
      <c r="L3200">
        <v>6</v>
      </c>
      <c r="M3200" s="1">
        <v>85000</v>
      </c>
      <c r="N3200">
        <v>4.4000000000000004</v>
      </c>
      <c r="O3200">
        <v>10</v>
      </c>
      <c r="P3200" s="2" t="s">
        <v>26</v>
      </c>
    </row>
    <row r="3201" spans="1:16" x14ac:dyDescent="0.25">
      <c r="A3201" s="2" t="s">
        <v>9486</v>
      </c>
      <c r="B3201" s="2" t="s">
        <v>5873</v>
      </c>
      <c r="C3201" s="2" t="s">
        <v>18</v>
      </c>
      <c r="D3201" s="2" t="s">
        <v>30</v>
      </c>
      <c r="E3201" s="2" t="s">
        <v>44</v>
      </c>
      <c r="F3201" s="2" t="s">
        <v>32</v>
      </c>
      <c r="G3201" s="2" t="s">
        <v>22</v>
      </c>
      <c r="H3201" s="2" t="s">
        <v>23</v>
      </c>
      <c r="I3201" s="2" t="s">
        <v>35</v>
      </c>
      <c r="J3201" s="2" t="s">
        <v>887</v>
      </c>
      <c r="K3201" s="2" t="s">
        <v>412</v>
      </c>
      <c r="L3201">
        <v>5</v>
      </c>
      <c r="M3201" s="1">
        <v>214000</v>
      </c>
      <c r="N3201">
        <v>2.7</v>
      </c>
      <c r="O3201">
        <v>4</v>
      </c>
      <c r="P3201" s="2" t="s">
        <v>26</v>
      </c>
    </row>
    <row r="3202" spans="1:16" x14ac:dyDescent="0.25">
      <c r="A3202" s="2" t="s">
        <v>9487</v>
      </c>
      <c r="B3202" s="2" t="s">
        <v>9488</v>
      </c>
      <c r="C3202" s="2" t="s">
        <v>29</v>
      </c>
      <c r="D3202" s="2" t="s">
        <v>50</v>
      </c>
      <c r="E3202" s="2" t="s">
        <v>20</v>
      </c>
      <c r="F3202" s="2" t="s">
        <v>32</v>
      </c>
      <c r="G3202" s="2" t="s">
        <v>69</v>
      </c>
      <c r="H3202" s="2" t="s">
        <v>46</v>
      </c>
      <c r="I3202" s="2" t="s">
        <v>57</v>
      </c>
      <c r="J3202" s="2" t="s">
        <v>5592</v>
      </c>
      <c r="K3202" s="2" t="s">
        <v>412</v>
      </c>
      <c r="L3202">
        <v>6</v>
      </c>
      <c r="M3202" s="1">
        <v>240000</v>
      </c>
      <c r="N3202">
        <v>4.7</v>
      </c>
      <c r="O3202">
        <v>13</v>
      </c>
      <c r="P3202" s="2" t="s">
        <v>26</v>
      </c>
    </row>
    <row r="3203" spans="1:16" x14ac:dyDescent="0.25">
      <c r="A3203" s="2" t="s">
        <v>9490</v>
      </c>
      <c r="B3203" s="2" t="s">
        <v>3027</v>
      </c>
      <c r="C3203" s="2" t="s">
        <v>29</v>
      </c>
      <c r="D3203" s="2" t="s">
        <v>50</v>
      </c>
      <c r="E3203" s="2" t="s">
        <v>20</v>
      </c>
      <c r="F3203" s="2" t="s">
        <v>21</v>
      </c>
      <c r="G3203" s="2" t="s">
        <v>80</v>
      </c>
      <c r="H3203" s="2" t="s">
        <v>62</v>
      </c>
      <c r="I3203" s="2" t="s">
        <v>57</v>
      </c>
      <c r="J3203" s="2" t="s">
        <v>4742</v>
      </c>
      <c r="K3203" s="2" t="s">
        <v>412</v>
      </c>
      <c r="L3203">
        <v>5</v>
      </c>
      <c r="M3203" s="1">
        <v>629000</v>
      </c>
      <c r="N3203">
        <v>4.9000000000000004</v>
      </c>
      <c r="O3203">
        <v>10</v>
      </c>
      <c r="P3203" s="2" t="s">
        <v>114</v>
      </c>
    </row>
    <row r="3204" spans="1:16" x14ac:dyDescent="0.25">
      <c r="A3204" s="2" t="s">
        <v>9491</v>
      </c>
      <c r="B3204" s="2" t="s">
        <v>4877</v>
      </c>
      <c r="C3204" s="2" t="s">
        <v>18</v>
      </c>
      <c r="D3204" s="2" t="s">
        <v>50</v>
      </c>
      <c r="E3204" s="2" t="s">
        <v>44</v>
      </c>
      <c r="F3204" s="2" t="s">
        <v>32</v>
      </c>
      <c r="G3204" s="2" t="s">
        <v>33</v>
      </c>
      <c r="H3204" s="2" t="s">
        <v>46</v>
      </c>
      <c r="I3204" s="2" t="s">
        <v>35</v>
      </c>
      <c r="J3204" s="2" t="s">
        <v>6188</v>
      </c>
      <c r="K3204" s="2" t="s">
        <v>2265</v>
      </c>
      <c r="L3204">
        <v>4</v>
      </c>
      <c r="M3204" s="1">
        <v>185000</v>
      </c>
      <c r="N3204">
        <v>3.7</v>
      </c>
      <c r="O3204">
        <v>2</v>
      </c>
      <c r="P3204" s="2" t="s">
        <v>26</v>
      </c>
    </row>
    <row r="3205" spans="1:16" x14ac:dyDescent="0.25">
      <c r="A3205" s="2" t="s">
        <v>9492</v>
      </c>
      <c r="B3205" s="2" t="s">
        <v>3610</v>
      </c>
      <c r="C3205" s="2" t="s">
        <v>18</v>
      </c>
      <c r="D3205" s="2" t="s">
        <v>30</v>
      </c>
      <c r="E3205" s="2" t="s">
        <v>31</v>
      </c>
      <c r="F3205" s="2" t="s">
        <v>21</v>
      </c>
      <c r="G3205" s="2" t="s">
        <v>33</v>
      </c>
      <c r="H3205" s="2" t="s">
        <v>23</v>
      </c>
      <c r="I3205" s="2" t="s">
        <v>75</v>
      </c>
      <c r="J3205" s="2" t="s">
        <v>472</v>
      </c>
      <c r="K3205" s="2" t="s">
        <v>2265</v>
      </c>
      <c r="L3205">
        <v>6</v>
      </c>
      <c r="M3205" s="1">
        <v>801000</v>
      </c>
      <c r="N3205">
        <v>4.3</v>
      </c>
      <c r="O3205">
        <v>11</v>
      </c>
      <c r="P3205" s="2" t="s">
        <v>53</v>
      </c>
    </row>
    <row r="3206" spans="1:16" x14ac:dyDescent="0.25">
      <c r="A3206" s="2" t="s">
        <v>9496</v>
      </c>
      <c r="B3206" s="2" t="s">
        <v>1542</v>
      </c>
      <c r="C3206" s="2" t="s">
        <v>18</v>
      </c>
      <c r="D3206" s="2" t="s">
        <v>30</v>
      </c>
      <c r="E3206" s="2" t="s">
        <v>20</v>
      </c>
      <c r="F3206" s="2" t="s">
        <v>32</v>
      </c>
      <c r="G3206" s="2" t="s">
        <v>69</v>
      </c>
      <c r="H3206" s="2" t="s">
        <v>46</v>
      </c>
      <c r="I3206" s="2" t="s">
        <v>24</v>
      </c>
      <c r="J3206" s="2" t="s">
        <v>2285</v>
      </c>
      <c r="K3206" s="2" t="s">
        <v>6216</v>
      </c>
      <c r="L3206">
        <v>2</v>
      </c>
      <c r="M3206" s="1">
        <v>315000</v>
      </c>
      <c r="N3206">
        <v>2.9</v>
      </c>
      <c r="O3206">
        <v>12</v>
      </c>
      <c r="P3206" s="2" t="s">
        <v>26</v>
      </c>
    </row>
    <row r="3207" spans="1:16" x14ac:dyDescent="0.25">
      <c r="A3207" s="2" t="s">
        <v>9497</v>
      </c>
      <c r="B3207" s="2" t="s">
        <v>2801</v>
      </c>
      <c r="C3207" s="2" t="s">
        <v>18</v>
      </c>
      <c r="D3207" s="2" t="s">
        <v>50</v>
      </c>
      <c r="E3207" s="2" t="s">
        <v>20</v>
      </c>
      <c r="F3207" s="2" t="s">
        <v>32</v>
      </c>
      <c r="G3207" s="2" t="s">
        <v>22</v>
      </c>
      <c r="H3207" s="2" t="s">
        <v>62</v>
      </c>
      <c r="I3207" s="2" t="s">
        <v>57</v>
      </c>
      <c r="J3207" s="2" t="s">
        <v>2455</v>
      </c>
      <c r="K3207" s="2" t="s">
        <v>6216</v>
      </c>
      <c r="L3207">
        <v>6</v>
      </c>
      <c r="M3207" s="1">
        <v>341000</v>
      </c>
      <c r="N3207">
        <v>4.0999999999999996</v>
      </c>
      <c r="O3207">
        <v>10</v>
      </c>
      <c r="P3207" s="2" t="s">
        <v>114</v>
      </c>
    </row>
    <row r="3208" spans="1:16" x14ac:dyDescent="0.25">
      <c r="A3208" s="2" t="s">
        <v>9498</v>
      </c>
      <c r="B3208" s="2" t="s">
        <v>1447</v>
      </c>
      <c r="C3208" s="2" t="s">
        <v>29</v>
      </c>
      <c r="D3208" s="2" t="s">
        <v>30</v>
      </c>
      <c r="E3208" s="2" t="s">
        <v>20</v>
      </c>
      <c r="F3208" s="2" t="s">
        <v>32</v>
      </c>
      <c r="G3208" s="2" t="s">
        <v>33</v>
      </c>
      <c r="H3208" s="2" t="s">
        <v>23</v>
      </c>
      <c r="I3208" s="2" t="s">
        <v>75</v>
      </c>
      <c r="J3208" s="2" t="s">
        <v>1878</v>
      </c>
      <c r="K3208" s="2" t="s">
        <v>5665</v>
      </c>
      <c r="L3208">
        <v>2</v>
      </c>
      <c r="M3208" s="1">
        <v>234000</v>
      </c>
      <c r="N3208">
        <v>3.1</v>
      </c>
      <c r="O3208">
        <v>10</v>
      </c>
      <c r="P3208" s="2" t="s">
        <v>72</v>
      </c>
    </row>
    <row r="3209" spans="1:16" x14ac:dyDescent="0.25">
      <c r="A3209" s="2" t="s">
        <v>9502</v>
      </c>
      <c r="B3209" s="2" t="s">
        <v>2159</v>
      </c>
      <c r="C3209" s="2" t="s">
        <v>18</v>
      </c>
      <c r="D3209" s="2" t="s">
        <v>30</v>
      </c>
      <c r="E3209" s="2" t="s">
        <v>20</v>
      </c>
      <c r="F3209" s="2" t="s">
        <v>39</v>
      </c>
      <c r="G3209" s="2" t="s">
        <v>22</v>
      </c>
      <c r="H3209" s="2" t="s">
        <v>34</v>
      </c>
      <c r="I3209" s="2" t="s">
        <v>24</v>
      </c>
      <c r="J3209" s="2" t="s">
        <v>2392</v>
      </c>
      <c r="K3209" s="2" t="s">
        <v>3574</v>
      </c>
      <c r="L3209">
        <v>2</v>
      </c>
      <c r="M3209" s="1">
        <v>104000</v>
      </c>
      <c r="N3209">
        <v>3.4</v>
      </c>
      <c r="O3209">
        <v>7</v>
      </c>
      <c r="P3209" s="2" t="s">
        <v>26</v>
      </c>
    </row>
    <row r="3210" spans="1:16" x14ac:dyDescent="0.25">
      <c r="A3210" s="2" t="s">
        <v>9504</v>
      </c>
      <c r="B3210" s="2" t="s">
        <v>1076</v>
      </c>
      <c r="C3210" s="2" t="s">
        <v>29</v>
      </c>
      <c r="D3210" s="2" t="s">
        <v>43</v>
      </c>
      <c r="E3210" s="2" t="s">
        <v>20</v>
      </c>
      <c r="F3210" s="2" t="s">
        <v>32</v>
      </c>
      <c r="G3210" s="2" t="s">
        <v>33</v>
      </c>
      <c r="H3210" s="2" t="s">
        <v>23</v>
      </c>
      <c r="I3210" s="2" t="s">
        <v>57</v>
      </c>
      <c r="J3210" s="2" t="s">
        <v>867</v>
      </c>
      <c r="K3210" s="2" t="s">
        <v>3574</v>
      </c>
      <c r="L3210">
        <v>2</v>
      </c>
      <c r="M3210" s="1">
        <v>180000</v>
      </c>
      <c r="N3210">
        <v>2.2999999999999998</v>
      </c>
      <c r="O3210">
        <v>2</v>
      </c>
      <c r="P3210" s="2" t="s">
        <v>114</v>
      </c>
    </row>
    <row r="3211" spans="1:16" x14ac:dyDescent="0.25">
      <c r="A3211" s="2" t="s">
        <v>9505</v>
      </c>
      <c r="B3211" s="2" t="s">
        <v>9506</v>
      </c>
      <c r="C3211" s="2" t="s">
        <v>18</v>
      </c>
      <c r="D3211" s="2" t="s">
        <v>50</v>
      </c>
      <c r="E3211" s="2" t="s">
        <v>20</v>
      </c>
      <c r="F3211" s="2" t="s">
        <v>21</v>
      </c>
      <c r="G3211" s="2" t="s">
        <v>22</v>
      </c>
      <c r="H3211" s="2" t="s">
        <v>34</v>
      </c>
      <c r="I3211" s="2" t="s">
        <v>24</v>
      </c>
      <c r="J3211" s="2" t="s">
        <v>5030</v>
      </c>
      <c r="K3211" s="2" t="s">
        <v>700</v>
      </c>
      <c r="L3211">
        <v>6</v>
      </c>
      <c r="M3211" s="1">
        <v>749000</v>
      </c>
      <c r="N3211">
        <v>3.1</v>
      </c>
      <c r="O3211">
        <v>8</v>
      </c>
      <c r="P3211" s="2" t="s">
        <v>26</v>
      </c>
    </row>
    <row r="3212" spans="1:16" x14ac:dyDescent="0.25">
      <c r="A3212" s="2" t="s">
        <v>9509</v>
      </c>
      <c r="B3212" s="2" t="s">
        <v>2106</v>
      </c>
      <c r="C3212" s="2" t="s">
        <v>18</v>
      </c>
      <c r="D3212" s="2" t="s">
        <v>30</v>
      </c>
      <c r="E3212" s="2" t="s">
        <v>20</v>
      </c>
      <c r="F3212" s="2" t="s">
        <v>128</v>
      </c>
      <c r="G3212" s="2" t="s">
        <v>22</v>
      </c>
      <c r="H3212" s="2" t="s">
        <v>23</v>
      </c>
      <c r="I3212" s="2" t="s">
        <v>24</v>
      </c>
      <c r="J3212" s="2" t="s">
        <v>1522</v>
      </c>
      <c r="K3212" s="2" t="s">
        <v>700</v>
      </c>
      <c r="L3212">
        <v>3</v>
      </c>
      <c r="M3212" s="1">
        <v>424000</v>
      </c>
      <c r="N3212">
        <v>4.5</v>
      </c>
      <c r="O3212">
        <v>2</v>
      </c>
      <c r="P3212" s="2" t="s">
        <v>26</v>
      </c>
    </row>
    <row r="3213" spans="1:16" x14ac:dyDescent="0.25">
      <c r="A3213" s="2" t="s">
        <v>9510</v>
      </c>
      <c r="B3213" s="2" t="s">
        <v>5647</v>
      </c>
      <c r="C3213" s="2" t="s">
        <v>29</v>
      </c>
      <c r="D3213" s="2" t="s">
        <v>50</v>
      </c>
      <c r="E3213" s="2" t="s">
        <v>20</v>
      </c>
      <c r="F3213" s="2" t="s">
        <v>32</v>
      </c>
      <c r="G3213" s="2" t="s">
        <v>22</v>
      </c>
      <c r="H3213" s="2" t="s">
        <v>23</v>
      </c>
      <c r="I3213" s="2" t="s">
        <v>24</v>
      </c>
      <c r="J3213" s="2" t="s">
        <v>3593</v>
      </c>
      <c r="K3213" s="2" t="s">
        <v>700</v>
      </c>
      <c r="L3213">
        <v>6</v>
      </c>
      <c r="M3213" s="1">
        <v>263000</v>
      </c>
      <c r="N3213">
        <v>4.8</v>
      </c>
      <c r="O3213">
        <v>3</v>
      </c>
      <c r="P3213" s="2" t="s">
        <v>26</v>
      </c>
    </row>
    <row r="3214" spans="1:16" x14ac:dyDescent="0.25">
      <c r="A3214" s="2" t="s">
        <v>9512</v>
      </c>
      <c r="B3214" s="2" t="s">
        <v>9513</v>
      </c>
      <c r="C3214" s="2" t="s">
        <v>18</v>
      </c>
      <c r="D3214" s="2" t="s">
        <v>19</v>
      </c>
      <c r="E3214" s="2" t="s">
        <v>44</v>
      </c>
      <c r="F3214" s="2" t="s">
        <v>32</v>
      </c>
      <c r="G3214" s="2" t="s">
        <v>22</v>
      </c>
      <c r="H3214" s="2" t="s">
        <v>46</v>
      </c>
      <c r="I3214" s="2" t="s">
        <v>24</v>
      </c>
      <c r="J3214" s="2" t="s">
        <v>144</v>
      </c>
      <c r="K3214" s="2" t="s">
        <v>700</v>
      </c>
      <c r="L3214">
        <v>4</v>
      </c>
      <c r="M3214" s="1">
        <v>229000</v>
      </c>
      <c r="N3214">
        <v>4.4000000000000004</v>
      </c>
      <c r="O3214">
        <v>17</v>
      </c>
      <c r="P3214" s="2" t="s">
        <v>53</v>
      </c>
    </row>
    <row r="3215" spans="1:16" x14ac:dyDescent="0.25">
      <c r="A3215" s="2" t="s">
        <v>9514</v>
      </c>
      <c r="B3215" s="2" t="s">
        <v>9515</v>
      </c>
      <c r="C3215" s="2" t="s">
        <v>29</v>
      </c>
      <c r="D3215" s="2" t="s">
        <v>50</v>
      </c>
      <c r="E3215" s="2" t="s">
        <v>20</v>
      </c>
      <c r="F3215" s="2" t="s">
        <v>128</v>
      </c>
      <c r="G3215" s="2" t="s">
        <v>69</v>
      </c>
      <c r="H3215" s="2" t="s">
        <v>46</v>
      </c>
      <c r="I3215" s="2" t="s">
        <v>57</v>
      </c>
      <c r="J3215" s="2" t="s">
        <v>2723</v>
      </c>
      <c r="K3215" s="2" t="s">
        <v>5761</v>
      </c>
      <c r="L3215">
        <v>3</v>
      </c>
      <c r="M3215" s="1">
        <v>545000</v>
      </c>
      <c r="N3215">
        <v>2.8</v>
      </c>
      <c r="O3215">
        <v>5</v>
      </c>
      <c r="P3215" s="2" t="s">
        <v>26</v>
      </c>
    </row>
    <row r="3216" spans="1:16" x14ac:dyDescent="0.25">
      <c r="A3216" s="2" t="s">
        <v>9516</v>
      </c>
      <c r="B3216" s="2" t="s">
        <v>9517</v>
      </c>
      <c r="C3216" s="2" t="s">
        <v>18</v>
      </c>
      <c r="D3216" s="2" t="s">
        <v>43</v>
      </c>
      <c r="E3216" s="2" t="s">
        <v>20</v>
      </c>
      <c r="F3216" s="2" t="s">
        <v>45</v>
      </c>
      <c r="G3216" s="2" t="s">
        <v>80</v>
      </c>
      <c r="H3216" s="2" t="s">
        <v>34</v>
      </c>
      <c r="I3216" s="2" t="s">
        <v>24</v>
      </c>
      <c r="J3216" s="2" t="s">
        <v>1623</v>
      </c>
      <c r="K3216" s="2" t="s">
        <v>5761</v>
      </c>
      <c r="L3216">
        <v>3</v>
      </c>
      <c r="M3216" s="1">
        <v>1327000</v>
      </c>
      <c r="N3216">
        <v>4.7</v>
      </c>
      <c r="O3216">
        <v>2</v>
      </c>
      <c r="P3216" s="2" t="s">
        <v>26</v>
      </c>
    </row>
    <row r="3217" spans="1:16" x14ac:dyDescent="0.25">
      <c r="A3217" s="2" t="s">
        <v>9518</v>
      </c>
      <c r="B3217" s="2" t="s">
        <v>8381</v>
      </c>
      <c r="C3217" s="2" t="s">
        <v>29</v>
      </c>
      <c r="D3217" s="2" t="s">
        <v>50</v>
      </c>
      <c r="E3217" s="2" t="s">
        <v>20</v>
      </c>
      <c r="F3217" s="2" t="s">
        <v>128</v>
      </c>
      <c r="G3217" s="2" t="s">
        <v>33</v>
      </c>
      <c r="H3217" s="2" t="s">
        <v>23</v>
      </c>
      <c r="I3217" s="2" t="s">
        <v>24</v>
      </c>
      <c r="J3217" s="2" t="s">
        <v>8061</v>
      </c>
      <c r="K3217" s="2" t="s">
        <v>5761</v>
      </c>
      <c r="L3217">
        <v>3</v>
      </c>
      <c r="M3217" s="1">
        <v>575000</v>
      </c>
      <c r="N3217">
        <v>2</v>
      </c>
      <c r="O3217">
        <v>9</v>
      </c>
      <c r="P3217" s="2" t="s">
        <v>26</v>
      </c>
    </row>
    <row r="3218" spans="1:16" x14ac:dyDescent="0.25">
      <c r="A3218" s="2" t="s">
        <v>9520</v>
      </c>
      <c r="B3218" s="2" t="s">
        <v>6780</v>
      </c>
      <c r="C3218" s="2" t="s">
        <v>18</v>
      </c>
      <c r="D3218" s="2" t="s">
        <v>19</v>
      </c>
      <c r="E3218" s="2" t="s">
        <v>20</v>
      </c>
      <c r="F3218" s="2" t="s">
        <v>39</v>
      </c>
      <c r="G3218" s="2" t="s">
        <v>22</v>
      </c>
      <c r="H3218" s="2" t="s">
        <v>46</v>
      </c>
      <c r="I3218" s="2" t="s">
        <v>24</v>
      </c>
      <c r="J3218" s="2" t="s">
        <v>375</v>
      </c>
      <c r="K3218" s="2" t="s">
        <v>5761</v>
      </c>
      <c r="L3218">
        <v>3</v>
      </c>
      <c r="M3218" s="1">
        <v>180000</v>
      </c>
      <c r="N3218">
        <v>3.4</v>
      </c>
      <c r="O3218">
        <v>14</v>
      </c>
      <c r="P3218" s="2" t="s">
        <v>26</v>
      </c>
    </row>
    <row r="3219" spans="1:16" x14ac:dyDescent="0.25">
      <c r="A3219" s="2" t="s">
        <v>9521</v>
      </c>
      <c r="B3219" s="2" t="s">
        <v>9522</v>
      </c>
      <c r="C3219" s="2" t="s">
        <v>29</v>
      </c>
      <c r="D3219" s="2" t="s">
        <v>50</v>
      </c>
      <c r="E3219" s="2" t="s">
        <v>44</v>
      </c>
      <c r="F3219" s="2" t="s">
        <v>32</v>
      </c>
      <c r="G3219" s="2" t="s">
        <v>33</v>
      </c>
      <c r="H3219" s="2" t="s">
        <v>46</v>
      </c>
      <c r="I3219" s="2" t="s">
        <v>57</v>
      </c>
      <c r="J3219" s="2" t="s">
        <v>1959</v>
      </c>
      <c r="K3219" s="2" t="s">
        <v>5761</v>
      </c>
      <c r="L3219">
        <v>5</v>
      </c>
      <c r="M3219" s="1">
        <v>304000</v>
      </c>
      <c r="N3219">
        <v>4.4000000000000004</v>
      </c>
      <c r="O3219">
        <v>6</v>
      </c>
      <c r="P3219" s="2" t="s">
        <v>26</v>
      </c>
    </row>
    <row r="3220" spans="1:16" x14ac:dyDescent="0.25">
      <c r="A3220" s="2" t="s">
        <v>9524</v>
      </c>
      <c r="B3220" s="2" t="s">
        <v>2725</v>
      </c>
      <c r="C3220" s="2" t="s">
        <v>18</v>
      </c>
      <c r="D3220" s="2" t="s">
        <v>43</v>
      </c>
      <c r="E3220" s="2" t="s">
        <v>44</v>
      </c>
      <c r="F3220" s="2" t="s">
        <v>32</v>
      </c>
      <c r="G3220" s="2" t="s">
        <v>22</v>
      </c>
      <c r="H3220" s="2" t="s">
        <v>34</v>
      </c>
      <c r="I3220" s="2" t="s">
        <v>24</v>
      </c>
      <c r="J3220" s="2" t="s">
        <v>8065</v>
      </c>
      <c r="K3220" s="2" t="s">
        <v>5761</v>
      </c>
      <c r="L3220">
        <v>3</v>
      </c>
      <c r="M3220" s="1">
        <v>180000</v>
      </c>
      <c r="N3220">
        <v>2.9</v>
      </c>
      <c r="O3220">
        <v>9</v>
      </c>
      <c r="P3220" s="2" t="s">
        <v>72</v>
      </c>
    </row>
    <row r="3221" spans="1:16" x14ac:dyDescent="0.25">
      <c r="A3221" s="2" t="s">
        <v>9525</v>
      </c>
      <c r="B3221" s="2" t="s">
        <v>1144</v>
      </c>
      <c r="C3221" s="2" t="s">
        <v>18</v>
      </c>
      <c r="D3221" s="2" t="s">
        <v>50</v>
      </c>
      <c r="E3221" s="2" t="s">
        <v>20</v>
      </c>
      <c r="F3221" s="2" t="s">
        <v>32</v>
      </c>
      <c r="G3221" s="2" t="s">
        <v>33</v>
      </c>
      <c r="H3221" s="2" t="s">
        <v>46</v>
      </c>
      <c r="I3221" s="2" t="s">
        <v>24</v>
      </c>
      <c r="J3221" s="2" t="s">
        <v>4852</v>
      </c>
      <c r="K3221" s="2" t="s">
        <v>3555</v>
      </c>
      <c r="L3221">
        <v>6</v>
      </c>
      <c r="M3221" s="1">
        <v>183000</v>
      </c>
      <c r="N3221">
        <v>2.1</v>
      </c>
      <c r="O3221">
        <v>2</v>
      </c>
      <c r="P3221" s="2" t="s">
        <v>26</v>
      </c>
    </row>
    <row r="3222" spans="1:16" x14ac:dyDescent="0.25">
      <c r="A3222" s="2" t="s">
        <v>9526</v>
      </c>
      <c r="B3222" s="2" t="s">
        <v>7310</v>
      </c>
      <c r="C3222" s="2" t="s">
        <v>29</v>
      </c>
      <c r="D3222" s="2" t="s">
        <v>43</v>
      </c>
      <c r="E3222" s="2" t="s">
        <v>20</v>
      </c>
      <c r="F3222" s="2" t="s">
        <v>32</v>
      </c>
      <c r="G3222" s="2" t="s">
        <v>69</v>
      </c>
      <c r="H3222" s="2" t="s">
        <v>23</v>
      </c>
      <c r="I3222" s="2" t="s">
        <v>24</v>
      </c>
      <c r="J3222" s="2" t="s">
        <v>338</v>
      </c>
      <c r="K3222" s="2" t="s">
        <v>3555</v>
      </c>
      <c r="L3222">
        <v>5</v>
      </c>
      <c r="M3222" s="1">
        <v>322000</v>
      </c>
      <c r="N3222">
        <v>4.5999999999999996</v>
      </c>
      <c r="O3222">
        <v>28</v>
      </c>
      <c r="P3222" s="2" t="s">
        <v>26</v>
      </c>
    </row>
    <row r="3223" spans="1:16" x14ac:dyDescent="0.25">
      <c r="A3223" s="2" t="s">
        <v>9527</v>
      </c>
      <c r="B3223" s="2" t="s">
        <v>2645</v>
      </c>
      <c r="C3223" s="2" t="s">
        <v>18</v>
      </c>
      <c r="D3223" s="2" t="s">
        <v>43</v>
      </c>
      <c r="E3223" s="2" t="s">
        <v>20</v>
      </c>
      <c r="F3223" s="2" t="s">
        <v>32</v>
      </c>
      <c r="G3223" s="2" t="s">
        <v>33</v>
      </c>
      <c r="H3223" s="2" t="s">
        <v>62</v>
      </c>
      <c r="I3223" s="2" t="s">
        <v>57</v>
      </c>
      <c r="J3223" s="2" t="s">
        <v>408</v>
      </c>
      <c r="K3223" s="2" t="s">
        <v>3555</v>
      </c>
      <c r="L3223">
        <v>4</v>
      </c>
      <c r="M3223" s="1">
        <v>225000</v>
      </c>
      <c r="N3223">
        <v>3.7</v>
      </c>
      <c r="O3223">
        <v>1</v>
      </c>
      <c r="P3223" s="2" t="s">
        <v>26</v>
      </c>
    </row>
    <row r="3224" spans="1:16" x14ac:dyDescent="0.25">
      <c r="A3224" s="2" t="s">
        <v>9530</v>
      </c>
      <c r="B3224" s="2" t="s">
        <v>5024</v>
      </c>
      <c r="C3224" s="2" t="s">
        <v>18</v>
      </c>
      <c r="D3224" s="2" t="s">
        <v>50</v>
      </c>
      <c r="E3224" s="2" t="s">
        <v>20</v>
      </c>
      <c r="F3224" s="2" t="s">
        <v>128</v>
      </c>
      <c r="G3224" s="2" t="s">
        <v>80</v>
      </c>
      <c r="H3224" s="2" t="s">
        <v>23</v>
      </c>
      <c r="I3224" s="2" t="s">
        <v>35</v>
      </c>
      <c r="J3224" s="2" t="s">
        <v>3640</v>
      </c>
      <c r="K3224" s="2" t="s">
        <v>3555</v>
      </c>
      <c r="L3224">
        <v>4</v>
      </c>
      <c r="M3224" s="1">
        <v>590000</v>
      </c>
      <c r="N3224">
        <v>4.4000000000000004</v>
      </c>
      <c r="O3224">
        <v>33</v>
      </c>
      <c r="P3224" s="2" t="s">
        <v>26</v>
      </c>
    </row>
    <row r="3225" spans="1:16" x14ac:dyDescent="0.25">
      <c r="A3225" s="2" t="s">
        <v>9531</v>
      </c>
      <c r="B3225" s="2" t="s">
        <v>3696</v>
      </c>
      <c r="C3225" s="2" t="s">
        <v>29</v>
      </c>
      <c r="D3225" s="2" t="s">
        <v>19</v>
      </c>
      <c r="E3225" s="2" t="s">
        <v>20</v>
      </c>
      <c r="F3225" s="2" t="s">
        <v>32</v>
      </c>
      <c r="G3225" s="2" t="s">
        <v>33</v>
      </c>
      <c r="H3225" s="2" t="s">
        <v>62</v>
      </c>
      <c r="I3225" s="2" t="s">
        <v>24</v>
      </c>
      <c r="J3225" s="2" t="s">
        <v>6098</v>
      </c>
      <c r="K3225" s="2" t="s">
        <v>3555</v>
      </c>
      <c r="L3225">
        <v>3</v>
      </c>
      <c r="M3225" s="1">
        <v>222000</v>
      </c>
      <c r="N3225">
        <v>3.5</v>
      </c>
      <c r="O3225">
        <v>0</v>
      </c>
      <c r="P3225" s="2" t="s">
        <v>53</v>
      </c>
    </row>
    <row r="3226" spans="1:16" x14ac:dyDescent="0.25">
      <c r="A3226" s="2" t="s">
        <v>9532</v>
      </c>
      <c r="B3226" s="2" t="s">
        <v>7856</v>
      </c>
      <c r="C3226" s="2" t="s">
        <v>18</v>
      </c>
      <c r="D3226" s="2" t="s">
        <v>79</v>
      </c>
      <c r="E3226" s="2" t="s">
        <v>20</v>
      </c>
      <c r="F3226" s="2" t="s">
        <v>39</v>
      </c>
      <c r="G3226" s="2" t="s">
        <v>33</v>
      </c>
      <c r="H3226" s="2" t="s">
        <v>34</v>
      </c>
      <c r="I3226" s="2" t="s">
        <v>35</v>
      </c>
      <c r="J3226" s="2" t="s">
        <v>4390</v>
      </c>
      <c r="K3226" s="2" t="s">
        <v>9540</v>
      </c>
      <c r="L3226">
        <v>3</v>
      </c>
      <c r="M3226" s="1">
        <v>162000</v>
      </c>
      <c r="N3226">
        <v>4.4000000000000004</v>
      </c>
      <c r="O3226">
        <v>11</v>
      </c>
      <c r="P3226" s="2" t="s">
        <v>26</v>
      </c>
    </row>
    <row r="3227" spans="1:16" x14ac:dyDescent="0.25">
      <c r="A3227" s="2" t="s">
        <v>9533</v>
      </c>
      <c r="B3227" s="2" t="s">
        <v>1787</v>
      </c>
      <c r="C3227" s="2" t="s">
        <v>18</v>
      </c>
      <c r="D3227" s="2" t="s">
        <v>50</v>
      </c>
      <c r="E3227" s="2" t="s">
        <v>31</v>
      </c>
      <c r="F3227" s="2" t="s">
        <v>128</v>
      </c>
      <c r="G3227" s="2" t="s">
        <v>22</v>
      </c>
      <c r="H3227" s="2" t="s">
        <v>34</v>
      </c>
      <c r="I3227" s="2" t="s">
        <v>35</v>
      </c>
      <c r="J3227" s="2" t="s">
        <v>1059</v>
      </c>
      <c r="K3227" s="2" t="s">
        <v>9540</v>
      </c>
      <c r="L3227">
        <v>3</v>
      </c>
      <c r="M3227" s="1">
        <v>384000</v>
      </c>
      <c r="N3227">
        <v>2.9</v>
      </c>
      <c r="O3227">
        <v>14</v>
      </c>
      <c r="P3227" s="2" t="s">
        <v>26</v>
      </c>
    </row>
    <row r="3228" spans="1:16" x14ac:dyDescent="0.25">
      <c r="A3228" s="2" t="s">
        <v>9534</v>
      </c>
      <c r="B3228" s="2" t="s">
        <v>4156</v>
      </c>
      <c r="C3228" s="2" t="s">
        <v>18</v>
      </c>
      <c r="D3228" s="2" t="s">
        <v>30</v>
      </c>
      <c r="E3228" s="2" t="s">
        <v>44</v>
      </c>
      <c r="F3228" s="2" t="s">
        <v>32</v>
      </c>
      <c r="G3228" s="2" t="s">
        <v>22</v>
      </c>
      <c r="H3228" s="2" t="s">
        <v>23</v>
      </c>
      <c r="I3228" s="2" t="s">
        <v>35</v>
      </c>
      <c r="J3228" s="2" t="s">
        <v>1642</v>
      </c>
      <c r="K3228" s="2" t="s">
        <v>9540</v>
      </c>
      <c r="L3228">
        <v>7</v>
      </c>
      <c r="M3228" s="1">
        <v>254000</v>
      </c>
      <c r="N3228">
        <v>2.5</v>
      </c>
      <c r="O3228">
        <v>13</v>
      </c>
      <c r="P3228" s="2" t="s">
        <v>26</v>
      </c>
    </row>
    <row r="3229" spans="1:16" x14ac:dyDescent="0.25">
      <c r="A3229" s="2" t="s">
        <v>9535</v>
      </c>
      <c r="B3229" s="2" t="s">
        <v>8539</v>
      </c>
      <c r="C3229" s="2" t="s">
        <v>18</v>
      </c>
      <c r="D3229" s="2" t="s">
        <v>43</v>
      </c>
      <c r="E3229" s="2" t="s">
        <v>20</v>
      </c>
      <c r="F3229" s="2" t="s">
        <v>32</v>
      </c>
      <c r="G3229" s="2" t="s">
        <v>22</v>
      </c>
      <c r="H3229" s="2" t="s">
        <v>34</v>
      </c>
      <c r="I3229" s="2" t="s">
        <v>57</v>
      </c>
      <c r="J3229" s="2" t="s">
        <v>4062</v>
      </c>
      <c r="K3229" s="2" t="s">
        <v>9540</v>
      </c>
      <c r="L3229">
        <v>7</v>
      </c>
      <c r="M3229" s="1">
        <v>256000</v>
      </c>
      <c r="N3229">
        <v>4.3</v>
      </c>
      <c r="O3229">
        <v>9</v>
      </c>
      <c r="P3229" s="2" t="s">
        <v>26</v>
      </c>
    </row>
    <row r="3230" spans="1:16" x14ac:dyDescent="0.25">
      <c r="A3230" s="2" t="s">
        <v>9538</v>
      </c>
      <c r="B3230" s="2" t="s">
        <v>6602</v>
      </c>
      <c r="C3230" s="2" t="s">
        <v>29</v>
      </c>
      <c r="D3230" s="2" t="s">
        <v>4697</v>
      </c>
      <c r="E3230" s="2" t="s">
        <v>31</v>
      </c>
      <c r="F3230" s="2" t="s">
        <v>32</v>
      </c>
      <c r="G3230" s="2" t="s">
        <v>33</v>
      </c>
      <c r="H3230" s="2" t="s">
        <v>62</v>
      </c>
      <c r="I3230" s="2" t="s">
        <v>24</v>
      </c>
      <c r="J3230" s="2" t="s">
        <v>7622</v>
      </c>
      <c r="K3230" s="2" t="s">
        <v>9540</v>
      </c>
      <c r="L3230">
        <v>2</v>
      </c>
      <c r="M3230" s="1">
        <v>342000</v>
      </c>
      <c r="N3230">
        <v>2.7</v>
      </c>
      <c r="O3230">
        <v>14</v>
      </c>
      <c r="P3230" s="2" t="s">
        <v>26</v>
      </c>
    </row>
    <row r="3231" spans="1:16" x14ac:dyDescent="0.25">
      <c r="A3231" s="2" t="s">
        <v>9539</v>
      </c>
      <c r="B3231" s="2" t="s">
        <v>8251</v>
      </c>
      <c r="C3231" s="2" t="s">
        <v>18</v>
      </c>
      <c r="D3231" s="2" t="s">
        <v>30</v>
      </c>
      <c r="E3231" s="2" t="s">
        <v>20</v>
      </c>
      <c r="F3231" s="2" t="s">
        <v>32</v>
      </c>
      <c r="G3231" s="2" t="s">
        <v>33</v>
      </c>
      <c r="H3231" s="2" t="s">
        <v>23</v>
      </c>
      <c r="I3231" s="2" t="s">
        <v>24</v>
      </c>
      <c r="J3231" s="2" t="s">
        <v>4307</v>
      </c>
      <c r="K3231" s="2" t="s">
        <v>9540</v>
      </c>
      <c r="L3231">
        <v>4</v>
      </c>
      <c r="M3231" s="1">
        <v>283000</v>
      </c>
      <c r="N3231">
        <v>4.3</v>
      </c>
      <c r="O3231">
        <v>0</v>
      </c>
      <c r="P3231" s="2" t="s">
        <v>72</v>
      </c>
    </row>
    <row r="3232" spans="1:16" x14ac:dyDescent="0.25">
      <c r="A3232" s="2" t="s">
        <v>9541</v>
      </c>
      <c r="B3232" s="2" t="s">
        <v>9542</v>
      </c>
      <c r="C3232" s="2" t="s">
        <v>29</v>
      </c>
      <c r="D3232" s="2" t="s">
        <v>50</v>
      </c>
      <c r="E3232" s="2" t="s">
        <v>20</v>
      </c>
      <c r="F3232" s="2" t="s">
        <v>32</v>
      </c>
      <c r="G3232" s="2" t="s">
        <v>22</v>
      </c>
      <c r="H3232" s="2" t="s">
        <v>23</v>
      </c>
      <c r="I3232" s="2" t="s">
        <v>171</v>
      </c>
      <c r="J3232" s="2" t="s">
        <v>1810</v>
      </c>
      <c r="K3232" s="2" t="s">
        <v>2584</v>
      </c>
      <c r="L3232">
        <v>3</v>
      </c>
      <c r="M3232" s="1">
        <v>258000</v>
      </c>
      <c r="N3232">
        <v>2.6</v>
      </c>
      <c r="O3232">
        <v>39</v>
      </c>
      <c r="P3232" s="2" t="s">
        <v>26</v>
      </c>
    </row>
    <row r="3233" spans="1:16" x14ac:dyDescent="0.25">
      <c r="A3233" s="2" t="s">
        <v>9543</v>
      </c>
      <c r="B3233" s="2" t="s">
        <v>4877</v>
      </c>
      <c r="C3233" s="2" t="s">
        <v>18</v>
      </c>
      <c r="D3233" s="2" t="s">
        <v>50</v>
      </c>
      <c r="E3233" s="2" t="s">
        <v>44</v>
      </c>
      <c r="F3233" s="2" t="s">
        <v>32</v>
      </c>
      <c r="G3233" s="2" t="s">
        <v>33</v>
      </c>
      <c r="H3233" s="2" t="s">
        <v>62</v>
      </c>
      <c r="I3233" s="2" t="s">
        <v>57</v>
      </c>
      <c r="J3233" s="2" t="s">
        <v>1388</v>
      </c>
      <c r="K3233" s="2" t="s">
        <v>2584</v>
      </c>
      <c r="L3233">
        <v>4</v>
      </c>
      <c r="M3233" s="1">
        <v>279000</v>
      </c>
      <c r="N3233">
        <v>2.1</v>
      </c>
      <c r="O3233">
        <v>6</v>
      </c>
      <c r="P3233" s="2" t="s">
        <v>26</v>
      </c>
    </row>
    <row r="3234" spans="1:16" x14ac:dyDescent="0.25">
      <c r="A3234" s="2" t="s">
        <v>9544</v>
      </c>
      <c r="B3234" s="2" t="s">
        <v>1844</v>
      </c>
      <c r="C3234" s="2" t="s">
        <v>29</v>
      </c>
      <c r="D3234" s="2" t="s">
        <v>50</v>
      </c>
      <c r="E3234" s="2" t="s">
        <v>20</v>
      </c>
      <c r="F3234" s="2" t="s">
        <v>32</v>
      </c>
      <c r="G3234" s="2" t="s">
        <v>22</v>
      </c>
      <c r="H3234" s="2" t="s">
        <v>34</v>
      </c>
      <c r="I3234" s="2" t="s">
        <v>35</v>
      </c>
      <c r="J3234" s="2" t="s">
        <v>3282</v>
      </c>
      <c r="K3234" s="2" t="s">
        <v>2584</v>
      </c>
      <c r="L3234">
        <v>4</v>
      </c>
      <c r="M3234" s="1">
        <v>222000</v>
      </c>
      <c r="N3234">
        <v>2.1</v>
      </c>
      <c r="O3234">
        <v>6</v>
      </c>
      <c r="P3234" s="2" t="s">
        <v>72</v>
      </c>
    </row>
    <row r="3235" spans="1:16" x14ac:dyDescent="0.25">
      <c r="A3235" s="2" t="s">
        <v>9547</v>
      </c>
      <c r="B3235" s="2" t="s">
        <v>9548</v>
      </c>
      <c r="C3235" s="2" t="s">
        <v>29</v>
      </c>
      <c r="D3235" s="2" t="s">
        <v>43</v>
      </c>
      <c r="E3235" s="2" t="s">
        <v>31</v>
      </c>
      <c r="F3235" s="2" t="s">
        <v>39</v>
      </c>
      <c r="G3235" s="2" t="s">
        <v>80</v>
      </c>
      <c r="H3235" s="2" t="s">
        <v>34</v>
      </c>
      <c r="I3235" s="2" t="s">
        <v>24</v>
      </c>
      <c r="J3235" s="2" t="s">
        <v>5228</v>
      </c>
      <c r="K3235" s="2" t="s">
        <v>2642</v>
      </c>
      <c r="L3235">
        <v>6</v>
      </c>
      <c r="M3235" s="1">
        <v>137000</v>
      </c>
      <c r="N3235">
        <v>3.3</v>
      </c>
      <c r="O3235">
        <v>13</v>
      </c>
      <c r="P3235" s="2" t="s">
        <v>53</v>
      </c>
    </row>
    <row r="3236" spans="1:16" x14ac:dyDescent="0.25">
      <c r="A3236" s="2" t="s">
        <v>9549</v>
      </c>
      <c r="B3236" s="2" t="s">
        <v>9550</v>
      </c>
      <c r="C3236" s="2" t="s">
        <v>18</v>
      </c>
      <c r="D3236" s="2" t="s">
        <v>79</v>
      </c>
      <c r="E3236" s="2" t="s">
        <v>20</v>
      </c>
      <c r="F3236" s="2" t="s">
        <v>32</v>
      </c>
      <c r="G3236" s="2" t="s">
        <v>69</v>
      </c>
      <c r="H3236" s="2" t="s">
        <v>23</v>
      </c>
      <c r="I3236" s="2" t="s">
        <v>35</v>
      </c>
      <c r="J3236" s="2" t="s">
        <v>2426</v>
      </c>
      <c r="K3236" s="2" t="s">
        <v>970</v>
      </c>
      <c r="L3236">
        <v>6</v>
      </c>
      <c r="M3236" s="1">
        <v>244000</v>
      </c>
      <c r="N3236">
        <v>2.8</v>
      </c>
      <c r="O3236">
        <v>31</v>
      </c>
      <c r="P3236" s="2" t="s">
        <v>26</v>
      </c>
    </row>
    <row r="3237" spans="1:16" x14ac:dyDescent="0.25">
      <c r="A3237" s="2" t="s">
        <v>9554</v>
      </c>
      <c r="B3237" s="2" t="s">
        <v>8527</v>
      </c>
      <c r="C3237" s="2" t="s">
        <v>18</v>
      </c>
      <c r="D3237" s="2" t="s">
        <v>50</v>
      </c>
      <c r="E3237" s="2" t="s">
        <v>20</v>
      </c>
      <c r="F3237" s="2" t="s">
        <v>32</v>
      </c>
      <c r="G3237" s="2" t="s">
        <v>80</v>
      </c>
      <c r="H3237" s="2" t="s">
        <v>23</v>
      </c>
      <c r="I3237" s="2" t="s">
        <v>75</v>
      </c>
      <c r="J3237" s="2" t="s">
        <v>5025</v>
      </c>
      <c r="K3237" s="2" t="s">
        <v>970</v>
      </c>
      <c r="L3237">
        <v>3</v>
      </c>
      <c r="M3237" s="1">
        <v>201000</v>
      </c>
      <c r="N3237">
        <v>2.4</v>
      </c>
      <c r="O3237">
        <v>7</v>
      </c>
      <c r="P3237" s="2" t="s">
        <v>26</v>
      </c>
    </row>
    <row r="3238" spans="1:16" x14ac:dyDescent="0.25">
      <c r="A3238" s="2" t="s">
        <v>9557</v>
      </c>
      <c r="B3238" s="2" t="s">
        <v>9558</v>
      </c>
      <c r="C3238" s="2" t="s">
        <v>18</v>
      </c>
      <c r="D3238" s="2" t="s">
        <v>79</v>
      </c>
      <c r="E3238" s="2" t="s">
        <v>31</v>
      </c>
      <c r="F3238" s="2" t="s">
        <v>21</v>
      </c>
      <c r="G3238" s="2" t="s">
        <v>22</v>
      </c>
      <c r="H3238" s="2" t="s">
        <v>46</v>
      </c>
      <c r="I3238" s="2" t="s">
        <v>24</v>
      </c>
      <c r="J3238" s="2" t="s">
        <v>6196</v>
      </c>
      <c r="K3238" s="2" t="s">
        <v>970</v>
      </c>
      <c r="L3238">
        <v>4</v>
      </c>
      <c r="M3238" s="1">
        <v>871000</v>
      </c>
      <c r="N3238">
        <v>4.2</v>
      </c>
      <c r="O3238">
        <v>14</v>
      </c>
      <c r="P3238" s="2" t="s">
        <v>26</v>
      </c>
    </row>
    <row r="3239" spans="1:16" x14ac:dyDescent="0.25">
      <c r="A3239" s="2" t="s">
        <v>9560</v>
      </c>
      <c r="B3239" s="2" t="s">
        <v>1454</v>
      </c>
      <c r="C3239" s="2" t="s">
        <v>18</v>
      </c>
      <c r="D3239" s="2" t="s">
        <v>19</v>
      </c>
      <c r="E3239" s="2" t="s">
        <v>31</v>
      </c>
      <c r="F3239" s="2" t="s">
        <v>39</v>
      </c>
      <c r="G3239" s="2" t="s">
        <v>22</v>
      </c>
      <c r="H3239" s="2" t="s">
        <v>34</v>
      </c>
      <c r="I3239" s="2" t="s">
        <v>57</v>
      </c>
      <c r="J3239" s="2" t="s">
        <v>3064</v>
      </c>
      <c r="K3239" s="2" t="s">
        <v>970</v>
      </c>
      <c r="L3239">
        <v>2</v>
      </c>
      <c r="M3239" s="1">
        <v>102000</v>
      </c>
      <c r="N3239">
        <v>2.4</v>
      </c>
      <c r="O3239">
        <v>8</v>
      </c>
      <c r="P3239" s="2" t="s">
        <v>26</v>
      </c>
    </row>
    <row r="3240" spans="1:16" x14ac:dyDescent="0.25">
      <c r="A3240" s="2" t="s">
        <v>9563</v>
      </c>
      <c r="B3240" s="2" t="s">
        <v>5564</v>
      </c>
      <c r="C3240" s="2" t="s">
        <v>29</v>
      </c>
      <c r="D3240" s="2" t="s">
        <v>30</v>
      </c>
      <c r="E3240" s="2" t="s">
        <v>20</v>
      </c>
      <c r="F3240" s="2" t="s">
        <v>39</v>
      </c>
      <c r="G3240" s="2" t="s">
        <v>80</v>
      </c>
      <c r="H3240" s="2" t="s">
        <v>34</v>
      </c>
      <c r="I3240" s="2" t="s">
        <v>57</v>
      </c>
      <c r="J3240" s="2" t="s">
        <v>2965</v>
      </c>
      <c r="K3240" s="2" t="s">
        <v>970</v>
      </c>
      <c r="L3240">
        <v>6</v>
      </c>
      <c r="M3240" s="1">
        <v>141000</v>
      </c>
      <c r="N3240">
        <v>3.4</v>
      </c>
      <c r="O3240">
        <v>25</v>
      </c>
      <c r="P3240" s="2" t="s">
        <v>26</v>
      </c>
    </row>
    <row r="3241" spans="1:16" x14ac:dyDescent="0.25">
      <c r="A3241" s="2" t="s">
        <v>9564</v>
      </c>
      <c r="B3241" s="2" t="s">
        <v>9565</v>
      </c>
      <c r="C3241" s="2" t="s">
        <v>29</v>
      </c>
      <c r="D3241" s="2" t="s">
        <v>79</v>
      </c>
      <c r="E3241" s="2" t="s">
        <v>20</v>
      </c>
      <c r="F3241" s="2" t="s">
        <v>128</v>
      </c>
      <c r="G3241" s="2" t="s">
        <v>22</v>
      </c>
      <c r="H3241" s="2" t="s">
        <v>46</v>
      </c>
      <c r="I3241" s="2" t="s">
        <v>24</v>
      </c>
      <c r="J3241" s="2" t="s">
        <v>3538</v>
      </c>
      <c r="K3241" s="2" t="s">
        <v>970</v>
      </c>
      <c r="L3241">
        <v>5</v>
      </c>
      <c r="M3241" s="1">
        <v>543000</v>
      </c>
      <c r="N3241">
        <v>2.9</v>
      </c>
      <c r="O3241">
        <v>30</v>
      </c>
      <c r="P3241" s="2" t="s">
        <v>26</v>
      </c>
    </row>
    <row r="3242" spans="1:16" x14ac:dyDescent="0.25">
      <c r="A3242" s="2" t="s">
        <v>9566</v>
      </c>
      <c r="B3242" s="2" t="s">
        <v>931</v>
      </c>
      <c r="C3242" s="2" t="s">
        <v>29</v>
      </c>
      <c r="D3242" s="2" t="s">
        <v>79</v>
      </c>
      <c r="E3242" s="2" t="s">
        <v>20</v>
      </c>
      <c r="F3242" s="2" t="s">
        <v>39</v>
      </c>
      <c r="G3242" s="2" t="s">
        <v>80</v>
      </c>
      <c r="H3242" s="2" t="s">
        <v>23</v>
      </c>
      <c r="I3242" s="2" t="s">
        <v>24</v>
      </c>
      <c r="J3242" s="2" t="s">
        <v>1483</v>
      </c>
      <c r="K3242" s="2" t="s">
        <v>970</v>
      </c>
      <c r="L3242">
        <v>2</v>
      </c>
      <c r="M3242" s="1">
        <v>137000</v>
      </c>
      <c r="N3242">
        <v>2.1</v>
      </c>
      <c r="O3242">
        <v>14</v>
      </c>
      <c r="P3242" s="2" t="s">
        <v>26</v>
      </c>
    </row>
    <row r="3243" spans="1:16" x14ac:dyDescent="0.25">
      <c r="A3243" s="2" t="s">
        <v>9567</v>
      </c>
      <c r="B3243" s="2" t="s">
        <v>5808</v>
      </c>
      <c r="C3243" s="2" t="s">
        <v>18</v>
      </c>
      <c r="D3243" s="2" t="s">
        <v>19</v>
      </c>
      <c r="E3243" s="2" t="s">
        <v>31</v>
      </c>
      <c r="F3243" s="2" t="s">
        <v>128</v>
      </c>
      <c r="G3243" s="2" t="s">
        <v>80</v>
      </c>
      <c r="H3243" s="2" t="s">
        <v>23</v>
      </c>
      <c r="I3243" s="2" t="s">
        <v>24</v>
      </c>
      <c r="J3243" s="2" t="s">
        <v>2326</v>
      </c>
      <c r="K3243" s="2" t="s">
        <v>970</v>
      </c>
      <c r="L3243">
        <v>2</v>
      </c>
      <c r="M3243" s="1">
        <v>601000</v>
      </c>
      <c r="N3243">
        <v>4.2</v>
      </c>
      <c r="O3243">
        <v>5</v>
      </c>
      <c r="P3243" s="2" t="s">
        <v>26</v>
      </c>
    </row>
    <row r="3244" spans="1:16" x14ac:dyDescent="0.25">
      <c r="A3244" s="2" t="s">
        <v>9568</v>
      </c>
      <c r="B3244" s="2" t="s">
        <v>1639</v>
      </c>
      <c r="C3244" s="2" t="s">
        <v>18</v>
      </c>
      <c r="D3244" s="2" t="s">
        <v>43</v>
      </c>
      <c r="E3244" s="2" t="s">
        <v>20</v>
      </c>
      <c r="F3244" s="2" t="s">
        <v>32</v>
      </c>
      <c r="G3244" s="2" t="s">
        <v>33</v>
      </c>
      <c r="H3244" s="2" t="s">
        <v>23</v>
      </c>
      <c r="I3244" s="2" t="s">
        <v>171</v>
      </c>
      <c r="J3244" s="2" t="s">
        <v>2004</v>
      </c>
      <c r="K3244" s="2" t="s">
        <v>970</v>
      </c>
      <c r="L3244">
        <v>5</v>
      </c>
      <c r="M3244" s="1">
        <v>212000</v>
      </c>
      <c r="N3244">
        <v>4.0999999999999996</v>
      </c>
      <c r="O3244">
        <v>16</v>
      </c>
      <c r="P3244" s="2" t="s">
        <v>114</v>
      </c>
    </row>
    <row r="3245" spans="1:16" x14ac:dyDescent="0.25">
      <c r="A3245" s="2" t="s">
        <v>9575</v>
      </c>
      <c r="B3245" s="2" t="s">
        <v>1953</v>
      </c>
      <c r="C3245" s="2" t="s">
        <v>18</v>
      </c>
      <c r="D3245" s="2" t="s">
        <v>50</v>
      </c>
      <c r="E3245" s="2" t="s">
        <v>20</v>
      </c>
      <c r="F3245" s="2" t="s">
        <v>39</v>
      </c>
      <c r="G3245" s="2" t="s">
        <v>22</v>
      </c>
      <c r="H3245" s="2" t="s">
        <v>62</v>
      </c>
      <c r="I3245" s="2" t="s">
        <v>57</v>
      </c>
      <c r="J3245" s="2" t="s">
        <v>8020</v>
      </c>
      <c r="K3245" s="2" t="s">
        <v>4781</v>
      </c>
      <c r="L3245">
        <v>3</v>
      </c>
      <c r="M3245" s="1">
        <v>156000</v>
      </c>
      <c r="N3245">
        <v>3.7</v>
      </c>
      <c r="O3245">
        <v>10</v>
      </c>
      <c r="P3245" s="2" t="s">
        <v>26</v>
      </c>
    </row>
    <row r="3246" spans="1:16" x14ac:dyDescent="0.25">
      <c r="A3246" s="2" t="s">
        <v>789</v>
      </c>
      <c r="B3246" s="2" t="s">
        <v>790</v>
      </c>
      <c r="C3246" s="2" t="s">
        <v>18</v>
      </c>
      <c r="D3246" s="2" t="s">
        <v>50</v>
      </c>
      <c r="E3246" s="2" t="s">
        <v>44</v>
      </c>
      <c r="F3246" s="2" t="s">
        <v>32</v>
      </c>
      <c r="G3246" s="2" t="s">
        <v>22</v>
      </c>
      <c r="H3246" s="2" t="s">
        <v>62</v>
      </c>
      <c r="I3246" s="2" t="s">
        <v>75</v>
      </c>
      <c r="J3246" s="2" t="s">
        <v>791</v>
      </c>
      <c r="K3246" s="2" t="s">
        <v>4781</v>
      </c>
      <c r="L3246">
        <v>6</v>
      </c>
      <c r="M3246" s="1">
        <v>240000</v>
      </c>
      <c r="N3246">
        <v>2.9</v>
      </c>
      <c r="O3246">
        <v>10</v>
      </c>
      <c r="P3246" s="2" t="s">
        <v>26</v>
      </c>
    </row>
    <row r="3247" spans="1:16" x14ac:dyDescent="0.25">
      <c r="A3247" s="2" t="s">
        <v>9576</v>
      </c>
      <c r="B3247" s="2" t="s">
        <v>2801</v>
      </c>
      <c r="C3247" s="2" t="s">
        <v>18</v>
      </c>
      <c r="D3247" s="2" t="s">
        <v>50</v>
      </c>
      <c r="E3247" s="2" t="s">
        <v>20</v>
      </c>
      <c r="F3247" s="2" t="s">
        <v>128</v>
      </c>
      <c r="G3247" s="2" t="s">
        <v>22</v>
      </c>
      <c r="H3247" s="2" t="s">
        <v>46</v>
      </c>
      <c r="I3247" s="2" t="s">
        <v>24</v>
      </c>
      <c r="J3247" s="2" t="s">
        <v>676</v>
      </c>
      <c r="K3247" s="2" t="s">
        <v>4781</v>
      </c>
      <c r="L3247">
        <v>6</v>
      </c>
      <c r="M3247" s="1">
        <v>535000</v>
      </c>
      <c r="N3247">
        <v>2.7</v>
      </c>
      <c r="O3247">
        <v>38</v>
      </c>
      <c r="P3247" s="2" t="s">
        <v>26</v>
      </c>
    </row>
    <row r="3248" spans="1:16" x14ac:dyDescent="0.25">
      <c r="A3248" s="2" t="s">
        <v>9577</v>
      </c>
      <c r="B3248" s="2" t="s">
        <v>7419</v>
      </c>
      <c r="C3248" s="2" t="s">
        <v>18</v>
      </c>
      <c r="D3248" s="2" t="s">
        <v>19</v>
      </c>
      <c r="E3248" s="2" t="s">
        <v>20</v>
      </c>
      <c r="F3248" s="2" t="s">
        <v>39</v>
      </c>
      <c r="G3248" s="2" t="s">
        <v>22</v>
      </c>
      <c r="H3248" s="2" t="s">
        <v>46</v>
      </c>
      <c r="I3248" s="2" t="s">
        <v>24</v>
      </c>
      <c r="J3248" s="2" t="s">
        <v>855</v>
      </c>
      <c r="K3248" s="2" t="s">
        <v>4781</v>
      </c>
      <c r="L3248">
        <v>4</v>
      </c>
      <c r="M3248" s="1">
        <v>114000</v>
      </c>
      <c r="N3248">
        <v>2.2000000000000002</v>
      </c>
      <c r="O3248">
        <v>6</v>
      </c>
      <c r="P3248" s="2" t="s">
        <v>72</v>
      </c>
    </row>
    <row r="3249" spans="1:16" x14ac:dyDescent="0.25">
      <c r="A3249" s="2" t="s">
        <v>9578</v>
      </c>
      <c r="B3249" s="2" t="s">
        <v>2245</v>
      </c>
      <c r="C3249" s="2" t="s">
        <v>18</v>
      </c>
      <c r="D3249" s="2" t="s">
        <v>43</v>
      </c>
      <c r="E3249" s="2" t="s">
        <v>20</v>
      </c>
      <c r="F3249" s="2" t="s">
        <v>32</v>
      </c>
      <c r="G3249" s="2" t="s">
        <v>22</v>
      </c>
      <c r="H3249" s="2" t="s">
        <v>46</v>
      </c>
      <c r="I3249" s="2" t="s">
        <v>24</v>
      </c>
      <c r="J3249" s="2" t="s">
        <v>9579</v>
      </c>
      <c r="K3249" s="2" t="s">
        <v>1357</v>
      </c>
      <c r="L3249">
        <v>3</v>
      </c>
      <c r="M3249" s="1">
        <v>180000</v>
      </c>
      <c r="N3249">
        <v>2.7</v>
      </c>
      <c r="O3249">
        <v>13</v>
      </c>
      <c r="P3249" s="2" t="s">
        <v>53</v>
      </c>
    </row>
    <row r="3250" spans="1:16" x14ac:dyDescent="0.25">
      <c r="A3250" s="2" t="s">
        <v>9580</v>
      </c>
      <c r="B3250" s="2" t="s">
        <v>9581</v>
      </c>
      <c r="C3250" s="2" t="s">
        <v>29</v>
      </c>
      <c r="D3250" s="2" t="s">
        <v>43</v>
      </c>
      <c r="E3250" s="2" t="s">
        <v>20</v>
      </c>
      <c r="F3250" s="2" t="s">
        <v>128</v>
      </c>
      <c r="G3250" s="2" t="s">
        <v>22</v>
      </c>
      <c r="H3250" s="2" t="s">
        <v>46</v>
      </c>
      <c r="I3250" s="2" t="s">
        <v>57</v>
      </c>
      <c r="J3250" s="2" t="s">
        <v>7942</v>
      </c>
      <c r="K3250" s="2" t="s">
        <v>3120</v>
      </c>
      <c r="L3250">
        <v>2</v>
      </c>
      <c r="M3250" s="1">
        <v>446000</v>
      </c>
      <c r="N3250">
        <v>4.3</v>
      </c>
      <c r="O3250">
        <v>9</v>
      </c>
      <c r="P3250" s="2" t="s">
        <v>72</v>
      </c>
    </row>
    <row r="3251" spans="1:16" x14ac:dyDescent="0.25">
      <c r="A3251" s="2" t="s">
        <v>9584</v>
      </c>
      <c r="B3251" s="2" t="s">
        <v>9585</v>
      </c>
      <c r="C3251" s="2" t="s">
        <v>18</v>
      </c>
      <c r="D3251" s="2" t="s">
        <v>30</v>
      </c>
      <c r="E3251" s="2" t="s">
        <v>20</v>
      </c>
      <c r="F3251" s="2" t="s">
        <v>32</v>
      </c>
      <c r="G3251" s="2" t="s">
        <v>22</v>
      </c>
      <c r="H3251" s="2" t="s">
        <v>46</v>
      </c>
      <c r="I3251" s="2" t="s">
        <v>24</v>
      </c>
      <c r="J3251" s="2" t="s">
        <v>9586</v>
      </c>
      <c r="K3251" s="2" t="s">
        <v>8713</v>
      </c>
      <c r="L3251">
        <v>5</v>
      </c>
      <c r="M3251" s="1">
        <v>292000</v>
      </c>
      <c r="N3251">
        <v>3.9</v>
      </c>
      <c r="O3251">
        <v>13</v>
      </c>
      <c r="P3251" s="2" t="s">
        <v>114</v>
      </c>
    </row>
    <row r="3252" spans="1:16" x14ac:dyDescent="0.25">
      <c r="A3252" s="2" t="s">
        <v>9587</v>
      </c>
      <c r="B3252" s="2" t="s">
        <v>7364</v>
      </c>
      <c r="C3252" s="2" t="s">
        <v>18</v>
      </c>
      <c r="D3252" s="2" t="s">
        <v>79</v>
      </c>
      <c r="E3252" s="2" t="s">
        <v>31</v>
      </c>
      <c r="F3252" s="2" t="s">
        <v>39</v>
      </c>
      <c r="G3252" s="2" t="s">
        <v>80</v>
      </c>
      <c r="H3252" s="2" t="s">
        <v>46</v>
      </c>
      <c r="I3252" s="2" t="s">
        <v>24</v>
      </c>
      <c r="J3252" s="2" t="s">
        <v>2430</v>
      </c>
      <c r="K3252" s="2" t="s">
        <v>4361</v>
      </c>
      <c r="L3252">
        <v>3</v>
      </c>
      <c r="M3252" s="1">
        <v>179000</v>
      </c>
      <c r="N3252">
        <v>3.5</v>
      </c>
      <c r="O3252">
        <v>1</v>
      </c>
      <c r="P3252" s="2" t="s">
        <v>26</v>
      </c>
    </row>
    <row r="3253" spans="1:16" x14ac:dyDescent="0.25">
      <c r="A3253" s="2" t="s">
        <v>9589</v>
      </c>
      <c r="B3253" s="2" t="s">
        <v>2774</v>
      </c>
      <c r="C3253" s="2" t="s">
        <v>29</v>
      </c>
      <c r="D3253" s="2" t="s">
        <v>50</v>
      </c>
      <c r="E3253" s="2" t="s">
        <v>31</v>
      </c>
      <c r="F3253" s="2" t="s">
        <v>128</v>
      </c>
      <c r="G3253" s="2" t="s">
        <v>22</v>
      </c>
      <c r="H3253" s="2" t="s">
        <v>23</v>
      </c>
      <c r="I3253" s="2" t="s">
        <v>24</v>
      </c>
      <c r="J3253" s="2" t="s">
        <v>3340</v>
      </c>
      <c r="K3253" s="2" t="s">
        <v>4361</v>
      </c>
      <c r="L3253">
        <v>4</v>
      </c>
      <c r="M3253" s="1">
        <v>575000</v>
      </c>
      <c r="N3253">
        <v>4.8</v>
      </c>
      <c r="O3253">
        <v>12</v>
      </c>
      <c r="P3253" s="2" t="s">
        <v>26</v>
      </c>
    </row>
    <row r="3254" spans="1:16" x14ac:dyDescent="0.25">
      <c r="A3254" s="2" t="s">
        <v>9590</v>
      </c>
      <c r="B3254" s="2" t="s">
        <v>782</v>
      </c>
      <c r="C3254" s="2" t="s">
        <v>29</v>
      </c>
      <c r="D3254" s="2" t="s">
        <v>50</v>
      </c>
      <c r="E3254" s="2" t="s">
        <v>20</v>
      </c>
      <c r="F3254" s="2" t="s">
        <v>32</v>
      </c>
      <c r="G3254" s="2" t="s">
        <v>22</v>
      </c>
      <c r="H3254" s="2" t="s">
        <v>23</v>
      </c>
      <c r="I3254" s="2" t="s">
        <v>24</v>
      </c>
      <c r="J3254" s="2" t="s">
        <v>4452</v>
      </c>
      <c r="K3254" s="2" t="s">
        <v>4361</v>
      </c>
      <c r="L3254">
        <v>3</v>
      </c>
      <c r="M3254" s="1">
        <v>346000</v>
      </c>
      <c r="N3254">
        <v>2.7</v>
      </c>
      <c r="O3254">
        <v>14</v>
      </c>
      <c r="P3254" s="2" t="s">
        <v>26</v>
      </c>
    </row>
    <row r="3255" spans="1:16" x14ac:dyDescent="0.25">
      <c r="A3255" s="2" t="s">
        <v>9591</v>
      </c>
      <c r="B3255" s="2" t="s">
        <v>6026</v>
      </c>
      <c r="C3255" s="2" t="s">
        <v>18</v>
      </c>
      <c r="D3255" s="2" t="s">
        <v>50</v>
      </c>
      <c r="E3255" s="2" t="s">
        <v>31</v>
      </c>
      <c r="F3255" s="2" t="s">
        <v>39</v>
      </c>
      <c r="G3255" s="2" t="s">
        <v>69</v>
      </c>
      <c r="H3255" s="2" t="s">
        <v>46</v>
      </c>
      <c r="I3255" s="2" t="s">
        <v>35</v>
      </c>
      <c r="J3255" s="2" t="s">
        <v>2867</v>
      </c>
      <c r="K3255" s="2" t="s">
        <v>4361</v>
      </c>
      <c r="L3255">
        <v>2</v>
      </c>
      <c r="M3255" s="1">
        <v>103000</v>
      </c>
      <c r="N3255">
        <v>2.5</v>
      </c>
      <c r="O3255">
        <v>11</v>
      </c>
      <c r="P3255" s="2" t="s">
        <v>26</v>
      </c>
    </row>
    <row r="3256" spans="1:16" x14ac:dyDescent="0.25">
      <c r="A3256" s="2" t="s">
        <v>9592</v>
      </c>
      <c r="B3256" s="2" t="s">
        <v>9593</v>
      </c>
      <c r="C3256" s="2" t="s">
        <v>29</v>
      </c>
      <c r="D3256" s="2" t="s">
        <v>43</v>
      </c>
      <c r="E3256" s="2" t="s">
        <v>20</v>
      </c>
      <c r="F3256" s="2" t="s">
        <v>128</v>
      </c>
      <c r="G3256" s="2" t="s">
        <v>33</v>
      </c>
      <c r="H3256" s="2" t="s">
        <v>23</v>
      </c>
      <c r="I3256" s="2" t="s">
        <v>24</v>
      </c>
      <c r="J3256" s="2" t="s">
        <v>560</v>
      </c>
      <c r="K3256" s="2" t="s">
        <v>4361</v>
      </c>
      <c r="L3256">
        <v>2</v>
      </c>
      <c r="M3256" s="1">
        <v>437000</v>
      </c>
      <c r="N3256">
        <v>2.9</v>
      </c>
      <c r="O3256">
        <v>10</v>
      </c>
      <c r="P3256" s="2" t="s">
        <v>26</v>
      </c>
    </row>
    <row r="3257" spans="1:16" x14ac:dyDescent="0.25">
      <c r="A3257" s="2" t="s">
        <v>9594</v>
      </c>
      <c r="B3257" s="2" t="s">
        <v>9595</v>
      </c>
      <c r="C3257" s="2" t="s">
        <v>18</v>
      </c>
      <c r="D3257" s="2" t="s">
        <v>30</v>
      </c>
      <c r="E3257" s="2" t="s">
        <v>31</v>
      </c>
      <c r="F3257" s="2" t="s">
        <v>45</v>
      </c>
      <c r="G3257" s="2" t="s">
        <v>22</v>
      </c>
      <c r="H3257" s="2" t="s">
        <v>46</v>
      </c>
      <c r="I3257" s="2" t="s">
        <v>171</v>
      </c>
      <c r="J3257" s="2" t="s">
        <v>3308</v>
      </c>
      <c r="K3257" s="2" t="s">
        <v>4361</v>
      </c>
      <c r="L3257">
        <v>2</v>
      </c>
      <c r="M3257" s="1">
        <v>1973000</v>
      </c>
      <c r="N3257">
        <v>4.3</v>
      </c>
      <c r="O3257">
        <v>12</v>
      </c>
      <c r="P3257" s="2" t="s">
        <v>53</v>
      </c>
    </row>
    <row r="3258" spans="1:16" x14ac:dyDescent="0.25">
      <c r="A3258" s="2" t="s">
        <v>9596</v>
      </c>
      <c r="B3258" s="2" t="s">
        <v>1117</v>
      </c>
      <c r="C3258" s="2" t="s">
        <v>29</v>
      </c>
      <c r="D3258" s="2" t="s">
        <v>19</v>
      </c>
      <c r="E3258" s="2" t="s">
        <v>20</v>
      </c>
      <c r="F3258" s="2" t="s">
        <v>39</v>
      </c>
      <c r="G3258" s="2" t="s">
        <v>80</v>
      </c>
      <c r="H3258" s="2" t="s">
        <v>46</v>
      </c>
      <c r="I3258" s="2" t="s">
        <v>24</v>
      </c>
      <c r="J3258" s="2" t="s">
        <v>1516</v>
      </c>
      <c r="K3258" s="2" t="s">
        <v>3875</v>
      </c>
      <c r="L3258">
        <v>4</v>
      </c>
      <c r="M3258" s="1">
        <v>198000</v>
      </c>
      <c r="N3258">
        <v>2.7</v>
      </c>
      <c r="O3258">
        <v>14</v>
      </c>
      <c r="P3258" s="2" t="s">
        <v>26</v>
      </c>
    </row>
    <row r="3259" spans="1:16" x14ac:dyDescent="0.25">
      <c r="A3259" s="2" t="s">
        <v>9598</v>
      </c>
      <c r="B3259" s="2" t="s">
        <v>2570</v>
      </c>
      <c r="C3259" s="2" t="s">
        <v>29</v>
      </c>
      <c r="D3259" s="2" t="s">
        <v>30</v>
      </c>
      <c r="E3259" s="2" t="s">
        <v>44</v>
      </c>
      <c r="F3259" s="2" t="s">
        <v>32</v>
      </c>
      <c r="G3259" s="2" t="s">
        <v>22</v>
      </c>
      <c r="H3259" s="2" t="s">
        <v>23</v>
      </c>
      <c r="I3259" s="2" t="s">
        <v>24</v>
      </c>
      <c r="J3259" s="2" t="s">
        <v>4289</v>
      </c>
      <c r="K3259" s="2" t="s">
        <v>3875</v>
      </c>
      <c r="L3259">
        <v>4</v>
      </c>
      <c r="M3259" s="1">
        <v>315000</v>
      </c>
      <c r="N3259">
        <v>2.2000000000000002</v>
      </c>
      <c r="O3259">
        <v>6</v>
      </c>
      <c r="P3259" s="2" t="s">
        <v>26</v>
      </c>
    </row>
    <row r="3260" spans="1:16" x14ac:dyDescent="0.25">
      <c r="A3260" s="2" t="s">
        <v>9599</v>
      </c>
      <c r="B3260" s="2" t="s">
        <v>2131</v>
      </c>
      <c r="C3260" s="2" t="s">
        <v>29</v>
      </c>
      <c r="D3260" s="2" t="s">
        <v>19</v>
      </c>
      <c r="E3260" s="2" t="s">
        <v>31</v>
      </c>
      <c r="F3260" s="2" t="s">
        <v>32</v>
      </c>
      <c r="G3260" s="2" t="s">
        <v>69</v>
      </c>
      <c r="H3260" s="2" t="s">
        <v>23</v>
      </c>
      <c r="I3260" s="2" t="s">
        <v>24</v>
      </c>
      <c r="J3260" s="2" t="s">
        <v>6980</v>
      </c>
      <c r="K3260" s="2" t="s">
        <v>3875</v>
      </c>
      <c r="L3260">
        <v>4</v>
      </c>
      <c r="M3260" s="1">
        <v>331000</v>
      </c>
      <c r="N3260">
        <v>2.9</v>
      </c>
      <c r="O3260">
        <v>37</v>
      </c>
      <c r="P3260" s="2" t="s">
        <v>26</v>
      </c>
    </row>
    <row r="3261" spans="1:16" x14ac:dyDescent="0.25">
      <c r="A3261" s="2" t="s">
        <v>9600</v>
      </c>
      <c r="B3261" s="2" t="s">
        <v>9601</v>
      </c>
      <c r="C3261" s="2" t="s">
        <v>29</v>
      </c>
      <c r="D3261" s="2" t="s">
        <v>43</v>
      </c>
      <c r="E3261" s="2" t="s">
        <v>20</v>
      </c>
      <c r="F3261" s="2" t="s">
        <v>128</v>
      </c>
      <c r="G3261" s="2" t="s">
        <v>80</v>
      </c>
      <c r="H3261" s="2" t="s">
        <v>34</v>
      </c>
      <c r="I3261" s="2" t="s">
        <v>57</v>
      </c>
      <c r="J3261" s="2" t="s">
        <v>2107</v>
      </c>
      <c r="K3261" s="2" t="s">
        <v>3875</v>
      </c>
      <c r="L3261">
        <v>2</v>
      </c>
      <c r="M3261" s="1">
        <v>350000</v>
      </c>
      <c r="N3261">
        <v>2.8</v>
      </c>
      <c r="O3261">
        <v>38</v>
      </c>
      <c r="P3261" s="2" t="s">
        <v>53</v>
      </c>
    </row>
    <row r="3262" spans="1:16" x14ac:dyDescent="0.25">
      <c r="A3262" s="2" t="s">
        <v>9602</v>
      </c>
      <c r="B3262" s="2" t="s">
        <v>4482</v>
      </c>
      <c r="C3262" s="2" t="s">
        <v>29</v>
      </c>
      <c r="D3262" s="2" t="s">
        <v>50</v>
      </c>
      <c r="E3262" s="2" t="s">
        <v>20</v>
      </c>
      <c r="F3262" s="2" t="s">
        <v>128</v>
      </c>
      <c r="G3262" s="2" t="s">
        <v>22</v>
      </c>
      <c r="H3262" s="2" t="s">
        <v>23</v>
      </c>
      <c r="I3262" s="2" t="s">
        <v>57</v>
      </c>
      <c r="J3262" s="2" t="s">
        <v>7524</v>
      </c>
      <c r="K3262" s="2" t="s">
        <v>6180</v>
      </c>
      <c r="L3262">
        <v>3</v>
      </c>
      <c r="M3262" s="1">
        <v>385000</v>
      </c>
      <c r="N3262">
        <v>4.8</v>
      </c>
      <c r="O3262">
        <v>1</v>
      </c>
      <c r="P3262" s="2" t="s">
        <v>26</v>
      </c>
    </row>
    <row r="3263" spans="1:16" x14ac:dyDescent="0.25">
      <c r="A3263" s="2" t="s">
        <v>9604</v>
      </c>
      <c r="B3263" s="2" t="s">
        <v>9605</v>
      </c>
      <c r="C3263" s="2" t="s">
        <v>18</v>
      </c>
      <c r="D3263" s="2" t="s">
        <v>50</v>
      </c>
      <c r="E3263" s="2" t="s">
        <v>20</v>
      </c>
      <c r="F3263" s="2" t="s">
        <v>39</v>
      </c>
      <c r="G3263" s="2" t="s">
        <v>33</v>
      </c>
      <c r="H3263" s="2" t="s">
        <v>46</v>
      </c>
      <c r="I3263" s="2" t="s">
        <v>35</v>
      </c>
      <c r="J3263" s="2" t="s">
        <v>2392</v>
      </c>
      <c r="K3263" s="2" t="s">
        <v>6180</v>
      </c>
      <c r="L3263">
        <v>2</v>
      </c>
      <c r="M3263" s="1">
        <v>99000</v>
      </c>
      <c r="N3263">
        <v>2.9</v>
      </c>
      <c r="O3263">
        <v>9</v>
      </c>
      <c r="P3263" s="2" t="s">
        <v>26</v>
      </c>
    </row>
    <row r="3264" spans="1:16" x14ac:dyDescent="0.25">
      <c r="A3264" s="2" t="s">
        <v>9607</v>
      </c>
      <c r="B3264" s="2" t="s">
        <v>6013</v>
      </c>
      <c r="C3264" s="2" t="s">
        <v>18</v>
      </c>
      <c r="D3264" s="2" t="s">
        <v>19</v>
      </c>
      <c r="E3264" s="2" t="s">
        <v>44</v>
      </c>
      <c r="F3264" s="2" t="s">
        <v>128</v>
      </c>
      <c r="G3264" s="2" t="s">
        <v>33</v>
      </c>
      <c r="H3264" s="2" t="s">
        <v>62</v>
      </c>
      <c r="I3264" s="2" t="s">
        <v>35</v>
      </c>
      <c r="J3264" s="2" t="s">
        <v>616</v>
      </c>
      <c r="K3264" s="2" t="s">
        <v>6180</v>
      </c>
      <c r="L3264">
        <v>5</v>
      </c>
      <c r="M3264" s="1">
        <v>473000</v>
      </c>
      <c r="N3264">
        <v>4.9000000000000004</v>
      </c>
      <c r="O3264">
        <v>0</v>
      </c>
      <c r="P3264" s="2" t="s">
        <v>53</v>
      </c>
    </row>
    <row r="3265" spans="1:16" x14ac:dyDescent="0.25">
      <c r="A3265" s="2" t="s">
        <v>9609</v>
      </c>
      <c r="B3265" s="2" t="s">
        <v>9610</v>
      </c>
      <c r="C3265" s="2" t="s">
        <v>29</v>
      </c>
      <c r="D3265" s="2" t="s">
        <v>50</v>
      </c>
      <c r="E3265" s="2" t="s">
        <v>20</v>
      </c>
      <c r="F3265" s="2" t="s">
        <v>32</v>
      </c>
      <c r="G3265" s="2" t="s">
        <v>22</v>
      </c>
      <c r="H3265" s="2" t="s">
        <v>23</v>
      </c>
      <c r="I3265" s="2" t="s">
        <v>35</v>
      </c>
      <c r="J3265" s="2" t="s">
        <v>2718</v>
      </c>
      <c r="K3265" s="2" t="s">
        <v>4826</v>
      </c>
      <c r="L3265">
        <v>3</v>
      </c>
      <c r="M3265" s="1">
        <v>341000</v>
      </c>
      <c r="N3265">
        <v>3</v>
      </c>
      <c r="O3265">
        <v>9</v>
      </c>
      <c r="P3265" s="2" t="s">
        <v>26</v>
      </c>
    </row>
    <row r="3266" spans="1:16" x14ac:dyDescent="0.25">
      <c r="A3266" s="2" t="s">
        <v>9611</v>
      </c>
      <c r="B3266" s="2" t="s">
        <v>8218</v>
      </c>
      <c r="C3266" s="2" t="s">
        <v>29</v>
      </c>
      <c r="D3266" s="2" t="s">
        <v>19</v>
      </c>
      <c r="E3266" s="2" t="s">
        <v>20</v>
      </c>
      <c r="F3266" s="2" t="s">
        <v>128</v>
      </c>
      <c r="G3266" s="2" t="s">
        <v>22</v>
      </c>
      <c r="H3266" s="2" t="s">
        <v>23</v>
      </c>
      <c r="I3266" s="2" t="s">
        <v>24</v>
      </c>
      <c r="J3266" s="2" t="s">
        <v>8511</v>
      </c>
      <c r="K3266" s="2" t="s">
        <v>4826</v>
      </c>
      <c r="L3266">
        <v>5</v>
      </c>
      <c r="M3266" s="1">
        <v>457000</v>
      </c>
      <c r="N3266">
        <v>4.0999999999999996</v>
      </c>
      <c r="O3266">
        <v>11</v>
      </c>
      <c r="P3266" s="2" t="s">
        <v>53</v>
      </c>
    </row>
    <row r="3267" spans="1:16" x14ac:dyDescent="0.25">
      <c r="A3267" s="2" t="s">
        <v>9612</v>
      </c>
      <c r="B3267" s="2" t="s">
        <v>5194</v>
      </c>
      <c r="C3267" s="2" t="s">
        <v>18</v>
      </c>
      <c r="D3267" s="2" t="s">
        <v>50</v>
      </c>
      <c r="E3267" s="2" t="s">
        <v>31</v>
      </c>
      <c r="F3267" s="2" t="s">
        <v>128</v>
      </c>
      <c r="G3267" s="2" t="s">
        <v>80</v>
      </c>
      <c r="H3267" s="2" t="s">
        <v>23</v>
      </c>
      <c r="I3267" s="2" t="s">
        <v>35</v>
      </c>
      <c r="J3267" s="2" t="s">
        <v>2510</v>
      </c>
      <c r="K3267" s="2" t="s">
        <v>7441</v>
      </c>
      <c r="L3267">
        <v>3</v>
      </c>
      <c r="M3267" s="1">
        <v>570000</v>
      </c>
      <c r="N3267">
        <v>4.2</v>
      </c>
      <c r="O3267">
        <v>36</v>
      </c>
      <c r="P3267" s="2" t="s">
        <v>26</v>
      </c>
    </row>
    <row r="3268" spans="1:16" x14ac:dyDescent="0.25">
      <c r="A3268" s="2" t="s">
        <v>9615</v>
      </c>
      <c r="B3268" s="2" t="s">
        <v>9616</v>
      </c>
      <c r="C3268" s="2" t="s">
        <v>18</v>
      </c>
      <c r="D3268" s="2" t="s">
        <v>30</v>
      </c>
      <c r="E3268" s="2" t="s">
        <v>44</v>
      </c>
      <c r="F3268" s="2" t="s">
        <v>39</v>
      </c>
      <c r="G3268" s="2" t="s">
        <v>80</v>
      </c>
      <c r="H3268" s="2" t="s">
        <v>34</v>
      </c>
      <c r="I3268" s="2" t="s">
        <v>171</v>
      </c>
      <c r="J3268" s="2" t="s">
        <v>5542</v>
      </c>
      <c r="K3268" s="2" t="s">
        <v>7441</v>
      </c>
      <c r="L3268">
        <v>6</v>
      </c>
      <c r="M3268" s="1">
        <v>90000</v>
      </c>
      <c r="N3268">
        <v>2.2999999999999998</v>
      </c>
      <c r="O3268">
        <v>12</v>
      </c>
      <c r="P3268" s="2" t="s">
        <v>26</v>
      </c>
    </row>
    <row r="3269" spans="1:16" x14ac:dyDescent="0.25">
      <c r="A3269" s="2" t="s">
        <v>9617</v>
      </c>
      <c r="B3269" s="2" t="s">
        <v>9618</v>
      </c>
      <c r="C3269" s="2" t="s">
        <v>18</v>
      </c>
      <c r="D3269" s="2" t="s">
        <v>50</v>
      </c>
      <c r="E3269" s="2" t="s">
        <v>20</v>
      </c>
      <c r="F3269" s="2" t="s">
        <v>128</v>
      </c>
      <c r="G3269" s="2" t="s">
        <v>69</v>
      </c>
      <c r="H3269" s="2" t="s">
        <v>62</v>
      </c>
      <c r="I3269" s="2" t="s">
        <v>35</v>
      </c>
      <c r="J3269" s="2" t="s">
        <v>878</v>
      </c>
      <c r="K3269" s="2" t="s">
        <v>7441</v>
      </c>
      <c r="L3269">
        <v>2</v>
      </c>
      <c r="M3269" s="1">
        <v>379000</v>
      </c>
      <c r="N3269">
        <v>2.1</v>
      </c>
      <c r="O3269">
        <v>5</v>
      </c>
      <c r="P3269" s="2" t="s">
        <v>114</v>
      </c>
    </row>
    <row r="3270" spans="1:16" x14ac:dyDescent="0.25">
      <c r="A3270" s="2" t="s">
        <v>9620</v>
      </c>
      <c r="B3270" s="2" t="s">
        <v>4721</v>
      </c>
      <c r="C3270" s="2" t="s">
        <v>29</v>
      </c>
      <c r="D3270" s="2" t="s">
        <v>50</v>
      </c>
      <c r="E3270" s="2" t="s">
        <v>20</v>
      </c>
      <c r="F3270" s="2" t="s">
        <v>32</v>
      </c>
      <c r="G3270" s="2" t="s">
        <v>22</v>
      </c>
      <c r="H3270" s="2" t="s">
        <v>34</v>
      </c>
      <c r="I3270" s="2" t="s">
        <v>24</v>
      </c>
      <c r="J3270" s="2" t="s">
        <v>7099</v>
      </c>
      <c r="K3270" s="2" t="s">
        <v>9621</v>
      </c>
      <c r="L3270">
        <v>6</v>
      </c>
      <c r="M3270" s="1">
        <v>255000</v>
      </c>
      <c r="N3270">
        <v>3.3</v>
      </c>
      <c r="O3270">
        <v>37</v>
      </c>
      <c r="P3270" s="2" t="s">
        <v>53</v>
      </c>
    </row>
    <row r="3271" spans="1:16" x14ac:dyDescent="0.25">
      <c r="A3271" s="2" t="s">
        <v>9622</v>
      </c>
      <c r="B3271" s="2" t="s">
        <v>4312</v>
      </c>
      <c r="C3271" s="2" t="s">
        <v>18</v>
      </c>
      <c r="D3271" s="2" t="s">
        <v>50</v>
      </c>
      <c r="E3271" s="2" t="s">
        <v>20</v>
      </c>
      <c r="F3271" s="2" t="s">
        <v>128</v>
      </c>
      <c r="G3271" s="2" t="s">
        <v>22</v>
      </c>
      <c r="H3271" s="2" t="s">
        <v>23</v>
      </c>
      <c r="I3271" s="2" t="s">
        <v>57</v>
      </c>
      <c r="J3271" s="2" t="s">
        <v>752</v>
      </c>
      <c r="K3271" s="2" t="s">
        <v>4236</v>
      </c>
      <c r="L3271">
        <v>6</v>
      </c>
      <c r="M3271" s="1">
        <v>373000</v>
      </c>
      <c r="N3271">
        <v>2.4</v>
      </c>
      <c r="O3271">
        <v>27</v>
      </c>
      <c r="P3271" s="2" t="s">
        <v>26</v>
      </c>
    </row>
    <row r="3272" spans="1:16" x14ac:dyDescent="0.25">
      <c r="A3272" s="2" t="s">
        <v>9623</v>
      </c>
      <c r="B3272" s="2" t="s">
        <v>766</v>
      </c>
      <c r="C3272" s="2" t="s">
        <v>18</v>
      </c>
      <c r="D3272" s="2" t="s">
        <v>79</v>
      </c>
      <c r="E3272" s="2" t="s">
        <v>44</v>
      </c>
      <c r="F3272" s="2" t="s">
        <v>128</v>
      </c>
      <c r="G3272" s="2" t="s">
        <v>22</v>
      </c>
      <c r="H3272" s="2" t="s">
        <v>34</v>
      </c>
      <c r="I3272" s="2" t="s">
        <v>35</v>
      </c>
      <c r="J3272" s="2" t="s">
        <v>1674</v>
      </c>
      <c r="K3272" s="2" t="s">
        <v>4236</v>
      </c>
      <c r="L3272">
        <v>2</v>
      </c>
      <c r="M3272" s="1">
        <v>565000</v>
      </c>
      <c r="N3272">
        <v>4.3</v>
      </c>
      <c r="O3272">
        <v>14</v>
      </c>
      <c r="P3272" s="2" t="s">
        <v>53</v>
      </c>
    </row>
    <row r="3273" spans="1:16" x14ac:dyDescent="0.25">
      <c r="A3273" s="2" t="s">
        <v>9624</v>
      </c>
      <c r="B3273" s="2" t="s">
        <v>9625</v>
      </c>
      <c r="C3273" s="2" t="s">
        <v>18</v>
      </c>
      <c r="D3273" s="2" t="s">
        <v>30</v>
      </c>
      <c r="E3273" s="2" t="s">
        <v>20</v>
      </c>
      <c r="F3273" s="2" t="s">
        <v>39</v>
      </c>
      <c r="G3273" s="2" t="s">
        <v>80</v>
      </c>
      <c r="H3273" s="2" t="s">
        <v>34</v>
      </c>
      <c r="I3273" s="2" t="s">
        <v>35</v>
      </c>
      <c r="J3273" s="2" t="s">
        <v>3020</v>
      </c>
      <c r="K3273" s="2" t="s">
        <v>282</v>
      </c>
      <c r="L3273">
        <v>2</v>
      </c>
      <c r="M3273" s="1">
        <v>125000</v>
      </c>
      <c r="N3273">
        <v>1.8</v>
      </c>
      <c r="O3273">
        <v>7</v>
      </c>
      <c r="P3273" s="2" t="s">
        <v>26</v>
      </c>
    </row>
    <row r="3274" spans="1:16" x14ac:dyDescent="0.25">
      <c r="A3274" s="2" t="s">
        <v>9626</v>
      </c>
      <c r="B3274" s="2" t="s">
        <v>2885</v>
      </c>
      <c r="C3274" s="2" t="s">
        <v>18</v>
      </c>
      <c r="D3274" s="2" t="s">
        <v>43</v>
      </c>
      <c r="E3274" s="2" t="s">
        <v>31</v>
      </c>
      <c r="F3274" s="2" t="s">
        <v>128</v>
      </c>
      <c r="G3274" s="2" t="s">
        <v>33</v>
      </c>
      <c r="H3274" s="2" t="s">
        <v>23</v>
      </c>
      <c r="I3274" s="2" t="s">
        <v>24</v>
      </c>
      <c r="J3274" s="2" t="s">
        <v>3837</v>
      </c>
      <c r="K3274" s="2" t="s">
        <v>282</v>
      </c>
      <c r="L3274">
        <v>4</v>
      </c>
      <c r="M3274" s="1">
        <v>550000</v>
      </c>
      <c r="N3274">
        <v>2.2000000000000002</v>
      </c>
      <c r="O3274">
        <v>14</v>
      </c>
      <c r="P3274" s="2" t="s">
        <v>53</v>
      </c>
    </row>
    <row r="3275" spans="1:16" x14ac:dyDescent="0.25">
      <c r="A3275" s="2" t="s">
        <v>9627</v>
      </c>
      <c r="B3275" s="2" t="s">
        <v>5415</v>
      </c>
      <c r="C3275" s="2" t="s">
        <v>29</v>
      </c>
      <c r="D3275" s="2" t="s">
        <v>19</v>
      </c>
      <c r="E3275" s="2" t="s">
        <v>44</v>
      </c>
      <c r="F3275" s="2" t="s">
        <v>128</v>
      </c>
      <c r="G3275" s="2" t="s">
        <v>22</v>
      </c>
      <c r="H3275" s="2" t="s">
        <v>46</v>
      </c>
      <c r="I3275" s="2" t="s">
        <v>57</v>
      </c>
      <c r="J3275" s="2" t="s">
        <v>5640</v>
      </c>
      <c r="K3275" s="2" t="s">
        <v>412</v>
      </c>
      <c r="L3275">
        <v>5</v>
      </c>
      <c r="M3275" s="1">
        <v>351000</v>
      </c>
      <c r="N3275">
        <v>4.2</v>
      </c>
      <c r="O3275">
        <v>4</v>
      </c>
      <c r="P3275" s="2" t="s">
        <v>26</v>
      </c>
    </row>
    <row r="3276" spans="1:16" x14ac:dyDescent="0.25">
      <c r="A3276" s="2" t="s">
        <v>9628</v>
      </c>
      <c r="B3276" s="2" t="s">
        <v>9629</v>
      </c>
      <c r="C3276" s="2" t="s">
        <v>29</v>
      </c>
      <c r="D3276" s="2" t="s">
        <v>79</v>
      </c>
      <c r="E3276" s="2" t="s">
        <v>44</v>
      </c>
      <c r="F3276" s="2" t="s">
        <v>45</v>
      </c>
      <c r="G3276" s="2" t="s">
        <v>22</v>
      </c>
      <c r="H3276" s="2" t="s">
        <v>34</v>
      </c>
      <c r="I3276" s="2" t="s">
        <v>35</v>
      </c>
      <c r="J3276" s="2" t="s">
        <v>334</v>
      </c>
      <c r="K3276" s="2" t="s">
        <v>412</v>
      </c>
      <c r="L3276">
        <v>6</v>
      </c>
      <c r="M3276" s="1">
        <v>1053000</v>
      </c>
      <c r="N3276">
        <v>3.1</v>
      </c>
      <c r="O3276">
        <v>2</v>
      </c>
      <c r="P3276" s="2" t="s">
        <v>26</v>
      </c>
    </row>
    <row r="3277" spans="1:16" x14ac:dyDescent="0.25">
      <c r="A3277" s="2" t="s">
        <v>9630</v>
      </c>
      <c r="B3277" s="2" t="s">
        <v>5605</v>
      </c>
      <c r="C3277" s="2" t="s">
        <v>29</v>
      </c>
      <c r="D3277" s="2" t="s">
        <v>2782</v>
      </c>
      <c r="E3277" s="2" t="s">
        <v>20</v>
      </c>
      <c r="F3277" s="2" t="s">
        <v>32</v>
      </c>
      <c r="G3277" s="2" t="s">
        <v>33</v>
      </c>
      <c r="H3277" s="2" t="s">
        <v>23</v>
      </c>
      <c r="I3277" s="2" t="s">
        <v>57</v>
      </c>
      <c r="J3277" s="2" t="s">
        <v>1202</v>
      </c>
      <c r="K3277" s="2" t="s">
        <v>412</v>
      </c>
      <c r="L3277">
        <v>6</v>
      </c>
      <c r="M3277" s="1">
        <v>265000</v>
      </c>
      <c r="N3277">
        <v>3.5</v>
      </c>
      <c r="O3277">
        <v>4</v>
      </c>
      <c r="P3277" s="2" t="s">
        <v>26</v>
      </c>
    </row>
    <row r="3278" spans="1:16" x14ac:dyDescent="0.25">
      <c r="A3278" s="2" t="s">
        <v>9632</v>
      </c>
      <c r="B3278" s="2" t="s">
        <v>9572</v>
      </c>
      <c r="C3278" s="2" t="s">
        <v>29</v>
      </c>
      <c r="D3278" s="2" t="s">
        <v>50</v>
      </c>
      <c r="E3278" s="2" t="s">
        <v>20</v>
      </c>
      <c r="F3278" s="2" t="s">
        <v>32</v>
      </c>
      <c r="G3278" s="2" t="s">
        <v>33</v>
      </c>
      <c r="H3278" s="2" t="s">
        <v>23</v>
      </c>
      <c r="I3278" s="2" t="s">
        <v>35</v>
      </c>
      <c r="J3278" s="2" t="s">
        <v>549</v>
      </c>
      <c r="K3278" s="2" t="s">
        <v>412</v>
      </c>
      <c r="L3278">
        <v>5</v>
      </c>
      <c r="M3278" s="1">
        <v>284000</v>
      </c>
      <c r="N3278">
        <v>3.2</v>
      </c>
      <c r="O3278">
        <v>4</v>
      </c>
      <c r="P3278" s="2" t="s">
        <v>26</v>
      </c>
    </row>
    <row r="3279" spans="1:16" x14ac:dyDescent="0.25">
      <c r="A3279" s="2" t="s">
        <v>9633</v>
      </c>
      <c r="B3279" s="2" t="s">
        <v>9634</v>
      </c>
      <c r="C3279" s="2" t="s">
        <v>29</v>
      </c>
      <c r="D3279" s="2" t="s">
        <v>79</v>
      </c>
      <c r="E3279" s="2" t="s">
        <v>20</v>
      </c>
      <c r="F3279" s="2" t="s">
        <v>32</v>
      </c>
      <c r="G3279" s="2" t="s">
        <v>80</v>
      </c>
      <c r="H3279" s="2" t="s">
        <v>23</v>
      </c>
      <c r="I3279" s="2" t="s">
        <v>24</v>
      </c>
      <c r="J3279" s="2" t="s">
        <v>1748</v>
      </c>
      <c r="K3279" s="2" t="s">
        <v>412</v>
      </c>
      <c r="L3279">
        <v>4</v>
      </c>
      <c r="M3279" s="1">
        <v>309000</v>
      </c>
      <c r="N3279">
        <v>3.3</v>
      </c>
      <c r="O3279">
        <v>2</v>
      </c>
      <c r="P3279" s="2" t="s">
        <v>26</v>
      </c>
    </row>
    <row r="3280" spans="1:16" x14ac:dyDescent="0.25">
      <c r="A3280" s="2" t="s">
        <v>9635</v>
      </c>
      <c r="B3280" s="2" t="s">
        <v>8828</v>
      </c>
      <c r="C3280" s="2" t="s">
        <v>18</v>
      </c>
      <c r="D3280" s="2" t="s">
        <v>79</v>
      </c>
      <c r="E3280" s="2" t="s">
        <v>20</v>
      </c>
      <c r="F3280" s="2" t="s">
        <v>21</v>
      </c>
      <c r="G3280" s="2" t="s">
        <v>22</v>
      </c>
      <c r="H3280" s="2" t="s">
        <v>23</v>
      </c>
      <c r="I3280" s="2" t="s">
        <v>24</v>
      </c>
      <c r="J3280" s="2" t="s">
        <v>4011</v>
      </c>
      <c r="K3280" s="2" t="s">
        <v>412</v>
      </c>
      <c r="L3280">
        <v>6</v>
      </c>
      <c r="M3280" s="1">
        <v>662000</v>
      </c>
      <c r="N3280">
        <v>4.3</v>
      </c>
      <c r="O3280">
        <v>12</v>
      </c>
      <c r="P3280" s="2" t="s">
        <v>26</v>
      </c>
    </row>
    <row r="3281" spans="1:16" x14ac:dyDescent="0.25">
      <c r="A3281" s="2" t="s">
        <v>9636</v>
      </c>
      <c r="B3281" s="2" t="s">
        <v>7305</v>
      </c>
      <c r="C3281" s="2" t="s">
        <v>29</v>
      </c>
      <c r="D3281" s="2" t="s">
        <v>30</v>
      </c>
      <c r="E3281" s="2" t="s">
        <v>20</v>
      </c>
      <c r="F3281" s="2" t="s">
        <v>32</v>
      </c>
      <c r="G3281" s="2" t="s">
        <v>80</v>
      </c>
      <c r="H3281" s="2" t="s">
        <v>46</v>
      </c>
      <c r="I3281" s="2" t="s">
        <v>171</v>
      </c>
      <c r="J3281" s="2" t="s">
        <v>3580</v>
      </c>
      <c r="K3281" s="2" t="s">
        <v>412</v>
      </c>
      <c r="L3281">
        <v>2</v>
      </c>
      <c r="M3281" s="1">
        <v>235000</v>
      </c>
      <c r="N3281">
        <v>2.7</v>
      </c>
      <c r="O3281">
        <v>38</v>
      </c>
      <c r="P3281" s="2" t="s">
        <v>114</v>
      </c>
    </row>
    <row r="3282" spans="1:16" x14ac:dyDescent="0.25">
      <c r="A3282" s="2" t="s">
        <v>9637</v>
      </c>
      <c r="B3282" s="2" t="s">
        <v>9638</v>
      </c>
      <c r="C3282" s="2" t="s">
        <v>29</v>
      </c>
      <c r="D3282" s="2" t="s">
        <v>50</v>
      </c>
      <c r="E3282" s="2" t="s">
        <v>20</v>
      </c>
      <c r="F3282" s="2" t="s">
        <v>128</v>
      </c>
      <c r="G3282" s="2" t="s">
        <v>22</v>
      </c>
      <c r="H3282" s="2" t="s">
        <v>34</v>
      </c>
      <c r="I3282" s="2" t="s">
        <v>35</v>
      </c>
      <c r="J3282" s="2" t="s">
        <v>2261</v>
      </c>
      <c r="K3282" s="2" t="s">
        <v>2434</v>
      </c>
      <c r="L3282">
        <v>6</v>
      </c>
      <c r="M3282" s="1">
        <v>470000</v>
      </c>
      <c r="N3282">
        <v>3.6</v>
      </c>
      <c r="O3282">
        <v>7</v>
      </c>
      <c r="P3282" s="2" t="s">
        <v>114</v>
      </c>
    </row>
    <row r="3283" spans="1:16" x14ac:dyDescent="0.25">
      <c r="A3283" s="2" t="s">
        <v>9639</v>
      </c>
      <c r="B3283" s="2" t="s">
        <v>1287</v>
      </c>
      <c r="C3283" s="2" t="s">
        <v>18</v>
      </c>
      <c r="D3283" s="2" t="s">
        <v>19</v>
      </c>
      <c r="E3283" s="2" t="s">
        <v>44</v>
      </c>
      <c r="F3283" s="2" t="s">
        <v>32</v>
      </c>
      <c r="G3283" s="2" t="s">
        <v>22</v>
      </c>
      <c r="H3283" s="2" t="s">
        <v>46</v>
      </c>
      <c r="I3283" s="2" t="s">
        <v>35</v>
      </c>
      <c r="J3283" s="2" t="s">
        <v>6123</v>
      </c>
      <c r="K3283" s="2" t="s">
        <v>4740</v>
      </c>
      <c r="L3283">
        <v>6</v>
      </c>
      <c r="M3283" s="1">
        <v>272000</v>
      </c>
      <c r="N3283">
        <v>3.1</v>
      </c>
      <c r="O3283">
        <v>11</v>
      </c>
      <c r="P3283" s="2" t="s">
        <v>53</v>
      </c>
    </row>
    <row r="3284" spans="1:16" x14ac:dyDescent="0.25">
      <c r="A3284" s="2" t="s">
        <v>9640</v>
      </c>
      <c r="B3284" s="2" t="s">
        <v>2509</v>
      </c>
      <c r="C3284" s="2" t="s">
        <v>29</v>
      </c>
      <c r="D3284" s="2" t="s">
        <v>50</v>
      </c>
      <c r="E3284" s="2" t="s">
        <v>31</v>
      </c>
      <c r="F3284" s="2" t="s">
        <v>45</v>
      </c>
      <c r="G3284" s="2" t="s">
        <v>22</v>
      </c>
      <c r="H3284" s="2" t="s">
        <v>23</v>
      </c>
      <c r="I3284" s="2" t="s">
        <v>75</v>
      </c>
      <c r="J3284" s="2" t="s">
        <v>4748</v>
      </c>
      <c r="K3284" s="2" t="s">
        <v>2091</v>
      </c>
      <c r="L3284">
        <v>3</v>
      </c>
      <c r="M3284" s="1">
        <v>1489000</v>
      </c>
      <c r="N3284">
        <v>3.6</v>
      </c>
      <c r="O3284">
        <v>13</v>
      </c>
      <c r="P3284" s="2" t="s">
        <v>26</v>
      </c>
    </row>
    <row r="3285" spans="1:16" x14ac:dyDescent="0.25">
      <c r="A3285" s="2" t="s">
        <v>9641</v>
      </c>
      <c r="B3285" s="2" t="s">
        <v>1705</v>
      </c>
      <c r="C3285" s="2" t="s">
        <v>18</v>
      </c>
      <c r="D3285" s="2" t="s">
        <v>50</v>
      </c>
      <c r="E3285" s="2" t="s">
        <v>31</v>
      </c>
      <c r="F3285" s="2" t="s">
        <v>32</v>
      </c>
      <c r="G3285" s="2" t="s">
        <v>69</v>
      </c>
      <c r="H3285" s="2" t="s">
        <v>62</v>
      </c>
      <c r="I3285" s="2" t="s">
        <v>35</v>
      </c>
      <c r="J3285" s="2" t="s">
        <v>1146</v>
      </c>
      <c r="K3285" s="2" t="s">
        <v>2091</v>
      </c>
      <c r="L3285">
        <v>2</v>
      </c>
      <c r="M3285" s="1">
        <v>326000</v>
      </c>
      <c r="N3285">
        <v>4.0999999999999996</v>
      </c>
      <c r="O3285">
        <v>0</v>
      </c>
      <c r="P3285" s="2" t="s">
        <v>26</v>
      </c>
    </row>
    <row r="3286" spans="1:16" x14ac:dyDescent="0.25">
      <c r="A3286" s="2" t="s">
        <v>9643</v>
      </c>
      <c r="B3286" s="2" t="s">
        <v>9644</v>
      </c>
      <c r="C3286" s="2" t="s">
        <v>18</v>
      </c>
      <c r="D3286" s="2" t="s">
        <v>79</v>
      </c>
      <c r="E3286" s="2" t="s">
        <v>31</v>
      </c>
      <c r="F3286" s="2" t="s">
        <v>32</v>
      </c>
      <c r="G3286" s="2" t="s">
        <v>22</v>
      </c>
      <c r="H3286" s="2" t="s">
        <v>23</v>
      </c>
      <c r="I3286" s="2" t="s">
        <v>24</v>
      </c>
      <c r="J3286" s="2" t="s">
        <v>2152</v>
      </c>
      <c r="K3286" s="2" t="s">
        <v>2091</v>
      </c>
      <c r="L3286">
        <v>6</v>
      </c>
      <c r="M3286" s="1">
        <v>218000</v>
      </c>
      <c r="N3286">
        <v>2.2000000000000002</v>
      </c>
      <c r="O3286">
        <v>1</v>
      </c>
      <c r="P3286" s="2" t="s">
        <v>72</v>
      </c>
    </row>
    <row r="3287" spans="1:16" x14ac:dyDescent="0.25">
      <c r="A3287" s="2" t="s">
        <v>9645</v>
      </c>
      <c r="B3287" s="2" t="s">
        <v>9646</v>
      </c>
      <c r="C3287" s="2" t="s">
        <v>29</v>
      </c>
      <c r="D3287" s="2" t="s">
        <v>19</v>
      </c>
      <c r="E3287" s="2" t="s">
        <v>20</v>
      </c>
      <c r="F3287" s="2" t="s">
        <v>128</v>
      </c>
      <c r="G3287" s="2" t="s">
        <v>80</v>
      </c>
      <c r="H3287" s="2" t="s">
        <v>46</v>
      </c>
      <c r="I3287" s="2" t="s">
        <v>75</v>
      </c>
      <c r="J3287" s="2" t="s">
        <v>1803</v>
      </c>
      <c r="K3287" s="2" t="s">
        <v>1074</v>
      </c>
      <c r="L3287">
        <v>6</v>
      </c>
      <c r="M3287" s="1">
        <v>660000</v>
      </c>
      <c r="N3287">
        <v>4.0999999999999996</v>
      </c>
      <c r="O3287">
        <v>26</v>
      </c>
      <c r="P3287" s="2" t="s">
        <v>26</v>
      </c>
    </row>
    <row r="3288" spans="1:16" x14ac:dyDescent="0.25">
      <c r="A3288" s="2" t="s">
        <v>9648</v>
      </c>
      <c r="B3288" s="2" t="s">
        <v>234</v>
      </c>
      <c r="C3288" s="2" t="s">
        <v>29</v>
      </c>
      <c r="D3288" s="2" t="s">
        <v>30</v>
      </c>
      <c r="E3288" s="2" t="s">
        <v>44</v>
      </c>
      <c r="F3288" s="2" t="s">
        <v>39</v>
      </c>
      <c r="G3288" s="2" t="s">
        <v>33</v>
      </c>
      <c r="H3288" s="2" t="s">
        <v>46</v>
      </c>
      <c r="I3288" s="2" t="s">
        <v>24</v>
      </c>
      <c r="J3288" s="2" t="s">
        <v>1538</v>
      </c>
      <c r="K3288" s="2" t="s">
        <v>1074</v>
      </c>
      <c r="L3288">
        <v>2</v>
      </c>
      <c r="M3288" s="1">
        <v>86000</v>
      </c>
      <c r="N3288">
        <v>2.1</v>
      </c>
      <c r="O3288">
        <v>13</v>
      </c>
      <c r="P3288" s="2" t="s">
        <v>53</v>
      </c>
    </row>
    <row r="3289" spans="1:16" x14ac:dyDescent="0.25">
      <c r="A3289" s="2" t="s">
        <v>9649</v>
      </c>
      <c r="B3289" s="2" t="s">
        <v>9650</v>
      </c>
      <c r="C3289" s="2" t="s">
        <v>29</v>
      </c>
      <c r="D3289" s="2" t="s">
        <v>30</v>
      </c>
      <c r="E3289" s="2" t="s">
        <v>20</v>
      </c>
      <c r="F3289" s="2" t="s">
        <v>39</v>
      </c>
      <c r="G3289" s="2" t="s">
        <v>69</v>
      </c>
      <c r="H3289" s="2" t="s">
        <v>23</v>
      </c>
      <c r="I3289" s="2" t="s">
        <v>75</v>
      </c>
      <c r="J3289" s="2" t="s">
        <v>2657</v>
      </c>
      <c r="K3289" s="2" t="s">
        <v>6470</v>
      </c>
      <c r="L3289">
        <v>3</v>
      </c>
      <c r="M3289" s="1">
        <v>120000</v>
      </c>
      <c r="N3289">
        <v>1.8</v>
      </c>
      <c r="O3289">
        <v>6</v>
      </c>
      <c r="P3289" s="2" t="s">
        <v>26</v>
      </c>
    </row>
    <row r="3290" spans="1:16" x14ac:dyDescent="0.25">
      <c r="A3290" s="2" t="s">
        <v>9652</v>
      </c>
      <c r="B3290" s="2" t="s">
        <v>9653</v>
      </c>
      <c r="C3290" s="2" t="s">
        <v>18</v>
      </c>
      <c r="D3290" s="2" t="s">
        <v>79</v>
      </c>
      <c r="E3290" s="2" t="s">
        <v>31</v>
      </c>
      <c r="F3290" s="2" t="s">
        <v>39</v>
      </c>
      <c r="G3290" s="2" t="s">
        <v>22</v>
      </c>
      <c r="H3290" s="2" t="s">
        <v>34</v>
      </c>
      <c r="I3290" s="2" t="s">
        <v>57</v>
      </c>
      <c r="J3290" s="2" t="s">
        <v>2385</v>
      </c>
      <c r="K3290" s="2" t="s">
        <v>6470</v>
      </c>
      <c r="L3290">
        <v>2</v>
      </c>
      <c r="M3290" s="1">
        <v>116000</v>
      </c>
      <c r="N3290">
        <v>2.6</v>
      </c>
      <c r="O3290">
        <v>9</v>
      </c>
      <c r="P3290" s="2" t="s">
        <v>26</v>
      </c>
    </row>
    <row r="3291" spans="1:16" x14ac:dyDescent="0.25">
      <c r="A3291" s="2" t="s">
        <v>9654</v>
      </c>
      <c r="B3291" s="2" t="s">
        <v>8225</v>
      </c>
      <c r="C3291" s="2" t="s">
        <v>18</v>
      </c>
      <c r="D3291" s="2" t="s">
        <v>30</v>
      </c>
      <c r="E3291" s="2" t="s">
        <v>31</v>
      </c>
      <c r="F3291" s="2" t="s">
        <v>39</v>
      </c>
      <c r="G3291" s="2" t="s">
        <v>80</v>
      </c>
      <c r="H3291" s="2" t="s">
        <v>23</v>
      </c>
      <c r="I3291" s="2" t="s">
        <v>35</v>
      </c>
      <c r="J3291" s="2" t="s">
        <v>6503</v>
      </c>
      <c r="K3291" s="2" t="s">
        <v>6470</v>
      </c>
      <c r="L3291">
        <v>2</v>
      </c>
      <c r="M3291" s="1">
        <v>158000</v>
      </c>
      <c r="N3291">
        <v>1.8</v>
      </c>
      <c r="O3291">
        <v>13</v>
      </c>
      <c r="P3291" s="2" t="s">
        <v>114</v>
      </c>
    </row>
    <row r="3292" spans="1:16" x14ac:dyDescent="0.25">
      <c r="A3292" s="2" t="s">
        <v>9655</v>
      </c>
      <c r="B3292" s="2" t="s">
        <v>2873</v>
      </c>
      <c r="C3292" s="2" t="s">
        <v>18</v>
      </c>
      <c r="D3292" s="2" t="s">
        <v>19</v>
      </c>
      <c r="E3292" s="2" t="s">
        <v>44</v>
      </c>
      <c r="F3292" s="2" t="s">
        <v>21</v>
      </c>
      <c r="G3292" s="2" t="s">
        <v>22</v>
      </c>
      <c r="H3292" s="2" t="s">
        <v>34</v>
      </c>
      <c r="I3292" s="2" t="s">
        <v>24</v>
      </c>
      <c r="J3292" s="2" t="s">
        <v>1375</v>
      </c>
      <c r="K3292" s="2" t="s">
        <v>3712</v>
      </c>
      <c r="L3292">
        <v>4</v>
      </c>
      <c r="M3292" s="1">
        <v>941000</v>
      </c>
      <c r="N3292">
        <v>3.5</v>
      </c>
      <c r="O3292">
        <v>1</v>
      </c>
      <c r="P3292" s="2" t="s">
        <v>72</v>
      </c>
    </row>
    <row r="3293" spans="1:16" x14ac:dyDescent="0.25">
      <c r="A3293" s="2" t="s">
        <v>9659</v>
      </c>
      <c r="B3293" s="2" t="s">
        <v>7660</v>
      </c>
      <c r="C3293" s="2" t="s">
        <v>18</v>
      </c>
      <c r="D3293" s="2" t="s">
        <v>79</v>
      </c>
      <c r="E3293" s="2" t="s">
        <v>20</v>
      </c>
      <c r="F3293" s="2" t="s">
        <v>128</v>
      </c>
      <c r="G3293" s="2" t="s">
        <v>33</v>
      </c>
      <c r="H3293" s="2" t="s">
        <v>23</v>
      </c>
      <c r="I3293" s="2" t="s">
        <v>35</v>
      </c>
      <c r="J3293" s="2" t="s">
        <v>4020</v>
      </c>
      <c r="K3293" s="2" t="s">
        <v>2837</v>
      </c>
      <c r="L3293">
        <v>5</v>
      </c>
      <c r="M3293" s="1">
        <v>519000</v>
      </c>
      <c r="N3293">
        <v>2.2999999999999998</v>
      </c>
      <c r="O3293">
        <v>10</v>
      </c>
      <c r="P3293" s="2" t="s">
        <v>26</v>
      </c>
    </row>
    <row r="3294" spans="1:16" x14ac:dyDescent="0.25">
      <c r="A3294" s="2" t="s">
        <v>9660</v>
      </c>
      <c r="B3294" s="2" t="s">
        <v>9004</v>
      </c>
      <c r="C3294" s="2" t="s">
        <v>18</v>
      </c>
      <c r="D3294" s="2" t="s">
        <v>19</v>
      </c>
      <c r="E3294" s="2" t="s">
        <v>20</v>
      </c>
      <c r="F3294" s="2" t="s">
        <v>32</v>
      </c>
      <c r="G3294" s="2" t="s">
        <v>22</v>
      </c>
      <c r="H3294" s="2" t="s">
        <v>34</v>
      </c>
      <c r="I3294" s="2" t="s">
        <v>35</v>
      </c>
      <c r="J3294" s="2" t="s">
        <v>1461</v>
      </c>
      <c r="K3294" s="2" t="s">
        <v>2837</v>
      </c>
      <c r="L3294">
        <v>7</v>
      </c>
      <c r="M3294" s="1">
        <v>385000</v>
      </c>
      <c r="N3294">
        <v>4.5</v>
      </c>
      <c r="O3294">
        <v>7</v>
      </c>
      <c r="P3294" s="2" t="s">
        <v>26</v>
      </c>
    </row>
    <row r="3295" spans="1:16" x14ac:dyDescent="0.25">
      <c r="A3295" s="2" t="s">
        <v>9661</v>
      </c>
      <c r="B3295" s="2" t="s">
        <v>6115</v>
      </c>
      <c r="C3295" s="2" t="s">
        <v>29</v>
      </c>
      <c r="D3295" s="2" t="s">
        <v>19</v>
      </c>
      <c r="E3295" s="2" t="s">
        <v>44</v>
      </c>
      <c r="F3295" s="2" t="s">
        <v>21</v>
      </c>
      <c r="G3295" s="2" t="s">
        <v>22</v>
      </c>
      <c r="H3295" s="2" t="s">
        <v>34</v>
      </c>
      <c r="I3295" s="2" t="s">
        <v>57</v>
      </c>
      <c r="J3295" s="2" t="s">
        <v>9662</v>
      </c>
      <c r="K3295" s="2" t="s">
        <v>2837</v>
      </c>
      <c r="L3295">
        <v>4</v>
      </c>
      <c r="M3295" s="1">
        <v>815000</v>
      </c>
      <c r="N3295">
        <v>4.5999999999999996</v>
      </c>
      <c r="O3295">
        <v>2</v>
      </c>
      <c r="P3295" s="2" t="s">
        <v>53</v>
      </c>
    </row>
    <row r="3296" spans="1:16" x14ac:dyDescent="0.25">
      <c r="A3296" s="2" t="s">
        <v>9663</v>
      </c>
      <c r="B3296" s="2" t="s">
        <v>9664</v>
      </c>
      <c r="C3296" s="2" t="s">
        <v>18</v>
      </c>
      <c r="D3296" s="2" t="s">
        <v>19</v>
      </c>
      <c r="E3296" s="2" t="s">
        <v>31</v>
      </c>
      <c r="F3296" s="2" t="s">
        <v>39</v>
      </c>
      <c r="G3296" s="2" t="s">
        <v>33</v>
      </c>
      <c r="H3296" s="2" t="s">
        <v>34</v>
      </c>
      <c r="I3296" s="2" t="s">
        <v>35</v>
      </c>
      <c r="J3296" s="2" t="s">
        <v>9665</v>
      </c>
      <c r="K3296" s="2" t="s">
        <v>3326</v>
      </c>
      <c r="L3296">
        <v>4</v>
      </c>
      <c r="M3296" s="1">
        <v>159000</v>
      </c>
      <c r="N3296">
        <v>3.1</v>
      </c>
      <c r="O3296">
        <v>4</v>
      </c>
      <c r="P3296" s="2" t="s">
        <v>26</v>
      </c>
    </row>
    <row r="3297" spans="1:16" x14ac:dyDescent="0.25">
      <c r="A3297" s="2" t="s">
        <v>9666</v>
      </c>
      <c r="B3297" s="2" t="s">
        <v>6595</v>
      </c>
      <c r="C3297" s="2" t="s">
        <v>18</v>
      </c>
      <c r="D3297" s="2" t="s">
        <v>43</v>
      </c>
      <c r="E3297" s="2" t="s">
        <v>20</v>
      </c>
      <c r="F3297" s="2" t="s">
        <v>128</v>
      </c>
      <c r="G3297" s="2" t="s">
        <v>80</v>
      </c>
      <c r="H3297" s="2" t="s">
        <v>34</v>
      </c>
      <c r="I3297" s="2" t="s">
        <v>57</v>
      </c>
      <c r="J3297" s="2" t="s">
        <v>3369</v>
      </c>
      <c r="K3297" s="2" t="s">
        <v>3326</v>
      </c>
      <c r="L3297">
        <v>3</v>
      </c>
      <c r="M3297" s="1">
        <v>480000</v>
      </c>
      <c r="N3297">
        <v>3.5</v>
      </c>
      <c r="O3297">
        <v>6</v>
      </c>
      <c r="P3297" s="2" t="s">
        <v>26</v>
      </c>
    </row>
    <row r="3298" spans="1:16" x14ac:dyDescent="0.25">
      <c r="A3298" s="2" t="s">
        <v>9671</v>
      </c>
      <c r="B3298" s="2" t="s">
        <v>4663</v>
      </c>
      <c r="C3298" s="2" t="s">
        <v>18</v>
      </c>
      <c r="D3298" s="2" t="s">
        <v>19</v>
      </c>
      <c r="E3298" s="2" t="s">
        <v>44</v>
      </c>
      <c r="F3298" s="2" t="s">
        <v>32</v>
      </c>
      <c r="G3298" s="2" t="s">
        <v>80</v>
      </c>
      <c r="H3298" s="2" t="s">
        <v>46</v>
      </c>
      <c r="I3298" s="2" t="s">
        <v>24</v>
      </c>
      <c r="J3298" s="2" t="s">
        <v>3914</v>
      </c>
      <c r="K3298" s="2" t="s">
        <v>3326</v>
      </c>
      <c r="L3298">
        <v>6</v>
      </c>
      <c r="M3298" s="1">
        <v>269000</v>
      </c>
      <c r="N3298">
        <v>4.5</v>
      </c>
      <c r="O3298">
        <v>13</v>
      </c>
      <c r="P3298" s="2" t="s">
        <v>53</v>
      </c>
    </row>
    <row r="3299" spans="1:16" x14ac:dyDescent="0.25">
      <c r="A3299" s="2" t="s">
        <v>9672</v>
      </c>
      <c r="B3299" s="2" t="s">
        <v>8585</v>
      </c>
      <c r="C3299" s="2" t="s">
        <v>29</v>
      </c>
      <c r="D3299" s="2" t="s">
        <v>79</v>
      </c>
      <c r="E3299" s="2" t="s">
        <v>44</v>
      </c>
      <c r="F3299" s="2" t="s">
        <v>32</v>
      </c>
      <c r="G3299" s="2" t="s">
        <v>69</v>
      </c>
      <c r="H3299" s="2" t="s">
        <v>46</v>
      </c>
      <c r="I3299" s="2" t="s">
        <v>75</v>
      </c>
      <c r="J3299" s="2" t="s">
        <v>4860</v>
      </c>
      <c r="K3299" s="2" t="s">
        <v>3326</v>
      </c>
      <c r="L3299">
        <v>3</v>
      </c>
      <c r="M3299" s="1">
        <v>227000</v>
      </c>
      <c r="N3299">
        <v>2.6</v>
      </c>
      <c r="O3299">
        <v>1</v>
      </c>
      <c r="P3299" s="2" t="s">
        <v>26</v>
      </c>
    </row>
    <row r="3300" spans="1:16" x14ac:dyDescent="0.25">
      <c r="A3300" s="2" t="s">
        <v>9673</v>
      </c>
      <c r="B3300" s="2" t="s">
        <v>9674</v>
      </c>
      <c r="C3300" s="2" t="s">
        <v>18</v>
      </c>
      <c r="D3300" s="2" t="s">
        <v>30</v>
      </c>
      <c r="E3300" s="2" t="s">
        <v>31</v>
      </c>
      <c r="F3300" s="2" t="s">
        <v>39</v>
      </c>
      <c r="G3300" s="2" t="s">
        <v>33</v>
      </c>
      <c r="H3300" s="2" t="s">
        <v>23</v>
      </c>
      <c r="I3300" s="2" t="s">
        <v>24</v>
      </c>
      <c r="J3300" s="2" t="s">
        <v>3073</v>
      </c>
      <c r="K3300" s="2" t="s">
        <v>3326</v>
      </c>
      <c r="L3300">
        <v>4</v>
      </c>
      <c r="M3300" s="1">
        <v>175000</v>
      </c>
      <c r="N3300">
        <v>2.5</v>
      </c>
      <c r="O3300">
        <v>4</v>
      </c>
      <c r="P3300" s="2" t="s">
        <v>114</v>
      </c>
    </row>
    <row r="3301" spans="1:16" x14ac:dyDescent="0.25">
      <c r="A3301" s="2" t="s">
        <v>9675</v>
      </c>
      <c r="B3301" s="2" t="s">
        <v>9676</v>
      </c>
      <c r="C3301" s="2" t="s">
        <v>18</v>
      </c>
      <c r="D3301" s="2" t="s">
        <v>50</v>
      </c>
      <c r="E3301" s="2" t="s">
        <v>31</v>
      </c>
      <c r="F3301" s="2" t="s">
        <v>32</v>
      </c>
      <c r="G3301" s="2" t="s">
        <v>80</v>
      </c>
      <c r="H3301" s="2" t="s">
        <v>46</v>
      </c>
      <c r="I3301" s="2" t="s">
        <v>57</v>
      </c>
      <c r="J3301" s="2" t="s">
        <v>4840</v>
      </c>
      <c r="K3301" s="2" t="s">
        <v>7077</v>
      </c>
      <c r="L3301">
        <v>5</v>
      </c>
      <c r="M3301" s="1">
        <v>270000</v>
      </c>
      <c r="N3301">
        <v>2.6</v>
      </c>
      <c r="O3301">
        <v>13</v>
      </c>
      <c r="P3301" s="2" t="s">
        <v>26</v>
      </c>
    </row>
    <row r="3302" spans="1:16" x14ac:dyDescent="0.25">
      <c r="A3302" s="2" t="s">
        <v>9677</v>
      </c>
      <c r="B3302" s="2" t="s">
        <v>1469</v>
      </c>
      <c r="C3302" s="2" t="s">
        <v>18</v>
      </c>
      <c r="D3302" s="2" t="s">
        <v>79</v>
      </c>
      <c r="E3302" s="2" t="s">
        <v>20</v>
      </c>
      <c r="F3302" s="2" t="s">
        <v>39</v>
      </c>
      <c r="G3302" s="2" t="s">
        <v>22</v>
      </c>
      <c r="H3302" s="2" t="s">
        <v>23</v>
      </c>
      <c r="I3302" s="2" t="s">
        <v>24</v>
      </c>
      <c r="J3302" s="2" t="s">
        <v>2490</v>
      </c>
      <c r="K3302" s="2" t="s">
        <v>7077</v>
      </c>
      <c r="L3302">
        <v>6</v>
      </c>
      <c r="M3302" s="1">
        <v>100000</v>
      </c>
      <c r="N3302">
        <v>4.7</v>
      </c>
      <c r="O3302">
        <v>7</v>
      </c>
      <c r="P3302" s="2" t="s">
        <v>72</v>
      </c>
    </row>
    <row r="3303" spans="1:16" x14ac:dyDescent="0.25">
      <c r="A3303" s="2" t="s">
        <v>9679</v>
      </c>
      <c r="B3303" s="2" t="s">
        <v>1305</v>
      </c>
      <c r="C3303" s="2" t="s">
        <v>29</v>
      </c>
      <c r="D3303" s="2" t="s">
        <v>79</v>
      </c>
      <c r="E3303" s="2" t="s">
        <v>44</v>
      </c>
      <c r="F3303" s="2" t="s">
        <v>128</v>
      </c>
      <c r="G3303" s="2" t="s">
        <v>22</v>
      </c>
      <c r="H3303" s="2" t="s">
        <v>34</v>
      </c>
      <c r="I3303" s="2" t="s">
        <v>57</v>
      </c>
      <c r="J3303" s="2" t="s">
        <v>4425</v>
      </c>
      <c r="K3303" s="2" t="s">
        <v>5761</v>
      </c>
      <c r="L3303">
        <v>3</v>
      </c>
      <c r="M3303" s="1">
        <v>459000</v>
      </c>
      <c r="N3303">
        <v>2.4</v>
      </c>
      <c r="O3303">
        <v>12</v>
      </c>
      <c r="P3303" s="2" t="s">
        <v>53</v>
      </c>
    </row>
    <row r="3304" spans="1:16" x14ac:dyDescent="0.25">
      <c r="A3304" s="2" t="s">
        <v>9681</v>
      </c>
      <c r="B3304" s="2" t="s">
        <v>4434</v>
      </c>
      <c r="C3304" s="2" t="s">
        <v>18</v>
      </c>
      <c r="D3304" s="2" t="s">
        <v>50</v>
      </c>
      <c r="E3304" s="2" t="s">
        <v>44</v>
      </c>
      <c r="F3304" s="2" t="s">
        <v>39</v>
      </c>
      <c r="G3304" s="2" t="s">
        <v>22</v>
      </c>
      <c r="H3304" s="2" t="s">
        <v>46</v>
      </c>
      <c r="I3304" s="2" t="s">
        <v>24</v>
      </c>
      <c r="J3304" s="2" t="s">
        <v>478</v>
      </c>
      <c r="K3304" s="2" t="s">
        <v>381</v>
      </c>
      <c r="L3304">
        <v>2</v>
      </c>
      <c r="M3304" s="1">
        <v>154000</v>
      </c>
      <c r="N3304">
        <v>3.2</v>
      </c>
      <c r="O3304">
        <v>16</v>
      </c>
      <c r="P3304" s="2" t="s">
        <v>26</v>
      </c>
    </row>
    <row r="3305" spans="1:16" x14ac:dyDescent="0.25">
      <c r="A3305" s="2" t="s">
        <v>9683</v>
      </c>
      <c r="B3305" s="2" t="s">
        <v>5713</v>
      </c>
      <c r="C3305" s="2" t="s">
        <v>18</v>
      </c>
      <c r="D3305" s="2" t="s">
        <v>43</v>
      </c>
      <c r="E3305" s="2" t="s">
        <v>20</v>
      </c>
      <c r="F3305" s="2" t="s">
        <v>32</v>
      </c>
      <c r="G3305" s="2" t="s">
        <v>22</v>
      </c>
      <c r="H3305" s="2" t="s">
        <v>46</v>
      </c>
      <c r="I3305" s="2" t="s">
        <v>24</v>
      </c>
      <c r="J3305" s="2" t="s">
        <v>2273</v>
      </c>
      <c r="K3305" s="2" t="s">
        <v>381</v>
      </c>
      <c r="L3305">
        <v>6</v>
      </c>
      <c r="M3305" s="1">
        <v>330000</v>
      </c>
      <c r="N3305">
        <v>3.1</v>
      </c>
      <c r="O3305">
        <v>9</v>
      </c>
      <c r="P3305" s="2" t="s">
        <v>26</v>
      </c>
    </row>
    <row r="3306" spans="1:16" x14ac:dyDescent="0.25">
      <c r="A3306" s="2" t="s">
        <v>9687</v>
      </c>
      <c r="B3306" s="2" t="s">
        <v>1349</v>
      </c>
      <c r="C3306" s="2" t="s">
        <v>18</v>
      </c>
      <c r="D3306" s="2" t="s">
        <v>79</v>
      </c>
      <c r="E3306" s="2" t="s">
        <v>20</v>
      </c>
      <c r="F3306" s="2" t="s">
        <v>39</v>
      </c>
      <c r="G3306" s="2" t="s">
        <v>80</v>
      </c>
      <c r="H3306" s="2" t="s">
        <v>23</v>
      </c>
      <c r="I3306" s="2" t="s">
        <v>57</v>
      </c>
      <c r="J3306" s="2" t="s">
        <v>6449</v>
      </c>
      <c r="K3306" s="2" t="s">
        <v>381</v>
      </c>
      <c r="L3306">
        <v>6</v>
      </c>
      <c r="M3306" s="1">
        <v>156000</v>
      </c>
      <c r="N3306">
        <v>4.9000000000000004</v>
      </c>
      <c r="O3306">
        <v>8</v>
      </c>
      <c r="P3306" s="2" t="s">
        <v>26</v>
      </c>
    </row>
    <row r="3307" spans="1:16" x14ac:dyDescent="0.25">
      <c r="A3307" s="2" t="s">
        <v>9688</v>
      </c>
      <c r="B3307" s="2" t="s">
        <v>6967</v>
      </c>
      <c r="C3307" s="2" t="s">
        <v>18</v>
      </c>
      <c r="D3307" s="2" t="s">
        <v>50</v>
      </c>
      <c r="E3307" s="2" t="s">
        <v>44</v>
      </c>
      <c r="F3307" s="2" t="s">
        <v>21</v>
      </c>
      <c r="G3307" s="2" t="s">
        <v>69</v>
      </c>
      <c r="H3307" s="2" t="s">
        <v>62</v>
      </c>
      <c r="I3307" s="2" t="s">
        <v>75</v>
      </c>
      <c r="J3307" s="2" t="s">
        <v>3396</v>
      </c>
      <c r="K3307" s="2" t="s">
        <v>381</v>
      </c>
      <c r="L3307">
        <v>3</v>
      </c>
      <c r="M3307" s="1">
        <v>792000</v>
      </c>
      <c r="N3307">
        <v>4.0999999999999996</v>
      </c>
      <c r="O3307">
        <v>14</v>
      </c>
      <c r="P3307" s="2" t="s">
        <v>26</v>
      </c>
    </row>
    <row r="3308" spans="1:16" x14ac:dyDescent="0.25">
      <c r="A3308" s="2" t="s">
        <v>9689</v>
      </c>
      <c r="B3308" s="2" t="s">
        <v>1064</v>
      </c>
      <c r="C3308" s="2" t="s">
        <v>29</v>
      </c>
      <c r="D3308" s="2" t="s">
        <v>79</v>
      </c>
      <c r="E3308" s="2" t="s">
        <v>31</v>
      </c>
      <c r="F3308" s="2" t="s">
        <v>21</v>
      </c>
      <c r="G3308" s="2" t="s">
        <v>22</v>
      </c>
      <c r="H3308" s="2" t="s">
        <v>34</v>
      </c>
      <c r="I3308" s="2" t="s">
        <v>75</v>
      </c>
      <c r="J3308" s="2" t="s">
        <v>1846</v>
      </c>
      <c r="K3308" s="2" t="s">
        <v>381</v>
      </c>
      <c r="L3308">
        <v>4</v>
      </c>
      <c r="M3308" s="1">
        <v>617000</v>
      </c>
      <c r="N3308">
        <v>3.9</v>
      </c>
      <c r="O3308">
        <v>9</v>
      </c>
      <c r="P3308" s="2" t="s">
        <v>26</v>
      </c>
    </row>
    <row r="3309" spans="1:16" x14ac:dyDescent="0.25">
      <c r="A3309" s="2" t="s">
        <v>9690</v>
      </c>
      <c r="B3309" s="2" t="s">
        <v>9691</v>
      </c>
      <c r="C3309" s="2" t="s">
        <v>18</v>
      </c>
      <c r="D3309" s="2" t="s">
        <v>19</v>
      </c>
      <c r="E3309" s="2" t="s">
        <v>31</v>
      </c>
      <c r="F3309" s="2" t="s">
        <v>32</v>
      </c>
      <c r="G3309" s="2" t="s">
        <v>33</v>
      </c>
      <c r="H3309" s="2" t="s">
        <v>23</v>
      </c>
      <c r="I3309" s="2" t="s">
        <v>75</v>
      </c>
      <c r="J3309" s="2" t="s">
        <v>286</v>
      </c>
      <c r="K3309" s="2" t="s">
        <v>381</v>
      </c>
      <c r="L3309">
        <v>3</v>
      </c>
      <c r="M3309" s="1">
        <v>315000</v>
      </c>
      <c r="N3309">
        <v>4.0999999999999996</v>
      </c>
      <c r="O3309">
        <v>8</v>
      </c>
      <c r="P3309" s="2" t="s">
        <v>114</v>
      </c>
    </row>
    <row r="3310" spans="1:16" x14ac:dyDescent="0.25">
      <c r="A3310" s="2" t="s">
        <v>9695</v>
      </c>
      <c r="B3310" s="2" t="s">
        <v>101</v>
      </c>
      <c r="C3310" s="2" t="s">
        <v>18</v>
      </c>
      <c r="D3310" s="2" t="s">
        <v>50</v>
      </c>
      <c r="E3310" s="2" t="s">
        <v>20</v>
      </c>
      <c r="F3310" s="2" t="s">
        <v>39</v>
      </c>
      <c r="G3310" s="2" t="s">
        <v>33</v>
      </c>
      <c r="H3310" s="2" t="s">
        <v>46</v>
      </c>
      <c r="I3310" s="2" t="s">
        <v>35</v>
      </c>
      <c r="J3310" s="2" t="s">
        <v>2150</v>
      </c>
      <c r="K3310" s="2" t="s">
        <v>1479</v>
      </c>
      <c r="L3310">
        <v>6</v>
      </c>
      <c r="M3310" s="1">
        <v>91000</v>
      </c>
      <c r="N3310">
        <v>3</v>
      </c>
      <c r="O3310">
        <v>9</v>
      </c>
      <c r="P3310" s="2" t="s">
        <v>53</v>
      </c>
    </row>
    <row r="3311" spans="1:16" x14ac:dyDescent="0.25">
      <c r="A3311" s="2" t="s">
        <v>9696</v>
      </c>
      <c r="B3311" s="2" t="s">
        <v>9697</v>
      </c>
      <c r="C3311" s="2" t="s">
        <v>29</v>
      </c>
      <c r="D3311" s="2" t="s">
        <v>50</v>
      </c>
      <c r="E3311" s="2" t="s">
        <v>20</v>
      </c>
      <c r="F3311" s="2" t="s">
        <v>128</v>
      </c>
      <c r="G3311" s="2" t="s">
        <v>22</v>
      </c>
      <c r="H3311" s="2" t="s">
        <v>23</v>
      </c>
      <c r="I3311" s="2" t="s">
        <v>35</v>
      </c>
      <c r="J3311" s="2" t="s">
        <v>5376</v>
      </c>
      <c r="K3311" s="2" t="s">
        <v>3568</v>
      </c>
      <c r="L3311">
        <v>6</v>
      </c>
      <c r="M3311" s="1">
        <v>423000</v>
      </c>
      <c r="N3311">
        <v>4.5999999999999996</v>
      </c>
      <c r="O3311">
        <v>11</v>
      </c>
      <c r="P3311" s="2" t="s">
        <v>26</v>
      </c>
    </row>
    <row r="3312" spans="1:16" x14ac:dyDescent="0.25">
      <c r="A3312" s="2" t="s">
        <v>9700</v>
      </c>
      <c r="B3312" s="2" t="s">
        <v>2457</v>
      </c>
      <c r="C3312" s="2" t="s">
        <v>29</v>
      </c>
      <c r="D3312" s="2" t="s">
        <v>79</v>
      </c>
      <c r="E3312" s="2" t="s">
        <v>20</v>
      </c>
      <c r="F3312" s="2" t="s">
        <v>128</v>
      </c>
      <c r="G3312" s="2" t="s">
        <v>22</v>
      </c>
      <c r="H3312" s="2" t="s">
        <v>34</v>
      </c>
      <c r="I3312" s="2" t="s">
        <v>24</v>
      </c>
      <c r="J3312" s="2" t="s">
        <v>523</v>
      </c>
      <c r="K3312" s="2" t="s">
        <v>3568</v>
      </c>
      <c r="L3312">
        <v>5</v>
      </c>
      <c r="M3312" s="1">
        <v>477000</v>
      </c>
      <c r="N3312">
        <v>3.3</v>
      </c>
      <c r="O3312">
        <v>7</v>
      </c>
      <c r="P3312" s="2" t="s">
        <v>26</v>
      </c>
    </row>
    <row r="3313" spans="1:16" x14ac:dyDescent="0.25">
      <c r="A3313" s="2" t="s">
        <v>9701</v>
      </c>
      <c r="B3313" s="2" t="s">
        <v>274</v>
      </c>
      <c r="C3313" s="2" t="s">
        <v>29</v>
      </c>
      <c r="D3313" s="2" t="s">
        <v>79</v>
      </c>
      <c r="E3313" s="2" t="s">
        <v>20</v>
      </c>
      <c r="F3313" s="2" t="s">
        <v>32</v>
      </c>
      <c r="G3313" s="2" t="s">
        <v>22</v>
      </c>
      <c r="H3313" s="2" t="s">
        <v>34</v>
      </c>
      <c r="I3313" s="2" t="s">
        <v>57</v>
      </c>
      <c r="J3313" s="2" t="s">
        <v>1548</v>
      </c>
      <c r="K3313" s="2" t="s">
        <v>3568</v>
      </c>
      <c r="L3313">
        <v>3</v>
      </c>
      <c r="M3313" s="1">
        <v>324000</v>
      </c>
      <c r="N3313">
        <v>3.5</v>
      </c>
      <c r="O3313">
        <v>12</v>
      </c>
      <c r="P3313" s="2" t="s">
        <v>26</v>
      </c>
    </row>
    <row r="3314" spans="1:16" x14ac:dyDescent="0.25">
      <c r="A3314" s="2" t="s">
        <v>9704</v>
      </c>
      <c r="B3314" s="2" t="s">
        <v>4028</v>
      </c>
      <c r="C3314" s="2" t="s">
        <v>18</v>
      </c>
      <c r="D3314" s="2" t="s">
        <v>30</v>
      </c>
      <c r="E3314" s="2" t="s">
        <v>31</v>
      </c>
      <c r="F3314" s="2" t="s">
        <v>128</v>
      </c>
      <c r="G3314" s="2" t="s">
        <v>33</v>
      </c>
      <c r="H3314" s="2" t="s">
        <v>46</v>
      </c>
      <c r="I3314" s="2" t="s">
        <v>35</v>
      </c>
      <c r="J3314" s="2" t="s">
        <v>1392</v>
      </c>
      <c r="K3314" s="2" t="s">
        <v>3568</v>
      </c>
      <c r="L3314">
        <v>3</v>
      </c>
      <c r="M3314" s="1">
        <v>596000</v>
      </c>
      <c r="N3314">
        <v>4.5999999999999996</v>
      </c>
      <c r="O3314">
        <v>34</v>
      </c>
      <c r="P3314" s="2" t="s">
        <v>26</v>
      </c>
    </row>
    <row r="3315" spans="1:16" x14ac:dyDescent="0.25">
      <c r="A3315" s="2" t="s">
        <v>9705</v>
      </c>
      <c r="B3315" s="2" t="s">
        <v>3996</v>
      </c>
      <c r="C3315" s="2" t="s">
        <v>29</v>
      </c>
      <c r="D3315" s="2" t="s">
        <v>43</v>
      </c>
      <c r="E3315" s="2" t="s">
        <v>20</v>
      </c>
      <c r="F3315" s="2" t="s">
        <v>128</v>
      </c>
      <c r="G3315" s="2" t="s">
        <v>33</v>
      </c>
      <c r="H3315" s="2" t="s">
        <v>23</v>
      </c>
      <c r="I3315" s="2" t="s">
        <v>24</v>
      </c>
      <c r="J3315" s="2" t="s">
        <v>5128</v>
      </c>
      <c r="K3315" s="2" t="s">
        <v>3568</v>
      </c>
      <c r="L3315">
        <v>6</v>
      </c>
      <c r="M3315" s="1">
        <v>350000</v>
      </c>
      <c r="N3315">
        <v>2.2999999999999998</v>
      </c>
      <c r="O3315">
        <v>12</v>
      </c>
      <c r="P3315" s="2" t="s">
        <v>114</v>
      </c>
    </row>
    <row r="3316" spans="1:16" x14ac:dyDescent="0.25">
      <c r="A3316" s="2" t="s">
        <v>9706</v>
      </c>
      <c r="B3316" s="2" t="s">
        <v>5150</v>
      </c>
      <c r="C3316" s="2" t="s">
        <v>18</v>
      </c>
      <c r="D3316" s="2" t="s">
        <v>50</v>
      </c>
      <c r="E3316" s="2" t="s">
        <v>20</v>
      </c>
      <c r="F3316" s="2" t="s">
        <v>39</v>
      </c>
      <c r="G3316" s="2" t="s">
        <v>22</v>
      </c>
      <c r="H3316" s="2" t="s">
        <v>34</v>
      </c>
      <c r="I3316" s="2" t="s">
        <v>75</v>
      </c>
      <c r="J3316" s="2" t="s">
        <v>2213</v>
      </c>
      <c r="K3316" s="2" t="s">
        <v>2993</v>
      </c>
      <c r="L3316">
        <v>3</v>
      </c>
      <c r="M3316" s="1">
        <v>94000</v>
      </c>
      <c r="N3316">
        <v>4.8</v>
      </c>
      <c r="O3316">
        <v>13</v>
      </c>
      <c r="P3316" s="2" t="s">
        <v>26</v>
      </c>
    </row>
    <row r="3317" spans="1:16" x14ac:dyDescent="0.25">
      <c r="A3317" s="2" t="s">
        <v>9707</v>
      </c>
      <c r="B3317" s="2" t="s">
        <v>4968</v>
      </c>
      <c r="C3317" s="2" t="s">
        <v>29</v>
      </c>
      <c r="D3317" s="2" t="s">
        <v>30</v>
      </c>
      <c r="E3317" s="2" t="s">
        <v>44</v>
      </c>
      <c r="F3317" s="2" t="s">
        <v>32</v>
      </c>
      <c r="G3317" s="2" t="s">
        <v>80</v>
      </c>
      <c r="H3317" s="2" t="s">
        <v>34</v>
      </c>
      <c r="I3317" s="2" t="s">
        <v>57</v>
      </c>
      <c r="J3317" s="2" t="s">
        <v>4778</v>
      </c>
      <c r="K3317" s="2" t="s">
        <v>2993</v>
      </c>
      <c r="L3317">
        <v>2</v>
      </c>
      <c r="M3317" s="1">
        <v>290000</v>
      </c>
      <c r="N3317">
        <v>3.5</v>
      </c>
      <c r="O3317">
        <v>7</v>
      </c>
      <c r="P3317" s="2" t="s">
        <v>53</v>
      </c>
    </row>
    <row r="3318" spans="1:16" x14ac:dyDescent="0.25">
      <c r="A3318" s="2" t="s">
        <v>9708</v>
      </c>
      <c r="B3318" s="2" t="s">
        <v>9709</v>
      </c>
      <c r="C3318" s="2" t="s">
        <v>29</v>
      </c>
      <c r="D3318" s="2" t="s">
        <v>30</v>
      </c>
      <c r="E3318" s="2" t="s">
        <v>20</v>
      </c>
      <c r="F3318" s="2" t="s">
        <v>21</v>
      </c>
      <c r="G3318" s="2" t="s">
        <v>33</v>
      </c>
      <c r="H3318" s="2" t="s">
        <v>23</v>
      </c>
      <c r="I3318" s="2" t="s">
        <v>57</v>
      </c>
      <c r="J3318" s="2" t="s">
        <v>2600</v>
      </c>
      <c r="K3318" s="2" t="s">
        <v>2186</v>
      </c>
      <c r="L3318">
        <v>3</v>
      </c>
      <c r="M3318" s="1">
        <v>869000</v>
      </c>
      <c r="N3318">
        <v>3.4</v>
      </c>
      <c r="O3318">
        <v>11</v>
      </c>
      <c r="P3318" s="2" t="s">
        <v>26</v>
      </c>
    </row>
    <row r="3319" spans="1:16" x14ac:dyDescent="0.25">
      <c r="A3319" s="2" t="s">
        <v>9710</v>
      </c>
      <c r="B3319" s="2" t="s">
        <v>9711</v>
      </c>
      <c r="C3319" s="2" t="s">
        <v>29</v>
      </c>
      <c r="D3319" s="2" t="s">
        <v>79</v>
      </c>
      <c r="E3319" s="2" t="s">
        <v>20</v>
      </c>
      <c r="F3319" s="2" t="s">
        <v>128</v>
      </c>
      <c r="G3319" s="2" t="s">
        <v>33</v>
      </c>
      <c r="H3319" s="2" t="s">
        <v>23</v>
      </c>
      <c r="I3319" s="2" t="s">
        <v>35</v>
      </c>
      <c r="J3319" s="2" t="s">
        <v>328</v>
      </c>
      <c r="K3319" s="2" t="s">
        <v>2186</v>
      </c>
      <c r="L3319">
        <v>2</v>
      </c>
      <c r="M3319" s="1">
        <v>539000</v>
      </c>
      <c r="N3319">
        <v>4.4000000000000004</v>
      </c>
      <c r="O3319">
        <v>13</v>
      </c>
      <c r="P3319" s="2" t="s">
        <v>26</v>
      </c>
    </row>
    <row r="3320" spans="1:16" x14ac:dyDescent="0.25">
      <c r="A3320" s="2" t="s">
        <v>9712</v>
      </c>
      <c r="B3320" s="2" t="s">
        <v>822</v>
      </c>
      <c r="C3320" s="2" t="s">
        <v>29</v>
      </c>
      <c r="D3320" s="2" t="s">
        <v>30</v>
      </c>
      <c r="E3320" s="2" t="s">
        <v>20</v>
      </c>
      <c r="F3320" s="2" t="s">
        <v>32</v>
      </c>
      <c r="G3320" s="2" t="s">
        <v>33</v>
      </c>
      <c r="H3320" s="2" t="s">
        <v>23</v>
      </c>
      <c r="I3320" s="2" t="s">
        <v>24</v>
      </c>
      <c r="J3320" s="2" t="s">
        <v>2802</v>
      </c>
      <c r="K3320" s="2" t="s">
        <v>2186</v>
      </c>
      <c r="L3320">
        <v>7</v>
      </c>
      <c r="M3320" s="1">
        <v>338000</v>
      </c>
      <c r="N3320">
        <v>2.7</v>
      </c>
      <c r="O3320">
        <v>5</v>
      </c>
      <c r="P3320" s="2" t="s">
        <v>26</v>
      </c>
    </row>
    <row r="3321" spans="1:16" x14ac:dyDescent="0.25">
      <c r="A3321" s="2" t="s">
        <v>9713</v>
      </c>
      <c r="B3321" s="2" t="s">
        <v>2570</v>
      </c>
      <c r="C3321" s="2" t="s">
        <v>29</v>
      </c>
      <c r="D3321" s="2" t="s">
        <v>19</v>
      </c>
      <c r="E3321" s="2" t="s">
        <v>20</v>
      </c>
      <c r="F3321" s="2" t="s">
        <v>32</v>
      </c>
      <c r="G3321" s="2" t="s">
        <v>33</v>
      </c>
      <c r="H3321" s="2" t="s">
        <v>23</v>
      </c>
      <c r="I3321" s="2" t="s">
        <v>24</v>
      </c>
      <c r="J3321" s="2" t="s">
        <v>9714</v>
      </c>
      <c r="K3321" s="2" t="s">
        <v>2186</v>
      </c>
      <c r="L3321">
        <v>4</v>
      </c>
      <c r="M3321" s="1">
        <v>313000</v>
      </c>
      <c r="N3321">
        <v>3.7</v>
      </c>
      <c r="O3321">
        <v>13</v>
      </c>
      <c r="P3321" s="2" t="s">
        <v>26</v>
      </c>
    </row>
    <row r="3322" spans="1:16" x14ac:dyDescent="0.25">
      <c r="A3322" s="2" t="s">
        <v>9716</v>
      </c>
      <c r="B3322" s="2" t="s">
        <v>5194</v>
      </c>
      <c r="C3322" s="2" t="s">
        <v>18</v>
      </c>
      <c r="D3322" s="2" t="s">
        <v>19</v>
      </c>
      <c r="E3322" s="2" t="s">
        <v>20</v>
      </c>
      <c r="F3322" s="2" t="s">
        <v>21</v>
      </c>
      <c r="G3322" s="2" t="s">
        <v>22</v>
      </c>
      <c r="H3322" s="2" t="s">
        <v>34</v>
      </c>
      <c r="I3322" s="2" t="s">
        <v>75</v>
      </c>
      <c r="J3322" s="2" t="s">
        <v>8024</v>
      </c>
      <c r="K3322" s="2" t="s">
        <v>2186</v>
      </c>
      <c r="L3322">
        <v>7</v>
      </c>
      <c r="M3322" s="1">
        <v>1036000</v>
      </c>
      <c r="N3322">
        <v>4.7</v>
      </c>
      <c r="O3322">
        <v>3</v>
      </c>
      <c r="P3322" s="2" t="s">
        <v>26</v>
      </c>
    </row>
    <row r="3323" spans="1:16" x14ac:dyDescent="0.25">
      <c r="A3323" s="2" t="s">
        <v>8119</v>
      </c>
      <c r="B3323" s="2" t="s">
        <v>3895</v>
      </c>
      <c r="C3323" s="2" t="s">
        <v>29</v>
      </c>
      <c r="D3323" s="2" t="s">
        <v>30</v>
      </c>
      <c r="E3323" s="2" t="s">
        <v>20</v>
      </c>
      <c r="F3323" s="2" t="s">
        <v>32</v>
      </c>
      <c r="G3323" s="2" t="s">
        <v>80</v>
      </c>
      <c r="H3323" s="2" t="s">
        <v>34</v>
      </c>
      <c r="I3323" s="2" t="s">
        <v>35</v>
      </c>
      <c r="J3323" s="2" t="s">
        <v>4339</v>
      </c>
      <c r="K3323" s="2" t="s">
        <v>2186</v>
      </c>
      <c r="L3323">
        <v>6</v>
      </c>
      <c r="M3323" s="1">
        <v>311000</v>
      </c>
      <c r="N3323">
        <v>2.6</v>
      </c>
      <c r="O3323">
        <v>4</v>
      </c>
      <c r="P3323" s="2" t="s">
        <v>53</v>
      </c>
    </row>
    <row r="3324" spans="1:16" x14ac:dyDescent="0.25">
      <c r="A3324" s="2" t="s">
        <v>9717</v>
      </c>
      <c r="B3324" s="2" t="s">
        <v>4268</v>
      </c>
      <c r="C3324" s="2" t="s">
        <v>18</v>
      </c>
      <c r="D3324" s="2" t="s">
        <v>50</v>
      </c>
      <c r="E3324" s="2" t="s">
        <v>20</v>
      </c>
      <c r="F3324" s="2" t="s">
        <v>39</v>
      </c>
      <c r="G3324" s="2" t="s">
        <v>22</v>
      </c>
      <c r="H3324" s="2" t="s">
        <v>23</v>
      </c>
      <c r="I3324" s="2" t="s">
        <v>57</v>
      </c>
      <c r="J3324" s="2" t="s">
        <v>3809</v>
      </c>
      <c r="K3324" s="2" t="s">
        <v>66</v>
      </c>
      <c r="L3324">
        <v>5</v>
      </c>
      <c r="M3324" s="1">
        <v>158000</v>
      </c>
      <c r="N3324">
        <v>2.9</v>
      </c>
      <c r="O3324">
        <v>11</v>
      </c>
      <c r="P3324" s="2" t="s">
        <v>53</v>
      </c>
    </row>
    <row r="3325" spans="1:16" x14ac:dyDescent="0.25">
      <c r="A3325" s="2" t="s">
        <v>9718</v>
      </c>
      <c r="B3325" s="2" t="s">
        <v>8531</v>
      </c>
      <c r="C3325" s="2" t="s">
        <v>18</v>
      </c>
      <c r="D3325" s="2" t="s">
        <v>43</v>
      </c>
      <c r="E3325" s="2" t="s">
        <v>44</v>
      </c>
      <c r="F3325" s="2" t="s">
        <v>128</v>
      </c>
      <c r="G3325" s="2" t="s">
        <v>22</v>
      </c>
      <c r="H3325" s="2" t="s">
        <v>34</v>
      </c>
      <c r="I3325" s="2" t="s">
        <v>75</v>
      </c>
      <c r="J3325" s="2" t="s">
        <v>7807</v>
      </c>
      <c r="K3325" s="2" t="s">
        <v>8733</v>
      </c>
      <c r="L3325">
        <v>6</v>
      </c>
      <c r="M3325" s="1">
        <v>383000</v>
      </c>
      <c r="N3325">
        <v>2.6</v>
      </c>
      <c r="O3325">
        <v>9</v>
      </c>
      <c r="P3325" s="2" t="s">
        <v>114</v>
      </c>
    </row>
    <row r="3326" spans="1:16" x14ac:dyDescent="0.25">
      <c r="A3326" s="2" t="s">
        <v>9720</v>
      </c>
      <c r="B3326" s="2" t="s">
        <v>593</v>
      </c>
      <c r="C3326" s="2" t="s">
        <v>29</v>
      </c>
      <c r="D3326" s="2" t="s">
        <v>30</v>
      </c>
      <c r="E3326" s="2" t="s">
        <v>31</v>
      </c>
      <c r="F3326" s="2" t="s">
        <v>128</v>
      </c>
      <c r="G3326" s="2" t="s">
        <v>22</v>
      </c>
      <c r="H3326" s="2" t="s">
        <v>23</v>
      </c>
      <c r="I3326" s="2" t="s">
        <v>24</v>
      </c>
      <c r="J3326" s="2" t="s">
        <v>1788</v>
      </c>
      <c r="K3326" s="2" t="s">
        <v>3062</v>
      </c>
      <c r="L3326">
        <v>5</v>
      </c>
      <c r="M3326" s="1">
        <v>587000</v>
      </c>
      <c r="N3326">
        <v>2.4</v>
      </c>
      <c r="O3326">
        <v>4</v>
      </c>
      <c r="P3326" s="2" t="s">
        <v>72</v>
      </c>
    </row>
    <row r="3327" spans="1:16" x14ac:dyDescent="0.25">
      <c r="A3327" s="2" t="s">
        <v>9721</v>
      </c>
      <c r="B3327" s="2" t="s">
        <v>8877</v>
      </c>
      <c r="C3327" s="2" t="s">
        <v>18</v>
      </c>
      <c r="D3327" s="2" t="s">
        <v>19</v>
      </c>
      <c r="E3327" s="2" t="s">
        <v>20</v>
      </c>
      <c r="F3327" s="2" t="s">
        <v>32</v>
      </c>
      <c r="G3327" s="2" t="s">
        <v>22</v>
      </c>
      <c r="H3327" s="2" t="s">
        <v>46</v>
      </c>
      <c r="I3327" s="2" t="s">
        <v>24</v>
      </c>
      <c r="J3327" s="2" t="s">
        <v>2337</v>
      </c>
      <c r="K3327" s="2" t="s">
        <v>770</v>
      </c>
      <c r="L3327">
        <v>3</v>
      </c>
      <c r="M3327" s="1">
        <v>265000</v>
      </c>
      <c r="N3327">
        <v>3.8</v>
      </c>
      <c r="O3327">
        <v>10</v>
      </c>
      <c r="P3327" s="2" t="s">
        <v>26</v>
      </c>
    </row>
    <row r="3328" spans="1:16" x14ac:dyDescent="0.25">
      <c r="A3328" s="2" t="s">
        <v>9722</v>
      </c>
      <c r="B3328" s="2" t="s">
        <v>8321</v>
      </c>
      <c r="C3328" s="2" t="s">
        <v>18</v>
      </c>
      <c r="D3328" s="2" t="s">
        <v>79</v>
      </c>
      <c r="E3328" s="2" t="s">
        <v>44</v>
      </c>
      <c r="F3328" s="2" t="s">
        <v>21</v>
      </c>
      <c r="G3328" s="2" t="s">
        <v>22</v>
      </c>
      <c r="H3328" s="2" t="s">
        <v>46</v>
      </c>
      <c r="I3328" s="2" t="s">
        <v>35</v>
      </c>
      <c r="J3328" s="2" t="s">
        <v>149</v>
      </c>
      <c r="K3328" s="2" t="s">
        <v>770</v>
      </c>
      <c r="L3328">
        <v>3</v>
      </c>
      <c r="M3328" s="1">
        <v>812000</v>
      </c>
      <c r="N3328">
        <v>3.1</v>
      </c>
      <c r="O3328">
        <v>40</v>
      </c>
      <c r="P3328" s="2" t="s">
        <v>53</v>
      </c>
    </row>
    <row r="3329" spans="1:16" x14ac:dyDescent="0.25">
      <c r="A3329" s="2" t="s">
        <v>9724</v>
      </c>
      <c r="B3329" s="2" t="s">
        <v>1374</v>
      </c>
      <c r="C3329" s="2" t="s">
        <v>18</v>
      </c>
      <c r="D3329" s="2" t="s">
        <v>43</v>
      </c>
      <c r="E3329" s="2" t="s">
        <v>44</v>
      </c>
      <c r="F3329" s="2" t="s">
        <v>128</v>
      </c>
      <c r="G3329" s="2" t="s">
        <v>22</v>
      </c>
      <c r="H3329" s="2" t="s">
        <v>23</v>
      </c>
      <c r="I3329" s="2" t="s">
        <v>75</v>
      </c>
      <c r="J3329" s="2" t="s">
        <v>9725</v>
      </c>
      <c r="K3329" s="2" t="s">
        <v>9099</v>
      </c>
      <c r="L3329">
        <v>5</v>
      </c>
      <c r="M3329" s="1">
        <v>495000</v>
      </c>
      <c r="N3329">
        <v>2.6</v>
      </c>
      <c r="O3329">
        <v>7</v>
      </c>
      <c r="P3329" s="2" t="s">
        <v>53</v>
      </c>
    </row>
    <row r="3330" spans="1:16" x14ac:dyDescent="0.25">
      <c r="A3330" s="2" t="s">
        <v>9728</v>
      </c>
      <c r="B3330" s="2" t="s">
        <v>9729</v>
      </c>
      <c r="C3330" s="2" t="s">
        <v>29</v>
      </c>
      <c r="D3330" s="2" t="s">
        <v>79</v>
      </c>
      <c r="E3330" s="2" t="s">
        <v>20</v>
      </c>
      <c r="F3330" s="2" t="s">
        <v>39</v>
      </c>
      <c r="G3330" s="2" t="s">
        <v>22</v>
      </c>
      <c r="H3330" s="2" t="s">
        <v>62</v>
      </c>
      <c r="I3330" s="2" t="s">
        <v>24</v>
      </c>
      <c r="J3330" s="2" t="s">
        <v>5039</v>
      </c>
      <c r="K3330" s="2" t="s">
        <v>1488</v>
      </c>
      <c r="L3330">
        <v>2</v>
      </c>
      <c r="M3330" s="1">
        <v>89000</v>
      </c>
      <c r="N3330">
        <v>2.8</v>
      </c>
      <c r="O3330">
        <v>10</v>
      </c>
      <c r="P3330" s="2" t="s">
        <v>26</v>
      </c>
    </row>
    <row r="3331" spans="1:16" x14ac:dyDescent="0.25">
      <c r="A3331" s="2" t="s">
        <v>9730</v>
      </c>
      <c r="B3331" s="2" t="s">
        <v>410</v>
      </c>
      <c r="C3331" s="2" t="s">
        <v>29</v>
      </c>
      <c r="D3331" s="2" t="s">
        <v>50</v>
      </c>
      <c r="E3331" s="2" t="s">
        <v>31</v>
      </c>
      <c r="F3331" s="2" t="s">
        <v>21</v>
      </c>
      <c r="G3331" s="2" t="s">
        <v>22</v>
      </c>
      <c r="H3331" s="2" t="s">
        <v>46</v>
      </c>
      <c r="I3331" s="2" t="s">
        <v>57</v>
      </c>
      <c r="J3331" s="2" t="s">
        <v>1507</v>
      </c>
      <c r="K3331" s="2" t="s">
        <v>1488</v>
      </c>
      <c r="L3331">
        <v>4</v>
      </c>
      <c r="M3331" s="1">
        <v>699000</v>
      </c>
      <c r="N3331">
        <v>4.4000000000000004</v>
      </c>
      <c r="O3331">
        <v>2</v>
      </c>
      <c r="P3331" s="2" t="s">
        <v>26</v>
      </c>
    </row>
    <row r="3332" spans="1:16" x14ac:dyDescent="0.25">
      <c r="A3332" s="2" t="s">
        <v>9731</v>
      </c>
      <c r="B3332" s="2" t="s">
        <v>9732</v>
      </c>
      <c r="C3332" s="2" t="s">
        <v>18</v>
      </c>
      <c r="D3332" s="2" t="s">
        <v>19</v>
      </c>
      <c r="E3332" s="2" t="s">
        <v>31</v>
      </c>
      <c r="F3332" s="2" t="s">
        <v>32</v>
      </c>
      <c r="G3332" s="2" t="s">
        <v>33</v>
      </c>
      <c r="H3332" s="2" t="s">
        <v>46</v>
      </c>
      <c r="I3332" s="2" t="s">
        <v>24</v>
      </c>
      <c r="J3332" s="2" t="s">
        <v>9733</v>
      </c>
      <c r="K3332" s="2" t="s">
        <v>1488</v>
      </c>
      <c r="L3332">
        <v>5</v>
      </c>
      <c r="M3332" s="1">
        <v>363000</v>
      </c>
      <c r="N3332">
        <v>4.8</v>
      </c>
      <c r="O3332">
        <v>5</v>
      </c>
      <c r="P3332" s="2" t="s">
        <v>26</v>
      </c>
    </row>
    <row r="3333" spans="1:16" x14ac:dyDescent="0.25">
      <c r="A3333" s="2" t="s">
        <v>9734</v>
      </c>
      <c r="B3333" s="2" t="s">
        <v>4769</v>
      </c>
      <c r="C3333" s="2" t="s">
        <v>18</v>
      </c>
      <c r="D3333" s="2" t="s">
        <v>30</v>
      </c>
      <c r="E3333" s="2" t="s">
        <v>20</v>
      </c>
      <c r="F3333" s="2" t="s">
        <v>128</v>
      </c>
      <c r="G3333" s="2" t="s">
        <v>80</v>
      </c>
      <c r="H3333" s="2" t="s">
        <v>23</v>
      </c>
      <c r="I3333" s="2" t="s">
        <v>75</v>
      </c>
      <c r="J3333" s="2" t="s">
        <v>6635</v>
      </c>
      <c r="K3333" s="2" t="s">
        <v>1488</v>
      </c>
      <c r="L3333">
        <v>6</v>
      </c>
      <c r="M3333" s="1">
        <v>444000</v>
      </c>
      <c r="N3333">
        <v>5</v>
      </c>
      <c r="O3333">
        <v>12</v>
      </c>
      <c r="P3333" s="2" t="s">
        <v>26</v>
      </c>
    </row>
    <row r="3334" spans="1:16" x14ac:dyDescent="0.25">
      <c r="A3334" s="2" t="s">
        <v>9735</v>
      </c>
      <c r="B3334" s="2" t="s">
        <v>2041</v>
      </c>
      <c r="C3334" s="2" t="s">
        <v>18</v>
      </c>
      <c r="D3334" s="2" t="s">
        <v>43</v>
      </c>
      <c r="E3334" s="2" t="s">
        <v>31</v>
      </c>
      <c r="F3334" s="2" t="s">
        <v>21</v>
      </c>
      <c r="G3334" s="2" t="s">
        <v>33</v>
      </c>
      <c r="H3334" s="2" t="s">
        <v>23</v>
      </c>
      <c r="I3334" s="2" t="s">
        <v>24</v>
      </c>
      <c r="J3334" s="2" t="s">
        <v>5351</v>
      </c>
      <c r="K3334" s="2" t="s">
        <v>1488</v>
      </c>
      <c r="L3334">
        <v>3</v>
      </c>
      <c r="M3334" s="1">
        <v>801000</v>
      </c>
      <c r="N3334">
        <v>3.1</v>
      </c>
      <c r="O3334">
        <v>14</v>
      </c>
      <c r="P3334" s="2" t="s">
        <v>72</v>
      </c>
    </row>
    <row r="3335" spans="1:16" x14ac:dyDescent="0.25">
      <c r="A3335" s="2" t="s">
        <v>9736</v>
      </c>
      <c r="B3335" s="2" t="s">
        <v>1820</v>
      </c>
      <c r="C3335" s="2" t="s">
        <v>18</v>
      </c>
      <c r="D3335" s="2" t="s">
        <v>79</v>
      </c>
      <c r="E3335" s="2" t="s">
        <v>20</v>
      </c>
      <c r="F3335" s="2" t="s">
        <v>32</v>
      </c>
      <c r="G3335" s="2" t="s">
        <v>22</v>
      </c>
      <c r="H3335" s="2" t="s">
        <v>34</v>
      </c>
      <c r="I3335" s="2" t="s">
        <v>24</v>
      </c>
      <c r="J3335" s="2" t="s">
        <v>7772</v>
      </c>
      <c r="K3335" s="2" t="s">
        <v>3383</v>
      </c>
      <c r="L3335">
        <v>7</v>
      </c>
      <c r="M3335" s="1">
        <v>280000</v>
      </c>
      <c r="N3335">
        <v>5</v>
      </c>
      <c r="O3335">
        <v>11</v>
      </c>
      <c r="P3335" s="2" t="s">
        <v>26</v>
      </c>
    </row>
    <row r="3336" spans="1:16" x14ac:dyDescent="0.25">
      <c r="A3336" s="2" t="s">
        <v>9738</v>
      </c>
      <c r="B3336" s="2" t="s">
        <v>3216</v>
      </c>
      <c r="C3336" s="2" t="s">
        <v>29</v>
      </c>
      <c r="D3336" s="2" t="s">
        <v>50</v>
      </c>
      <c r="E3336" s="2" t="s">
        <v>31</v>
      </c>
      <c r="F3336" s="2" t="s">
        <v>45</v>
      </c>
      <c r="G3336" s="2" t="s">
        <v>22</v>
      </c>
      <c r="H3336" s="2" t="s">
        <v>23</v>
      </c>
      <c r="I3336" s="2" t="s">
        <v>24</v>
      </c>
      <c r="J3336" s="2" t="s">
        <v>2229</v>
      </c>
      <c r="K3336" s="2" t="s">
        <v>3383</v>
      </c>
      <c r="L3336">
        <v>6</v>
      </c>
      <c r="M3336" s="1">
        <v>1979000</v>
      </c>
      <c r="N3336">
        <v>4.9000000000000004</v>
      </c>
      <c r="O3336">
        <v>8</v>
      </c>
      <c r="P3336" s="2" t="s">
        <v>53</v>
      </c>
    </row>
    <row r="3337" spans="1:16" x14ac:dyDescent="0.25">
      <c r="A3337" s="2" t="s">
        <v>9739</v>
      </c>
      <c r="B3337" s="2" t="s">
        <v>9740</v>
      </c>
      <c r="C3337" s="2" t="s">
        <v>29</v>
      </c>
      <c r="D3337" s="2" t="s">
        <v>43</v>
      </c>
      <c r="E3337" s="2" t="s">
        <v>44</v>
      </c>
      <c r="F3337" s="2" t="s">
        <v>21</v>
      </c>
      <c r="G3337" s="2" t="s">
        <v>22</v>
      </c>
      <c r="H3337" s="2" t="s">
        <v>62</v>
      </c>
      <c r="I3337" s="2" t="s">
        <v>24</v>
      </c>
      <c r="J3337" s="2" t="s">
        <v>2084</v>
      </c>
      <c r="K3337" s="2" t="s">
        <v>744</v>
      </c>
      <c r="L3337">
        <v>6</v>
      </c>
      <c r="M3337" s="1">
        <v>807000</v>
      </c>
      <c r="N3337">
        <v>5</v>
      </c>
      <c r="O3337">
        <v>2</v>
      </c>
      <c r="P3337" s="2" t="s">
        <v>26</v>
      </c>
    </row>
    <row r="3338" spans="1:16" x14ac:dyDescent="0.25">
      <c r="A3338" s="2" t="s">
        <v>9741</v>
      </c>
      <c r="B3338" s="2" t="s">
        <v>9742</v>
      </c>
      <c r="C3338" s="2" t="s">
        <v>18</v>
      </c>
      <c r="D3338" s="2" t="s">
        <v>30</v>
      </c>
      <c r="E3338" s="2" t="s">
        <v>44</v>
      </c>
      <c r="F3338" s="2" t="s">
        <v>32</v>
      </c>
      <c r="G3338" s="2" t="s">
        <v>22</v>
      </c>
      <c r="H3338" s="2" t="s">
        <v>23</v>
      </c>
      <c r="I3338" s="2" t="s">
        <v>171</v>
      </c>
      <c r="J3338" s="2" t="s">
        <v>9586</v>
      </c>
      <c r="K3338" s="2" t="s">
        <v>744</v>
      </c>
      <c r="L3338">
        <v>5</v>
      </c>
      <c r="M3338" s="1">
        <v>307000</v>
      </c>
      <c r="N3338">
        <v>2.6</v>
      </c>
      <c r="O3338">
        <v>12</v>
      </c>
      <c r="P3338" s="2" t="s">
        <v>26</v>
      </c>
    </row>
    <row r="3339" spans="1:16" x14ac:dyDescent="0.25">
      <c r="A3339" s="2" t="s">
        <v>9743</v>
      </c>
      <c r="B3339" s="2" t="s">
        <v>7859</v>
      </c>
      <c r="C3339" s="2" t="s">
        <v>18</v>
      </c>
      <c r="D3339" s="2" t="s">
        <v>30</v>
      </c>
      <c r="E3339" s="2" t="s">
        <v>20</v>
      </c>
      <c r="F3339" s="2" t="s">
        <v>32</v>
      </c>
      <c r="G3339" s="2" t="s">
        <v>22</v>
      </c>
      <c r="H3339" s="2" t="s">
        <v>23</v>
      </c>
      <c r="I3339" s="2" t="s">
        <v>171</v>
      </c>
      <c r="J3339" s="2" t="s">
        <v>3305</v>
      </c>
      <c r="K3339" s="2" t="s">
        <v>744</v>
      </c>
      <c r="L3339">
        <v>5</v>
      </c>
      <c r="M3339" s="1">
        <v>218000</v>
      </c>
      <c r="N3339">
        <v>2.9</v>
      </c>
      <c r="O3339">
        <v>9</v>
      </c>
      <c r="P3339" s="2" t="s">
        <v>26</v>
      </c>
    </row>
    <row r="3340" spans="1:16" x14ac:dyDescent="0.25">
      <c r="A3340" s="2" t="s">
        <v>9744</v>
      </c>
      <c r="B3340" s="2" t="s">
        <v>9745</v>
      </c>
      <c r="C3340" s="2" t="s">
        <v>29</v>
      </c>
      <c r="D3340" s="2" t="s">
        <v>43</v>
      </c>
      <c r="E3340" s="2" t="s">
        <v>31</v>
      </c>
      <c r="F3340" s="2" t="s">
        <v>32</v>
      </c>
      <c r="G3340" s="2" t="s">
        <v>80</v>
      </c>
      <c r="H3340" s="2" t="s">
        <v>23</v>
      </c>
      <c r="I3340" s="2" t="s">
        <v>35</v>
      </c>
      <c r="J3340" s="2" t="s">
        <v>1534</v>
      </c>
      <c r="K3340" s="2" t="s">
        <v>744</v>
      </c>
      <c r="L3340">
        <v>6</v>
      </c>
      <c r="M3340" s="1">
        <v>201000</v>
      </c>
      <c r="N3340">
        <v>2.9</v>
      </c>
      <c r="O3340">
        <v>4</v>
      </c>
      <c r="P3340" s="2" t="s">
        <v>53</v>
      </c>
    </row>
    <row r="3341" spans="1:16" x14ac:dyDescent="0.25">
      <c r="A3341" s="2" t="s">
        <v>9746</v>
      </c>
      <c r="B3341" s="2" t="s">
        <v>9747</v>
      </c>
      <c r="C3341" s="2" t="s">
        <v>29</v>
      </c>
      <c r="D3341" s="2" t="s">
        <v>43</v>
      </c>
      <c r="E3341" s="2" t="s">
        <v>20</v>
      </c>
      <c r="F3341" s="2" t="s">
        <v>39</v>
      </c>
      <c r="G3341" s="2" t="s">
        <v>80</v>
      </c>
      <c r="H3341" s="2" t="s">
        <v>34</v>
      </c>
      <c r="I3341" s="2" t="s">
        <v>57</v>
      </c>
      <c r="J3341" s="2" t="s">
        <v>8910</v>
      </c>
      <c r="K3341" s="2" t="s">
        <v>1251</v>
      </c>
      <c r="L3341">
        <v>3</v>
      </c>
      <c r="M3341" s="1">
        <v>137000</v>
      </c>
      <c r="N3341">
        <v>3.3</v>
      </c>
      <c r="O3341">
        <v>5</v>
      </c>
      <c r="P3341" s="2" t="s">
        <v>26</v>
      </c>
    </row>
    <row r="3342" spans="1:16" x14ac:dyDescent="0.25">
      <c r="A3342" s="2" t="s">
        <v>9748</v>
      </c>
      <c r="B3342" s="2" t="s">
        <v>7892</v>
      </c>
      <c r="C3342" s="2" t="s">
        <v>29</v>
      </c>
      <c r="D3342" s="2" t="s">
        <v>50</v>
      </c>
      <c r="E3342" s="2" t="s">
        <v>20</v>
      </c>
      <c r="F3342" s="2" t="s">
        <v>128</v>
      </c>
      <c r="G3342" s="2" t="s">
        <v>22</v>
      </c>
      <c r="H3342" s="2" t="s">
        <v>34</v>
      </c>
      <c r="I3342" s="2" t="s">
        <v>24</v>
      </c>
      <c r="J3342" s="2" t="s">
        <v>2116</v>
      </c>
      <c r="K3342" s="2" t="s">
        <v>1251</v>
      </c>
      <c r="L3342">
        <v>4</v>
      </c>
      <c r="M3342" s="1">
        <v>398000</v>
      </c>
      <c r="N3342">
        <v>2.5</v>
      </c>
      <c r="O3342">
        <v>13</v>
      </c>
      <c r="P3342" s="2" t="s">
        <v>26</v>
      </c>
    </row>
    <row r="3343" spans="1:16" x14ac:dyDescent="0.25">
      <c r="A3343" s="2" t="s">
        <v>9752</v>
      </c>
      <c r="B3343" s="2" t="s">
        <v>6796</v>
      </c>
      <c r="C3343" s="2" t="s">
        <v>29</v>
      </c>
      <c r="D3343" s="2" t="s">
        <v>30</v>
      </c>
      <c r="E3343" s="2" t="s">
        <v>20</v>
      </c>
      <c r="F3343" s="2" t="s">
        <v>32</v>
      </c>
      <c r="G3343" s="2" t="s">
        <v>22</v>
      </c>
      <c r="H3343" s="2" t="s">
        <v>23</v>
      </c>
      <c r="I3343" s="2" t="s">
        <v>35</v>
      </c>
      <c r="J3343" s="2" t="s">
        <v>6663</v>
      </c>
      <c r="K3343" s="2" t="s">
        <v>1251</v>
      </c>
      <c r="L3343">
        <v>5</v>
      </c>
      <c r="M3343" s="1">
        <v>188000</v>
      </c>
      <c r="N3343">
        <v>3</v>
      </c>
      <c r="O3343">
        <v>9</v>
      </c>
      <c r="P3343" s="2" t="s">
        <v>26</v>
      </c>
    </row>
    <row r="3344" spans="1:16" x14ac:dyDescent="0.25">
      <c r="A3344" s="2" t="s">
        <v>9753</v>
      </c>
      <c r="B3344" s="2" t="s">
        <v>7681</v>
      </c>
      <c r="C3344" s="2" t="s">
        <v>18</v>
      </c>
      <c r="D3344" s="2" t="s">
        <v>79</v>
      </c>
      <c r="E3344" s="2" t="s">
        <v>20</v>
      </c>
      <c r="F3344" s="2" t="s">
        <v>128</v>
      </c>
      <c r="G3344" s="2" t="s">
        <v>22</v>
      </c>
      <c r="H3344" s="2" t="s">
        <v>23</v>
      </c>
      <c r="I3344" s="2" t="s">
        <v>24</v>
      </c>
      <c r="J3344" s="2" t="s">
        <v>696</v>
      </c>
      <c r="K3344" s="2" t="s">
        <v>1251</v>
      </c>
      <c r="L3344">
        <v>5</v>
      </c>
      <c r="M3344" s="1">
        <v>426000</v>
      </c>
      <c r="N3344">
        <v>2</v>
      </c>
      <c r="O3344">
        <v>4</v>
      </c>
      <c r="P3344" s="2" t="s">
        <v>26</v>
      </c>
    </row>
    <row r="3345" spans="1:16" x14ac:dyDescent="0.25">
      <c r="A3345" s="2" t="s">
        <v>9754</v>
      </c>
      <c r="B3345" s="2" t="s">
        <v>3586</v>
      </c>
      <c r="C3345" s="2" t="s">
        <v>18</v>
      </c>
      <c r="D3345" s="2" t="s">
        <v>30</v>
      </c>
      <c r="E3345" s="2" t="s">
        <v>20</v>
      </c>
      <c r="F3345" s="2" t="s">
        <v>21</v>
      </c>
      <c r="G3345" s="2" t="s">
        <v>33</v>
      </c>
      <c r="H3345" s="2" t="s">
        <v>46</v>
      </c>
      <c r="I3345" s="2" t="s">
        <v>24</v>
      </c>
      <c r="J3345" s="2" t="s">
        <v>5908</v>
      </c>
      <c r="K3345" s="2" t="s">
        <v>1251</v>
      </c>
      <c r="L3345">
        <v>5</v>
      </c>
      <c r="M3345" s="1">
        <v>840000</v>
      </c>
      <c r="N3345">
        <v>3</v>
      </c>
      <c r="O3345">
        <v>37</v>
      </c>
      <c r="P3345" s="2" t="s">
        <v>114</v>
      </c>
    </row>
    <row r="3346" spans="1:16" x14ac:dyDescent="0.25">
      <c r="A3346" s="2" t="s">
        <v>9755</v>
      </c>
      <c r="B3346" s="2" t="s">
        <v>7458</v>
      </c>
      <c r="C3346" s="2" t="s">
        <v>18</v>
      </c>
      <c r="D3346" s="2" t="s">
        <v>79</v>
      </c>
      <c r="E3346" s="2" t="s">
        <v>20</v>
      </c>
      <c r="F3346" s="2" t="s">
        <v>128</v>
      </c>
      <c r="G3346" s="2" t="s">
        <v>22</v>
      </c>
      <c r="H3346" s="2" t="s">
        <v>34</v>
      </c>
      <c r="I3346" s="2" t="s">
        <v>171</v>
      </c>
      <c r="J3346" s="2" t="s">
        <v>3864</v>
      </c>
      <c r="K3346" s="2" t="s">
        <v>6596</v>
      </c>
      <c r="L3346">
        <v>4</v>
      </c>
      <c r="M3346" s="1">
        <v>429000</v>
      </c>
      <c r="N3346">
        <v>2.1</v>
      </c>
      <c r="O3346">
        <v>6</v>
      </c>
      <c r="P3346" s="2" t="s">
        <v>53</v>
      </c>
    </row>
    <row r="3347" spans="1:16" x14ac:dyDescent="0.25">
      <c r="A3347" s="2" t="s">
        <v>9756</v>
      </c>
      <c r="B3347" s="2" t="s">
        <v>9757</v>
      </c>
      <c r="C3347" s="2" t="s">
        <v>18</v>
      </c>
      <c r="D3347" s="2" t="s">
        <v>19</v>
      </c>
      <c r="E3347" s="2" t="s">
        <v>20</v>
      </c>
      <c r="F3347" s="2" t="s">
        <v>32</v>
      </c>
      <c r="G3347" s="2" t="s">
        <v>22</v>
      </c>
      <c r="H3347" s="2" t="s">
        <v>23</v>
      </c>
      <c r="I3347" s="2" t="s">
        <v>35</v>
      </c>
      <c r="J3347" s="2" t="s">
        <v>6570</v>
      </c>
      <c r="K3347" s="2" t="s">
        <v>5754</v>
      </c>
      <c r="L3347">
        <v>5</v>
      </c>
      <c r="M3347" s="1">
        <v>385000</v>
      </c>
      <c r="N3347">
        <v>4.9000000000000004</v>
      </c>
      <c r="O3347">
        <v>11</v>
      </c>
      <c r="P3347" s="2" t="s">
        <v>72</v>
      </c>
    </row>
    <row r="3348" spans="1:16" x14ac:dyDescent="0.25">
      <c r="A3348" s="2" t="s">
        <v>9758</v>
      </c>
      <c r="B3348" s="2" t="s">
        <v>9759</v>
      </c>
      <c r="C3348" s="2" t="s">
        <v>18</v>
      </c>
      <c r="D3348" s="2" t="s">
        <v>79</v>
      </c>
      <c r="E3348" s="2" t="s">
        <v>20</v>
      </c>
      <c r="F3348" s="2" t="s">
        <v>32</v>
      </c>
      <c r="G3348" s="2" t="s">
        <v>22</v>
      </c>
      <c r="H3348" s="2" t="s">
        <v>23</v>
      </c>
      <c r="I3348" s="2" t="s">
        <v>24</v>
      </c>
      <c r="J3348" s="2" t="s">
        <v>3472</v>
      </c>
      <c r="K3348" s="2" t="s">
        <v>9767</v>
      </c>
      <c r="L3348">
        <v>4</v>
      </c>
      <c r="M3348" s="1">
        <v>347000</v>
      </c>
      <c r="N3348">
        <v>4.7</v>
      </c>
      <c r="O3348">
        <v>0</v>
      </c>
      <c r="P3348" s="2" t="s">
        <v>26</v>
      </c>
    </row>
    <row r="3349" spans="1:16" x14ac:dyDescent="0.25">
      <c r="A3349" s="2" t="s">
        <v>9760</v>
      </c>
      <c r="B3349" s="2" t="s">
        <v>9761</v>
      </c>
      <c r="C3349" s="2" t="s">
        <v>18</v>
      </c>
      <c r="D3349" s="2" t="s">
        <v>79</v>
      </c>
      <c r="E3349" s="2" t="s">
        <v>31</v>
      </c>
      <c r="F3349" s="2" t="s">
        <v>32</v>
      </c>
      <c r="G3349" s="2" t="s">
        <v>22</v>
      </c>
      <c r="H3349" s="2" t="s">
        <v>46</v>
      </c>
      <c r="I3349" s="2" t="s">
        <v>24</v>
      </c>
      <c r="J3349" s="2" t="s">
        <v>1372</v>
      </c>
      <c r="K3349" s="2" t="s">
        <v>9767</v>
      </c>
      <c r="L3349">
        <v>3</v>
      </c>
      <c r="M3349" s="1">
        <v>204000</v>
      </c>
      <c r="N3349">
        <v>3.4</v>
      </c>
      <c r="O3349">
        <v>5</v>
      </c>
      <c r="P3349" s="2" t="s">
        <v>26</v>
      </c>
    </row>
    <row r="3350" spans="1:16" x14ac:dyDescent="0.25">
      <c r="A3350" s="2" t="s">
        <v>9762</v>
      </c>
      <c r="B3350" s="2" t="s">
        <v>9763</v>
      </c>
      <c r="C3350" s="2" t="s">
        <v>18</v>
      </c>
      <c r="D3350" s="2" t="s">
        <v>79</v>
      </c>
      <c r="E3350" s="2" t="s">
        <v>20</v>
      </c>
      <c r="F3350" s="2" t="s">
        <v>32</v>
      </c>
      <c r="G3350" s="2" t="s">
        <v>80</v>
      </c>
      <c r="H3350" s="2" t="s">
        <v>23</v>
      </c>
      <c r="I3350" s="2" t="s">
        <v>24</v>
      </c>
      <c r="J3350" s="2" t="s">
        <v>3376</v>
      </c>
      <c r="K3350" s="2" t="s">
        <v>9767</v>
      </c>
      <c r="L3350">
        <v>2</v>
      </c>
      <c r="M3350" s="1">
        <v>212000</v>
      </c>
      <c r="N3350">
        <v>4.9000000000000004</v>
      </c>
      <c r="O3350">
        <v>5</v>
      </c>
      <c r="P3350" s="2" t="s">
        <v>26</v>
      </c>
    </row>
    <row r="3351" spans="1:16" x14ac:dyDescent="0.25">
      <c r="A3351" s="2" t="s">
        <v>9765</v>
      </c>
      <c r="B3351" s="2" t="s">
        <v>9766</v>
      </c>
      <c r="C3351" s="2" t="s">
        <v>18</v>
      </c>
      <c r="D3351" s="2" t="s">
        <v>30</v>
      </c>
      <c r="E3351" s="2" t="s">
        <v>20</v>
      </c>
      <c r="F3351" s="2" t="s">
        <v>39</v>
      </c>
      <c r="G3351" s="2" t="s">
        <v>22</v>
      </c>
      <c r="H3351" s="2" t="s">
        <v>46</v>
      </c>
      <c r="I3351" s="2" t="s">
        <v>35</v>
      </c>
      <c r="J3351" s="2" t="s">
        <v>2392</v>
      </c>
      <c r="K3351" s="2" t="s">
        <v>9767</v>
      </c>
      <c r="L3351">
        <v>2</v>
      </c>
      <c r="M3351" s="1">
        <v>96000</v>
      </c>
      <c r="N3351">
        <v>2.5</v>
      </c>
      <c r="O3351">
        <v>8</v>
      </c>
      <c r="P3351" s="2" t="s">
        <v>53</v>
      </c>
    </row>
    <row r="3352" spans="1:16" x14ac:dyDescent="0.25">
      <c r="A3352" s="2" t="s">
        <v>9768</v>
      </c>
      <c r="B3352" s="2" t="s">
        <v>6543</v>
      </c>
      <c r="C3352" s="2" t="s">
        <v>18</v>
      </c>
      <c r="D3352" s="2" t="s">
        <v>30</v>
      </c>
      <c r="E3352" s="2" t="s">
        <v>20</v>
      </c>
      <c r="F3352" s="2" t="s">
        <v>32</v>
      </c>
      <c r="G3352" s="2" t="s">
        <v>22</v>
      </c>
      <c r="H3352" s="2" t="s">
        <v>23</v>
      </c>
      <c r="I3352" s="2" t="s">
        <v>24</v>
      </c>
      <c r="J3352" s="2" t="s">
        <v>5134</v>
      </c>
      <c r="K3352" s="2" t="s">
        <v>2931</v>
      </c>
      <c r="L3352">
        <v>3</v>
      </c>
      <c r="M3352" s="1">
        <v>270000</v>
      </c>
      <c r="N3352">
        <v>3.4</v>
      </c>
      <c r="O3352">
        <v>1</v>
      </c>
      <c r="P3352" s="2" t="s">
        <v>53</v>
      </c>
    </row>
    <row r="3353" spans="1:16" x14ac:dyDescent="0.25">
      <c r="A3353" s="2" t="s">
        <v>9769</v>
      </c>
      <c r="B3353" s="2" t="s">
        <v>9464</v>
      </c>
      <c r="C3353" s="2" t="s">
        <v>29</v>
      </c>
      <c r="D3353" s="2" t="s">
        <v>19</v>
      </c>
      <c r="E3353" s="2" t="s">
        <v>20</v>
      </c>
      <c r="F3353" s="2" t="s">
        <v>32</v>
      </c>
      <c r="G3353" s="2" t="s">
        <v>69</v>
      </c>
      <c r="H3353" s="2" t="s">
        <v>46</v>
      </c>
      <c r="I3353" s="2" t="s">
        <v>75</v>
      </c>
      <c r="J3353" s="2" t="s">
        <v>709</v>
      </c>
      <c r="K3353" s="2" t="s">
        <v>4607</v>
      </c>
      <c r="L3353">
        <v>3</v>
      </c>
      <c r="M3353" s="1">
        <v>240000</v>
      </c>
      <c r="N3353">
        <v>2.4</v>
      </c>
      <c r="O3353">
        <v>26</v>
      </c>
      <c r="P3353" s="2" t="s">
        <v>26</v>
      </c>
    </row>
    <row r="3354" spans="1:16" x14ac:dyDescent="0.25">
      <c r="A3354" s="2" t="s">
        <v>9770</v>
      </c>
      <c r="B3354" s="2" t="s">
        <v>4708</v>
      </c>
      <c r="C3354" s="2" t="s">
        <v>18</v>
      </c>
      <c r="D3354" s="2" t="s">
        <v>50</v>
      </c>
      <c r="E3354" s="2" t="s">
        <v>20</v>
      </c>
      <c r="F3354" s="2" t="s">
        <v>32</v>
      </c>
      <c r="G3354" s="2" t="s">
        <v>33</v>
      </c>
      <c r="H3354" s="2" t="s">
        <v>46</v>
      </c>
      <c r="I3354" s="2" t="s">
        <v>24</v>
      </c>
      <c r="J3354" s="2" t="s">
        <v>935</v>
      </c>
      <c r="K3354" s="2" t="s">
        <v>4607</v>
      </c>
      <c r="L3354">
        <v>5</v>
      </c>
      <c r="M3354" s="1">
        <v>286000</v>
      </c>
      <c r="N3354">
        <v>4.0999999999999996</v>
      </c>
      <c r="O3354">
        <v>8</v>
      </c>
      <c r="P3354" s="2" t="s">
        <v>26</v>
      </c>
    </row>
    <row r="3355" spans="1:16" x14ac:dyDescent="0.25">
      <c r="A3355" s="2" t="s">
        <v>9772</v>
      </c>
      <c r="B3355" s="2" t="s">
        <v>6825</v>
      </c>
      <c r="C3355" s="2" t="s">
        <v>29</v>
      </c>
      <c r="D3355" s="2" t="s">
        <v>43</v>
      </c>
      <c r="E3355" s="2" t="s">
        <v>31</v>
      </c>
      <c r="F3355" s="2" t="s">
        <v>128</v>
      </c>
      <c r="G3355" s="2" t="s">
        <v>80</v>
      </c>
      <c r="H3355" s="2" t="s">
        <v>23</v>
      </c>
      <c r="I3355" s="2" t="s">
        <v>75</v>
      </c>
      <c r="J3355" s="2" t="s">
        <v>4587</v>
      </c>
      <c r="K3355" s="2" t="s">
        <v>4607</v>
      </c>
      <c r="L3355">
        <v>2</v>
      </c>
      <c r="M3355" s="1">
        <v>430000</v>
      </c>
      <c r="N3355">
        <v>4.7</v>
      </c>
      <c r="O3355">
        <v>3</v>
      </c>
      <c r="P3355" s="2" t="s">
        <v>114</v>
      </c>
    </row>
    <row r="3356" spans="1:16" x14ac:dyDescent="0.25">
      <c r="A3356" s="2" t="s">
        <v>9774</v>
      </c>
      <c r="B3356" s="2" t="s">
        <v>6936</v>
      </c>
      <c r="C3356" s="2" t="s">
        <v>29</v>
      </c>
      <c r="D3356" s="2" t="s">
        <v>30</v>
      </c>
      <c r="E3356" s="2" t="s">
        <v>20</v>
      </c>
      <c r="F3356" s="2" t="s">
        <v>39</v>
      </c>
      <c r="G3356" s="2" t="s">
        <v>33</v>
      </c>
      <c r="H3356" s="2" t="s">
        <v>34</v>
      </c>
      <c r="I3356" s="2" t="s">
        <v>35</v>
      </c>
      <c r="J3356" s="2" t="s">
        <v>6201</v>
      </c>
      <c r="K3356" s="2" t="s">
        <v>7070</v>
      </c>
      <c r="L3356">
        <v>2</v>
      </c>
      <c r="M3356" s="1">
        <v>135000</v>
      </c>
      <c r="N3356">
        <v>3.2</v>
      </c>
      <c r="O3356">
        <v>4</v>
      </c>
      <c r="P3356" s="2" t="s">
        <v>53</v>
      </c>
    </row>
    <row r="3357" spans="1:16" x14ac:dyDescent="0.25">
      <c r="A3357" s="2" t="s">
        <v>9777</v>
      </c>
      <c r="B3357" s="2" t="s">
        <v>2683</v>
      </c>
      <c r="C3357" s="2" t="s">
        <v>29</v>
      </c>
      <c r="D3357" s="2" t="s">
        <v>43</v>
      </c>
      <c r="E3357" s="2" t="s">
        <v>20</v>
      </c>
      <c r="F3357" s="2" t="s">
        <v>128</v>
      </c>
      <c r="G3357" s="2" t="s">
        <v>22</v>
      </c>
      <c r="H3357" s="2" t="s">
        <v>23</v>
      </c>
      <c r="I3357" s="2" t="s">
        <v>35</v>
      </c>
      <c r="J3357" s="2" t="s">
        <v>3104</v>
      </c>
      <c r="K3357" s="2" t="s">
        <v>1930</v>
      </c>
      <c r="L3357">
        <v>6</v>
      </c>
      <c r="M3357" s="1">
        <v>428000</v>
      </c>
      <c r="N3357">
        <v>3.2</v>
      </c>
      <c r="O3357">
        <v>12</v>
      </c>
      <c r="P3357" s="2" t="s">
        <v>26</v>
      </c>
    </row>
    <row r="3358" spans="1:16" x14ac:dyDescent="0.25">
      <c r="A3358" s="2" t="s">
        <v>9778</v>
      </c>
      <c r="B3358" s="2" t="s">
        <v>1829</v>
      </c>
      <c r="C3358" s="2" t="s">
        <v>29</v>
      </c>
      <c r="D3358" s="2" t="s">
        <v>50</v>
      </c>
      <c r="E3358" s="2" t="s">
        <v>44</v>
      </c>
      <c r="F3358" s="2" t="s">
        <v>39</v>
      </c>
      <c r="G3358" s="2" t="s">
        <v>22</v>
      </c>
      <c r="H3358" s="2" t="s">
        <v>34</v>
      </c>
      <c r="I3358" s="2" t="s">
        <v>24</v>
      </c>
      <c r="J3358" s="2" t="s">
        <v>390</v>
      </c>
      <c r="K3358" s="2" t="s">
        <v>1930</v>
      </c>
      <c r="L3358">
        <v>4</v>
      </c>
      <c r="M3358" s="1">
        <v>171000</v>
      </c>
      <c r="N3358">
        <v>2.2999999999999998</v>
      </c>
      <c r="O3358">
        <v>1</v>
      </c>
      <c r="P3358" s="2" t="s">
        <v>26</v>
      </c>
    </row>
    <row r="3359" spans="1:16" x14ac:dyDescent="0.25">
      <c r="A3359" s="2" t="s">
        <v>9780</v>
      </c>
      <c r="B3359" s="2" t="s">
        <v>8948</v>
      </c>
      <c r="C3359" s="2" t="s">
        <v>29</v>
      </c>
      <c r="D3359" s="2" t="s">
        <v>19</v>
      </c>
      <c r="E3359" s="2" t="s">
        <v>44</v>
      </c>
      <c r="F3359" s="2" t="s">
        <v>32</v>
      </c>
      <c r="G3359" s="2" t="s">
        <v>80</v>
      </c>
      <c r="H3359" s="2" t="s">
        <v>23</v>
      </c>
      <c r="I3359" s="2" t="s">
        <v>35</v>
      </c>
      <c r="J3359" s="2" t="s">
        <v>2819</v>
      </c>
      <c r="K3359" s="2" t="s">
        <v>1930</v>
      </c>
      <c r="L3359">
        <v>6</v>
      </c>
      <c r="M3359" s="1">
        <v>317000</v>
      </c>
      <c r="N3359">
        <v>3.8</v>
      </c>
      <c r="O3359">
        <v>3</v>
      </c>
      <c r="P3359" s="2" t="s">
        <v>53</v>
      </c>
    </row>
    <row r="3360" spans="1:16" x14ac:dyDescent="0.25">
      <c r="A3360" s="2" t="s">
        <v>9782</v>
      </c>
      <c r="B3360" s="2" t="s">
        <v>4580</v>
      </c>
      <c r="C3360" s="2" t="s">
        <v>18</v>
      </c>
      <c r="D3360" s="2" t="s">
        <v>50</v>
      </c>
      <c r="E3360" s="2" t="s">
        <v>20</v>
      </c>
      <c r="F3360" s="2" t="s">
        <v>39</v>
      </c>
      <c r="G3360" s="2" t="s">
        <v>22</v>
      </c>
      <c r="H3360" s="2" t="s">
        <v>62</v>
      </c>
      <c r="I3360" s="2" t="s">
        <v>24</v>
      </c>
      <c r="J3360" s="2" t="s">
        <v>4176</v>
      </c>
      <c r="K3360" s="2" t="s">
        <v>2135</v>
      </c>
      <c r="L3360">
        <v>4</v>
      </c>
      <c r="M3360" s="1">
        <v>150000</v>
      </c>
      <c r="N3360">
        <v>4.2</v>
      </c>
      <c r="O3360">
        <v>16</v>
      </c>
      <c r="P3360" s="2" t="s">
        <v>53</v>
      </c>
    </row>
    <row r="3361" spans="1:16" x14ac:dyDescent="0.25">
      <c r="A3361" s="2" t="s">
        <v>9785</v>
      </c>
      <c r="B3361" s="2" t="s">
        <v>9786</v>
      </c>
      <c r="C3361" s="2" t="s">
        <v>18</v>
      </c>
      <c r="D3361" s="2" t="s">
        <v>50</v>
      </c>
      <c r="E3361" s="2" t="s">
        <v>20</v>
      </c>
      <c r="F3361" s="2" t="s">
        <v>128</v>
      </c>
      <c r="G3361" s="2" t="s">
        <v>22</v>
      </c>
      <c r="H3361" s="2" t="s">
        <v>62</v>
      </c>
      <c r="I3361" s="2" t="s">
        <v>24</v>
      </c>
      <c r="J3361" s="2" t="s">
        <v>9164</v>
      </c>
      <c r="K3361" s="2" t="s">
        <v>9099</v>
      </c>
      <c r="L3361">
        <v>5</v>
      </c>
      <c r="M3361" s="1">
        <v>526000</v>
      </c>
      <c r="N3361">
        <v>3</v>
      </c>
      <c r="O3361">
        <v>6</v>
      </c>
      <c r="P3361" s="2"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BCFF-7AFC-43FF-B8A7-8BB326F626FA}">
  <dimension ref="A3:H51"/>
  <sheetViews>
    <sheetView topLeftCell="B5" workbookViewId="0">
      <selection activeCell="F8" sqref="F8:F13"/>
    </sheetView>
  </sheetViews>
  <sheetFormatPr defaultRowHeight="15" x14ac:dyDescent="0.25"/>
  <cols>
    <col min="1" max="1" width="22.5703125" bestFit="1" customWidth="1"/>
    <col min="2" max="2" width="26" bestFit="1" customWidth="1"/>
    <col min="3" max="3" width="26.5703125" bestFit="1" customWidth="1"/>
    <col min="4" max="4" width="19.140625" bestFit="1" customWidth="1"/>
    <col min="5" max="5" width="26.5703125" bestFit="1" customWidth="1"/>
    <col min="6" max="6" width="26.140625" bestFit="1" customWidth="1"/>
    <col min="7" max="7" width="22.5703125" bestFit="1" customWidth="1"/>
    <col min="8" max="8" width="20.7109375" bestFit="1" customWidth="1"/>
  </cols>
  <sheetData>
    <row r="3" spans="1:6" x14ac:dyDescent="0.25">
      <c r="A3" t="s">
        <v>9810</v>
      </c>
      <c r="C3" t="s">
        <v>9812</v>
      </c>
      <c r="E3" t="s">
        <v>9813</v>
      </c>
    </row>
    <row r="4" spans="1:6" x14ac:dyDescent="0.25">
      <c r="A4" s="3">
        <v>363988.98809523811</v>
      </c>
      <c r="C4" s="4">
        <v>3.4447916666666685</v>
      </c>
      <c r="E4" s="4">
        <v>9.9678571428571434</v>
      </c>
    </row>
    <row r="7" spans="1:6" x14ac:dyDescent="0.25">
      <c r="A7" s="9" t="s">
        <v>9793</v>
      </c>
      <c r="B7" t="s">
        <v>9810</v>
      </c>
      <c r="D7" s="9" t="s">
        <v>9793</v>
      </c>
      <c r="E7" t="s">
        <v>9812</v>
      </c>
      <c r="F7" t="s">
        <v>9813</v>
      </c>
    </row>
    <row r="8" spans="1:6" x14ac:dyDescent="0.25">
      <c r="A8" s="10" t="s">
        <v>43</v>
      </c>
      <c r="B8" s="3">
        <v>365829.1746641075</v>
      </c>
      <c r="D8" s="10" t="s">
        <v>43</v>
      </c>
      <c r="E8" s="4">
        <v>3.6211132437619926</v>
      </c>
      <c r="F8" s="15">
        <v>10.09404990403071</v>
      </c>
    </row>
    <row r="9" spans="1:6" x14ac:dyDescent="0.25">
      <c r="A9" s="10" t="s">
        <v>19</v>
      </c>
      <c r="B9" s="3">
        <v>408604.37375745527</v>
      </c>
      <c r="D9" s="10" t="s">
        <v>19</v>
      </c>
      <c r="E9" s="4">
        <v>3.6170974155069509</v>
      </c>
      <c r="F9" s="15">
        <v>10.522862823061629</v>
      </c>
    </row>
    <row r="10" spans="1:6" x14ac:dyDescent="0.25">
      <c r="A10" s="10" t="s">
        <v>50</v>
      </c>
      <c r="B10" s="3">
        <v>320652.43902439025</v>
      </c>
      <c r="D10" s="10" t="s">
        <v>50</v>
      </c>
      <c r="E10" s="4">
        <v>3.4995121951219512</v>
      </c>
      <c r="F10" s="15">
        <v>9.7243902439024392</v>
      </c>
    </row>
    <row r="11" spans="1:6" x14ac:dyDescent="0.25">
      <c r="A11" s="10" t="s">
        <v>79</v>
      </c>
      <c r="B11" s="3">
        <v>441211.81556195964</v>
      </c>
      <c r="D11" s="10" t="s">
        <v>79</v>
      </c>
      <c r="E11" s="4">
        <v>3.6097982708933722</v>
      </c>
      <c r="F11" s="15">
        <v>9.5129682997118152</v>
      </c>
    </row>
    <row r="12" spans="1:6" x14ac:dyDescent="0.25">
      <c r="A12" s="10" t="s">
        <v>30</v>
      </c>
      <c r="B12" s="3">
        <v>313554.74452554743</v>
      </c>
      <c r="D12" s="10" t="s">
        <v>30</v>
      </c>
      <c r="E12" s="4">
        <v>3.0336982968369854</v>
      </c>
      <c r="F12" s="15">
        <v>10.175182481751825</v>
      </c>
    </row>
    <row r="13" spans="1:6" x14ac:dyDescent="0.25">
      <c r="A13" s="10" t="s">
        <v>9814</v>
      </c>
      <c r="B13" s="3">
        <v>363988.98809523811</v>
      </c>
      <c r="D13" s="10" t="s">
        <v>9814</v>
      </c>
      <c r="E13" s="4">
        <v>3.4447916666666609</v>
      </c>
      <c r="F13" s="15">
        <v>9.9678571428571434</v>
      </c>
    </row>
    <row r="16" spans="1:6" x14ac:dyDescent="0.25">
      <c r="A16" s="9" t="s">
        <v>9815</v>
      </c>
      <c r="B16" t="s">
        <v>9810</v>
      </c>
      <c r="D16" s="9" t="s">
        <v>9815</v>
      </c>
      <c r="E16" t="s">
        <v>9812</v>
      </c>
      <c r="F16" t="s">
        <v>9813</v>
      </c>
    </row>
    <row r="17" spans="1:6" x14ac:dyDescent="0.25">
      <c r="A17" s="10" t="s">
        <v>44</v>
      </c>
      <c r="B17" s="3">
        <v>353365.38461538462</v>
      </c>
      <c r="D17" s="10" t="s">
        <v>44</v>
      </c>
      <c r="E17" s="4">
        <v>3.4436390532544348</v>
      </c>
      <c r="F17" s="4">
        <v>9.5961538461538467</v>
      </c>
    </row>
    <row r="18" spans="1:6" x14ac:dyDescent="0.25">
      <c r="A18" s="10" t="s">
        <v>20</v>
      </c>
      <c r="B18" s="3">
        <v>362307.20145852322</v>
      </c>
      <c r="D18" s="10" t="s">
        <v>20</v>
      </c>
      <c r="E18" s="4">
        <v>3.4389699179580706</v>
      </c>
      <c r="F18" s="4">
        <v>9.9908842297174107</v>
      </c>
    </row>
    <row r="19" spans="1:6" x14ac:dyDescent="0.25">
      <c r="A19" s="10" t="s">
        <v>31</v>
      </c>
      <c r="B19" s="3">
        <v>386175.51020408166</v>
      </c>
      <c r="D19" s="10" t="s">
        <v>31</v>
      </c>
      <c r="E19" s="4">
        <v>3.4724489795918352</v>
      </c>
      <c r="F19" s="4">
        <v>10.377551020408163</v>
      </c>
    </row>
    <row r="20" spans="1:6" x14ac:dyDescent="0.25">
      <c r="A20" s="10" t="s">
        <v>9814</v>
      </c>
      <c r="B20" s="3">
        <v>363988.98809523811</v>
      </c>
      <c r="D20" s="10" t="s">
        <v>9814</v>
      </c>
      <c r="E20" s="4">
        <v>3.4447916666666711</v>
      </c>
      <c r="F20" s="4">
        <v>9.9678571428571434</v>
      </c>
    </row>
    <row r="23" spans="1:6" x14ac:dyDescent="0.25">
      <c r="A23" s="9" t="s">
        <v>9817</v>
      </c>
      <c r="B23" t="s">
        <v>9812</v>
      </c>
    </row>
    <row r="24" spans="1:6" x14ac:dyDescent="0.25">
      <c r="A24" s="10" t="s">
        <v>75</v>
      </c>
      <c r="B24" s="12">
        <v>0.99285560749195634</v>
      </c>
    </row>
    <row r="25" spans="1:6" x14ac:dyDescent="0.25">
      <c r="A25" s="10" t="s">
        <v>24</v>
      </c>
      <c r="B25" s="12">
        <v>1.0022243858349094</v>
      </c>
    </row>
    <row r="26" spans="1:6" x14ac:dyDescent="0.25">
      <c r="A26" s="10" t="s">
        <v>35</v>
      </c>
      <c r="B26" s="12">
        <v>0.99490633539206264</v>
      </c>
    </row>
    <row r="27" spans="1:6" x14ac:dyDescent="0.25">
      <c r="A27" s="10" t="s">
        <v>57</v>
      </c>
      <c r="B27" s="12">
        <v>1.002204768506523</v>
      </c>
    </row>
    <row r="28" spans="1:6" x14ac:dyDescent="0.25">
      <c r="A28" s="10" t="s">
        <v>171</v>
      </c>
      <c r="B28" s="12">
        <v>1.0049678171843277</v>
      </c>
    </row>
    <row r="29" spans="1:6" x14ac:dyDescent="0.25">
      <c r="A29" s="10" t="s">
        <v>9814</v>
      </c>
      <c r="B29" s="12">
        <v>1</v>
      </c>
    </row>
    <row r="32" spans="1:6" x14ac:dyDescent="0.25">
      <c r="A32" s="9" t="s">
        <v>9818</v>
      </c>
      <c r="B32" t="s">
        <v>9816</v>
      </c>
    </row>
    <row r="33" spans="1:8" x14ac:dyDescent="0.25">
      <c r="A33" s="10" t="s">
        <v>26</v>
      </c>
      <c r="B33" s="12">
        <v>0.63898809523809519</v>
      </c>
    </row>
    <row r="34" spans="1:8" x14ac:dyDescent="0.25">
      <c r="A34" s="10" t="s">
        <v>53</v>
      </c>
      <c r="B34" s="12">
        <v>0.22678571428571428</v>
      </c>
    </row>
    <row r="35" spans="1:8" x14ac:dyDescent="0.25">
      <c r="A35" s="10" t="s">
        <v>114</v>
      </c>
      <c r="B35" s="12">
        <v>4.7023809523809523E-2</v>
      </c>
      <c r="G35" s="9" t="s">
        <v>9793</v>
      </c>
      <c r="H35" t="s">
        <v>9825</v>
      </c>
    </row>
    <row r="36" spans="1:8" x14ac:dyDescent="0.25">
      <c r="A36" s="10" t="s">
        <v>72</v>
      </c>
      <c r="B36" s="12">
        <v>8.7202380952380948E-2</v>
      </c>
      <c r="G36" s="10" t="s">
        <v>43</v>
      </c>
      <c r="H36" s="2">
        <v>521</v>
      </c>
    </row>
    <row r="37" spans="1:8" x14ac:dyDescent="0.25">
      <c r="A37" s="10" t="s">
        <v>9814</v>
      </c>
      <c r="B37" s="12">
        <v>1</v>
      </c>
      <c r="G37" s="10" t="s">
        <v>19</v>
      </c>
      <c r="H37" s="2">
        <v>503</v>
      </c>
    </row>
    <row r="38" spans="1:8" x14ac:dyDescent="0.25">
      <c r="G38" s="10" t="s">
        <v>50</v>
      </c>
      <c r="H38" s="2">
        <v>820</v>
      </c>
    </row>
    <row r="39" spans="1:8" x14ac:dyDescent="0.25">
      <c r="G39" s="10" t="s">
        <v>79</v>
      </c>
      <c r="H39" s="2">
        <v>694</v>
      </c>
    </row>
    <row r="40" spans="1:8" x14ac:dyDescent="0.25">
      <c r="A40" s="9" t="s">
        <v>9792</v>
      </c>
      <c r="B40" t="s">
        <v>9812</v>
      </c>
      <c r="G40" s="10" t="s">
        <v>30</v>
      </c>
      <c r="H40" s="2">
        <v>822</v>
      </c>
    </row>
    <row r="41" spans="1:8" x14ac:dyDescent="0.25">
      <c r="A41" s="10" t="s">
        <v>29</v>
      </c>
      <c r="B41" s="12">
        <v>0.99122247038151334</v>
      </c>
      <c r="G41" s="10" t="s">
        <v>9814</v>
      </c>
      <c r="H41" s="2">
        <v>3360</v>
      </c>
    </row>
    <row r="42" spans="1:8" x14ac:dyDescent="0.25">
      <c r="A42" s="10" t="s">
        <v>18</v>
      </c>
      <c r="B42" s="12">
        <v>1.0074182416709825</v>
      </c>
    </row>
    <row r="43" spans="1:8" x14ac:dyDescent="0.25">
      <c r="A43" s="10" t="s">
        <v>9814</v>
      </c>
      <c r="B43" s="12">
        <v>1</v>
      </c>
    </row>
    <row r="45" spans="1:8" x14ac:dyDescent="0.25">
      <c r="A45" s="9" t="s">
        <v>9819</v>
      </c>
      <c r="B45" t="s">
        <v>9808</v>
      </c>
    </row>
    <row r="46" spans="1:8" x14ac:dyDescent="0.25">
      <c r="A46" s="10" t="s">
        <v>43</v>
      </c>
      <c r="B46" s="11">
        <v>3.6211132437619926</v>
      </c>
    </row>
    <row r="47" spans="1:8" x14ac:dyDescent="0.25">
      <c r="A47" s="10" t="s">
        <v>19</v>
      </c>
      <c r="B47" s="11">
        <v>3.6170974155069509</v>
      </c>
    </row>
    <row r="48" spans="1:8" x14ac:dyDescent="0.25">
      <c r="A48" s="10" t="s">
        <v>50</v>
      </c>
      <c r="B48" s="11">
        <v>3.4995121951219512</v>
      </c>
    </row>
    <row r="49" spans="1:2" x14ac:dyDescent="0.25">
      <c r="A49" s="10" t="s">
        <v>79</v>
      </c>
      <c r="B49" s="11">
        <v>3.6097982708933722</v>
      </c>
    </row>
    <row r="50" spans="1:2" x14ac:dyDescent="0.25">
      <c r="A50" s="10" t="s">
        <v>30</v>
      </c>
      <c r="B50" s="11">
        <v>3.0336982968369854</v>
      </c>
    </row>
    <row r="51" spans="1:2" x14ac:dyDescent="0.25">
      <c r="A51" s="10" t="s">
        <v>9814</v>
      </c>
      <c r="B51" s="4">
        <v>3.4447916666666609</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7412-8BFF-4852-81FD-14126FF21732}">
  <dimension ref="A1"/>
  <sheetViews>
    <sheetView showGridLines="0" tabSelected="1" workbookViewId="0">
      <selection activeCell="C12" sqref="C12"/>
    </sheetView>
  </sheetViews>
  <sheetFormatPr defaultRowHeight="15" x14ac:dyDescent="0.25"/>
  <sheetData/>
  <pageMargins left="0.7" right="0.7" top="0.75" bottom="0.75" header="0.3" footer="0.3"/>
  <drawing r:id="rId1"/>
  <legacyDrawing r:id="rId2"/>
  <oleObjects>
    <mc:AlternateContent xmlns:mc="http://schemas.openxmlformats.org/markup-compatibility/2006">
      <mc:Choice Requires="x14">
        <oleObject progId="CorelDraw.Graphic.17" shapeId="5121" r:id="rId3">
          <objectPr defaultSize="0" r:id="rId4">
            <anchor moveWithCells="1">
              <from>
                <xdr:col>0</xdr:col>
                <xdr:colOff>257175</xdr:colOff>
                <xdr:row>4</xdr:row>
                <xdr:rowOff>133350</xdr:rowOff>
              </from>
              <to>
                <xdr:col>2</xdr:col>
                <xdr:colOff>209550</xdr:colOff>
                <xdr:row>7</xdr:row>
                <xdr:rowOff>123825</xdr:rowOff>
              </to>
            </anchor>
          </objectPr>
        </oleObject>
      </mc:Choice>
      <mc:Fallback>
        <oleObject progId="CorelDraw.Graphic.17" shapeId="5121" r:id="rId3"/>
      </mc:Fallback>
    </mc:AlternateContent>
    <mc:AlternateContent xmlns:mc="http://schemas.openxmlformats.org/markup-compatibility/2006">
      <mc:Choice Requires="x14">
        <oleObject progId="CorelDraw.Graphic.17" shapeId="5125" r:id="rId5">
          <objectPr defaultSize="0" autoPict="0" r:id="rId6">
            <anchor moveWithCells="1">
              <from>
                <xdr:col>16</xdr:col>
                <xdr:colOff>304800</xdr:colOff>
                <xdr:row>6</xdr:row>
                <xdr:rowOff>142875</xdr:rowOff>
              </from>
              <to>
                <xdr:col>16</xdr:col>
                <xdr:colOff>523875</xdr:colOff>
                <xdr:row>8</xdr:row>
                <xdr:rowOff>123825</xdr:rowOff>
              </to>
            </anchor>
          </objectPr>
        </oleObject>
      </mc:Choice>
      <mc:Fallback>
        <oleObject progId="CorelDraw.Graphic.17" shapeId="5125" r:id="rId5"/>
      </mc:Fallback>
    </mc:AlternateContent>
    <mc:AlternateContent xmlns:mc="http://schemas.openxmlformats.org/markup-compatibility/2006">
      <mc:Choice Requires="x14">
        <oleObject progId="CorelDraw.Graphic.17" shapeId="5126" r:id="rId7">
          <objectPr defaultSize="0" autoPict="0" r:id="rId8">
            <anchor moveWithCells="1">
              <from>
                <xdr:col>13</xdr:col>
                <xdr:colOff>600075</xdr:colOff>
                <xdr:row>6</xdr:row>
                <xdr:rowOff>142875</xdr:rowOff>
              </from>
              <to>
                <xdr:col>14</xdr:col>
                <xdr:colOff>228600</xdr:colOff>
                <xdr:row>8</xdr:row>
                <xdr:rowOff>123825</xdr:rowOff>
              </to>
            </anchor>
          </objectPr>
        </oleObject>
      </mc:Choice>
      <mc:Fallback>
        <oleObject progId="CorelDraw.Graphic.17" shapeId="5126" r:id="rId7"/>
      </mc:Fallback>
    </mc:AlternateContent>
  </oleObjects>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606D-65DC-4DA0-83EA-6E713BA98587}">
  <dimension ref="B2:B17"/>
  <sheetViews>
    <sheetView workbookViewId="0">
      <selection activeCell="B16" sqref="B16"/>
    </sheetView>
  </sheetViews>
  <sheetFormatPr defaultRowHeight="15" x14ac:dyDescent="0.25"/>
  <sheetData>
    <row r="2" spans="2:2" ht="15.75" x14ac:dyDescent="0.25">
      <c r="B2" s="13" t="s">
        <v>9820</v>
      </c>
    </row>
    <row r="4" spans="2:2" x14ac:dyDescent="0.25">
      <c r="B4" t="s">
        <v>9821</v>
      </c>
    </row>
    <row r="6" spans="2:2" x14ac:dyDescent="0.25">
      <c r="B6" s="14" t="s">
        <v>9822</v>
      </c>
    </row>
    <row r="7" spans="2:2" x14ac:dyDescent="0.25">
      <c r="B7" t="s">
        <v>9823</v>
      </c>
    </row>
    <row r="9" spans="2:2" x14ac:dyDescent="0.25">
      <c r="B9" t="s">
        <v>9824</v>
      </c>
    </row>
    <row r="11" spans="2:2" x14ac:dyDescent="0.25">
      <c r="B11" t="s">
        <v>9827</v>
      </c>
    </row>
    <row r="12" spans="2:2" x14ac:dyDescent="0.25">
      <c r="B12" t="s">
        <v>9826</v>
      </c>
    </row>
    <row r="14" spans="2:2" x14ac:dyDescent="0.25">
      <c r="B14" t="s">
        <v>9828</v>
      </c>
    </row>
    <row r="15" spans="2:2" x14ac:dyDescent="0.25">
      <c r="B15" t="s">
        <v>9829</v>
      </c>
    </row>
    <row r="17" spans="2:2" x14ac:dyDescent="0.25">
      <c r="B17" t="s">
        <v>9830</v>
      </c>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4F7045-649C-4009-A431-B1530C2E86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Data_Quality_Log</vt:lpstr>
      <vt:lpstr>Raw_Data</vt:lpstr>
      <vt:lpstr>Clean_Data</vt:lpstr>
      <vt:lpstr>Pivot_Table</vt:lpstr>
      <vt:lpstr>Dashboard</vt:lpstr>
      <vt:lpstr>Written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Emoekpere</dc:creator>
  <cp:lastModifiedBy>USER</cp:lastModifiedBy>
  <dcterms:created xsi:type="dcterms:W3CDTF">2026-05-05T11:21:34Z</dcterms:created>
  <dcterms:modified xsi:type="dcterms:W3CDTF">2026-07-10T21:24:57Z</dcterms:modified>
</cp:coreProperties>
</file>